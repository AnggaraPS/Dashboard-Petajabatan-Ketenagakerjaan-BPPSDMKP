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usdik KP dashboard\"/>
    </mc:Choice>
  </mc:AlternateContent>
  <xr:revisionPtr revIDLastSave="0" documentId="13_ncr:1_{B8CB8D6B-1666-44A4-900B-33A75E829123}" xr6:coauthVersionLast="47" xr6:coauthVersionMax="47" xr10:uidLastSave="{00000000-0000-0000-0000-000000000000}"/>
  <bookViews>
    <workbookView xWindow="-110" yWindow="-110" windowWidth="19420" windowHeight="10300" xr2:uid="{D141C51D-D220-4F39-B1C0-1E66C2D90037}"/>
  </bookViews>
  <sheets>
    <sheet name="Dataset Izin" sheetId="11" r:id="rId1"/>
    <sheet name="Sheet1" sheetId="12" r:id="rId2"/>
    <sheet name="SETJEN" sheetId="2" r:id="rId3"/>
    <sheet name="ITJEN" sheetId="4" r:id="rId4"/>
    <sheet name="DJPT" sheetId="5" r:id="rId5"/>
    <sheet name="DJPB" sheetId="6" r:id="rId6"/>
    <sheet name="PSDKP" sheetId="7" r:id="rId7"/>
    <sheet name="PKRL" sheetId="8" r:id="rId8"/>
    <sheet name="PDS" sheetId="9" r:id="rId9"/>
    <sheet name="BPPSDM" sheetId="3" r:id="rId10"/>
    <sheet name="BPPMHKP" sheetId="10" r:id="rId11"/>
  </sheets>
  <definedNames>
    <definedName name="_xlnm._FilterDatabase" localSheetId="10" hidden="1">BPPMHKP!$A$1:$R$103</definedName>
    <definedName name="_xlnm._FilterDatabase" localSheetId="9" hidden="1">BPPSDM!$A$1:$R$395</definedName>
    <definedName name="_xlnm._FilterDatabase" localSheetId="0" hidden="1">'Dataset Izin'!$A$1:$Z$923</definedName>
    <definedName name="_xlnm._FilterDatabase" localSheetId="5" hidden="1">DJPB!$A$1:$R$91</definedName>
    <definedName name="_xlnm._FilterDatabase" localSheetId="4" hidden="1">DJPT!$A$1:$R$91</definedName>
    <definedName name="_xlnm._FilterDatabase" localSheetId="3" hidden="1">ITJEN!$A$1:$R$6</definedName>
    <definedName name="_xlnm._FilterDatabase" localSheetId="8" hidden="1">PDS!$A$1:$R$18</definedName>
    <definedName name="_xlnm._FilterDatabase" localSheetId="7" hidden="1">PKRL!$A$1:$R$38</definedName>
    <definedName name="_xlnm._FilterDatabase" localSheetId="6" hidden="1">PSDKP!$A$1:$R$124</definedName>
    <definedName name="_xlnm._FilterDatabase" localSheetId="2" hidden="1">SETJEN!$A$1:$R$47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18" i="11" l="1"/>
  <c r="T22" i="11"/>
  <c r="S266" i="11"/>
  <c r="S20" i="11"/>
  <c r="S28" i="11"/>
  <c r="S16" i="11"/>
  <c r="S25" i="11"/>
  <c r="S2" i="11"/>
  <c r="T16" i="11"/>
  <c r="S22" i="11"/>
  <c r="S23" i="11"/>
  <c r="S24" i="11"/>
  <c r="S26" i="11"/>
  <c r="S27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S121" i="11"/>
  <c r="S122" i="1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52" i="11"/>
  <c r="S153" i="11"/>
  <c r="S154" i="11"/>
  <c r="S155" i="11"/>
  <c r="S156" i="11"/>
  <c r="S157" i="11"/>
  <c r="S158" i="11"/>
  <c r="S159" i="11"/>
  <c r="S160" i="11"/>
  <c r="S161" i="11"/>
  <c r="S162" i="11"/>
  <c r="S163" i="11"/>
  <c r="S164" i="11"/>
  <c r="S165" i="11"/>
  <c r="S166" i="11"/>
  <c r="S167" i="11"/>
  <c r="S168" i="11"/>
  <c r="S169" i="11"/>
  <c r="S170" i="11"/>
  <c r="S171" i="11"/>
  <c r="S172" i="11"/>
  <c r="S173" i="11"/>
  <c r="S174" i="11"/>
  <c r="S175" i="11"/>
  <c r="S176" i="11"/>
  <c r="S177" i="11"/>
  <c r="S178" i="11"/>
  <c r="S179" i="11"/>
  <c r="S180" i="11"/>
  <c r="S181" i="11"/>
  <c r="S182" i="11"/>
  <c r="S183" i="11"/>
  <c r="S184" i="11"/>
  <c r="S185" i="11"/>
  <c r="S186" i="11"/>
  <c r="S187" i="11"/>
  <c r="S188" i="11"/>
  <c r="S189" i="11"/>
  <c r="S190" i="11"/>
  <c r="S191" i="11"/>
  <c r="S192" i="11"/>
  <c r="S193" i="11"/>
  <c r="S194" i="11"/>
  <c r="S195" i="11"/>
  <c r="S196" i="11"/>
  <c r="S197" i="11"/>
  <c r="S198" i="11"/>
  <c r="S199" i="11"/>
  <c r="S200" i="11"/>
  <c r="S201" i="11"/>
  <c r="S202" i="11"/>
  <c r="S203" i="11"/>
  <c r="S204" i="11"/>
  <c r="S205" i="11"/>
  <c r="S206" i="11"/>
  <c r="S207" i="11"/>
  <c r="S208" i="11"/>
  <c r="S209" i="11"/>
  <c r="S210" i="11"/>
  <c r="S211" i="11"/>
  <c r="S212" i="11"/>
  <c r="S213" i="11"/>
  <c r="S214" i="11"/>
  <c r="S215" i="11"/>
  <c r="S216" i="11"/>
  <c r="S217" i="11"/>
  <c r="S218" i="11"/>
  <c r="S219" i="11"/>
  <c r="S220" i="11"/>
  <c r="S221" i="11"/>
  <c r="S222" i="11"/>
  <c r="S223" i="11"/>
  <c r="S224" i="11"/>
  <c r="S225" i="11"/>
  <c r="S226" i="11"/>
  <c r="S227" i="11"/>
  <c r="S228" i="11"/>
  <c r="S229" i="11"/>
  <c r="S230" i="11"/>
  <c r="S231" i="11"/>
  <c r="S232" i="11"/>
  <c r="S233" i="11"/>
  <c r="S234" i="11"/>
  <c r="S235" i="11"/>
  <c r="S236" i="11"/>
  <c r="S237" i="11"/>
  <c r="S238" i="11"/>
  <c r="S239" i="11"/>
  <c r="S240" i="11"/>
  <c r="S241" i="11"/>
  <c r="S242" i="11"/>
  <c r="S243" i="11"/>
  <c r="S244" i="11"/>
  <c r="S245" i="11"/>
  <c r="S246" i="11"/>
  <c r="S247" i="11"/>
  <c r="S248" i="11"/>
  <c r="S249" i="11"/>
  <c r="S250" i="11"/>
  <c r="S251" i="11"/>
  <c r="S252" i="11"/>
  <c r="S253" i="11"/>
  <c r="S254" i="11"/>
  <c r="S255" i="11"/>
  <c r="S256" i="11"/>
  <c r="S257" i="11"/>
  <c r="S258" i="11"/>
  <c r="S259" i="11"/>
  <c r="S260" i="11"/>
  <c r="S261" i="11"/>
  <c r="S262" i="11"/>
  <c r="S263" i="11"/>
  <c r="S264" i="11"/>
  <c r="S265" i="11"/>
  <c r="S267" i="11"/>
  <c r="S268" i="11"/>
  <c r="S269" i="11"/>
  <c r="S270" i="11"/>
  <c r="S271" i="11"/>
  <c r="S272" i="11"/>
  <c r="S273" i="11"/>
  <c r="S274" i="11"/>
  <c r="S275" i="11"/>
  <c r="S276" i="11"/>
  <c r="S277" i="11"/>
  <c r="S278" i="11"/>
  <c r="S279" i="11"/>
  <c r="S280" i="11"/>
  <c r="S281" i="11"/>
  <c r="S282" i="11"/>
  <c r="S283" i="11"/>
  <c r="S284" i="11"/>
  <c r="S285" i="11"/>
  <c r="S286" i="11"/>
  <c r="S287" i="11"/>
  <c r="S288" i="11"/>
  <c r="S289" i="11"/>
  <c r="S290" i="11"/>
  <c r="S291" i="11"/>
  <c r="S292" i="11"/>
  <c r="S293" i="11"/>
  <c r="S294" i="11"/>
  <c r="S295" i="11"/>
  <c r="S296" i="11"/>
  <c r="S297" i="11"/>
  <c r="S298" i="11"/>
  <c r="S299" i="11"/>
  <c r="S300" i="11"/>
  <c r="S301" i="11"/>
  <c r="S302" i="11"/>
  <c r="S303" i="11"/>
  <c r="S304" i="11"/>
  <c r="S305" i="11"/>
  <c r="S306" i="11"/>
  <c r="S307" i="11"/>
  <c r="S308" i="11"/>
  <c r="S309" i="11"/>
  <c r="S310" i="11"/>
  <c r="S311" i="11"/>
  <c r="S312" i="11"/>
  <c r="S313" i="11"/>
  <c r="S314" i="11"/>
  <c r="S315" i="11"/>
  <c r="S316" i="11"/>
  <c r="S317" i="11"/>
  <c r="S318" i="11"/>
  <c r="S319" i="11"/>
  <c r="S320" i="11"/>
  <c r="S321" i="11"/>
  <c r="S322" i="11"/>
  <c r="S323" i="11"/>
  <c r="S324" i="11"/>
  <c r="S325" i="11"/>
  <c r="S326" i="11"/>
  <c r="S327" i="11"/>
  <c r="S328" i="11"/>
  <c r="S329" i="11"/>
  <c r="S330" i="11"/>
  <c r="S331" i="11"/>
  <c r="S332" i="11"/>
  <c r="S333" i="11"/>
  <c r="S334" i="11"/>
  <c r="S335" i="11"/>
  <c r="S336" i="11"/>
  <c r="S337" i="11"/>
  <c r="S338" i="11"/>
  <c r="S339" i="11"/>
  <c r="S340" i="11"/>
  <c r="S341" i="11"/>
  <c r="S342" i="11"/>
  <c r="S343" i="11"/>
  <c r="S344" i="11"/>
  <c r="S345" i="11"/>
  <c r="S346" i="11"/>
  <c r="S347" i="11"/>
  <c r="S348" i="11"/>
  <c r="S349" i="11"/>
  <c r="S350" i="11"/>
  <c r="S351" i="11"/>
  <c r="S352" i="11"/>
  <c r="S353" i="11"/>
  <c r="S354" i="11"/>
  <c r="S355" i="11"/>
  <c r="S356" i="11"/>
  <c r="S357" i="11"/>
  <c r="S358" i="11"/>
  <c r="S359" i="11"/>
  <c r="S360" i="11"/>
  <c r="S361" i="11"/>
  <c r="S362" i="11"/>
  <c r="S363" i="11"/>
  <c r="S364" i="11"/>
  <c r="S365" i="11"/>
  <c r="S366" i="11"/>
  <c r="S367" i="11"/>
  <c r="S368" i="11"/>
  <c r="S369" i="11"/>
  <c r="S370" i="11"/>
  <c r="S371" i="11"/>
  <c r="S372" i="11"/>
  <c r="S373" i="11"/>
  <c r="S374" i="11"/>
  <c r="S375" i="11"/>
  <c r="S376" i="11"/>
  <c r="S377" i="11"/>
  <c r="S378" i="11"/>
  <c r="S379" i="11"/>
  <c r="S380" i="11"/>
  <c r="S381" i="11"/>
  <c r="S382" i="11"/>
  <c r="S383" i="11"/>
  <c r="S384" i="11"/>
  <c r="S385" i="11"/>
  <c r="S386" i="11"/>
  <c r="S387" i="11"/>
  <c r="S388" i="11"/>
  <c r="S389" i="11"/>
  <c r="S390" i="11"/>
  <c r="S391" i="11"/>
  <c r="S392" i="11"/>
  <c r="S393" i="11"/>
  <c r="S394" i="11"/>
  <c r="S395" i="11"/>
  <c r="S396" i="11"/>
  <c r="S397" i="11"/>
  <c r="S398" i="11"/>
  <c r="S399" i="11"/>
  <c r="S400" i="11"/>
  <c r="S401" i="11"/>
  <c r="S402" i="11"/>
  <c r="S403" i="11"/>
  <c r="S404" i="11"/>
  <c r="S405" i="11"/>
  <c r="S406" i="11"/>
  <c r="S407" i="11"/>
  <c r="S408" i="11"/>
  <c r="S409" i="11"/>
  <c r="S410" i="11"/>
  <c r="S411" i="11"/>
  <c r="S412" i="11"/>
  <c r="S413" i="11"/>
  <c r="S414" i="11"/>
  <c r="S415" i="11"/>
  <c r="S416" i="11"/>
  <c r="S417" i="11"/>
  <c r="S418" i="11"/>
  <c r="S419" i="11"/>
  <c r="S420" i="11"/>
  <c r="S421" i="11"/>
  <c r="S422" i="11"/>
  <c r="S423" i="11"/>
  <c r="S424" i="11"/>
  <c r="S425" i="11"/>
  <c r="S426" i="11"/>
  <c r="S427" i="11"/>
  <c r="S428" i="11"/>
  <c r="S429" i="11"/>
  <c r="S430" i="11"/>
  <c r="S431" i="11"/>
  <c r="S432" i="11"/>
  <c r="S433" i="11"/>
  <c r="S434" i="11"/>
  <c r="S435" i="11"/>
  <c r="S436" i="11"/>
  <c r="S437" i="11"/>
  <c r="S438" i="11"/>
  <c r="S439" i="11"/>
  <c r="S440" i="11"/>
  <c r="S441" i="11"/>
  <c r="S442" i="11"/>
  <c r="S443" i="11"/>
  <c r="S444" i="11"/>
  <c r="S445" i="11"/>
  <c r="S446" i="11"/>
  <c r="S447" i="11"/>
  <c r="S448" i="11"/>
  <c r="S449" i="11"/>
  <c r="S450" i="11"/>
  <c r="S451" i="11"/>
  <c r="S452" i="11"/>
  <c r="S453" i="11"/>
  <c r="S454" i="11"/>
  <c r="S455" i="11"/>
  <c r="S456" i="11"/>
  <c r="S457" i="11"/>
  <c r="S458" i="11"/>
  <c r="S459" i="11"/>
  <c r="S460" i="11"/>
  <c r="S461" i="11"/>
  <c r="S462" i="11"/>
  <c r="S463" i="11"/>
  <c r="S464" i="11"/>
  <c r="S465" i="11"/>
  <c r="S466" i="11"/>
  <c r="S467" i="11"/>
  <c r="S468" i="11"/>
  <c r="S469" i="11"/>
  <c r="S470" i="11"/>
  <c r="S471" i="11"/>
  <c r="S472" i="11"/>
  <c r="S473" i="11"/>
  <c r="S474" i="11"/>
  <c r="S475" i="11"/>
  <c r="S476" i="11"/>
  <c r="S477" i="11"/>
  <c r="S478" i="11"/>
  <c r="S479" i="11"/>
  <c r="S480" i="11"/>
  <c r="S481" i="11"/>
  <c r="S482" i="11"/>
  <c r="S483" i="11"/>
  <c r="S484" i="11"/>
  <c r="S485" i="11"/>
  <c r="S486" i="11"/>
  <c r="S487" i="11"/>
  <c r="S488" i="11"/>
  <c r="S489" i="11"/>
  <c r="S490" i="11"/>
  <c r="S491" i="11"/>
  <c r="S492" i="11"/>
  <c r="S493" i="11"/>
  <c r="S494" i="11"/>
  <c r="S495" i="11"/>
  <c r="S496" i="11"/>
  <c r="S497" i="11"/>
  <c r="S498" i="11"/>
  <c r="S499" i="11"/>
  <c r="S500" i="11"/>
  <c r="S501" i="11"/>
  <c r="S502" i="11"/>
  <c r="S503" i="11"/>
  <c r="S504" i="11"/>
  <c r="S505" i="11"/>
  <c r="S506" i="11"/>
  <c r="S507" i="11"/>
  <c r="S508" i="11"/>
  <c r="S509" i="11"/>
  <c r="S510" i="11"/>
  <c r="S511" i="11"/>
  <c r="S512" i="11"/>
  <c r="S513" i="11"/>
  <c r="S514" i="11"/>
  <c r="S515" i="11"/>
  <c r="S516" i="11"/>
  <c r="S517" i="11"/>
  <c r="S518" i="11"/>
  <c r="S519" i="11"/>
  <c r="S520" i="11"/>
  <c r="S521" i="11"/>
  <c r="S522" i="11"/>
  <c r="S523" i="11"/>
  <c r="S524" i="11"/>
  <c r="S525" i="11"/>
  <c r="S526" i="11"/>
  <c r="S527" i="11"/>
  <c r="S528" i="11"/>
  <c r="S529" i="11"/>
  <c r="S530" i="11"/>
  <c r="S531" i="11"/>
  <c r="S532" i="11"/>
  <c r="S533" i="11"/>
  <c r="S534" i="11"/>
  <c r="S535" i="11"/>
  <c r="S536" i="11"/>
  <c r="S537" i="11"/>
  <c r="S538" i="11"/>
  <c r="S539" i="11"/>
  <c r="S540" i="11"/>
  <c r="S541" i="11"/>
  <c r="S542" i="11"/>
  <c r="S543" i="11"/>
  <c r="S544" i="11"/>
  <c r="S545" i="11"/>
  <c r="S546" i="11"/>
  <c r="S547" i="11"/>
  <c r="S548" i="11"/>
  <c r="S549" i="11"/>
  <c r="S550" i="11"/>
  <c r="S551" i="11"/>
  <c r="S552" i="11"/>
  <c r="S553" i="11"/>
  <c r="S554" i="11"/>
  <c r="S555" i="11"/>
  <c r="S556" i="11"/>
  <c r="S557" i="11"/>
  <c r="S558" i="11"/>
  <c r="S559" i="11"/>
  <c r="S560" i="11"/>
  <c r="S561" i="11"/>
  <c r="S562" i="11"/>
  <c r="S563" i="11"/>
  <c r="S564" i="11"/>
  <c r="S565" i="11"/>
  <c r="S566" i="11"/>
  <c r="S567" i="11"/>
  <c r="S568" i="11"/>
  <c r="S569" i="11"/>
  <c r="S570" i="11"/>
  <c r="S571" i="11"/>
  <c r="S572" i="11"/>
  <c r="S573" i="11"/>
  <c r="S574" i="11"/>
  <c r="S575" i="11"/>
  <c r="S576" i="11"/>
  <c r="S577" i="11"/>
  <c r="S578" i="11"/>
  <c r="S579" i="11"/>
  <c r="S580" i="11"/>
  <c r="S581" i="11"/>
  <c r="S582" i="11"/>
  <c r="S583" i="11"/>
  <c r="S584" i="11"/>
  <c r="S585" i="11"/>
  <c r="S586" i="11"/>
  <c r="S587" i="11"/>
  <c r="S588" i="11"/>
  <c r="S589" i="11"/>
  <c r="S590" i="11"/>
  <c r="S591" i="11"/>
  <c r="S592" i="11"/>
  <c r="S593" i="11"/>
  <c r="S594" i="11"/>
  <c r="S595" i="11"/>
  <c r="S596" i="11"/>
  <c r="S597" i="11"/>
  <c r="S598" i="11"/>
  <c r="S599" i="11"/>
  <c r="S600" i="11"/>
  <c r="S601" i="11"/>
  <c r="S602" i="11"/>
  <c r="S603" i="11"/>
  <c r="S604" i="11"/>
  <c r="S605" i="11"/>
  <c r="S606" i="11"/>
  <c r="S607" i="11"/>
  <c r="S608" i="11"/>
  <c r="S609" i="11"/>
  <c r="S610" i="11"/>
  <c r="S611" i="11"/>
  <c r="S612" i="11"/>
  <c r="S613" i="11"/>
  <c r="S614" i="11"/>
  <c r="S615" i="11"/>
  <c r="S616" i="11"/>
  <c r="S617" i="11"/>
  <c r="S618" i="11"/>
  <c r="S619" i="11"/>
  <c r="S620" i="11"/>
  <c r="S621" i="11"/>
  <c r="S622" i="11"/>
  <c r="S623" i="11"/>
  <c r="S624" i="11"/>
  <c r="S625" i="11"/>
  <c r="S626" i="11"/>
  <c r="S627" i="11"/>
  <c r="S628" i="11"/>
  <c r="S629" i="11"/>
  <c r="S630" i="11"/>
  <c r="S631" i="11"/>
  <c r="S632" i="11"/>
  <c r="S633" i="11"/>
  <c r="S634" i="11"/>
  <c r="S635" i="11"/>
  <c r="S636" i="11"/>
  <c r="S637" i="11"/>
  <c r="S638" i="11"/>
  <c r="S639" i="11"/>
  <c r="S640" i="11"/>
  <c r="S641" i="11"/>
  <c r="S642" i="11"/>
  <c r="S643" i="11"/>
  <c r="S644" i="11"/>
  <c r="S645" i="11"/>
  <c r="S646" i="11"/>
  <c r="S647" i="11"/>
  <c r="S648" i="11"/>
  <c r="S649" i="11"/>
  <c r="S650" i="11"/>
  <c r="S651" i="11"/>
  <c r="S652" i="11"/>
  <c r="S653" i="11"/>
  <c r="S654" i="11"/>
  <c r="S655" i="11"/>
  <c r="S656" i="11"/>
  <c r="S657" i="11"/>
  <c r="S658" i="11"/>
  <c r="S659" i="11"/>
  <c r="S660" i="11"/>
  <c r="S661" i="11"/>
  <c r="S662" i="11"/>
  <c r="S663" i="11"/>
  <c r="S664" i="11"/>
  <c r="S665" i="11"/>
  <c r="S666" i="11"/>
  <c r="S667" i="11"/>
  <c r="S668" i="11"/>
  <c r="S669" i="11"/>
  <c r="S670" i="11"/>
  <c r="S671" i="11"/>
  <c r="S672" i="11"/>
  <c r="S673" i="11"/>
  <c r="S674" i="11"/>
  <c r="S675" i="11"/>
  <c r="S676" i="11"/>
  <c r="S677" i="11"/>
  <c r="S678" i="11"/>
  <c r="S679" i="11"/>
  <c r="S680" i="11"/>
  <c r="S681" i="11"/>
  <c r="S682" i="11"/>
  <c r="S683" i="11"/>
  <c r="S684" i="11"/>
  <c r="S685" i="11"/>
  <c r="S686" i="11"/>
  <c r="S687" i="11"/>
  <c r="S688" i="11"/>
  <c r="S689" i="11"/>
  <c r="S690" i="11"/>
  <c r="S691" i="11"/>
  <c r="S692" i="11"/>
  <c r="S693" i="11"/>
  <c r="S694" i="11"/>
  <c r="S695" i="11"/>
  <c r="S696" i="11"/>
  <c r="S697" i="11"/>
  <c r="S698" i="11"/>
  <c r="S699" i="11"/>
  <c r="S700" i="11"/>
  <c r="S701" i="11"/>
  <c r="S702" i="11"/>
  <c r="S703" i="11"/>
  <c r="S704" i="11"/>
  <c r="S705" i="11"/>
  <c r="S706" i="11"/>
  <c r="S707" i="11"/>
  <c r="S708" i="11"/>
  <c r="S709" i="11"/>
  <c r="S710" i="11"/>
  <c r="S711" i="11"/>
  <c r="S712" i="11"/>
  <c r="S713" i="11"/>
  <c r="S714" i="11"/>
  <c r="S715" i="11"/>
  <c r="S716" i="11"/>
  <c r="S717" i="11"/>
  <c r="S718" i="11"/>
  <c r="S719" i="11"/>
  <c r="S720" i="11"/>
  <c r="S721" i="11"/>
  <c r="S722" i="11"/>
  <c r="S723" i="11"/>
  <c r="S724" i="11"/>
  <c r="S725" i="11"/>
  <c r="S726" i="11"/>
  <c r="S727" i="11"/>
  <c r="S728" i="11"/>
  <c r="S729" i="11"/>
  <c r="S730" i="11"/>
  <c r="S731" i="11"/>
  <c r="S732" i="11"/>
  <c r="S733" i="11"/>
  <c r="S734" i="11"/>
  <c r="S735" i="11"/>
  <c r="S736" i="11"/>
  <c r="S737" i="11"/>
  <c r="S738" i="11"/>
  <c r="S739" i="11"/>
  <c r="S740" i="11"/>
  <c r="S741" i="11"/>
  <c r="S742" i="11"/>
  <c r="S743" i="11"/>
  <c r="S744" i="11"/>
  <c r="S745" i="11"/>
  <c r="S746" i="11"/>
  <c r="S747" i="11"/>
  <c r="S748" i="11"/>
  <c r="S749" i="11"/>
  <c r="S750" i="11"/>
  <c r="S751" i="11"/>
  <c r="S752" i="11"/>
  <c r="S753" i="11"/>
  <c r="S754" i="11"/>
  <c r="S755" i="11"/>
  <c r="S756" i="11"/>
  <c r="S757" i="11"/>
  <c r="S758" i="11"/>
  <c r="S759" i="11"/>
  <c r="S760" i="11"/>
  <c r="S761" i="11"/>
  <c r="S762" i="11"/>
  <c r="S763" i="11"/>
  <c r="S764" i="11"/>
  <c r="S765" i="11"/>
  <c r="S766" i="11"/>
  <c r="S767" i="11"/>
  <c r="S768" i="11"/>
  <c r="S769" i="11"/>
  <c r="S770" i="11"/>
  <c r="S771" i="11"/>
  <c r="S772" i="11"/>
  <c r="S773" i="11"/>
  <c r="S774" i="11"/>
  <c r="S775" i="11"/>
  <c r="S776" i="11"/>
  <c r="S777" i="11"/>
  <c r="S778" i="11"/>
  <c r="S779" i="11"/>
  <c r="S780" i="11"/>
  <c r="S781" i="11"/>
  <c r="S782" i="11"/>
  <c r="S783" i="11"/>
  <c r="S784" i="11"/>
  <c r="S785" i="11"/>
  <c r="S786" i="11"/>
  <c r="S787" i="11"/>
  <c r="S788" i="11"/>
  <c r="S789" i="11"/>
  <c r="S790" i="11"/>
  <c r="S791" i="11"/>
  <c r="S792" i="11"/>
  <c r="S793" i="11"/>
  <c r="S794" i="11"/>
  <c r="S795" i="11"/>
  <c r="S796" i="11"/>
  <c r="S797" i="11"/>
  <c r="S798" i="11"/>
  <c r="S799" i="11"/>
  <c r="S800" i="11"/>
  <c r="S801" i="11"/>
  <c r="S802" i="11"/>
  <c r="S803" i="11"/>
  <c r="S804" i="11"/>
  <c r="S805" i="11"/>
  <c r="S806" i="11"/>
  <c r="S807" i="11"/>
  <c r="S808" i="11"/>
  <c r="S809" i="11"/>
  <c r="S810" i="11"/>
  <c r="S811" i="11"/>
  <c r="S812" i="11"/>
  <c r="S813" i="11"/>
  <c r="S814" i="11"/>
  <c r="S815" i="11"/>
  <c r="S816" i="11"/>
  <c r="S817" i="11"/>
  <c r="S818" i="11"/>
  <c r="S819" i="11"/>
  <c r="S820" i="11"/>
  <c r="S821" i="11"/>
  <c r="S822" i="11"/>
  <c r="S823" i="11"/>
  <c r="S824" i="11"/>
  <c r="S825" i="11"/>
  <c r="S826" i="11"/>
  <c r="S827" i="11"/>
  <c r="S828" i="11"/>
  <c r="S829" i="11"/>
  <c r="S830" i="11"/>
  <c r="S831" i="11"/>
  <c r="S832" i="11"/>
  <c r="S833" i="11"/>
  <c r="S834" i="11"/>
  <c r="S835" i="11"/>
  <c r="S836" i="11"/>
  <c r="S837" i="11"/>
  <c r="S838" i="11"/>
  <c r="S839" i="11"/>
  <c r="S840" i="11"/>
  <c r="S841" i="11"/>
  <c r="S842" i="11"/>
  <c r="S843" i="11"/>
  <c r="S844" i="11"/>
  <c r="S845" i="11"/>
  <c r="S846" i="11"/>
  <c r="S847" i="11"/>
  <c r="S848" i="11"/>
  <c r="S849" i="11"/>
  <c r="S850" i="11"/>
  <c r="S851" i="11"/>
  <c r="S852" i="11"/>
  <c r="S853" i="11"/>
  <c r="S854" i="11"/>
  <c r="S855" i="11"/>
  <c r="S856" i="11"/>
  <c r="S857" i="11"/>
  <c r="S858" i="11"/>
  <c r="S859" i="11"/>
  <c r="S860" i="11"/>
  <c r="S861" i="11"/>
  <c r="S862" i="11"/>
  <c r="S863" i="11"/>
  <c r="S864" i="11"/>
  <c r="S865" i="11"/>
  <c r="S866" i="11"/>
  <c r="S867" i="11"/>
  <c r="S868" i="11"/>
  <c r="S869" i="11"/>
  <c r="S870" i="11"/>
  <c r="S871" i="11"/>
  <c r="S872" i="11"/>
  <c r="S873" i="11"/>
  <c r="S874" i="11"/>
  <c r="S875" i="11"/>
  <c r="S876" i="11"/>
  <c r="S877" i="11"/>
  <c r="S878" i="11"/>
  <c r="S879" i="11"/>
  <c r="S880" i="11"/>
  <c r="S881" i="11"/>
  <c r="S882" i="11"/>
  <c r="S883" i="11"/>
  <c r="S884" i="11"/>
  <c r="S885" i="11"/>
  <c r="S886" i="11"/>
  <c r="S887" i="11"/>
  <c r="S888" i="11"/>
  <c r="S889" i="11"/>
  <c r="S890" i="11"/>
  <c r="S891" i="11"/>
  <c r="S892" i="11"/>
  <c r="S893" i="11"/>
  <c r="S894" i="11"/>
  <c r="S895" i="11"/>
  <c r="S896" i="11"/>
  <c r="S897" i="11"/>
  <c r="S898" i="11"/>
  <c r="S899" i="11"/>
  <c r="S900" i="11"/>
  <c r="S901" i="11"/>
  <c r="S902" i="11"/>
  <c r="S903" i="11"/>
  <c r="S904" i="11"/>
  <c r="S905" i="11"/>
  <c r="S906" i="11"/>
  <c r="S907" i="11"/>
  <c r="S908" i="11"/>
  <c r="S909" i="11"/>
  <c r="S910" i="11"/>
  <c r="S911" i="11"/>
  <c r="S912" i="11"/>
  <c r="S913" i="11"/>
  <c r="S914" i="11"/>
  <c r="S915" i="11"/>
  <c r="S916" i="11"/>
  <c r="S917" i="11"/>
  <c r="S918" i="11"/>
  <c r="S919" i="11"/>
  <c r="S920" i="11"/>
  <c r="S921" i="11"/>
  <c r="S922" i="11"/>
  <c r="S923" i="11"/>
  <c r="S13" i="11"/>
  <c r="S14" i="11"/>
  <c r="S15" i="11"/>
  <c r="S17" i="11"/>
  <c r="S18" i="11"/>
  <c r="S19" i="11"/>
  <c r="S21" i="11"/>
  <c r="S5" i="11"/>
  <c r="S6" i="11"/>
  <c r="S7" i="11"/>
  <c r="S8" i="11"/>
  <c r="S9" i="11"/>
  <c r="S10" i="11"/>
  <c r="S11" i="11"/>
  <c r="S12" i="11"/>
  <c r="S3" i="11"/>
  <c r="S4" i="11"/>
  <c r="T19" i="11"/>
  <c r="T20" i="11"/>
  <c r="T21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T112" i="11"/>
  <c r="T113" i="11"/>
  <c r="T114" i="11"/>
  <c r="T115" i="11"/>
  <c r="T116" i="11"/>
  <c r="T117" i="11"/>
  <c r="T118" i="11"/>
  <c r="T119" i="11"/>
  <c r="T120" i="11"/>
  <c r="T121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52" i="11"/>
  <c r="T153" i="11"/>
  <c r="T154" i="11"/>
  <c r="T155" i="11"/>
  <c r="T156" i="11"/>
  <c r="T157" i="11"/>
  <c r="T158" i="11"/>
  <c r="T159" i="11"/>
  <c r="T160" i="11"/>
  <c r="T161" i="11"/>
  <c r="T162" i="11"/>
  <c r="T163" i="11"/>
  <c r="T164" i="11"/>
  <c r="T165" i="11"/>
  <c r="T166" i="11"/>
  <c r="T167" i="11"/>
  <c r="T168" i="11"/>
  <c r="T169" i="11"/>
  <c r="T170" i="11"/>
  <c r="T171" i="11"/>
  <c r="T172" i="11"/>
  <c r="T173" i="11"/>
  <c r="T174" i="11"/>
  <c r="T175" i="11"/>
  <c r="T176" i="11"/>
  <c r="T177" i="11"/>
  <c r="T178" i="11"/>
  <c r="T179" i="11"/>
  <c r="T180" i="11"/>
  <c r="T181" i="11"/>
  <c r="T182" i="11"/>
  <c r="T183" i="11"/>
  <c r="T184" i="11"/>
  <c r="T185" i="11"/>
  <c r="T186" i="11"/>
  <c r="T187" i="11"/>
  <c r="T188" i="11"/>
  <c r="T189" i="11"/>
  <c r="T190" i="11"/>
  <c r="T191" i="11"/>
  <c r="T192" i="11"/>
  <c r="T193" i="11"/>
  <c r="T194" i="11"/>
  <c r="T195" i="11"/>
  <c r="T196" i="11"/>
  <c r="T197" i="11"/>
  <c r="T198" i="11"/>
  <c r="T199" i="11"/>
  <c r="T200" i="11"/>
  <c r="T201" i="11"/>
  <c r="T202" i="11"/>
  <c r="T203" i="11"/>
  <c r="T204" i="11"/>
  <c r="T205" i="11"/>
  <c r="T206" i="11"/>
  <c r="T207" i="11"/>
  <c r="T208" i="11"/>
  <c r="T209" i="11"/>
  <c r="T210" i="11"/>
  <c r="T211" i="11"/>
  <c r="T212" i="11"/>
  <c r="T213" i="11"/>
  <c r="T214" i="11"/>
  <c r="T215" i="11"/>
  <c r="T216" i="11"/>
  <c r="T217" i="11"/>
  <c r="T218" i="11"/>
  <c r="T219" i="11"/>
  <c r="T220" i="11"/>
  <c r="T221" i="11"/>
  <c r="T222" i="11"/>
  <c r="T223" i="11"/>
  <c r="T224" i="11"/>
  <c r="T225" i="11"/>
  <c r="T226" i="11"/>
  <c r="T227" i="11"/>
  <c r="T228" i="11"/>
  <c r="T229" i="11"/>
  <c r="T230" i="11"/>
  <c r="T231" i="11"/>
  <c r="T232" i="11"/>
  <c r="T233" i="11"/>
  <c r="T234" i="11"/>
  <c r="T235" i="11"/>
  <c r="T236" i="11"/>
  <c r="T237" i="11"/>
  <c r="T238" i="11"/>
  <c r="T239" i="11"/>
  <c r="T240" i="11"/>
  <c r="T241" i="11"/>
  <c r="T242" i="11"/>
  <c r="T243" i="11"/>
  <c r="T244" i="11"/>
  <c r="T245" i="11"/>
  <c r="T246" i="11"/>
  <c r="T247" i="11"/>
  <c r="T248" i="11"/>
  <c r="T249" i="11"/>
  <c r="T250" i="11"/>
  <c r="T251" i="11"/>
  <c r="T252" i="11"/>
  <c r="T253" i="11"/>
  <c r="T254" i="11"/>
  <c r="T255" i="11"/>
  <c r="T256" i="11"/>
  <c r="T257" i="11"/>
  <c r="T258" i="11"/>
  <c r="T259" i="11"/>
  <c r="T260" i="11"/>
  <c r="T261" i="11"/>
  <c r="T262" i="11"/>
  <c r="T263" i="11"/>
  <c r="T264" i="11"/>
  <c r="T265" i="11"/>
  <c r="T266" i="11"/>
  <c r="T267" i="11"/>
  <c r="T268" i="11"/>
  <c r="T269" i="11"/>
  <c r="T270" i="11"/>
  <c r="T271" i="11"/>
  <c r="T272" i="11"/>
  <c r="T273" i="11"/>
  <c r="T274" i="11"/>
  <c r="T275" i="11"/>
  <c r="T276" i="11"/>
  <c r="T277" i="11"/>
  <c r="T278" i="11"/>
  <c r="T279" i="11"/>
  <c r="T280" i="11"/>
  <c r="T281" i="11"/>
  <c r="T282" i="11"/>
  <c r="T283" i="11"/>
  <c r="T284" i="11"/>
  <c r="T285" i="11"/>
  <c r="T286" i="11"/>
  <c r="T287" i="11"/>
  <c r="T288" i="11"/>
  <c r="T289" i="11"/>
  <c r="T290" i="11"/>
  <c r="T291" i="11"/>
  <c r="T292" i="11"/>
  <c r="T293" i="11"/>
  <c r="T294" i="11"/>
  <c r="T295" i="11"/>
  <c r="T296" i="11"/>
  <c r="T297" i="11"/>
  <c r="T298" i="11"/>
  <c r="T299" i="11"/>
  <c r="T300" i="11"/>
  <c r="T301" i="11"/>
  <c r="T302" i="11"/>
  <c r="T303" i="11"/>
  <c r="T304" i="11"/>
  <c r="T305" i="11"/>
  <c r="T306" i="11"/>
  <c r="T307" i="11"/>
  <c r="T308" i="11"/>
  <c r="T309" i="11"/>
  <c r="T310" i="11"/>
  <c r="T311" i="11"/>
  <c r="T312" i="11"/>
  <c r="T313" i="11"/>
  <c r="T314" i="11"/>
  <c r="T315" i="11"/>
  <c r="T316" i="11"/>
  <c r="T317" i="11"/>
  <c r="T318" i="11"/>
  <c r="T319" i="11"/>
  <c r="T320" i="11"/>
  <c r="T321" i="11"/>
  <c r="T322" i="11"/>
  <c r="T323" i="11"/>
  <c r="T324" i="11"/>
  <c r="T325" i="11"/>
  <c r="T326" i="11"/>
  <c r="T327" i="11"/>
  <c r="T328" i="11"/>
  <c r="T329" i="11"/>
  <c r="T330" i="11"/>
  <c r="T331" i="11"/>
  <c r="T332" i="11"/>
  <c r="T333" i="11"/>
  <c r="T334" i="11"/>
  <c r="T335" i="11"/>
  <c r="T336" i="11"/>
  <c r="T337" i="11"/>
  <c r="T338" i="11"/>
  <c r="T339" i="11"/>
  <c r="T340" i="11"/>
  <c r="T341" i="11"/>
  <c r="T342" i="11"/>
  <c r="T343" i="11"/>
  <c r="T344" i="11"/>
  <c r="T345" i="11"/>
  <c r="T346" i="11"/>
  <c r="T347" i="11"/>
  <c r="T348" i="11"/>
  <c r="T349" i="11"/>
  <c r="T350" i="11"/>
  <c r="T351" i="11"/>
  <c r="T352" i="11"/>
  <c r="T353" i="11"/>
  <c r="T354" i="11"/>
  <c r="T355" i="11"/>
  <c r="T356" i="11"/>
  <c r="T357" i="11"/>
  <c r="T358" i="11"/>
  <c r="T359" i="11"/>
  <c r="T360" i="11"/>
  <c r="T361" i="11"/>
  <c r="T362" i="11"/>
  <c r="T363" i="11"/>
  <c r="T364" i="11"/>
  <c r="T365" i="11"/>
  <c r="T366" i="11"/>
  <c r="T367" i="11"/>
  <c r="T368" i="11"/>
  <c r="T369" i="11"/>
  <c r="T370" i="11"/>
  <c r="T371" i="11"/>
  <c r="T372" i="11"/>
  <c r="T373" i="11"/>
  <c r="T374" i="11"/>
  <c r="T375" i="11"/>
  <c r="T376" i="11"/>
  <c r="T377" i="11"/>
  <c r="T378" i="11"/>
  <c r="T379" i="11"/>
  <c r="T380" i="11"/>
  <c r="T381" i="11"/>
  <c r="T382" i="11"/>
  <c r="T383" i="11"/>
  <c r="T384" i="11"/>
  <c r="T385" i="11"/>
  <c r="T386" i="11"/>
  <c r="T387" i="11"/>
  <c r="T388" i="11"/>
  <c r="T389" i="11"/>
  <c r="T390" i="11"/>
  <c r="T391" i="11"/>
  <c r="T392" i="11"/>
  <c r="T393" i="11"/>
  <c r="T394" i="11"/>
  <c r="T395" i="11"/>
  <c r="T396" i="11"/>
  <c r="T397" i="11"/>
  <c r="T398" i="11"/>
  <c r="T399" i="11"/>
  <c r="T400" i="11"/>
  <c r="T401" i="11"/>
  <c r="T402" i="11"/>
  <c r="T403" i="11"/>
  <c r="T404" i="11"/>
  <c r="T405" i="11"/>
  <c r="T406" i="11"/>
  <c r="T407" i="11"/>
  <c r="T408" i="11"/>
  <c r="T409" i="11"/>
  <c r="T410" i="11"/>
  <c r="T411" i="11"/>
  <c r="T412" i="11"/>
  <c r="T413" i="11"/>
  <c r="T414" i="11"/>
  <c r="T415" i="11"/>
  <c r="T416" i="11"/>
  <c r="T417" i="11"/>
  <c r="T418" i="11"/>
  <c r="T419" i="11"/>
  <c r="T420" i="11"/>
  <c r="T421" i="11"/>
  <c r="T422" i="11"/>
  <c r="T423" i="11"/>
  <c r="T424" i="11"/>
  <c r="T425" i="11"/>
  <c r="T426" i="11"/>
  <c r="T427" i="11"/>
  <c r="T428" i="11"/>
  <c r="T429" i="11"/>
  <c r="T430" i="11"/>
  <c r="T431" i="11"/>
  <c r="T432" i="11"/>
  <c r="T433" i="11"/>
  <c r="T434" i="11"/>
  <c r="T435" i="11"/>
  <c r="T436" i="11"/>
  <c r="T437" i="11"/>
  <c r="T438" i="11"/>
  <c r="T439" i="11"/>
  <c r="T440" i="11"/>
  <c r="T441" i="11"/>
  <c r="T442" i="11"/>
  <c r="T443" i="11"/>
  <c r="T444" i="11"/>
  <c r="T445" i="11"/>
  <c r="T446" i="11"/>
  <c r="T447" i="11"/>
  <c r="T448" i="11"/>
  <c r="T449" i="11"/>
  <c r="T450" i="11"/>
  <c r="T451" i="11"/>
  <c r="T452" i="11"/>
  <c r="T453" i="11"/>
  <c r="T454" i="11"/>
  <c r="T455" i="11"/>
  <c r="T456" i="11"/>
  <c r="T457" i="11"/>
  <c r="T458" i="11"/>
  <c r="T459" i="11"/>
  <c r="T460" i="11"/>
  <c r="T461" i="11"/>
  <c r="T462" i="11"/>
  <c r="T463" i="11"/>
  <c r="T464" i="11"/>
  <c r="T465" i="11"/>
  <c r="T466" i="11"/>
  <c r="T467" i="11"/>
  <c r="T468" i="11"/>
  <c r="T469" i="11"/>
  <c r="T470" i="11"/>
  <c r="T471" i="11"/>
  <c r="T472" i="11"/>
  <c r="T473" i="11"/>
  <c r="T474" i="11"/>
  <c r="T475" i="11"/>
  <c r="T476" i="11"/>
  <c r="T477" i="11"/>
  <c r="T478" i="11"/>
  <c r="T479" i="11"/>
  <c r="T480" i="11"/>
  <c r="T481" i="11"/>
  <c r="T482" i="11"/>
  <c r="T483" i="11"/>
  <c r="T484" i="11"/>
  <c r="T485" i="11"/>
  <c r="T486" i="11"/>
  <c r="T487" i="11"/>
  <c r="T488" i="11"/>
  <c r="T489" i="11"/>
  <c r="T490" i="11"/>
  <c r="T491" i="11"/>
  <c r="T492" i="11"/>
  <c r="T493" i="11"/>
  <c r="T494" i="11"/>
  <c r="T495" i="11"/>
  <c r="T496" i="11"/>
  <c r="T497" i="11"/>
  <c r="T498" i="11"/>
  <c r="T499" i="11"/>
  <c r="T500" i="11"/>
  <c r="T501" i="11"/>
  <c r="T502" i="11"/>
  <c r="T503" i="11"/>
  <c r="T504" i="11"/>
  <c r="T505" i="11"/>
  <c r="T506" i="11"/>
  <c r="T507" i="11"/>
  <c r="T508" i="11"/>
  <c r="T509" i="11"/>
  <c r="T510" i="11"/>
  <c r="T511" i="11"/>
  <c r="T512" i="11"/>
  <c r="T513" i="11"/>
  <c r="T514" i="11"/>
  <c r="T515" i="11"/>
  <c r="T516" i="11"/>
  <c r="T517" i="11"/>
  <c r="T518" i="11"/>
  <c r="T519" i="11"/>
  <c r="T520" i="11"/>
  <c r="T521" i="11"/>
  <c r="T522" i="11"/>
  <c r="T523" i="11"/>
  <c r="T524" i="11"/>
  <c r="T525" i="11"/>
  <c r="T526" i="11"/>
  <c r="T527" i="11"/>
  <c r="T528" i="11"/>
  <c r="T529" i="11"/>
  <c r="T530" i="11"/>
  <c r="T531" i="11"/>
  <c r="T532" i="11"/>
  <c r="T533" i="11"/>
  <c r="T534" i="11"/>
  <c r="T535" i="11"/>
  <c r="T536" i="11"/>
  <c r="T537" i="11"/>
  <c r="T538" i="11"/>
  <c r="T539" i="11"/>
  <c r="T540" i="11"/>
  <c r="T541" i="11"/>
  <c r="T542" i="11"/>
  <c r="T543" i="11"/>
  <c r="T544" i="11"/>
  <c r="T545" i="11"/>
  <c r="T546" i="11"/>
  <c r="T547" i="11"/>
  <c r="T548" i="11"/>
  <c r="T549" i="11"/>
  <c r="T550" i="11"/>
  <c r="T551" i="11"/>
  <c r="T552" i="11"/>
  <c r="T553" i="11"/>
  <c r="T554" i="11"/>
  <c r="T555" i="11"/>
  <c r="T556" i="11"/>
  <c r="T557" i="11"/>
  <c r="T558" i="11"/>
  <c r="T559" i="11"/>
  <c r="T560" i="11"/>
  <c r="T561" i="11"/>
  <c r="T562" i="11"/>
  <c r="T563" i="11"/>
  <c r="T564" i="11"/>
  <c r="T565" i="11"/>
  <c r="T566" i="11"/>
  <c r="T567" i="11"/>
  <c r="T568" i="11"/>
  <c r="T569" i="11"/>
  <c r="T570" i="11"/>
  <c r="T571" i="11"/>
  <c r="T572" i="11"/>
  <c r="T573" i="11"/>
  <c r="T574" i="11"/>
  <c r="T575" i="11"/>
  <c r="T576" i="11"/>
  <c r="T577" i="11"/>
  <c r="T578" i="11"/>
  <c r="T579" i="11"/>
  <c r="T580" i="11"/>
  <c r="T581" i="11"/>
  <c r="T582" i="11"/>
  <c r="T583" i="11"/>
  <c r="T584" i="11"/>
  <c r="T585" i="11"/>
  <c r="T586" i="11"/>
  <c r="T587" i="11"/>
  <c r="T588" i="11"/>
  <c r="T589" i="11"/>
  <c r="T590" i="11"/>
  <c r="T591" i="11"/>
  <c r="T592" i="11"/>
  <c r="T593" i="11"/>
  <c r="T594" i="11"/>
  <c r="T595" i="11"/>
  <c r="T596" i="11"/>
  <c r="T597" i="11"/>
  <c r="T598" i="11"/>
  <c r="T599" i="11"/>
  <c r="T600" i="11"/>
  <c r="T601" i="11"/>
  <c r="T602" i="11"/>
  <c r="T603" i="11"/>
  <c r="T604" i="11"/>
  <c r="T605" i="11"/>
  <c r="T606" i="11"/>
  <c r="T607" i="11"/>
  <c r="T608" i="11"/>
  <c r="T609" i="11"/>
  <c r="T610" i="11"/>
  <c r="T611" i="11"/>
  <c r="T612" i="11"/>
  <c r="T613" i="11"/>
  <c r="T614" i="11"/>
  <c r="T615" i="11"/>
  <c r="T616" i="11"/>
  <c r="T617" i="11"/>
  <c r="T618" i="11"/>
  <c r="T619" i="11"/>
  <c r="T620" i="11"/>
  <c r="T621" i="11"/>
  <c r="T622" i="11"/>
  <c r="T623" i="11"/>
  <c r="T624" i="11"/>
  <c r="T625" i="11"/>
  <c r="T626" i="11"/>
  <c r="T627" i="11"/>
  <c r="T628" i="11"/>
  <c r="T629" i="11"/>
  <c r="T630" i="11"/>
  <c r="T631" i="11"/>
  <c r="T632" i="11"/>
  <c r="T633" i="11"/>
  <c r="T634" i="11"/>
  <c r="T635" i="11"/>
  <c r="T636" i="11"/>
  <c r="T637" i="11"/>
  <c r="T638" i="11"/>
  <c r="T639" i="11"/>
  <c r="T640" i="11"/>
  <c r="T641" i="11"/>
  <c r="T642" i="11"/>
  <c r="T643" i="11"/>
  <c r="T644" i="11"/>
  <c r="T645" i="11"/>
  <c r="T646" i="11"/>
  <c r="T647" i="11"/>
  <c r="T648" i="11"/>
  <c r="T649" i="11"/>
  <c r="T650" i="11"/>
  <c r="T651" i="11"/>
  <c r="T652" i="11"/>
  <c r="T653" i="11"/>
  <c r="T654" i="11"/>
  <c r="T655" i="11"/>
  <c r="T656" i="11"/>
  <c r="T657" i="11"/>
  <c r="T658" i="11"/>
  <c r="T659" i="11"/>
  <c r="T660" i="11"/>
  <c r="T661" i="11"/>
  <c r="T662" i="11"/>
  <c r="T663" i="11"/>
  <c r="T664" i="11"/>
  <c r="T665" i="11"/>
  <c r="T666" i="11"/>
  <c r="T667" i="11"/>
  <c r="T668" i="11"/>
  <c r="T669" i="11"/>
  <c r="T670" i="11"/>
  <c r="T671" i="11"/>
  <c r="T672" i="11"/>
  <c r="T673" i="11"/>
  <c r="T674" i="11"/>
  <c r="T675" i="11"/>
  <c r="T676" i="11"/>
  <c r="T677" i="11"/>
  <c r="T678" i="11"/>
  <c r="T679" i="11"/>
  <c r="T680" i="11"/>
  <c r="T681" i="11"/>
  <c r="T682" i="11"/>
  <c r="T683" i="11"/>
  <c r="T684" i="11"/>
  <c r="T685" i="11"/>
  <c r="T686" i="11"/>
  <c r="T687" i="11"/>
  <c r="T688" i="11"/>
  <c r="T689" i="11"/>
  <c r="T690" i="11"/>
  <c r="T691" i="11"/>
  <c r="T692" i="11"/>
  <c r="T693" i="11"/>
  <c r="T694" i="11"/>
  <c r="T695" i="11"/>
  <c r="T696" i="11"/>
  <c r="T697" i="11"/>
  <c r="T698" i="11"/>
  <c r="T699" i="11"/>
  <c r="T700" i="11"/>
  <c r="T701" i="11"/>
  <c r="T702" i="11"/>
  <c r="T703" i="11"/>
  <c r="T704" i="11"/>
  <c r="T705" i="11"/>
  <c r="T706" i="11"/>
  <c r="T707" i="11"/>
  <c r="T708" i="11"/>
  <c r="T709" i="11"/>
  <c r="T710" i="11"/>
  <c r="T711" i="11"/>
  <c r="T712" i="11"/>
  <c r="T713" i="11"/>
  <c r="T714" i="11"/>
  <c r="T715" i="11"/>
  <c r="T716" i="11"/>
  <c r="T717" i="11"/>
  <c r="T718" i="11"/>
  <c r="T719" i="11"/>
  <c r="T720" i="11"/>
  <c r="T721" i="11"/>
  <c r="T722" i="11"/>
  <c r="T723" i="11"/>
  <c r="T724" i="11"/>
  <c r="T725" i="11"/>
  <c r="T726" i="11"/>
  <c r="T727" i="11"/>
  <c r="T728" i="11"/>
  <c r="T729" i="11"/>
  <c r="T730" i="11"/>
  <c r="T731" i="11"/>
  <c r="T732" i="11"/>
  <c r="T733" i="11"/>
  <c r="T734" i="11"/>
  <c r="T735" i="11"/>
  <c r="T736" i="11"/>
  <c r="T737" i="11"/>
  <c r="T738" i="11"/>
  <c r="T739" i="11"/>
  <c r="T740" i="11"/>
  <c r="T741" i="11"/>
  <c r="T742" i="11"/>
  <c r="T743" i="11"/>
  <c r="T744" i="11"/>
  <c r="T745" i="11"/>
  <c r="T746" i="11"/>
  <c r="T747" i="11"/>
  <c r="T748" i="11"/>
  <c r="T749" i="11"/>
  <c r="T750" i="11"/>
  <c r="T751" i="11"/>
  <c r="T752" i="11"/>
  <c r="T753" i="11"/>
  <c r="T754" i="11"/>
  <c r="T755" i="11"/>
  <c r="T756" i="11"/>
  <c r="T757" i="11"/>
  <c r="T758" i="11"/>
  <c r="T759" i="11"/>
  <c r="T760" i="11"/>
  <c r="T761" i="11"/>
  <c r="T762" i="11"/>
  <c r="T763" i="11"/>
  <c r="T764" i="11"/>
  <c r="T765" i="11"/>
  <c r="T766" i="11"/>
  <c r="T767" i="11"/>
  <c r="T768" i="11"/>
  <c r="T769" i="11"/>
  <c r="T770" i="11"/>
  <c r="T771" i="11"/>
  <c r="T772" i="11"/>
  <c r="T773" i="11"/>
  <c r="T774" i="11"/>
  <c r="T775" i="11"/>
  <c r="T776" i="11"/>
  <c r="T777" i="11"/>
  <c r="T778" i="11"/>
  <c r="T779" i="11"/>
  <c r="T780" i="11"/>
  <c r="T781" i="11"/>
  <c r="T782" i="11"/>
  <c r="T783" i="11"/>
  <c r="T784" i="11"/>
  <c r="T785" i="11"/>
  <c r="T786" i="11"/>
  <c r="T787" i="11"/>
  <c r="T788" i="11"/>
  <c r="T789" i="11"/>
  <c r="T790" i="11"/>
  <c r="T791" i="11"/>
  <c r="T792" i="11"/>
  <c r="T793" i="11"/>
  <c r="T794" i="11"/>
  <c r="T795" i="11"/>
  <c r="T796" i="11"/>
  <c r="T797" i="11"/>
  <c r="T798" i="11"/>
  <c r="T799" i="11"/>
  <c r="T800" i="11"/>
  <c r="T801" i="11"/>
  <c r="T802" i="11"/>
  <c r="T803" i="11"/>
  <c r="T804" i="11"/>
  <c r="T805" i="11"/>
  <c r="T806" i="11"/>
  <c r="T807" i="11"/>
  <c r="T808" i="11"/>
  <c r="T809" i="11"/>
  <c r="T810" i="11"/>
  <c r="T811" i="11"/>
  <c r="T812" i="11"/>
  <c r="T813" i="11"/>
  <c r="T814" i="11"/>
  <c r="T815" i="11"/>
  <c r="T816" i="11"/>
  <c r="T817" i="11"/>
  <c r="T818" i="11"/>
  <c r="T819" i="11"/>
  <c r="T820" i="11"/>
  <c r="T821" i="11"/>
  <c r="T822" i="11"/>
  <c r="T823" i="11"/>
  <c r="T824" i="11"/>
  <c r="T825" i="11"/>
  <c r="T826" i="11"/>
  <c r="T827" i="11"/>
  <c r="T828" i="11"/>
  <c r="T829" i="11"/>
  <c r="T830" i="11"/>
  <c r="T831" i="11"/>
  <c r="T832" i="11"/>
  <c r="T833" i="11"/>
  <c r="T834" i="11"/>
  <c r="T835" i="11"/>
  <c r="T836" i="11"/>
  <c r="T837" i="11"/>
  <c r="T838" i="11"/>
  <c r="T839" i="11"/>
  <c r="T840" i="11"/>
  <c r="T841" i="11"/>
  <c r="T842" i="11"/>
  <c r="T843" i="11"/>
  <c r="T844" i="11"/>
  <c r="T845" i="11"/>
  <c r="T846" i="11"/>
  <c r="T847" i="11"/>
  <c r="T848" i="11"/>
  <c r="T849" i="11"/>
  <c r="T850" i="11"/>
  <c r="T851" i="11"/>
  <c r="T852" i="11"/>
  <c r="T853" i="11"/>
  <c r="T854" i="11"/>
  <c r="T855" i="11"/>
  <c r="T856" i="11"/>
  <c r="T857" i="11"/>
  <c r="T858" i="11"/>
  <c r="T859" i="11"/>
  <c r="T860" i="11"/>
  <c r="T861" i="11"/>
  <c r="T862" i="11"/>
  <c r="T863" i="11"/>
  <c r="T864" i="11"/>
  <c r="T865" i="11"/>
  <c r="T866" i="11"/>
  <c r="T867" i="11"/>
  <c r="T868" i="11"/>
  <c r="T869" i="11"/>
  <c r="T870" i="11"/>
  <c r="T871" i="11"/>
  <c r="T872" i="11"/>
  <c r="T873" i="11"/>
  <c r="T874" i="11"/>
  <c r="T875" i="11"/>
  <c r="T876" i="11"/>
  <c r="T877" i="11"/>
  <c r="T878" i="11"/>
  <c r="T879" i="11"/>
  <c r="T880" i="11"/>
  <c r="T881" i="11"/>
  <c r="T882" i="11"/>
  <c r="T883" i="11"/>
  <c r="T884" i="11"/>
  <c r="T885" i="11"/>
  <c r="T886" i="11"/>
  <c r="T887" i="11"/>
  <c r="T888" i="11"/>
  <c r="T889" i="11"/>
  <c r="T890" i="11"/>
  <c r="T891" i="11"/>
  <c r="T892" i="11"/>
  <c r="T893" i="11"/>
  <c r="T894" i="11"/>
  <c r="T895" i="11"/>
  <c r="T896" i="11"/>
  <c r="T897" i="11"/>
  <c r="T898" i="11"/>
  <c r="T899" i="11"/>
  <c r="T900" i="11"/>
  <c r="T901" i="11"/>
  <c r="T902" i="11"/>
  <c r="T903" i="11"/>
  <c r="T904" i="11"/>
  <c r="T905" i="11"/>
  <c r="T906" i="11"/>
  <c r="T907" i="11"/>
  <c r="T908" i="11"/>
  <c r="T909" i="11"/>
  <c r="T910" i="11"/>
  <c r="T911" i="11"/>
  <c r="T912" i="11"/>
  <c r="T913" i="11"/>
  <c r="T914" i="11"/>
  <c r="T915" i="11"/>
  <c r="T916" i="11"/>
  <c r="T917" i="11"/>
  <c r="T919" i="11"/>
  <c r="T920" i="11"/>
  <c r="T921" i="11"/>
  <c r="T922" i="11"/>
  <c r="T923" i="11"/>
  <c r="T9" i="11"/>
  <c r="T10" i="11"/>
  <c r="T11" i="11"/>
  <c r="T12" i="11"/>
  <c r="T13" i="11"/>
  <c r="T14" i="11"/>
  <c r="T15" i="11"/>
  <c r="T17" i="11"/>
  <c r="T18" i="11"/>
  <c r="T6" i="11"/>
  <c r="T7" i="11"/>
  <c r="T8" i="11"/>
  <c r="T3" i="11"/>
  <c r="T4" i="11"/>
  <c r="T5" i="11"/>
  <c r="T2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923" i="11"/>
  <c r="E922" i="11"/>
  <c r="E921" i="11"/>
  <c r="E920" i="11"/>
  <c r="E919" i="11"/>
  <c r="E918" i="11"/>
  <c r="E917" i="11"/>
  <c r="E916" i="11"/>
  <c r="E915" i="11"/>
  <c r="E914" i="11"/>
  <c r="E913" i="11"/>
  <c r="E912" i="11"/>
  <c r="E911" i="11"/>
  <c r="E910" i="11"/>
  <c r="E909" i="11"/>
  <c r="E908" i="11"/>
  <c r="E907" i="11"/>
  <c r="E906" i="11"/>
  <c r="E905" i="11"/>
  <c r="E904" i="11"/>
  <c r="E903" i="11"/>
  <c r="E902" i="11"/>
  <c r="E901" i="11"/>
  <c r="E900" i="11"/>
  <c r="E899" i="11"/>
  <c r="E898" i="11"/>
  <c r="E897" i="11"/>
  <c r="E896" i="11"/>
  <c r="E895" i="11"/>
  <c r="E894" i="11"/>
  <c r="E893" i="11"/>
  <c r="E892" i="11"/>
  <c r="E891" i="11"/>
  <c r="E890" i="11"/>
  <c r="E889" i="11"/>
  <c r="E888" i="11"/>
  <c r="E887" i="11"/>
  <c r="E886" i="11"/>
  <c r="E885" i="11"/>
  <c r="E884" i="11"/>
  <c r="E883" i="11"/>
  <c r="E882" i="11"/>
  <c r="E881" i="11"/>
  <c r="E880" i="11"/>
  <c r="E879" i="11"/>
  <c r="E878" i="11"/>
  <c r="E877" i="11"/>
  <c r="E876" i="11"/>
  <c r="E875" i="11"/>
  <c r="E874" i="11"/>
  <c r="E873" i="11"/>
  <c r="E872" i="11"/>
  <c r="E871" i="11"/>
  <c r="E870" i="11"/>
  <c r="E869" i="11"/>
  <c r="E868" i="11"/>
  <c r="E867" i="11"/>
  <c r="E866" i="11"/>
  <c r="E865" i="11"/>
  <c r="E864" i="11"/>
  <c r="E863" i="11"/>
  <c r="E862" i="11"/>
  <c r="E861" i="11"/>
  <c r="E860" i="11"/>
  <c r="E859" i="11"/>
  <c r="E858" i="11"/>
  <c r="E857" i="11"/>
  <c r="E856" i="11"/>
  <c r="E855" i="11"/>
  <c r="E854" i="11"/>
  <c r="E853" i="11"/>
  <c r="E852" i="11"/>
  <c r="E851" i="11"/>
  <c r="E850" i="11"/>
  <c r="E849" i="11"/>
  <c r="E848" i="11"/>
  <c r="E847" i="11"/>
  <c r="E846" i="11"/>
  <c r="E845" i="11"/>
  <c r="E844" i="11"/>
  <c r="E843" i="11"/>
  <c r="E842" i="11"/>
  <c r="E841" i="11"/>
  <c r="E840" i="11"/>
  <c r="E839" i="11"/>
  <c r="E838" i="11"/>
  <c r="E837" i="11"/>
  <c r="E836" i="11"/>
  <c r="E835" i="11"/>
  <c r="E834" i="11"/>
  <c r="E833" i="11"/>
  <c r="E832" i="11"/>
  <c r="E831" i="11"/>
  <c r="E830" i="11"/>
  <c r="E829" i="11"/>
  <c r="E828" i="11"/>
  <c r="E827" i="11"/>
  <c r="E826" i="11"/>
  <c r="E825" i="11"/>
  <c r="E824" i="11"/>
  <c r="E823" i="11"/>
  <c r="E822" i="11"/>
  <c r="E821" i="11"/>
  <c r="E820" i="11"/>
  <c r="E819" i="11"/>
  <c r="E818" i="11"/>
  <c r="E817" i="11"/>
  <c r="E816" i="11"/>
  <c r="E815" i="11"/>
  <c r="E814" i="11"/>
  <c r="E813" i="11"/>
  <c r="E812" i="11"/>
  <c r="E811" i="11"/>
  <c r="E810" i="11"/>
  <c r="E809" i="11"/>
  <c r="E808" i="11"/>
  <c r="E807" i="11"/>
  <c r="E806" i="11"/>
  <c r="E805" i="11"/>
  <c r="E804" i="11"/>
  <c r="E803" i="11"/>
  <c r="E802" i="11"/>
  <c r="E801" i="11"/>
  <c r="E800" i="11"/>
  <c r="E799" i="11"/>
  <c r="E798" i="11"/>
  <c r="E797" i="11"/>
  <c r="E796" i="11"/>
  <c r="E795" i="11"/>
  <c r="E794" i="11"/>
  <c r="E793" i="11"/>
  <c r="E792" i="11"/>
  <c r="E791" i="11"/>
  <c r="E790" i="11"/>
  <c r="E789" i="11"/>
  <c r="E788" i="11"/>
  <c r="E787" i="11"/>
  <c r="E786" i="11"/>
  <c r="E785" i="11"/>
  <c r="E784" i="11"/>
  <c r="E783" i="11"/>
  <c r="E782" i="11"/>
  <c r="E781" i="11"/>
  <c r="E780" i="11"/>
  <c r="E779" i="11"/>
  <c r="E778" i="11"/>
  <c r="E777" i="11"/>
  <c r="E776" i="11"/>
  <c r="E775" i="11"/>
  <c r="E774" i="11"/>
  <c r="E773" i="11"/>
  <c r="E772" i="11"/>
  <c r="E771" i="11"/>
  <c r="E770" i="11"/>
  <c r="E769" i="11"/>
  <c r="E768" i="11"/>
  <c r="E767" i="11"/>
  <c r="E766" i="11"/>
  <c r="E765" i="11"/>
  <c r="E764" i="11"/>
  <c r="E763" i="11"/>
  <c r="E762" i="11"/>
  <c r="E761" i="11"/>
  <c r="E760" i="11"/>
  <c r="E759" i="11"/>
  <c r="E758" i="11"/>
  <c r="E757" i="11"/>
  <c r="E756" i="11"/>
  <c r="E755" i="11"/>
  <c r="E754" i="11"/>
  <c r="E753" i="11"/>
  <c r="E752" i="11"/>
  <c r="E751" i="11"/>
  <c r="E750" i="11"/>
  <c r="E749" i="11"/>
  <c r="E748" i="11"/>
  <c r="E747" i="11"/>
  <c r="E746" i="11"/>
  <c r="E745" i="11"/>
  <c r="E744" i="11"/>
  <c r="E743" i="11"/>
  <c r="E742" i="11"/>
  <c r="E741" i="11"/>
  <c r="E740" i="11"/>
  <c r="E739" i="11"/>
  <c r="E738" i="11"/>
  <c r="E737" i="11"/>
  <c r="E736" i="11"/>
  <c r="E735" i="11"/>
  <c r="E734" i="11"/>
  <c r="E733" i="11"/>
  <c r="E732" i="11"/>
  <c r="E731" i="11"/>
  <c r="E730" i="11"/>
  <c r="E729" i="11"/>
  <c r="E728" i="11"/>
  <c r="E727" i="11"/>
  <c r="E726" i="11"/>
  <c r="E725" i="11"/>
  <c r="E724" i="11"/>
  <c r="E723" i="11"/>
  <c r="E722" i="11"/>
  <c r="E721" i="11"/>
  <c r="E720" i="11"/>
  <c r="E719" i="11"/>
  <c r="E718" i="11"/>
  <c r="E717" i="11"/>
  <c r="E716" i="11"/>
  <c r="E715" i="11"/>
  <c r="E714" i="11"/>
  <c r="E713" i="11"/>
  <c r="E712" i="11"/>
  <c r="E711" i="11"/>
  <c r="E710" i="11"/>
  <c r="E709" i="11"/>
  <c r="E708" i="11"/>
  <c r="E707" i="11"/>
  <c r="E706" i="11"/>
  <c r="E705" i="11"/>
  <c r="E704" i="11"/>
  <c r="E703" i="11"/>
  <c r="E702" i="11"/>
  <c r="E701" i="11"/>
  <c r="E700" i="11"/>
  <c r="E699" i="11"/>
  <c r="E698" i="11"/>
  <c r="E697" i="11"/>
  <c r="E696" i="11"/>
  <c r="E695" i="11"/>
  <c r="E694" i="11"/>
  <c r="E693" i="11"/>
  <c r="E692" i="11"/>
  <c r="E691" i="11"/>
  <c r="E690" i="11"/>
  <c r="E689" i="11"/>
  <c r="E688" i="11"/>
  <c r="E687" i="11"/>
  <c r="E686" i="11"/>
  <c r="E685" i="11"/>
  <c r="E684" i="11"/>
  <c r="E683" i="11"/>
  <c r="E682" i="11"/>
  <c r="E681" i="11"/>
  <c r="E680" i="11"/>
  <c r="E679" i="11"/>
  <c r="E678" i="11"/>
  <c r="E677" i="11"/>
  <c r="E676" i="11"/>
  <c r="E675" i="11"/>
  <c r="E674" i="11"/>
  <c r="E673" i="11"/>
  <c r="E672" i="11"/>
  <c r="E671" i="11"/>
  <c r="E670" i="11"/>
  <c r="E669" i="11"/>
  <c r="E668" i="11"/>
  <c r="E667" i="11"/>
  <c r="E666" i="11"/>
  <c r="E665" i="11"/>
  <c r="E664" i="11"/>
  <c r="E663" i="11"/>
  <c r="E662" i="11"/>
  <c r="E661" i="11"/>
  <c r="E660" i="11"/>
  <c r="E659" i="11"/>
  <c r="E658" i="11"/>
  <c r="E657" i="11"/>
  <c r="E656" i="11"/>
  <c r="E655" i="11"/>
  <c r="E654" i="11"/>
  <c r="E653" i="11"/>
  <c r="E652" i="11"/>
  <c r="E651" i="11"/>
  <c r="E650" i="11"/>
  <c r="E649" i="11"/>
  <c r="E648" i="11"/>
  <c r="E647" i="11"/>
  <c r="E646" i="11"/>
  <c r="E645" i="11"/>
  <c r="E644" i="11"/>
  <c r="E643" i="11"/>
  <c r="E642" i="11"/>
  <c r="E641" i="11"/>
  <c r="E640" i="11"/>
  <c r="E639" i="11"/>
  <c r="E638" i="11"/>
  <c r="E637" i="11"/>
  <c r="E636" i="11"/>
  <c r="E635" i="11"/>
  <c r="E634" i="11"/>
  <c r="E633" i="11"/>
  <c r="E632" i="11"/>
  <c r="E631" i="11"/>
  <c r="E630" i="11"/>
  <c r="E629" i="11"/>
  <c r="E628" i="11"/>
  <c r="E627" i="11"/>
  <c r="E626" i="11"/>
  <c r="E625" i="11"/>
  <c r="E624" i="11"/>
  <c r="E623" i="11"/>
  <c r="E622" i="11"/>
  <c r="E621" i="11"/>
  <c r="E620" i="11"/>
  <c r="E619" i="11"/>
  <c r="E618" i="11"/>
  <c r="E617" i="11"/>
  <c r="E616" i="11"/>
  <c r="E615" i="11"/>
  <c r="E614" i="11"/>
  <c r="E613" i="11"/>
  <c r="E612" i="11"/>
  <c r="E611" i="11"/>
  <c r="E610" i="11"/>
  <c r="E609" i="11"/>
  <c r="E608" i="11"/>
  <c r="E607" i="11"/>
  <c r="E606" i="11"/>
  <c r="E605" i="11"/>
  <c r="E604" i="11"/>
  <c r="E603" i="11"/>
  <c r="E602" i="11"/>
  <c r="E601" i="11"/>
  <c r="E600" i="11"/>
  <c r="E599" i="11"/>
  <c r="E598" i="11"/>
  <c r="E597" i="11"/>
  <c r="E596" i="11"/>
  <c r="E595" i="11"/>
  <c r="E594" i="11"/>
  <c r="E593" i="11"/>
  <c r="E592" i="11"/>
  <c r="E591" i="11"/>
  <c r="E590" i="11"/>
  <c r="E589" i="11"/>
  <c r="E588" i="11"/>
  <c r="E587" i="11"/>
  <c r="E586" i="11"/>
  <c r="E585" i="11"/>
  <c r="E584" i="11"/>
  <c r="E583" i="11"/>
  <c r="E582" i="11"/>
  <c r="E581" i="11"/>
  <c r="E580" i="11"/>
  <c r="E579" i="11"/>
  <c r="E578" i="11"/>
  <c r="E577" i="11"/>
  <c r="E576" i="11"/>
  <c r="E575" i="11"/>
  <c r="E574" i="11"/>
  <c r="E573" i="11"/>
  <c r="E572" i="11"/>
  <c r="E571" i="11"/>
  <c r="E570" i="11"/>
  <c r="E569" i="11"/>
  <c r="E568" i="11"/>
  <c r="E567" i="11"/>
  <c r="E566" i="11"/>
  <c r="E565" i="11"/>
  <c r="E564" i="11"/>
  <c r="E563" i="11"/>
  <c r="E562" i="11"/>
  <c r="E561" i="11"/>
  <c r="E560" i="11"/>
  <c r="E559" i="11"/>
  <c r="E558" i="11"/>
  <c r="E557" i="11"/>
  <c r="E556" i="11"/>
  <c r="E555" i="11"/>
  <c r="E554" i="11"/>
  <c r="E553" i="11"/>
  <c r="E552" i="11"/>
  <c r="E551" i="11"/>
  <c r="E550" i="11"/>
  <c r="E549" i="11"/>
  <c r="E548" i="11"/>
  <c r="E547" i="11"/>
  <c r="E546" i="11"/>
  <c r="E545" i="11"/>
  <c r="E544" i="11"/>
  <c r="E543" i="11"/>
  <c r="E542" i="11"/>
  <c r="E541" i="11"/>
  <c r="E540" i="11"/>
  <c r="E539" i="11"/>
  <c r="E538" i="11"/>
  <c r="E537" i="11"/>
  <c r="E536" i="11"/>
  <c r="E535" i="11"/>
  <c r="E534" i="11"/>
  <c r="E533" i="11"/>
  <c r="E532" i="11"/>
  <c r="E531" i="11"/>
  <c r="E530" i="11"/>
  <c r="E529" i="11"/>
  <c r="E528" i="11"/>
  <c r="E527" i="11"/>
  <c r="E526" i="11"/>
  <c r="E525" i="11"/>
  <c r="E524" i="11"/>
  <c r="E523" i="11"/>
  <c r="E522" i="11"/>
  <c r="E521" i="11"/>
  <c r="E520" i="11"/>
  <c r="E519" i="11"/>
  <c r="E518" i="11"/>
  <c r="E517" i="11"/>
  <c r="E516" i="11"/>
  <c r="E515" i="11"/>
  <c r="E514" i="11"/>
  <c r="E513" i="11"/>
  <c r="E512" i="11"/>
  <c r="E511" i="11"/>
  <c r="E510" i="11"/>
  <c r="E509" i="11"/>
  <c r="E508" i="11"/>
  <c r="E507" i="11"/>
  <c r="E506" i="11"/>
  <c r="E505" i="11"/>
  <c r="E504" i="11"/>
  <c r="E503" i="11"/>
  <c r="E502" i="11"/>
  <c r="E501" i="11"/>
  <c r="E500" i="11"/>
  <c r="E499" i="11"/>
  <c r="E498" i="11"/>
  <c r="E497" i="11"/>
  <c r="E496" i="11"/>
  <c r="E495" i="11"/>
  <c r="E494" i="11"/>
  <c r="E493" i="11"/>
  <c r="E492" i="11"/>
  <c r="E491" i="11"/>
  <c r="E490" i="11"/>
  <c r="E489" i="11"/>
  <c r="E488" i="11"/>
  <c r="E487" i="11"/>
  <c r="E486" i="11"/>
  <c r="E485" i="11"/>
  <c r="E484" i="11"/>
  <c r="E483" i="11"/>
  <c r="E482" i="11"/>
  <c r="E481" i="11"/>
  <c r="E480" i="11"/>
  <c r="E479" i="11"/>
  <c r="E478" i="11"/>
  <c r="E477" i="11"/>
  <c r="E476" i="11"/>
  <c r="E475" i="11"/>
  <c r="E474" i="11"/>
  <c r="E473" i="11"/>
  <c r="E472" i="11"/>
  <c r="E471" i="11"/>
  <c r="E470" i="11"/>
  <c r="E469" i="11"/>
  <c r="E468" i="11"/>
  <c r="E467" i="11"/>
  <c r="E466" i="11"/>
  <c r="E465" i="11"/>
  <c r="E464" i="11"/>
  <c r="E463" i="11"/>
  <c r="E462" i="11"/>
  <c r="E461" i="11"/>
  <c r="E460" i="11"/>
  <c r="E459" i="11"/>
  <c r="E458" i="11"/>
  <c r="E457" i="11"/>
  <c r="E456" i="11"/>
  <c r="E455" i="11"/>
  <c r="E454" i="11"/>
  <c r="E453" i="11"/>
  <c r="E452" i="11"/>
  <c r="E451" i="11"/>
  <c r="E450" i="11"/>
  <c r="E449" i="11"/>
  <c r="E448" i="11"/>
  <c r="E447" i="11"/>
  <c r="E446" i="11"/>
  <c r="E445" i="11"/>
  <c r="E444" i="11"/>
  <c r="E443" i="11"/>
  <c r="E442" i="11"/>
  <c r="E441" i="11"/>
  <c r="E440" i="11"/>
  <c r="E439" i="11"/>
  <c r="E438" i="11"/>
  <c r="E437" i="11"/>
  <c r="E436" i="11"/>
  <c r="E435" i="11"/>
  <c r="E434" i="11"/>
  <c r="E433" i="11"/>
  <c r="E432" i="11"/>
  <c r="E431" i="11"/>
  <c r="E430" i="11"/>
  <c r="E429" i="11"/>
  <c r="E428" i="11"/>
  <c r="E427" i="11"/>
  <c r="E426" i="11"/>
  <c r="E425" i="11"/>
  <c r="E424" i="11"/>
  <c r="E423" i="11"/>
  <c r="E422" i="11"/>
  <c r="E421" i="11"/>
  <c r="E420" i="11"/>
  <c r="E419" i="11"/>
  <c r="E418" i="11"/>
  <c r="E417" i="11"/>
  <c r="E416" i="11"/>
  <c r="E415" i="11"/>
  <c r="E414" i="11"/>
  <c r="E413" i="11"/>
  <c r="E412" i="11"/>
  <c r="E411" i="11"/>
  <c r="E410" i="11"/>
  <c r="E409" i="11"/>
  <c r="E408" i="11"/>
  <c r="E407" i="11"/>
  <c r="E406" i="11"/>
  <c r="E405" i="11"/>
  <c r="E404" i="11"/>
  <c r="E403" i="11"/>
  <c r="E402" i="11"/>
  <c r="E401" i="11"/>
  <c r="E400" i="11"/>
  <c r="E399" i="11"/>
  <c r="E398" i="11"/>
  <c r="E397" i="11"/>
  <c r="E396" i="11"/>
  <c r="E395" i="11"/>
  <c r="E394" i="11"/>
  <c r="E393" i="11"/>
  <c r="E392" i="11"/>
  <c r="E391" i="11"/>
  <c r="E390" i="11"/>
  <c r="E389" i="11"/>
  <c r="E388" i="11"/>
  <c r="E387" i="11"/>
  <c r="E386" i="11"/>
  <c r="E385" i="11"/>
  <c r="E384" i="11"/>
  <c r="E383" i="11"/>
  <c r="E382" i="11"/>
  <c r="E381" i="11"/>
  <c r="E380" i="11"/>
  <c r="E379" i="11"/>
  <c r="E378" i="11"/>
  <c r="E377" i="11"/>
  <c r="E376" i="11"/>
  <c r="E375" i="11"/>
  <c r="E374" i="11"/>
  <c r="E373" i="11"/>
  <c r="E372" i="11"/>
  <c r="E371" i="11"/>
  <c r="E370" i="11"/>
  <c r="E369" i="11"/>
  <c r="E368" i="11"/>
  <c r="E367" i="11"/>
  <c r="E366" i="11"/>
  <c r="E365" i="11"/>
  <c r="E364" i="11"/>
  <c r="E363" i="11"/>
  <c r="E362" i="11"/>
  <c r="E361" i="11"/>
  <c r="E360" i="11"/>
  <c r="E359" i="11"/>
  <c r="E358" i="11"/>
  <c r="E357" i="11"/>
  <c r="E356" i="11"/>
  <c r="E355" i="11"/>
  <c r="E354" i="11"/>
  <c r="E353" i="11"/>
  <c r="E352" i="11"/>
  <c r="E351" i="11"/>
  <c r="E350" i="11"/>
  <c r="E349" i="11"/>
  <c r="E348" i="11"/>
  <c r="E347" i="11"/>
  <c r="E346" i="11"/>
  <c r="E345" i="11"/>
  <c r="E344" i="11"/>
  <c r="E343" i="11"/>
  <c r="E342" i="11"/>
  <c r="E341" i="11"/>
  <c r="E340" i="11"/>
  <c r="E339" i="11"/>
  <c r="E338" i="11"/>
  <c r="E337" i="11"/>
  <c r="E336" i="11"/>
  <c r="E335" i="11"/>
  <c r="E334" i="11"/>
  <c r="E333" i="11"/>
  <c r="E332" i="11"/>
  <c r="E331" i="11"/>
  <c r="E330" i="11"/>
  <c r="E329" i="11"/>
  <c r="E328" i="11"/>
  <c r="E327" i="11"/>
  <c r="E326" i="11"/>
  <c r="E325" i="11"/>
  <c r="E324" i="11"/>
  <c r="E323" i="11"/>
  <c r="E322" i="11"/>
  <c r="E321" i="11"/>
  <c r="E320" i="11"/>
  <c r="E319" i="11"/>
  <c r="E318" i="11"/>
  <c r="E317" i="11"/>
  <c r="E316" i="11"/>
  <c r="E315" i="11"/>
  <c r="E314" i="11"/>
  <c r="E313" i="11"/>
  <c r="E312" i="11"/>
  <c r="E311" i="11"/>
  <c r="E310" i="11"/>
  <c r="E309" i="11"/>
  <c r="E308" i="11"/>
  <c r="E307" i="11"/>
  <c r="E306" i="11"/>
  <c r="E305" i="11"/>
  <c r="E304" i="11"/>
  <c r="E303" i="11"/>
  <c r="E302" i="11"/>
  <c r="E301" i="11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D229" i="3"/>
  <c r="D22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145" i="3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2" i="10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221" i="3"/>
  <c r="D222" i="3"/>
  <c r="D223" i="3"/>
  <c r="D224" i="3"/>
  <c r="D226" i="3"/>
  <c r="D227" i="3"/>
  <c r="D228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2" i="3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2" i="9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2" i="8"/>
  <c r="D117" i="7"/>
  <c r="D118" i="7"/>
  <c r="D119" i="7"/>
  <c r="D120" i="7"/>
  <c r="D121" i="7"/>
  <c r="D122" i="7"/>
  <c r="D123" i="7"/>
  <c r="D124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2" i="5"/>
  <c r="D3" i="4"/>
  <c r="D4" i="4"/>
  <c r="D5" i="4"/>
  <c r="D6" i="4"/>
  <c r="D2" i="4"/>
  <c r="D2" i="2"/>
  <c r="D28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3" i="2"/>
  <c r="D4" i="2"/>
  <c r="D5" i="2"/>
  <c r="D6" i="2"/>
  <c r="D7" i="2"/>
  <c r="N405" i="3"/>
  <c r="N406" i="3"/>
  <c r="N407" i="3"/>
  <c r="N408" i="3"/>
  <c r="N409" i="3"/>
  <c r="N410" i="3"/>
  <c r="N397" i="3"/>
  <c r="N398" i="3"/>
  <c r="N399" i="3"/>
  <c r="N400" i="3"/>
  <c r="N401" i="3"/>
  <c r="N402" i="3"/>
  <c r="N403" i="3"/>
  <c r="N404" i="3"/>
  <c r="N396" i="3"/>
  <c r="N392" i="3"/>
  <c r="N393" i="3"/>
  <c r="N394" i="3"/>
  <c r="N395" i="3"/>
  <c r="N388" i="3"/>
  <c r="N389" i="3"/>
  <c r="N390" i="3"/>
  <c r="N391" i="3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9"/>
  <c r="N4" i="9"/>
  <c r="N3" i="9"/>
  <c r="N2" i="9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1" i="6"/>
  <c r="N70" i="6"/>
  <c r="N69" i="6"/>
  <c r="N68" i="6"/>
  <c r="N67" i="6"/>
  <c r="N66" i="6"/>
  <c r="N65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N6" i="4"/>
  <c r="N5" i="4"/>
  <c r="N4" i="4"/>
  <c r="N3" i="4"/>
  <c r="N2" i="4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3" i="3"/>
  <c r="N12" i="3"/>
  <c r="N11" i="3"/>
  <c r="N10" i="3"/>
  <c r="N9" i="3"/>
  <c r="N7" i="3"/>
  <c r="N6" i="3"/>
  <c r="N5" i="3"/>
  <c r="N4" i="3"/>
  <c r="N3" i="3"/>
  <c r="N2" i="3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<sst xmlns="http://schemas.openxmlformats.org/spreadsheetml/2006/main" count="20241" uniqueCount="2949">
  <si>
    <t>Nama</t>
  </si>
  <si>
    <t>NIP</t>
  </si>
  <si>
    <t>Pangkat/Gol</t>
  </si>
  <si>
    <t>Jabatan</t>
  </si>
  <si>
    <t>Eselon I</t>
  </si>
  <si>
    <t>Unit Kerja</t>
  </si>
  <si>
    <t>Perguruan Tinggi</t>
  </si>
  <si>
    <t>Program Pendidikan</t>
  </si>
  <si>
    <t>Prodi</t>
  </si>
  <si>
    <t>Awal Kuliah (Bulan)</t>
  </si>
  <si>
    <t>Awal Kuliah (Tahun)</t>
  </si>
  <si>
    <t>Selesai Kuliah (Bulan)</t>
  </si>
  <si>
    <t>Selesai Kuliah (Tahun)</t>
  </si>
  <si>
    <t>Tahun Rekom</t>
  </si>
  <si>
    <t>Semester</t>
  </si>
  <si>
    <t>Progres</t>
  </si>
  <si>
    <t>IPK / Nilai Semester</t>
  </si>
  <si>
    <t>Permasalahan Akademik</t>
  </si>
  <si>
    <t>Permasaalahan Non Akademik</t>
  </si>
  <si>
    <t>Catatan Evaluasi</t>
  </si>
  <si>
    <t>Keterangan</t>
  </si>
  <si>
    <t>Derisca yosa, S.KM</t>
  </si>
  <si>
    <t>198601292009122002</t>
  </si>
  <si>
    <t>SETJEN</t>
  </si>
  <si>
    <t>Biro Umum dan PBJ</t>
  </si>
  <si>
    <t>Universitas Indonesia</t>
  </si>
  <si>
    <t>MAGISTER</t>
  </si>
  <si>
    <t>Kesehatan Masyarakat</t>
  </si>
  <si>
    <t>September</t>
  </si>
  <si>
    <t>LULUS</t>
  </si>
  <si>
    <t>Rusdi, S.Pi</t>
  </si>
  <si>
    <t>198805062015031001</t>
  </si>
  <si>
    <t>Sekretariat Jenderal</t>
  </si>
  <si>
    <t>Universitas Krisnadwipayana</t>
  </si>
  <si>
    <t xml:space="preserve">Ilmu Administrasi </t>
  </si>
  <si>
    <t>Maret</t>
  </si>
  <si>
    <t>Dhina Arriyana , S.Si</t>
  </si>
  <si>
    <t>197610252002122006</t>
  </si>
  <si>
    <t>Pusat Data dan Informasi</t>
  </si>
  <si>
    <t>Universitas Mercu Buana</t>
  </si>
  <si>
    <t>Akuntansi</t>
  </si>
  <si>
    <t>Firdaus, A.Md</t>
  </si>
  <si>
    <t>198408102010121002</t>
  </si>
  <si>
    <t>Biro Humas dan Kerja Sama Luar Negeri</t>
  </si>
  <si>
    <t xml:space="preserve">Institut Bisnis dan Informatika Kosgoro 1957    </t>
  </si>
  <si>
    <t>SARJANA</t>
  </si>
  <si>
    <t>Manajemen</t>
  </si>
  <si>
    <t>Yenny Sinta Dewi, S.S</t>
  </si>
  <si>
    <t>198510102010122001</t>
  </si>
  <si>
    <t>Universitas Prof.Dr. Moestopo Beragama, Jakarta</t>
  </si>
  <si>
    <t>Administrasi Publik</t>
  </si>
  <si>
    <t>?</t>
  </si>
  <si>
    <t>tidak ada di epegawai</t>
  </si>
  <si>
    <t>Muammar Yuliana, S.I.P</t>
  </si>
  <si>
    <t>199107142018011002</t>
  </si>
  <si>
    <t>Biro SDM Aparatur dan Organisasi</t>
  </si>
  <si>
    <t>Politeknik STIA LAN Jakarta</t>
  </si>
  <si>
    <t>Administrasi Pembangunan Negara</t>
  </si>
  <si>
    <t>Alfin Masruri, S.H</t>
  </si>
  <si>
    <t>198305252009011007</t>
  </si>
  <si>
    <t>Agustus</t>
  </si>
  <si>
    <t>Wiwin Diah Oktafiana, S.S</t>
  </si>
  <si>
    <t>198610202009122001</t>
  </si>
  <si>
    <t>Ilmu Komunikasi</t>
  </si>
  <si>
    <t>Hesti Wulandari, S.E</t>
  </si>
  <si>
    <t>198606172009122001</t>
  </si>
  <si>
    <t xml:space="preserve">Pusat Data, Statistik dan Informasi </t>
  </si>
  <si>
    <t xml:space="preserve">Universitas Esa Unggul </t>
  </si>
  <si>
    <t>Manajemen Keuangan</t>
  </si>
  <si>
    <t>Cindy Suryani, S.H</t>
  </si>
  <si>
    <t>198506242015032001</t>
  </si>
  <si>
    <t>Pusat Data, Statistik dan Informasi</t>
  </si>
  <si>
    <t>Februari</t>
  </si>
  <si>
    <t>Ety Dwi Wijayanti, S.Pi</t>
  </si>
  <si>
    <t>197010151999032002</t>
  </si>
  <si>
    <t>Universitas Persada Indonesia Y.A.I</t>
  </si>
  <si>
    <t>Luk Luatun Yunaniah, S.E</t>
  </si>
  <si>
    <t>198212232010122001</t>
  </si>
  <si>
    <t>Universitas Trisakti</t>
  </si>
  <si>
    <t>Dwi Wahyuni Candraningrum, A.Md</t>
  </si>
  <si>
    <t>198003132009122001</t>
  </si>
  <si>
    <t>DIPLOMA 4</t>
  </si>
  <si>
    <t>Administrasi Bisnis Sektor Publik</t>
  </si>
  <si>
    <t>Diana Yuniar Widiyanti, A.Md</t>
  </si>
  <si>
    <t>198706142009122001</t>
  </si>
  <si>
    <t xml:space="preserve">Brythania Ananta Mega Pratiwi </t>
  </si>
  <si>
    <t>199810182019122002</t>
  </si>
  <si>
    <t>II/a</t>
  </si>
  <si>
    <t>Pengadministrasi Keuangan</t>
  </si>
  <si>
    <t>Biro Keuangan</t>
  </si>
  <si>
    <t>Universitas Terbuka</t>
  </si>
  <si>
    <t xml:space="preserve">Manajemen          </t>
  </si>
  <si>
    <t xml:space="preserve">April </t>
  </si>
  <si>
    <t xml:space="preserve">Dirton Jansem Manalu, A.P.Kb.N </t>
  </si>
  <si>
    <t>199901312019121001</t>
  </si>
  <si>
    <t xml:space="preserve">Akuntansi </t>
  </si>
  <si>
    <t xml:space="preserve">Zasarah Zahwa Tarigan, A.Md.Ak </t>
  </si>
  <si>
    <t>199802202019122001</t>
  </si>
  <si>
    <t>II/c</t>
  </si>
  <si>
    <t>Pengelola Keuangan</t>
  </si>
  <si>
    <t xml:space="preserve">Bagus Aji Darmawan </t>
  </si>
  <si>
    <t>199901232019121001</t>
  </si>
  <si>
    <t xml:space="preserve">Endah Novianti </t>
  </si>
  <si>
    <t xml:space="preserve">198101292003122001  </t>
  </si>
  <si>
    <t>III/a</t>
  </si>
  <si>
    <t>Pengelola Kepegawaian</t>
  </si>
  <si>
    <t xml:space="preserve">Desember </t>
  </si>
  <si>
    <t>Donny Cahyoprapto, S.T</t>
  </si>
  <si>
    <t>197707092003121006</t>
  </si>
  <si>
    <t>III/d</t>
  </si>
  <si>
    <t>Pranata Komputer Ahli Muda</t>
  </si>
  <si>
    <t>Universitas Gunadarma</t>
  </si>
  <si>
    <t>Manajemen Sistem Informasi</t>
  </si>
  <si>
    <t>April</t>
  </si>
  <si>
    <t>Aulia Anggraeni</t>
  </si>
  <si>
    <t>198510232009102002</t>
  </si>
  <si>
    <t>II/d</t>
  </si>
  <si>
    <t>Kearsipan</t>
  </si>
  <si>
    <t xml:space="preserve">Januari </t>
  </si>
  <si>
    <t>Franciscus Johny Adhiyanto, S.T</t>
  </si>
  <si>
    <t>198301182009011001</t>
  </si>
  <si>
    <t>Universitas Bina Nusantara</t>
  </si>
  <si>
    <t>Teknologi Informasi</t>
  </si>
  <si>
    <t xml:space="preserve">Maret </t>
  </si>
  <si>
    <t>Susanti Lina Wahyuni</t>
  </si>
  <si>
    <t>197712222000032001</t>
  </si>
  <si>
    <t>III/b</t>
  </si>
  <si>
    <t>Pengelola Persuratan</t>
  </si>
  <si>
    <t>Biro Umum dan Pengadaan Barang Jasa</t>
  </si>
  <si>
    <t>Alicya Febria Ariyanti, A.P.Kb.N</t>
  </si>
  <si>
    <t>199902122019122001</t>
  </si>
  <si>
    <t xml:space="preserve">Pengadministrasi Keuangan </t>
  </si>
  <si>
    <t>Biro Humas dan Kerjasama Luar Negeri</t>
  </si>
  <si>
    <t>Nova Dwi Rahayu, A.Md</t>
  </si>
  <si>
    <t>198511042010122002</t>
  </si>
  <si>
    <t>Analis Kepegawaian Mahir</t>
  </si>
  <si>
    <t>Admistrasi Negara</t>
  </si>
  <si>
    <t>Komariah</t>
  </si>
  <si>
    <t>198108222003122003</t>
  </si>
  <si>
    <t>Pengelola Surat</t>
  </si>
  <si>
    <t>Herna Stiawati</t>
  </si>
  <si>
    <t>1988211122007012001</t>
  </si>
  <si>
    <t>Pranata Keuangan APBN Terampil</t>
  </si>
  <si>
    <t>Biro Perencanaan</t>
  </si>
  <si>
    <t>Akutansi</t>
  </si>
  <si>
    <t xml:space="preserve">Agustus </t>
  </si>
  <si>
    <t>Ivan Adriansyah</t>
  </si>
  <si>
    <t>19771221 2003121003</t>
  </si>
  <si>
    <t>Arsiparis Mahir</t>
  </si>
  <si>
    <t>Sekolah Tinggi Ilmu Ekonomi Yayasan Administrasi Indonesia</t>
  </si>
  <si>
    <t>Agung Fajar Prakoso</t>
  </si>
  <si>
    <t>199811302021011002</t>
  </si>
  <si>
    <t>Pengatur, II/c</t>
  </si>
  <si>
    <t>Pengelola BMN</t>
  </si>
  <si>
    <t>Pusat Data Statistik dan Informasi</t>
  </si>
  <si>
    <t>Perbanas</t>
  </si>
  <si>
    <t>November</t>
  </si>
  <si>
    <t>Annastasyia Vera Yanti</t>
  </si>
  <si>
    <t>199412302020122002</t>
  </si>
  <si>
    <t>Arsiparis Terampil</t>
  </si>
  <si>
    <t>Juli</t>
  </si>
  <si>
    <t>I Putu Surya Sentana</t>
  </si>
  <si>
    <t>Juniyanti Romauli Hutahaean</t>
  </si>
  <si>
    <t>199906092019122001</t>
  </si>
  <si>
    <t>Pengatur Tk. I, II/d</t>
  </si>
  <si>
    <t>Paulus Tupado, A.Md.Kb.N.</t>
  </si>
  <si>
    <t>199909242021011002</t>
  </si>
  <si>
    <t>Biro Keuangan dan BMN</t>
  </si>
  <si>
    <t>UT</t>
  </si>
  <si>
    <t>Oktober</t>
  </si>
  <si>
    <t>Rialita Yulianti</t>
  </si>
  <si>
    <t>199007242015032003</t>
  </si>
  <si>
    <t>Penata Muda, III/a</t>
  </si>
  <si>
    <t>Univ. Esa Unggul</t>
  </si>
  <si>
    <t>Teknik Informatika</t>
  </si>
  <si>
    <t>Anandita Ghasani, A.Md.T</t>
  </si>
  <si>
    <t>199708192019022003</t>
  </si>
  <si>
    <t>Pengatur Tk. I, II/c</t>
  </si>
  <si>
    <t xml:space="preserve"> Pranata Komputer Pelaksana</t>
  </si>
  <si>
    <t>Pusat Data, Statistik, dan Informasi</t>
  </si>
  <si>
    <t>Sarjana</t>
  </si>
  <si>
    <t>Sistem Informasi</t>
  </si>
  <si>
    <t xml:space="preserve">Juli </t>
  </si>
  <si>
    <t>Feadri Justy Aulia, A.P.Kb.N</t>
  </si>
  <si>
    <t>199902072019121001</t>
  </si>
  <si>
    <t>Pengatur Muda, II/a</t>
  </si>
  <si>
    <t>Ari Wicaksana, S.Kom</t>
  </si>
  <si>
    <t>197404192002121002</t>
  </si>
  <si>
    <t>Penata Tk.I, III/d</t>
  </si>
  <si>
    <t>Analis SDM Aparatur Ahli Muda</t>
  </si>
  <si>
    <t>Magister</t>
  </si>
  <si>
    <t>Fitrianie, A.Md</t>
  </si>
  <si>
    <t>198301142009012001</t>
  </si>
  <si>
    <t>Penata Muda Tk.I/III/b</t>
  </si>
  <si>
    <t>Analis Monitoring, Evaluasi dan Pelaporan</t>
  </si>
  <si>
    <t>Biro Umum dan Pengadaan Barang/Jasa</t>
  </si>
  <si>
    <t>Ilmu Administrasi Negara</t>
  </si>
  <si>
    <t>Tasrip Zar’ie</t>
  </si>
  <si>
    <t>198104202010121002</t>
  </si>
  <si>
    <t xml:space="preserve"> September </t>
  </si>
  <si>
    <t>Hilman Ramadhan, S.E</t>
  </si>
  <si>
    <t>198506042009011003</t>
  </si>
  <si>
    <t>Kepala Subbagian Rumah Tangga</t>
  </si>
  <si>
    <t>Institut Ilmu Sosial dan Manajemen STIAMI</t>
  </si>
  <si>
    <t>Ilmu Administrasi</t>
  </si>
  <si>
    <t xml:space="preserve">September </t>
  </si>
  <si>
    <t>Rezkita Alfaridy, S.Pi</t>
  </si>
  <si>
    <t>198703312010122001</t>
  </si>
  <si>
    <t>Kepala Subbagian Perlengkapan</t>
  </si>
  <si>
    <t>Lina Ervinawati, A.Md</t>
  </si>
  <si>
    <t>198409182008012003</t>
  </si>
  <si>
    <t>Penata, III/c</t>
  </si>
  <si>
    <t>Penelaah Kebijakan Pengadaan Barang/Jasa</t>
  </si>
  <si>
    <t>Linda Wahyuningtyas, A.Md</t>
  </si>
  <si>
    <t>198610022009012001</t>
  </si>
  <si>
    <t>Penata Muda Tk.I, III/b</t>
  </si>
  <si>
    <t xml:space="preserve">Wendy Hendriawan, S.H. </t>
  </si>
  <si>
    <t>198801082020121001</t>
  </si>
  <si>
    <t xml:space="preserve">Perancang Peraturan Perundang Undangan Ahli Pertama </t>
  </si>
  <si>
    <t>Biro Hukum</t>
  </si>
  <si>
    <t>Universitas Bung Karno</t>
  </si>
  <si>
    <t>Ilmu Hukum</t>
  </si>
  <si>
    <t>Alya Firda Fauziah, A.Md.Ak.</t>
  </si>
  <si>
    <t>199906022021012001</t>
  </si>
  <si>
    <t xml:space="preserve">Pranata Keuangan APBN Terampil </t>
  </si>
  <si>
    <t>Perbanas Institute</t>
  </si>
  <si>
    <t xml:space="preserve">November </t>
  </si>
  <si>
    <t>Glenn Yusuf Satria, A.Md.Kb.N.</t>
  </si>
  <si>
    <t>199811042021011003</t>
  </si>
  <si>
    <t>Maskuri, S.St.Pi</t>
  </si>
  <si>
    <t>198705202010121003</t>
  </si>
  <si>
    <t>ITJEN</t>
  </si>
  <si>
    <t>Inspektorat Jenderal</t>
  </si>
  <si>
    <t>Sekolah Tinggi Ilmu Ekonomi IPWIJA</t>
  </si>
  <si>
    <t xml:space="preserve">Manajemen </t>
  </si>
  <si>
    <t>Rosari Minar Cahyani, S.E</t>
  </si>
  <si>
    <t>198705192010122003</t>
  </si>
  <si>
    <t>Analis Tata Usaha</t>
  </si>
  <si>
    <t>Sekolah Tinggi Ilmu Ekonomi IPWI Jakarta</t>
  </si>
  <si>
    <t>Wirata, S.E, M.E</t>
  </si>
  <si>
    <t>Auditor Ahli Muda</t>
  </si>
  <si>
    <t>Institut Pertanian Bogor</t>
  </si>
  <si>
    <t>DOKTOR</t>
  </si>
  <si>
    <t>Teknologi Perikanan Laut</t>
  </si>
  <si>
    <t>Nendi Sopian, A.P.Kb.N</t>
  </si>
  <si>
    <t>199811232019121001</t>
  </si>
  <si>
    <t>Pengatur Muda Tk. I, II/b</t>
  </si>
  <si>
    <t>Sekretariat Inspektorat Jenderal</t>
  </si>
  <si>
    <t>Ekonomi Pembangunan</t>
  </si>
  <si>
    <t>Rima Fahmi Amalia A.P.Kb.N.</t>
  </si>
  <si>
    <t>199906012019122002</t>
  </si>
  <si>
    <t>Pengatur Muda, II/b</t>
  </si>
  <si>
    <t>Afzil Ramadian , S.T, M.M.Tr</t>
  </si>
  <si>
    <t>198406282009011004</t>
  </si>
  <si>
    <t>DJPT</t>
  </si>
  <si>
    <t>Direktorat Pelabuhan Perikanan</t>
  </si>
  <si>
    <t>Universitas Negeri Jakarta</t>
  </si>
  <si>
    <t>Ilmu Manajemen</t>
  </si>
  <si>
    <t>Fitria Wahyu Andriani, S.H</t>
  </si>
  <si>
    <t>199005042015032001</t>
  </si>
  <si>
    <t>Pelabuhan Perikanan Samudera Bungus</t>
  </si>
  <si>
    <t>Universitas Bung Hatta</t>
  </si>
  <si>
    <t>Sumberdaya Perairan Pesisir dan Kelautan</t>
  </si>
  <si>
    <t>Julio Ika Putri</t>
  </si>
  <si>
    <t>199107082010122001</t>
  </si>
  <si>
    <t>Pemanfaatan Sumberdaya Ikan</t>
  </si>
  <si>
    <t>Ferdy Lalala</t>
  </si>
  <si>
    <t>198302212014031001</t>
  </si>
  <si>
    <t>Pelabuhan Perikanan Pantai Teluk Batang</t>
  </si>
  <si>
    <t>Administrasi Negara</t>
  </si>
  <si>
    <t>Hernidiliyawati</t>
  </si>
  <si>
    <t>197602132007012001</t>
  </si>
  <si>
    <t>Drektorat Pelabuhan Perikanan</t>
  </si>
  <si>
    <t>Ekonomi Akuntansi</t>
  </si>
  <si>
    <t>Ricardo A. Siringoringo, S.Pi</t>
  </si>
  <si>
    <t>198605052014031001</t>
  </si>
  <si>
    <t>Pelabuhan Perikanan Nusantara Ambon</t>
  </si>
  <si>
    <t>Universitas Pattimura Ambon</t>
  </si>
  <si>
    <t>Manajemen Sumber Daya Kelautan dan Pulau-Pulau Kecil</t>
  </si>
  <si>
    <t>Suparida</t>
  </si>
  <si>
    <t>198101132003122002</t>
  </si>
  <si>
    <t>Direktorat Perizinan dan Kenelayanan</t>
  </si>
  <si>
    <t>STIA Menarasiswa</t>
  </si>
  <si>
    <t>Syahril Abd.Raup, S.T, M.Si</t>
  </si>
  <si>
    <t>197605222005021002</t>
  </si>
  <si>
    <t>Direktorat Pengelolaan Sumberdaya Ikan</t>
  </si>
  <si>
    <t>Pemanfaatan Sumber Daya Perikanan</t>
  </si>
  <si>
    <t>Ilham, S.Pi, M.Si</t>
  </si>
  <si>
    <t>197508142005021001</t>
  </si>
  <si>
    <t>Tolu Saroha Hutagalong</t>
  </si>
  <si>
    <t>198605122009101001</t>
  </si>
  <si>
    <t>Pelabuhan Perikanan Nusantara Sibolga</t>
  </si>
  <si>
    <t>STIE Al-Washliyah Sibolga</t>
  </si>
  <si>
    <t>Sari Nurlita Mokhtar</t>
  </si>
  <si>
    <t>198809292008012001</t>
  </si>
  <si>
    <t>Pemanfaatan Sumberdaya Perikanan</t>
  </si>
  <si>
    <t>La Herman</t>
  </si>
  <si>
    <t>197908022007011001</t>
  </si>
  <si>
    <t>Lartha  Apla Unawekla, A.Md</t>
  </si>
  <si>
    <t>197808142002121004</t>
  </si>
  <si>
    <t>Pelabuhan Perikanan Nusantara Tual</t>
  </si>
  <si>
    <t>STIE Umel Tual</t>
  </si>
  <si>
    <t>Mohammad Amir Tamnge</t>
  </si>
  <si>
    <t>197503022003121002</t>
  </si>
  <si>
    <t>data di epegawai tidak ada</t>
  </si>
  <si>
    <t>Amus Randy Elkel</t>
  </si>
  <si>
    <t>197605082007101001</t>
  </si>
  <si>
    <t>Devi H. Elnussa</t>
  </si>
  <si>
    <t>197712042007101001</t>
  </si>
  <si>
    <t>Abdolah Tamnge</t>
  </si>
  <si>
    <t>198011252008111001</t>
  </si>
  <si>
    <t>Yohan Yunus Renwer</t>
  </si>
  <si>
    <t>198206022005021003</t>
  </si>
  <si>
    <t>Yohanis Robertus Tamnge</t>
  </si>
  <si>
    <t>197405132002121006</t>
  </si>
  <si>
    <t>Stepen Tapotubun</t>
  </si>
  <si>
    <t>197405062003121006</t>
  </si>
  <si>
    <t>Prabowo</t>
  </si>
  <si>
    <t>197407242006041006</t>
  </si>
  <si>
    <t>Pelabuhan Perikanan Samudera Nizam Zachman Jakarta</t>
  </si>
  <si>
    <t>Universitas Satya Negara Indonesia</t>
  </si>
  <si>
    <t>Supriadi</t>
  </si>
  <si>
    <t>197707222008111001</t>
  </si>
  <si>
    <t>Dian Rokhmana</t>
  </si>
  <si>
    <t>197801112008111001</t>
  </si>
  <si>
    <t>Sunarti</t>
  </si>
  <si>
    <t>197005161997032001</t>
  </si>
  <si>
    <t>Pelabuhan Perikanan Nusantara Pekalongan</t>
  </si>
  <si>
    <t>Nuryanih</t>
  </si>
  <si>
    <t>198101182007012001</t>
  </si>
  <si>
    <t>Sekretariat Direktorat Jenderal Perikanan Tangkap</t>
  </si>
  <si>
    <t>Wiji Sri Yuhanik</t>
  </si>
  <si>
    <t>197903152006042008</t>
  </si>
  <si>
    <t>Pelabuhan Perikanan Nusantara Prigi</t>
  </si>
  <si>
    <t>Dhian Anggraeny</t>
  </si>
  <si>
    <t>197901181998032001</t>
  </si>
  <si>
    <t>Lufianty</t>
  </si>
  <si>
    <t>197705252002122002</t>
  </si>
  <si>
    <t>Direktorat Kapal Perikanan dan Alat Penangkapan Ikan</t>
  </si>
  <si>
    <t>Vitri Yanti</t>
  </si>
  <si>
    <t>197111192006042004</t>
  </si>
  <si>
    <t>Dimas Andriyanto, S.St.Pi</t>
  </si>
  <si>
    <t>198611242014031001</t>
  </si>
  <si>
    <t>Direktorat Kepelabuhan Perikanan</t>
  </si>
  <si>
    <t>Ilmu Lingkungan</t>
  </si>
  <si>
    <t>Endah Setyaningsih, S.Psi</t>
  </si>
  <si>
    <t>198512292018012002</t>
  </si>
  <si>
    <t>Universitas Persada Indonesia YAI</t>
  </si>
  <si>
    <t>Psikologi</t>
  </si>
  <si>
    <t>Ade Setia Januar, S.Pi., M.Si</t>
  </si>
  <si>
    <t>197501212005021001</t>
  </si>
  <si>
    <t>Dit. Pengelolaan Sumberdaya Ikan</t>
  </si>
  <si>
    <t>Aris Budiarto, S.Pi., M.Si</t>
  </si>
  <si>
    <t>197804162006041022</t>
  </si>
  <si>
    <t>Reyne Pesurna</t>
  </si>
  <si>
    <t>198605082005021001</t>
  </si>
  <si>
    <t>Pemanfaatan Sumber Daya Perikanan ( Pengelolaan Sumberdaya Perikanan/Perairan/Pesisir dan Lautan )</t>
  </si>
  <si>
    <t>Mahrus, S.St.Pi., M.Si</t>
  </si>
  <si>
    <t>198102182003121001</t>
  </si>
  <si>
    <t>Dit. Kepelabuhan Perikanan</t>
  </si>
  <si>
    <t>Hasan El Fakhri, S.St.Pi., M.Si</t>
  </si>
  <si>
    <t>198310132009011004</t>
  </si>
  <si>
    <t>Ivan Wahyudi Putra , S.ST.Pi</t>
  </si>
  <si>
    <t>198110212006042004</t>
  </si>
  <si>
    <t>Pengelola Produksi Perikanan Tangkap Pertam</t>
  </si>
  <si>
    <t xml:space="preserve">Pelabuhan Perikanan Samudera Belawan  </t>
  </si>
  <si>
    <t>Universitas Al-Muslim</t>
  </si>
  <si>
    <t>Pengelolaan Sumberdaya Alam dan Lingkungan</t>
  </si>
  <si>
    <t xml:space="preserve">Bagus Aris Wibowo, S.Pi, M.Si  </t>
  </si>
  <si>
    <t>198307052008011005</t>
  </si>
  <si>
    <t>III/c</t>
  </si>
  <si>
    <t>Pengelola Produksi Perikanan Tangkap Muda</t>
  </si>
  <si>
    <t xml:space="preserve">Balai Besar Penangkapan Ikan  </t>
  </si>
  <si>
    <t>Universitas Diponegoro</t>
  </si>
  <si>
    <t xml:space="preserve">Manajemen Sumber Daya Perairan   </t>
  </si>
  <si>
    <t xml:space="preserve">Siswanto Wibowo  </t>
  </si>
  <si>
    <t xml:space="preserve">198601062007011001 </t>
  </si>
  <si>
    <t>Asisten Pengelola Produksi Perikanan Tangkap Mahir</t>
  </si>
  <si>
    <t>Universitas Semarang</t>
  </si>
  <si>
    <t xml:space="preserve">Teknik Elektro    </t>
  </si>
  <si>
    <t>Muhammad Tahrulloh</t>
  </si>
  <si>
    <t>199403302019021003</t>
  </si>
  <si>
    <t>II/b</t>
  </si>
  <si>
    <t>Asisten Pengelola Produksi Perikanan Tangkap Terampil</t>
  </si>
  <si>
    <t>PPN Kwandang</t>
  </si>
  <si>
    <t>Universitas Negeri Gorontalo</t>
  </si>
  <si>
    <t xml:space="preserve">Akuakultur </t>
  </si>
  <si>
    <t>Fajar Fardian</t>
  </si>
  <si>
    <t>198301102009101002</t>
  </si>
  <si>
    <t>PPS Belawan</t>
  </si>
  <si>
    <t>Universitas Dharmawangsa</t>
  </si>
  <si>
    <t>Abdurrahman Robbani, S.St.Pi</t>
  </si>
  <si>
    <t>P3T Ahli Pertama</t>
  </si>
  <si>
    <t>Pelabuhan Perikanan Nusantara Palabuhanratu</t>
  </si>
  <si>
    <t>Manajemen Perikanan</t>
  </si>
  <si>
    <t>Amelia, S.St.Pi</t>
  </si>
  <si>
    <t>198404232010122002</t>
  </si>
  <si>
    <t>Kepala Subbagian Umum</t>
  </si>
  <si>
    <t>Ilmu Administrasi/Publik</t>
  </si>
  <si>
    <t>Dedy Raharjo</t>
  </si>
  <si>
    <t>197608281999031007</t>
  </si>
  <si>
    <t>Universitas Terbuka, Pontianak</t>
  </si>
  <si>
    <t>Erik Lesmana Ishak, S.St.Pi</t>
  </si>
  <si>
    <t>198212122009121001</t>
  </si>
  <si>
    <t>Pengelola Produksi Perikanan Tangkap Ahli Muda</t>
  </si>
  <si>
    <t>Pelabuhan Perikanan Samudera Kendari</t>
  </si>
  <si>
    <t>Universitas Halu Oleo, Kendari</t>
  </si>
  <si>
    <t>Ilmu Perikanan</t>
  </si>
  <si>
    <t>Purwanto, S.St.Pi</t>
  </si>
  <si>
    <t>198611262011011009</t>
  </si>
  <si>
    <t>Analisis Pengembangan Saranan dan Prasarana</t>
  </si>
  <si>
    <t>Retno Dwi Utari, S.St.Pi</t>
  </si>
  <si>
    <t>198804112010122004</t>
  </si>
  <si>
    <t xml:space="preserve">Pelabuhan Perikanan Nusantara Palabuhanratu </t>
  </si>
  <si>
    <t>Rizal Rifai, S.Pi</t>
  </si>
  <si>
    <t>198911272014031001</t>
  </si>
  <si>
    <t>Analis Sumber Daya Ikan</t>
  </si>
  <si>
    <t>Direktorat Pengelolaan Sumber Daya Ikan</t>
  </si>
  <si>
    <t xml:space="preserve"> Agustus </t>
  </si>
  <si>
    <t>Yanwar Amri Yasman, S.St.Pi</t>
  </si>
  <si>
    <t>198601252009011001</t>
  </si>
  <si>
    <t>Kepala Pelabuhan Perikanan Nusantara Kwandang</t>
  </si>
  <si>
    <t>Ilmu Kelautan dan Perikanan</t>
  </si>
  <si>
    <t>Nova Santosa, S.E</t>
  </si>
  <si>
    <t>Kepala Sub Bagian Umum</t>
  </si>
  <si>
    <t>PPS Nizam Zachmnan</t>
  </si>
  <si>
    <t>Universitas Paramadina</t>
  </si>
  <si>
    <t>Endang Setiorini</t>
  </si>
  <si>
    <t>197608262003122004</t>
  </si>
  <si>
    <t>Pelabuhan Perikanan Nusantara Pemangkat</t>
  </si>
  <si>
    <t>Yora Arungla'bi, S.Pi</t>
  </si>
  <si>
    <t xml:space="preserve">198510152019022006 </t>
  </si>
  <si>
    <t>Pengelola Produksi Perikanan Tangkap Ahli Pertama</t>
  </si>
  <si>
    <t>Pelabuhan Perikanan Samudera (PPS) Bungus</t>
  </si>
  <si>
    <t>Pengelolaan Sumberdaya Perairan, Pesisir dan Kelautan</t>
  </si>
  <si>
    <t>Risma Saleh</t>
  </si>
  <si>
    <t>197412062000032002</t>
  </si>
  <si>
    <t>Pelabuhan Perikanan Nusantara (PPN) Ternate</t>
  </si>
  <si>
    <t>Hamdan Sarwo Edy, A.Md,S.AP</t>
  </si>
  <si>
    <t>198709102009011001</t>
  </si>
  <si>
    <t>Analis Dokumen Perizinan</t>
  </si>
  <si>
    <t>Politeknik STIA IAN Jakarta</t>
  </si>
  <si>
    <t>Budi Mulyadi</t>
  </si>
  <si>
    <t>197803062007011001</t>
  </si>
  <si>
    <t>Analis Kepegawaian Terampil</t>
  </si>
  <si>
    <t>Pelabuhan Perikanan Nusantara Pelabuhanratu</t>
  </si>
  <si>
    <t xml:space="preserve">Oktober </t>
  </si>
  <si>
    <t>Bayu Arif Pasa Laksmana, S.Pi</t>
  </si>
  <si>
    <t>198804222014031001</t>
  </si>
  <si>
    <t>Ilmu Kelautan</t>
  </si>
  <si>
    <t>Muhammad Dede S, S.St.Pi</t>
  </si>
  <si>
    <t>198703052011011001</t>
  </si>
  <si>
    <t>P3T Ahli Muda</t>
  </si>
  <si>
    <t>Sumberdaya Perairan, Pesisir dan Kelautan</t>
  </si>
  <si>
    <t>Djoko Arye Prasetyo, S.IP</t>
  </si>
  <si>
    <t>197710162009121001</t>
  </si>
  <si>
    <t xml:space="preserve">Pranata Humas Ahli Muda </t>
  </si>
  <si>
    <t>Muhammad Asriadi, A.Md.Pi, S.Pi</t>
  </si>
  <si>
    <t>198304102005021001</t>
  </si>
  <si>
    <t>Analis Perencanaan</t>
  </si>
  <si>
    <t>Universitas Muslim Indonesia</t>
  </si>
  <si>
    <t>Magister Pesisir dan Teknologi Kelautan</t>
  </si>
  <si>
    <t xml:space="preserve">Februari </t>
  </si>
  <si>
    <t>Angga Nugraha, S.ST.Pi</t>
  </si>
  <si>
    <t>198709202010121002</t>
  </si>
  <si>
    <t>Pelabuhan Perikanan Nusantara Ternate</t>
  </si>
  <si>
    <t>Universitas Khairun Ternate</t>
  </si>
  <si>
    <t xml:space="preserve">Edi Kurniawan, S.Pi </t>
  </si>
  <si>
    <t>198712092015031001</t>
  </si>
  <si>
    <t xml:space="preserve">Kamarudin, S.Pi </t>
  </si>
  <si>
    <t>197704012002121006</t>
  </si>
  <si>
    <t>IV/a</t>
  </si>
  <si>
    <t>Kepala Pelabuhan Perikanan Nusantara Ternate</t>
  </si>
  <si>
    <t>Abdul Wahab, A.Md</t>
  </si>
  <si>
    <t>197808202008111001</t>
  </si>
  <si>
    <t>Pelabuhan Perikanan Nusantara Brondong</t>
  </si>
  <si>
    <t>Universitas Islam Lamongan</t>
  </si>
  <si>
    <t>Manajemen Sumberdaya Perairan</t>
  </si>
  <si>
    <t xml:space="preserve">Oktober  </t>
  </si>
  <si>
    <t>Agus Ribowo Karyanto</t>
  </si>
  <si>
    <t>197708032005021001</t>
  </si>
  <si>
    <t>Agustinus Souisa, S.Pi</t>
  </si>
  <si>
    <t>199102242010121001</t>
  </si>
  <si>
    <t xml:space="preserve">Penata Muda, III/a </t>
  </si>
  <si>
    <t>Penata Perizinan Ahli Pertama</t>
  </si>
  <si>
    <t>Universitas Pattimura</t>
  </si>
  <si>
    <t xml:space="preserve">Magister </t>
  </si>
  <si>
    <t xml:space="preserve">Ilmu Kelautan </t>
  </si>
  <si>
    <t>Banu Saputra, S.PKP</t>
  </si>
  <si>
    <t>198405232005021001</t>
  </si>
  <si>
    <t>Pengelola Produksi Perikanan Tangkap Pertama</t>
  </si>
  <si>
    <t xml:space="preserve">Desember  </t>
  </si>
  <si>
    <t>Bunyawan</t>
  </si>
  <si>
    <t>199006062009011001</t>
  </si>
  <si>
    <t xml:space="preserve">Pengatur Tk.I, II/d </t>
  </si>
  <si>
    <t>Pengolah Informasi Media</t>
  </si>
  <si>
    <t>Ilmu Komunikas</t>
  </si>
  <si>
    <t>Dede Harmami</t>
  </si>
  <si>
    <t>198208122007011001</t>
  </si>
  <si>
    <t xml:space="preserve">Pengatur Muda, II/a </t>
  </si>
  <si>
    <t>Pengadministrasi Persuratan</t>
  </si>
  <si>
    <t>PKBM Mercusuar</t>
  </si>
  <si>
    <t>SLTA/Paket C</t>
  </si>
  <si>
    <t xml:space="preserve">Paket C </t>
  </si>
  <si>
    <t xml:space="preserve">September  </t>
  </si>
  <si>
    <t>Dony Armanto, S.St.Pi, M.Si</t>
  </si>
  <si>
    <t>198106192003121004</t>
  </si>
  <si>
    <t>Pembina, IV/a</t>
  </si>
  <si>
    <t xml:space="preserve">Institut Pertanian Bogor </t>
  </si>
  <si>
    <t>Doktor</t>
  </si>
  <si>
    <t>Pengelolaan Sumberdaya Perairan</t>
  </si>
  <si>
    <t xml:space="preserve">Agustus  </t>
  </si>
  <si>
    <t>Fitria Ayu, S.E</t>
  </si>
  <si>
    <t>198606112015032002</t>
  </si>
  <si>
    <t xml:space="preserve">Penata, III/c </t>
  </si>
  <si>
    <t xml:space="preserve">Perencana Ahli Pertama </t>
  </si>
  <si>
    <t>Balai Besar Penangkapan Ikan</t>
  </si>
  <si>
    <t>Hilman Zulfikar</t>
  </si>
  <si>
    <t>199207262019021002</t>
  </si>
  <si>
    <t>Pengatur Muda Tk.I, II/b</t>
  </si>
  <si>
    <t>Universitas Muhammadiyah Maluku Utara</t>
  </si>
  <si>
    <t xml:space="preserve">Teknologi Hasil Perikanan </t>
  </si>
  <si>
    <t>Ilham Indrataufan</t>
  </si>
  <si>
    <t>199312142019021004</t>
  </si>
  <si>
    <t>Inkan Hesti Memah</t>
  </si>
  <si>
    <t>198107052007012002</t>
  </si>
  <si>
    <t>Pengelola Barang Milik Negara</t>
  </si>
  <si>
    <t>Pelabuhan Perikanan Samudera Bitung</t>
  </si>
  <si>
    <t>Sekolah Tinggi Ilmu Ekonomi Eben Haezer Manado</t>
  </si>
  <si>
    <t xml:space="preserve">Irvan Armana, S.St.Pi, M.Si </t>
  </si>
  <si>
    <t>198801032010121003</t>
  </si>
  <si>
    <t>Pelabuhan Perikanan Samudera Nizam Zachman</t>
  </si>
  <si>
    <t xml:space="preserve">Januari  </t>
  </si>
  <si>
    <t xml:space="preserve">Lufti Franelly Purba, A.Md, S.Pi </t>
  </si>
  <si>
    <t>197506282002122002</t>
  </si>
  <si>
    <t>Pelabuhan Perikanan Samudera Belawan</t>
  </si>
  <si>
    <t xml:space="preserve">Universitas Darma Agung </t>
  </si>
  <si>
    <t>Mahli Aweng, S.Pi</t>
  </si>
  <si>
    <t>198212302009031001</t>
  </si>
  <si>
    <t xml:space="preserve">Penata Tk.I, III/d </t>
  </si>
  <si>
    <t>Penata Perizinan Ahli Muda</t>
  </si>
  <si>
    <t>Moh Nurcahyadi, S.Pi</t>
  </si>
  <si>
    <t>198707102015031002</t>
  </si>
  <si>
    <t>Muhammad Anas, S.Pi.,M.S.E.M.A</t>
  </si>
  <si>
    <t>197610222001121002</t>
  </si>
  <si>
    <t>Statistisi Ahli Muda</t>
  </si>
  <si>
    <t>Nafirman Putra, S.Kom</t>
  </si>
  <si>
    <t>198412182009011010</t>
  </si>
  <si>
    <t>Analis Pengelolaan Keuangan APBN Ahli Muda</t>
  </si>
  <si>
    <t>Universitas IPWIJA</t>
  </si>
  <si>
    <t>Nur Alimin, S.St.Pi., M.Si</t>
  </si>
  <si>
    <t>198606102009011001</t>
  </si>
  <si>
    <t>Putuh Suadela, S.Pi., MESM</t>
  </si>
  <si>
    <t>198208092005022001</t>
  </si>
  <si>
    <t>Pembina Tk.I, IV/b</t>
  </si>
  <si>
    <t>Pengelola Produksi Perikanan Tangkap Ahli Madya</t>
  </si>
  <si>
    <t>R. Tono Amboro, S.St.Pi, M.E.S.M</t>
  </si>
  <si>
    <t>198704012009121001</t>
  </si>
  <si>
    <t>Perencana Ahli Muda</t>
  </si>
  <si>
    <t>Ratna Ariyani, A.Md</t>
  </si>
  <si>
    <t>198801302009122001</t>
  </si>
  <si>
    <t>Reny Sirenden, S.IK</t>
  </si>
  <si>
    <t>197811142009012003</t>
  </si>
  <si>
    <t>Universitas Sam Ratulangi</t>
  </si>
  <si>
    <t>Ilmu Perairan</t>
  </si>
  <si>
    <t>Rr.Henny Tri Wahjuni, A.Md</t>
  </si>
  <si>
    <t>198803222009122001</t>
  </si>
  <si>
    <t>Pelabuhan Perikanan Nusantara Karangantu</t>
  </si>
  <si>
    <t xml:space="preserve">Sarjana </t>
  </si>
  <si>
    <t>Teknologi Pangan</t>
  </si>
  <si>
    <t>Ryan Suryana</t>
  </si>
  <si>
    <t>197504052007011003</t>
  </si>
  <si>
    <t>Teknisi Sarana Dan Prasarana</t>
  </si>
  <si>
    <t xml:space="preserve">Takbir </t>
  </si>
  <si>
    <t>198107042007011002</t>
  </si>
  <si>
    <t>Thomas Michael Rinaldi Sitorus, S.St.Pi</t>
  </si>
  <si>
    <t>198805232010121002</t>
  </si>
  <si>
    <t xml:space="preserve">Turbina Azmi </t>
  </si>
  <si>
    <t>198507162007102001</t>
  </si>
  <si>
    <t>Bendahara</t>
  </si>
  <si>
    <t xml:space="preserve">Universitas Terbuka </t>
  </si>
  <si>
    <t>Trian Yunanda, S.Pi., M.Sc</t>
  </si>
  <si>
    <t>197406261999031004</t>
  </si>
  <si>
    <t>Pembina Utama Muda, IV/c</t>
  </si>
  <si>
    <t>Sekretaris DJPT</t>
  </si>
  <si>
    <t>Direktorat Jenderal Perikanan Tangkap</t>
  </si>
  <si>
    <t>Marwan, S.Pi</t>
  </si>
  <si>
    <t>197712042007011002</t>
  </si>
  <si>
    <t>DJPB</t>
  </si>
  <si>
    <t>Balai Perikanan Budidaya Air Payau, Takalar</t>
  </si>
  <si>
    <t>Universitas Bosowa</t>
  </si>
  <si>
    <t>Budidaya Perairan</t>
  </si>
  <si>
    <t>ANDI SYAFRUDDIN, S.E., Ak.</t>
  </si>
  <si>
    <t>197510042009121001</t>
  </si>
  <si>
    <t>Ekonomi Manajemen Keuangan</t>
  </si>
  <si>
    <t>I GDE BUDHA ADNYANA YASA, S.St.Pi.</t>
  </si>
  <si>
    <t>198309072007011001</t>
  </si>
  <si>
    <t>Balai Layanan Usaha Produksi Perikanan Budidaya Karawang</t>
  </si>
  <si>
    <t>DADAN KURNIA WIBAWA, S.Si</t>
  </si>
  <si>
    <t>198010262007101002</t>
  </si>
  <si>
    <t>Setiyorini, S.Pi</t>
  </si>
  <si>
    <t>197910162007012001</t>
  </si>
  <si>
    <t>Balai Produksi Induk Udang Unggul dan Kekerangan, Karang Asem, Bali</t>
  </si>
  <si>
    <t>RYAN YUNANTO</t>
  </si>
  <si>
    <t>198901032009121001</t>
  </si>
  <si>
    <t xml:space="preserve">FMIPA/Biologi </t>
  </si>
  <si>
    <t>Suhardi Atmoko Budi Susilo, S.Si</t>
  </si>
  <si>
    <t>198306232009121001</t>
  </si>
  <si>
    <t>Balai Besar Perikanan Budidaya Air Payau, Jepara</t>
  </si>
  <si>
    <t>epegawai</t>
  </si>
  <si>
    <t>SUYATNO, A.Md</t>
  </si>
  <si>
    <t>198109082008011015</t>
  </si>
  <si>
    <t>Balai Perikanan Budidaya Laut  (BPBL)  Batam</t>
  </si>
  <si>
    <t>Agribisnis  Bidang Minat Penyuluh dan Komunikasi Perikanan</t>
  </si>
  <si>
    <t>Juni</t>
  </si>
  <si>
    <t>Catur Rachman Setiyadi, A.Md</t>
  </si>
  <si>
    <t>198703012009121002</t>
  </si>
  <si>
    <t>Agribisnis Komunikasi Perikanan</t>
  </si>
  <si>
    <t>Andi Elman, S.Pi</t>
  </si>
  <si>
    <t>197701022007101002</t>
  </si>
  <si>
    <t>Arief Rahman Rivaie, S.St.Pi</t>
  </si>
  <si>
    <t>197704112005021002</t>
  </si>
  <si>
    <t>Perekayasa Muda</t>
  </si>
  <si>
    <t>Universitas Lampung</t>
  </si>
  <si>
    <t>Manajemen Wilayah Pesisr dan Laut</t>
  </si>
  <si>
    <t>Fitriani, S.Pi</t>
  </si>
  <si>
    <t>197310302000032001</t>
  </si>
  <si>
    <t>Analis Perikanan Budidaya</t>
  </si>
  <si>
    <t>Balai Perikanan Budidaya Air Tawar Sungai Gelem Jambi</t>
  </si>
  <si>
    <t>Universitas Jambi</t>
  </si>
  <si>
    <t>Manajemen SDM</t>
  </si>
  <si>
    <t xml:space="preserve">Sri Wartini, A.Pi </t>
  </si>
  <si>
    <t>197403161998032001</t>
  </si>
  <si>
    <t xml:space="preserve">	Universitas Lambung Mangkurat</t>
  </si>
  <si>
    <t>Iman Suseno, A.Md</t>
  </si>
  <si>
    <t>198509192009121001</t>
  </si>
  <si>
    <t>Loka Pemeriksaan Penyakit Ikan dan Lingkungan, Serang</t>
  </si>
  <si>
    <t>Indiyah Sulistiyawati, A.Md</t>
  </si>
  <si>
    <t>198210012015032002</t>
  </si>
  <si>
    <t>Balai Perikanan Budidaya Laut Batam</t>
  </si>
  <si>
    <t>Adi Suseno, S.PKP</t>
  </si>
  <si>
    <t>198305292005021002</t>
  </si>
  <si>
    <t>U.Hendri Istrada, S.Pi</t>
  </si>
  <si>
    <t>198202052008011010</t>
  </si>
  <si>
    <t>Rizkita Sari, S.E</t>
  </si>
  <si>
    <t>198509032009122001</t>
  </si>
  <si>
    <t>Direktorat Kawasan dan Kesehatan Ikan</t>
  </si>
  <si>
    <t>STIA LAN Jakarta</t>
  </si>
  <si>
    <t>Manajemen Terapan Administrasi Pembangunan Negara</t>
  </si>
  <si>
    <t>Jhonner Sihotang, A.Md</t>
  </si>
  <si>
    <t>198110032005021001</t>
  </si>
  <si>
    <t>Biologi</t>
  </si>
  <si>
    <t>Mei</t>
  </si>
  <si>
    <t>Didiet Adi Nugroho, S.E</t>
  </si>
  <si>
    <t>198612162009031001</t>
  </si>
  <si>
    <t>Sekretariat Ditjen. Perikanan Budidaya</t>
  </si>
  <si>
    <t>Administrasi Pembangunan Negara(Konsentrasi Manajemen Keuangan )</t>
  </si>
  <si>
    <t>Akmal, S.Pi</t>
  </si>
  <si>
    <t>Universitas Lambung  Mangkurat</t>
  </si>
  <si>
    <t xml:space="preserve">Ilmu Perikanan  </t>
  </si>
  <si>
    <t xml:space="preserve">Junaidi, S.H </t>
  </si>
  <si>
    <t>197606102009011004</t>
  </si>
  <si>
    <t>Analis Akuakultur Ahli Muda</t>
  </si>
  <si>
    <t>Balai Perikanan Budidaya Laut Lombok</t>
  </si>
  <si>
    <t>Ilmu Administrasiasi Pembangunan Negara</t>
  </si>
  <si>
    <t xml:space="preserve">Nawang Wulan, A.Pkb.N </t>
  </si>
  <si>
    <t>200009162019122001</t>
  </si>
  <si>
    <t xml:space="preserve">Manajemen         </t>
  </si>
  <si>
    <t xml:space="preserve">Helen Aganis Purba, A.Pkb.N </t>
  </si>
  <si>
    <t xml:space="preserve">199904202019122001  </t>
  </si>
  <si>
    <t>Evarianti, S.S.Pi</t>
  </si>
  <si>
    <t>198211102009012003</t>
  </si>
  <si>
    <t>Pengawas Perikanan Ahli Muda</t>
  </si>
  <si>
    <t>Balai Perikanan Budidaya Air Tawar Sungai Gelam Jambi</t>
  </si>
  <si>
    <t xml:space="preserve">Ilmu Lingkungan          </t>
  </si>
  <si>
    <t>Agung Setiaji, S.Pi</t>
  </si>
  <si>
    <t>198508142015031002</t>
  </si>
  <si>
    <t xml:space="preserve">Diretorat Kawasan dan Kesehatan Ikan, DJPB </t>
  </si>
  <si>
    <t>Rian Fintarji, S.Pi</t>
  </si>
  <si>
    <t>199304082018011001</t>
  </si>
  <si>
    <t>Pengawas Perikanan Ahli Pertama</t>
  </si>
  <si>
    <t xml:space="preserve">Balai Perikanan Budi Daya Air Tawar Tatelu </t>
  </si>
  <si>
    <t xml:space="preserve">September   </t>
  </si>
  <si>
    <t xml:space="preserve">Ma'in, S.Pi, M.Si </t>
  </si>
  <si>
    <t>197701152006041003</t>
  </si>
  <si>
    <t xml:space="preserve">Balai Perikanan Budi Daya Air Tawar Jambi </t>
  </si>
  <si>
    <t xml:space="preserve">Ilmu Ekonomi         </t>
  </si>
  <si>
    <t xml:space="preserve">Ghufron, S.T </t>
  </si>
  <si>
    <t>198402262009011003</t>
  </si>
  <si>
    <t>Pranata Komputer Ahli Pertama</t>
  </si>
  <si>
    <t xml:space="preserve">Manajemen           </t>
  </si>
  <si>
    <t>Debby Dyanessa Saragih, S.S.T.Pi</t>
  </si>
  <si>
    <t>199109032015032001</t>
  </si>
  <si>
    <t>PHPI Ahli Pertama</t>
  </si>
  <si>
    <t>Ilmu Kelautan/Ilmu Perairan</t>
  </si>
  <si>
    <t>Indah Sri Hartatik, A.Md</t>
  </si>
  <si>
    <t>198411222006042001</t>
  </si>
  <si>
    <t>Analis Kepegawaian Pelaksana Lanjutan</t>
  </si>
  <si>
    <t>Sekretariat Direktorat Jendral Perikanan Budidaya</t>
  </si>
  <si>
    <t>Andi</t>
  </si>
  <si>
    <t>198410062012121003</t>
  </si>
  <si>
    <t>Sekretariat Direktorat Jenderal Perikanan Budidaya</t>
  </si>
  <si>
    <t xml:space="preserve">Ilmu Administrasi Negara  </t>
  </si>
  <si>
    <t>Robianta Nurhadi, S.St.Pi</t>
  </si>
  <si>
    <t>198207242006041002</t>
  </si>
  <si>
    <t>Balai Perikanan Budidaya Laut Ambon</t>
  </si>
  <si>
    <t>Sarwono, S.St.Pi</t>
  </si>
  <si>
    <t>198308152005021001</t>
  </si>
  <si>
    <t>Kepala BPBL Ambon</t>
  </si>
  <si>
    <t>Daud Wilson Pantinatus Rumbewas, S.St.Pi</t>
  </si>
  <si>
    <t>198512122009011001</t>
  </si>
  <si>
    <t>Perekayasa Ahli Muda</t>
  </si>
  <si>
    <t>Balai Perikanan Budidaya Air Tawar Tatelu</t>
  </si>
  <si>
    <t xml:space="preserve">Martua Pinondang Simangunsong, S.Si </t>
  </si>
  <si>
    <t>198412172009121001</t>
  </si>
  <si>
    <t>Penyusun Rencana Penguji</t>
  </si>
  <si>
    <t>Satria, S.St.Pi</t>
  </si>
  <si>
    <t>198202262009011003</t>
  </si>
  <si>
    <t>Balai Perikanan Budidaya Air Payau Ujung Batee</t>
  </si>
  <si>
    <t>Universitas Terbuka, Banda Aceh</t>
  </si>
  <si>
    <t>Andy Sahalatua Gultom, S.Tr.Pi</t>
  </si>
  <si>
    <t>198505062009011001</t>
  </si>
  <si>
    <t>Balai Besar Perikanan Budidaya Laut Lampung</t>
  </si>
  <si>
    <t>Manajemen Wilayah Pesisir dan Laut</t>
  </si>
  <si>
    <t>Slamet Mulyono, S.St.Pi</t>
  </si>
  <si>
    <t>197506052000031003</t>
  </si>
  <si>
    <t>198211262007011002</t>
  </si>
  <si>
    <t>Pengawas Perikanan Mahir</t>
  </si>
  <si>
    <t xml:space="preserve">Agribisnis           </t>
  </si>
  <si>
    <t>Ahmad Supriatna, S.St.Pi</t>
  </si>
  <si>
    <t>198504122008011002</t>
  </si>
  <si>
    <t>PHPI Ahli Muda</t>
  </si>
  <si>
    <t>Universitas Syiah Kuala, Banda Aceh</t>
  </si>
  <si>
    <t>Kesehatan Masyarakat Veteriner</t>
  </si>
  <si>
    <t>Valentina Retno Iriani, S.Si</t>
  </si>
  <si>
    <t>197111062005022001</t>
  </si>
  <si>
    <t>Pengendali Hama dan Penyakit Ikan Ahli Muda</t>
  </si>
  <si>
    <t>Rakhmat Hadi Saputra, S.Pi</t>
  </si>
  <si>
    <t>198806292015031003</t>
  </si>
  <si>
    <t>PHPI Pertama</t>
  </si>
  <si>
    <t>Mira Mawardi, S.Pi, M.Pi</t>
  </si>
  <si>
    <t>198003142007102001</t>
  </si>
  <si>
    <t>PHPI Muda</t>
  </si>
  <si>
    <t xml:space="preserve">Balai Besar Perikanan Budidaya Air Tawar Sukabumi
</t>
  </si>
  <si>
    <t xml:space="preserve"> Institut Pertanian Bogor</t>
  </si>
  <si>
    <t xml:space="preserve"> Ilmu Biomedis Hewan</t>
  </si>
  <si>
    <t>Susi Rosellia, S.Pi</t>
  </si>
  <si>
    <t>197112262002122002</t>
  </si>
  <si>
    <t>Sutariah</t>
  </si>
  <si>
    <t>198209092003122001</t>
  </si>
  <si>
    <t xml:space="preserve"> Pranata Keuangan APBN Terampil</t>
  </si>
  <si>
    <t>Jacson Hermanus Laoere</t>
  </si>
  <si>
    <t>197403241999031002</t>
  </si>
  <si>
    <t xml:space="preserve"> Balai Perikanan Budidaya Air Payau Takalar</t>
  </si>
  <si>
    <t>Sekolah Tinggi Ilmu Ekonomi Makassar Bongaya</t>
  </si>
  <si>
    <t>Wawan Kurniawan</t>
  </si>
  <si>
    <t>198808042009011001</t>
  </si>
  <si>
    <t xml:space="preserve">Balai Besar Perikanan Budidaya Laut Lampung </t>
  </si>
  <si>
    <t>Agribisnis/Bidang Minat Penyuluhan dan Komunikasi Perikanan</t>
  </si>
  <si>
    <t xml:space="preserve">198403182010122001
</t>
  </si>
  <si>
    <t>Balai Perikanan Budidaya Air Tawar Jambi</t>
  </si>
  <si>
    <t>199206112015031002</t>
  </si>
  <si>
    <t>Pengelola Data</t>
  </si>
  <si>
    <t>Balai Pengujian Kesehatan Ikan dan Lingkungan Serang</t>
  </si>
  <si>
    <t>Syaripuddin, S.Pi</t>
  </si>
  <si>
    <t>197402212006041003</t>
  </si>
  <si>
    <t>Teknisi Litkayasa Penyelia</t>
  </si>
  <si>
    <t>Balai Perikanan Budidaya Laut ( BPBL ) Ambon</t>
  </si>
  <si>
    <t>Ishak Usman</t>
  </si>
  <si>
    <t>199009072009121001</t>
  </si>
  <si>
    <t xml:space="preserve">Teknisi Litkayasa Pelaksana </t>
  </si>
  <si>
    <t>Balai Perikanan Budidaya Air Tawar Mandiangin</t>
  </si>
  <si>
    <t>Universitas Achmad Yani Banjarmasin</t>
  </si>
  <si>
    <t>Putri Ramdhani, S.St.Pi</t>
  </si>
  <si>
    <t>198705212010122001</t>
  </si>
  <si>
    <t>Analis Aquakultur Ahli Muda</t>
  </si>
  <si>
    <t xml:space="preserve">Universitas Lambung Mangkurat
</t>
  </si>
  <si>
    <t xml:space="preserve">Ilmu Perikanan </t>
  </si>
  <si>
    <t>Herry Kurniawan, S.PKP</t>
  </si>
  <si>
    <t>198309132005021001</t>
  </si>
  <si>
    <t>Puji Widodo, S.Pi</t>
  </si>
  <si>
    <t>197901172002121003</t>
  </si>
  <si>
    <t>198904162018012002</t>
  </si>
  <si>
    <t>Teknisi Laboratorium</t>
  </si>
  <si>
    <t>Balai Produksi Induk Udang Unggul dan Kekerangan Karangasem</t>
  </si>
  <si>
    <t xml:space="preserve">Juni </t>
  </si>
  <si>
    <t xml:space="preserve"> Akmal, S.Pi</t>
  </si>
  <si>
    <t>197907172008011020</t>
  </si>
  <si>
    <t>Universitas Lambung Mangkurat</t>
  </si>
  <si>
    <t>Bunasir, S.Pi</t>
  </si>
  <si>
    <t>196804211997031001</t>
  </si>
  <si>
    <t>IV/b</t>
  </si>
  <si>
    <t>Perekayasa Madya</t>
  </si>
  <si>
    <t>Sunyoto</t>
  </si>
  <si>
    <t>198310072008011009</t>
  </si>
  <si>
    <t>Pengawas Perikanan Penyelia</t>
  </si>
  <si>
    <t xml:space="preserve">Aulia Ilmi, S.Pi
</t>
  </si>
  <si>
    <t>197302172006041007</t>
  </si>
  <si>
    <t>Muhamad Saleh</t>
  </si>
  <si>
    <t>198012102012121003</t>
  </si>
  <si>
    <t>Pengemudi</t>
  </si>
  <si>
    <t>Direktorat Perbenihan</t>
  </si>
  <si>
    <t>Agribisnis / Bidang Minat Penyuluhan dan Komunikasi Perikanan</t>
  </si>
  <si>
    <t>Haruna, S.Pi</t>
  </si>
  <si>
    <t>197608122005021001</t>
  </si>
  <si>
    <t>Pengawas Perikanan Bidang Pembudidayaan Ikan</t>
  </si>
  <si>
    <t>Balai Perikanan Budidaya Air Payau Takalar</t>
  </si>
  <si>
    <t>Baiq Shafiah, S.St.Pi</t>
  </si>
  <si>
    <t>198404302007012002</t>
  </si>
  <si>
    <t>Pengawas Perikanan Muda</t>
  </si>
  <si>
    <t>Universitas Terbuka (Mataram)</t>
  </si>
  <si>
    <t>Bima Ibnu Utowo, A.Md</t>
  </si>
  <si>
    <t>199711082019021002</t>
  </si>
  <si>
    <t>Pengawas Perikanan Pelaksana</t>
  </si>
  <si>
    <t>Balai Besar Perikanan Budidaya Air Payau Jepara</t>
  </si>
  <si>
    <t>Universitas Islam Nahdlatul Ulama (UNISNU), Jepara</t>
  </si>
  <si>
    <t>Checep Sugianto, A.Md</t>
  </si>
  <si>
    <t>199204302019021006</t>
  </si>
  <si>
    <t xml:space="preserve"> Pengawas Perikanan Pelaksana</t>
  </si>
  <si>
    <t>Universitas Terbuka (Semarang)</t>
  </si>
  <si>
    <t>Faisal Andre Siregar, S.PKP</t>
  </si>
  <si>
    <t>198303092005021002</t>
  </si>
  <si>
    <t xml:space="preserve"> Penata Tk. I, III/d</t>
  </si>
  <si>
    <t>Universitas Riau Kepulauan</t>
  </si>
  <si>
    <t>Fitria, S.Pi</t>
  </si>
  <si>
    <t>198008142006042018</t>
  </si>
  <si>
    <t>Penata Tk. I, III/d</t>
  </si>
  <si>
    <t>Harunur Rasyid, A.Md</t>
  </si>
  <si>
    <t>198106242005021001</t>
  </si>
  <si>
    <t xml:space="preserve">Universitas Islam NU Jepara </t>
  </si>
  <si>
    <t>Imam Subali, A.Md</t>
  </si>
  <si>
    <t>198210212006041001</t>
  </si>
  <si>
    <t>Imam Fatoni, A.Md</t>
  </si>
  <si>
    <t>198310032008011002</t>
  </si>
  <si>
    <t>Joko Santosa, S.K.H.</t>
  </si>
  <si>
    <t>197905182008011021</t>
  </si>
  <si>
    <t>Pengelola Kesehatan Ikan Muda</t>
  </si>
  <si>
    <t>Lingkungan</t>
  </si>
  <si>
    <t>Mochamad Amiri, S.Pi</t>
  </si>
  <si>
    <t>198111242006041003</t>
  </si>
  <si>
    <t>Rokhmad Mohamad Rofiq, S.Pi., M.App.Sc</t>
  </si>
  <si>
    <t>197308272002121004</t>
  </si>
  <si>
    <t>Pembina Tingkat I, IV/b</t>
  </si>
  <si>
    <t>Perencana Ahli Madya</t>
  </si>
  <si>
    <t>Sekretariat DJPB</t>
  </si>
  <si>
    <t>Srinawati, S.Pi</t>
  </si>
  <si>
    <t>197602162006042006</t>
  </si>
  <si>
    <t>Pengelola Kesehatan Ikan Ahli Madya</t>
  </si>
  <si>
    <t>Universitas Bosowa, Makassar</t>
  </si>
  <si>
    <t>Taufan Haryono</t>
  </si>
  <si>
    <t>198809282007011001</t>
  </si>
  <si>
    <t>Pengawas Perikanan Pelaksana Lanjutan</t>
  </si>
  <si>
    <t>Universitas 45 Mataram</t>
  </si>
  <si>
    <t>Edi Pramono, A.Md</t>
  </si>
  <si>
    <t>198408122008011006</t>
  </si>
  <si>
    <t>Teknisi Akuakultur Penyelia</t>
  </si>
  <si>
    <t>Balai Besar Perikanan Budidaya Air Tawar Sukabumi-DJPB</t>
  </si>
  <si>
    <t xml:space="preserve">Universitas Muhammadiyah Sukabumi </t>
  </si>
  <si>
    <t>Akuakultur</t>
  </si>
  <si>
    <t>Heru Kurniawan, A.Md</t>
  </si>
  <si>
    <t>198511012009011001</t>
  </si>
  <si>
    <t>Universitas Islam Nahdlatul Ulama (UNISNU) Jepara</t>
  </si>
  <si>
    <t>Lazuardi Fachrul Nizar, S.IP., M.P.P</t>
  </si>
  <si>
    <t>198512112009121001</t>
  </si>
  <si>
    <t>Penata Tingkat I, III/d</t>
  </si>
  <si>
    <t>Analis Kebijakan Ahli Muda</t>
  </si>
  <si>
    <t>Direktorat Jenderal Perikanan Budi Daya</t>
  </si>
  <si>
    <t>Sutaryu Setianingsih</t>
  </si>
  <si>
    <t>198305042007012001</t>
  </si>
  <si>
    <t>Penata Muda/III/a</t>
  </si>
  <si>
    <t>Direktorat Ikan Air Payau</t>
  </si>
  <si>
    <t>Universitas Terbuka (Jakarta)</t>
  </si>
  <si>
    <t>Ully Adiningsih, S.Kel</t>
  </si>
  <si>
    <t>198204172009012002</t>
  </si>
  <si>
    <t>Analis Pengembangan Sarana dan Prasarana</t>
  </si>
  <si>
    <t>Untung Prayitno</t>
  </si>
  <si>
    <t>198102162007011001</t>
  </si>
  <si>
    <t>Direktorat Ikan Air Laut</t>
  </si>
  <si>
    <t>Ermayani, S.Pi</t>
  </si>
  <si>
    <t>197210101999032008</t>
  </si>
  <si>
    <t>Febrian Hadinata, S.St.Pi.</t>
  </si>
  <si>
    <t>198702142010121003</t>
  </si>
  <si>
    <t>Penata /III/c</t>
  </si>
  <si>
    <t xml:space="preserve">Analis Akuakultur Ahli Muda </t>
  </si>
  <si>
    <t>Balai Perikanan Budidaya Air Tawar Sungai Gelam</t>
  </si>
  <si>
    <t>Manudin</t>
  </si>
  <si>
    <t>198307302005021001</t>
  </si>
  <si>
    <t>Pengadiministrasi Umum</t>
  </si>
  <si>
    <t>Direktorat Ikan Air Tawar</t>
  </si>
  <si>
    <t>Risza Octavia Suciarti, A.Md.</t>
  </si>
  <si>
    <t>Januari</t>
  </si>
  <si>
    <t>Wazir Naf`An, S.Pi., M.Sc</t>
  </si>
  <si>
    <t>198109112009121001</t>
  </si>
  <si>
    <t>Sekretariat Direktorat Jenderal Perikanan Budi Daya</t>
  </si>
  <si>
    <t>Dwi Rahwanto, S.Pi</t>
  </si>
  <si>
    <t>198404082010121001</t>
  </si>
  <si>
    <t>Penata Tk.I/III/d</t>
  </si>
  <si>
    <t>Ellis Mursitorini, S.Pi</t>
  </si>
  <si>
    <t>198302062010122001</t>
  </si>
  <si>
    <t>Niezha Eka Putri, S.Si</t>
  </si>
  <si>
    <t>198611192010122002</t>
  </si>
  <si>
    <t>Miftachul Hudda, A.Md</t>
  </si>
  <si>
    <t>199511162018011001</t>
  </si>
  <si>
    <t>Pengatur Tk.I, II/d</t>
  </si>
  <si>
    <t>Teknisi Mesin</t>
  </si>
  <si>
    <t>Agribisnis</t>
  </si>
  <si>
    <t xml:space="preserve">18 Oktober </t>
  </si>
  <si>
    <t>Josia Suarta Sembiring, S.H</t>
  </si>
  <si>
    <t>198606032009121001</t>
  </si>
  <si>
    <t>PSDKP</t>
  </si>
  <si>
    <t>Stasiun PSDKP Belawan</t>
  </si>
  <si>
    <t>Universitas Sumatera Utara</t>
  </si>
  <si>
    <t xml:space="preserve">Februari  </t>
  </si>
  <si>
    <t>Kiki Ardyanto, A.Md</t>
  </si>
  <si>
    <t>198704252009121002</t>
  </si>
  <si>
    <t>Direktorat Pengawasan Pengelolaan Sumber Daya perikanan</t>
  </si>
  <si>
    <t>Sumberdaya Perikanan</t>
  </si>
  <si>
    <t>Sigit Bintoro, S.Pi</t>
  </si>
  <si>
    <t>197210221998031004</t>
  </si>
  <si>
    <t>Stasiun PSDKP Cilacap</t>
  </si>
  <si>
    <t>Novry Sangian, A.Md</t>
  </si>
  <si>
    <t>197714112003121002</t>
  </si>
  <si>
    <t>Pangkalan PSDKP Lampulo</t>
  </si>
  <si>
    <t>Kotot Setiadi, S.H</t>
  </si>
  <si>
    <t>197509122009121001</t>
  </si>
  <si>
    <t>Pangkalan PSDKP Batam</t>
  </si>
  <si>
    <t>Universitas Batam</t>
  </si>
  <si>
    <t>Amdani</t>
  </si>
  <si>
    <t>198908202015031002</t>
  </si>
  <si>
    <t>Manuel Langi Runtulalo</t>
  </si>
  <si>
    <t>197304012006041015</t>
  </si>
  <si>
    <t>Direktorat Pemantauan dan Operasi Armada</t>
  </si>
  <si>
    <t>Moh. Nur Nawawi</t>
  </si>
  <si>
    <t>198507052014031001</t>
  </si>
  <si>
    <t>Muhamad Syamsu Rokhman, S.Pi</t>
  </si>
  <si>
    <t>198307302008011003</t>
  </si>
  <si>
    <t xml:space="preserve">Pangkalan PSDKP Batam </t>
  </si>
  <si>
    <t>Boris Frans Edberg Simanjuntak, S.St.Pi</t>
  </si>
  <si>
    <t>199110132015031001</t>
  </si>
  <si>
    <t>Sodik</t>
  </si>
  <si>
    <t>198311222015031002</t>
  </si>
  <si>
    <t>Muhammad Nur Afliq</t>
  </si>
  <si>
    <t>199608132015031002</t>
  </si>
  <si>
    <t xml:space="preserve">Ilmu Hukum </t>
  </si>
  <si>
    <t>Stevenly Alexsander Takapaha, S.Pi</t>
  </si>
  <si>
    <t>198309292009121004</t>
  </si>
  <si>
    <t>Stasiun PSDKP Tahuna</t>
  </si>
  <si>
    <t>Nofry Endey</t>
  </si>
  <si>
    <t>198011012002121002</t>
  </si>
  <si>
    <t>Dominggus Paulus Huwae</t>
  </si>
  <si>
    <t>198705152008011003</t>
  </si>
  <si>
    <t>Saiful Umam, S.St.Pi</t>
  </si>
  <si>
    <t>198209202005021001</t>
  </si>
  <si>
    <t>Manajemen dan Bisnis</t>
  </si>
  <si>
    <t>Rolling Wattimena</t>
  </si>
  <si>
    <t>198308102006041002</t>
  </si>
  <si>
    <t>Komunikasi Perikanan</t>
  </si>
  <si>
    <t>Denggan Muhammad Ilmi, S.Pi</t>
  </si>
  <si>
    <t>198404012009121002</t>
  </si>
  <si>
    <t>Sahono Budianto, S.St.Pi, M.Si</t>
  </si>
  <si>
    <t>198112162003121004</t>
  </si>
  <si>
    <t>Direktorat Penanganan Pelanggaran</t>
  </si>
  <si>
    <t xml:space="preserve">Teknologi Perikanan Laut </t>
  </si>
  <si>
    <t>Harfy Birna Alia Putri, A.Md</t>
  </si>
  <si>
    <t>198608222009122001</t>
  </si>
  <si>
    <t>Sekretariat Direktorat Jenderal  PSDKP</t>
  </si>
  <si>
    <t>Ema Velayati, S.St.Pi</t>
  </si>
  <si>
    <t>198308232006042002</t>
  </si>
  <si>
    <t xml:space="preserve">STIA LAN Jakarta  </t>
  </si>
  <si>
    <t>Tomy Budi Mulianto, SAP</t>
  </si>
  <si>
    <t>198605072005021001</t>
  </si>
  <si>
    <t>Sekretariat Direktorat Jenderal PSDKP</t>
  </si>
  <si>
    <t>Rininta Handayani, A.Md</t>
  </si>
  <si>
    <t>198206172015032004</t>
  </si>
  <si>
    <t>Hendra Walloh, A.Md</t>
  </si>
  <si>
    <t>197902072002121001</t>
  </si>
  <si>
    <t>Zulkarnain Nasution, S.St.Pi</t>
  </si>
  <si>
    <t>198610212010121003</t>
  </si>
  <si>
    <t>Rachma Kartikasari, S.T</t>
  </si>
  <si>
    <t>198403022009122002</t>
  </si>
  <si>
    <t>Set. Ditjen PSDKP</t>
  </si>
  <si>
    <t>Herwing</t>
  </si>
  <si>
    <t>199001012015031002</t>
  </si>
  <si>
    <t>Jurumudi I KP.Hiu 05</t>
  </si>
  <si>
    <t>Pangkalan PSDKP Bitung</t>
  </si>
  <si>
    <t xml:space="preserve">Ilmu Hukum           </t>
  </si>
  <si>
    <t xml:space="preserve">Buddy Setiawan, S.St.Pi </t>
  </si>
  <si>
    <t>198104122009011005</t>
  </si>
  <si>
    <t xml:space="preserve">Pangkalan PSDKP Jakarta  </t>
  </si>
  <si>
    <t>Sekolah Tinggi Ilmu Hukum  IBLAM</t>
  </si>
  <si>
    <t xml:space="preserve">Munazzir, S.Pi </t>
  </si>
  <si>
    <t xml:space="preserve">196903021996031002  </t>
  </si>
  <si>
    <t>Pengawas Perikanan Ahli Madya</t>
  </si>
  <si>
    <t>Pangkalan PSDKP Jakarta</t>
  </si>
  <si>
    <t xml:space="preserve">Sofyan Bhekti Widodo, A.Md.Pi </t>
  </si>
  <si>
    <t>198908302015031003</t>
  </si>
  <si>
    <t xml:space="preserve">Pengawas Perikanan Pelaksana/Terampil </t>
  </si>
  <si>
    <t xml:space="preserve">Pangkalan PSDKP Tual  </t>
  </si>
  <si>
    <t xml:space="preserve">Teguh Wibowo, ST </t>
  </si>
  <si>
    <t>197906202002121002</t>
  </si>
  <si>
    <t xml:space="preserve">Direktorat Pemantauan dan Operasi Armada  </t>
  </si>
  <si>
    <t>Universitas Pakuan</t>
  </si>
  <si>
    <t xml:space="preserve">Manajemen Lingkungan       </t>
  </si>
  <si>
    <t xml:space="preserve">Mei </t>
  </si>
  <si>
    <t xml:space="preserve">Umar Ali Salampessy </t>
  </si>
  <si>
    <t>198604082008011001</t>
  </si>
  <si>
    <t>Markonis KP.Hiu 15</t>
  </si>
  <si>
    <t xml:space="preserve">Stasiun PSDKP Tahuna     </t>
  </si>
  <si>
    <t xml:space="preserve">Novein Ernst Brando Repi, A.Md </t>
  </si>
  <si>
    <t>197911282005021001</t>
  </si>
  <si>
    <t xml:space="preserve">KKM KP. Hiu 15 </t>
  </si>
  <si>
    <t xml:space="preserve">Stasiun PSDKP Tahuna   </t>
  </si>
  <si>
    <t>Musdalifah</t>
  </si>
  <si>
    <t>198906152018011001</t>
  </si>
  <si>
    <t>Jurumudi lll KP. Orca 04</t>
  </si>
  <si>
    <t>Direktorat Pemantauan dan Oeprasi Armada</t>
  </si>
  <si>
    <t>Agribisnis  (Penyuluhan dan Komunikasi Perikanan)</t>
  </si>
  <si>
    <t>April 2023</t>
  </si>
  <si>
    <t>Ferry Irawan, S.Tr.Pi</t>
  </si>
  <si>
    <t>198502112007101001</t>
  </si>
  <si>
    <t>Analis Kapal Pengawas</t>
  </si>
  <si>
    <t>Manajemen Lingkungan Pendidikan</t>
  </si>
  <si>
    <t>Aldi Tubalawony</t>
  </si>
  <si>
    <t>198607272007011002</t>
  </si>
  <si>
    <t>Serang KP. Hiu Macan 04</t>
  </si>
  <si>
    <t>Stasiun PSDKP Biak</t>
  </si>
  <si>
    <t>Adhi Kurniawan, S.Pi</t>
  </si>
  <si>
    <t>198704032010121004</t>
  </si>
  <si>
    <t>Universitas Muhammadiyah Sumatera Utara</t>
  </si>
  <si>
    <t>Muhammad Yunus S</t>
  </si>
  <si>
    <t>199003202015031003</t>
  </si>
  <si>
    <t>Jurumudi KP. Hiu 15</t>
  </si>
  <si>
    <t>Chaedar Afthon, S.Pi</t>
  </si>
  <si>
    <t xml:space="preserve">198009082009121002 </t>
  </si>
  <si>
    <t>Kepala Urusan Umum</t>
  </si>
  <si>
    <t>Stasiun PSDKP Ambon</t>
  </si>
  <si>
    <t xml:space="preserve">Manajemen Sumberdaya Kelautan dan Pulau-pulau Kecil
</t>
  </si>
  <si>
    <t>Bodro Mulyono</t>
  </si>
  <si>
    <t>198804142015031003</t>
  </si>
  <si>
    <t>Oiler I KP. HIU 11</t>
  </si>
  <si>
    <t>Stasiun PSDKP Pontianak</t>
  </si>
  <si>
    <t xml:space="preserve">Arfian Iroth, A.Md </t>
  </si>
  <si>
    <t>197904252005021003</t>
  </si>
  <si>
    <t>Kepala Kamar Mesin KP. Hiu 05</t>
  </si>
  <si>
    <t>Syahid</t>
  </si>
  <si>
    <t>198604262006041001</t>
  </si>
  <si>
    <t>Oiler 1 KP. Orca 05</t>
  </si>
  <si>
    <t>Direktorat Pemantauan Operasi Armada</t>
  </si>
  <si>
    <t>Hajudin Talaohu</t>
  </si>
  <si>
    <t>198804142007011004</t>
  </si>
  <si>
    <t>Serang KP. Hiu 13</t>
  </si>
  <si>
    <t>Hasrun Paputungan, A.Md</t>
  </si>
  <si>
    <t>197907052015021001</t>
  </si>
  <si>
    <t>Nakhoda Kapal Pengawas</t>
  </si>
  <si>
    <t>Moch Tobiin</t>
  </si>
  <si>
    <t>Serang KP Hiu 11</t>
  </si>
  <si>
    <t xml:space="preserve">Stasiun PSDKP Pontianak   </t>
  </si>
  <si>
    <t>Ari Nugroho</t>
  </si>
  <si>
    <t>198202182015031001</t>
  </si>
  <si>
    <t>Juru Mudi KP. Hiu 11</t>
  </si>
  <si>
    <t>Suharyanto</t>
  </si>
  <si>
    <t>197010292002121001</t>
  </si>
  <si>
    <t>Masinis III KP. Orca 4</t>
  </si>
  <si>
    <t>197501022005021002</t>
  </si>
  <si>
    <t xml:space="preserve">Kepala Pangkalan PSDKP Benoa   </t>
  </si>
  <si>
    <t xml:space="preserve">Pangkalan PSDKP Benoa   </t>
  </si>
  <si>
    <t>Universitas Udayana</t>
  </si>
  <si>
    <t>Harun, S.Kel</t>
  </si>
  <si>
    <t>197605112008011011</t>
  </si>
  <si>
    <t>Pengolah Data Pengawasan</t>
  </si>
  <si>
    <t xml:space="preserve">Pangkalan PSDKP Bitung   </t>
  </si>
  <si>
    <t>Ilmu Kelautan Bidang Minat Manajemen</t>
  </si>
  <si>
    <t>Kristanto</t>
  </si>
  <si>
    <t>198304222005021001</t>
  </si>
  <si>
    <t xml:space="preserve">Mualim III KP. Hiu Macan Tutul 02 </t>
  </si>
  <si>
    <t>Mubarak, S.St.Pi</t>
  </si>
  <si>
    <t>198306292007011001</t>
  </si>
  <si>
    <t>Kepala Stasiun PSDKP Ambon</t>
  </si>
  <si>
    <t>Muhammad Asri Umarella</t>
  </si>
  <si>
    <t>198506302007011003</t>
  </si>
  <si>
    <t>Oiler KP, HIU 13</t>
  </si>
  <si>
    <t>Reinhardy Duppa Parantean, S.H</t>
  </si>
  <si>
    <t>197712292005021003</t>
  </si>
  <si>
    <t>Penyusunan Rencana Pengawasan</t>
  </si>
  <si>
    <t>Satwas SDKP Makassar Pada Pangkalan PSDKP Bitung</t>
  </si>
  <si>
    <t>Universitas Kristen Indonesia Paulus</t>
  </si>
  <si>
    <t xml:space="preserve">Donnycius Pudihang, A.Md
</t>
  </si>
  <si>
    <t>198911022018011002</t>
  </si>
  <si>
    <t>Operator Speedboat</t>
  </si>
  <si>
    <t>Indra Adi Wibisono, S.Pi</t>
  </si>
  <si>
    <t>198604162009121001</t>
  </si>
  <si>
    <t>Kepala Subagian Umum</t>
  </si>
  <si>
    <t>Mercu Buana Jakarta</t>
  </si>
  <si>
    <t xml:space="preserve">Garibaldi Marandita, S.H </t>
  </si>
  <si>
    <t>198304272009121001</t>
  </si>
  <si>
    <t>Sekolah Tinggi Ilmu Hukum IBLAM</t>
  </si>
  <si>
    <t>Magister Hukum</t>
  </si>
  <si>
    <t>Mei Wulandari, A.Md</t>
  </si>
  <si>
    <t>198605252009122002</t>
  </si>
  <si>
    <t>Agung Danu Wibowo, A.Pi</t>
  </si>
  <si>
    <t>197501152002121002</t>
  </si>
  <si>
    <t>Sekretariat Ditjen PSDKP</t>
  </si>
  <si>
    <t>Ahmad Luthfi Setiawan, SH</t>
  </si>
  <si>
    <t>198502072009121001</t>
  </si>
  <si>
    <t>Ahsanti Maulida, A.Md</t>
  </si>
  <si>
    <t>199209082015032002</t>
  </si>
  <si>
    <t>Sekretaris</t>
  </si>
  <si>
    <t xml:space="preserve"> Sekretariat Ditjen PSDKP</t>
  </si>
  <si>
    <t>Politeknik STIA LAN</t>
  </si>
  <si>
    <t>Ariani Dewi, A.Md</t>
  </si>
  <si>
    <t>199305142015032001</t>
  </si>
  <si>
    <t>Eris Riswadi, S.St.Pi</t>
  </si>
  <si>
    <t>198110162008011013</t>
  </si>
  <si>
    <t>Dit. Pengendalian Operasi Armada</t>
  </si>
  <si>
    <t>Mochammad Ridhan Radiansyah, A.Md.Ak</t>
  </si>
  <si>
    <t>199803162019121001</t>
  </si>
  <si>
    <t>Moh. Nuh Hudawi, S.Pi</t>
  </si>
  <si>
    <t>197912192009121001</t>
  </si>
  <si>
    <t>Nuzul Fadly, S.Pi.</t>
  </si>
  <si>
    <t>198605262009121001</t>
  </si>
  <si>
    <t xml:space="preserve"> Dit. Pengendalian Operasi Armada</t>
  </si>
  <si>
    <t xml:space="preserve"> Universitas Terbuka</t>
  </si>
  <si>
    <t>Rahmi Miftahul Jannah Br Sitepu, A.Md.Ak</t>
  </si>
  <si>
    <t>199903052019122002</t>
  </si>
  <si>
    <t>Samsu Muarip S.Pi</t>
  </si>
  <si>
    <t>198606172009011001</t>
  </si>
  <si>
    <t>Perencana Ahli Pertama</t>
  </si>
  <si>
    <t>Sulastri, SE</t>
  </si>
  <si>
    <t>197811192010122001</t>
  </si>
  <si>
    <t>Universitas Budi Luhur</t>
  </si>
  <si>
    <t>Sunaryo, S.St.Pi, M.Tr.A.P</t>
  </si>
  <si>
    <t>19800220 2005021001</t>
  </si>
  <si>
    <t>Umi Yulaekhah, SH</t>
  </si>
  <si>
    <t>198101232009012003</t>
  </si>
  <si>
    <t>Analis Kerja Sama</t>
  </si>
  <si>
    <t>STIH IBLAM</t>
  </si>
  <si>
    <t>Fendy Gunawan, A.Md</t>
  </si>
  <si>
    <t>199305202018011002</t>
  </si>
  <si>
    <t xml:space="preserve">Serang   </t>
  </si>
  <si>
    <t xml:space="preserve">Moh. Abdulloh </t>
  </si>
  <si>
    <t>198310252005021001</t>
  </si>
  <si>
    <t>Markonis</t>
  </si>
  <si>
    <t>Wawan Gunawan</t>
  </si>
  <si>
    <t>198301062005021002</t>
  </si>
  <si>
    <t>Mualim Kapal</t>
  </si>
  <si>
    <t>Hazlan</t>
  </si>
  <si>
    <t>198712172007011005</t>
  </si>
  <si>
    <t>Masinis Kapal</t>
  </si>
  <si>
    <t>M. Nasir</t>
  </si>
  <si>
    <t>198308062008011002</t>
  </si>
  <si>
    <t>Juru Mudi</t>
  </si>
  <si>
    <t>Anton Arisiyanto</t>
  </si>
  <si>
    <t>198506112008011002</t>
  </si>
  <si>
    <t xml:space="preserve">Serang       </t>
  </si>
  <si>
    <t xml:space="preserve">Justang </t>
  </si>
  <si>
    <t>199205292010121002</t>
  </si>
  <si>
    <t xml:space="preserve">Sukriyadi Mawardi </t>
  </si>
  <si>
    <t>198603182014031001</t>
  </si>
  <si>
    <t>Windiyana</t>
  </si>
  <si>
    <t>198106032015031002</t>
  </si>
  <si>
    <t xml:space="preserve">Juru Mudi </t>
  </si>
  <si>
    <t>Muhammad Hasan</t>
  </si>
  <si>
    <t>198103052015031002</t>
  </si>
  <si>
    <t xml:space="preserve">Serang     </t>
  </si>
  <si>
    <t xml:space="preserve">Renata R. I. S. Sihombing, S.Sos </t>
  </si>
  <si>
    <t>197704292006042001</t>
  </si>
  <si>
    <t>Dit Pengawasan Penglolaan SD Perikanan</t>
  </si>
  <si>
    <t>Universitas Tama Jagakarsa / Universitas Pancasila</t>
  </si>
  <si>
    <t>Drs. Halid K. Jusuf, MPA</t>
  </si>
  <si>
    <t>196802251993031003</t>
  </si>
  <si>
    <t>Direktur Pengawasan Sumber Daya Kelautan</t>
  </si>
  <si>
    <t>Dit Pengawasan Penglolaan SD Kelautan</t>
  </si>
  <si>
    <t>Manajemen Sumberdaya Manusia</t>
  </si>
  <si>
    <t>Hibrid Rizkiyanu</t>
  </si>
  <si>
    <t>199201192018011002</t>
  </si>
  <si>
    <t>Asisten Pengawas Perikanan Terampil</t>
  </si>
  <si>
    <t>Dian Prawido Asmara Sitepu</t>
  </si>
  <si>
    <t>199103222014031002</t>
  </si>
  <si>
    <t xml:space="preserve">Saiful Anam,S.Pi  </t>
  </si>
  <si>
    <t>198606302010121002</t>
  </si>
  <si>
    <t>Pengawas Kelautan Ahli Muda</t>
  </si>
  <si>
    <t>Universitas Internasional Batam</t>
  </si>
  <si>
    <t>Hukum</t>
  </si>
  <si>
    <t>Yogi Darmawan Efendi, S.St.Pi</t>
  </si>
  <si>
    <t>197611092009011003</t>
  </si>
  <si>
    <t xml:space="preserve">Pengawas Perikanan Ahli Muda </t>
  </si>
  <si>
    <t>Arip Nugraha Djajadisantra, S.Pi</t>
  </si>
  <si>
    <t>198408252014031001</t>
  </si>
  <si>
    <t xml:space="preserve">Pengawas Perikanan Ahli Pertama </t>
  </si>
  <si>
    <t>Oktavia S.Ikom</t>
  </si>
  <si>
    <t>198410202015032002</t>
  </si>
  <si>
    <t>Hubungan Internasional</t>
  </si>
  <si>
    <t xml:space="preserve">Nurholis </t>
  </si>
  <si>
    <t>198709152007011004</t>
  </si>
  <si>
    <t>Nopen Setiawan,S.Pi.</t>
  </si>
  <si>
    <t>198511222010121003</t>
  </si>
  <si>
    <t>Pangkalan PSDKP Benoa</t>
  </si>
  <si>
    <t xml:space="preserve">Manajemen Perikanan </t>
  </si>
  <si>
    <t>Yetik Puspita Sari , S.H</t>
  </si>
  <si>
    <t>197410102003122003</t>
  </si>
  <si>
    <t>Universitas Swadaya Gunung Jati Cirebon</t>
  </si>
  <si>
    <t>Dwi Agus Triyanto</t>
  </si>
  <si>
    <t>198303152005021001</t>
  </si>
  <si>
    <t>Wendy Reynold Kunio Rompas,ST</t>
  </si>
  <si>
    <t>198201162010121001</t>
  </si>
  <si>
    <t>Manajemen Lingkungan</t>
  </si>
  <si>
    <t>A`ang Kunaefi, A.Md</t>
  </si>
  <si>
    <t>199006072015031002</t>
  </si>
  <si>
    <t>Asisten Pengawas Perikanan Mahir</t>
  </si>
  <si>
    <t>Stasiun PSDKP Tarakan</t>
  </si>
  <si>
    <t>Univeritas Terbuka</t>
  </si>
  <si>
    <t>Robiyanto Tanum,S.Pi</t>
  </si>
  <si>
    <t>198601152008011002</t>
  </si>
  <si>
    <t>Universitas Muhammadiyah Palembang</t>
  </si>
  <si>
    <t>Marwanto, SH</t>
  </si>
  <si>
    <t>198511052007011001</t>
  </si>
  <si>
    <t>Pengawas Kelautan Ahli Pertama</t>
  </si>
  <si>
    <t>Vendy Reygant Rei, A.Md, S.P</t>
  </si>
  <si>
    <t>198302192006041003</t>
  </si>
  <si>
    <t>Kepala Kamar Mesin</t>
  </si>
  <si>
    <t>Asep Satria Yudha Bhermana, S.PKP</t>
  </si>
  <si>
    <t>198405032008011002</t>
  </si>
  <si>
    <t>Dedi Kurniawan Pohan, A.Md</t>
  </si>
  <si>
    <t>198609092015031003</t>
  </si>
  <si>
    <t>Alfian Rio Susanto, S.St.Pi</t>
  </si>
  <si>
    <t>198812142015031002</t>
  </si>
  <si>
    <t>Kepala Kamar Mesin Kapal Pengawas</t>
  </si>
  <si>
    <t>Nuzwar Miran</t>
  </si>
  <si>
    <t>199111052015031002</t>
  </si>
  <si>
    <t>OILER</t>
  </si>
  <si>
    <t>Direktorat Pengendalian Operasi Armada</t>
  </si>
  <si>
    <t>Angga Jafar Akasah, A.Md, S.T</t>
  </si>
  <si>
    <t>198007252005021001</t>
  </si>
  <si>
    <t xml:space="preserve"> Kepala Kamar Mesin</t>
  </si>
  <si>
    <t>Deddy Widiyantoro</t>
  </si>
  <si>
    <t>198206082005021002</t>
  </si>
  <si>
    <t>Pengolah Barang Milik Negara</t>
  </si>
  <si>
    <t>Universitas Muhamadiyah Pontianak</t>
  </si>
  <si>
    <t xml:space="preserve"> Budidaya Perairan</t>
  </si>
  <si>
    <t>Hari Purwanto, S.P</t>
  </si>
  <si>
    <t>199401032014031001</t>
  </si>
  <si>
    <t xml:space="preserve"> Pengawas Kelautan Ahli Pertama</t>
  </si>
  <si>
    <t xml:space="preserve"> Universitas Jendral Soedirman</t>
  </si>
  <si>
    <t xml:space="preserve"> Ilmu Kelautan</t>
  </si>
  <si>
    <t>Hendra Wiguna</t>
  </si>
  <si>
    <t>199104272018011007</t>
  </si>
  <si>
    <t>Oiler</t>
  </si>
  <si>
    <t>Heryoko, S.St.Pi</t>
  </si>
  <si>
    <t>198906182014031001</t>
  </si>
  <si>
    <t xml:space="preserve"> Mualim Kapal</t>
  </si>
  <si>
    <t>Jeane Nurueli Takasihaeng, S.Pi</t>
  </si>
  <si>
    <t xml:space="preserve"> 198106222010012005</t>
  </si>
  <si>
    <t>Analis Keuangan</t>
  </si>
  <si>
    <t xml:space="preserve"> Stasiun PSDKP Tahuna</t>
  </si>
  <si>
    <t>Muhammad Afif, S.St.Pi</t>
  </si>
  <si>
    <t>198709212010121002</t>
  </si>
  <si>
    <t xml:space="preserve"> Pangkalan PSDKP Batam</t>
  </si>
  <si>
    <t>STIH Pertiba Pangkal Pinang</t>
  </si>
  <si>
    <t>Oka Reli Purwono</t>
  </si>
  <si>
    <t>198810142008011001</t>
  </si>
  <si>
    <t xml:space="preserve"> Serang</t>
  </si>
  <si>
    <t>Putra Kusuma, S.St.Pi</t>
  </si>
  <si>
    <t>198406302015031003</t>
  </si>
  <si>
    <t xml:space="preserve"> Januari </t>
  </si>
  <si>
    <t>Suryana</t>
  </si>
  <si>
    <t xml:space="preserve"> 198610202007012002</t>
  </si>
  <si>
    <t>Pengolah data pengawasan</t>
  </si>
  <si>
    <t>Didin Saripudin</t>
  </si>
  <si>
    <t>199012252018011001</t>
  </si>
  <si>
    <t>Dwi Aji Prasetyo, S.St.Pi</t>
  </si>
  <si>
    <t>198010062010121002</t>
  </si>
  <si>
    <t>Dit. Pengawasan Pengelolaan SD Kelautan</t>
  </si>
  <si>
    <t>Eko Setiawan</t>
  </si>
  <si>
    <t>198801242007011007</t>
  </si>
  <si>
    <t>Muhamad Samsul Ma'arif</t>
  </si>
  <si>
    <t>199001162018011001</t>
  </si>
  <si>
    <t>Serang</t>
  </si>
  <si>
    <t/>
  </si>
  <si>
    <t>Rahmatia, S.Pi</t>
  </si>
  <si>
    <t>197704042009122001</t>
  </si>
  <si>
    <t>Dit. Pengawasan SD Kelautan</t>
  </si>
  <si>
    <t>Dhidit Setiawan</t>
  </si>
  <si>
    <t>198408222005021001</t>
  </si>
  <si>
    <t xml:space="preserve"> Ilmu Hukum </t>
  </si>
  <si>
    <t>Merry Christina Sambu</t>
  </si>
  <si>
    <t>198211232012122004</t>
  </si>
  <si>
    <t>Pengolah Data</t>
  </si>
  <si>
    <t>Muh.Husyary, A.Md</t>
  </si>
  <si>
    <t>198508192009031004</t>
  </si>
  <si>
    <t>Asisten Pengawas Kelautan Penyelia</t>
  </si>
  <si>
    <t>Universitas Terbuka (Majene)</t>
  </si>
  <si>
    <t>Teddy Feky Paulus, SE</t>
  </si>
  <si>
    <t>198202042009121001</t>
  </si>
  <si>
    <t xml:space="preserve"> Ilmu Perairan</t>
  </si>
  <si>
    <t>Winarni</t>
  </si>
  <si>
    <t>199806022019022001</t>
  </si>
  <si>
    <t>Roy Salinding, S.Kel</t>
  </si>
  <si>
    <t xml:space="preserve">198408182009121001 </t>
  </si>
  <si>
    <t xml:space="preserve">Stasiun PSDKP Biak </t>
  </si>
  <si>
    <t>Universitas Cendrawasih</t>
  </si>
  <si>
    <t>Pengelolaan Sumber Daya Alam dan Lingkungan</t>
  </si>
  <si>
    <t>Jenlyf Jimmy Wuwung, S.Kel</t>
  </si>
  <si>
    <t>197704152009121001</t>
  </si>
  <si>
    <t>Henky Trisa Putra</t>
  </si>
  <si>
    <t>198403092010121001</t>
  </si>
  <si>
    <t>DJPKRL</t>
  </si>
  <si>
    <t>Balai Pengelolaan Sumberdaya Pesisir dan Laut Padang</t>
  </si>
  <si>
    <t>Ekonomi Manajemen</t>
  </si>
  <si>
    <t>Mochamad Danyalin, A.Md</t>
  </si>
  <si>
    <t>198109022009121001</t>
  </si>
  <si>
    <t xml:space="preserve">Sekretariat Ditjen PRL  </t>
  </si>
  <si>
    <t>Ricky, S.Kom</t>
  </si>
  <si>
    <t xml:space="preserve">198111052009121001 </t>
  </si>
  <si>
    <t>Balai Pengelolaan Sumberdaya Pesisir dan Laut Pontianak</t>
  </si>
  <si>
    <t>Universitas Mulawarman</t>
  </si>
  <si>
    <t xml:space="preserve">Ilmu Lingkungan  </t>
  </si>
  <si>
    <t>Yongki Lapon, S.H</t>
  </si>
  <si>
    <t>198502152007011001</t>
  </si>
  <si>
    <t>Balai Konservasi Kawasan Perairan Nasioanal ( BKKPN ) Kupang</t>
  </si>
  <si>
    <t>Universitas Nusa Cendana</t>
  </si>
  <si>
    <t>Andriyatno Hanif, S.Pi</t>
  </si>
  <si>
    <t>198701292010121001</t>
  </si>
  <si>
    <t>Loka Kawasan Konservasi Perairan Nasional ( LKKPN ) Pekanbaru</t>
  </si>
  <si>
    <t>Pengelolaan Sumberdaya Pesisir dan Lautan</t>
  </si>
  <si>
    <t>Ir.Suharyanto, M.Sc</t>
  </si>
  <si>
    <t>196212301990031006</t>
  </si>
  <si>
    <t>Direktorat PKRL</t>
  </si>
  <si>
    <t>Ekonomi Kelautan Tropika</t>
  </si>
  <si>
    <t>Ir.Gustiawirman, M.Sc</t>
  </si>
  <si>
    <t>196608141997031002</t>
  </si>
  <si>
    <t>SetDitjen PRL</t>
  </si>
  <si>
    <t>Muhandis Sidqi, S.Pi, M.Si</t>
  </si>
  <si>
    <t>197408272002121001</t>
  </si>
  <si>
    <t>Arief Widianto, ST, M.Sc</t>
  </si>
  <si>
    <t>197810302005021001</t>
  </si>
  <si>
    <t>Syofyan Hasan Muhandis S.Pi, M.Sc</t>
  </si>
  <si>
    <t>197009051998031002</t>
  </si>
  <si>
    <t>Suraji, SP, M.Si</t>
  </si>
  <si>
    <t>197807152003121011</t>
  </si>
  <si>
    <t>Budi Muhamad Ruslan, S.Pi, M.Si</t>
  </si>
  <si>
    <t>198011302005021001</t>
  </si>
  <si>
    <t>Didit Eko Prasetiyo, S.Pi, M.P</t>
  </si>
  <si>
    <t>198209072009121001</t>
  </si>
  <si>
    <t>Syahid Rahmat Purwanto, A.Md</t>
  </si>
  <si>
    <t>198506092014031001</t>
  </si>
  <si>
    <t>Loka PSPL Sorong</t>
  </si>
  <si>
    <t>Amehr Hakim, S.Pi, M.Si</t>
  </si>
  <si>
    <t>197710282002121004</t>
  </si>
  <si>
    <t>Direktorat Konservasi dan Keanekaragaman Hayati Laut</t>
  </si>
  <si>
    <t>Sarmintohadi, S.Pi, M.Si</t>
  </si>
  <si>
    <t>197505312005021001</t>
  </si>
  <si>
    <t xml:space="preserve">Direktorat Konservasi dan Keanekaragaman Hayati Laut </t>
  </si>
  <si>
    <t>Nurhayati DS, S.E</t>
  </si>
  <si>
    <t>198006172009122001</t>
  </si>
  <si>
    <t xml:space="preserve">Sekretariat Ditjen Pengelolaan Ruang Laut </t>
  </si>
  <si>
    <t xml:space="preserve">Hetty Priyanti Efendi, S.St.Pi </t>
  </si>
  <si>
    <t>198602072010122001</t>
  </si>
  <si>
    <t>Hery Gunawan Daulay, S.P, M.M</t>
  </si>
  <si>
    <t>197811102003121002</t>
  </si>
  <si>
    <t>Direktorat Pendayagunaan Pesisir dan Pulau-pulau Kecil</t>
  </si>
  <si>
    <t>Suwardi, S.T., M.Si</t>
  </si>
  <si>
    <t>197712152009011005</t>
  </si>
  <si>
    <t>BPSPL Denpasar, Wilker Jawa Timur</t>
  </si>
  <si>
    <t>Institut Teknologi Sepuluh Nopember Surabaya</t>
  </si>
  <si>
    <t>Ilmu Teknik Kelautan</t>
  </si>
  <si>
    <t>Agus Triono, A.Md</t>
  </si>
  <si>
    <t>198308172009121003</t>
  </si>
  <si>
    <t>Loka Kawasan Konservasi Perairan Nasional Pekanbaru</t>
  </si>
  <si>
    <t>Sekolah Tinggi Manajemen Informatika (STMIK) AMIK Riau</t>
  </si>
  <si>
    <t xml:space="preserve">Eki Saputra Risja, S.E </t>
  </si>
  <si>
    <t>199101152015031004</t>
  </si>
  <si>
    <t>Analis Pengelolaan Keuangan APBN Ahli Pertama</t>
  </si>
  <si>
    <t>BPSPL Pontianak</t>
  </si>
  <si>
    <t>Universitas Tanjungpura, Pontianak</t>
  </si>
  <si>
    <t xml:space="preserve">Noor Sekar Mentari, A.Md.Ak </t>
  </si>
  <si>
    <t xml:space="preserve">199805232019122002 </t>
  </si>
  <si>
    <t>Sekretariat Direktorat Jenderal Pengelolaan Kelautan dan Ruang Laut</t>
  </si>
  <si>
    <t>Moch. Rizqi Aulia Bisri, A.Md.Ak</t>
  </si>
  <si>
    <t>199803222019121002</t>
  </si>
  <si>
    <t>Agung Putra Utama, S.Si</t>
  </si>
  <si>
    <t>199009222015031006</t>
  </si>
  <si>
    <t>LKKPN Pekanbaru</t>
  </si>
  <si>
    <t>Fahrur Rozi, SH</t>
  </si>
  <si>
    <t>198001192010121001</t>
  </si>
  <si>
    <t>BPSPL Padang</t>
  </si>
  <si>
    <t>Universitas Andalas Padang</t>
  </si>
  <si>
    <t xml:space="preserve">Yessy, A.Md </t>
  </si>
  <si>
    <t>199208082014032002</t>
  </si>
  <si>
    <t>Penata Laksana Barang Terampil</t>
  </si>
  <si>
    <t>BPSPL Denpasar</t>
  </si>
  <si>
    <t>Universitas Terbuka, Denpasar</t>
  </si>
  <si>
    <t>Ilham, S.Kel</t>
  </si>
  <si>
    <t>198506262014031001</t>
  </si>
  <si>
    <t>Analis Pengusahaan Jasa Kelautan Ahli Muda</t>
  </si>
  <si>
    <t>BKKPN Kupang Satker Pangkep</t>
  </si>
  <si>
    <t>Universitas Hasanuddin</t>
  </si>
  <si>
    <t>Suyono</t>
  </si>
  <si>
    <t>198012012005021001</t>
  </si>
  <si>
    <t>A.M.Ishak Yusma, S.Kel, M.Si</t>
  </si>
  <si>
    <t>197808282009011003</t>
  </si>
  <si>
    <t>BPSPL Makassar</t>
  </si>
  <si>
    <t>Muhammad Lukman Faishol, S.H</t>
  </si>
  <si>
    <t>198304282009121002</t>
  </si>
  <si>
    <t xml:space="preserve"> Analis Pengelolaan Keuangan APBN Ahli Pertama</t>
  </si>
  <si>
    <t>Universitas Islam Riau</t>
  </si>
  <si>
    <t>Monika Br.Pinem, S.Pi</t>
  </si>
  <si>
    <t>198611082009122002</t>
  </si>
  <si>
    <t>PELP Ahli Muda</t>
  </si>
  <si>
    <t>Didi Suhaendi</t>
  </si>
  <si>
    <t>197904092007101003</t>
  </si>
  <si>
    <t>Pengadministrasi Barang Milik Negara</t>
  </si>
  <si>
    <t>Direktorat Pendayagunaan Pesisir dan Pulau-Pulau Kecil-DJPKRL</t>
  </si>
  <si>
    <t>Faizal Tuhulele</t>
  </si>
  <si>
    <t>198702282008011001</t>
  </si>
  <si>
    <t>Pengadministrasi Umum</t>
  </si>
  <si>
    <t>BPSPL Denpasar-DJPKRL</t>
  </si>
  <si>
    <t>Marwan Awaluddin, A. Md</t>
  </si>
  <si>
    <t>198501022007011003</t>
  </si>
  <si>
    <t>Balai Pengelolaan Sumberdaya Pesisir dan Laut Makassar</t>
  </si>
  <si>
    <t xml:space="preserve"> Manajemen</t>
  </si>
  <si>
    <t>Herdiyanto Hamzah, S. Kel</t>
  </si>
  <si>
    <t>197907252008021001</t>
  </si>
  <si>
    <t>Leony Siddek Kertawijaya, S.St.Pi</t>
  </si>
  <si>
    <t>198006222010121002</t>
  </si>
  <si>
    <t>Penata Tk. I, III/c</t>
  </si>
  <si>
    <t>Analis Konservasi Kawasan</t>
  </si>
  <si>
    <t>Loka KKPN Pekanbaru</t>
  </si>
  <si>
    <t>Rifai Dwi Prasetio, S.Pi</t>
  </si>
  <si>
    <t>198601302015031001</t>
  </si>
  <si>
    <t>DJPDS</t>
  </si>
  <si>
    <t xml:space="preserve">Direktorat Logistik </t>
  </si>
  <si>
    <t xml:space="preserve">Universitas Indonesia </t>
  </si>
  <si>
    <t>Arlina Maya Sari, A.Md</t>
  </si>
  <si>
    <t>198502252008012004</t>
  </si>
  <si>
    <t>Satker BBP3KP Mataram</t>
  </si>
  <si>
    <t xml:space="preserve">Asep Nasrulloh, S.E </t>
  </si>
  <si>
    <t>198401132008111001</t>
  </si>
  <si>
    <t>Bendahara Pengeluaran</t>
  </si>
  <si>
    <t>Sekretariat PDSPKP</t>
  </si>
  <si>
    <t xml:space="preserve">Maret  </t>
  </si>
  <si>
    <t xml:space="preserve">Siti Asiyah </t>
  </si>
  <si>
    <t>198505052008012004</t>
  </si>
  <si>
    <t>Asisten Pembina Mutu Terampil</t>
  </si>
  <si>
    <t>BBP3KP Jakarta</t>
  </si>
  <si>
    <t xml:space="preserve">Dheny Fibria Handari, A.Md </t>
  </si>
  <si>
    <t>198802172010012019</t>
  </si>
  <si>
    <t>Direktorat Logistik</t>
  </si>
  <si>
    <t>Prayudi Budi Utomo, A.Pi, M.Sc</t>
  </si>
  <si>
    <t>197411301998031002</t>
  </si>
  <si>
    <t>Analis Pasar Hasil Perikanan Ahli Madya</t>
  </si>
  <si>
    <t>Direktorat Usaha dan Investasi</t>
  </si>
  <si>
    <t>198604122015032003</t>
  </si>
  <si>
    <t>Direktorat Pengolahan dan Bina Mutu</t>
  </si>
  <si>
    <t>Sekolah Tinggi Ilmu Ekonomi Y.A.I</t>
  </si>
  <si>
    <t>Abdul Karim</t>
  </si>
  <si>
    <t>197707202008111001</t>
  </si>
  <si>
    <t>Balai Besar Pengujian Penerapan Produk Kelautan dan Perikanan</t>
  </si>
  <si>
    <t>Mujiono</t>
  </si>
  <si>
    <t>198204272008111001</t>
  </si>
  <si>
    <t>Taufik Safirin</t>
  </si>
  <si>
    <t>198610222007011003</t>
  </si>
  <si>
    <t>Lady Diana Langoy, SE</t>
  </si>
  <si>
    <t>198108302006042010</t>
  </si>
  <si>
    <t>Analis Pengelolaan Keuangan APBN Muda</t>
  </si>
  <si>
    <t>Amalia Rooshidayah, A.Md.M</t>
  </si>
  <si>
    <t>199809132021012001</t>
  </si>
  <si>
    <t>Choirunnisa, A.Md.Ak</t>
  </si>
  <si>
    <t>199804252021012002</t>
  </si>
  <si>
    <t>Direktorat Pengolahan</t>
  </si>
  <si>
    <t>Dini Apriani Syahera, A.Md.M</t>
  </si>
  <si>
    <t>199804242021012001</t>
  </si>
  <si>
    <t>Universitas Pelita Harapan</t>
  </si>
  <si>
    <t>Ika Budiarti, S.I.A</t>
  </si>
  <si>
    <t>198411302006042001</t>
  </si>
  <si>
    <t>Analis Pasar Hasil Perikanan Ahli Pertama</t>
  </si>
  <si>
    <t>Manajemen Pemasaran</t>
  </si>
  <si>
    <t>Rini Rosita, S.St.Pi</t>
  </si>
  <si>
    <t>198208062007012001</t>
  </si>
  <si>
    <t>Pembina Mutu Hasil Kelautan dan Perikanan Ahli Muda</t>
  </si>
  <si>
    <t>Hinky Pramudya Gumelar, A.Md.Ak</t>
  </si>
  <si>
    <t>199905252021011004</t>
  </si>
  <si>
    <t>Akuntans</t>
  </si>
  <si>
    <t>Luh Dewi Komarini, S.Pi., MA</t>
  </si>
  <si>
    <t>197401092002122001</t>
  </si>
  <si>
    <t>BRSDM</t>
  </si>
  <si>
    <t>Pusat Pendidikan KP</t>
  </si>
  <si>
    <t>Ilmu Pengelolaan Sumberdaya Alam dan Lingkungan</t>
  </si>
  <si>
    <t>Kamaruddin, S.Pi., M.Si.</t>
  </si>
  <si>
    <t>197312312002121009</t>
  </si>
  <si>
    <t>BRPBAPPP Maros</t>
  </si>
  <si>
    <t>Sri Redjeki Hesti Mulyaningrum, S.Si., M.P</t>
  </si>
  <si>
    <t>Bunga Rante Tampanggallo, S.Pi., M.Si</t>
  </si>
  <si>
    <t>197611092006042011</t>
  </si>
  <si>
    <t>Imam Taukhid, S.T., M.T</t>
  </si>
  <si>
    <t>198008152010121002</t>
  </si>
  <si>
    <t>Zainal Usman, S.P., M.Si</t>
  </si>
  <si>
    <t>197612052002121004</t>
  </si>
  <si>
    <t>Politeknik KP Bone</t>
  </si>
  <si>
    <t>Budiyati, A.Pi., M.Si</t>
  </si>
  <si>
    <t>197209012002122001</t>
  </si>
  <si>
    <t>Ihwan, S.St.Pi., M.Si</t>
  </si>
  <si>
    <t>198402232008011007</t>
  </si>
  <si>
    <t>Awaluddin, A.Pi., M.S.T.Pi</t>
  </si>
  <si>
    <t>197504132002121003</t>
  </si>
  <si>
    <t>Khairudin Isman, S.St.Pi., M.Dev.P.rac.</t>
  </si>
  <si>
    <t>197612042005021001</t>
  </si>
  <si>
    <t>Khairul Jamil, S.P., M.Si</t>
  </si>
  <si>
    <t>197102142006041001</t>
  </si>
  <si>
    <t>Arham Rumpa, S.St.Pi., M.Si</t>
  </si>
  <si>
    <t>197803062009011004</t>
  </si>
  <si>
    <t>Muhammad Syahrir, S.P., M.Si</t>
  </si>
  <si>
    <t>196907151990031004</t>
  </si>
  <si>
    <t>Tri Muryanto</t>
  </si>
  <si>
    <t>199202232010121002</t>
  </si>
  <si>
    <t>Balai Riset Pemulihan Sumber Daya Ikan</t>
  </si>
  <si>
    <t>Agus Koswara</t>
  </si>
  <si>
    <t>197907022006041015</t>
  </si>
  <si>
    <t>Tikkyrino Kurniawan, S.T., MSE</t>
  </si>
  <si>
    <t>198003222009011002</t>
  </si>
  <si>
    <t>BBRSEKP</t>
  </si>
  <si>
    <t>Hasri Rikola, S.Pi</t>
  </si>
  <si>
    <t>198502132008011003</t>
  </si>
  <si>
    <t>SUPM Sorong</t>
  </si>
  <si>
    <t>Dewi Februari Astuti, S.Pi</t>
  </si>
  <si>
    <t>198102022014022002</t>
  </si>
  <si>
    <t>BPPP Bitung</t>
  </si>
  <si>
    <t>Adityo Bayu Ariyadi, S.Pd</t>
  </si>
  <si>
    <t>198606102010121003</t>
  </si>
  <si>
    <t>SUPM Pontianak</t>
  </si>
  <si>
    <t>Universitas Tanjungpura</t>
  </si>
  <si>
    <t>Pendidikan Bahasa Indonesia</t>
  </si>
  <si>
    <t>Nurfitasari, S.Pi</t>
  </si>
  <si>
    <t>198001262008012017</t>
  </si>
  <si>
    <t>BRPL</t>
  </si>
  <si>
    <t>Yoga Yunut Favendri, S.Pi</t>
  </si>
  <si>
    <t>198705142011011008</t>
  </si>
  <si>
    <t>BPPP Banyuwangi</t>
  </si>
  <si>
    <t>Mukhlisin, S.Pi</t>
  </si>
  <si>
    <t>198208202005021001</t>
  </si>
  <si>
    <t>SUPM Tegal</t>
  </si>
  <si>
    <t>Mesenu, S.Ag</t>
  </si>
  <si>
    <t>197002162007011002</t>
  </si>
  <si>
    <t>SUPM Waeheru</t>
  </si>
  <si>
    <t>IAIN Ambon</t>
  </si>
  <si>
    <t>Pendidikan Agama Islam</t>
  </si>
  <si>
    <t>Riki Kusmana, S.St.Pi</t>
  </si>
  <si>
    <t>198211112014031001</t>
  </si>
  <si>
    <t>BRPPUPP</t>
  </si>
  <si>
    <t>Universitas Sjakhyakirti Palembang</t>
  </si>
  <si>
    <t>Tri Sulistiyahadi, S.Pi</t>
  </si>
  <si>
    <t>198609202011011005</t>
  </si>
  <si>
    <t>Nur Lessy</t>
  </si>
  <si>
    <t>198212072007012002</t>
  </si>
  <si>
    <t>SUPM Waiheru</t>
  </si>
  <si>
    <t>Hein F. Pattikawa</t>
  </si>
  <si>
    <t>198709212008011001</t>
  </si>
  <si>
    <t>Jefri J. Tetiwar</t>
  </si>
  <si>
    <t>198810032007011002</t>
  </si>
  <si>
    <t>T. Aldi Hirsa</t>
  </si>
  <si>
    <t>198809032007011001</t>
  </si>
  <si>
    <t>SUPM Ladong</t>
  </si>
  <si>
    <t>Universitas Ubudiyah Indonesia</t>
  </si>
  <si>
    <t>Desember</t>
  </si>
  <si>
    <t>Reza Syahrial</t>
  </si>
  <si>
    <t>198303262008011002</t>
  </si>
  <si>
    <t>Sekolah Tinggi Ilmu Ekonomi Sabang, Banda Aceh</t>
  </si>
  <si>
    <t>Mujib Nikmatuloh, S.E</t>
  </si>
  <si>
    <t>198309272010121001</t>
  </si>
  <si>
    <t>Universitas Nasional</t>
  </si>
  <si>
    <t>Magister Manajemen</t>
  </si>
  <si>
    <t>Restiana</t>
  </si>
  <si>
    <t>199208062010122001</t>
  </si>
  <si>
    <t>SUPM Bone</t>
  </si>
  <si>
    <t>STIA Puangrimaggalatung Bone</t>
  </si>
  <si>
    <t>Khairunnas, S.Pi</t>
  </si>
  <si>
    <t>198805022008011001</t>
  </si>
  <si>
    <t>Universitas Syiah Kuala</t>
  </si>
  <si>
    <t>Teknik Mesin</t>
  </si>
  <si>
    <t>Susma Pranira, S.P</t>
  </si>
  <si>
    <t>198111042015031001</t>
  </si>
  <si>
    <t>Marfin Jona Lekatompessy, S. Pi</t>
  </si>
  <si>
    <t>198612162011012007</t>
  </si>
  <si>
    <t>Septy Roy Suila, S.Pi</t>
  </si>
  <si>
    <t>198009052010011013</t>
  </si>
  <si>
    <t>Irwan Ibrahim, S.Pi</t>
  </si>
  <si>
    <t>197602132011011002</t>
  </si>
  <si>
    <t>Husain</t>
  </si>
  <si>
    <t>196903052002121001</t>
  </si>
  <si>
    <t>STIM Lasharan Jaya Makassar</t>
  </si>
  <si>
    <t>Maryatun Kumalasari</t>
  </si>
  <si>
    <t>198208212005022001</t>
  </si>
  <si>
    <t xml:space="preserve">	POLITEKNIK KP KARAWANG</t>
  </si>
  <si>
    <t xml:space="preserve">Agribisnis </t>
  </si>
  <si>
    <t>Yona Desmita, A.Md</t>
  </si>
  <si>
    <t>198212252010012015</t>
  </si>
  <si>
    <t>BPPP MEDAN</t>
  </si>
  <si>
    <t>Muharzi, A.Md</t>
  </si>
  <si>
    <t>198310092010011008</t>
  </si>
  <si>
    <t>Irwan Teapon, A.Md.Pi</t>
  </si>
  <si>
    <t>197506152000121008</t>
  </si>
  <si>
    <t>BPPP AMBON</t>
  </si>
  <si>
    <t>Martha Kereway</t>
  </si>
  <si>
    <t>199003052010042001</t>
  </si>
  <si>
    <t>Mey Lynn Efruan, A.Md</t>
  </si>
  <si>
    <t>198002292010012013</t>
  </si>
  <si>
    <t>Sarna Sibela</t>
  </si>
  <si>
    <t>197809112008012023</t>
  </si>
  <si>
    <t>Imelda Sikteubun</t>
  </si>
  <si>
    <t>198107172006042031</t>
  </si>
  <si>
    <t>Keliopas Wahyu Inekeb</t>
  </si>
  <si>
    <t>198608032011041003</t>
  </si>
  <si>
    <t>Lukas Semuel Rumbrapuk</t>
  </si>
  <si>
    <t>198409292010041002</t>
  </si>
  <si>
    <t>YAN SEMUEL BONSAPIA</t>
  </si>
  <si>
    <t>197907212006051002</t>
  </si>
  <si>
    <t>Derek Manwombre Sarwom, A,Md</t>
  </si>
  <si>
    <t>198105082009091001</t>
  </si>
  <si>
    <t>Hengky Silas Padwa, A.Md</t>
  </si>
  <si>
    <t>197909212010041001</t>
  </si>
  <si>
    <t>Abdur Rahim Lessy</t>
  </si>
  <si>
    <t>198201012008011033</t>
  </si>
  <si>
    <t xml:space="preserve">Universitas Darussalam   </t>
  </si>
  <si>
    <t xml:space="preserve">Budidaya Perairan </t>
  </si>
  <si>
    <t>Idat Ikhtafia, A.Md</t>
  </si>
  <si>
    <t>198612082015032001</t>
  </si>
  <si>
    <t xml:space="preserve">Universitas Terbuka  </t>
  </si>
  <si>
    <t>Hamadhan Kemhay</t>
  </si>
  <si>
    <t>Anggun Rizki Siami Aprilina, S.Pi</t>
  </si>
  <si>
    <t>199004032015012001</t>
  </si>
  <si>
    <t>Penyuluh Perikanan Muda</t>
  </si>
  <si>
    <t>BBRBLPP Gondol</t>
  </si>
  <si>
    <t>Ilmu Kelautan Bidang Minat Manajemen Perikanan</t>
  </si>
  <si>
    <t>Wiwik Susanti, S.Pi</t>
  </si>
  <si>
    <t>198009242010012026</t>
  </si>
  <si>
    <t>Agung Widodo, S.Pi</t>
  </si>
  <si>
    <t xml:space="preserve">SUPM Tegal </t>
  </si>
  <si>
    <t xml:space="preserve">Universitas Pancasakti, Tegal </t>
  </si>
  <si>
    <t>Suprih Hariyanto, S.Pi</t>
  </si>
  <si>
    <t>197610182000031001</t>
  </si>
  <si>
    <t>Rezki Antoni S, S.Kel</t>
  </si>
  <si>
    <t>198506192010121001</t>
  </si>
  <si>
    <t>Kepala BRPPUPP</t>
  </si>
  <si>
    <t>BRPPUPP Palembang</t>
  </si>
  <si>
    <t xml:space="preserve">Manajemen Bidang Minat Keuangan </t>
  </si>
  <si>
    <t>Lisnawati, SE</t>
  </si>
  <si>
    <t>198701082009012001</t>
  </si>
  <si>
    <t>Andi Wirman, S.Pi</t>
  </si>
  <si>
    <t>198508182007011002</t>
  </si>
  <si>
    <t>Pengelola Peserta Didik</t>
  </si>
  <si>
    <t>SUPM Pariaman</t>
  </si>
  <si>
    <t>Juli Adha, S.Tr.Pi.</t>
  </si>
  <si>
    <t>198807262007011002</t>
  </si>
  <si>
    <t>Penyusun Rencana Kegiatan dan Anggaran</t>
  </si>
  <si>
    <t>Meli Afrita, S.Pi.</t>
  </si>
  <si>
    <t>199105112009122001</t>
  </si>
  <si>
    <t>Dewi Rahayu</t>
  </si>
  <si>
    <t>197704132008012014</t>
  </si>
  <si>
    <t>Penyuluh Perikanan Pelaksana Lanjutan</t>
  </si>
  <si>
    <t>Balai Besar Riset Budidaya Laut dan Penyuluhan Perikanan</t>
  </si>
  <si>
    <t>Ruslan</t>
  </si>
  <si>
    <t>197806032006041017</t>
  </si>
  <si>
    <t>Pradita Puspasari, A.Md</t>
  </si>
  <si>
    <t>198502272008012004</t>
  </si>
  <si>
    <t>Instruktur Penyelia</t>
  </si>
  <si>
    <t>Akhmad Fauzi, S.Pi</t>
  </si>
  <si>
    <t>197810132006041020</t>
  </si>
  <si>
    <t>Universitas Lambung Mangkurat, Banjarmasin</t>
  </si>
  <si>
    <t>Ani Supia, S.Pi</t>
  </si>
  <si>
    <t>197702282010012007</t>
  </si>
  <si>
    <t>Anisah, S.Pi</t>
  </si>
  <si>
    <t>1998305112010012021</t>
  </si>
  <si>
    <t>Fachriansyah, S.Pi</t>
  </si>
  <si>
    <t>197203271994031006</t>
  </si>
  <si>
    <t>Penyuluh Perikanan Madya</t>
  </si>
  <si>
    <t>Hendera Fakhruddin Noor, S.Pi</t>
  </si>
  <si>
    <t>198406062008031003</t>
  </si>
  <si>
    <t>Inayah Rahmani, S.Pi</t>
  </si>
  <si>
    <t>197709072006042010</t>
  </si>
  <si>
    <t>Penyuluh Perikanan Pertama</t>
  </si>
  <si>
    <t>Mahyudi Haryani, S.Pi</t>
  </si>
  <si>
    <t>198306192015031001</t>
  </si>
  <si>
    <t>Nor Ilmi, S.Pi</t>
  </si>
  <si>
    <t>198101232006041011</t>
  </si>
  <si>
    <t>Soraya, S.Pi</t>
  </si>
  <si>
    <t>198202142006042014</t>
  </si>
  <si>
    <t>Wahyu Wardani, S.Pi</t>
  </si>
  <si>
    <t>198202282011011010</t>
  </si>
  <si>
    <t>Erryna Agust Safitri, S.Pi</t>
  </si>
  <si>
    <t>198608102011012012</t>
  </si>
  <si>
    <t>Fatimah, S.Pi</t>
  </si>
  <si>
    <t>197505192006042021</t>
  </si>
  <si>
    <t>Khadijah, S.Pi</t>
  </si>
  <si>
    <t>197802012011012003</t>
  </si>
  <si>
    <t>Suhardi, S.P</t>
  </si>
  <si>
    <t>196902171999031004</t>
  </si>
  <si>
    <t>Abdilah Mudzakir, S.Pi</t>
  </si>
  <si>
    <t>198005162010011022</t>
  </si>
  <si>
    <t>Politeknik Negeri Jember</t>
  </si>
  <si>
    <t>Agus Tryono, S.Pi</t>
  </si>
  <si>
    <t>197508202010011006</t>
  </si>
  <si>
    <t>Universitas Trunojoyo Madura</t>
  </si>
  <si>
    <t>Pengelolaan Sumber Daya Alam</t>
  </si>
  <si>
    <t xml:space="preserve">Ainur Rofikh, S.Pi </t>
  </si>
  <si>
    <t>196811071991032012</t>
  </si>
  <si>
    <t xml:space="preserve">Dadang Agung Setiyawan, S.Pi </t>
  </si>
  <si>
    <t>198509212014021002</t>
  </si>
  <si>
    <t>Dewi Ratih, S.Pi</t>
  </si>
  <si>
    <t>197103071994032010</t>
  </si>
  <si>
    <t xml:space="preserve">Freegied Satriya Wibisono, S.Pi </t>
  </si>
  <si>
    <t>198402202010011018</t>
  </si>
  <si>
    <t xml:space="preserve">Nadwatuz Zaman, S.St.Pi </t>
  </si>
  <si>
    <t>198101092006042026</t>
  </si>
  <si>
    <t xml:space="preserve">Supriyanti Suratman, S.Pi </t>
  </si>
  <si>
    <t>198110022011012018</t>
  </si>
  <si>
    <t>Syamsudin</t>
  </si>
  <si>
    <t>197112152007011013</t>
  </si>
  <si>
    <t xml:space="preserve">Penyuluh Perikanan Terampil </t>
  </si>
  <si>
    <t>Henny Wahyuliani, A.Md</t>
  </si>
  <si>
    <t>198501032010012028</t>
  </si>
  <si>
    <t>Penyuluh Perikanan Mahir</t>
  </si>
  <si>
    <t xml:space="preserve">Andrias Raja </t>
  </si>
  <si>
    <t>199503232014031001</t>
  </si>
  <si>
    <t>Penyuluh Perikanan Pelaksana Pemula</t>
  </si>
  <si>
    <t>BBRBLPP</t>
  </si>
  <si>
    <t xml:space="preserve">Ade Ronald E Riwu Manu </t>
  </si>
  <si>
    <t>198707292011011007</t>
  </si>
  <si>
    <t xml:space="preserve">Desi Djami Kale </t>
  </si>
  <si>
    <t>198912052014032003</t>
  </si>
  <si>
    <t xml:space="preserve">Esterlian Kana Mangngi </t>
  </si>
  <si>
    <t>198904132011012022</t>
  </si>
  <si>
    <t>Penyuluh Perikanan Pelaksana</t>
  </si>
  <si>
    <t>Nadia Dewi Yulyastri Djula</t>
  </si>
  <si>
    <t xml:space="preserve">199512012014032001 </t>
  </si>
  <si>
    <t>Selfiana Lage</t>
  </si>
  <si>
    <t>199006242011012002</t>
  </si>
  <si>
    <t>Ratih Damayanti, S.Pi</t>
  </si>
  <si>
    <t>198011222005012017</t>
  </si>
  <si>
    <t>Mutmainnah, S.Pi</t>
  </si>
  <si>
    <t xml:space="preserve">197511072006042005 </t>
  </si>
  <si>
    <t>Rendra Fahlovie, S.Pi</t>
  </si>
  <si>
    <t>197806202006041009</t>
  </si>
  <si>
    <t>Ramlah, S.Pi</t>
  </si>
  <si>
    <t xml:space="preserve">197708042006042006 </t>
  </si>
  <si>
    <t>Norhidayah, S.Pi</t>
  </si>
  <si>
    <t>198107172006042023</t>
  </si>
  <si>
    <t>M. Harris Agusfiyanto, S.Pi</t>
  </si>
  <si>
    <t>198108092006041007</t>
  </si>
  <si>
    <t>Nurwanti, S.I.Kom, M.Si</t>
  </si>
  <si>
    <t>198008272006042017</t>
  </si>
  <si>
    <t>Analis Kepegawaian Ahli Muda</t>
  </si>
  <si>
    <t>BRPPUPP Palemban</t>
  </si>
  <si>
    <t>Universitas Sriwijaya</t>
  </si>
  <si>
    <t>Dian Kusumasari, A.Md</t>
  </si>
  <si>
    <t>198502172011012002</t>
  </si>
  <si>
    <t>Balai Riset Perikanan Budidaya Air Tawar dan Penyuluhan Perikanan</t>
  </si>
  <si>
    <t>Temi Susan Kaligis, A.Md</t>
  </si>
  <si>
    <t>197909272010122001</t>
  </si>
  <si>
    <t>Politeknik Kelautan dan Perikanan Bitung</t>
  </si>
  <si>
    <t>STIE Petra</t>
  </si>
  <si>
    <t>Karwan Kaunar</t>
  </si>
  <si>
    <t>197911112008011012</t>
  </si>
  <si>
    <t>BPPP Ambon</t>
  </si>
  <si>
    <t>Syors Hiskia Amsamsium, A.Md.Pi</t>
  </si>
  <si>
    <t>198104142015011001</t>
  </si>
  <si>
    <t>Estevanus Rejauw</t>
  </si>
  <si>
    <t>198410252011041001</t>
  </si>
  <si>
    <t>Filep Festus Asaribab, A.Md.Pi</t>
  </si>
  <si>
    <t>198402232015011001</t>
  </si>
  <si>
    <t>Edison Malagisa</t>
  </si>
  <si>
    <t>197907292015031001</t>
  </si>
  <si>
    <t>Eka Maya Sofia, A.Md</t>
  </si>
  <si>
    <t>198505292006042006</t>
  </si>
  <si>
    <t>Balai Riset Perikanan Perairan Umum dan Penyuluhan Perikanan</t>
  </si>
  <si>
    <t>Ditra Fajri, A.Md</t>
  </si>
  <si>
    <t>199201262014021001</t>
  </si>
  <si>
    <t>Dwi Oktarika, A.Md</t>
  </si>
  <si>
    <t>198410272006042007</t>
  </si>
  <si>
    <t>Penyuluh Perikanan Penyelia</t>
  </si>
  <si>
    <t>Ir. Lusje Lidya Debora Antou, M.Si</t>
  </si>
  <si>
    <t>196612171991032011</t>
  </si>
  <si>
    <t>Dosen Asisten Ahli</t>
  </si>
  <si>
    <t>Agus Budi Utomo, S.Pi</t>
  </si>
  <si>
    <t>198308132010011012</t>
  </si>
  <si>
    <t>Aldi Indra Pribadie, S.Pi</t>
  </si>
  <si>
    <t>198805152012121001</t>
  </si>
  <si>
    <t>Darius Sesario Maloring, A.Md, S.P</t>
  </si>
  <si>
    <t>198711012011011003</t>
  </si>
  <si>
    <t>Devi Ardiyati Khasana, S.Pi</t>
  </si>
  <si>
    <t>198212012010012009</t>
  </si>
  <si>
    <t>Donna Octaviana, S.Si</t>
  </si>
  <si>
    <t>198310022009032007</t>
  </si>
  <si>
    <t>Penyuluh Perikanan Ahli Madya</t>
  </si>
  <si>
    <t>Edi Efendi, S.Pi</t>
  </si>
  <si>
    <t>198902012012121001</t>
  </si>
  <si>
    <t>Fatihatus Siyadah, S.Pi</t>
  </si>
  <si>
    <t>198111222014022001</t>
  </si>
  <si>
    <t>Fredy Kurniawan, S.PKP</t>
  </si>
  <si>
    <t>198706242011011004</t>
  </si>
  <si>
    <t>Indra Wijaya, S.Pi</t>
  </si>
  <si>
    <t>198412012010011013</t>
  </si>
  <si>
    <t>Ira Meilina, SP</t>
  </si>
  <si>
    <t>Irwan Nur Widiyanto, S.Pi</t>
  </si>
  <si>
    <t>198607202011011003</t>
  </si>
  <si>
    <t>Lia Yulianti, S.Pi</t>
  </si>
  <si>
    <t>197107112006042003</t>
  </si>
  <si>
    <t>M. Amin Haitami, S.Pi</t>
  </si>
  <si>
    <t>198009182005011012</t>
  </si>
  <si>
    <t>Penyuluh Perikanan Ahli Muda</t>
  </si>
  <si>
    <t>Nia Octavia, S.St.Pi</t>
  </si>
  <si>
    <t>198810022010122004</t>
  </si>
  <si>
    <t>Novi Lisda Yaningsih, S.Pi</t>
  </si>
  <si>
    <t>198211012006042008</t>
  </si>
  <si>
    <t>Oktarina, S.P</t>
  </si>
  <si>
    <t>198310302014072002</t>
  </si>
  <si>
    <t>Rostuti L Sitanggang, S.Pi</t>
  </si>
  <si>
    <t>197602162000032003</t>
  </si>
  <si>
    <t>Rudi Apriyanto, S.Pi</t>
  </si>
  <si>
    <t>198004022010011006</t>
  </si>
  <si>
    <t>Samsun Aribama, S.St.Pi</t>
  </si>
  <si>
    <t>198810142010121003</t>
  </si>
  <si>
    <t>Supriono, S.Pi</t>
  </si>
  <si>
    <t>198103132010011015</t>
  </si>
  <si>
    <t>Winarto Santosa, S.Pi</t>
  </si>
  <si>
    <t>198112292010011010</t>
  </si>
  <si>
    <t>Saida Umagapi</t>
  </si>
  <si>
    <t>197703192007012018</t>
  </si>
  <si>
    <t>Agustina Reyaan, A.Md</t>
  </si>
  <si>
    <t>198408232011012015</t>
  </si>
  <si>
    <t>Maria M. Warayaan, A.Md</t>
  </si>
  <si>
    <t>198405232010012031</t>
  </si>
  <si>
    <t>Ferdinand Sanamasse, A.Md</t>
  </si>
  <si>
    <t>198202032015061001</t>
  </si>
  <si>
    <t>Masriana Melanisa T. Ginuny, A.Md.Pi</t>
  </si>
  <si>
    <t>199303202015062001</t>
  </si>
  <si>
    <t>Penyuluh Perikanan Terampil</t>
  </si>
  <si>
    <t>Ina Restuwati ,S.IP, M.Si</t>
  </si>
  <si>
    <t>196905241991032007</t>
  </si>
  <si>
    <t>Dosen Lektor</t>
  </si>
  <si>
    <t>Politeknik Ahli Usaha Perikanan</t>
  </si>
  <si>
    <t>Saeful Lukman, S.Ag</t>
  </si>
  <si>
    <t>197310232007011002</t>
  </si>
  <si>
    <t xml:space="preserve">Guru Muda </t>
  </si>
  <si>
    <t>Institut Agama Islam Negeri Pekalongan</t>
  </si>
  <si>
    <t xml:space="preserve">Pendidikan Agama Islam </t>
  </si>
  <si>
    <t>Eftanis Meilani, A.Md.Pi</t>
  </si>
  <si>
    <t>198705112011012022</t>
  </si>
  <si>
    <t>BRPBAPPP</t>
  </si>
  <si>
    <t>Periwati, A.Md.Pi</t>
  </si>
  <si>
    <t>19770306 200901 2 004</t>
  </si>
  <si>
    <t>Sitti Suriyati, A.Md.Pi</t>
  </si>
  <si>
    <t xml:space="preserve">19800717 201412 2 003 </t>
  </si>
  <si>
    <t xml:space="preserve">Penyuluh Perikanan Pelaksana </t>
  </si>
  <si>
    <t>Nurhaedah, A.Md.Pi</t>
  </si>
  <si>
    <t>19810125 201511 2 001</t>
  </si>
  <si>
    <t xml:space="preserve">Juhasni </t>
  </si>
  <si>
    <t>19820817 201412 2 004</t>
  </si>
  <si>
    <t>Andi Ully Amm Waliyyunie, A.Md.Pi</t>
  </si>
  <si>
    <t>19810930 201412 2 002</t>
  </si>
  <si>
    <t xml:space="preserve">Zulkarnain, A.Md.Pi </t>
  </si>
  <si>
    <t>19821025 201412 1 001</t>
  </si>
  <si>
    <t>Markus</t>
  </si>
  <si>
    <t>19720327 201001 1 005</t>
  </si>
  <si>
    <t>Yusak Suriadi</t>
  </si>
  <si>
    <t>19780613 201001 1 014</t>
  </si>
  <si>
    <t xml:space="preserve">Renda Martanu, A.Md </t>
  </si>
  <si>
    <t>19901227 201403 1 002</t>
  </si>
  <si>
    <t xml:space="preserve">Loka Riset Perikanan Tuna </t>
  </si>
  <si>
    <t>Nugraha Rizki Fauzi</t>
  </si>
  <si>
    <t>19890213 200801 1 003</t>
  </si>
  <si>
    <t>Kepala Kamar Mesin Kapal Cakalang</t>
  </si>
  <si>
    <t>BPPP Medan</t>
  </si>
  <si>
    <t>Universitas Darma Agung</t>
  </si>
  <si>
    <t>Sudarmaji</t>
  </si>
  <si>
    <t>19850616 200604 1 004</t>
  </si>
  <si>
    <t>Rizqa Nursa Nailurakhma, A.Md</t>
  </si>
  <si>
    <t>19890128 201012 2 002</t>
  </si>
  <si>
    <t>Pranata Keuangan APBN Mahir</t>
  </si>
  <si>
    <t>BPPP Tegal</t>
  </si>
  <si>
    <t>Rachmat Pitoyo, A.Md</t>
  </si>
  <si>
    <t>19870909 200903 1 001</t>
  </si>
  <si>
    <t>Ulas Angriyani, A.Md</t>
  </si>
  <si>
    <t>19880226 201503 2 004</t>
  </si>
  <si>
    <t>Yudistira Aprianto, S.St.Pi</t>
  </si>
  <si>
    <t xml:space="preserve">19860409 201101 1 009 </t>
  </si>
  <si>
    <t>Universitas Tadulako</t>
  </si>
  <si>
    <t>Alis Febri Bonde, S.Kel</t>
  </si>
  <si>
    <t>19840228 201102 2 001</t>
  </si>
  <si>
    <t>Deisye Meylen Rawis, S.Pi</t>
  </si>
  <si>
    <t>19790526 201001 2 004</t>
  </si>
  <si>
    <t xml:space="preserve">Gani Asri Muharam, A.Md </t>
  </si>
  <si>
    <t>19831024 201012 1 001</t>
  </si>
  <si>
    <t>Siti Nurlaila Mertosono, S.IK</t>
  </si>
  <si>
    <t>19771210 200903 2 002</t>
  </si>
  <si>
    <t>Aris Suryanto, A.Md</t>
  </si>
  <si>
    <t>19841011 200801 1 003</t>
  </si>
  <si>
    <t>A. Samad Samanery</t>
  </si>
  <si>
    <t>19870227 200801 1 001</t>
  </si>
  <si>
    <t>Putut Erie Sudjito, S.E</t>
  </si>
  <si>
    <t>19791217 200801 1 012</t>
  </si>
  <si>
    <t>Sekretariat BRSDM KP</t>
  </si>
  <si>
    <t>Sekolah Tinggi Manajemen IMMI</t>
  </si>
  <si>
    <t>Rahmadhany Natsir, S.Sos</t>
  </si>
  <si>
    <t>19780826 200502 2 001</t>
  </si>
  <si>
    <t>Suhartati, S.Pi</t>
  </si>
  <si>
    <t>19791002 201407 2 002</t>
  </si>
  <si>
    <t>Siti Hajar, S.Pi</t>
  </si>
  <si>
    <t>19821007 201407 2 006</t>
  </si>
  <si>
    <t>Penyuluh Perikanan Ahli Pertama</t>
  </si>
  <si>
    <t xml:space="preserve">Herlina Tahang, S.St.Pi </t>
  </si>
  <si>
    <t>19851015 201012 2 001</t>
  </si>
  <si>
    <t>Iswahyuddin, S.Pi</t>
  </si>
  <si>
    <t>19840308 201001 1 021</t>
  </si>
  <si>
    <t>Andi Purwanti, S.St.Pi</t>
  </si>
  <si>
    <t>19840910 201012 2 001</t>
  </si>
  <si>
    <t>Aripuddin</t>
  </si>
  <si>
    <t>19830529 200502 1 001</t>
  </si>
  <si>
    <t>Teknisi Listrik dan Jaringan</t>
  </si>
  <si>
    <t>Sekolah Tinggi Ilmu Manajemen Lasharan Jaya Makassar</t>
  </si>
  <si>
    <t>Danial</t>
  </si>
  <si>
    <t>19760609 200604 1 008</t>
  </si>
  <si>
    <t>Petugas Keamanan</t>
  </si>
  <si>
    <t>Muhammad Rusli</t>
  </si>
  <si>
    <t>19820709 200701 1 001</t>
  </si>
  <si>
    <t>Teknisi Sarana dan Prasarana</t>
  </si>
  <si>
    <t>Safar</t>
  </si>
  <si>
    <t>19730317 200604 1 006</t>
  </si>
  <si>
    <t>Reni Nopita Sari, S.Pi</t>
  </si>
  <si>
    <t>19830314 200901 2 005</t>
  </si>
  <si>
    <t xml:space="preserve">Penyuluh Perikanan Muda </t>
  </si>
  <si>
    <t>Adi Nugroho, S.Pi</t>
  </si>
  <si>
    <t>19850228 201001 1 024</t>
  </si>
  <si>
    <t xml:space="preserve">Penyuluh Perikanan Pertama </t>
  </si>
  <si>
    <t>Universitas Gadjah Mada</t>
  </si>
  <si>
    <t>Deti Sri Dewi Restini</t>
  </si>
  <si>
    <t>19871221 200801 2 001</t>
  </si>
  <si>
    <t>Dyan Satwika Nur Utami, S.Pi</t>
  </si>
  <si>
    <t>19850330 201001 2 029</t>
  </si>
  <si>
    <t>Erna Yuli Wardani, A.Md</t>
  </si>
  <si>
    <t>19790712 201101 2 002</t>
  </si>
  <si>
    <t xml:space="preserve">Idham Ali Rosadi </t>
  </si>
  <si>
    <t>19901206 201012 1 002</t>
  </si>
  <si>
    <t>Ignatius Agus Sinduyoto, A.Md</t>
  </si>
  <si>
    <t>19811031 201101 1 005</t>
  </si>
  <si>
    <t>Ika Rahmattika, S.E</t>
  </si>
  <si>
    <t>19851028 200901 2 002</t>
  </si>
  <si>
    <t>Pranata Keuangan APBN Penyelia</t>
  </si>
  <si>
    <t>Iswahyudi, A.Md</t>
  </si>
  <si>
    <t>19740506 200604 1 015</t>
  </si>
  <si>
    <t>Khothoh Syuraikhanah, S.Pi</t>
  </si>
  <si>
    <t>19800413 201101 2 002</t>
  </si>
  <si>
    <t>Universitas Jenderal Soedirman</t>
  </si>
  <si>
    <t>Sumberdaya Akuatik</t>
  </si>
  <si>
    <t>Khusnul Khotimah, A.Md</t>
  </si>
  <si>
    <t>19810317 201101 2 007</t>
  </si>
  <si>
    <t>Laily Fitriastuti, A.Md</t>
  </si>
  <si>
    <t>19810706 200604 2 012</t>
  </si>
  <si>
    <t>Malviana Wardhani, S.Pi</t>
  </si>
  <si>
    <t>19820511 201101 2 002</t>
  </si>
  <si>
    <t>Mina Rifqi, A.Md</t>
  </si>
  <si>
    <t>19810920 201001 1 015</t>
  </si>
  <si>
    <t>Mohamad Hartadi, A.Md</t>
  </si>
  <si>
    <t xml:space="preserve">19811011 200501 1 007 </t>
  </si>
  <si>
    <t>Nofid Fungki Ardi, A.Md</t>
  </si>
  <si>
    <t>19861113 200903 1 002</t>
  </si>
  <si>
    <t>Nur Azizah, S.A.P</t>
  </si>
  <si>
    <t>19841107 200901 2 002</t>
  </si>
  <si>
    <t>Analis SDM Aparatur</t>
  </si>
  <si>
    <t>Manajemen Sumber Daya Manusia</t>
  </si>
  <si>
    <t>Nursetia Aisyah</t>
  </si>
  <si>
    <t>19911108 201012 2 002</t>
  </si>
  <si>
    <t>Universitas Muhammadiyah Pontianak</t>
  </si>
  <si>
    <t>Rohmatun Nafidah</t>
  </si>
  <si>
    <t>19911213 201012 2 001</t>
  </si>
  <si>
    <t>Sofiyan, A.Md</t>
  </si>
  <si>
    <t>19790815 201001 1 016</t>
  </si>
  <si>
    <t>Teguh Adi Prasetyo, A.Md</t>
  </si>
  <si>
    <t>19800723 200903 1 002</t>
  </si>
  <si>
    <t>Wahyu Surya Lesmana, A.Md</t>
  </si>
  <si>
    <t>19850924 200801 1 002</t>
  </si>
  <si>
    <t>Instruktur Pelaksana Lanjutan</t>
  </si>
  <si>
    <t xml:space="preserve">Yeniarsih Dwi Astuti, S.Pi </t>
  </si>
  <si>
    <t>19830102 201101 2 007</t>
  </si>
  <si>
    <t>Yoyok Sutaryo, A.Md</t>
  </si>
  <si>
    <t>19780409 200909 1 001</t>
  </si>
  <si>
    <t>Yudhie Hardian, A.Md</t>
  </si>
  <si>
    <t>19760802 200312 1 002</t>
  </si>
  <si>
    <t>Hadi Nur Rohman</t>
  </si>
  <si>
    <t>19910927 200912 1 001</t>
  </si>
  <si>
    <t>Politeknik Kelautan dan Perikanan Sorong</t>
  </si>
  <si>
    <t>Meilani Sunarto</t>
  </si>
  <si>
    <t>19850502 200901 2 004</t>
  </si>
  <si>
    <t>Universitas Victory Sorong</t>
  </si>
  <si>
    <t>Rode Rut Erary</t>
  </si>
  <si>
    <t>19770614 200901 2 001</t>
  </si>
  <si>
    <t>Pengadministrasi Kesiswaan</t>
  </si>
  <si>
    <t>Nusaibah An Nuuriah, A.Md</t>
  </si>
  <si>
    <t>19921206 201503 2 005</t>
  </si>
  <si>
    <t>Pranata Keuangan APBN</t>
  </si>
  <si>
    <t>Balai Riset Budidaya Ikan Hias</t>
  </si>
  <si>
    <t>Yusuf Saady S.Pi</t>
  </si>
  <si>
    <t>19740911 200904 1 001</t>
  </si>
  <si>
    <t>Sarnanda</t>
  </si>
  <si>
    <t>19881221 200701 1 001</t>
  </si>
  <si>
    <t>Pusat Riset Kelautan</t>
  </si>
  <si>
    <t xml:space="preserve"> Pemanfaatan Sumber Daya Perikanan</t>
  </si>
  <si>
    <t xml:space="preserve">19821014 200502 2 001 </t>
  </si>
  <si>
    <t>Yunita Eka Sari</t>
  </si>
  <si>
    <t>19840617 201012 2 003</t>
  </si>
  <si>
    <t>Noor Miladiah, S.Pi</t>
  </si>
  <si>
    <t>19820112 201001 2 017</t>
  </si>
  <si>
    <t>Setyo Triadi</t>
  </si>
  <si>
    <t>19920914 201012 1 001</t>
  </si>
  <si>
    <t xml:space="preserve">Rahimawati, A.Md
</t>
  </si>
  <si>
    <t>19810312 201101 2 007</t>
  </si>
  <si>
    <t>Eko Cahyo Zainul Abidin</t>
  </si>
  <si>
    <t>19820425 200801 1 009</t>
  </si>
  <si>
    <t>Hery Susanto, S.Pi</t>
  </si>
  <si>
    <t>19790312 201001 1 015</t>
  </si>
  <si>
    <t>Moch.Arief Rachman, S.Kel</t>
  </si>
  <si>
    <t>19850412 201503 1 003</t>
  </si>
  <si>
    <t>Warda Usemahu</t>
  </si>
  <si>
    <t>19820228 200801 2 023</t>
  </si>
  <si>
    <t>Asniar, S.Sos</t>
  </si>
  <si>
    <t xml:space="preserve">19840603 200502 2 001
</t>
  </si>
  <si>
    <t>Sekolah Tinggi Ilmu Administrasi Puangrimaggalatung</t>
  </si>
  <si>
    <t>Laely Dimyati, S.Pd</t>
  </si>
  <si>
    <t>19860706 200901 2 001</t>
  </si>
  <si>
    <t>Irsan, S.T</t>
  </si>
  <si>
    <t>19780210 200701 1 025</t>
  </si>
  <si>
    <t>Analis Materi Penyuluhan</t>
  </si>
  <si>
    <t>Balai Riset Perikanan Perairan Umum dan Penyuluhan Perikanan Palembang</t>
  </si>
  <si>
    <t>Universitas Indo Global Mandir</t>
  </si>
  <si>
    <t>Novita Sri Kusumawati, S.Pi</t>
  </si>
  <si>
    <t>19821103 201212 2 001</t>
  </si>
  <si>
    <t xml:space="preserve">Pengelola Pengadaan Barang dan Jasa </t>
  </si>
  <si>
    <t xml:space="preserve">Administrasi Publik </t>
  </si>
  <si>
    <t>Kikin Setiyono</t>
  </si>
  <si>
    <t>198010082007011001</t>
  </si>
  <si>
    <t>Masinis</t>
  </si>
  <si>
    <t>Universitas Pamulang</t>
  </si>
  <si>
    <t>Shelia, S.Pi</t>
  </si>
  <si>
    <t>198303202008012016</t>
  </si>
  <si>
    <t>BRPPUPP, Palembang</t>
  </si>
  <si>
    <t>Karnilawati, S.Pi</t>
  </si>
  <si>
    <t>198212192011012001</t>
  </si>
  <si>
    <t>Syahrir Soamole</t>
  </si>
  <si>
    <t>197409222007011020</t>
  </si>
  <si>
    <t>Hamadan Kemhay</t>
  </si>
  <si>
    <t>19730923 200701 1 016</t>
  </si>
  <si>
    <t>Herlia Suneth</t>
  </si>
  <si>
    <t>198004222007012010</t>
  </si>
  <si>
    <t>Novi Thoriqun Naja</t>
  </si>
  <si>
    <t>198211212009101001</t>
  </si>
  <si>
    <t>BBRPPBKP</t>
  </si>
  <si>
    <t>Dedi Kusnadi Purba, S.H</t>
  </si>
  <si>
    <t>198203202009011010</t>
  </si>
  <si>
    <t>Pengelola Pengadaan Barang/Jasa Ahli Pertama</t>
  </si>
  <si>
    <t>19861208 201503 2 001</t>
  </si>
  <si>
    <t>Dadang Saifullah, S.Pi</t>
  </si>
  <si>
    <t>197203152001121004</t>
  </si>
  <si>
    <t>Abida, S.Pi</t>
  </si>
  <si>
    <t>197302132010012003</t>
  </si>
  <si>
    <t>Ipung Taufiq Hidayat, A.Md</t>
  </si>
  <si>
    <t>198011212014031001</t>
  </si>
  <si>
    <t>Pengadministrasi Perpustakaan</t>
  </si>
  <si>
    <t>LRMPHP,Yogyakarta</t>
  </si>
  <si>
    <t>Ilmu Perpustakaan</t>
  </si>
  <si>
    <t>Iwan Saputra</t>
  </si>
  <si>
    <t>197806271998031001</t>
  </si>
  <si>
    <t>Pusat Riset Perikanan</t>
  </si>
  <si>
    <t>Khairul Anam</t>
  </si>
  <si>
    <t>198102282008011013</t>
  </si>
  <si>
    <t>Universitas Darussalam Ambon</t>
  </si>
  <si>
    <t>Manajemen Sumber Daya Perairan</t>
  </si>
  <si>
    <t>Maya Nurnaningsih</t>
  </si>
  <si>
    <t>197805142007012002</t>
  </si>
  <si>
    <t>BRPI Subang</t>
  </si>
  <si>
    <t>STIE Miftahul Huda Subang</t>
  </si>
  <si>
    <t>198807092009121001</t>
  </si>
  <si>
    <t>Pudji Suwargono</t>
  </si>
  <si>
    <t>197105262008111001</t>
  </si>
  <si>
    <t>Teknisi Litkayasa Pelaksana Lanjutan</t>
  </si>
  <si>
    <t>Wiwit Riana, S.Pd</t>
  </si>
  <si>
    <t>198108192009012005</t>
  </si>
  <si>
    <t>Analis Pengembangan Karir Pendidik dan Tenaga Kependidikan</t>
  </si>
  <si>
    <t>Pusat Pendidikan Kelautan dan Perikanan</t>
  </si>
  <si>
    <t>Endang Masduki, S.St.Pi</t>
  </si>
  <si>
    <t>198203202007011001</t>
  </si>
  <si>
    <t>199208302015032003</t>
  </si>
  <si>
    <t>Pengelola Program dan Laporan</t>
  </si>
  <si>
    <t>198705252010121003</t>
  </si>
  <si>
    <t xml:space="preserve">Politeknik KP Jembrana </t>
  </si>
  <si>
    <t>Islina</t>
  </si>
  <si>
    <t>197507262007012001</t>
  </si>
  <si>
    <t>Balai Riset Pemuliaan Ikan Sukamandi</t>
  </si>
  <si>
    <t>Ali Duwila</t>
  </si>
  <si>
    <t>197808092010011009</t>
  </si>
  <si>
    <t>Hermanus Malakabu</t>
  </si>
  <si>
    <t>198106152015031003</t>
  </si>
  <si>
    <t>Pungki Pramugia, S.AP</t>
  </si>
  <si>
    <t>198205162006041009</t>
  </si>
  <si>
    <t>Pustakawan Pertama</t>
  </si>
  <si>
    <t>Universitas Sjakhyakirti</t>
  </si>
  <si>
    <t>Iswandi, A.Md</t>
  </si>
  <si>
    <t>198707292014031002</t>
  </si>
  <si>
    <t>Yossy Prastasti AP</t>
  </si>
  <si>
    <t>198507032010011001</t>
  </si>
  <si>
    <t>Asisten Penyuluh Perikanan Terampil</t>
  </si>
  <si>
    <t>Muliati Sehe, S.Pi</t>
  </si>
  <si>
    <t>197207292008012010</t>
  </si>
  <si>
    <t>BPPSDM</t>
  </si>
  <si>
    <t>Balai Riset Perikanan Budidaya Air Payau dan Penyuluhan Perikanan</t>
  </si>
  <si>
    <t xml:space="preserve">Universitas Bosowa </t>
  </si>
  <si>
    <t xml:space="preserve">Hadasiah, S.Pi </t>
  </si>
  <si>
    <t>197812312007012016</t>
  </si>
  <si>
    <t xml:space="preserve">Awaluddin Arif, S.Pi </t>
  </si>
  <si>
    <t>197612212007011011</t>
  </si>
  <si>
    <t>Asriati, S.Pi</t>
  </si>
  <si>
    <t>197903062009012003</t>
  </si>
  <si>
    <t xml:space="preserve">Hasnah, S.Pi </t>
  </si>
  <si>
    <t>197611112008012019</t>
  </si>
  <si>
    <t xml:space="preserve">Fitria Iriani, S.Pi </t>
  </si>
  <si>
    <t>198506062010012050</t>
  </si>
  <si>
    <t>Rahma Hidayati M, S.Pi</t>
  </si>
  <si>
    <t>197912112011012002</t>
  </si>
  <si>
    <t xml:space="preserve">Yuliana H, S.Pi </t>
  </si>
  <si>
    <t>198407122011012017</t>
  </si>
  <si>
    <t>St.Bugiana, S.Pi</t>
  </si>
  <si>
    <t>197508042007012015</t>
  </si>
  <si>
    <t>Andi Bambang S, S.Pi</t>
  </si>
  <si>
    <t>198107082009021003</t>
  </si>
  <si>
    <t>Manajemen Pesisir dan Teknologi Kelautan</t>
  </si>
  <si>
    <t>Bahtiar</t>
  </si>
  <si>
    <t>198403272010011027</t>
  </si>
  <si>
    <t>Agribisnis bidang Minat Penyuluhan</t>
  </si>
  <si>
    <t>Ramadhan</t>
  </si>
  <si>
    <t>197907242007011001</t>
  </si>
  <si>
    <t xml:space="preserve">Abdul Hamid, A.Md </t>
  </si>
  <si>
    <t>197206132008011013</t>
  </si>
  <si>
    <t>198006182007012014</t>
  </si>
  <si>
    <t>Universitas Andi Djemma</t>
  </si>
  <si>
    <t>Maesar</t>
  </si>
  <si>
    <t>197511182005021004</t>
  </si>
  <si>
    <t>Habil Rahmadani</t>
  </si>
  <si>
    <t>199203132010121002</t>
  </si>
  <si>
    <t>Balai Riset Pelatihan dan Penyuluhan Perikanan Bitung</t>
  </si>
  <si>
    <t xml:space="preserve">Wahyu Eko Wijaya, A.Md </t>
  </si>
  <si>
    <t>198410252010011009</t>
  </si>
  <si>
    <t xml:space="preserve">Penyuluh Perikanan Mahir </t>
  </si>
  <si>
    <t>Balai Pelatihan dan Penyuluhan Perikanan Banyuwangi</t>
  </si>
  <si>
    <t xml:space="preserve">Moh.Muhajir Martadiatmaja, A.Md </t>
  </si>
  <si>
    <t>198510142009021002</t>
  </si>
  <si>
    <t xml:space="preserve">Desuneti, S.St.Pi </t>
  </si>
  <si>
    <t>197912142006042012</t>
  </si>
  <si>
    <t>Asep Djaenudin, A.Pi, M.Pd</t>
  </si>
  <si>
    <t>197202041998031004</t>
  </si>
  <si>
    <t>Widyaiswara Ahli Madya</t>
  </si>
  <si>
    <t>Balai Pendidikan dan Pelatihan Aparatur</t>
  </si>
  <si>
    <t xml:space="preserve">Universitas Negeri jakarta </t>
  </si>
  <si>
    <t>198506142009011002</t>
  </si>
  <si>
    <t>Widyaiswara Ahli Muda</t>
  </si>
  <si>
    <t>Abdul Azis Usemahu, S.St.Pi., M.ST.Pi</t>
  </si>
  <si>
    <t>198202082006041004</t>
  </si>
  <si>
    <t xml:space="preserve"> Kepala Sekolah/Guru Madya</t>
  </si>
  <si>
    <t>Agustina Hayati, A.Md</t>
  </si>
  <si>
    <t>198208162011012006</t>
  </si>
  <si>
    <t>Balai Pelatihan dan Penyuluhan Perikanan Bitung</t>
  </si>
  <si>
    <t>Agribisnis bidang minat Penyuluhan dan Komunikasi Pembangunan</t>
  </si>
  <si>
    <t>Ahmad Tubagus Tsani Risqi Aji, S.Tr.Pi</t>
  </si>
  <si>
    <t>199408062020121004</t>
  </si>
  <si>
    <t>Pranata Laboratorium Pendidikan Ahli Pertama</t>
  </si>
  <si>
    <t>Politeknik KP Bitung</t>
  </si>
  <si>
    <t>Universitas Negeri Manado</t>
  </si>
  <si>
    <t>Pendidikan Teknologi dan Kejuruan</t>
  </si>
  <si>
    <t>Februar</t>
  </si>
  <si>
    <t>Ainun Mardiyah, S.St.Pi</t>
  </si>
  <si>
    <t>198510122008012004</t>
  </si>
  <si>
    <t>Balai Riset Perikanan Budidaya Air Tawar dan Penyuluhan
 Perik</t>
  </si>
  <si>
    <t>Universitas Terbuka (Bogor)</t>
  </si>
  <si>
    <t>Andi ramlan, S.Pi</t>
  </si>
  <si>
    <t>198607122010011019</t>
  </si>
  <si>
    <t>Balai Riset Perikanan Perairan Umum dan Penyuluhan
Perikanan</t>
  </si>
  <si>
    <t>Universitas Terbuka (Palembang)</t>
  </si>
  <si>
    <t>Aprianawati, S.Pi</t>
  </si>
  <si>
    <t>19840425201012029</t>
  </si>
  <si>
    <t>Apriyani, S.Pi</t>
  </si>
  <si>
    <t>199004022014022001</t>
  </si>
  <si>
    <t>Arifiani Ayu Kurnia Dewi, S.Pi</t>
  </si>
  <si>
    <t>198502282009032012</t>
  </si>
  <si>
    <t>Darwanto</t>
  </si>
  <si>
    <t>198211172008011004</t>
  </si>
  <si>
    <t>Nakhoda</t>
  </si>
  <si>
    <t>SUPM Waiheru, Ambon</t>
  </si>
  <si>
    <t>Universitas Darussalam, Ambon</t>
  </si>
  <si>
    <t>Desi Yulianti, A.Md</t>
  </si>
  <si>
    <t>198407112010012020</t>
  </si>
  <si>
    <t>Pengelola Layanan Kehumasan</t>
  </si>
  <si>
    <t>SUPM Kota Agung</t>
  </si>
  <si>
    <t>Dondi Arofah Anshor, S.Pi</t>
  </si>
  <si>
    <t>197804102006041009</t>
  </si>
  <si>
    <t>Eka Indah Kirana, A.Md</t>
  </si>
  <si>
    <t>199409032018012002</t>
  </si>
  <si>
    <t>Sekretariat BPPSDM</t>
  </si>
  <si>
    <t>Eko Prio Raharjo, S.Pi</t>
  </si>
  <si>
    <t>197804302006041019</t>
  </si>
  <si>
    <t>Universitas Terbuka (Banjarmasin)</t>
  </si>
  <si>
    <t>Fajar Sidy</t>
  </si>
  <si>
    <t>198109252009101001</t>
  </si>
  <si>
    <t>Balai Besar Riset Pengolahan Produk dan Bioteknologi KP</t>
  </si>
  <si>
    <t>Furos Maghfuri, S.Pi</t>
  </si>
  <si>
    <t>198307312010011017</t>
  </si>
  <si>
    <t xml:space="preserve"> Penyuluh Perikanan Ahli Muda</t>
  </si>
  <si>
    <t>Helman Stiabudi, S.Pi</t>
  </si>
  <si>
    <t>198410262011011002</t>
  </si>
  <si>
    <t>Penata, Tk.1, III/d</t>
  </si>
  <si>
    <t>Balai Riset Perikanan Perairan Umum dan PenyuluhanPerikanan</t>
  </si>
  <si>
    <t xml:space="preserve">Universitas Terbuka (Palembang) </t>
  </si>
  <si>
    <t>Hendri Purnawan, S.Pi</t>
  </si>
  <si>
    <t>198505112009031003</t>
  </si>
  <si>
    <t>Hendra Sapuan, S.Pi</t>
  </si>
  <si>
    <t>198602172014021001</t>
  </si>
  <si>
    <t>Henny Friska Simanjuntak, A.Md</t>
  </si>
  <si>
    <t>198312032010122001</t>
  </si>
  <si>
    <t>Pranata Komputer Pelaksana Lanjutan</t>
  </si>
  <si>
    <t>Hersi Retnowati, S.Pi</t>
  </si>
  <si>
    <t>198503052010012032</t>
  </si>
  <si>
    <t>Hilda Darwin, S.Pi</t>
  </si>
  <si>
    <t>198010302009012005</t>
  </si>
  <si>
    <t>Ike Trismawati, S.St.Pi</t>
  </si>
  <si>
    <t>198610192010122003</t>
  </si>
  <si>
    <t>Instruktur Ahli Muda</t>
  </si>
  <si>
    <t>I Ketut Sutaryasa, A.Md, S.PKP</t>
  </si>
  <si>
    <t>197902202006041009</t>
  </si>
  <si>
    <t>Universitas Pendidikan Ganesha</t>
  </si>
  <si>
    <t>Isratul Qiro, S.Pi</t>
  </si>
  <si>
    <t>198404272009041005</t>
  </si>
  <si>
    <t>Universitas Terbuka (Medan)</t>
  </si>
  <si>
    <t>Iwan Afriadi, S.Pi</t>
  </si>
  <si>
    <t>198504122007011001</t>
  </si>
  <si>
    <t>Pengadministrasi Sarana dan Prasarana</t>
  </si>
  <si>
    <t>Pengelolaan Sumberdaya Pesisir Terpadu</t>
  </si>
  <si>
    <t>Junianto Talunga, S.Pi</t>
  </si>
  <si>
    <t>198306212010011011</t>
  </si>
  <si>
    <t xml:space="preserve"> Penyuluh Perikanan Muda</t>
  </si>
  <si>
    <t>Josias Nicolas Dien, S.Pi</t>
  </si>
  <si>
    <t>197711272011021001</t>
  </si>
  <si>
    <t xml:space="preserve"> BPPP Bitung</t>
  </si>
  <si>
    <t>Kamaluddin Kasim, S.Pi, M.Sc</t>
  </si>
  <si>
    <t>198205172009011005</t>
  </si>
  <si>
    <t>Analis Kebijakan Muda</t>
  </si>
  <si>
    <t>Institut Teknologi Bandung (Kampus Jakarta)</t>
  </si>
  <si>
    <t>Sains Kebumian</t>
  </si>
  <si>
    <t>Kabejer Sibagariang, A.Md</t>
  </si>
  <si>
    <t>199703262020121001</t>
  </si>
  <si>
    <t xml:space="preserve"> Pengatur, II/c</t>
  </si>
  <si>
    <t>Loka Perekayasaan Teknologi Kelautan</t>
  </si>
  <si>
    <t>Lasriyanto, S.Pi</t>
  </si>
  <si>
    <t>197101092006041013</t>
  </si>
  <si>
    <t>Marini Metha Chrisnawati, S.Pi</t>
  </si>
  <si>
    <t>198212222011012007</t>
  </si>
  <si>
    <t>Muhammad Auliya Alwy, S.Pi</t>
  </si>
  <si>
    <t>198405142009041003</t>
  </si>
  <si>
    <t xml:space="preserve">Pembina, IV/a </t>
  </si>
  <si>
    <t xml:space="preserve">Penyuluh Perikanan Ahli Madya </t>
  </si>
  <si>
    <t>M. Haqqul Muhkam, A.Md.K</t>
  </si>
  <si>
    <t>199907192021011002</t>
  </si>
  <si>
    <t>Moch. Suwardy, S.Pi</t>
  </si>
  <si>
    <t>198205082008031005</t>
  </si>
  <si>
    <t>Universitas Sam Ratulang</t>
  </si>
  <si>
    <t>Monica Ryan, S.St.Pi, M.Si</t>
  </si>
  <si>
    <t>198404052010012028</t>
  </si>
  <si>
    <t>Universitas Andalas</t>
  </si>
  <si>
    <t>M Romi, S.Pi</t>
  </si>
  <si>
    <t>198805272007011002</t>
  </si>
  <si>
    <t>Muhammad Fakhryzal Prayogo, A.Md.Ak</t>
  </si>
  <si>
    <t>200107162021011001</t>
  </si>
  <si>
    <t>Nanung Syaiful Rijal, A.Md</t>
  </si>
  <si>
    <t>198608182010121003</t>
  </si>
  <si>
    <t>Calon Pustakawan</t>
  </si>
  <si>
    <t>Politeknik KP Sidoarjo</t>
  </si>
  <si>
    <t>Universitas Wijaya Kusuma, Surabaya</t>
  </si>
  <si>
    <t>Ilmu Perpustakaan dan Sains Informasi/Ilmu Perpustakaan</t>
  </si>
  <si>
    <t>Nurfatmah, S.Pi</t>
  </si>
  <si>
    <t>198305092008032002</t>
  </si>
  <si>
    <t xml:space="preserve"> Universitas Terbuka (Denpasar)</t>
  </si>
  <si>
    <t>Ni kadek Nunung Ari Wiratni, S.Pi</t>
  </si>
  <si>
    <t>198111222006042012</t>
  </si>
  <si>
    <t>Universitas Terbuka (Denpasar)</t>
  </si>
  <si>
    <t>Nina Agustina, S.Pi</t>
  </si>
  <si>
    <t>198208112009032003</t>
  </si>
  <si>
    <t>Nova Lianda Tambunan, S.St.Pi</t>
  </si>
  <si>
    <t>198611262009042005</t>
  </si>
  <si>
    <t>Nur Syarif Hidayat, S.P</t>
  </si>
  <si>
    <t>197505091998031002</t>
  </si>
  <si>
    <t>Universitas Mitra Bangsa</t>
  </si>
  <si>
    <t>Patricia Natasha Debora Manik, A.Md.M</t>
  </si>
  <si>
    <t>199912202021012005</t>
  </si>
  <si>
    <t>Rabiatul Adawiyah, A.Md</t>
  </si>
  <si>
    <t>199704102020122005</t>
  </si>
  <si>
    <t>Loka Riset Sumber Daya dan Kerentanan Pesisir</t>
  </si>
  <si>
    <t>Ratih Ismiati</t>
  </si>
  <si>
    <t>198506052009102001</t>
  </si>
  <si>
    <t>Reno Satiti, S.P</t>
  </si>
  <si>
    <t>197203021997032007</t>
  </si>
  <si>
    <t>Universitas Terbuka (Malang)</t>
  </si>
  <si>
    <t>Ridona Viju Raveliandi, A.Md, S.Kom</t>
  </si>
  <si>
    <t>198605122010121002</t>
  </si>
  <si>
    <t>Ilmu Komputer</t>
  </si>
  <si>
    <t>Riezky Darmawan Bayu Wijaya, S.IAN</t>
  </si>
  <si>
    <t>Saepul Mikdar</t>
  </si>
  <si>
    <t xml:space="preserve"> 197809192007011002</t>
  </si>
  <si>
    <t>Akuntansi Keuangan Publik</t>
  </si>
  <si>
    <t>Sitti Hawa</t>
  </si>
  <si>
    <t>198904142011012014</t>
  </si>
  <si>
    <t>Sukmawati, S.Pi</t>
  </si>
  <si>
    <t>198309292010012002</t>
  </si>
  <si>
    <t>Susadiana, S.Pi</t>
  </si>
  <si>
    <t>19850409 2010011023</t>
  </si>
  <si>
    <t>Syamdidi, M.AppSc</t>
  </si>
  <si>
    <t>198006052003121005</t>
  </si>
  <si>
    <t>Instruktur Ahli Madya</t>
  </si>
  <si>
    <t xml:space="preserve"> Institut Teknologi Bandung</t>
  </si>
  <si>
    <t>Tri Yuwono</t>
  </si>
  <si>
    <t>Freshty Yulia Arthatiani</t>
  </si>
  <si>
    <t>Vera Dewiana B, S.Pi</t>
  </si>
  <si>
    <t>198610142009022002</t>
  </si>
  <si>
    <t xml:space="preserve"> September</t>
  </si>
  <si>
    <t>Wahyu Merry Isanti, S.E</t>
  </si>
  <si>
    <t>198303292009012004</t>
  </si>
  <si>
    <t>Manajemen Sistem Informasi/Sistem Informasi Bisnis</t>
  </si>
  <si>
    <t>Whining Purnadwiyanti, S.Pi</t>
  </si>
  <si>
    <t>198406272010012007</t>
  </si>
  <si>
    <t>Widariani, S.Pi</t>
  </si>
  <si>
    <t>198308272011012005</t>
  </si>
  <si>
    <t>Yeni Gusti Handayani, S.Pi</t>
  </si>
  <si>
    <t>198701102011012004</t>
  </si>
  <si>
    <t>Yovid Almiza, S.Pi</t>
  </si>
  <si>
    <t>198407012009011003</t>
  </si>
  <si>
    <t>Yulya Fitria, S.Pi</t>
  </si>
  <si>
    <t>198507162009012002</t>
  </si>
  <si>
    <t>Universitas Terbuka (Padang)</t>
  </si>
  <si>
    <t xml:space="preserve"> Maret </t>
  </si>
  <si>
    <t>Yusuf Qohary, S.Tr.AB</t>
  </si>
  <si>
    <t>198707242015031001</t>
  </si>
  <si>
    <t>Penata Muda, III/b</t>
  </si>
  <si>
    <t>Administrasi Pembangunan Negara konsentrasi Manajemen Kebijakan Publik</t>
  </si>
  <si>
    <t>Yuyun Wulandari, S.St.Pi</t>
  </si>
  <si>
    <t>198606242010012026</t>
  </si>
  <si>
    <t>Toto Budiarto, S.Pi</t>
  </si>
  <si>
    <t>198201012006041018</t>
  </si>
  <si>
    <t>BPPSDMKP</t>
  </si>
  <si>
    <t xml:space="preserve">Balai Pelatihan dan Penyuluhan Perikanan Tegal </t>
  </si>
  <si>
    <t xml:space="preserve">8 Maret </t>
  </si>
  <si>
    <t>Rolly Susanti, S.Pi</t>
  </si>
  <si>
    <t>198003222010012012</t>
  </si>
  <si>
    <t>Balai Pelatihan dan Penyuluhan Perikanan Medan</t>
  </si>
  <si>
    <t>Universitas Riau</t>
  </si>
  <si>
    <t>Agusmira, S.Pi</t>
  </si>
  <si>
    <t>198308152012122002</t>
  </si>
  <si>
    <t>Yudika Yendra, S.Pi</t>
  </si>
  <si>
    <t>198605132009031001</t>
  </si>
  <si>
    <t>Denny Pawhen Perangin-angin, S.Pi</t>
  </si>
  <si>
    <t>198105072011011012</t>
  </si>
  <si>
    <t>Sarmedi Girsang, S.Pi</t>
  </si>
  <si>
    <t>198406212010011019</t>
  </si>
  <si>
    <t>Raja Purnamawati, S.Pi</t>
  </si>
  <si>
    <t>197808272010012011</t>
  </si>
  <si>
    <t>Tirmikasih, S.Pi</t>
  </si>
  <si>
    <t>198311102008042001</t>
  </si>
  <si>
    <t>Yusranawati, S.Pi</t>
  </si>
  <si>
    <t>198509152010032002</t>
  </si>
  <si>
    <t>Darmawati, S.Pi</t>
  </si>
  <si>
    <t>197712312006042034</t>
  </si>
  <si>
    <t>Eka Sejahtera, S.Pi</t>
  </si>
  <si>
    <t>198503232006041006</t>
  </si>
  <si>
    <t>Abdul Latif, S.Pi</t>
  </si>
  <si>
    <t>198202062010011028</t>
  </si>
  <si>
    <t xml:space="preserve">Penyuluh Perikanan Ahli Muda </t>
  </si>
  <si>
    <t>Ahmad Furkon, S.Pi</t>
  </si>
  <si>
    <t>198107272010011016</t>
  </si>
  <si>
    <t>Bahziah Sri Susanti, S.Pi</t>
  </si>
  <si>
    <t>198301162014022002</t>
  </si>
  <si>
    <t>Farid Ismuryandi, S.Pi</t>
  </si>
  <si>
    <t>198402182014021001</t>
  </si>
  <si>
    <t>Lydia Syafriana Rachman, S.Pi</t>
  </si>
  <si>
    <t>198109072010012009</t>
  </si>
  <si>
    <t>Mahya Fitria, S.Pi</t>
  </si>
  <si>
    <t>198606232010012017</t>
  </si>
  <si>
    <t>Predina Butar Butar, S.Pi</t>
  </si>
  <si>
    <t>198204152014022002</t>
  </si>
  <si>
    <t>Wahyudi Rachman, S.Pi</t>
  </si>
  <si>
    <t>198011162009041001</t>
  </si>
  <si>
    <t>Nani Susilowati, S.St.Pi</t>
  </si>
  <si>
    <t>198703292015022001</t>
  </si>
  <si>
    <t>Arsiparis Ahli Pertama</t>
  </si>
  <si>
    <t xml:space="preserve">Nina Rosita, S.Pi </t>
  </si>
  <si>
    <t xml:space="preserve">198210112010012013 </t>
  </si>
  <si>
    <t>N.R. Nia Karuniawati S, S.Pi</t>
  </si>
  <si>
    <t xml:space="preserve">198305082012112001 </t>
  </si>
  <si>
    <t>Harli Fransulanonda, S.St.Pi</t>
  </si>
  <si>
    <t xml:space="preserve">198702052012112001 </t>
  </si>
  <si>
    <t xml:space="preserve">Ferry Harvey Devis, S.Pi </t>
  </si>
  <si>
    <t>198603172011011002</t>
  </si>
  <si>
    <t>Dina Mardiana, S.Pi</t>
  </si>
  <si>
    <t>198205062014012002</t>
  </si>
  <si>
    <t>Arzianingsih, S.Pi</t>
  </si>
  <si>
    <t>197909072006042009</t>
  </si>
  <si>
    <t>Lina Prayanti, S.Pi</t>
  </si>
  <si>
    <t>198504102011012024</t>
  </si>
  <si>
    <t>Sri Ahdyanti, S.Pi</t>
  </si>
  <si>
    <t>198512082015022001</t>
  </si>
  <si>
    <t>Rika Ike Rahayu, S.Pi</t>
  </si>
  <si>
    <t>198412172010012018</t>
  </si>
  <si>
    <t>Cucu Nuraeni, S.Pi</t>
  </si>
  <si>
    <t>198210212010012017</t>
  </si>
  <si>
    <t>Dian Indravita, S.Pi</t>
  </si>
  <si>
    <t>198110302010011008</t>
  </si>
  <si>
    <t>Erdi Pratama, S.St.Pi</t>
  </si>
  <si>
    <t>199008232014021001</t>
  </si>
  <si>
    <t>Eka Siswanto, S.St.Pi</t>
  </si>
  <si>
    <t>198201132010121002</t>
  </si>
  <si>
    <t>Lilis Dwi Setiyani, S.St.Pi</t>
  </si>
  <si>
    <t>198706132009032007</t>
  </si>
  <si>
    <t>Helli Silpia, S.Pi</t>
  </si>
  <si>
    <t>198304132014022003</t>
  </si>
  <si>
    <t>Mira Kasmayati, S.Pi</t>
  </si>
  <si>
    <t>198603282013012001</t>
  </si>
  <si>
    <t>Mirna Verlnanda, S.Pi</t>
  </si>
  <si>
    <t>198505152010012024</t>
  </si>
  <si>
    <t>Sendy Gita Lestari, S.St.Pi</t>
  </si>
  <si>
    <t>198612132010012005</t>
  </si>
  <si>
    <t>Shinta Kurnia Habsari, S.Pi</t>
  </si>
  <si>
    <t>198312102014022001</t>
  </si>
  <si>
    <t>Mardiriwanto, S.Pi</t>
  </si>
  <si>
    <t>198302092011011004</t>
  </si>
  <si>
    <t>Nur Arief Hidayat, S.E</t>
  </si>
  <si>
    <t>197803182009121003</t>
  </si>
  <si>
    <t>Penyusun Laporan Keuangan</t>
  </si>
  <si>
    <t>Universitas Dirgantara Marsekal Suryadarma</t>
  </si>
  <si>
    <t xml:space="preserve">11 September </t>
  </si>
  <si>
    <t xml:space="preserve">Rini Sumartini, S.Pi </t>
  </si>
  <si>
    <t xml:space="preserve">197610232010012005 </t>
  </si>
  <si>
    <t>Balai Riset Perikanan Budidaya Air Payau dan Penyuluhan Perikanan (wilayah kerja Bone)</t>
  </si>
  <si>
    <t xml:space="preserve">Bramadia Pramanjaya, S.St.Pi </t>
  </si>
  <si>
    <t>198809022010121002</t>
  </si>
  <si>
    <t>Istiqomah Muniawati, A.Md</t>
  </si>
  <si>
    <t>199412252018012002</t>
  </si>
  <si>
    <t>Pengatur Tk.II, II/d</t>
  </si>
  <si>
    <t xml:space="preserve">Pusat Pendidikan KP </t>
  </si>
  <si>
    <t>Perencanaan Wilayah dan Kota</t>
  </si>
  <si>
    <t>Hamidah, S.Pi</t>
  </si>
  <si>
    <t>198005222011012007</t>
  </si>
  <si>
    <t>Balai Riset Perikanan Budidaya Air Payau dan Penyuluhan</t>
  </si>
  <si>
    <t xml:space="preserve">Harman Laloasa, S.St.Pi </t>
  </si>
  <si>
    <t>198301192010011015</t>
  </si>
  <si>
    <t>Riset Perikanan Budidaya Air Payau dan Penyuluhan Perikanan</t>
  </si>
  <si>
    <t>Universitas Halu Oleo</t>
  </si>
  <si>
    <t>Andi Arman, S.St.Pi</t>
  </si>
  <si>
    <t>198602152011011015</t>
  </si>
  <si>
    <t>A. Ulil Amri, S.Pi</t>
  </si>
  <si>
    <t>198707182011011002</t>
  </si>
  <si>
    <t>Budidaya Air Payau dan Penyuluhan Perikanan (wilayah kerja Gowa)</t>
  </si>
  <si>
    <t>Manajemen Pesisir dan Teknik Kelautan</t>
  </si>
  <si>
    <t>Hamira, S.Pi</t>
  </si>
  <si>
    <t>197207052007012019</t>
  </si>
  <si>
    <t>Mujayana, S.Pi</t>
  </si>
  <si>
    <t>198704052010122001</t>
  </si>
  <si>
    <t>Balai Riset Perikanan Budidaya Air Payau dan Penyuluhan  Perikanan (wilayah kerja Maros)</t>
  </si>
  <si>
    <t>Nurhasanah, S.Pi</t>
  </si>
  <si>
    <t>198107232009032009</t>
  </si>
  <si>
    <t>Rita Yustianti, S.Pi</t>
  </si>
  <si>
    <t>197103062010012002</t>
  </si>
  <si>
    <t>Fatima Inamunjita</t>
  </si>
  <si>
    <t>198502032007012002</t>
  </si>
  <si>
    <t>Diploma IV</t>
  </si>
  <si>
    <t>Saiful Miranda</t>
  </si>
  <si>
    <t>198406302008011001</t>
  </si>
  <si>
    <t>Institut Teknologi Padang</t>
  </si>
  <si>
    <t>Evifany Marlino, S.St.Pi</t>
  </si>
  <si>
    <t>198603252009012002</t>
  </si>
  <si>
    <t>BKIPM</t>
  </si>
  <si>
    <t xml:space="preserve">Stasiun KIPM Palu </t>
  </si>
  <si>
    <t>Joko Purnomo, A.Md</t>
  </si>
  <si>
    <t>198103172005021001</t>
  </si>
  <si>
    <t>Stasiun KIPM Pontianak</t>
  </si>
  <si>
    <t xml:space="preserve">Universitas Muhammdiyah  </t>
  </si>
  <si>
    <t>Ranggaeni Putri Dewi Hasan</t>
  </si>
  <si>
    <t>199002212010122001</t>
  </si>
  <si>
    <t>Balai KIPM Kelas I Lampung</t>
  </si>
  <si>
    <t>Safrizal</t>
  </si>
  <si>
    <t>198402242010122001</t>
  </si>
  <si>
    <t>Stasiun KIPM Tanjung Balai Asahan</t>
  </si>
  <si>
    <t>Universitas Asahan Kisaran</t>
  </si>
  <si>
    <t xml:space="preserve">Budidaya Perairan  </t>
  </si>
  <si>
    <t>Mahendra Yip Regan A.Md</t>
  </si>
  <si>
    <t>199002112009121001</t>
  </si>
  <si>
    <t>Stasiun KIPM Palangka Raya</t>
  </si>
  <si>
    <t>Ackri Yurico,  A.Md</t>
  </si>
  <si>
    <t>198707262015031003</t>
  </si>
  <si>
    <t>Stasiun KIPM Padang</t>
  </si>
  <si>
    <t xml:space="preserve">Universitas Negeri Padang </t>
  </si>
  <si>
    <t>Kimia</t>
  </si>
  <si>
    <t>Dedi Hariyanto</t>
  </si>
  <si>
    <t>197608152009121001</t>
  </si>
  <si>
    <t xml:space="preserve">Universitas Taman Siswa </t>
  </si>
  <si>
    <t>Mochammad Viekha Rahaditiya, A.Md, S.P</t>
  </si>
  <si>
    <t>198411022009011009</t>
  </si>
  <si>
    <t>Stasiun KIPM Palu</t>
  </si>
  <si>
    <t>Toibbullah Siregar, A.Md</t>
  </si>
  <si>
    <t>199201272015031001</t>
  </si>
  <si>
    <t>Stasiun KIPM Medan II</t>
  </si>
  <si>
    <t>Universitas Dharmawangsa Medan</t>
  </si>
  <si>
    <t>Tri Handoko Prakoso, A.Md</t>
  </si>
  <si>
    <t>198802092010121002</t>
  </si>
  <si>
    <t>Sekretariat BKIPM</t>
  </si>
  <si>
    <t>Universitas Satya Negara Indonesia Jakarta</t>
  </si>
  <si>
    <t>Ohan Burhanul Arifin, A.Md</t>
  </si>
  <si>
    <t>198305182010121002</t>
  </si>
  <si>
    <t>Stasiun KIPM Cirebon</t>
  </si>
  <si>
    <t>STIKOM Poltek Cirebon</t>
  </si>
  <si>
    <t>Achamad Dwi Monyko, SE</t>
  </si>
  <si>
    <t>198702112010121003</t>
  </si>
  <si>
    <t>Pusat Karantina Ikan</t>
  </si>
  <si>
    <t>STIE Yayasan Administrasi Indonesia</t>
  </si>
  <si>
    <t>Esti Rahayu, A.Md</t>
  </si>
  <si>
    <t>198502102010122001</t>
  </si>
  <si>
    <t>Balai KIPM Jakarta II</t>
  </si>
  <si>
    <t>Universitas Nusa Bangsa Bogor</t>
  </si>
  <si>
    <t>Aslimin</t>
  </si>
  <si>
    <t>198301112009121001</t>
  </si>
  <si>
    <t>Stasiun KIPM Kendari</t>
  </si>
  <si>
    <t>Universitas Muhammadiyah Kendari</t>
  </si>
  <si>
    <t>Teknologi Hasil Perikanan</t>
  </si>
  <si>
    <t>Kristina Natalia, S.Pi</t>
  </si>
  <si>
    <t>198304132005022001</t>
  </si>
  <si>
    <t>Balai KIPM  Surabaya1</t>
  </si>
  <si>
    <t>Universitas Surabaya</t>
  </si>
  <si>
    <t>Bioteknologi/Biologi</t>
  </si>
  <si>
    <t>Mambaudin Febriari Shoni, A.Md</t>
  </si>
  <si>
    <t>198802222009121001</t>
  </si>
  <si>
    <t>Balai KIPM Balikpapan</t>
  </si>
  <si>
    <t>M.Herry Ikhsan, S.E</t>
  </si>
  <si>
    <t>198609182010011001</t>
  </si>
  <si>
    <t>Stasiun KIPM Jambi</t>
  </si>
  <si>
    <t>Budi Lestari</t>
  </si>
  <si>
    <t>197105252005022002</t>
  </si>
  <si>
    <t>Balai KIPM Banjarmasin</t>
  </si>
  <si>
    <t>Universitas Achmad Yani Banjarbaru</t>
  </si>
  <si>
    <t>Sri Sulastri</t>
  </si>
  <si>
    <t>197902032005022001</t>
  </si>
  <si>
    <t>Stasiun KIPM Yogyakarta</t>
  </si>
  <si>
    <t>Hanik Fauzi</t>
  </si>
  <si>
    <t>199007272010121003</t>
  </si>
  <si>
    <t>Balai KIPM Denpasar</t>
  </si>
  <si>
    <t>Universitas Warmadewa Denpasar</t>
  </si>
  <si>
    <t>Arrofik, S.Pi</t>
  </si>
  <si>
    <t>198203212008011020</t>
  </si>
  <si>
    <t>Balai KIPM Tanjung Pinang</t>
  </si>
  <si>
    <t>Orbita Roiyan dhuha, S.St.Pi</t>
  </si>
  <si>
    <t>198307022009121001</t>
  </si>
  <si>
    <t>Jiat Widarsono</t>
  </si>
  <si>
    <t>197803182003121009</t>
  </si>
  <si>
    <t>Zaenal Arifin, A.Md</t>
  </si>
  <si>
    <t>197704222006041010</t>
  </si>
  <si>
    <t>Stasiun KIPM Bandung</t>
  </si>
  <si>
    <t>STIE  INABA Bandung</t>
  </si>
  <si>
    <t>Heri Susanto</t>
  </si>
  <si>
    <t>19820515200312002</t>
  </si>
  <si>
    <t>Ana Susanti, A.Md</t>
  </si>
  <si>
    <t>198502172009122001</t>
  </si>
  <si>
    <t>Balai Besar KIPM Jakarta I</t>
  </si>
  <si>
    <t>Budidaya Perikanan</t>
  </si>
  <si>
    <t>Fajar Nugroho, A.Md</t>
  </si>
  <si>
    <t xml:space="preserve">198711262009121001 </t>
  </si>
  <si>
    <t>Universitas 17 Agustus 1945</t>
  </si>
  <si>
    <t>Ramadhani Safitri Apia, A.Md</t>
  </si>
  <si>
    <t>198406252010122001</t>
  </si>
  <si>
    <t>Universitas Muhammadiyah Jakarta</t>
  </si>
  <si>
    <t>Teknik Kimia</t>
  </si>
  <si>
    <t>NORIZAN SARDANI</t>
  </si>
  <si>
    <t>198402022009122001</t>
  </si>
  <si>
    <t>STASIUN KIPM JAMBI</t>
  </si>
  <si>
    <t>Dini Fajriyani, S.Pi</t>
  </si>
  <si>
    <t>198301092009012001</t>
  </si>
  <si>
    <t>BALAI UJI STANDAR KIPM</t>
  </si>
  <si>
    <t>Marwati, A.Md., S.Si</t>
  </si>
  <si>
    <t>198110172009122001</t>
  </si>
  <si>
    <t>STASIUN KIPM MEDAN II</t>
  </si>
  <si>
    <t>Teknik KImia</t>
  </si>
  <si>
    <t>Firhansyah</t>
  </si>
  <si>
    <t>198107272005021001</t>
  </si>
  <si>
    <t>Sisitem Informasi</t>
  </si>
  <si>
    <t>Liswiyanto</t>
  </si>
  <si>
    <t xml:space="preserve">Biologi </t>
  </si>
  <si>
    <t>Nina Destiana, A.Md</t>
  </si>
  <si>
    <t>198212212005022001</t>
  </si>
  <si>
    <t>STASIUN KIPM MERAUKE</t>
  </si>
  <si>
    <t>februari</t>
  </si>
  <si>
    <t>Ika Fatimah Ariyanti, A.Md</t>
  </si>
  <si>
    <t>Universitas Nusa Bangsa</t>
  </si>
  <si>
    <t>Wita Ratnayulis, S.Pi</t>
  </si>
  <si>
    <t xml:space="preserve">Manajemen Keuangan </t>
  </si>
  <si>
    <t>Tithis</t>
  </si>
  <si>
    <t>Aris Sasono</t>
  </si>
  <si>
    <t>197601202006041003</t>
  </si>
  <si>
    <t>Diny Suwandary Rahma Tunisya, S.St.Pi</t>
  </si>
  <si>
    <t xml:space="preserve">Universitas Riau   </t>
  </si>
  <si>
    <t xml:space="preserve">Ilmu Lingkungan </t>
  </si>
  <si>
    <t>Muhammad Ainul</t>
  </si>
  <si>
    <t>Universitas Muhammadiyah Gorontalo</t>
  </si>
  <si>
    <t>Nur Hidayah, S.St.Pi</t>
  </si>
  <si>
    <t>198503232009012002</t>
  </si>
  <si>
    <t>BALAI KIPM BANJARMASIN</t>
  </si>
  <si>
    <t xml:space="preserve">Universitas Lambung Mangkurat  </t>
  </si>
  <si>
    <t xml:space="preserve">Ilmu Perikanan   </t>
  </si>
  <si>
    <t>Ade Candra, S.Pi</t>
  </si>
  <si>
    <t>198211162014081004</t>
  </si>
  <si>
    <t>Analis Laporan Hasil Pengawasan</t>
  </si>
  <si>
    <t>BPPMHKP</t>
  </si>
  <si>
    <t>SKIPM Pekanbaru</t>
  </si>
  <si>
    <t>Universitas Riau Pekanbaru</t>
  </si>
  <si>
    <t>Andriani Deni Efendi, S.H</t>
  </si>
  <si>
    <t>198006032003122003</t>
  </si>
  <si>
    <t>Asisten Inspektur Mutu Penyelia</t>
  </si>
  <si>
    <t>SKIPM Bandung</t>
  </si>
  <si>
    <t>Universitas Terbuka (Bandung)</t>
  </si>
  <si>
    <t>Agus Priyantoro, A.Md</t>
  </si>
  <si>
    <t>198310222010121002</t>
  </si>
  <si>
    <t>Inspektur Mutu Ahli Pertama</t>
  </si>
  <si>
    <t>BKIPM Semarang</t>
  </si>
  <si>
    <t>Ansori Parisal</t>
  </si>
  <si>
    <t>198005202003121002</t>
  </si>
  <si>
    <t>Balai KIPM Lampun</t>
  </si>
  <si>
    <t>Universitas Terbuka (Bandar Lampung)</t>
  </si>
  <si>
    <t>Ari Nuryatman, A.Md</t>
  </si>
  <si>
    <t>198410122015031002</t>
  </si>
  <si>
    <t>Asisten Inspektur Mutu Hasil Perikanan Terampil</t>
  </si>
  <si>
    <t>BBKIPM Jakarta I</t>
  </si>
  <si>
    <t xml:space="preserve"> Februari </t>
  </si>
  <si>
    <t>Basuki Hamzah, A.Md</t>
  </si>
  <si>
    <t>198503152010121004</t>
  </si>
  <si>
    <t>Penata Muda, Tk.I, III/b</t>
  </si>
  <si>
    <t>Pusat Manajemen Mutu</t>
  </si>
  <si>
    <t>Beni Prabowo, A.Md</t>
  </si>
  <si>
    <t>199007282019021001</t>
  </si>
  <si>
    <t>SKIPM Ternate</t>
  </si>
  <si>
    <t>Universitas Muhammadiyah, Maluku Utara</t>
  </si>
  <si>
    <t>Candra Mandasari, A.Md</t>
  </si>
  <si>
    <t>198801012010122006</t>
  </si>
  <si>
    <t>Asisten Inspektur Mutu Hasil Perikanan Mahir</t>
  </si>
  <si>
    <t>Balai KIPM Surabaya II</t>
  </si>
  <si>
    <t>Universitas Dr. Soetomo Surabaya</t>
  </si>
  <si>
    <t>Chusnul Chotimah</t>
  </si>
  <si>
    <t>198311062006042003</t>
  </si>
  <si>
    <t>Balai Uji Standar KIPM</t>
  </si>
  <si>
    <t>Pendidikan Biologi</t>
  </si>
  <si>
    <t xml:space="preserve"> Juni</t>
  </si>
  <si>
    <t>Delya Nova, A.Md</t>
  </si>
  <si>
    <t>198712212009122001</t>
  </si>
  <si>
    <t>SKIPM Jambi</t>
  </si>
  <si>
    <t>Devi Ferlycia Cycylia, A.Md</t>
  </si>
  <si>
    <t>198303282005022001</t>
  </si>
  <si>
    <t>Stasiun KIPM Palembang</t>
  </si>
  <si>
    <t xml:space="preserve">Universitas PGRI </t>
  </si>
  <si>
    <t>Endang Hastorini, A.Md</t>
  </si>
  <si>
    <t>199503312019022007</t>
  </si>
  <si>
    <t>SKIPM Palu</t>
  </si>
  <si>
    <t>Fajar Watik, A.Md</t>
  </si>
  <si>
    <t>198612232010122003</t>
  </si>
  <si>
    <t>SKIPM Padang</t>
  </si>
  <si>
    <t>Universitas Terbuka Padang</t>
  </si>
  <si>
    <t>Agribisnis Perikanan</t>
  </si>
  <si>
    <t xml:space="preserve">Galih Pratomo Suwatno, A.Md </t>
  </si>
  <si>
    <t>198805242010121002</t>
  </si>
  <si>
    <t>Hasnawati H., S.Pd</t>
  </si>
  <si>
    <t>198206062009122002</t>
  </si>
  <si>
    <t>Analis Pengelolaan Keuangan APBN Pertama</t>
  </si>
  <si>
    <t>SKIPM Kendari</t>
  </si>
  <si>
    <t>STIE Enam-Enam Kendar</t>
  </si>
  <si>
    <t>Hera Fitria Puspitasari, A.Md</t>
  </si>
  <si>
    <t>199303212020122002</t>
  </si>
  <si>
    <t>Politeknik KP Dumai</t>
  </si>
  <si>
    <t>Arief Hidayat Malik, S.TP</t>
  </si>
  <si>
    <t>198305292009011003</t>
  </si>
  <si>
    <t>Inspektur Mutu Hasil Perikanan Ahli Muda</t>
  </si>
  <si>
    <t xml:space="preserve"> Pusat Manajemen Mutu</t>
  </si>
  <si>
    <t>Indra Yustina Ayu Putri, A.Md</t>
  </si>
  <si>
    <t xml:space="preserve">198503152010121004 </t>
  </si>
  <si>
    <t xml:space="preserve">Pranata Komputer Mahir </t>
  </si>
  <si>
    <t>BKIPM Surabaya I,</t>
  </si>
  <si>
    <t>Institut Teknologi Adhi Tama</t>
  </si>
  <si>
    <t xml:space="preserve">Sistem Informasi </t>
  </si>
  <si>
    <t>Isep Wahyudin, S.Pi</t>
  </si>
  <si>
    <t>197812062003121003</t>
  </si>
  <si>
    <t>Inspektur Mutu Hasil Perikanan Pertama</t>
  </si>
  <si>
    <t>Kismono Kudoasmoro, S.St.Pi</t>
  </si>
  <si>
    <t>198310312009011002</t>
  </si>
  <si>
    <t xml:space="preserve"> Inspektur Mutu Hasil Perikanan Ahli Muda</t>
  </si>
  <si>
    <t xml:space="preserve"> Januari</t>
  </si>
  <si>
    <t>Kusniawati</t>
  </si>
  <si>
    <t>197210071996022001</t>
  </si>
  <si>
    <t>Balai KIPM Medan</t>
  </si>
  <si>
    <t>Universitas Dharma Agung, Medan</t>
  </si>
  <si>
    <t>Mahfudin, S.Pi</t>
  </si>
  <si>
    <t>198911062019021007</t>
  </si>
  <si>
    <t>Inspektur Mutu Hasil Perikanan Ahli Pertama</t>
  </si>
  <si>
    <t>Universitas Khairun, Ternate</t>
  </si>
  <si>
    <t>Mario Ari Yudistira, S.St.Pi</t>
  </si>
  <si>
    <t>198501102009031002</t>
  </si>
  <si>
    <t>Inspektur Mutu Ahli Muda</t>
  </si>
  <si>
    <t>Universitas Terbuka Jambi</t>
  </si>
  <si>
    <t>Mega Deswita</t>
  </si>
  <si>
    <t>198312272009012005</t>
  </si>
  <si>
    <t xml:space="preserve">Asisten Inspektur Mutu Hasil Perikanan Terampil </t>
  </si>
  <si>
    <t>Universitas PGRI</t>
  </si>
  <si>
    <t>Muh. Arfah H</t>
  </si>
  <si>
    <t>198510042009101001</t>
  </si>
  <si>
    <t>Pengadministrasi Persuratan dan Kearsipan</t>
  </si>
  <si>
    <t>Octa Maria Uly</t>
  </si>
  <si>
    <t>198010282005022002</t>
  </si>
  <si>
    <t>Penata Muda III/a</t>
  </si>
  <si>
    <t>SKIPM Palembang</t>
  </si>
  <si>
    <t>Universitas Terbuka Palembang</t>
  </si>
  <si>
    <t>Roza Alfian</t>
  </si>
  <si>
    <t>199205052019021004</t>
  </si>
  <si>
    <t>Pengadministrasi Pengujian</t>
  </si>
  <si>
    <t>SKIPM Merauke</t>
  </si>
  <si>
    <t>Universitas Terbuka (Merauke)</t>
  </si>
  <si>
    <t>Ruslim Bulu</t>
  </si>
  <si>
    <t>198401292009101001</t>
  </si>
  <si>
    <t>Pengatur, II/d</t>
  </si>
  <si>
    <t>PK APBN Terampil</t>
  </si>
  <si>
    <t>Universitas Muhammadiyah, Kendari</t>
  </si>
  <si>
    <t xml:space="preserve">Sandi Nurcahyo Mukti Wibowo, A.Md.Pi </t>
  </si>
  <si>
    <t>199209062015031002</t>
  </si>
  <si>
    <t>Sara Tiara Karusha</t>
  </si>
  <si>
    <t>199101212009122001</t>
  </si>
  <si>
    <t>Asisten Inspektur Mutu Terampil</t>
  </si>
  <si>
    <t>Balai KIPM Lampung</t>
  </si>
  <si>
    <t>Sari Kurniawati, S.St.Pi</t>
  </si>
  <si>
    <t>198408072007012001</t>
  </si>
  <si>
    <t>Sitta Adlinasari, A.Md</t>
  </si>
  <si>
    <t>198702082009012001</t>
  </si>
  <si>
    <t>Balai KIPM Mataram</t>
  </si>
  <si>
    <t>Ekonomi/Akuntansi</t>
  </si>
  <si>
    <t>Septembe</t>
  </si>
  <si>
    <t xml:space="preserve">Slamet Andriyanto, S.Si M.Si </t>
  </si>
  <si>
    <t>198210122006041001</t>
  </si>
  <si>
    <t>Pembina IV/a</t>
  </si>
  <si>
    <t>Kepala Stasiun</t>
  </si>
  <si>
    <t>Stasiun KIPM Merauke</t>
  </si>
  <si>
    <t>Supriadi, A.Md.Pi</t>
  </si>
  <si>
    <t>198908062015031003</t>
  </si>
  <si>
    <t>Pengatur Tk.I, II/b</t>
  </si>
  <si>
    <t>SKIPM Bau-Bau</t>
  </si>
  <si>
    <t>Universitas Terbuka, Kendari</t>
  </si>
  <si>
    <t xml:space="preserve">Taofik Rohman, A.Md </t>
  </si>
  <si>
    <t>198201312010121001</t>
  </si>
  <si>
    <t xml:space="preserve">Pengelola BMN </t>
  </si>
  <si>
    <t>Administrasi Negara/Publik</t>
  </si>
  <si>
    <t>Tara Sylvana Aringin</t>
  </si>
  <si>
    <t>Umi Faristin, A.Md.Pi</t>
  </si>
  <si>
    <t>199408052019022003</t>
  </si>
  <si>
    <t>Universitas Terbuka Pekanbaru</t>
  </si>
  <si>
    <t>Wismen Ella Fitri, A.Md</t>
  </si>
  <si>
    <t>199605122019022007</t>
  </si>
  <si>
    <t xml:space="preserve"> Pengatur Tk. I, II/d</t>
  </si>
  <si>
    <t>SKIPM Bengkulu</t>
  </si>
  <si>
    <t>Universitas Indonesia Membangun (INABA)</t>
  </si>
  <si>
    <t>Ahmad Arum, S.St.Pi</t>
  </si>
  <si>
    <t>198504022010121003</t>
  </si>
  <si>
    <t>Balai KIPM Surabaya I</t>
  </si>
  <si>
    <t>Laroji</t>
  </si>
  <si>
    <t>198811282009121001</t>
  </si>
  <si>
    <t>Asisten Inspektur Mutu Perikanan Terampil</t>
  </si>
  <si>
    <t>Murniati</t>
  </si>
  <si>
    <t>198806232008012001</t>
  </si>
  <si>
    <t>BKIPM Banjarmasin</t>
  </si>
  <si>
    <t>Riwut Eko Trismiyarto, S.St.Pi</t>
  </si>
  <si>
    <t>198009182003121001</t>
  </si>
  <si>
    <t>BKIPM Entikong</t>
  </si>
  <si>
    <t>Slamet Sasmiko, S.Si</t>
  </si>
  <si>
    <t>198203162006041005</t>
  </si>
  <si>
    <t>Balai KIPM Jayapura</t>
  </si>
  <si>
    <t>Dita Antonisa Wielna, A.Md</t>
  </si>
  <si>
    <t>199307112019022006</t>
  </si>
  <si>
    <t>Stasiun KIPM Bima</t>
  </si>
  <si>
    <t>Agus Sugiyanto, A.Md</t>
  </si>
  <si>
    <t>198408122010121001</t>
  </si>
  <si>
    <t>Arafat Taslim, A.Pi</t>
  </si>
  <si>
    <t>197603272003121004</t>
  </si>
  <si>
    <t>Kepala Stasiun KIPM Luwuk Banggai</t>
  </si>
  <si>
    <t>Stasiun KIPM Luwuk Banggai</t>
  </si>
  <si>
    <t>Cici Rahayu, A.Md</t>
  </si>
  <si>
    <t>197912162006042001</t>
  </si>
  <si>
    <t>Universitas Sari Mutiara Indonesia</t>
  </si>
  <si>
    <t>Toibbullah Siregar, A.Md, S.Pi</t>
  </si>
  <si>
    <t>Diah Ayu Kumalasari, A.Md</t>
  </si>
  <si>
    <t>198911112019022009</t>
  </si>
  <si>
    <t>Tri Setyaningsih, S.Pi</t>
  </si>
  <si>
    <t>197511152000032004</t>
  </si>
  <si>
    <t>Inspektur Mutu Hasil Perikanan Ahli Madya</t>
  </si>
  <si>
    <t>Suwanto</t>
  </si>
  <si>
    <t>197802072007011004</t>
  </si>
  <si>
    <t>Universitas Mulia</t>
  </si>
  <si>
    <t>Drh. Insariani</t>
  </si>
  <si>
    <t>198406052009122004</t>
  </si>
  <si>
    <t>Nanang Nagraha</t>
  </si>
  <si>
    <t>197207062003121001</t>
  </si>
  <si>
    <t>STIE Cirebon</t>
  </si>
  <si>
    <t>Jumhana, A.Md</t>
  </si>
  <si>
    <t>198804202010122002</t>
  </si>
  <si>
    <t>Balai Besar KIPM Makassar</t>
  </si>
  <si>
    <t>Oktaviyani Dyah Rustikawati S.E</t>
  </si>
  <si>
    <t>198710242015032002</t>
  </si>
  <si>
    <t>Arsiparis Pertama</t>
  </si>
  <si>
    <t xml:space="preserve">Balai KIPM Entikong </t>
  </si>
  <si>
    <t>Rahmat, S.Pi</t>
  </si>
  <si>
    <t>198107072011011005</t>
  </si>
  <si>
    <t>Rendy Alif Utama</t>
  </si>
  <si>
    <t>199108182009121001</t>
  </si>
  <si>
    <t>Stasiun KIPM Mamuju</t>
  </si>
  <si>
    <t>Slamet Andriyanto, S.Si M.Si</t>
  </si>
  <si>
    <t xml:space="preserve">Ilmu Manajemen </t>
  </si>
  <si>
    <t>Ali Rifai, A.Md</t>
  </si>
  <si>
    <t>197906112009121002</t>
  </si>
  <si>
    <t>Asisten Inspektur Mutu Hasil Perikanan Penyelia</t>
  </si>
  <si>
    <t xml:space="preserve"> Universitas 17 Agustus 1945</t>
  </si>
  <si>
    <t xml:space="preserve">Pemanfaatan Sumber Daya Perikanan </t>
  </si>
  <si>
    <t>Dana Kurniawan, A.Md</t>
  </si>
  <si>
    <t xml:space="preserve">198508292010121003 </t>
  </si>
  <si>
    <t>Arsiparis Pelaksana Lanjutan</t>
  </si>
  <si>
    <t xml:space="preserve">10 Februari </t>
  </si>
  <si>
    <r>
      <rPr>
        <sz val="11"/>
        <rFont val="Arial"/>
        <family val="2"/>
      </rPr>
      <t xml:space="preserve">Salman Mokoginta, S.St.Pi., </t>
    </r>
    <r>
      <rPr>
        <u/>
        <sz val="11"/>
        <color rgb="FF1155CC"/>
        <rFont val="Arial"/>
        <family val="2"/>
      </rPr>
      <t>M.Si</t>
    </r>
  </si>
  <si>
    <r>
      <rPr>
        <sz val="11"/>
        <rFont val="Arial"/>
        <family val="2"/>
      </rPr>
      <t xml:space="preserve">Wahyu Widiatmoko, </t>
    </r>
    <r>
      <rPr>
        <u/>
        <sz val="11"/>
        <color rgb="FF1155CC"/>
        <rFont val="Arial"/>
        <family val="2"/>
      </rPr>
      <t>A.Md</t>
    </r>
  </si>
  <si>
    <r>
      <rPr>
        <sz val="11"/>
        <rFont val="Arial"/>
        <family val="2"/>
      </rPr>
      <t xml:space="preserve"> Lilik Masrifa, </t>
    </r>
    <r>
      <rPr>
        <u/>
        <sz val="11"/>
        <color rgb="FF1155CC"/>
        <rFont val="Arial"/>
        <family val="2"/>
      </rPr>
      <t>S.Si</t>
    </r>
  </si>
  <si>
    <r>
      <rPr>
        <sz val="11"/>
        <rFont val="Arial"/>
        <family val="2"/>
      </rPr>
      <t xml:space="preserve">Indra Pratama, </t>
    </r>
    <r>
      <rPr>
        <u/>
        <sz val="11"/>
        <color rgb="FF1155CC"/>
        <rFont val="Arial"/>
        <family val="2"/>
      </rPr>
      <t>A.Md</t>
    </r>
  </si>
  <si>
    <r>
      <rPr>
        <sz val="11"/>
        <rFont val="Arial"/>
        <family val="2"/>
      </rPr>
      <t xml:space="preserve">Mestika Yaya Dameria Oppusunggu, </t>
    </r>
    <r>
      <rPr>
        <u/>
        <sz val="11"/>
        <color rgb="FF1155CC"/>
        <rFont val="Arial"/>
        <family val="2"/>
      </rPr>
      <t>A.Md</t>
    </r>
  </si>
  <si>
    <r>
      <rPr>
        <sz val="11"/>
        <rFont val="Arial"/>
        <family val="2"/>
      </rPr>
      <t xml:space="preserve">Meliawati Susanti, </t>
    </r>
    <r>
      <rPr>
        <u/>
        <sz val="11"/>
        <color rgb="FF1155CC"/>
        <rFont val="Arial"/>
        <family val="2"/>
      </rPr>
      <t>A.Md</t>
    </r>
  </si>
  <si>
    <r>
      <rPr>
        <sz val="11"/>
        <rFont val="Arial"/>
        <family val="2"/>
      </rPr>
      <t xml:space="preserve">Indah Dwi Lestari, </t>
    </r>
    <r>
      <rPr>
        <u/>
        <sz val="11"/>
        <color rgb="FF1155CC"/>
        <rFont val="Arial"/>
        <family val="2"/>
      </rPr>
      <t>A.Md</t>
    </r>
  </si>
  <si>
    <r>
      <rPr>
        <sz val="11"/>
        <rFont val="Arial"/>
        <family val="2"/>
      </rPr>
      <t xml:space="preserve">Idat Ikhtafia , </t>
    </r>
    <r>
      <rPr>
        <u/>
        <sz val="11"/>
        <color rgb="FF1155CC"/>
        <rFont val="Arial"/>
        <family val="2"/>
      </rPr>
      <t>A.Md</t>
    </r>
  </si>
  <si>
    <r>
      <rPr>
        <sz val="11"/>
        <rFont val="Arial"/>
        <family val="2"/>
      </rPr>
      <t xml:space="preserve">Nur Fansuri, </t>
    </r>
    <r>
      <rPr>
        <u/>
        <sz val="11"/>
        <color rgb="FF1155CC"/>
        <rFont val="Arial"/>
        <family val="2"/>
      </rPr>
      <t>A.Md</t>
    </r>
  </si>
  <si>
    <r>
      <rPr>
        <sz val="11"/>
        <rFont val="Arial"/>
        <family val="2"/>
      </rPr>
      <t xml:space="preserve">Susanna Purna Dewi Suharto, </t>
    </r>
    <r>
      <rPr>
        <u/>
        <sz val="11"/>
        <color rgb="FF1155CC"/>
        <rFont val="Arial"/>
        <family val="2"/>
      </rPr>
      <t>A.Md</t>
    </r>
  </si>
  <si>
    <r>
      <rPr>
        <sz val="11"/>
        <rFont val="Arial"/>
        <family val="2"/>
      </rPr>
      <t xml:space="preserve">Abu Khoir, </t>
    </r>
    <r>
      <rPr>
        <u/>
        <sz val="11"/>
        <color rgb="FF1155CC"/>
        <rFont val="Arial"/>
        <family val="2"/>
      </rPr>
      <t>A.Md</t>
    </r>
  </si>
  <si>
    <r>
      <rPr>
        <sz val="11"/>
        <rFont val="Arial"/>
        <family val="2"/>
      </rPr>
      <t xml:space="preserve">Kristina Sriyunita B, </t>
    </r>
    <r>
      <rPr>
        <u/>
        <sz val="11"/>
        <color rgb="FF1155CC"/>
        <rFont val="Arial"/>
        <family val="2"/>
      </rPr>
      <t>A.Md</t>
    </r>
  </si>
  <si>
    <r>
      <rPr>
        <sz val="11"/>
        <color theme="1"/>
        <rFont val="Arial"/>
        <family val="2"/>
      </rPr>
      <t xml:space="preserve">Fajar Nugroho, S.Kel., </t>
    </r>
    <r>
      <rPr>
        <u/>
        <sz val="11"/>
        <color rgb="FF1155CC"/>
        <rFont val="Arial"/>
        <family val="2"/>
      </rPr>
      <t>M.Si</t>
    </r>
  </si>
  <si>
    <t>Sidang Promosi tgl 20 Agustus 2025</t>
  </si>
  <si>
    <t xml:space="preserve">I = 3.62
II = 3.71
III = </t>
  </si>
  <si>
    <t>Kuliah Semester 3</t>
  </si>
  <si>
    <t xml:space="preserve">I = 2.75
II = 3.5
III = </t>
  </si>
  <si>
    <t>Rini Aria Zuraida</t>
  </si>
  <si>
    <t>198704022007012001</t>
  </si>
  <si>
    <t xml:space="preserve">Sekolah Tinggi Ilmu Administrasi Adabiah </t>
  </si>
  <si>
    <t xml:space="preserve">Leny Yuliana Widiastuty, S.Pi </t>
  </si>
  <si>
    <t>198007052010012018</t>
  </si>
  <si>
    <t>Penata Tingkat I III/d</t>
  </si>
  <si>
    <t xml:space="preserve">Universitas Terbuka (Mataram) </t>
  </si>
  <si>
    <t xml:space="preserve"> Manajemen Perikanan</t>
  </si>
  <si>
    <t>15 September</t>
  </si>
  <si>
    <t>Ahmad Rivai, S.Pi</t>
  </si>
  <si>
    <t xml:space="preserve">198011132010011021 </t>
  </si>
  <si>
    <t>Anak Agung Gde Candra Wirabrata, S.St.Pi</t>
  </si>
  <si>
    <t>198801172010121002</t>
  </si>
  <si>
    <t xml:space="preserve">Universitas Terbuka (Denpasar) </t>
  </si>
  <si>
    <t xml:space="preserve">Nuraidah, S.Pi </t>
  </si>
  <si>
    <t>197505152006042041</t>
  </si>
  <si>
    <t>Pembina / IV.a</t>
  </si>
  <si>
    <t xml:space="preserve">Francisca Xaveria Dewi Sumartanti, S.Pi </t>
  </si>
  <si>
    <t xml:space="preserve">197712032006042005 </t>
  </si>
  <si>
    <t>Universitas Terbuka (Kupang)</t>
  </si>
  <si>
    <t>Mainar Ika Asfanti, S.Pi</t>
  </si>
  <si>
    <t xml:space="preserve">198312182009022003 </t>
  </si>
  <si>
    <t>Rafi Ohorella, S.St.Pi, M.Pi</t>
  </si>
  <si>
    <t>198003112009121002</t>
  </si>
  <si>
    <t xml:space="preserve">Dosen Asisten Ahli </t>
  </si>
  <si>
    <t xml:space="preserve"> Ilmu Perikanan</t>
  </si>
  <si>
    <t>Sosek</t>
  </si>
  <si>
    <t>R. Hernan Mahardhika, S.St.Pi, M.M</t>
  </si>
  <si>
    <t>197908162002121003</t>
  </si>
  <si>
    <t>Kepala Balai Pendidikan dan Pelatihan Aparatur</t>
  </si>
  <si>
    <t xml:space="preserve"> Ilmu Manajemen</t>
  </si>
  <si>
    <t>Darmayanti, A.Pi., S.Pi., M.E.</t>
  </si>
  <si>
    <t>197306121998032004</t>
  </si>
  <si>
    <t>Balai Pendidikan dan Pelatihan Aparatur per 1 September 2025 pindah unit kerja ke Pusat Pelatihan KP</t>
  </si>
  <si>
    <t>Edy Sutanto, A.Pi., M.Pd.</t>
  </si>
  <si>
    <t>196303031986031005</t>
  </si>
  <si>
    <t>Pembina Utama, IV/e</t>
  </si>
  <si>
    <t>Widyaiswara Ahli Utama</t>
  </si>
  <si>
    <t xml:space="preserve">Wahyu Yulianto, S.E., M.Si </t>
  </si>
  <si>
    <t>198107022009011008</t>
  </si>
  <si>
    <t>Sudharmono, S.Pi, M.P</t>
  </si>
  <si>
    <t>197509042007011001</t>
  </si>
  <si>
    <t>Aris Hidayat, S.St.Pi., M.P</t>
  </si>
  <si>
    <t>198105262005021002</t>
  </si>
  <si>
    <t xml:space="preserve">Widyaiswara Ahli Muda </t>
  </si>
  <si>
    <t>Fajar Nugroho, S.Kel., M.Si</t>
  </si>
  <si>
    <t xml:space="preserve">198506142009011002 </t>
  </si>
  <si>
    <t>Asep Djaenudin, A.Pi., M.Pd</t>
  </si>
  <si>
    <t>Hamzah Khoirul Iman, S.Pi</t>
  </si>
  <si>
    <t>198003242010011009</t>
  </si>
  <si>
    <t>Sutrisno Subagyo, S.E., M.AP.</t>
  </si>
  <si>
    <t>197406222009011002</t>
  </si>
  <si>
    <t>Kepala Biro Keuangan dan Barang Milik Negara</t>
  </si>
  <si>
    <t>Biro Keuangan dan Barang Milik Negara</t>
  </si>
  <si>
    <t>22 Agustus</t>
  </si>
  <si>
    <t>21 Agustus</t>
  </si>
  <si>
    <t>Harjo Santoso, S.St.Pi., M.H.</t>
  </si>
  <si>
    <t>198204112008011009</t>
  </si>
  <si>
    <t>Asesor Sumber Daya Manusia Aparatur Ahli Madya</t>
  </si>
  <si>
    <t>Universitas Bhayangkara Jakarta Raya</t>
  </si>
  <si>
    <t>Robiandi, S.St.Pi</t>
  </si>
  <si>
    <t>198510132010121002</t>
  </si>
  <si>
    <t>Asesor Sumber Daya Manusia Aparatur Ahli Muda</t>
  </si>
  <si>
    <t>19 September</t>
  </si>
  <si>
    <t>18 September</t>
  </si>
  <si>
    <t>Septo Dita Widyatmoko, S.Tr.Pi</t>
  </si>
  <si>
    <t>199109042010121003</t>
  </si>
  <si>
    <t>Universitas Terbuka (Kendari)</t>
  </si>
  <si>
    <t>Rahmi, S.Pi</t>
  </si>
  <si>
    <t>198211272011022001</t>
  </si>
  <si>
    <t>Piksal, S.Pi</t>
  </si>
  <si>
    <t>197403202008011009</t>
  </si>
  <si>
    <t>Penata Tk.I,III/d</t>
  </si>
  <si>
    <t>Veronika Agustina Mau</t>
  </si>
  <si>
    <t xml:space="preserve">197608252007012028 </t>
  </si>
  <si>
    <t>Dhiqqi Arie Fahderis, S.St.Pi</t>
  </si>
  <si>
    <t>198612112011011001</t>
  </si>
  <si>
    <t>Bisri Mustofa, A.Md</t>
  </si>
  <si>
    <t>198004252006041007</t>
  </si>
  <si>
    <t>STIE Miftahul Huda (Subang)</t>
  </si>
  <si>
    <t>Jenis Kelamin</t>
  </si>
  <si>
    <t>Sekolah Tinggi Ilmu Ekonomi</t>
  </si>
  <si>
    <t>Sekolah Tinggi Manajemen</t>
  </si>
  <si>
    <t>STIE</t>
  </si>
  <si>
    <t xml:space="preserve">STIA </t>
  </si>
  <si>
    <t xml:space="preserve">Universitas Islam NU </t>
  </si>
  <si>
    <t>Status</t>
  </si>
  <si>
    <t>Status (Semester)</t>
  </si>
  <si>
    <t>AKTIF (Semester 6)</t>
  </si>
  <si>
    <t>AKTIF (Semester 7)</t>
  </si>
  <si>
    <t>AKTIF (Semester 3)</t>
  </si>
  <si>
    <t>AKTIF (Semester 5)</t>
  </si>
  <si>
    <t>AKTIF (Semester 4)</t>
  </si>
  <si>
    <t>AKTIF (Semester 1)</t>
  </si>
  <si>
    <t>AKTIF (Semester 8)</t>
  </si>
  <si>
    <t>AKTIF (Semester 2)</t>
  </si>
  <si>
    <t>AKTIF (Semester 9)</t>
  </si>
  <si>
    <t>AKTIF (Semester 17)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</si>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</sst>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Arial"/>
      <family val="2"/>
    </font>
    <font>
      <u/>
      <sz val="11"/>
      <color rgb="FF0000FF"/>
      <name val="Arial"/>
      <family val="2"/>
    </font>
    <font>
      <u/>
      <sz val="11"/>
      <color rgb="FF1155CC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theme="8" tint="0.39997558519241921"/>
        <bgColor rgb="FFCCCCCC"/>
      </patternFill>
    </fill>
    <fill>
      <patternFill patternType="solid">
        <fgColor theme="7" tint="0.39997558519241921"/>
        <bgColor rgb="FFCCCCCC"/>
      </patternFill>
    </fill>
    <fill>
      <patternFill patternType="solid">
        <fgColor rgb="FF92D050"/>
        <bgColor rgb="FFCCCCCC"/>
      </patternFill>
    </fill>
    <fill>
      <patternFill patternType="solid">
        <fgColor rgb="FF00B0F0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6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4" xfId="1" applyFont="1" applyFill="1" applyBorder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1" fillId="0" borderId="0" xfId="1"/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vertical="center"/>
    </xf>
    <xf numFmtId="0" fontId="4" fillId="0" borderId="4" xfId="1" quotePrefix="1" applyFont="1" applyBorder="1" applyAlignment="1">
      <alignment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5" fillId="0" borderId="0" xfId="1" applyFont="1"/>
    <xf numFmtId="0" fontId="4" fillId="0" borderId="4" xfId="1" applyFont="1" applyBorder="1" applyAlignment="1">
      <alignment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4" fillId="0" borderId="4" xfId="1" quotePrefix="1" applyFont="1" applyBorder="1" applyAlignment="1">
      <alignment horizontal="center" vertical="center" wrapText="1"/>
    </xf>
    <xf numFmtId="17" fontId="4" fillId="0" borderId="5" xfId="1" quotePrefix="1" applyNumberFormat="1" applyFont="1" applyBorder="1" applyAlignment="1">
      <alignment horizontal="center" vertical="center" wrapText="1"/>
    </xf>
    <xf numFmtId="17" fontId="4" fillId="0" borderId="4" xfId="1" quotePrefix="1" applyNumberFormat="1" applyFont="1" applyBorder="1" applyAlignment="1">
      <alignment horizontal="center" vertical="center" wrapText="1"/>
    </xf>
    <xf numFmtId="0" fontId="4" fillId="0" borderId="7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6" xfId="1" quotePrefix="1" applyFont="1" applyBorder="1" applyAlignment="1">
      <alignment vertical="center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17" fontId="4" fillId="0" borderId="8" xfId="1" quotePrefix="1" applyNumberFormat="1" applyFont="1" applyBorder="1" applyAlignment="1">
      <alignment horizontal="center" vertical="center" wrapText="1"/>
    </xf>
    <xf numFmtId="17" fontId="4" fillId="0" borderId="4" xfId="1" applyNumberFormat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6" xfId="1" applyFont="1" applyBorder="1" applyAlignment="1">
      <alignment vertical="center" wrapText="1"/>
    </xf>
    <xf numFmtId="0" fontId="4" fillId="0" borderId="5" xfId="1" quotePrefix="1" applyFont="1" applyBorder="1" applyAlignment="1">
      <alignment horizontal="center" vertical="center" wrapText="1"/>
    </xf>
    <xf numFmtId="0" fontId="4" fillId="0" borderId="8" xfId="1" quotePrefix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0" xfId="1" quotePrefix="1" applyFont="1" applyAlignment="1">
      <alignment horizontal="center" vertical="center" wrapText="1"/>
    </xf>
    <xf numFmtId="0" fontId="4" fillId="0" borderId="1" xfId="1" applyFont="1" applyBorder="1" applyAlignment="1">
      <alignment vertical="center"/>
    </xf>
    <xf numFmtId="0" fontId="4" fillId="0" borderId="1" xfId="1" quotePrefix="1" applyFont="1" applyBorder="1" applyAlignment="1">
      <alignment vertical="center"/>
    </xf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7" xfId="1" quotePrefix="1" applyFont="1" applyBorder="1" applyAlignment="1">
      <alignment vertical="center"/>
    </xf>
    <xf numFmtId="0" fontId="4" fillId="0" borderId="7" xfId="1" applyFont="1" applyBorder="1" applyAlignment="1">
      <alignment horizontal="center" vertical="center" wrapText="1"/>
    </xf>
    <xf numFmtId="0" fontId="4" fillId="0" borderId="9" xfId="1" quotePrefix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4" xfId="1" quotePrefix="1" applyFont="1" applyBorder="1" applyAlignment="1">
      <alignment horizontal="left" vertical="center" wrapText="1"/>
    </xf>
    <xf numFmtId="0" fontId="4" fillId="0" borderId="4" xfId="1" quotePrefix="1" applyFont="1" applyBorder="1" applyAlignment="1">
      <alignment vertical="center" wrapText="1"/>
    </xf>
    <xf numFmtId="15" fontId="4" fillId="0" borderId="8" xfId="1" quotePrefix="1" applyNumberFormat="1" applyFont="1" applyBorder="1" applyAlignment="1">
      <alignment horizontal="center" vertical="center" wrapText="1"/>
    </xf>
    <xf numFmtId="0" fontId="8" fillId="10" borderId="4" xfId="1" applyFont="1" applyFill="1" applyBorder="1" applyAlignment="1">
      <alignment horizontal="center" vertical="center" wrapText="1"/>
    </xf>
    <xf numFmtId="0" fontId="8" fillId="10" borderId="4" xfId="1" applyFont="1" applyFill="1" applyBorder="1" applyAlignment="1">
      <alignment horizontal="center" vertical="top" wrapText="1"/>
    </xf>
    <xf numFmtId="15" fontId="4" fillId="0" borderId="4" xfId="1" quotePrefix="1" applyNumberFormat="1" applyFont="1" applyBorder="1" applyAlignment="1">
      <alignment horizontal="center" vertical="center" wrapText="1"/>
    </xf>
    <xf numFmtId="0" fontId="5" fillId="0" borderId="0" xfId="1" applyFont="1" applyAlignment="1">
      <alignment vertical="top"/>
    </xf>
    <xf numFmtId="0" fontId="1" fillId="0" borderId="0" xfId="1" applyAlignment="1">
      <alignment horizontal="center"/>
    </xf>
    <xf numFmtId="0" fontId="4" fillId="0" borderId="6" xfId="1" applyFont="1" applyBorder="1" applyAlignment="1">
      <alignment horizontal="left" vertical="center" wrapText="1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1" fillId="0" borderId="0" xfId="1" applyAlignment="1">
      <alignment horizontal="center" wrapText="1"/>
    </xf>
    <xf numFmtId="0" fontId="4" fillId="8" borderId="6" xfId="1" applyFont="1" applyFill="1" applyBorder="1" applyAlignment="1">
      <alignment vertical="center"/>
    </xf>
    <xf numFmtId="0" fontId="4" fillId="0" borderId="6" xfId="1" quotePrefix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/>
    </xf>
    <xf numFmtId="0" fontId="4" fillId="8" borderId="6" xfId="1" quotePrefix="1" applyFont="1" applyFill="1" applyBorder="1" applyAlignment="1">
      <alignment horizontal="center" vertical="center"/>
    </xf>
    <xf numFmtId="0" fontId="4" fillId="8" borderId="6" xfId="1" applyFont="1" applyFill="1" applyBorder="1" applyAlignment="1">
      <alignment horizontal="left" vertical="center"/>
    </xf>
    <xf numFmtId="0" fontId="4" fillId="8" borderId="6" xfId="1" quotePrefix="1" applyFont="1" applyFill="1" applyBorder="1" applyAlignment="1">
      <alignment horizontal="left" vertical="center" wrapText="1"/>
    </xf>
    <xf numFmtId="0" fontId="4" fillId="8" borderId="7" xfId="1" applyFont="1" applyFill="1" applyBorder="1" applyAlignment="1">
      <alignment horizontal="left" vertical="center"/>
    </xf>
    <xf numFmtId="0" fontId="4" fillId="0" borderId="6" xfId="1" quotePrefix="1" applyFont="1" applyBorder="1" applyAlignment="1">
      <alignment horizontal="left" vertical="center"/>
    </xf>
    <xf numFmtId="0" fontId="4" fillId="0" borderId="6" xfId="1" quotePrefix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6" xfId="1" applyFont="1" applyBorder="1" applyAlignment="1">
      <alignment horizontal="left" vertical="center"/>
    </xf>
    <xf numFmtId="0" fontId="9" fillId="0" borderId="6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9" borderId="6" xfId="1" applyFont="1" applyFill="1" applyBorder="1" applyAlignment="1">
      <alignment vertical="center"/>
    </xf>
    <xf numFmtId="49" fontId="4" fillId="0" borderId="4" xfId="2" applyNumberFormat="1" applyFont="1" applyBorder="1" applyAlignment="1">
      <alignment horizontal="center" vertical="center" wrapText="1"/>
    </xf>
    <xf numFmtId="49" fontId="4" fillId="0" borderId="4" xfId="2" applyNumberFormat="1" applyFont="1" applyBorder="1" applyAlignment="1">
      <alignment vertical="center"/>
    </xf>
    <xf numFmtId="0" fontId="4" fillId="0" borderId="4" xfId="2" applyFont="1" applyBorder="1" applyAlignment="1">
      <alignment horizontal="center" vertical="center" wrapText="1"/>
    </xf>
    <xf numFmtId="49" fontId="4" fillId="9" borderId="4" xfId="2" applyNumberFormat="1" applyFont="1" applyFill="1" applyBorder="1" applyAlignment="1">
      <alignment vertical="center"/>
    </xf>
    <xf numFmtId="0" fontId="11" fillId="0" borderId="0" xfId="1" applyFont="1" applyAlignment="1">
      <alignment horizontal="center" wrapText="1"/>
    </xf>
    <xf numFmtId="0" fontId="4" fillId="0" borderId="7" xfId="1" applyFont="1" applyBorder="1" applyAlignment="1">
      <alignment horizontal="left" vertical="center" wrapText="1"/>
    </xf>
    <xf numFmtId="0" fontId="4" fillId="8" borderId="6" xfId="1" quotePrefix="1" applyFont="1" applyFill="1" applyBorder="1" applyAlignment="1">
      <alignment horizontal="center" vertical="center" wrapText="1"/>
    </xf>
    <xf numFmtId="0" fontId="4" fillId="8" borderId="6" xfId="1" applyFont="1" applyFill="1" applyBorder="1" applyAlignment="1">
      <alignment horizontal="center" vertical="center"/>
    </xf>
    <xf numFmtId="0" fontId="4" fillId="8" borderId="0" xfId="1" applyFont="1" applyFill="1" applyAlignment="1">
      <alignment horizontal="center" vertical="center"/>
    </xf>
    <xf numFmtId="0" fontId="4" fillId="0" borderId="6" xfId="1" quotePrefix="1" applyFont="1" applyBorder="1" applyAlignment="1">
      <alignment horizontal="center" vertical="center" wrapText="1"/>
    </xf>
    <xf numFmtId="0" fontId="4" fillId="0" borderId="0" xfId="1" quotePrefix="1" applyFont="1" applyAlignment="1">
      <alignment horizontal="center" vertical="center"/>
    </xf>
    <xf numFmtId="0" fontId="4" fillId="8" borderId="6" xfId="1" applyFont="1" applyFill="1" applyBorder="1" applyAlignment="1">
      <alignment horizontal="center" vertical="center" wrapText="1"/>
    </xf>
    <xf numFmtId="164" fontId="4" fillId="0" borderId="6" xfId="1" quotePrefix="1" applyNumberFormat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top" wrapText="1"/>
    </xf>
    <xf numFmtId="0" fontId="4" fillId="0" borderId="4" xfId="1" applyFont="1" applyBorder="1" applyAlignment="1">
      <alignment horizontal="center" vertical="top" wrapText="1"/>
    </xf>
    <xf numFmtId="0" fontId="4" fillId="8" borderId="6" xfId="1" applyFont="1" applyFill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11" fillId="0" borderId="0" xfId="1" applyFont="1"/>
    <xf numFmtId="0" fontId="11" fillId="0" borderId="4" xfId="1" applyFont="1" applyBorder="1"/>
    <xf numFmtId="0" fontId="12" fillId="0" borderId="6" xfId="1" applyFont="1" applyBorder="1" applyAlignment="1">
      <alignment vertical="center"/>
    </xf>
    <xf numFmtId="0" fontId="4" fillId="0" borderId="0" xfId="1" applyFont="1" applyAlignment="1">
      <alignment horizontal="center" vertical="top" wrapText="1"/>
    </xf>
    <xf numFmtId="0" fontId="11" fillId="0" borderId="0" xfId="1" applyFont="1" applyAlignment="1">
      <alignment vertical="top"/>
    </xf>
    <xf numFmtId="0" fontId="4" fillId="0" borderId="4" xfId="0" quotePrefix="1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5" fontId="4" fillId="0" borderId="8" xfId="0" quotePrefix="1" applyNumberFormat="1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 wrapText="1"/>
    </xf>
    <xf numFmtId="0" fontId="7" fillId="0" borderId="4" xfId="1" applyFont="1" applyBorder="1" applyAlignment="1">
      <alignment vertical="center" wrapText="1"/>
    </xf>
    <xf numFmtId="0" fontId="7" fillId="0" borderId="4" xfId="1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12" xfId="0" quotePrefix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15" fontId="4" fillId="0" borderId="0" xfId="0" quotePrefix="1" applyNumberFormat="1" applyFont="1" applyAlignment="1">
      <alignment horizontal="center" vertical="center" wrapText="1"/>
    </xf>
    <xf numFmtId="0" fontId="4" fillId="0" borderId="12" xfId="0" quotePrefix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15" fontId="4" fillId="0" borderId="4" xfId="0" quotePrefix="1" applyNumberFormat="1" applyFont="1" applyBorder="1" applyAlignment="1">
      <alignment horizontal="center" vertical="center" wrapText="1"/>
    </xf>
    <xf numFmtId="15" fontId="11" fillId="0" borderId="4" xfId="1" applyNumberFormat="1" applyFont="1" applyBorder="1" applyAlignment="1">
      <alignment horizontal="center" vertical="center"/>
    </xf>
    <xf numFmtId="0" fontId="4" fillId="0" borderId="6" xfId="2" applyFont="1" applyBorder="1" applyAlignment="1">
      <alignment vertical="center"/>
    </xf>
    <xf numFmtId="0" fontId="4" fillId="11" borderId="6" xfId="2" quotePrefix="1" applyFont="1" applyFill="1" applyBorder="1" applyAlignment="1">
      <alignment vertical="center"/>
    </xf>
    <xf numFmtId="0" fontId="4" fillId="0" borderId="6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/>
    </xf>
    <xf numFmtId="0" fontId="4" fillId="0" borderId="4" xfId="2" quotePrefix="1" applyFont="1" applyBorder="1" applyAlignment="1">
      <alignment horizontal="center" vertical="center" wrapText="1"/>
    </xf>
    <xf numFmtId="0" fontId="4" fillId="0" borderId="6" xfId="2" applyFont="1" applyBorder="1" applyAlignment="1">
      <alignment vertical="center" wrapText="1"/>
    </xf>
    <xf numFmtId="0" fontId="4" fillId="0" borderId="6" xfId="2" quotePrefix="1" applyFont="1" applyBorder="1" applyAlignment="1">
      <alignment vertical="center"/>
    </xf>
    <xf numFmtId="0" fontId="4" fillId="0" borderId="8" xfId="2" applyFont="1" applyBorder="1" applyAlignment="1">
      <alignment horizontal="center" vertical="center" wrapText="1"/>
    </xf>
    <xf numFmtId="17" fontId="4" fillId="0" borderId="0" xfId="2" quotePrefix="1" applyNumberFormat="1" applyFont="1" applyAlignment="1">
      <alignment horizontal="center" vertical="center" wrapText="1"/>
    </xf>
    <xf numFmtId="0" fontId="4" fillId="0" borderId="17" xfId="2" quotePrefix="1" applyFont="1" applyBorder="1" applyAlignment="1">
      <alignment horizontal="center" vertical="center" wrapText="1"/>
    </xf>
    <xf numFmtId="0" fontId="4" fillId="0" borderId="12" xfId="2" quotePrefix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2" xfId="1" applyFont="1" applyBorder="1" applyAlignment="1">
      <alignment vertical="center" wrapText="1"/>
    </xf>
    <xf numFmtId="17" fontId="4" fillId="0" borderId="4" xfId="2" quotePrefix="1" applyNumberFormat="1" applyFont="1" applyBorder="1" applyAlignment="1">
      <alignment horizontal="center" vertical="center" wrapText="1"/>
    </xf>
    <xf numFmtId="0" fontId="4" fillId="0" borderId="13" xfId="2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15" fontId="4" fillId="0" borderId="12" xfId="0" quotePrefix="1" applyNumberFormat="1" applyFont="1" applyBorder="1" applyAlignment="1">
      <alignment horizontal="center" vertical="center" wrapText="1"/>
    </xf>
    <xf numFmtId="0" fontId="4" fillId="12" borderId="6" xfId="1" applyFont="1" applyFill="1" applyBorder="1" applyAlignment="1">
      <alignment horizontal="left" vertical="center"/>
    </xf>
    <xf numFmtId="0" fontId="4" fillId="13" borderId="4" xfId="1" quotePrefix="1" applyFont="1" applyFill="1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4" fillId="0" borderId="17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7E95347B-265A-4E91-AE34-5E57D3981F38}"/>
    <cellStyle name="Normal 2 2" xfId="2" xr:uid="{49DB6765-12BB-4DD8-9BE1-08034AE2088E}"/>
  </cellStyles>
  <dxfs count="2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00.466552777776" createdVersion="8" refreshedVersion="8" minRefreshableVersion="3" recordCount="922" xr:uid="{33806063-6AF8-4DB8-8566-6506A97A33DD}">
  <cacheSource type="worksheet">
    <worksheetSource ref="I1:Z923" sheet="Dataset Izin"/>
  </cacheSource>
  <cacheFields count="17">
    <cacheField name="Perguruan Tinggi" numFmtId="0">
      <sharedItems/>
    </cacheField>
    <cacheField name="Program Pendidikan" numFmtId="0">
      <sharedItems/>
    </cacheField>
    <cacheField name="Prodi" numFmtId="0">
      <sharedItems/>
    </cacheField>
    <cacheField name="Awal Kuliah (Bulan)" numFmtId="0">
      <sharedItems containsBlank="1"/>
    </cacheField>
    <cacheField name="Awal Kuliah (Tahun)" numFmtId="0">
      <sharedItems containsString="0" containsBlank="1" containsNumber="1" containsInteger="1" minValue="2017" maxValue="2025"/>
    </cacheField>
    <cacheField name="Selesai Kuliah (Bulan)" numFmtId="0">
      <sharedItems containsBlank="1" containsMixedTypes="1" containsNumber="1" containsInteger="1" minValue="0" maxValue="0"/>
    </cacheField>
    <cacheField name="Selesai Kuliah (Tahun)" numFmtId="0">
      <sharedItems containsBlank="1" containsMixedTypes="1" containsNumber="1" containsInteger="1" minValue="2021" maxValue="2029"/>
    </cacheField>
    <cacheField name="Tahun Rekom" numFmtId="0">
      <sharedItems containsString="0" containsBlank="1" containsNumber="1" containsInteger="1" minValue="2020" maxValue="2025"/>
    </cacheField>
    <cacheField name="Semester" numFmtId="0">
      <sharedItems containsString="0" containsBlank="1" containsNumber="1" containsInteger="1" minValue="3" maxValue="3"/>
    </cacheField>
    <cacheField name="Progres" numFmtId="0">
      <sharedItems containsBlank="1"/>
    </cacheField>
    <cacheField name="Status (Semester)" numFmtId="0">
      <sharedItems/>
    </cacheField>
    <cacheField name="Status" numFmtId="0">
      <sharedItems/>
    </cacheField>
    <cacheField name="IPK / Nilai Semester" numFmtId="0">
      <sharedItems containsBlank="1"/>
    </cacheField>
    <cacheField name="Permasalahan Akademik" numFmtId="0">
      <sharedItems containsNonDate="0" containsString="0" containsBlank="1"/>
    </cacheField>
    <cacheField name="Permasaalahan Non Akademik" numFmtId="0">
      <sharedItems containsNonDate="0" containsString="0" containsBlank="1"/>
    </cacheField>
    <cacheField name="Catatan Evaluasi" numFmtId="0">
      <sharedItems containsNonDate="0" containsString="0" containsBlank="1"/>
    </cacheField>
    <cacheField name="Keteranga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2">
  <r>
    <s v="Universitas Indonesia"/>
    <s v="MAGISTER"/>
    <s v="Kesehatan Masyarakat"/>
    <s v="September"/>
    <n v="2018"/>
    <s v="September"/>
    <m/>
    <n v="2020"/>
    <m/>
    <s v="LULUS"/>
    <s v="LULUS"/>
    <s v="LULUS"/>
    <m/>
    <m/>
    <m/>
    <m/>
    <m/>
  </r>
  <r>
    <s v="Universitas Krisnadwipayana"/>
    <s v="MAGISTER"/>
    <s v="Ilmu Administrasi "/>
    <s v="Maret"/>
    <n v="2020"/>
    <s v="Maret"/>
    <n v="2022"/>
    <n v="2020"/>
    <m/>
    <s v="LULUS"/>
    <s v="LULUS"/>
    <s v="LULUS"/>
    <m/>
    <m/>
    <m/>
    <m/>
    <m/>
  </r>
  <r>
    <s v="Universitas Mercu Buana"/>
    <s v="MAGISTER"/>
    <s v="Akuntansi"/>
    <s v="Maret"/>
    <n v="2020"/>
    <s v="Maret"/>
    <n v="2023"/>
    <n v="2020"/>
    <m/>
    <s v="LULUS"/>
    <s v="LULUS"/>
    <s v="LULUS"/>
    <m/>
    <m/>
    <m/>
    <m/>
    <m/>
  </r>
  <r>
    <s v="Institut Bisnis dan Informatika Kosgoro 1957    "/>
    <s v="SARJANA"/>
    <s v="Manajemen"/>
    <s v="September"/>
    <n v="2020"/>
    <s v="September"/>
    <n v="2022"/>
    <n v="2021"/>
    <m/>
    <s v="LULUS"/>
    <s v="LULUS"/>
    <s v="LULUS"/>
    <m/>
    <m/>
    <m/>
    <m/>
    <m/>
  </r>
  <r>
    <s v="Universitas Prof.Dr. Moestopo Beragama, Jakarta"/>
    <s v="MAGISTER"/>
    <s v="Administrasi Publik"/>
    <s v="Maret"/>
    <n v="2021"/>
    <s v="Maret"/>
    <n v="2023"/>
    <n v="2021"/>
    <m/>
    <s v="?"/>
    <s v="LULUS"/>
    <s v="LULUS"/>
    <m/>
    <m/>
    <m/>
    <m/>
    <m/>
  </r>
  <r>
    <s v="Politeknik STIA LAN Jakarta"/>
    <s v="MAGISTER"/>
    <s v="Administrasi Pembangunan Negara"/>
    <s v="September"/>
    <n v="2021"/>
    <s v="September"/>
    <n v="2023"/>
    <n v="2021"/>
    <m/>
    <s v="LULUS"/>
    <s v="LULUS"/>
    <s v="LULUS"/>
    <m/>
    <m/>
    <m/>
    <m/>
    <m/>
  </r>
  <r>
    <s v="Politeknik STIA LAN Jakarta"/>
    <s v="MAGISTER"/>
    <s v="Administrasi Pembangunan Negara"/>
    <s v="Agustus"/>
    <n v="2021"/>
    <s v="Agustus"/>
    <n v="2023"/>
    <n v="2021"/>
    <m/>
    <s v="?"/>
    <s v="LULUS"/>
    <s v="LULUS"/>
    <m/>
    <m/>
    <m/>
    <m/>
    <m/>
  </r>
  <r>
    <s v="Universitas Mercu Buana"/>
    <s v="MAGISTER"/>
    <s v="Ilmu Komunikasi"/>
    <s v="Agustus"/>
    <n v="2021"/>
    <s v="Agustus"/>
    <n v="2023"/>
    <n v="2021"/>
    <m/>
    <s v="?"/>
    <s v="LULUS"/>
    <s v="LULUS"/>
    <m/>
    <m/>
    <m/>
    <m/>
    <m/>
  </r>
  <r>
    <s v="Universitas Esa Unggul "/>
    <s v="MAGISTER"/>
    <s v="Manajemen Keuangan"/>
    <s v="Maret"/>
    <n v="2022"/>
    <s v="Maret"/>
    <n v="2024"/>
    <n v="2022"/>
    <m/>
    <s v="LULUS"/>
    <s v="LULUS"/>
    <s v="LULUS"/>
    <m/>
    <m/>
    <m/>
    <m/>
    <m/>
  </r>
  <r>
    <s v="Universitas Mercu Buana"/>
    <s v="MAGISTER"/>
    <s v="Akuntansi"/>
    <s v="Februari"/>
    <n v="2022"/>
    <s v="Februari"/>
    <n v="2025"/>
    <n v="2022"/>
    <m/>
    <s v="LULUS"/>
    <s v="LULUS"/>
    <s v="LULUS"/>
    <m/>
    <m/>
    <m/>
    <m/>
    <m/>
  </r>
  <r>
    <s v="Universitas Persada Indonesia Y.A.I"/>
    <s v="MAGISTER"/>
    <s v="Manajemen"/>
    <s v="September"/>
    <n v="2022"/>
    <s v="September"/>
    <n v="2024"/>
    <n v="2022"/>
    <m/>
    <s v="?"/>
    <s v="LULUS"/>
    <s v="LULUS"/>
    <m/>
    <m/>
    <m/>
    <m/>
    <m/>
  </r>
  <r>
    <s v="Universitas Trisakti"/>
    <s v="MAGISTER"/>
    <s v="Akuntansi"/>
    <s v="September"/>
    <n v="2022"/>
    <s v="September"/>
    <n v="2024"/>
    <n v="2022"/>
    <m/>
    <s v="?"/>
    <s v="LULUS"/>
    <s v="LULUS"/>
    <m/>
    <m/>
    <m/>
    <m/>
    <m/>
  </r>
  <r>
    <s v="Politeknik STIA LAN Jakarta"/>
    <s v="Diploma IV"/>
    <s v="Administrasi Bisnis Sektor Publik"/>
    <s v="Agustus"/>
    <n v="2022"/>
    <s v="Agustus"/>
    <n v="2024"/>
    <n v="2022"/>
    <m/>
    <s v="?"/>
    <s v="LULUS"/>
    <s v="LULUS"/>
    <m/>
    <m/>
    <m/>
    <m/>
    <m/>
  </r>
  <r>
    <s v="Politeknik STIA LAN Jakarta"/>
    <s v="MAGISTER"/>
    <s v="Administrasi Pembangunan Negara"/>
    <s v="Agustus"/>
    <n v="2022"/>
    <s v="Agustus"/>
    <n v="2024"/>
    <n v="2022"/>
    <m/>
    <s v="?"/>
    <s v="LULUS"/>
    <s v="LULUS"/>
    <m/>
    <m/>
    <m/>
    <m/>
    <m/>
  </r>
  <r>
    <s v="Universitas Terbuka"/>
    <s v="SARJANA"/>
    <s v="Manajemen          "/>
    <s v="April"/>
    <n v="2023"/>
    <s v="April"/>
    <n v="2027"/>
    <n v="2023"/>
    <m/>
    <s v="?"/>
    <s v="AKTIF (Semester 6)"/>
    <s v="AKTIF"/>
    <m/>
    <m/>
    <m/>
    <m/>
    <m/>
  </r>
  <r>
    <s v="Universitas Terbuka"/>
    <s v="SARJANA"/>
    <s v="Akuntansi "/>
    <s v="April"/>
    <n v="2023"/>
    <s v="April"/>
    <n v="2027"/>
    <n v="2023"/>
    <m/>
    <s v="?"/>
    <s v="AKTIF (Semester 6)"/>
    <s v="AKTIF"/>
    <m/>
    <m/>
    <m/>
    <m/>
    <m/>
  </r>
  <r>
    <s v="Universitas Terbuka"/>
    <s v="SARJANA"/>
    <s v="Akuntansi "/>
    <s v="April"/>
    <n v="2023"/>
    <s v="April"/>
    <n v="2027"/>
    <n v="2023"/>
    <m/>
    <s v="?"/>
    <s v="AKTIF (Semester 6)"/>
    <s v="AKTIF"/>
    <m/>
    <m/>
    <m/>
    <m/>
    <m/>
  </r>
  <r>
    <s v="Universitas Terbuka"/>
    <s v="SARJANA"/>
    <s v="Akuntansi "/>
    <s v="April"/>
    <n v="2023"/>
    <s v="April"/>
    <n v="2027"/>
    <n v="2023"/>
    <m/>
    <s v="?"/>
    <s v="AKTIF (Semester 6)"/>
    <s v="AKTIF"/>
    <m/>
    <m/>
    <m/>
    <m/>
    <m/>
  </r>
  <r>
    <s v="Universitas Terbuka"/>
    <s v="SARJANA"/>
    <s v="Manajemen"/>
    <s v="Desember"/>
    <n v="2022"/>
    <s v="Desember "/>
    <n v="2026"/>
    <n v="2023"/>
    <m/>
    <s v="?"/>
    <s v="AKTIF (Semester 7)"/>
    <s v="AKTIF"/>
    <m/>
    <m/>
    <m/>
    <m/>
    <m/>
  </r>
  <r>
    <s v="Universitas Gunadarma"/>
    <s v="MAGISTER"/>
    <s v="Manajemen Sistem Informasi"/>
    <s v="April"/>
    <n v="2020"/>
    <s v="April"/>
    <n v="2022"/>
    <n v="2023"/>
    <m/>
    <s v="?"/>
    <s v="LULUS"/>
    <s v="LULUS"/>
    <m/>
    <m/>
    <m/>
    <m/>
    <m/>
  </r>
  <r>
    <s v="Universitas Terbuka"/>
    <s v="Diploma IV"/>
    <s v="Kearsipan"/>
    <s v="Januari"/>
    <n v="2021"/>
    <s v="Januari "/>
    <n v="2025"/>
    <n v="2023"/>
    <m/>
    <s v="?"/>
    <s v="LULUS"/>
    <e v="#N/A"/>
    <m/>
    <m/>
    <m/>
    <m/>
    <m/>
  </r>
  <r>
    <s v="Universitas Bina Nusantara"/>
    <s v="MAGISTER"/>
    <s v="Teknologi Informasi"/>
    <s v="Maret "/>
    <n v="2021"/>
    <s v="Maret "/>
    <n v="2023"/>
    <n v="2023"/>
    <m/>
    <s v="?"/>
    <s v="LULUS"/>
    <s v="LULUS"/>
    <m/>
    <m/>
    <m/>
    <m/>
    <m/>
  </r>
  <r>
    <s v="Universitas Terbuka"/>
    <s v="Diploma IV"/>
    <s v="Kearsipan"/>
    <s v="Maret"/>
    <n v="2021"/>
    <s v="Maret "/>
    <n v="2025"/>
    <n v="2023"/>
    <m/>
    <s v="?"/>
    <s v="LULUS"/>
    <e v="#N/A"/>
    <m/>
    <m/>
    <m/>
    <m/>
    <m/>
  </r>
  <r>
    <s v="Universitas Terbuka"/>
    <s v="SARJANA"/>
    <s v="Manajemen"/>
    <s v="April"/>
    <n v="2023"/>
    <s v="April"/>
    <n v="2027"/>
    <n v="2023"/>
    <m/>
    <s v="?"/>
    <s v="AKTIF (Semester 6)"/>
    <s v="AKTIF"/>
    <m/>
    <m/>
    <m/>
    <m/>
    <m/>
  </r>
  <r>
    <s v="Universitas Terbuka"/>
    <s v="SARJANA"/>
    <s v="Admistrasi Negara"/>
    <s v="Maret"/>
    <n v="2023"/>
    <s v="Maret "/>
    <n v="2027"/>
    <n v="2023"/>
    <m/>
    <s v="?"/>
    <s v="AKTIF (Semester 6)"/>
    <s v="AKTIF"/>
    <m/>
    <m/>
    <m/>
    <m/>
    <m/>
  </r>
  <r>
    <s v="Universitas Terbuka"/>
    <s v="SARJANA"/>
    <s v="Manajemen"/>
    <s v="Desember"/>
    <n v="2022"/>
    <s v="Desember "/>
    <n v="2026"/>
    <n v="2023"/>
    <m/>
    <s v="?"/>
    <s v="AKTIF (Semester 7)"/>
    <s v="AKTIF"/>
    <m/>
    <m/>
    <m/>
    <m/>
    <m/>
  </r>
  <r>
    <s v="Universitas Terbuka"/>
    <s v="SARJANA"/>
    <s v="Akutansi"/>
    <s v="Agustus"/>
    <n v="2022"/>
    <s v="Agustus "/>
    <n v="2026"/>
    <n v="2023"/>
    <m/>
    <s v="?"/>
    <s v="AKTIF (Semester 7)"/>
    <s v="AKTIF"/>
    <m/>
    <m/>
    <m/>
    <m/>
    <m/>
  </r>
  <r>
    <s v="Sekolah Tinggi Ilmu Ekonomi"/>
    <s v="SARJANA"/>
    <s v="Akutansi"/>
    <m/>
    <m/>
    <n v="0"/>
    <m/>
    <n v="2024"/>
    <m/>
    <s v="?"/>
    <s v="LULUS"/>
    <s v="LULUS"/>
    <m/>
    <m/>
    <m/>
    <m/>
    <m/>
  </r>
  <r>
    <s v="Perbanas Institute"/>
    <s v="SARJANA"/>
    <s v="Manajemen"/>
    <s v="November"/>
    <n v="2024"/>
    <s v="November"/>
    <n v="2026"/>
    <n v="2024"/>
    <m/>
    <m/>
    <s v="AKTIF (Semester 3)"/>
    <s v="AKTIF"/>
    <m/>
    <m/>
    <m/>
    <m/>
    <m/>
  </r>
  <r>
    <s v="Perbanas Institute"/>
    <s v="SARJANA"/>
    <s v="Manajemen"/>
    <s v="Juli"/>
    <n v="2024"/>
    <s v="Juli"/>
    <n v="2026"/>
    <n v="2024"/>
    <m/>
    <m/>
    <s v="AKTIF (Semester 3)"/>
    <s v="AKTIF"/>
    <m/>
    <m/>
    <m/>
    <m/>
    <m/>
  </r>
  <r>
    <s v="Perbanas Institute"/>
    <s v="SARJANA"/>
    <s v="Manajemen"/>
    <m/>
    <m/>
    <n v="0"/>
    <m/>
    <n v="2024"/>
    <m/>
    <m/>
    <s v="LULUS"/>
    <s v="LULUS"/>
    <m/>
    <m/>
    <m/>
    <m/>
    <m/>
  </r>
  <r>
    <s v="Perbanas Institute"/>
    <s v="SARJANA"/>
    <s v="Manajemen"/>
    <s v="Juli"/>
    <n v="2024"/>
    <s v="Juli"/>
    <n v="2026"/>
    <n v="2024"/>
    <m/>
    <m/>
    <s v="AKTIF (Semester 3)"/>
    <s v="AKTIF"/>
    <m/>
    <m/>
    <m/>
    <m/>
    <m/>
  </r>
  <r>
    <s v="UT"/>
    <s v="SARJANA"/>
    <s v="Akuntansi"/>
    <s v="Oktober"/>
    <n v="2024"/>
    <s v="Oktober"/>
    <n v="2026"/>
    <n v="2024"/>
    <m/>
    <m/>
    <s v="AKTIF (Semester 3)"/>
    <s v="AKTIF"/>
    <m/>
    <m/>
    <m/>
    <m/>
    <m/>
  </r>
  <r>
    <s v="Univ. Esa Unggul"/>
    <s v="SARJANA"/>
    <s v="Teknik Informatika"/>
    <s v="September"/>
    <n v="2024"/>
    <s v="September"/>
    <n v="2026"/>
    <n v="2024"/>
    <m/>
    <m/>
    <s v="AKTIF (Semester 3)"/>
    <s v="AKTIF"/>
    <m/>
    <m/>
    <m/>
    <m/>
    <m/>
  </r>
  <r>
    <s v="Universitas Bina Nusantara"/>
    <s v="SARJANA"/>
    <s v="Sistem Informasi"/>
    <s v="Juli"/>
    <n v="2023"/>
    <s v="Juli "/>
    <n v="2027"/>
    <n v="2025"/>
    <m/>
    <m/>
    <s v="AKTIF (Semester 5)"/>
    <s v="AKTIF"/>
    <m/>
    <m/>
    <m/>
    <m/>
    <m/>
  </r>
  <r>
    <s v="Universitas Terbuka"/>
    <s v="SARJANA"/>
    <s v="Akuntansi"/>
    <s v="April"/>
    <n v="2023"/>
    <s v="April"/>
    <n v="2027"/>
    <n v="2025"/>
    <m/>
    <m/>
    <s v="AKTIF (Semester 6)"/>
    <s v="AKTIF"/>
    <m/>
    <m/>
    <m/>
    <m/>
    <m/>
  </r>
  <r>
    <s v="Universitas Gunadarma"/>
    <s v="MAGISTER"/>
    <s v="Manajemen Sistem Informasi"/>
    <s v="Maret"/>
    <n v="2024"/>
    <s v="Maret"/>
    <n v="2026"/>
    <n v="2025"/>
    <m/>
    <m/>
    <s v="AKTIF (Semester 4)"/>
    <s v="AKTIF"/>
    <m/>
    <m/>
    <m/>
    <m/>
    <m/>
  </r>
  <r>
    <s v="Universitas Terbuka"/>
    <s v="SARJANA"/>
    <s v="Ilmu Administrasi Negara"/>
    <s v="September"/>
    <n v="2024"/>
    <s v="September"/>
    <n v="2028"/>
    <n v="2025"/>
    <m/>
    <m/>
    <s v="AKTIF (Semester 3)"/>
    <s v="AKTIF"/>
    <m/>
    <m/>
    <m/>
    <m/>
    <m/>
  </r>
  <r>
    <s v="Universitas Terbuka"/>
    <s v="SARJANA"/>
    <s v="Sistem Informasi"/>
    <s v="September"/>
    <n v="2024"/>
    <s v=" September "/>
    <n v="2028"/>
    <n v="2025"/>
    <m/>
    <m/>
    <s v="AKTIF (Semester 3)"/>
    <s v="AKTIF"/>
    <m/>
    <m/>
    <m/>
    <m/>
    <m/>
  </r>
  <r>
    <s v="Institut Ilmu Sosial dan Manajemen STIAMI"/>
    <s v="MAGISTER"/>
    <s v="Ilmu Administrasi"/>
    <s v="September"/>
    <n v="2024"/>
    <s v="September "/>
    <n v="2026"/>
    <n v="2025"/>
    <m/>
    <m/>
    <s v="AKTIF (Semester 3)"/>
    <s v="AKTIF"/>
    <m/>
    <m/>
    <m/>
    <m/>
    <m/>
  </r>
  <r>
    <s v="Institut Ilmu Sosial dan Manajemen STIAMI"/>
    <s v="MAGISTER"/>
    <s v="Ilmu Administrasi"/>
    <s v="September"/>
    <n v="2024"/>
    <s v="September "/>
    <n v="2026"/>
    <n v="2025"/>
    <m/>
    <m/>
    <s v="AKTIF (Semester 3)"/>
    <s v="AKTIF"/>
    <m/>
    <m/>
    <m/>
    <m/>
    <m/>
  </r>
  <r>
    <s v="Universitas Terbuka"/>
    <s v="SARJANA"/>
    <s v="Ilmu Administrasi Negara"/>
    <s v="September"/>
    <n v="2024"/>
    <s v="September"/>
    <n v="2028"/>
    <n v="2025"/>
    <m/>
    <m/>
    <s v="AKTIF (Semester 3)"/>
    <s v="AKTIF"/>
    <m/>
    <m/>
    <m/>
    <m/>
    <m/>
  </r>
  <r>
    <s v="Universitas Terbuka"/>
    <s v="SARJANA"/>
    <s v="Ilmu Administrasi Negara"/>
    <s v="Maret"/>
    <n v="2023"/>
    <s v="Maret "/>
    <n v="2027"/>
    <n v="2025"/>
    <m/>
    <m/>
    <s v="AKTIF (Semester 6)"/>
    <s v="AKTIF"/>
    <m/>
    <m/>
    <m/>
    <m/>
    <m/>
  </r>
  <r>
    <s v="Universitas Bung Karno"/>
    <s v="MAGISTER"/>
    <s v="Ilmu Hukum"/>
    <s v="September"/>
    <n v="2024"/>
    <s v="September "/>
    <n v="2026"/>
    <n v="2025"/>
    <m/>
    <m/>
    <s v="AKTIF (Semester 3)"/>
    <s v="AKTIF"/>
    <m/>
    <m/>
    <m/>
    <m/>
    <m/>
  </r>
  <r>
    <s v="Perbanas Institute"/>
    <s v="SARJANA"/>
    <s v="Akuntansi"/>
    <s v="November"/>
    <n v="2024"/>
    <s v="November "/>
    <n v="2028"/>
    <n v="2025"/>
    <m/>
    <m/>
    <s v="AKTIF (Semester 3)"/>
    <s v="AKTIF"/>
    <m/>
    <m/>
    <m/>
    <m/>
    <m/>
  </r>
  <r>
    <s v="Perbanas Institute"/>
    <s v="SARJANA"/>
    <s v="Manajemen"/>
    <s v="November"/>
    <n v="2024"/>
    <s v="November "/>
    <n v="2028"/>
    <n v="2025"/>
    <m/>
    <m/>
    <s v="AKTIF (Semester 3)"/>
    <s v="AKTIF"/>
    <m/>
    <m/>
    <m/>
    <m/>
    <m/>
  </r>
  <r>
    <s v="Politeknik STIA LAN Jakarta"/>
    <s v="Doktor"/>
    <s v="Administrasi Pembangunan Negara"/>
    <s v="Agustus"/>
    <n v="2025"/>
    <s v="Agustus"/>
    <n v="2025"/>
    <n v="2025"/>
    <m/>
    <m/>
    <s v="LULUS"/>
    <s v="LULUS"/>
    <m/>
    <m/>
    <m/>
    <m/>
    <m/>
  </r>
  <r>
    <s v="Universitas Bhayangkara Jakarta Raya"/>
    <s v="SARJANA"/>
    <s v="Psikologi"/>
    <s v="September"/>
    <n v="2025"/>
    <s v="Maret"/>
    <n v="2028"/>
    <n v="2025"/>
    <m/>
    <m/>
    <s v="AKTIF (Semester 1)"/>
    <s v="AKTIF"/>
    <m/>
    <m/>
    <m/>
    <m/>
    <m/>
  </r>
  <r>
    <s v="Universitas Bhayangkara Jakarta Raya"/>
    <s v="MAGISTER"/>
    <s v="Manajemen"/>
    <s v="September"/>
    <n v="2025"/>
    <s v="September"/>
    <n v="2027"/>
    <n v="2025"/>
    <m/>
    <m/>
    <s v="AKTIF (Semester 1)"/>
    <s v="AKTIF"/>
    <m/>
    <m/>
    <m/>
    <m/>
    <m/>
  </r>
  <r>
    <s v="Sekolah Tinggi Ilmu Ekonomi"/>
    <s v="MAGISTER"/>
    <s v="Manajemen "/>
    <s v="September"/>
    <n v="2020"/>
    <s v="September"/>
    <n v="2022"/>
    <n v="2020"/>
    <m/>
    <s v="LULUS"/>
    <s v="LULUS"/>
    <s v="LULUS"/>
    <m/>
    <m/>
    <m/>
    <m/>
    <m/>
  </r>
  <r>
    <s v="Sekolah Tinggi Ilmu Ekonomi"/>
    <s v="MAGISTER"/>
    <s v="Manajemen"/>
    <s v="September"/>
    <n v="2022"/>
    <s v="September"/>
    <n v="2024"/>
    <n v="2022"/>
    <m/>
    <s v="LULUS"/>
    <s v="LULUS"/>
    <s v="LULUS"/>
    <m/>
    <m/>
    <m/>
    <m/>
    <m/>
  </r>
  <r>
    <s v="Institut Pertanian Bogor"/>
    <s v="Doktor"/>
    <s v="Teknologi Perikanan Laut"/>
    <s v="Agustus"/>
    <n v="2023"/>
    <s v="Agustus"/>
    <n v="2026"/>
    <n v="2022"/>
    <m/>
    <s v="?"/>
    <s v="AKTIF (Semester 5)"/>
    <s v="AKTIF"/>
    <m/>
    <m/>
    <m/>
    <m/>
    <m/>
  </r>
  <r>
    <s v="Universitas Terbuka"/>
    <s v="SARJANA"/>
    <s v="Ekonomi Pembangunan"/>
    <s v="Oktober"/>
    <n v="2024"/>
    <s v="Oktober"/>
    <n v="2026"/>
    <n v="2022"/>
    <m/>
    <s v="?"/>
    <s v="AKTIF (Semester 3)"/>
    <s v="AKTIF"/>
    <m/>
    <m/>
    <m/>
    <m/>
    <m/>
  </r>
  <r>
    <s v="Universitas Terbuka"/>
    <s v="SARJANA"/>
    <s v="Ekonomi Pembangunan"/>
    <s v="Oktober"/>
    <n v="2024"/>
    <s v="Oktober"/>
    <n v="2026"/>
    <n v="2024"/>
    <m/>
    <s v="?"/>
    <s v="AKTIF (Semester 3)"/>
    <s v="AKTIF"/>
    <m/>
    <m/>
    <m/>
    <m/>
    <m/>
  </r>
  <r>
    <s v="Universitas Negeri Jakarta"/>
    <s v="Doktor"/>
    <s v="Ilmu Manajemen"/>
    <s v="September"/>
    <n v="2020"/>
    <s v="September"/>
    <n v="2022"/>
    <n v="2020"/>
    <m/>
    <s v="LULUS"/>
    <s v="LULUS"/>
    <s v="LULUS"/>
    <m/>
    <m/>
    <m/>
    <m/>
    <m/>
  </r>
  <r>
    <s v="Universitas Bung Hatta"/>
    <s v="MAGISTER"/>
    <s v="Sumberdaya Perairan Pesisir dan Kelautan"/>
    <s v="September"/>
    <n v="2020"/>
    <s v="September"/>
    <n v="2022"/>
    <n v="2020"/>
    <m/>
    <s v="LULUS"/>
    <s v="LULUS"/>
    <s v="LULUS"/>
    <m/>
    <m/>
    <m/>
    <m/>
    <m/>
  </r>
  <r>
    <s v="Universitas Bung Hatta"/>
    <s v="SARJANA"/>
    <s v="Pemanfaatan Sumberdaya Ikan"/>
    <s v="September"/>
    <n v="2020"/>
    <s v="September"/>
    <n v="2024"/>
    <n v="2020"/>
    <m/>
    <s v="?"/>
    <s v="LULUS"/>
    <s v="LULUS"/>
    <m/>
    <m/>
    <m/>
    <m/>
    <m/>
  </r>
  <r>
    <s v="Universitas Terbuka"/>
    <s v="SARJANA"/>
    <s v="Administrasi Negara"/>
    <s v="Juli"/>
    <n v="2020"/>
    <s v="Juli"/>
    <n v="2024"/>
    <n v="2020"/>
    <m/>
    <s v="?"/>
    <s v="LULUS"/>
    <s v="LULUS"/>
    <m/>
    <m/>
    <m/>
    <m/>
    <m/>
  </r>
  <r>
    <s v="Universitas Terbuka"/>
    <s v="SARJANA"/>
    <s v="Ekonomi Akuntansi"/>
    <s v="Agustus"/>
    <n v="2020"/>
    <s v="Agustus"/>
    <n v="2023"/>
    <n v="2020"/>
    <m/>
    <s v="LULUS"/>
    <s v="LULUS"/>
    <s v="LULUS"/>
    <m/>
    <m/>
    <m/>
    <m/>
    <m/>
  </r>
  <r>
    <s v="Universitas Pattimura"/>
    <s v="MAGISTER"/>
    <s v="Manajemen Sumber Daya Kelautan dan Pulau-Pulau Kecil"/>
    <s v="September"/>
    <n v="2020"/>
    <s v="September"/>
    <n v="2022"/>
    <n v="2020"/>
    <m/>
    <s v="LULUS"/>
    <s v="LULUS"/>
    <s v="LULUS"/>
    <m/>
    <m/>
    <m/>
    <m/>
    <m/>
  </r>
  <r>
    <s v="STIA "/>
    <s v="SARJANA"/>
    <s v="Ilmu Administrasi Negara"/>
    <s v="September"/>
    <n v="2020"/>
    <s v="September"/>
    <n v="2024"/>
    <n v="2020"/>
    <m/>
    <s v="LULUS"/>
    <s v="LULUS"/>
    <s v="LULUS"/>
    <m/>
    <m/>
    <m/>
    <m/>
    <m/>
  </r>
  <r>
    <s v="Institut Pertanian Bogor"/>
    <s v="Doktor"/>
    <s v="Pemanfaatan Sumber Daya Perikanan"/>
    <s v="September"/>
    <n v="2020"/>
    <s v="September"/>
    <n v="2025"/>
    <n v="2021"/>
    <m/>
    <s v="LULUS"/>
    <s v="LULUS"/>
    <s v="LULUS"/>
    <m/>
    <m/>
    <m/>
    <m/>
    <m/>
  </r>
  <r>
    <s v="Institut Pertanian Bogor"/>
    <s v="Doktor"/>
    <s v="Pemanfaatan Sumber Daya Perikanan"/>
    <s v="September"/>
    <n v="2020"/>
    <s v="September"/>
    <n v="2023"/>
    <n v="2021"/>
    <m/>
    <s v="?"/>
    <s v="LULUS"/>
    <s v="LULUS"/>
    <m/>
    <m/>
    <m/>
    <m/>
    <m/>
  </r>
  <r>
    <s v="STIE"/>
    <s v="SARJANA"/>
    <s v="Manajemen"/>
    <s v="September"/>
    <n v="2020"/>
    <s v="September"/>
    <n v="2024"/>
    <n v="2021"/>
    <m/>
    <s v="?"/>
    <s v="LULUS"/>
    <s v="LULUS"/>
    <m/>
    <m/>
    <m/>
    <m/>
    <m/>
  </r>
  <r>
    <s v="Universitas Pattimura"/>
    <s v="SARJANA"/>
    <s v="Pemanfaatan Sumberdaya Perikanan"/>
    <s v="September"/>
    <n v="2020"/>
    <s v="September"/>
    <n v="2024"/>
    <n v="2021"/>
    <m/>
    <s v="?"/>
    <s v="LULUS"/>
    <s v="LULUS"/>
    <m/>
    <m/>
    <m/>
    <m/>
    <m/>
  </r>
  <r>
    <s v="Universitas Pattimura"/>
    <s v="SARJANA"/>
    <s v="Pemanfaatan Sumberdaya Perikanan"/>
    <s v="September"/>
    <n v="2020"/>
    <s v="September"/>
    <n v="2024"/>
    <n v="2021"/>
    <m/>
    <s v="?"/>
    <s v="LULUS"/>
    <s v="LULUS"/>
    <m/>
    <m/>
    <m/>
    <m/>
    <m/>
  </r>
  <r>
    <s v="STIE"/>
    <s v="SARJANA"/>
    <s v="Ekonomi Pembangunan"/>
    <s v="Agustus"/>
    <n v="2020"/>
    <s v="Agustus"/>
    <n v="2024"/>
    <n v="2021"/>
    <m/>
    <s v="?"/>
    <s v="LULUS"/>
    <s v="LULUS"/>
    <m/>
    <m/>
    <m/>
    <m/>
    <m/>
  </r>
  <r>
    <s v="STIE"/>
    <s v="SARJANA"/>
    <s v="Ekonomi Pembangunan"/>
    <s v="Agustus"/>
    <n v="2020"/>
    <s v="Agustus"/>
    <n v="2024"/>
    <n v="2021"/>
    <m/>
    <s v="?"/>
    <s v="LULUS"/>
    <s v="LULUS"/>
    <m/>
    <m/>
    <m/>
    <m/>
    <m/>
  </r>
  <r>
    <s v="STIE"/>
    <s v="SARJANA"/>
    <s v="Ekonomi Pembangunan"/>
    <s v="Agustus"/>
    <n v="2020"/>
    <s v="Agustus"/>
    <n v="2024"/>
    <n v="2021"/>
    <m/>
    <s v="LULUS"/>
    <s v="LULUS"/>
    <s v="LULUS"/>
    <m/>
    <m/>
    <m/>
    <m/>
    <m/>
  </r>
  <r>
    <s v="STIE"/>
    <s v="SARJANA"/>
    <s v="Ekonomi Pembangunan"/>
    <s v="Agustus"/>
    <n v="2020"/>
    <s v="Agustus"/>
    <n v="2024"/>
    <n v="2021"/>
    <m/>
    <s v="LULUS"/>
    <s v="LULUS"/>
    <s v="LULUS"/>
    <m/>
    <m/>
    <m/>
    <m/>
    <m/>
  </r>
  <r>
    <s v="STIE"/>
    <s v="SARJANA"/>
    <s v="Ekonomi Pembangunan"/>
    <s v="Agustus"/>
    <n v="2020"/>
    <s v="Agustus"/>
    <n v="2024"/>
    <n v="2021"/>
    <m/>
    <s v="LULUS"/>
    <s v="LULUS"/>
    <s v="LULUS"/>
    <m/>
    <m/>
    <m/>
    <m/>
    <m/>
  </r>
  <r>
    <s v="STIE"/>
    <s v="SARJANA"/>
    <s v="Ekonomi Pembangunan"/>
    <s v="Agustus"/>
    <n v="2020"/>
    <s v="Agustus"/>
    <n v="2024"/>
    <n v="2021"/>
    <m/>
    <s v="?"/>
    <s v="LULUS"/>
    <s v="LULUS"/>
    <m/>
    <m/>
    <m/>
    <m/>
    <m/>
  </r>
  <r>
    <s v="STIE"/>
    <s v="SARJANA"/>
    <s v="Ekonomi Pembangunan"/>
    <s v="Agustus"/>
    <n v="2020"/>
    <s v="Agustus"/>
    <n v="2024"/>
    <n v="2021"/>
    <m/>
    <s v="?"/>
    <s v="LULUS"/>
    <s v="LULUS"/>
    <m/>
    <m/>
    <m/>
    <m/>
    <m/>
  </r>
  <r>
    <s v="STIE"/>
    <s v="SARJANA"/>
    <s v="Ekonomi Pembangunan"/>
    <s v="Agustus"/>
    <n v="2020"/>
    <s v="Agustus"/>
    <n v="2024"/>
    <n v="2021"/>
    <m/>
    <s v="?"/>
    <s v="LULUS"/>
    <s v="LULUS"/>
    <m/>
    <m/>
    <m/>
    <m/>
    <m/>
  </r>
  <r>
    <s v="Universitas Satya Negara Indonesia"/>
    <s v="SARJANA"/>
    <s v="Pemanfaatan Sumber Daya Perikanan"/>
    <s v="Maret"/>
    <n v="2021"/>
    <s v="Maret "/>
    <n v="2025"/>
    <n v="2021"/>
    <m/>
    <s v="?"/>
    <s v="LULUS"/>
    <e v="#N/A"/>
    <m/>
    <m/>
    <m/>
    <m/>
    <m/>
  </r>
  <r>
    <s v="Universitas Satya Negara Indonesia"/>
    <s v="SARJANA"/>
    <s v="Pemanfaatan Sumber Daya Perikanan"/>
    <s v="Maret"/>
    <n v="2021"/>
    <s v="Maret "/>
    <n v="2025"/>
    <n v="2021"/>
    <m/>
    <s v="?"/>
    <s v="LULUS"/>
    <e v="#N/A"/>
    <m/>
    <m/>
    <m/>
    <m/>
    <m/>
  </r>
  <r>
    <s v="Universitas Satya Negara Indonesia"/>
    <s v="SARJANA"/>
    <s v="Pemanfaatan Sumber Daya Perikanan"/>
    <s v="Maret"/>
    <n v="2021"/>
    <s v="Maret "/>
    <n v="2025"/>
    <n v="2021"/>
    <m/>
    <s v="?"/>
    <s v="LULUS"/>
    <e v="#N/A"/>
    <m/>
    <m/>
    <m/>
    <m/>
    <m/>
  </r>
  <r>
    <s v="Universitas Terbuka"/>
    <s v="Diploma IV"/>
    <s v="Kearsipan"/>
    <s v="Maret"/>
    <n v="2021"/>
    <s v="Maret"/>
    <n v="2025"/>
    <n v="2021"/>
    <m/>
    <s v="?"/>
    <s v="LULUS"/>
    <s v="LULUS"/>
    <m/>
    <m/>
    <m/>
    <m/>
    <m/>
  </r>
  <r>
    <s v="Universitas Terbuka"/>
    <s v="Diploma IV"/>
    <s v="Kearsipan"/>
    <s v="Maret"/>
    <n v="2021"/>
    <s v="Maret"/>
    <n v="2025"/>
    <n v="2021"/>
    <m/>
    <s v="?"/>
    <s v="LULUS"/>
    <s v="LULUS"/>
    <m/>
    <m/>
    <m/>
    <m/>
    <m/>
  </r>
  <r>
    <s v="Universitas Terbuka"/>
    <s v="Diploma IV"/>
    <s v="Kearsipan"/>
    <s v="Maret"/>
    <n v="2021"/>
    <s v="Maret"/>
    <n v="2025"/>
    <n v="2021"/>
    <m/>
    <s v="?"/>
    <s v="LULUS"/>
    <s v="LULUS"/>
    <m/>
    <m/>
    <m/>
    <m/>
    <m/>
  </r>
  <r>
    <s v="Universitas Terbuka"/>
    <s v="Diploma IV"/>
    <s v="Kearsipan"/>
    <s v="Maret"/>
    <n v="2021"/>
    <s v="Maret"/>
    <n v="2025"/>
    <n v="2021"/>
    <m/>
    <s v="?"/>
    <s v="LULUS"/>
    <s v="LULUS"/>
    <m/>
    <m/>
    <m/>
    <m/>
    <m/>
  </r>
  <r>
    <s v="Universitas Terbuka"/>
    <s v="Diploma IV"/>
    <s v="Kearsipan"/>
    <s v="Maret"/>
    <n v="2021"/>
    <s v="Maret"/>
    <n v="2025"/>
    <n v="2021"/>
    <m/>
    <s v="?"/>
    <s v="LULUS"/>
    <s v="LULUS"/>
    <m/>
    <m/>
    <m/>
    <m/>
    <m/>
  </r>
  <r>
    <s v="Universitas Terbuka"/>
    <s v="Diploma IV"/>
    <s v="Kearsipan"/>
    <s v="Maret"/>
    <n v="2021"/>
    <s v="Maret"/>
    <n v="2025"/>
    <n v="2021"/>
    <m/>
    <s v="?"/>
    <s v="LULUS"/>
    <s v="LULUS"/>
    <m/>
    <m/>
    <m/>
    <m/>
    <m/>
  </r>
  <r>
    <s v="Universitas Indonesia"/>
    <s v="MAGISTER"/>
    <s v="Ilmu Lingkungan"/>
    <s v="Februari"/>
    <n v="2022"/>
    <s v="Februari"/>
    <n v="2024"/>
    <n v="2022"/>
    <m/>
    <s v="LULUS"/>
    <s v="LULUS"/>
    <s v="LULUS"/>
    <m/>
    <m/>
    <m/>
    <m/>
    <m/>
  </r>
  <r>
    <s v="Universitas Persada Indonesia Y.A.I"/>
    <s v="MAGISTER"/>
    <s v="Psikologi"/>
    <s v="Agustus"/>
    <n v="2022"/>
    <s v="Agustus"/>
    <n v="2024"/>
    <n v="2022"/>
    <m/>
    <s v="LULUS"/>
    <s v="LULUS"/>
    <s v="LULUS"/>
    <m/>
    <m/>
    <m/>
    <m/>
    <m/>
  </r>
  <r>
    <s v="Institut Pertanian Bogor"/>
    <s v="Doktor"/>
    <s v="Teknologi Perikanan Laut"/>
    <s v="Agustus"/>
    <n v="2022"/>
    <s v="Agustus"/>
    <n v="2025"/>
    <n v="2022"/>
    <m/>
    <s v="?"/>
    <s v="LULUS"/>
    <s v="LULUS"/>
    <m/>
    <m/>
    <m/>
    <m/>
    <m/>
  </r>
  <r>
    <s v="Institut Pertanian Bogor"/>
    <s v="Doktor"/>
    <s v="Teknologi Perikanan Laut"/>
    <s v="Agustus"/>
    <n v="2022"/>
    <s v="Agustus"/>
    <n v="2025"/>
    <n v="2022"/>
    <m/>
    <s v="?"/>
    <s v="LULUS"/>
    <s v="LULUS"/>
    <m/>
    <m/>
    <m/>
    <m/>
    <m/>
  </r>
  <r>
    <s v="Universitas Satya Negara Indonesia"/>
    <s v="SARJANA"/>
    <s v="Pemanfaatan Sumber Daya Perikanan ( Pengelolaan Sumberdaya Perikanan/Perairan/Pesisir dan Lautan )"/>
    <s v="September"/>
    <n v="2022"/>
    <s v="September"/>
    <n v="2026"/>
    <n v="2022"/>
    <m/>
    <s v="?"/>
    <s v="AKTIF (Semester 7)"/>
    <s v="AKTIF"/>
    <m/>
    <m/>
    <m/>
    <m/>
    <m/>
  </r>
  <r>
    <s v="Institut Pertanian Bogor"/>
    <s v="Doktor"/>
    <s v="Teknologi Perikanan Laut"/>
    <s v="Agustus"/>
    <n v="2022"/>
    <s v="Agustus"/>
    <n v="2025"/>
    <n v="2022"/>
    <m/>
    <s v="?"/>
    <s v="LULUS"/>
    <s v="LULUS"/>
    <m/>
    <m/>
    <m/>
    <m/>
    <m/>
  </r>
  <r>
    <s v="Institut Pertanian Bogor"/>
    <s v="Doktor"/>
    <s v="Teknologi Perikanan Laut"/>
    <s v="Agustus"/>
    <n v="2022"/>
    <s v="Agustus"/>
    <n v="2025"/>
    <n v="2022"/>
    <m/>
    <s v="?"/>
    <s v="LULUS"/>
    <s v="LULUS"/>
    <m/>
    <m/>
    <m/>
    <m/>
    <m/>
  </r>
  <r>
    <s v="Universitas Al-Muslim"/>
    <s v="MAGISTER"/>
    <s v="Pengelolaan Sumberdaya Alam dan Lingkungan"/>
    <s v="September"/>
    <n v="2023"/>
    <s v="September "/>
    <n v="2025"/>
    <n v="2023"/>
    <m/>
    <m/>
    <s v="LULUS"/>
    <e v="#N/A"/>
    <m/>
    <m/>
    <m/>
    <m/>
    <m/>
  </r>
  <r>
    <s v="Universitas Diponegoro"/>
    <s v="Doktor"/>
    <s v="Manajemen Sumber Daya Perairan   "/>
    <s v="Agustus"/>
    <n v="2023"/>
    <s v="Agustus "/>
    <n v="2026"/>
    <n v="2023"/>
    <m/>
    <m/>
    <s v="AKTIF (Semester 5)"/>
    <s v="AKTIF"/>
    <m/>
    <m/>
    <m/>
    <m/>
    <m/>
  </r>
  <r>
    <s v="Universitas Semarang"/>
    <s v="SARJANA"/>
    <s v="Teknik Elektro    "/>
    <s v="September"/>
    <n v="2023"/>
    <s v="September "/>
    <n v="2027"/>
    <n v="2023"/>
    <m/>
    <m/>
    <s v="AKTIF (Semester 5)"/>
    <s v="AKTIF"/>
    <m/>
    <m/>
    <m/>
    <m/>
    <m/>
  </r>
  <r>
    <s v="Universitas Negeri Gorontalo"/>
    <s v="SARJANA"/>
    <s v="Akuakultur "/>
    <s v="September"/>
    <n v="2023"/>
    <s v="September"/>
    <n v="2027"/>
    <n v="2023"/>
    <m/>
    <m/>
    <s v="AKTIF (Semester 5)"/>
    <s v="AKTIF"/>
    <m/>
    <m/>
    <m/>
    <m/>
    <m/>
  </r>
  <r>
    <s v="Universitas Dharmawangsa"/>
    <s v="SARJANA"/>
    <s v="Administrasi Publik"/>
    <s v="September"/>
    <n v="2023"/>
    <s v="September "/>
    <n v="2027"/>
    <n v="2023"/>
    <m/>
    <m/>
    <s v="AKTIF (Semester 5)"/>
    <s v="AKTIF"/>
    <m/>
    <m/>
    <m/>
    <m/>
    <m/>
  </r>
  <r>
    <s v="Universitas Terbuka"/>
    <s v="MAGISTER"/>
    <s v="Manajemen Perikanan"/>
    <s v="September"/>
    <n v="2023"/>
    <s v="September"/>
    <n v="2025"/>
    <n v="2023"/>
    <m/>
    <m/>
    <s v="LULUS"/>
    <s v="LULUS"/>
    <m/>
    <m/>
    <m/>
    <m/>
    <m/>
  </r>
  <r>
    <s v="Universitas Terbuka"/>
    <s v="MAGISTER"/>
    <s v="Ilmu Administrasi/Publik"/>
    <s v="September"/>
    <n v="2023"/>
    <s v="September "/>
    <n v="2025"/>
    <n v="2023"/>
    <m/>
    <m/>
    <s v="LULUS"/>
    <e v="#N/A"/>
    <m/>
    <m/>
    <m/>
    <m/>
    <m/>
  </r>
  <r>
    <s v="Universitas Terbuka"/>
    <s v="SARJANA"/>
    <s v="Manajemen"/>
    <s v="September"/>
    <n v="2023"/>
    <s v="September "/>
    <n v="2027"/>
    <n v="2023"/>
    <m/>
    <m/>
    <s v="AKTIF (Semester 5)"/>
    <s v="AKTIF"/>
    <m/>
    <m/>
    <m/>
    <m/>
    <m/>
  </r>
  <r>
    <s v="Universitas Halu Oleo"/>
    <s v="MAGISTER"/>
    <s v="Ilmu Perikanan"/>
    <s v="Juli"/>
    <n v="2023"/>
    <s v="Juli "/>
    <n v="2025"/>
    <n v="2023"/>
    <m/>
    <m/>
    <s v="LULUS"/>
    <e v="#N/A"/>
    <m/>
    <m/>
    <m/>
    <m/>
    <m/>
  </r>
  <r>
    <s v="Universitas Halu Oleo"/>
    <s v="MAGISTER"/>
    <s v="Ilmu Perikanan"/>
    <s v="Juli"/>
    <n v="2023"/>
    <s v="Juli "/>
    <n v="2025"/>
    <n v="2023"/>
    <m/>
    <m/>
    <s v="LULUS"/>
    <e v="#N/A"/>
    <m/>
    <m/>
    <m/>
    <m/>
    <m/>
  </r>
  <r>
    <s v="Universitas Terbuka"/>
    <s v="MAGISTER"/>
    <s v="Manajemen Perikanan"/>
    <s v="September"/>
    <n v="2023"/>
    <s v="September "/>
    <n v="2025"/>
    <n v="2023"/>
    <m/>
    <m/>
    <s v="LULUS"/>
    <e v="#N/A"/>
    <m/>
    <m/>
    <m/>
    <m/>
    <m/>
  </r>
  <r>
    <s v="Universitas Indonesia"/>
    <s v="MAGISTER"/>
    <s v="Ilmu Lingkungan"/>
    <s v="Agustus"/>
    <n v="2023"/>
    <s v="Agustus "/>
    <n v="2025"/>
    <n v="2024"/>
    <m/>
    <m/>
    <s v="LULUS"/>
    <e v="#N/A"/>
    <m/>
    <m/>
    <m/>
    <m/>
    <m/>
  </r>
  <r>
    <s v="Universitas Negeri Gorontalo"/>
    <s v="MAGISTER"/>
    <s v="Ilmu Kelautan dan Perikanan"/>
    <s v="September"/>
    <n v="2023"/>
    <s v="September "/>
    <n v="2025"/>
    <n v="2024"/>
    <m/>
    <m/>
    <s v="LULUS"/>
    <e v="#N/A"/>
    <m/>
    <m/>
    <m/>
    <m/>
    <m/>
  </r>
  <r>
    <s v="Universitas Paramadina"/>
    <s v="MAGISTER"/>
    <s v="Manajemen"/>
    <s v="September"/>
    <n v="2023"/>
    <s v="September "/>
    <n v="2025"/>
    <m/>
    <m/>
    <m/>
    <s v="LULUS"/>
    <e v="#N/A"/>
    <m/>
    <m/>
    <m/>
    <m/>
    <m/>
  </r>
  <r>
    <s v="Universitas Terbuka"/>
    <s v="SARJANA"/>
    <s v="Manajemen"/>
    <s v="Agustus"/>
    <n v="2023"/>
    <s v="Agustus "/>
    <n v="2027"/>
    <n v="2023"/>
    <m/>
    <m/>
    <s v="AKTIF (Semester 5)"/>
    <s v="AKTIF"/>
    <m/>
    <m/>
    <m/>
    <m/>
    <m/>
  </r>
  <r>
    <s v="Universitas Bung Hatta"/>
    <s v="MAGISTER"/>
    <s v="Pengelolaan Sumberdaya Perairan, Pesisir dan Kelautan"/>
    <s v="September"/>
    <n v="2023"/>
    <s v="September"/>
    <n v="2025"/>
    <n v="2024"/>
    <m/>
    <m/>
    <s v="LULUS"/>
    <s v="LULUS"/>
    <m/>
    <m/>
    <m/>
    <m/>
    <m/>
  </r>
  <r>
    <s v="Universitas Terbuka"/>
    <s v="SARJANA"/>
    <s v="Manajemen"/>
    <s v="September"/>
    <n v="2023"/>
    <s v="September "/>
    <n v="2027"/>
    <n v="2024"/>
    <m/>
    <m/>
    <s v="AKTIF (Semester 5)"/>
    <s v="AKTIF"/>
    <m/>
    <m/>
    <m/>
    <m/>
    <m/>
  </r>
  <r>
    <s v="Politeknik STIA IAN Jakarta"/>
    <s v="MAGISTER"/>
    <s v="Administrasi Pembangunan Negara"/>
    <s v="September"/>
    <n v="2023"/>
    <s v="September "/>
    <n v="2025"/>
    <n v="2024"/>
    <m/>
    <m/>
    <s v="LULUS"/>
    <e v="#N/A"/>
    <m/>
    <m/>
    <m/>
    <m/>
    <m/>
  </r>
  <r>
    <s v="Universitas Terbuka"/>
    <s v="SARJANA"/>
    <s v="Ilmu Administrasi Negara"/>
    <s v="Oktober"/>
    <n v="2022"/>
    <s v="Oktober "/>
    <n v="2026"/>
    <n v="2022"/>
    <m/>
    <s v="?"/>
    <s v="AKTIF (Semester 7)"/>
    <s v="AKTIF"/>
    <m/>
    <m/>
    <m/>
    <m/>
    <m/>
  </r>
  <r>
    <s v="Universitas Indonesia"/>
    <s v="MAGISTER"/>
    <s v="Ilmu Kelautan"/>
    <s v="Agustus "/>
    <n v="2022"/>
    <s v="Agustus "/>
    <n v="2024"/>
    <n v="2022"/>
    <m/>
    <s v="LULUS"/>
    <s v="LULUS"/>
    <s v="LULUS"/>
    <m/>
    <m/>
    <m/>
    <m/>
    <m/>
  </r>
  <r>
    <s v="Universitas Bung Hatta"/>
    <s v="MAGISTER"/>
    <s v="Sumberdaya Perairan, Pesisir dan Kelautan"/>
    <s v="September "/>
    <n v="2022"/>
    <s v="September "/>
    <n v="2024"/>
    <n v="2022"/>
    <m/>
    <m/>
    <s v="LULUS"/>
    <s v="LULUS"/>
    <m/>
    <m/>
    <m/>
    <m/>
    <m/>
  </r>
  <r>
    <s v="Universitas Mercu Buana"/>
    <s v="MAGISTER"/>
    <s v="Ilmu Komunikasi"/>
    <s v="Agustus "/>
    <n v="2022"/>
    <s v="Agustus "/>
    <n v="2024"/>
    <n v="2022"/>
    <m/>
    <s v="?"/>
    <s v="LULUS"/>
    <s v="LULUS"/>
    <m/>
    <m/>
    <m/>
    <m/>
    <m/>
  </r>
  <r>
    <s v="Universitas Muslim Indonesia"/>
    <s v="MAGISTER"/>
    <s v="Magister Pesisir dan Teknologi Kelautan"/>
    <s v="Februari "/>
    <n v="2022"/>
    <s v="Februari "/>
    <n v="2024"/>
    <n v="2022"/>
    <m/>
    <s v="LULUS"/>
    <s v="LULUS"/>
    <s v="LULUS"/>
    <m/>
    <m/>
    <m/>
    <m/>
    <m/>
  </r>
  <r>
    <s v="Universitas Khairun Ternate"/>
    <s v="SARJANA"/>
    <s v="Ilmu Kelautan"/>
    <s v="Februari"/>
    <n v="2022"/>
    <s v="Februari "/>
    <n v="2026"/>
    <n v="2022"/>
    <m/>
    <s v="?"/>
    <s v="AKTIF (Semester 8)"/>
    <s v="AKTIF"/>
    <m/>
    <m/>
    <m/>
    <m/>
    <m/>
  </r>
  <r>
    <s v="Universitas Khairun Ternate"/>
    <s v="SARJANA"/>
    <s v="Ilmu Kelautan"/>
    <s v="Februari"/>
    <n v="2022"/>
    <s v="Februari"/>
    <n v="2026"/>
    <n v="2022"/>
    <m/>
    <s v="?"/>
    <s v="AKTIF (Semester 8)"/>
    <s v="AKTIF"/>
    <m/>
    <m/>
    <m/>
    <m/>
    <m/>
  </r>
  <r>
    <s v="Universitas Khairun Ternate"/>
    <s v="SARJANA"/>
    <s v="Ilmu Kelautan"/>
    <s v="Februari"/>
    <n v="2022"/>
    <s v="Februari "/>
    <n v="2026"/>
    <n v="2022"/>
    <m/>
    <m/>
    <s v="AKTIF (Semester 8)"/>
    <s v="AKTIF"/>
    <m/>
    <m/>
    <m/>
    <m/>
    <m/>
  </r>
  <r>
    <s v="Universitas Islam Lamongan"/>
    <s v="SARJANA"/>
    <s v="Manajemen Sumberdaya Perairan"/>
    <s v="Oktober  "/>
    <n v="2024"/>
    <s v="Oktober  "/>
    <m/>
    <n v="2025"/>
    <m/>
    <m/>
    <s v="LULUS"/>
    <s v="LULUS"/>
    <m/>
    <m/>
    <m/>
    <m/>
    <m/>
  </r>
  <r>
    <s v="Universitas Islam Lamongan"/>
    <s v="SARJANA"/>
    <s v="Manajemen"/>
    <s v="September "/>
    <n v="2024"/>
    <s v="September "/>
    <m/>
    <n v="2025"/>
    <m/>
    <m/>
    <s v="LULUS"/>
    <s v="LULUS"/>
    <m/>
    <m/>
    <m/>
    <m/>
    <m/>
  </r>
  <r>
    <s v="Universitas Pattimura"/>
    <s v="Magister "/>
    <s v="Ilmu Kelautan "/>
    <s v="September "/>
    <n v="2024"/>
    <s v="September "/>
    <m/>
    <n v="2025"/>
    <m/>
    <m/>
    <s v="LULUS"/>
    <s v="LULUS"/>
    <m/>
    <m/>
    <m/>
    <m/>
    <m/>
  </r>
  <r>
    <s v="Universitas Terbuka"/>
    <s v="MAGISTER"/>
    <s v="Manajemen Perikanan"/>
    <s v="Desember  "/>
    <n v="2024"/>
    <s v="Desember  "/>
    <m/>
    <n v="2025"/>
    <m/>
    <m/>
    <s v="LULUS"/>
    <s v="LULUS"/>
    <m/>
    <m/>
    <m/>
    <m/>
    <m/>
  </r>
  <r>
    <s v="Universitas Terbuka"/>
    <s v="SARJANA"/>
    <s v="Ilmu Komunikas"/>
    <s v="September "/>
    <n v="2024"/>
    <s v="September "/>
    <m/>
    <n v="2025"/>
    <m/>
    <m/>
    <s v="LULUS"/>
    <s v="LULUS"/>
    <m/>
    <m/>
    <m/>
    <m/>
    <m/>
  </r>
  <r>
    <s v="PKBM Mercusuar"/>
    <s v="SLTA/Paket C"/>
    <s v="Paket C "/>
    <s v="September  "/>
    <n v="2024"/>
    <s v="September  "/>
    <m/>
    <n v="2025"/>
    <m/>
    <m/>
    <s v="LULUS"/>
    <s v="LULUS"/>
    <m/>
    <m/>
    <m/>
    <m/>
    <m/>
  </r>
  <r>
    <s v="Institut Pertanian Bogor "/>
    <s v="Doktor"/>
    <s v="Pengelolaan Sumberdaya Perairan"/>
    <s v="Agustus  "/>
    <n v="2024"/>
    <s v="Agustus  "/>
    <m/>
    <n v="2025"/>
    <m/>
    <m/>
    <s v="LULUS"/>
    <s v="LULUS"/>
    <m/>
    <m/>
    <m/>
    <m/>
    <m/>
  </r>
  <r>
    <s v="Universitas Semarang"/>
    <s v="MAGISTER"/>
    <s v="Manajemen"/>
    <s v="Agustus  "/>
    <n v="2024"/>
    <s v="Agustus  "/>
    <m/>
    <n v="2025"/>
    <m/>
    <m/>
    <s v="LULUS"/>
    <s v="LULUS"/>
    <m/>
    <m/>
    <m/>
    <m/>
    <m/>
  </r>
  <r>
    <s v="Universitas Muhammdiyah  "/>
    <s v="SARJANA"/>
    <s v="Teknologi Hasil Perikanan "/>
    <s v="September  "/>
    <n v="2024"/>
    <s v="September  "/>
    <m/>
    <n v="2025"/>
    <m/>
    <m/>
    <s v="LULUS"/>
    <s v="LULUS"/>
    <m/>
    <m/>
    <m/>
    <m/>
    <m/>
  </r>
  <r>
    <s v="Universitas Pattimura"/>
    <s v="SARJANA"/>
    <s v="Pemanfaatan Sumber Daya Perikanan"/>
    <s v="Agustus  "/>
    <n v="2024"/>
    <s v="Agustus  "/>
    <m/>
    <n v="2025"/>
    <m/>
    <m/>
    <s v="LULUS"/>
    <s v="LULUS"/>
    <m/>
    <m/>
    <m/>
    <m/>
    <m/>
  </r>
  <r>
    <s v="Sekolah Tinggi Ilmu Ekonomi"/>
    <s v="SARJANA"/>
    <s v="Akuntansi"/>
    <s v="September  "/>
    <n v="2024"/>
    <s v="September  "/>
    <m/>
    <n v="2025"/>
    <m/>
    <m/>
    <s v="LULUS"/>
    <s v="LULUS"/>
    <m/>
    <m/>
    <m/>
    <m/>
    <m/>
  </r>
  <r>
    <s v="Institut Pertanian Bogor"/>
    <s v="Doktor"/>
    <s v="Teknologi Perikanan Laut"/>
    <s v="Januari  "/>
    <n v="2025"/>
    <s v="Januari  "/>
    <m/>
    <n v="2025"/>
    <m/>
    <m/>
    <s v="LULUS"/>
    <s v="LULUS"/>
    <m/>
    <m/>
    <m/>
    <m/>
    <m/>
  </r>
  <r>
    <s v="Universitas Darma Agung "/>
    <s v="MAGISTER"/>
    <s v="Ilmu Komunikasi"/>
    <s v="September  "/>
    <n v="2024"/>
    <s v="September  "/>
    <m/>
    <n v="2025"/>
    <m/>
    <m/>
    <s v="LULUS"/>
    <s v="LULUS"/>
    <m/>
    <m/>
    <m/>
    <m/>
    <m/>
  </r>
  <r>
    <s v="Universitas Khairun Ternate"/>
    <s v="MAGISTER"/>
    <s v="Ilmu Kelautan"/>
    <s v="Agustus "/>
    <n v="2024"/>
    <s v="Agustus "/>
    <m/>
    <n v="2025"/>
    <m/>
    <m/>
    <s v="LULUS"/>
    <s v="LULUS"/>
    <m/>
    <m/>
    <m/>
    <m/>
    <m/>
  </r>
  <r>
    <s v="Universitas Pattimura"/>
    <s v="MAGISTER"/>
    <s v="Ilmu Kelautan"/>
    <s v="September "/>
    <n v="2024"/>
    <s v="September "/>
    <m/>
    <n v="2025"/>
    <m/>
    <m/>
    <s v="LULUS"/>
    <s v="LULUS"/>
    <m/>
    <m/>
    <m/>
    <m/>
    <m/>
  </r>
  <r>
    <s v="Institut Pertanian Bogor"/>
    <s v="Doktor"/>
    <s v="Teknologi Perikanan Laut"/>
    <s v="September "/>
    <n v="2025"/>
    <s v="September "/>
    <m/>
    <n v="2025"/>
    <m/>
    <m/>
    <s v="LULUS"/>
    <s v="LULUS"/>
    <m/>
    <m/>
    <m/>
    <m/>
    <m/>
  </r>
  <r>
    <s v="Universitas IPWIJA"/>
    <s v="MAGISTER"/>
    <s v="Manajemen"/>
    <s v="September "/>
    <n v="2024"/>
    <s v="September "/>
    <m/>
    <n v="2025"/>
    <m/>
    <m/>
    <s v="LULUS"/>
    <s v="LULUS"/>
    <m/>
    <m/>
    <m/>
    <m/>
    <m/>
  </r>
  <r>
    <s v="Institut Pertanian Bogor"/>
    <s v="Doktor"/>
    <s v="Teknologi Perikanan Laut"/>
    <s v="Januari  "/>
    <n v="2025"/>
    <s v="Januari  "/>
    <m/>
    <n v="2025"/>
    <m/>
    <m/>
    <s v="LULUS"/>
    <s v="LULUS"/>
    <m/>
    <m/>
    <m/>
    <m/>
    <m/>
  </r>
  <r>
    <s v="Institut Pertanian Bogor"/>
    <s v="Doktor"/>
    <s v="Teknologi Perikanan Laut"/>
    <s v="September "/>
    <n v="2024"/>
    <s v="September "/>
    <m/>
    <n v="2025"/>
    <m/>
    <m/>
    <s v="LULUS"/>
    <s v="LULUS"/>
    <m/>
    <m/>
    <m/>
    <m/>
    <m/>
  </r>
  <r>
    <s v="Institut Pertanian Bogor"/>
    <s v="Doktor"/>
    <s v="Teknologi Perikanan Laut"/>
    <s v="September "/>
    <n v="2024"/>
    <s v="September "/>
    <m/>
    <n v="2025"/>
    <m/>
    <m/>
    <s v="LULUS"/>
    <s v="LULUS"/>
    <m/>
    <m/>
    <m/>
    <m/>
    <m/>
  </r>
  <r>
    <s v="Universitas Pattimura"/>
    <s v="SARJANA"/>
    <s v="Akuntansi "/>
    <s v="September "/>
    <n v="2024"/>
    <s v="September "/>
    <m/>
    <n v="2025"/>
    <m/>
    <m/>
    <s v="LULUS"/>
    <s v="LULUS"/>
    <m/>
    <m/>
    <m/>
    <m/>
    <m/>
  </r>
  <r>
    <s v="Universitas Sam Ratulangi"/>
    <s v="MAGISTER"/>
    <s v="Ilmu Perairan"/>
    <s v="September "/>
    <n v="2024"/>
    <s v="September "/>
    <m/>
    <n v="2025"/>
    <m/>
    <m/>
    <s v="LULUS"/>
    <s v="LULUS"/>
    <m/>
    <m/>
    <m/>
    <m/>
    <m/>
  </r>
  <r>
    <s v="Universitas Terbuka"/>
    <s v="Sarjana "/>
    <s v="Teknologi Pangan"/>
    <s v="Oktober  "/>
    <n v="2024"/>
    <s v="Oktober  "/>
    <m/>
    <n v="2025"/>
    <m/>
    <m/>
    <s v="LULUS"/>
    <s v="LULUS"/>
    <m/>
    <m/>
    <m/>
    <m/>
    <m/>
  </r>
  <r>
    <s v="PKBM Mercusuar"/>
    <s v="SLTA/Paket C"/>
    <s v="Paket C "/>
    <s v="September  "/>
    <n v="2024"/>
    <s v="September  "/>
    <m/>
    <n v="2025"/>
    <m/>
    <m/>
    <s v="LULUS"/>
    <s v="LULUS"/>
    <m/>
    <m/>
    <m/>
    <m/>
    <m/>
  </r>
  <r>
    <s v="Universitas Terbuka"/>
    <s v="Sarjana "/>
    <s v="Manajemen"/>
    <s v="Agustus  "/>
    <n v="2024"/>
    <s v="Agustus  "/>
    <m/>
    <n v="2025"/>
    <m/>
    <m/>
    <s v="LULUS"/>
    <s v="LULUS"/>
    <m/>
    <m/>
    <m/>
    <m/>
    <m/>
  </r>
  <r>
    <s v="Universitas Terbuka"/>
    <s v="MAGISTER"/>
    <s v="Manajemen Perikanan"/>
    <s v="Desember  "/>
    <n v="2024"/>
    <s v="Desember  "/>
    <m/>
    <n v="2025"/>
    <m/>
    <m/>
    <s v="LULUS"/>
    <s v="LULUS"/>
    <m/>
    <m/>
    <m/>
    <m/>
    <m/>
  </r>
  <r>
    <s v="Universitas Terbuka"/>
    <s v="Sarjana "/>
    <s v="Manajemen"/>
    <s v="Agustus "/>
    <n v="2024"/>
    <s v="Agustus "/>
    <m/>
    <n v="2025"/>
    <m/>
    <m/>
    <s v="LULUS"/>
    <s v="LULUS"/>
    <m/>
    <m/>
    <m/>
    <m/>
    <m/>
  </r>
  <r>
    <s v="Institut Pertanian Bogor"/>
    <s v="Doktor"/>
    <s v="Teknologi Perikanan Laut"/>
    <s v="September"/>
    <n v="2024"/>
    <s v="September"/>
    <m/>
    <n v="2024"/>
    <m/>
    <m/>
    <s v="LULUS"/>
    <s v="LULUS"/>
    <m/>
    <m/>
    <m/>
    <m/>
    <m/>
  </r>
  <r>
    <s v="Universitas Bosowa"/>
    <s v="MAGISTER"/>
    <s v="Budidaya Perairan"/>
    <s v="September"/>
    <n v="2019"/>
    <s v="September"/>
    <n v="2022"/>
    <n v="2020"/>
    <m/>
    <s v="LULUS"/>
    <s v="LULUS"/>
    <s v="LULUS"/>
    <m/>
    <m/>
    <m/>
    <m/>
    <m/>
  </r>
  <r>
    <s v="Universitas Bosowa"/>
    <s v="MAGISTER"/>
    <s v="Ekonomi Manajemen Keuangan"/>
    <s v="September"/>
    <n v="2019"/>
    <s v="September"/>
    <n v="2022"/>
    <n v="2020"/>
    <m/>
    <s v="LULUS"/>
    <s v="LULUS"/>
    <s v="LULUS"/>
    <m/>
    <m/>
    <m/>
    <m/>
    <m/>
  </r>
  <r>
    <s v="Universitas Terbuka"/>
    <s v="MAGISTER"/>
    <s v="Manajemen Perikanan"/>
    <s v="Oktober "/>
    <n v="2019"/>
    <s v="Oktober "/>
    <n v="2022"/>
    <n v="2020"/>
    <m/>
    <s v="?"/>
    <s v="LULUS"/>
    <s v="LULUS"/>
    <m/>
    <m/>
    <m/>
    <m/>
    <m/>
  </r>
  <r>
    <s v="Universitas Terbuka"/>
    <s v="MAGISTER"/>
    <s v="Manajemen Perikanan"/>
    <s v="Oktober "/>
    <n v="2019"/>
    <s v="Oktober "/>
    <n v="2023"/>
    <n v="2020"/>
    <m/>
    <s v="LULUS"/>
    <s v="LULUS"/>
    <s v="LULUS"/>
    <m/>
    <m/>
    <m/>
    <m/>
    <m/>
  </r>
  <r>
    <s v="Universitas Terbuka"/>
    <s v="MAGISTER"/>
    <s v="Manajemen Perikanan"/>
    <s v="Januari "/>
    <n v="2020"/>
    <s v="Januari "/>
    <n v="2022"/>
    <n v="2020"/>
    <m/>
    <s v="LULUS"/>
    <s v="LULUS"/>
    <s v="LULUS"/>
    <m/>
    <m/>
    <m/>
    <m/>
    <m/>
  </r>
  <r>
    <s v="Universitas Terbuka"/>
    <s v="SARJANA"/>
    <s v="FMIPA/Biologi "/>
    <s v="September "/>
    <n v="2019"/>
    <s v="September "/>
    <n v="2024"/>
    <n v="2020"/>
    <m/>
    <s v="?"/>
    <s v="LULUS"/>
    <s v="LULUS"/>
    <m/>
    <m/>
    <m/>
    <m/>
    <m/>
  </r>
  <r>
    <s v="Universitas Terbuka"/>
    <s v="MAGISTER"/>
    <s v="Manajemen Perikanan"/>
    <s v="Januari "/>
    <n v="2020"/>
    <s v="Januari "/>
    <n v="2022"/>
    <n v="2020"/>
    <m/>
    <s v="?"/>
    <s v="LULUS"/>
    <s v="LULUS"/>
    <m/>
    <m/>
    <m/>
    <m/>
    <m/>
  </r>
  <r>
    <s v="Universitas Terbuka"/>
    <s v="SARJANA"/>
    <s v="Agribisnis  Bidang Minat Penyuluh dan Komunikasi Perikanan"/>
    <s v="Juni"/>
    <n v="2020"/>
    <s v="Juni"/>
    <n v="2024"/>
    <n v="2020"/>
    <m/>
    <s v="?"/>
    <s v="LULUS"/>
    <s v="LULUS"/>
    <m/>
    <m/>
    <m/>
    <m/>
    <m/>
  </r>
  <r>
    <s v="Universitas Terbuka"/>
    <s v="SARJANA"/>
    <s v="Agribisnis Komunikasi Perikanan"/>
    <s v="Agustus"/>
    <n v="2020"/>
    <s v="Agustus"/>
    <n v="2024"/>
    <n v="2021"/>
    <m/>
    <s v="?"/>
    <s v="LULUS"/>
    <s v="LULUS"/>
    <m/>
    <m/>
    <m/>
    <m/>
    <m/>
  </r>
  <r>
    <s v="Universitas Bosowa"/>
    <s v="MAGISTER"/>
    <s v="Manajemen"/>
    <s v="September"/>
    <n v="2020"/>
    <s v="September"/>
    <n v="2023"/>
    <n v="2021"/>
    <m/>
    <s v="LULUS"/>
    <s v="LULUS"/>
    <s v="LULUS"/>
    <m/>
    <m/>
    <m/>
    <m/>
    <m/>
  </r>
  <r>
    <s v="Universitas Lampung"/>
    <s v="MAGISTER"/>
    <s v="Manajemen Wilayah Pesisr dan Laut"/>
    <s v="Oktober"/>
    <n v="2020"/>
    <s v="Oktober"/>
    <n v="2022"/>
    <n v="2021"/>
    <m/>
    <s v="?"/>
    <s v="LULUS"/>
    <s v="LULUS"/>
    <m/>
    <m/>
    <m/>
    <m/>
    <m/>
  </r>
  <r>
    <s v="Universitas Jambi"/>
    <s v="MAGISTER"/>
    <s v="Manajemen SDM"/>
    <s v="September"/>
    <n v="2020"/>
    <s v="September"/>
    <n v="2022"/>
    <n v="2021"/>
    <m/>
    <s v="LULUS"/>
    <s v="LULUS"/>
    <s v="LULUS"/>
    <m/>
    <m/>
    <m/>
    <m/>
    <m/>
  </r>
  <r>
    <s v="_x0009_Universitas Lambung Mangkurat"/>
    <s v="MAGISTER"/>
    <s v="Manajemen Perikanan"/>
    <m/>
    <m/>
    <n v="0"/>
    <m/>
    <n v="2021"/>
    <m/>
    <s v="?"/>
    <s v="LULUS"/>
    <s v="LULUS"/>
    <m/>
    <m/>
    <m/>
    <m/>
    <m/>
  </r>
  <r>
    <s v="Universitas Terbuka"/>
    <s v="SARJANA"/>
    <s v="Akuntansi"/>
    <s v="Maret"/>
    <n v="2021"/>
    <s v="Maret"/>
    <n v="2025"/>
    <n v="2021"/>
    <m/>
    <s v="?"/>
    <s v="LULUS"/>
    <s v="LULUS"/>
    <m/>
    <m/>
    <m/>
    <m/>
    <m/>
  </r>
  <r>
    <s v="Universitas Terbuka"/>
    <s v="SARJANA"/>
    <s v="Ilmu Administrasi Negara"/>
    <s v="April"/>
    <n v="2021"/>
    <s v="April"/>
    <n v="2023"/>
    <n v="2021"/>
    <m/>
    <s v="LULUS"/>
    <s v="LULUS"/>
    <s v="LULUS"/>
    <m/>
    <m/>
    <m/>
    <m/>
    <m/>
  </r>
  <r>
    <s v="Universitas Terbuka"/>
    <s v="MAGISTER"/>
    <s v="Manajemen Perikanan"/>
    <s v="Maret"/>
    <n v="2021"/>
    <s v="Maret"/>
    <n v="2023"/>
    <n v="2021"/>
    <m/>
    <s v="?"/>
    <s v="LULUS"/>
    <s v="LULUS"/>
    <m/>
    <m/>
    <m/>
    <m/>
    <m/>
  </r>
  <r>
    <s v="Universitas Terbuka"/>
    <s v="MAGISTER"/>
    <s v="Manajemen Perikanan"/>
    <s v="Maret"/>
    <n v="2021"/>
    <s v="Maret"/>
    <n v="2023"/>
    <n v="2021"/>
    <m/>
    <s v="?"/>
    <s v="LULUS"/>
    <s v="LULUS"/>
    <m/>
    <m/>
    <m/>
    <m/>
    <m/>
  </r>
  <r>
    <s v="Politeknik STIA LAN Jakarta"/>
    <s v="MAGISTER"/>
    <s v="Manajemen Terapan Administrasi Pembangunan Negara"/>
    <s v="September"/>
    <n v="2022"/>
    <s v="September"/>
    <n v="2024"/>
    <n v="2022"/>
    <m/>
    <s v="?"/>
    <s v="LULUS"/>
    <s v="LULUS"/>
    <m/>
    <m/>
    <m/>
    <m/>
    <m/>
  </r>
  <r>
    <s v="Universitas Terbuka"/>
    <s v="SARJANA"/>
    <s v="Biologi"/>
    <s v="Mei"/>
    <n v="2022"/>
    <s v="Mei"/>
    <n v="2026"/>
    <n v="2022"/>
    <m/>
    <s v="?"/>
    <s v="AKTIF (Semester 8)"/>
    <s v="AKTIF"/>
    <m/>
    <m/>
    <m/>
    <m/>
    <m/>
  </r>
  <r>
    <s v="Politeknik STIA LAN Jakarta"/>
    <s v="MAGISTER"/>
    <s v="Administrasi Pembangunan Negara(Konsentrasi Manajemen Keuangan )"/>
    <s v="Agustus"/>
    <n v="2022"/>
    <s v="Agustus"/>
    <n v="2024"/>
    <n v="2022"/>
    <m/>
    <s v="?"/>
    <s v="LULUS"/>
    <s v="LULUS"/>
    <m/>
    <m/>
    <m/>
    <m/>
    <m/>
  </r>
  <r>
    <s v="Universitas Lambung Mangkurat"/>
    <s v="MAGISTER"/>
    <s v="Ilmu Perikanan  "/>
    <m/>
    <m/>
    <n v="0"/>
    <m/>
    <n v="2022"/>
    <m/>
    <s v="?"/>
    <s v="LULUS"/>
    <s v="LULUS"/>
    <m/>
    <m/>
    <m/>
    <m/>
    <m/>
  </r>
  <r>
    <s v="Universitas Terbuka"/>
    <s v="MAGISTER"/>
    <s v="Ilmu Administrasiasi Pembangunan Negara"/>
    <s v="Februari"/>
    <n v="2023"/>
    <s v="Februari "/>
    <n v="2025"/>
    <n v="2023"/>
    <m/>
    <s v="?"/>
    <s v="LULUS"/>
    <e v="#N/A"/>
    <m/>
    <m/>
    <m/>
    <m/>
    <m/>
  </r>
  <r>
    <s v="Universitas Terbuka"/>
    <s v="SARJANA"/>
    <s v="Manajemen         "/>
    <s v="April"/>
    <n v="2023"/>
    <s v="April"/>
    <n v="2027"/>
    <n v="2023"/>
    <m/>
    <s v="?"/>
    <s v="AKTIF (Semester 6)"/>
    <s v="AKTIF"/>
    <m/>
    <m/>
    <m/>
    <m/>
    <m/>
  </r>
  <r>
    <s v="Universitas Terbuka"/>
    <s v="SARJANA"/>
    <s v="Manajemen         "/>
    <s v="April"/>
    <n v="2023"/>
    <s v="April"/>
    <n v="2027"/>
    <n v="2023"/>
    <m/>
    <s v="?"/>
    <s v="AKTIF (Semester 6)"/>
    <s v="AKTIF"/>
    <m/>
    <m/>
    <m/>
    <m/>
    <m/>
  </r>
  <r>
    <s v="Universitas Jambi"/>
    <s v="MAGISTER"/>
    <s v="Ilmu Lingkungan          "/>
    <s v="Agustus"/>
    <n v="2023"/>
    <s v="Agustus "/>
    <n v="2025"/>
    <n v="2023"/>
    <m/>
    <s v="?"/>
    <s v="LULUS"/>
    <e v="#N/A"/>
    <m/>
    <m/>
    <m/>
    <m/>
    <m/>
  </r>
  <r>
    <s v="Universitas Terbuka"/>
    <s v="MAGISTER"/>
    <s v="Manajemen         "/>
    <s v="Maret"/>
    <n v="2023"/>
    <s v="Maret "/>
    <n v="2025"/>
    <n v="2023"/>
    <m/>
    <s v="?"/>
    <s v="LULUS"/>
    <e v="#N/A"/>
    <m/>
    <m/>
    <m/>
    <m/>
    <m/>
  </r>
  <r>
    <s v="Universitas Sam Ratulangi"/>
    <s v="MAGISTER"/>
    <s v="Ilmu Perairan"/>
    <s v="September"/>
    <n v="2023"/>
    <s v="September   "/>
    <n v="2025"/>
    <n v="2023"/>
    <m/>
    <s v="?"/>
    <s v="LULUS"/>
    <e v="#N/A"/>
    <m/>
    <m/>
    <m/>
    <m/>
    <m/>
  </r>
  <r>
    <s v="Universitas Jambi"/>
    <s v="Doktor"/>
    <s v="Ilmu Ekonomi         "/>
    <s v="Agustus"/>
    <n v="2023"/>
    <s v="Agustus "/>
    <n v="2026"/>
    <n v="2023"/>
    <m/>
    <s v="?"/>
    <s v="AKTIF (Semester 5)"/>
    <s v="AKTIF"/>
    <m/>
    <m/>
    <m/>
    <m/>
    <m/>
  </r>
  <r>
    <s v="Universitas Jambi"/>
    <s v="MAGISTER"/>
    <s v="Manajemen           "/>
    <s v="Agustus"/>
    <n v="2023"/>
    <s v="Agustus "/>
    <n v="2025"/>
    <n v="2023"/>
    <m/>
    <s v="?"/>
    <s v="LULUS"/>
    <e v="#N/A"/>
    <m/>
    <m/>
    <m/>
    <m/>
    <m/>
  </r>
  <r>
    <s v="Universitas Sam Ratulangi"/>
    <s v="MAGISTER"/>
    <s v="Ilmu Kelautan/Ilmu Perairan"/>
    <s v="September"/>
    <n v="2023"/>
    <s v="September "/>
    <n v="2025"/>
    <n v="2023"/>
    <m/>
    <s v="?"/>
    <s v="LULUS"/>
    <e v="#N/A"/>
    <m/>
    <m/>
    <m/>
    <m/>
    <m/>
  </r>
  <r>
    <s v="Universitas Terbuka"/>
    <s v="SARJANA"/>
    <s v="Manajemen"/>
    <s v="September"/>
    <n v="2023"/>
    <s v="September"/>
    <n v="2027"/>
    <n v="2023"/>
    <m/>
    <s v="?"/>
    <s v="AKTIF (Semester 5)"/>
    <s v="AKTIF"/>
    <m/>
    <m/>
    <m/>
    <m/>
    <m/>
  </r>
  <r>
    <s v="Universitas Terbuka"/>
    <s v="SARJANA"/>
    <s v="Ilmu Administrasi Negara  "/>
    <s v="September"/>
    <n v="2023"/>
    <s v="September "/>
    <n v="2027"/>
    <n v="2023"/>
    <m/>
    <s v="?"/>
    <s v="AKTIF (Semester 5)"/>
    <s v="AKTIF"/>
    <m/>
    <m/>
    <m/>
    <m/>
    <m/>
  </r>
  <r>
    <s v="Universitas Pattimura"/>
    <s v="MAGISTER"/>
    <s v="Ilmu Kelautan"/>
    <s v="Agustus"/>
    <n v="2023"/>
    <s v="Agustus"/>
    <n v="2025"/>
    <n v="2023"/>
    <m/>
    <s v="?"/>
    <s v="LULUS"/>
    <s v="LULUS"/>
    <m/>
    <m/>
    <m/>
    <m/>
    <m/>
  </r>
  <r>
    <s v="Universitas Pattimura"/>
    <s v="MAGISTER"/>
    <s v="Ilmu Kelautan"/>
    <s v="Agustus"/>
    <n v="2023"/>
    <s v="Agustus "/>
    <n v="2025"/>
    <n v="2023"/>
    <m/>
    <s v="?"/>
    <s v="LULUS"/>
    <e v="#N/A"/>
    <m/>
    <m/>
    <m/>
    <m/>
    <m/>
  </r>
  <r>
    <s v="Universitas Sam Ratulangi"/>
    <s v="MAGISTER"/>
    <s v="Ilmu Kelautan/Ilmu Perairan"/>
    <s v="September"/>
    <n v="2023"/>
    <s v="September "/>
    <n v="2025"/>
    <n v="2023"/>
    <m/>
    <s v="?"/>
    <s v="LULUS"/>
    <e v="#N/A"/>
    <m/>
    <m/>
    <m/>
    <m/>
    <m/>
  </r>
  <r>
    <s v="Universitas Sam Ratulangi"/>
    <s v="MAGISTER"/>
    <s v="Ilmu Kelautan/Ilmu Perairan"/>
    <s v="September"/>
    <n v="2023"/>
    <s v="September"/>
    <n v="2025"/>
    <n v="2023"/>
    <m/>
    <s v="?"/>
    <s v="LULUS"/>
    <s v="LULUS"/>
    <m/>
    <m/>
    <m/>
    <m/>
    <m/>
  </r>
  <r>
    <s v="Universitas Terbuka"/>
    <s v="MAGISTER"/>
    <s v="Ilmu Kelautan dan Perikanan"/>
    <s v="September"/>
    <n v="2023"/>
    <s v="September "/>
    <n v="2025"/>
    <n v="2023"/>
    <m/>
    <s v="?"/>
    <s v="LULUS"/>
    <e v="#N/A"/>
    <m/>
    <m/>
    <m/>
    <m/>
    <m/>
  </r>
  <r>
    <s v="Universitas Lampung"/>
    <s v="MAGISTER"/>
    <s v="Manajemen Wilayah Pesisir dan Laut"/>
    <s v="September"/>
    <n v="2023"/>
    <s v="September"/>
    <n v="2025"/>
    <n v="2024"/>
    <m/>
    <s v="?"/>
    <s v="LULUS"/>
    <s v="LULUS"/>
    <m/>
    <m/>
    <m/>
    <m/>
    <m/>
  </r>
  <r>
    <s v="Universitas Lampung"/>
    <s v="MAGISTER"/>
    <s v="Manajemen Wilayah Pesisir dan Laut"/>
    <s v="September"/>
    <n v="2023"/>
    <s v="September"/>
    <n v="2025"/>
    <n v="2024"/>
    <m/>
    <s v="?"/>
    <s v="LULUS"/>
    <s v="LULUS"/>
    <m/>
    <m/>
    <m/>
    <m/>
    <m/>
  </r>
  <r>
    <s v="Universitas Terbuka"/>
    <s v="SARJANA"/>
    <s v="Agribisnis           "/>
    <s v="September"/>
    <n v="2023"/>
    <s v="September"/>
    <n v="2027"/>
    <n v="2024"/>
    <m/>
    <s v="?"/>
    <s v="AKTIF (Semester 5)"/>
    <s v="AKTIF"/>
    <m/>
    <m/>
    <m/>
    <m/>
    <m/>
  </r>
  <r>
    <s v="Universitas Syiah Kuala"/>
    <s v="MAGISTER"/>
    <s v="Kesehatan Masyarakat Veteriner"/>
    <s v="Juli "/>
    <n v="2021"/>
    <s v="Juli "/>
    <n v="2023"/>
    <n v="2023"/>
    <m/>
    <s v="?"/>
    <s v="LULUS"/>
    <s v="LULUS"/>
    <m/>
    <m/>
    <m/>
    <m/>
    <m/>
  </r>
  <r>
    <s v="Universitas Lampung"/>
    <s v="MAGISTER"/>
    <s v="Manajemen Wilayah Pesisir dan Laut"/>
    <s v="Agustus "/>
    <n v="2022"/>
    <s v="Agustus "/>
    <n v="2024"/>
    <n v="2022"/>
    <m/>
    <s v="?"/>
    <s v="LULUS"/>
    <s v="LULUS"/>
    <m/>
    <m/>
    <m/>
    <m/>
    <m/>
  </r>
  <r>
    <s v="Universitas Lampung"/>
    <s v="MAGISTER"/>
    <s v="Manajemen Wilayah Pesisir dan Laut"/>
    <s v="Agustus "/>
    <n v="2022"/>
    <s v="Agustus "/>
    <n v="2024"/>
    <n v="2022"/>
    <m/>
    <s v="?"/>
    <s v="LULUS"/>
    <s v="LULUS"/>
    <m/>
    <m/>
    <m/>
    <m/>
    <m/>
  </r>
  <r>
    <s v=" Institut Pertanian Bogor"/>
    <s v="Doktor"/>
    <s v=" Ilmu Biomedis Hewan"/>
    <s v="Agustus "/>
    <n v="2021"/>
    <s v="Agustus "/>
    <n v="2024"/>
    <n v="2022"/>
    <m/>
    <s v="?"/>
    <s v="LULUS"/>
    <s v="LULUS"/>
    <m/>
    <m/>
    <m/>
    <m/>
    <m/>
  </r>
  <r>
    <s v="Universitas Terbuka"/>
    <s v="MAGISTER"/>
    <s v="Manajemen Perikanan"/>
    <s v="Juli "/>
    <n v="2021"/>
    <s v="Juli "/>
    <n v="2023"/>
    <n v="2022"/>
    <m/>
    <s v="?"/>
    <s v="LULUS"/>
    <s v="LULUS"/>
    <m/>
    <m/>
    <m/>
    <m/>
    <m/>
  </r>
  <r>
    <s v="Universitas Terbuka"/>
    <s v="SARJANA"/>
    <s v="Manajemen"/>
    <s v="Oktober"/>
    <n v="2022"/>
    <s v="Oktober "/>
    <n v="2026"/>
    <n v="2022"/>
    <m/>
    <s v="?"/>
    <s v="AKTIF (Semester 7)"/>
    <s v="AKTIF"/>
    <m/>
    <m/>
    <m/>
    <m/>
    <m/>
  </r>
  <r>
    <s v="Sekolah Tinggi Ilmu Ekonomi"/>
    <s v="SARJANA"/>
    <s v="Manajemen"/>
    <s v="September"/>
    <n v="2022"/>
    <s v="September"/>
    <n v="2026"/>
    <n v="2022"/>
    <m/>
    <s v="?"/>
    <s v="AKTIF (Semester 7)"/>
    <s v="AKTIF"/>
    <m/>
    <m/>
    <m/>
    <m/>
    <m/>
  </r>
  <r>
    <s v="Universitas Terbuka"/>
    <s v="SARJANA"/>
    <s v="Agribisnis/Bidang Minat Penyuluhan dan Komunikasi Perikanan"/>
    <s v="Oktober"/>
    <n v="2022"/>
    <s v="Oktober "/>
    <n v="2026"/>
    <n v="2022"/>
    <m/>
    <s v="?"/>
    <s v="AKTIF (Semester 7)"/>
    <s v="AKTIF"/>
    <m/>
    <m/>
    <m/>
    <m/>
    <m/>
  </r>
  <r>
    <s v="Universitas Jambi"/>
    <s v="MAGISTER"/>
    <s v="Ilmu Lingkungan"/>
    <s v="Agustus "/>
    <n v="2022"/>
    <s v="Agustus "/>
    <n v="2024"/>
    <n v="2022"/>
    <m/>
    <s v="?"/>
    <s v="LULUS"/>
    <s v="LULUS"/>
    <m/>
    <m/>
    <m/>
    <m/>
    <m/>
  </r>
  <r>
    <s v="Universitas Terbuka"/>
    <s v="SARJANA"/>
    <s v="Ilmu Komunikasi"/>
    <s v="September"/>
    <n v="2022"/>
    <s v="September "/>
    <n v="2026"/>
    <n v="2022"/>
    <m/>
    <s v="?"/>
    <s v="AKTIF (Semester 7)"/>
    <s v="AKTIF"/>
    <m/>
    <m/>
    <m/>
    <m/>
    <m/>
  </r>
  <r>
    <s v="Universitas Pattimura"/>
    <s v="MAGISTER"/>
    <s v="Ilmu Kelautan"/>
    <s v="Agustus"/>
    <n v="2022"/>
    <s v="Agustus"/>
    <n v="2024"/>
    <n v="2022"/>
    <m/>
    <s v="?"/>
    <s v="LULUS"/>
    <s v="LULUS"/>
    <m/>
    <m/>
    <m/>
    <m/>
    <m/>
  </r>
  <r>
    <s v="Universitas Lambung Mangkurat"/>
    <s v="SARJANA"/>
    <s v="Budidaya Perairan"/>
    <s v="September"/>
    <n v="2022"/>
    <s v="September"/>
    <n v="2026"/>
    <n v="2022"/>
    <m/>
    <s v="?"/>
    <s v="AKTIF (Semester 7)"/>
    <s v="AKTIF"/>
    <m/>
    <m/>
    <m/>
    <m/>
    <m/>
  </r>
  <r>
    <s v="Universitas Lambung Mangkurat"/>
    <s v="MAGISTER"/>
    <s v="Ilmu Perikanan "/>
    <s v="September"/>
    <n v="2022"/>
    <s v="September"/>
    <n v="2024"/>
    <n v="2022"/>
    <m/>
    <s v="?"/>
    <s v="LULUS"/>
    <s v="LULUS"/>
    <m/>
    <m/>
    <m/>
    <m/>
    <m/>
  </r>
  <r>
    <s v="Universitas Lambung Mangkurat"/>
    <s v="MAGISTER"/>
    <s v="Ilmu Perikanan "/>
    <s v="September "/>
    <n v="2022"/>
    <s v="September "/>
    <n v="2024"/>
    <n v="2022"/>
    <m/>
    <s v="?"/>
    <s v="LULUS"/>
    <s v="LULUS"/>
    <m/>
    <m/>
    <m/>
    <m/>
    <m/>
  </r>
  <r>
    <s v="Universitas Lambung Mangkurat"/>
    <s v="MAGISTER"/>
    <s v="Ilmu Perikanan "/>
    <s v="September "/>
    <n v="2022"/>
    <s v="September "/>
    <n v="2024"/>
    <n v="2022"/>
    <m/>
    <s v="?"/>
    <s v="LULUS"/>
    <s v="LULUS"/>
    <m/>
    <m/>
    <m/>
    <m/>
    <m/>
  </r>
  <r>
    <s v="Universitas Terbuka"/>
    <s v="SARJANA"/>
    <s v="Manajemen"/>
    <s v="Juni"/>
    <n v="2022"/>
    <s v="Juni "/>
    <n v="2026"/>
    <n v="2022"/>
    <m/>
    <s v="?"/>
    <s v="AKTIF (Semester 8)"/>
    <s v="AKTIF"/>
    <m/>
    <m/>
    <m/>
    <m/>
    <m/>
  </r>
  <r>
    <s v="Universitas Lambung Mangkurat"/>
    <s v="MAGISTER"/>
    <s v="Ilmu Perikanan "/>
    <s v="September "/>
    <n v="2022"/>
    <s v="September "/>
    <n v="2024"/>
    <n v="2022"/>
    <m/>
    <s v="?"/>
    <s v="LULUS"/>
    <s v="LULUS"/>
    <m/>
    <m/>
    <m/>
    <m/>
    <m/>
  </r>
  <r>
    <s v="Universitas Lambung Mangkurat"/>
    <s v="MAGISTER"/>
    <s v="Ilmu Perikanan "/>
    <s v="September "/>
    <n v="2022"/>
    <s v="September "/>
    <n v="2024"/>
    <n v="2022"/>
    <m/>
    <s v="?"/>
    <s v="LULUS"/>
    <s v="LULUS"/>
    <m/>
    <m/>
    <m/>
    <m/>
    <m/>
  </r>
  <r>
    <s v="Universitas Lambung Mangkurat"/>
    <s v="SARJANA"/>
    <s v="Budidaya Perairan"/>
    <s v="September"/>
    <n v="2022"/>
    <s v="September "/>
    <n v="2026"/>
    <n v="2022"/>
    <m/>
    <s v="?"/>
    <s v="AKTIF (Semester 7)"/>
    <s v="AKTIF"/>
    <m/>
    <m/>
    <m/>
    <m/>
    <m/>
  </r>
  <r>
    <s v="Universitas Lambung Mangkurat"/>
    <s v="MAGISTER"/>
    <s v="Ilmu Perikanan"/>
    <s v="September "/>
    <n v="2022"/>
    <s v="September "/>
    <n v="2024"/>
    <n v="2022"/>
    <m/>
    <s v="?"/>
    <s v="LULUS"/>
    <s v="LULUS"/>
    <m/>
    <m/>
    <m/>
    <m/>
    <m/>
  </r>
  <r>
    <s v="Universitas Terbuka"/>
    <s v="SARJANA"/>
    <s v="Agribisnis / Bidang Minat Penyuluhan dan Komunikasi Perikanan"/>
    <s v="April"/>
    <n v="2022"/>
    <s v="April"/>
    <n v="2026"/>
    <n v="2022"/>
    <m/>
    <s v="?"/>
    <s v="AKTIF (Semester 8)"/>
    <s v="AKTIF"/>
    <m/>
    <m/>
    <m/>
    <m/>
    <m/>
  </r>
  <r>
    <s v="Universitas Bosowa"/>
    <s v="MAGISTER"/>
    <s v="Budidaya Perairan"/>
    <s v="Agustus"/>
    <n v="2023"/>
    <s v="Agustus "/>
    <n v="2027"/>
    <n v="2024"/>
    <m/>
    <m/>
    <s v="AKTIF (Semester 5)"/>
    <s v="AKTIF"/>
    <m/>
    <m/>
    <m/>
    <m/>
    <m/>
  </r>
  <r>
    <s v="Universitas Terbuka"/>
    <s v="MAGISTER"/>
    <s v="Manajemen Perikanan"/>
    <m/>
    <n v="2024"/>
    <m/>
    <n v="2026"/>
    <n v="2024"/>
    <m/>
    <s v="?"/>
    <e v="#N/A"/>
    <s v="AKTIF"/>
    <m/>
    <m/>
    <m/>
    <m/>
    <m/>
  </r>
  <r>
    <s v="Universitas Islam NU "/>
    <s v="SARJANA"/>
    <s v="Budidaya Perairan"/>
    <s v="September"/>
    <n v="2024"/>
    <s v="September"/>
    <n v="2028"/>
    <n v="2024"/>
    <m/>
    <s v="?"/>
    <s v="AKTIF (Semester 3)"/>
    <s v="AKTIF"/>
    <m/>
    <m/>
    <m/>
    <m/>
    <m/>
  </r>
  <r>
    <s v="Universitas Terbuka"/>
    <s v="SARJANA"/>
    <s v="Biologi"/>
    <s v="April"/>
    <n v="2024"/>
    <s v="April"/>
    <n v="2028"/>
    <n v="2024"/>
    <m/>
    <s v="?"/>
    <s v="AKTIF (Semester 4)"/>
    <s v="AKTIF"/>
    <m/>
    <m/>
    <m/>
    <m/>
    <m/>
  </r>
  <r>
    <s v="Universitas Riau Kepulauan"/>
    <s v="MAGISTER"/>
    <s v="Manajemen"/>
    <s v="September"/>
    <n v="2024"/>
    <s v="September"/>
    <n v="2026"/>
    <n v="2024"/>
    <m/>
    <s v="?"/>
    <s v="AKTIF (Semester 3)"/>
    <s v="AKTIF"/>
    <m/>
    <m/>
    <m/>
    <m/>
    <m/>
  </r>
  <r>
    <s v="Universitas Riau Kepulauan"/>
    <s v="MAGISTER"/>
    <s v="Manajemen"/>
    <s v="September"/>
    <n v="2024"/>
    <s v="September"/>
    <n v="2026"/>
    <n v="2024"/>
    <m/>
    <s v="?"/>
    <s v="AKTIF (Semester 3)"/>
    <s v="AKTIF"/>
    <m/>
    <m/>
    <m/>
    <m/>
    <m/>
  </r>
  <r>
    <s v="Universitas Islam NU "/>
    <s v="SARJANA"/>
    <s v="Budidaya Perairan"/>
    <s v="September"/>
    <n v="2024"/>
    <s v="September"/>
    <n v="2028"/>
    <n v="2024"/>
    <m/>
    <s v="?"/>
    <s v="AKTIF (Semester 3)"/>
    <s v="AKTIF"/>
    <m/>
    <m/>
    <m/>
    <m/>
    <m/>
  </r>
  <r>
    <s v="Universitas Islam NU "/>
    <s v="SARJANA"/>
    <s v="Budidaya Perairan"/>
    <s v="September"/>
    <n v="2024"/>
    <s v="September"/>
    <n v="2028"/>
    <n v="2024"/>
    <m/>
    <s v="?"/>
    <s v="AKTIF (Semester 3)"/>
    <s v="AKTIF"/>
    <m/>
    <m/>
    <m/>
    <m/>
    <m/>
  </r>
  <r>
    <s v="Universitas Islam NU "/>
    <s v="SARJANA"/>
    <s v="Budidaya Perairan"/>
    <s v="September"/>
    <n v="2024"/>
    <s v="September"/>
    <n v="2028"/>
    <n v="2024"/>
    <m/>
    <s v="?"/>
    <s v="AKTIF (Semester 3)"/>
    <s v="AKTIF"/>
    <m/>
    <m/>
    <m/>
    <m/>
    <m/>
  </r>
  <r>
    <s v="Universitas Terbuka"/>
    <s v="MAGISTER"/>
    <s v="Lingkungan"/>
    <m/>
    <n v="2024"/>
    <m/>
    <n v="2026"/>
    <n v="2024"/>
    <m/>
    <s v="?"/>
    <e v="#N/A"/>
    <s v="AKTIF"/>
    <m/>
    <m/>
    <m/>
    <m/>
    <m/>
  </r>
  <r>
    <s v="Universitas Terbuka"/>
    <s v="MAGISTER"/>
    <s v="Lingkungan"/>
    <m/>
    <n v="2024"/>
    <m/>
    <n v="2026"/>
    <n v="2024"/>
    <m/>
    <s v="?"/>
    <e v="#N/A"/>
    <s v="AKTIF"/>
    <m/>
    <m/>
    <m/>
    <m/>
    <m/>
  </r>
  <r>
    <s v="Universitas Negeri Jakarta"/>
    <s v="Doktor"/>
    <s v="Ilmu Manajemen"/>
    <s v="Agustus"/>
    <n v="2024"/>
    <s v="Agustus"/>
    <n v="2027"/>
    <n v="2024"/>
    <m/>
    <s v="?"/>
    <s v="AKTIF (Semester 3)"/>
    <s v="AKTIF"/>
    <m/>
    <m/>
    <m/>
    <m/>
    <m/>
  </r>
  <r>
    <s v="Universitas Bosowa"/>
    <s v="MAGISTER"/>
    <s v="Budidaya Perairan"/>
    <s v="September"/>
    <n v="2024"/>
    <s v="September"/>
    <n v="2026"/>
    <n v="2024"/>
    <m/>
    <s v="?"/>
    <s v="AKTIF (Semester 3)"/>
    <s v="AKTIF"/>
    <m/>
    <m/>
    <m/>
    <m/>
    <m/>
  </r>
  <r>
    <s v="Universitas 45 Mataram"/>
    <s v="SARJANA"/>
    <s v="Budidaya Perairan"/>
    <s v="September"/>
    <n v="2024"/>
    <s v="September"/>
    <n v="2028"/>
    <n v="2024"/>
    <m/>
    <s v="?"/>
    <s v="AKTIF (Semester 3)"/>
    <s v="AKTIF"/>
    <m/>
    <m/>
    <m/>
    <m/>
    <m/>
  </r>
  <r>
    <s v="Universitas Muhammdiyah  "/>
    <s v="SARJANA"/>
    <s v="Akuakultur"/>
    <s v="Oktober"/>
    <n v="2024"/>
    <s v="Oktober"/>
    <n v="2028"/>
    <n v="2025"/>
    <m/>
    <s v="?"/>
    <s v="AKTIF (Semester 3)"/>
    <s v="AKTIF"/>
    <m/>
    <m/>
    <m/>
    <m/>
    <m/>
  </r>
  <r>
    <s v="Universitas Islam NU "/>
    <s v="SARJANA"/>
    <s v="Budidaya Perairan"/>
    <s v="September"/>
    <n v="2024"/>
    <s v="September"/>
    <n v="2028"/>
    <n v="2025"/>
    <m/>
    <s v="?"/>
    <s v="AKTIF (Semester 3)"/>
    <s v="AKTIF"/>
    <m/>
    <m/>
    <m/>
    <m/>
    <m/>
  </r>
  <r>
    <s v="Universitas Negeri Jakarta"/>
    <s v="Doktor"/>
    <s v="Ilmu Manajemen"/>
    <s v="Agustus"/>
    <n v="2024"/>
    <s v="Agustus"/>
    <n v="2027"/>
    <n v="2025"/>
    <m/>
    <s v="?"/>
    <s v="AKTIF (Semester 3)"/>
    <s v="AKTIF"/>
    <m/>
    <m/>
    <m/>
    <m/>
    <m/>
  </r>
  <r>
    <s v="Universitas Terbuka"/>
    <s v="SARJANA"/>
    <s v="Manajemen"/>
    <s v="September"/>
    <n v="2024"/>
    <s v="September"/>
    <n v="2028"/>
    <n v="2025"/>
    <m/>
    <s v="?"/>
    <s v="AKTIF (Semester 3)"/>
    <s v="AKTIF"/>
    <m/>
    <m/>
    <m/>
    <m/>
    <m/>
  </r>
  <r>
    <s v="Universitas Terbuka"/>
    <s v="MAGISTER"/>
    <s v="Manajemen Perikanan"/>
    <s v="September"/>
    <n v="2024"/>
    <s v="September"/>
    <n v="2026"/>
    <n v="2025"/>
    <m/>
    <s v="?"/>
    <s v="AKTIF (Semester 3)"/>
    <s v="AKTIF"/>
    <m/>
    <m/>
    <m/>
    <m/>
    <m/>
  </r>
  <r>
    <s v="Universitas Terbuka"/>
    <s v="SARJANA"/>
    <s v="Manajemen"/>
    <s v="Oktober"/>
    <n v="2024"/>
    <s v="Oktober"/>
    <n v="2028"/>
    <n v="2025"/>
    <m/>
    <s v="?"/>
    <s v="AKTIF (Semester 3)"/>
    <s v="AKTIF"/>
    <m/>
    <m/>
    <m/>
    <m/>
    <m/>
  </r>
  <r>
    <s v="Universitas Lambung Mangkurat"/>
    <s v="MAGISTER"/>
    <s v="Ilmu Perikanan"/>
    <s v="September"/>
    <n v="2024"/>
    <s v="September"/>
    <n v="2026"/>
    <n v="2025"/>
    <m/>
    <s v="?"/>
    <s v="AKTIF (Semester 3)"/>
    <s v="AKTIF"/>
    <m/>
    <m/>
    <m/>
    <m/>
    <m/>
  </r>
  <r>
    <s v="Universitas Jambi"/>
    <s v="MAGISTER"/>
    <s v="Manajemen"/>
    <s v="Agustus"/>
    <n v="2024"/>
    <s v="Agustus"/>
    <n v="2026"/>
    <n v="2025"/>
    <m/>
    <s v="?"/>
    <s v="AKTIF (Semester 3)"/>
    <s v="AKTIF"/>
    <m/>
    <m/>
    <m/>
    <m/>
    <m/>
  </r>
  <r>
    <s v="Universitas Terbuka"/>
    <s v="SARJANA"/>
    <s v="Manajemen "/>
    <s v="Oktober"/>
    <n v="2024"/>
    <s v="Oktober"/>
    <n v="2028"/>
    <n v="2025"/>
    <m/>
    <s v="?"/>
    <s v="AKTIF (Semester 3)"/>
    <s v="AKTIF"/>
    <m/>
    <m/>
    <m/>
    <m/>
    <m/>
  </r>
  <r>
    <s v="Universitas Terbuka"/>
    <s v="SARJANA"/>
    <s v="Manajemen "/>
    <s v="Januari"/>
    <n v="2025"/>
    <s v="Januari"/>
    <n v="2028"/>
    <n v="2025"/>
    <m/>
    <s v="?"/>
    <s v="AKTIF (Semester 2)"/>
    <s v="AKTIF"/>
    <m/>
    <m/>
    <m/>
    <m/>
    <m/>
  </r>
  <r>
    <s v="Universitas Negeri Jakarta"/>
    <s v="Doktor"/>
    <s v="Ilmu Manajemen"/>
    <s v="Agustus"/>
    <n v="2024"/>
    <s v="Agustus"/>
    <n v="2027"/>
    <n v="2025"/>
    <m/>
    <s v="?"/>
    <s v="AKTIF (Semester 3)"/>
    <s v="AKTIF"/>
    <m/>
    <m/>
    <m/>
    <m/>
    <m/>
  </r>
  <r>
    <s v="Universitas Terbuka"/>
    <s v="MAGISTER"/>
    <s v="Manajemen Perikanan"/>
    <s v="Maret"/>
    <n v="2025"/>
    <s v="Maret"/>
    <n v="2026"/>
    <n v="2025"/>
    <m/>
    <s v="?"/>
    <s v="AKTIF (Semester 2)"/>
    <s v="AKTIF"/>
    <m/>
    <m/>
    <m/>
    <m/>
    <m/>
  </r>
  <r>
    <s v="Universitas Terbuka"/>
    <s v="MAGISTER"/>
    <s v="Manajemen Perikanan"/>
    <s v="Maret"/>
    <n v="2025"/>
    <s v="Maret"/>
    <n v="2026"/>
    <n v="2025"/>
    <m/>
    <s v="?"/>
    <s v="AKTIF (Semester 2)"/>
    <s v="AKTIF"/>
    <m/>
    <m/>
    <m/>
    <m/>
    <m/>
  </r>
  <r>
    <s v="Universitas Terbuka"/>
    <s v="MAGISTER"/>
    <s v="Manajemen Perikanan"/>
    <s v="Maret"/>
    <n v="2025"/>
    <s v="Maret"/>
    <n v="2026"/>
    <n v="2025"/>
    <m/>
    <s v="?"/>
    <s v="AKTIF (Semester 2)"/>
    <s v="AKTIF"/>
    <m/>
    <m/>
    <m/>
    <m/>
    <m/>
  </r>
  <r>
    <s v="Universitas Terbuka"/>
    <s v="SARJANA"/>
    <s v="Agribisnis"/>
    <s v="Oktober"/>
    <n v="2024"/>
    <s v="Oktober "/>
    <n v="2028"/>
    <n v="2025"/>
    <m/>
    <s v="?"/>
    <s v="AKTIF (Semester 3)"/>
    <s v="AKTIF"/>
    <m/>
    <m/>
    <m/>
    <m/>
    <m/>
  </r>
  <r>
    <s v="Universitas Sumatera Utara"/>
    <s v="MAGISTER"/>
    <s v="Ilmu Hukum"/>
    <s v="Februari  "/>
    <n v="2020"/>
    <s v="Februari  "/>
    <n v="2023"/>
    <n v="2020"/>
    <m/>
    <s v="LULUS"/>
    <s v="LULUS"/>
    <s v="LULUS"/>
    <m/>
    <m/>
    <m/>
    <m/>
    <m/>
  </r>
  <r>
    <s v="Universitas Satya Negara Indonesia"/>
    <s v="SARJANA"/>
    <s v="Sumberdaya Perikanan"/>
    <s v="Februari "/>
    <n v="2020"/>
    <s v="Februari "/>
    <n v="2022"/>
    <n v="2020"/>
    <m/>
    <s v="LULUS"/>
    <s v="LULUS"/>
    <s v="LULUS"/>
    <m/>
    <m/>
    <m/>
    <m/>
    <m/>
  </r>
  <r>
    <s v="Universitas Terbuka"/>
    <s v="MAGISTER"/>
    <s v="Manajemen Perikanan"/>
    <s v="Maret "/>
    <n v="2020"/>
    <s v="Maret "/>
    <n v="2024"/>
    <n v="2020"/>
    <m/>
    <s v="LULUS"/>
    <s v="LULUS"/>
    <s v="LULUS"/>
    <m/>
    <m/>
    <m/>
    <m/>
    <m/>
  </r>
  <r>
    <s v="Universitas Terbuka"/>
    <s v="SARJANA"/>
    <s v="Ilmu Hukum"/>
    <s v="Januari "/>
    <n v="2020"/>
    <s v="Januari "/>
    <n v="2024"/>
    <n v="2020"/>
    <m/>
    <s v="?"/>
    <s v="LULUS"/>
    <s v="LULUS"/>
    <m/>
    <m/>
    <m/>
    <m/>
    <m/>
  </r>
  <r>
    <s v="Universitas Batam"/>
    <s v="MAGISTER"/>
    <s v="Ilmu Hukum"/>
    <s v="Maret "/>
    <n v="2020"/>
    <s v="Maret "/>
    <n v="2022"/>
    <n v="2020"/>
    <m/>
    <s v="LULUS"/>
    <s v="LULUS"/>
    <s v="LULUS"/>
    <m/>
    <m/>
    <m/>
    <m/>
    <m/>
  </r>
  <r>
    <s v="Universitas Terbuka"/>
    <s v="SARJANA"/>
    <s v="Agribisnis  Bidang Minat Penyuluh dan Komunikasi Perikanan"/>
    <s v="Agustus  "/>
    <n v="2020"/>
    <s v="Agustus  "/>
    <n v="2024"/>
    <n v="2020"/>
    <m/>
    <s v="LULUS"/>
    <s v="LULUS"/>
    <s v="LULUS"/>
    <m/>
    <m/>
    <m/>
    <m/>
    <m/>
  </r>
  <r>
    <s v="Universitas Terbuka"/>
    <s v="SARJANA"/>
    <s v="Agribisnis  Bidang Minat Penyuluh dan Komunikasi Perikanan"/>
    <s v="September "/>
    <n v="2020"/>
    <s v="September "/>
    <n v="2024"/>
    <n v="2020"/>
    <m/>
    <s v="LULUS"/>
    <s v="LULUS"/>
    <s v="LULUS"/>
    <m/>
    <m/>
    <m/>
    <m/>
    <m/>
  </r>
  <r>
    <s v="Universitas Terbuka"/>
    <s v="SARJANA"/>
    <s v="Agribisnis  Bidang Minat Penyuluh dan Komunikasi Perikanan"/>
    <s v="September"/>
    <n v="2020"/>
    <s v="September"/>
    <n v="2023"/>
    <n v="2020"/>
    <m/>
    <s v="LULUS"/>
    <s v="LULUS"/>
    <s v="LULUS"/>
    <m/>
    <m/>
    <m/>
    <m/>
    <m/>
  </r>
  <r>
    <s v="Universitas Terbuka"/>
    <s v="MAGISTER"/>
    <s v="Ilmu Hukum"/>
    <s v="September "/>
    <n v="2020"/>
    <s v="September "/>
    <n v="2022"/>
    <n v="2020"/>
    <m/>
    <s v="LULUS"/>
    <s v="LULUS"/>
    <s v="LULUS"/>
    <m/>
    <m/>
    <m/>
    <m/>
    <m/>
  </r>
  <r>
    <s v="Universitas Terbuka"/>
    <s v="MAGISTER"/>
    <s v="Manajemen Perikanan"/>
    <s v="Agustus "/>
    <n v="2020"/>
    <s v="Agustus "/>
    <n v="2024"/>
    <n v="2020"/>
    <m/>
    <s v="LULUS"/>
    <s v="LULUS"/>
    <s v="LULUS"/>
    <m/>
    <m/>
    <m/>
    <m/>
    <m/>
  </r>
  <r>
    <s v="Universitas Terbuka"/>
    <s v="SARJANA"/>
    <s v="Agribisnis  Bidang Minat Penyuluh dan Komunikasi Perikanan"/>
    <s v="Maret "/>
    <n v="2020"/>
    <s v="Maret "/>
    <n v="2024"/>
    <n v="2020"/>
    <m/>
    <s v="?"/>
    <s v="LULUS"/>
    <s v="LULUS"/>
    <m/>
    <m/>
    <m/>
    <m/>
    <m/>
  </r>
  <r>
    <s v="Universitas Terbuka"/>
    <s v="SARJANA"/>
    <s v="Ilmu Hukum "/>
    <s v="September "/>
    <n v="2020"/>
    <s v="September "/>
    <n v="2024"/>
    <n v="2020"/>
    <m/>
    <s v="?"/>
    <s v="LULUS"/>
    <s v="LULUS"/>
    <m/>
    <m/>
    <m/>
    <m/>
    <m/>
  </r>
  <r>
    <s v="Universitas Terbuka"/>
    <s v="MAGISTER"/>
    <s v="Manajemen Perikanan"/>
    <s v="September "/>
    <n v="2020"/>
    <s v="September "/>
    <n v="2022"/>
    <n v="2020"/>
    <m/>
    <s v="?"/>
    <s v="LULUS"/>
    <s v="LULUS"/>
    <m/>
    <m/>
    <m/>
    <m/>
    <m/>
  </r>
  <r>
    <s v="Universitas Terbuka"/>
    <s v="SARJANA"/>
    <s v="Agribisnis"/>
    <s v="Agustus "/>
    <n v="2020"/>
    <s v="Agustus "/>
    <n v="2024"/>
    <n v="2020"/>
    <m/>
    <s v="LULUS"/>
    <s v="LULUS"/>
    <s v="LULUS"/>
    <m/>
    <m/>
    <m/>
    <m/>
    <m/>
  </r>
  <r>
    <s v="Universitas Terbuka"/>
    <s v="SARJANA"/>
    <s v="Agribisnis"/>
    <s v="Juli "/>
    <n v="2017"/>
    <s v="Juli "/>
    <n v="2024"/>
    <n v="2020"/>
    <m/>
    <s v="?"/>
    <s v="LULUS"/>
    <s v="LULUS"/>
    <m/>
    <m/>
    <m/>
    <m/>
    <m/>
  </r>
  <r>
    <s v="Institut Pertanian Bogor"/>
    <s v="MAGISTER"/>
    <s v="Manajemen dan Bisnis"/>
    <s v="Januari"/>
    <n v="2021"/>
    <s v="Januari"/>
    <n v="2024"/>
    <n v="2021"/>
    <m/>
    <s v="LULUS"/>
    <s v="LULUS"/>
    <s v="LULUS"/>
    <m/>
    <m/>
    <m/>
    <m/>
    <m/>
  </r>
  <r>
    <s v="Universitas Terbuka"/>
    <s v="SARJANA"/>
    <s v="Komunikasi Perikanan"/>
    <s v="Januari"/>
    <n v="2021"/>
    <s v="Januari"/>
    <n v="2025"/>
    <n v="2021"/>
    <m/>
    <s v="?"/>
    <s v="LULUS"/>
    <s v="LULUS"/>
    <m/>
    <m/>
    <m/>
    <m/>
    <m/>
  </r>
  <r>
    <s v="Universitas Sumatera Utara"/>
    <s v="MAGISTER"/>
    <s v="Ilmu Hukum"/>
    <s v="Februari"/>
    <n v="2021"/>
    <s v="Februari"/>
    <n v="2023"/>
    <n v="2021"/>
    <m/>
    <s v="LULUS"/>
    <s v="LULUS"/>
    <s v="LULUS"/>
    <m/>
    <m/>
    <m/>
    <m/>
    <m/>
  </r>
  <r>
    <s v="Institut Pertanian Bogor"/>
    <s v="Doktor"/>
    <s v="Teknologi Perikanan Laut "/>
    <s v="Februari"/>
    <n v="2021"/>
    <s v="Januari"/>
    <n v="2024"/>
    <n v="2021"/>
    <m/>
    <s v="LULUS"/>
    <s v="LULUS"/>
    <s v="LULUS"/>
    <m/>
    <m/>
    <m/>
    <m/>
    <m/>
  </r>
  <r>
    <s v="Universitas Terbuka"/>
    <s v="SARJANA"/>
    <s v="Agribisnis"/>
    <s v="April"/>
    <n v="2021"/>
    <s v="April"/>
    <n v="2023"/>
    <n v="2021"/>
    <m/>
    <s v="LULUS"/>
    <s v="LULUS"/>
    <s v="LULUS"/>
    <m/>
    <m/>
    <m/>
    <m/>
    <m/>
  </r>
  <r>
    <s v="Politeknik STIA LAN Jakarta"/>
    <s v="MAGISTER"/>
    <s v="Administrasi Pembangunan Negara"/>
    <s v="Agustus"/>
    <n v="2022"/>
    <s v="Agustus"/>
    <n v="2024"/>
    <n v="2022"/>
    <m/>
    <s v="LULUS"/>
    <s v="LULUS"/>
    <s v="LULUS"/>
    <m/>
    <m/>
    <m/>
    <m/>
    <m/>
  </r>
  <r>
    <s v="Politeknik STIA LAN Jakarta"/>
    <s v="MAGISTER"/>
    <s v="Administrasi Pembangunan Negara"/>
    <s v="Agustus"/>
    <n v="2022"/>
    <s v="Agustus"/>
    <n v="2024"/>
    <n v="2022"/>
    <m/>
    <s v="LULUS"/>
    <s v="LULUS"/>
    <s v="LULUS"/>
    <m/>
    <m/>
    <m/>
    <m/>
    <m/>
  </r>
  <r>
    <s v="Universitas Terbuka"/>
    <s v="SARJANA"/>
    <s v="Ilmu Administrasi Negara"/>
    <s v="Februari"/>
    <n v="2022"/>
    <s v="Februari"/>
    <n v="2026"/>
    <n v="2022"/>
    <m/>
    <s v="?"/>
    <s v="AKTIF (Semester 8)"/>
    <s v="AKTIF"/>
    <m/>
    <m/>
    <m/>
    <m/>
    <m/>
  </r>
  <r>
    <s v="Universitas Terbuka"/>
    <s v="SARJANA"/>
    <s v="Agribisnis"/>
    <s v="Februari"/>
    <n v="2022"/>
    <s v="Februari"/>
    <n v="2026"/>
    <n v="2022"/>
    <m/>
    <s v="?"/>
    <s v="AKTIF (Semester 8)"/>
    <s v="AKTIF"/>
    <m/>
    <m/>
    <m/>
    <m/>
    <m/>
  </r>
  <r>
    <s v="Universitas Terbuka"/>
    <s v="MAGISTER"/>
    <s v="Manajemen Perikanan"/>
    <s v="September"/>
    <n v="2022"/>
    <s v="September"/>
    <n v="2024"/>
    <n v="2022"/>
    <m/>
    <s v="?"/>
    <s v="LULUS"/>
    <s v="LULUS"/>
    <m/>
    <m/>
    <m/>
    <m/>
    <m/>
  </r>
  <r>
    <s v="Universitas Mercu Buana"/>
    <s v="MAGISTER"/>
    <s v="Manajemen"/>
    <s v="Agustus"/>
    <n v="2022"/>
    <s v="Agustus"/>
    <n v="2024"/>
    <n v="2022"/>
    <m/>
    <s v="LULUS"/>
    <s v="LULUS"/>
    <s v="LULUS"/>
    <m/>
    <m/>
    <m/>
    <m/>
    <m/>
  </r>
  <r>
    <s v="Universitas Terbuka"/>
    <s v="SARJANA"/>
    <s v="Ilmu Hukum           "/>
    <s v="Februari"/>
    <n v="2023"/>
    <s v="Februari  "/>
    <n v="2027"/>
    <n v="2023"/>
    <m/>
    <s v="?"/>
    <s v="AKTIF (Semester 6)"/>
    <s v="AKTIF"/>
    <m/>
    <m/>
    <m/>
    <m/>
    <m/>
  </r>
  <r>
    <s v="Sekolah Tinggi Ilmu Hukum IBLAM"/>
    <s v="MAGISTER"/>
    <s v="Ilmu Hukum           "/>
    <s v="September"/>
    <n v="2023"/>
    <s v="September   "/>
    <n v="2025"/>
    <n v="2023"/>
    <m/>
    <s v="?"/>
    <s v="LULUS"/>
    <e v="#N/A"/>
    <m/>
    <m/>
    <m/>
    <m/>
    <m/>
  </r>
  <r>
    <s v="Sekolah Tinggi Ilmu Hukum IBLAM"/>
    <s v="MAGISTER"/>
    <s v="Ilmu Hukum           "/>
    <s v="September"/>
    <n v="2023"/>
    <s v="September   "/>
    <n v="2025"/>
    <n v="2023"/>
    <m/>
    <s v="?"/>
    <s v="LULUS"/>
    <e v="#N/A"/>
    <m/>
    <m/>
    <m/>
    <m/>
    <m/>
  </r>
  <r>
    <s v="Universitas Terbuka"/>
    <s v="SARJANA"/>
    <s v="Ilmu Hukum           "/>
    <s v="April "/>
    <n v="2023"/>
    <s v="April "/>
    <m/>
    <n v="2023"/>
    <m/>
    <s v="?"/>
    <s v="LULUS"/>
    <s v="LULUS"/>
    <m/>
    <m/>
    <m/>
    <m/>
    <m/>
  </r>
  <r>
    <s v="Universitas Pakuan"/>
    <s v="MAGISTER"/>
    <s v="Manajemen Lingkungan       "/>
    <s v="Mei"/>
    <n v="2023"/>
    <s v="Mei "/>
    <n v="2025"/>
    <n v="2023"/>
    <m/>
    <s v="LULUS"/>
    <s v="LULUS"/>
    <e v="#N/A"/>
    <m/>
    <m/>
    <m/>
    <m/>
    <m/>
  </r>
  <r>
    <s v="Universitas Terbuka"/>
    <s v="SARJANA"/>
    <s v="Agribisnis           "/>
    <s v="Maret"/>
    <n v="2023"/>
    <s v="Maret "/>
    <n v="2027"/>
    <n v="2023"/>
    <m/>
    <s v="?"/>
    <s v="AKTIF (Semester 6)"/>
    <s v="AKTIF"/>
    <m/>
    <m/>
    <m/>
    <m/>
    <m/>
  </r>
  <r>
    <s v="Universitas Terbuka"/>
    <s v="SARJANA"/>
    <s v="Agribisnis           "/>
    <s v="Maret"/>
    <n v="2023"/>
    <s v="Maret "/>
    <n v="2027"/>
    <n v="2023"/>
    <m/>
    <s v="?"/>
    <s v="AKTIF (Semester 6)"/>
    <s v="AKTIF"/>
    <m/>
    <m/>
    <m/>
    <m/>
    <m/>
  </r>
  <r>
    <s v="Universitas Terbuka"/>
    <s v="SARJANA"/>
    <s v="Agribisnis  (Penyuluhan dan Komunikasi Perikanan)"/>
    <s v="April"/>
    <n v="2023"/>
    <s v="April"/>
    <n v="2027"/>
    <n v="2023"/>
    <m/>
    <s v="?"/>
    <s v="AKTIF (Semester 6)"/>
    <s v="AKTIF"/>
    <m/>
    <m/>
    <m/>
    <m/>
    <m/>
  </r>
  <r>
    <s v="Universitas Terbuka"/>
    <s v="MAGISTER"/>
    <s v="Manajemen Lingkungan Pendidikan"/>
    <s v="September"/>
    <n v="2023"/>
    <s v="September   "/>
    <n v="2025"/>
    <n v="2023"/>
    <m/>
    <s v="?"/>
    <s v="LULUS"/>
    <e v="#N/A"/>
    <m/>
    <m/>
    <m/>
    <m/>
    <m/>
  </r>
  <r>
    <s v="Universitas Terbuka"/>
    <s v="SARJANA"/>
    <s v="Agribisnis  (Penyuluhan dan Komunikasi Perikanan)"/>
    <s v="April"/>
    <n v="2023"/>
    <s v="April"/>
    <n v="2027"/>
    <n v="2023"/>
    <m/>
    <s v="?"/>
    <s v="AKTIF (Semester 6)"/>
    <s v="AKTIF"/>
    <m/>
    <m/>
    <m/>
    <m/>
    <m/>
  </r>
  <r>
    <s v="Universitas Muhammdiyah  "/>
    <s v="MAGISTER"/>
    <s v="Ilmu Hukum           "/>
    <s v="Oktober"/>
    <n v="2023"/>
    <s v="Oktober"/>
    <n v="2025"/>
    <n v="2023"/>
    <m/>
    <s v="?"/>
    <s v="LULUS"/>
    <s v="LULUS"/>
    <m/>
    <m/>
    <m/>
    <m/>
    <m/>
  </r>
  <r>
    <s v="Universitas Terbuka"/>
    <s v="SARJANA"/>
    <s v="Agribisnis  (Penyuluhan dan Komunikasi Perikanan)"/>
    <s v="Maret"/>
    <n v="2023"/>
    <s v="Maret "/>
    <n v="2027"/>
    <n v="2023"/>
    <m/>
    <s v="?"/>
    <s v="AKTIF (Semester 6)"/>
    <s v="AKTIF"/>
    <m/>
    <m/>
    <m/>
    <m/>
    <m/>
  </r>
  <r>
    <s v="Universitas Pattimura"/>
    <s v="MAGISTER"/>
    <s v="Manajemen Sumberdaya Kelautan dan Pulau-pulau Kecil_x000a_"/>
    <s v="Agustus"/>
    <n v="2023"/>
    <s v="Agustus "/>
    <n v="2025"/>
    <n v="2023"/>
    <m/>
    <s v="?"/>
    <s v="LULUS"/>
    <e v="#N/A"/>
    <m/>
    <m/>
    <m/>
    <m/>
    <m/>
  </r>
  <r>
    <s v="Universitas Terbuka"/>
    <s v="SARJANA"/>
    <s v="Ilmu Hukum           "/>
    <s v="September"/>
    <n v="2023"/>
    <s v="September   "/>
    <n v="2027"/>
    <n v="2023"/>
    <m/>
    <s v="?"/>
    <s v="AKTIF (Semester 5)"/>
    <s v="AKTIF"/>
    <m/>
    <m/>
    <m/>
    <m/>
    <m/>
  </r>
  <r>
    <s v="Universitas Terbuka"/>
    <s v="SARJANA"/>
    <s v="Agribisnis           "/>
    <s v="Februari"/>
    <n v="2023"/>
    <s v="Februari "/>
    <n v="2027"/>
    <n v="2023"/>
    <m/>
    <s v="?"/>
    <s v="AKTIF (Semester 6)"/>
    <s v="AKTIF"/>
    <m/>
    <m/>
    <m/>
    <m/>
    <m/>
  </r>
  <r>
    <s v="Universitas Terbuka"/>
    <s v="SARJANA"/>
    <s v="Agribisnis           "/>
    <s v="Februari"/>
    <n v="2023"/>
    <s v="Februari "/>
    <n v="2027"/>
    <n v="2023"/>
    <m/>
    <s v="?"/>
    <s v="AKTIF (Semester 6)"/>
    <s v="AKTIF"/>
    <m/>
    <m/>
    <m/>
    <m/>
    <m/>
  </r>
  <r>
    <s v="Universitas Terbuka"/>
    <s v="SARJANA"/>
    <s v="Agribisnis           "/>
    <s v="Juli"/>
    <n v="2023"/>
    <s v="Juli"/>
    <n v="2027"/>
    <n v="2023"/>
    <m/>
    <s v="?"/>
    <s v="AKTIF (Semester 5)"/>
    <s v="AKTIF"/>
    <m/>
    <m/>
    <m/>
    <m/>
    <m/>
  </r>
  <r>
    <s v="Universitas Terbuka"/>
    <s v="SARJANA"/>
    <s v="Agribisnis           "/>
    <s v="Agustus"/>
    <n v="2023"/>
    <s v="Agustus "/>
    <n v="2027"/>
    <n v="2023"/>
    <m/>
    <s v="?"/>
    <s v="AKTIF (Semester 5)"/>
    <s v="AKTIF"/>
    <m/>
    <m/>
    <m/>
    <m/>
    <m/>
  </r>
  <r>
    <s v="Universitas Terbuka"/>
    <s v="SARJANA"/>
    <s v="Ilmu Hukum           "/>
    <s v="Agustus"/>
    <n v="2023"/>
    <s v="Agustus "/>
    <n v="2027"/>
    <n v="2024"/>
    <m/>
    <s v="?"/>
    <s v="AKTIF (Semester 5)"/>
    <s v="AKTIF"/>
    <m/>
    <m/>
    <m/>
    <m/>
    <m/>
  </r>
  <r>
    <s v="Universitas Terbuka"/>
    <s v="SARJANA"/>
    <s v="Ilmu Hukum           "/>
    <s v="Agustus"/>
    <n v="2023"/>
    <s v="Agustus "/>
    <n v="2027"/>
    <n v="2024"/>
    <m/>
    <s v="?"/>
    <s v="AKTIF (Semester 5)"/>
    <s v="AKTIF"/>
    <m/>
    <m/>
    <m/>
    <m/>
    <m/>
  </r>
  <r>
    <s v="Universitas Terbuka"/>
    <s v="SARJANA"/>
    <s v="Agribisnis           "/>
    <s v="Juni"/>
    <n v="2023"/>
    <s v="Juni "/>
    <n v="2027"/>
    <n v="2024"/>
    <m/>
    <s v="?"/>
    <s v="AKTIF (Semester 6)"/>
    <s v="AKTIF"/>
    <m/>
    <m/>
    <m/>
    <m/>
    <m/>
  </r>
  <r>
    <s v="Universitas Udayana"/>
    <s v="Doktor"/>
    <s v="Ilmu Lingkungan"/>
    <s v="Agustus"/>
    <n v="2023"/>
    <s v="Agustus "/>
    <n v="2026"/>
    <n v="2024"/>
    <m/>
    <s v="?"/>
    <s v="AKTIF (Semester 5)"/>
    <s v="AKTIF"/>
    <m/>
    <m/>
    <m/>
    <m/>
    <m/>
  </r>
  <r>
    <s v="Universitas Terbuka"/>
    <s v="MAGISTER"/>
    <s v="Ilmu Kelautan Bidang Minat Manajemen"/>
    <s v="Juli"/>
    <n v="2023"/>
    <s v="Juli "/>
    <n v="2025"/>
    <n v="2024"/>
    <m/>
    <s v="?"/>
    <s v="LULUS"/>
    <e v="#N/A"/>
    <m/>
    <m/>
    <m/>
    <m/>
    <m/>
  </r>
  <r>
    <s v="Universitas Terbuka"/>
    <s v="SARJANA"/>
    <s v="Agribisnis"/>
    <s v="Mei"/>
    <n v="2023"/>
    <s v="Mei "/>
    <n v="2027"/>
    <n v="2023"/>
    <m/>
    <s v="?"/>
    <s v="AKTIF (Semester 6)"/>
    <s v="AKTIF"/>
    <m/>
    <m/>
    <m/>
    <m/>
    <m/>
  </r>
  <r>
    <s v="Universitas Pattimura"/>
    <s v="MAGISTER"/>
    <s v="Ilmu Hukum"/>
    <s v="September   "/>
    <n v="2022"/>
    <s v="September   "/>
    <n v="2024"/>
    <n v="2022"/>
    <m/>
    <s v="?"/>
    <s v="LULUS"/>
    <s v="LULUS"/>
    <m/>
    <m/>
    <m/>
    <m/>
    <m/>
  </r>
  <r>
    <s v="Universitas Terbuka"/>
    <s v="SARJANA"/>
    <s v="Agribisnis"/>
    <s v="Agustus"/>
    <n v="2022"/>
    <s v="Agustus"/>
    <n v="2026"/>
    <n v="2022"/>
    <m/>
    <s v="?"/>
    <s v="AKTIF (Semester 7)"/>
    <s v="AKTIF"/>
    <m/>
    <m/>
    <m/>
    <m/>
    <m/>
  </r>
  <r>
    <s v="Universitas Kristen Indonesia Paulus"/>
    <s v="MAGISTER"/>
    <s v="Ilmu Hukum"/>
    <s v="November"/>
    <n v="2022"/>
    <s v="November"/>
    <n v="2023"/>
    <n v="2022"/>
    <m/>
    <s v="LULUS"/>
    <s v="LULUS"/>
    <s v="LULUS"/>
    <m/>
    <m/>
    <m/>
    <m/>
    <m/>
  </r>
  <r>
    <s v="Universitas Terbuka"/>
    <s v="SARJANA"/>
    <s v="Agribisnis"/>
    <s v="September"/>
    <n v="2022"/>
    <s v="September   "/>
    <n v="2026"/>
    <n v="2022"/>
    <m/>
    <s v="?"/>
    <s v="AKTIF (Semester 7)"/>
    <s v="AKTIF"/>
    <m/>
    <m/>
    <m/>
    <m/>
    <m/>
  </r>
  <r>
    <s v="Mercu Buana Jakarta"/>
    <s v="MAGISTER"/>
    <s v="Manajemen"/>
    <s v="Agustus "/>
    <n v="2022"/>
    <s v="Agustus "/>
    <n v="2024"/>
    <n v="2022"/>
    <m/>
    <s v="LULUS"/>
    <s v="LULUS"/>
    <s v="LULUS"/>
    <m/>
    <m/>
    <m/>
    <m/>
    <m/>
  </r>
  <r>
    <s v="Sekolah Tinggi Ilmu Hukum IBLAM"/>
    <s v="MAGISTER"/>
    <s v="Magister Hukum"/>
    <s v="Maret "/>
    <n v="2022"/>
    <s v="Maret "/>
    <n v="2024"/>
    <n v="2022"/>
    <m/>
    <s v="LULUS"/>
    <s v="LULUS"/>
    <s v="LULUS"/>
    <m/>
    <m/>
    <m/>
    <m/>
    <m/>
  </r>
  <r>
    <s v="Universitas Terbuka"/>
    <s v="SARJANA"/>
    <s v="Akuntansi"/>
    <s v="Oktober"/>
    <n v="2021"/>
    <s v="Oktober "/>
    <n v="2025"/>
    <n v="2022"/>
    <m/>
    <s v="?"/>
    <s v="LULUS"/>
    <e v="#N/A"/>
    <m/>
    <m/>
    <m/>
    <m/>
    <m/>
  </r>
  <r>
    <s v="Universitas IPWIJA"/>
    <s v="MAGISTER"/>
    <s v="Manajemen"/>
    <m/>
    <n v="2024"/>
    <m/>
    <n v="2026"/>
    <n v="2024"/>
    <m/>
    <s v="?"/>
    <e v="#N/A"/>
    <s v="AKTIF"/>
    <m/>
    <m/>
    <m/>
    <m/>
    <m/>
  </r>
  <r>
    <s v="Universitas IPWIJA"/>
    <s v="MAGISTER"/>
    <s v="Manajemen"/>
    <s v="September"/>
    <n v="2024"/>
    <s v="September"/>
    <n v="2026"/>
    <n v="2024"/>
    <m/>
    <s v="?"/>
    <s v="AKTIF (Semester 3)"/>
    <s v="AKTIF"/>
    <m/>
    <m/>
    <m/>
    <m/>
    <m/>
  </r>
  <r>
    <s v="Politeknik STIA LAN Jakarta"/>
    <s v="SARJANA"/>
    <s v="Administrasi Pembangunan Negara"/>
    <s v="Agustus"/>
    <n v="2024"/>
    <s v="Agustus"/>
    <n v="2028"/>
    <n v="2024"/>
    <m/>
    <s v="?"/>
    <s v="AKTIF (Semester 3)"/>
    <s v="AKTIF"/>
    <m/>
    <m/>
    <m/>
    <m/>
    <m/>
  </r>
  <r>
    <s v="Universitas Terbuka"/>
    <s v="SARJANA"/>
    <s v="Akuntansi "/>
    <s v="September"/>
    <n v="2024"/>
    <s v="September"/>
    <n v="2028"/>
    <n v="2024"/>
    <m/>
    <s v="?"/>
    <s v="AKTIF (Semester 3)"/>
    <s v="AKTIF"/>
    <m/>
    <m/>
    <m/>
    <m/>
    <m/>
  </r>
  <r>
    <s v="Universitas Terbuka"/>
    <s v="MAGISTER"/>
    <s v="Manajemen Perikanan"/>
    <s v="September"/>
    <n v="2024"/>
    <s v="September"/>
    <n v="2026"/>
    <n v="2024"/>
    <m/>
    <s v="?"/>
    <s v="AKTIF (Semester 3)"/>
    <s v="AKTIF"/>
    <m/>
    <m/>
    <m/>
    <m/>
    <m/>
  </r>
  <r>
    <s v="Universitas Terbuka"/>
    <s v="SARJANA"/>
    <s v="Akuntansi "/>
    <s v="Oktober"/>
    <n v="2024"/>
    <s v="Oktober"/>
    <n v="2028"/>
    <n v="2024"/>
    <m/>
    <s v="?"/>
    <s v="AKTIF (Semester 3)"/>
    <s v="AKTIF"/>
    <m/>
    <m/>
    <m/>
    <m/>
    <m/>
  </r>
  <r>
    <s v="Universitas IPWIJA"/>
    <s v="MAGISTER"/>
    <s v="Manajemen "/>
    <m/>
    <n v="2024"/>
    <n v="0"/>
    <n v="2026"/>
    <n v="2024"/>
    <m/>
    <s v="?"/>
    <e v="#N/A"/>
    <s v="AKTIF"/>
    <m/>
    <m/>
    <m/>
    <m/>
    <m/>
  </r>
  <r>
    <s v="Universitas Terbuka"/>
    <s v="MAGISTER"/>
    <s v="Manajemen Perikanan"/>
    <s v="September"/>
    <n v="2024"/>
    <s v="September"/>
    <n v="2026"/>
    <n v="2024"/>
    <m/>
    <s v="?"/>
    <s v="AKTIF (Semester 3)"/>
    <s v="AKTIF"/>
    <m/>
    <m/>
    <m/>
    <m/>
    <m/>
  </r>
  <r>
    <s v="Universitas Terbuka"/>
    <s v="SARJANA"/>
    <s v="Akuntansi"/>
    <s v="September"/>
    <n v="2024"/>
    <s v="September"/>
    <n v="2028"/>
    <n v="2024"/>
    <m/>
    <s v="?"/>
    <s v="AKTIF (Semester 3)"/>
    <s v="AKTIF"/>
    <m/>
    <m/>
    <m/>
    <m/>
    <m/>
  </r>
  <r>
    <s v="Politeknik STIA LAN Jakarta"/>
    <s v="MAGISTER"/>
    <s v="Administrasi Pembangunan Negara"/>
    <s v="Agustus"/>
    <n v="2024"/>
    <s v="Agustus"/>
    <n v="2026"/>
    <n v="2024"/>
    <m/>
    <s v="?"/>
    <s v="AKTIF (Semester 3)"/>
    <s v="AKTIF"/>
    <m/>
    <m/>
    <m/>
    <m/>
    <m/>
  </r>
  <r>
    <s v="Universitas Budi Luhur"/>
    <s v="MAGISTER"/>
    <s v="Manajemen"/>
    <s v="September"/>
    <n v="2024"/>
    <s v="September"/>
    <n v="2026"/>
    <n v="2024"/>
    <m/>
    <s v="?"/>
    <s v="AKTIF (Semester 3)"/>
    <s v="AKTIF"/>
    <m/>
    <m/>
    <m/>
    <m/>
    <m/>
  </r>
  <r>
    <s v="Universitas Negeri Jakarta"/>
    <s v="Doktor"/>
    <s v="Ilmu Manajemen"/>
    <s v="Agustus"/>
    <n v="2024"/>
    <s v="Agustus"/>
    <n v="2027"/>
    <n v="2024"/>
    <m/>
    <s v="?"/>
    <s v="AKTIF (Semester 3)"/>
    <s v="AKTIF"/>
    <m/>
    <m/>
    <m/>
    <m/>
    <m/>
  </r>
  <r>
    <s v="STIH IBLAM"/>
    <s v="MAGISTER"/>
    <s v="Ilmu Hukum"/>
    <s v="September"/>
    <n v="2024"/>
    <s v="September"/>
    <n v="2026"/>
    <n v="2024"/>
    <m/>
    <s v="?"/>
    <s v="AKTIF (Semester 3)"/>
    <s v="AKTIF"/>
    <m/>
    <m/>
    <m/>
    <m/>
    <m/>
  </r>
  <r>
    <s v="Universitas Terbuka"/>
    <s v="SARJANA"/>
    <s v="Agribisnis"/>
    <s v="Oktober"/>
    <n v="2024"/>
    <s v="Oktober"/>
    <n v="2028"/>
    <n v="2025"/>
    <m/>
    <s v="?"/>
    <s v="AKTIF (Semester 3)"/>
    <s v="AKTIF"/>
    <m/>
    <m/>
    <m/>
    <m/>
    <m/>
  </r>
  <r>
    <s v="Universitas Terbuka"/>
    <s v="SARJANA"/>
    <s v="Agribisnis"/>
    <s v="September"/>
    <n v="2024"/>
    <s v="September"/>
    <n v="2028"/>
    <n v="2025"/>
    <m/>
    <s v="?"/>
    <s v="AKTIF (Semester 3)"/>
    <s v="AKTIF"/>
    <m/>
    <m/>
    <m/>
    <m/>
    <m/>
  </r>
  <r>
    <s v="Universitas Terbuka"/>
    <s v="SARJANA"/>
    <s v="Agribisnis"/>
    <s v="Februari"/>
    <n v="2024"/>
    <s v="Februari"/>
    <n v="2028"/>
    <n v="2025"/>
    <m/>
    <s v="?"/>
    <s v="AKTIF (Semester 4)"/>
    <s v="AKTIF"/>
    <m/>
    <m/>
    <m/>
    <m/>
    <m/>
  </r>
  <r>
    <s v="Universitas Terbuka"/>
    <s v="SARJANA"/>
    <s v="Agribisnis"/>
    <s v="Januari"/>
    <n v="2024"/>
    <s v="Januari"/>
    <n v="2028"/>
    <n v="2025"/>
    <m/>
    <s v="?"/>
    <s v="AKTIF (Semester 4)"/>
    <s v="AKTIF"/>
    <m/>
    <m/>
    <m/>
    <m/>
    <m/>
  </r>
  <r>
    <s v="Universitas Terbuka"/>
    <s v="SARJANA"/>
    <s v="Agribisnis"/>
    <s v="September"/>
    <n v="2024"/>
    <s v="September"/>
    <n v="2028"/>
    <n v="2025"/>
    <m/>
    <s v="?"/>
    <s v="AKTIF (Semester 3)"/>
    <s v="AKTIF"/>
    <m/>
    <m/>
    <m/>
    <m/>
    <m/>
  </r>
  <r>
    <s v="Universitas Terbuka"/>
    <s v="SARJANA"/>
    <s v="Agribisnis"/>
    <s v="Oktober"/>
    <n v="2024"/>
    <s v="Oktober"/>
    <n v="2028"/>
    <n v="2025"/>
    <m/>
    <s v="?"/>
    <s v="AKTIF (Semester 3)"/>
    <s v="AKTIF"/>
    <m/>
    <m/>
    <m/>
    <m/>
    <m/>
  </r>
  <r>
    <s v="Universitas Terbuka"/>
    <s v="SARJANA"/>
    <s v="Ilmu Hukum"/>
    <s v="September"/>
    <n v="2024"/>
    <s v="September"/>
    <n v="2028"/>
    <n v="2025"/>
    <m/>
    <s v="?"/>
    <s v="AKTIF (Semester 3)"/>
    <s v="AKTIF"/>
    <m/>
    <m/>
    <m/>
    <m/>
    <m/>
  </r>
  <r>
    <s v="Universitas Terbuka"/>
    <s v="SARJANA"/>
    <s v="Ilmu Hukum"/>
    <s v="April"/>
    <n v="2024"/>
    <s v="April"/>
    <n v="2028"/>
    <n v="2025"/>
    <m/>
    <s v="?"/>
    <s v="AKTIF (Semester 4)"/>
    <s v="AKTIF"/>
    <m/>
    <m/>
    <m/>
    <m/>
    <m/>
  </r>
  <r>
    <s v="Universitas Terbuka"/>
    <s v="SARJANA"/>
    <s v="Agribisnis"/>
    <s v="Oktober"/>
    <n v="2024"/>
    <s v="Oktober"/>
    <n v="2028"/>
    <n v="2025"/>
    <m/>
    <s v="?"/>
    <s v="AKTIF (Semester 3)"/>
    <s v="AKTIF"/>
    <m/>
    <m/>
    <m/>
    <m/>
    <m/>
  </r>
  <r>
    <s v="Universitas Terbuka"/>
    <s v="SARJANA"/>
    <s v="Agribisnis"/>
    <s v="Oktober"/>
    <n v="2024"/>
    <s v="Oktober"/>
    <n v="2028"/>
    <n v="2025"/>
    <m/>
    <s v="?"/>
    <s v="AKTIF (Semester 3)"/>
    <s v="AKTIF"/>
    <m/>
    <m/>
    <m/>
    <m/>
    <m/>
  </r>
  <r>
    <s v="Universitas Tama Jagakarsa / Universitas Pancasila"/>
    <s v="MAGISTER"/>
    <s v="Ilmu Hukum"/>
    <s v="September"/>
    <n v="2024"/>
    <s v="September"/>
    <n v="2026"/>
    <n v="2025"/>
    <m/>
    <s v="?"/>
    <s v="AKTIF (Semester 3)"/>
    <s v="AKTIF"/>
    <m/>
    <m/>
    <m/>
    <m/>
    <m/>
  </r>
  <r>
    <s v="Universitas Negeri Jakarta"/>
    <s v="Doktor"/>
    <s v="Manajemen Sumberdaya Manusia"/>
    <s v="Juni"/>
    <n v="2024"/>
    <s v="Juni"/>
    <n v="2027"/>
    <n v="2025"/>
    <m/>
    <s v="?"/>
    <s v="AKTIF (Semester 4)"/>
    <s v="AKTIF"/>
    <m/>
    <m/>
    <m/>
    <m/>
    <m/>
  </r>
  <r>
    <s v="Universitas Terbuka"/>
    <s v="SARJANA"/>
    <s v="Agribisnis"/>
    <s v="September"/>
    <n v="2024"/>
    <s v="September"/>
    <n v="2028"/>
    <n v="2025"/>
    <m/>
    <s v="?"/>
    <s v="AKTIF (Semester 3)"/>
    <s v="AKTIF"/>
    <m/>
    <m/>
    <m/>
    <m/>
    <m/>
  </r>
  <r>
    <s v="Universitas Terbuka"/>
    <s v="SARJANA"/>
    <s v="Ilmu Hukum"/>
    <s v="September"/>
    <n v="2024"/>
    <s v="September"/>
    <n v="2028"/>
    <n v="2025"/>
    <m/>
    <s v="?"/>
    <s v="AKTIF (Semester 3)"/>
    <s v="AKTIF"/>
    <m/>
    <m/>
    <m/>
    <m/>
    <m/>
  </r>
  <r>
    <s v="Universitas Internasional Batam"/>
    <s v="MAGISTER"/>
    <s v="Hukum"/>
    <s v="Maret"/>
    <n v="2024"/>
    <s v="Maret"/>
    <n v="2026"/>
    <n v="2025"/>
    <m/>
    <s v="?"/>
    <s v="AKTIF (Semester 4)"/>
    <s v="AKTIF"/>
    <m/>
    <m/>
    <m/>
    <m/>
    <m/>
  </r>
  <r>
    <s v="STIH IBLAM"/>
    <s v="MAGISTER"/>
    <s v="Hukum"/>
    <s v="September"/>
    <n v="2024"/>
    <s v="September"/>
    <n v="2026"/>
    <n v="2025"/>
    <m/>
    <s v="?"/>
    <s v="AKTIF (Semester 3)"/>
    <s v="AKTIF"/>
    <m/>
    <m/>
    <m/>
    <m/>
    <m/>
  </r>
  <r>
    <s v="STIH IBLAM"/>
    <s v="MAGISTER"/>
    <s v="Hukum"/>
    <s v="September"/>
    <n v="2024"/>
    <s v="September"/>
    <n v="2026"/>
    <n v="2025"/>
    <m/>
    <s v="?"/>
    <s v="AKTIF (Semester 3)"/>
    <s v="AKTIF"/>
    <m/>
    <m/>
    <m/>
    <m/>
    <m/>
  </r>
  <r>
    <s v="Universitas Paramadina"/>
    <s v="MAGISTER"/>
    <s v="Hubungan Internasional"/>
    <s v="September"/>
    <n v="2024"/>
    <s v="September"/>
    <n v="2026"/>
    <n v="2025"/>
    <m/>
    <s v="?"/>
    <s v="AKTIF (Semester 3)"/>
    <s v="AKTIF"/>
    <m/>
    <m/>
    <m/>
    <m/>
    <m/>
  </r>
  <r>
    <s v="Universitas Terbuka"/>
    <s v="SARJANA"/>
    <s v="Agribisnis"/>
    <m/>
    <n v="2024"/>
    <n v="0"/>
    <n v="2028"/>
    <n v="2025"/>
    <m/>
    <s v="?"/>
    <e v="#N/A"/>
    <s v="AKTIF"/>
    <m/>
    <m/>
    <m/>
    <m/>
    <m/>
  </r>
  <r>
    <s v="Universitas Terbuka"/>
    <s v="MAGISTER"/>
    <s v="Manajemen Perikanan "/>
    <s v="Agustus"/>
    <n v="2024"/>
    <s v="Agustus"/>
    <n v="2026"/>
    <n v="2025"/>
    <m/>
    <s v="?"/>
    <s v="AKTIF (Semester 3)"/>
    <s v="AKTIF"/>
    <m/>
    <m/>
    <m/>
    <m/>
    <m/>
  </r>
  <r>
    <s v="Universitas Swadaya Gunung Jati Cirebon"/>
    <s v="MAGISTER"/>
    <s v="Hukum"/>
    <s v="Oktober"/>
    <n v="2024"/>
    <s v="Oktober"/>
    <n v="2026"/>
    <n v="2025"/>
    <m/>
    <s v="?"/>
    <s v="AKTIF (Semester 3)"/>
    <s v="AKTIF"/>
    <m/>
    <m/>
    <m/>
    <m/>
    <m/>
  </r>
  <r>
    <s v="Universitas Terbuka"/>
    <s v="SARJANA"/>
    <s v="Agribisnis"/>
    <s v="September"/>
    <n v="2024"/>
    <s v="September"/>
    <n v="2028"/>
    <n v="2025"/>
    <m/>
    <s v="?"/>
    <s v="AKTIF (Semester 3)"/>
    <s v="AKTIF"/>
    <m/>
    <m/>
    <m/>
    <m/>
    <m/>
  </r>
  <r>
    <s v="Universitas Pakuan"/>
    <s v="MAGISTER"/>
    <s v="Manajemen Lingkungan"/>
    <s v="September"/>
    <n v="2024"/>
    <s v="September"/>
    <n v="2026"/>
    <n v="2025"/>
    <m/>
    <s v="?"/>
    <s v="AKTIF (Semester 3)"/>
    <s v="AKTIF"/>
    <m/>
    <m/>
    <m/>
    <m/>
    <m/>
  </r>
  <r>
    <s v="Univeritas Terbuka"/>
    <s v="SARJANA"/>
    <s v="Ilmu Hukum"/>
    <s v="Oktober"/>
    <n v="2024"/>
    <s v="Oktober "/>
    <n v="2028"/>
    <n v="2025"/>
    <m/>
    <s v="?"/>
    <s v="AKTIF (Semester 3)"/>
    <s v="AKTIF"/>
    <m/>
    <m/>
    <m/>
    <m/>
    <m/>
  </r>
  <r>
    <s v="Universitas Muhammdiyah  "/>
    <s v="MAGISTER"/>
    <s v="Ilmu Hukum "/>
    <s v="Maret"/>
    <n v="2025"/>
    <s v="Maret "/>
    <n v="2027"/>
    <n v="2025"/>
    <m/>
    <s v="?"/>
    <s v="AKTIF (Semester 2)"/>
    <s v="AKTIF"/>
    <m/>
    <m/>
    <m/>
    <m/>
    <m/>
  </r>
  <r>
    <s v="Universitas Terbuka"/>
    <s v="MAGISTER"/>
    <s v="Manajemen Perikanan "/>
    <s v="Juli"/>
    <n v="2025"/>
    <s v="Juli "/>
    <n v="2027"/>
    <n v="2025"/>
    <m/>
    <s v="?"/>
    <s v="AKTIF (Semester 1)"/>
    <s v="AKTIF"/>
    <m/>
    <m/>
    <m/>
    <m/>
    <m/>
  </r>
  <r>
    <s v="Universitas Terbuka"/>
    <s v="MAGISTER"/>
    <s v="Manajemen Perikanan "/>
    <s v="Juni"/>
    <n v="2025"/>
    <s v="Juni "/>
    <n v="2027"/>
    <n v="2025"/>
    <m/>
    <s v="?"/>
    <s v="AKTIF (Semester 2)"/>
    <s v="AKTIF"/>
    <m/>
    <m/>
    <m/>
    <m/>
    <m/>
  </r>
  <r>
    <s v="Universitas Terbuka"/>
    <s v="MAGISTER"/>
    <s v="Manajemen Perikanan "/>
    <s v="Juni"/>
    <n v="2025"/>
    <s v="Juni "/>
    <n v="2027"/>
    <n v="2025"/>
    <m/>
    <s v="?"/>
    <s v="AKTIF (Semester 2)"/>
    <s v="AKTIF"/>
    <m/>
    <m/>
    <m/>
    <m/>
    <m/>
  </r>
  <r>
    <s v="Universitas Terbuka"/>
    <s v="SARJANA"/>
    <s v="Agribisnis"/>
    <s v="Maret"/>
    <n v="2025"/>
    <s v="Maret "/>
    <n v="2027"/>
    <n v="2025"/>
    <m/>
    <s v="?"/>
    <s v="AKTIF (Semester 2)"/>
    <s v="AKTIF"/>
    <m/>
    <m/>
    <m/>
    <m/>
    <m/>
  </r>
  <r>
    <s v="Universitas Terbuka"/>
    <s v="Magister "/>
    <s v="Manajemen Perikanan "/>
    <s v="Maret"/>
    <n v="2025"/>
    <s v="Maret "/>
    <n v="2027"/>
    <n v="2025"/>
    <m/>
    <s v="?"/>
    <s v="AKTIF (Semester 2)"/>
    <s v="AKTIF"/>
    <m/>
    <m/>
    <m/>
    <m/>
    <m/>
  </r>
  <r>
    <s v="Universitas Terbuka"/>
    <s v="SARJANA"/>
    <s v="Agribisnis"/>
    <s v="Januari"/>
    <n v="2025"/>
    <s v="Januari "/>
    <n v="2029"/>
    <n v="2025"/>
    <m/>
    <s v="?"/>
    <s v="AKTIF (Semester 2)"/>
    <s v="AKTIF"/>
    <m/>
    <m/>
    <m/>
    <m/>
    <m/>
  </r>
  <r>
    <s v="Universitas Terbuka"/>
    <s v="Magister "/>
    <s v="Manajemen Perikanan"/>
    <s v="Januari"/>
    <n v="2025"/>
    <s v="Januari "/>
    <n v="2027"/>
    <n v="2025"/>
    <m/>
    <s v="?"/>
    <s v="AKTIF (Semester 2)"/>
    <s v="AKTIF"/>
    <m/>
    <m/>
    <m/>
    <m/>
    <m/>
  </r>
  <r>
    <s v="Universitas Muhammdiyah  "/>
    <s v="SARJANA"/>
    <s v=" Budidaya Perairan"/>
    <s v="September"/>
    <n v="2024"/>
    <s v="September "/>
    <n v="2028"/>
    <n v="2025"/>
    <m/>
    <s v="?"/>
    <s v="AKTIF (Semester 3)"/>
    <s v="AKTIF"/>
    <m/>
    <m/>
    <m/>
    <m/>
    <m/>
  </r>
  <r>
    <s v=" Universitas Jendral Soedirman"/>
    <s v="MAGISTER"/>
    <s v=" Ilmu Kelautan"/>
    <s v="Agustus"/>
    <n v="2024"/>
    <s v="Agustus "/>
    <n v="2026"/>
    <n v="2025"/>
    <m/>
    <s v="?"/>
    <s v="AKTIF (Semester 3)"/>
    <s v="AKTIF"/>
    <m/>
    <m/>
    <m/>
    <m/>
    <m/>
  </r>
  <r>
    <s v="Universitas Terbuka"/>
    <s v="SARJANA"/>
    <s v="Agribisnis"/>
    <s v="Januari"/>
    <n v="2025"/>
    <s v="Januari "/>
    <n v="2029"/>
    <n v="2025"/>
    <m/>
    <s v="?"/>
    <s v="AKTIF (Semester 2)"/>
    <s v="AKTIF"/>
    <m/>
    <m/>
    <m/>
    <m/>
    <m/>
  </r>
  <r>
    <s v="Universitas Terbuka"/>
    <s v="MAGISTER"/>
    <s v="Manajemen Perikanan"/>
    <s v="Januari"/>
    <n v="2025"/>
    <s v="Januari "/>
    <n v="2027"/>
    <n v="2025"/>
    <m/>
    <s v="?"/>
    <s v="AKTIF (Semester 2)"/>
    <s v="AKTIF"/>
    <m/>
    <m/>
    <m/>
    <m/>
    <m/>
  </r>
  <r>
    <s v="Universitas Terbuka"/>
    <s v="MAGISTER"/>
    <s v="Manajemen Perikanan"/>
    <s v="Januari"/>
    <n v="2025"/>
    <s v="Januari "/>
    <n v="2027"/>
    <n v="2025"/>
    <m/>
    <s v="?"/>
    <s v="AKTIF (Semester 2)"/>
    <s v="AKTIF"/>
    <m/>
    <m/>
    <m/>
    <m/>
    <m/>
  </r>
  <r>
    <s v="STIH Pertiba Pangkal Pinang"/>
    <s v="MAGISTER"/>
    <s v="Ilmu Hukum"/>
    <s v="Oktober"/>
    <n v="2024"/>
    <s v="Oktober "/>
    <n v="2026"/>
    <n v="2025"/>
    <m/>
    <s v="?"/>
    <s v="AKTIF (Semester 3)"/>
    <s v="AKTIF"/>
    <m/>
    <m/>
    <m/>
    <m/>
    <m/>
  </r>
  <r>
    <s v="Universitas Terbuka"/>
    <s v="SARJANA"/>
    <s v="Agribisnis"/>
    <s v="Desember"/>
    <n v="2024"/>
    <s v="Desember "/>
    <n v="2028"/>
    <n v="2025"/>
    <m/>
    <s v="?"/>
    <s v="AKTIF (Semester 3)"/>
    <s v="AKTIF"/>
    <m/>
    <m/>
    <m/>
    <m/>
    <m/>
  </r>
  <r>
    <s v="Universitas Terbuka"/>
    <s v="MAGISTER"/>
    <s v="Manajemen Perikanan"/>
    <s v="Januari"/>
    <n v="2025"/>
    <s v=" Januari "/>
    <n v="2029"/>
    <n v="2025"/>
    <m/>
    <s v="?"/>
    <s v="AKTIF (Semester 2)"/>
    <s v="AKTIF"/>
    <m/>
    <m/>
    <m/>
    <m/>
    <m/>
  </r>
  <r>
    <s v="Universitas Terbuka"/>
    <s v="SARJANA"/>
    <s v="Ilmu Hukum"/>
    <s v="Januari"/>
    <n v="2025"/>
    <s v="Januari "/>
    <n v="2029"/>
    <n v="2025"/>
    <m/>
    <s v="?"/>
    <s v="AKTIF (Semester 2)"/>
    <s v="AKTIF"/>
    <m/>
    <m/>
    <m/>
    <m/>
    <m/>
  </r>
  <r>
    <s v="Universitas Terbuka"/>
    <s v="SARJANA"/>
    <s v="Ilmu Hukum"/>
    <s v="November"/>
    <n v="2024"/>
    <s v="November "/>
    <n v="2028"/>
    <n v="2025"/>
    <m/>
    <s v="?"/>
    <s v="AKTIF (Semester 3)"/>
    <s v="AKTIF"/>
    <m/>
    <m/>
    <m/>
    <m/>
    <m/>
  </r>
  <r>
    <s v="STIH IBLAM"/>
    <s v="MAGISTER"/>
    <s v="Ilmu Hukum"/>
    <s v="September"/>
    <n v="2024"/>
    <s v="September  "/>
    <n v="2026"/>
    <n v="2025"/>
    <m/>
    <s v="?"/>
    <s v="AKTIF (Semester 3)"/>
    <s v="AKTIF"/>
    <m/>
    <m/>
    <m/>
    <m/>
    <m/>
  </r>
  <r>
    <s v="Universitas Terbuka"/>
    <s v="SARJANA"/>
    <s v="Ilmu Hukum"/>
    <s v="April"/>
    <n v="2024"/>
    <s v="April"/>
    <n v="2028"/>
    <n v="2025"/>
    <m/>
    <s v="?"/>
    <s v="AKTIF (Semester 4)"/>
    <s v="AKTIF"/>
    <m/>
    <m/>
    <m/>
    <m/>
    <m/>
  </r>
  <r>
    <s v="Universitas Terbuka"/>
    <s v="SARJANA"/>
    <s v="Ilmu Hukum"/>
    <s v=""/>
    <n v="2024"/>
    <s v=""/>
    <n v="2028"/>
    <n v="2025"/>
    <m/>
    <s v="?"/>
    <e v="#N/A"/>
    <s v="AKTIF"/>
    <m/>
    <m/>
    <m/>
    <m/>
    <m/>
  </r>
  <r>
    <s v="STIH IBLAM"/>
    <s v="MAGISTER"/>
    <s v="Ilmu Hukum"/>
    <s v="September"/>
    <n v="2024"/>
    <s v="September  "/>
    <n v="2026"/>
    <n v="2025"/>
    <m/>
    <s v="?"/>
    <s v="AKTIF (Semester 3)"/>
    <s v="AKTIF"/>
    <m/>
    <m/>
    <m/>
    <m/>
    <m/>
  </r>
  <r>
    <s v="Universitas Terbuka"/>
    <s v="SARJANA"/>
    <s v=" Ilmu Hukum "/>
    <s v="November"/>
    <n v="2024"/>
    <s v="November"/>
    <n v="2028"/>
    <n v="2025"/>
    <m/>
    <s v="?"/>
    <s v="AKTIF (Semester 3)"/>
    <s v="AKTIF"/>
    <m/>
    <m/>
    <m/>
    <m/>
    <m/>
  </r>
  <r>
    <s v="Universitas Terbuka"/>
    <s v="SARJANA"/>
    <s v="Manajemen"/>
    <s v="September"/>
    <n v="2024"/>
    <s v="September"/>
    <n v="2028"/>
    <n v="2025"/>
    <m/>
    <s v="?"/>
    <s v="AKTIF (Semester 3)"/>
    <s v="AKTIF"/>
    <m/>
    <m/>
    <m/>
    <m/>
    <m/>
  </r>
  <r>
    <s v="Universitas Terbuka"/>
    <s v="SARJANA"/>
    <s v="Agribisnis"/>
    <s v="November"/>
    <n v="2024"/>
    <s v="November "/>
    <n v="2028"/>
    <n v="2025"/>
    <m/>
    <s v="?"/>
    <s v="AKTIF (Semester 3)"/>
    <s v="AKTIF"/>
    <m/>
    <m/>
    <m/>
    <m/>
    <m/>
  </r>
  <r>
    <s v="Universitas Terbuka"/>
    <s v="MAGISTER"/>
    <s v=" Ilmu Perairan"/>
    <s v="Februari"/>
    <n v="2025"/>
    <s v="Februari  "/>
    <n v="2027"/>
    <n v="2025"/>
    <m/>
    <s v="?"/>
    <s v="AKTIF (Semester 2)"/>
    <s v="AKTIF"/>
    <m/>
    <m/>
    <m/>
    <m/>
    <m/>
  </r>
  <r>
    <s v="Universitas Terbuka"/>
    <s v="SARJANA"/>
    <s v="Agribisnis"/>
    <s v="September"/>
    <n v="2024"/>
    <s v="September "/>
    <n v="2028"/>
    <n v="2025"/>
    <m/>
    <s v="?"/>
    <s v="AKTIF (Semester 3)"/>
    <s v="AKTIF"/>
    <m/>
    <m/>
    <m/>
    <m/>
    <m/>
  </r>
  <r>
    <s v="Universitas Cendrawasih"/>
    <s v="Magister "/>
    <s v="Pengelolaan Sumber Daya Alam dan Lingkungan"/>
    <s v="Juli"/>
    <n v="2024"/>
    <s v="Juli "/>
    <n v="2026"/>
    <n v="2025"/>
    <m/>
    <s v="?"/>
    <s v="AKTIF (Semester 3)"/>
    <s v="AKTIF"/>
    <m/>
    <m/>
    <m/>
    <m/>
    <m/>
  </r>
  <r>
    <s v="Universitas Sam Ratulangi"/>
    <s v="MAGISTER"/>
    <s v=" Ilmu Perairan"/>
    <s v="Juli"/>
    <n v="2025"/>
    <s v="Juli "/>
    <n v="2027"/>
    <n v="2025"/>
    <m/>
    <m/>
    <s v="AKTIF (Semester 1)"/>
    <s v="AKTIF"/>
    <m/>
    <m/>
    <m/>
    <m/>
    <m/>
  </r>
  <r>
    <s v="Universitas Terbuka"/>
    <s v="SARJANA"/>
    <s v="Ekonomi Manajemen"/>
    <s v="September "/>
    <n v="2019"/>
    <s v="Agustus"/>
    <n v="2023"/>
    <n v="2020"/>
    <m/>
    <s v="?"/>
    <s v="LULUS"/>
    <s v="LULUS"/>
    <m/>
    <m/>
    <m/>
    <m/>
    <m/>
  </r>
  <r>
    <s v="Universitas Mercu Buana"/>
    <s v="SARJANA"/>
    <s v="Sistem Informasi"/>
    <s v="Maret "/>
    <n v="2020"/>
    <s v="Maret "/>
    <n v="2024"/>
    <n v="2020"/>
    <m/>
    <s v="LULUS"/>
    <s v="LULUS"/>
    <s v="LULUS"/>
    <m/>
    <m/>
    <m/>
    <m/>
    <m/>
  </r>
  <r>
    <s v="Universitas Mulawarman"/>
    <s v="MAGISTER"/>
    <s v="Ilmu Lingkungan  "/>
    <s v="Agustus  "/>
    <n v="2020"/>
    <s v="Agustus  "/>
    <n v="2024"/>
    <n v="2020"/>
    <m/>
    <s v="LULUS"/>
    <s v="LULUS"/>
    <s v="LULUS"/>
    <m/>
    <m/>
    <m/>
    <m/>
    <m/>
  </r>
  <r>
    <s v="Universitas Nusa Cendana"/>
    <s v="MAGISTER"/>
    <s v="Ilmu Hukum"/>
    <s v="Juli "/>
    <n v="2020"/>
    <s v="Juli "/>
    <n v="2024"/>
    <n v="2020"/>
    <m/>
    <s v="LULUS"/>
    <s v="LULUS"/>
    <s v="LULUS"/>
    <m/>
    <m/>
    <m/>
    <m/>
    <m/>
  </r>
  <r>
    <s v="Universitas Bung Hatta"/>
    <s v="MAGISTER"/>
    <s v="Pengelolaan Sumberdaya Pesisir dan Lautan"/>
    <s v="September"/>
    <n v="2020"/>
    <s v="September"/>
    <n v="2022"/>
    <n v="2020"/>
    <m/>
    <s v="LULUS"/>
    <s v="LULUS"/>
    <s v="LULUS"/>
    <m/>
    <m/>
    <m/>
    <m/>
    <m/>
  </r>
  <r>
    <s v="Institut Pertanian Bogor"/>
    <s v="Doktor"/>
    <s v="Ekonomi Kelautan Tropika"/>
    <s v="September "/>
    <n v="2020"/>
    <s v="September "/>
    <n v="2023"/>
    <n v="2020"/>
    <m/>
    <s v="?"/>
    <s v="LULUS"/>
    <s v="LULUS"/>
    <m/>
    <m/>
    <m/>
    <m/>
    <m/>
  </r>
  <r>
    <s v="Institut Pertanian Bogor"/>
    <s v="Doktor"/>
    <s v="Ekonomi Kelautan Tropika"/>
    <s v="September "/>
    <n v="2020"/>
    <s v="September "/>
    <n v="2023"/>
    <n v="2020"/>
    <m/>
    <s v="?"/>
    <s v="LULUS"/>
    <s v="LULUS"/>
    <m/>
    <m/>
    <m/>
    <m/>
    <m/>
  </r>
  <r>
    <s v="Institut Pertanian Bogor"/>
    <s v="Doktor"/>
    <s v="Ekonomi Kelautan Tropika"/>
    <s v="September "/>
    <n v="2020"/>
    <s v="September "/>
    <n v="2023"/>
    <n v="2020"/>
    <m/>
    <s v="?"/>
    <s v="LULUS"/>
    <s v="LULUS"/>
    <m/>
    <m/>
    <m/>
    <m/>
    <m/>
  </r>
  <r>
    <s v="Institut Pertanian Bogor"/>
    <s v="Doktor"/>
    <s v="Ekonomi Kelautan Tropika"/>
    <s v="September "/>
    <n v="2020"/>
    <s v="September "/>
    <n v="2023"/>
    <n v="2020"/>
    <m/>
    <s v="?"/>
    <s v="LULUS"/>
    <s v="LULUS"/>
    <m/>
    <m/>
    <m/>
    <m/>
    <m/>
  </r>
  <r>
    <s v="Institut Pertanian Bogor"/>
    <s v="Doktor"/>
    <s v="Ekonomi Kelautan Tropika"/>
    <s v="September "/>
    <n v="2020"/>
    <s v="September "/>
    <n v="2023"/>
    <n v="2020"/>
    <m/>
    <s v="?"/>
    <s v="LULUS"/>
    <s v="LULUS"/>
    <m/>
    <m/>
    <m/>
    <m/>
    <m/>
  </r>
  <r>
    <s v="Institut Pertanian Bogor"/>
    <s v="Doktor"/>
    <s v="Ekonomi Kelautan Tropika"/>
    <s v="September "/>
    <n v="2020"/>
    <s v="September "/>
    <n v="2023"/>
    <n v="2020"/>
    <m/>
    <s v="?"/>
    <s v="LULUS"/>
    <s v="LULUS"/>
    <m/>
    <m/>
    <m/>
    <m/>
    <m/>
  </r>
  <r>
    <s v="Institut Pertanian Bogor"/>
    <s v="Doktor"/>
    <s v="Ekonomi Kelautan Tropika"/>
    <s v="September "/>
    <n v="2020"/>
    <s v="September "/>
    <n v="2023"/>
    <n v="2020"/>
    <m/>
    <s v="?"/>
    <s v="LULUS"/>
    <s v="LULUS"/>
    <m/>
    <m/>
    <m/>
    <m/>
    <m/>
  </r>
  <r>
    <s v="Institut Pertanian Bogor"/>
    <s v="Doktor"/>
    <s v="Ekonomi Kelautan Tropika"/>
    <s v="September "/>
    <n v="2020"/>
    <s v="September "/>
    <n v="2023"/>
    <n v="2020"/>
    <m/>
    <s v="?"/>
    <s v="LULUS"/>
    <s v="LULUS"/>
    <m/>
    <m/>
    <m/>
    <m/>
    <m/>
  </r>
  <r>
    <s v="Universitas Terbuka"/>
    <s v="SARJANA"/>
    <s v="Akuntansi"/>
    <s v="Maret"/>
    <n v="2021"/>
    <s v="Maret"/>
    <n v="2024"/>
    <n v="2021"/>
    <m/>
    <s v="LULUS"/>
    <s v="LULUS"/>
    <s v="LULUS"/>
    <m/>
    <m/>
    <m/>
    <m/>
    <m/>
  </r>
  <r>
    <s v="Institut Pertanian Bogor"/>
    <s v="Doktor"/>
    <s v="Teknologi Perikanan Laut"/>
    <s v="Februari"/>
    <n v="2021"/>
    <s v="Februari"/>
    <n v="2023"/>
    <n v="2021"/>
    <m/>
    <s v="?"/>
    <s v="LULUS"/>
    <s v="LULUS"/>
    <m/>
    <m/>
    <m/>
    <m/>
    <m/>
  </r>
  <r>
    <s v="Institut Pertanian Bogor"/>
    <s v="Doktor"/>
    <s v="Teknologi Perikanan Laut"/>
    <s v="Februari"/>
    <n v="2021"/>
    <s v="Februari"/>
    <n v="2023"/>
    <n v="2021"/>
    <m/>
    <s v="?"/>
    <s v="LULUS"/>
    <s v="LULUS"/>
    <m/>
    <m/>
    <m/>
    <m/>
    <m/>
  </r>
  <r>
    <s v="Universitas Terbuka"/>
    <s v="MAGISTER"/>
    <s v="Manajemen "/>
    <s v="Maret"/>
    <n v="2021"/>
    <s v="Maret"/>
    <n v="2024"/>
    <n v="2021"/>
    <m/>
    <s v="LULUS"/>
    <s v="LULUS"/>
    <s v="LULUS"/>
    <m/>
    <m/>
    <m/>
    <m/>
    <m/>
  </r>
  <r>
    <s v="Universitas Mulawarman"/>
    <s v="MAGISTER"/>
    <s v="Ilmu Perikanan"/>
    <s v="Maret"/>
    <n v="2021"/>
    <s v="Maret"/>
    <n v="2023"/>
    <n v="2021"/>
    <m/>
    <s v="LULUS"/>
    <s v="LULUS"/>
    <s v="LULUS"/>
    <m/>
    <m/>
    <m/>
    <m/>
    <m/>
  </r>
  <r>
    <s v="Institut Pertanian Bogor"/>
    <s v="Doktor"/>
    <s v="Pengelolaan Sumberdaya Pesisir dan Lautan"/>
    <s v="Agustus"/>
    <n v="2020"/>
    <s v="Agustus"/>
    <n v="2023"/>
    <n v="2021"/>
    <m/>
    <s v="?"/>
    <s v="LULUS"/>
    <s v="LULUS"/>
    <m/>
    <m/>
    <m/>
    <m/>
    <m/>
  </r>
  <r>
    <s v="Institut Teknologi Sepuluh Nopember Surabaya"/>
    <s v="Doktor"/>
    <s v="Ilmu Teknik Kelautan"/>
    <s v="Februari"/>
    <n v="2022"/>
    <s v="Februari"/>
    <n v="2025"/>
    <n v="2022"/>
    <m/>
    <s v="?"/>
    <s v="LULUS"/>
    <s v="LULUS"/>
    <m/>
    <m/>
    <m/>
    <m/>
    <m/>
  </r>
  <r>
    <s v="Sekolah Tinggi Manajemen Informatika (STMIK) AMIK Riau"/>
    <s v="SARJANA"/>
    <s v="Teknik Informatika"/>
    <s v="Oktober"/>
    <n v="2022"/>
    <s v="Oktober"/>
    <n v="2026"/>
    <n v="2022"/>
    <m/>
    <s v="?"/>
    <s v="AKTIF (Semester 7)"/>
    <s v="AKTIF"/>
    <m/>
    <m/>
    <m/>
    <m/>
    <m/>
  </r>
  <r>
    <s v="Universitas Tanjungpura, Pontianak"/>
    <s v="MAGISTER"/>
    <s v="Akuntansi "/>
    <s v="Februari "/>
    <n v="2023"/>
    <m/>
    <m/>
    <n v="2023"/>
    <m/>
    <m/>
    <s v="LULUS"/>
    <s v="LULUS"/>
    <m/>
    <m/>
    <m/>
    <m/>
    <m/>
  </r>
  <r>
    <s v="Universitas Indonesia"/>
    <s v="SARJANA"/>
    <s v="Akuntansi"/>
    <s v="September"/>
    <n v="2023"/>
    <s v="September "/>
    <n v="2027"/>
    <n v="2023"/>
    <m/>
    <m/>
    <s v="AKTIF (Semester 5)"/>
    <s v="AKTIF"/>
    <m/>
    <m/>
    <m/>
    <m/>
    <m/>
  </r>
  <r>
    <s v="Universitas Terbuka"/>
    <s v="SARJANA"/>
    <s v="Akuntansi"/>
    <s v="Oktober"/>
    <n v="2023"/>
    <s v="Oktober "/>
    <n v="2027"/>
    <n v="2023"/>
    <m/>
    <m/>
    <s v="AKTIF (Semester 5)"/>
    <s v="AKTIF"/>
    <m/>
    <m/>
    <m/>
    <m/>
    <m/>
  </r>
  <r>
    <s v="Universitas Bung Hatta"/>
    <s v="MAGISTER"/>
    <s v="Pengelolaan Sumberdaya Perairan, Pesisir dan Kelautan"/>
    <m/>
    <m/>
    <n v="0"/>
    <m/>
    <n v="2023"/>
    <m/>
    <m/>
    <s v="LULUS"/>
    <s v="LULUS"/>
    <m/>
    <m/>
    <m/>
    <m/>
    <m/>
  </r>
  <r>
    <s v="Universitas Andalas Padang"/>
    <s v="MAGISTER"/>
    <s v="Ilmu Hukum"/>
    <s v="Agustus"/>
    <n v="2023"/>
    <s v="Agustus"/>
    <n v="2025"/>
    <n v="2023"/>
    <m/>
    <m/>
    <s v="LULUS"/>
    <s v="LULUS"/>
    <m/>
    <m/>
    <m/>
    <m/>
    <m/>
  </r>
  <r>
    <s v="Universitas Terbuka"/>
    <s v="SARJANA"/>
    <s v="Manajemen"/>
    <s v="September"/>
    <n v="2023"/>
    <s v="September "/>
    <n v="2027"/>
    <n v="2023"/>
    <m/>
    <m/>
    <s v="AKTIF (Semester 5)"/>
    <s v="AKTIF"/>
    <m/>
    <m/>
    <m/>
    <m/>
    <m/>
  </r>
  <r>
    <s v="Universitas Hasanuddin"/>
    <s v="MAGISTER"/>
    <s v="Ilmu Kelautan"/>
    <s v="Januari"/>
    <n v="2024"/>
    <s v="Januari "/>
    <n v="2026"/>
    <n v="2024"/>
    <m/>
    <m/>
    <s v="AKTIF (Semester 4)"/>
    <s v="AKTIF"/>
    <m/>
    <m/>
    <m/>
    <m/>
    <m/>
  </r>
  <r>
    <s v="Universitas Terbuka"/>
    <s v="SARJANA"/>
    <s v="Ekonomi Manajemen"/>
    <s v="Oktober"/>
    <n v="2022"/>
    <s v="Oktober "/>
    <n v="2026"/>
    <n v="2022"/>
    <m/>
    <m/>
    <s v="AKTIF (Semester 7)"/>
    <s v="AKTIF"/>
    <m/>
    <m/>
    <m/>
    <m/>
    <m/>
  </r>
  <r>
    <s v="Universitas Hasanuddin"/>
    <s v="Doktor"/>
    <s v="Ilmu Lingkungan"/>
    <s v="Agustus"/>
    <n v="2022"/>
    <s v="Agustus "/>
    <n v="2025"/>
    <n v="2022"/>
    <m/>
    <s v="?"/>
    <s v="LULUS"/>
    <e v="#N/A"/>
    <m/>
    <m/>
    <m/>
    <m/>
    <m/>
  </r>
  <r>
    <s v="Universitas Islam Riau"/>
    <s v="MAGISTER"/>
    <s v="Ilmu Administrasi"/>
    <s v="Januari "/>
    <n v="2022"/>
    <s v="Januari "/>
    <n v="2024"/>
    <n v="2022"/>
    <m/>
    <s v="LULUS"/>
    <s v="LULUS"/>
    <s v="LULUS"/>
    <m/>
    <m/>
    <m/>
    <m/>
    <m/>
  </r>
  <r>
    <s v="Universitas Terbuka"/>
    <s v="MAGISTER"/>
    <s v="Manajemen Perikanan"/>
    <s v="September"/>
    <n v="2023"/>
    <s v="September "/>
    <n v="2025"/>
    <n v="2024"/>
    <m/>
    <m/>
    <s v="LULUS"/>
    <e v="#N/A"/>
    <m/>
    <m/>
    <m/>
    <m/>
    <m/>
  </r>
  <r>
    <s v="Universitas Terbuka"/>
    <s v="SARJANA"/>
    <s v="Ilmu Administrasi Negara"/>
    <s v="September"/>
    <n v="2024"/>
    <s v="September"/>
    <n v="2028"/>
    <n v="2024"/>
    <m/>
    <s v="?"/>
    <s v="AKTIF (Semester 3)"/>
    <s v="AKTIF"/>
    <m/>
    <m/>
    <m/>
    <m/>
    <m/>
  </r>
  <r>
    <s v="Universitas Terbuka"/>
    <s v="SARJANA"/>
    <s v="Ilmu Hukum"/>
    <s v="September"/>
    <n v="2024"/>
    <s v="September"/>
    <n v="2028"/>
    <n v="2024"/>
    <m/>
    <s v="?"/>
    <s v="AKTIF (Semester 3)"/>
    <s v="AKTIF"/>
    <m/>
    <m/>
    <m/>
    <m/>
    <m/>
  </r>
  <r>
    <s v="Universitas Terbuka"/>
    <s v="SARJANA"/>
    <s v=" Manajemen"/>
    <s v="Oktober"/>
    <n v="2024"/>
    <s v="Oktober "/>
    <n v="2028"/>
    <n v="2025"/>
    <m/>
    <s v="?"/>
    <s v="AKTIF (Semester 3)"/>
    <s v="AKTIF"/>
    <m/>
    <m/>
    <m/>
    <m/>
    <m/>
  </r>
  <r>
    <s v="Universitas Negeri Gorontalo"/>
    <s v="MAGISTER"/>
    <s v="Ilmu Kelautan"/>
    <s v="Agustus"/>
    <n v="2024"/>
    <s v="Agustus "/>
    <n v="2026"/>
    <n v="2025"/>
    <m/>
    <s v="?"/>
    <s v="AKTIF (Semester 3)"/>
    <s v="AKTIF"/>
    <m/>
    <m/>
    <m/>
    <m/>
    <m/>
  </r>
  <r>
    <s v="Universitas Islam Riau"/>
    <s v="MAGISTER"/>
    <s v="Ilmu Administrasi"/>
    <s v="September"/>
    <n v="2024"/>
    <s v="September"/>
    <n v="2026"/>
    <n v="2025"/>
    <m/>
    <s v="?"/>
    <s v="AKTIF (Semester 3)"/>
    <s v="AKTIF"/>
    <m/>
    <m/>
    <m/>
    <m/>
    <m/>
  </r>
  <r>
    <s v="Universitas Indonesia "/>
    <s v="MAGISTER"/>
    <s v="Ilmu Manajemen"/>
    <s v="September "/>
    <n v="2020"/>
    <s v="September "/>
    <n v="2022"/>
    <n v="2020"/>
    <m/>
    <s v="LULUS"/>
    <s v="LULUS"/>
    <s v="LULUS"/>
    <m/>
    <m/>
    <m/>
    <m/>
    <m/>
  </r>
  <r>
    <s v="Universitas 45 Mataram"/>
    <s v="SARJANA"/>
    <s v="Pemanfaatan Sumber Daya Perikanan"/>
    <s v="September"/>
    <n v="2022"/>
    <s v="September"/>
    <n v="2026"/>
    <n v="2022"/>
    <m/>
    <s v="?"/>
    <s v="AKTIF (Semester 7)"/>
    <s v="AKTIF"/>
    <m/>
    <m/>
    <m/>
    <m/>
    <m/>
  </r>
  <r>
    <s v="Universitas IPWIJA"/>
    <s v="MAGISTER"/>
    <s v="Manajemen"/>
    <s v="Maret"/>
    <n v="2023"/>
    <s v="Maret  "/>
    <n v="2025"/>
    <n v="2023"/>
    <m/>
    <s v="?"/>
    <s v="LULUS"/>
    <e v="#N/A"/>
    <m/>
    <m/>
    <m/>
    <m/>
    <m/>
  </r>
  <r>
    <s v="Universitas Terbuka"/>
    <s v="SARJANA"/>
    <s v="Teknologi Pangan"/>
    <s v="Maret"/>
    <n v="2023"/>
    <s v="Maret  "/>
    <n v="2027"/>
    <n v="2023"/>
    <m/>
    <s v="?"/>
    <s v="AKTIF (Semester 6)"/>
    <s v="AKTIF"/>
    <m/>
    <m/>
    <m/>
    <m/>
    <m/>
  </r>
  <r>
    <s v="Universitas Satya Negara Indonesia"/>
    <s v="SARJANA"/>
    <s v="Pemanfaatan Sumberdaya Perikanan"/>
    <s v="Maret"/>
    <n v="2023"/>
    <s v="Maret  "/>
    <n v="2027"/>
    <n v="2023"/>
    <m/>
    <s v="?"/>
    <s v="AKTIF (Semester 6)"/>
    <s v="AKTIF"/>
    <m/>
    <m/>
    <m/>
    <m/>
    <m/>
  </r>
  <r>
    <s v="Institut Pertanian Bogor"/>
    <s v="Doktor"/>
    <s v="Teknologi Perikanan Laut"/>
    <s v="Agustus "/>
    <n v="2020"/>
    <s v="Agustus "/>
    <n v="2023"/>
    <n v="2022"/>
    <m/>
    <s v="?"/>
    <s v="LULUS"/>
    <s v="LULUS"/>
    <m/>
    <m/>
    <m/>
    <m/>
    <m/>
  </r>
  <r>
    <s v="Sekolah Tinggi Ilmu Ekonomi"/>
    <s v="SARJANA"/>
    <s v="Ekonomi Akuntansi"/>
    <s v="September "/>
    <n v="2022"/>
    <s v="September "/>
    <m/>
    <n v="2022"/>
    <m/>
    <s v="LULUS"/>
    <s v="LULUS"/>
    <s v="LULUS"/>
    <m/>
    <m/>
    <m/>
    <m/>
    <m/>
  </r>
  <r>
    <s v="Universitas Terbuka"/>
    <s v="Diploma IV"/>
    <s v="Kearsipan"/>
    <s v="September"/>
    <n v="2022"/>
    <s v="September "/>
    <n v="2026"/>
    <n v="2022"/>
    <m/>
    <s v="?"/>
    <s v="AKTIF (Semester 7)"/>
    <s v="AKTIF"/>
    <m/>
    <m/>
    <m/>
    <m/>
    <m/>
  </r>
  <r>
    <s v="Universitas Terbuka"/>
    <s v="SARJANA"/>
    <s v="Manajemen"/>
    <s v="September"/>
    <n v="2022"/>
    <s v="September "/>
    <n v="2026"/>
    <n v="2022"/>
    <m/>
    <s v="?"/>
    <s v="AKTIF (Semester 7)"/>
    <s v="AKTIF"/>
    <m/>
    <m/>
    <m/>
    <m/>
    <m/>
  </r>
  <r>
    <s v="Universitas Terbuka"/>
    <s v="SARJANA"/>
    <s v="Ilmu Administrasi Negara"/>
    <s v="September"/>
    <n v="2022"/>
    <s v="September "/>
    <n v="2026"/>
    <n v="2022"/>
    <m/>
    <s v="?"/>
    <s v="AKTIF (Semester 7)"/>
    <s v="AKTIF"/>
    <m/>
    <m/>
    <m/>
    <m/>
    <m/>
  </r>
  <r>
    <s v="Universitas Paramadina"/>
    <s v="MAGISTER"/>
    <s v="Manajemen"/>
    <s v="September "/>
    <n v="2022"/>
    <s v="September "/>
    <n v="2024"/>
    <n v="2022"/>
    <m/>
    <s v="?"/>
    <s v="LULUS"/>
    <s v="LULUS"/>
    <m/>
    <m/>
    <m/>
    <m/>
    <m/>
  </r>
  <r>
    <s v="Universitas Indonesia"/>
    <s v="SARJANA"/>
    <s v="Manajemen"/>
    <s v="Agustus"/>
    <n v="2024"/>
    <s v="Agustus"/>
    <n v="2028"/>
    <n v="2024"/>
    <m/>
    <s v="?"/>
    <s v="AKTIF (Semester 3)"/>
    <s v="AKTIF"/>
    <m/>
    <m/>
    <m/>
    <m/>
    <m/>
  </r>
  <r>
    <s v="Perbanas Institute"/>
    <s v="SARJANA"/>
    <s v="Akuntansi"/>
    <s v="Juli"/>
    <n v="2024"/>
    <s v="Juli"/>
    <n v="2028"/>
    <n v="2024"/>
    <m/>
    <s v="?"/>
    <s v="AKTIF (Semester 3)"/>
    <s v="AKTIF"/>
    <m/>
    <m/>
    <m/>
    <m/>
    <m/>
  </r>
  <r>
    <s v="Universitas Pelita Harapan"/>
    <s v="SARJANA"/>
    <s v="Manajemen"/>
    <s v="Agustus"/>
    <n v="2024"/>
    <s v="Agustus"/>
    <n v="2028"/>
    <n v="2024"/>
    <m/>
    <s v="?"/>
    <s v="AKTIF (Semester 3)"/>
    <s v="AKTIF"/>
    <m/>
    <m/>
    <m/>
    <m/>
    <m/>
  </r>
  <r>
    <s v="Universitas Paramadina"/>
    <s v="MAGISTER"/>
    <s v="Manajemen Pemasaran"/>
    <s v="September"/>
    <n v="2024"/>
    <s v="September"/>
    <n v="2026"/>
    <n v="2024"/>
    <m/>
    <s v="?"/>
    <s v="AKTIF (Semester 3)"/>
    <s v="AKTIF"/>
    <m/>
    <m/>
    <m/>
    <m/>
    <m/>
  </r>
  <r>
    <s v="Universitas Terbuka"/>
    <s v="MAGISTER"/>
    <s v="Manajemen Perikanan"/>
    <s v="Januari"/>
    <n v="2025"/>
    <s v="Januari "/>
    <n v="2027"/>
    <n v="2025"/>
    <m/>
    <s v="?"/>
    <s v="AKTIF (Semester 2)"/>
    <s v="AKTIF"/>
    <m/>
    <m/>
    <m/>
    <m/>
    <m/>
  </r>
  <r>
    <s v="Universitas Terbuka"/>
    <s v="SARJANA"/>
    <s v="Akuntans"/>
    <s v="April"/>
    <n v="2025"/>
    <s v="April"/>
    <n v="2029"/>
    <n v="2025"/>
    <m/>
    <s v="?"/>
    <s v="AKTIF (Semester 2)"/>
    <s v="AKTIF"/>
    <m/>
    <m/>
    <m/>
    <m/>
    <m/>
  </r>
  <r>
    <s v="Institut Pertanian Bogor"/>
    <s v="Doktor"/>
    <s v="Ilmu Pengelolaan Sumberdaya Alam dan Lingkungan"/>
    <s v="Agustus"/>
    <n v="2019"/>
    <s v="Agustus"/>
    <n v="2022"/>
    <n v="2020"/>
    <m/>
    <s v="Sidang Promosi tgl 20 Agustus 2025"/>
    <s v="LULUS"/>
    <s v="LULUS"/>
    <m/>
    <m/>
    <m/>
    <m/>
    <m/>
  </r>
  <r>
    <s v="Universitas Hasanuddin"/>
    <s v="Doktor"/>
    <s v="Ilmu Perikanan"/>
    <s v="Agustus"/>
    <n v="2019"/>
    <s v="Agustus"/>
    <n v="2022"/>
    <n v="2020"/>
    <m/>
    <s v="?"/>
    <s v="LULUS"/>
    <s v="LULUS"/>
    <m/>
    <m/>
    <m/>
    <m/>
    <m/>
  </r>
  <r>
    <s v="Universitas Hasanuddin"/>
    <s v="Doktor"/>
    <s v="Ilmu Perikanan"/>
    <s v="Agustus"/>
    <n v="2019"/>
    <s v="Agustus"/>
    <n v="2022"/>
    <n v="2020"/>
    <m/>
    <s v="?"/>
    <s v="LULUS"/>
    <s v="LULUS"/>
    <m/>
    <m/>
    <m/>
    <m/>
    <m/>
  </r>
  <r>
    <s v="Universitas Hasanuddin"/>
    <s v="Doktor"/>
    <s v="Ilmu Perikanan"/>
    <s v="Agustus"/>
    <n v="2019"/>
    <s v="Agustus"/>
    <n v="2022"/>
    <n v="2020"/>
    <m/>
    <s v="?"/>
    <s v="LULUS"/>
    <s v="LULUS"/>
    <m/>
    <m/>
    <m/>
    <m/>
    <m/>
  </r>
  <r>
    <s v="Universitas Hasanuddin"/>
    <s v="Doktor"/>
    <s v="Ilmu Perikanan"/>
    <s v="Agustus"/>
    <n v="2019"/>
    <s v="Agustus"/>
    <n v="2022"/>
    <n v="2020"/>
    <m/>
    <s v="?"/>
    <s v="LULUS"/>
    <s v="LULUS"/>
    <m/>
    <m/>
    <m/>
    <m/>
    <m/>
  </r>
  <r>
    <s v="Universitas Hasanuddin"/>
    <s v="Doktor"/>
    <s v="Ilmu Perikanan"/>
    <s v="September"/>
    <n v="2019"/>
    <s v="September"/>
    <n v="2024"/>
    <n v="2020"/>
    <m/>
    <s v="LULUS"/>
    <s v="LULUS"/>
    <s v="LULUS"/>
    <m/>
    <m/>
    <m/>
    <m/>
    <m/>
  </r>
  <r>
    <s v="Universitas Hasanuddin"/>
    <s v="Doktor"/>
    <s v="Ilmu Perikanan"/>
    <s v="September"/>
    <n v="2019"/>
    <s v="Juni"/>
    <n v="2025"/>
    <n v="2020"/>
    <m/>
    <s v="LULUS"/>
    <s v="LULUS"/>
    <s v="LULUS"/>
    <m/>
    <m/>
    <m/>
    <m/>
    <m/>
  </r>
  <r>
    <s v="Universitas Hasanuddin"/>
    <s v="Doktor"/>
    <s v="Ilmu Perikanan"/>
    <s v="September"/>
    <n v="2019"/>
    <s v="September"/>
    <n v="2023"/>
    <n v="2020"/>
    <m/>
    <s v="?"/>
    <s v="LULUS"/>
    <s v="LULUS"/>
    <m/>
    <m/>
    <m/>
    <m/>
    <m/>
  </r>
  <r>
    <s v="Universitas Hasanuddin"/>
    <s v="Doktor"/>
    <s v="Ilmu Perikanan"/>
    <s v="September"/>
    <n v="2019"/>
    <s v="September"/>
    <n v="2023"/>
    <n v="2020"/>
    <m/>
    <s v="?"/>
    <s v="LULUS"/>
    <s v="LULUS"/>
    <m/>
    <m/>
    <m/>
    <m/>
    <m/>
  </r>
  <r>
    <s v="Universitas Hasanuddin"/>
    <s v="Doktor"/>
    <s v="Ilmu Perikanan"/>
    <s v="September"/>
    <n v="2019"/>
    <s v="September"/>
    <n v="2023"/>
    <n v="2020"/>
    <m/>
    <s v="?"/>
    <s v="LULUS"/>
    <s v="LULUS"/>
    <m/>
    <m/>
    <m/>
    <m/>
    <m/>
  </r>
  <r>
    <s v="Universitas Hasanuddin"/>
    <s v="Doktor"/>
    <s v="Ilmu Perikanan"/>
    <s v="September"/>
    <n v="2019"/>
    <s v="September"/>
    <n v="2023"/>
    <n v="2020"/>
    <m/>
    <s v="?"/>
    <s v="LULUS"/>
    <s v="LULUS"/>
    <m/>
    <m/>
    <m/>
    <m/>
    <m/>
  </r>
  <r>
    <s v="Universitas Hasanuddin"/>
    <s v="Doktor"/>
    <s v="Ilmu Perikanan"/>
    <s v="September"/>
    <n v="2019"/>
    <s v="September"/>
    <n v="2023"/>
    <n v="2020"/>
    <m/>
    <s v="LULUS"/>
    <s v="LULUS"/>
    <s v="LULUS"/>
    <m/>
    <m/>
    <m/>
    <m/>
    <m/>
  </r>
  <r>
    <s v="Universitas Hasanuddin"/>
    <s v="Doktor"/>
    <s v="Ilmu Perikanan"/>
    <s v="September"/>
    <n v="2019"/>
    <s v="Juni"/>
    <n v="2025"/>
    <n v="2020"/>
    <m/>
    <s v="LULUS"/>
    <s v="LULUS"/>
    <s v="LULUS"/>
    <m/>
    <m/>
    <m/>
    <m/>
    <m/>
  </r>
  <r>
    <s v="Universitas Terbuka"/>
    <s v="SARJANA"/>
    <s v="Agribisnis"/>
    <s v="Februari"/>
    <n v="2021"/>
    <s v="Februari"/>
    <n v="2025"/>
    <n v="2021"/>
    <m/>
    <s v="?"/>
    <s v="LULUS"/>
    <s v="LULUS"/>
    <m/>
    <m/>
    <m/>
    <m/>
    <m/>
  </r>
  <r>
    <s v="Universitas Terbuka"/>
    <s v="SARJANA"/>
    <s v="Manajemen"/>
    <s v="Februari"/>
    <n v="2021"/>
    <s v="Februari"/>
    <n v="2025"/>
    <n v="2021"/>
    <m/>
    <s v="?"/>
    <s v="LULUS"/>
    <s v="LULUS"/>
    <m/>
    <m/>
    <m/>
    <m/>
    <m/>
  </r>
  <r>
    <s v="Institut Pertanian Bogor"/>
    <s v="Doktor"/>
    <s v="Ekonomi Kelautan Tropika"/>
    <s v="September"/>
    <n v="2020"/>
    <s v="September"/>
    <n v="2023"/>
    <n v="2021"/>
    <m/>
    <s v="?"/>
    <s v="LULUS"/>
    <s v="LULUS"/>
    <m/>
    <m/>
    <m/>
    <m/>
    <m/>
  </r>
  <r>
    <s v="Universitas Terbuka"/>
    <s v="MAGISTER"/>
    <s v="Manajemen Perikanan"/>
    <s v="Maret"/>
    <n v="2021"/>
    <s v="Maret"/>
    <n v="2023"/>
    <n v="2021"/>
    <m/>
    <s v="?"/>
    <s v="LULUS"/>
    <s v="LULUS"/>
    <m/>
    <m/>
    <m/>
    <m/>
    <m/>
  </r>
  <r>
    <s v="Universitas Terbuka"/>
    <s v="MAGISTER"/>
    <s v="Manajemen Perikanan"/>
    <s v="Januari"/>
    <n v="2020"/>
    <s v="Januari"/>
    <n v="2022"/>
    <n v="2021"/>
    <m/>
    <s v="?"/>
    <s v="LULUS"/>
    <s v="LULUS"/>
    <m/>
    <m/>
    <m/>
    <m/>
    <m/>
  </r>
  <r>
    <s v="Universitas Tanjungpura"/>
    <s v="MAGISTER"/>
    <s v="Pendidikan Bahasa Indonesia"/>
    <s v="Agustus"/>
    <n v="2020"/>
    <s v="Agustus"/>
    <n v="2024"/>
    <n v="2021"/>
    <m/>
    <s v="LULUS"/>
    <s v="LULUS"/>
    <s v="LULUS"/>
    <m/>
    <m/>
    <m/>
    <m/>
    <m/>
  </r>
  <r>
    <s v="Politeknik STIA LAN Jakarta"/>
    <s v="MAGISTER"/>
    <s v="Administrasi Pembangunan Negara"/>
    <s v="Agustus"/>
    <n v="2021"/>
    <s v="Agustus"/>
    <n v="2023"/>
    <n v="2021"/>
    <m/>
    <s v="?"/>
    <s v="LULUS"/>
    <s v="LULUS"/>
    <m/>
    <m/>
    <m/>
    <m/>
    <m/>
  </r>
  <r>
    <s v="Universitas Terbuka"/>
    <s v="MAGISTER"/>
    <s v="Manajemen Perikanan"/>
    <s v="Februari"/>
    <n v="2021"/>
    <s v="Februari"/>
    <n v="2023"/>
    <n v="2021"/>
    <m/>
    <s v="?"/>
    <s v="LULUS"/>
    <s v="LULUS"/>
    <m/>
    <m/>
    <m/>
    <m/>
    <m/>
  </r>
  <r>
    <s v="Universitas Terbuka"/>
    <s v="MAGISTER"/>
    <s v="Manajemen Perikanan"/>
    <s v="Februari"/>
    <n v="2021"/>
    <s v="Februari"/>
    <n v="2023"/>
    <n v="2021"/>
    <m/>
    <s v="?"/>
    <s v="LULUS"/>
    <s v="LULUS"/>
    <m/>
    <m/>
    <m/>
    <m/>
    <m/>
  </r>
  <r>
    <s v="IAIN Ambon"/>
    <s v="MAGISTER"/>
    <s v="Pendidikan Agama Islam"/>
    <s v="Juli"/>
    <n v="2019"/>
    <s v="Juli"/>
    <n v="2021"/>
    <n v="2021"/>
    <m/>
    <s v="LULUS"/>
    <s v="LULUS"/>
    <s v="LULUS"/>
    <m/>
    <m/>
    <m/>
    <m/>
    <m/>
  </r>
  <r>
    <s v="Universitas Sjakhyakirti Palembang"/>
    <s v="MAGISTER"/>
    <s v="Administrasi Publik"/>
    <s v="April"/>
    <n v="2021"/>
    <s v="April"/>
    <n v="2023"/>
    <n v="2021"/>
    <m/>
    <s v="LULUS"/>
    <s v="LULUS"/>
    <s v="LULUS"/>
    <m/>
    <m/>
    <m/>
    <m/>
    <m/>
  </r>
  <r>
    <s v="Universitas Sjakhyakirti Palembang"/>
    <s v="MAGISTER"/>
    <s v="Administrasi Publik"/>
    <s v="April"/>
    <n v="2021"/>
    <s v="April"/>
    <n v="2023"/>
    <n v="2021"/>
    <m/>
    <s v="LULUS"/>
    <s v="LULUS"/>
    <s v="LULUS"/>
    <m/>
    <m/>
    <m/>
    <m/>
    <m/>
  </r>
  <r>
    <s v="Universitas Pattimura"/>
    <s v="SARJANA"/>
    <s v="Administrasi Negara"/>
    <s v="Agustus"/>
    <n v="2019"/>
    <s v="Agustus"/>
    <n v="2023"/>
    <n v="2021"/>
    <m/>
    <s v="LULUS"/>
    <s v="LULUS"/>
    <s v="LULUS"/>
    <m/>
    <m/>
    <m/>
    <m/>
    <m/>
  </r>
  <r>
    <s v="Universitas Pattimura"/>
    <s v="SARJANA"/>
    <s v="Administrasi Negara"/>
    <s v="Agustus"/>
    <n v="2019"/>
    <s v="Agustus"/>
    <n v="2023"/>
    <n v="2021"/>
    <m/>
    <s v="LULUS"/>
    <s v="LULUS"/>
    <s v="LULUS"/>
    <m/>
    <m/>
    <m/>
    <m/>
    <m/>
  </r>
  <r>
    <s v="Universitas Pattimura"/>
    <s v="SARJANA"/>
    <s v="Administrasi Negara"/>
    <s v="Agustus"/>
    <n v="2019"/>
    <s v="Agustus"/>
    <n v="2023"/>
    <n v="2021"/>
    <m/>
    <s v="LULUS"/>
    <s v="LULUS"/>
    <s v="LULUS"/>
    <m/>
    <m/>
    <m/>
    <m/>
    <m/>
  </r>
  <r>
    <s v="Universitas Ubudiyah Indonesia"/>
    <s v="SARJANA"/>
    <s v="?"/>
    <s v="Desember"/>
    <n v="2021"/>
    <s v="Desember"/>
    <n v="2025"/>
    <n v="2022"/>
    <m/>
    <s v="?"/>
    <s v="AKTIF (Semester 9)"/>
    <s v="LULUS"/>
    <m/>
    <m/>
    <m/>
    <m/>
    <m/>
  </r>
  <r>
    <s v="Sekolah Tinggi Ilmu Ekonomi"/>
    <s v="SARJANA"/>
    <s v="Manajemen"/>
    <s v="Oktober"/>
    <n v="2020"/>
    <s v="Oktober"/>
    <n v="2024"/>
    <n v="2022"/>
    <m/>
    <s v="?"/>
    <s v="LULUS"/>
    <s v="LULUS"/>
    <m/>
    <m/>
    <m/>
    <m/>
    <m/>
  </r>
  <r>
    <s v="Universitas Nasional"/>
    <s v="MAGISTER"/>
    <s v="Magister Manajemen"/>
    <s v="September"/>
    <n v="2022"/>
    <s v="September"/>
    <n v="2024"/>
    <n v="2022"/>
    <m/>
    <s v="LULUS"/>
    <s v="LULUS"/>
    <s v="LULUS"/>
    <m/>
    <m/>
    <m/>
    <m/>
    <m/>
  </r>
  <r>
    <s v="STIA "/>
    <s v="SARJANA"/>
    <s v="Ilmu Administrasi Negara"/>
    <s v="Januari"/>
    <n v="2022"/>
    <s v="Januari"/>
    <n v="2026"/>
    <n v="2022"/>
    <m/>
    <s v="?"/>
    <s v="AKTIF (Semester 8)"/>
    <s v="AKTIF"/>
    <m/>
    <m/>
    <m/>
    <m/>
    <m/>
  </r>
  <r>
    <s v="Universitas Syiah Kuala"/>
    <s v="MAGISTER"/>
    <s v="Teknik Mesin"/>
    <s v="Agustus"/>
    <n v="2021"/>
    <s v="Agustus"/>
    <n v="2023"/>
    <n v="2022"/>
    <m/>
    <s v="LULUS"/>
    <s v="LULUS"/>
    <s v="LULUS"/>
    <m/>
    <m/>
    <m/>
    <m/>
    <m/>
  </r>
  <r>
    <s v="Universitas Terbuka"/>
    <s v="MAGISTER"/>
    <s v="Manajemen"/>
    <s v="November"/>
    <n v="2021"/>
    <s v="November"/>
    <n v="2024"/>
    <n v="2022"/>
    <m/>
    <s v="LULUS"/>
    <s v="LULUS"/>
    <s v="LULUS"/>
    <m/>
    <m/>
    <m/>
    <m/>
    <m/>
  </r>
  <r>
    <s v="Universitas Pattimura"/>
    <s v="MAGISTER"/>
    <s v="Ilmu Kelautan "/>
    <s v="September"/>
    <n v="2021"/>
    <s v="September"/>
    <n v="2023"/>
    <n v="2022"/>
    <m/>
    <s v="LULUS"/>
    <s v="LULUS"/>
    <s v="LULUS"/>
    <m/>
    <m/>
    <m/>
    <m/>
    <m/>
  </r>
  <r>
    <s v="Universitas Pattimura"/>
    <s v="MAGISTER"/>
    <s v="Ilmu Kelautan "/>
    <s v="September"/>
    <n v="2021"/>
    <s v="September"/>
    <n v="2023"/>
    <n v="2022"/>
    <m/>
    <s v="LULUS"/>
    <s v="LULUS"/>
    <s v="LULUS"/>
    <m/>
    <m/>
    <m/>
    <m/>
    <m/>
  </r>
  <r>
    <s v="Universitas Pattimura"/>
    <s v="MAGISTER"/>
    <s v="Ilmu Kelautan "/>
    <s v="September"/>
    <n v="2021"/>
    <s v="September"/>
    <n v="2023"/>
    <n v="2022"/>
    <m/>
    <s v="LULUS"/>
    <s v="LULUS"/>
    <s v="LULUS"/>
    <m/>
    <m/>
    <m/>
    <m/>
    <m/>
  </r>
  <r>
    <s v="STIM Lasharan Jaya Makassar"/>
    <s v="SARJANA"/>
    <s v="Manajemen"/>
    <s v="Oktober"/>
    <n v="2018"/>
    <s v="Oktober"/>
    <n v="2022"/>
    <n v="2022"/>
    <m/>
    <s v="LULUS"/>
    <s v="LULUS"/>
    <s v="LULUS"/>
    <m/>
    <m/>
    <m/>
    <m/>
    <m/>
  </r>
  <r>
    <s v="Universitas Terbuka"/>
    <s v="SARJANA"/>
    <s v="Agribisnis "/>
    <s v="September"/>
    <n v="2020"/>
    <s v="September"/>
    <n v="2024"/>
    <n v="2022"/>
    <m/>
    <s v="?"/>
    <s v="LULUS"/>
    <s v="LULUS"/>
    <m/>
    <m/>
    <m/>
    <m/>
    <m/>
  </r>
  <r>
    <s v="Universitas Terbuka"/>
    <s v="SARJANA"/>
    <s v="Agribisnis "/>
    <s v="Oktober"/>
    <n v="2021"/>
    <s v="Oktober"/>
    <n v="2024"/>
    <n v="2022"/>
    <m/>
    <s v="LULUS"/>
    <s v="LULUS"/>
    <s v="LULUS"/>
    <m/>
    <m/>
    <m/>
    <m/>
    <m/>
  </r>
  <r>
    <s v="Universitas Terbuka"/>
    <s v="SARJANA"/>
    <s v="Agribisnis "/>
    <s v="Oktober"/>
    <n v="2021"/>
    <s v="Oktober"/>
    <n v="2025"/>
    <n v="2022"/>
    <m/>
    <s v="?"/>
    <s v="LULUS"/>
    <s v="LULUS"/>
    <m/>
    <m/>
    <m/>
    <m/>
    <m/>
  </r>
  <r>
    <s v="Universitas Terbuka"/>
    <s v="SARJANA"/>
    <s v="Agribisnis "/>
    <s v="Maret"/>
    <n v="2022"/>
    <s v="Maret"/>
    <n v="2026"/>
    <n v="2022"/>
    <m/>
    <s v="?"/>
    <s v="AKTIF (Semester 8)"/>
    <s v="AKTIF"/>
    <m/>
    <m/>
    <m/>
    <m/>
    <m/>
  </r>
  <r>
    <s v="Universitas Terbuka"/>
    <s v="SARJANA"/>
    <s v="Agribisnis "/>
    <s v="September"/>
    <n v="2021"/>
    <s v="September"/>
    <n v="2025"/>
    <n v="2022"/>
    <m/>
    <s v="?"/>
    <s v="LULUS"/>
    <s v="LULUS"/>
    <m/>
    <m/>
    <m/>
    <m/>
    <m/>
  </r>
  <r>
    <s v="Universitas Terbuka"/>
    <s v="SARJANA"/>
    <s v="Agribisnis "/>
    <s v="Oktober"/>
    <n v="2021"/>
    <s v="Oktober"/>
    <n v="2025"/>
    <n v="2022"/>
    <m/>
    <s v="?"/>
    <s v="LULUS"/>
    <s v="LULUS"/>
    <m/>
    <m/>
    <m/>
    <m/>
    <m/>
  </r>
  <r>
    <s v="Universitas Terbuka"/>
    <s v="SARJANA"/>
    <s v="Agribisnis "/>
    <s v="Oktober"/>
    <n v="2021"/>
    <s v="Oktober"/>
    <n v="2025"/>
    <n v="2022"/>
    <m/>
    <s v="?"/>
    <s v="LULUS"/>
    <s v="LULUS"/>
    <m/>
    <m/>
    <m/>
    <m/>
    <m/>
  </r>
  <r>
    <s v="Universitas Pattimura"/>
    <s v="SARJANA"/>
    <s v="Manajemen"/>
    <s v="Oktober"/>
    <n v="2020"/>
    <s v="Oktober"/>
    <n v="2024"/>
    <n v="2022"/>
    <m/>
    <s v="?"/>
    <s v="LULUS"/>
    <s v="LULUS"/>
    <m/>
    <m/>
    <m/>
    <m/>
    <m/>
  </r>
  <r>
    <s v="Universitas Terbuka"/>
    <s v="SARJANA"/>
    <s v="Agribisnis "/>
    <s v="Oktober"/>
    <n v="2021"/>
    <s v="Oktober"/>
    <n v="2024"/>
    <n v="2022"/>
    <m/>
    <s v="?"/>
    <s v="LULUS"/>
    <s v="LULUS"/>
    <m/>
    <m/>
    <m/>
    <m/>
    <m/>
  </r>
  <r>
    <s v="Universitas Terbuka"/>
    <s v="SARJANA"/>
    <s v="Agribisnis "/>
    <s v="April"/>
    <n v="2022"/>
    <s v="April"/>
    <n v="2026"/>
    <n v="2022"/>
    <m/>
    <s v="?"/>
    <s v="AKTIF (Semester 8)"/>
    <s v="AKTIF"/>
    <m/>
    <m/>
    <m/>
    <m/>
    <m/>
  </r>
  <r>
    <s v="Universitas Terbuka"/>
    <s v="SARJANA"/>
    <s v="Agribisnis "/>
    <s v="April"/>
    <n v="2022"/>
    <s v="April"/>
    <n v="2026"/>
    <n v="2022"/>
    <m/>
    <s v="?"/>
    <s v="AKTIF (Semester 8)"/>
    <s v="AKTIF"/>
    <m/>
    <m/>
    <m/>
    <m/>
    <m/>
  </r>
  <r>
    <s v="Universitas Terbuka"/>
    <s v="SARJANA"/>
    <s v="Agribisnis "/>
    <s v="April"/>
    <n v="2022"/>
    <s v="April"/>
    <n v="2026"/>
    <n v="2022"/>
    <m/>
    <s v="?"/>
    <s v="AKTIF (Semester 8)"/>
    <s v="AKTIF"/>
    <m/>
    <m/>
    <m/>
    <m/>
    <m/>
  </r>
  <r>
    <s v="Universitas Terbuka"/>
    <s v="SARJANA"/>
    <s v="Agribisnis "/>
    <s v="April"/>
    <n v="2022"/>
    <s v="April"/>
    <n v="2026"/>
    <n v="2022"/>
    <m/>
    <s v="?"/>
    <s v="AKTIF (Semester 8)"/>
    <s v="AKTIF"/>
    <m/>
    <m/>
    <m/>
    <m/>
    <m/>
  </r>
  <r>
    <s v="Universitas Darussalam   "/>
    <s v="SARJANA"/>
    <s v="Budidaya Perairan "/>
    <s v="September"/>
    <n v="2022"/>
    <s v="September"/>
    <n v="2026"/>
    <n v="2022"/>
    <m/>
    <s v="?"/>
    <s v="AKTIF (Semester 7)"/>
    <s v="AKTIF"/>
    <m/>
    <m/>
    <m/>
    <m/>
    <m/>
  </r>
  <r>
    <s v="Universitas Terbuka"/>
    <s v="SARJANA"/>
    <s v="Manajemen"/>
    <m/>
    <m/>
    <n v="0"/>
    <m/>
    <n v="2022"/>
    <m/>
    <s v="?"/>
    <s v="LULUS"/>
    <s v="LULUS"/>
    <m/>
    <m/>
    <m/>
    <m/>
    <m/>
  </r>
  <r>
    <s v="Universitas Terbuka"/>
    <s v="SARJANA"/>
    <s v="Agribisnis"/>
    <m/>
    <m/>
    <n v="0"/>
    <m/>
    <n v="2022"/>
    <m/>
    <s v="?"/>
    <s v="LULUS"/>
    <s v="LULUS"/>
    <m/>
    <m/>
    <m/>
    <m/>
    <m/>
  </r>
  <r>
    <s v="Universitas Terbuka"/>
    <s v="MAGISTER"/>
    <s v="Ilmu Kelautan Bidang Minat Manajemen Perikanan"/>
    <s v="Maret"/>
    <n v="2023"/>
    <s v="Maret "/>
    <n v="2025"/>
    <n v="2023"/>
    <m/>
    <m/>
    <s v="LULUS"/>
    <e v="#N/A"/>
    <m/>
    <m/>
    <m/>
    <m/>
    <m/>
  </r>
  <r>
    <s v="Universitas Terbuka"/>
    <s v="MAGISTER"/>
    <s v="Ilmu Kelautan Bidang Minat Manajemen Perikanan"/>
    <s v="Maret"/>
    <n v="2023"/>
    <s v="Maret "/>
    <n v="2025"/>
    <n v="2023"/>
    <m/>
    <m/>
    <s v="LULUS"/>
    <e v="#N/A"/>
    <m/>
    <m/>
    <m/>
    <m/>
    <m/>
  </r>
  <r>
    <s v="Universitas Pancasakti, Tegal "/>
    <s v="MAGISTER"/>
    <s v="Manajemen "/>
    <s v="April"/>
    <n v="2023"/>
    <s v="April"/>
    <n v="2025"/>
    <n v="2023"/>
    <m/>
    <m/>
    <s v="LULUS"/>
    <s v="LULUS"/>
    <m/>
    <m/>
    <m/>
    <m/>
    <m/>
  </r>
  <r>
    <s v="Universitas Pancasakti, Tegal "/>
    <s v="MAGISTER"/>
    <s v="Manajemen "/>
    <s v="April"/>
    <n v="2023"/>
    <s v="April"/>
    <n v="2025"/>
    <n v="2023"/>
    <m/>
    <m/>
    <s v="LULUS"/>
    <s v="LULUS"/>
    <m/>
    <m/>
    <m/>
    <m/>
    <m/>
  </r>
  <r>
    <s v="Universitas Terbuka"/>
    <s v="MAGISTER"/>
    <s v="Manajemen Bidang Minat Keuangan "/>
    <s v="Agustus"/>
    <n v="2023"/>
    <s v="Agustus"/>
    <n v="2025"/>
    <n v="2023"/>
    <m/>
    <m/>
    <s v="LULUS"/>
    <s v="LULUS"/>
    <m/>
    <m/>
    <m/>
    <m/>
    <m/>
  </r>
  <r>
    <s v="Universitas Terbuka"/>
    <s v="MAGISTER"/>
    <s v="Manajemen "/>
    <s v="Agustus"/>
    <n v="2023"/>
    <s v="Agustus"/>
    <n v="2025"/>
    <n v="2023"/>
    <m/>
    <m/>
    <s v="LULUS"/>
    <s v="LULUS"/>
    <m/>
    <m/>
    <m/>
    <m/>
    <m/>
  </r>
  <r>
    <s v="Universitas Bung Hatta"/>
    <s v="MAGISTER"/>
    <s v="Sumberdaya Perairan, Pesisir dan Kelautan"/>
    <s v="September"/>
    <n v="2023"/>
    <s v="September"/>
    <n v="2025"/>
    <n v="2023"/>
    <m/>
    <m/>
    <s v="LULUS"/>
    <s v="LULUS"/>
    <m/>
    <m/>
    <m/>
    <m/>
    <m/>
  </r>
  <r>
    <s v="Universitas Bung Hatta"/>
    <s v="MAGISTER"/>
    <s v="Sumberdaya Perairan, Pesisir dan Kelautan"/>
    <s v="September"/>
    <n v="2023"/>
    <s v="September"/>
    <n v="2025"/>
    <n v="2023"/>
    <m/>
    <m/>
    <s v="LULUS"/>
    <s v="LULUS"/>
    <m/>
    <m/>
    <m/>
    <m/>
    <m/>
  </r>
  <r>
    <s v="Universitas Bung Hatta"/>
    <s v="MAGISTER"/>
    <s v="Sumberdaya Perairan, Pesisir dan Kelautan"/>
    <s v="September"/>
    <n v="2023"/>
    <s v="September"/>
    <n v="2025"/>
    <n v="2023"/>
    <m/>
    <m/>
    <s v="LULUS"/>
    <s v="LULUS"/>
    <m/>
    <m/>
    <m/>
    <m/>
    <m/>
  </r>
  <r>
    <s v="Universitas Terbuka"/>
    <s v="SARJANA"/>
    <s v="Agribisnis           "/>
    <s v="September"/>
    <n v="2023"/>
    <s v="September"/>
    <n v="2027"/>
    <n v="2023"/>
    <m/>
    <m/>
    <s v="AKTIF (Semester 5)"/>
    <s v="AKTIF"/>
    <m/>
    <m/>
    <m/>
    <m/>
    <m/>
  </r>
  <r>
    <s v="Universitas Terbuka"/>
    <s v="SARJANA"/>
    <s v="Agribisnis           "/>
    <s v="September"/>
    <n v="2023"/>
    <s v="September"/>
    <n v="2027"/>
    <n v="2023"/>
    <m/>
    <m/>
    <s v="AKTIF (Semester 5)"/>
    <s v="AKTIF"/>
    <m/>
    <m/>
    <m/>
    <m/>
    <m/>
  </r>
  <r>
    <s v="Universitas Terbuka"/>
    <s v="SARJANA"/>
    <s v="Agribisnis           "/>
    <s v="Oktober"/>
    <n v="2023"/>
    <s v="Oktober"/>
    <n v="2027"/>
    <n v="2023"/>
    <m/>
    <m/>
    <s v="AKTIF (Semester 5)"/>
    <s v="AKTIF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Universitas Lambung Mangkurat"/>
    <s v="MAGISTER"/>
    <s v="Ilmu Perikanan"/>
    <s v="September"/>
    <n v="2023"/>
    <s v="September"/>
    <n v="2025"/>
    <n v="2023"/>
    <m/>
    <m/>
    <s v="LULUS"/>
    <s v="LULUS"/>
    <m/>
    <m/>
    <m/>
    <m/>
    <m/>
  </r>
  <r>
    <s v="Politeknik Negeri Jember"/>
    <s v="MAGISTER"/>
    <s v="Agribisnis           "/>
    <s v="September"/>
    <n v="2023"/>
    <s v="September"/>
    <n v="2025"/>
    <n v="2023"/>
    <m/>
    <m/>
    <s v="LULUS"/>
    <s v="LULUS"/>
    <m/>
    <m/>
    <m/>
    <m/>
    <m/>
  </r>
  <r>
    <s v="Universitas Trunojoyo Madura"/>
    <s v="MAGISTER"/>
    <s v="Pengelolaan Sumber Daya Alam"/>
    <s v="Agustus"/>
    <n v="2023"/>
    <s v="Agustus"/>
    <n v="2025"/>
    <n v="2023"/>
    <m/>
    <m/>
    <s v="LULUS"/>
    <s v="LULUS"/>
    <m/>
    <m/>
    <m/>
    <m/>
    <m/>
  </r>
  <r>
    <s v="Universitas Trunojoyo Madura"/>
    <s v="MAGISTER"/>
    <s v="Pengelolaan Sumber Daya Alam"/>
    <s v="Agustus"/>
    <n v="2023"/>
    <s v="Agustus"/>
    <n v="2025"/>
    <n v="2023"/>
    <m/>
    <m/>
    <s v="LULUS"/>
    <s v="LULUS"/>
    <m/>
    <m/>
    <m/>
    <m/>
    <m/>
  </r>
  <r>
    <s v="Universitas Trunojoyo Madura"/>
    <s v="MAGISTER"/>
    <s v="Pengelolaan Sumber Daya Alam"/>
    <s v="Agustus"/>
    <n v="2023"/>
    <s v="Agustus"/>
    <n v="2025"/>
    <n v="2023"/>
    <m/>
    <m/>
    <s v="LULUS"/>
    <s v="LULUS"/>
    <m/>
    <m/>
    <m/>
    <m/>
    <m/>
  </r>
  <r>
    <s v="Universitas Trunojoyo Madura"/>
    <s v="MAGISTER"/>
    <s v="Pengelolaan Sumber Daya Alam"/>
    <s v="Agustus"/>
    <n v="2023"/>
    <s v="Agustus"/>
    <n v="2025"/>
    <n v="2023"/>
    <m/>
    <m/>
    <s v="LULUS"/>
    <s v="LULUS"/>
    <m/>
    <m/>
    <m/>
    <m/>
    <m/>
  </r>
  <r>
    <s v="Universitas Trunojoyo Madura"/>
    <s v="MAGISTER"/>
    <s v="Pengelolaan Sumber Daya Alam"/>
    <s v="Agustus"/>
    <n v="2023"/>
    <s v="Agustus"/>
    <n v="2025"/>
    <n v="2023"/>
    <m/>
    <m/>
    <s v="LULUS"/>
    <s v="LULUS"/>
    <m/>
    <m/>
    <m/>
    <m/>
    <m/>
  </r>
  <r>
    <s v="Universitas Trunojoyo Madura"/>
    <s v="MAGISTER"/>
    <s v="Pengelolaan Sumber Daya Alam"/>
    <s v="Agustus"/>
    <n v="2023"/>
    <s v="Agustus"/>
    <n v="2025"/>
    <n v="2023"/>
    <m/>
    <m/>
    <s v="LULUS"/>
    <s v="LULUS"/>
    <m/>
    <m/>
    <m/>
    <m/>
    <m/>
  </r>
  <r>
    <s v="Universitas Trunojoyo Madura"/>
    <s v="MAGISTER"/>
    <s v="Pengelolaan Sumber Daya Alam"/>
    <s v="Agustus"/>
    <n v="2023"/>
    <s v="Agustus"/>
    <n v="2025"/>
    <n v="2023"/>
    <m/>
    <m/>
    <s v="LULUS"/>
    <s v="LULUS"/>
    <m/>
    <m/>
    <m/>
    <m/>
    <m/>
  </r>
  <r>
    <s v="Universitas Terbuka"/>
    <s v="SARJANA"/>
    <s v="Agribisnis           "/>
    <s v="Oktober"/>
    <n v="2023"/>
    <s v="Oktober"/>
    <n v="2027"/>
    <n v="2023"/>
    <m/>
    <m/>
    <s v="AKTIF (Semester 5)"/>
    <s v="AKTIF"/>
    <m/>
    <m/>
    <m/>
    <m/>
    <m/>
  </r>
  <r>
    <s v="Universitas Terbuka"/>
    <s v="SARJANA"/>
    <s v="Agribisnis           "/>
    <s v="Oktober"/>
    <n v="2023"/>
    <s v="Oktober"/>
    <n v="2027"/>
    <n v="2023"/>
    <m/>
    <m/>
    <s v="AKTIF (Semester 5)"/>
    <s v="AKTIF"/>
    <m/>
    <m/>
    <m/>
    <m/>
    <m/>
  </r>
  <r>
    <s v="Universitas Terbuka"/>
    <s v="SARJANA"/>
    <s v="Agribisnis           "/>
    <s v="Agustus"/>
    <n v="2023"/>
    <s v="Agustus"/>
    <n v="2027"/>
    <n v="2023"/>
    <m/>
    <m/>
    <s v="AKTIF (Semester 5)"/>
    <s v="AKTIF"/>
    <m/>
    <m/>
    <m/>
    <m/>
    <m/>
  </r>
  <r>
    <s v="Universitas Terbuka"/>
    <s v="SARJANA"/>
    <s v="Agribisnis           "/>
    <s v="Agustus"/>
    <n v="2023"/>
    <s v="Agustus"/>
    <n v="2027"/>
    <n v="2023"/>
    <m/>
    <m/>
    <s v="AKTIF (Semester 5)"/>
    <s v="AKTIF"/>
    <m/>
    <m/>
    <m/>
    <m/>
    <m/>
  </r>
  <r>
    <s v="Universitas Terbuka"/>
    <s v="SARJANA"/>
    <s v="Agribisnis           "/>
    <s v="Agustus"/>
    <n v="2023"/>
    <s v="Agustus"/>
    <n v="2027"/>
    <n v="2023"/>
    <m/>
    <m/>
    <s v="AKTIF (Semester 5)"/>
    <s v="AKTIF"/>
    <m/>
    <m/>
    <m/>
    <m/>
    <m/>
  </r>
  <r>
    <s v="Universitas Terbuka"/>
    <s v="SARJANA"/>
    <s v="Agribisnis           "/>
    <s v="Agustus"/>
    <n v="2023"/>
    <s v="Agustus"/>
    <n v="2027"/>
    <n v="2023"/>
    <m/>
    <m/>
    <s v="AKTIF (Semester 5)"/>
    <s v="AKTIF"/>
    <m/>
    <m/>
    <m/>
    <m/>
    <m/>
  </r>
  <r>
    <s v="Universitas Terbuka"/>
    <s v="SARJANA"/>
    <s v="Agribisnis           "/>
    <s v="Agustus"/>
    <n v="2023"/>
    <s v="Agustus"/>
    <n v="2027"/>
    <n v="2023"/>
    <m/>
    <m/>
    <s v="AKTIF (Semester 5)"/>
    <s v="AKTIF"/>
    <m/>
    <m/>
    <m/>
    <m/>
    <m/>
  </r>
  <r>
    <s v="Universitas Terbuka"/>
    <s v="SARJANA"/>
    <s v="Agribisnis           "/>
    <s v="Agustus"/>
    <n v="2023"/>
    <s v="Agustus"/>
    <n v="2027"/>
    <n v="2023"/>
    <m/>
    <m/>
    <s v="AKTIF (Semester 5)"/>
    <s v="AKTIF"/>
    <m/>
    <m/>
    <m/>
    <m/>
    <m/>
  </r>
  <r>
    <s v="Universitas Trunojoyo Madura"/>
    <s v="MAGISTER"/>
    <s v="Pengelolaan Sumber Daya Alam"/>
    <s v="Agustus"/>
    <n v="2023"/>
    <s v="Agustus"/>
    <n v="2025"/>
    <n v="2023"/>
    <m/>
    <m/>
    <s v="LULUS"/>
    <s v="LULUS"/>
    <m/>
    <m/>
    <m/>
    <m/>
    <m/>
  </r>
  <r>
    <s v="Universitas Lambung Mangkurat"/>
    <s v="MAGISTER"/>
    <s v="Ilmu Perikanan"/>
    <s v="Agustus"/>
    <n v="2023"/>
    <s v="Agustus"/>
    <n v="2025"/>
    <n v="2023"/>
    <m/>
    <m/>
    <s v="LULUS"/>
    <s v="LULUS"/>
    <m/>
    <m/>
    <m/>
    <m/>
    <m/>
  </r>
  <r>
    <s v="Universitas Lambung Mangkurat"/>
    <s v="MAGISTER"/>
    <s v="Ilmu Perikanan"/>
    <s v="Agustus"/>
    <n v="2023"/>
    <s v="Agustus"/>
    <n v="2025"/>
    <n v="2023"/>
    <m/>
    <m/>
    <s v="LULUS"/>
    <s v="LULUS"/>
    <m/>
    <m/>
    <m/>
    <m/>
    <m/>
  </r>
  <r>
    <s v="Universitas Lambung Mangkurat"/>
    <s v="MAGISTER"/>
    <s v="Ilmu Perikanan"/>
    <s v="Agustus"/>
    <n v="2023"/>
    <s v="Agustus"/>
    <n v="2025"/>
    <n v="2023"/>
    <m/>
    <m/>
    <s v="LULUS"/>
    <s v="LULUS"/>
    <m/>
    <m/>
    <m/>
    <m/>
    <m/>
  </r>
  <r>
    <s v="Universitas Lambung Mangkurat"/>
    <s v="MAGISTER"/>
    <s v="Ilmu Perikanan"/>
    <s v="Agustus"/>
    <n v="2023"/>
    <s v="Agustus"/>
    <n v="2025"/>
    <n v="2023"/>
    <m/>
    <m/>
    <s v="LULUS"/>
    <s v="LULUS"/>
    <m/>
    <m/>
    <m/>
    <m/>
    <m/>
  </r>
  <r>
    <s v="Universitas Lambung Mangkurat"/>
    <s v="MAGISTER"/>
    <s v="Ilmu Perikanan"/>
    <s v="Agustus"/>
    <n v="2023"/>
    <s v="Agustus"/>
    <n v="2025"/>
    <n v="2023"/>
    <m/>
    <m/>
    <s v="LULUS"/>
    <s v="LULUS"/>
    <m/>
    <m/>
    <m/>
    <m/>
    <m/>
  </r>
  <r>
    <s v="Universitas Sriwijaya"/>
    <s v="Doktor"/>
    <s v="Administrasi Publik"/>
    <s v="Agustus"/>
    <n v="2023"/>
    <s v="Agustus"/>
    <n v="2026"/>
    <n v="2023"/>
    <m/>
    <m/>
    <s v="AKTIF (Semester 5)"/>
    <s v="AKTIF"/>
    <m/>
    <m/>
    <m/>
    <m/>
    <m/>
  </r>
  <r>
    <s v="Universitas Terbuka"/>
    <s v="SARJANA"/>
    <s v="Agribisnis           "/>
    <s v="Oktober"/>
    <n v="2023"/>
    <s v="Oktober"/>
    <n v="2027"/>
    <n v="2023"/>
    <m/>
    <m/>
    <s v="AKTIF (Semester 5)"/>
    <s v="AKTIF"/>
    <m/>
    <m/>
    <m/>
    <m/>
    <m/>
  </r>
  <r>
    <s v="STIE"/>
    <s v="SARJANA"/>
    <s v="Manajemen"/>
    <s v="September"/>
    <n v="2023"/>
    <s v="September"/>
    <n v="2027"/>
    <n v="2023"/>
    <m/>
    <m/>
    <s v="AKTIF (Semester 5)"/>
    <s v="AKTIF"/>
    <m/>
    <m/>
    <m/>
    <m/>
    <m/>
  </r>
  <r>
    <s v="Universitas Terbuka"/>
    <s v="SARJANA"/>
    <s v="Agribisnis           "/>
    <s v="September"/>
    <n v="2023"/>
    <s v="September"/>
    <n v="2027"/>
    <n v="2023"/>
    <m/>
    <m/>
    <s v="AKTIF (Semester 5)"/>
    <s v="AKTIF"/>
    <m/>
    <m/>
    <m/>
    <m/>
    <m/>
  </r>
  <r>
    <s v="Universitas Terbuka"/>
    <s v="SARJANA"/>
    <s v="Agribisnis           "/>
    <s v="September"/>
    <n v="2023"/>
    <s v="September"/>
    <n v="2027"/>
    <n v="2023"/>
    <m/>
    <m/>
    <s v="AKTIF (Semester 5)"/>
    <s v="AKTIF"/>
    <m/>
    <m/>
    <m/>
    <m/>
    <m/>
  </r>
  <r>
    <s v="Universitas Terbuka"/>
    <s v="SARJANA"/>
    <s v="Agribisnis           "/>
    <s v="September"/>
    <n v="2023"/>
    <s v="September"/>
    <n v="2027"/>
    <n v="2023"/>
    <m/>
    <m/>
    <s v="AKTIF (Semester 5)"/>
    <s v="AKTIF"/>
    <m/>
    <m/>
    <m/>
    <m/>
    <m/>
  </r>
  <r>
    <s v="Universitas Terbuka"/>
    <s v="SARJANA"/>
    <s v="Agribisnis           "/>
    <s v="September"/>
    <n v="2023"/>
    <s v="September"/>
    <n v="2027"/>
    <n v="2023"/>
    <m/>
    <m/>
    <s v="AKTIF (Semester 5)"/>
    <s v="AKTIF"/>
    <m/>
    <m/>
    <m/>
    <m/>
    <m/>
  </r>
  <r>
    <s v="Universitas Terbuka"/>
    <s v="SARJANA"/>
    <s v="Agribisnis           "/>
    <s v="September"/>
    <n v="2023"/>
    <s v="September"/>
    <n v="2027"/>
    <n v="2023"/>
    <m/>
    <m/>
    <s v="AKTIF (Semester 5)"/>
    <s v="AKTIF"/>
    <m/>
    <m/>
    <m/>
    <m/>
    <m/>
  </r>
  <r>
    <s v="Universitas Terbuka"/>
    <s v="SARJANA"/>
    <s v="Agribisnis           "/>
    <s v="September"/>
    <n v="2023"/>
    <s v="September"/>
    <n v="2027"/>
    <n v="2023"/>
    <m/>
    <m/>
    <s v="AKTIF (Semester 5)"/>
    <s v="AKTIF"/>
    <m/>
    <m/>
    <m/>
    <m/>
    <m/>
  </r>
  <r>
    <s v="Universitas Terbuka"/>
    <s v="SARJANA"/>
    <s v="Agribisnis           "/>
    <s v="September"/>
    <n v="2023"/>
    <s v="September"/>
    <n v="2027"/>
    <n v="2023"/>
    <m/>
    <m/>
    <s v="AKTIF (Semester 5)"/>
    <s v="AKTIF"/>
    <m/>
    <m/>
    <m/>
    <m/>
    <m/>
  </r>
  <r>
    <s v="Universitas Terbuka"/>
    <s v="SARJANA"/>
    <s v="Agribisnis           "/>
    <s v="September"/>
    <n v="2023"/>
    <s v="September"/>
    <n v="2027"/>
    <n v="2023"/>
    <m/>
    <m/>
    <s v="AKTIF (Semester 5)"/>
    <s v="AKTIF"/>
    <m/>
    <m/>
    <m/>
    <m/>
    <m/>
  </r>
  <r>
    <s v="Universitas Sam Ratulangi"/>
    <s v="Doktor"/>
    <s v="Ilmu Lingkungan          "/>
    <s v="Agustus"/>
    <n v="2023"/>
    <s v="Agustus"/>
    <n v="2026"/>
    <n v="2023"/>
    <m/>
    <m/>
    <s v="AKTIF (Semester 5)"/>
    <s v="AKTIF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Terbuka"/>
    <s v="MAGISTER"/>
    <s v="Ilmu Kelautan Bidang Minat Manajemen Perikanan"/>
    <s v="Agustus"/>
    <n v="2023"/>
    <s v="Agustus"/>
    <n v="2025"/>
    <n v="2023"/>
    <m/>
    <m/>
    <s v="LULUS"/>
    <s v="LULUS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Terbuka"/>
    <s v="MAGISTER"/>
    <s v="Ilmu Kelautan Bidang Minat Manajemen Perikanan"/>
    <s v="September"/>
    <n v="2023"/>
    <s v="September"/>
    <n v="2025"/>
    <n v="2023"/>
    <m/>
    <m/>
    <s v="LULUS"/>
    <s v="LULUS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Terbuka"/>
    <s v="MAGISTER"/>
    <s v="Ilmu Kelautan Bidang Minat Manajemen Perikanan"/>
    <s v="September"/>
    <n v="2023"/>
    <s v="September"/>
    <n v="2025"/>
    <n v="2023"/>
    <m/>
    <m/>
    <s v="LULUS"/>
    <s v="LULUS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Terbuka"/>
    <s v="MAGISTER"/>
    <s v="Ilmu Kelautan Bidang Minat Manajemen Perikanan"/>
    <s v="September"/>
    <n v="2023"/>
    <s v="September"/>
    <n v="2025"/>
    <n v="2023"/>
    <m/>
    <m/>
    <s v="LULUS"/>
    <s v="LULUS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Lampung"/>
    <s v="MAGISTER"/>
    <s v="Manajemen Wilayah Pesisir dan Laut"/>
    <m/>
    <m/>
    <n v="0"/>
    <s v="?"/>
    <n v="2023"/>
    <m/>
    <m/>
    <e v="#N/A"/>
    <s v="AKTIF"/>
    <m/>
    <m/>
    <m/>
    <m/>
    <m/>
  </r>
  <r>
    <s v="Universitas Terbuka"/>
    <s v="SARJANA"/>
    <s v="Agribisnis"/>
    <s v="Agustus"/>
    <n v="2023"/>
    <s v="Agustus "/>
    <n v="2027"/>
    <n v="2023"/>
    <m/>
    <m/>
    <s v="AKTIF (Semester 5)"/>
    <s v="AKTIF"/>
    <m/>
    <m/>
    <m/>
    <m/>
    <m/>
  </r>
  <r>
    <s v="Universitas Terbuka"/>
    <s v="SARJANA"/>
    <s v="Agribisnis"/>
    <s v="September"/>
    <n v="2023"/>
    <s v="September"/>
    <n v="2027"/>
    <n v="2023"/>
    <m/>
    <m/>
    <s v="AKTIF (Semester 5)"/>
    <s v="AKTIF"/>
    <m/>
    <m/>
    <m/>
    <m/>
    <m/>
  </r>
  <r>
    <s v="Universitas Terbuka"/>
    <s v="SARJANA"/>
    <s v="Agribisnis"/>
    <s v="September"/>
    <n v="2023"/>
    <s v="September"/>
    <n v="2027"/>
    <n v="2023"/>
    <m/>
    <m/>
    <s v="AKTIF (Semester 5)"/>
    <s v="AKTIF"/>
    <m/>
    <m/>
    <m/>
    <m/>
    <m/>
  </r>
  <r>
    <s v="Universitas Terbuka"/>
    <s v="SARJANA"/>
    <s v="Agribisnis"/>
    <s v="September"/>
    <n v="2023"/>
    <s v="September"/>
    <n v="2027"/>
    <n v="2023"/>
    <m/>
    <m/>
    <s v="AKTIF (Semester 5)"/>
    <s v="AKTIF"/>
    <m/>
    <m/>
    <m/>
    <m/>
    <m/>
  </r>
  <r>
    <s v="Universitas Terbuka"/>
    <s v="SARJANA"/>
    <s v="Agribisnis"/>
    <s v="September"/>
    <n v="2023"/>
    <s v="September"/>
    <n v="2027"/>
    <n v="2023"/>
    <m/>
    <m/>
    <s v="AKTIF (Semester 5)"/>
    <s v="AKTIF"/>
    <m/>
    <m/>
    <m/>
    <m/>
    <m/>
  </r>
  <r>
    <s v="Institut Pertanian Bogor"/>
    <s v="Doktor"/>
    <s v="Pengelolaan Sumberdaya Pesisir dan Lautan"/>
    <s v="Juli"/>
    <n v="2023"/>
    <s v="Juli "/>
    <n v="2026"/>
    <n v="2023"/>
    <m/>
    <m/>
    <s v="AKTIF (Semester 5)"/>
    <s v="AKTIF"/>
    <m/>
    <m/>
    <m/>
    <m/>
    <m/>
  </r>
  <r>
    <s v="Institut Agama Islam Negeri Pekalongan"/>
    <s v="MAGISTER"/>
    <s v="Pendidikan Agama Islam "/>
    <s v="Agustus"/>
    <n v="2021"/>
    <s v="Agustus"/>
    <n v="2023"/>
    <n v="2023"/>
    <m/>
    <s v="?"/>
    <s v="LULUS"/>
    <s v="LULUS"/>
    <m/>
    <m/>
    <m/>
    <m/>
    <m/>
  </r>
  <r>
    <s v="Universitas Terbuka"/>
    <s v="SARJANA"/>
    <s v="Agribisnis"/>
    <s v="Maret"/>
    <n v="2022"/>
    <s v="Maret "/>
    <n v="2026"/>
    <n v="2023"/>
    <m/>
    <m/>
    <s v="AKTIF (Semester 8)"/>
    <s v="AKTIF"/>
    <m/>
    <m/>
    <m/>
    <m/>
    <m/>
  </r>
  <r>
    <s v="Universitas Terbuka"/>
    <s v="SARJANA"/>
    <s v="Agribisnis"/>
    <s v="Maret"/>
    <n v="2022"/>
    <s v="Maret "/>
    <n v="2026"/>
    <n v="2023"/>
    <m/>
    <m/>
    <s v="AKTIF (Semester 8)"/>
    <s v="AKTIF"/>
    <m/>
    <m/>
    <m/>
    <m/>
    <m/>
  </r>
  <r>
    <s v="Universitas Terbuka"/>
    <s v="SARJANA"/>
    <s v="Agribisnis"/>
    <s v="Maret"/>
    <n v="2022"/>
    <s v="Maret "/>
    <n v="2026"/>
    <n v="2023"/>
    <m/>
    <m/>
    <s v="AKTIF (Semester 8)"/>
    <s v="AKTIF"/>
    <m/>
    <m/>
    <m/>
    <m/>
    <m/>
  </r>
  <r>
    <s v="Universitas Terbuka"/>
    <s v="SARJANA"/>
    <s v="Agribisnis"/>
    <s v="Maret"/>
    <n v="2022"/>
    <s v="Maret "/>
    <n v="2026"/>
    <n v="2023"/>
    <m/>
    <m/>
    <s v="AKTIF (Semester 8)"/>
    <s v="AKTIF"/>
    <m/>
    <m/>
    <m/>
    <m/>
    <m/>
  </r>
  <r>
    <s v="Universitas Terbuka"/>
    <s v="SARJANA"/>
    <s v="Agribisnis"/>
    <s v="Maret"/>
    <n v="2022"/>
    <s v="Maret "/>
    <n v="2026"/>
    <n v="2023"/>
    <m/>
    <m/>
    <s v="AKTIF (Semester 8)"/>
    <s v="AKTIF"/>
    <m/>
    <m/>
    <m/>
    <m/>
    <m/>
  </r>
  <r>
    <s v="Universitas Terbuka"/>
    <s v="SARJANA"/>
    <s v="Agribisnis"/>
    <s v="Maret"/>
    <n v="2022"/>
    <s v="Maret "/>
    <n v="2026"/>
    <n v="2023"/>
    <m/>
    <m/>
    <s v="AKTIF (Semester 8)"/>
    <s v="AKTIF"/>
    <m/>
    <m/>
    <m/>
    <m/>
    <m/>
  </r>
  <r>
    <s v="Universitas Terbuka"/>
    <s v="SARJANA"/>
    <s v="Agribisnis"/>
    <s v="Maret"/>
    <n v="2022"/>
    <s v="Maret "/>
    <n v="2026"/>
    <n v="2023"/>
    <m/>
    <m/>
    <s v="AKTIF (Semester 8)"/>
    <s v="AKTIF"/>
    <m/>
    <m/>
    <m/>
    <m/>
    <m/>
  </r>
  <r>
    <s v="Universitas Terbuka"/>
    <s v="SARJANA"/>
    <s v="Agribisnis"/>
    <s v="September"/>
    <n v="2021"/>
    <s v="September"/>
    <n v="2026"/>
    <n v="2023"/>
    <m/>
    <m/>
    <s v="AKTIF (Semester 9)"/>
    <s v="AKTIF"/>
    <m/>
    <m/>
    <m/>
    <m/>
    <m/>
  </r>
  <r>
    <s v="Universitas Terbuka"/>
    <s v="SARJANA"/>
    <s v="Agribisnis"/>
    <s v="September"/>
    <n v="2021"/>
    <s v="September"/>
    <n v="2026"/>
    <n v="2023"/>
    <m/>
    <m/>
    <s v="AKTIF (Semester 9)"/>
    <s v="AKTIF"/>
    <m/>
    <m/>
    <m/>
    <m/>
    <m/>
  </r>
  <r>
    <s v="Universitas Terbuka"/>
    <s v="SARJANA"/>
    <s v="Agribisnis"/>
    <s v="September"/>
    <n v="2022"/>
    <s v="September"/>
    <n v="2026"/>
    <n v="2023"/>
    <m/>
    <m/>
    <s v="AKTIF (Semester 7)"/>
    <s v="AKTIF"/>
    <m/>
    <m/>
    <m/>
    <m/>
    <m/>
  </r>
  <r>
    <s v="Universitas Darma Agung"/>
    <s v="SARJANA"/>
    <s v="Teknik Mesin"/>
    <s v="September"/>
    <n v="2017"/>
    <s v="September "/>
    <n v="2026"/>
    <n v="2023"/>
    <m/>
    <m/>
    <s v="AKTIF (Semester 17)"/>
    <s v="AKTIF"/>
    <m/>
    <m/>
    <m/>
    <m/>
    <m/>
  </r>
  <r>
    <s v="Universitas Terbuka"/>
    <s v="SARJANA"/>
    <s v="Agribisnis"/>
    <s v="Oktober"/>
    <n v="2022"/>
    <s v="Oktober"/>
    <n v="2026"/>
    <n v="2023"/>
    <m/>
    <m/>
    <s v="AKTIF (Semester 7)"/>
    <s v="AKTIF"/>
    <m/>
    <m/>
    <m/>
    <m/>
    <m/>
  </r>
  <r>
    <s v="Universitas Pancasakti, Tegal "/>
    <s v="SARJANA"/>
    <s v="Akutansi"/>
    <s v="September"/>
    <n v="2022"/>
    <s v="September"/>
    <n v="2026"/>
    <n v="2023"/>
    <m/>
    <m/>
    <s v="AKTIF (Semester 7)"/>
    <s v="AKTIF"/>
    <m/>
    <m/>
    <m/>
    <m/>
    <m/>
  </r>
  <r>
    <s v="Universitas Terbuka"/>
    <s v="SARJANA"/>
    <s v="Agribisnis"/>
    <s v="Oktober"/>
    <n v="2022"/>
    <s v="Oktober"/>
    <n v="2026"/>
    <n v="2023"/>
    <m/>
    <m/>
    <s v="AKTIF (Semester 7)"/>
    <s v="AKTIF"/>
    <m/>
    <m/>
    <m/>
    <m/>
    <m/>
  </r>
  <r>
    <s v="Universitas Terbuka"/>
    <s v="SARJANA"/>
    <s v="Agribisnis"/>
    <s v="Oktober"/>
    <n v="2022"/>
    <s v="Oktober"/>
    <n v="2026"/>
    <n v="2023"/>
    <m/>
    <m/>
    <s v="AKTIF (Semester 7)"/>
    <s v="AKTIF"/>
    <m/>
    <m/>
    <m/>
    <m/>
    <m/>
  </r>
  <r>
    <s v="Universitas Tadulako"/>
    <s v="MAGISTER"/>
    <s v="Ilmu Perikanan"/>
    <s v="September"/>
    <n v="2022"/>
    <s v="September"/>
    <n v="2024"/>
    <n v="2023"/>
    <m/>
    <m/>
    <s v="LULUS"/>
    <s v="LULUS"/>
    <m/>
    <m/>
    <m/>
    <m/>
    <m/>
  </r>
  <r>
    <s v="Universitas Sam Ratulangi"/>
    <s v="MAGISTER"/>
    <s v="Ilmu Perairan"/>
    <s v="Agustus "/>
    <n v="2022"/>
    <s v="Agustus "/>
    <n v="2024"/>
    <n v="2023"/>
    <m/>
    <m/>
    <s v="LULUS"/>
    <s v="LULUS"/>
    <m/>
    <m/>
    <m/>
    <m/>
    <m/>
  </r>
  <r>
    <s v="Universitas Sam Ratulangi"/>
    <s v="MAGISTER"/>
    <s v="Ilmu Perairan"/>
    <s v="Agustus "/>
    <n v="2022"/>
    <s v="Agustus "/>
    <n v="2024"/>
    <n v="2023"/>
    <m/>
    <m/>
    <s v="LULUS"/>
    <s v="LULUS"/>
    <m/>
    <m/>
    <m/>
    <m/>
    <m/>
  </r>
  <r>
    <s v="Universitas Sam Ratulangi"/>
    <s v="SARJANA"/>
    <s v="Budidaya Perairan"/>
    <s v="Agustus"/>
    <n v="2022"/>
    <s v="Agustus "/>
    <n v="2026"/>
    <n v="2023"/>
    <m/>
    <m/>
    <s v="AKTIF (Semester 7)"/>
    <s v="AKTIF"/>
    <m/>
    <m/>
    <m/>
    <m/>
    <m/>
  </r>
  <r>
    <s v="Universitas Sam Ratulangi"/>
    <s v="MAGISTER"/>
    <s v="Ilmu Perairan"/>
    <s v="Agustus "/>
    <n v="2022"/>
    <s v="Agustus "/>
    <n v="2024"/>
    <n v="2023"/>
    <m/>
    <m/>
    <s v="LULUS"/>
    <s v="LULUS"/>
    <m/>
    <m/>
    <m/>
    <m/>
    <m/>
  </r>
  <r>
    <s v="Universitas Terbuka"/>
    <s v="SARJANA"/>
    <s v="Agribisnis"/>
    <s v="Maret"/>
    <n v="2022"/>
    <s v="Maret "/>
    <n v="2026"/>
    <n v="2023"/>
    <m/>
    <m/>
    <s v="AKTIF (Semester 8)"/>
    <s v="AKTIF"/>
    <m/>
    <m/>
    <m/>
    <m/>
    <m/>
  </r>
  <r>
    <s v="Universitas Terbuka"/>
    <s v="SARJANA"/>
    <s v="Manajemen"/>
    <s v="September"/>
    <n v="2021"/>
    <s v="September "/>
    <n v="2025"/>
    <n v="2023"/>
    <m/>
    <m/>
    <s v="LULUS"/>
    <e v="#N/A"/>
    <m/>
    <m/>
    <m/>
    <m/>
    <m/>
  </r>
  <r>
    <s v="Sekolah Tinggi Manajemen"/>
    <s v="MAGISTER"/>
    <s v="Manajemen"/>
    <s v="Agustus "/>
    <n v="2022"/>
    <s v="Agustus "/>
    <n v="2024"/>
    <n v="2023"/>
    <m/>
    <m/>
    <s v="LULUS"/>
    <s v="LULUS"/>
    <m/>
    <m/>
    <m/>
    <m/>
    <m/>
  </r>
  <r>
    <s v="Universitas Muslim Indonesia"/>
    <s v="MAGISTER"/>
    <s v="Manajemen"/>
    <s v="September"/>
    <n v="2022"/>
    <s v="September"/>
    <n v="2024"/>
    <n v="2023"/>
    <m/>
    <m/>
    <s v="LULUS"/>
    <s v="LULUS"/>
    <m/>
    <m/>
    <m/>
    <m/>
    <m/>
  </r>
  <r>
    <s v="Universitas Halu Oleo"/>
    <s v="MAGISTER"/>
    <s v="Ilmu Perikanan"/>
    <s v="September"/>
    <n v="2022"/>
    <s v="September"/>
    <n v="2024"/>
    <n v="2023"/>
    <m/>
    <m/>
    <s v="LULUS"/>
    <s v="LULUS"/>
    <m/>
    <m/>
    <m/>
    <m/>
    <m/>
  </r>
  <r>
    <s v="Universitas Halu Oleo"/>
    <s v="MAGISTER"/>
    <s v="Ilmu Perikanan"/>
    <s v="September"/>
    <n v="2022"/>
    <s v="September"/>
    <n v="2024"/>
    <n v="2023"/>
    <m/>
    <m/>
    <s v="LULUS"/>
    <s v="LULUS"/>
    <m/>
    <m/>
    <m/>
    <m/>
    <m/>
  </r>
  <r>
    <s v="Universitas Bosowa"/>
    <s v="MAGISTER"/>
    <s v="Budidaya Perairan"/>
    <s v="September"/>
    <n v="2022"/>
    <s v="September"/>
    <n v="2024"/>
    <n v="2023"/>
    <m/>
    <m/>
    <s v="LULUS"/>
    <s v="LULUS"/>
    <m/>
    <m/>
    <m/>
    <m/>
    <m/>
  </r>
  <r>
    <s v="Universitas Bosowa"/>
    <s v="MAGISTER"/>
    <s v="Budidaya Perairan"/>
    <s v="September"/>
    <n v="2022"/>
    <s v="September"/>
    <n v="2024"/>
    <n v="2023"/>
    <m/>
    <m/>
    <s v="LULUS"/>
    <s v="LULUS"/>
    <m/>
    <m/>
    <m/>
    <m/>
    <m/>
  </r>
  <r>
    <s v="Universitas Bosowa"/>
    <s v="MAGISTER"/>
    <s v="Budidaya Perairan"/>
    <s v="September"/>
    <n v="2022"/>
    <s v="September"/>
    <n v="2024"/>
    <n v="2023"/>
    <m/>
    <m/>
    <s v="LULUS"/>
    <s v="LULUS"/>
    <m/>
    <m/>
    <m/>
    <m/>
    <m/>
  </r>
  <r>
    <s v="Sekolah Tinggi Manajemen"/>
    <s v="SARJANA"/>
    <s v="Manajemen"/>
    <s v="Oktober"/>
    <n v="2022"/>
    <s v="Oktober "/>
    <n v="2026"/>
    <n v="2023"/>
    <m/>
    <m/>
    <s v="AKTIF (Semester 7)"/>
    <s v="AKTIF"/>
    <m/>
    <m/>
    <m/>
    <m/>
    <m/>
  </r>
  <r>
    <s v="Sekolah Tinggi Manajemen"/>
    <s v="SARJANA"/>
    <s v="Manajemen"/>
    <s v="September"/>
    <n v="2022"/>
    <s v="September"/>
    <n v="2026"/>
    <n v="2023"/>
    <m/>
    <m/>
    <s v="AKTIF (Semester 7)"/>
    <s v="AKTIF"/>
    <m/>
    <m/>
    <m/>
    <m/>
    <m/>
  </r>
  <r>
    <s v="Sekolah Tinggi Manajemen"/>
    <s v="SARJANA"/>
    <s v="Manajemen"/>
    <s v="September"/>
    <n v="2022"/>
    <s v="September"/>
    <n v="2026"/>
    <n v="2023"/>
    <m/>
    <m/>
    <s v="AKTIF (Semester 7)"/>
    <s v="AKTIF"/>
    <m/>
    <m/>
    <m/>
    <m/>
    <m/>
  </r>
  <r>
    <s v="Sekolah Tinggi Manajemen"/>
    <s v="SARJANA"/>
    <s v="Manajemen"/>
    <s v="September"/>
    <n v="2022"/>
    <s v="September"/>
    <n v="2026"/>
    <n v="2023"/>
    <m/>
    <m/>
    <s v="AKTIF (Semester 7)"/>
    <s v="AKTIF"/>
    <m/>
    <m/>
    <m/>
    <m/>
    <m/>
  </r>
  <r>
    <s v="Universitas Terbuka"/>
    <s v="MAGISTER"/>
    <s v="Manajemen Perikanan"/>
    <s v="Maret "/>
    <n v="2022"/>
    <s v="Maret "/>
    <n v="2024"/>
    <n v="2023"/>
    <m/>
    <m/>
    <s v="LULUS"/>
    <s v="LULUS"/>
    <m/>
    <m/>
    <m/>
    <m/>
    <m/>
  </r>
  <r>
    <s v="Universitas Gadjah Mada"/>
    <s v="MAGISTER"/>
    <s v="Ilmu Perikanan"/>
    <s v="Agustus"/>
    <n v="2021"/>
    <s v="Agustus"/>
    <n v="2023"/>
    <n v="2023"/>
    <m/>
    <m/>
    <s v="LULUS"/>
    <s v="LULUS"/>
    <m/>
    <m/>
    <m/>
    <m/>
    <m/>
  </r>
  <r>
    <s v="Universitas Pancasakti, Tegal "/>
    <s v="SARJANA"/>
    <s v="Akutansi"/>
    <s v="Oktober"/>
    <n v="2021"/>
    <s v="Oktober"/>
    <n v="2025"/>
    <n v="2023"/>
    <m/>
    <m/>
    <s v="LULUS"/>
    <s v="LULUS"/>
    <m/>
    <m/>
    <m/>
    <m/>
    <m/>
  </r>
  <r>
    <s v="Universitas Terbuka"/>
    <s v="MAGISTER"/>
    <s v="Manajemen Perikanan"/>
    <s v="Oktober"/>
    <n v="2021"/>
    <s v="Oktober"/>
    <n v="2023"/>
    <n v="2023"/>
    <m/>
    <m/>
    <s v="LULUS"/>
    <s v="LULUS"/>
    <m/>
    <m/>
    <m/>
    <m/>
    <m/>
  </r>
  <r>
    <s v="Universitas Terbuka"/>
    <s v="SARJANA"/>
    <s v="Agribisnis"/>
    <s v="September"/>
    <n v="2021"/>
    <s v="September"/>
    <n v="2025"/>
    <n v="2023"/>
    <m/>
    <m/>
    <s v="LULUS"/>
    <s v="LULUS"/>
    <m/>
    <m/>
    <m/>
    <m/>
    <m/>
  </r>
  <r>
    <s v="Universitas Pancasakti, Tegal "/>
    <s v="SARJANA"/>
    <s v="Budidaya Perairan"/>
    <s v="September"/>
    <n v="2020"/>
    <s v="September"/>
    <n v="2024"/>
    <n v="2023"/>
    <m/>
    <m/>
    <s v="LULUS"/>
    <s v="LULUS"/>
    <m/>
    <m/>
    <m/>
    <m/>
    <m/>
  </r>
  <r>
    <s v="Universitas Terbuka"/>
    <s v="SARJANA"/>
    <s v="Agribisnis"/>
    <s v="Juli"/>
    <n v="2020"/>
    <s v="Juli"/>
    <n v="2024"/>
    <n v="2023"/>
    <m/>
    <m/>
    <s v="LULUS"/>
    <s v="LULUS"/>
    <m/>
    <m/>
    <m/>
    <m/>
    <m/>
  </r>
  <r>
    <s v="Universitas Terbuka"/>
    <s v="MAGISTER"/>
    <s v="Manajemen"/>
    <s v="Agustus"/>
    <n v="2020"/>
    <s v="Agustus"/>
    <n v="2022"/>
    <n v="2023"/>
    <m/>
    <m/>
    <s v="LULUS"/>
    <s v="LULUS"/>
    <m/>
    <m/>
    <m/>
    <m/>
    <m/>
  </r>
  <r>
    <s v="Universitas Terbuka"/>
    <s v="SARJANA"/>
    <s v="Agribisnis"/>
    <s v="Juni "/>
    <n v="2020"/>
    <s v="Juni "/>
    <n v="2024"/>
    <n v="2023"/>
    <m/>
    <m/>
    <s v="LULUS"/>
    <s v="LULUS"/>
    <m/>
    <m/>
    <m/>
    <m/>
    <m/>
  </r>
  <r>
    <s v=" Universitas Jendral Soedirman"/>
    <s v="MAGISTER"/>
    <s v="Sumberdaya Akuatik"/>
    <s v="Agustus"/>
    <n v="2020"/>
    <s v="Agustus"/>
    <n v="2022"/>
    <n v="2023"/>
    <m/>
    <m/>
    <s v="LULUS"/>
    <s v="LULUS"/>
    <m/>
    <m/>
    <m/>
    <m/>
    <m/>
  </r>
  <r>
    <s v="Universitas Terbuka"/>
    <s v="SARJANA"/>
    <s v="Agribisnis"/>
    <s v="Agustus"/>
    <n v="2021"/>
    <s v="Agustus"/>
    <n v="2025"/>
    <n v="2023"/>
    <m/>
    <m/>
    <s v="LULUS"/>
    <s v="LULUS"/>
    <m/>
    <m/>
    <m/>
    <m/>
    <m/>
  </r>
  <r>
    <s v="Universitas Terbuka"/>
    <s v="SARJANA"/>
    <s v="Agribisnis"/>
    <s v="September"/>
    <n v="2021"/>
    <s v="September"/>
    <n v="2025"/>
    <n v="2023"/>
    <m/>
    <m/>
    <s v="LULUS"/>
    <s v="LULUS"/>
    <m/>
    <m/>
    <m/>
    <m/>
    <m/>
  </r>
  <r>
    <s v="Universitas Terbuka"/>
    <s v="MAGISTER"/>
    <s v="Manajemen Perikanan"/>
    <s v="Agustus"/>
    <n v="2020"/>
    <s v="Agustus"/>
    <n v="2022"/>
    <n v="2023"/>
    <m/>
    <m/>
    <s v="LULUS"/>
    <s v="LULUS"/>
    <m/>
    <m/>
    <m/>
    <m/>
    <m/>
  </r>
  <r>
    <s v="Universitas Terbuka"/>
    <s v="MAGISTER"/>
    <s v="Manajemen Perikanan"/>
    <s v="Agustus"/>
    <n v="2021"/>
    <s v="Agustus"/>
    <n v="2023"/>
    <n v="2023"/>
    <m/>
    <m/>
    <s v="LULUS"/>
    <s v="LULUS"/>
    <m/>
    <m/>
    <m/>
    <m/>
    <m/>
  </r>
  <r>
    <s v="Universitas Terbuka"/>
    <s v="SARJANA"/>
    <s v="Agribisnis"/>
    <s v="Januari"/>
    <n v="2020"/>
    <s v="Januari"/>
    <n v="2024"/>
    <n v="2023"/>
    <m/>
    <m/>
    <s v="LULUS"/>
    <s v="LULUS"/>
    <m/>
    <m/>
    <m/>
    <m/>
    <m/>
  </r>
  <r>
    <s v="Universitas Terbuka"/>
    <s v="SARJANA"/>
    <s v="Agribisnis"/>
    <s v="Mei"/>
    <n v="2020"/>
    <s v="Mei"/>
    <n v="2024"/>
    <n v="2023"/>
    <m/>
    <m/>
    <s v="LULUS"/>
    <s v="LULUS"/>
    <m/>
    <m/>
    <m/>
    <m/>
    <m/>
  </r>
  <r>
    <s v="Universitas Terbuka"/>
    <s v="MAGISTER"/>
    <s v="Manajemen Sumber Daya Manusia"/>
    <s v="Agustus"/>
    <n v="2020"/>
    <s v="Agustus"/>
    <n v="2022"/>
    <n v="2023"/>
    <m/>
    <m/>
    <s v="LULUS"/>
    <s v="LULUS"/>
    <m/>
    <m/>
    <m/>
    <m/>
    <m/>
  </r>
  <r>
    <s v="Universitas Muhammdiyah  "/>
    <s v="SARJANA"/>
    <s v="Budidaya Perairan"/>
    <s v="September"/>
    <n v="2020"/>
    <s v="September"/>
    <n v="2024"/>
    <n v="2023"/>
    <m/>
    <m/>
    <s v="LULUS"/>
    <s v="LULUS"/>
    <m/>
    <m/>
    <m/>
    <m/>
    <m/>
  </r>
  <r>
    <s v="Universitas Terbuka"/>
    <s v="SARJANA"/>
    <s v="Agribisnis"/>
    <s v="Juli"/>
    <n v="2020"/>
    <s v="Juli"/>
    <n v="2024"/>
    <n v="2023"/>
    <m/>
    <m/>
    <s v="LULUS"/>
    <s v="LULUS"/>
    <m/>
    <m/>
    <m/>
    <m/>
    <m/>
  </r>
  <r>
    <s v="Universitas Pancasakti, Tegal "/>
    <s v="SARJANA"/>
    <s v="Budidaya Perairan"/>
    <s v="Agustus"/>
    <n v="2020"/>
    <s v="Agustus"/>
    <n v="2024"/>
    <n v="2023"/>
    <m/>
    <m/>
    <s v="LULUS"/>
    <s v="LULUS"/>
    <m/>
    <m/>
    <m/>
    <m/>
    <m/>
  </r>
  <r>
    <s v="Universitas Terbuka"/>
    <s v="SARJANA"/>
    <s v="Agribisnis"/>
    <s v="Mei "/>
    <n v="2020"/>
    <s v="Mei "/>
    <n v="2024"/>
    <n v="2023"/>
    <m/>
    <m/>
    <s v="LULUS"/>
    <s v="LULUS"/>
    <m/>
    <m/>
    <m/>
    <m/>
    <m/>
  </r>
  <r>
    <s v="Universitas Pancasakti, Tegal "/>
    <s v="SARJANA"/>
    <s v="Pemanfaatan Sumberdaya Perikanan"/>
    <s v="Juli"/>
    <n v="2020"/>
    <s v="Juli"/>
    <n v="2024"/>
    <n v="2023"/>
    <m/>
    <m/>
    <s v="LULUS"/>
    <s v="LULUS"/>
    <m/>
    <m/>
    <m/>
    <m/>
    <m/>
  </r>
  <r>
    <s v="Universitas Terbuka"/>
    <s v="MAGISTER"/>
    <s v="Manajemen Perikanan"/>
    <s v="Agustus"/>
    <n v="2020"/>
    <s v="Agustus"/>
    <n v="2022"/>
    <n v="2023"/>
    <m/>
    <m/>
    <s v="LULUS"/>
    <s v="LULUS"/>
    <m/>
    <m/>
    <m/>
    <m/>
    <m/>
  </r>
  <r>
    <s v="Universitas Terbuka"/>
    <s v="SARJANA"/>
    <s v="Agribisnis"/>
    <s v="Mei"/>
    <n v="2020"/>
    <s v="Mei"/>
    <n v="2024"/>
    <n v="2023"/>
    <m/>
    <m/>
    <s v="LULUS"/>
    <s v="LULUS"/>
    <m/>
    <m/>
    <m/>
    <m/>
    <m/>
  </r>
  <r>
    <s v="Universitas Pancasakti, Tegal "/>
    <s v="SARJANA"/>
    <s v="Teknik Mesin"/>
    <s v="September"/>
    <n v="2021"/>
    <s v="September"/>
    <n v="2025"/>
    <n v="2023"/>
    <m/>
    <m/>
    <s v="LULUS"/>
    <s v="LULUS"/>
    <m/>
    <m/>
    <m/>
    <m/>
    <m/>
  </r>
  <r>
    <s v="Universitas Terbuka"/>
    <s v="SARJANA"/>
    <s v="Biologi"/>
    <s v="Oktober"/>
    <n v="2022"/>
    <s v="Oktober"/>
    <n v="2026"/>
    <n v="2022"/>
    <m/>
    <m/>
    <s v="AKTIF (Semester 7)"/>
    <s v="AKTIF"/>
    <m/>
    <m/>
    <m/>
    <m/>
    <m/>
  </r>
  <r>
    <s v="Universitas Victory Sorong"/>
    <s v="SARJANA"/>
    <s v="Administrasi Publik"/>
    <s v="Agustus"/>
    <n v="2022"/>
    <s v="Agustus"/>
    <n v="2026"/>
    <n v="2022"/>
    <m/>
    <m/>
    <s v="AKTIF (Semester 7)"/>
    <s v="AKTIF"/>
    <m/>
    <m/>
    <m/>
    <m/>
    <m/>
  </r>
  <r>
    <s v="Universitas Victory Sorong"/>
    <s v="SARJANA"/>
    <s v="Administrasi Publik"/>
    <s v="Agustus"/>
    <n v="2022"/>
    <s v="Agustus"/>
    <n v="2026"/>
    <n v="2022"/>
    <m/>
    <m/>
    <s v="AKTIF (Semester 7)"/>
    <s v="AKTIF"/>
    <m/>
    <m/>
    <m/>
    <m/>
    <m/>
  </r>
  <r>
    <s v="Universitas Terbuka"/>
    <s v="SARJANA"/>
    <s v="Akutansi"/>
    <s v="September"/>
    <n v="2022"/>
    <s v="September"/>
    <n v="2026"/>
    <n v="2022"/>
    <m/>
    <m/>
    <s v="AKTIF (Semester 7)"/>
    <s v="AKTIF"/>
    <m/>
    <m/>
    <m/>
    <m/>
    <m/>
  </r>
  <r>
    <s v="Universitas Terbuka"/>
    <s v="MAGISTER"/>
    <s v="Manajemen Perikanan"/>
    <s v="September"/>
    <n v="2022"/>
    <s v="September"/>
    <n v="2024"/>
    <n v="2022"/>
    <m/>
    <m/>
    <s v="LULUS"/>
    <s v="LULUS"/>
    <m/>
    <m/>
    <m/>
    <m/>
    <m/>
  </r>
  <r>
    <s v="Universitas Satya Negara Indonesia"/>
    <s v="SARJANA"/>
    <s v=" Pemanfaatan Sumber Daya Perikanan"/>
    <s v="September"/>
    <n v="2022"/>
    <s v="September"/>
    <n v="2026"/>
    <n v="2022"/>
    <m/>
    <m/>
    <s v="AKTIF (Semester 7)"/>
    <s v="AKTIF"/>
    <m/>
    <m/>
    <m/>
    <m/>
    <m/>
  </r>
  <r>
    <s v="Universitas Terbuka"/>
    <s v="SARJANA"/>
    <s v="Agribisnis"/>
    <s v="September"/>
    <n v="2022"/>
    <s v="September"/>
    <n v="2026"/>
    <n v="2022"/>
    <m/>
    <m/>
    <s v="AKTIF (Semester 7)"/>
    <s v="AKTIF"/>
    <m/>
    <m/>
    <m/>
    <m/>
    <m/>
  </r>
  <r>
    <s v="Universitas Terbuka"/>
    <s v="SARJANA"/>
    <s v="Akutansi"/>
    <s v="Agustus"/>
    <n v="2022"/>
    <s v="Agustus"/>
    <n v="2026"/>
    <n v="2022"/>
    <m/>
    <m/>
    <s v="AKTIF (Semester 7)"/>
    <s v="AKTIF"/>
    <m/>
    <m/>
    <m/>
    <m/>
    <m/>
  </r>
  <r>
    <s v="Universitas Lambung Mangkurat"/>
    <s v="MAGISTER"/>
    <s v="Ilmu Perikanan"/>
    <s v="Agustus"/>
    <n v="2022"/>
    <s v="Agustus"/>
    <n v="2024"/>
    <n v="2022"/>
    <m/>
    <m/>
    <s v="LULUS"/>
    <s v="LULUS"/>
    <m/>
    <m/>
    <m/>
    <m/>
    <m/>
  </r>
  <r>
    <s v="Universitas Lambung Mangkurat"/>
    <s v="SARJANA"/>
    <s v="Budidaya Perairan"/>
    <s v="September"/>
    <n v="2022"/>
    <s v="September"/>
    <n v="2026"/>
    <n v="2022"/>
    <m/>
    <m/>
    <s v="AKTIF (Semester 7)"/>
    <s v="AKTIF"/>
    <m/>
    <m/>
    <m/>
    <m/>
    <m/>
  </r>
  <r>
    <s v="Universitas Lambung Mangkurat"/>
    <s v="SARJANA"/>
    <s v="Budidaya Perairan"/>
    <s v="September"/>
    <n v="2022"/>
    <s v="September"/>
    <n v="2026"/>
    <n v="2022"/>
    <m/>
    <m/>
    <s v="AKTIF (Semester 7)"/>
    <s v="AKTIF"/>
    <m/>
    <m/>
    <m/>
    <m/>
    <m/>
  </r>
  <r>
    <s v="Universitas Terbuka"/>
    <s v="SARJANA"/>
    <s v="Agribisnis"/>
    <s v="September"/>
    <n v="2022"/>
    <s v="September"/>
    <n v="2026"/>
    <n v="2022"/>
    <m/>
    <m/>
    <s v="AKTIF (Semester 7)"/>
    <s v="AKTIF"/>
    <m/>
    <m/>
    <m/>
    <m/>
    <m/>
  </r>
  <r>
    <s v="Universitas Trunojoyo Madura"/>
    <s v="MAGISTER"/>
    <s v="Pengelolaan Sumber Daya Alam"/>
    <s v="Agustus"/>
    <n v="2022"/>
    <s v="Agustus"/>
    <n v="2024"/>
    <n v="2022"/>
    <m/>
    <m/>
    <s v="LULUS"/>
    <s v="LULUS"/>
    <m/>
    <m/>
    <m/>
    <m/>
    <m/>
  </r>
  <r>
    <s v="Universitas Trunojoyo Madura"/>
    <s v="MAGISTER"/>
    <s v="Pengelolaan Sumber Daya Alam"/>
    <s v="Agustus"/>
    <n v="2022"/>
    <s v="Agustus"/>
    <n v="2024"/>
    <n v="2022"/>
    <m/>
    <m/>
    <s v="LULUS"/>
    <s v="LULUS"/>
    <m/>
    <m/>
    <m/>
    <m/>
    <m/>
  </r>
  <r>
    <s v="Universitas Pattimura"/>
    <s v="SARJANA"/>
    <s v="Budidaya Perairan"/>
    <s v="Agustus"/>
    <n v="2022"/>
    <s v="Agustus"/>
    <n v="2026"/>
    <n v="2022"/>
    <m/>
    <m/>
    <s v="AKTIF (Semester 7)"/>
    <s v="AKTIF"/>
    <m/>
    <m/>
    <m/>
    <m/>
    <m/>
  </r>
  <r>
    <s v="Sekolah Tinggi Ilmu Ekonomi"/>
    <s v="MAGISTER"/>
    <s v="Ilmu Administrasi"/>
    <s v="September"/>
    <n v="2022"/>
    <s v="September"/>
    <n v="2024"/>
    <n v="2022"/>
    <m/>
    <m/>
    <s v="LULUS"/>
    <s v="LULUS"/>
    <m/>
    <m/>
    <m/>
    <m/>
    <m/>
  </r>
  <r>
    <s v="Sekolah Tinggi Ilmu Ekonomi"/>
    <s v="MAGISTER"/>
    <s v="Ilmu Administrasi"/>
    <s v="September"/>
    <n v="2022"/>
    <s v="September"/>
    <n v="2024"/>
    <n v="2022"/>
    <m/>
    <m/>
    <s v="LULUS"/>
    <s v="LULUS"/>
    <m/>
    <m/>
    <m/>
    <m/>
    <m/>
  </r>
  <r>
    <s v="Universitas Indo Global Mandir"/>
    <s v="MAGISTER"/>
    <s v="Manajemen"/>
    <s v="September"/>
    <n v="2022"/>
    <s v="September"/>
    <n v="2024"/>
    <n v="2022"/>
    <m/>
    <m/>
    <s v="LULUS"/>
    <s v="LULUS"/>
    <m/>
    <m/>
    <m/>
    <m/>
    <m/>
  </r>
  <r>
    <s v="Universitas Sriwijaya"/>
    <s v="MAGISTER"/>
    <s v="Administrasi Publik "/>
    <s v="Agustus"/>
    <n v="2022"/>
    <s v="Agustus"/>
    <n v="2024"/>
    <n v="2022"/>
    <m/>
    <m/>
    <s v="LULUS"/>
    <s v="LULUS"/>
    <m/>
    <m/>
    <m/>
    <m/>
    <m/>
  </r>
  <r>
    <s v="Universitas Pamulang"/>
    <s v="SARJANA"/>
    <s v="Teknik Mesin"/>
    <s v="September"/>
    <n v="2022"/>
    <s v="September"/>
    <n v="2026"/>
    <m/>
    <m/>
    <m/>
    <s v="AKTIF (Semester 7)"/>
    <s v="AKTIF"/>
    <m/>
    <m/>
    <m/>
    <m/>
    <m/>
  </r>
  <r>
    <s v="Universitas Sriwijaya"/>
    <s v="MAGISTER"/>
    <s v="Agribisnis"/>
    <s v="Agustus"/>
    <n v="2022"/>
    <s v="Agustus"/>
    <n v="2024"/>
    <n v="2022"/>
    <m/>
    <s v="LULUS"/>
    <s v="LULUS"/>
    <s v="LULUS"/>
    <m/>
    <m/>
    <m/>
    <m/>
    <m/>
  </r>
  <r>
    <s v="Universitas Sriwijaya"/>
    <s v="MAGISTER"/>
    <s v="Agribisnis"/>
    <s v="Agustus"/>
    <n v="2022"/>
    <s v="Agustus"/>
    <n v="2024"/>
    <n v="2022"/>
    <m/>
    <s v="LULUS"/>
    <s v="LULUS"/>
    <s v="LULUS"/>
    <m/>
    <m/>
    <m/>
    <m/>
    <m/>
  </r>
  <r>
    <s v="Universitas Terbuka"/>
    <s v="SARJANA"/>
    <s v="Agribisnis"/>
    <s v="September"/>
    <n v="2022"/>
    <s v="September"/>
    <n v="2026"/>
    <n v="2022"/>
    <m/>
    <m/>
    <s v="AKTIF (Semester 7)"/>
    <s v="AKTIF"/>
    <m/>
    <m/>
    <m/>
    <m/>
    <m/>
  </r>
  <r>
    <s v="Universitas Terbuka"/>
    <s v="SARJANA"/>
    <s v="Agribisnis"/>
    <s v="September"/>
    <n v="2022"/>
    <s v="September"/>
    <n v="2026"/>
    <n v="2022"/>
    <m/>
    <m/>
    <s v="AKTIF (Semester 7)"/>
    <s v="AKTIF"/>
    <m/>
    <m/>
    <m/>
    <m/>
    <m/>
  </r>
  <r>
    <s v="Universitas Pattimura"/>
    <s v="SARJANA"/>
    <s v="Pemanfaatan Sumberdaya Perikanan"/>
    <s v="Agustus"/>
    <n v="2022"/>
    <s v="Agustus"/>
    <n v="2026"/>
    <n v="2022"/>
    <m/>
    <m/>
    <s v="AKTIF (Semester 7)"/>
    <s v="AKTIF"/>
    <m/>
    <m/>
    <m/>
    <m/>
    <m/>
  </r>
  <r>
    <s v="Politeknik STIA LAN Jakarta"/>
    <s v="Diploma IV"/>
    <s v="Administrasi Bisnis Sektor Publik"/>
    <s v="Agustus"/>
    <n v="2022"/>
    <s v="Agustus"/>
    <n v="2026"/>
    <n v="2022"/>
    <m/>
    <m/>
    <s v="AKTIF (Semester 7)"/>
    <s v="AKTIF"/>
    <m/>
    <m/>
    <m/>
    <m/>
    <m/>
  </r>
  <r>
    <s v="Universitas Sumatera Utara"/>
    <s v="MAGISTER"/>
    <s v="Ilmu Hukum"/>
    <s v="September"/>
    <n v="2022"/>
    <s v="September"/>
    <n v="2024"/>
    <n v="2022"/>
    <m/>
    <m/>
    <s v="LULUS"/>
    <s v="LULUS"/>
    <m/>
    <m/>
    <m/>
    <m/>
    <m/>
  </r>
  <r>
    <s v="Universitas Terbuka"/>
    <s v="SARJANA"/>
    <s v="Manajemen"/>
    <s v="Oktober"/>
    <n v="2022"/>
    <s v="Oktober"/>
    <n v="2026"/>
    <n v="2022"/>
    <m/>
    <m/>
    <s v="AKTIF (Semester 7)"/>
    <s v="AKTIF"/>
    <m/>
    <m/>
    <m/>
    <m/>
    <m/>
  </r>
  <r>
    <s v="Universitas Khairun Ternate"/>
    <s v="MAGISTER"/>
    <s v="Ilmu Kelautan"/>
    <s v="September"/>
    <n v="2022"/>
    <s v="September"/>
    <n v="2023"/>
    <n v="2022"/>
    <m/>
    <s v="LULUS"/>
    <s v="LULUS"/>
    <s v="LULUS"/>
    <m/>
    <m/>
    <m/>
    <m/>
    <m/>
  </r>
  <r>
    <s v="Universitas Khairun Ternate"/>
    <s v="MAGISTER"/>
    <s v="Ilmu Kelautan"/>
    <s v="September"/>
    <n v="2022"/>
    <s v="September"/>
    <n v="2024"/>
    <n v="2022"/>
    <m/>
    <s v="LULUS"/>
    <s v="LULUS"/>
    <s v="LULUS"/>
    <m/>
    <m/>
    <m/>
    <m/>
    <m/>
  </r>
  <r>
    <s v="Universitas Terbuka"/>
    <s v="SARJANA"/>
    <s v="Ilmu Perpustakaan"/>
    <s v="September"/>
    <n v="2022"/>
    <s v="September"/>
    <n v="2026"/>
    <n v="2022"/>
    <m/>
    <s v="?"/>
    <s v="AKTIF (Semester 7)"/>
    <s v="AKTIF"/>
    <m/>
    <m/>
    <m/>
    <m/>
    <m/>
  </r>
  <r>
    <s v="Universitas Terbuka"/>
    <s v="SARJANA"/>
    <s v="Manajemen"/>
    <s v="September"/>
    <n v="2022"/>
    <s v="September"/>
    <m/>
    <n v="2022"/>
    <m/>
    <m/>
    <s v="LULUS"/>
    <s v="LULUS"/>
    <m/>
    <m/>
    <m/>
    <m/>
    <m/>
  </r>
  <r>
    <s v="Universitas Darussalam   "/>
    <s v="SARJANA"/>
    <s v="Manajemen Sumber Daya Perairan"/>
    <s v="September"/>
    <n v="2022"/>
    <s v="September"/>
    <n v="2026"/>
    <n v="2022"/>
    <m/>
    <m/>
    <s v="AKTIF (Semester 7)"/>
    <s v="AKTIF"/>
    <m/>
    <m/>
    <m/>
    <m/>
    <m/>
  </r>
  <r>
    <s v="STIE"/>
    <s v="SARJANA"/>
    <s v="Manajemen"/>
    <s v="September"/>
    <n v="2022"/>
    <s v="September"/>
    <n v="2023"/>
    <n v="2022"/>
    <m/>
    <s v="LULUS"/>
    <s v="LULUS"/>
    <s v="LULUS"/>
    <m/>
    <m/>
    <m/>
    <m/>
    <m/>
  </r>
  <r>
    <s v="STIE"/>
    <s v="SARJANA"/>
    <s v="Manajemen"/>
    <s v="September"/>
    <n v="2022"/>
    <s v="September"/>
    <n v="2023"/>
    <n v="2022"/>
    <m/>
    <s v="LULUS"/>
    <s v="LULUS"/>
    <s v="LULUS"/>
    <m/>
    <m/>
    <m/>
    <m/>
    <m/>
  </r>
  <r>
    <s v="STIE"/>
    <s v="SARJANA"/>
    <s v="Manajemen"/>
    <s v="September"/>
    <n v="2022"/>
    <s v="September"/>
    <n v="2023"/>
    <n v="2022"/>
    <m/>
    <s v="LULUS"/>
    <s v="LULUS"/>
    <s v="LULUS"/>
    <m/>
    <m/>
    <m/>
    <m/>
    <m/>
  </r>
  <r>
    <s v="Politeknik STIA LAN Jakarta"/>
    <s v="MAGISTER"/>
    <s v="Administrasi Pembangunan Negara"/>
    <s v="Agustus"/>
    <n v="2022"/>
    <s v="Agustus"/>
    <n v="2024"/>
    <n v="2022"/>
    <m/>
    <s v="LULUS"/>
    <s v="LULUS"/>
    <s v="LULUS"/>
    <m/>
    <m/>
    <m/>
    <m/>
    <m/>
  </r>
  <r>
    <s v="Politeknik STIA LAN Jakarta"/>
    <s v="MAGISTER"/>
    <s v="Administrasi Pembangunan Negara"/>
    <s v="Agustus"/>
    <n v="2022"/>
    <s v="Agustus"/>
    <n v="2024"/>
    <n v="2022"/>
    <m/>
    <s v="LULUS"/>
    <s v="LULUS"/>
    <s v="LULUS"/>
    <m/>
    <m/>
    <m/>
    <m/>
    <m/>
  </r>
  <r>
    <s v="Universitas Terbuka"/>
    <s v="SARJANA"/>
    <s v="Manajemen"/>
    <s v="Juli"/>
    <n v="2022"/>
    <s v="Juli"/>
    <n v="2026"/>
    <n v="2022"/>
    <m/>
    <s v="?"/>
    <s v="AKTIF (Semester 7)"/>
    <s v="AKTIF"/>
    <m/>
    <m/>
    <m/>
    <m/>
    <m/>
  </r>
  <r>
    <s v="Universitas Terbuka"/>
    <s v="SARJANA"/>
    <s v="Agribisnis"/>
    <s v="Februari "/>
    <n v="2020"/>
    <s v="Februari "/>
    <n v="2024"/>
    <n v="2022"/>
    <m/>
    <s v="LULUS"/>
    <s v="LULUS"/>
    <s v="LULUS"/>
    <m/>
    <m/>
    <m/>
    <m/>
    <m/>
  </r>
  <r>
    <s v="Universitas Terbuka"/>
    <s v="Diploma IV"/>
    <s v="Kearsipan"/>
    <s v="Maret"/>
    <n v="2021"/>
    <s v="Maret "/>
    <n v="2025"/>
    <n v="2022"/>
    <m/>
    <s v="?"/>
    <s v="LULUS"/>
    <e v="#N/A"/>
    <m/>
    <m/>
    <m/>
    <m/>
    <m/>
  </r>
  <r>
    <s v="Universitas Terbuka"/>
    <s v="SARJANA"/>
    <s v="Agribisnis"/>
    <s v="September"/>
    <n v="2023"/>
    <s v="September"/>
    <n v="2027"/>
    <n v="2024"/>
    <m/>
    <m/>
    <s v="AKTIF (Semester 5)"/>
    <s v="AKTIF"/>
    <m/>
    <m/>
    <m/>
    <m/>
    <m/>
  </r>
  <r>
    <s v="Universitas Terbuka"/>
    <s v="SARJANA"/>
    <s v="Agribisnis"/>
    <s v="September"/>
    <n v="2023"/>
    <s v="September"/>
    <n v="2027"/>
    <n v="2024"/>
    <m/>
    <m/>
    <s v="AKTIF (Semester 5)"/>
    <s v="AKTIF"/>
    <m/>
    <m/>
    <m/>
    <m/>
    <m/>
  </r>
  <r>
    <s v="Universitas Sjakhyakirti"/>
    <s v="SARJANA"/>
    <s v="Ilmu Administrasi"/>
    <s v="Oktober"/>
    <n v="2023"/>
    <s v="Oktober"/>
    <n v="2027"/>
    <n v="2024"/>
    <m/>
    <m/>
    <s v="AKTIF (Semester 5)"/>
    <s v="AKTIF"/>
    <m/>
    <m/>
    <m/>
    <m/>
    <m/>
  </r>
  <r>
    <s v="Universitas Terbuka"/>
    <s v="SARJANA"/>
    <s v="Agribisnis"/>
    <s v="Oktober"/>
    <n v="2023"/>
    <s v="Oktober"/>
    <n v="2027"/>
    <n v="2024"/>
    <m/>
    <m/>
    <s v="AKTIF (Semester 5)"/>
    <s v="AKTIF"/>
    <m/>
    <m/>
    <m/>
    <m/>
    <m/>
  </r>
  <r>
    <s v="Universitas Terbuka"/>
    <s v="SARJANA"/>
    <s v="Agribisnis"/>
    <s v="Oktober"/>
    <n v="2023"/>
    <s v="Oktober"/>
    <n v="2027"/>
    <n v="2024"/>
    <m/>
    <m/>
    <s v="AKTIF (Semester 5)"/>
    <s v="AKTIF"/>
    <m/>
    <m/>
    <m/>
    <m/>
    <m/>
  </r>
  <r>
    <s v="Universitas Bosowa "/>
    <s v="MAGISTER"/>
    <s v=" Budidaya Perairan"/>
    <s v="September"/>
    <n v="2023"/>
    <s v="September"/>
    <n v="2025"/>
    <n v="2024"/>
    <m/>
    <m/>
    <s v="LULUS"/>
    <s v="LULUS"/>
    <m/>
    <m/>
    <m/>
    <m/>
    <m/>
  </r>
  <r>
    <s v="Universitas Bosowa "/>
    <s v="MAGISTER"/>
    <s v=" Budidaya Perairan"/>
    <s v="September"/>
    <n v="2023"/>
    <s v="September"/>
    <n v="2025"/>
    <n v="2024"/>
    <m/>
    <m/>
    <s v="LULUS"/>
    <s v="LULUS"/>
    <m/>
    <m/>
    <m/>
    <m/>
    <m/>
  </r>
  <r>
    <s v="Universitas Bosowa "/>
    <s v="MAGISTER"/>
    <s v=" Budidaya Perairan"/>
    <s v="September"/>
    <n v="2023"/>
    <s v="September"/>
    <n v="2025"/>
    <n v="2024"/>
    <m/>
    <m/>
    <s v="LULUS"/>
    <s v="LULUS"/>
    <m/>
    <m/>
    <m/>
    <m/>
    <m/>
  </r>
  <r>
    <s v="Universitas Bosowa "/>
    <s v="MAGISTER"/>
    <s v=" Budidaya Perairan"/>
    <s v="September"/>
    <n v="2023"/>
    <s v="September"/>
    <n v="2025"/>
    <n v="2024"/>
    <m/>
    <m/>
    <s v="LULUS"/>
    <s v="LULUS"/>
    <m/>
    <m/>
    <m/>
    <m/>
    <m/>
  </r>
  <r>
    <s v="Universitas Bosowa "/>
    <s v="MAGISTER"/>
    <s v=" Budidaya Perairan"/>
    <s v="September"/>
    <n v="2023"/>
    <s v="September"/>
    <n v="2025"/>
    <n v="2024"/>
    <m/>
    <m/>
    <s v="LULUS"/>
    <s v="LULUS"/>
    <m/>
    <m/>
    <m/>
    <m/>
    <m/>
  </r>
  <r>
    <s v="Universitas Bosowa "/>
    <s v="MAGISTER"/>
    <s v=" Budidaya Perairan"/>
    <s v="September"/>
    <n v="2023"/>
    <s v="September"/>
    <n v="2025"/>
    <n v="2024"/>
    <m/>
    <m/>
    <s v="LULUS"/>
    <s v="LULUS"/>
    <m/>
    <m/>
    <m/>
    <m/>
    <m/>
  </r>
  <r>
    <s v="Universitas Hasanuddin"/>
    <s v="MAGISTER"/>
    <s v="Ilmu Perikanan"/>
    <s v="September"/>
    <n v="2023"/>
    <s v="September"/>
    <n v="2025"/>
    <n v="2024"/>
    <m/>
    <m/>
    <s v="LULUS"/>
    <s v="LULUS"/>
    <m/>
    <m/>
    <m/>
    <m/>
    <m/>
  </r>
  <r>
    <s v="Universitas Halu Oleo"/>
    <s v="MAGISTER"/>
    <s v="Ilmu Perikanan"/>
    <s v="September"/>
    <n v="2023"/>
    <s v="September"/>
    <n v="2025"/>
    <n v="2024"/>
    <m/>
    <m/>
    <s v="LULUS"/>
    <s v="LULUS"/>
    <m/>
    <m/>
    <m/>
    <m/>
    <m/>
  </r>
  <r>
    <s v="Universitas Halu Oleo"/>
    <s v="MAGISTER"/>
    <s v="Ilmu Perikanan"/>
    <s v="September"/>
    <n v="2023"/>
    <s v="September"/>
    <n v="2025"/>
    <n v="2024"/>
    <m/>
    <m/>
    <s v="LULUS"/>
    <s v="LULUS"/>
    <m/>
    <m/>
    <m/>
    <m/>
    <m/>
  </r>
  <r>
    <s v="Universitas Muslim Indonesia"/>
    <s v="MAGISTER"/>
    <s v="Manajemen Pesisir dan Teknologi Kelautan"/>
    <s v="September"/>
    <n v="2023"/>
    <s v="September"/>
    <n v="2025"/>
    <n v="2024"/>
    <m/>
    <m/>
    <s v="LULUS"/>
    <s v="LULUS"/>
    <m/>
    <m/>
    <m/>
    <m/>
    <m/>
  </r>
  <r>
    <s v="Universitas Terbuka"/>
    <s v="SARJANA"/>
    <s v="Agribisnis bidang Minat Penyuluhan"/>
    <s v="September"/>
    <n v="2023"/>
    <s v="September"/>
    <n v="2027"/>
    <n v="2024"/>
    <m/>
    <m/>
    <s v="AKTIF (Semester 5)"/>
    <s v="AKTIF"/>
    <m/>
    <m/>
    <m/>
    <m/>
    <m/>
  </r>
  <r>
    <s v="Universitas Muslim Indonesia"/>
    <s v="SARJANA"/>
    <s v=" Budidaya Perairan"/>
    <s v="September"/>
    <n v="2023"/>
    <s v="September"/>
    <n v="2027"/>
    <n v="2024"/>
    <m/>
    <m/>
    <s v="AKTIF (Semester 5)"/>
    <s v="AKTIF"/>
    <m/>
    <m/>
    <m/>
    <m/>
    <m/>
  </r>
  <r>
    <s v="Universitas Bosowa "/>
    <s v="SARJANA"/>
    <s v=" Budidaya Perairan"/>
    <s v="September"/>
    <n v="2023"/>
    <s v="September"/>
    <n v="2027"/>
    <n v="2024"/>
    <m/>
    <m/>
    <s v="AKTIF (Semester 5)"/>
    <s v="AKTIF"/>
    <m/>
    <m/>
    <m/>
    <m/>
    <m/>
  </r>
  <r>
    <s v="Universitas Andi Djemma"/>
    <s v="SARJANA"/>
    <s v=" Budidaya Perairan"/>
    <s v="September"/>
    <n v="2023"/>
    <s v="September"/>
    <n v="2027"/>
    <n v="2024"/>
    <m/>
    <m/>
    <s v="AKTIF (Semester 5)"/>
    <s v="AKTIF"/>
    <m/>
    <m/>
    <m/>
    <m/>
    <m/>
  </r>
  <r>
    <s v="Universitas Andi Djemma"/>
    <s v="SARJANA"/>
    <s v=" Budidaya Perairan"/>
    <s v="September"/>
    <n v="2023"/>
    <s v="September"/>
    <n v="2027"/>
    <n v="2024"/>
    <m/>
    <m/>
    <s v="AKTIF (Semester 5)"/>
    <s v="AKTIF"/>
    <m/>
    <m/>
    <m/>
    <m/>
    <m/>
  </r>
  <r>
    <s v="Universitas Terbuka"/>
    <s v="SARJANA"/>
    <s v="Agribisnis bidang Minat Penyuluhan"/>
    <s v="September"/>
    <n v="2023"/>
    <s v="September"/>
    <n v="2027"/>
    <n v="2024"/>
    <m/>
    <m/>
    <s v="AKTIF (Semester 5)"/>
    <s v="AKTIF"/>
    <m/>
    <m/>
    <m/>
    <m/>
    <m/>
  </r>
  <r>
    <s v="Universitas Terbuka"/>
    <s v="SARJANA"/>
    <s v="Agribisnis bidang Minat Penyuluhan"/>
    <s v="September"/>
    <n v="2023"/>
    <s v="September"/>
    <n v="2027"/>
    <n v="2024"/>
    <m/>
    <m/>
    <s v="AKTIF (Semester 5)"/>
    <s v="AKTIF"/>
    <m/>
    <m/>
    <m/>
    <m/>
    <m/>
  </r>
  <r>
    <s v="Universitas Terbuka"/>
    <s v="SARJANA"/>
    <s v="Agribisnis bidang Minat Penyuluhan"/>
    <s v="Oktober"/>
    <n v="2023"/>
    <s v="Oktober"/>
    <n v="2027"/>
    <n v="2024"/>
    <m/>
    <m/>
    <s v="AKTIF (Semester 5)"/>
    <s v="AKTIF"/>
    <m/>
    <m/>
    <m/>
    <m/>
    <m/>
  </r>
  <r>
    <s v="Universitas Terbuka"/>
    <s v="MAGISTER"/>
    <s v="Ilmu Kelautan Bidang Minat Manajemen Perikanan"/>
    <s v="September"/>
    <n v="2023"/>
    <s v="September"/>
    <n v="2025"/>
    <n v="2024"/>
    <m/>
    <m/>
    <s v="LULUS"/>
    <s v="LULUS"/>
    <m/>
    <m/>
    <m/>
    <m/>
    <m/>
  </r>
  <r>
    <s v="Universitas Negeri jakarta "/>
    <s v="Doktor"/>
    <s v="Ilmu Manajemen"/>
    <m/>
    <m/>
    <n v="0"/>
    <s v="?"/>
    <n v="2024"/>
    <m/>
    <m/>
    <e v="#N/A"/>
    <s v="AKTIF"/>
    <m/>
    <m/>
    <m/>
    <m/>
    <m/>
  </r>
  <r>
    <s v="Universitas Negeri jakarta "/>
    <s v="Doktor"/>
    <s v="Ilmu Manajemen"/>
    <m/>
    <m/>
    <n v="0"/>
    <s v="?"/>
    <n v="2024"/>
    <m/>
    <m/>
    <e v="#N/A"/>
    <s v="AKTIF"/>
    <m/>
    <m/>
    <m/>
    <m/>
    <m/>
  </r>
  <r>
    <s v="Universitas Pattimura"/>
    <s v="Doktor"/>
    <s v="Ilmu Kelautan"/>
    <s v="September"/>
    <n v="2024"/>
    <s v="September"/>
    <n v="2027"/>
    <n v="2024"/>
    <m/>
    <m/>
    <s v="AKTIF (Semester 3)"/>
    <s v="AKTIF"/>
    <m/>
    <m/>
    <m/>
    <m/>
    <m/>
  </r>
  <r>
    <s v="Universitas Terbuka"/>
    <s v="SARJANA"/>
    <s v="Agribisnis bidang minat Penyuluhan dan Komunikasi Pembangunan"/>
    <s v="Juli"/>
    <n v="2024"/>
    <s v="Juli"/>
    <n v="2028"/>
    <n v="2024"/>
    <m/>
    <m/>
    <s v="AKTIF (Semester 3)"/>
    <s v="AKTIF"/>
    <m/>
    <m/>
    <m/>
    <m/>
    <m/>
  </r>
  <r>
    <s v="Universitas Negeri Manado"/>
    <s v="MAGISTER"/>
    <s v="Pendidikan Teknologi dan Kejuruan"/>
    <s v="Februari"/>
    <n v="2024"/>
    <s v="Februari"/>
    <n v="2026"/>
    <n v="2024"/>
    <m/>
    <m/>
    <s v="AKTIF (Semester 4)"/>
    <s v="AKTIF"/>
    <m/>
    <m/>
    <m/>
    <m/>
    <m/>
  </r>
  <r>
    <s v="Universitas Terbuka"/>
    <s v="MAGISTER"/>
    <s v="Manajemen Perikanan"/>
    <s v="Maret"/>
    <n v="2024"/>
    <s v="Maret"/>
    <n v="2026"/>
    <n v="2024"/>
    <m/>
    <m/>
    <s v="AKTIF (Semester 4)"/>
    <s v="AKTIF"/>
    <m/>
    <m/>
    <m/>
    <m/>
    <m/>
  </r>
  <r>
    <s v="Universitas Terbuka"/>
    <s v="MAGISTER"/>
    <s v="Manajemen Perikanan"/>
    <s v="Maret"/>
    <n v="2024"/>
    <s v="Maret"/>
    <n v="2026"/>
    <n v="2024"/>
    <m/>
    <m/>
    <s v="AKTIF (Semester 4)"/>
    <s v="AKTIF"/>
    <m/>
    <m/>
    <m/>
    <m/>
    <m/>
  </r>
  <r>
    <s v="Universitas Terbuka"/>
    <s v="MAGISTER"/>
    <s v="Manajemen Perikanan"/>
    <s v="September"/>
    <n v="2024"/>
    <s v="September"/>
    <n v="2026"/>
    <n v="2024"/>
    <m/>
    <m/>
    <s v="AKTIF (Semester 3)"/>
    <s v="AKTIF"/>
    <m/>
    <m/>
    <m/>
    <m/>
    <m/>
  </r>
  <r>
    <s v="Universitas Sjakhyakirti"/>
    <s v="MAGISTER"/>
    <s v="Agribisnis"/>
    <m/>
    <n v="2024"/>
    <m/>
    <n v="2026"/>
    <n v="2024"/>
    <m/>
    <m/>
    <e v="#N/A"/>
    <s v="AKTIF"/>
    <m/>
    <m/>
    <m/>
    <m/>
    <m/>
  </r>
  <r>
    <s v="Universitas Terbuka"/>
    <s v="MAGISTER"/>
    <s v="Manajemen Perikanan"/>
    <s v="September"/>
    <n v="2024"/>
    <s v="September"/>
    <n v="2026"/>
    <n v="2024"/>
    <m/>
    <m/>
    <s v="AKTIF (Semester 3)"/>
    <s v="AKTIF"/>
    <m/>
    <m/>
    <m/>
    <m/>
    <m/>
  </r>
  <r>
    <s v="Universitas Darussalam   "/>
    <s v="SARJANA"/>
    <s v="Manajemen Sumber Daya Perairan"/>
    <s v="September"/>
    <n v="2024"/>
    <s v="September"/>
    <n v="2028"/>
    <n v="2024"/>
    <m/>
    <m/>
    <s v="AKTIF (Semester 3)"/>
    <s v="AKTIF"/>
    <m/>
    <m/>
    <m/>
    <m/>
    <m/>
  </r>
  <r>
    <s v="Universitas Terbuka"/>
    <s v="SARJANA"/>
    <s v="Ilmu Komunikasi"/>
    <s v="September"/>
    <n v="2024"/>
    <s v="September"/>
    <n v="2028"/>
    <n v="2024"/>
    <m/>
    <m/>
    <s v="AKTIF (Semester 3)"/>
    <s v="AKTIF"/>
    <m/>
    <m/>
    <m/>
    <m/>
    <m/>
  </r>
  <r>
    <s v="Universitas Terbuka"/>
    <s v="MAGISTER"/>
    <s v="Manajemen Perikanan"/>
    <s v="Maret"/>
    <n v="2024"/>
    <s v="Maret"/>
    <n v="2026"/>
    <n v="2024"/>
    <m/>
    <m/>
    <s v="AKTIF (Semester 4)"/>
    <s v="AKTIF"/>
    <m/>
    <m/>
    <m/>
    <m/>
    <m/>
  </r>
  <r>
    <s v="Universitas Terbuka"/>
    <s v="SARJANA"/>
    <s v="Manajemen"/>
    <s v="Oktober"/>
    <n v="2024"/>
    <s v="Oktober"/>
    <n v="2028"/>
    <n v="2024"/>
    <m/>
    <m/>
    <s v="AKTIF (Semester 3)"/>
    <s v="AKTIF"/>
    <m/>
    <m/>
    <m/>
    <m/>
    <m/>
  </r>
  <r>
    <s v="Universitas Terbuka"/>
    <s v="MAGISTER"/>
    <s v="Manajemen Perikanan"/>
    <s v="Februari"/>
    <n v="2024"/>
    <s v="Februari"/>
    <n v="2026"/>
    <n v="2024"/>
    <m/>
    <m/>
    <s v="AKTIF (Semester 4)"/>
    <s v="AKTIF"/>
    <m/>
    <m/>
    <m/>
    <m/>
    <m/>
  </r>
  <r>
    <s v="Universitas Terbuka"/>
    <s v="SARJANA"/>
    <s v="Manajemen"/>
    <s v="Februari"/>
    <n v="2024"/>
    <s v="Februari"/>
    <n v="2028"/>
    <n v="2024"/>
    <m/>
    <m/>
    <s v="AKTIF (Semester 4)"/>
    <s v="AKTIF"/>
    <m/>
    <m/>
    <m/>
    <m/>
    <m/>
  </r>
  <r>
    <s v="Universitas Terbuka"/>
    <s v="MAGISTER"/>
    <s v="Manajemen Perikanan"/>
    <s v="September"/>
    <n v="2024"/>
    <s v="September"/>
    <n v="2026"/>
    <n v="2024"/>
    <m/>
    <m/>
    <s v="AKTIF (Semester 3)"/>
    <s v="AKTIF"/>
    <m/>
    <m/>
    <m/>
    <m/>
    <m/>
  </r>
  <r>
    <s v="Universitas Terbuka"/>
    <s v="MAGISTER"/>
    <s v="Manajemen Perikanan"/>
    <s v="Maret"/>
    <n v="2024"/>
    <s v="Maret"/>
    <n v="2026"/>
    <n v="2024"/>
    <m/>
    <m/>
    <s v="AKTIF (Semester 4)"/>
    <s v="AKTIF"/>
    <m/>
    <m/>
    <m/>
    <m/>
    <m/>
  </r>
  <r>
    <s v="Universitas Terbuka"/>
    <s v="MAGISTER"/>
    <s v="Manajemen Perikanan"/>
    <s v="Maret"/>
    <n v="2024"/>
    <s v="Maret"/>
    <n v="2026"/>
    <n v="2024"/>
    <m/>
    <m/>
    <s v="AKTIF (Semester 4)"/>
    <s v="AKTIF"/>
    <m/>
    <m/>
    <m/>
    <m/>
    <m/>
  </r>
  <r>
    <s v="Universitas Sjakhyakirti"/>
    <s v="MAGISTER"/>
    <s v="Agribisnis"/>
    <s v="Oktober"/>
    <n v="2024"/>
    <s v="Oktober"/>
    <n v="2026"/>
    <n v="2024"/>
    <m/>
    <m/>
    <s v="AKTIF (Semester 3)"/>
    <s v="AKTIF"/>
    <m/>
    <m/>
    <m/>
    <m/>
    <m/>
  </r>
  <r>
    <s v="Universitas Terbuka"/>
    <s v="SARJANA"/>
    <s v="Sistem Informasi"/>
    <s v="September"/>
    <n v="2024"/>
    <s v="September"/>
    <n v="2028"/>
    <n v="2024"/>
    <m/>
    <m/>
    <s v="AKTIF (Semester 3)"/>
    <s v="AKTIF"/>
    <m/>
    <m/>
    <m/>
    <m/>
    <m/>
  </r>
  <r>
    <s v="Universitas Terbuka"/>
    <s v="MAGISTER"/>
    <s v="Manajemen Perikanan"/>
    <s v="September"/>
    <n v="2024"/>
    <s v="September"/>
    <n v="2026"/>
    <n v="2024"/>
    <m/>
    <m/>
    <s v="AKTIF (Semester 3)"/>
    <s v="AKTIF"/>
    <m/>
    <m/>
    <m/>
    <m/>
    <m/>
  </r>
  <r>
    <s v="Universitas Bung Hatta"/>
    <s v="MAGISTER"/>
    <s v="Sumberdaya Perairan Pesisir dan Kelautan"/>
    <s v="September"/>
    <n v="2024"/>
    <s v="September"/>
    <n v="2026"/>
    <n v="2024"/>
    <m/>
    <m/>
    <s v="AKTIF (Semester 3)"/>
    <s v="AKTIF"/>
    <m/>
    <m/>
    <m/>
    <m/>
    <m/>
  </r>
  <r>
    <s v="Universitas Sjakhyakirti"/>
    <s v="MAGISTER"/>
    <s v="Agribisnis"/>
    <s v="Oktober"/>
    <n v="2024"/>
    <s v="Oktober"/>
    <n v="2026"/>
    <n v="2024"/>
    <m/>
    <m/>
    <s v="AKTIF (Semester 3)"/>
    <s v="AKTIF"/>
    <m/>
    <m/>
    <m/>
    <m/>
    <m/>
  </r>
  <r>
    <s v="Universitas Pendidikan Ganesha"/>
    <s v="MAGISTER"/>
    <s v="Ilmu Manajemen"/>
    <s v="September"/>
    <n v="2024"/>
    <s v="September"/>
    <n v="2026"/>
    <n v="2024"/>
    <m/>
    <m/>
    <s v="AKTIF (Semester 3)"/>
    <s v="AKTIF"/>
    <m/>
    <m/>
    <m/>
    <m/>
    <m/>
  </r>
  <r>
    <s v="Universitas Terbuka"/>
    <s v="MAGISTER"/>
    <s v="Manajemen Perikanan"/>
    <s v="Maret"/>
    <n v="2024"/>
    <s v="Maret"/>
    <n v="2026"/>
    <n v="2024"/>
    <m/>
    <m/>
    <s v="AKTIF (Semester 4)"/>
    <s v="AKTIF"/>
    <m/>
    <m/>
    <m/>
    <m/>
    <m/>
  </r>
  <r>
    <s v="Universitas Syiah Kuala"/>
    <s v="MAGISTER"/>
    <s v="Pengelolaan Sumberdaya Pesisir Terpadu"/>
    <s v="Januari"/>
    <n v="2025"/>
    <s v="Januari"/>
    <n v="2027"/>
    <n v="2024"/>
    <m/>
    <m/>
    <s v="AKTIF (Semester 2)"/>
    <s v="AKTIF"/>
    <m/>
    <m/>
    <m/>
    <m/>
    <m/>
  </r>
  <r>
    <s v="Universitas Sam Ratulangi"/>
    <s v="MAGISTER"/>
    <s v="Ilmu Perairan"/>
    <s v="Agustus"/>
    <n v="2024"/>
    <s v="Agustus"/>
    <n v="2026"/>
    <n v="2024"/>
    <m/>
    <m/>
    <s v="AKTIF (Semester 3)"/>
    <s v="AKTIF"/>
    <m/>
    <m/>
    <m/>
    <m/>
    <m/>
  </r>
  <r>
    <s v="Universitas Sam Ratulangi"/>
    <s v="MAGISTER"/>
    <s v="Ilmu Perairan"/>
    <s v="Agustus"/>
    <n v="2024"/>
    <s v="Agustus"/>
    <n v="2026"/>
    <n v="2024"/>
    <m/>
    <m/>
    <s v="AKTIF (Semester 3)"/>
    <s v="AKTIF"/>
    <m/>
    <m/>
    <m/>
    <m/>
    <m/>
  </r>
  <r>
    <s v=" Institut Teknologi Bandung"/>
    <s v="Doktor"/>
    <s v="Sains Kebumian"/>
    <s v="Februari"/>
    <n v="2024"/>
    <s v="Februari"/>
    <n v="2027"/>
    <n v="2024"/>
    <m/>
    <m/>
    <s v="AKTIF (Semester 4)"/>
    <s v="AKTIF"/>
    <m/>
    <m/>
    <m/>
    <m/>
    <m/>
  </r>
  <r>
    <s v="Universitas Terbuka"/>
    <s v="SARJANA"/>
    <s v="Ekonomi Pembangunan"/>
    <s v="Oktober"/>
    <n v="2024"/>
    <s v="Oktober"/>
    <n v="2028"/>
    <n v="2024"/>
    <m/>
    <m/>
    <s v="AKTIF (Semester 3)"/>
    <s v="AKTIF"/>
    <m/>
    <m/>
    <m/>
    <m/>
    <m/>
  </r>
  <r>
    <s v="Universitas Lambung Mangkurat"/>
    <s v="MAGISTER"/>
    <s v="Ilmu Perikanan"/>
    <s v="September"/>
    <n v="2024"/>
    <s v="September"/>
    <n v="2026"/>
    <n v="2024"/>
    <m/>
    <m/>
    <s v="AKTIF (Semester 3)"/>
    <s v="AKTIF"/>
    <m/>
    <m/>
    <m/>
    <m/>
    <m/>
  </r>
  <r>
    <s v="Universitas Terbuka"/>
    <s v="MAGISTER"/>
    <s v="Manajemen Perikanan"/>
    <s v="Maret"/>
    <n v="2024"/>
    <s v="Maret"/>
    <n v="2026"/>
    <n v="2024"/>
    <m/>
    <m/>
    <s v="AKTIF (Semester 4)"/>
    <s v="AKTIF"/>
    <m/>
    <m/>
    <m/>
    <m/>
    <m/>
  </r>
  <r>
    <s v="Universitas Terbuka"/>
    <s v="MAGISTER"/>
    <s v="Manajemen Perikanan"/>
    <s v="Maret"/>
    <n v="2024"/>
    <s v="Maret"/>
    <n v="2026"/>
    <n v="2024"/>
    <m/>
    <m/>
    <s v="AKTIF (Semester 4)"/>
    <s v="AKTIF"/>
    <m/>
    <m/>
    <m/>
    <m/>
    <m/>
  </r>
  <r>
    <s v="Universitas Terbuka"/>
    <s v="SARJANA"/>
    <s v="Akuntansi"/>
    <s v="Oktober"/>
    <n v="2024"/>
    <s v="Oktober"/>
    <n v="2028"/>
    <n v="2024"/>
    <m/>
    <m/>
    <s v="AKTIF (Semester 3)"/>
    <s v="AKTIF"/>
    <m/>
    <m/>
    <m/>
    <m/>
    <m/>
  </r>
  <r>
    <s v="Universitas Sam Ratulang"/>
    <s v="MAGISTER"/>
    <s v="Ilmu Perairan"/>
    <s v="Agustus"/>
    <n v="2024"/>
    <s v="Agustus"/>
    <n v="2026"/>
    <n v="2024"/>
    <m/>
    <m/>
    <s v="AKTIF (Semester 3)"/>
    <s v="AKTIF"/>
    <m/>
    <m/>
    <m/>
    <m/>
    <m/>
  </r>
  <r>
    <s v="Universitas Andalas"/>
    <s v="Doktor"/>
    <s v="Biologi"/>
    <s v="Oktober"/>
    <n v="2024"/>
    <s v="Oktober"/>
    <n v="2027"/>
    <n v="2024"/>
    <m/>
    <m/>
    <s v="AKTIF (Semester 3)"/>
    <s v="AKTIF"/>
    <m/>
    <m/>
    <m/>
    <m/>
    <m/>
  </r>
  <r>
    <s v="Universitas Syiah Kuala"/>
    <s v="MAGISTER"/>
    <s v="Pengelolaan Sumberdaya Pesisir Terpadu"/>
    <s v="Januari"/>
    <n v="2025"/>
    <s v="Januari"/>
    <n v="2027"/>
    <n v="2024"/>
    <m/>
    <m/>
    <s v="AKTIF (Semester 2)"/>
    <s v="AKTIF"/>
    <m/>
    <m/>
    <m/>
    <m/>
    <m/>
  </r>
  <r>
    <s v="Universitas Terbuka"/>
    <s v="SARJANA"/>
    <s v="Akuntansi"/>
    <s v="Oktober"/>
    <n v="2024"/>
    <s v="Oktober"/>
    <n v="2028"/>
    <n v="2024"/>
    <m/>
    <m/>
    <s v="AKTIF (Semester 3)"/>
    <s v="AKTIF"/>
    <m/>
    <m/>
    <m/>
    <m/>
    <m/>
  </r>
  <r>
    <s v="Universitas Wijaya Kusuma, Surabaya"/>
    <s v="SARJANA"/>
    <s v="Ilmu Perpustakaan dan Sains Informasi/Ilmu Perpustakaan"/>
    <s v="September"/>
    <n v="2024"/>
    <s v="September"/>
    <n v="2028"/>
    <n v="2024"/>
    <m/>
    <m/>
    <s v="AKTIF (Semester 3)"/>
    <s v="AKTIF"/>
    <m/>
    <m/>
    <m/>
    <m/>
    <m/>
  </r>
  <r>
    <s v="Universitas Terbuka"/>
    <s v="MAGISTER"/>
    <s v="Manajemen Perikanan"/>
    <s v="Februari"/>
    <n v="2024"/>
    <s v="Februari"/>
    <n v="2026"/>
    <n v="2024"/>
    <m/>
    <m/>
    <s v="AKTIF (Semester 4)"/>
    <s v="AKTIF"/>
    <m/>
    <m/>
    <m/>
    <m/>
    <m/>
  </r>
  <r>
    <s v="Universitas Terbuka"/>
    <s v="MAGISTER"/>
    <s v="Manajemen Perikanan"/>
    <s v="Maret"/>
    <n v="2024"/>
    <s v="Maret"/>
    <n v="2026"/>
    <n v="2024"/>
    <m/>
    <m/>
    <s v="AKTIF (Semester 4)"/>
    <s v="AKTIF"/>
    <m/>
    <m/>
    <m/>
    <m/>
    <m/>
  </r>
  <r>
    <s v="Universitas Sjakhyakirti"/>
    <s v="MAGISTER"/>
    <s v="Agribisnis"/>
    <s v="Oktober"/>
    <n v="2024"/>
    <s v="Oktober"/>
    <n v="2026"/>
    <n v="2024"/>
    <m/>
    <m/>
    <s v="AKTIF (Semester 3)"/>
    <s v="AKTIF"/>
    <m/>
    <m/>
    <m/>
    <m/>
    <m/>
  </r>
  <r>
    <s v="Universitas Syiah Kuala"/>
    <s v="MAGISTER"/>
    <s v="Pengelolaan Sumberdaya Pesisir Terpadu"/>
    <s v="Januari"/>
    <n v="2025"/>
    <s v="Januari"/>
    <n v="2027"/>
    <n v="2024"/>
    <m/>
    <m/>
    <s v="AKTIF (Semester 2)"/>
    <s v="AKTIF"/>
    <m/>
    <m/>
    <m/>
    <m/>
    <m/>
  </r>
  <r>
    <s v="Universitas Mitra Bangsa"/>
    <s v="MAGISTER"/>
    <s v="Manajemen"/>
    <s v="Agustus"/>
    <n v="2024"/>
    <s v="Agustus"/>
    <n v="2026"/>
    <n v="2024"/>
    <m/>
    <m/>
    <s v="AKTIF (Semester 3)"/>
    <s v="AKTIF"/>
    <m/>
    <m/>
    <m/>
    <m/>
    <m/>
  </r>
  <r>
    <s v="Universitas Pelita Harapan"/>
    <s v="SARJANA"/>
    <s v="Manajemen"/>
    <s v="Agustus"/>
    <n v="2024"/>
    <s v="Agustus"/>
    <n v="2026"/>
    <n v="2024"/>
    <m/>
    <m/>
    <s v="AKTIF (Semester 3)"/>
    <s v="AKTIF"/>
    <m/>
    <m/>
    <m/>
    <m/>
    <m/>
  </r>
  <r>
    <s v="Universitas Terbuka"/>
    <s v="Diploma IV"/>
    <s v="Kearsipan"/>
    <s v="Oktober"/>
    <n v="2024"/>
    <s v="Oktober"/>
    <n v="2026"/>
    <n v="2024"/>
    <m/>
    <m/>
    <s v="AKTIF (Semester 3)"/>
    <s v="AKTIF"/>
    <m/>
    <m/>
    <m/>
    <m/>
    <m/>
  </r>
  <r>
    <s v="Universitas Islam Lamongan"/>
    <s v="MAGISTER"/>
    <s v="Manajemen Sumberdaya Perairan"/>
    <s v="September"/>
    <n v="2024"/>
    <s v="September"/>
    <n v="2026"/>
    <n v="2024"/>
    <m/>
    <m/>
    <s v="AKTIF (Semester 3)"/>
    <s v="AKTIF"/>
    <m/>
    <m/>
    <m/>
    <m/>
    <m/>
  </r>
  <r>
    <s v="Universitas Terbuka"/>
    <s v="MAGISTER"/>
    <s v="Manajemen Perikanan"/>
    <s v="Maret"/>
    <n v="2024"/>
    <s v="Maret"/>
    <n v="2026"/>
    <n v="2024"/>
    <m/>
    <m/>
    <s v="AKTIF (Semester 4)"/>
    <s v="AKTIF"/>
    <m/>
    <m/>
    <m/>
    <m/>
    <m/>
  </r>
  <r>
    <s v="Institut Pertanian Bogor"/>
    <s v="MAGISTER"/>
    <s v="Ilmu Komputer"/>
    <s v="Oktober"/>
    <n v="2024"/>
    <s v="Oktober"/>
    <n v="2026"/>
    <n v="2024"/>
    <m/>
    <m/>
    <s v="AKTIF (Semester 3)"/>
    <s v="AKTIF"/>
    <m/>
    <m/>
    <m/>
    <m/>
    <m/>
  </r>
  <r>
    <s v="Universitas Terbuka"/>
    <s v="MAGISTER"/>
    <s v="Manajemen"/>
    <s v="Maret"/>
    <n v="2024"/>
    <s v="Maret"/>
    <n v="2026"/>
    <n v="2024"/>
    <m/>
    <m/>
    <s v="AKTIF (Semester 4)"/>
    <s v="AKTIF"/>
    <m/>
    <m/>
    <m/>
    <m/>
    <m/>
  </r>
  <r>
    <s v="Universitas Terbuka"/>
    <s v="SARJANA"/>
    <s v="Akuntansi Keuangan Publik"/>
    <s v="Maret"/>
    <n v="2024"/>
    <s v="Maret"/>
    <n v="2028"/>
    <n v="2024"/>
    <m/>
    <m/>
    <s v="AKTIF (Semester 4)"/>
    <s v="AKTIF"/>
    <m/>
    <m/>
    <m/>
    <m/>
    <m/>
  </r>
  <r>
    <s v="Universitas Terbuka"/>
    <s v="SARJANA"/>
    <s v="Agribisnis"/>
    <s v="Maret"/>
    <n v="2024"/>
    <s v="Maret"/>
    <n v="2028"/>
    <n v="2024"/>
    <m/>
    <m/>
    <s v="AKTIF (Semester 4)"/>
    <s v="AKTIF"/>
    <m/>
    <m/>
    <m/>
    <m/>
    <m/>
  </r>
  <r>
    <s v="Universitas Sam Ratulangi"/>
    <s v="MAGISTER"/>
    <s v="Ilmu Perairan"/>
    <s v="Agustus"/>
    <n v="2024"/>
    <s v="Agustus"/>
    <n v="2026"/>
    <n v="2024"/>
    <m/>
    <m/>
    <s v="AKTIF (Semester 3)"/>
    <s v="AKTIF"/>
    <m/>
    <m/>
    <m/>
    <m/>
    <m/>
  </r>
  <r>
    <s v="Universitas Terbuka"/>
    <s v="MAGISTER"/>
    <s v="Manajemen Perikanan"/>
    <s v="Maret"/>
    <n v="2024"/>
    <s v="Maret"/>
    <n v="2026"/>
    <n v="2024"/>
    <m/>
    <m/>
    <s v="AKTIF (Semester 4)"/>
    <s v="AKTIF"/>
    <m/>
    <m/>
    <m/>
    <m/>
    <m/>
  </r>
  <r>
    <s v=" Institut Teknologi Bandung"/>
    <s v="Doktor"/>
    <s v="Sains Kebumian"/>
    <s v="Februari"/>
    <n v="2024"/>
    <s v="Februari"/>
    <n v="2027"/>
    <n v="2024"/>
    <m/>
    <m/>
    <s v="AKTIF (Semester 4)"/>
    <s v="AKTIF"/>
    <m/>
    <m/>
    <m/>
    <m/>
    <m/>
  </r>
  <r>
    <s v=" Institut Teknologi Bandung"/>
    <s v="Doktor"/>
    <s v="Sains Kebumian"/>
    <s v="Februari"/>
    <n v="2024"/>
    <s v="Februari"/>
    <n v="2027"/>
    <n v="2024"/>
    <m/>
    <m/>
    <s v="AKTIF (Semester 4)"/>
    <s v="AKTIF"/>
    <m/>
    <m/>
    <m/>
    <m/>
    <m/>
  </r>
  <r>
    <s v=" Institut Teknologi Bandung"/>
    <s v="Doktor"/>
    <s v="Sains Kebumian"/>
    <s v="Februari"/>
    <n v="2024"/>
    <s v="Februari"/>
    <n v="2027"/>
    <n v="2024"/>
    <m/>
    <m/>
    <s v="AKTIF (Semester 4)"/>
    <s v="AKTIF"/>
    <m/>
    <m/>
    <m/>
    <m/>
    <m/>
  </r>
  <r>
    <s v="Universitas Bung Hatta"/>
    <s v="MAGISTER"/>
    <s v="Sumberdaya Perairan Pesisir dan Kelautan"/>
    <s v="September"/>
    <n v="2024"/>
    <s v=" September"/>
    <n v="2026"/>
    <n v="2024"/>
    <m/>
    <m/>
    <s v="AKTIF (Semester 3)"/>
    <s v="AKTIF"/>
    <m/>
    <m/>
    <m/>
    <m/>
    <m/>
  </r>
  <r>
    <s v="Universitas Gunadarma"/>
    <s v="MAGISTER"/>
    <s v="Manajemen Sistem Informasi/Sistem Informasi Bisnis"/>
    <s v="Maret"/>
    <n v="2024"/>
    <s v="Maret"/>
    <n v="2026"/>
    <n v="2024"/>
    <m/>
    <m/>
    <s v="AKTIF (Semester 4)"/>
    <s v="AKTIF"/>
    <m/>
    <m/>
    <m/>
    <m/>
    <m/>
  </r>
  <r>
    <s v="Universitas Sam Ratulangi"/>
    <s v="MAGISTER"/>
    <s v="Ilmu Perairan"/>
    <s v="Agustus"/>
    <n v="2024"/>
    <s v="Agustus"/>
    <n v="2026"/>
    <n v="2024"/>
    <m/>
    <m/>
    <s v="AKTIF (Semester 3)"/>
    <s v="AKTIF"/>
    <m/>
    <m/>
    <m/>
    <m/>
    <m/>
  </r>
  <r>
    <s v="Universitas Terbuka"/>
    <s v="MAGISTER"/>
    <s v="Manajemen Perikanan"/>
    <s v="Maret"/>
    <n v="2024"/>
    <s v="Maret "/>
    <n v="2026"/>
    <n v="2024"/>
    <m/>
    <m/>
    <s v="AKTIF (Semester 4)"/>
    <s v="AKTIF"/>
    <m/>
    <m/>
    <m/>
    <m/>
    <m/>
  </r>
  <r>
    <s v="Universitas Bung Hatta"/>
    <s v="MAGISTER"/>
    <s v="Sumberdaya Perairan Pesisir dan Kelautan"/>
    <s v="September"/>
    <n v="2024"/>
    <s v="September"/>
    <n v="2026"/>
    <n v="2024"/>
    <m/>
    <m/>
    <s v="AKTIF (Semester 3)"/>
    <s v="AKTIF"/>
    <m/>
    <m/>
    <m/>
    <m/>
    <m/>
  </r>
  <r>
    <s v="Universitas Bung Hatta"/>
    <s v="MAGISTER"/>
    <s v="Sumberdaya Perairan Pesisir dan Kelautan"/>
    <s v="September"/>
    <n v="2024"/>
    <s v="September"/>
    <n v="2026"/>
    <n v="2024"/>
    <m/>
    <m/>
    <s v="AKTIF (Semester 3)"/>
    <s v="AKTIF"/>
    <m/>
    <m/>
    <m/>
    <m/>
    <m/>
  </r>
  <r>
    <s v="Universitas Terbuka"/>
    <s v="MAGISTER"/>
    <s v="Manajemen Perikanan"/>
    <s v="Maret"/>
    <n v="2024"/>
    <s v=" Maret "/>
    <n v="2026"/>
    <n v="2024"/>
    <m/>
    <m/>
    <s v="AKTIF (Semester 4)"/>
    <s v="AKTIF"/>
    <m/>
    <m/>
    <m/>
    <m/>
    <m/>
  </r>
  <r>
    <s v="Politeknik STIA LAN Jakarta"/>
    <s v="MAGISTER"/>
    <s v="Administrasi Pembangunan Negara konsentrasi Manajemen Kebijakan Publik"/>
    <s v="Agustus"/>
    <n v="2024"/>
    <s v="Agustus"/>
    <n v="2026"/>
    <n v="2024"/>
    <m/>
    <m/>
    <s v="AKTIF (Semester 3)"/>
    <s v="AKTIF"/>
    <m/>
    <m/>
    <m/>
    <m/>
    <m/>
  </r>
  <r>
    <s v="Universitas Terbuka"/>
    <s v="MAGISTER"/>
    <s v="Manajemen Perikanan"/>
    <s v="September"/>
    <n v="2024"/>
    <s v="September"/>
    <n v="2026"/>
    <n v="2024"/>
    <m/>
    <m/>
    <s v="AKTIF (Semester 3)"/>
    <s v="AKTIF"/>
    <m/>
    <m/>
    <m/>
    <m/>
    <m/>
  </r>
  <r>
    <s v="Universitas Terbuka"/>
    <s v="Magister "/>
    <s v="Manajemen Perikanan"/>
    <s v="Maret"/>
    <n v="2024"/>
    <s v="Maret "/>
    <n v="2026"/>
    <n v="2025"/>
    <m/>
    <m/>
    <s v="AKTIF (Semester 4)"/>
    <s v="AKTIF"/>
    <m/>
    <m/>
    <m/>
    <m/>
    <m/>
  </r>
  <r>
    <s v="Universitas Riau"/>
    <s v="Magister "/>
    <s v=" Ilmu Kelautan"/>
    <s v="Februari"/>
    <n v="2025"/>
    <s v="Februari "/>
    <n v="2027"/>
    <n v="2025"/>
    <m/>
    <m/>
    <s v="AKTIF (Semester 2)"/>
    <s v="AKTIF"/>
    <m/>
    <m/>
    <m/>
    <m/>
    <m/>
  </r>
  <r>
    <s v="Universitas Riau"/>
    <s v="Magister "/>
    <s v=" Ilmu Kelautan"/>
    <s v="Februari"/>
    <n v="2025"/>
    <s v="Februari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Oktober"/>
    <n v="2024"/>
    <s v="Oktober "/>
    <n v="2027"/>
    <n v="2025"/>
    <m/>
    <m/>
    <s v="AKTIF (Semester 3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Januari"/>
    <n v="2025"/>
    <s v="Januari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Januari"/>
    <n v="2025"/>
    <s v="Januari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Januari"/>
    <n v="2025"/>
    <s v="Januari "/>
    <n v="2027"/>
    <n v="2025"/>
    <m/>
    <m/>
    <s v="AKTIF (Semester 2)"/>
    <s v="AKTIF"/>
    <m/>
    <m/>
    <m/>
    <m/>
    <m/>
  </r>
  <r>
    <s v="Universitas Terbuka"/>
    <s v="Magister "/>
    <s v="Administrasi Publik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Januari"/>
    <n v="2025"/>
    <s v="Januari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Februari"/>
    <n v="2025"/>
    <s v="Februari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Februari"/>
    <n v="2025"/>
    <s v="Februari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 "/>
    <s v="Manajemen Perikanan"/>
    <s v="Maret"/>
    <n v="2025"/>
    <s v="Maret "/>
    <n v="2027"/>
    <n v="2025"/>
    <m/>
    <m/>
    <s v="AKTIF (Semester 2)"/>
    <s v="AKTIF"/>
    <m/>
    <m/>
    <m/>
    <m/>
    <m/>
  </r>
  <r>
    <s v="Universitas Lambung Mangkurat"/>
    <s v="Magister "/>
    <s v="Ilmu Perikanan"/>
    <s v="Agustus"/>
    <n v="2024"/>
    <s v="Agustus "/>
    <n v="2026"/>
    <n v="2025"/>
    <m/>
    <m/>
    <s v="AKTIF (Semester 3)"/>
    <s v="AKTIF"/>
    <m/>
    <m/>
    <m/>
    <m/>
    <m/>
  </r>
  <r>
    <s v="Universitas Dirgantara Marsekal Suryadarma"/>
    <s v="Magister "/>
    <s v="Manajemen"/>
    <s v="September"/>
    <n v="2024"/>
    <s v="September "/>
    <n v="2026"/>
    <n v="2025"/>
    <m/>
    <m/>
    <s v="AKTIF (Semester 3)"/>
    <s v="AKTIF"/>
    <m/>
    <m/>
    <m/>
    <m/>
    <m/>
  </r>
  <r>
    <s v="Universitas Hasanuddin"/>
    <s v="Magister "/>
    <s v="Ilmu Perikanan "/>
    <s v="September"/>
    <n v="2024"/>
    <s v="September  "/>
    <n v="2026"/>
    <n v="2025"/>
    <m/>
    <m/>
    <s v="AKTIF (Semester 3)"/>
    <s v="AKTIF"/>
    <m/>
    <m/>
    <m/>
    <m/>
    <m/>
  </r>
  <r>
    <s v="Universitas Terbuka"/>
    <s v="Magister "/>
    <s v="Manajemen Perikanan"/>
    <s v="Februari"/>
    <n v="2025"/>
    <s v="Februari "/>
    <n v="2027"/>
    <n v="2025"/>
    <m/>
    <m/>
    <s v="AKTIF (Semester 2)"/>
    <s v="AKTIF"/>
    <m/>
    <m/>
    <m/>
    <m/>
    <m/>
  </r>
  <r>
    <s v="Universitas Terbuka"/>
    <s v="SARJANA"/>
    <s v="Perencanaan Wilayah dan Kota"/>
    <s v="Oktober"/>
    <n v="2024"/>
    <s v="Oktober"/>
    <n v="2028"/>
    <n v="2025"/>
    <n v="3"/>
    <s v="Kuliah Semester 3"/>
    <s v="AKTIF (Semester 3)"/>
    <s v="AKTIF"/>
    <s v="I = 2.75_x000a_II = 3.5_x000a_III = "/>
    <m/>
    <m/>
    <m/>
    <m/>
  </r>
  <r>
    <s v="Universitas Bosowa"/>
    <s v="MAGISTER"/>
    <s v="Budidaya Perairan "/>
    <s v="September"/>
    <n v="2024"/>
    <s v="September"/>
    <n v="2026"/>
    <n v="2025"/>
    <m/>
    <m/>
    <s v="AKTIF (Semester 3)"/>
    <s v="AKTIF"/>
    <m/>
    <m/>
    <m/>
    <m/>
    <m/>
  </r>
  <r>
    <s v="Universitas Halu Oleo"/>
    <s v="MAGISTER"/>
    <s v="Ilmu Perikanan "/>
    <s v="September"/>
    <n v="2024"/>
    <s v="September"/>
    <n v="2026"/>
    <n v="2025"/>
    <m/>
    <m/>
    <s v="AKTIF (Semester 3)"/>
    <s v="AKTIF"/>
    <m/>
    <m/>
    <m/>
    <m/>
    <m/>
  </r>
  <r>
    <s v="Universitas Terbuka"/>
    <s v="MAGISTER"/>
    <s v="Manajemen Perikanan"/>
    <s v="September"/>
    <n v="2024"/>
    <s v="September"/>
    <n v="2026"/>
    <n v="2025"/>
    <m/>
    <m/>
    <s v="AKTIF (Semester 3)"/>
    <s v="AKTIF"/>
    <m/>
    <m/>
    <m/>
    <m/>
    <m/>
  </r>
  <r>
    <s v="Universitas Muslim Indonesia"/>
    <s v="MAGISTER"/>
    <s v="Manajemen Pesisir dan Teknik Kelautan"/>
    <s v="September"/>
    <n v="2024"/>
    <s v="September"/>
    <n v="2026"/>
    <n v="2025"/>
    <m/>
    <m/>
    <s v="AKTIF (Semester 3)"/>
    <s v="AKTIF"/>
    <m/>
    <m/>
    <m/>
    <m/>
    <m/>
  </r>
  <r>
    <s v="Universitas Terbuka"/>
    <s v="MAGISTER"/>
    <s v="Manajemen Perikanan"/>
    <s v="September"/>
    <n v="2024"/>
    <s v="September"/>
    <n v="2026"/>
    <n v="2025"/>
    <m/>
    <m/>
    <s v="AKTIF (Semester 3)"/>
    <s v="AKTIF"/>
    <m/>
    <m/>
    <m/>
    <m/>
    <m/>
  </r>
  <r>
    <s v="Universitas Muslim Indonesia"/>
    <s v="MAGISTER"/>
    <s v="Manajemen Pesisir dan Teknik Kelautan"/>
    <s v="September"/>
    <n v="2024"/>
    <s v="September"/>
    <n v="2026"/>
    <n v="2025"/>
    <m/>
    <m/>
    <s v="AKTIF (Semester 3)"/>
    <s v="AKTIF"/>
    <m/>
    <m/>
    <m/>
    <m/>
    <m/>
  </r>
  <r>
    <s v="Universitas Terbuka"/>
    <s v="MAGISTER"/>
    <s v="Manajemen Perikanan"/>
    <s v="September"/>
    <n v="2024"/>
    <s v="September"/>
    <n v="2026"/>
    <n v="2025"/>
    <m/>
    <m/>
    <s v="AKTIF (Semester 3)"/>
    <s v="AKTIF"/>
    <m/>
    <m/>
    <m/>
    <m/>
    <m/>
  </r>
  <r>
    <s v="Universitas Terbuka"/>
    <s v="MAGISTER"/>
    <s v="Manajemen Perikanan"/>
    <s v="September"/>
    <n v="2024"/>
    <s v="September"/>
    <n v="2026"/>
    <n v="2025"/>
    <m/>
    <m/>
    <s v="AKTIF (Semester 3)"/>
    <s v="AKTIF"/>
    <m/>
    <m/>
    <m/>
    <m/>
    <m/>
  </r>
  <r>
    <s v="Politeknik STIA LAN Jakarta"/>
    <s v="Diploma IV"/>
    <s v="Administrasi Pembangunan Negara"/>
    <s v="Agustus"/>
    <n v="2024"/>
    <s v="Agustus"/>
    <n v="2026"/>
    <n v="2025"/>
    <n v="3"/>
    <s v="Kuliah Semester 3"/>
    <s v="AKTIF (Semester 3)"/>
    <s v="AKTIF"/>
    <s v="I = 3.62_x000a_II = 3.71_x000a_III = "/>
    <m/>
    <m/>
    <m/>
    <m/>
  </r>
  <r>
    <s v="Institut Teknologi Padang"/>
    <s v="SARJANA"/>
    <s v="Teknik Mesin"/>
    <s v="September"/>
    <n v="2024"/>
    <s v="September "/>
    <n v="2028"/>
    <n v="2025"/>
    <m/>
    <m/>
    <s v="AKTIF (Semester 3)"/>
    <s v="AKTIF"/>
    <m/>
    <m/>
    <m/>
    <m/>
    <m/>
  </r>
  <r>
    <s v="Sekolah Tinggi Ilmu Ekonomi"/>
    <s v="SARJANA"/>
    <s v="Ilmu Administrasi Negara"/>
    <s v="September"/>
    <n v="2025"/>
    <s v="September "/>
    <n v="2029"/>
    <n v="2025"/>
    <m/>
    <m/>
    <s v="AKTIF (Semester 1)"/>
    <s v="AKTIF"/>
    <m/>
    <m/>
    <m/>
    <m/>
    <m/>
  </r>
  <r>
    <s v="Universitas Terbuka"/>
    <s v="MAGISTER"/>
    <s v=" Manajemen Perikanan"/>
    <s v="September"/>
    <n v="2025"/>
    <s v="September"/>
    <n v="2027"/>
    <n v="2025"/>
    <m/>
    <m/>
    <s v="AKTIF (Semester 1)"/>
    <s v="AKTIF"/>
    <m/>
    <m/>
    <m/>
    <m/>
    <m/>
  </r>
  <r>
    <s v="Universitas Terbuka"/>
    <s v="MAGISTER"/>
    <s v=" Manajemen Perikanan"/>
    <s v="September"/>
    <n v="2025"/>
    <s v="September"/>
    <n v="2027"/>
    <n v="2025"/>
    <m/>
    <m/>
    <s v="AKTIF (Semester 1)"/>
    <s v="AKTIF"/>
    <m/>
    <m/>
    <m/>
    <m/>
    <m/>
  </r>
  <r>
    <s v="Universitas Terbuka"/>
    <s v="MAGISTER"/>
    <s v=" Manajemen Perikanan"/>
    <s v="September"/>
    <n v="2025"/>
    <s v="September"/>
    <n v="2027"/>
    <n v="2025"/>
    <m/>
    <m/>
    <s v="AKTIF (Semester 1)"/>
    <s v="AKTIF"/>
    <m/>
    <m/>
    <m/>
    <m/>
    <m/>
  </r>
  <r>
    <s v="Universitas Terbuka"/>
    <s v="MAGISTER"/>
    <s v=" Manajemen Perikanan"/>
    <s v="September"/>
    <n v="2025"/>
    <s v="September"/>
    <n v="2027"/>
    <n v="2025"/>
    <m/>
    <m/>
    <s v="AKTIF (Semester 1)"/>
    <s v="AKTIF"/>
    <m/>
    <m/>
    <m/>
    <m/>
    <m/>
  </r>
  <r>
    <s v="Universitas Terbuka"/>
    <s v="MAGISTER"/>
    <s v=" Manajemen Perikanan"/>
    <s v="September"/>
    <n v="2025"/>
    <s v="September"/>
    <n v="2027"/>
    <n v="2025"/>
    <m/>
    <m/>
    <s v="AKTIF (Semester 1)"/>
    <s v="AKTIF"/>
    <m/>
    <m/>
    <m/>
    <m/>
    <m/>
  </r>
  <r>
    <s v="Universitas Terbuka"/>
    <s v="MAGISTER"/>
    <s v=" Manajemen Perikanan"/>
    <s v="September"/>
    <n v="2025"/>
    <s v="September"/>
    <n v="2027"/>
    <n v="2025"/>
    <m/>
    <m/>
    <s v="AKTIF (Semester 1)"/>
    <s v="AKTIF"/>
    <m/>
    <m/>
    <m/>
    <m/>
    <m/>
  </r>
  <r>
    <s v="Universitas Hasanuddin"/>
    <s v="Doktor"/>
    <s v=" Ilmu Perikanan"/>
    <s v="Agustus"/>
    <n v="2025"/>
    <s v="Agustus"/>
    <n v="2028"/>
    <n v="2025"/>
    <m/>
    <m/>
    <s v="AKTIF (Semester 1)"/>
    <s v="AKTIF"/>
    <m/>
    <m/>
    <m/>
    <m/>
    <m/>
  </r>
  <r>
    <s v="Universitas Negeri Jakarta"/>
    <s v="Doktor"/>
    <s v=" Ilmu Manajemen"/>
    <s v="September"/>
    <n v="2024"/>
    <s v="September"/>
    <n v="2027"/>
    <n v="2025"/>
    <m/>
    <m/>
    <s v="AKTIF (Semester 3)"/>
    <s v="AKTIF"/>
    <m/>
    <m/>
    <m/>
    <m/>
    <m/>
  </r>
  <r>
    <s v="Universitas Negeri Jakarta"/>
    <s v="Doktor"/>
    <s v=" Ilmu Manajemen"/>
    <s v="September"/>
    <n v="2024"/>
    <s v="September"/>
    <n v="2027"/>
    <n v="2025"/>
    <m/>
    <m/>
    <s v="AKTIF (Semester 3)"/>
    <s v="AKTIF"/>
    <m/>
    <m/>
    <m/>
    <m/>
    <m/>
  </r>
  <r>
    <s v="Universitas Negeri Jakarta"/>
    <s v="Doktor"/>
    <s v=" Ilmu Manajemen"/>
    <s v="September"/>
    <n v="2024"/>
    <s v="September"/>
    <n v="2027"/>
    <n v="2025"/>
    <m/>
    <m/>
    <s v="AKTIF (Semester 3)"/>
    <s v="AKTIF"/>
    <m/>
    <m/>
    <m/>
    <m/>
    <m/>
  </r>
  <r>
    <s v="Universitas Negeri Jakarta"/>
    <s v="Doktor"/>
    <s v=" Ilmu Manajemen"/>
    <s v="September"/>
    <n v="2024"/>
    <s v="September"/>
    <n v="2027"/>
    <n v="2025"/>
    <m/>
    <m/>
    <s v="AKTIF (Semester 3)"/>
    <s v="AKTIF"/>
    <m/>
    <m/>
    <m/>
    <m/>
    <m/>
  </r>
  <r>
    <s v="Universitas Negeri Jakarta"/>
    <s v="Doktor"/>
    <s v=" Ilmu Manajemen"/>
    <s v="September"/>
    <n v="2024"/>
    <s v="September"/>
    <n v="2027"/>
    <n v="2025"/>
    <m/>
    <m/>
    <s v="AKTIF (Semester 3)"/>
    <s v="AKTIF"/>
    <m/>
    <m/>
    <m/>
    <m/>
    <m/>
  </r>
  <r>
    <s v="Universitas Negeri Jakarta"/>
    <s v="Doktor"/>
    <s v=" Ilmu Manajemen"/>
    <s v="September"/>
    <n v="2024"/>
    <s v="September"/>
    <n v="2027"/>
    <n v="2025"/>
    <m/>
    <m/>
    <s v="AKTIF (Semester 3)"/>
    <s v="AKTIF"/>
    <m/>
    <m/>
    <m/>
    <m/>
    <m/>
  </r>
  <r>
    <s v="Universitas Negeri Jakarta"/>
    <s v="Doktor"/>
    <s v=" Ilmu Manajemen"/>
    <s v="September"/>
    <n v="2024"/>
    <s v="September"/>
    <n v="2027"/>
    <n v="2025"/>
    <m/>
    <m/>
    <s v="AKTIF (Semester 3)"/>
    <s v="AKTIF"/>
    <m/>
    <m/>
    <m/>
    <m/>
    <m/>
  </r>
  <r>
    <s v="Universitas Negeri Jakarta"/>
    <s v="Doktor"/>
    <s v=" Ilmu Manajemen"/>
    <s v="September"/>
    <n v="2024"/>
    <s v="September"/>
    <n v="2027"/>
    <n v="2025"/>
    <m/>
    <m/>
    <s v="AKTIF (Semester 3)"/>
    <s v="AKTIF"/>
    <m/>
    <m/>
    <m/>
    <m/>
    <m/>
  </r>
  <r>
    <s v="Universitas Lampung"/>
    <s v="MAGISTER"/>
    <s v="Manajemen Wilayah Pesisir dan Laut"/>
    <s v="Agustus"/>
    <n v="2025"/>
    <s v="Agustus"/>
    <n v="2027"/>
    <n v="2025"/>
    <m/>
    <m/>
    <s v="AKTIF (Semester 1)"/>
    <s v="AKTIF"/>
    <m/>
    <m/>
    <m/>
    <m/>
    <m/>
  </r>
  <r>
    <s v="Universitas Terbuka"/>
    <s v="MAGISTER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"/>
    <s v="Manajemen Perikanan"/>
    <s v="Maret"/>
    <n v="2025"/>
    <s v="Maret "/>
    <n v="2027"/>
    <n v="2025"/>
    <m/>
    <m/>
    <s v="AKTIF (Semester 2)"/>
    <s v="AKTIF"/>
    <m/>
    <m/>
    <m/>
    <m/>
    <m/>
  </r>
  <r>
    <s v="Universitas Terbuka"/>
    <s v="MAGISTER"/>
    <s v="Manajemen Perikanan"/>
    <s v="Maret"/>
    <n v="2025"/>
    <s v="Maret"/>
    <n v="2027"/>
    <n v="2025"/>
    <m/>
    <m/>
    <s v="AKTIF (Semester 2)"/>
    <s v="AKTIF"/>
    <m/>
    <m/>
    <m/>
    <m/>
    <m/>
  </r>
  <r>
    <s v="Universitas Terbuka"/>
    <s v="SARJANA"/>
    <s v="Agribisnis"/>
    <s v="Oktober"/>
    <n v="2025"/>
    <s v="Oktober"/>
    <n v="2027"/>
    <n v="2025"/>
    <m/>
    <m/>
    <s v="AKTIF (Semester 1)"/>
    <s v="AKTIF"/>
    <m/>
    <m/>
    <m/>
    <m/>
    <m/>
  </r>
  <r>
    <s v="Universitas Terbuka"/>
    <s v="MAGISTER"/>
    <s v="Manajemen Perikanan"/>
    <s v="Juni"/>
    <n v="2025"/>
    <s v="Juni"/>
    <n v="2027"/>
    <n v="2025"/>
    <m/>
    <m/>
    <s v="AKTIF (Semester 2)"/>
    <s v="AKTIF"/>
    <m/>
    <m/>
    <m/>
    <m/>
    <m/>
  </r>
  <r>
    <s v="STIE"/>
    <s v="SARJANA"/>
    <s v="Manajemen"/>
    <s v="September"/>
    <n v="2025"/>
    <s v="September"/>
    <n v="2027"/>
    <n v="2025"/>
    <m/>
    <m/>
    <s v="AKTIF (Semester 1)"/>
    <s v="AKTIF"/>
    <m/>
    <m/>
    <m/>
    <m/>
    <m/>
  </r>
  <r>
    <s v="Universitas Terbuka"/>
    <s v="MAGISTER"/>
    <s v="Biologi"/>
    <s v="Agustus"/>
    <n v="2019"/>
    <s v="Agustus"/>
    <n v="2021"/>
    <n v="2020"/>
    <m/>
    <s v="?"/>
    <s v="LULUS"/>
    <s v="LULUS"/>
    <m/>
    <m/>
    <m/>
    <m/>
    <m/>
  </r>
  <r>
    <s v="Universitas Muhammdiyah  "/>
    <s v="SARJANA"/>
    <s v="Budidaya Perairan"/>
    <s v="September"/>
    <n v="2019"/>
    <s v="September"/>
    <n v="2023"/>
    <n v="2020"/>
    <m/>
    <s v="?"/>
    <s v="LULUS"/>
    <s v="LULUS"/>
    <m/>
    <m/>
    <m/>
    <m/>
    <m/>
  </r>
  <r>
    <s v="Universitas Terbuka"/>
    <s v="SARJANA"/>
    <s v="Biologi"/>
    <s v="Mei"/>
    <n v="2019"/>
    <s v="Mei"/>
    <n v="2023"/>
    <n v="2020"/>
    <m/>
    <s v="?"/>
    <s v="LULUS"/>
    <s v="LULUS"/>
    <m/>
    <m/>
    <m/>
    <m/>
    <m/>
  </r>
  <r>
    <s v="Universitas Asahan Kisaran"/>
    <s v="SARJANA"/>
    <s v="Budidaya Perairan  "/>
    <s v="September"/>
    <n v="2019"/>
    <s v="September"/>
    <n v="2023"/>
    <n v="2020"/>
    <m/>
    <s v="?"/>
    <s v="LULUS"/>
    <s v="LULUS"/>
    <m/>
    <m/>
    <m/>
    <m/>
    <m/>
  </r>
  <r>
    <s v="Universitas Terbuka"/>
    <s v="SARJANA"/>
    <s v="Biologi"/>
    <s v="September"/>
    <n v="2019"/>
    <s v="September"/>
    <n v="2023"/>
    <n v="2020"/>
    <m/>
    <s v="?"/>
    <s v="LULUS"/>
    <s v="LULUS"/>
    <m/>
    <m/>
    <m/>
    <m/>
    <m/>
  </r>
  <r>
    <s v="Universitas Negeri Padang "/>
    <s v="SARJANA"/>
    <s v="Kimia"/>
    <s v="Agustus"/>
    <n v="2019"/>
    <s v="Agustus"/>
    <n v="2023"/>
    <n v="2020"/>
    <m/>
    <s v="?"/>
    <s v="LULUS"/>
    <s v="LULUS"/>
    <m/>
    <m/>
    <m/>
    <m/>
    <m/>
  </r>
  <r>
    <s v="Universitas Taman Siswa "/>
    <s v="SARJANA"/>
    <s v="Ilmu Hukum"/>
    <s v="September"/>
    <n v="2019"/>
    <s v="September"/>
    <n v="2023"/>
    <n v="2020"/>
    <m/>
    <s v="?"/>
    <s v="LULUS"/>
    <s v="LULUS"/>
    <m/>
    <m/>
    <m/>
    <m/>
    <m/>
  </r>
  <r>
    <s v="Universitas Tadulako"/>
    <s v="MAGISTER"/>
    <s v="Ilmu Perikanan"/>
    <s v="September"/>
    <n v="2019"/>
    <s v="September"/>
    <n v="2021"/>
    <n v="2020"/>
    <m/>
    <s v="?"/>
    <s v="LULUS"/>
    <s v="LULUS"/>
    <m/>
    <m/>
    <m/>
    <m/>
    <m/>
  </r>
  <r>
    <s v="Universitas Dharmawangsa"/>
    <s v="SARJANA"/>
    <s v="Akuakultur"/>
    <s v="November"/>
    <n v="2019"/>
    <s v="November"/>
    <n v="2023"/>
    <n v="2020"/>
    <m/>
    <s v="LULUS"/>
    <s v="LULUS"/>
    <s v="LULUS"/>
    <m/>
    <m/>
    <m/>
    <m/>
    <m/>
  </r>
  <r>
    <s v="Universitas Satya Negara Indonesia"/>
    <s v="SARJANA"/>
    <s v="Manajemen"/>
    <s v="Maret"/>
    <n v="2020"/>
    <s v="Maret"/>
    <n v="2024"/>
    <n v="2020"/>
    <m/>
    <s v="?"/>
    <s v="LULUS"/>
    <s v="LULUS"/>
    <m/>
    <m/>
    <m/>
    <m/>
    <m/>
  </r>
  <r>
    <s v="STIKOM Poltek Cirebon"/>
    <s v="SARJANA"/>
    <s v="Teknik Informatika"/>
    <s v="Maret"/>
    <n v="2020"/>
    <s v="Maret"/>
    <n v="2022"/>
    <n v="2020"/>
    <m/>
    <s v="LULUS"/>
    <s v="LULUS"/>
    <s v="LULUS"/>
    <m/>
    <m/>
    <m/>
    <m/>
    <m/>
  </r>
  <r>
    <s v="STIE"/>
    <s v="MAGISTER"/>
    <s v="Akuntansi"/>
    <s v="Maret"/>
    <n v="2020"/>
    <s v="Maret"/>
    <n v="2022"/>
    <n v="2020"/>
    <m/>
    <s v="?"/>
    <s v="LULUS"/>
    <s v="LULUS"/>
    <m/>
    <m/>
    <m/>
    <m/>
    <m/>
  </r>
  <r>
    <s v="Universitas Nusa Bangsa Bogor"/>
    <s v="SARJANA"/>
    <s v="Kimia"/>
    <s v="September"/>
    <n v="2020"/>
    <s v="September"/>
    <n v="2024"/>
    <n v="2020"/>
    <m/>
    <s v="LULUS"/>
    <s v="LULUS"/>
    <s v="LULUS"/>
    <m/>
    <m/>
    <m/>
    <m/>
    <m/>
  </r>
  <r>
    <s v="Universitas Muhammdiyah  "/>
    <s v="SARJANA"/>
    <s v="Teknologi Hasil Perikanan"/>
    <s v="Oktober "/>
    <n v="2019"/>
    <s v="Oktober "/>
    <n v="2023"/>
    <n v="2020"/>
    <m/>
    <s v="?"/>
    <s v="LULUS"/>
    <s v="LULUS"/>
    <m/>
    <m/>
    <m/>
    <m/>
    <m/>
  </r>
  <r>
    <s v="Universitas Surabaya"/>
    <s v="MAGISTER"/>
    <s v="Bioteknologi/Biologi"/>
    <s v="Agustus"/>
    <n v="2020"/>
    <s v="Agustus"/>
    <n v="2023"/>
    <n v="2020"/>
    <m/>
    <s v="LULUS"/>
    <s v="LULUS"/>
    <s v="LULUS"/>
    <m/>
    <m/>
    <m/>
    <m/>
    <m/>
  </r>
  <r>
    <s v="Universitas Mulawarman"/>
    <s v="SARJANA"/>
    <s v="Akuakultur"/>
    <s v="Agustus"/>
    <n v="2020"/>
    <s v="Agustus"/>
    <n v="2024"/>
    <n v="2020"/>
    <m/>
    <s v="?"/>
    <s v="LULUS"/>
    <s v="LULUS"/>
    <m/>
    <m/>
    <m/>
    <m/>
    <m/>
  </r>
  <r>
    <s v="Universitas Terbuka"/>
    <s v="MAGISTER"/>
    <s v="Manajemen Keuangan"/>
    <s v="Agustus"/>
    <n v="2020"/>
    <s v="Agustus"/>
    <n v="2022"/>
    <n v="2020"/>
    <m/>
    <s v="?"/>
    <s v="LULUS"/>
    <s v="LULUS"/>
    <m/>
    <m/>
    <m/>
    <m/>
    <m/>
  </r>
  <r>
    <s v="Universitas Lambung Mangkurat"/>
    <s v="SARJANA"/>
    <s v="Administrasi Negara"/>
    <s v="September"/>
    <n v="2020"/>
    <s v="September"/>
    <n v="2024"/>
    <n v="2020"/>
    <m/>
    <s v="?"/>
    <s v="LULUS"/>
    <s v="LULUS"/>
    <m/>
    <m/>
    <m/>
    <m/>
    <m/>
  </r>
  <r>
    <s v="Universitas Terbuka"/>
    <s v="SARJANA"/>
    <s v="Akuntansi"/>
    <s v="Desember"/>
    <n v="2020"/>
    <s v="Desember"/>
    <n v="2024"/>
    <n v="2020"/>
    <m/>
    <s v="LULUS"/>
    <s v="LULUS"/>
    <s v="LULUS"/>
    <m/>
    <m/>
    <m/>
    <m/>
    <m/>
  </r>
  <r>
    <s v="Universitas Warmadewa Denpasar"/>
    <s v="SARJANA"/>
    <s v="Manajemen Sumberdaya Perairan"/>
    <s v="September"/>
    <n v="2020"/>
    <s v="September"/>
    <n v="2024"/>
    <n v="2020"/>
    <m/>
    <s v="?"/>
    <s v="LULUS"/>
    <s v="LULUS"/>
    <m/>
    <m/>
    <m/>
    <m/>
    <m/>
  </r>
  <r>
    <s v="Universitas Batam"/>
    <s v="MAGISTER"/>
    <s v="Ilmu Hukum"/>
    <s v="September"/>
    <n v="2020"/>
    <s v="September"/>
    <n v="2022"/>
    <n v="2020"/>
    <m/>
    <s v="LULUS"/>
    <s v="LULUS"/>
    <s v="LULUS"/>
    <m/>
    <m/>
    <m/>
    <m/>
    <m/>
  </r>
  <r>
    <s v="Universitas Terbuka"/>
    <s v="MAGISTER"/>
    <s v="Manajemen Perikanan"/>
    <s v="Agustus"/>
    <n v="2020"/>
    <s v="Agustus"/>
    <n v="2022"/>
    <n v="2020"/>
    <m/>
    <s v="?"/>
    <s v="LULUS"/>
    <s v="LULUS"/>
    <m/>
    <m/>
    <m/>
    <m/>
    <m/>
  </r>
  <r>
    <s v="Universitas Terbuka"/>
    <s v="SARJANA"/>
    <s v="Ilmu Administrasi Negara"/>
    <s v="Agustus"/>
    <n v="2019"/>
    <s v="Agustus"/>
    <n v="2023"/>
    <n v="2021"/>
    <m/>
    <s v="LULUS"/>
    <s v="LULUS"/>
    <s v="LULUS"/>
    <m/>
    <m/>
    <m/>
    <m/>
    <m/>
  </r>
  <r>
    <s v="STIE"/>
    <s v="SARJANA"/>
    <s v="Akuntansi "/>
    <s v="Maret"/>
    <n v="2021"/>
    <s v="Maret"/>
    <n v="2025"/>
    <n v="2021"/>
    <m/>
    <s v="?"/>
    <s v="LULUS"/>
    <s v="LULUS"/>
    <m/>
    <m/>
    <m/>
    <m/>
    <m/>
  </r>
  <r>
    <s v="Universitas Terbuka"/>
    <s v="SARJANA"/>
    <s v="Hukum"/>
    <s v="Januari"/>
    <n v="2021"/>
    <s v="Januari"/>
    <n v="2025"/>
    <n v="2021"/>
    <m/>
    <s v="?"/>
    <s v="LULUS"/>
    <s v="LULUS"/>
    <m/>
    <m/>
    <m/>
    <m/>
    <m/>
  </r>
  <r>
    <s v="Universitas Satya Negara Indonesia"/>
    <s v="SARJANA"/>
    <s v="Budidaya Perikanan"/>
    <s v="Maret"/>
    <n v="2021"/>
    <s v="Maret"/>
    <n v="2025"/>
    <n v="2021"/>
    <m/>
    <s v="?"/>
    <s v="LULUS"/>
    <s v="LULUS"/>
    <m/>
    <m/>
    <m/>
    <m/>
    <m/>
  </r>
  <r>
    <s v="Universitas 17 Agustus 1945"/>
    <s v="SARJANA"/>
    <s v="Pemanfaatan Sumberdaya Perikanan"/>
    <s v="Agustus"/>
    <n v="2021"/>
    <s v="Agustus"/>
    <n v="2025"/>
    <n v="2021"/>
    <m/>
    <s v="?"/>
    <s v="LULUS"/>
    <s v="LULUS"/>
    <m/>
    <m/>
    <m/>
    <m/>
    <m/>
  </r>
  <r>
    <s v="Universitas Muhammdiyah  "/>
    <s v="SARJANA"/>
    <s v="Teknik Kimia"/>
    <s v="September"/>
    <n v="2021"/>
    <s v="September"/>
    <n v="2025"/>
    <n v="2021"/>
    <m/>
    <s v="?"/>
    <s v="LULUS"/>
    <s v="LULUS"/>
    <m/>
    <m/>
    <m/>
    <m/>
    <m/>
  </r>
  <r>
    <s v="Universitas Terbuka"/>
    <s v="SARJANA"/>
    <s v="Akuntansi"/>
    <s v="Januari"/>
    <n v="2022"/>
    <s v="Januari"/>
    <n v="2024"/>
    <n v="2022"/>
    <m/>
    <s v="LULUS"/>
    <s v="LULUS"/>
    <s v="LULUS"/>
    <m/>
    <m/>
    <m/>
    <m/>
    <m/>
  </r>
  <r>
    <s v="Universitas Terbuka"/>
    <s v="MAGISTER"/>
    <s v="Manajemen Perikanan"/>
    <s v="September"/>
    <n v="2022"/>
    <s v="September"/>
    <n v="2024"/>
    <n v="2022"/>
    <m/>
    <s v="?"/>
    <s v="LULUS"/>
    <s v="LULUS"/>
    <m/>
    <m/>
    <m/>
    <m/>
    <m/>
  </r>
  <r>
    <s v="Universitas Sumatera Utara"/>
    <s v="MAGISTER"/>
    <s v="Teknik KImia"/>
    <s v="September "/>
    <n v="2022"/>
    <s v="September "/>
    <n v="2024"/>
    <n v="2022"/>
    <m/>
    <s v="LULUS"/>
    <s v="LULUS"/>
    <s v="LULUS"/>
    <m/>
    <m/>
    <m/>
    <m/>
    <m/>
  </r>
  <r>
    <s v="Universitas Terbuka"/>
    <s v="SARJANA"/>
    <s v="Sisitem Informasi"/>
    <s v="Februari"/>
    <n v="2022"/>
    <s v="Februari"/>
    <n v="2026"/>
    <n v="2022"/>
    <m/>
    <s v="?"/>
    <s v="AKTIF (Semester 8)"/>
    <s v="AKTIF"/>
    <m/>
    <m/>
    <m/>
    <m/>
    <m/>
  </r>
  <r>
    <s v="Universitas Terbuka"/>
    <s v="SARJANA"/>
    <s v="Biologi "/>
    <m/>
    <m/>
    <n v="0"/>
    <m/>
    <n v="2022"/>
    <m/>
    <s v="?"/>
    <s v="LULUS"/>
    <s v="LULUS"/>
    <m/>
    <m/>
    <m/>
    <m/>
    <m/>
  </r>
  <r>
    <s v="Universitas Terbuka"/>
    <s v="SARJANA"/>
    <s v="Akuntansi "/>
    <s v="februari"/>
    <n v="2022"/>
    <m/>
    <n v="2026"/>
    <n v="2022"/>
    <m/>
    <s v="?"/>
    <s v="AKTIF (Semester 8)"/>
    <s v="AKTIF"/>
    <m/>
    <m/>
    <m/>
    <m/>
    <m/>
  </r>
  <r>
    <s v="Universitas Nusa Bangsa"/>
    <s v="SARJANA"/>
    <s v="Kimia"/>
    <s v="Agustus"/>
    <n v="2022"/>
    <s v="Agustus"/>
    <n v="2026"/>
    <n v="2022"/>
    <m/>
    <s v="?"/>
    <s v="AKTIF (Semester 7)"/>
    <s v="AKTIF"/>
    <m/>
    <m/>
    <m/>
    <m/>
    <m/>
  </r>
  <r>
    <s v="Sekolah Tinggi Manajemen"/>
    <s v="MAGISTER"/>
    <s v="Manajemen Keuangan "/>
    <m/>
    <m/>
    <n v="0"/>
    <m/>
    <n v="2022"/>
    <m/>
    <s v="?"/>
    <s v="LULUS"/>
    <s v="LULUS"/>
    <m/>
    <m/>
    <m/>
    <m/>
    <m/>
  </r>
  <r>
    <s v="Universitas Terbuka"/>
    <s v="MAGISTER"/>
    <s v="Manajemen Perikanan"/>
    <m/>
    <m/>
    <n v="0"/>
    <m/>
    <n v="2022"/>
    <m/>
    <s v="?"/>
    <s v="LULUS"/>
    <s v="LULUS"/>
    <m/>
    <m/>
    <m/>
    <m/>
    <m/>
  </r>
  <r>
    <s v="Universitas Terbuka"/>
    <s v="MAGISTER"/>
    <s v="Manajemen Perikanan"/>
    <m/>
    <m/>
    <n v="0"/>
    <m/>
    <n v="2022"/>
    <m/>
    <s v="?"/>
    <s v="LULUS"/>
    <s v="LULUS"/>
    <m/>
    <m/>
    <m/>
    <m/>
    <m/>
  </r>
  <r>
    <s v="Universitas Riau   "/>
    <s v="MAGISTER"/>
    <s v="Ilmu Lingkungan "/>
    <m/>
    <m/>
    <n v="0"/>
    <m/>
    <n v="2022"/>
    <m/>
    <s v="?"/>
    <s v="LULUS"/>
    <s v="LULUS"/>
    <m/>
    <m/>
    <m/>
    <m/>
    <m/>
  </r>
  <r>
    <s v="Universitas Muhammdiyah  "/>
    <s v="SARJANA"/>
    <s v="Akuakultur "/>
    <m/>
    <m/>
    <n v="0"/>
    <m/>
    <n v="2022"/>
    <m/>
    <s v="?"/>
    <s v="LULUS"/>
    <s v="LULUS"/>
    <m/>
    <m/>
    <m/>
    <m/>
    <m/>
  </r>
  <r>
    <s v="Universitas Lambung Mangkurat"/>
    <s v="MAGISTER"/>
    <s v="Ilmu Perikanan   "/>
    <m/>
    <m/>
    <n v="0"/>
    <m/>
    <n v="2022"/>
    <m/>
    <s v="LULUS"/>
    <s v="LULUS"/>
    <s v="LULUS"/>
    <m/>
    <m/>
    <m/>
    <m/>
    <m/>
  </r>
  <r>
    <s v="Universitas Riau Pekanbaru"/>
    <s v="MAGISTER"/>
    <s v="Ilmu Kelautan"/>
    <s v="Agustus"/>
    <n v="2024"/>
    <s v="Agustus"/>
    <n v="2026"/>
    <n v="2024"/>
    <m/>
    <m/>
    <s v="AKTIF (Semester 3)"/>
    <s v="AKTIF"/>
    <m/>
    <m/>
    <m/>
    <m/>
    <m/>
  </r>
  <r>
    <s v="Universitas Terbuka"/>
    <s v="MAGISTER"/>
    <s v="Teknologi Pangan"/>
    <s v="Oktober"/>
    <n v="2024"/>
    <s v="Oktober"/>
    <n v="2026"/>
    <n v="2024"/>
    <m/>
    <m/>
    <s v="AKTIF (Semester 3)"/>
    <s v="AKTIF"/>
    <m/>
    <m/>
    <m/>
    <m/>
    <m/>
  </r>
  <r>
    <s v="Universitas Terbuka"/>
    <s v="SARJANA"/>
    <s v="Teknologi Pangan"/>
    <s v="September"/>
    <n v="2024"/>
    <s v="September"/>
    <n v="2028"/>
    <n v="2024"/>
    <m/>
    <m/>
    <s v="AKTIF (Semester 3)"/>
    <s v="AKTIF"/>
    <m/>
    <m/>
    <m/>
    <m/>
    <m/>
  </r>
  <r>
    <s v="Universitas Terbuka"/>
    <s v="SARJANA"/>
    <s v="Manajemen"/>
    <s v="September"/>
    <n v="2024"/>
    <s v="September"/>
    <n v="2028"/>
    <n v="2024"/>
    <m/>
    <m/>
    <s v="AKTIF (Semester 3)"/>
    <s v="AKTIF"/>
    <m/>
    <m/>
    <m/>
    <m/>
    <m/>
  </r>
  <r>
    <s v="Universitas Terbuka"/>
    <s v="SARJANA"/>
    <s v="Teknologi Pangan"/>
    <s v="Februari"/>
    <n v="2025"/>
    <s v=" Februari "/>
    <n v="2029"/>
    <n v="2024"/>
    <m/>
    <m/>
    <s v="AKTIF (Semester 2)"/>
    <s v="AKTIF"/>
    <m/>
    <m/>
    <m/>
    <m/>
    <m/>
  </r>
  <r>
    <s v="Universitas Terbuka"/>
    <s v="SARJANA"/>
    <s v="Akuntansi"/>
    <s v="September"/>
    <n v="2024"/>
    <s v="September"/>
    <n v="2028"/>
    <n v="2024"/>
    <m/>
    <m/>
    <s v="AKTIF (Semester 3)"/>
    <s v="AKTIF"/>
    <m/>
    <m/>
    <m/>
    <m/>
    <m/>
  </r>
  <r>
    <s v="Universitas Muhammdiyah  "/>
    <s v="SARJANA"/>
    <s v="Teknologi Hasil Perikanan"/>
    <m/>
    <n v="2024"/>
    <n v="0"/>
    <n v="2028"/>
    <n v="2024"/>
    <m/>
    <m/>
    <e v="#N/A"/>
    <s v="AKTIF"/>
    <m/>
    <m/>
    <m/>
    <m/>
    <m/>
  </r>
  <r>
    <s v="Universitas Dr. Soetomo Surabaya"/>
    <s v="SARJANA"/>
    <s v="Budidaya Perairan"/>
    <s v="September"/>
    <n v="2024"/>
    <s v="September"/>
    <n v="2028"/>
    <n v="2024"/>
    <m/>
    <m/>
    <s v="AKTIF (Semester 3)"/>
    <s v="AKTIF"/>
    <m/>
    <m/>
    <m/>
    <m/>
    <m/>
  </r>
  <r>
    <s v="Universitas Terbuka"/>
    <s v="SARJANA"/>
    <s v="Pendidikan Biologi"/>
    <s v="Juni"/>
    <n v="2024"/>
    <s v=" Juni"/>
    <n v="2028"/>
    <n v="2024"/>
    <m/>
    <m/>
    <s v="AKTIF (Semester 4)"/>
    <s v="AKTIF"/>
    <m/>
    <m/>
    <m/>
    <m/>
    <m/>
  </r>
  <r>
    <s v="SKIPM Jambi"/>
    <s v="SARJANA"/>
    <s v="Biologi"/>
    <m/>
    <n v="2024"/>
    <n v="0"/>
    <n v="2028"/>
    <n v="2024"/>
    <m/>
    <m/>
    <e v="#N/A"/>
    <s v="AKTIF"/>
    <m/>
    <m/>
    <m/>
    <m/>
    <m/>
  </r>
  <r>
    <s v="Universitas PGRI "/>
    <s v="SARJANA"/>
    <s v="Ilmu Perikanan"/>
    <s v="September"/>
    <n v="2024"/>
    <s v="September"/>
    <n v="2028"/>
    <n v="2024"/>
    <m/>
    <m/>
    <s v="AKTIF (Semester 3)"/>
    <s v="AKTIF"/>
    <m/>
    <m/>
    <m/>
    <m/>
    <m/>
  </r>
  <r>
    <s v="Universitas Terbuka"/>
    <s v="SARJANA"/>
    <s v="Teknologi Pangan"/>
    <s v="Desember"/>
    <n v="2024"/>
    <s v="Desember"/>
    <n v="2028"/>
    <n v="2024"/>
    <m/>
    <m/>
    <s v="AKTIF (Semester 3)"/>
    <s v="AKTIF"/>
    <m/>
    <m/>
    <m/>
    <m/>
    <m/>
  </r>
  <r>
    <s v="Universitas Terbuka"/>
    <s v="SARJANA"/>
    <s v="Agribisnis Perikanan"/>
    <s v="April"/>
    <n v="2024"/>
    <s v="April"/>
    <n v="2028"/>
    <n v="2024"/>
    <m/>
    <m/>
    <s v="AKTIF (Semester 4)"/>
    <s v="AKTIF"/>
    <m/>
    <m/>
    <m/>
    <m/>
    <m/>
  </r>
  <r>
    <s v="Universitas Terbuka"/>
    <s v="SARJANA"/>
    <s v="Teknologi Pangan"/>
    <s v="Agustus"/>
    <n v="2024"/>
    <s v="Agustus"/>
    <n v="2028"/>
    <n v="2024"/>
    <m/>
    <m/>
    <s v="AKTIF (Semester 3)"/>
    <s v="AKTIF"/>
    <m/>
    <m/>
    <m/>
    <m/>
    <m/>
  </r>
  <r>
    <s v="STIE"/>
    <s v="MAGISTER"/>
    <s v="Manajemen"/>
    <s v="Agustus"/>
    <n v="2024"/>
    <s v="Agustus"/>
    <n v="2026"/>
    <n v="2024"/>
    <m/>
    <m/>
    <s v="AKTIF (Semester 3)"/>
    <s v="AKTIF"/>
    <m/>
    <m/>
    <m/>
    <m/>
    <m/>
  </r>
  <r>
    <s v="Universitas Terbuka"/>
    <s v="SARJANA"/>
    <s v="Administrasi Publik"/>
    <s v="Oktober"/>
    <n v="2024"/>
    <s v="Oktober"/>
    <n v="2028"/>
    <n v="2024"/>
    <m/>
    <m/>
    <s v="AKTIF (Semester 3)"/>
    <s v="AKTIF"/>
    <m/>
    <m/>
    <m/>
    <m/>
    <m/>
  </r>
  <r>
    <s v="Universitas Terbuka"/>
    <s v="MAGISTER"/>
    <s v="Manajemen Perikanan"/>
    <s v="September"/>
    <n v="2024"/>
    <s v="September "/>
    <n v="2026"/>
    <n v="2024"/>
    <m/>
    <m/>
    <s v="AKTIF (Semester 3)"/>
    <s v="AKTIF"/>
    <m/>
    <m/>
    <m/>
    <m/>
    <m/>
  </r>
  <r>
    <s v="Institut Teknologi Adhi Tama"/>
    <s v="SARJANA"/>
    <s v="Sistem Informasi "/>
    <s v="September"/>
    <n v="2024"/>
    <s v="September"/>
    <n v="2028"/>
    <n v="2024"/>
    <m/>
    <m/>
    <s v="AKTIF (Semester 3)"/>
    <s v="AKTIF"/>
    <m/>
    <m/>
    <m/>
    <m/>
    <m/>
  </r>
  <r>
    <s v="Universitas Terbuka"/>
    <s v="MAGISTER"/>
    <s v="Manajemen Perikanan"/>
    <s v="Oktober"/>
    <n v="2024"/>
    <s v="Oktober"/>
    <n v="2026"/>
    <n v="2024"/>
    <m/>
    <m/>
    <s v="AKTIF (Semester 3)"/>
    <s v="AKTIF"/>
    <m/>
    <m/>
    <m/>
    <m/>
    <m/>
  </r>
  <r>
    <s v="Universitas Terbuka"/>
    <s v="MAGISTER"/>
    <s v="Manajemen Perikanan"/>
    <s v="Januari"/>
    <n v="2025"/>
    <s v=" Januari"/>
    <n v="2027"/>
    <n v="2024"/>
    <m/>
    <m/>
    <s v="AKTIF (Semester 2)"/>
    <s v="AKTIF"/>
    <m/>
    <m/>
    <m/>
    <m/>
    <m/>
  </r>
  <r>
    <s v="Universitas Darma Agung"/>
    <s v="SARJANA"/>
    <s v="Manajemen"/>
    <s v="September"/>
    <n v="2024"/>
    <s v="September"/>
    <n v="2028"/>
    <n v="2024"/>
    <m/>
    <m/>
    <s v="AKTIF (Semester 3)"/>
    <s v="AKTIF"/>
    <m/>
    <m/>
    <m/>
    <m/>
    <m/>
  </r>
  <r>
    <s v="Universitas Khairun Ternate"/>
    <s v="MAGISTER"/>
    <s v="Ilmu Kelautan"/>
    <m/>
    <n v="2024"/>
    <n v="0"/>
    <n v="2026"/>
    <n v="2024"/>
    <m/>
    <m/>
    <e v="#N/A"/>
    <s v="AKTIF"/>
    <m/>
    <m/>
    <m/>
    <m/>
    <m/>
  </r>
  <r>
    <s v="Universitas Terbuka"/>
    <s v="MAGISTER"/>
    <s v="Manajemen Perikanan"/>
    <s v="Januari"/>
    <n v="2025"/>
    <s v="Januari "/>
    <n v="2027"/>
    <n v="2024"/>
    <m/>
    <m/>
    <s v="AKTIF (Semester 2)"/>
    <s v="AKTIF"/>
    <m/>
    <m/>
    <m/>
    <m/>
    <m/>
  </r>
  <r>
    <s v="Universitas PGRI"/>
    <s v="SARJANA"/>
    <s v="Ilmu Perikanan"/>
    <s v="September"/>
    <n v="2024"/>
    <s v="September"/>
    <n v="2028"/>
    <n v="2024"/>
    <m/>
    <m/>
    <s v="AKTIF (Semester 3)"/>
    <s v="AKTIF"/>
    <m/>
    <m/>
    <m/>
    <m/>
    <m/>
  </r>
  <r>
    <s v="Universitas Muhammdiyah  "/>
    <s v="SARJANA"/>
    <s v="Teknologi Hasil Perikanan"/>
    <m/>
    <n v="2024"/>
    <n v="0"/>
    <n v="2028"/>
    <n v="2024"/>
    <m/>
    <m/>
    <e v="#N/A"/>
    <s v="AKTIF"/>
    <m/>
    <m/>
    <m/>
    <m/>
    <m/>
  </r>
  <r>
    <s v="Universitas Terbuka"/>
    <s v="SARJANA"/>
    <s v="Kearsipan"/>
    <s v="September"/>
    <n v="2024"/>
    <s v="September"/>
    <n v="2028"/>
    <n v="2024"/>
    <m/>
    <m/>
    <s v="AKTIF (Semester 3)"/>
    <s v="AKTIF"/>
    <m/>
    <m/>
    <m/>
    <m/>
    <m/>
  </r>
  <r>
    <s v="Universitas Terbuka"/>
    <s v="SARJANA"/>
    <s v="Teknologi Pangan"/>
    <m/>
    <n v="2024"/>
    <n v="0"/>
    <n v="2028"/>
    <n v="2024"/>
    <m/>
    <m/>
    <e v="#N/A"/>
    <s v="AKTIF"/>
    <m/>
    <m/>
    <m/>
    <m/>
    <m/>
  </r>
  <r>
    <s v="Universitas Muhammdiyah  "/>
    <s v="SARJANA"/>
    <s v="Manajemen"/>
    <s v="Agustus"/>
    <n v="2024"/>
    <s v="Agustus "/>
    <n v="2028"/>
    <n v="2024"/>
    <m/>
    <m/>
    <s v="AKTIF (Semester 3)"/>
    <s v="AKTIF"/>
    <m/>
    <m/>
    <m/>
    <m/>
    <m/>
  </r>
  <r>
    <s v="Universitas Terbuka"/>
    <s v="SARJANA"/>
    <s v="Teknologi Pangan"/>
    <m/>
    <n v="2024"/>
    <n v="0"/>
    <n v="2028"/>
    <n v="2024"/>
    <m/>
    <m/>
    <e v="#N/A"/>
    <s v="AKTIF"/>
    <m/>
    <m/>
    <m/>
    <m/>
    <m/>
  </r>
  <r>
    <s v="Universitas Terbuka"/>
    <s v="SARJANA"/>
    <s v="Biologi"/>
    <s v="September"/>
    <n v="2024"/>
    <s v="September"/>
    <n v="2028"/>
    <n v="2024"/>
    <m/>
    <m/>
    <s v="AKTIF (Semester 3)"/>
    <s v="AKTIF"/>
    <m/>
    <m/>
    <m/>
    <m/>
    <m/>
  </r>
  <r>
    <s v="Universitas Terbuka"/>
    <s v="MAGISTER"/>
    <s v="Manajemen Perikanan"/>
    <s v="September"/>
    <n v="2024"/>
    <s v="September"/>
    <n v="2026"/>
    <n v="2024"/>
    <m/>
    <m/>
    <s v="AKTIF (Semester 3)"/>
    <s v="AKTIF"/>
    <m/>
    <m/>
    <m/>
    <m/>
    <m/>
  </r>
  <r>
    <s v="Universitas Terbuka"/>
    <s v="SARJANA"/>
    <s v="Ekonomi/Akuntansi"/>
    <s v="September"/>
    <n v="2024"/>
    <s v="September"/>
    <n v="2028"/>
    <n v="2024"/>
    <m/>
    <m/>
    <s v="AKTIF (Semester 3)"/>
    <s v="AKTIF"/>
    <m/>
    <m/>
    <m/>
    <m/>
    <m/>
  </r>
  <r>
    <s v="Universitas Terbuka"/>
    <s v="Doktor"/>
    <s v="Ilmu Manajemen"/>
    <m/>
    <n v="2024"/>
    <n v="0"/>
    <n v="2027"/>
    <n v="2024"/>
    <m/>
    <m/>
    <e v="#N/A"/>
    <s v="AKTIF"/>
    <m/>
    <m/>
    <m/>
    <m/>
    <m/>
  </r>
  <r>
    <s v="Universitas Terbuka"/>
    <s v="SARJANA"/>
    <s v="Teknologi Pangan"/>
    <s v="September"/>
    <n v="2024"/>
    <s v=" September"/>
    <n v="2028"/>
    <n v="2024"/>
    <m/>
    <m/>
    <s v="AKTIF (Semester 3)"/>
    <s v="AKTIF"/>
    <m/>
    <m/>
    <m/>
    <m/>
    <m/>
  </r>
  <r>
    <s v="Universitas Terbuka"/>
    <s v="SARJANA"/>
    <s v="Administrasi Negara/Publik"/>
    <s v="Oktober"/>
    <n v="2024"/>
    <s v="Oktober"/>
    <n v="2028"/>
    <n v="2024"/>
    <m/>
    <m/>
    <s v="AKTIF (Semester 3)"/>
    <s v="AKTIF"/>
    <m/>
    <m/>
    <m/>
    <m/>
    <m/>
  </r>
  <r>
    <s v="Universitas Terbuka"/>
    <s v="SARJANA"/>
    <s v="Biologi"/>
    <m/>
    <m/>
    <n v="0"/>
    <m/>
    <n v="2024"/>
    <m/>
    <m/>
    <s v="LULUS"/>
    <s v="LULUS"/>
    <m/>
    <m/>
    <m/>
    <m/>
    <m/>
  </r>
  <r>
    <s v="Universitas Terbuka"/>
    <s v="SARJANA"/>
    <s v="Teknologi Pangan"/>
    <m/>
    <n v="2024"/>
    <n v="0"/>
    <n v="2028"/>
    <n v="2024"/>
    <m/>
    <m/>
    <e v="#N/A"/>
    <s v="AKTIF"/>
    <m/>
    <m/>
    <m/>
    <m/>
    <m/>
  </r>
  <r>
    <s v="Universitas Terbuka"/>
    <s v="SARJANA"/>
    <s v="Teknologi Pangan"/>
    <m/>
    <n v="2024"/>
    <n v="0"/>
    <n v="2028"/>
    <n v="2024"/>
    <m/>
    <m/>
    <e v="#N/A"/>
    <s v="AKTIF"/>
    <m/>
    <m/>
    <m/>
    <m/>
    <m/>
  </r>
  <r>
    <s v="Universitas Indonesia Membangun (INABA)"/>
    <s v="SARJANA"/>
    <s v="Akuntansi"/>
    <s v="Oktober"/>
    <n v="2024"/>
    <s v="Oktober"/>
    <n v="2028"/>
    <n v="2024"/>
    <m/>
    <m/>
    <s v="AKTIF (Semester 3)"/>
    <s v="AKTIF"/>
    <m/>
    <m/>
    <m/>
    <m/>
    <m/>
  </r>
  <r>
    <s v="Universitas Terbuka"/>
    <s v="MAGISTER"/>
    <s v="Manajemen Perikanan"/>
    <s v="Maret "/>
    <n v="2025"/>
    <s v="Maret "/>
    <m/>
    <m/>
    <m/>
    <m/>
    <s v="LULUS"/>
    <s v="LULUS"/>
    <m/>
    <m/>
    <m/>
    <m/>
    <m/>
  </r>
  <r>
    <s v="Universitas Terbuka"/>
    <s v="SARJANA"/>
    <s v="Teknologi Pangan"/>
    <m/>
    <n v="2024"/>
    <n v="0"/>
    <m/>
    <m/>
    <m/>
    <m/>
    <s v="LULUS"/>
    <s v="LULUS"/>
    <m/>
    <m/>
    <m/>
    <m/>
    <m/>
  </r>
  <r>
    <s v="Universitas Terbuka"/>
    <s v="SARJANA"/>
    <s v="Teknologi Pangan"/>
    <s v="September"/>
    <n v="2024"/>
    <s v="September"/>
    <m/>
    <m/>
    <m/>
    <m/>
    <s v="LULUS"/>
    <s v="LULUS"/>
    <m/>
    <m/>
    <m/>
    <m/>
    <m/>
  </r>
  <r>
    <s v="Universitas Terbuka"/>
    <s v="MAGISTER"/>
    <s v="Manajemen Perikanan"/>
    <s v="Januari"/>
    <n v="2025"/>
    <s v="Januari"/>
    <m/>
    <m/>
    <m/>
    <m/>
    <s v="LULUS"/>
    <s v="LULUS"/>
    <m/>
    <m/>
    <m/>
    <m/>
    <m/>
  </r>
  <r>
    <s v="Universitas Terbuka"/>
    <s v="SARJANA"/>
    <s v="Manajemen"/>
    <s v="Februari"/>
    <n v="2024"/>
    <s v="Februari"/>
    <m/>
    <m/>
    <m/>
    <m/>
    <s v="LULUS"/>
    <s v="LULUS"/>
    <m/>
    <m/>
    <m/>
    <m/>
    <m/>
  </r>
  <r>
    <s v="Universitas Terbuka"/>
    <s v="SARJANA"/>
    <s v="Teknologi Pangan"/>
    <s v="September "/>
    <n v="2024"/>
    <s v="September "/>
    <m/>
    <m/>
    <m/>
    <m/>
    <s v="LULUS"/>
    <s v="LULUS"/>
    <m/>
    <m/>
    <m/>
    <m/>
    <m/>
  </r>
  <r>
    <s v="Universitas Terbuka"/>
    <s v="SARJANA"/>
    <s v="Teknologi Pangan"/>
    <s v="September "/>
    <n v="2024"/>
    <s v="September "/>
    <m/>
    <m/>
    <m/>
    <m/>
    <s v="LULUS"/>
    <s v="LULUS"/>
    <m/>
    <m/>
    <m/>
    <m/>
    <m/>
  </r>
  <r>
    <s v="Universitas Terbuka"/>
    <s v="MAGISTER"/>
    <s v="Manajemen Perikanan"/>
    <s v="April "/>
    <n v="2025"/>
    <s v="April "/>
    <m/>
    <m/>
    <m/>
    <m/>
    <s v="LULUS"/>
    <s v="LULUS"/>
    <m/>
    <m/>
    <m/>
    <m/>
    <m/>
  </r>
  <r>
    <s v="Universitas Sari Mutiara Indonesia"/>
    <s v="SARJANA"/>
    <s v="Kimia"/>
    <s v="September "/>
    <n v="2024"/>
    <s v="September "/>
    <m/>
    <m/>
    <m/>
    <m/>
    <s v="LULUS"/>
    <s v="LULUS"/>
    <m/>
    <m/>
    <m/>
    <m/>
    <m/>
  </r>
  <r>
    <s v="Universitas Sumatera Utara"/>
    <s v="MAGISTER"/>
    <s v="Pengelolaan Sumber Daya Alam dan Lingkungan"/>
    <s v="Februari "/>
    <n v="2025"/>
    <s v="Februari "/>
    <m/>
    <m/>
    <m/>
    <m/>
    <s v="LULUS"/>
    <s v="LULUS"/>
    <m/>
    <m/>
    <m/>
    <m/>
    <m/>
  </r>
  <r>
    <s v="Universitas Terbuka"/>
    <s v="SARJANA"/>
    <s v="Teknologi Pangan"/>
    <s v="September "/>
    <n v="2024"/>
    <s v="September "/>
    <m/>
    <m/>
    <m/>
    <m/>
    <s v="LULUS"/>
    <s v="LULUS"/>
    <m/>
    <m/>
    <m/>
    <m/>
    <m/>
  </r>
  <r>
    <s v="Universitas Lambung Mangkurat"/>
    <s v="MAGISTER"/>
    <s v="Ilmu Perikanan"/>
    <s v="Agustus "/>
    <n v="2024"/>
    <s v="Agustus "/>
    <m/>
    <m/>
    <m/>
    <m/>
    <s v="LULUS"/>
    <s v="LULUS"/>
    <m/>
    <m/>
    <m/>
    <m/>
    <m/>
  </r>
  <r>
    <s v="Universitas Mulia"/>
    <s v="SARJANA"/>
    <s v="Manajemen"/>
    <s v="September "/>
    <n v="2024"/>
    <s v="September "/>
    <m/>
    <m/>
    <m/>
    <m/>
    <s v="LULUS"/>
    <s v="LULUS"/>
    <m/>
    <m/>
    <m/>
    <m/>
    <m/>
  </r>
  <r>
    <s v="Universitas Terbuka"/>
    <s v="Magister "/>
    <s v="Manajemen Perikanan"/>
    <s v="September "/>
    <n v="2025"/>
    <s v="September "/>
    <m/>
    <m/>
    <m/>
    <m/>
    <s v="LULUS"/>
    <s v="LULUS"/>
    <m/>
    <m/>
    <m/>
    <m/>
    <m/>
  </r>
  <r>
    <s v="STIE"/>
    <s v="SARJANA"/>
    <s v="Manajemen"/>
    <s v="September "/>
    <n v="2024"/>
    <s v="September "/>
    <m/>
    <m/>
    <m/>
    <m/>
    <s v="LULUS"/>
    <s v="LULUS"/>
    <m/>
    <m/>
    <m/>
    <m/>
    <m/>
  </r>
  <r>
    <s v="Universitas Terbuka"/>
    <s v="SARJANA"/>
    <s v="Akuntansi"/>
    <s v="September "/>
    <n v="2024"/>
    <s v="September "/>
    <m/>
    <m/>
    <m/>
    <m/>
    <s v="LULUS"/>
    <s v="LULUS"/>
    <m/>
    <m/>
    <m/>
    <m/>
    <m/>
  </r>
  <r>
    <s v="Universitas Terbuka"/>
    <s v="Magister "/>
    <s v="Manajemen"/>
    <s v="Januari "/>
    <n v="2025"/>
    <s v="Januari "/>
    <m/>
    <m/>
    <m/>
    <m/>
    <s v="LULUS"/>
    <s v="LULUS"/>
    <m/>
    <m/>
    <m/>
    <m/>
    <m/>
  </r>
  <r>
    <s v="Universitas Terbuka"/>
    <s v="Magister "/>
    <s v="Manajemen Perikanan"/>
    <s v="Januari "/>
    <n v="2025"/>
    <s v="Januari "/>
    <m/>
    <m/>
    <m/>
    <m/>
    <s v="LULUS"/>
    <s v="LULUS"/>
    <m/>
    <m/>
    <m/>
    <m/>
    <m/>
  </r>
  <r>
    <s v="Universitas Terbuka"/>
    <s v="SARJANA"/>
    <s v="Teknologi Pangan"/>
    <s v="Oktober "/>
    <n v="2024"/>
    <s v="Oktober "/>
    <m/>
    <m/>
    <m/>
    <m/>
    <s v="LULUS"/>
    <s v="LULUS"/>
    <m/>
    <m/>
    <m/>
    <m/>
    <m/>
  </r>
  <r>
    <s v="Universitas Terbuka"/>
    <s v="Doktor"/>
    <s v="Ilmu Manajemen "/>
    <s v="Februari "/>
    <n v="2025"/>
    <s v="Februari "/>
    <m/>
    <m/>
    <m/>
    <m/>
    <s v="LULUS"/>
    <s v="LULUS"/>
    <m/>
    <m/>
    <m/>
    <m/>
    <m/>
  </r>
  <r>
    <s v=" Universitas 17 Agustus 1945"/>
    <s v="SARJANA"/>
    <s v="Pemanfaatan Sumber Daya Perikanan "/>
    <s v="Oktober "/>
    <n v="2024"/>
    <s v="Oktober "/>
    <m/>
    <m/>
    <m/>
    <m/>
    <s v="LULUS"/>
    <s v="LULUS"/>
    <m/>
    <m/>
    <m/>
    <m/>
    <m/>
  </r>
  <r>
    <s v="Universitas Terbuka"/>
    <s v="Diploma IV"/>
    <s v="Kearsipan"/>
    <s v="Februari "/>
    <n v="2025"/>
    <s v="Februari "/>
    <m/>
    <m/>
    <m/>
    <m/>
    <s v="LULUS"/>
    <s v="LULUS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C63EB-94AF-4836-962E-E5CE3464DD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:D18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.md/" TargetMode="External"/><Relationship Id="rId13" Type="http://schemas.openxmlformats.org/officeDocument/2006/relationships/hyperlink" Target="http://a.md/" TargetMode="External"/><Relationship Id="rId3" Type="http://schemas.openxmlformats.org/officeDocument/2006/relationships/hyperlink" Target="http://a.md/" TargetMode="External"/><Relationship Id="rId7" Type="http://schemas.openxmlformats.org/officeDocument/2006/relationships/hyperlink" Target="http://a.md/" TargetMode="External"/><Relationship Id="rId12" Type="http://schemas.openxmlformats.org/officeDocument/2006/relationships/hyperlink" Target="http://a.md/" TargetMode="External"/><Relationship Id="rId2" Type="http://schemas.openxmlformats.org/officeDocument/2006/relationships/hyperlink" Target="http://a.md/" TargetMode="External"/><Relationship Id="rId1" Type="http://schemas.openxmlformats.org/officeDocument/2006/relationships/hyperlink" Target="http://m.si/" TargetMode="External"/><Relationship Id="rId6" Type="http://schemas.openxmlformats.org/officeDocument/2006/relationships/hyperlink" Target="http://a.md/" TargetMode="External"/><Relationship Id="rId11" Type="http://schemas.openxmlformats.org/officeDocument/2006/relationships/hyperlink" Target="http://s.si/" TargetMode="External"/><Relationship Id="rId5" Type="http://schemas.openxmlformats.org/officeDocument/2006/relationships/hyperlink" Target="http://a.md/" TargetMode="External"/><Relationship Id="rId10" Type="http://schemas.openxmlformats.org/officeDocument/2006/relationships/hyperlink" Target="http://a.md/" TargetMode="External"/><Relationship Id="rId4" Type="http://schemas.openxmlformats.org/officeDocument/2006/relationships/hyperlink" Target="http://a.md/" TargetMode="External"/><Relationship Id="rId9" Type="http://schemas.openxmlformats.org/officeDocument/2006/relationships/hyperlink" Target="http://m.s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a.md/" TargetMode="External"/><Relationship Id="rId2" Type="http://schemas.openxmlformats.org/officeDocument/2006/relationships/hyperlink" Target="http://s.si/" TargetMode="External"/><Relationship Id="rId1" Type="http://schemas.openxmlformats.org/officeDocument/2006/relationships/hyperlink" Target="http://a.md/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://a.md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m.s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a.md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hyperlink" Target="http://a.md/" TargetMode="External"/><Relationship Id="rId7" Type="http://schemas.openxmlformats.org/officeDocument/2006/relationships/hyperlink" Target="http://m.si/" TargetMode="External"/><Relationship Id="rId2" Type="http://schemas.openxmlformats.org/officeDocument/2006/relationships/hyperlink" Target="http://a.md/" TargetMode="External"/><Relationship Id="rId1" Type="http://schemas.openxmlformats.org/officeDocument/2006/relationships/hyperlink" Target="http://a.md/" TargetMode="External"/><Relationship Id="rId6" Type="http://schemas.openxmlformats.org/officeDocument/2006/relationships/hyperlink" Target="http://a.md/" TargetMode="External"/><Relationship Id="rId5" Type="http://schemas.openxmlformats.org/officeDocument/2006/relationships/hyperlink" Target="http://a.md/" TargetMode="External"/><Relationship Id="rId4" Type="http://schemas.openxmlformats.org/officeDocument/2006/relationships/hyperlink" Target="http://a.md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57A3-69BB-4B9C-82DA-BF7DE0B1C4A5}">
  <dimension ref="A1:Z923"/>
  <sheetViews>
    <sheetView tabSelected="1" topLeftCell="J1" zoomScale="45" workbookViewId="0">
      <selection activeCell="U1" sqref="U1"/>
    </sheetView>
  </sheetViews>
  <sheetFormatPr defaultRowHeight="14.5" x14ac:dyDescent="0.35"/>
  <cols>
    <col min="1" max="1" width="11.6328125" customWidth="1"/>
    <col min="2" max="6" width="29.54296875" customWidth="1"/>
    <col min="7" max="7" width="19.08984375" customWidth="1"/>
    <col min="8" max="18" width="29.54296875" customWidth="1"/>
    <col min="19" max="19" width="41.453125" customWidth="1"/>
    <col min="20" max="26" width="29.54296875" customWidth="1"/>
  </cols>
  <sheetData>
    <row r="1" spans="1:26" ht="29" customHeight="1" x14ac:dyDescent="0.35">
      <c r="A1" s="1"/>
      <c r="B1" s="2" t="s">
        <v>0</v>
      </c>
      <c r="C1" s="2" t="s">
        <v>1</v>
      </c>
      <c r="D1" s="2" t="s">
        <v>2</v>
      </c>
      <c r="E1" s="2" t="s">
        <v>2930</v>
      </c>
      <c r="F1" s="2" t="s">
        <v>3</v>
      </c>
      <c r="G1" s="2" t="s">
        <v>4</v>
      </c>
      <c r="H1" s="1" t="s">
        <v>5</v>
      </c>
      <c r="I1" s="3" t="s">
        <v>6</v>
      </c>
      <c r="J1" s="4" t="s">
        <v>7</v>
      </c>
      <c r="K1" s="4" t="s">
        <v>8</v>
      </c>
      <c r="L1" s="5" t="s">
        <v>9</v>
      </c>
      <c r="M1" s="5" t="s">
        <v>10</v>
      </c>
      <c r="N1" s="6" t="s">
        <v>11</v>
      </c>
      <c r="O1" s="6" t="s">
        <v>12</v>
      </c>
      <c r="P1" s="7" t="s">
        <v>13</v>
      </c>
      <c r="Q1" s="7" t="s">
        <v>14</v>
      </c>
      <c r="R1" s="8" t="s">
        <v>15</v>
      </c>
      <c r="S1" s="10" t="s">
        <v>2937</v>
      </c>
      <c r="T1" s="10" t="s">
        <v>2936</v>
      </c>
      <c r="U1" s="10" t="s">
        <v>2948</v>
      </c>
      <c r="V1" s="9" t="s">
        <v>16</v>
      </c>
      <c r="W1" s="9" t="s">
        <v>17</v>
      </c>
      <c r="X1" s="9" t="s">
        <v>18</v>
      </c>
      <c r="Y1" s="9" t="s">
        <v>19</v>
      </c>
      <c r="Z1" s="10" t="s">
        <v>20</v>
      </c>
    </row>
    <row r="2" spans="1:26" ht="29" customHeight="1" x14ac:dyDescent="0.35">
      <c r="A2" s="12">
        <v>1</v>
      </c>
      <c r="B2" s="13" t="s">
        <v>21</v>
      </c>
      <c r="C2" s="14" t="s">
        <v>22</v>
      </c>
      <c r="D2" s="13"/>
      <c r="E2" s="13" t="str">
        <f t="shared" ref="E2:E27" si="0">IF(MID(C2,15,1)="1","Laki-Laki","Perempuan")</f>
        <v>Perempuan</v>
      </c>
      <c r="F2" s="13"/>
      <c r="G2" s="13" t="s">
        <v>23</v>
      </c>
      <c r="H2" s="15" t="s">
        <v>24</v>
      </c>
      <c r="I2" s="15" t="s">
        <v>25</v>
      </c>
      <c r="J2" s="12" t="s">
        <v>26</v>
      </c>
      <c r="K2" s="15" t="s">
        <v>27</v>
      </c>
      <c r="L2" s="15" t="s">
        <v>28</v>
      </c>
      <c r="M2" s="15">
        <v>2018</v>
      </c>
      <c r="N2" s="15" t="s">
        <v>28</v>
      </c>
      <c r="O2" s="15"/>
      <c r="P2" s="15">
        <v>2020</v>
      </c>
      <c r="Q2" s="15"/>
      <c r="R2" s="16" t="s">
        <v>29</v>
      </c>
      <c r="S2" s="16" t="str">
        <f ca="1">IF(
  O2 &lt; YEAR(TODAY()),
  "LULUS",
  IF(
    O2 = YEAR(TODAY()),
    IF(
      MATCH(L2, {"Januari";"Februari";"Maret";"April";"Mei";"Juni";"Juli";"Agustus";"September";"Oktober";"November";"Desember"}, 0)
        &gt;= MONTH(TODAY()),
      "AKTIF (Semester " &amp;
        (INT((12*(YEAR(TODAY())-M2) + MONTH(TODAY()) -
          MATCH(L2, {"Januari";"Februari";"Maret";"April";"Mei";"Juni";"Juli";"Agustus";"September";"Oktober";"November";"Desember"}, 0)) / 6) + 1) &amp; ")",
      "LULUS"
    ),
    "AKTIF (Semester " &amp;
      (INT((12*(YEAR(TODAY())-M2) + MONTH(TODAY()) -
        MATCH(L2, {"Januari";"Februari";"Maret";"April";"Mei";"Juni";"Juli";"Agustus";"September";"Oktober";"November";"Desember"}, 0)) / 6) + 1) &amp; ")"
  )
)</f>
        <v>LULUS</v>
      </c>
      <c r="T2" s="16" t="str">
        <f ca="1">IF(O2 &lt; YEAR(TODAY()), "LULUS",
 IF(O2 = YEAR(TODAY()),
    IF(MATCH(N2, {"Januari";"Februari";"Maret";"April";"Mei";"Juni";"Juli";"Agustus";"September";"Oktober";"November";"Desember"},0)
        &lt;= MONTH(TODAY()),
        "LULUS",
        "AKTIF"),
 "AKTIF"))</f>
        <v>LULUS</v>
      </c>
      <c r="U2" s="16" t="s">
        <v>29</v>
      </c>
      <c r="V2" s="15"/>
      <c r="W2" s="15"/>
      <c r="X2" s="15"/>
      <c r="Y2" s="15"/>
      <c r="Z2" s="15"/>
    </row>
    <row r="3" spans="1:26" ht="29" customHeight="1" x14ac:dyDescent="0.35">
      <c r="A3" s="12">
        <v>2</v>
      </c>
      <c r="B3" s="13" t="s">
        <v>30</v>
      </c>
      <c r="C3" s="14" t="s">
        <v>31</v>
      </c>
      <c r="D3" s="13"/>
      <c r="E3" s="13" t="str">
        <f t="shared" si="0"/>
        <v>Laki-Laki</v>
      </c>
      <c r="F3" s="13"/>
      <c r="G3" s="13" t="s">
        <v>23</v>
      </c>
      <c r="H3" s="15" t="s">
        <v>32</v>
      </c>
      <c r="I3" s="15" t="s">
        <v>33</v>
      </c>
      <c r="J3" s="12" t="s">
        <v>26</v>
      </c>
      <c r="K3" s="15" t="s">
        <v>34</v>
      </c>
      <c r="L3" s="15" t="s">
        <v>35</v>
      </c>
      <c r="M3" s="15">
        <v>2020</v>
      </c>
      <c r="N3" s="15" t="s">
        <v>35</v>
      </c>
      <c r="O3" s="15">
        <v>2022</v>
      </c>
      <c r="P3" s="15">
        <v>2020</v>
      </c>
      <c r="Q3" s="15"/>
      <c r="R3" s="16" t="s">
        <v>29</v>
      </c>
      <c r="S3" s="16" t="str">
        <f ca="1">IF(
  O3 &lt; YEAR(TODAY()),
  "LULUS",
  IF(
    O3 = YEAR(TODAY()),
    IF(
      MATCH(L3, {"Januari";"Februari";"Maret";"April";"Mei";"Juni";"Juli";"Agustus";"September";"Oktober";"November";"Desember"}, 0)
        &gt;= MONTH(TODAY()),
      "AKTIF (Semester " &amp;
        (INT((12*(YEAR(TODAY())-M3) + MONTH(TODAY()) -
          MATCH(L3, {"Januari";"Februari";"Maret";"April";"Mei";"Juni";"Juli";"Agustus";"September";"Oktober";"November";"Desember"}, 0)) / 6) + 1) &amp; ")",
      "LULUS"
    ),
    "AKTIF (Semester " &amp;
      (INT((12*(YEAR(TODAY())-M3) + MONTH(TODAY()) -
        MATCH(L3, {"Januari";"Februari";"Maret";"April";"Mei";"Juni";"Juli";"Agustus";"September";"Oktober";"November";"Desember"}, 0)) / 6) + 1) &amp; ")"
  )
)</f>
        <v>LULUS</v>
      </c>
      <c r="T3" s="16" t="str">
        <f ca="1">IF(O3 &lt; YEAR(TODAY()), "LULUS",
 IF(O3 = YEAR(TODAY()),
    IF(MATCH(N3, {"Januari";"Februari";"Maret";"April";"Mei";"Juni";"Juli";"Agustus";"September";"Oktober";"November";"Desember"},0)
        &lt;= MONTH(TODAY()),
        "LULUS",
        "AKTIF"),
 "AKTIF"))</f>
        <v>LULUS</v>
      </c>
      <c r="U3" s="16" t="s">
        <v>29</v>
      </c>
      <c r="V3" s="15"/>
      <c r="W3" s="15"/>
      <c r="X3" s="15"/>
      <c r="Y3" s="15"/>
      <c r="Z3" s="15"/>
    </row>
    <row r="4" spans="1:26" ht="29" customHeight="1" x14ac:dyDescent="0.35">
      <c r="A4" s="12">
        <v>3</v>
      </c>
      <c r="B4" s="13" t="s">
        <v>36</v>
      </c>
      <c r="C4" s="14" t="s">
        <v>37</v>
      </c>
      <c r="D4" s="13"/>
      <c r="E4" s="13" t="str">
        <f t="shared" si="0"/>
        <v>Perempuan</v>
      </c>
      <c r="F4" s="18"/>
      <c r="G4" s="13" t="s">
        <v>23</v>
      </c>
      <c r="H4" s="15" t="s">
        <v>38</v>
      </c>
      <c r="I4" s="15" t="s">
        <v>39</v>
      </c>
      <c r="J4" s="12" t="s">
        <v>26</v>
      </c>
      <c r="K4" s="15" t="s">
        <v>40</v>
      </c>
      <c r="L4" s="15" t="s">
        <v>35</v>
      </c>
      <c r="M4" s="15">
        <v>2020</v>
      </c>
      <c r="N4" s="15" t="s">
        <v>35</v>
      </c>
      <c r="O4" s="15">
        <v>2023</v>
      </c>
      <c r="P4" s="15">
        <v>2020</v>
      </c>
      <c r="Q4" s="15"/>
      <c r="R4" s="16" t="s">
        <v>29</v>
      </c>
      <c r="S4" s="16" t="str">
        <f ca="1">IF(
  O4 &lt; YEAR(TODAY()),
  "LULUS",
  IF(
    O4 = YEAR(TODAY()),
    IF(
      MATCH(L4, {"Januari";"Februari";"Maret";"April";"Mei";"Juni";"Juli";"Agustus";"September";"Oktober";"November";"Desember"}, 0)
        &gt;= MONTH(TODAY()),
      "AKTIF (Semester " &amp;
        (INT((12*(YEAR(TODAY())-M4) + MONTH(TODAY()) -
          MATCH(L4, {"Januari";"Februari";"Maret";"April";"Mei";"Juni";"Juli";"Agustus";"September";"Oktober";"November";"Desember"}, 0)) / 6) + 1) &amp; ")",
      "LULUS"
    ),
    "AKTIF (Semester " &amp;
      (INT((12*(YEAR(TODAY())-M4) + MONTH(TODAY()) -
        MATCH(L4, {"Januari";"Februari";"Maret";"April";"Mei";"Juni";"Juli";"Agustus";"September";"Oktober";"November";"Desember"}, 0)) / 6) + 1) &amp; ")"
  )
)</f>
        <v>LULUS</v>
      </c>
      <c r="T4" s="16" t="str">
        <f ca="1">IF(O4 &lt; YEAR(TODAY()), "LULUS",
 IF(O4 = YEAR(TODAY()),
    IF(MATCH(N4, {"Januari";"Februari";"Maret";"April";"Mei";"Juni";"Juli";"Agustus";"September";"Oktober";"November";"Desember"},0)
        &lt;= MONTH(TODAY()),
        "LULUS",
        "AKTIF"),
 "AKTIF"))</f>
        <v>LULUS</v>
      </c>
      <c r="U4" s="16" t="s">
        <v>29</v>
      </c>
      <c r="V4" s="15"/>
      <c r="W4" s="15"/>
      <c r="X4" s="15"/>
      <c r="Y4" s="15"/>
      <c r="Z4" s="15"/>
    </row>
    <row r="5" spans="1:26" ht="29" customHeight="1" x14ac:dyDescent="0.35">
      <c r="A5" s="12">
        <v>4</v>
      </c>
      <c r="B5" s="13" t="s">
        <v>41</v>
      </c>
      <c r="C5" s="14" t="s">
        <v>42</v>
      </c>
      <c r="D5" s="13"/>
      <c r="E5" s="13" t="str">
        <f t="shared" si="0"/>
        <v>Laki-Laki</v>
      </c>
      <c r="F5" s="13"/>
      <c r="G5" s="13" t="s">
        <v>23</v>
      </c>
      <c r="H5" s="15" t="s">
        <v>43</v>
      </c>
      <c r="I5" s="15" t="s">
        <v>44</v>
      </c>
      <c r="J5" s="12" t="s">
        <v>45</v>
      </c>
      <c r="K5" s="15" t="s">
        <v>46</v>
      </c>
      <c r="L5" s="15" t="s">
        <v>28</v>
      </c>
      <c r="M5" s="15">
        <v>2020</v>
      </c>
      <c r="N5" s="15" t="s">
        <v>28</v>
      </c>
      <c r="O5" s="15">
        <v>2022</v>
      </c>
      <c r="P5" s="15">
        <v>2021</v>
      </c>
      <c r="Q5" s="15"/>
      <c r="R5" s="16" t="s">
        <v>29</v>
      </c>
      <c r="S5" s="16" t="str">
        <f ca="1">IF(
  O5 &lt; YEAR(TODAY()),
  "LULUS",
  IF(
    O5 = YEAR(TODAY()),
    IF(
      MATCH(L5, {"Januari";"Februari";"Maret";"April";"Mei";"Juni";"Juli";"Agustus";"September";"Oktober";"November";"Desember"}, 0)
        &gt;= MONTH(TODAY()),
      "AKTIF (Semester " &amp;
        (INT((12*(YEAR(TODAY())-M5) + MONTH(TODAY()) -
          MATCH(L5, {"Januari";"Februari";"Maret";"April";"Mei";"Juni";"Juli";"Agustus";"September";"Oktober";"November";"Desember"}, 0)) / 6) + 1) &amp; ")",
      "LULUS"
    ),
    "AKTIF (Semester " &amp;
      (INT((12*(YEAR(TODAY())-M5) + MONTH(TODAY()) -
        MATCH(L5, {"Januari";"Februari";"Maret";"April";"Mei";"Juni";"Juli";"Agustus";"September";"Oktober";"November";"Desember"}, 0)) / 6) + 1) &amp; ")"
  )
)</f>
        <v>LULUS</v>
      </c>
      <c r="T5" s="16" t="str">
        <f ca="1">IF(O5 &lt; YEAR(TODAY()), "LULUS",
 IF(O5 = YEAR(TODAY()),
    IF(MATCH(N5, {"Januari";"Februari";"Maret";"April";"Mei";"Juni";"Juli";"Agustus";"September";"Oktober";"November";"Desember"},0)
        &lt;= MONTH(TODAY()),
        "LULUS",
        "AKTIF"),
 "AKTIF"))</f>
        <v>LULUS</v>
      </c>
      <c r="U5" s="16" t="s">
        <v>29</v>
      </c>
      <c r="V5" s="15"/>
      <c r="W5" s="15"/>
      <c r="X5" s="15"/>
      <c r="Y5" s="15"/>
      <c r="Z5" s="15"/>
    </row>
    <row r="6" spans="1:26" ht="29" customHeight="1" x14ac:dyDescent="0.35">
      <c r="A6" s="12">
        <v>5</v>
      </c>
      <c r="B6" s="13" t="s">
        <v>47</v>
      </c>
      <c r="C6" s="14" t="s">
        <v>48</v>
      </c>
      <c r="D6" s="13"/>
      <c r="E6" s="13" t="str">
        <f t="shared" si="0"/>
        <v>Perempuan</v>
      </c>
      <c r="F6" s="13"/>
      <c r="G6" s="13" t="s">
        <v>23</v>
      </c>
      <c r="H6" s="15" t="s">
        <v>32</v>
      </c>
      <c r="I6" s="15" t="s">
        <v>49</v>
      </c>
      <c r="J6" s="12" t="s">
        <v>26</v>
      </c>
      <c r="K6" s="15" t="s">
        <v>50</v>
      </c>
      <c r="L6" s="15" t="s">
        <v>35</v>
      </c>
      <c r="M6" s="15">
        <v>2021</v>
      </c>
      <c r="N6" s="15" t="s">
        <v>35</v>
      </c>
      <c r="O6" s="15">
        <v>2023</v>
      </c>
      <c r="P6" s="15">
        <v>2021</v>
      </c>
      <c r="Q6" s="15"/>
      <c r="R6" s="16" t="s">
        <v>51</v>
      </c>
      <c r="S6" s="16" t="str">
        <f ca="1">IF(
  O6 &lt; YEAR(TODAY()),
  "LULUS",
  IF(
    O6 = YEAR(TODAY()),
    IF(
      MATCH(L6, {"Januari";"Februari";"Maret";"April";"Mei";"Juni";"Juli";"Agustus";"September";"Oktober";"November";"Desember"}, 0)
        &gt;= MONTH(TODAY()),
      "AKTIF (Semester " &amp;
        (INT((12*(YEAR(TODAY())-M6) + MONTH(TODAY()) -
          MATCH(L6, {"Januari";"Februari";"Maret";"April";"Mei";"Juni";"Juli";"Agustus";"September";"Oktober";"November";"Desember"}, 0)) / 6) + 1) &amp; ")",
      "LULUS"
    ),
    "AKTIF (Semester " &amp;
      (INT((12*(YEAR(TODAY())-M6) + MONTH(TODAY()) -
        MATCH(L6, {"Januari";"Februari";"Maret";"April";"Mei";"Juni";"Juli";"Agustus";"September";"Oktober";"November";"Desember"}, 0)) / 6) + 1) &amp; ")"
  )
)</f>
        <v>LULUS</v>
      </c>
      <c r="T6" s="16" t="str">
        <f ca="1">IF(O6 &lt; YEAR(TODAY()), "LULUS",
 IF(O6 = YEAR(TODAY()),
    IF(MATCH(N6, {"Januari";"Februari";"Maret";"April";"Mei";"Juni";"Juli";"Agustus";"September";"Oktober";"November";"Desember"},0)
        &lt;= MONTH(TODAY()),
        "LULUS",
        "AKTIF"),
 "AKTIF"))</f>
        <v>LULUS</v>
      </c>
      <c r="U6" s="16" t="s">
        <v>29</v>
      </c>
      <c r="V6" s="15"/>
      <c r="W6" s="15"/>
      <c r="X6" s="15"/>
      <c r="Y6" s="15"/>
      <c r="Z6" s="15"/>
    </row>
    <row r="7" spans="1:26" ht="29" customHeight="1" x14ac:dyDescent="0.35">
      <c r="A7" s="12">
        <v>6</v>
      </c>
      <c r="B7" s="13" t="s">
        <v>53</v>
      </c>
      <c r="C7" s="14" t="s">
        <v>54</v>
      </c>
      <c r="D7" s="13"/>
      <c r="E7" s="13" t="str">
        <f t="shared" si="0"/>
        <v>Laki-Laki</v>
      </c>
      <c r="F7" s="13"/>
      <c r="G7" s="13" t="s">
        <v>23</v>
      </c>
      <c r="H7" s="15" t="s">
        <v>55</v>
      </c>
      <c r="I7" s="15" t="s">
        <v>56</v>
      </c>
      <c r="J7" s="12" t="s">
        <v>26</v>
      </c>
      <c r="K7" s="15" t="s">
        <v>57</v>
      </c>
      <c r="L7" s="15" t="s">
        <v>28</v>
      </c>
      <c r="M7" s="15">
        <v>2021</v>
      </c>
      <c r="N7" s="15" t="s">
        <v>28</v>
      </c>
      <c r="O7" s="15">
        <v>2023</v>
      </c>
      <c r="P7" s="15">
        <v>2021</v>
      </c>
      <c r="Q7" s="15"/>
      <c r="R7" s="16" t="s">
        <v>29</v>
      </c>
      <c r="S7" s="16" t="str">
        <f ca="1">IF(
  O7 &lt; YEAR(TODAY()),
  "LULUS",
  IF(
    O7 = YEAR(TODAY()),
    IF(
      MATCH(L7, {"Januari";"Februari";"Maret";"April";"Mei";"Juni";"Juli";"Agustus";"September";"Oktober";"November";"Desember"}, 0)
        &gt;= MONTH(TODAY()),
      "AKTIF (Semester " &amp;
        (INT((12*(YEAR(TODAY())-M7) + MONTH(TODAY()) -
          MATCH(L7, {"Januari";"Februari";"Maret";"April";"Mei";"Juni";"Juli";"Agustus";"September";"Oktober";"November";"Desember"}, 0)) / 6) + 1) &amp; ")",
      "LULUS"
    ),
    "AKTIF (Semester " &amp;
      (INT((12*(YEAR(TODAY())-M7) + MONTH(TODAY()) -
        MATCH(L7, {"Januari";"Februari";"Maret";"April";"Mei";"Juni";"Juli";"Agustus";"September";"Oktober";"November";"Desember"}, 0)) / 6) + 1) &amp; ")"
  )
)</f>
        <v>LULUS</v>
      </c>
      <c r="T7" s="16" t="str">
        <f ca="1">IF(O7 &lt; YEAR(TODAY()), "LULUS",
 IF(O7 = YEAR(TODAY()),
    IF(MATCH(N7, {"Januari";"Februari";"Maret";"April";"Mei";"Juni";"Juli";"Agustus";"September";"Oktober";"November";"Desember"},0)
        &lt;= MONTH(TODAY()),
        "LULUS",
        "AKTIF"),
 "AKTIF"))</f>
        <v>LULUS</v>
      </c>
      <c r="U7" s="16" t="s">
        <v>29</v>
      </c>
      <c r="V7" s="15"/>
      <c r="W7" s="15"/>
      <c r="X7" s="15"/>
      <c r="Y7" s="15"/>
      <c r="Z7" s="15"/>
    </row>
    <row r="8" spans="1:26" ht="29" customHeight="1" x14ac:dyDescent="0.35">
      <c r="A8" s="12">
        <v>7</v>
      </c>
      <c r="B8" s="13" t="s">
        <v>58</v>
      </c>
      <c r="C8" s="14" t="s">
        <v>59</v>
      </c>
      <c r="D8" s="13"/>
      <c r="E8" s="13" t="str">
        <f t="shared" si="0"/>
        <v>Laki-Laki</v>
      </c>
      <c r="F8" s="13"/>
      <c r="G8" s="13" t="s">
        <v>23</v>
      </c>
      <c r="H8" s="15" t="s">
        <v>55</v>
      </c>
      <c r="I8" s="19" t="s">
        <v>56</v>
      </c>
      <c r="J8" s="20" t="s">
        <v>26</v>
      </c>
      <c r="K8" s="19" t="s">
        <v>57</v>
      </c>
      <c r="L8" s="15" t="s">
        <v>60</v>
      </c>
      <c r="M8" s="15">
        <v>2021</v>
      </c>
      <c r="N8" s="15" t="s">
        <v>60</v>
      </c>
      <c r="O8" s="15">
        <v>2023</v>
      </c>
      <c r="P8" s="15">
        <v>2021</v>
      </c>
      <c r="Q8" s="15"/>
      <c r="R8" s="16" t="s">
        <v>51</v>
      </c>
      <c r="S8" s="16" t="str">
        <f ca="1">IF(
  O8 &lt; YEAR(TODAY()),
  "LULUS",
  IF(
    O8 = YEAR(TODAY()),
    IF(
      MATCH(L8, {"Januari";"Februari";"Maret";"April";"Mei";"Juni";"Juli";"Agustus";"September";"Oktober";"November";"Desember"}, 0)
        &gt;= MONTH(TODAY()),
      "AKTIF (Semester " &amp;
        (INT((12*(YEAR(TODAY())-M8) + MONTH(TODAY()) -
          MATCH(L8, {"Januari";"Februari";"Maret";"April";"Mei";"Juni";"Juli";"Agustus";"September";"Oktober";"November";"Desember"}, 0)) / 6) + 1) &amp; ")",
      "LULUS"
    ),
    "AKTIF (Semester " &amp;
      (INT((12*(YEAR(TODAY())-M8) + MONTH(TODAY()) -
        MATCH(L8, {"Januari";"Februari";"Maret";"April";"Mei";"Juni";"Juli";"Agustus";"September";"Oktober";"November";"Desember"}, 0)) / 6) + 1) &amp; ")"
  )
)</f>
        <v>LULUS</v>
      </c>
      <c r="T8" s="16" t="str">
        <f ca="1">IF(O8 &lt; YEAR(TODAY()), "LULUS",
 IF(O8 = YEAR(TODAY()),
    IF(MATCH(N8, {"Januari";"Februari";"Maret";"April";"Mei";"Juni";"Juli";"Agustus";"September";"Oktober";"November";"Desember"},0)
        &lt;= MONTH(TODAY()),
        "LULUS",
        "AKTIF"),
 "AKTIF"))</f>
        <v>LULUS</v>
      </c>
      <c r="U8" s="16" t="s">
        <v>29</v>
      </c>
      <c r="V8" s="15"/>
      <c r="W8" s="15"/>
      <c r="X8" s="15"/>
      <c r="Y8" s="15"/>
      <c r="Z8" s="15"/>
    </row>
    <row r="9" spans="1:26" ht="29" customHeight="1" x14ac:dyDescent="0.35">
      <c r="A9" s="12">
        <v>8</v>
      </c>
      <c r="B9" s="13" t="s">
        <v>61</v>
      </c>
      <c r="C9" s="14" t="s">
        <v>62</v>
      </c>
      <c r="D9" s="13"/>
      <c r="E9" s="13" t="str">
        <f t="shared" si="0"/>
        <v>Perempuan</v>
      </c>
      <c r="F9" s="13"/>
      <c r="G9" s="13" t="s">
        <v>23</v>
      </c>
      <c r="H9" s="15" t="s">
        <v>43</v>
      </c>
      <c r="I9" s="15" t="s">
        <v>39</v>
      </c>
      <c r="J9" s="12" t="s">
        <v>26</v>
      </c>
      <c r="K9" s="15" t="s">
        <v>63</v>
      </c>
      <c r="L9" s="21" t="s">
        <v>60</v>
      </c>
      <c r="M9" s="21">
        <v>2021</v>
      </c>
      <c r="N9" s="15" t="s">
        <v>60</v>
      </c>
      <c r="O9" s="15">
        <v>2023</v>
      </c>
      <c r="P9" s="15">
        <v>2021</v>
      </c>
      <c r="Q9" s="15"/>
      <c r="R9" s="22" t="s">
        <v>51</v>
      </c>
      <c r="S9" s="16" t="str">
        <f ca="1">IF(
  O9 &lt; YEAR(TODAY()),
  "LULUS",
  IF(
    O9 = YEAR(TODAY()),
    IF(
      MATCH(L9, {"Januari";"Februari";"Maret";"April";"Mei";"Juni";"Juli";"Agustus";"September";"Oktober";"November";"Desember"}, 0)
        &gt;= MONTH(TODAY()),
      "AKTIF (Semester " &amp;
        (INT((12*(YEAR(TODAY())-M9) + MONTH(TODAY()) -
          MATCH(L9, {"Januari";"Februari";"Maret";"April";"Mei";"Juni";"Juli";"Agustus";"September";"Oktober";"November";"Desember"}, 0)) / 6) + 1) &amp; ")",
      "LULUS"
    ),
    "AKTIF (Semester " &amp;
      (INT((12*(YEAR(TODAY())-M9) + MONTH(TODAY()) -
        MATCH(L9, {"Januari";"Februari";"Maret";"April";"Mei";"Juni";"Juli";"Agustus";"September";"Oktober";"November";"Desember"}, 0)) / 6) + 1) &amp; ")"
  )
)</f>
        <v>LULUS</v>
      </c>
      <c r="T9" s="16" t="str">
        <f ca="1">IF(O9 &lt; YEAR(TODAY()), "LULUS",
 IF(O9 = YEAR(TODAY()),
    IF(MATCH(N9, {"Januari";"Februari";"Maret";"April";"Mei";"Juni";"Juli";"Agustus";"September";"Oktober";"November";"Desember"},0)
        &lt;= MONTH(TODAY()),
        "LULUS",
        "AKTIF"),
 "AKTIF"))</f>
        <v>LULUS</v>
      </c>
      <c r="U9" s="16" t="s">
        <v>29</v>
      </c>
      <c r="V9" s="23"/>
      <c r="W9" s="23"/>
      <c r="X9" s="23"/>
      <c r="Y9" s="23"/>
      <c r="Z9" s="23"/>
    </row>
    <row r="10" spans="1:26" ht="29" customHeight="1" x14ac:dyDescent="0.35">
      <c r="A10" s="12">
        <v>9</v>
      </c>
      <c r="B10" s="13" t="s">
        <v>64</v>
      </c>
      <c r="C10" s="14" t="s">
        <v>65</v>
      </c>
      <c r="D10" s="13"/>
      <c r="E10" s="13" t="str">
        <f t="shared" si="0"/>
        <v>Perempuan</v>
      </c>
      <c r="F10" s="13"/>
      <c r="G10" s="13" t="s">
        <v>23</v>
      </c>
      <c r="H10" s="15" t="s">
        <v>66</v>
      </c>
      <c r="I10" s="15" t="s">
        <v>67</v>
      </c>
      <c r="J10" s="12" t="s">
        <v>26</v>
      </c>
      <c r="K10" s="15" t="s">
        <v>68</v>
      </c>
      <c r="L10" s="21" t="s">
        <v>35</v>
      </c>
      <c r="M10" s="21">
        <v>2022</v>
      </c>
      <c r="N10" s="15" t="s">
        <v>35</v>
      </c>
      <c r="O10" s="15">
        <v>2024</v>
      </c>
      <c r="P10" s="15">
        <v>2022</v>
      </c>
      <c r="Q10" s="15"/>
      <c r="R10" s="22" t="s">
        <v>29</v>
      </c>
      <c r="S10" s="16" t="str">
        <f ca="1">IF(
  O10 &lt; YEAR(TODAY()),
  "LULUS",
  IF(
    O10 = YEAR(TODAY()),
    IF(
      MATCH(L10, {"Januari";"Februari";"Maret";"April";"Mei";"Juni";"Juli";"Agustus";"September";"Oktober";"November";"Desember"}, 0)
        &gt;= MONTH(TODAY()),
      "AKTIF (Semester " &amp;
        (INT((12*(YEAR(TODAY())-M10) + MONTH(TODAY()) -
          MATCH(L10, {"Januari";"Februari";"Maret";"April";"Mei";"Juni";"Juli";"Agustus";"September";"Oktober";"November";"Desember"}, 0)) / 6) + 1) &amp; ")",
      "LULUS"
    ),
    "AKTIF (Semester " &amp;
      (INT((12*(YEAR(TODAY())-M10) + MONTH(TODAY()) -
        MATCH(L10, {"Januari";"Februari";"Maret";"April";"Mei";"Juni";"Juli";"Agustus";"September";"Oktober";"November";"Desember"}, 0)) / 6) + 1) &amp; ")"
  )
)</f>
        <v>LULUS</v>
      </c>
      <c r="T10" s="16" t="str">
        <f ca="1">IF(O10 &lt; YEAR(TODAY()), "LULUS",
 IF(O10 = YEAR(TODAY()),
    IF(MATCH(N10, {"Januari";"Februari";"Maret";"April";"Mei";"Juni";"Juli";"Agustus";"September";"Oktober";"November";"Desember"},0)
        &lt;= MONTH(TODAY()),
        "LULUS",
        "AKTIF"),
 "AKTIF"))</f>
        <v>LULUS</v>
      </c>
      <c r="U10" s="16" t="s">
        <v>29</v>
      </c>
      <c r="V10" s="23"/>
      <c r="W10" s="23"/>
      <c r="X10" s="23"/>
      <c r="Y10" s="23"/>
      <c r="Z10" s="23"/>
    </row>
    <row r="11" spans="1:26" ht="29" customHeight="1" x14ac:dyDescent="0.35">
      <c r="A11" s="12">
        <v>10</v>
      </c>
      <c r="B11" s="13" t="s">
        <v>69</v>
      </c>
      <c r="C11" s="14" t="s">
        <v>70</v>
      </c>
      <c r="D11" s="13"/>
      <c r="E11" s="13" t="str">
        <f t="shared" si="0"/>
        <v>Perempuan</v>
      </c>
      <c r="F11" s="13"/>
      <c r="G11" s="13" t="s">
        <v>23</v>
      </c>
      <c r="H11" s="15" t="s">
        <v>71</v>
      </c>
      <c r="I11" s="15" t="s">
        <v>39</v>
      </c>
      <c r="J11" s="12" t="s">
        <v>26</v>
      </c>
      <c r="K11" s="15" t="s">
        <v>40</v>
      </c>
      <c r="L11" s="21" t="s">
        <v>72</v>
      </c>
      <c r="M11" s="21">
        <v>2022</v>
      </c>
      <c r="N11" s="15" t="s">
        <v>72</v>
      </c>
      <c r="O11" s="15">
        <v>2025</v>
      </c>
      <c r="P11" s="15">
        <v>2022</v>
      </c>
      <c r="Q11" s="15"/>
      <c r="R11" s="22" t="s">
        <v>29</v>
      </c>
      <c r="S11" s="16" t="str">
        <f ca="1">IF(
  O11 &lt; YEAR(TODAY()),
  "LULUS",
  IF(
    O11 = YEAR(TODAY()),
    IF(
      MATCH(L11, {"Januari";"Februari";"Maret";"April";"Mei";"Juni";"Juli";"Agustus";"September";"Oktober";"November";"Desember"}, 0)
        &gt;= MONTH(TODAY()),
      "AKTIF (Semester " &amp;
        (INT((12*(YEAR(TODAY())-M11) + MONTH(TODAY()) -
          MATCH(L11, {"Januari";"Februari";"Maret";"April";"Mei";"Juni";"Juli";"Agustus";"September";"Oktober";"November";"Desember"}, 0)) / 6) + 1) &amp; ")",
      "LULUS"
    ),
    "AKTIF (Semester " &amp;
      (INT((12*(YEAR(TODAY())-M11) + MONTH(TODAY()) -
        MATCH(L11, {"Januari";"Februari";"Maret";"April";"Mei";"Juni";"Juli";"Agustus";"September";"Oktober";"November";"Desember"}, 0)) / 6) + 1) &amp; ")"
  )
)</f>
        <v>LULUS</v>
      </c>
      <c r="T11" s="16" t="str">
        <f ca="1">IF(O11 &lt; YEAR(TODAY()), "LULUS",
 IF(O11 = YEAR(TODAY()),
    IF(MATCH(N11, {"Januari";"Februari";"Maret";"April";"Mei";"Juni";"Juli";"Agustus";"September";"Oktober";"November";"Desember"},0)
        &lt;= MONTH(TODAY()),
        "LULUS",
        "AKTIF"),
 "AKTIF"))</f>
        <v>LULUS</v>
      </c>
      <c r="U11" s="16" t="s">
        <v>29</v>
      </c>
      <c r="V11" s="23"/>
      <c r="W11" s="23"/>
      <c r="X11" s="23"/>
      <c r="Y11" s="23"/>
      <c r="Z11" s="23"/>
    </row>
    <row r="12" spans="1:26" ht="29" customHeight="1" x14ac:dyDescent="0.35">
      <c r="A12" s="12">
        <v>11</v>
      </c>
      <c r="B12" s="18" t="s">
        <v>73</v>
      </c>
      <c r="C12" s="14" t="s">
        <v>74</v>
      </c>
      <c r="D12" s="13"/>
      <c r="E12" s="13" t="str">
        <f t="shared" si="0"/>
        <v>Perempuan</v>
      </c>
      <c r="F12" s="13"/>
      <c r="G12" s="13" t="s">
        <v>23</v>
      </c>
      <c r="H12" s="15" t="s">
        <v>24</v>
      </c>
      <c r="I12" s="15" t="s">
        <v>75</v>
      </c>
      <c r="J12" s="12" t="s">
        <v>26</v>
      </c>
      <c r="K12" s="15" t="s">
        <v>46</v>
      </c>
      <c r="L12" s="21" t="s">
        <v>28</v>
      </c>
      <c r="M12" s="21">
        <v>2022</v>
      </c>
      <c r="N12" s="15" t="s">
        <v>28</v>
      </c>
      <c r="O12" s="15">
        <v>2024</v>
      </c>
      <c r="P12" s="15">
        <v>2022</v>
      </c>
      <c r="Q12" s="15"/>
      <c r="R12" s="22" t="s">
        <v>51</v>
      </c>
      <c r="S12" s="16" t="str">
        <f ca="1">IF(
  O12 &lt; YEAR(TODAY()),
  "LULUS",
  IF(
    O12 = YEAR(TODAY()),
    IF(
      MATCH(L12, {"Januari";"Februari";"Maret";"April";"Mei";"Juni";"Juli";"Agustus";"September";"Oktober";"November";"Desember"}, 0)
        &gt;= MONTH(TODAY()),
      "AKTIF (Semester " &amp;
        (INT((12*(YEAR(TODAY())-M12) + MONTH(TODAY()) -
          MATCH(L12, {"Januari";"Februari";"Maret";"April";"Mei";"Juni";"Juli";"Agustus";"September";"Oktober";"November";"Desember"}, 0)) / 6) + 1) &amp; ")",
      "LULUS"
    ),
    "AKTIF (Semester " &amp;
      (INT((12*(YEAR(TODAY())-M12) + MONTH(TODAY()) -
        MATCH(L12, {"Januari";"Februari";"Maret";"April";"Mei";"Juni";"Juli";"Agustus";"September";"Oktober";"November";"Desember"}, 0)) / 6) + 1) &amp; ")"
  )
)</f>
        <v>LULUS</v>
      </c>
      <c r="T12" s="16" t="str">
        <f ca="1">IF(O12 &lt; YEAR(TODAY()), "LULUS",
 IF(O12 = YEAR(TODAY()),
    IF(MATCH(N12, {"Januari";"Februari";"Maret";"April";"Mei";"Juni";"Juli";"Agustus";"September";"Oktober";"November";"Desember"},0)
        &lt;= MONTH(TODAY()),
        "LULUS",
        "AKTIF"),
 "AKTIF"))</f>
        <v>LULUS</v>
      </c>
      <c r="U12" s="16" t="s">
        <v>29</v>
      </c>
      <c r="V12" s="23"/>
      <c r="W12" s="23"/>
      <c r="X12" s="23"/>
      <c r="Y12" s="23"/>
      <c r="Z12" s="23"/>
    </row>
    <row r="13" spans="1:26" ht="29" customHeight="1" x14ac:dyDescent="0.35">
      <c r="A13" s="12">
        <v>12</v>
      </c>
      <c r="B13" s="13" t="s">
        <v>76</v>
      </c>
      <c r="C13" s="14" t="s">
        <v>77</v>
      </c>
      <c r="D13" s="13"/>
      <c r="E13" s="13" t="str">
        <f t="shared" si="0"/>
        <v>Perempuan</v>
      </c>
      <c r="F13" s="13"/>
      <c r="G13" s="13" t="s">
        <v>23</v>
      </c>
      <c r="H13" s="15" t="s">
        <v>24</v>
      </c>
      <c r="I13" s="15" t="s">
        <v>78</v>
      </c>
      <c r="J13" s="12" t="s">
        <v>26</v>
      </c>
      <c r="K13" s="15" t="s">
        <v>40</v>
      </c>
      <c r="L13" s="21" t="s">
        <v>28</v>
      </c>
      <c r="M13" s="21">
        <v>2022</v>
      </c>
      <c r="N13" s="15" t="s">
        <v>28</v>
      </c>
      <c r="O13" s="15">
        <v>2024</v>
      </c>
      <c r="P13" s="15">
        <v>2022</v>
      </c>
      <c r="Q13" s="15"/>
      <c r="R13" s="22" t="s">
        <v>51</v>
      </c>
      <c r="S13" s="16" t="str">
        <f ca="1">IF(
  O13 &lt; YEAR(TODAY()),
  "LULUS",
  IF(
    O13 = YEAR(TODAY()),
    IF(
      MATCH(L13, {"Januari";"Februari";"Maret";"April";"Mei";"Juni";"Juli";"Agustus";"September";"Oktober";"November";"Desember"}, 0)
        &gt;= MONTH(TODAY()),
      "AKTIF (Semester " &amp;
        (INT((12*(YEAR(TODAY())-M13) + MONTH(TODAY()) -
          MATCH(L13, {"Januari";"Februari";"Maret";"April";"Mei";"Juni";"Juli";"Agustus";"September";"Oktober";"November";"Desember"}, 0)) / 6) + 1) &amp; ")",
      "LULUS"
    ),
    "AKTIF (Semester " &amp;
      (INT((12*(YEAR(TODAY())-M13) + MONTH(TODAY()) -
        MATCH(L13, {"Januari";"Februari";"Maret";"April";"Mei";"Juni";"Juli";"Agustus";"September";"Oktober";"November";"Desember"}, 0)) / 6) + 1) &amp; ")"
  )
)</f>
        <v>LULUS</v>
      </c>
      <c r="T13" s="16" t="str">
        <f ca="1">IF(O13 &lt; YEAR(TODAY()), "LULUS",
 IF(O13 = YEAR(TODAY()),
    IF(MATCH(N13, {"Januari";"Februari";"Maret";"April";"Mei";"Juni";"Juli";"Agustus";"September";"Oktober";"November";"Desember"},0)
        &lt;= MONTH(TODAY()),
        "LULUS",
        "AKTIF"),
 "AKTIF"))</f>
        <v>LULUS</v>
      </c>
      <c r="U13" s="16" t="s">
        <v>29</v>
      </c>
      <c r="V13" s="23"/>
      <c r="W13" s="23"/>
      <c r="X13" s="23"/>
      <c r="Y13" s="23"/>
      <c r="Z13" s="23"/>
    </row>
    <row r="14" spans="1:26" ht="29" customHeight="1" x14ac:dyDescent="0.35">
      <c r="A14" s="12">
        <v>13</v>
      </c>
      <c r="B14" s="13" t="s">
        <v>79</v>
      </c>
      <c r="C14" s="14" t="s">
        <v>80</v>
      </c>
      <c r="D14" s="13"/>
      <c r="E14" s="13" t="str">
        <f t="shared" si="0"/>
        <v>Perempuan</v>
      </c>
      <c r="F14" s="13"/>
      <c r="G14" s="13" t="s">
        <v>23</v>
      </c>
      <c r="H14" s="15" t="s">
        <v>24</v>
      </c>
      <c r="I14" s="15" t="s">
        <v>56</v>
      </c>
      <c r="J14" s="32" t="s">
        <v>2474</v>
      </c>
      <c r="K14" s="15" t="s">
        <v>82</v>
      </c>
      <c r="L14" s="21" t="s">
        <v>60</v>
      </c>
      <c r="M14" s="21">
        <v>2022</v>
      </c>
      <c r="N14" s="15" t="s">
        <v>60</v>
      </c>
      <c r="O14" s="15">
        <v>2024</v>
      </c>
      <c r="P14" s="15">
        <v>2022</v>
      </c>
      <c r="Q14" s="15"/>
      <c r="R14" s="22" t="s">
        <v>51</v>
      </c>
      <c r="S14" s="16" t="str">
        <f ca="1">IF(
  O14 &lt; YEAR(TODAY()),
  "LULUS",
  IF(
    O14 = YEAR(TODAY()),
    IF(
      MATCH(L14, {"Januari";"Februari";"Maret";"April";"Mei";"Juni";"Juli";"Agustus";"September";"Oktober";"November";"Desember"}, 0)
        &gt;= MONTH(TODAY()),
      "AKTIF (Semester " &amp;
        (INT((12*(YEAR(TODAY())-M14) + MONTH(TODAY()) -
          MATCH(L14, {"Januari";"Februari";"Maret";"April";"Mei";"Juni";"Juli";"Agustus";"September";"Oktober";"November";"Desember"}, 0)) / 6) + 1) &amp; ")",
      "LULUS"
    ),
    "AKTIF (Semester " &amp;
      (INT((12*(YEAR(TODAY())-M14) + MONTH(TODAY()) -
        MATCH(L14, {"Januari";"Februari";"Maret";"April";"Mei";"Juni";"Juli";"Agustus";"September";"Oktober";"November";"Desember"}, 0)) / 6) + 1) &amp; ")"
  )
)</f>
        <v>LULUS</v>
      </c>
      <c r="T14" s="16" t="str">
        <f ca="1">IF(O14 &lt; YEAR(TODAY()), "LULUS",
 IF(O14 = YEAR(TODAY()),
    IF(MATCH(N14, {"Januari";"Februari";"Maret";"April";"Mei";"Juni";"Juli";"Agustus";"September";"Oktober";"November";"Desember"},0)
        &lt;= MONTH(TODAY()),
        "LULUS",
        "AKTIF"),
 "AKTIF"))</f>
        <v>LULUS</v>
      </c>
      <c r="U14" s="16" t="s">
        <v>29</v>
      </c>
      <c r="V14" s="23"/>
      <c r="W14" s="23"/>
      <c r="X14" s="23"/>
      <c r="Y14" s="23"/>
      <c r="Z14" s="23"/>
    </row>
    <row r="15" spans="1:26" ht="29" customHeight="1" x14ac:dyDescent="0.35">
      <c r="A15" s="12">
        <v>14</v>
      </c>
      <c r="B15" s="13" t="s">
        <v>83</v>
      </c>
      <c r="C15" s="14" t="s">
        <v>84</v>
      </c>
      <c r="D15" s="13"/>
      <c r="E15" s="13" t="str">
        <f t="shared" si="0"/>
        <v>Perempuan</v>
      </c>
      <c r="F15" s="18"/>
      <c r="G15" s="13" t="s">
        <v>23</v>
      </c>
      <c r="H15" s="15" t="s">
        <v>24</v>
      </c>
      <c r="I15" s="19" t="s">
        <v>56</v>
      </c>
      <c r="J15" s="20" t="s">
        <v>26</v>
      </c>
      <c r="K15" s="19" t="s">
        <v>57</v>
      </c>
      <c r="L15" s="15" t="s">
        <v>60</v>
      </c>
      <c r="M15" s="15">
        <v>2022</v>
      </c>
      <c r="N15" s="15" t="s">
        <v>60</v>
      </c>
      <c r="O15" s="15">
        <v>2024</v>
      </c>
      <c r="P15" s="15">
        <v>2022</v>
      </c>
      <c r="Q15" s="15"/>
      <c r="R15" s="16" t="s">
        <v>51</v>
      </c>
      <c r="S15" s="16" t="str">
        <f ca="1">IF(
  O15 &lt; YEAR(TODAY()),
  "LULUS",
  IF(
    O15 = YEAR(TODAY()),
    IF(
      MATCH(L15, {"Januari";"Februari";"Maret";"April";"Mei";"Juni";"Juli";"Agustus";"September";"Oktober";"November";"Desember"}, 0)
        &gt;= MONTH(TODAY()),
      "AKTIF (Semester " &amp;
        (INT((12*(YEAR(TODAY())-M15) + MONTH(TODAY()) -
          MATCH(L15, {"Januari";"Februari";"Maret";"April";"Mei";"Juni";"Juli";"Agustus";"September";"Oktober";"November";"Desember"}, 0)) / 6) + 1) &amp; ")",
      "LULUS"
    ),
    "AKTIF (Semester " &amp;
      (INT((12*(YEAR(TODAY())-M15) + MONTH(TODAY()) -
        MATCH(L15, {"Januari";"Februari";"Maret";"April";"Mei";"Juni";"Juli";"Agustus";"September";"Oktober";"November";"Desember"}, 0)) / 6) + 1) &amp; ")"
  )
)</f>
        <v>LULUS</v>
      </c>
      <c r="T15" s="16" t="str">
        <f ca="1">IF(O15 &lt; YEAR(TODAY()), "LULUS",
 IF(O15 = YEAR(TODAY()),
    IF(MATCH(N15, {"Januari";"Februari";"Maret";"April";"Mei";"Juni";"Juli";"Agustus";"September";"Oktober";"November";"Desember"},0)
        &lt;= MONTH(TODAY()),
        "LULUS",
        "AKTIF"),
 "AKTIF"))</f>
        <v>LULUS</v>
      </c>
      <c r="U15" s="16" t="s">
        <v>29</v>
      </c>
      <c r="V15" s="15"/>
      <c r="W15" s="15"/>
      <c r="X15" s="15"/>
      <c r="Y15" s="15"/>
      <c r="Z15" s="15"/>
    </row>
    <row r="16" spans="1:26" ht="29" customHeight="1" x14ac:dyDescent="0.35">
      <c r="A16" s="12">
        <v>15</v>
      </c>
      <c r="B16" s="66" t="s">
        <v>85</v>
      </c>
      <c r="C16" s="63" t="s">
        <v>86</v>
      </c>
      <c r="D16" s="24" t="s">
        <v>87</v>
      </c>
      <c r="E16" s="13" t="str">
        <f t="shared" si="0"/>
        <v>Perempuan</v>
      </c>
      <c r="F16" s="64" t="s">
        <v>88</v>
      </c>
      <c r="G16" s="13" t="s">
        <v>23</v>
      </c>
      <c r="H16" s="19" t="s">
        <v>89</v>
      </c>
      <c r="I16" s="44" t="s">
        <v>90</v>
      </c>
      <c r="J16" s="75" t="s">
        <v>45</v>
      </c>
      <c r="K16" s="19" t="s">
        <v>91</v>
      </c>
      <c r="L16" s="65" t="s">
        <v>113</v>
      </c>
      <c r="M16" s="15">
        <v>2023</v>
      </c>
      <c r="N16" s="15" t="s">
        <v>113</v>
      </c>
      <c r="O16" s="15">
        <v>2027</v>
      </c>
      <c r="P16" s="15">
        <v>2023</v>
      </c>
      <c r="Q16" s="15"/>
      <c r="R16" s="16" t="s">
        <v>51</v>
      </c>
      <c r="S16" s="16" t="str">
        <f ca="1">IF(
   O16 &lt; YEAR(TODAY()),
   "LULUS",
   IF(
      O16 = YEAR(TODAY()),
      IF(
         MATCH(L16, {"Januari";"Februari";"Maret";"April";"Mei";"Juni";"Juli";"Agustus";"September";"Oktober";"November";"Desember"}, 0)
            &lt;= MONTH(TODAY()),
         "LULUS",
         "AKTIF (Semester " &amp;
            (INT(
                (
                    12*(YEAR(TODAY())-M16)
                    + MONTH(TODAY())
                    - MATCH(L16, {"Januari";"Februari";"Maret";"April";"Mei";"Juni";"Juli";"Agustus";"September";"Oktober";"November";"Desember"}, 0)
                ) / 6
            ) + 1) &amp; ")"
      ),
      "AKTIF (Semester " &amp;
         (INT(
             (
                 12*(YEAR(TODAY())-M16)
                 + MONTH(TODAY())
                 - MATCH(L16, {"Januari";"Februari";"Maret";"April";"Mei";"Juni";"Juli";"Agustus";"September";"Oktober";"November";"Desember"}, 0)
             ) / 6
         ) + 1) &amp; ")"
   )
)</f>
        <v>AKTIF (Semester 6)</v>
      </c>
      <c r="T16" s="16" t="str">
        <f ca="1">IF(O16 &lt; YEAR(TODAY()), "LULUS",
 IF(O16 = YEAR(TODAY()),
    IF(MATCH(N16, {"Januari";"Februari";"Maret";"April";"Mei";"Juni";"Juli";"Agustus";"September";"Oktober";"November";"Desember"},0)
        &lt;= MONTH(TODAY()),
        "LULUS",
        "AKTIF"),
 "AKTIF"))</f>
        <v>AKTIF</v>
      </c>
      <c r="U16" s="16" t="s">
        <v>2938</v>
      </c>
      <c r="V16" s="15"/>
      <c r="W16" s="15"/>
      <c r="X16" s="15"/>
      <c r="Y16" s="15"/>
      <c r="Z16" s="15"/>
    </row>
    <row r="17" spans="1:26" ht="29" customHeight="1" x14ac:dyDescent="0.35">
      <c r="A17" s="12">
        <v>16</v>
      </c>
      <c r="B17" s="66" t="s">
        <v>93</v>
      </c>
      <c r="C17" s="63" t="s">
        <v>94</v>
      </c>
      <c r="D17" s="24" t="s">
        <v>87</v>
      </c>
      <c r="E17" s="13" t="str">
        <f t="shared" si="0"/>
        <v>Laki-Laki</v>
      </c>
      <c r="F17" s="64" t="s">
        <v>88</v>
      </c>
      <c r="G17" s="13" t="s">
        <v>23</v>
      </c>
      <c r="H17" s="19" t="s">
        <v>89</v>
      </c>
      <c r="I17" s="19" t="s">
        <v>90</v>
      </c>
      <c r="J17" s="75" t="s">
        <v>45</v>
      </c>
      <c r="K17" s="19" t="s">
        <v>95</v>
      </c>
      <c r="L17" s="65" t="s">
        <v>113</v>
      </c>
      <c r="M17" s="15">
        <v>2023</v>
      </c>
      <c r="N17" s="15" t="s">
        <v>113</v>
      </c>
      <c r="O17" s="15">
        <v>2027</v>
      </c>
      <c r="P17" s="15">
        <v>2023</v>
      </c>
      <c r="Q17" s="15"/>
      <c r="R17" s="16" t="s">
        <v>51</v>
      </c>
      <c r="S17" s="16" t="str">
        <f ca="1">IF(
  O17 &lt; YEAR(TODAY()),
  "LULUS",
  IF(
    O17 = YEAR(TODAY()),
    IF(
      MATCH(L17, {"Januari";"Februari";"Maret";"April";"Mei";"Juni";"Juli";"Agustus";"September";"Oktober";"November";"Desember"}, 0)
        &gt;= MONTH(TODAY()),
      "AKTIF (Semester " &amp;
        (INT((12*(YEAR(TODAY())-M17) + MONTH(TODAY()) -
          MATCH(L17, {"Januari";"Februari";"Maret";"April";"Mei";"Juni";"Juli";"Agustus";"September";"Oktober";"November";"Desember"}, 0)) / 6) + 1) &amp; ")",
      "LULUS"
    ),
    "AKTIF (Semester " &amp;
      (INT((12*(YEAR(TODAY())-M17) + MONTH(TODAY()) -
        MATCH(L17, {"Januari";"Februari";"Maret";"April";"Mei";"Juni";"Juli";"Agustus";"September";"Oktober";"November";"Desember"}, 0)) / 6) + 1) &amp; ")"
  )
)</f>
        <v>AKTIF (Semester 6)</v>
      </c>
      <c r="T17" s="16" t="str">
        <f ca="1">IF(O17 &lt; YEAR(TODAY()), "LULUS",
 IF(O17 = YEAR(TODAY()),
    IF(MATCH(N17, {"Januari";"Februari";"Maret";"April";"Mei";"Juni";"Juli";"Agustus";"September";"Oktober";"November";"Desember"},0)
        &lt;= MONTH(TODAY()),
        "LULUS",
        "AKTIF"),
 "AKTIF"))</f>
        <v>AKTIF</v>
      </c>
      <c r="U17" s="16" t="s">
        <v>2938</v>
      </c>
      <c r="V17" s="15"/>
      <c r="W17" s="15"/>
      <c r="X17" s="15"/>
      <c r="Y17" s="15"/>
      <c r="Z17" s="15"/>
    </row>
    <row r="18" spans="1:26" ht="29" customHeight="1" x14ac:dyDescent="0.35">
      <c r="A18" s="12">
        <v>17</v>
      </c>
      <c r="B18" s="66" t="s">
        <v>96</v>
      </c>
      <c r="C18" s="63" t="s">
        <v>97</v>
      </c>
      <c r="D18" s="24" t="s">
        <v>98</v>
      </c>
      <c r="E18" s="13" t="str">
        <f t="shared" si="0"/>
        <v>Perempuan</v>
      </c>
      <c r="F18" s="64" t="s">
        <v>99</v>
      </c>
      <c r="G18" s="13" t="s">
        <v>23</v>
      </c>
      <c r="H18" s="19" t="s">
        <v>89</v>
      </c>
      <c r="I18" s="19" t="s">
        <v>90</v>
      </c>
      <c r="J18" s="75" t="s">
        <v>45</v>
      </c>
      <c r="K18" s="19" t="s">
        <v>95</v>
      </c>
      <c r="L18" s="65" t="s">
        <v>113</v>
      </c>
      <c r="M18" s="15">
        <v>2023</v>
      </c>
      <c r="N18" s="15" t="s">
        <v>113</v>
      </c>
      <c r="O18" s="15">
        <v>2027</v>
      </c>
      <c r="P18" s="15">
        <v>2023</v>
      </c>
      <c r="Q18" s="15"/>
      <c r="R18" s="16" t="s">
        <v>51</v>
      </c>
      <c r="S18" s="16" t="str">
        <f ca="1">IF(
  O18 &lt; YEAR(TODAY()),
  "LULUS",
  IF(
    O18 = YEAR(TODAY()),
    IF(
      MATCH(L18, {"Januari";"Februari";"Maret";"April";"Mei";"Juni";"Juli";"Agustus";"September";"Oktober";"November";"Desember"}, 0)
        &gt;= MONTH(TODAY()),
      "AKTIF (Semester " &amp;
        (INT((12*(YEAR(TODAY())-M18) + MONTH(TODAY()) -
          MATCH(L18, {"Januari";"Februari";"Maret";"April";"Mei";"Juni";"Juli";"Agustus";"September";"Oktober";"November";"Desember"}, 0)) / 6) + 1) &amp; ")",
      "LULUS"
    ),
    "AKTIF (Semester " &amp;
      (INT((12*(YEAR(TODAY())-M18) + MONTH(TODAY()) -
        MATCH(L18, {"Januari";"Februari";"Maret";"April";"Mei";"Juni";"Juli";"Agustus";"September";"Oktober";"November";"Desember"}, 0)) / 6) + 1) &amp; ")"
  )
)</f>
        <v>AKTIF (Semester 6)</v>
      </c>
      <c r="T18" s="16" t="str">
        <f ca="1">IF(O18 &lt; YEAR(TODAY()), "LULUS",
 IF(O18 = YEAR(TODAY()),
    IF(MATCH(N18, {"Januari";"Februari";"Maret";"April";"Mei";"Juni";"Juli";"Agustus";"September";"Oktober";"November";"Desember"},0)
        &lt;= MONTH(TODAY()),
        "LULUS",
        "AKTIF"),
 "AKTIF"))</f>
        <v>AKTIF</v>
      </c>
      <c r="U18" s="16" t="s">
        <v>2938</v>
      </c>
      <c r="V18" s="15"/>
      <c r="W18" s="15"/>
      <c r="X18" s="15"/>
      <c r="Y18" s="15"/>
      <c r="Z18" s="15"/>
    </row>
    <row r="19" spans="1:26" ht="29" customHeight="1" x14ac:dyDescent="0.35">
      <c r="A19" s="12">
        <v>18</v>
      </c>
      <c r="B19" s="66" t="s">
        <v>100</v>
      </c>
      <c r="C19" s="63" t="s">
        <v>101</v>
      </c>
      <c r="D19" s="24" t="s">
        <v>98</v>
      </c>
      <c r="E19" s="13" t="str">
        <f t="shared" si="0"/>
        <v>Laki-Laki</v>
      </c>
      <c r="F19" s="64" t="s">
        <v>88</v>
      </c>
      <c r="G19" s="13" t="s">
        <v>23</v>
      </c>
      <c r="H19" s="19" t="s">
        <v>89</v>
      </c>
      <c r="I19" s="19" t="s">
        <v>90</v>
      </c>
      <c r="J19" s="75" t="s">
        <v>45</v>
      </c>
      <c r="K19" s="19" t="s">
        <v>95</v>
      </c>
      <c r="L19" s="65" t="s">
        <v>113</v>
      </c>
      <c r="M19" s="15">
        <v>2023</v>
      </c>
      <c r="N19" s="15" t="s">
        <v>113</v>
      </c>
      <c r="O19" s="15">
        <v>2027</v>
      </c>
      <c r="P19" s="15">
        <v>2023</v>
      </c>
      <c r="Q19" s="15"/>
      <c r="R19" s="16" t="s">
        <v>51</v>
      </c>
      <c r="S19" s="16" t="str">
        <f ca="1">IF(
  O19 &lt; YEAR(TODAY()),
  "LULUS",
  IF(
    O19 = YEAR(TODAY()),
    IF(
      MATCH(L19, {"Januari";"Februari";"Maret";"April";"Mei";"Juni";"Juli";"Agustus";"September";"Oktober";"November";"Desember"}, 0)
        &gt;= MONTH(TODAY()),
      "AKTIF (Semester " &amp;
        (INT((12*(YEAR(TODAY())-M19) + MONTH(TODAY()) -
          MATCH(L19, {"Januari";"Februari";"Maret";"April";"Mei";"Juni";"Juli";"Agustus";"September";"Oktober";"November";"Desember"}, 0)) / 6) + 1) &amp; ")",
      "LULUS"
    ),
    "AKTIF (Semester " &amp;
      (INT((12*(YEAR(TODAY())-M19) + MONTH(TODAY()) -
        MATCH(L19, {"Januari";"Februari";"Maret";"April";"Mei";"Juni";"Juli";"Agustus";"September";"Oktober";"November";"Desember"}, 0)) / 6) + 1) &amp; ")"
  )
)</f>
        <v>AKTIF (Semester 6)</v>
      </c>
      <c r="T19" s="16" t="str">
        <f ca="1">IF(O19 &lt; YEAR(TODAY()), "LULUS",
 IF(O19 = YEAR(TODAY()),
    IF(MATCH(N19, {"Januari";"Februari";"Maret";"April";"Mei";"Juni";"Juli";"Agustus";"September";"Oktober";"November";"Desember"},0)
        &lt;= MONTH(TODAY()),
        "LULUS",
        "AKTIF"),
 "AKTIF"))</f>
        <v>AKTIF</v>
      </c>
      <c r="U19" s="16" t="s">
        <v>2938</v>
      </c>
      <c r="V19" s="15"/>
      <c r="W19" s="15"/>
      <c r="X19" s="15"/>
      <c r="Y19" s="15"/>
      <c r="Z19" s="15"/>
    </row>
    <row r="20" spans="1:26" ht="29" customHeight="1" x14ac:dyDescent="0.35">
      <c r="A20" s="12">
        <v>19</v>
      </c>
      <c r="B20" s="76" t="s">
        <v>102</v>
      </c>
      <c r="C20" s="69" t="s">
        <v>103</v>
      </c>
      <c r="D20" s="24" t="s">
        <v>104</v>
      </c>
      <c r="E20" s="13" t="str">
        <f t="shared" si="0"/>
        <v>Perempuan</v>
      </c>
      <c r="F20" s="64" t="s">
        <v>105</v>
      </c>
      <c r="G20" s="13" t="s">
        <v>23</v>
      </c>
      <c r="H20" s="19" t="s">
        <v>24</v>
      </c>
      <c r="I20" s="19" t="s">
        <v>90</v>
      </c>
      <c r="J20" s="75" t="s">
        <v>45</v>
      </c>
      <c r="K20" s="19" t="s">
        <v>46</v>
      </c>
      <c r="L20" s="65" t="s">
        <v>1562</v>
      </c>
      <c r="M20" s="15">
        <v>2022</v>
      </c>
      <c r="N20" s="15" t="s">
        <v>106</v>
      </c>
      <c r="O20" s="15">
        <v>2026</v>
      </c>
      <c r="P20" s="15">
        <v>2023</v>
      </c>
      <c r="Q20" s="15"/>
      <c r="R20" s="16" t="s">
        <v>51</v>
      </c>
      <c r="S20" s="16" t="str">
        <f ca="1">IF(
  O20 &lt; YEAR(TODAY()),
  "LULUS",
  IF(
    O20 = YEAR(TODAY()),
    IF(
      MATCH(L20, {"Januari";"Februari";"Maret";"April";"Mei";"Juni";"Juli";"Agustus";"September";"Oktober";"November";"Desember"}, 0)
        &gt;= MONTH(TODAY()),
      "AKTIF (Semester " &amp;
        (INT((12*(YEAR(TODAY())-M20) + MONTH(TODAY()) -
          MATCH(L20, {"Januari";"Februari";"Maret";"April";"Mei";"Juni";"Juli";"Agustus";"September";"Oktober";"November";"Desember"}, 0)) / 6) + 1) &amp; ")",
      "LULUS"
    ),
    "AKTIF (Semester " &amp;
      (INT((12*(YEAR(TODAY())-M20) + MONTH(TODAY()) -
        MATCH(L20, {"Januari";"Februari";"Maret";"April";"Mei";"Juni";"Juli";"Agustus";"September";"Oktober";"November";"Desember"}, 0)) / 6) + 1) &amp; ")"
  )
)</f>
        <v>AKTIF (Semester 7)</v>
      </c>
      <c r="T20" s="16" t="str">
        <f ca="1">IF(O20 &lt; YEAR(TODAY()), "LULUS",
 IF(O20 = YEAR(TODAY()),
    IF(MATCH(N20, {"Januari";"Februari";"Maret";"April";"Mei";"Juni";"Juli";"Agustus";"September";"Oktober";"November";"Desember"},0)
        &lt;= MONTH(TODAY()),
        "LULUS",
        "AKTIF"),
 "AKTIF"))</f>
        <v>AKTIF</v>
      </c>
      <c r="U20" s="16" t="s">
        <v>2939</v>
      </c>
      <c r="V20" s="15"/>
      <c r="W20" s="15"/>
      <c r="X20" s="15"/>
      <c r="Y20" s="15"/>
      <c r="Z20" s="15"/>
    </row>
    <row r="21" spans="1:26" ht="29" customHeight="1" x14ac:dyDescent="0.35">
      <c r="A21" s="12">
        <v>20</v>
      </c>
      <c r="B21" s="25" t="s">
        <v>107</v>
      </c>
      <c r="C21" s="69" t="s">
        <v>108</v>
      </c>
      <c r="D21" s="24" t="s">
        <v>109</v>
      </c>
      <c r="E21" s="13" t="str">
        <f t="shared" si="0"/>
        <v>Laki-Laki</v>
      </c>
      <c r="F21" s="72" t="s">
        <v>110</v>
      </c>
      <c r="G21" s="13" t="s">
        <v>23</v>
      </c>
      <c r="H21" s="19" t="s">
        <v>71</v>
      </c>
      <c r="I21" s="19" t="s">
        <v>111</v>
      </c>
      <c r="J21" s="20" t="s">
        <v>26</v>
      </c>
      <c r="K21" s="19" t="s">
        <v>112</v>
      </c>
      <c r="L21" s="70" t="s">
        <v>113</v>
      </c>
      <c r="M21" s="15">
        <v>2020</v>
      </c>
      <c r="N21" s="15" t="s">
        <v>113</v>
      </c>
      <c r="O21" s="15">
        <v>2022</v>
      </c>
      <c r="P21" s="15">
        <v>2023</v>
      </c>
      <c r="Q21" s="15"/>
      <c r="R21" s="16" t="s">
        <v>51</v>
      </c>
      <c r="S21" s="16" t="str">
        <f ca="1">IF(
  O21 &lt; YEAR(TODAY()),
  "LULUS",
  IF(
    O21 = YEAR(TODAY()),
    IF(
      MATCH(L21, {"Januari";"Februari";"Maret";"April";"Mei";"Juni";"Juli";"Agustus";"September";"Oktober";"November";"Desember"}, 0)
        &gt;= MONTH(TODAY()),
      "AKTIF (Semester " &amp;
        (INT((12*(YEAR(TODAY())-M21) + MONTH(TODAY()) -
          MATCH(L21, {"Januari";"Februari";"Maret";"April";"Mei";"Juni";"Juli";"Agustus";"September";"Oktober";"November";"Desember"}, 0)) / 6) + 1) &amp; ")",
      "LULUS"
    ),
    "AKTIF (Semester " &amp;
      (INT((12*(YEAR(TODAY())-M21) + MONTH(TODAY()) -
        MATCH(L21, {"Januari";"Februari";"Maret";"April";"Mei";"Juni";"Juli";"Agustus";"September";"Oktober";"November";"Desember"}, 0)) / 6) + 1) &amp; ")"
  )
)</f>
        <v>LULUS</v>
      </c>
      <c r="T21" s="16" t="str">
        <f ca="1">IF(O21 &lt; YEAR(TODAY()), "LULUS",
 IF(O21 = YEAR(TODAY()),
    IF(MATCH(N21, {"Januari";"Februari";"Maret";"April";"Mei";"Juni";"Juli";"Agustus";"September";"Oktober";"November";"Desember"},0)
        &lt;= MONTH(TODAY()),
        "LULUS",
        "AKTIF"),
 "AKTIF"))</f>
        <v>LULUS</v>
      </c>
      <c r="U21" s="16" t="s">
        <v>29</v>
      </c>
      <c r="V21" s="15"/>
      <c r="W21" s="15"/>
      <c r="X21" s="15"/>
      <c r="Y21" s="15"/>
      <c r="Z21" s="15"/>
    </row>
    <row r="22" spans="1:26" ht="29" customHeight="1" x14ac:dyDescent="0.35">
      <c r="A22" s="12">
        <v>21</v>
      </c>
      <c r="B22" s="25" t="s">
        <v>114</v>
      </c>
      <c r="C22" s="69" t="s">
        <v>115</v>
      </c>
      <c r="D22" s="24" t="s">
        <v>116</v>
      </c>
      <c r="E22" s="13" t="str">
        <f t="shared" si="0"/>
        <v>Perempuan</v>
      </c>
      <c r="F22" s="72" t="s">
        <v>105</v>
      </c>
      <c r="G22" s="13" t="s">
        <v>23</v>
      </c>
      <c r="H22" s="19" t="s">
        <v>71</v>
      </c>
      <c r="I22" s="19" t="s">
        <v>90</v>
      </c>
      <c r="J22" s="32" t="s">
        <v>2474</v>
      </c>
      <c r="K22" s="19" t="s">
        <v>117</v>
      </c>
      <c r="L22" s="70" t="s">
        <v>890</v>
      </c>
      <c r="M22" s="15">
        <v>2021</v>
      </c>
      <c r="N22" s="15" t="s">
        <v>118</v>
      </c>
      <c r="O22" s="15">
        <v>2025</v>
      </c>
      <c r="P22" s="15">
        <v>2023</v>
      </c>
      <c r="Q22" s="15"/>
      <c r="R22" s="16" t="s">
        <v>51</v>
      </c>
      <c r="S22" s="16" t="str">
        <f ca="1">IF(
  O22 &lt; YEAR(TODAY()),
  "LULUS",
  IF(
    O22 = YEAR(TODAY()),
    IF(
      MATCH(L22, {"Januari";"Februari";"Maret";"April";"Mei";"Juni";"Juli";"Agustus";"September";"Oktober";"November";"Desember"}, 0)
        &gt;= MONTH(TODAY()),
      "AKTIF (Semester " &amp;
        (INT((12*(YEAR(TODAY())-M22) + MONTH(TODAY()) -
          MATCH(L22, {"Januari";"Februari";"Maret";"April";"Mei";"Juni";"Juli";"Agustus";"September";"Oktober";"November";"Desember"}, 0)) / 6) + 1) &amp; ")",
      "LULUS"
    ),
    "AKTIF (Semester " &amp;
      (INT((12*(YEAR(TODAY())-M22) + MONTH(TODAY()) -
        MATCH(L22, {"Januari";"Februari";"Maret";"April";"Mei";"Juni";"Juli";"Agustus";"September";"Oktober";"November";"Desember"}, 0)) / 6) + 1) &amp; ")"
  )
)</f>
        <v>LULUS</v>
      </c>
      <c r="T22" s="16" t="e">
        <f ca="1">IF(O22 &lt; YEAR(TODAY()), "LULUS",
 IF(O22 = YEAR(TODAY()),
    IF(MATCH(N22, {"Januari";"Februari";"Maret";"April";"Mei";"Juni";"Juli";"Agustus";"September";"Oktober";"November";"Desember"},0)
        &lt;= MONTH(TODAY()),
        "LULUS",
        "AKTIF"),
 "AKTIF"))</f>
        <v>#N/A</v>
      </c>
      <c r="U22" s="16" t="s">
        <v>29</v>
      </c>
      <c r="V22" s="15"/>
      <c r="W22" s="15"/>
      <c r="X22" s="15"/>
      <c r="Y22" s="15"/>
      <c r="Z22" s="15"/>
    </row>
    <row r="23" spans="1:26" ht="29" customHeight="1" x14ac:dyDescent="0.35">
      <c r="A23" s="12">
        <v>22</v>
      </c>
      <c r="B23" s="25" t="s">
        <v>119</v>
      </c>
      <c r="C23" s="69" t="s">
        <v>120</v>
      </c>
      <c r="D23" s="24" t="s">
        <v>109</v>
      </c>
      <c r="E23" s="13" t="str">
        <f t="shared" si="0"/>
        <v>Laki-Laki</v>
      </c>
      <c r="F23" s="72" t="s">
        <v>110</v>
      </c>
      <c r="G23" s="13" t="s">
        <v>23</v>
      </c>
      <c r="H23" s="19" t="s">
        <v>71</v>
      </c>
      <c r="I23" s="19" t="s">
        <v>121</v>
      </c>
      <c r="J23" s="20" t="s">
        <v>26</v>
      </c>
      <c r="K23" s="19" t="s">
        <v>122</v>
      </c>
      <c r="L23" s="70" t="s">
        <v>123</v>
      </c>
      <c r="M23" s="15">
        <v>2021</v>
      </c>
      <c r="N23" s="15" t="s">
        <v>123</v>
      </c>
      <c r="O23" s="15">
        <v>2023</v>
      </c>
      <c r="P23" s="15">
        <v>2023</v>
      </c>
      <c r="Q23" s="15"/>
      <c r="R23" s="16" t="s">
        <v>51</v>
      </c>
      <c r="S23" s="16" t="str">
        <f ca="1">IF(
  O23 &lt; YEAR(TODAY()),
  "LULUS",
  IF(
    O23 = YEAR(TODAY()),
    IF(
      MATCH(L23, {"Januari";"Februari";"Maret";"April";"Mei";"Juni";"Juli";"Agustus";"September";"Oktober";"November";"Desember"}, 0)
        &gt;= MONTH(TODAY()),
      "AKTIF (Semester " &amp;
        (INT((12*(YEAR(TODAY())-M23) + MONTH(TODAY()) -
          MATCH(L23, {"Januari";"Februari";"Maret";"April";"Mei";"Juni";"Juli";"Agustus";"September";"Oktober";"November";"Desember"}, 0)) / 6) + 1) &amp; ")",
      "LULUS"
    ),
    "AKTIF (Semester " &amp;
      (INT((12*(YEAR(TODAY())-M23) + MONTH(TODAY()) -
        MATCH(L23, {"Januari";"Februari";"Maret";"April";"Mei";"Juni";"Juli";"Agustus";"September";"Oktober";"November";"Desember"}, 0)) / 6) + 1) &amp; ")"
  )
)</f>
        <v>LULUS</v>
      </c>
      <c r="T23" s="16" t="str">
        <f ca="1">IF(O23 &lt; YEAR(TODAY()), "LULUS",
 IF(O23 = YEAR(TODAY()),
    IF(MATCH(N23, {"Januari";"Februari";"Maret";"April";"Mei";"Juni";"Juli";"Agustus";"September";"Oktober";"November";"Desember"},0)
        &lt;= MONTH(TODAY()),
        "LULUS",
        "AKTIF"),
 "AKTIF"))</f>
        <v>LULUS</v>
      </c>
      <c r="U23" s="16" t="s">
        <v>29</v>
      </c>
      <c r="V23" s="15"/>
      <c r="W23" s="15"/>
      <c r="X23" s="15"/>
      <c r="Y23" s="15"/>
      <c r="Z23" s="15"/>
    </row>
    <row r="24" spans="1:26" ht="29" customHeight="1" x14ac:dyDescent="0.35">
      <c r="A24" s="12">
        <v>23</v>
      </c>
      <c r="B24" s="25" t="s">
        <v>124</v>
      </c>
      <c r="C24" s="69" t="s">
        <v>125</v>
      </c>
      <c r="D24" s="24" t="s">
        <v>126</v>
      </c>
      <c r="E24" s="13" t="str">
        <f t="shared" si="0"/>
        <v>Perempuan</v>
      </c>
      <c r="F24" s="72" t="s">
        <v>127</v>
      </c>
      <c r="G24" s="13" t="s">
        <v>23</v>
      </c>
      <c r="H24" s="19" t="s">
        <v>128</v>
      </c>
      <c r="I24" s="19" t="s">
        <v>90</v>
      </c>
      <c r="J24" s="32" t="s">
        <v>2474</v>
      </c>
      <c r="K24" s="19" t="s">
        <v>117</v>
      </c>
      <c r="L24" s="70" t="s">
        <v>35</v>
      </c>
      <c r="M24" s="15">
        <v>2021</v>
      </c>
      <c r="N24" s="15" t="s">
        <v>123</v>
      </c>
      <c r="O24" s="15">
        <v>2025</v>
      </c>
      <c r="P24" s="15">
        <v>2023</v>
      </c>
      <c r="Q24" s="15"/>
      <c r="R24" s="16" t="s">
        <v>51</v>
      </c>
      <c r="S24" s="16" t="str">
        <f ca="1">IF(
  O24 &lt; YEAR(TODAY()),
  "LULUS",
  IF(
    O24 = YEAR(TODAY()),
    IF(
      MATCH(L24, {"Januari";"Februari";"Maret";"April";"Mei";"Juni";"Juli";"Agustus";"September";"Oktober";"November";"Desember"}, 0)
        &gt;= MONTH(TODAY()),
      "AKTIF (Semester " &amp;
        (INT((12*(YEAR(TODAY())-M24) + MONTH(TODAY()) -
          MATCH(L24, {"Januari";"Februari";"Maret";"April";"Mei";"Juni";"Juli";"Agustus";"September";"Oktober";"November";"Desember"}, 0)) / 6) + 1) &amp; ")",
      "LULUS"
    ),
    "AKTIF (Semester " &amp;
      (INT((12*(YEAR(TODAY())-M24) + MONTH(TODAY()) -
        MATCH(L24, {"Januari";"Februari";"Maret";"April";"Mei";"Juni";"Juli";"Agustus";"September";"Oktober";"November";"Desember"}, 0)) / 6) + 1) &amp; ")"
  )
)</f>
        <v>LULUS</v>
      </c>
      <c r="T24" s="16" t="e">
        <f ca="1">IF(O24 &lt; YEAR(TODAY()), "LULUS",
 IF(O24 = YEAR(TODAY()),
    IF(MATCH(N24, {"Januari";"Februari";"Maret";"April";"Mei";"Juni";"Juli";"Agustus";"September";"Oktober";"November";"Desember"},0)
        &lt;= MONTH(TODAY()),
        "LULUS",
        "AKTIF"),
 "AKTIF"))</f>
        <v>#N/A</v>
      </c>
      <c r="U24" s="16" t="s">
        <v>29</v>
      </c>
      <c r="V24" s="15"/>
      <c r="W24" s="15"/>
      <c r="X24" s="15"/>
      <c r="Y24" s="15"/>
      <c r="Z24" s="15"/>
    </row>
    <row r="25" spans="1:26" ht="29" customHeight="1" x14ac:dyDescent="0.35">
      <c r="A25" s="12">
        <v>24</v>
      </c>
      <c r="B25" s="25" t="s">
        <v>129</v>
      </c>
      <c r="C25" s="69" t="s">
        <v>130</v>
      </c>
      <c r="D25" s="24" t="s">
        <v>87</v>
      </c>
      <c r="E25" s="13" t="str">
        <f t="shared" si="0"/>
        <v>Perempuan</v>
      </c>
      <c r="F25" s="72" t="s">
        <v>131</v>
      </c>
      <c r="G25" s="13" t="s">
        <v>23</v>
      </c>
      <c r="H25" s="19" t="s">
        <v>132</v>
      </c>
      <c r="I25" s="19" t="s">
        <v>90</v>
      </c>
      <c r="J25" s="20" t="s">
        <v>45</v>
      </c>
      <c r="K25" s="19" t="s">
        <v>46</v>
      </c>
      <c r="L25" s="65" t="s">
        <v>113</v>
      </c>
      <c r="M25" s="15">
        <v>2023</v>
      </c>
      <c r="N25" s="15" t="s">
        <v>113</v>
      </c>
      <c r="O25" s="15">
        <v>2027</v>
      </c>
      <c r="P25" s="15">
        <v>2023</v>
      </c>
      <c r="Q25" s="15"/>
      <c r="R25" s="16" t="s">
        <v>51</v>
      </c>
      <c r="S25" s="16" t="str">
        <f ca="1">IF(
  O25 &lt; YEAR(TODAY()),
  "LULUS",
  IF(
    O25 = YEAR(TODAY()),
    IF(
      MATCH(L25, {"Januari";"Februari";"Maret";"April";"Mei";"Juni";"Juli";"Agustus";"September";"Oktober";"November";"Desember"}, 0)
        &gt;= MONTH(TODAY()),
      "AKTIF (Semester " &amp;
        (INT((12*(YEAR(TODAY())-M25) + MONTH(TODAY()) -
          MATCH(L25, {"Januari";"Februari";"Maret";"April";"Mei";"Juni";"Juli";"Agustus";"September";"Oktober";"November";"Desember"}, 0)) / 6) + 1) &amp; ")",
      "LULUS"
    ),
    "AKTIF (Semester " &amp;
      (INT((12*(YEAR(TODAY())-M25) + MONTH(TODAY()) -
        MATCH(L25, {"Januari";"Februari";"Maret";"April";"Mei";"Juni";"Juli";"Agustus";"September";"Oktober";"November";"Desember"}, 0)) / 6) + 1) &amp; ")"
  )
)</f>
        <v>AKTIF (Semester 6)</v>
      </c>
      <c r="T25" s="16" t="str">
        <f ca="1">IF(O25 &lt; YEAR(TODAY()), "LULUS",
 IF(O25 = YEAR(TODAY()),
    IF(MATCH(N25, {"Januari";"Februari";"Maret";"April";"Mei";"Juni";"Juli";"Agustus";"September";"Oktober";"November";"Desember"},0)
        &lt;= MONTH(TODAY()),
        "LULUS",
        "AKTIF"),
 "AKTIF"))</f>
        <v>AKTIF</v>
      </c>
      <c r="U25" s="16" t="s">
        <v>2938</v>
      </c>
      <c r="V25" s="15"/>
      <c r="W25" s="15"/>
      <c r="X25" s="15"/>
      <c r="Y25" s="15"/>
      <c r="Z25" s="15"/>
    </row>
    <row r="26" spans="1:26" ht="29" customHeight="1" x14ac:dyDescent="0.35">
      <c r="A26" s="12">
        <v>25</v>
      </c>
      <c r="B26" s="25" t="s">
        <v>133</v>
      </c>
      <c r="C26" s="69" t="s">
        <v>134</v>
      </c>
      <c r="D26" s="24" t="s">
        <v>126</v>
      </c>
      <c r="E26" s="13" t="str">
        <f t="shared" si="0"/>
        <v>Perempuan</v>
      </c>
      <c r="F26" s="72" t="s">
        <v>135</v>
      </c>
      <c r="G26" s="13" t="s">
        <v>23</v>
      </c>
      <c r="H26" s="19" t="s">
        <v>55</v>
      </c>
      <c r="I26" s="19" t="s">
        <v>90</v>
      </c>
      <c r="J26" s="20" t="s">
        <v>45</v>
      </c>
      <c r="K26" s="19" t="s">
        <v>136</v>
      </c>
      <c r="L26" s="70" t="s">
        <v>35</v>
      </c>
      <c r="M26" s="15">
        <v>2023</v>
      </c>
      <c r="N26" s="15" t="s">
        <v>123</v>
      </c>
      <c r="O26" s="15">
        <v>2027</v>
      </c>
      <c r="P26" s="15">
        <v>2023</v>
      </c>
      <c r="Q26" s="15"/>
      <c r="R26" s="16" t="s">
        <v>51</v>
      </c>
      <c r="S26" s="16" t="str">
        <f ca="1">IF(
  O26 &lt; YEAR(TODAY()),
  "LULUS",
  IF(
    O26 = YEAR(TODAY()),
    IF(
      MATCH(L26, {"Januari";"Februari";"Maret";"April";"Mei";"Juni";"Juli";"Agustus";"September";"Oktober";"November";"Desember"}, 0)
        &gt;= MONTH(TODAY()),
      "AKTIF (Semester " &amp;
        (INT((12*(YEAR(TODAY())-M26) + MONTH(TODAY()) -
          MATCH(L26, {"Januari";"Februari";"Maret";"April";"Mei";"Juni";"Juli";"Agustus";"September";"Oktober";"November";"Desember"}, 0)) / 6) + 1) &amp; ")",
      "LULUS"
    ),
    "AKTIF (Semester " &amp;
      (INT((12*(YEAR(TODAY())-M26) + MONTH(TODAY()) -
        MATCH(L26, {"Januari";"Februari";"Maret";"April";"Mei";"Juni";"Juli";"Agustus";"September";"Oktober";"November";"Desember"}, 0)) / 6) + 1) &amp; ")"
  )
)</f>
        <v>AKTIF (Semester 6)</v>
      </c>
      <c r="T26" s="16" t="str">
        <f ca="1">IF(O26 &lt; YEAR(TODAY()), "LULUS",
 IF(O26 = YEAR(TODAY()),
    IF(MATCH(N26, {"Januari";"Februari";"Maret";"April";"Mei";"Juni";"Juli";"Agustus";"September";"Oktober";"November";"Desember"},0)
        &lt;= MONTH(TODAY()),
        "LULUS",
        "AKTIF"),
 "AKTIF"))</f>
        <v>AKTIF</v>
      </c>
      <c r="U26" s="16" t="s">
        <v>2938</v>
      </c>
      <c r="V26" s="15"/>
      <c r="W26" s="15"/>
      <c r="X26" s="15"/>
      <c r="Y26" s="15"/>
      <c r="Z26" s="15"/>
    </row>
    <row r="27" spans="1:26" ht="29" customHeight="1" x14ac:dyDescent="0.35">
      <c r="A27" s="12">
        <v>26</v>
      </c>
      <c r="B27" s="25" t="s">
        <v>137</v>
      </c>
      <c r="C27" s="69" t="s">
        <v>138</v>
      </c>
      <c r="D27" s="24" t="s">
        <v>116</v>
      </c>
      <c r="E27" s="13" t="str">
        <f t="shared" si="0"/>
        <v>Perempuan</v>
      </c>
      <c r="F27" s="72" t="s">
        <v>139</v>
      </c>
      <c r="G27" s="13" t="s">
        <v>23</v>
      </c>
      <c r="H27" s="19" t="s">
        <v>24</v>
      </c>
      <c r="I27" s="19" t="s">
        <v>90</v>
      </c>
      <c r="J27" s="20" t="s">
        <v>45</v>
      </c>
      <c r="K27" s="19" t="s">
        <v>46</v>
      </c>
      <c r="L27" s="65" t="s">
        <v>1562</v>
      </c>
      <c r="M27" s="15">
        <v>2022</v>
      </c>
      <c r="N27" s="15" t="s">
        <v>106</v>
      </c>
      <c r="O27" s="15">
        <v>2026</v>
      </c>
      <c r="P27" s="15">
        <v>2023</v>
      </c>
      <c r="Q27" s="15"/>
      <c r="R27" s="16" t="s">
        <v>51</v>
      </c>
      <c r="S27" s="16" t="str">
        <f ca="1">IF(
  O27 &lt; YEAR(TODAY()),
  "LULUS",
  IF(
    O27 = YEAR(TODAY()),
    IF(
      MATCH(L27, {"Januari";"Februari";"Maret";"April";"Mei";"Juni";"Juli";"Agustus";"September";"Oktober";"November";"Desember"}, 0)
        &gt;= MONTH(TODAY()),
      "AKTIF (Semester " &amp;
        (INT((12*(YEAR(TODAY())-M27) + MONTH(TODAY()) -
          MATCH(L27, {"Januari";"Februari";"Maret";"April";"Mei";"Juni";"Juli";"Agustus";"September";"Oktober";"November";"Desember"}, 0)) / 6) + 1) &amp; ")",
      "LULUS"
    ),
    "AKTIF (Semester " &amp;
      (INT((12*(YEAR(TODAY())-M27) + MONTH(TODAY()) -
        MATCH(L27, {"Januari";"Februari";"Maret";"April";"Mei";"Juni";"Juli";"Agustus";"September";"Oktober";"November";"Desember"}, 0)) / 6) + 1) &amp; ")"
  )
)</f>
        <v>AKTIF (Semester 7)</v>
      </c>
      <c r="T27" s="16" t="str">
        <f ca="1">IF(O27 &lt; YEAR(TODAY()), "LULUS",
 IF(O27 = YEAR(TODAY()),
    IF(MATCH(N27, {"Januari";"Februari";"Maret";"April";"Mei";"Juni";"Juli";"Agustus";"September";"Oktober";"November";"Desember"},0)
        &lt;= MONTH(TODAY()),
        "LULUS",
        "AKTIF"),
 "AKTIF"))</f>
        <v>AKTIF</v>
      </c>
      <c r="U27" s="16" t="s">
        <v>2939</v>
      </c>
      <c r="V27" s="15"/>
      <c r="W27" s="15"/>
      <c r="X27" s="15"/>
      <c r="Y27" s="15"/>
      <c r="Z27" s="15"/>
    </row>
    <row r="28" spans="1:26" ht="29" customHeight="1" x14ac:dyDescent="0.35">
      <c r="A28" s="12">
        <v>27</v>
      </c>
      <c r="B28" s="25" t="s">
        <v>140</v>
      </c>
      <c r="C28" s="69" t="s">
        <v>141</v>
      </c>
      <c r="D28" s="24" t="s">
        <v>116</v>
      </c>
      <c r="E28" s="13" t="str">
        <f>IF(MID(C28,16,1)="1","Laki-Laki","Perempuan")</f>
        <v>Perempuan</v>
      </c>
      <c r="F28" s="72" t="s">
        <v>142</v>
      </c>
      <c r="G28" s="13" t="s">
        <v>23</v>
      </c>
      <c r="H28" s="19" t="s">
        <v>143</v>
      </c>
      <c r="I28" s="19" t="s">
        <v>90</v>
      </c>
      <c r="J28" s="20" t="s">
        <v>45</v>
      </c>
      <c r="K28" s="19" t="s">
        <v>144</v>
      </c>
      <c r="L28" s="70" t="s">
        <v>60</v>
      </c>
      <c r="M28" s="15">
        <v>2022</v>
      </c>
      <c r="N28" s="15" t="s">
        <v>145</v>
      </c>
      <c r="O28" s="15">
        <v>2026</v>
      </c>
      <c r="P28" s="15">
        <v>2023</v>
      </c>
      <c r="Q28" s="15"/>
      <c r="R28" s="16" t="s">
        <v>51</v>
      </c>
      <c r="S28" s="16" t="str">
        <f ca="1">IF(
  O28 &lt; YEAR(TODAY()),
  "LULUS",
  IF(
    O28 = YEAR(TODAY()),
    IF(
      MATCH(L28, {"Januari";"Februari";"Maret";"April";"Mei";"Juni";"Juli";"Agustus";"September";"Oktober";"November";"Desember"}, 0)
        &gt;= MONTH(TODAY()),
      "AKTIF (Semester " &amp;
        (INT((12*(YEAR(TODAY())-M28) + MONTH(TODAY()) -
          MATCH(L28, {"Januari";"Februari";"Maret";"April";"Mei";"Juni";"Juli";"Agustus";"September";"Oktober";"November";"Desember"}, 0)) / 6) + 1) &amp; ")",
      "LULUS"
    ),
    "AKTIF (Semester " &amp;
      (INT((12*(YEAR(TODAY())-M28) + MONTH(TODAY()) -
        MATCH(L28, {"Januari";"Februari";"Maret";"April";"Mei";"Juni";"Juli";"Agustus";"September";"Oktober";"November";"Desember"}, 0)) / 6) + 1) &amp; ")"
  )
)</f>
        <v>AKTIF (Semester 7)</v>
      </c>
      <c r="T28" s="16" t="str">
        <f ca="1">IF(O28 &lt; YEAR(TODAY()), "LULUS",
 IF(O28 = YEAR(TODAY()),
    IF(MATCH(N28, {"Januari";"Februari";"Maret";"April";"Mei";"Juni";"Juli";"Agustus";"September";"Oktober";"November";"Desember"},0)
        &lt;= MONTH(TODAY()),
        "LULUS",
        "AKTIF"),
 "AKTIF"))</f>
        <v>AKTIF</v>
      </c>
      <c r="U28" s="16" t="s">
        <v>2939</v>
      </c>
      <c r="V28" s="15"/>
      <c r="W28" s="15"/>
      <c r="X28" s="15"/>
      <c r="Y28" s="15"/>
      <c r="Z28" s="15"/>
    </row>
    <row r="29" spans="1:26" ht="29" customHeight="1" x14ac:dyDescent="0.35">
      <c r="A29" s="12">
        <v>28</v>
      </c>
      <c r="B29" s="25" t="s">
        <v>146</v>
      </c>
      <c r="C29" s="69" t="s">
        <v>147</v>
      </c>
      <c r="D29" s="24" t="s">
        <v>126</v>
      </c>
      <c r="E29" s="13" t="str">
        <f t="shared" ref="E29:E92" si="1">IF(MID(C29,15,1)="1","Laki-Laki","Perempuan")</f>
        <v>Perempuan</v>
      </c>
      <c r="F29" s="72" t="s">
        <v>148</v>
      </c>
      <c r="G29" s="13" t="s">
        <v>23</v>
      </c>
      <c r="H29" s="19" t="s">
        <v>71</v>
      </c>
      <c r="I29" s="19" t="s">
        <v>2931</v>
      </c>
      <c r="J29" s="20" t="s">
        <v>45</v>
      </c>
      <c r="K29" s="19" t="s">
        <v>144</v>
      </c>
      <c r="L29" s="15"/>
      <c r="M29" s="15"/>
      <c r="N29" s="15">
        <v>0</v>
      </c>
      <c r="O29" s="15"/>
      <c r="P29" s="15">
        <v>2024</v>
      </c>
      <c r="Q29" s="15"/>
      <c r="R29" s="16" t="s">
        <v>51</v>
      </c>
      <c r="S29" s="16" t="str">
        <f ca="1">IF(
  O29 &lt; YEAR(TODAY()),
  "LULUS",
  IF(
    O29 = YEAR(TODAY()),
    IF(
      MATCH(L29, {"Januari";"Februari";"Maret";"April";"Mei";"Juni";"Juli";"Agustus";"September";"Oktober";"November";"Desember"}, 0)
        &gt;= MONTH(TODAY()),
      "AKTIF (Semester " &amp;
        (INT((12*(YEAR(TODAY())-M29) + MONTH(TODAY()) -
          MATCH(L29, {"Januari";"Februari";"Maret";"April";"Mei";"Juni";"Juli";"Agustus";"September";"Oktober";"November";"Desember"}, 0)) / 6) + 1) &amp; ")",
      "LULUS"
    ),
    "AKTIF (Semester " &amp;
      (INT((12*(YEAR(TODAY())-M29) + MONTH(TODAY()) -
        MATCH(L29, {"Januari";"Februari";"Maret";"April";"Mei";"Juni";"Juli";"Agustus";"September";"Oktober";"November";"Desember"}, 0)) / 6) + 1) &amp; ")"
  )
)</f>
        <v>LULUS</v>
      </c>
      <c r="T29" s="16" t="str">
        <f ca="1">IF(O29 &lt; YEAR(TODAY()), "LULUS",
 IF(O29 = YEAR(TODAY()),
    IF(MATCH(N29, {"Januari";"Februari";"Maret";"April";"Mei";"Juni";"Juli";"Agustus";"September";"Oktober";"November";"Desember"},0)
        &lt;= MONTH(TODAY()),
        "LULUS",
        "AKTIF"),
 "AKTIF"))</f>
        <v>LULUS</v>
      </c>
      <c r="U29" s="16" t="s">
        <v>29</v>
      </c>
      <c r="V29" s="15"/>
      <c r="W29" s="15"/>
      <c r="X29" s="15"/>
      <c r="Y29" s="15"/>
      <c r="Z29" s="15"/>
    </row>
    <row r="30" spans="1:26" ht="29" customHeight="1" x14ac:dyDescent="0.35">
      <c r="A30" s="12">
        <v>29</v>
      </c>
      <c r="B30" s="80" t="s">
        <v>150</v>
      </c>
      <c r="C30" s="14" t="s">
        <v>151</v>
      </c>
      <c r="D30" s="13" t="s">
        <v>152</v>
      </c>
      <c r="E30" s="13" t="str">
        <f t="shared" si="1"/>
        <v>Laki-Laki</v>
      </c>
      <c r="F30" s="18" t="s">
        <v>153</v>
      </c>
      <c r="G30" s="13" t="s">
        <v>23</v>
      </c>
      <c r="H30" s="15" t="s">
        <v>154</v>
      </c>
      <c r="I30" s="28" t="s">
        <v>225</v>
      </c>
      <c r="J30" s="20" t="s">
        <v>45</v>
      </c>
      <c r="K30" s="77" t="s">
        <v>46</v>
      </c>
      <c r="L30" s="15" t="s">
        <v>156</v>
      </c>
      <c r="M30" s="15">
        <v>2024</v>
      </c>
      <c r="N30" s="15" t="s">
        <v>156</v>
      </c>
      <c r="O30" s="15">
        <v>2026</v>
      </c>
      <c r="P30" s="15">
        <v>2024</v>
      </c>
      <c r="Q30" s="15"/>
      <c r="R30" s="16"/>
      <c r="S30" s="16" t="str">
        <f ca="1">IF(
  O30 &lt; YEAR(TODAY()),
  "LULUS",
  IF(
    O30 = YEAR(TODAY()),
    IF(
      MATCH(L30, {"Januari";"Februari";"Maret";"April";"Mei";"Juni";"Juli";"Agustus";"September";"Oktober";"November";"Desember"}, 0)
        &gt;= MONTH(TODAY()),
      "AKTIF (Semester " &amp;
        (INT((12*(YEAR(TODAY())-M30) + MONTH(TODAY()) -
          MATCH(L30, {"Januari";"Februari";"Maret";"April";"Mei";"Juni";"Juli";"Agustus";"September";"Oktober";"November";"Desember"}, 0)) / 6) + 1) &amp; ")",
      "LULUS"
    ),
    "AKTIF (Semester " &amp;
      (INT((12*(YEAR(TODAY())-M30) + MONTH(TODAY()) -
        MATCH(L30, {"Januari";"Februari";"Maret";"April";"Mei";"Juni";"Juli";"Agustus";"September";"Oktober";"November";"Desember"}, 0)) / 6) + 1) &amp; ")"
  )
)</f>
        <v>AKTIF (Semester 3)</v>
      </c>
      <c r="T30" s="16" t="str">
        <f ca="1">IF(O30 &lt; YEAR(TODAY()), "LULUS",
 IF(O30 = YEAR(TODAY()),
    IF(MATCH(N30, {"Januari";"Februari";"Maret";"April";"Mei";"Juni";"Juli";"Agustus";"September";"Oktober";"November";"Desember"},0)
        &lt;= MONTH(TODAY()),
        "LULUS",
        "AKTIF"),
 "AKTIF"))</f>
        <v>AKTIF</v>
      </c>
      <c r="U30" s="16" t="s">
        <v>2940</v>
      </c>
      <c r="V30" s="15"/>
      <c r="W30" s="15"/>
      <c r="X30" s="15"/>
      <c r="Y30" s="15"/>
      <c r="Z30" s="15"/>
    </row>
    <row r="31" spans="1:26" ht="29" customHeight="1" x14ac:dyDescent="0.35">
      <c r="A31" s="12">
        <v>30</v>
      </c>
      <c r="B31" s="78" t="s">
        <v>157</v>
      </c>
      <c r="C31" s="14" t="s">
        <v>158</v>
      </c>
      <c r="D31" s="13" t="s">
        <v>152</v>
      </c>
      <c r="E31" s="13" t="str">
        <f t="shared" si="1"/>
        <v>Perempuan</v>
      </c>
      <c r="F31" s="18" t="s">
        <v>159</v>
      </c>
      <c r="G31" s="13" t="s">
        <v>23</v>
      </c>
      <c r="H31" s="15" t="s">
        <v>143</v>
      </c>
      <c r="I31" s="28" t="s">
        <v>225</v>
      </c>
      <c r="J31" s="20" t="s">
        <v>45</v>
      </c>
      <c r="K31" s="77" t="s">
        <v>46</v>
      </c>
      <c r="L31" s="15" t="s">
        <v>160</v>
      </c>
      <c r="M31" s="15">
        <v>2024</v>
      </c>
      <c r="N31" s="15" t="s">
        <v>160</v>
      </c>
      <c r="O31" s="15">
        <v>2026</v>
      </c>
      <c r="P31" s="15">
        <v>2024</v>
      </c>
      <c r="Q31" s="15"/>
      <c r="R31" s="16"/>
      <c r="S31" s="16" t="str">
        <f ca="1">IF(
  O31 &lt; YEAR(TODAY()),
  "LULUS",
  IF(
    O31 = YEAR(TODAY()),
    IF(
      MATCH(L31, {"Januari";"Februari";"Maret";"April";"Mei";"Juni";"Juli";"Agustus";"September";"Oktober";"November";"Desember"}, 0)
        &gt;= MONTH(TODAY()),
      "AKTIF (Semester " &amp;
        (INT((12*(YEAR(TODAY())-M31) + MONTH(TODAY()) -
          MATCH(L31, {"Januari";"Februari";"Maret";"April";"Mei";"Juni";"Juli";"Agustus";"September";"Oktober";"November";"Desember"}, 0)) / 6) + 1) &amp; ")",
      "LULUS"
    ),
    "AKTIF (Semester " &amp;
      (INT((12*(YEAR(TODAY())-M31) + MONTH(TODAY()) -
        MATCH(L31, {"Januari";"Februari";"Maret";"April";"Mei";"Juni";"Juli";"Agustus";"September";"Oktober";"November";"Desember"}, 0)) / 6) + 1) &amp; ")"
  )
)</f>
        <v>AKTIF (Semester 3)</v>
      </c>
      <c r="T31" s="16" t="str">
        <f ca="1">IF(O31 &lt; YEAR(TODAY()), "LULUS",
 IF(O31 = YEAR(TODAY()),
    IF(MATCH(N31, {"Januari";"Februari";"Maret";"April";"Mei";"Juni";"Juli";"Agustus";"September";"Oktober";"November";"Desember"},0)
        &lt;= MONTH(TODAY()),
        "LULUS",
        "AKTIF"),
 "AKTIF"))</f>
        <v>AKTIF</v>
      </c>
      <c r="U31" s="16" t="s">
        <v>2940</v>
      </c>
      <c r="V31" s="15"/>
      <c r="W31" s="15"/>
      <c r="X31" s="15"/>
      <c r="Y31" s="15"/>
      <c r="Z31" s="15"/>
    </row>
    <row r="32" spans="1:26" ht="29" customHeight="1" x14ac:dyDescent="0.35">
      <c r="A32" s="12">
        <v>31</v>
      </c>
      <c r="B32" s="78" t="s">
        <v>161</v>
      </c>
      <c r="C32" s="14"/>
      <c r="D32" s="13"/>
      <c r="E32" s="13" t="str">
        <f t="shared" si="1"/>
        <v>Perempuan</v>
      </c>
      <c r="F32" s="18"/>
      <c r="G32" s="13" t="s">
        <v>23</v>
      </c>
      <c r="H32" s="15"/>
      <c r="I32" s="28" t="s">
        <v>225</v>
      </c>
      <c r="J32" s="20" t="s">
        <v>45</v>
      </c>
      <c r="K32" s="77" t="s">
        <v>46</v>
      </c>
      <c r="L32" s="15"/>
      <c r="M32" s="15"/>
      <c r="N32" s="15">
        <v>0</v>
      </c>
      <c r="O32" s="15"/>
      <c r="P32" s="15">
        <v>2024</v>
      </c>
      <c r="Q32" s="15"/>
      <c r="R32" s="16"/>
      <c r="S32" s="16" t="str">
        <f ca="1">IF(
  O32 &lt; YEAR(TODAY()),
  "LULUS",
  IF(
    O32 = YEAR(TODAY()),
    IF(
      MATCH(L32, {"Januari";"Februari";"Maret";"April";"Mei";"Juni";"Juli";"Agustus";"September";"Oktober";"November";"Desember"}, 0)
        &gt;= MONTH(TODAY()),
      "AKTIF (Semester " &amp;
        (INT((12*(YEAR(TODAY())-M32) + MONTH(TODAY()) -
          MATCH(L32, {"Januari";"Februari";"Maret";"April";"Mei";"Juni";"Juli";"Agustus";"September";"Oktober";"November";"Desember"}, 0)) / 6) + 1) &amp; ")",
      "LULUS"
    ),
    "AKTIF (Semester " &amp;
      (INT((12*(YEAR(TODAY())-M32) + MONTH(TODAY()) -
        MATCH(L32, {"Januari";"Februari";"Maret";"April";"Mei";"Juni";"Juli";"Agustus";"September";"Oktober";"November";"Desember"}, 0)) / 6) + 1) &amp; ")"
  )
)</f>
        <v>LULUS</v>
      </c>
      <c r="T32" s="16" t="str">
        <f ca="1">IF(O32 &lt; YEAR(TODAY()), "LULUS",
 IF(O32 = YEAR(TODAY()),
    IF(MATCH(N32, {"Januari";"Februari";"Maret";"April";"Mei";"Juni";"Juli";"Agustus";"September";"Oktober";"November";"Desember"},0)
        &lt;= MONTH(TODAY()),
        "LULUS",
        "AKTIF"),
 "AKTIF"))</f>
        <v>LULUS</v>
      </c>
      <c r="U32" s="16" t="s">
        <v>29</v>
      </c>
      <c r="V32" s="15"/>
      <c r="W32" s="15"/>
      <c r="X32" s="15"/>
      <c r="Y32" s="15"/>
      <c r="Z32" s="15"/>
    </row>
    <row r="33" spans="1:26" ht="29" customHeight="1" x14ac:dyDescent="0.35">
      <c r="A33" s="12">
        <v>32</v>
      </c>
      <c r="B33" s="78" t="s">
        <v>162</v>
      </c>
      <c r="C33" s="14" t="s">
        <v>163</v>
      </c>
      <c r="D33" s="13" t="s">
        <v>164</v>
      </c>
      <c r="E33" s="13" t="str">
        <f t="shared" si="1"/>
        <v>Perempuan</v>
      </c>
      <c r="F33" s="18" t="s">
        <v>99</v>
      </c>
      <c r="G33" s="13" t="s">
        <v>23</v>
      </c>
      <c r="H33" s="15" t="s">
        <v>143</v>
      </c>
      <c r="I33" s="28" t="s">
        <v>225</v>
      </c>
      <c r="J33" s="20" t="s">
        <v>45</v>
      </c>
      <c r="K33" s="79" t="s">
        <v>46</v>
      </c>
      <c r="L33" s="15" t="s">
        <v>160</v>
      </c>
      <c r="M33" s="15">
        <v>2024</v>
      </c>
      <c r="N33" s="15" t="s">
        <v>160</v>
      </c>
      <c r="O33" s="15">
        <v>2026</v>
      </c>
      <c r="P33" s="15">
        <v>2024</v>
      </c>
      <c r="Q33" s="15"/>
      <c r="R33" s="16"/>
      <c r="S33" s="16" t="str">
        <f ca="1">IF(
  O33 &lt; YEAR(TODAY()),
  "LULUS",
  IF(
    O33 = YEAR(TODAY()),
    IF(
      MATCH(L33, {"Januari";"Februari";"Maret";"April";"Mei";"Juni";"Juli";"Agustus";"September";"Oktober";"November";"Desember"}, 0)
        &gt;= MONTH(TODAY()),
      "AKTIF (Semester " &amp;
        (INT((12*(YEAR(TODAY())-M33) + MONTH(TODAY()) -
          MATCH(L33, {"Januari";"Februari";"Maret";"April";"Mei";"Juni";"Juli";"Agustus";"September";"Oktober";"November";"Desember"}, 0)) / 6) + 1) &amp; ")",
      "LULUS"
    ),
    "AKTIF (Semester " &amp;
      (INT((12*(YEAR(TODAY())-M33) + MONTH(TODAY()) -
        MATCH(L33, {"Januari";"Februari";"Maret";"April";"Mei";"Juni";"Juli";"Agustus";"September";"Oktober";"November";"Desember"}, 0)) / 6) + 1) &amp; ")"
  )
)</f>
        <v>AKTIF (Semester 3)</v>
      </c>
      <c r="T33" s="16" t="str">
        <f ca="1">IF(O33 &lt; YEAR(TODAY()), "LULUS",
 IF(O33 = YEAR(TODAY()),
    IF(MATCH(N33, {"Januari";"Februari";"Maret";"April";"Mei";"Juni";"Juli";"Agustus";"September";"Oktober";"November";"Desember"},0)
        &lt;= MONTH(TODAY()),
        "LULUS",
        "AKTIF"),
 "AKTIF"))</f>
        <v>AKTIF</v>
      </c>
      <c r="U33" s="16" t="s">
        <v>2940</v>
      </c>
      <c r="V33" s="15"/>
      <c r="W33" s="15"/>
      <c r="X33" s="15"/>
      <c r="Y33" s="15"/>
      <c r="Z33" s="15"/>
    </row>
    <row r="34" spans="1:26" ht="29" customHeight="1" x14ac:dyDescent="0.35">
      <c r="A34" s="12">
        <v>33</v>
      </c>
      <c r="B34" s="78" t="s">
        <v>165</v>
      </c>
      <c r="C34" s="14" t="s">
        <v>166</v>
      </c>
      <c r="D34" s="13" t="s">
        <v>152</v>
      </c>
      <c r="E34" s="13" t="str">
        <f t="shared" si="1"/>
        <v>Laki-Laki</v>
      </c>
      <c r="F34" s="18" t="s">
        <v>99</v>
      </c>
      <c r="G34" s="13" t="s">
        <v>23</v>
      </c>
      <c r="H34" s="15" t="s">
        <v>167</v>
      </c>
      <c r="I34" s="77" t="s">
        <v>168</v>
      </c>
      <c r="J34" s="20" t="s">
        <v>45</v>
      </c>
      <c r="K34" s="77" t="s">
        <v>40</v>
      </c>
      <c r="L34" s="15" t="s">
        <v>169</v>
      </c>
      <c r="M34" s="15">
        <v>2024</v>
      </c>
      <c r="N34" s="15" t="s">
        <v>169</v>
      </c>
      <c r="O34" s="15">
        <v>2026</v>
      </c>
      <c r="P34" s="15">
        <v>2024</v>
      </c>
      <c r="Q34" s="15"/>
      <c r="R34" s="16"/>
      <c r="S34" s="16" t="str">
        <f ca="1">IF(
  O34 &lt; YEAR(TODAY()),
  "LULUS",
  IF(
    O34 = YEAR(TODAY()),
    IF(
      MATCH(L34, {"Januari";"Februari";"Maret";"April";"Mei";"Juni";"Juli";"Agustus";"September";"Oktober";"November";"Desember"}, 0)
        &gt;= MONTH(TODAY()),
      "AKTIF (Semester " &amp;
        (INT((12*(YEAR(TODAY())-M34) + MONTH(TODAY()) -
          MATCH(L34, {"Januari";"Februari";"Maret";"April";"Mei";"Juni";"Juli";"Agustus";"September";"Oktober";"November";"Desember"}, 0)) / 6) + 1) &amp; ")",
      "LULUS"
    ),
    "AKTIF (Semester " &amp;
      (INT((12*(YEAR(TODAY())-M34) + MONTH(TODAY()) -
        MATCH(L34, {"Januari";"Februari";"Maret";"April";"Mei";"Juni";"Juli";"Agustus";"September";"Oktober";"November";"Desember"}, 0)) / 6) + 1) &amp; ")"
  )
)</f>
        <v>AKTIF (Semester 3)</v>
      </c>
      <c r="T34" s="16" t="str">
        <f ca="1">IF(O34 &lt; YEAR(TODAY()), "LULUS",
 IF(O34 = YEAR(TODAY()),
    IF(MATCH(N34, {"Januari";"Februari";"Maret";"April";"Mei";"Juni";"Juli";"Agustus";"September";"Oktober";"November";"Desember"},0)
        &lt;= MONTH(TODAY()),
        "LULUS",
        "AKTIF"),
 "AKTIF"))</f>
        <v>AKTIF</v>
      </c>
      <c r="U34" s="16" t="s">
        <v>2940</v>
      </c>
      <c r="V34" s="15"/>
      <c r="W34" s="15"/>
      <c r="X34" s="15"/>
      <c r="Y34" s="15"/>
      <c r="Z34" s="15"/>
    </row>
    <row r="35" spans="1:26" ht="29" customHeight="1" x14ac:dyDescent="0.35">
      <c r="A35" s="12">
        <v>34</v>
      </c>
      <c r="B35" s="78" t="s">
        <v>170</v>
      </c>
      <c r="C35" s="14" t="s">
        <v>171</v>
      </c>
      <c r="D35" s="13" t="s">
        <v>172</v>
      </c>
      <c r="E35" s="13" t="str">
        <f t="shared" si="1"/>
        <v>Perempuan</v>
      </c>
      <c r="F35" s="18" t="s">
        <v>99</v>
      </c>
      <c r="G35" s="13" t="s">
        <v>23</v>
      </c>
      <c r="H35" s="15" t="s">
        <v>143</v>
      </c>
      <c r="I35" s="77" t="s">
        <v>173</v>
      </c>
      <c r="J35" s="20" t="s">
        <v>45</v>
      </c>
      <c r="K35" s="77" t="s">
        <v>174</v>
      </c>
      <c r="L35" s="15" t="s">
        <v>28</v>
      </c>
      <c r="M35" s="15">
        <v>2024</v>
      </c>
      <c r="N35" s="15" t="s">
        <v>28</v>
      </c>
      <c r="O35" s="15">
        <v>2026</v>
      </c>
      <c r="P35" s="15">
        <v>2024</v>
      </c>
      <c r="Q35" s="15"/>
      <c r="R35" s="16"/>
      <c r="S35" s="16" t="str">
        <f ca="1">IF(
  O35 &lt; YEAR(TODAY()),
  "LULUS",
  IF(
    O35 = YEAR(TODAY()),
    IF(
      MATCH(L35, {"Januari";"Februari";"Maret";"April";"Mei";"Juni";"Juli";"Agustus";"September";"Oktober";"November";"Desember"}, 0)
        &gt;= MONTH(TODAY()),
      "AKTIF (Semester " &amp;
        (INT((12*(YEAR(TODAY())-M35) + MONTH(TODAY()) -
          MATCH(L35, {"Januari";"Februari";"Maret";"April";"Mei";"Juni";"Juli";"Agustus";"September";"Oktober";"November";"Desember"}, 0)) / 6) + 1) &amp; ")",
      "LULUS"
    ),
    "AKTIF (Semester " &amp;
      (INT((12*(YEAR(TODAY())-M35) + MONTH(TODAY()) -
        MATCH(L35, {"Januari";"Februari";"Maret";"April";"Mei";"Juni";"Juli";"Agustus";"September";"Oktober";"November";"Desember"}, 0)) / 6) + 1) &amp; ")"
  )
)</f>
        <v>AKTIF (Semester 3)</v>
      </c>
      <c r="T35" s="16" t="str">
        <f ca="1">IF(O35 &lt; YEAR(TODAY()), "LULUS",
 IF(O35 = YEAR(TODAY()),
    IF(MATCH(N35, {"Januari";"Februari";"Maret";"April";"Mei";"Juni";"Juli";"Agustus";"September";"Oktober";"November";"Desember"},0)
        &lt;= MONTH(TODAY()),
        "LULUS",
        "AKTIF"),
 "AKTIF"))</f>
        <v>AKTIF</v>
      </c>
      <c r="U35" s="16" t="s">
        <v>2940</v>
      </c>
      <c r="V35" s="15"/>
      <c r="W35" s="15"/>
      <c r="X35" s="15"/>
      <c r="Y35" s="15"/>
      <c r="Z35" s="15"/>
    </row>
    <row r="36" spans="1:26" ht="29" customHeight="1" x14ac:dyDescent="0.35">
      <c r="A36" s="12">
        <v>35</v>
      </c>
      <c r="B36" s="25" t="s">
        <v>175</v>
      </c>
      <c r="C36" s="26" t="s">
        <v>176</v>
      </c>
      <c r="D36" s="25" t="s">
        <v>177</v>
      </c>
      <c r="E36" s="13" t="str">
        <f t="shared" si="1"/>
        <v>Perempuan</v>
      </c>
      <c r="F36" s="25" t="s">
        <v>178</v>
      </c>
      <c r="G36" s="25" t="s">
        <v>23</v>
      </c>
      <c r="H36" s="19" t="s">
        <v>179</v>
      </c>
      <c r="I36" s="27" t="s">
        <v>121</v>
      </c>
      <c r="J36" s="12" t="s">
        <v>180</v>
      </c>
      <c r="K36" s="28" t="s">
        <v>181</v>
      </c>
      <c r="L36" s="29" t="s">
        <v>160</v>
      </c>
      <c r="M36" s="21">
        <v>2023</v>
      </c>
      <c r="N36" s="30" t="s">
        <v>182</v>
      </c>
      <c r="O36" s="15">
        <v>2027</v>
      </c>
      <c r="P36" s="15">
        <v>2025</v>
      </c>
      <c r="Q36" s="15"/>
      <c r="R36" s="16"/>
      <c r="S36" s="16" t="str">
        <f ca="1">IF(
  O36 &lt; YEAR(TODAY()),
  "LULUS",
  IF(
    O36 = YEAR(TODAY()),
    IF(
      MATCH(L36, {"Januari";"Februari";"Maret";"April";"Mei";"Juni";"Juli";"Agustus";"September";"Oktober";"November";"Desember"}, 0)
        &gt;= MONTH(TODAY()),
      "AKTIF (Semester " &amp;
        (INT((12*(YEAR(TODAY())-M36) + MONTH(TODAY()) -
          MATCH(L36, {"Januari";"Februari";"Maret";"April";"Mei";"Juni";"Juli";"Agustus";"September";"Oktober";"November";"Desember"}, 0)) / 6) + 1) &amp; ")",
      "LULUS"
    ),
    "AKTIF (Semester " &amp;
      (INT((12*(YEAR(TODAY())-M36) + MONTH(TODAY()) -
        MATCH(L36, {"Januari";"Februari";"Maret";"April";"Mei";"Juni";"Juli";"Agustus";"September";"Oktober";"November";"Desember"}, 0)) / 6) + 1) &amp; ")"
  )
)</f>
        <v>AKTIF (Semester 5)</v>
      </c>
      <c r="T36" s="16" t="str">
        <f ca="1">IF(O36 &lt; YEAR(TODAY()), "LULUS",
 IF(O36 = YEAR(TODAY()),
    IF(MATCH(N36, {"Januari";"Februari";"Maret";"April";"Mei";"Juni";"Juli";"Agustus";"September";"Oktober";"November";"Desember"},0)
        &lt;= MONTH(TODAY()),
        "LULUS",
        "AKTIF"),
 "AKTIF"))</f>
        <v>AKTIF</v>
      </c>
      <c r="U36" s="16" t="s">
        <v>2941</v>
      </c>
      <c r="V36" s="15"/>
      <c r="W36" s="15"/>
      <c r="X36" s="15"/>
      <c r="Y36" s="15"/>
      <c r="Z36" s="15"/>
    </row>
    <row r="37" spans="1:26" ht="29" customHeight="1" x14ac:dyDescent="0.35">
      <c r="A37" s="12">
        <v>36</v>
      </c>
      <c r="B37" s="25" t="s">
        <v>183</v>
      </c>
      <c r="C37" s="26" t="s">
        <v>184</v>
      </c>
      <c r="D37" s="25" t="s">
        <v>185</v>
      </c>
      <c r="E37" s="13" t="str">
        <f t="shared" si="1"/>
        <v>Laki-Laki</v>
      </c>
      <c r="F37" s="25" t="s">
        <v>88</v>
      </c>
      <c r="G37" s="25" t="s">
        <v>23</v>
      </c>
      <c r="H37" s="19" t="s">
        <v>179</v>
      </c>
      <c r="I37" s="27" t="s">
        <v>90</v>
      </c>
      <c r="J37" s="12" t="s">
        <v>180</v>
      </c>
      <c r="K37" s="28" t="s">
        <v>40</v>
      </c>
      <c r="L37" s="65" t="s">
        <v>113</v>
      </c>
      <c r="M37" s="21">
        <v>2023</v>
      </c>
      <c r="N37" s="15" t="s">
        <v>113</v>
      </c>
      <c r="O37" s="15">
        <v>2027</v>
      </c>
      <c r="P37" s="15">
        <v>2025</v>
      </c>
      <c r="Q37" s="15"/>
      <c r="R37" s="16"/>
      <c r="S37" s="16" t="str">
        <f ca="1">IF(
  O37 &lt; YEAR(TODAY()),
  "LULUS",
  IF(
    O37 = YEAR(TODAY()),
    IF(
      MATCH(L37, {"Januari";"Februari";"Maret";"April";"Mei";"Juni";"Juli";"Agustus";"September";"Oktober";"November";"Desember"}, 0)
        &gt;= MONTH(TODAY()),
      "AKTIF (Semester " &amp;
        (INT((12*(YEAR(TODAY())-M37) + MONTH(TODAY()) -
          MATCH(L37, {"Januari";"Februari";"Maret";"April";"Mei";"Juni";"Juli";"Agustus";"September";"Oktober";"November";"Desember"}, 0)) / 6) + 1) &amp; ")",
      "LULUS"
    ),
    "AKTIF (Semester " &amp;
      (INT((12*(YEAR(TODAY())-M37) + MONTH(TODAY()) -
        MATCH(L37, {"Januari";"Februari";"Maret";"April";"Mei";"Juni";"Juli";"Agustus";"September";"Oktober";"November";"Desember"}, 0)) / 6) + 1) &amp; ")"
  )
)</f>
        <v>AKTIF (Semester 6)</v>
      </c>
      <c r="T37" s="16" t="str">
        <f ca="1">IF(O37 &lt; YEAR(TODAY()), "LULUS",
 IF(O37 = YEAR(TODAY()),
    IF(MATCH(N37, {"Januari";"Februari";"Maret";"April";"Mei";"Juni";"Juli";"Agustus";"September";"Oktober";"November";"Desember"},0)
        &lt;= MONTH(TODAY()),
        "LULUS",
        "AKTIF"),
 "AKTIF"))</f>
        <v>AKTIF</v>
      </c>
      <c r="U37" s="16" t="s">
        <v>2938</v>
      </c>
      <c r="V37" s="15"/>
      <c r="W37" s="15"/>
      <c r="X37" s="15"/>
      <c r="Y37" s="15"/>
      <c r="Z37" s="15"/>
    </row>
    <row r="38" spans="1:26" ht="29" customHeight="1" x14ac:dyDescent="0.35">
      <c r="A38" s="12">
        <v>37</v>
      </c>
      <c r="B38" s="25" t="s">
        <v>186</v>
      </c>
      <c r="C38" s="26" t="s">
        <v>187</v>
      </c>
      <c r="D38" s="25" t="s">
        <v>188</v>
      </c>
      <c r="E38" s="13" t="str">
        <f t="shared" si="1"/>
        <v>Laki-Laki</v>
      </c>
      <c r="F38" s="25" t="s">
        <v>189</v>
      </c>
      <c r="G38" s="25" t="s">
        <v>23</v>
      </c>
      <c r="H38" s="19" t="s">
        <v>55</v>
      </c>
      <c r="I38" s="27" t="s">
        <v>111</v>
      </c>
      <c r="J38" s="31" t="s">
        <v>190</v>
      </c>
      <c r="K38" s="28" t="s">
        <v>112</v>
      </c>
      <c r="L38" s="29" t="s">
        <v>35</v>
      </c>
      <c r="M38" s="21">
        <v>2024</v>
      </c>
      <c r="N38" s="30" t="s">
        <v>35</v>
      </c>
      <c r="O38" s="15">
        <v>2026</v>
      </c>
      <c r="P38" s="15">
        <v>2025</v>
      </c>
      <c r="Q38" s="15"/>
      <c r="R38" s="16"/>
      <c r="S38" s="16" t="str">
        <f ca="1">IF(
  O38 &lt; YEAR(TODAY()),
  "LULUS",
  IF(
    O38 = YEAR(TODAY()),
    IF(
      MATCH(L38, {"Januari";"Februari";"Maret";"April";"Mei";"Juni";"Juli";"Agustus";"September";"Oktober";"November";"Desember"}, 0)
        &gt;= MONTH(TODAY()),
      "AKTIF (Semester " &amp;
        (INT((12*(YEAR(TODAY())-M38) + MONTH(TODAY()) -
          MATCH(L38, {"Januari";"Februari";"Maret";"April";"Mei";"Juni";"Juli";"Agustus";"September";"Oktober";"November";"Desember"}, 0)) / 6) + 1) &amp; ")",
      "LULUS"
    ),
    "AKTIF (Semester " &amp;
      (INT((12*(YEAR(TODAY())-M38) + MONTH(TODAY()) -
        MATCH(L38, {"Januari";"Februari";"Maret";"April";"Mei";"Juni";"Juli";"Agustus";"September";"Oktober";"November";"Desember"}, 0)) / 6) + 1) &amp; ")"
  )
)</f>
        <v>AKTIF (Semester 4)</v>
      </c>
      <c r="T38" s="16" t="str">
        <f ca="1">IF(O38 &lt; YEAR(TODAY()), "LULUS",
 IF(O38 = YEAR(TODAY()),
    IF(MATCH(N38, {"Januari";"Februari";"Maret";"April";"Mei";"Juni";"Juli";"Agustus";"September";"Oktober";"November";"Desember"},0)
        &lt;= MONTH(TODAY()),
        "LULUS",
        "AKTIF"),
 "AKTIF"))</f>
        <v>AKTIF</v>
      </c>
      <c r="U38" s="16" t="s">
        <v>2942</v>
      </c>
      <c r="V38" s="15"/>
      <c r="W38" s="15"/>
      <c r="X38" s="15"/>
      <c r="Y38" s="15"/>
      <c r="Z38" s="15"/>
    </row>
    <row r="39" spans="1:26" ht="29" customHeight="1" x14ac:dyDescent="0.35">
      <c r="A39" s="12">
        <v>38</v>
      </c>
      <c r="B39" s="25" t="s">
        <v>191</v>
      </c>
      <c r="C39" s="26" t="s">
        <v>192</v>
      </c>
      <c r="D39" s="25" t="s">
        <v>193</v>
      </c>
      <c r="E39" s="13" t="str">
        <f t="shared" si="1"/>
        <v>Perempuan</v>
      </c>
      <c r="F39" s="25" t="s">
        <v>194</v>
      </c>
      <c r="G39" s="25" t="s">
        <v>23</v>
      </c>
      <c r="H39" s="19" t="s">
        <v>195</v>
      </c>
      <c r="I39" s="27" t="s">
        <v>90</v>
      </c>
      <c r="J39" s="31" t="s">
        <v>180</v>
      </c>
      <c r="K39" s="28" t="s">
        <v>196</v>
      </c>
      <c r="L39" s="29" t="s">
        <v>28</v>
      </c>
      <c r="M39" s="21">
        <v>2024</v>
      </c>
      <c r="N39" s="30" t="s">
        <v>28</v>
      </c>
      <c r="O39" s="15">
        <v>2028</v>
      </c>
      <c r="P39" s="15">
        <v>2025</v>
      </c>
      <c r="Q39" s="15"/>
      <c r="R39" s="16"/>
      <c r="S39" s="16" t="str">
        <f ca="1">IF(
  O39 &lt; YEAR(TODAY()),
  "LULUS",
  IF(
    O39 = YEAR(TODAY()),
    IF(
      MATCH(L39, {"Januari";"Februari";"Maret";"April";"Mei";"Juni";"Juli";"Agustus";"September";"Oktober";"November";"Desember"}, 0)
        &gt;= MONTH(TODAY()),
      "AKTIF (Semester " &amp;
        (INT((12*(YEAR(TODAY())-M39) + MONTH(TODAY()) -
          MATCH(L39, {"Januari";"Februari";"Maret";"April";"Mei";"Juni";"Juli";"Agustus";"September";"Oktober";"November";"Desember"}, 0)) / 6) + 1) &amp; ")",
      "LULUS"
    ),
    "AKTIF (Semester " &amp;
      (INT((12*(YEAR(TODAY())-M39) + MONTH(TODAY()) -
        MATCH(L39, {"Januari";"Februari";"Maret";"April";"Mei";"Juni";"Juli";"Agustus";"September";"Oktober";"November";"Desember"}, 0)) / 6) + 1) &amp; ")"
  )
)</f>
        <v>AKTIF (Semester 3)</v>
      </c>
      <c r="T39" s="16" t="str">
        <f ca="1">IF(O39 &lt; YEAR(TODAY()), "LULUS",
 IF(O39 = YEAR(TODAY()),
    IF(MATCH(N39, {"Januari";"Februari";"Maret";"April";"Mei";"Juni";"Juli";"Agustus";"September";"Oktober";"November";"Desember"},0)
        &lt;= MONTH(TODAY()),
        "LULUS",
        "AKTIF"),
 "AKTIF"))</f>
        <v>AKTIF</v>
      </c>
      <c r="U39" s="16" t="s">
        <v>2940</v>
      </c>
      <c r="V39" s="15"/>
      <c r="W39" s="15"/>
      <c r="X39" s="15"/>
      <c r="Y39" s="15"/>
      <c r="Z39" s="15"/>
    </row>
    <row r="40" spans="1:26" ht="29" customHeight="1" x14ac:dyDescent="0.35">
      <c r="A40" s="12">
        <v>39</v>
      </c>
      <c r="B40" s="25" t="s">
        <v>197</v>
      </c>
      <c r="C40" s="26" t="s">
        <v>198</v>
      </c>
      <c r="D40" s="25" t="s">
        <v>164</v>
      </c>
      <c r="E40" s="13" t="str">
        <f t="shared" si="1"/>
        <v>Laki-Laki</v>
      </c>
      <c r="F40" s="25" t="s">
        <v>178</v>
      </c>
      <c r="G40" s="25" t="s">
        <v>23</v>
      </c>
      <c r="H40" s="19" t="s">
        <v>195</v>
      </c>
      <c r="I40" s="27" t="s">
        <v>90</v>
      </c>
      <c r="J40" s="31" t="s">
        <v>180</v>
      </c>
      <c r="K40" s="28" t="s">
        <v>181</v>
      </c>
      <c r="L40" s="29" t="s">
        <v>28</v>
      </c>
      <c r="M40" s="21">
        <v>2024</v>
      </c>
      <c r="N40" s="30" t="s">
        <v>199</v>
      </c>
      <c r="O40" s="15">
        <v>2028</v>
      </c>
      <c r="P40" s="15">
        <v>2025</v>
      </c>
      <c r="Q40" s="15"/>
      <c r="R40" s="16"/>
      <c r="S40" s="16" t="str">
        <f ca="1">IF(
  O40 &lt; YEAR(TODAY()),
  "LULUS",
  IF(
    O40 = YEAR(TODAY()),
    IF(
      MATCH(L40, {"Januari";"Februari";"Maret";"April";"Mei";"Juni";"Juli";"Agustus";"September";"Oktober";"November";"Desember"}, 0)
        &gt;= MONTH(TODAY()),
      "AKTIF (Semester " &amp;
        (INT((12*(YEAR(TODAY())-M40) + MONTH(TODAY()) -
          MATCH(L40, {"Januari";"Februari";"Maret";"April";"Mei";"Juni";"Juli";"Agustus";"September";"Oktober";"November";"Desember"}, 0)) / 6) + 1) &amp; ")",
      "LULUS"
    ),
    "AKTIF (Semester " &amp;
      (INT((12*(YEAR(TODAY())-M40) + MONTH(TODAY()) -
        MATCH(L40, {"Januari";"Februari";"Maret";"April";"Mei";"Juni";"Juli";"Agustus";"September";"Oktober";"November";"Desember"}, 0)) / 6) + 1) &amp; ")"
  )
)</f>
        <v>AKTIF (Semester 3)</v>
      </c>
      <c r="T40" s="16" t="str">
        <f ca="1">IF(O40 &lt; YEAR(TODAY()), "LULUS",
 IF(O40 = YEAR(TODAY()),
    IF(MATCH(N40, {"Januari";"Februari";"Maret";"April";"Mei";"Juni";"Juli";"Agustus";"September";"Oktober";"November";"Desember"},0)
        &lt;= MONTH(TODAY()),
        "LULUS",
        "AKTIF"),
 "AKTIF"))</f>
        <v>AKTIF</v>
      </c>
      <c r="U40" s="16" t="s">
        <v>2940</v>
      </c>
      <c r="V40" s="15"/>
      <c r="W40" s="15"/>
      <c r="X40" s="15"/>
      <c r="Y40" s="15"/>
      <c r="Z40" s="15"/>
    </row>
    <row r="41" spans="1:26" ht="29" customHeight="1" x14ac:dyDescent="0.35">
      <c r="A41" s="12">
        <v>40</v>
      </c>
      <c r="B41" s="25" t="s">
        <v>200</v>
      </c>
      <c r="C41" s="26" t="s">
        <v>201</v>
      </c>
      <c r="D41" s="25" t="s">
        <v>188</v>
      </c>
      <c r="E41" s="13" t="str">
        <f t="shared" si="1"/>
        <v>Laki-Laki</v>
      </c>
      <c r="F41" s="25" t="s">
        <v>202</v>
      </c>
      <c r="G41" s="25" t="s">
        <v>23</v>
      </c>
      <c r="H41" s="19" t="s">
        <v>195</v>
      </c>
      <c r="I41" s="28" t="s">
        <v>203</v>
      </c>
      <c r="J41" s="32" t="s">
        <v>190</v>
      </c>
      <c r="K41" s="28" t="s">
        <v>204</v>
      </c>
      <c r="L41" s="29" t="s">
        <v>28</v>
      </c>
      <c r="M41" s="21">
        <v>2024</v>
      </c>
      <c r="N41" s="30" t="s">
        <v>205</v>
      </c>
      <c r="O41" s="15">
        <v>2026</v>
      </c>
      <c r="P41" s="15">
        <v>2025</v>
      </c>
      <c r="Q41" s="15"/>
      <c r="R41" s="16"/>
      <c r="S41" s="16" t="str">
        <f ca="1">IF(
  O41 &lt; YEAR(TODAY()),
  "LULUS",
  IF(
    O41 = YEAR(TODAY()),
    IF(
      MATCH(L41, {"Januari";"Februari";"Maret";"April";"Mei";"Juni";"Juli";"Agustus";"September";"Oktober";"November";"Desember"}, 0)
        &gt;= MONTH(TODAY()),
      "AKTIF (Semester " &amp;
        (INT((12*(YEAR(TODAY())-M41) + MONTH(TODAY()) -
          MATCH(L41, {"Januari";"Februari";"Maret";"April";"Mei";"Juni";"Juli";"Agustus";"September";"Oktober";"November";"Desember"}, 0)) / 6) + 1) &amp; ")",
      "LULUS"
    ),
    "AKTIF (Semester " &amp;
      (INT((12*(YEAR(TODAY())-M41) + MONTH(TODAY()) -
        MATCH(L41, {"Januari";"Februari";"Maret";"April";"Mei";"Juni";"Juli";"Agustus";"September";"Oktober";"November";"Desember"}, 0)) / 6) + 1) &amp; ")"
  )
)</f>
        <v>AKTIF (Semester 3)</v>
      </c>
      <c r="T41" s="16" t="str">
        <f ca="1">IF(O41 &lt; YEAR(TODAY()), "LULUS",
 IF(O41 = YEAR(TODAY()),
    IF(MATCH(N41, {"Januari";"Februari";"Maret";"April";"Mei";"Juni";"Juli";"Agustus";"September";"Oktober";"November";"Desember"},0)
        &lt;= MONTH(TODAY()),
        "LULUS",
        "AKTIF"),
 "AKTIF"))</f>
        <v>AKTIF</v>
      </c>
      <c r="U41" s="16" t="s">
        <v>2940</v>
      </c>
      <c r="V41" s="15"/>
      <c r="W41" s="15"/>
      <c r="X41" s="15"/>
      <c r="Y41" s="15"/>
      <c r="Z41" s="15"/>
    </row>
    <row r="42" spans="1:26" ht="29" customHeight="1" x14ac:dyDescent="0.35">
      <c r="A42" s="12">
        <v>41</v>
      </c>
      <c r="B42" s="25" t="s">
        <v>206</v>
      </c>
      <c r="C42" s="26" t="s">
        <v>207</v>
      </c>
      <c r="D42" s="25" t="s">
        <v>188</v>
      </c>
      <c r="E42" s="13" t="str">
        <f t="shared" si="1"/>
        <v>Perempuan</v>
      </c>
      <c r="F42" s="25" t="s">
        <v>208</v>
      </c>
      <c r="G42" s="25" t="s">
        <v>23</v>
      </c>
      <c r="H42" s="19" t="s">
        <v>195</v>
      </c>
      <c r="I42" s="28" t="s">
        <v>203</v>
      </c>
      <c r="J42" s="32" t="s">
        <v>190</v>
      </c>
      <c r="K42" s="28" t="s">
        <v>204</v>
      </c>
      <c r="L42" s="29" t="s">
        <v>28</v>
      </c>
      <c r="M42" s="21">
        <v>2024</v>
      </c>
      <c r="N42" s="30" t="s">
        <v>205</v>
      </c>
      <c r="O42" s="15">
        <v>2026</v>
      </c>
      <c r="P42" s="15">
        <v>2025</v>
      </c>
      <c r="Q42" s="15"/>
      <c r="R42" s="16"/>
      <c r="S42" s="16" t="str">
        <f ca="1">IF(
  O42 &lt; YEAR(TODAY()),
  "LULUS",
  IF(
    O42 = YEAR(TODAY()),
    IF(
      MATCH(L42, {"Januari";"Februari";"Maret";"April";"Mei";"Juni";"Juli";"Agustus";"September";"Oktober";"November";"Desember"}, 0)
        &gt;= MONTH(TODAY()),
      "AKTIF (Semester " &amp;
        (INT((12*(YEAR(TODAY())-M42) + MONTH(TODAY()) -
          MATCH(L42, {"Januari";"Februari";"Maret";"April";"Mei";"Juni";"Juli";"Agustus";"September";"Oktober";"November";"Desember"}, 0)) / 6) + 1) &amp; ")",
      "LULUS"
    ),
    "AKTIF (Semester " &amp;
      (INT((12*(YEAR(TODAY())-M42) + MONTH(TODAY()) -
        MATCH(L42, {"Januari";"Februari";"Maret";"April";"Mei";"Juni";"Juli";"Agustus";"September";"Oktober";"November";"Desember"}, 0)) / 6) + 1) &amp; ")"
  )
)</f>
        <v>AKTIF (Semester 3)</v>
      </c>
      <c r="T42" s="16" t="str">
        <f ca="1">IF(O42 &lt; YEAR(TODAY()), "LULUS",
 IF(O42 = YEAR(TODAY()),
    IF(MATCH(N42, {"Januari";"Februari";"Maret";"April";"Mei";"Juni";"Juli";"Agustus";"September";"Oktober";"November";"Desember"},0)
        &lt;= MONTH(TODAY()),
        "LULUS",
        "AKTIF"),
 "AKTIF"))</f>
        <v>AKTIF</v>
      </c>
      <c r="U42" s="16" t="s">
        <v>2940</v>
      </c>
      <c r="V42" s="15"/>
      <c r="W42" s="15"/>
      <c r="X42" s="15"/>
      <c r="Y42" s="15"/>
      <c r="Z42" s="15"/>
    </row>
    <row r="43" spans="1:26" ht="29" customHeight="1" x14ac:dyDescent="0.35">
      <c r="A43" s="12">
        <v>42</v>
      </c>
      <c r="B43" s="25" t="s">
        <v>209</v>
      </c>
      <c r="C43" s="26" t="s">
        <v>210</v>
      </c>
      <c r="D43" s="25" t="s">
        <v>211</v>
      </c>
      <c r="E43" s="13" t="str">
        <f t="shared" si="1"/>
        <v>Perempuan</v>
      </c>
      <c r="F43" s="25" t="s">
        <v>212</v>
      </c>
      <c r="G43" s="25" t="s">
        <v>23</v>
      </c>
      <c r="H43" s="19" t="s">
        <v>195</v>
      </c>
      <c r="I43" s="28" t="s">
        <v>90</v>
      </c>
      <c r="J43" s="32" t="s">
        <v>180</v>
      </c>
      <c r="K43" s="28" t="s">
        <v>196</v>
      </c>
      <c r="L43" s="29" t="s">
        <v>28</v>
      </c>
      <c r="M43" s="21">
        <v>2024</v>
      </c>
      <c r="N43" s="30" t="s">
        <v>28</v>
      </c>
      <c r="O43" s="15">
        <v>2028</v>
      </c>
      <c r="P43" s="15">
        <v>2025</v>
      </c>
      <c r="Q43" s="15"/>
      <c r="R43" s="16"/>
      <c r="S43" s="16" t="str">
        <f ca="1">IF(
  O43 &lt; YEAR(TODAY()),
  "LULUS",
  IF(
    O43 = YEAR(TODAY()),
    IF(
      MATCH(L43, {"Januari";"Februari";"Maret";"April";"Mei";"Juni";"Juli";"Agustus";"September";"Oktober";"November";"Desember"}, 0)
        &gt;= MONTH(TODAY()),
      "AKTIF (Semester " &amp;
        (INT((12*(YEAR(TODAY())-M43) + MONTH(TODAY()) -
          MATCH(L43, {"Januari";"Februari";"Maret";"April";"Mei";"Juni";"Juli";"Agustus";"September";"Oktober";"November";"Desember"}, 0)) / 6) + 1) &amp; ")",
      "LULUS"
    ),
    "AKTIF (Semester " &amp;
      (INT((12*(YEAR(TODAY())-M43) + MONTH(TODAY()) -
        MATCH(L43, {"Januari";"Februari";"Maret";"April";"Mei";"Juni";"Juli";"Agustus";"September";"Oktober";"November";"Desember"}, 0)) / 6) + 1) &amp; ")"
  )
)</f>
        <v>AKTIF (Semester 3)</v>
      </c>
      <c r="T43" s="16" t="str">
        <f ca="1">IF(O43 &lt; YEAR(TODAY()), "LULUS",
 IF(O43 = YEAR(TODAY()),
    IF(MATCH(N43, {"Januari";"Februari";"Maret";"April";"Mei";"Juni";"Juli";"Agustus";"September";"Oktober";"November";"Desember"},0)
        &lt;= MONTH(TODAY()),
        "LULUS",
        "AKTIF"),
 "AKTIF"))</f>
        <v>AKTIF</v>
      </c>
      <c r="U43" s="16" t="s">
        <v>2940</v>
      </c>
      <c r="V43" s="15"/>
      <c r="W43" s="15"/>
      <c r="X43" s="15"/>
      <c r="Y43" s="15"/>
      <c r="Z43" s="15"/>
    </row>
    <row r="44" spans="1:26" ht="29" customHeight="1" x14ac:dyDescent="0.35">
      <c r="A44" s="12">
        <v>43</v>
      </c>
      <c r="B44" s="25" t="s">
        <v>213</v>
      </c>
      <c r="C44" s="26" t="s">
        <v>214</v>
      </c>
      <c r="D44" s="25" t="s">
        <v>215</v>
      </c>
      <c r="E44" s="13" t="str">
        <f t="shared" si="1"/>
        <v>Perempuan</v>
      </c>
      <c r="F44" s="25" t="s">
        <v>212</v>
      </c>
      <c r="G44" s="25" t="s">
        <v>23</v>
      </c>
      <c r="H44" s="19" t="s">
        <v>195</v>
      </c>
      <c r="I44" s="28" t="s">
        <v>90</v>
      </c>
      <c r="J44" s="32" t="s">
        <v>180</v>
      </c>
      <c r="K44" s="28" t="s">
        <v>196</v>
      </c>
      <c r="L44" s="70" t="s">
        <v>35</v>
      </c>
      <c r="M44" s="15">
        <v>2023</v>
      </c>
      <c r="N44" s="30" t="s">
        <v>123</v>
      </c>
      <c r="O44" s="15">
        <v>2027</v>
      </c>
      <c r="P44" s="15">
        <v>2025</v>
      </c>
      <c r="Q44" s="15"/>
      <c r="R44" s="16"/>
      <c r="S44" s="16" t="str">
        <f ca="1">IF(
  O44 &lt; YEAR(TODAY()),
  "LULUS",
  IF(
    O44 = YEAR(TODAY()),
    IF(
      MATCH(L44, {"Januari";"Februari";"Maret";"April";"Mei";"Juni";"Juli";"Agustus";"September";"Oktober";"November";"Desember"}, 0)
        &gt;= MONTH(TODAY()),
      "AKTIF (Semester " &amp;
        (INT((12*(YEAR(TODAY())-M44) + MONTH(TODAY()) -
          MATCH(L44, {"Januari";"Februari";"Maret";"April";"Mei";"Juni";"Juli";"Agustus";"September";"Oktober";"November";"Desember"}, 0)) / 6) + 1) &amp; ")",
      "LULUS"
    ),
    "AKTIF (Semester " &amp;
      (INT((12*(YEAR(TODAY())-M44) + MONTH(TODAY()) -
        MATCH(L44, {"Januari";"Februari";"Maret";"April";"Mei";"Juni";"Juli";"Agustus";"September";"Oktober";"November";"Desember"}, 0)) / 6) + 1) &amp; ")"
  )
)</f>
        <v>AKTIF (Semester 6)</v>
      </c>
      <c r="T44" s="16" t="str">
        <f ca="1">IF(O44 &lt; YEAR(TODAY()), "LULUS",
 IF(O44 = YEAR(TODAY()),
    IF(MATCH(N44, {"Januari";"Februari";"Maret";"April";"Mei";"Juni";"Juli";"Agustus";"September";"Oktober";"November";"Desember"},0)
        &lt;= MONTH(TODAY()),
        "LULUS",
        "AKTIF"),
 "AKTIF"))</f>
        <v>AKTIF</v>
      </c>
      <c r="U44" s="16" t="s">
        <v>2938</v>
      </c>
      <c r="V44" s="15"/>
      <c r="W44" s="15"/>
      <c r="X44" s="15"/>
      <c r="Y44" s="15"/>
      <c r="Z44" s="15"/>
    </row>
    <row r="45" spans="1:26" ht="29" customHeight="1" x14ac:dyDescent="0.35">
      <c r="A45" s="12">
        <v>44</v>
      </c>
      <c r="B45" s="25" t="s">
        <v>216</v>
      </c>
      <c r="C45" s="26" t="s">
        <v>217</v>
      </c>
      <c r="D45" s="25" t="s">
        <v>215</v>
      </c>
      <c r="E45" s="13" t="str">
        <f t="shared" si="1"/>
        <v>Laki-Laki</v>
      </c>
      <c r="F45" s="33" t="s">
        <v>218</v>
      </c>
      <c r="G45" s="25" t="s">
        <v>23</v>
      </c>
      <c r="H45" s="19" t="s">
        <v>219</v>
      </c>
      <c r="I45" s="28" t="s">
        <v>220</v>
      </c>
      <c r="J45" s="32" t="s">
        <v>190</v>
      </c>
      <c r="K45" s="28" t="s">
        <v>221</v>
      </c>
      <c r="L45" s="29" t="s">
        <v>28</v>
      </c>
      <c r="M45" s="21">
        <v>2024</v>
      </c>
      <c r="N45" s="30" t="s">
        <v>205</v>
      </c>
      <c r="O45" s="15">
        <v>2026</v>
      </c>
      <c r="P45" s="15">
        <v>2025</v>
      </c>
      <c r="Q45" s="15"/>
      <c r="R45" s="16"/>
      <c r="S45" s="16" t="str">
        <f ca="1">IF(
  O45 &lt; YEAR(TODAY()),
  "LULUS",
  IF(
    O45 = YEAR(TODAY()),
    IF(
      MATCH(L45, {"Januari";"Februari";"Maret";"April";"Mei";"Juni";"Juli";"Agustus";"September";"Oktober";"November";"Desember"}, 0)
        &gt;= MONTH(TODAY()),
      "AKTIF (Semester " &amp;
        (INT((12*(YEAR(TODAY())-M45) + MONTH(TODAY()) -
          MATCH(L45, {"Januari";"Februari";"Maret";"April";"Mei";"Juni";"Juli";"Agustus";"September";"Oktober";"November";"Desember"}, 0)) / 6) + 1) &amp; ")",
      "LULUS"
    ),
    "AKTIF (Semester " &amp;
      (INT((12*(YEAR(TODAY())-M45) + MONTH(TODAY()) -
        MATCH(L45, {"Januari";"Februari";"Maret";"April";"Mei";"Juni";"Juli";"Agustus";"September";"Oktober";"November";"Desember"}, 0)) / 6) + 1) &amp; ")"
  )
)</f>
        <v>AKTIF (Semester 3)</v>
      </c>
      <c r="T45" s="16" t="str">
        <f ca="1">IF(O45 &lt; YEAR(TODAY()), "LULUS",
 IF(O45 = YEAR(TODAY()),
    IF(MATCH(N45, {"Januari";"Februari";"Maret";"April";"Mei";"Juni";"Juli";"Agustus";"September";"Oktober";"November";"Desember"},0)
        &lt;= MONTH(TODAY()),
        "LULUS",
        "AKTIF"),
 "AKTIF"))</f>
        <v>AKTIF</v>
      </c>
      <c r="U45" s="16" t="s">
        <v>2940</v>
      </c>
      <c r="V45" s="15"/>
      <c r="W45" s="15"/>
      <c r="X45" s="15"/>
      <c r="Y45" s="15"/>
      <c r="Z45" s="15"/>
    </row>
    <row r="46" spans="1:26" ht="29" customHeight="1" x14ac:dyDescent="0.35">
      <c r="A46" s="12">
        <v>45</v>
      </c>
      <c r="B46" s="25" t="s">
        <v>222</v>
      </c>
      <c r="C46" s="26" t="s">
        <v>223</v>
      </c>
      <c r="D46" s="25" t="s">
        <v>152</v>
      </c>
      <c r="E46" s="13" t="str">
        <f t="shared" si="1"/>
        <v>Perempuan</v>
      </c>
      <c r="F46" s="25" t="s">
        <v>224</v>
      </c>
      <c r="G46" s="25" t="s">
        <v>23</v>
      </c>
      <c r="H46" s="19" t="s">
        <v>219</v>
      </c>
      <c r="I46" s="28" t="s">
        <v>225</v>
      </c>
      <c r="J46" s="32" t="s">
        <v>180</v>
      </c>
      <c r="K46" s="28" t="s">
        <v>40</v>
      </c>
      <c r="L46" s="29" t="s">
        <v>156</v>
      </c>
      <c r="M46" s="21">
        <v>2024</v>
      </c>
      <c r="N46" s="30" t="s">
        <v>226</v>
      </c>
      <c r="O46" s="15">
        <v>2028</v>
      </c>
      <c r="P46" s="15">
        <v>2025</v>
      </c>
      <c r="Q46" s="15"/>
      <c r="R46" s="16"/>
      <c r="S46" s="16" t="str">
        <f ca="1">IF(
  O46 &lt; YEAR(TODAY()),
  "LULUS",
  IF(
    O46 = YEAR(TODAY()),
    IF(
      MATCH(L46, {"Januari";"Februari";"Maret";"April";"Mei";"Juni";"Juli";"Agustus";"September";"Oktober";"November";"Desember"}, 0)
        &gt;= MONTH(TODAY()),
      "AKTIF (Semester " &amp;
        (INT((12*(YEAR(TODAY())-M46) + MONTH(TODAY()) -
          MATCH(L46, {"Januari";"Februari";"Maret";"April";"Mei";"Juni";"Juli";"Agustus";"September";"Oktober";"November";"Desember"}, 0)) / 6) + 1) &amp; ")",
      "LULUS"
    ),
    "AKTIF (Semester " &amp;
      (INT((12*(YEAR(TODAY())-M46) + MONTH(TODAY()) -
        MATCH(L46, {"Januari";"Februari";"Maret";"April";"Mei";"Juni";"Juli";"Agustus";"September";"Oktober";"November";"Desember"}, 0)) / 6) + 1) &amp; ")"
  )
)</f>
        <v>AKTIF (Semester 3)</v>
      </c>
      <c r="T46" s="16" t="str">
        <f ca="1">IF(O46 &lt; YEAR(TODAY()), "LULUS",
 IF(O46 = YEAR(TODAY()),
    IF(MATCH(N46, {"Januari";"Februari";"Maret";"April";"Mei";"Juni";"Juli";"Agustus";"September";"Oktober";"November";"Desember"},0)
        &lt;= MONTH(TODAY()),
        "LULUS",
        "AKTIF"),
 "AKTIF"))</f>
        <v>AKTIF</v>
      </c>
      <c r="U46" s="16" t="s">
        <v>2940</v>
      </c>
      <c r="V46" s="15"/>
      <c r="W46" s="15"/>
      <c r="X46" s="15"/>
      <c r="Y46" s="15"/>
      <c r="Z46" s="15"/>
    </row>
    <row r="47" spans="1:26" ht="29" customHeight="1" x14ac:dyDescent="0.35">
      <c r="A47" s="12">
        <v>46</v>
      </c>
      <c r="B47" s="25" t="s">
        <v>227</v>
      </c>
      <c r="C47" s="26" t="s">
        <v>228</v>
      </c>
      <c r="D47" s="25" t="s">
        <v>152</v>
      </c>
      <c r="E47" s="13" t="str">
        <f t="shared" si="1"/>
        <v>Laki-Laki</v>
      </c>
      <c r="F47" s="25" t="s">
        <v>224</v>
      </c>
      <c r="G47" s="25" t="s">
        <v>23</v>
      </c>
      <c r="H47" s="19" t="s">
        <v>219</v>
      </c>
      <c r="I47" s="28" t="s">
        <v>225</v>
      </c>
      <c r="J47" s="32" t="s">
        <v>180</v>
      </c>
      <c r="K47" s="28" t="s">
        <v>46</v>
      </c>
      <c r="L47" s="29" t="s">
        <v>156</v>
      </c>
      <c r="M47" s="21">
        <v>2024</v>
      </c>
      <c r="N47" s="30" t="s">
        <v>226</v>
      </c>
      <c r="O47" s="15">
        <v>2028</v>
      </c>
      <c r="P47" s="15">
        <v>2025</v>
      </c>
      <c r="Q47" s="15"/>
      <c r="R47" s="16"/>
      <c r="S47" s="16" t="str">
        <f ca="1">IF(
  O47 &lt; YEAR(TODAY()),
  "LULUS",
  IF(
    O47 = YEAR(TODAY()),
    IF(
      MATCH(L47, {"Januari";"Februari";"Maret";"April";"Mei";"Juni";"Juli";"Agustus";"September";"Oktober";"November";"Desember"}, 0)
        &gt;= MONTH(TODAY()),
      "AKTIF (Semester " &amp;
        (INT((12*(YEAR(TODAY())-M47) + MONTH(TODAY()) -
          MATCH(L47, {"Januari";"Februari";"Maret";"April";"Mei";"Juni";"Juli";"Agustus";"September";"Oktober";"November";"Desember"}, 0)) / 6) + 1) &amp; ")",
      "LULUS"
    ),
    "AKTIF (Semester " &amp;
      (INT((12*(YEAR(TODAY())-M47) + MONTH(TODAY()) -
        MATCH(L47, {"Januari";"Februari";"Maret";"April";"Mei";"Juni";"Juli";"Agustus";"September";"Oktober";"November";"Desember"}, 0)) / 6) + 1) &amp; ")"
  )
)</f>
        <v>AKTIF (Semester 3)</v>
      </c>
      <c r="T47" s="16" t="str">
        <f ca="1">IF(O47 &lt; YEAR(TODAY()), "LULUS",
 IF(O47 = YEAR(TODAY()),
    IF(MATCH(N47, {"Januari";"Februari";"Maret";"April";"Mei";"Juni";"Juli";"Agustus";"September";"Oktober";"November";"Desember"},0)
        &lt;= MONTH(TODAY()),
        "LULUS",
        "AKTIF"),
 "AKTIF"))</f>
        <v>AKTIF</v>
      </c>
      <c r="U47" s="16" t="s">
        <v>2940</v>
      </c>
      <c r="V47" s="15"/>
      <c r="W47" s="15"/>
      <c r="X47" s="15"/>
      <c r="Y47" s="15"/>
      <c r="Z47" s="15"/>
    </row>
    <row r="48" spans="1:26" ht="29" customHeight="1" x14ac:dyDescent="0.35">
      <c r="A48" s="12">
        <v>47</v>
      </c>
      <c r="B48" s="147" t="s">
        <v>2900</v>
      </c>
      <c r="C48" s="132" t="s">
        <v>2901</v>
      </c>
      <c r="D48" s="131" t="s">
        <v>554</v>
      </c>
      <c r="E48" s="13" t="str">
        <f t="shared" si="1"/>
        <v>Laki-Laki</v>
      </c>
      <c r="F48" s="131" t="s">
        <v>2902</v>
      </c>
      <c r="G48" s="131" t="s">
        <v>23</v>
      </c>
      <c r="H48" s="133" t="s">
        <v>2903</v>
      </c>
      <c r="I48" s="134" t="s">
        <v>56</v>
      </c>
      <c r="J48" s="135" t="s">
        <v>509</v>
      </c>
      <c r="K48" s="134" t="s">
        <v>57</v>
      </c>
      <c r="L48" s="140" t="s">
        <v>60</v>
      </c>
      <c r="M48" s="141">
        <v>2025</v>
      </c>
      <c r="N48" s="141" t="s">
        <v>60</v>
      </c>
      <c r="O48" s="142">
        <v>2025</v>
      </c>
      <c r="P48" s="143">
        <v>2025</v>
      </c>
      <c r="Q48" s="144"/>
      <c r="R48" s="145"/>
      <c r="S48" s="16" t="str">
        <f ca="1">IF(
  O48 &lt; YEAR(TODAY()),
  "LULUS",
  IF(
    O48 = YEAR(TODAY()),
    IF(
      MATCH(L48, {"Januari";"Februari";"Maret";"April";"Mei";"Juni";"Juli";"Agustus";"September";"Oktober";"November";"Desember"}, 0)
        &gt;= MONTH(TODAY()),
      "AKTIF (Semester " &amp;
        (INT((12*(YEAR(TODAY())-M48) + MONTH(TODAY()) -
          MATCH(L48, {"Januari";"Februari";"Maret";"April";"Mei";"Juni";"Juli";"Agustus";"September";"Oktober";"November";"Desember"}, 0)) / 6) + 1) &amp; ")",
      "LULUS"
    ),
    "AKTIF (Semester " &amp;
      (INT((12*(YEAR(TODAY())-M48) + MONTH(TODAY()) -
        MATCH(L48, {"Januari";"Februari";"Maret";"April";"Mei";"Juni";"Juli";"Agustus";"September";"Oktober";"November";"Desember"}, 0)) / 6) + 1) &amp; ")"
  )
)</f>
        <v>LULUS</v>
      </c>
      <c r="T48" s="16" t="str">
        <f ca="1">IF(O48 &lt; YEAR(TODAY()), "LULUS",
 IF(O48 = YEAR(TODAY()),
    IF(MATCH(N48, {"Januari";"Februari";"Maret";"April";"Mei";"Juni";"Juli";"Agustus";"September";"Oktober";"November";"Desember"},0)
        &lt;= MONTH(TODAY()),
        "LULUS",
        "AKTIF"),
 "AKTIF"))</f>
        <v>LULUS</v>
      </c>
      <c r="U48" s="163" t="s">
        <v>29</v>
      </c>
      <c r="V48" s="145"/>
      <c r="W48" s="145"/>
      <c r="X48" s="145"/>
      <c r="Y48" s="145"/>
      <c r="Z48" s="145"/>
    </row>
    <row r="49" spans="1:26" ht="29" customHeight="1" x14ac:dyDescent="0.35">
      <c r="A49" s="12">
        <v>48</v>
      </c>
      <c r="B49" s="147" t="s">
        <v>2906</v>
      </c>
      <c r="C49" s="132" t="s">
        <v>2907</v>
      </c>
      <c r="D49" s="131" t="s">
        <v>2866</v>
      </c>
      <c r="E49" s="13" t="str">
        <f t="shared" si="1"/>
        <v>Laki-Laki</v>
      </c>
      <c r="F49" s="137" t="s">
        <v>2908</v>
      </c>
      <c r="G49" s="131" t="s">
        <v>23</v>
      </c>
      <c r="H49" s="133" t="s">
        <v>55</v>
      </c>
      <c r="I49" s="134" t="s">
        <v>2909</v>
      </c>
      <c r="J49" s="135" t="s">
        <v>180</v>
      </c>
      <c r="K49" s="139" t="s">
        <v>348</v>
      </c>
      <c r="L49" s="146" t="s">
        <v>28</v>
      </c>
      <c r="M49" s="136">
        <v>2025</v>
      </c>
      <c r="N49" s="136" t="s">
        <v>35</v>
      </c>
      <c r="O49" s="136">
        <v>2028</v>
      </c>
      <c r="P49" s="15">
        <v>2025</v>
      </c>
      <c r="Q49" s="15"/>
      <c r="R49" s="18"/>
      <c r="S49" s="16" t="str">
        <f ca="1">IF(
  O49 &lt; YEAR(TODAY()),
  "LULUS",
  IF(
    O49 = YEAR(TODAY()),
    IF(
      MATCH(L49, {"Januari";"Februari";"Maret";"April";"Mei";"Juni";"Juli";"Agustus";"September";"Oktober";"November";"Desember"}, 0)
        &gt;= MONTH(TODAY()),
      "AKTIF (Semester " &amp;
        (INT((12*(YEAR(TODAY())-M49) + MONTH(TODAY()) -
          MATCH(L49, {"Januari";"Februari";"Maret";"April";"Mei";"Juni";"Juli";"Agustus";"September";"Oktober";"November";"Desember"}, 0)) / 6) + 1) &amp; ")",
      "LULUS"
    ),
    "AKTIF (Semester " &amp;
      (INT((12*(YEAR(TODAY())-M49) + MONTH(TODAY()) -
        MATCH(L49, {"Januari";"Februari";"Maret";"April";"Mei";"Juni";"Juli";"Agustus";"September";"Oktober";"November";"Desember"}, 0)) / 6) + 1) &amp; ")"
  )
)</f>
        <v>AKTIF (Semester 1)</v>
      </c>
      <c r="T49" s="16" t="str">
        <f ca="1">IF(O49 &lt; YEAR(TODAY()), "LULUS",
 IF(O49 = YEAR(TODAY()),
    IF(MATCH(N49, {"Januari";"Februari";"Maret";"April";"Mei";"Juni";"Juli";"Agustus";"September";"Oktober";"November";"Desember"},0)
        &lt;= MONTH(TODAY()),
        "LULUS",
        "AKTIF"),
 "AKTIF"))</f>
        <v>AKTIF</v>
      </c>
      <c r="U49" s="16" t="s">
        <v>2943</v>
      </c>
      <c r="V49" s="18"/>
      <c r="W49" s="18"/>
      <c r="X49" s="18"/>
      <c r="Y49" s="18"/>
      <c r="Z49" s="18"/>
    </row>
    <row r="50" spans="1:26" ht="29" customHeight="1" x14ac:dyDescent="0.35">
      <c r="A50" s="12">
        <v>49</v>
      </c>
      <c r="B50" s="147" t="s">
        <v>2910</v>
      </c>
      <c r="C50" s="138" t="s">
        <v>2911</v>
      </c>
      <c r="D50" s="131" t="s">
        <v>188</v>
      </c>
      <c r="E50" s="13" t="str">
        <f t="shared" si="1"/>
        <v>Laki-Laki</v>
      </c>
      <c r="F50" s="137" t="s">
        <v>2912</v>
      </c>
      <c r="G50" s="131" t="s">
        <v>23</v>
      </c>
      <c r="H50" s="133" t="s">
        <v>55</v>
      </c>
      <c r="I50" s="134" t="s">
        <v>2909</v>
      </c>
      <c r="J50" s="135" t="s">
        <v>190</v>
      </c>
      <c r="K50" s="139" t="s">
        <v>46</v>
      </c>
      <c r="L50" s="146" t="s">
        <v>28</v>
      </c>
      <c r="M50" s="136">
        <v>2025</v>
      </c>
      <c r="N50" s="136" t="s">
        <v>28</v>
      </c>
      <c r="O50" s="136">
        <v>2027</v>
      </c>
      <c r="P50" s="15">
        <v>2025</v>
      </c>
      <c r="Q50" s="15"/>
      <c r="R50" s="18"/>
      <c r="S50" s="16" t="str">
        <f ca="1">IF(
  O50 &lt; YEAR(TODAY()),
  "LULUS",
  IF(
    O50 = YEAR(TODAY()),
    IF(
      MATCH(L50, {"Januari";"Februari";"Maret";"April";"Mei";"Juni";"Juli";"Agustus";"September";"Oktober";"November";"Desember"}, 0)
        &gt;= MONTH(TODAY()),
      "AKTIF (Semester " &amp;
        (INT((12*(YEAR(TODAY())-M50) + MONTH(TODAY()) -
          MATCH(L50, {"Januari";"Februari";"Maret";"April";"Mei";"Juni";"Juli";"Agustus";"September";"Oktober";"November";"Desember"}, 0)) / 6) + 1) &amp; ")",
      "LULUS"
    ),
    "AKTIF (Semester " &amp;
      (INT((12*(YEAR(TODAY())-M50) + MONTH(TODAY()) -
        MATCH(L50, {"Januari";"Februari";"Maret";"April";"Mei";"Juni";"Juli";"Agustus";"September";"Oktober";"November";"Desember"}, 0)) / 6) + 1) &amp; ")"
  )
)</f>
        <v>AKTIF (Semester 1)</v>
      </c>
      <c r="T50" s="16" t="str">
        <f ca="1">IF(O50 &lt; YEAR(TODAY()), "LULUS",
 IF(O50 = YEAR(TODAY()),
    IF(MATCH(N50, {"Januari";"Februari";"Maret";"April";"Mei";"Juni";"Juli";"Agustus";"September";"Oktober";"November";"Desember"},0)
        &lt;= MONTH(TODAY()),
        "LULUS",
        "AKTIF"),
 "AKTIF"))</f>
        <v>AKTIF</v>
      </c>
      <c r="U50" s="16" t="s">
        <v>2943</v>
      </c>
      <c r="V50" s="18"/>
      <c r="W50" s="18"/>
      <c r="X50" s="18"/>
      <c r="Y50" s="18"/>
      <c r="Z50" s="18"/>
    </row>
    <row r="51" spans="1:26" ht="29" customHeight="1" x14ac:dyDescent="0.35">
      <c r="A51" s="12">
        <v>50</v>
      </c>
      <c r="B51" s="13" t="s">
        <v>229</v>
      </c>
      <c r="C51" s="14" t="s">
        <v>230</v>
      </c>
      <c r="D51" s="13"/>
      <c r="E51" s="14" t="str">
        <f t="shared" si="1"/>
        <v>Laki-Laki</v>
      </c>
      <c r="F51" s="13"/>
      <c r="G51" s="13" t="s">
        <v>231</v>
      </c>
      <c r="H51" s="15" t="s">
        <v>232</v>
      </c>
      <c r="I51" s="19" t="s">
        <v>2931</v>
      </c>
      <c r="J51" s="12" t="s">
        <v>26</v>
      </c>
      <c r="K51" s="15" t="s">
        <v>234</v>
      </c>
      <c r="L51" s="15" t="s">
        <v>28</v>
      </c>
      <c r="M51" s="15">
        <v>2020</v>
      </c>
      <c r="N51" s="15" t="s">
        <v>28</v>
      </c>
      <c r="O51" s="15">
        <v>2022</v>
      </c>
      <c r="P51" s="15">
        <v>2020</v>
      </c>
      <c r="Q51" s="15"/>
      <c r="R51" s="16" t="s">
        <v>29</v>
      </c>
      <c r="S51" s="16" t="str">
        <f ca="1">IF(
  O51 &lt; YEAR(TODAY()),
  "LULUS",
  IF(
    O51 = YEAR(TODAY()),
    IF(
      MATCH(L51, {"Januari";"Februari";"Maret";"April";"Mei";"Juni";"Juli";"Agustus";"September";"Oktober";"November";"Desember"}, 0)
        &gt;= MONTH(TODAY()),
      "AKTIF (Semester " &amp;
        (INT((12*(YEAR(TODAY())-M51) + MONTH(TODAY()) -
          MATCH(L51, {"Januari";"Februari";"Maret";"April";"Mei";"Juni";"Juli";"Agustus";"September";"Oktober";"November";"Desember"}, 0)) / 6) + 1) &amp; ")",
      "LULUS"
    ),
    "AKTIF (Semester " &amp;
      (INT((12*(YEAR(TODAY())-M51) + MONTH(TODAY()) -
        MATCH(L51, {"Januari";"Februari";"Maret";"April";"Mei";"Juni";"Juli";"Agustus";"September";"Oktober";"November";"Desember"}, 0)) / 6) + 1) &amp; ")"
  )
)</f>
        <v>LULUS</v>
      </c>
      <c r="T51" s="16" t="str">
        <f ca="1">IF(O51 &lt; YEAR(TODAY()), "LULUS",
 IF(O51 = YEAR(TODAY()),
    IF(MATCH(N51, {"Januari";"Februari";"Maret";"April";"Mei";"Juni";"Juli";"Agustus";"September";"Oktober";"November";"Desember"},0)
        &lt;= MONTH(TODAY()),
        "LULUS",
        "AKTIF"),
 "AKTIF"))</f>
        <v>LULUS</v>
      </c>
      <c r="U51" s="16" t="s">
        <v>29</v>
      </c>
      <c r="V51" s="15"/>
      <c r="W51" s="15"/>
      <c r="X51" s="15"/>
      <c r="Y51" s="15"/>
      <c r="Z51" s="15"/>
    </row>
    <row r="52" spans="1:26" ht="29" customHeight="1" x14ac:dyDescent="0.35">
      <c r="A52" s="12">
        <v>51</v>
      </c>
      <c r="B52" s="25" t="s">
        <v>235</v>
      </c>
      <c r="C52" s="69" t="s">
        <v>236</v>
      </c>
      <c r="D52" s="13" t="s">
        <v>172</v>
      </c>
      <c r="E52" s="14" t="str">
        <f t="shared" si="1"/>
        <v>Perempuan</v>
      </c>
      <c r="F52" s="72" t="s">
        <v>237</v>
      </c>
      <c r="G52" s="13" t="s">
        <v>231</v>
      </c>
      <c r="H52" s="15"/>
      <c r="I52" s="19" t="s">
        <v>2931</v>
      </c>
      <c r="J52" s="20" t="s">
        <v>26</v>
      </c>
      <c r="K52" s="19" t="s">
        <v>46</v>
      </c>
      <c r="L52" s="15" t="s">
        <v>28</v>
      </c>
      <c r="M52" s="15">
        <v>2022</v>
      </c>
      <c r="N52" s="15" t="s">
        <v>28</v>
      </c>
      <c r="O52" s="15">
        <v>2024</v>
      </c>
      <c r="P52" s="15">
        <v>2022</v>
      </c>
      <c r="Q52" s="15"/>
      <c r="R52" s="16" t="s">
        <v>29</v>
      </c>
      <c r="S52" s="16" t="str">
        <f ca="1">IF(
  O52 &lt; YEAR(TODAY()),
  "LULUS",
  IF(
    O52 = YEAR(TODAY()),
    IF(
      MATCH(L52, {"Januari";"Februari";"Maret";"April";"Mei";"Juni";"Juli";"Agustus";"September";"Oktober";"November";"Desember"}, 0)
        &gt;= MONTH(TODAY()),
      "AKTIF (Semester " &amp;
        (INT((12*(YEAR(TODAY())-M52) + MONTH(TODAY()) -
          MATCH(L52, {"Januari";"Februari";"Maret";"April";"Mei";"Juni";"Juli";"Agustus";"September";"Oktober";"November";"Desember"}, 0)) / 6) + 1) &amp; ")",
      "LULUS"
    ),
    "AKTIF (Semester " &amp;
      (INT((12*(YEAR(TODAY())-M52) + MONTH(TODAY()) -
        MATCH(L52, {"Januari";"Februari";"Maret";"April";"Mei";"Juni";"Juli";"Agustus";"September";"Oktober";"November";"Desember"}, 0)) / 6) + 1) &amp; ")"
  )
)</f>
        <v>LULUS</v>
      </c>
      <c r="T52" s="16" t="str">
        <f ca="1">IF(O52 &lt; YEAR(TODAY()), "LULUS",
 IF(O52 = YEAR(TODAY()),
    IF(MATCH(N52, {"Januari";"Februari";"Maret";"April";"Mei";"Juni";"Juli";"Agustus";"September";"Oktober";"November";"Desember"},0)
        &lt;= MONTH(TODAY()),
        "LULUS",
        "AKTIF"),
 "AKTIF"))</f>
        <v>LULUS</v>
      </c>
      <c r="U52" s="16" t="s">
        <v>29</v>
      </c>
      <c r="V52" s="15"/>
      <c r="W52" s="15"/>
      <c r="X52" s="15"/>
      <c r="Y52" s="15"/>
      <c r="Z52" s="15"/>
    </row>
    <row r="53" spans="1:26" ht="29" customHeight="1" x14ac:dyDescent="0.35">
      <c r="A53" s="12">
        <v>52</v>
      </c>
      <c r="B53" s="25" t="s">
        <v>239</v>
      </c>
      <c r="C53" s="152">
        <v>1.9780516200502099E+17</v>
      </c>
      <c r="D53" s="24" t="s">
        <v>109</v>
      </c>
      <c r="E53" s="14" t="str">
        <f t="shared" si="1"/>
        <v>Laki-Laki</v>
      </c>
      <c r="F53" s="72" t="s">
        <v>240</v>
      </c>
      <c r="G53" s="13" t="s">
        <v>231</v>
      </c>
      <c r="H53" s="15"/>
      <c r="I53" s="19" t="s">
        <v>241</v>
      </c>
      <c r="J53" s="20" t="s">
        <v>242</v>
      </c>
      <c r="K53" s="19" t="s">
        <v>243</v>
      </c>
      <c r="L53" s="15" t="s">
        <v>60</v>
      </c>
      <c r="M53" s="15">
        <v>2023</v>
      </c>
      <c r="N53" s="15" t="s">
        <v>60</v>
      </c>
      <c r="O53" s="15">
        <v>2026</v>
      </c>
      <c r="P53" s="15">
        <v>2022</v>
      </c>
      <c r="Q53" s="15"/>
      <c r="R53" s="16" t="s">
        <v>51</v>
      </c>
      <c r="S53" s="16" t="str">
        <f ca="1">IF(
  O53 &lt; YEAR(TODAY()),
  "LULUS",
  IF(
    O53 = YEAR(TODAY()),
    IF(
      MATCH(L53, {"Januari";"Februari";"Maret";"April";"Mei";"Juni";"Juli";"Agustus";"September";"Oktober";"November";"Desember"}, 0)
        &gt;= MONTH(TODAY()),
      "AKTIF (Semester " &amp;
        (INT((12*(YEAR(TODAY())-M53) + MONTH(TODAY()) -
          MATCH(L53, {"Januari";"Februari";"Maret";"April";"Mei";"Juni";"Juli";"Agustus";"September";"Oktober";"November";"Desember"}, 0)) / 6) + 1) &amp; ")",
      "LULUS"
    ),
    "AKTIF (Semester " &amp;
      (INT((12*(YEAR(TODAY())-M53) + MONTH(TODAY()) -
        MATCH(L53, {"Januari";"Februari";"Maret";"April";"Mei";"Juni";"Juli";"Agustus";"September";"Oktober";"November";"Desember"}, 0)) / 6) + 1) &amp; ")"
  )
)</f>
        <v>AKTIF (Semester 5)</v>
      </c>
      <c r="T53" s="16" t="str">
        <f ca="1">IF(O53 &lt; YEAR(TODAY()), "LULUS",
 IF(O53 = YEAR(TODAY()),
    IF(MATCH(N53, {"Januari";"Februari";"Maret";"April";"Mei";"Juni";"Juli";"Agustus";"September";"Oktober";"November";"Desember"},0)
        &lt;= MONTH(TODAY()),
        "LULUS",
        "AKTIF"),
 "AKTIF"))</f>
        <v>AKTIF</v>
      </c>
      <c r="U53" s="16" t="s">
        <v>2941</v>
      </c>
      <c r="V53" s="15"/>
      <c r="W53" s="15"/>
      <c r="X53" s="15"/>
      <c r="Y53" s="15"/>
      <c r="Z53" s="15"/>
    </row>
    <row r="54" spans="1:26" ht="29" customHeight="1" x14ac:dyDescent="0.35">
      <c r="A54" s="12">
        <v>53</v>
      </c>
      <c r="B54" s="13" t="s">
        <v>244</v>
      </c>
      <c r="C54" s="14" t="s">
        <v>245</v>
      </c>
      <c r="D54" s="13" t="s">
        <v>246</v>
      </c>
      <c r="E54" s="14" t="str">
        <f t="shared" si="1"/>
        <v>Laki-Laki</v>
      </c>
      <c r="F54" s="18" t="s">
        <v>88</v>
      </c>
      <c r="G54" s="13" t="s">
        <v>231</v>
      </c>
      <c r="H54" s="15" t="s">
        <v>247</v>
      </c>
      <c r="I54" s="15" t="s">
        <v>90</v>
      </c>
      <c r="J54" s="12" t="s">
        <v>45</v>
      </c>
      <c r="K54" s="15" t="s">
        <v>248</v>
      </c>
      <c r="L54" s="15" t="s">
        <v>169</v>
      </c>
      <c r="M54" s="15">
        <v>2024</v>
      </c>
      <c r="N54" s="15" t="s">
        <v>169</v>
      </c>
      <c r="O54" s="15">
        <v>2026</v>
      </c>
      <c r="P54" s="15">
        <v>2022</v>
      </c>
      <c r="Q54" s="15"/>
      <c r="R54" s="16" t="s">
        <v>51</v>
      </c>
      <c r="S54" s="16" t="str">
        <f ca="1">IF(
  O54 &lt; YEAR(TODAY()),
  "LULUS",
  IF(
    O54 = YEAR(TODAY()),
    IF(
      MATCH(L54, {"Januari";"Februari";"Maret";"April";"Mei";"Juni";"Juli";"Agustus";"September";"Oktober";"November";"Desember"}, 0)
        &gt;= MONTH(TODAY()),
      "AKTIF (Semester " &amp;
        (INT((12*(YEAR(TODAY())-M54) + MONTH(TODAY()) -
          MATCH(L54, {"Januari";"Februari";"Maret";"April";"Mei";"Juni";"Juli";"Agustus";"September";"Oktober";"November";"Desember"}, 0)) / 6) + 1) &amp; ")",
      "LULUS"
    ),
    "AKTIF (Semester " &amp;
      (INT((12*(YEAR(TODAY())-M54) + MONTH(TODAY()) -
        MATCH(L54, {"Januari";"Februari";"Maret";"April";"Mei";"Juni";"Juli";"Agustus";"September";"Oktober";"November";"Desember"}, 0)) / 6) + 1) &amp; ")"
  )
)</f>
        <v>AKTIF (Semester 3)</v>
      </c>
      <c r="T54" s="16" t="str">
        <f ca="1">IF(O54 &lt; YEAR(TODAY()), "LULUS",
 IF(O54 = YEAR(TODAY()),
    IF(MATCH(N54, {"Januari";"Februari";"Maret";"April";"Mei";"Juni";"Juli";"Agustus";"September";"Oktober";"November";"Desember"},0)
        &lt;= MONTH(TODAY()),
        "LULUS",
        "AKTIF"),
 "AKTIF"))</f>
        <v>AKTIF</v>
      </c>
      <c r="U54" s="16" t="s">
        <v>2940</v>
      </c>
      <c r="V54" s="15"/>
      <c r="W54" s="15"/>
      <c r="X54" s="15"/>
      <c r="Y54" s="15"/>
      <c r="Z54" s="15"/>
    </row>
    <row r="55" spans="1:26" ht="29" customHeight="1" x14ac:dyDescent="0.35">
      <c r="A55" s="12">
        <v>54</v>
      </c>
      <c r="B55" s="13" t="s">
        <v>249</v>
      </c>
      <c r="C55" s="14" t="s">
        <v>250</v>
      </c>
      <c r="D55" s="13" t="s">
        <v>251</v>
      </c>
      <c r="E55" s="14" t="str">
        <f t="shared" si="1"/>
        <v>Perempuan</v>
      </c>
      <c r="F55" s="18" t="s">
        <v>88</v>
      </c>
      <c r="G55" s="13" t="s">
        <v>231</v>
      </c>
      <c r="H55" s="15" t="s">
        <v>247</v>
      </c>
      <c r="I55" s="15" t="s">
        <v>90</v>
      </c>
      <c r="J55" s="12" t="s">
        <v>45</v>
      </c>
      <c r="K55" s="15" t="s">
        <v>248</v>
      </c>
      <c r="L55" s="15" t="s">
        <v>169</v>
      </c>
      <c r="M55" s="15">
        <v>2024</v>
      </c>
      <c r="N55" s="15" t="s">
        <v>169</v>
      </c>
      <c r="O55" s="15">
        <v>2026</v>
      </c>
      <c r="P55" s="15">
        <v>2024</v>
      </c>
      <c r="Q55" s="15"/>
      <c r="R55" s="16" t="s">
        <v>51</v>
      </c>
      <c r="S55" s="16" t="str">
        <f ca="1">IF(
  O55 &lt; YEAR(TODAY()),
  "LULUS",
  IF(
    O55 = YEAR(TODAY()),
    IF(
      MATCH(L55, {"Januari";"Februari";"Maret";"April";"Mei";"Juni";"Juli";"Agustus";"September";"Oktober";"November";"Desember"}, 0)
        &gt;= MONTH(TODAY()),
      "AKTIF (Semester " &amp;
        (INT((12*(YEAR(TODAY())-M55) + MONTH(TODAY()) -
          MATCH(L55, {"Januari";"Februari";"Maret";"April";"Mei";"Juni";"Juli";"Agustus";"September";"Oktober";"November";"Desember"}, 0)) / 6) + 1) &amp; ")",
      "LULUS"
    ),
    "AKTIF (Semester " &amp;
      (INT((12*(YEAR(TODAY())-M55) + MONTH(TODAY()) -
        MATCH(L55, {"Januari";"Februari";"Maret";"April";"Mei";"Juni";"Juli";"Agustus";"September";"Oktober";"November";"Desember"}, 0)) / 6) + 1) &amp; ")"
  )
)</f>
        <v>AKTIF (Semester 3)</v>
      </c>
      <c r="T55" s="16" t="str">
        <f ca="1">IF(O55 &lt; YEAR(TODAY()), "LULUS",
 IF(O55 = YEAR(TODAY()),
    IF(MATCH(N55, {"Januari";"Februari";"Maret";"April";"Mei";"Juni";"Juli";"Agustus";"September";"Oktober";"November";"Desember"},0)
        &lt;= MONTH(TODAY()),
        "LULUS",
        "AKTIF"),
 "AKTIF"))</f>
        <v>AKTIF</v>
      </c>
      <c r="U55" s="16" t="s">
        <v>2940</v>
      </c>
      <c r="V55" s="15"/>
      <c r="W55" s="15"/>
      <c r="X55" s="15"/>
      <c r="Y55" s="15"/>
      <c r="Z55" s="15"/>
    </row>
    <row r="56" spans="1:26" ht="29" customHeight="1" x14ac:dyDescent="0.35">
      <c r="A56" s="12">
        <v>55</v>
      </c>
      <c r="B56" s="13" t="s">
        <v>252</v>
      </c>
      <c r="C56" s="14" t="s">
        <v>253</v>
      </c>
      <c r="D56" s="13"/>
      <c r="E56" s="153" t="str">
        <f t="shared" si="1"/>
        <v>Laki-Laki</v>
      </c>
      <c r="F56" s="13"/>
      <c r="G56" s="13" t="s">
        <v>254</v>
      </c>
      <c r="H56" s="15" t="s">
        <v>255</v>
      </c>
      <c r="I56" s="15" t="s">
        <v>256</v>
      </c>
      <c r="J56" s="12" t="s">
        <v>242</v>
      </c>
      <c r="K56" s="15" t="s">
        <v>257</v>
      </c>
      <c r="L56" s="15" t="s">
        <v>28</v>
      </c>
      <c r="M56" s="15">
        <v>2020</v>
      </c>
      <c r="N56" s="15" t="s">
        <v>28</v>
      </c>
      <c r="O56" s="15">
        <v>2022</v>
      </c>
      <c r="P56" s="15">
        <v>2020</v>
      </c>
      <c r="Q56" s="15"/>
      <c r="R56" s="16" t="s">
        <v>29</v>
      </c>
      <c r="S56" s="16" t="str">
        <f ca="1">IF(
  O56 &lt; YEAR(TODAY()),
  "LULUS",
  IF(
    O56 = YEAR(TODAY()),
    IF(
      MATCH(L56, {"Januari";"Februari";"Maret";"April";"Mei";"Juni";"Juli";"Agustus";"September";"Oktober";"November";"Desember"}, 0)
        &gt;= MONTH(TODAY()),
      "AKTIF (Semester " &amp;
        (INT((12*(YEAR(TODAY())-M56) + MONTH(TODAY()) -
          MATCH(L56, {"Januari";"Februari";"Maret";"April";"Mei";"Juni";"Juli";"Agustus";"September";"Oktober";"November";"Desember"}, 0)) / 6) + 1) &amp; ")",
      "LULUS"
    ),
    "AKTIF (Semester " &amp;
      (INT((12*(YEAR(TODAY())-M56) + MONTH(TODAY()) -
        MATCH(L56, {"Januari";"Februari";"Maret";"April";"Mei";"Juni";"Juli";"Agustus";"September";"Oktober";"November";"Desember"}, 0)) / 6) + 1) &amp; ")"
  )
)</f>
        <v>LULUS</v>
      </c>
      <c r="T56" s="16" t="str">
        <f ca="1">IF(O56 &lt; YEAR(TODAY()), "LULUS",
 IF(O56 = YEAR(TODAY()),
    IF(MATCH(N56, {"Januari";"Februari";"Maret";"April";"Mei";"Juni";"Juli";"Agustus";"September";"Oktober";"November";"Desember"},0)
        &lt;= MONTH(TODAY()),
        "LULUS",
        "AKTIF"),
 "AKTIF"))</f>
        <v>LULUS</v>
      </c>
      <c r="U56" s="16" t="s">
        <v>29</v>
      </c>
      <c r="V56" s="15"/>
      <c r="W56" s="15"/>
      <c r="X56" s="15"/>
      <c r="Y56" s="15"/>
      <c r="Z56" s="15"/>
    </row>
    <row r="57" spans="1:26" ht="29" customHeight="1" x14ac:dyDescent="0.35">
      <c r="A57" s="12">
        <v>56</v>
      </c>
      <c r="B57" s="13" t="s">
        <v>258</v>
      </c>
      <c r="C57" s="14" t="s">
        <v>259</v>
      </c>
      <c r="D57" s="13"/>
      <c r="E57" s="153" t="str">
        <f t="shared" si="1"/>
        <v>Perempuan</v>
      </c>
      <c r="F57" s="13"/>
      <c r="G57" s="13" t="s">
        <v>254</v>
      </c>
      <c r="H57" s="15" t="s">
        <v>260</v>
      </c>
      <c r="I57" s="15" t="s">
        <v>261</v>
      </c>
      <c r="J57" s="12" t="s">
        <v>26</v>
      </c>
      <c r="K57" s="15" t="s">
        <v>262</v>
      </c>
      <c r="L57" s="23" t="s">
        <v>28</v>
      </c>
      <c r="M57" s="15">
        <v>2020</v>
      </c>
      <c r="N57" s="15" t="s">
        <v>28</v>
      </c>
      <c r="O57" s="15">
        <v>2022</v>
      </c>
      <c r="P57" s="15">
        <v>2020</v>
      </c>
      <c r="Q57" s="15"/>
      <c r="R57" s="16" t="s">
        <v>29</v>
      </c>
      <c r="S57" s="16" t="str">
        <f ca="1">IF(
  O57 &lt; YEAR(TODAY()),
  "LULUS",
  IF(
    O57 = YEAR(TODAY()),
    IF(
      MATCH(L57, {"Januari";"Februari";"Maret";"April";"Mei";"Juni";"Juli";"Agustus";"September";"Oktober";"November";"Desember"}, 0)
        &gt;= MONTH(TODAY()),
      "AKTIF (Semester " &amp;
        (INT((12*(YEAR(TODAY())-M57) + MONTH(TODAY()) -
          MATCH(L57, {"Januari";"Februari";"Maret";"April";"Mei";"Juni";"Juli";"Agustus";"September";"Oktober";"November";"Desember"}, 0)) / 6) + 1) &amp; ")",
      "LULUS"
    ),
    "AKTIF (Semester " &amp;
      (INT((12*(YEAR(TODAY())-M57) + MONTH(TODAY()) -
        MATCH(L57, {"Januari";"Februari";"Maret";"April";"Mei";"Juni";"Juli";"Agustus";"September";"Oktober";"November";"Desember"}, 0)) / 6) + 1) &amp; ")"
  )
)</f>
        <v>LULUS</v>
      </c>
      <c r="T57" s="16" t="str">
        <f ca="1">IF(O57 &lt; YEAR(TODAY()), "LULUS",
 IF(O57 = YEAR(TODAY()),
    IF(MATCH(N57, {"Januari";"Februari";"Maret";"April";"Mei";"Juni";"Juli";"Agustus";"September";"Oktober";"November";"Desember"},0)
        &lt;= MONTH(TODAY()),
        "LULUS",
        "AKTIF"),
 "AKTIF"))</f>
        <v>LULUS</v>
      </c>
      <c r="U57" s="16" t="s">
        <v>29</v>
      </c>
      <c r="V57" s="15"/>
      <c r="W57" s="15"/>
      <c r="X57" s="15"/>
      <c r="Y57" s="15"/>
      <c r="Z57" s="15"/>
    </row>
    <row r="58" spans="1:26" ht="29" customHeight="1" x14ac:dyDescent="0.35">
      <c r="A58" s="12">
        <v>57</v>
      </c>
      <c r="B58" s="13" t="s">
        <v>263</v>
      </c>
      <c r="C58" s="14" t="s">
        <v>264</v>
      </c>
      <c r="D58" s="13"/>
      <c r="E58" s="153" t="str">
        <f t="shared" si="1"/>
        <v>Perempuan</v>
      </c>
      <c r="F58" s="13"/>
      <c r="G58" s="13" t="s">
        <v>254</v>
      </c>
      <c r="H58" s="15" t="s">
        <v>260</v>
      </c>
      <c r="I58" s="15" t="s">
        <v>261</v>
      </c>
      <c r="J58" s="12" t="s">
        <v>45</v>
      </c>
      <c r="K58" s="15" t="s">
        <v>265</v>
      </c>
      <c r="L58" s="23" t="s">
        <v>28</v>
      </c>
      <c r="M58" s="15">
        <v>2020</v>
      </c>
      <c r="N58" s="15" t="s">
        <v>28</v>
      </c>
      <c r="O58" s="15">
        <v>2024</v>
      </c>
      <c r="P58" s="15">
        <v>2020</v>
      </c>
      <c r="Q58" s="15"/>
      <c r="R58" s="16" t="s">
        <v>51</v>
      </c>
      <c r="S58" s="16" t="str">
        <f ca="1">IF(
  O58 &lt; YEAR(TODAY()),
  "LULUS",
  IF(
    O58 = YEAR(TODAY()),
    IF(
      MATCH(L58, {"Januari";"Februari";"Maret";"April";"Mei";"Juni";"Juli";"Agustus";"September";"Oktober";"November";"Desember"}, 0)
        &gt;= MONTH(TODAY()),
      "AKTIF (Semester " &amp;
        (INT((12*(YEAR(TODAY())-M58) + MONTH(TODAY()) -
          MATCH(L58, {"Januari";"Februari";"Maret";"April";"Mei";"Juni";"Juli";"Agustus";"September";"Oktober";"November";"Desember"}, 0)) / 6) + 1) &amp; ")",
      "LULUS"
    ),
    "AKTIF (Semester " &amp;
      (INT((12*(YEAR(TODAY())-M58) + MONTH(TODAY()) -
        MATCH(L58, {"Januari";"Februari";"Maret";"April";"Mei";"Juni";"Juli";"Agustus";"September";"Oktober";"November";"Desember"}, 0)) / 6) + 1) &amp; ")"
  )
)</f>
        <v>LULUS</v>
      </c>
      <c r="T58" s="16" t="str">
        <f ca="1">IF(O58 &lt; YEAR(TODAY()), "LULUS",
 IF(O58 = YEAR(TODAY()),
    IF(MATCH(N58, {"Januari";"Februari";"Maret";"April";"Mei";"Juni";"Juli";"Agustus";"September";"Oktober";"November";"Desember"},0)
        &lt;= MONTH(TODAY()),
        "LULUS",
        "AKTIF"),
 "AKTIF"))</f>
        <v>LULUS</v>
      </c>
      <c r="U58" s="16" t="s">
        <v>29</v>
      </c>
      <c r="V58" s="15"/>
      <c r="W58" s="15"/>
      <c r="X58" s="15"/>
      <c r="Y58" s="15"/>
      <c r="Z58" s="15"/>
    </row>
    <row r="59" spans="1:26" ht="29" customHeight="1" x14ac:dyDescent="0.35">
      <c r="A59" s="12">
        <v>58</v>
      </c>
      <c r="B59" s="13" t="s">
        <v>266</v>
      </c>
      <c r="C59" s="14" t="s">
        <v>267</v>
      </c>
      <c r="D59" s="13"/>
      <c r="E59" s="153" t="str">
        <f t="shared" si="1"/>
        <v>Laki-Laki</v>
      </c>
      <c r="F59" s="13"/>
      <c r="G59" s="13" t="s">
        <v>254</v>
      </c>
      <c r="H59" s="15" t="s">
        <v>268</v>
      </c>
      <c r="I59" s="15" t="s">
        <v>90</v>
      </c>
      <c r="J59" s="12" t="s">
        <v>45</v>
      </c>
      <c r="K59" s="15" t="s">
        <v>269</v>
      </c>
      <c r="L59" s="21" t="s">
        <v>160</v>
      </c>
      <c r="M59" s="15">
        <v>2020</v>
      </c>
      <c r="N59" s="15" t="s">
        <v>160</v>
      </c>
      <c r="O59" s="15">
        <v>2024</v>
      </c>
      <c r="P59" s="15">
        <v>2020</v>
      </c>
      <c r="Q59" s="15"/>
      <c r="R59" s="16" t="s">
        <v>51</v>
      </c>
      <c r="S59" s="16" t="str">
        <f ca="1">IF(
  O59 &lt; YEAR(TODAY()),
  "LULUS",
  IF(
    O59 = YEAR(TODAY()),
    IF(
      MATCH(L59, {"Januari";"Februari";"Maret";"April";"Mei";"Juni";"Juli";"Agustus";"September";"Oktober";"November";"Desember"}, 0)
        &gt;= MONTH(TODAY()),
      "AKTIF (Semester " &amp;
        (INT((12*(YEAR(TODAY())-M59) + MONTH(TODAY()) -
          MATCH(L59, {"Januari";"Februari";"Maret";"April";"Mei";"Juni";"Juli";"Agustus";"September";"Oktober";"November";"Desember"}, 0)) / 6) + 1) &amp; ")",
      "LULUS"
    ),
    "AKTIF (Semester " &amp;
      (INT((12*(YEAR(TODAY())-M59) + MONTH(TODAY()) -
        MATCH(L59, {"Januari";"Februari";"Maret";"April";"Mei";"Juni";"Juli";"Agustus";"September";"Oktober";"November";"Desember"}, 0)) / 6) + 1) &amp; ")"
  )
)</f>
        <v>LULUS</v>
      </c>
      <c r="T59" s="16" t="str">
        <f ca="1">IF(O59 &lt; YEAR(TODAY()), "LULUS",
 IF(O59 = YEAR(TODAY()),
    IF(MATCH(N59, {"Januari";"Februari";"Maret";"April";"Mei";"Juni";"Juli";"Agustus";"September";"Oktober";"November";"Desember"},0)
        &lt;= MONTH(TODAY()),
        "LULUS",
        "AKTIF"),
 "AKTIF"))</f>
        <v>LULUS</v>
      </c>
      <c r="U59" s="16" t="s">
        <v>29</v>
      </c>
      <c r="V59" s="15"/>
      <c r="W59" s="15"/>
      <c r="X59" s="15"/>
      <c r="Y59" s="15"/>
      <c r="Z59" s="15"/>
    </row>
    <row r="60" spans="1:26" ht="29" customHeight="1" x14ac:dyDescent="0.35">
      <c r="A60" s="12">
        <v>59</v>
      </c>
      <c r="B60" s="13" t="s">
        <v>270</v>
      </c>
      <c r="C60" s="14" t="s">
        <v>271</v>
      </c>
      <c r="D60" s="13"/>
      <c r="E60" s="153" t="str">
        <f t="shared" si="1"/>
        <v>Perempuan</v>
      </c>
      <c r="F60" s="13"/>
      <c r="G60" s="13" t="s">
        <v>254</v>
      </c>
      <c r="H60" s="15" t="s">
        <v>272</v>
      </c>
      <c r="I60" s="15" t="s">
        <v>90</v>
      </c>
      <c r="J60" s="12" t="s">
        <v>45</v>
      </c>
      <c r="K60" s="15" t="s">
        <v>273</v>
      </c>
      <c r="L60" s="23" t="s">
        <v>60</v>
      </c>
      <c r="M60" s="15">
        <v>2020</v>
      </c>
      <c r="N60" s="15" t="s">
        <v>60</v>
      </c>
      <c r="O60" s="15">
        <v>2023</v>
      </c>
      <c r="P60" s="15">
        <v>2020</v>
      </c>
      <c r="Q60" s="15"/>
      <c r="R60" s="16" t="s">
        <v>29</v>
      </c>
      <c r="S60" s="16" t="str">
        <f ca="1">IF(
  O60 &lt; YEAR(TODAY()),
  "LULUS",
  IF(
    O60 = YEAR(TODAY()),
    IF(
      MATCH(L60, {"Januari";"Februari";"Maret";"April";"Mei";"Juni";"Juli";"Agustus";"September";"Oktober";"November";"Desember"}, 0)
        &gt;= MONTH(TODAY()),
      "AKTIF (Semester " &amp;
        (INT((12*(YEAR(TODAY())-M60) + MONTH(TODAY()) -
          MATCH(L60, {"Januari";"Februari";"Maret";"April";"Mei";"Juni";"Juli";"Agustus";"September";"Oktober";"November";"Desember"}, 0)) / 6) + 1) &amp; ")",
      "LULUS"
    ),
    "AKTIF (Semester " &amp;
      (INT((12*(YEAR(TODAY())-M60) + MONTH(TODAY()) -
        MATCH(L60, {"Januari";"Februari";"Maret";"April";"Mei";"Juni";"Juli";"Agustus";"September";"Oktober";"November";"Desember"}, 0)) / 6) + 1) &amp; ")"
  )
)</f>
        <v>LULUS</v>
      </c>
      <c r="T60" s="16" t="str">
        <f ca="1">IF(O60 &lt; YEAR(TODAY()), "LULUS",
 IF(O60 = YEAR(TODAY()),
    IF(MATCH(N60, {"Januari";"Februari";"Maret";"April";"Mei";"Juni";"Juli";"Agustus";"September";"Oktober";"November";"Desember"},0)
        &lt;= MONTH(TODAY()),
        "LULUS",
        "AKTIF"),
 "AKTIF"))</f>
        <v>LULUS</v>
      </c>
      <c r="U60" s="16" t="s">
        <v>29</v>
      </c>
      <c r="V60" s="15"/>
      <c r="W60" s="15"/>
      <c r="X60" s="15"/>
      <c r="Y60" s="15"/>
      <c r="Z60" s="15"/>
    </row>
    <row r="61" spans="1:26" ht="29" customHeight="1" x14ac:dyDescent="0.35">
      <c r="A61" s="12">
        <v>60</v>
      </c>
      <c r="B61" s="13" t="s">
        <v>274</v>
      </c>
      <c r="C61" s="14" t="s">
        <v>275</v>
      </c>
      <c r="D61" s="13"/>
      <c r="E61" s="153" t="str">
        <f t="shared" si="1"/>
        <v>Laki-Laki</v>
      </c>
      <c r="F61" s="13"/>
      <c r="G61" s="13" t="s">
        <v>254</v>
      </c>
      <c r="H61" s="15" t="s">
        <v>276</v>
      </c>
      <c r="I61" s="28" t="s">
        <v>485</v>
      </c>
      <c r="J61" s="12" t="s">
        <v>26</v>
      </c>
      <c r="K61" s="15" t="s">
        <v>278</v>
      </c>
      <c r="L61" s="15" t="s">
        <v>28</v>
      </c>
      <c r="M61" s="15">
        <v>2020</v>
      </c>
      <c r="N61" s="15" t="s">
        <v>28</v>
      </c>
      <c r="O61" s="15">
        <v>2022</v>
      </c>
      <c r="P61" s="15">
        <v>2020</v>
      </c>
      <c r="Q61" s="15"/>
      <c r="R61" s="16" t="s">
        <v>29</v>
      </c>
      <c r="S61" s="16" t="str">
        <f ca="1">IF(
  O61 &lt; YEAR(TODAY()),
  "LULUS",
  IF(
    O61 = YEAR(TODAY()),
    IF(
      MATCH(L61, {"Januari";"Februari";"Maret";"April";"Mei";"Juni";"Juli";"Agustus";"September";"Oktober";"November";"Desember"}, 0)
        &gt;= MONTH(TODAY()),
      "AKTIF (Semester " &amp;
        (INT((12*(YEAR(TODAY())-M61) + MONTH(TODAY()) -
          MATCH(L61, {"Januari";"Februari";"Maret";"April";"Mei";"Juni";"Juli";"Agustus";"September";"Oktober";"November";"Desember"}, 0)) / 6) + 1) &amp; ")",
      "LULUS"
    ),
    "AKTIF (Semester " &amp;
      (INT((12*(YEAR(TODAY())-M61) + MONTH(TODAY()) -
        MATCH(L61, {"Januari";"Februari";"Maret";"April";"Mei";"Juni";"Juli";"Agustus";"September";"Oktober";"November";"Desember"}, 0)) / 6) + 1) &amp; ")"
  )
)</f>
        <v>LULUS</v>
      </c>
      <c r="T61" s="16" t="str">
        <f ca="1">IF(O61 &lt; YEAR(TODAY()), "LULUS",
 IF(O61 = YEAR(TODAY()),
    IF(MATCH(N61, {"Januari";"Februari";"Maret";"April";"Mei";"Juni";"Juli";"Agustus";"September";"Oktober";"November";"Desember"},0)
        &lt;= MONTH(TODAY()),
        "LULUS",
        "AKTIF"),
 "AKTIF"))</f>
        <v>LULUS</v>
      </c>
      <c r="U61" s="16" t="s">
        <v>29</v>
      </c>
      <c r="V61" s="15"/>
      <c r="W61" s="15"/>
      <c r="X61" s="15"/>
      <c r="Y61" s="15"/>
      <c r="Z61" s="15"/>
    </row>
    <row r="62" spans="1:26" ht="29" customHeight="1" x14ac:dyDescent="0.35">
      <c r="A62" s="12">
        <v>61</v>
      </c>
      <c r="B62" s="13" t="s">
        <v>279</v>
      </c>
      <c r="C62" s="14" t="s">
        <v>280</v>
      </c>
      <c r="D62" s="13"/>
      <c r="E62" s="153" t="str">
        <f t="shared" si="1"/>
        <v>Perempuan</v>
      </c>
      <c r="F62" s="13"/>
      <c r="G62" s="13" t="s">
        <v>254</v>
      </c>
      <c r="H62" s="81" t="s">
        <v>281</v>
      </c>
      <c r="I62" s="15" t="s">
        <v>2934</v>
      </c>
      <c r="J62" s="12" t="s">
        <v>45</v>
      </c>
      <c r="K62" s="15" t="s">
        <v>196</v>
      </c>
      <c r="L62" s="15" t="s">
        <v>28</v>
      </c>
      <c r="M62" s="15">
        <v>2020</v>
      </c>
      <c r="N62" s="15" t="s">
        <v>28</v>
      </c>
      <c r="O62" s="15">
        <v>2024</v>
      </c>
      <c r="P62" s="15">
        <v>2020</v>
      </c>
      <c r="Q62" s="15"/>
      <c r="R62" s="16" t="s">
        <v>29</v>
      </c>
      <c r="S62" s="16" t="str">
        <f ca="1">IF(
  O62 &lt; YEAR(TODAY()),
  "LULUS",
  IF(
    O62 = YEAR(TODAY()),
    IF(
      MATCH(L62, {"Januari";"Februari";"Maret";"April";"Mei";"Juni";"Juli";"Agustus";"September";"Oktober";"November";"Desember"}, 0)
        &gt;= MONTH(TODAY()),
      "AKTIF (Semester " &amp;
        (INT((12*(YEAR(TODAY())-M62) + MONTH(TODAY()) -
          MATCH(L62, {"Januari";"Februari";"Maret";"April";"Mei";"Juni";"Juli";"Agustus";"September";"Oktober";"November";"Desember"}, 0)) / 6) + 1) &amp; ")",
      "LULUS"
    ),
    "AKTIF (Semester " &amp;
      (INT((12*(YEAR(TODAY())-M62) + MONTH(TODAY()) -
        MATCH(L62, {"Januari";"Februari";"Maret";"April";"Mei";"Juni";"Juli";"Agustus";"September";"Oktober";"November";"Desember"}, 0)) / 6) + 1) &amp; ")"
  )
)</f>
        <v>LULUS</v>
      </c>
      <c r="T62" s="16" t="str">
        <f ca="1">IF(O62 &lt; YEAR(TODAY()), "LULUS",
 IF(O62 = YEAR(TODAY()),
    IF(MATCH(N62, {"Januari";"Februari";"Maret";"April";"Mei";"Juni";"Juli";"Agustus";"September";"Oktober";"November";"Desember"},0)
        &lt;= MONTH(TODAY()),
        "LULUS",
        "AKTIF"),
 "AKTIF"))</f>
        <v>LULUS</v>
      </c>
      <c r="U62" s="16" t="s">
        <v>29</v>
      </c>
      <c r="V62" s="15"/>
      <c r="W62" s="15"/>
      <c r="X62" s="15"/>
      <c r="Y62" s="15"/>
      <c r="Z62" s="15"/>
    </row>
    <row r="63" spans="1:26" ht="29" customHeight="1" x14ac:dyDescent="0.35">
      <c r="A63" s="12">
        <v>62</v>
      </c>
      <c r="B63" s="13" t="s">
        <v>283</v>
      </c>
      <c r="C63" s="14" t="s">
        <v>284</v>
      </c>
      <c r="D63" s="13"/>
      <c r="E63" s="153" t="str">
        <f t="shared" si="1"/>
        <v>Laki-Laki</v>
      </c>
      <c r="F63" s="13"/>
      <c r="G63" s="13" t="s">
        <v>254</v>
      </c>
      <c r="H63" s="15" t="s">
        <v>285</v>
      </c>
      <c r="I63" s="15" t="s">
        <v>241</v>
      </c>
      <c r="J63" s="12" t="s">
        <v>242</v>
      </c>
      <c r="K63" s="15" t="s">
        <v>286</v>
      </c>
      <c r="L63" s="12" t="s">
        <v>28</v>
      </c>
      <c r="M63" s="12">
        <v>2020</v>
      </c>
      <c r="N63" s="15" t="s">
        <v>28</v>
      </c>
      <c r="O63" s="15">
        <v>2025</v>
      </c>
      <c r="P63" s="15">
        <v>2021</v>
      </c>
      <c r="Q63" s="15"/>
      <c r="R63" s="34" t="s">
        <v>29</v>
      </c>
      <c r="S63" s="16" t="str">
        <f ca="1">IF(
  O63 &lt; YEAR(TODAY()),
  "LULUS",
  IF(
    O63 = YEAR(TODAY()),
    IF(
      MATCH(L63, {"Januari";"Februari";"Maret";"April";"Mei";"Juni";"Juli";"Agustus";"September";"Oktober";"November";"Desember"}, 0)
        &gt;= MONTH(TODAY()),
      "AKTIF (Semester " &amp;
        (INT((12*(YEAR(TODAY())-M63) + MONTH(TODAY()) -
          MATCH(L63, {"Januari";"Februari";"Maret";"April";"Mei";"Juni";"Juli";"Agustus";"September";"Oktober";"November";"Desember"}, 0)) / 6) + 1) &amp; ")",
      "LULUS"
    ),
    "AKTIF (Semester " &amp;
      (INT((12*(YEAR(TODAY())-M63) + MONTH(TODAY()) -
        MATCH(L63, {"Januari";"Februari";"Maret";"April";"Mei";"Juni";"Juli";"Agustus";"September";"Oktober";"November";"Desember"}, 0)) / 6) + 1) &amp; ")"
  )
)</f>
        <v>LULUS</v>
      </c>
      <c r="T63" s="16" t="str">
        <f ca="1">IF(O63 &lt; YEAR(TODAY()), "LULUS",
 IF(O63 = YEAR(TODAY()),
    IF(MATCH(N63, {"Januari";"Februari";"Maret";"April";"Mei";"Juni";"Juli";"Agustus";"September";"Oktober";"November";"Desember"},0)
        &lt;= MONTH(TODAY()),
        "LULUS",
        "AKTIF"),
 "AKTIF"))</f>
        <v>LULUS</v>
      </c>
      <c r="U63" s="16" t="s">
        <v>29</v>
      </c>
      <c r="V63" s="21"/>
      <c r="W63" s="21"/>
      <c r="X63" s="21"/>
      <c r="Y63" s="21"/>
      <c r="Z63" s="21"/>
    </row>
    <row r="64" spans="1:26" ht="29" customHeight="1" x14ac:dyDescent="0.35">
      <c r="A64" s="12">
        <v>63</v>
      </c>
      <c r="B64" s="13" t="s">
        <v>287</v>
      </c>
      <c r="C64" s="14" t="s">
        <v>288</v>
      </c>
      <c r="D64" s="13"/>
      <c r="E64" s="153" t="str">
        <f t="shared" si="1"/>
        <v>Laki-Laki</v>
      </c>
      <c r="F64" s="13"/>
      <c r="G64" s="13" t="s">
        <v>254</v>
      </c>
      <c r="H64" s="15" t="s">
        <v>285</v>
      </c>
      <c r="I64" s="15" t="s">
        <v>241</v>
      </c>
      <c r="J64" s="12" t="s">
        <v>242</v>
      </c>
      <c r="K64" s="15" t="s">
        <v>286</v>
      </c>
      <c r="L64" s="12" t="s">
        <v>28</v>
      </c>
      <c r="M64" s="12">
        <v>2020</v>
      </c>
      <c r="N64" s="15" t="s">
        <v>28</v>
      </c>
      <c r="O64" s="15">
        <v>2023</v>
      </c>
      <c r="P64" s="15">
        <v>2021</v>
      </c>
      <c r="Q64" s="15"/>
      <c r="R64" s="34" t="s">
        <v>51</v>
      </c>
      <c r="S64" s="16" t="str">
        <f ca="1">IF(
  O64 &lt; YEAR(TODAY()),
  "LULUS",
  IF(
    O64 = YEAR(TODAY()),
    IF(
      MATCH(L64, {"Januari";"Februari";"Maret";"April";"Mei";"Juni";"Juli";"Agustus";"September";"Oktober";"November";"Desember"}, 0)
        &gt;= MONTH(TODAY()),
      "AKTIF (Semester " &amp;
        (INT((12*(YEAR(TODAY())-M64) + MONTH(TODAY()) -
          MATCH(L64, {"Januari";"Februari";"Maret";"April";"Mei";"Juni";"Juli";"Agustus";"September";"Oktober";"November";"Desember"}, 0)) / 6) + 1) &amp; ")",
      "LULUS"
    ),
    "AKTIF (Semester " &amp;
      (INT((12*(YEAR(TODAY())-M64) + MONTH(TODAY()) -
        MATCH(L64, {"Januari";"Februari";"Maret";"April";"Mei";"Juni";"Juli";"Agustus";"September";"Oktober";"November";"Desember"}, 0)) / 6) + 1) &amp; ")"
  )
)</f>
        <v>LULUS</v>
      </c>
      <c r="T64" s="16" t="str">
        <f ca="1">IF(O64 &lt; YEAR(TODAY()), "LULUS",
 IF(O64 = YEAR(TODAY()),
    IF(MATCH(N64, {"Januari";"Februari";"Maret";"April";"Mei";"Juni";"Juli";"Agustus";"September";"Oktober";"November";"Desember"},0)
        &lt;= MONTH(TODAY()),
        "LULUS",
        "AKTIF"),
 "AKTIF"))</f>
        <v>LULUS</v>
      </c>
      <c r="U64" s="16" t="s">
        <v>29</v>
      </c>
      <c r="V64" s="21"/>
      <c r="W64" s="21"/>
      <c r="X64" s="21"/>
      <c r="Y64" s="21"/>
      <c r="Z64" s="21"/>
    </row>
    <row r="65" spans="1:26" ht="29" customHeight="1" x14ac:dyDescent="0.35">
      <c r="A65" s="12">
        <v>64</v>
      </c>
      <c r="B65" s="13" t="s">
        <v>289</v>
      </c>
      <c r="C65" s="14" t="s">
        <v>290</v>
      </c>
      <c r="D65" s="13"/>
      <c r="E65" s="153" t="str">
        <f t="shared" si="1"/>
        <v>Laki-Laki</v>
      </c>
      <c r="F65" s="13"/>
      <c r="G65" s="13" t="s">
        <v>254</v>
      </c>
      <c r="H65" s="15" t="s">
        <v>291</v>
      </c>
      <c r="I65" s="15" t="s">
        <v>2933</v>
      </c>
      <c r="J65" s="12" t="s">
        <v>45</v>
      </c>
      <c r="K65" s="15" t="s">
        <v>46</v>
      </c>
      <c r="L65" s="12" t="s">
        <v>28</v>
      </c>
      <c r="M65" s="12">
        <v>2020</v>
      </c>
      <c r="N65" s="15" t="s">
        <v>28</v>
      </c>
      <c r="O65" s="15">
        <v>2024</v>
      </c>
      <c r="P65" s="15">
        <v>2021</v>
      </c>
      <c r="Q65" s="15"/>
      <c r="R65" s="34" t="s">
        <v>51</v>
      </c>
      <c r="S65" s="16" t="str">
        <f ca="1">IF(
  O65 &lt; YEAR(TODAY()),
  "LULUS",
  IF(
    O65 = YEAR(TODAY()),
    IF(
      MATCH(L65, {"Januari";"Februari";"Maret";"April";"Mei";"Juni";"Juli";"Agustus";"September";"Oktober";"November";"Desember"}, 0)
        &gt;= MONTH(TODAY()),
      "AKTIF (Semester " &amp;
        (INT((12*(YEAR(TODAY())-M65) + MONTH(TODAY()) -
          MATCH(L65, {"Januari";"Februari";"Maret";"April";"Mei";"Juni";"Juli";"Agustus";"September";"Oktober";"November";"Desember"}, 0)) / 6) + 1) &amp; ")",
      "LULUS"
    ),
    "AKTIF (Semester " &amp;
      (INT((12*(YEAR(TODAY())-M65) + MONTH(TODAY()) -
        MATCH(L65, {"Januari";"Februari";"Maret";"April";"Mei";"Juni";"Juli";"Agustus";"September";"Oktober";"November";"Desember"}, 0)) / 6) + 1) &amp; ")"
  )
)</f>
        <v>LULUS</v>
      </c>
      <c r="T65" s="16" t="str">
        <f ca="1">IF(O65 &lt; YEAR(TODAY()), "LULUS",
 IF(O65 = YEAR(TODAY()),
    IF(MATCH(N65, {"Januari";"Februari";"Maret";"April";"Mei";"Juni";"Juli";"Agustus";"September";"Oktober";"November";"Desember"},0)
        &lt;= MONTH(TODAY()),
        "LULUS",
        "AKTIF"),
 "AKTIF"))</f>
        <v>LULUS</v>
      </c>
      <c r="U65" s="16" t="s">
        <v>29</v>
      </c>
      <c r="V65" s="21"/>
      <c r="W65" s="21"/>
      <c r="X65" s="21"/>
      <c r="Y65" s="21"/>
      <c r="Z65" s="21"/>
    </row>
    <row r="66" spans="1:26" ht="29" customHeight="1" x14ac:dyDescent="0.35">
      <c r="A66" s="12">
        <v>65</v>
      </c>
      <c r="B66" s="13" t="s">
        <v>293</v>
      </c>
      <c r="C66" s="14" t="s">
        <v>294</v>
      </c>
      <c r="D66" s="13"/>
      <c r="E66" s="153" t="str">
        <f t="shared" si="1"/>
        <v>Perempuan</v>
      </c>
      <c r="F66" s="13"/>
      <c r="G66" s="13" t="s">
        <v>254</v>
      </c>
      <c r="H66" s="15" t="s">
        <v>276</v>
      </c>
      <c r="I66" s="28" t="s">
        <v>485</v>
      </c>
      <c r="J66" s="12" t="s">
        <v>45</v>
      </c>
      <c r="K66" s="15" t="s">
        <v>295</v>
      </c>
      <c r="L66" s="12" t="s">
        <v>28</v>
      </c>
      <c r="M66" s="12">
        <v>2020</v>
      </c>
      <c r="N66" s="15" t="s">
        <v>28</v>
      </c>
      <c r="O66" s="15">
        <v>2024</v>
      </c>
      <c r="P66" s="15">
        <v>2021</v>
      </c>
      <c r="Q66" s="15"/>
      <c r="R66" s="34" t="s">
        <v>51</v>
      </c>
      <c r="S66" s="16" t="str">
        <f ca="1">IF(
  O66 &lt; YEAR(TODAY()),
  "LULUS",
  IF(
    O66 = YEAR(TODAY()),
    IF(
      MATCH(L66, {"Januari";"Februari";"Maret";"April";"Mei";"Juni";"Juli";"Agustus";"September";"Oktober";"November";"Desember"}, 0)
        &gt;= MONTH(TODAY()),
      "AKTIF (Semester " &amp;
        (INT((12*(YEAR(TODAY())-M66) + MONTH(TODAY()) -
          MATCH(L66, {"Januari";"Februari";"Maret";"April";"Mei";"Juni";"Juli";"Agustus";"September";"Oktober";"November";"Desember"}, 0)) / 6) + 1) &amp; ")",
      "LULUS"
    ),
    "AKTIF (Semester " &amp;
      (INT((12*(YEAR(TODAY())-M66) + MONTH(TODAY()) -
        MATCH(L66, {"Januari";"Februari";"Maret";"April";"Mei";"Juni";"Juli";"Agustus";"September";"Oktober";"November";"Desember"}, 0)) / 6) + 1) &amp; ")"
  )
)</f>
        <v>LULUS</v>
      </c>
      <c r="T66" s="16" t="str">
        <f ca="1">IF(O66 &lt; YEAR(TODAY()), "LULUS",
 IF(O66 = YEAR(TODAY()),
    IF(MATCH(N66, {"Januari";"Februari";"Maret";"April";"Mei";"Juni";"Juli";"Agustus";"September";"Oktober";"November";"Desember"},0)
        &lt;= MONTH(TODAY()),
        "LULUS",
        "AKTIF"),
 "AKTIF"))</f>
        <v>LULUS</v>
      </c>
      <c r="U66" s="16" t="s">
        <v>29</v>
      </c>
      <c r="V66" s="21"/>
      <c r="W66" s="21"/>
      <c r="X66" s="21"/>
      <c r="Y66" s="21"/>
      <c r="Z66" s="21"/>
    </row>
    <row r="67" spans="1:26" ht="29" customHeight="1" x14ac:dyDescent="0.35">
      <c r="A67" s="12">
        <v>66</v>
      </c>
      <c r="B67" s="13" t="s">
        <v>296</v>
      </c>
      <c r="C67" s="14" t="s">
        <v>297</v>
      </c>
      <c r="D67" s="13"/>
      <c r="E67" s="153" t="str">
        <f t="shared" si="1"/>
        <v>Laki-Laki</v>
      </c>
      <c r="F67" s="18"/>
      <c r="G67" s="13" t="s">
        <v>254</v>
      </c>
      <c r="H67" s="15" t="s">
        <v>276</v>
      </c>
      <c r="I67" s="28" t="s">
        <v>485</v>
      </c>
      <c r="J67" s="12" t="s">
        <v>45</v>
      </c>
      <c r="K67" s="15" t="s">
        <v>295</v>
      </c>
      <c r="L67" s="12" t="s">
        <v>28</v>
      </c>
      <c r="M67" s="12">
        <v>2020</v>
      </c>
      <c r="N67" s="15" t="s">
        <v>28</v>
      </c>
      <c r="O67" s="15">
        <v>2024</v>
      </c>
      <c r="P67" s="15">
        <v>2021</v>
      </c>
      <c r="Q67" s="15"/>
      <c r="R67" s="34" t="s">
        <v>51</v>
      </c>
      <c r="S67" s="16" t="str">
        <f ca="1">IF(
  O67 &lt; YEAR(TODAY()),
  "LULUS",
  IF(
    O67 = YEAR(TODAY()),
    IF(
      MATCH(L67, {"Januari";"Februari";"Maret";"April";"Mei";"Juni";"Juli";"Agustus";"September";"Oktober";"November";"Desember"}, 0)
        &gt;= MONTH(TODAY()),
      "AKTIF (Semester " &amp;
        (INT((12*(YEAR(TODAY())-M67) + MONTH(TODAY()) -
          MATCH(L67, {"Januari";"Februari";"Maret";"April";"Mei";"Juni";"Juli";"Agustus";"September";"Oktober";"November";"Desember"}, 0)) / 6) + 1) &amp; ")",
      "LULUS"
    ),
    "AKTIF (Semester " &amp;
      (INT((12*(YEAR(TODAY())-M67) + MONTH(TODAY()) -
        MATCH(L67, {"Januari";"Februari";"Maret";"April";"Mei";"Juni";"Juli";"Agustus";"September";"Oktober";"November";"Desember"}, 0)) / 6) + 1) &amp; ")"
  )
)</f>
        <v>LULUS</v>
      </c>
      <c r="T67" s="16" t="str">
        <f ca="1">IF(O67 &lt; YEAR(TODAY()), "LULUS",
 IF(O67 = YEAR(TODAY()),
    IF(MATCH(N67, {"Januari";"Februari";"Maret";"April";"Mei";"Juni";"Juli";"Agustus";"September";"Oktober";"November";"Desember"},0)
        &lt;= MONTH(TODAY()),
        "LULUS",
        "AKTIF"),
 "AKTIF"))</f>
        <v>LULUS</v>
      </c>
      <c r="U67" s="16" t="s">
        <v>29</v>
      </c>
      <c r="V67" s="21"/>
      <c r="W67" s="21"/>
      <c r="X67" s="21"/>
      <c r="Y67" s="21"/>
      <c r="Z67" s="21"/>
    </row>
    <row r="68" spans="1:26" ht="29" customHeight="1" x14ac:dyDescent="0.35">
      <c r="A68" s="12">
        <v>67</v>
      </c>
      <c r="B68" s="13" t="s">
        <v>298</v>
      </c>
      <c r="C68" s="14" t="s">
        <v>299</v>
      </c>
      <c r="D68" s="13"/>
      <c r="E68" s="153" t="str">
        <f t="shared" si="1"/>
        <v>Laki-Laki</v>
      </c>
      <c r="F68" s="18"/>
      <c r="G68" s="13" t="s">
        <v>254</v>
      </c>
      <c r="H68" s="15" t="s">
        <v>300</v>
      </c>
      <c r="I68" s="15" t="s">
        <v>2933</v>
      </c>
      <c r="J68" s="12" t="s">
        <v>45</v>
      </c>
      <c r="K68" s="15" t="s">
        <v>248</v>
      </c>
      <c r="L68" s="12" t="s">
        <v>60</v>
      </c>
      <c r="M68" s="12">
        <v>2020</v>
      </c>
      <c r="N68" s="15" t="s">
        <v>60</v>
      </c>
      <c r="O68" s="15">
        <v>2024</v>
      </c>
      <c r="P68" s="15">
        <v>2021</v>
      </c>
      <c r="Q68" s="15"/>
      <c r="R68" s="34" t="s">
        <v>51</v>
      </c>
      <c r="S68" s="16" t="str">
        <f ca="1">IF(
  O68 &lt; YEAR(TODAY()),
  "LULUS",
  IF(
    O68 = YEAR(TODAY()),
    IF(
      MATCH(L68, {"Januari";"Februari";"Maret";"April";"Mei";"Juni";"Juli";"Agustus";"September";"Oktober";"November";"Desember"}, 0)
        &gt;= MONTH(TODAY()),
      "AKTIF (Semester " &amp;
        (INT((12*(YEAR(TODAY())-M68) + MONTH(TODAY()) -
          MATCH(L68, {"Januari";"Februari";"Maret";"April";"Mei";"Juni";"Juli";"Agustus";"September";"Oktober";"November";"Desember"}, 0)) / 6) + 1) &amp; ")",
      "LULUS"
    ),
    "AKTIF (Semester " &amp;
      (INT((12*(YEAR(TODAY())-M68) + MONTH(TODAY()) -
        MATCH(L68, {"Januari";"Februari";"Maret";"April";"Mei";"Juni";"Juli";"Agustus";"September";"Oktober";"November";"Desember"}, 0)) / 6) + 1) &amp; ")"
  )
)</f>
        <v>LULUS</v>
      </c>
      <c r="T68" s="16" t="str">
        <f ca="1">IF(O68 &lt; YEAR(TODAY()), "LULUS",
 IF(O68 = YEAR(TODAY()),
    IF(MATCH(N68, {"Januari";"Februari";"Maret";"April";"Mei";"Juni";"Juli";"Agustus";"September";"Oktober";"November";"Desember"},0)
        &lt;= MONTH(TODAY()),
        "LULUS",
        "AKTIF"),
 "AKTIF"))</f>
        <v>LULUS</v>
      </c>
      <c r="U68" s="16" t="s">
        <v>29</v>
      </c>
      <c r="V68" s="21"/>
      <c r="W68" s="21"/>
      <c r="X68" s="21"/>
      <c r="Y68" s="21"/>
      <c r="Z68" s="21"/>
    </row>
    <row r="69" spans="1:26" ht="29" customHeight="1" x14ac:dyDescent="0.35">
      <c r="A69" s="12">
        <v>68</v>
      </c>
      <c r="B69" s="13" t="s">
        <v>302</v>
      </c>
      <c r="C69" s="14" t="s">
        <v>303</v>
      </c>
      <c r="D69" s="13"/>
      <c r="E69" s="153" t="str">
        <f t="shared" si="1"/>
        <v>Laki-Laki</v>
      </c>
      <c r="F69" s="18"/>
      <c r="G69" s="13" t="s">
        <v>254</v>
      </c>
      <c r="H69" s="15" t="s">
        <v>300</v>
      </c>
      <c r="I69" s="15" t="s">
        <v>2933</v>
      </c>
      <c r="J69" s="12" t="s">
        <v>45</v>
      </c>
      <c r="K69" s="15" t="s">
        <v>248</v>
      </c>
      <c r="L69" s="12" t="s">
        <v>60</v>
      </c>
      <c r="M69" s="12">
        <v>2020</v>
      </c>
      <c r="N69" s="15" t="s">
        <v>60</v>
      </c>
      <c r="O69" s="15">
        <v>2024</v>
      </c>
      <c r="P69" s="15">
        <v>2021</v>
      </c>
      <c r="Q69" s="15"/>
      <c r="R69" s="34" t="s">
        <v>51</v>
      </c>
      <c r="S69" s="16" t="str">
        <f ca="1">IF(
  O69 &lt; YEAR(TODAY()),
  "LULUS",
  IF(
    O69 = YEAR(TODAY()),
    IF(
      MATCH(L69, {"Januari";"Februari";"Maret";"April";"Mei";"Juni";"Juli";"Agustus";"September";"Oktober";"November";"Desember"}, 0)
        &gt;= MONTH(TODAY()),
      "AKTIF (Semester " &amp;
        (INT((12*(YEAR(TODAY())-M69) + MONTH(TODAY()) -
          MATCH(L69, {"Januari";"Februari";"Maret";"April";"Mei";"Juni";"Juli";"Agustus";"September";"Oktober";"November";"Desember"}, 0)) / 6) + 1) &amp; ")",
      "LULUS"
    ),
    "AKTIF (Semester " &amp;
      (INT((12*(YEAR(TODAY())-M69) + MONTH(TODAY()) -
        MATCH(L69, {"Januari";"Februari";"Maret";"April";"Mei";"Juni";"Juli";"Agustus";"September";"Oktober";"November";"Desember"}, 0)) / 6) + 1) &amp; ")"
  )
)</f>
        <v>LULUS</v>
      </c>
      <c r="T69" s="16" t="str">
        <f ca="1">IF(O69 &lt; YEAR(TODAY()), "LULUS",
 IF(O69 = YEAR(TODAY()),
    IF(MATCH(N69, {"Januari";"Februari";"Maret";"April";"Mei";"Juni";"Juli";"Agustus";"September";"Oktober";"November";"Desember"},0)
        &lt;= MONTH(TODAY()),
        "LULUS",
        "AKTIF"),
 "AKTIF"))</f>
        <v>LULUS</v>
      </c>
      <c r="U69" s="16" t="s">
        <v>29</v>
      </c>
      <c r="V69" s="21"/>
      <c r="W69" s="21"/>
      <c r="X69" s="21"/>
      <c r="Y69" s="21"/>
      <c r="Z69" s="21"/>
    </row>
    <row r="70" spans="1:26" ht="29" customHeight="1" x14ac:dyDescent="0.35">
      <c r="A70" s="12">
        <v>69</v>
      </c>
      <c r="B70" s="13" t="s">
        <v>305</v>
      </c>
      <c r="C70" s="14" t="s">
        <v>306</v>
      </c>
      <c r="D70" s="13"/>
      <c r="E70" s="153" t="str">
        <f t="shared" si="1"/>
        <v>Laki-Laki</v>
      </c>
      <c r="F70" s="18"/>
      <c r="G70" s="13" t="s">
        <v>254</v>
      </c>
      <c r="H70" s="15" t="s">
        <v>300</v>
      </c>
      <c r="I70" s="15" t="s">
        <v>2933</v>
      </c>
      <c r="J70" s="12" t="s">
        <v>45</v>
      </c>
      <c r="K70" s="15" t="s">
        <v>248</v>
      </c>
      <c r="L70" s="12" t="s">
        <v>60</v>
      </c>
      <c r="M70" s="12">
        <v>2020</v>
      </c>
      <c r="N70" s="15" t="s">
        <v>60</v>
      </c>
      <c r="O70" s="15">
        <v>2024</v>
      </c>
      <c r="P70" s="15">
        <v>2021</v>
      </c>
      <c r="Q70" s="15"/>
      <c r="R70" s="34" t="s">
        <v>29</v>
      </c>
      <c r="S70" s="16" t="str">
        <f ca="1">IF(
  O70 &lt; YEAR(TODAY()),
  "LULUS",
  IF(
    O70 = YEAR(TODAY()),
    IF(
      MATCH(L70, {"Januari";"Februari";"Maret";"April";"Mei";"Juni";"Juli";"Agustus";"September";"Oktober";"November";"Desember"}, 0)
        &gt;= MONTH(TODAY()),
      "AKTIF (Semester " &amp;
        (INT((12*(YEAR(TODAY())-M70) + MONTH(TODAY()) -
          MATCH(L70, {"Januari";"Februari";"Maret";"April";"Mei";"Juni";"Juli";"Agustus";"September";"Oktober";"November";"Desember"}, 0)) / 6) + 1) &amp; ")",
      "LULUS"
    ),
    "AKTIF (Semester " &amp;
      (INT((12*(YEAR(TODAY())-M70) + MONTH(TODAY()) -
        MATCH(L70, {"Januari";"Februari";"Maret";"April";"Mei";"Juni";"Juli";"Agustus";"September";"Oktober";"November";"Desember"}, 0)) / 6) + 1) &amp; ")"
  )
)</f>
        <v>LULUS</v>
      </c>
      <c r="T70" s="16" t="str">
        <f ca="1">IF(O70 &lt; YEAR(TODAY()), "LULUS",
 IF(O70 = YEAR(TODAY()),
    IF(MATCH(N70, {"Januari";"Februari";"Maret";"April";"Mei";"Juni";"Juli";"Agustus";"September";"Oktober";"November";"Desember"},0)
        &lt;= MONTH(TODAY()),
        "LULUS",
        "AKTIF"),
 "AKTIF"))</f>
        <v>LULUS</v>
      </c>
      <c r="U70" s="16" t="s">
        <v>29</v>
      </c>
      <c r="V70" s="21"/>
      <c r="W70" s="21"/>
      <c r="X70" s="21"/>
      <c r="Y70" s="21"/>
      <c r="Z70" s="21"/>
    </row>
    <row r="71" spans="1:26" ht="29" customHeight="1" x14ac:dyDescent="0.35">
      <c r="A71" s="12">
        <v>70</v>
      </c>
      <c r="B71" s="13" t="s">
        <v>307</v>
      </c>
      <c r="C71" s="14" t="s">
        <v>308</v>
      </c>
      <c r="D71" s="13"/>
      <c r="E71" s="153" t="str">
        <f t="shared" si="1"/>
        <v>Laki-Laki</v>
      </c>
      <c r="F71" s="18"/>
      <c r="G71" s="13" t="s">
        <v>254</v>
      </c>
      <c r="H71" s="15" t="s">
        <v>300</v>
      </c>
      <c r="I71" s="15" t="s">
        <v>2933</v>
      </c>
      <c r="J71" s="12" t="s">
        <v>45</v>
      </c>
      <c r="K71" s="15" t="s">
        <v>248</v>
      </c>
      <c r="L71" s="12" t="s">
        <v>60</v>
      </c>
      <c r="M71" s="12">
        <v>2020</v>
      </c>
      <c r="N71" s="15" t="s">
        <v>60</v>
      </c>
      <c r="O71" s="15">
        <v>2024</v>
      </c>
      <c r="P71" s="15">
        <v>2021</v>
      </c>
      <c r="Q71" s="15"/>
      <c r="R71" s="34" t="s">
        <v>29</v>
      </c>
      <c r="S71" s="16" t="str">
        <f ca="1">IF(
  O71 &lt; YEAR(TODAY()),
  "LULUS",
  IF(
    O71 = YEAR(TODAY()),
    IF(
      MATCH(L71, {"Januari";"Februari";"Maret";"April";"Mei";"Juni";"Juli";"Agustus";"September";"Oktober";"November";"Desember"}, 0)
        &gt;= MONTH(TODAY()),
      "AKTIF (Semester " &amp;
        (INT((12*(YEAR(TODAY())-M71) + MONTH(TODAY()) -
          MATCH(L71, {"Januari";"Februari";"Maret";"April";"Mei";"Juni";"Juli";"Agustus";"September";"Oktober";"November";"Desember"}, 0)) / 6) + 1) &amp; ")",
      "LULUS"
    ),
    "AKTIF (Semester " &amp;
      (INT((12*(YEAR(TODAY())-M71) + MONTH(TODAY()) -
        MATCH(L71, {"Januari";"Februari";"Maret";"April";"Mei";"Juni";"Juli";"Agustus";"September";"Oktober";"November";"Desember"}, 0)) / 6) + 1) &amp; ")"
  )
)</f>
        <v>LULUS</v>
      </c>
      <c r="T71" s="16" t="str">
        <f ca="1">IF(O71 &lt; YEAR(TODAY()), "LULUS",
 IF(O71 = YEAR(TODAY()),
    IF(MATCH(N71, {"Januari";"Februari";"Maret";"April";"Mei";"Juni";"Juli";"Agustus";"September";"Oktober";"November";"Desember"},0)
        &lt;= MONTH(TODAY()),
        "LULUS",
        "AKTIF"),
 "AKTIF"))</f>
        <v>LULUS</v>
      </c>
      <c r="U71" s="16" t="s">
        <v>29</v>
      </c>
      <c r="V71" s="21"/>
      <c r="W71" s="21"/>
      <c r="X71" s="21"/>
      <c r="Y71" s="21"/>
      <c r="Z71" s="21"/>
    </row>
    <row r="72" spans="1:26" ht="29" customHeight="1" x14ac:dyDescent="0.35">
      <c r="A72" s="12">
        <v>71</v>
      </c>
      <c r="B72" s="13" t="s">
        <v>309</v>
      </c>
      <c r="C72" s="14" t="s">
        <v>310</v>
      </c>
      <c r="D72" s="13"/>
      <c r="E72" s="153" t="str">
        <f t="shared" si="1"/>
        <v>Laki-Laki</v>
      </c>
      <c r="F72" s="18"/>
      <c r="G72" s="13" t="s">
        <v>254</v>
      </c>
      <c r="H72" s="15" t="s">
        <v>300</v>
      </c>
      <c r="I72" s="15" t="s">
        <v>2933</v>
      </c>
      <c r="J72" s="12" t="s">
        <v>45</v>
      </c>
      <c r="K72" s="15" t="s">
        <v>248</v>
      </c>
      <c r="L72" s="12" t="s">
        <v>60</v>
      </c>
      <c r="M72" s="12">
        <v>2020</v>
      </c>
      <c r="N72" s="15" t="s">
        <v>60</v>
      </c>
      <c r="O72" s="15">
        <v>2024</v>
      </c>
      <c r="P72" s="15">
        <v>2021</v>
      </c>
      <c r="Q72" s="15"/>
      <c r="R72" s="34" t="s">
        <v>29</v>
      </c>
      <c r="S72" s="16" t="str">
        <f ca="1">IF(
  O72 &lt; YEAR(TODAY()),
  "LULUS",
  IF(
    O72 = YEAR(TODAY()),
    IF(
      MATCH(L72, {"Januari";"Februari";"Maret";"April";"Mei";"Juni";"Juli";"Agustus";"September";"Oktober";"November";"Desember"}, 0)
        &gt;= MONTH(TODAY()),
      "AKTIF (Semester " &amp;
        (INT((12*(YEAR(TODAY())-M72) + MONTH(TODAY()) -
          MATCH(L72, {"Januari";"Februari";"Maret";"April";"Mei";"Juni";"Juli";"Agustus";"September";"Oktober";"November";"Desember"}, 0)) / 6) + 1) &amp; ")",
      "LULUS"
    ),
    "AKTIF (Semester " &amp;
      (INT((12*(YEAR(TODAY())-M72) + MONTH(TODAY()) -
        MATCH(L72, {"Januari";"Februari";"Maret";"April";"Mei";"Juni";"Juli";"Agustus";"September";"Oktober";"November";"Desember"}, 0)) / 6) + 1) &amp; ")"
  )
)</f>
        <v>LULUS</v>
      </c>
      <c r="T72" s="16" t="str">
        <f ca="1">IF(O72 &lt; YEAR(TODAY()), "LULUS",
 IF(O72 = YEAR(TODAY()),
    IF(MATCH(N72, {"Januari";"Februari";"Maret";"April";"Mei";"Juni";"Juli";"Agustus";"September";"Oktober";"November";"Desember"},0)
        &lt;= MONTH(TODAY()),
        "LULUS",
        "AKTIF"),
 "AKTIF"))</f>
        <v>LULUS</v>
      </c>
      <c r="U72" s="16" t="s">
        <v>29</v>
      </c>
      <c r="V72" s="21"/>
      <c r="W72" s="21"/>
      <c r="X72" s="21"/>
      <c r="Y72" s="21"/>
      <c r="Z72" s="21"/>
    </row>
    <row r="73" spans="1:26" ht="29" customHeight="1" x14ac:dyDescent="0.35">
      <c r="A73" s="12">
        <v>72</v>
      </c>
      <c r="B73" s="13" t="s">
        <v>311</v>
      </c>
      <c r="C73" s="14" t="s">
        <v>312</v>
      </c>
      <c r="D73" s="13"/>
      <c r="E73" s="153" t="str">
        <f t="shared" si="1"/>
        <v>Laki-Laki</v>
      </c>
      <c r="F73" s="18"/>
      <c r="G73" s="13" t="s">
        <v>254</v>
      </c>
      <c r="H73" s="15" t="s">
        <v>300</v>
      </c>
      <c r="I73" s="15" t="s">
        <v>2933</v>
      </c>
      <c r="J73" s="12" t="s">
        <v>45</v>
      </c>
      <c r="K73" s="15" t="s">
        <v>248</v>
      </c>
      <c r="L73" s="12" t="s">
        <v>60</v>
      </c>
      <c r="M73" s="12">
        <v>2020</v>
      </c>
      <c r="N73" s="15" t="s">
        <v>60</v>
      </c>
      <c r="O73" s="15">
        <v>2024</v>
      </c>
      <c r="P73" s="15">
        <v>2021</v>
      </c>
      <c r="Q73" s="15"/>
      <c r="R73" s="34" t="s">
        <v>51</v>
      </c>
      <c r="S73" s="16" t="str">
        <f ca="1">IF(
  O73 &lt; YEAR(TODAY()),
  "LULUS",
  IF(
    O73 = YEAR(TODAY()),
    IF(
      MATCH(L73, {"Januari";"Februari";"Maret";"April";"Mei";"Juni";"Juli";"Agustus";"September";"Oktober";"November";"Desember"}, 0)
        &gt;= MONTH(TODAY()),
      "AKTIF (Semester " &amp;
        (INT((12*(YEAR(TODAY())-M73) + MONTH(TODAY()) -
          MATCH(L73, {"Januari";"Februari";"Maret";"April";"Mei";"Juni";"Juli";"Agustus";"September";"Oktober";"November";"Desember"}, 0)) / 6) + 1) &amp; ")",
      "LULUS"
    ),
    "AKTIF (Semester " &amp;
      (INT((12*(YEAR(TODAY())-M73) + MONTH(TODAY()) -
        MATCH(L73, {"Januari";"Februari";"Maret";"April";"Mei";"Juni";"Juli";"Agustus";"September";"Oktober";"November";"Desember"}, 0)) / 6) + 1) &amp; ")"
  )
)</f>
        <v>LULUS</v>
      </c>
      <c r="T73" s="16" t="str">
        <f ca="1">IF(O73 &lt; YEAR(TODAY()), "LULUS",
 IF(O73 = YEAR(TODAY()),
    IF(MATCH(N73, {"Januari";"Februari";"Maret";"April";"Mei";"Juni";"Juli";"Agustus";"September";"Oktober";"November";"Desember"},0)
        &lt;= MONTH(TODAY()),
        "LULUS",
        "AKTIF"),
 "AKTIF"))</f>
        <v>LULUS</v>
      </c>
      <c r="U73" s="16" t="s">
        <v>29</v>
      </c>
      <c r="V73" s="21"/>
      <c r="W73" s="21"/>
      <c r="X73" s="21"/>
      <c r="Y73" s="21"/>
      <c r="Z73" s="21"/>
    </row>
    <row r="74" spans="1:26" ht="29" customHeight="1" x14ac:dyDescent="0.35">
      <c r="A74" s="12">
        <v>73</v>
      </c>
      <c r="B74" s="13" t="s">
        <v>313</v>
      </c>
      <c r="C74" s="14" t="s">
        <v>314</v>
      </c>
      <c r="D74" s="13"/>
      <c r="E74" s="153" t="str">
        <f t="shared" si="1"/>
        <v>Laki-Laki</v>
      </c>
      <c r="F74" s="18"/>
      <c r="G74" s="13" t="s">
        <v>254</v>
      </c>
      <c r="H74" s="15" t="s">
        <v>300</v>
      </c>
      <c r="I74" s="15" t="s">
        <v>2933</v>
      </c>
      <c r="J74" s="12" t="s">
        <v>45</v>
      </c>
      <c r="K74" s="15" t="s">
        <v>248</v>
      </c>
      <c r="L74" s="12" t="s">
        <v>60</v>
      </c>
      <c r="M74" s="12">
        <v>2020</v>
      </c>
      <c r="N74" s="15" t="s">
        <v>60</v>
      </c>
      <c r="O74" s="15">
        <v>2024</v>
      </c>
      <c r="P74" s="15">
        <v>2021</v>
      </c>
      <c r="Q74" s="15"/>
      <c r="R74" s="34" t="s">
        <v>51</v>
      </c>
      <c r="S74" s="16" t="str">
        <f ca="1">IF(
  O74 &lt; YEAR(TODAY()),
  "LULUS",
  IF(
    O74 = YEAR(TODAY()),
    IF(
      MATCH(L74, {"Januari";"Februari";"Maret";"April";"Mei";"Juni";"Juli";"Agustus";"September";"Oktober";"November";"Desember"}, 0)
        &gt;= MONTH(TODAY()),
      "AKTIF (Semester " &amp;
        (INT((12*(YEAR(TODAY())-M74) + MONTH(TODAY()) -
          MATCH(L74, {"Januari";"Februari";"Maret";"April";"Mei";"Juni";"Juli";"Agustus";"September";"Oktober";"November";"Desember"}, 0)) / 6) + 1) &amp; ")",
      "LULUS"
    ),
    "AKTIF (Semester " &amp;
      (INT((12*(YEAR(TODAY())-M74) + MONTH(TODAY()) -
        MATCH(L74, {"Januari";"Februari";"Maret";"April";"Mei";"Juni";"Juli";"Agustus";"September";"Oktober";"November";"Desember"}, 0)) / 6) + 1) &amp; ")"
  )
)</f>
        <v>LULUS</v>
      </c>
      <c r="T74" s="16" t="str">
        <f ca="1">IF(O74 &lt; YEAR(TODAY()), "LULUS",
 IF(O74 = YEAR(TODAY()),
    IF(MATCH(N74, {"Januari";"Februari";"Maret";"April";"Mei";"Juni";"Juli";"Agustus";"September";"Oktober";"November";"Desember"},0)
        &lt;= MONTH(TODAY()),
        "LULUS",
        "AKTIF"),
 "AKTIF"))</f>
        <v>LULUS</v>
      </c>
      <c r="U74" s="16" t="s">
        <v>29</v>
      </c>
      <c r="V74" s="21"/>
      <c r="W74" s="21"/>
      <c r="X74" s="21"/>
      <c r="Y74" s="21"/>
      <c r="Z74" s="21"/>
    </row>
    <row r="75" spans="1:26" ht="29" customHeight="1" x14ac:dyDescent="0.35">
      <c r="A75" s="12">
        <v>74</v>
      </c>
      <c r="B75" s="13" t="s">
        <v>315</v>
      </c>
      <c r="C75" s="14" t="s">
        <v>316</v>
      </c>
      <c r="D75" s="13"/>
      <c r="E75" s="153" t="str">
        <f t="shared" si="1"/>
        <v>Laki-Laki</v>
      </c>
      <c r="F75" s="18"/>
      <c r="G75" s="13" t="s">
        <v>254</v>
      </c>
      <c r="H75" s="15" t="s">
        <v>300</v>
      </c>
      <c r="I75" s="15" t="s">
        <v>2933</v>
      </c>
      <c r="J75" s="12" t="s">
        <v>45</v>
      </c>
      <c r="K75" s="15" t="s">
        <v>248</v>
      </c>
      <c r="L75" s="12" t="s">
        <v>60</v>
      </c>
      <c r="M75" s="12">
        <v>2020</v>
      </c>
      <c r="N75" s="15" t="s">
        <v>60</v>
      </c>
      <c r="O75" s="15">
        <v>2024</v>
      </c>
      <c r="P75" s="15">
        <v>2021</v>
      </c>
      <c r="Q75" s="15"/>
      <c r="R75" s="34" t="s">
        <v>51</v>
      </c>
      <c r="S75" s="16" t="str">
        <f ca="1">IF(
  O75 &lt; YEAR(TODAY()),
  "LULUS",
  IF(
    O75 = YEAR(TODAY()),
    IF(
      MATCH(L75, {"Januari";"Februari";"Maret";"April";"Mei";"Juni";"Juli";"Agustus";"September";"Oktober";"November";"Desember"}, 0)
        &gt;= MONTH(TODAY()),
      "AKTIF (Semester " &amp;
        (INT((12*(YEAR(TODAY())-M75) + MONTH(TODAY()) -
          MATCH(L75, {"Januari";"Februari";"Maret";"April";"Mei";"Juni";"Juli";"Agustus";"September";"Oktober";"November";"Desember"}, 0)) / 6) + 1) &amp; ")",
      "LULUS"
    ),
    "AKTIF (Semester " &amp;
      (INT((12*(YEAR(TODAY())-M75) + MONTH(TODAY()) -
        MATCH(L75, {"Januari";"Februari";"Maret";"April";"Mei";"Juni";"Juli";"Agustus";"September";"Oktober";"November";"Desember"}, 0)) / 6) + 1) &amp; ")"
  )
)</f>
        <v>LULUS</v>
      </c>
      <c r="T75" s="16" t="str">
        <f ca="1">IF(O75 &lt; YEAR(TODAY()), "LULUS",
 IF(O75 = YEAR(TODAY()),
    IF(MATCH(N75, {"Januari";"Februari";"Maret";"April";"Mei";"Juni";"Juli";"Agustus";"September";"Oktober";"November";"Desember"},0)
        &lt;= MONTH(TODAY()),
        "LULUS",
        "AKTIF"),
 "AKTIF"))</f>
        <v>LULUS</v>
      </c>
      <c r="U75" s="16" t="s">
        <v>29</v>
      </c>
      <c r="V75" s="21"/>
      <c r="W75" s="21"/>
      <c r="X75" s="21"/>
      <c r="Y75" s="21"/>
      <c r="Z75" s="21"/>
    </row>
    <row r="76" spans="1:26" ht="29" customHeight="1" x14ac:dyDescent="0.35">
      <c r="A76" s="12">
        <v>75</v>
      </c>
      <c r="B76" s="13" t="s">
        <v>317</v>
      </c>
      <c r="C76" s="14" t="s">
        <v>318</v>
      </c>
      <c r="D76" s="13"/>
      <c r="E76" s="153" t="str">
        <f t="shared" si="1"/>
        <v>Laki-Laki</v>
      </c>
      <c r="F76" s="18"/>
      <c r="G76" s="13" t="s">
        <v>254</v>
      </c>
      <c r="H76" s="15" t="s">
        <v>319</v>
      </c>
      <c r="I76" s="15" t="s">
        <v>320</v>
      </c>
      <c r="J76" s="12" t="s">
        <v>45</v>
      </c>
      <c r="K76" s="15" t="s">
        <v>286</v>
      </c>
      <c r="L76" s="70" t="s">
        <v>35</v>
      </c>
      <c r="M76" s="12">
        <v>2021</v>
      </c>
      <c r="N76" s="15" t="s">
        <v>123</v>
      </c>
      <c r="O76" s="15">
        <v>2025</v>
      </c>
      <c r="P76" s="15">
        <v>2021</v>
      </c>
      <c r="Q76" s="15"/>
      <c r="R76" s="34" t="s">
        <v>51</v>
      </c>
      <c r="S76" s="16" t="str">
        <f ca="1">IF(
  O76 &lt; YEAR(TODAY()),
  "LULUS",
  IF(
    O76 = YEAR(TODAY()),
    IF(
      MATCH(L76, {"Januari";"Februari";"Maret";"April";"Mei";"Juni";"Juli";"Agustus";"September";"Oktober";"November";"Desember"}, 0)
        &gt;= MONTH(TODAY()),
      "AKTIF (Semester " &amp;
        (INT((12*(YEAR(TODAY())-M76) + MONTH(TODAY()) -
          MATCH(L76, {"Januari";"Februari";"Maret";"April";"Mei";"Juni";"Juli";"Agustus";"September";"Oktober";"November";"Desember"}, 0)) / 6) + 1) &amp; ")",
      "LULUS"
    ),
    "AKTIF (Semester " &amp;
      (INT((12*(YEAR(TODAY())-M76) + MONTH(TODAY()) -
        MATCH(L76, {"Januari";"Februari";"Maret";"April";"Mei";"Juni";"Juli";"Agustus";"September";"Oktober";"November";"Desember"}, 0)) / 6) + 1) &amp; ")"
  )
)</f>
        <v>LULUS</v>
      </c>
      <c r="T76" s="16" t="e">
        <f ca="1">IF(O76 &lt; YEAR(TODAY()), "LULUS",
 IF(O76 = YEAR(TODAY()),
    IF(MATCH(N76, {"Januari";"Februari";"Maret";"April";"Mei";"Juni";"Juli";"Agustus";"September";"Oktober";"November";"Desember"},0)
        &lt;= MONTH(TODAY()),
        "LULUS",
        "AKTIF"),
 "AKTIF"))</f>
        <v>#N/A</v>
      </c>
      <c r="U76" s="16" t="s">
        <v>29</v>
      </c>
      <c r="V76" s="21"/>
      <c r="W76" s="21"/>
      <c r="X76" s="21"/>
      <c r="Y76" s="21"/>
      <c r="Z76" s="21"/>
    </row>
    <row r="77" spans="1:26" ht="29" customHeight="1" x14ac:dyDescent="0.35">
      <c r="A77" s="12">
        <v>76</v>
      </c>
      <c r="B77" s="13" t="s">
        <v>321</v>
      </c>
      <c r="C77" s="14" t="s">
        <v>322</v>
      </c>
      <c r="D77" s="13"/>
      <c r="E77" s="153" t="str">
        <f t="shared" si="1"/>
        <v>Laki-Laki</v>
      </c>
      <c r="F77" s="18"/>
      <c r="G77" s="13" t="s">
        <v>254</v>
      </c>
      <c r="H77" s="15" t="s">
        <v>319</v>
      </c>
      <c r="I77" s="15" t="s">
        <v>320</v>
      </c>
      <c r="J77" s="12" t="s">
        <v>45</v>
      </c>
      <c r="K77" s="15" t="s">
        <v>286</v>
      </c>
      <c r="L77" s="70" t="s">
        <v>35</v>
      </c>
      <c r="M77" s="12">
        <v>2021</v>
      </c>
      <c r="N77" s="15" t="s">
        <v>123</v>
      </c>
      <c r="O77" s="15">
        <v>2025</v>
      </c>
      <c r="P77" s="15">
        <v>2021</v>
      </c>
      <c r="Q77" s="15"/>
      <c r="R77" s="34" t="s">
        <v>51</v>
      </c>
      <c r="S77" s="16" t="str">
        <f ca="1">IF(
  O77 &lt; YEAR(TODAY()),
  "LULUS",
  IF(
    O77 = YEAR(TODAY()),
    IF(
      MATCH(L77, {"Januari";"Februari";"Maret";"April";"Mei";"Juni";"Juli";"Agustus";"September";"Oktober";"November";"Desember"}, 0)
        &gt;= MONTH(TODAY()),
      "AKTIF (Semester " &amp;
        (INT((12*(YEAR(TODAY())-M77) + MONTH(TODAY()) -
          MATCH(L77, {"Januari";"Februari";"Maret";"April";"Mei";"Juni";"Juli";"Agustus";"September";"Oktober";"November";"Desember"}, 0)) / 6) + 1) &amp; ")",
      "LULUS"
    ),
    "AKTIF (Semester " &amp;
      (INT((12*(YEAR(TODAY())-M77) + MONTH(TODAY()) -
        MATCH(L77, {"Januari";"Februari";"Maret";"April";"Mei";"Juni";"Juli";"Agustus";"September";"Oktober";"November";"Desember"}, 0)) / 6) + 1) &amp; ")"
  )
)</f>
        <v>LULUS</v>
      </c>
      <c r="T77" s="16" t="e">
        <f ca="1">IF(O77 &lt; YEAR(TODAY()), "LULUS",
 IF(O77 = YEAR(TODAY()),
    IF(MATCH(N77, {"Januari";"Februari";"Maret";"April";"Mei";"Juni";"Juli";"Agustus";"September";"Oktober";"November";"Desember"},0)
        &lt;= MONTH(TODAY()),
        "LULUS",
        "AKTIF"),
 "AKTIF"))</f>
        <v>#N/A</v>
      </c>
      <c r="U77" s="16" t="s">
        <v>29</v>
      </c>
      <c r="V77" s="21"/>
      <c r="W77" s="21"/>
      <c r="X77" s="21"/>
      <c r="Y77" s="21"/>
      <c r="Z77" s="21"/>
    </row>
    <row r="78" spans="1:26" ht="29" customHeight="1" x14ac:dyDescent="0.35">
      <c r="A78" s="12">
        <v>77</v>
      </c>
      <c r="B78" s="13" t="s">
        <v>323</v>
      </c>
      <c r="C78" s="14" t="s">
        <v>324</v>
      </c>
      <c r="D78" s="13"/>
      <c r="E78" s="153" t="str">
        <f t="shared" si="1"/>
        <v>Laki-Laki</v>
      </c>
      <c r="F78" s="18"/>
      <c r="G78" s="13" t="s">
        <v>254</v>
      </c>
      <c r="H78" s="15" t="s">
        <v>319</v>
      </c>
      <c r="I78" s="15" t="s">
        <v>320</v>
      </c>
      <c r="J78" s="12" t="s">
        <v>45</v>
      </c>
      <c r="K78" s="15" t="s">
        <v>286</v>
      </c>
      <c r="L78" s="70" t="s">
        <v>35</v>
      </c>
      <c r="M78" s="12">
        <v>2021</v>
      </c>
      <c r="N78" s="15" t="s">
        <v>123</v>
      </c>
      <c r="O78" s="15">
        <v>2025</v>
      </c>
      <c r="P78" s="15">
        <v>2021</v>
      </c>
      <c r="Q78" s="15"/>
      <c r="R78" s="34" t="s">
        <v>51</v>
      </c>
      <c r="S78" s="16" t="str">
        <f ca="1">IF(
  O78 &lt; YEAR(TODAY()),
  "LULUS",
  IF(
    O78 = YEAR(TODAY()),
    IF(
      MATCH(L78, {"Januari";"Februari";"Maret";"April";"Mei";"Juni";"Juli";"Agustus";"September";"Oktober";"November";"Desember"}, 0)
        &gt;= MONTH(TODAY()),
      "AKTIF (Semester " &amp;
        (INT((12*(YEAR(TODAY())-M78) + MONTH(TODAY()) -
          MATCH(L78, {"Januari";"Februari";"Maret";"April";"Mei";"Juni";"Juli";"Agustus";"September";"Oktober";"November";"Desember"}, 0)) / 6) + 1) &amp; ")",
      "LULUS"
    ),
    "AKTIF (Semester " &amp;
      (INT((12*(YEAR(TODAY())-M78) + MONTH(TODAY()) -
        MATCH(L78, {"Januari";"Februari";"Maret";"April";"Mei";"Juni";"Juli";"Agustus";"September";"Oktober";"November";"Desember"}, 0)) / 6) + 1) &amp; ")"
  )
)</f>
        <v>LULUS</v>
      </c>
      <c r="T78" s="16" t="e">
        <f ca="1">IF(O78 &lt; YEAR(TODAY()), "LULUS",
 IF(O78 = YEAR(TODAY()),
    IF(MATCH(N78, {"Januari";"Februari";"Maret";"April";"Mei";"Juni";"Juli";"Agustus";"September";"Oktober";"November";"Desember"},0)
        &lt;= MONTH(TODAY()),
        "LULUS",
        "AKTIF"),
 "AKTIF"))</f>
        <v>#N/A</v>
      </c>
      <c r="U78" s="16" t="s">
        <v>29</v>
      </c>
      <c r="V78" s="21"/>
      <c r="W78" s="21"/>
      <c r="X78" s="21"/>
      <c r="Y78" s="21"/>
      <c r="Z78" s="21"/>
    </row>
    <row r="79" spans="1:26" ht="29" customHeight="1" x14ac:dyDescent="0.35">
      <c r="A79" s="12">
        <v>78</v>
      </c>
      <c r="B79" s="13" t="s">
        <v>325</v>
      </c>
      <c r="C79" s="14" t="s">
        <v>326</v>
      </c>
      <c r="D79" s="13"/>
      <c r="E79" s="153" t="str">
        <f t="shared" si="1"/>
        <v>Perempuan</v>
      </c>
      <c r="F79" s="18"/>
      <c r="G79" s="13" t="s">
        <v>254</v>
      </c>
      <c r="H79" s="15" t="s">
        <v>327</v>
      </c>
      <c r="I79" s="15" t="s">
        <v>90</v>
      </c>
      <c r="J79" s="32" t="s">
        <v>2474</v>
      </c>
      <c r="K79" s="15" t="s">
        <v>117</v>
      </c>
      <c r="L79" s="12" t="s">
        <v>35</v>
      </c>
      <c r="M79" s="12">
        <v>2021</v>
      </c>
      <c r="N79" s="15" t="s">
        <v>35</v>
      </c>
      <c r="O79" s="15">
        <v>2025</v>
      </c>
      <c r="P79" s="15">
        <v>2021</v>
      </c>
      <c r="Q79" s="15"/>
      <c r="R79" s="34" t="s">
        <v>51</v>
      </c>
      <c r="S79" s="16" t="str">
        <f ca="1">IF(
  O79 &lt; YEAR(TODAY()),
  "LULUS",
  IF(
    O79 = YEAR(TODAY()),
    IF(
      MATCH(L79, {"Januari";"Februari";"Maret";"April";"Mei";"Juni";"Juli";"Agustus";"September";"Oktober";"November";"Desember"}, 0)
        &gt;= MONTH(TODAY()),
      "AKTIF (Semester " &amp;
        (INT((12*(YEAR(TODAY())-M79) + MONTH(TODAY()) -
          MATCH(L79, {"Januari";"Februari";"Maret";"April";"Mei";"Juni";"Juli";"Agustus";"September";"Oktober";"November";"Desember"}, 0)) / 6) + 1) &amp; ")",
      "LULUS"
    ),
    "AKTIF (Semester " &amp;
      (INT((12*(YEAR(TODAY())-M79) + MONTH(TODAY()) -
        MATCH(L79, {"Januari";"Februari";"Maret";"April";"Mei";"Juni";"Juli";"Agustus";"September";"Oktober";"November";"Desember"}, 0)) / 6) + 1) &amp; ")"
  )
)</f>
        <v>LULUS</v>
      </c>
      <c r="T79" s="16" t="str">
        <f ca="1">IF(O79 &lt; YEAR(TODAY()), "LULUS",
 IF(O79 = YEAR(TODAY()),
    IF(MATCH(N79, {"Januari";"Februari";"Maret";"April";"Mei";"Juni";"Juli";"Agustus";"September";"Oktober";"November";"Desember"},0)
        &lt;= MONTH(TODAY()),
        "LULUS",
        "AKTIF"),
 "AKTIF"))</f>
        <v>LULUS</v>
      </c>
      <c r="U79" s="16" t="s">
        <v>29</v>
      </c>
      <c r="V79" s="21"/>
      <c r="W79" s="21"/>
      <c r="X79" s="21"/>
      <c r="Y79" s="21"/>
      <c r="Z79" s="21"/>
    </row>
    <row r="80" spans="1:26" ht="29" customHeight="1" x14ac:dyDescent="0.35">
      <c r="A80" s="12">
        <v>79</v>
      </c>
      <c r="B80" s="13" t="s">
        <v>328</v>
      </c>
      <c r="C80" s="14" t="s">
        <v>329</v>
      </c>
      <c r="D80" s="13"/>
      <c r="E80" s="153" t="str">
        <f t="shared" si="1"/>
        <v>Perempuan</v>
      </c>
      <c r="F80" s="18"/>
      <c r="G80" s="13" t="s">
        <v>254</v>
      </c>
      <c r="H80" s="15" t="s">
        <v>330</v>
      </c>
      <c r="I80" s="15" t="s">
        <v>90</v>
      </c>
      <c r="J80" s="32" t="s">
        <v>2474</v>
      </c>
      <c r="K80" s="15" t="s">
        <v>117</v>
      </c>
      <c r="L80" s="12" t="s">
        <v>35</v>
      </c>
      <c r="M80" s="12">
        <v>2021</v>
      </c>
      <c r="N80" s="15" t="s">
        <v>35</v>
      </c>
      <c r="O80" s="15">
        <v>2025</v>
      </c>
      <c r="P80" s="15">
        <v>2021</v>
      </c>
      <c r="Q80" s="15"/>
      <c r="R80" s="34" t="s">
        <v>51</v>
      </c>
      <c r="S80" s="16" t="str">
        <f ca="1">IF(
  O80 &lt; YEAR(TODAY()),
  "LULUS",
  IF(
    O80 = YEAR(TODAY()),
    IF(
      MATCH(L80, {"Januari";"Februari";"Maret";"April";"Mei";"Juni";"Juli";"Agustus";"September";"Oktober";"November";"Desember"}, 0)
        &gt;= MONTH(TODAY()),
      "AKTIF (Semester " &amp;
        (INT((12*(YEAR(TODAY())-M80) + MONTH(TODAY()) -
          MATCH(L80, {"Januari";"Februari";"Maret";"April";"Mei";"Juni";"Juli";"Agustus";"September";"Oktober";"November";"Desember"}, 0)) / 6) + 1) &amp; ")",
      "LULUS"
    ),
    "AKTIF (Semester " &amp;
      (INT((12*(YEAR(TODAY())-M80) + MONTH(TODAY()) -
        MATCH(L80, {"Januari";"Februari";"Maret";"April";"Mei";"Juni";"Juli";"Agustus";"September";"Oktober";"November";"Desember"}, 0)) / 6) + 1) &amp; ")"
  )
)</f>
        <v>LULUS</v>
      </c>
      <c r="T80" s="16" t="str">
        <f ca="1">IF(O80 &lt; YEAR(TODAY()), "LULUS",
 IF(O80 = YEAR(TODAY()),
    IF(MATCH(N80, {"Januari";"Februari";"Maret";"April";"Mei";"Juni";"Juli";"Agustus";"September";"Oktober";"November";"Desember"},0)
        &lt;= MONTH(TODAY()),
        "LULUS",
        "AKTIF"),
 "AKTIF"))</f>
        <v>LULUS</v>
      </c>
      <c r="U80" s="16" t="s">
        <v>29</v>
      </c>
      <c r="V80" s="21"/>
      <c r="W80" s="21"/>
      <c r="X80" s="21"/>
      <c r="Y80" s="21"/>
      <c r="Z80" s="21"/>
    </row>
    <row r="81" spans="1:26" ht="29" customHeight="1" x14ac:dyDescent="0.35">
      <c r="A81" s="12">
        <v>80</v>
      </c>
      <c r="B81" s="13" t="s">
        <v>331</v>
      </c>
      <c r="C81" s="14" t="s">
        <v>332</v>
      </c>
      <c r="D81" s="13"/>
      <c r="E81" s="153" t="str">
        <f t="shared" si="1"/>
        <v>Perempuan</v>
      </c>
      <c r="F81" s="18"/>
      <c r="G81" s="13" t="s">
        <v>254</v>
      </c>
      <c r="H81" s="15" t="s">
        <v>333</v>
      </c>
      <c r="I81" s="15" t="s">
        <v>90</v>
      </c>
      <c r="J81" s="32" t="s">
        <v>2474</v>
      </c>
      <c r="K81" s="15" t="s">
        <v>117</v>
      </c>
      <c r="L81" s="12" t="s">
        <v>35</v>
      </c>
      <c r="M81" s="12">
        <v>2021</v>
      </c>
      <c r="N81" s="15" t="s">
        <v>35</v>
      </c>
      <c r="O81" s="15">
        <v>2025</v>
      </c>
      <c r="P81" s="15">
        <v>2021</v>
      </c>
      <c r="Q81" s="15"/>
      <c r="R81" s="34" t="s">
        <v>51</v>
      </c>
      <c r="S81" s="16" t="str">
        <f ca="1">IF(
  O81 &lt; YEAR(TODAY()),
  "LULUS",
  IF(
    O81 = YEAR(TODAY()),
    IF(
      MATCH(L81, {"Januari";"Februari";"Maret";"April";"Mei";"Juni";"Juli";"Agustus";"September";"Oktober";"November";"Desember"}, 0)
        &gt;= MONTH(TODAY()),
      "AKTIF (Semester " &amp;
        (INT((12*(YEAR(TODAY())-M81) + MONTH(TODAY()) -
          MATCH(L81, {"Januari";"Februari";"Maret";"April";"Mei";"Juni";"Juli";"Agustus";"September";"Oktober";"November";"Desember"}, 0)) / 6) + 1) &amp; ")",
      "LULUS"
    ),
    "AKTIF (Semester " &amp;
      (INT((12*(YEAR(TODAY())-M81) + MONTH(TODAY()) -
        MATCH(L81, {"Januari";"Februari";"Maret";"April";"Mei";"Juni";"Juli";"Agustus";"September";"Oktober";"November";"Desember"}, 0)) / 6) + 1) &amp; ")"
  )
)</f>
        <v>LULUS</v>
      </c>
      <c r="T81" s="16" t="str">
        <f ca="1">IF(O81 &lt; YEAR(TODAY()), "LULUS",
 IF(O81 = YEAR(TODAY()),
    IF(MATCH(N81, {"Januari";"Februari";"Maret";"April";"Mei";"Juni";"Juli";"Agustus";"September";"Oktober";"November";"Desember"},0)
        &lt;= MONTH(TODAY()),
        "LULUS",
        "AKTIF"),
 "AKTIF"))</f>
        <v>LULUS</v>
      </c>
      <c r="U81" s="16" t="s">
        <v>29</v>
      </c>
      <c r="V81" s="21"/>
      <c r="W81" s="21"/>
      <c r="X81" s="21"/>
      <c r="Y81" s="21"/>
      <c r="Z81" s="21"/>
    </row>
    <row r="82" spans="1:26" ht="29" customHeight="1" x14ac:dyDescent="0.35">
      <c r="A82" s="12">
        <v>81</v>
      </c>
      <c r="B82" s="13" t="s">
        <v>334</v>
      </c>
      <c r="C82" s="14" t="s">
        <v>335</v>
      </c>
      <c r="D82" s="13"/>
      <c r="E82" s="153" t="str">
        <f t="shared" si="1"/>
        <v>Perempuan</v>
      </c>
      <c r="F82" s="13"/>
      <c r="G82" s="13" t="s">
        <v>254</v>
      </c>
      <c r="H82" s="15" t="s">
        <v>281</v>
      </c>
      <c r="I82" s="15" t="s">
        <v>90</v>
      </c>
      <c r="J82" s="32" t="s">
        <v>2474</v>
      </c>
      <c r="K82" s="15" t="s">
        <v>117</v>
      </c>
      <c r="L82" s="12" t="s">
        <v>35</v>
      </c>
      <c r="M82" s="12">
        <v>2021</v>
      </c>
      <c r="N82" s="15" t="s">
        <v>35</v>
      </c>
      <c r="O82" s="15">
        <v>2025</v>
      </c>
      <c r="P82" s="15">
        <v>2021</v>
      </c>
      <c r="Q82" s="15"/>
      <c r="R82" s="34" t="s">
        <v>51</v>
      </c>
      <c r="S82" s="16" t="str">
        <f ca="1">IF(
  O82 &lt; YEAR(TODAY()),
  "LULUS",
  IF(
    O82 = YEAR(TODAY()),
    IF(
      MATCH(L82, {"Januari";"Februari";"Maret";"April";"Mei";"Juni";"Juli";"Agustus";"September";"Oktober";"November";"Desember"}, 0)
        &gt;= MONTH(TODAY()),
      "AKTIF (Semester " &amp;
        (INT((12*(YEAR(TODAY())-M82) + MONTH(TODAY()) -
          MATCH(L82, {"Januari";"Februari";"Maret";"April";"Mei";"Juni";"Juli";"Agustus";"September";"Oktober";"November";"Desember"}, 0)) / 6) + 1) &amp; ")",
      "LULUS"
    ),
    "AKTIF (Semester " &amp;
      (INT((12*(YEAR(TODAY())-M82) + MONTH(TODAY()) -
        MATCH(L82, {"Januari";"Februari";"Maret";"April";"Mei";"Juni";"Juli";"Agustus";"September";"Oktober";"November";"Desember"}, 0)) / 6) + 1) &amp; ")"
  )
)</f>
        <v>LULUS</v>
      </c>
      <c r="T82" s="16" t="str">
        <f ca="1">IF(O82 &lt; YEAR(TODAY()), "LULUS",
 IF(O82 = YEAR(TODAY()),
    IF(MATCH(N82, {"Januari";"Februari";"Maret";"April";"Mei";"Juni";"Juli";"Agustus";"September";"Oktober";"November";"Desember"},0)
        &lt;= MONTH(TODAY()),
        "LULUS",
        "AKTIF"),
 "AKTIF"))</f>
        <v>LULUS</v>
      </c>
      <c r="U82" s="16" t="s">
        <v>29</v>
      </c>
      <c r="V82" s="21"/>
      <c r="W82" s="21"/>
      <c r="X82" s="21"/>
      <c r="Y82" s="21"/>
      <c r="Z82" s="21"/>
    </row>
    <row r="83" spans="1:26" ht="29" customHeight="1" x14ac:dyDescent="0.35">
      <c r="A83" s="12">
        <v>82</v>
      </c>
      <c r="B83" s="13" t="s">
        <v>336</v>
      </c>
      <c r="C83" s="14" t="s">
        <v>337</v>
      </c>
      <c r="D83" s="13"/>
      <c r="E83" s="153" t="str">
        <f t="shared" si="1"/>
        <v>Perempuan</v>
      </c>
      <c r="F83" s="13"/>
      <c r="G83" s="13" t="s">
        <v>254</v>
      </c>
      <c r="H83" s="15" t="s">
        <v>338</v>
      </c>
      <c r="I83" s="15" t="s">
        <v>90</v>
      </c>
      <c r="J83" s="32" t="s">
        <v>2474</v>
      </c>
      <c r="K83" s="15" t="s">
        <v>117</v>
      </c>
      <c r="L83" s="12" t="s">
        <v>35</v>
      </c>
      <c r="M83" s="12">
        <v>2021</v>
      </c>
      <c r="N83" s="15" t="s">
        <v>35</v>
      </c>
      <c r="O83" s="15">
        <v>2025</v>
      </c>
      <c r="P83" s="15">
        <v>2021</v>
      </c>
      <c r="Q83" s="15"/>
      <c r="R83" s="34" t="s">
        <v>51</v>
      </c>
      <c r="S83" s="16" t="str">
        <f ca="1">IF(
  O83 &lt; YEAR(TODAY()),
  "LULUS",
  IF(
    O83 = YEAR(TODAY()),
    IF(
      MATCH(L83, {"Januari";"Februari";"Maret";"April";"Mei";"Juni";"Juli";"Agustus";"September";"Oktober";"November";"Desember"}, 0)
        &gt;= MONTH(TODAY()),
      "AKTIF (Semester " &amp;
        (INT((12*(YEAR(TODAY())-M83) + MONTH(TODAY()) -
          MATCH(L83, {"Januari";"Februari";"Maret";"April";"Mei";"Juni";"Juli";"Agustus";"September";"Oktober";"November";"Desember"}, 0)) / 6) + 1) &amp; ")",
      "LULUS"
    ),
    "AKTIF (Semester " &amp;
      (INT((12*(YEAR(TODAY())-M83) + MONTH(TODAY()) -
        MATCH(L83, {"Januari";"Februari";"Maret";"April";"Mei";"Juni";"Juli";"Agustus";"September";"Oktober";"November";"Desember"}, 0)) / 6) + 1) &amp; ")"
  )
)</f>
        <v>LULUS</v>
      </c>
      <c r="T83" s="16" t="str">
        <f ca="1">IF(O83 &lt; YEAR(TODAY()), "LULUS",
 IF(O83 = YEAR(TODAY()),
    IF(MATCH(N83, {"Januari";"Februari";"Maret";"April";"Mei";"Juni";"Juli";"Agustus";"September";"Oktober";"November";"Desember"},0)
        &lt;= MONTH(TODAY()),
        "LULUS",
        "AKTIF"),
 "AKTIF"))</f>
        <v>LULUS</v>
      </c>
      <c r="U83" s="16" t="s">
        <v>29</v>
      </c>
      <c r="V83" s="21"/>
      <c r="W83" s="21"/>
      <c r="X83" s="21"/>
      <c r="Y83" s="21"/>
      <c r="Z83" s="21"/>
    </row>
    <row r="84" spans="1:26" ht="29" customHeight="1" x14ac:dyDescent="0.35">
      <c r="A84" s="12">
        <v>83</v>
      </c>
      <c r="B84" s="13" t="s">
        <v>339</v>
      </c>
      <c r="C84" s="14" t="s">
        <v>340</v>
      </c>
      <c r="D84" s="13"/>
      <c r="E84" s="153" t="str">
        <f t="shared" si="1"/>
        <v>Perempuan</v>
      </c>
      <c r="F84" s="13"/>
      <c r="G84" s="13" t="s">
        <v>254</v>
      </c>
      <c r="H84" s="15" t="s">
        <v>338</v>
      </c>
      <c r="I84" s="15" t="s">
        <v>90</v>
      </c>
      <c r="J84" s="32" t="s">
        <v>2474</v>
      </c>
      <c r="K84" s="15" t="s">
        <v>117</v>
      </c>
      <c r="L84" s="12" t="s">
        <v>35</v>
      </c>
      <c r="M84" s="12">
        <v>2021</v>
      </c>
      <c r="N84" s="15" t="s">
        <v>35</v>
      </c>
      <c r="O84" s="15">
        <v>2025</v>
      </c>
      <c r="P84" s="15">
        <v>2021</v>
      </c>
      <c r="Q84" s="15"/>
      <c r="R84" s="34" t="s">
        <v>51</v>
      </c>
      <c r="S84" s="16" t="str">
        <f ca="1">IF(
  O84 &lt; YEAR(TODAY()),
  "LULUS",
  IF(
    O84 = YEAR(TODAY()),
    IF(
      MATCH(L84, {"Januari";"Februari";"Maret";"April";"Mei";"Juni";"Juli";"Agustus";"September";"Oktober";"November";"Desember"}, 0)
        &gt;= MONTH(TODAY()),
      "AKTIF (Semester " &amp;
        (INT((12*(YEAR(TODAY())-M84) + MONTH(TODAY()) -
          MATCH(L84, {"Januari";"Februari";"Maret";"April";"Mei";"Juni";"Juli";"Agustus";"September";"Oktober";"November";"Desember"}, 0)) / 6) + 1) &amp; ")",
      "LULUS"
    ),
    "AKTIF (Semester " &amp;
      (INT((12*(YEAR(TODAY())-M84) + MONTH(TODAY()) -
        MATCH(L84, {"Januari";"Februari";"Maret";"April";"Mei";"Juni";"Juli";"Agustus";"September";"Oktober";"November";"Desember"}, 0)) / 6) + 1) &amp; ")"
  )
)</f>
        <v>LULUS</v>
      </c>
      <c r="T84" s="16" t="str">
        <f ca="1">IF(O84 &lt; YEAR(TODAY()), "LULUS",
 IF(O84 = YEAR(TODAY()),
    IF(MATCH(N84, {"Januari";"Februari";"Maret";"April";"Mei";"Juni";"Juli";"Agustus";"September";"Oktober";"November";"Desember"},0)
        &lt;= MONTH(TODAY()),
        "LULUS",
        "AKTIF"),
 "AKTIF"))</f>
        <v>LULUS</v>
      </c>
      <c r="U84" s="16" t="s">
        <v>29</v>
      </c>
      <c r="V84" s="21"/>
      <c r="W84" s="21"/>
      <c r="X84" s="21"/>
      <c r="Y84" s="21"/>
      <c r="Z84" s="21"/>
    </row>
    <row r="85" spans="1:26" ht="29" customHeight="1" x14ac:dyDescent="0.35">
      <c r="A85" s="12">
        <v>84</v>
      </c>
      <c r="B85" s="13" t="s">
        <v>341</v>
      </c>
      <c r="C85" s="14" t="s">
        <v>342</v>
      </c>
      <c r="D85" s="13"/>
      <c r="E85" s="153" t="str">
        <f t="shared" si="1"/>
        <v>Laki-Laki</v>
      </c>
      <c r="F85" s="13"/>
      <c r="G85" s="13" t="s">
        <v>254</v>
      </c>
      <c r="H85" s="15" t="s">
        <v>343</v>
      </c>
      <c r="I85" s="15" t="s">
        <v>25</v>
      </c>
      <c r="J85" s="12" t="s">
        <v>26</v>
      </c>
      <c r="K85" s="15" t="s">
        <v>344</v>
      </c>
      <c r="L85" s="15" t="s">
        <v>72</v>
      </c>
      <c r="M85" s="15">
        <v>2022</v>
      </c>
      <c r="N85" s="15" t="s">
        <v>72</v>
      </c>
      <c r="O85" s="15">
        <v>2024</v>
      </c>
      <c r="P85" s="15">
        <v>2022</v>
      </c>
      <c r="Q85" s="15"/>
      <c r="R85" s="16" t="s">
        <v>29</v>
      </c>
      <c r="S85" s="16" t="str">
        <f ca="1">IF(
  O85 &lt; YEAR(TODAY()),
  "LULUS",
  IF(
    O85 = YEAR(TODAY()),
    IF(
      MATCH(L85, {"Januari";"Februari";"Maret";"April";"Mei";"Juni";"Juli";"Agustus";"September";"Oktober";"November";"Desember"}, 0)
        &gt;= MONTH(TODAY()),
      "AKTIF (Semester " &amp;
        (INT((12*(YEAR(TODAY())-M85) + MONTH(TODAY()) -
          MATCH(L85, {"Januari";"Februari";"Maret";"April";"Mei";"Juni";"Juli";"Agustus";"September";"Oktober";"November";"Desember"}, 0)) / 6) + 1) &amp; ")",
      "LULUS"
    ),
    "AKTIF (Semester " &amp;
      (INT((12*(YEAR(TODAY())-M85) + MONTH(TODAY()) -
        MATCH(L85, {"Januari";"Februari";"Maret";"April";"Mei";"Juni";"Juli";"Agustus";"September";"Oktober";"November";"Desember"}, 0)) / 6) + 1) &amp; ")"
  )
)</f>
        <v>LULUS</v>
      </c>
      <c r="T85" s="16" t="str">
        <f ca="1">IF(O85 &lt; YEAR(TODAY()), "LULUS",
 IF(O85 = YEAR(TODAY()),
    IF(MATCH(N85, {"Januari";"Februari";"Maret";"April";"Mei";"Juni";"Juli";"Agustus";"September";"Oktober";"November";"Desember"},0)
        &lt;= MONTH(TODAY()),
        "LULUS",
        "AKTIF"),
 "AKTIF"))</f>
        <v>LULUS</v>
      </c>
      <c r="U85" s="16" t="s">
        <v>29</v>
      </c>
      <c r="V85" s="15"/>
      <c r="W85" s="15"/>
      <c r="X85" s="15"/>
      <c r="Y85" s="15"/>
      <c r="Z85" s="15"/>
    </row>
    <row r="86" spans="1:26" ht="29" customHeight="1" x14ac:dyDescent="0.35">
      <c r="A86" s="12">
        <v>85</v>
      </c>
      <c r="B86" s="13" t="s">
        <v>345</v>
      </c>
      <c r="C86" s="14" t="s">
        <v>346</v>
      </c>
      <c r="D86" s="13"/>
      <c r="E86" s="153" t="str">
        <f t="shared" si="1"/>
        <v>Perempuan</v>
      </c>
      <c r="F86" s="13"/>
      <c r="G86" s="13" t="s">
        <v>254</v>
      </c>
      <c r="H86" s="15" t="s">
        <v>281</v>
      </c>
      <c r="I86" s="15" t="s">
        <v>75</v>
      </c>
      <c r="J86" s="12" t="s">
        <v>26</v>
      </c>
      <c r="K86" s="15" t="s">
        <v>348</v>
      </c>
      <c r="L86" s="21" t="s">
        <v>60</v>
      </c>
      <c r="M86" s="21">
        <v>2022</v>
      </c>
      <c r="N86" s="15" t="s">
        <v>60</v>
      </c>
      <c r="O86" s="15">
        <v>2024</v>
      </c>
      <c r="P86" s="15">
        <v>2022</v>
      </c>
      <c r="Q86" s="15"/>
      <c r="R86" s="16" t="s">
        <v>29</v>
      </c>
      <c r="S86" s="16" t="str">
        <f ca="1">IF(
  O86 &lt; YEAR(TODAY()),
  "LULUS",
  IF(
    O86 = YEAR(TODAY()),
    IF(
      MATCH(L86, {"Januari";"Februari";"Maret";"April";"Mei";"Juni";"Juli";"Agustus";"September";"Oktober";"November";"Desember"}, 0)
        &gt;= MONTH(TODAY()),
      "AKTIF (Semester " &amp;
        (INT((12*(YEAR(TODAY())-M86) + MONTH(TODAY()) -
          MATCH(L86, {"Januari";"Februari";"Maret";"April";"Mei";"Juni";"Juli";"Agustus";"September";"Oktober";"November";"Desember"}, 0)) / 6) + 1) &amp; ")",
      "LULUS"
    ),
    "AKTIF (Semester " &amp;
      (INT((12*(YEAR(TODAY())-M86) + MONTH(TODAY()) -
        MATCH(L86, {"Januari";"Februari";"Maret";"April";"Mei";"Juni";"Juli";"Agustus";"September";"Oktober";"November";"Desember"}, 0)) / 6) + 1) &amp; ")"
  )
)</f>
        <v>LULUS</v>
      </c>
      <c r="T86" s="16" t="str">
        <f ca="1">IF(O86 &lt; YEAR(TODAY()), "LULUS",
 IF(O86 = YEAR(TODAY()),
    IF(MATCH(N86, {"Januari";"Februari";"Maret";"April";"Mei";"Juni";"Juli";"Agustus";"September";"Oktober";"November";"Desember"},0)
        &lt;= MONTH(TODAY()),
        "LULUS",
        "AKTIF"),
 "AKTIF"))</f>
        <v>LULUS</v>
      </c>
      <c r="U86" s="16" t="s">
        <v>29</v>
      </c>
      <c r="V86" s="15"/>
      <c r="W86" s="15"/>
      <c r="X86" s="15"/>
      <c r="Y86" s="15"/>
      <c r="Z86" s="15"/>
    </row>
    <row r="87" spans="1:26" ht="29" customHeight="1" x14ac:dyDescent="0.35">
      <c r="A87" s="12">
        <v>86</v>
      </c>
      <c r="B87" s="13" t="s">
        <v>349</v>
      </c>
      <c r="C87" s="14" t="s">
        <v>350</v>
      </c>
      <c r="D87" s="13"/>
      <c r="E87" s="153" t="str">
        <f t="shared" si="1"/>
        <v>Laki-Laki</v>
      </c>
      <c r="F87" s="13"/>
      <c r="G87" s="13" t="s">
        <v>254</v>
      </c>
      <c r="H87" s="15" t="s">
        <v>351</v>
      </c>
      <c r="I87" s="15" t="s">
        <v>241</v>
      </c>
      <c r="J87" s="12" t="s">
        <v>242</v>
      </c>
      <c r="K87" s="15" t="s">
        <v>243</v>
      </c>
      <c r="L87" s="21" t="s">
        <v>60</v>
      </c>
      <c r="M87" s="21">
        <v>2022</v>
      </c>
      <c r="N87" s="15" t="s">
        <v>60</v>
      </c>
      <c r="O87" s="15">
        <v>2025</v>
      </c>
      <c r="P87" s="15">
        <v>2022</v>
      </c>
      <c r="Q87" s="15"/>
      <c r="R87" s="16" t="s">
        <v>51</v>
      </c>
      <c r="S87" s="16" t="str">
        <f ca="1">IF(
  O87 &lt; YEAR(TODAY()),
  "LULUS",
  IF(
    O87 = YEAR(TODAY()),
    IF(
      MATCH(L87, {"Januari";"Februari";"Maret";"April";"Mei";"Juni";"Juli";"Agustus";"September";"Oktober";"November";"Desember"}, 0)
        &gt;= MONTH(TODAY()),
      "AKTIF (Semester " &amp;
        (INT((12*(YEAR(TODAY())-M87) + MONTH(TODAY()) -
          MATCH(L87, {"Januari";"Februari";"Maret";"April";"Mei";"Juni";"Juli";"Agustus";"September";"Oktober";"November";"Desember"}, 0)) / 6) + 1) &amp; ")",
      "LULUS"
    ),
    "AKTIF (Semester " &amp;
      (INT((12*(YEAR(TODAY())-M87) + MONTH(TODAY()) -
        MATCH(L87, {"Januari";"Februari";"Maret";"April";"Mei";"Juni";"Juli";"Agustus";"September";"Oktober";"November";"Desember"}, 0)) / 6) + 1) &amp; ")"
  )
)</f>
        <v>LULUS</v>
      </c>
      <c r="T87" s="16" t="str">
        <f ca="1">IF(O87 &lt; YEAR(TODAY()), "LULUS",
 IF(O87 = YEAR(TODAY()),
    IF(MATCH(N87, {"Januari";"Februari";"Maret";"April";"Mei";"Juni";"Juli";"Agustus";"September";"Oktober";"November";"Desember"},0)
        &lt;= MONTH(TODAY()),
        "LULUS",
        "AKTIF"),
 "AKTIF"))</f>
        <v>LULUS</v>
      </c>
      <c r="U87" s="16" t="s">
        <v>29</v>
      </c>
      <c r="V87" s="15"/>
      <c r="W87" s="15"/>
      <c r="X87" s="15"/>
      <c r="Y87" s="15"/>
      <c r="Z87" s="15"/>
    </row>
    <row r="88" spans="1:26" ht="29" customHeight="1" x14ac:dyDescent="0.35">
      <c r="A88" s="12">
        <v>87</v>
      </c>
      <c r="B88" s="13" t="s">
        <v>352</v>
      </c>
      <c r="C88" s="14" t="s">
        <v>353</v>
      </c>
      <c r="D88" s="13"/>
      <c r="E88" s="153" t="str">
        <f t="shared" si="1"/>
        <v>Laki-Laki</v>
      </c>
      <c r="F88" s="13"/>
      <c r="G88" s="13" t="s">
        <v>254</v>
      </c>
      <c r="H88" s="15" t="s">
        <v>351</v>
      </c>
      <c r="I88" s="15" t="s">
        <v>241</v>
      </c>
      <c r="J88" s="12" t="s">
        <v>242</v>
      </c>
      <c r="K88" s="15" t="s">
        <v>243</v>
      </c>
      <c r="L88" s="21" t="s">
        <v>60</v>
      </c>
      <c r="M88" s="21">
        <v>2022</v>
      </c>
      <c r="N88" s="15" t="s">
        <v>60</v>
      </c>
      <c r="O88" s="15">
        <v>2025</v>
      </c>
      <c r="P88" s="15">
        <v>2022</v>
      </c>
      <c r="Q88" s="15"/>
      <c r="R88" s="16" t="s">
        <v>51</v>
      </c>
      <c r="S88" s="16" t="str">
        <f ca="1">IF(
  O88 &lt; YEAR(TODAY()),
  "LULUS",
  IF(
    O88 = YEAR(TODAY()),
    IF(
      MATCH(L88, {"Januari";"Februari";"Maret";"April";"Mei";"Juni";"Juli";"Agustus";"September";"Oktober";"November";"Desember"}, 0)
        &gt;= MONTH(TODAY()),
      "AKTIF (Semester " &amp;
        (INT((12*(YEAR(TODAY())-M88) + MONTH(TODAY()) -
          MATCH(L88, {"Januari";"Februari";"Maret";"April";"Mei";"Juni";"Juli";"Agustus";"September";"Oktober";"November";"Desember"}, 0)) / 6) + 1) &amp; ")",
      "LULUS"
    ),
    "AKTIF (Semester " &amp;
      (INT((12*(YEAR(TODAY())-M88) + MONTH(TODAY()) -
        MATCH(L88, {"Januari";"Februari";"Maret";"April";"Mei";"Juni";"Juli";"Agustus";"September";"Oktober";"November";"Desember"}, 0)) / 6) + 1) &amp; ")"
  )
)</f>
        <v>LULUS</v>
      </c>
      <c r="T88" s="16" t="str">
        <f ca="1">IF(O88 &lt; YEAR(TODAY()), "LULUS",
 IF(O88 = YEAR(TODAY()),
    IF(MATCH(N88, {"Januari";"Februari";"Maret";"April";"Mei";"Juni";"Juli";"Agustus";"September";"Oktober";"November";"Desember"},0)
        &lt;= MONTH(TODAY()),
        "LULUS",
        "AKTIF"),
 "AKTIF"))</f>
        <v>LULUS</v>
      </c>
      <c r="U88" s="16" t="s">
        <v>29</v>
      </c>
      <c r="V88" s="15"/>
      <c r="W88" s="15"/>
      <c r="X88" s="15"/>
      <c r="Y88" s="15"/>
      <c r="Z88" s="15"/>
    </row>
    <row r="89" spans="1:26" ht="29" customHeight="1" x14ac:dyDescent="0.35">
      <c r="A89" s="12">
        <v>88</v>
      </c>
      <c r="B89" s="13" t="s">
        <v>354</v>
      </c>
      <c r="C89" s="14" t="s">
        <v>355</v>
      </c>
      <c r="D89" s="13"/>
      <c r="E89" s="153" t="str">
        <f t="shared" si="1"/>
        <v>Laki-Laki</v>
      </c>
      <c r="F89" s="13"/>
      <c r="G89" s="13" t="s">
        <v>254</v>
      </c>
      <c r="H89" s="15" t="s">
        <v>281</v>
      </c>
      <c r="I89" s="15" t="s">
        <v>320</v>
      </c>
      <c r="J89" s="12" t="s">
        <v>45</v>
      </c>
      <c r="K89" s="15" t="s">
        <v>356</v>
      </c>
      <c r="L89" s="21" t="s">
        <v>28</v>
      </c>
      <c r="M89" s="21">
        <v>2022</v>
      </c>
      <c r="N89" s="15" t="s">
        <v>28</v>
      </c>
      <c r="O89" s="15">
        <v>2026</v>
      </c>
      <c r="P89" s="15">
        <v>2022</v>
      </c>
      <c r="Q89" s="15"/>
      <c r="R89" s="16" t="s">
        <v>51</v>
      </c>
      <c r="S89" s="16" t="str">
        <f ca="1">IF(
  O89 &lt; YEAR(TODAY()),
  "LULUS",
  IF(
    O89 = YEAR(TODAY()),
    IF(
      MATCH(L89, {"Januari";"Februari";"Maret";"April";"Mei";"Juni";"Juli";"Agustus";"September";"Oktober";"November";"Desember"}, 0)
        &gt;= MONTH(TODAY()),
      "AKTIF (Semester " &amp;
        (INT((12*(YEAR(TODAY())-M89) + MONTH(TODAY()) -
          MATCH(L89, {"Januari";"Februari";"Maret";"April";"Mei";"Juni";"Juli";"Agustus";"September";"Oktober";"November";"Desember"}, 0)) / 6) + 1) &amp; ")",
      "LULUS"
    ),
    "AKTIF (Semester " &amp;
      (INT((12*(YEAR(TODAY())-M89) + MONTH(TODAY()) -
        MATCH(L89, {"Januari";"Februari";"Maret";"April";"Mei";"Juni";"Juli";"Agustus";"September";"Oktober";"November";"Desember"}, 0)) / 6) + 1) &amp; ")"
  )
)</f>
        <v>AKTIF (Semester 7)</v>
      </c>
      <c r="T89" s="16" t="str">
        <f ca="1">IF(O89 &lt; YEAR(TODAY()), "LULUS",
 IF(O89 = YEAR(TODAY()),
    IF(MATCH(N89, {"Januari";"Februari";"Maret";"April";"Mei";"Juni";"Juli";"Agustus";"September";"Oktober";"November";"Desember"},0)
        &lt;= MONTH(TODAY()),
        "LULUS",
        "AKTIF"),
 "AKTIF"))</f>
        <v>AKTIF</v>
      </c>
      <c r="U89" s="16" t="s">
        <v>2939</v>
      </c>
      <c r="V89" s="15"/>
      <c r="W89" s="15"/>
      <c r="X89" s="15"/>
      <c r="Y89" s="15"/>
      <c r="Z89" s="15"/>
    </row>
    <row r="90" spans="1:26" ht="29" customHeight="1" x14ac:dyDescent="0.35">
      <c r="A90" s="12">
        <v>89</v>
      </c>
      <c r="B90" s="13" t="s">
        <v>357</v>
      </c>
      <c r="C90" s="14" t="s">
        <v>358</v>
      </c>
      <c r="D90" s="13"/>
      <c r="E90" s="153" t="str">
        <f t="shared" si="1"/>
        <v>Laki-Laki</v>
      </c>
      <c r="F90" s="13"/>
      <c r="G90" s="13" t="s">
        <v>254</v>
      </c>
      <c r="H90" s="15" t="s">
        <v>359</v>
      </c>
      <c r="I90" s="15" t="s">
        <v>241</v>
      </c>
      <c r="J90" s="12" t="s">
        <v>242</v>
      </c>
      <c r="K90" s="15" t="s">
        <v>243</v>
      </c>
      <c r="L90" s="21" t="s">
        <v>60</v>
      </c>
      <c r="M90" s="21">
        <v>2022</v>
      </c>
      <c r="N90" s="15" t="s">
        <v>60</v>
      </c>
      <c r="O90" s="15">
        <v>2025</v>
      </c>
      <c r="P90" s="15">
        <v>2022</v>
      </c>
      <c r="Q90" s="15"/>
      <c r="R90" s="16" t="s">
        <v>51</v>
      </c>
      <c r="S90" s="16" t="str">
        <f ca="1">IF(
  O90 &lt; YEAR(TODAY()),
  "LULUS",
  IF(
    O90 = YEAR(TODAY()),
    IF(
      MATCH(L90, {"Januari";"Februari";"Maret";"April";"Mei";"Juni";"Juli";"Agustus";"September";"Oktober";"November";"Desember"}, 0)
        &gt;= MONTH(TODAY()),
      "AKTIF (Semester " &amp;
        (INT((12*(YEAR(TODAY())-M90) + MONTH(TODAY()) -
          MATCH(L90, {"Januari";"Februari";"Maret";"April";"Mei";"Juni";"Juli";"Agustus";"September";"Oktober";"November";"Desember"}, 0)) / 6) + 1) &amp; ")",
      "LULUS"
    ),
    "AKTIF (Semester " &amp;
      (INT((12*(YEAR(TODAY())-M90) + MONTH(TODAY()) -
        MATCH(L90, {"Januari";"Februari";"Maret";"April";"Mei";"Juni";"Juli";"Agustus";"September";"Oktober";"November";"Desember"}, 0)) / 6) + 1) &amp; ")"
  )
)</f>
        <v>LULUS</v>
      </c>
      <c r="T90" s="16" t="str">
        <f ca="1">IF(O90 &lt; YEAR(TODAY()), "LULUS",
 IF(O90 = YEAR(TODAY()),
    IF(MATCH(N90, {"Januari";"Februari";"Maret";"April";"Mei";"Juni";"Juli";"Agustus";"September";"Oktober";"November";"Desember"},0)
        &lt;= MONTH(TODAY()),
        "LULUS",
        "AKTIF"),
 "AKTIF"))</f>
        <v>LULUS</v>
      </c>
      <c r="U90" s="16" t="s">
        <v>29</v>
      </c>
      <c r="V90" s="15"/>
      <c r="W90" s="15"/>
      <c r="X90" s="15"/>
      <c r="Y90" s="15"/>
      <c r="Z90" s="15"/>
    </row>
    <row r="91" spans="1:26" ht="29" customHeight="1" x14ac:dyDescent="0.35">
      <c r="A91" s="12">
        <v>90</v>
      </c>
      <c r="B91" s="13" t="s">
        <v>360</v>
      </c>
      <c r="C91" s="14" t="s">
        <v>361</v>
      </c>
      <c r="D91" s="13"/>
      <c r="E91" s="153" t="str">
        <f t="shared" si="1"/>
        <v>Laki-Laki</v>
      </c>
      <c r="F91" s="13"/>
      <c r="G91" s="13" t="s">
        <v>254</v>
      </c>
      <c r="H91" s="15" t="s">
        <v>281</v>
      </c>
      <c r="I91" s="15" t="s">
        <v>241</v>
      </c>
      <c r="J91" s="12" t="s">
        <v>242</v>
      </c>
      <c r="K91" s="15" t="s">
        <v>243</v>
      </c>
      <c r="L91" s="21" t="s">
        <v>60</v>
      </c>
      <c r="M91" s="21">
        <v>2022</v>
      </c>
      <c r="N91" s="15" t="s">
        <v>60</v>
      </c>
      <c r="O91" s="15">
        <v>2025</v>
      </c>
      <c r="P91" s="15">
        <v>2022</v>
      </c>
      <c r="Q91" s="15"/>
      <c r="R91" s="16" t="s">
        <v>51</v>
      </c>
      <c r="S91" s="16" t="str">
        <f ca="1">IF(
  O91 &lt; YEAR(TODAY()),
  "LULUS",
  IF(
    O91 = YEAR(TODAY()),
    IF(
      MATCH(L91, {"Januari";"Februari";"Maret";"April";"Mei";"Juni";"Juli";"Agustus";"September";"Oktober";"November";"Desember"}, 0)
        &gt;= MONTH(TODAY()),
      "AKTIF (Semester " &amp;
        (INT((12*(YEAR(TODAY())-M91) + MONTH(TODAY()) -
          MATCH(L91, {"Januari";"Februari";"Maret";"April";"Mei";"Juni";"Juli";"Agustus";"September";"Oktober";"November";"Desember"}, 0)) / 6) + 1) &amp; ")",
      "LULUS"
    ),
    "AKTIF (Semester " &amp;
      (INT((12*(YEAR(TODAY())-M91) + MONTH(TODAY()) -
        MATCH(L91, {"Januari";"Februari";"Maret";"April";"Mei";"Juni";"Juli";"Agustus";"September";"Oktober";"November";"Desember"}, 0)) / 6) + 1) &amp; ")"
  )
)</f>
        <v>LULUS</v>
      </c>
      <c r="T91" s="16" t="str">
        <f ca="1">IF(O91 &lt; YEAR(TODAY()), "LULUS",
 IF(O91 = YEAR(TODAY()),
    IF(MATCH(N91, {"Januari";"Februari";"Maret";"April";"Mei";"Juni";"Juli";"Agustus";"September";"Oktober";"November";"Desember"},0)
        &lt;= MONTH(TODAY()),
        "LULUS",
        "AKTIF"),
 "AKTIF"))</f>
        <v>LULUS</v>
      </c>
      <c r="U91" s="16" t="s">
        <v>29</v>
      </c>
      <c r="V91" s="15"/>
      <c r="W91" s="15"/>
      <c r="X91" s="15"/>
      <c r="Y91" s="15"/>
      <c r="Z91" s="15"/>
    </row>
    <row r="92" spans="1:26" ht="29" customHeight="1" x14ac:dyDescent="0.35">
      <c r="A92" s="12">
        <v>91</v>
      </c>
      <c r="B92" s="62" t="s">
        <v>362</v>
      </c>
      <c r="C92" s="63" t="s">
        <v>363</v>
      </c>
      <c r="D92" s="24" t="s">
        <v>126</v>
      </c>
      <c r="E92" s="153" t="str">
        <f t="shared" si="1"/>
        <v>Perempuan</v>
      </c>
      <c r="F92" s="82" t="s">
        <v>364</v>
      </c>
      <c r="G92" s="13" t="s">
        <v>254</v>
      </c>
      <c r="H92" s="19" t="s">
        <v>365</v>
      </c>
      <c r="I92" s="19" t="s">
        <v>366</v>
      </c>
      <c r="J92" s="19" t="s">
        <v>26</v>
      </c>
      <c r="K92" s="19" t="s">
        <v>367</v>
      </c>
      <c r="L92" s="29" t="s">
        <v>28</v>
      </c>
      <c r="M92" s="15">
        <v>2023</v>
      </c>
      <c r="N92" s="15" t="s">
        <v>205</v>
      </c>
      <c r="O92" s="15">
        <v>2025</v>
      </c>
      <c r="P92" s="84">
        <v>2023</v>
      </c>
      <c r="Q92" s="85"/>
      <c r="R92" s="16"/>
      <c r="S92" s="16" t="str">
        <f ca="1">IF(
  O92 &lt; YEAR(TODAY()),
  "LULUS",
  IF(
    O92 = YEAR(TODAY()),
    IF(
      MATCH(L92, {"Januari";"Februari";"Maret";"April";"Mei";"Juni";"Juli";"Agustus";"September";"Oktober";"November";"Desember"}, 0)
        &gt;= MONTH(TODAY()),
      "AKTIF (Semester " &amp;
        (INT((12*(YEAR(TODAY())-M92) + MONTH(TODAY()) -
          MATCH(L92, {"Januari";"Februari";"Maret";"April";"Mei";"Juni";"Juli";"Agustus";"September";"Oktober";"November";"Desember"}, 0)) / 6) + 1) &amp; ")",
      "LULUS"
    ),
    "AKTIF (Semester " &amp;
      (INT((12*(YEAR(TODAY())-M92) + MONTH(TODAY()) -
        MATCH(L92, {"Januari";"Februari";"Maret";"April";"Mei";"Juni";"Juli";"Agustus";"September";"Oktober";"November";"Desember"}, 0)) / 6) + 1) &amp; ")"
  )
)</f>
        <v>LULUS</v>
      </c>
      <c r="T92" s="16" t="e">
        <f ca="1">IF(O92 &lt; YEAR(TODAY()), "LULUS",
 IF(O92 = YEAR(TODAY()),
    IF(MATCH(N92, {"Januari";"Februari";"Maret";"April";"Mei";"Juni";"Juli";"Agustus";"September";"Oktober";"November";"Desember"},0)
        &lt;= MONTH(TODAY()),
        "LULUS",
        "AKTIF"),
 "AKTIF"))</f>
        <v>#N/A</v>
      </c>
      <c r="U92" s="16" t="s">
        <v>29</v>
      </c>
      <c r="V92" s="15"/>
      <c r="W92" s="15"/>
      <c r="X92" s="15"/>
      <c r="Y92" s="15"/>
      <c r="Z92" s="15"/>
    </row>
    <row r="93" spans="1:26" ht="29" customHeight="1" x14ac:dyDescent="0.35">
      <c r="A93" s="12">
        <v>92</v>
      </c>
      <c r="B93" s="62" t="s">
        <v>368</v>
      </c>
      <c r="C93" s="63" t="s">
        <v>369</v>
      </c>
      <c r="D93" s="24" t="s">
        <v>370</v>
      </c>
      <c r="E93" s="153" t="str">
        <f t="shared" ref="E93:E156" si="2">IF(MID(C93,15,1)="1","Laki-Laki","Perempuan")</f>
        <v>Laki-Laki</v>
      </c>
      <c r="F93" s="82" t="s">
        <v>371</v>
      </c>
      <c r="G93" s="13" t="s">
        <v>254</v>
      </c>
      <c r="H93" s="19" t="s">
        <v>372</v>
      </c>
      <c r="I93" s="19" t="s">
        <v>373</v>
      </c>
      <c r="J93" s="19" t="s">
        <v>242</v>
      </c>
      <c r="K93" s="19" t="s">
        <v>374</v>
      </c>
      <c r="L93" s="70" t="s">
        <v>60</v>
      </c>
      <c r="M93" s="15">
        <v>2023</v>
      </c>
      <c r="N93" s="15" t="s">
        <v>145</v>
      </c>
      <c r="O93" s="15">
        <v>2026</v>
      </c>
      <c r="P93" s="84">
        <v>2023</v>
      </c>
      <c r="Q93" s="85"/>
      <c r="R93" s="16"/>
      <c r="S93" s="16" t="str">
        <f ca="1">IF(
  O93 &lt; YEAR(TODAY()),
  "LULUS",
  IF(
    O93 = YEAR(TODAY()),
    IF(
      MATCH(L93, {"Januari";"Februari";"Maret";"April";"Mei";"Juni";"Juli";"Agustus";"September";"Oktober";"November";"Desember"}, 0)
        &gt;= MONTH(TODAY()),
      "AKTIF (Semester " &amp;
        (INT((12*(YEAR(TODAY())-M93) + MONTH(TODAY()) -
          MATCH(L93, {"Januari";"Februari";"Maret";"April";"Mei";"Juni";"Juli";"Agustus";"September";"Oktober";"November";"Desember"}, 0)) / 6) + 1) &amp; ")",
      "LULUS"
    ),
    "AKTIF (Semester " &amp;
      (INT((12*(YEAR(TODAY())-M93) + MONTH(TODAY()) -
        MATCH(L93, {"Januari";"Februari";"Maret";"April";"Mei";"Juni";"Juli";"Agustus";"September";"Oktober";"November";"Desember"}, 0)) / 6) + 1) &amp; ")"
  )
)</f>
        <v>AKTIF (Semester 5)</v>
      </c>
      <c r="T93" s="16" t="str">
        <f ca="1">IF(O93 &lt; YEAR(TODAY()), "LULUS",
 IF(O93 = YEAR(TODAY()),
    IF(MATCH(N93, {"Januari";"Februari";"Maret";"April";"Mei";"Juni";"Juli";"Agustus";"September";"Oktober";"November";"Desember"},0)
        &lt;= MONTH(TODAY()),
        "LULUS",
        "AKTIF"),
 "AKTIF"))</f>
        <v>AKTIF</v>
      </c>
      <c r="U93" s="16" t="s">
        <v>2941</v>
      </c>
      <c r="V93" s="15"/>
      <c r="W93" s="15"/>
      <c r="X93" s="15"/>
      <c r="Y93" s="15"/>
      <c r="Z93" s="15"/>
    </row>
    <row r="94" spans="1:26" ht="29" customHeight="1" x14ac:dyDescent="0.35">
      <c r="A94" s="12">
        <v>93</v>
      </c>
      <c r="B94" s="62" t="s">
        <v>375</v>
      </c>
      <c r="C94" s="63" t="s">
        <v>376</v>
      </c>
      <c r="D94" s="24" t="s">
        <v>126</v>
      </c>
      <c r="E94" s="153" t="str">
        <f t="shared" si="2"/>
        <v>Laki-Laki</v>
      </c>
      <c r="F94" s="82" t="s">
        <v>377</v>
      </c>
      <c r="G94" s="13" t="s">
        <v>254</v>
      </c>
      <c r="H94" s="19" t="s">
        <v>372</v>
      </c>
      <c r="I94" s="19" t="s">
        <v>378</v>
      </c>
      <c r="J94" s="19" t="s">
        <v>45</v>
      </c>
      <c r="K94" s="19" t="s">
        <v>379</v>
      </c>
      <c r="L94" s="29" t="s">
        <v>28</v>
      </c>
      <c r="M94" s="15">
        <v>2023</v>
      </c>
      <c r="N94" s="15" t="s">
        <v>205</v>
      </c>
      <c r="O94" s="15">
        <v>2027</v>
      </c>
      <c r="P94" s="84">
        <v>2023</v>
      </c>
      <c r="Q94" s="85"/>
      <c r="R94" s="16"/>
      <c r="S94" s="16" t="str">
        <f ca="1">IF(
  O94 &lt; YEAR(TODAY()),
  "LULUS",
  IF(
    O94 = YEAR(TODAY()),
    IF(
      MATCH(L94, {"Januari";"Februari";"Maret";"April";"Mei";"Juni";"Juli";"Agustus";"September";"Oktober";"November";"Desember"}, 0)
        &gt;= MONTH(TODAY()),
      "AKTIF (Semester " &amp;
        (INT((12*(YEAR(TODAY())-M94) + MONTH(TODAY()) -
          MATCH(L94, {"Januari";"Februari";"Maret";"April";"Mei";"Juni";"Juli";"Agustus";"September";"Oktober";"November";"Desember"}, 0)) / 6) + 1) &amp; ")",
      "LULUS"
    ),
    "AKTIF (Semester " &amp;
      (INT((12*(YEAR(TODAY())-M94) + MONTH(TODAY()) -
        MATCH(L94, {"Januari";"Februari";"Maret";"April";"Mei";"Juni";"Juli";"Agustus";"September";"Oktober";"November";"Desember"}, 0)) / 6) + 1) &amp; ")"
  )
)</f>
        <v>AKTIF (Semester 5)</v>
      </c>
      <c r="T94" s="16" t="str">
        <f ca="1">IF(O94 &lt; YEAR(TODAY()), "LULUS",
 IF(O94 = YEAR(TODAY()),
    IF(MATCH(N94, {"Januari";"Februari";"Maret";"April";"Mei";"Juni";"Juli";"Agustus";"September";"Oktober";"November";"Desember"},0)
        &lt;= MONTH(TODAY()),
        "LULUS",
        "AKTIF"),
 "AKTIF"))</f>
        <v>AKTIF</v>
      </c>
      <c r="U94" s="16" t="s">
        <v>2941</v>
      </c>
      <c r="V94" s="15"/>
      <c r="W94" s="15"/>
      <c r="X94" s="15"/>
      <c r="Y94" s="15"/>
      <c r="Z94" s="15"/>
    </row>
    <row r="95" spans="1:26" ht="29" customHeight="1" x14ac:dyDescent="0.35">
      <c r="A95" s="12">
        <v>94</v>
      </c>
      <c r="B95" s="25" t="s">
        <v>380</v>
      </c>
      <c r="C95" s="69" t="s">
        <v>381</v>
      </c>
      <c r="D95" s="24" t="s">
        <v>382</v>
      </c>
      <c r="E95" s="153" t="str">
        <f t="shared" si="2"/>
        <v>Laki-Laki</v>
      </c>
      <c r="F95" s="57" t="s">
        <v>383</v>
      </c>
      <c r="G95" s="13" t="s">
        <v>254</v>
      </c>
      <c r="H95" s="19" t="s">
        <v>384</v>
      </c>
      <c r="I95" s="19" t="s">
        <v>385</v>
      </c>
      <c r="J95" s="19" t="s">
        <v>45</v>
      </c>
      <c r="K95" s="19" t="s">
        <v>386</v>
      </c>
      <c r="L95" s="86" t="s">
        <v>28</v>
      </c>
      <c r="M95" s="15">
        <v>2023</v>
      </c>
      <c r="N95" s="15" t="s">
        <v>28</v>
      </c>
      <c r="O95" s="15">
        <v>2027</v>
      </c>
      <c r="P95" s="84">
        <v>2023</v>
      </c>
      <c r="Q95" s="85"/>
      <c r="R95" s="16"/>
      <c r="S95" s="16" t="str">
        <f ca="1">IF(
  O95 &lt; YEAR(TODAY()),
  "LULUS",
  IF(
    O95 = YEAR(TODAY()),
    IF(
      MATCH(L95, {"Januari";"Februari";"Maret";"April";"Mei";"Juni";"Juli";"Agustus";"September";"Oktober";"November";"Desember"}, 0)
        &gt;= MONTH(TODAY()),
      "AKTIF (Semester " &amp;
        (INT((12*(YEAR(TODAY())-M95) + MONTH(TODAY()) -
          MATCH(L95, {"Januari";"Februari";"Maret";"April";"Mei";"Juni";"Juli";"Agustus";"September";"Oktober";"November";"Desember"}, 0)) / 6) + 1) &amp; ")",
      "LULUS"
    ),
    "AKTIF (Semester " &amp;
      (INT((12*(YEAR(TODAY())-M95) + MONTH(TODAY()) -
        MATCH(L95, {"Januari";"Februari";"Maret";"April";"Mei";"Juni";"Juli";"Agustus";"September";"Oktober";"November";"Desember"}, 0)) / 6) + 1) &amp; ")"
  )
)</f>
        <v>AKTIF (Semester 5)</v>
      </c>
      <c r="T95" s="16" t="str">
        <f ca="1">IF(O95 &lt; YEAR(TODAY()), "LULUS",
 IF(O95 = YEAR(TODAY()),
    IF(MATCH(N95, {"Januari";"Februari";"Maret";"April";"Mei";"Juni";"Juli";"Agustus";"September";"Oktober";"November";"Desember"},0)
        &lt;= MONTH(TODAY()),
        "LULUS",
        "AKTIF"),
 "AKTIF"))</f>
        <v>AKTIF</v>
      </c>
      <c r="U95" s="16" t="s">
        <v>2941</v>
      </c>
      <c r="V95" s="15"/>
      <c r="W95" s="15"/>
      <c r="X95" s="15"/>
      <c r="Y95" s="15"/>
      <c r="Z95" s="15"/>
    </row>
    <row r="96" spans="1:26" ht="29" customHeight="1" x14ac:dyDescent="0.35">
      <c r="A96" s="12">
        <v>95</v>
      </c>
      <c r="B96" s="25" t="s">
        <v>387</v>
      </c>
      <c r="C96" s="69" t="s">
        <v>388</v>
      </c>
      <c r="D96" s="24" t="s">
        <v>116</v>
      </c>
      <c r="E96" s="153" t="str">
        <f t="shared" si="2"/>
        <v>Laki-Laki</v>
      </c>
      <c r="F96" s="57" t="s">
        <v>105</v>
      </c>
      <c r="G96" s="13" t="s">
        <v>254</v>
      </c>
      <c r="H96" s="19" t="s">
        <v>389</v>
      </c>
      <c r="I96" s="19" t="s">
        <v>390</v>
      </c>
      <c r="J96" s="19" t="s">
        <v>45</v>
      </c>
      <c r="K96" s="19" t="s">
        <v>50</v>
      </c>
      <c r="L96" s="29" t="s">
        <v>28</v>
      </c>
      <c r="M96" s="15">
        <v>2023</v>
      </c>
      <c r="N96" s="15" t="s">
        <v>205</v>
      </c>
      <c r="O96" s="15">
        <v>2027</v>
      </c>
      <c r="P96" s="84">
        <v>2023</v>
      </c>
      <c r="Q96" s="85"/>
      <c r="R96" s="16"/>
      <c r="S96" s="16" t="str">
        <f ca="1">IF(
  O96 &lt; YEAR(TODAY()),
  "LULUS",
  IF(
    O96 = YEAR(TODAY()),
    IF(
      MATCH(L96, {"Januari";"Februari";"Maret";"April";"Mei";"Juni";"Juli";"Agustus";"September";"Oktober";"November";"Desember"}, 0)
        &gt;= MONTH(TODAY()),
      "AKTIF (Semester " &amp;
        (INT((12*(YEAR(TODAY())-M96) + MONTH(TODAY()) -
          MATCH(L96, {"Januari";"Februari";"Maret";"April";"Mei";"Juni";"Juli";"Agustus";"September";"Oktober";"November";"Desember"}, 0)) / 6) + 1) &amp; ")",
      "LULUS"
    ),
    "AKTIF (Semester " &amp;
      (INT((12*(YEAR(TODAY())-M96) + MONTH(TODAY()) -
        MATCH(L96, {"Januari";"Februari";"Maret";"April";"Mei";"Juni";"Juli";"Agustus";"September";"Oktober";"November";"Desember"}, 0)) / 6) + 1) &amp; ")"
  )
)</f>
        <v>AKTIF (Semester 5)</v>
      </c>
      <c r="T96" s="16" t="str">
        <f ca="1">IF(O96 &lt; YEAR(TODAY()), "LULUS",
 IF(O96 = YEAR(TODAY()),
    IF(MATCH(N96, {"Januari";"Februari";"Maret";"April";"Mei";"Juni";"Juli";"Agustus";"September";"Oktober";"November";"Desember"},0)
        &lt;= MONTH(TODAY()),
        "LULUS",
        "AKTIF"),
 "AKTIF"))</f>
        <v>AKTIF</v>
      </c>
      <c r="U96" s="16" t="s">
        <v>2941</v>
      </c>
      <c r="V96" s="15"/>
      <c r="W96" s="15"/>
      <c r="X96" s="15"/>
      <c r="Y96" s="15"/>
      <c r="Z96" s="15"/>
    </row>
    <row r="97" spans="1:26" ht="29" customHeight="1" x14ac:dyDescent="0.35">
      <c r="A97" s="12">
        <v>96</v>
      </c>
      <c r="B97" s="25" t="s">
        <v>391</v>
      </c>
      <c r="C97" s="152">
        <v>1.9860220201503101E+17</v>
      </c>
      <c r="D97" s="24" t="s">
        <v>126</v>
      </c>
      <c r="E97" s="153" t="str">
        <f t="shared" si="2"/>
        <v>Laki-Laki</v>
      </c>
      <c r="F97" s="57" t="s">
        <v>392</v>
      </c>
      <c r="G97" s="13" t="s">
        <v>254</v>
      </c>
      <c r="H97" s="19" t="s">
        <v>393</v>
      </c>
      <c r="I97" s="19" t="s">
        <v>90</v>
      </c>
      <c r="J97" s="19" t="s">
        <v>26</v>
      </c>
      <c r="K97" s="19" t="s">
        <v>394</v>
      </c>
      <c r="L97" s="86" t="s">
        <v>28</v>
      </c>
      <c r="M97" s="15">
        <v>2023</v>
      </c>
      <c r="N97" s="15" t="s">
        <v>28</v>
      </c>
      <c r="O97" s="15">
        <v>2025</v>
      </c>
      <c r="P97" s="84">
        <v>2023</v>
      </c>
      <c r="Q97" s="85"/>
      <c r="R97" s="16"/>
      <c r="S97" s="16" t="str">
        <f ca="1">IF(
  O97 &lt; YEAR(TODAY()),
  "LULUS",
  IF(
    O97 = YEAR(TODAY()),
    IF(
      MATCH(L97, {"Januari";"Februari";"Maret";"April";"Mei";"Juni";"Juli";"Agustus";"September";"Oktober";"November";"Desember"}, 0)
        &gt;= MONTH(TODAY()),
      "AKTIF (Semester " &amp;
        (INT((12*(YEAR(TODAY())-M97) + MONTH(TODAY()) -
          MATCH(L97, {"Januari";"Februari";"Maret";"April";"Mei";"Juni";"Juli";"Agustus";"September";"Oktober";"November";"Desember"}, 0)) / 6) + 1) &amp; ")",
      "LULUS"
    ),
    "AKTIF (Semester " &amp;
      (INT((12*(YEAR(TODAY())-M97) + MONTH(TODAY()) -
        MATCH(L97, {"Januari";"Februari";"Maret";"April";"Mei";"Juni";"Juli";"Agustus";"September";"Oktober";"November";"Desember"}, 0)) / 6) + 1) &amp; ")"
  )
)</f>
        <v>LULUS</v>
      </c>
      <c r="T97" s="16" t="str">
        <f ca="1">IF(O97 &lt; YEAR(TODAY()), "LULUS",
 IF(O97 = YEAR(TODAY()),
    IF(MATCH(N97, {"Januari";"Februari";"Maret";"April";"Mei";"Juni";"Juli";"Agustus";"September";"Oktober";"November";"Desember"},0)
        &lt;= MONTH(TODAY()),
        "LULUS",
        "AKTIF"),
 "AKTIF"))</f>
        <v>LULUS</v>
      </c>
      <c r="U97" s="16" t="s">
        <v>29</v>
      </c>
      <c r="V97" s="15"/>
      <c r="W97" s="15"/>
      <c r="X97" s="15"/>
      <c r="Y97" s="15"/>
      <c r="Z97" s="15"/>
    </row>
    <row r="98" spans="1:26" ht="29" customHeight="1" x14ac:dyDescent="0.35">
      <c r="A98" s="12">
        <v>97</v>
      </c>
      <c r="B98" s="25" t="s">
        <v>395</v>
      </c>
      <c r="C98" s="69" t="s">
        <v>396</v>
      </c>
      <c r="D98" s="24" t="s">
        <v>370</v>
      </c>
      <c r="E98" s="153" t="str">
        <f t="shared" si="2"/>
        <v>Perempuan</v>
      </c>
      <c r="F98" s="57" t="s">
        <v>397</v>
      </c>
      <c r="G98" s="13" t="s">
        <v>254</v>
      </c>
      <c r="H98" s="19" t="s">
        <v>327</v>
      </c>
      <c r="I98" s="19" t="s">
        <v>90</v>
      </c>
      <c r="J98" s="19" t="s">
        <v>26</v>
      </c>
      <c r="K98" s="19" t="s">
        <v>398</v>
      </c>
      <c r="L98" s="29" t="s">
        <v>28</v>
      </c>
      <c r="M98" s="15">
        <v>2023</v>
      </c>
      <c r="N98" s="15" t="s">
        <v>205</v>
      </c>
      <c r="O98" s="15">
        <v>2025</v>
      </c>
      <c r="P98" s="84">
        <v>2023</v>
      </c>
      <c r="Q98" s="85"/>
      <c r="R98" s="16"/>
      <c r="S98" s="16" t="str">
        <f ca="1">IF(
  O98 &lt; YEAR(TODAY()),
  "LULUS",
  IF(
    O98 = YEAR(TODAY()),
    IF(
      MATCH(L98, {"Januari";"Februari";"Maret";"April";"Mei";"Juni";"Juli";"Agustus";"September";"Oktober";"November";"Desember"}, 0)
        &gt;= MONTH(TODAY()),
      "AKTIF (Semester " &amp;
        (INT((12*(YEAR(TODAY())-M98) + MONTH(TODAY()) -
          MATCH(L98, {"Januari";"Februari";"Maret";"April";"Mei";"Juni";"Juli";"Agustus";"September";"Oktober";"November";"Desember"}, 0)) / 6) + 1) &amp; ")",
      "LULUS"
    ),
    "AKTIF (Semester " &amp;
      (INT((12*(YEAR(TODAY())-M98) + MONTH(TODAY()) -
        MATCH(L98, {"Januari";"Februari";"Maret";"April";"Mei";"Juni";"Juli";"Agustus";"September";"Oktober";"November";"Desember"}, 0)) / 6) + 1) &amp; ")"
  )
)</f>
        <v>LULUS</v>
      </c>
      <c r="T98" s="16" t="e">
        <f ca="1">IF(O98 &lt; YEAR(TODAY()), "LULUS",
 IF(O98 = YEAR(TODAY()),
    IF(MATCH(N98, {"Januari";"Februari";"Maret";"April";"Mei";"Juni";"Juli";"Agustus";"September";"Oktober";"November";"Desember"},0)
        &lt;= MONTH(TODAY()),
        "LULUS",
        "AKTIF"),
 "AKTIF"))</f>
        <v>#N/A</v>
      </c>
      <c r="U98" s="16" t="s">
        <v>29</v>
      </c>
      <c r="V98" s="15"/>
      <c r="W98" s="15"/>
      <c r="X98" s="15"/>
      <c r="Y98" s="15"/>
      <c r="Z98" s="15"/>
    </row>
    <row r="99" spans="1:26" ht="29" customHeight="1" x14ac:dyDescent="0.35">
      <c r="A99" s="12">
        <v>98</v>
      </c>
      <c r="B99" s="25" t="s">
        <v>399</v>
      </c>
      <c r="C99" s="69" t="s">
        <v>400</v>
      </c>
      <c r="D99" s="24" t="s">
        <v>126</v>
      </c>
      <c r="E99" s="153" t="str">
        <f t="shared" si="2"/>
        <v>Laki-Laki</v>
      </c>
      <c r="F99" s="57" t="s">
        <v>142</v>
      </c>
      <c r="G99" s="13" t="s">
        <v>254</v>
      </c>
      <c r="H99" s="19" t="s">
        <v>268</v>
      </c>
      <c r="I99" s="19" t="s">
        <v>90</v>
      </c>
      <c r="J99" s="19" t="s">
        <v>45</v>
      </c>
      <c r="K99" s="19" t="s">
        <v>46</v>
      </c>
      <c r="L99" s="29" t="s">
        <v>28</v>
      </c>
      <c r="M99" s="15">
        <v>2023</v>
      </c>
      <c r="N99" s="15" t="s">
        <v>205</v>
      </c>
      <c r="O99" s="15">
        <v>2027</v>
      </c>
      <c r="P99" s="84">
        <v>2023</v>
      </c>
      <c r="Q99" s="85"/>
      <c r="R99" s="16"/>
      <c r="S99" s="16" t="str">
        <f ca="1">IF(
  O99 &lt; YEAR(TODAY()),
  "LULUS",
  IF(
    O99 = YEAR(TODAY()),
    IF(
      MATCH(L99, {"Januari";"Februari";"Maret";"April";"Mei";"Juni";"Juli";"Agustus";"September";"Oktober";"November";"Desember"}, 0)
        &gt;= MONTH(TODAY()),
      "AKTIF (Semester " &amp;
        (INT((12*(YEAR(TODAY())-M99) + MONTH(TODAY()) -
          MATCH(L99, {"Januari";"Februari";"Maret";"April";"Mei";"Juni";"Juli";"Agustus";"September";"Oktober";"November";"Desember"}, 0)) / 6) + 1) &amp; ")",
      "LULUS"
    ),
    "AKTIF (Semester " &amp;
      (INT((12*(YEAR(TODAY())-M99) + MONTH(TODAY()) -
        MATCH(L99, {"Januari";"Februari";"Maret";"April";"Mei";"Juni";"Juli";"Agustus";"September";"Oktober";"November";"Desember"}, 0)) / 6) + 1) &amp; ")"
  )
)</f>
        <v>AKTIF (Semester 5)</v>
      </c>
      <c r="T99" s="16" t="str">
        <f ca="1">IF(O99 &lt; YEAR(TODAY()), "LULUS",
 IF(O99 = YEAR(TODAY()),
    IF(MATCH(N99, {"Januari";"Februari";"Maret";"April";"Mei";"Juni";"Juli";"Agustus";"September";"Oktober";"November";"Desember"},0)
        &lt;= MONTH(TODAY()),
        "LULUS",
        "AKTIF"),
 "AKTIF"))</f>
        <v>AKTIF</v>
      </c>
      <c r="U99" s="16" t="s">
        <v>2941</v>
      </c>
      <c r="V99" s="15"/>
      <c r="W99" s="15"/>
      <c r="X99" s="15"/>
      <c r="Y99" s="15"/>
      <c r="Z99" s="15"/>
    </row>
    <row r="100" spans="1:26" ht="29" customHeight="1" x14ac:dyDescent="0.35">
      <c r="A100" s="12">
        <v>99</v>
      </c>
      <c r="B100" s="25" t="s">
        <v>402</v>
      </c>
      <c r="C100" s="69" t="s">
        <v>403</v>
      </c>
      <c r="D100" s="24" t="s">
        <v>109</v>
      </c>
      <c r="E100" s="153" t="str">
        <f t="shared" si="2"/>
        <v>Laki-Laki</v>
      </c>
      <c r="F100" s="57" t="s">
        <v>404</v>
      </c>
      <c r="G100" s="13" t="s">
        <v>254</v>
      </c>
      <c r="H100" s="19" t="s">
        <v>405</v>
      </c>
      <c r="I100" s="28" t="s">
        <v>2456</v>
      </c>
      <c r="J100" s="19" t="s">
        <v>26</v>
      </c>
      <c r="K100" s="19" t="s">
        <v>407</v>
      </c>
      <c r="L100" s="29" t="s">
        <v>160</v>
      </c>
      <c r="M100" s="15">
        <v>2023</v>
      </c>
      <c r="N100" s="15" t="s">
        <v>182</v>
      </c>
      <c r="O100" s="15">
        <v>2025</v>
      </c>
      <c r="P100" s="84">
        <v>2023</v>
      </c>
      <c r="Q100" s="85"/>
      <c r="R100" s="16"/>
      <c r="S100" s="16" t="str">
        <f ca="1">IF(
  O100 &lt; YEAR(TODAY()),
  "LULUS",
  IF(
    O100 = YEAR(TODAY()),
    IF(
      MATCH(L100, {"Januari";"Februari";"Maret";"April";"Mei";"Juni";"Juli";"Agustus";"September";"Oktober";"November";"Desember"}, 0)
        &gt;= MONTH(TODAY()),
      "AKTIF (Semester " &amp;
        (INT((12*(YEAR(TODAY())-M100) + MONTH(TODAY()) -
          MATCH(L100, {"Januari";"Februari";"Maret";"April";"Mei";"Juni";"Juli";"Agustus";"September";"Oktober";"November";"Desember"}, 0)) / 6) + 1) &amp; ")",
      "LULUS"
    ),
    "AKTIF (Semester " &amp;
      (INT((12*(YEAR(TODAY())-M100) + MONTH(TODAY()) -
        MATCH(L100, {"Januari";"Februari";"Maret";"April";"Mei";"Juni";"Juli";"Agustus";"September";"Oktober";"November";"Desember"}, 0)) / 6) + 1) &amp; ")"
  )
)</f>
        <v>LULUS</v>
      </c>
      <c r="T100" s="16" t="e">
        <f ca="1">IF(O100 &lt; YEAR(TODAY()), "LULUS",
 IF(O100 = YEAR(TODAY()),
    IF(MATCH(N100, {"Januari";"Februari";"Maret";"April";"Mei";"Juni";"Juli";"Agustus";"September";"Oktober";"November";"Desember"},0)
        &lt;= MONTH(TODAY()),
        "LULUS",
        "AKTIF"),
 "AKTIF"))</f>
        <v>#N/A</v>
      </c>
      <c r="U100" s="16" t="s">
        <v>29</v>
      </c>
      <c r="V100" s="15"/>
      <c r="W100" s="15"/>
      <c r="X100" s="15"/>
      <c r="Y100" s="15"/>
      <c r="Z100" s="15"/>
    </row>
    <row r="101" spans="1:26" ht="29" customHeight="1" x14ac:dyDescent="0.35">
      <c r="A101" s="12">
        <v>100</v>
      </c>
      <c r="B101" s="25" t="s">
        <v>408</v>
      </c>
      <c r="C101" s="69" t="s">
        <v>409</v>
      </c>
      <c r="D101" s="24" t="s">
        <v>109</v>
      </c>
      <c r="E101" s="153" t="str">
        <f t="shared" si="2"/>
        <v>Laki-Laki</v>
      </c>
      <c r="F101" s="57" t="s">
        <v>410</v>
      </c>
      <c r="G101" s="13" t="s">
        <v>254</v>
      </c>
      <c r="H101" s="19" t="s">
        <v>405</v>
      </c>
      <c r="I101" s="28" t="s">
        <v>2456</v>
      </c>
      <c r="J101" s="19" t="s">
        <v>26</v>
      </c>
      <c r="K101" s="19" t="s">
        <v>407</v>
      </c>
      <c r="L101" s="29" t="s">
        <v>160</v>
      </c>
      <c r="M101" s="15">
        <v>2023</v>
      </c>
      <c r="N101" s="15" t="s">
        <v>182</v>
      </c>
      <c r="O101" s="15">
        <v>2025</v>
      </c>
      <c r="P101" s="84">
        <v>2023</v>
      </c>
      <c r="Q101" s="85"/>
      <c r="R101" s="16"/>
      <c r="S101" s="16" t="str">
        <f ca="1">IF(
  O101 &lt; YEAR(TODAY()),
  "LULUS",
  IF(
    O101 = YEAR(TODAY()),
    IF(
      MATCH(L101, {"Januari";"Februari";"Maret";"April";"Mei";"Juni";"Juli";"Agustus";"September";"Oktober";"November";"Desember"}, 0)
        &gt;= MONTH(TODAY()),
      "AKTIF (Semester " &amp;
        (INT((12*(YEAR(TODAY())-M101) + MONTH(TODAY()) -
          MATCH(L101, {"Januari";"Februari";"Maret";"April";"Mei";"Juni";"Juli";"Agustus";"September";"Oktober";"November";"Desember"}, 0)) / 6) + 1) &amp; ")",
      "LULUS"
    ),
    "AKTIF (Semester " &amp;
      (INT((12*(YEAR(TODAY())-M101) + MONTH(TODAY()) -
        MATCH(L101, {"Januari";"Februari";"Maret";"April";"Mei";"Juni";"Juli";"Agustus";"September";"Oktober";"November";"Desember"}, 0)) / 6) + 1) &amp; ")"
  )
)</f>
        <v>LULUS</v>
      </c>
      <c r="T101" s="16" t="e">
        <f ca="1">IF(O101 &lt; YEAR(TODAY()), "LULUS",
 IF(O101 = YEAR(TODAY()),
    IF(MATCH(N101, {"Januari";"Februari";"Maret";"April";"Mei";"Juni";"Juli";"Agustus";"September";"Oktober";"November";"Desember"},0)
        &lt;= MONTH(TODAY()),
        "LULUS",
        "AKTIF"),
 "AKTIF"))</f>
        <v>#N/A</v>
      </c>
      <c r="U101" s="16" t="s">
        <v>29</v>
      </c>
      <c r="V101" s="15"/>
      <c r="W101" s="15"/>
      <c r="X101" s="15"/>
      <c r="Y101" s="15"/>
      <c r="Z101" s="15"/>
    </row>
    <row r="102" spans="1:26" ht="29" customHeight="1" x14ac:dyDescent="0.35">
      <c r="A102" s="12">
        <v>101</v>
      </c>
      <c r="B102" s="25" t="s">
        <v>411</v>
      </c>
      <c r="C102" s="69" t="s">
        <v>412</v>
      </c>
      <c r="D102" s="24" t="s">
        <v>109</v>
      </c>
      <c r="E102" s="153" t="str">
        <f t="shared" si="2"/>
        <v>Perempuan</v>
      </c>
      <c r="F102" s="57" t="s">
        <v>397</v>
      </c>
      <c r="G102" s="13" t="s">
        <v>254</v>
      </c>
      <c r="H102" s="19" t="s">
        <v>413</v>
      </c>
      <c r="I102" s="19" t="s">
        <v>90</v>
      </c>
      <c r="J102" s="19" t="s">
        <v>26</v>
      </c>
      <c r="K102" s="19" t="s">
        <v>394</v>
      </c>
      <c r="L102" s="29" t="s">
        <v>28</v>
      </c>
      <c r="M102" s="15">
        <v>2023</v>
      </c>
      <c r="N102" s="15" t="s">
        <v>205</v>
      </c>
      <c r="O102" s="15">
        <v>2025</v>
      </c>
      <c r="P102" s="84">
        <v>2023</v>
      </c>
      <c r="Q102" s="85"/>
      <c r="R102" s="16"/>
      <c r="S102" s="16" t="str">
        <f ca="1">IF(
  O102 &lt; YEAR(TODAY()),
  "LULUS",
  IF(
    O102 = YEAR(TODAY()),
    IF(
      MATCH(L102, {"Januari";"Februari";"Maret";"April";"Mei";"Juni";"Juli";"Agustus";"September";"Oktober";"November";"Desember"}, 0)
        &gt;= MONTH(TODAY()),
      "AKTIF (Semester " &amp;
        (INT((12*(YEAR(TODAY())-M102) + MONTH(TODAY()) -
          MATCH(L102, {"Januari";"Februari";"Maret";"April";"Mei";"Juni";"Juli";"Agustus";"September";"Oktober";"November";"Desember"}, 0)) / 6) + 1) &amp; ")",
      "LULUS"
    ),
    "AKTIF (Semester " &amp;
      (INT((12*(YEAR(TODAY())-M102) + MONTH(TODAY()) -
        MATCH(L102, {"Januari";"Februari";"Maret";"April";"Mei";"Juni";"Juli";"Agustus";"September";"Oktober";"November";"Desember"}, 0)) / 6) + 1) &amp; ")"
  )
)</f>
        <v>LULUS</v>
      </c>
      <c r="T102" s="16" t="e">
        <f ca="1">IF(O102 &lt; YEAR(TODAY()), "LULUS",
 IF(O102 = YEAR(TODAY()),
    IF(MATCH(N102, {"Januari";"Februari";"Maret";"April";"Mei";"Juni";"Juli";"Agustus";"September";"Oktober";"November";"Desember"},0)
        &lt;= MONTH(TODAY()),
        "LULUS",
        "AKTIF"),
 "AKTIF"))</f>
        <v>#N/A</v>
      </c>
      <c r="U102" s="16" t="s">
        <v>29</v>
      </c>
      <c r="V102" s="15"/>
      <c r="W102" s="15"/>
      <c r="X102" s="15"/>
      <c r="Y102" s="15"/>
      <c r="Z102" s="15"/>
    </row>
    <row r="103" spans="1:26" ht="29" customHeight="1" x14ac:dyDescent="0.35">
      <c r="A103" s="12">
        <v>102</v>
      </c>
      <c r="B103" s="25" t="s">
        <v>414</v>
      </c>
      <c r="C103" s="69" t="s">
        <v>415</v>
      </c>
      <c r="D103" s="24" t="s">
        <v>370</v>
      </c>
      <c r="E103" s="153" t="str">
        <f t="shared" si="2"/>
        <v>Laki-Laki</v>
      </c>
      <c r="F103" s="57" t="s">
        <v>416</v>
      </c>
      <c r="G103" s="13" t="s">
        <v>254</v>
      </c>
      <c r="H103" s="19" t="s">
        <v>417</v>
      </c>
      <c r="I103" s="19" t="s">
        <v>25</v>
      </c>
      <c r="J103" s="19" t="s">
        <v>26</v>
      </c>
      <c r="K103" s="19" t="s">
        <v>344</v>
      </c>
      <c r="L103" s="70" t="s">
        <v>60</v>
      </c>
      <c r="M103" s="15">
        <v>2023</v>
      </c>
      <c r="N103" s="15" t="s">
        <v>145</v>
      </c>
      <c r="O103" s="15">
        <v>2025</v>
      </c>
      <c r="P103" s="20">
        <v>2024</v>
      </c>
      <c r="Q103" s="48"/>
      <c r="R103" s="16"/>
      <c r="S103" s="16" t="str">
        <f ca="1">IF(
  O103 &lt; YEAR(TODAY()),
  "LULUS",
  IF(
    O103 = YEAR(TODAY()),
    IF(
      MATCH(L103, {"Januari";"Februari";"Maret";"April";"Mei";"Juni";"Juli";"Agustus";"September";"Oktober";"November";"Desember"}, 0)
        &gt;= MONTH(TODAY()),
      "AKTIF (Semester " &amp;
        (INT((12*(YEAR(TODAY())-M103) + MONTH(TODAY()) -
          MATCH(L103, {"Januari";"Februari";"Maret";"April";"Mei";"Juni";"Juli";"Agustus";"September";"Oktober";"November";"Desember"}, 0)) / 6) + 1) &amp; ")",
      "LULUS"
    ),
    "AKTIF (Semester " &amp;
      (INT((12*(YEAR(TODAY())-M103) + MONTH(TODAY()) -
        MATCH(L103, {"Januari";"Februari";"Maret";"April";"Mei";"Juni";"Juli";"Agustus";"September";"Oktober";"November";"Desember"}, 0)) / 6) + 1) &amp; ")"
  )
)</f>
        <v>LULUS</v>
      </c>
      <c r="T103" s="16" t="e">
        <f ca="1">IF(O103 &lt; YEAR(TODAY()), "LULUS",
 IF(O103 = YEAR(TODAY()),
    IF(MATCH(N103, {"Januari";"Februari";"Maret";"April";"Mei";"Juni";"Juli";"Agustus";"September";"Oktober";"November";"Desember"},0)
        &lt;= MONTH(TODAY()),
        "LULUS",
        "AKTIF"),
 "AKTIF"))</f>
        <v>#N/A</v>
      </c>
      <c r="U103" s="16" t="s">
        <v>29</v>
      </c>
      <c r="V103" s="15"/>
      <c r="W103" s="15"/>
      <c r="X103" s="15"/>
      <c r="Y103" s="15"/>
      <c r="Z103" s="15"/>
    </row>
    <row r="104" spans="1:26" ht="29" customHeight="1" x14ac:dyDescent="0.35">
      <c r="A104" s="12">
        <v>103</v>
      </c>
      <c r="B104" s="25" t="s">
        <v>419</v>
      </c>
      <c r="C104" s="69" t="s">
        <v>420</v>
      </c>
      <c r="D104" s="24" t="s">
        <v>109</v>
      </c>
      <c r="E104" s="153" t="str">
        <f t="shared" si="2"/>
        <v>Laki-Laki</v>
      </c>
      <c r="F104" s="57" t="s">
        <v>421</v>
      </c>
      <c r="G104" s="13" t="s">
        <v>254</v>
      </c>
      <c r="H104" s="19" t="s">
        <v>384</v>
      </c>
      <c r="I104" s="19" t="s">
        <v>385</v>
      </c>
      <c r="J104" s="19" t="s">
        <v>26</v>
      </c>
      <c r="K104" s="19" t="s">
        <v>422</v>
      </c>
      <c r="L104" s="29" t="s">
        <v>28</v>
      </c>
      <c r="M104" s="15">
        <v>2023</v>
      </c>
      <c r="N104" s="15" t="s">
        <v>205</v>
      </c>
      <c r="O104" s="15">
        <v>2025</v>
      </c>
      <c r="P104" s="20">
        <v>2024</v>
      </c>
      <c r="Q104" s="48"/>
      <c r="R104" s="16"/>
      <c r="S104" s="16" t="str">
        <f ca="1">IF(
  O104 &lt; YEAR(TODAY()),
  "LULUS",
  IF(
    O104 = YEAR(TODAY()),
    IF(
      MATCH(L104, {"Januari";"Februari";"Maret";"April";"Mei";"Juni";"Juli";"Agustus";"September";"Oktober";"November";"Desember"}, 0)
        &gt;= MONTH(TODAY()),
      "AKTIF (Semester " &amp;
        (INT((12*(YEAR(TODAY())-M104) + MONTH(TODAY()) -
          MATCH(L104, {"Januari";"Februari";"Maret";"April";"Mei";"Juni";"Juli";"Agustus";"September";"Oktober";"November";"Desember"}, 0)) / 6) + 1) &amp; ")",
      "LULUS"
    ),
    "AKTIF (Semester " &amp;
      (INT((12*(YEAR(TODAY())-M104) + MONTH(TODAY()) -
        MATCH(L104, {"Januari";"Februari";"Maret";"April";"Mei";"Juni";"Juli";"Agustus";"September";"Oktober";"November";"Desember"}, 0)) / 6) + 1) &amp; ")"
  )
)</f>
        <v>LULUS</v>
      </c>
      <c r="T104" s="16" t="e">
        <f ca="1">IF(O104 &lt; YEAR(TODAY()), "LULUS",
 IF(O104 = YEAR(TODAY()),
    IF(MATCH(N104, {"Januari";"Februari";"Maret";"April";"Mei";"Juni";"Juli";"Agustus";"September";"Oktober";"November";"Desember"},0)
        &lt;= MONTH(TODAY()),
        "LULUS",
        "AKTIF"),
 "AKTIF"))</f>
        <v>#N/A</v>
      </c>
      <c r="U104" s="16" t="s">
        <v>29</v>
      </c>
      <c r="V104" s="15"/>
      <c r="W104" s="15"/>
      <c r="X104" s="15"/>
      <c r="Y104" s="15"/>
      <c r="Z104" s="15"/>
    </row>
    <row r="105" spans="1:26" ht="29" customHeight="1" x14ac:dyDescent="0.35">
      <c r="A105" s="12">
        <v>104</v>
      </c>
      <c r="B105" s="25" t="s">
        <v>423</v>
      </c>
      <c r="C105" s="152">
        <v>1.9851123200912099E+17</v>
      </c>
      <c r="D105" s="24" t="s">
        <v>109</v>
      </c>
      <c r="E105" s="153" t="str">
        <f t="shared" si="2"/>
        <v>Laki-Laki</v>
      </c>
      <c r="F105" s="57" t="s">
        <v>424</v>
      </c>
      <c r="G105" s="13" t="s">
        <v>254</v>
      </c>
      <c r="H105" s="19" t="s">
        <v>425</v>
      </c>
      <c r="I105" s="19" t="s">
        <v>426</v>
      </c>
      <c r="J105" s="19" t="s">
        <v>26</v>
      </c>
      <c r="K105" s="19" t="s">
        <v>46</v>
      </c>
      <c r="L105" s="29" t="s">
        <v>28</v>
      </c>
      <c r="M105" s="15">
        <v>2023</v>
      </c>
      <c r="N105" s="15" t="s">
        <v>205</v>
      </c>
      <c r="O105" s="15">
        <v>2025</v>
      </c>
      <c r="P105" s="20"/>
      <c r="Q105" s="48"/>
      <c r="R105" s="16"/>
      <c r="S105" s="16" t="str">
        <f ca="1">IF(
  O105 &lt; YEAR(TODAY()),
  "LULUS",
  IF(
    O105 = YEAR(TODAY()),
    IF(
      MATCH(L105, {"Januari";"Februari";"Maret";"April";"Mei";"Juni";"Juli";"Agustus";"September";"Oktober";"November";"Desember"}, 0)
        &gt;= MONTH(TODAY()),
      "AKTIF (Semester " &amp;
        (INT((12*(YEAR(TODAY())-M105) + MONTH(TODAY()) -
          MATCH(L105, {"Januari";"Februari";"Maret";"April";"Mei";"Juni";"Juli";"Agustus";"September";"Oktober";"November";"Desember"}, 0)) / 6) + 1) &amp; ")",
      "LULUS"
    ),
    "AKTIF (Semester " &amp;
      (INT((12*(YEAR(TODAY())-M105) + MONTH(TODAY()) -
        MATCH(L105, {"Januari";"Februari";"Maret";"April";"Mei";"Juni";"Juli";"Agustus";"September";"Oktober";"November";"Desember"}, 0)) / 6) + 1) &amp; ")"
  )
)</f>
        <v>LULUS</v>
      </c>
      <c r="T105" s="16" t="e">
        <f ca="1">IF(O105 &lt; YEAR(TODAY()), "LULUS",
 IF(O105 = YEAR(TODAY()),
    IF(MATCH(N105, {"Januari";"Februari";"Maret";"April";"Mei";"Juni";"Juli";"Agustus";"September";"Oktober";"November";"Desember"},0)
        &lt;= MONTH(TODAY()),
        "LULUS",
        "AKTIF"),
 "AKTIF"))</f>
        <v>#N/A</v>
      </c>
      <c r="U105" s="16" t="s">
        <v>29</v>
      </c>
      <c r="V105" s="15"/>
      <c r="W105" s="15"/>
      <c r="X105" s="15"/>
      <c r="Y105" s="15"/>
      <c r="Z105" s="15"/>
    </row>
    <row r="106" spans="1:26" ht="29" customHeight="1" x14ac:dyDescent="0.35">
      <c r="A106" s="12">
        <v>105</v>
      </c>
      <c r="B106" s="25" t="s">
        <v>427</v>
      </c>
      <c r="C106" s="69" t="s">
        <v>428</v>
      </c>
      <c r="D106" s="24" t="s">
        <v>104</v>
      </c>
      <c r="E106" s="153" t="str">
        <f t="shared" si="2"/>
        <v>Perempuan</v>
      </c>
      <c r="F106" s="57" t="s">
        <v>142</v>
      </c>
      <c r="G106" s="13" t="s">
        <v>254</v>
      </c>
      <c r="H106" s="19" t="s">
        <v>429</v>
      </c>
      <c r="I106" s="19" t="s">
        <v>90</v>
      </c>
      <c r="J106" s="19" t="s">
        <v>45</v>
      </c>
      <c r="K106" s="19" t="s">
        <v>46</v>
      </c>
      <c r="L106" s="70" t="s">
        <v>60</v>
      </c>
      <c r="M106" s="15">
        <v>2023</v>
      </c>
      <c r="N106" s="15" t="s">
        <v>145</v>
      </c>
      <c r="O106" s="15">
        <v>2027</v>
      </c>
      <c r="P106" s="20">
        <v>2023</v>
      </c>
      <c r="Q106" s="48"/>
      <c r="R106" s="16"/>
      <c r="S106" s="16" t="str">
        <f ca="1">IF(
  O106 &lt; YEAR(TODAY()),
  "LULUS",
  IF(
    O106 = YEAR(TODAY()),
    IF(
      MATCH(L106, {"Januari";"Februari";"Maret";"April";"Mei";"Juni";"Juli";"Agustus";"September";"Oktober";"November";"Desember"}, 0)
        &gt;= MONTH(TODAY()),
      "AKTIF (Semester " &amp;
        (INT((12*(YEAR(TODAY())-M106) + MONTH(TODAY()) -
          MATCH(L106, {"Januari";"Februari";"Maret";"April";"Mei";"Juni";"Juli";"Agustus";"September";"Oktober";"November";"Desember"}, 0)) / 6) + 1) &amp; ")",
      "LULUS"
    ),
    "AKTIF (Semester " &amp;
      (INT((12*(YEAR(TODAY())-M106) + MONTH(TODAY()) -
        MATCH(L106, {"Januari";"Februari";"Maret";"April";"Mei";"Juni";"Juli";"Agustus";"September";"Oktober";"November";"Desember"}, 0)) / 6) + 1) &amp; ")"
  )
)</f>
        <v>AKTIF (Semester 5)</v>
      </c>
      <c r="T106" s="16" t="str">
        <f ca="1">IF(O106 &lt; YEAR(TODAY()), "LULUS",
 IF(O106 = YEAR(TODAY()),
    IF(MATCH(N106, {"Januari";"Februari";"Maret";"April";"Mei";"Juni";"Juli";"Agustus";"September";"Oktober";"November";"Desember"},0)
        &lt;= MONTH(TODAY()),
        "LULUS",
        "AKTIF"),
 "AKTIF"))</f>
        <v>AKTIF</v>
      </c>
      <c r="U106" s="16" t="s">
        <v>2941</v>
      </c>
      <c r="V106" s="15"/>
      <c r="W106" s="15"/>
      <c r="X106" s="15"/>
      <c r="Y106" s="15"/>
      <c r="Z106" s="15"/>
    </row>
    <row r="107" spans="1:26" ht="29" customHeight="1" x14ac:dyDescent="0.35">
      <c r="A107" s="12">
        <v>106</v>
      </c>
      <c r="B107" s="25" t="s">
        <v>430</v>
      </c>
      <c r="C107" s="69" t="s">
        <v>431</v>
      </c>
      <c r="D107" s="24" t="s">
        <v>104</v>
      </c>
      <c r="E107" s="153" t="str">
        <f t="shared" si="2"/>
        <v>Perempuan</v>
      </c>
      <c r="F107" s="57" t="s">
        <v>432</v>
      </c>
      <c r="G107" s="13" t="s">
        <v>254</v>
      </c>
      <c r="H107" s="19" t="s">
        <v>433</v>
      </c>
      <c r="I107" s="19" t="s">
        <v>261</v>
      </c>
      <c r="J107" s="19" t="s">
        <v>26</v>
      </c>
      <c r="K107" s="19" t="s">
        <v>434</v>
      </c>
      <c r="L107" s="86" t="s">
        <v>28</v>
      </c>
      <c r="M107" s="15">
        <v>2023</v>
      </c>
      <c r="N107" s="15" t="s">
        <v>28</v>
      </c>
      <c r="O107" s="15">
        <v>2025</v>
      </c>
      <c r="P107" s="20">
        <v>2024</v>
      </c>
      <c r="Q107" s="48"/>
      <c r="R107" s="16"/>
      <c r="S107" s="16" t="str">
        <f ca="1">IF(
  O107 &lt; YEAR(TODAY()),
  "LULUS",
  IF(
    O107 = YEAR(TODAY()),
    IF(
      MATCH(L107, {"Januari";"Februari";"Maret";"April";"Mei";"Juni";"Juli";"Agustus";"September";"Oktober";"November";"Desember"}, 0)
        &gt;= MONTH(TODAY()),
      "AKTIF (Semester " &amp;
        (INT((12*(YEAR(TODAY())-M107) + MONTH(TODAY()) -
          MATCH(L107, {"Januari";"Februari";"Maret";"April";"Mei";"Juni";"Juli";"Agustus";"September";"Oktober";"November";"Desember"}, 0)) / 6) + 1) &amp; ")",
      "LULUS"
    ),
    "AKTIF (Semester " &amp;
      (INT((12*(YEAR(TODAY())-M107) + MONTH(TODAY()) -
        MATCH(L107, {"Januari";"Februari";"Maret";"April";"Mei";"Juni";"Juli";"Agustus";"September";"Oktober";"November";"Desember"}, 0)) / 6) + 1) &amp; ")"
  )
)</f>
        <v>LULUS</v>
      </c>
      <c r="T107" s="16" t="str">
        <f ca="1">IF(O107 &lt; YEAR(TODAY()), "LULUS",
 IF(O107 = YEAR(TODAY()),
    IF(MATCH(N107, {"Januari";"Februari";"Maret";"April";"Mei";"Juni";"Juli";"Agustus";"September";"Oktober";"November";"Desember"},0)
        &lt;= MONTH(TODAY()),
        "LULUS",
        "AKTIF"),
 "AKTIF"))</f>
        <v>LULUS</v>
      </c>
      <c r="U107" s="16" t="s">
        <v>29</v>
      </c>
      <c r="V107" s="15"/>
      <c r="W107" s="15"/>
      <c r="X107" s="15"/>
      <c r="Y107" s="15"/>
      <c r="Z107" s="15"/>
    </row>
    <row r="108" spans="1:26" ht="29" customHeight="1" x14ac:dyDescent="0.35">
      <c r="A108" s="12">
        <v>107</v>
      </c>
      <c r="B108" s="25" t="s">
        <v>435</v>
      </c>
      <c r="C108" s="69" t="s">
        <v>436</v>
      </c>
      <c r="D108" s="24" t="s">
        <v>126</v>
      </c>
      <c r="E108" s="153" t="str">
        <f t="shared" si="2"/>
        <v>Perempuan</v>
      </c>
      <c r="F108" s="57" t="s">
        <v>105</v>
      </c>
      <c r="G108" s="13" t="s">
        <v>254</v>
      </c>
      <c r="H108" s="19" t="s">
        <v>437</v>
      </c>
      <c r="I108" s="19" t="s">
        <v>90</v>
      </c>
      <c r="J108" s="19" t="s">
        <v>45</v>
      </c>
      <c r="K108" s="19" t="s">
        <v>46</v>
      </c>
      <c r="L108" s="29" t="s">
        <v>28</v>
      </c>
      <c r="M108" s="15">
        <v>2023</v>
      </c>
      <c r="N108" s="15" t="s">
        <v>205</v>
      </c>
      <c r="O108" s="15">
        <v>2027</v>
      </c>
      <c r="P108" s="70">
        <v>2024</v>
      </c>
      <c r="Q108" s="87"/>
      <c r="R108" s="16"/>
      <c r="S108" s="16" t="str">
        <f ca="1">IF(
  O108 &lt; YEAR(TODAY()),
  "LULUS",
  IF(
    O108 = YEAR(TODAY()),
    IF(
      MATCH(L108, {"Januari";"Februari";"Maret";"April";"Mei";"Juni";"Juli";"Agustus";"September";"Oktober";"November";"Desember"}, 0)
        &gt;= MONTH(TODAY()),
      "AKTIF (Semester " &amp;
        (INT((12*(YEAR(TODAY())-M108) + MONTH(TODAY()) -
          MATCH(L108, {"Januari";"Februari";"Maret";"April";"Mei";"Juni";"Juli";"Agustus";"September";"Oktober";"November";"Desember"}, 0)) / 6) + 1) &amp; ")",
      "LULUS"
    ),
    "AKTIF (Semester " &amp;
      (INT((12*(YEAR(TODAY())-M108) + MONTH(TODAY()) -
        MATCH(L108, {"Januari";"Februari";"Maret";"April";"Mei";"Juni";"Juli";"Agustus";"September";"Oktober";"November";"Desember"}, 0)) / 6) + 1) &amp; ")"
  )
)</f>
        <v>AKTIF (Semester 5)</v>
      </c>
      <c r="T108" s="16" t="str">
        <f ca="1">IF(O108 &lt; YEAR(TODAY()), "LULUS",
 IF(O108 = YEAR(TODAY()),
    IF(MATCH(N108, {"Januari";"Februari";"Maret";"April";"Mei";"Juni";"Juli";"Agustus";"September";"Oktober";"November";"Desember"},0)
        &lt;= MONTH(TODAY()),
        "LULUS",
        "AKTIF"),
 "AKTIF"))</f>
        <v>AKTIF</v>
      </c>
      <c r="U108" s="16" t="s">
        <v>2941</v>
      </c>
      <c r="V108" s="15"/>
      <c r="W108" s="15"/>
      <c r="X108" s="15"/>
      <c r="Y108" s="15"/>
      <c r="Z108" s="15"/>
    </row>
    <row r="109" spans="1:26" ht="29" customHeight="1" x14ac:dyDescent="0.35">
      <c r="A109" s="12">
        <v>108</v>
      </c>
      <c r="B109" s="25" t="s">
        <v>438</v>
      </c>
      <c r="C109" s="69" t="s">
        <v>439</v>
      </c>
      <c r="D109" s="24" t="s">
        <v>126</v>
      </c>
      <c r="E109" s="153" t="str">
        <f t="shared" si="2"/>
        <v>Laki-Laki</v>
      </c>
      <c r="F109" s="57" t="s">
        <v>440</v>
      </c>
      <c r="G109" s="13" t="s">
        <v>254</v>
      </c>
      <c r="H109" s="19" t="s">
        <v>281</v>
      </c>
      <c r="I109" s="19" t="s">
        <v>441</v>
      </c>
      <c r="J109" s="19" t="s">
        <v>26</v>
      </c>
      <c r="K109" s="19" t="s">
        <v>57</v>
      </c>
      <c r="L109" s="29" t="s">
        <v>28</v>
      </c>
      <c r="M109" s="15">
        <v>2023</v>
      </c>
      <c r="N109" s="15" t="s">
        <v>205</v>
      </c>
      <c r="O109" s="15">
        <v>2025</v>
      </c>
      <c r="P109" s="70">
        <v>2024</v>
      </c>
      <c r="Q109" s="87"/>
      <c r="R109" s="16"/>
      <c r="S109" s="16" t="str">
        <f ca="1">IF(
  O109 &lt; YEAR(TODAY()),
  "LULUS",
  IF(
    O109 = YEAR(TODAY()),
    IF(
      MATCH(L109, {"Januari";"Februari";"Maret";"April";"Mei";"Juni";"Juli";"Agustus";"September";"Oktober";"November";"Desember"}, 0)
        &gt;= MONTH(TODAY()),
      "AKTIF (Semester " &amp;
        (INT((12*(YEAR(TODAY())-M109) + MONTH(TODAY()) -
          MATCH(L109, {"Januari";"Februari";"Maret";"April";"Mei";"Juni";"Juli";"Agustus";"September";"Oktober";"November";"Desember"}, 0)) / 6) + 1) &amp; ")",
      "LULUS"
    ),
    "AKTIF (Semester " &amp;
      (INT((12*(YEAR(TODAY())-M109) + MONTH(TODAY()) -
        MATCH(L109, {"Januari";"Februari";"Maret";"April";"Mei";"Juni";"Juli";"Agustus";"September";"Oktober";"November";"Desember"}, 0)) / 6) + 1) &amp; ")"
  )
)</f>
        <v>LULUS</v>
      </c>
      <c r="T109" s="16" t="e">
        <f ca="1">IF(O109 &lt; YEAR(TODAY()), "LULUS",
 IF(O109 = YEAR(TODAY()),
    IF(MATCH(N109, {"Januari";"Februari";"Maret";"April";"Mei";"Juni";"Juli";"Agustus";"September";"Oktober";"November";"Desember"},0)
        &lt;= MONTH(TODAY()),
        "LULUS",
        "AKTIF"),
 "AKTIF"))</f>
        <v>#N/A</v>
      </c>
      <c r="U109" s="16" t="s">
        <v>29</v>
      </c>
      <c r="V109" s="15"/>
      <c r="W109" s="15"/>
      <c r="X109" s="15"/>
      <c r="Y109" s="15"/>
      <c r="Z109" s="15"/>
    </row>
    <row r="110" spans="1:26" ht="29" customHeight="1" x14ac:dyDescent="0.35">
      <c r="A110" s="12">
        <v>109</v>
      </c>
      <c r="B110" s="25" t="s">
        <v>442</v>
      </c>
      <c r="C110" s="69" t="s">
        <v>443</v>
      </c>
      <c r="D110" s="24" t="s">
        <v>116</v>
      </c>
      <c r="E110" s="153" t="str">
        <f t="shared" si="2"/>
        <v>Laki-Laki</v>
      </c>
      <c r="F110" s="57" t="s">
        <v>444</v>
      </c>
      <c r="G110" s="13" t="s">
        <v>254</v>
      </c>
      <c r="H110" s="19" t="s">
        <v>445</v>
      </c>
      <c r="I110" s="19" t="s">
        <v>90</v>
      </c>
      <c r="J110" s="19" t="s">
        <v>45</v>
      </c>
      <c r="K110" s="19" t="s">
        <v>196</v>
      </c>
      <c r="L110" s="86" t="s">
        <v>169</v>
      </c>
      <c r="M110" s="15">
        <v>2022</v>
      </c>
      <c r="N110" s="15" t="s">
        <v>446</v>
      </c>
      <c r="O110" s="15">
        <v>2026</v>
      </c>
      <c r="P110" s="20">
        <v>2022</v>
      </c>
      <c r="Q110" s="48"/>
      <c r="R110" s="16" t="s">
        <v>51</v>
      </c>
      <c r="S110" s="16" t="str">
        <f ca="1">IF(
  O110 &lt; YEAR(TODAY()),
  "LULUS",
  IF(
    O110 = YEAR(TODAY()),
    IF(
      MATCH(L110, {"Januari";"Februari";"Maret";"April";"Mei";"Juni";"Juli";"Agustus";"September";"Oktober";"November";"Desember"}, 0)
        &gt;= MONTH(TODAY()),
      "AKTIF (Semester " &amp;
        (INT((12*(YEAR(TODAY())-M110) + MONTH(TODAY()) -
          MATCH(L110, {"Januari";"Februari";"Maret";"April";"Mei";"Juni";"Juli";"Agustus";"September";"Oktober";"November";"Desember"}, 0)) / 6) + 1) &amp; ")",
      "LULUS"
    ),
    "AKTIF (Semester " &amp;
      (INT((12*(YEAR(TODAY())-M110) + MONTH(TODAY()) -
        MATCH(L110, {"Januari";"Februari";"Maret";"April";"Mei";"Juni";"Juli";"Agustus";"September";"Oktober";"November";"Desember"}, 0)) / 6) + 1) &amp; ")"
  )
)</f>
        <v>AKTIF (Semester 7)</v>
      </c>
      <c r="T110" s="16" t="str">
        <f ca="1">IF(O110 &lt; YEAR(TODAY()), "LULUS",
 IF(O110 = YEAR(TODAY()),
    IF(MATCH(N110, {"Januari";"Februari";"Maret";"April";"Mei";"Juni";"Juli";"Agustus";"September";"Oktober";"November";"Desember"},0)
        &lt;= MONTH(TODAY()),
        "LULUS",
        "AKTIF"),
 "AKTIF"))</f>
        <v>AKTIF</v>
      </c>
      <c r="U110" s="16" t="s">
        <v>2939</v>
      </c>
      <c r="V110" s="15"/>
      <c r="W110" s="15"/>
      <c r="X110" s="15"/>
      <c r="Y110" s="15"/>
      <c r="Z110" s="15"/>
    </row>
    <row r="111" spans="1:26" ht="29" customHeight="1" x14ac:dyDescent="0.35">
      <c r="A111" s="12">
        <v>110</v>
      </c>
      <c r="B111" s="25" t="s">
        <v>447</v>
      </c>
      <c r="C111" s="69" t="s">
        <v>448</v>
      </c>
      <c r="D111" s="24" t="s">
        <v>126</v>
      </c>
      <c r="E111" s="153" t="str">
        <f t="shared" si="2"/>
        <v>Laki-Laki</v>
      </c>
      <c r="F111" s="57" t="s">
        <v>392</v>
      </c>
      <c r="G111" s="13" t="s">
        <v>254</v>
      </c>
      <c r="H111" s="19" t="s">
        <v>281</v>
      </c>
      <c r="I111" s="19" t="s">
        <v>25</v>
      </c>
      <c r="J111" s="19" t="s">
        <v>26</v>
      </c>
      <c r="K111" s="19" t="s">
        <v>449</v>
      </c>
      <c r="L111" s="86" t="s">
        <v>145</v>
      </c>
      <c r="M111" s="15">
        <v>2022</v>
      </c>
      <c r="N111" s="15" t="s">
        <v>145</v>
      </c>
      <c r="O111" s="15">
        <v>2024</v>
      </c>
      <c r="P111" s="20">
        <v>2022</v>
      </c>
      <c r="Q111" s="48"/>
      <c r="R111" s="16" t="s">
        <v>29</v>
      </c>
      <c r="S111" s="16" t="str">
        <f ca="1">IF(
  O111 &lt; YEAR(TODAY()),
  "LULUS",
  IF(
    O111 = YEAR(TODAY()),
    IF(
      MATCH(L111, {"Januari";"Februari";"Maret";"April";"Mei";"Juni";"Juli";"Agustus";"September";"Oktober";"November";"Desember"}, 0)
        &gt;= MONTH(TODAY()),
      "AKTIF (Semester " &amp;
        (INT((12*(YEAR(TODAY())-M111) + MONTH(TODAY()) -
          MATCH(L111, {"Januari";"Februari";"Maret";"April";"Mei";"Juni";"Juli";"Agustus";"September";"Oktober";"November";"Desember"}, 0)) / 6) + 1) &amp; ")",
      "LULUS"
    ),
    "AKTIF (Semester " &amp;
      (INT((12*(YEAR(TODAY())-M111) + MONTH(TODAY()) -
        MATCH(L111, {"Januari";"Februari";"Maret";"April";"Mei";"Juni";"Juli";"Agustus";"September";"Oktober";"November";"Desember"}, 0)) / 6) + 1) &amp; ")"
  )
)</f>
        <v>LULUS</v>
      </c>
      <c r="T111" s="16" t="str">
        <f ca="1">IF(O111 &lt; YEAR(TODAY()), "LULUS",
 IF(O111 = YEAR(TODAY()),
    IF(MATCH(N111, {"Januari";"Februari";"Maret";"April";"Mei";"Juni";"Juli";"Agustus";"September";"Oktober";"November";"Desember"},0)
        &lt;= MONTH(TODAY()),
        "LULUS",
        "AKTIF"),
 "AKTIF"))</f>
        <v>LULUS</v>
      </c>
      <c r="U111" s="16" t="s">
        <v>29</v>
      </c>
      <c r="V111" s="15"/>
      <c r="W111" s="15"/>
      <c r="X111" s="15"/>
      <c r="Y111" s="15"/>
      <c r="Z111" s="15"/>
    </row>
    <row r="112" spans="1:26" ht="29" customHeight="1" x14ac:dyDescent="0.35">
      <c r="A112" s="12">
        <v>111</v>
      </c>
      <c r="B112" s="25" t="s">
        <v>450</v>
      </c>
      <c r="C112" s="69" t="s">
        <v>451</v>
      </c>
      <c r="D112" s="24" t="s">
        <v>126</v>
      </c>
      <c r="E112" s="153" t="str">
        <f t="shared" si="2"/>
        <v>Laki-Laki</v>
      </c>
      <c r="F112" s="57" t="s">
        <v>452</v>
      </c>
      <c r="G112" s="13" t="s">
        <v>254</v>
      </c>
      <c r="H112" s="19" t="s">
        <v>260</v>
      </c>
      <c r="I112" s="19" t="s">
        <v>261</v>
      </c>
      <c r="J112" s="19" t="s">
        <v>26</v>
      </c>
      <c r="K112" s="19" t="s">
        <v>453</v>
      </c>
      <c r="L112" s="86" t="s">
        <v>205</v>
      </c>
      <c r="M112" s="15">
        <v>2022</v>
      </c>
      <c r="N112" s="15" t="s">
        <v>205</v>
      </c>
      <c r="O112" s="15">
        <v>2024</v>
      </c>
      <c r="P112" s="20">
        <v>2022</v>
      </c>
      <c r="Q112" s="48"/>
      <c r="R112" s="16"/>
      <c r="S112" s="16" t="str">
        <f ca="1">IF(
  O112 &lt; YEAR(TODAY()),
  "LULUS",
  IF(
    O112 = YEAR(TODAY()),
    IF(
      MATCH(L112, {"Januari";"Februari";"Maret";"April";"Mei";"Juni";"Juli";"Agustus";"September";"Oktober";"November";"Desember"}, 0)
        &gt;= MONTH(TODAY()),
      "AKTIF (Semester " &amp;
        (INT((12*(YEAR(TODAY())-M112) + MONTH(TODAY()) -
          MATCH(L112, {"Januari";"Februari";"Maret";"April";"Mei";"Juni";"Juli";"Agustus";"September";"Oktober";"November";"Desember"}, 0)) / 6) + 1) &amp; ")",
      "LULUS"
    ),
    "AKTIF (Semester " &amp;
      (INT((12*(YEAR(TODAY())-M112) + MONTH(TODAY()) -
        MATCH(L112, {"Januari";"Februari";"Maret";"April";"Mei";"Juni";"Juli";"Agustus";"September";"Oktober";"November";"Desember"}, 0)) / 6) + 1) &amp; ")"
  )
)</f>
        <v>LULUS</v>
      </c>
      <c r="T112" s="16" t="str">
        <f ca="1">IF(O112 &lt; YEAR(TODAY()), "LULUS",
 IF(O112 = YEAR(TODAY()),
    IF(MATCH(N112, {"Januari";"Februari";"Maret";"April";"Mei";"Juni";"Juli";"Agustus";"September";"Oktober";"November";"Desember"},0)
        &lt;= MONTH(TODAY()),
        "LULUS",
        "AKTIF"),
 "AKTIF"))</f>
        <v>LULUS</v>
      </c>
      <c r="U112" s="16" t="s">
        <v>29</v>
      </c>
      <c r="V112" s="15"/>
      <c r="W112" s="15"/>
      <c r="X112" s="15"/>
      <c r="Y112" s="15"/>
      <c r="Z112" s="15"/>
    </row>
    <row r="113" spans="1:26" ht="29" customHeight="1" x14ac:dyDescent="0.35">
      <c r="A113" s="12">
        <v>112</v>
      </c>
      <c r="B113" s="25" t="s">
        <v>454</v>
      </c>
      <c r="C113" s="69" t="s">
        <v>455</v>
      </c>
      <c r="D113" s="24" t="s">
        <v>109</v>
      </c>
      <c r="E113" s="153" t="str">
        <f t="shared" si="2"/>
        <v>Laki-Laki</v>
      </c>
      <c r="F113" s="57" t="s">
        <v>456</v>
      </c>
      <c r="G113" s="13" t="s">
        <v>254</v>
      </c>
      <c r="H113" s="19" t="s">
        <v>330</v>
      </c>
      <c r="I113" s="19" t="s">
        <v>39</v>
      </c>
      <c r="J113" s="19" t="s">
        <v>26</v>
      </c>
      <c r="K113" s="19" t="s">
        <v>63</v>
      </c>
      <c r="L113" s="86" t="s">
        <v>145</v>
      </c>
      <c r="M113" s="15">
        <v>2022</v>
      </c>
      <c r="N113" s="15" t="s">
        <v>145</v>
      </c>
      <c r="O113" s="15">
        <v>2024</v>
      </c>
      <c r="P113" s="20">
        <v>2022</v>
      </c>
      <c r="Q113" s="48"/>
      <c r="R113" s="16" t="s">
        <v>51</v>
      </c>
      <c r="S113" s="16" t="str">
        <f ca="1">IF(
  O113 &lt; YEAR(TODAY()),
  "LULUS",
  IF(
    O113 = YEAR(TODAY()),
    IF(
      MATCH(L113, {"Januari";"Februari";"Maret";"April";"Mei";"Juni";"Juli";"Agustus";"September";"Oktober";"November";"Desember"}, 0)
        &gt;= MONTH(TODAY()),
      "AKTIF (Semester " &amp;
        (INT((12*(YEAR(TODAY())-M113) + MONTH(TODAY()) -
          MATCH(L113, {"Januari";"Februari";"Maret";"April";"Mei";"Juni";"Juli";"Agustus";"September";"Oktober";"November";"Desember"}, 0)) / 6) + 1) &amp; ")",
      "LULUS"
    ),
    "AKTIF (Semester " &amp;
      (INT((12*(YEAR(TODAY())-M113) + MONTH(TODAY()) -
        MATCH(L113, {"Januari";"Februari";"Maret";"April";"Mei";"Juni";"Juli";"Agustus";"September";"Oktober";"November";"Desember"}, 0)) / 6) + 1) &amp; ")"
  )
)</f>
        <v>LULUS</v>
      </c>
      <c r="T113" s="16" t="str">
        <f ca="1">IF(O113 &lt; YEAR(TODAY()), "LULUS",
 IF(O113 = YEAR(TODAY()),
    IF(MATCH(N113, {"Januari";"Februari";"Maret";"April";"Mei";"Juni";"Juli";"Agustus";"September";"Oktober";"November";"Desember"},0)
        &lt;= MONTH(TODAY()),
        "LULUS",
        "AKTIF"),
 "AKTIF"))</f>
        <v>LULUS</v>
      </c>
      <c r="U113" s="16" t="s">
        <v>29</v>
      </c>
      <c r="V113" s="15"/>
      <c r="W113" s="15"/>
      <c r="X113" s="15"/>
      <c r="Y113" s="15"/>
      <c r="Z113" s="15"/>
    </row>
    <row r="114" spans="1:26" ht="29" customHeight="1" x14ac:dyDescent="0.35">
      <c r="A114" s="12">
        <v>113</v>
      </c>
      <c r="B114" s="25" t="s">
        <v>457</v>
      </c>
      <c r="C114" s="69" t="s">
        <v>458</v>
      </c>
      <c r="D114" s="24" t="s">
        <v>370</v>
      </c>
      <c r="E114" s="153" t="str">
        <f t="shared" si="2"/>
        <v>Laki-Laki</v>
      </c>
      <c r="F114" s="57" t="s">
        <v>459</v>
      </c>
      <c r="G114" s="13" t="s">
        <v>254</v>
      </c>
      <c r="H114" s="19" t="s">
        <v>276</v>
      </c>
      <c r="I114" s="19" t="s">
        <v>460</v>
      </c>
      <c r="J114" s="19" t="s">
        <v>26</v>
      </c>
      <c r="K114" s="19" t="s">
        <v>461</v>
      </c>
      <c r="L114" s="86" t="s">
        <v>462</v>
      </c>
      <c r="M114" s="15">
        <v>2022</v>
      </c>
      <c r="N114" s="15" t="s">
        <v>462</v>
      </c>
      <c r="O114" s="15">
        <v>2024</v>
      </c>
      <c r="P114" s="20">
        <v>2022</v>
      </c>
      <c r="Q114" s="48"/>
      <c r="R114" s="16" t="s">
        <v>29</v>
      </c>
      <c r="S114" s="16" t="str">
        <f ca="1">IF(
  O114 &lt; YEAR(TODAY()),
  "LULUS",
  IF(
    O114 = YEAR(TODAY()),
    IF(
      MATCH(L114, {"Januari";"Februari";"Maret";"April";"Mei";"Juni";"Juli";"Agustus";"September";"Oktober";"November";"Desember"}, 0)
        &gt;= MONTH(TODAY()),
      "AKTIF (Semester " &amp;
        (INT((12*(YEAR(TODAY())-M114) + MONTH(TODAY()) -
          MATCH(L114, {"Januari";"Februari";"Maret";"April";"Mei";"Juni";"Juli";"Agustus";"September";"Oktober";"November";"Desember"}, 0)) / 6) + 1) &amp; ")",
      "LULUS"
    ),
    "AKTIF (Semester " &amp;
      (INT((12*(YEAR(TODAY())-M114) + MONTH(TODAY()) -
        MATCH(L114, {"Januari";"Februari";"Maret";"April";"Mei";"Juni";"Juli";"Agustus";"September";"Oktober";"November";"Desember"}, 0)) / 6) + 1) &amp; ")"
  )
)</f>
        <v>LULUS</v>
      </c>
      <c r="T114" s="16" t="str">
        <f ca="1">IF(O114 &lt; YEAR(TODAY()), "LULUS",
 IF(O114 = YEAR(TODAY()),
    IF(MATCH(N114, {"Januari";"Februari";"Maret";"April";"Mei";"Juni";"Juli";"Agustus";"September";"Oktober";"November";"Desember"},0)
        &lt;= MONTH(TODAY()),
        "LULUS",
        "AKTIF"),
 "AKTIF"))</f>
        <v>LULUS</v>
      </c>
      <c r="U114" s="16" t="s">
        <v>29</v>
      </c>
      <c r="V114" s="15"/>
      <c r="W114" s="15"/>
      <c r="X114" s="15"/>
      <c r="Y114" s="15"/>
      <c r="Z114" s="15"/>
    </row>
    <row r="115" spans="1:26" ht="29" customHeight="1" x14ac:dyDescent="0.35">
      <c r="A115" s="12">
        <v>114</v>
      </c>
      <c r="B115" s="25" t="s">
        <v>463</v>
      </c>
      <c r="C115" s="69" t="s">
        <v>464</v>
      </c>
      <c r="D115" s="24" t="s">
        <v>370</v>
      </c>
      <c r="E115" s="153" t="str">
        <f t="shared" si="2"/>
        <v>Laki-Laki</v>
      </c>
      <c r="F115" s="57" t="s">
        <v>432</v>
      </c>
      <c r="G115" s="13" t="s">
        <v>254</v>
      </c>
      <c r="H115" s="19" t="s">
        <v>465</v>
      </c>
      <c r="I115" s="19" t="s">
        <v>466</v>
      </c>
      <c r="J115" s="19" t="s">
        <v>45</v>
      </c>
      <c r="K115" s="19" t="s">
        <v>449</v>
      </c>
      <c r="L115" s="86" t="s">
        <v>72</v>
      </c>
      <c r="M115" s="15">
        <v>2022</v>
      </c>
      <c r="N115" s="15" t="s">
        <v>462</v>
      </c>
      <c r="O115" s="15">
        <v>2026</v>
      </c>
      <c r="P115" s="20">
        <v>2022</v>
      </c>
      <c r="Q115" s="48"/>
      <c r="R115" s="16" t="s">
        <v>51</v>
      </c>
      <c r="S115" s="16" t="str">
        <f ca="1">IF(
  O115 &lt; YEAR(TODAY()),
  "LULUS",
  IF(
    O115 = YEAR(TODAY()),
    IF(
      MATCH(L115, {"Januari";"Februari";"Maret";"April";"Mei";"Juni";"Juli";"Agustus";"September";"Oktober";"November";"Desember"}, 0)
        &gt;= MONTH(TODAY()),
      "AKTIF (Semester " &amp;
        (INT((12*(YEAR(TODAY())-M115) + MONTH(TODAY()) -
          MATCH(L115, {"Januari";"Februari";"Maret";"April";"Mei";"Juni";"Juli";"Agustus";"September";"Oktober";"November";"Desember"}, 0)) / 6) + 1) &amp; ")",
      "LULUS"
    ),
    "AKTIF (Semester " &amp;
      (INT((12*(YEAR(TODAY())-M115) + MONTH(TODAY()) -
        MATCH(L115, {"Januari";"Februari";"Maret";"April";"Mei";"Juni";"Juli";"Agustus";"September";"Oktober";"November";"Desember"}, 0)) / 6) + 1) &amp; ")"
  )
)</f>
        <v>AKTIF (Semester 8)</v>
      </c>
      <c r="T115" s="16" t="str">
        <f ca="1">IF(O115 &lt; YEAR(TODAY()), "LULUS",
 IF(O115 = YEAR(TODAY()),
    IF(MATCH(N115, {"Januari";"Februari";"Maret";"April";"Mei";"Juni";"Juli";"Agustus";"September";"Oktober";"November";"Desember"},0)
        &lt;= MONTH(TODAY()),
        "LULUS",
        "AKTIF"),
 "AKTIF"))</f>
        <v>AKTIF</v>
      </c>
      <c r="U115" s="16" t="s">
        <v>2944</v>
      </c>
      <c r="V115" s="15"/>
      <c r="W115" s="15"/>
      <c r="X115" s="15"/>
      <c r="Y115" s="15"/>
      <c r="Z115" s="15"/>
    </row>
    <row r="116" spans="1:26" ht="29" customHeight="1" x14ac:dyDescent="0.35">
      <c r="A116" s="12">
        <v>115</v>
      </c>
      <c r="B116" s="25" t="s">
        <v>467</v>
      </c>
      <c r="C116" s="69" t="s">
        <v>468</v>
      </c>
      <c r="D116" s="24" t="s">
        <v>126</v>
      </c>
      <c r="E116" s="153" t="str">
        <f t="shared" si="2"/>
        <v>Laki-Laki</v>
      </c>
      <c r="F116" s="57" t="s">
        <v>432</v>
      </c>
      <c r="G116" s="13" t="s">
        <v>254</v>
      </c>
      <c r="H116" s="19" t="s">
        <v>465</v>
      </c>
      <c r="I116" s="19" t="s">
        <v>466</v>
      </c>
      <c r="J116" s="19" t="s">
        <v>45</v>
      </c>
      <c r="K116" s="19" t="s">
        <v>449</v>
      </c>
      <c r="L116" s="86" t="s">
        <v>72</v>
      </c>
      <c r="M116" s="15">
        <v>2022</v>
      </c>
      <c r="N116" s="15" t="s">
        <v>72</v>
      </c>
      <c r="O116" s="15">
        <v>2026</v>
      </c>
      <c r="P116" s="20">
        <v>2022</v>
      </c>
      <c r="Q116" s="48"/>
      <c r="R116" s="16" t="s">
        <v>51</v>
      </c>
      <c r="S116" s="16" t="str">
        <f ca="1">IF(
  O116 &lt; YEAR(TODAY()),
  "LULUS",
  IF(
    O116 = YEAR(TODAY()),
    IF(
      MATCH(L116, {"Januari";"Februari";"Maret";"April";"Mei";"Juni";"Juli";"Agustus";"September";"Oktober";"November";"Desember"}, 0)
        &gt;= MONTH(TODAY()),
      "AKTIF (Semester " &amp;
        (INT((12*(YEAR(TODAY())-M116) + MONTH(TODAY()) -
          MATCH(L116, {"Januari";"Februari";"Maret";"April";"Mei";"Juni";"Juli";"Agustus";"September";"Oktober";"November";"Desember"}, 0)) / 6) + 1) &amp; ")",
      "LULUS"
    ),
    "AKTIF (Semester " &amp;
      (INT((12*(YEAR(TODAY())-M116) + MONTH(TODAY()) -
        MATCH(L116, {"Januari";"Februari";"Maret";"April";"Mei";"Juni";"Juli";"Agustus";"September";"Oktober";"November";"Desember"}, 0)) / 6) + 1) &amp; ")"
  )
)</f>
        <v>AKTIF (Semester 8)</v>
      </c>
      <c r="T116" s="16" t="str">
        <f ca="1">IF(O116 &lt; YEAR(TODAY()), "LULUS",
 IF(O116 = YEAR(TODAY()),
    IF(MATCH(N116, {"Januari";"Februari";"Maret";"April";"Mei";"Juni";"Juli";"Agustus";"September";"Oktober";"November";"Desember"},0)
        &lt;= MONTH(TODAY()),
        "LULUS",
        "AKTIF"),
 "AKTIF"))</f>
        <v>AKTIF</v>
      </c>
      <c r="U116" s="16" t="s">
        <v>2944</v>
      </c>
      <c r="V116" s="15"/>
      <c r="W116" s="15"/>
      <c r="X116" s="15"/>
      <c r="Y116" s="15"/>
      <c r="Z116" s="15"/>
    </row>
    <row r="117" spans="1:26" ht="29" customHeight="1" x14ac:dyDescent="0.35">
      <c r="A117" s="12">
        <v>116</v>
      </c>
      <c r="B117" s="25" t="s">
        <v>469</v>
      </c>
      <c r="C117" s="69" t="s">
        <v>470</v>
      </c>
      <c r="D117" s="24" t="s">
        <v>471</v>
      </c>
      <c r="E117" s="153" t="str">
        <f t="shared" si="2"/>
        <v>Laki-Laki</v>
      </c>
      <c r="F117" s="57" t="s">
        <v>472</v>
      </c>
      <c r="G117" s="13" t="s">
        <v>254</v>
      </c>
      <c r="H117" s="19" t="s">
        <v>465</v>
      </c>
      <c r="I117" s="19" t="s">
        <v>466</v>
      </c>
      <c r="J117" s="19" t="s">
        <v>45</v>
      </c>
      <c r="K117" s="19" t="s">
        <v>449</v>
      </c>
      <c r="L117" s="86" t="s">
        <v>72</v>
      </c>
      <c r="M117" s="15">
        <v>2022</v>
      </c>
      <c r="N117" s="15" t="s">
        <v>462</v>
      </c>
      <c r="O117" s="15">
        <v>2026</v>
      </c>
      <c r="P117" s="20">
        <v>2022</v>
      </c>
      <c r="Q117" s="48"/>
      <c r="R117" s="16"/>
      <c r="S117" s="16" t="str">
        <f ca="1">IF(
  O117 &lt; YEAR(TODAY()),
  "LULUS",
  IF(
    O117 = YEAR(TODAY()),
    IF(
      MATCH(L117, {"Januari";"Februari";"Maret";"April";"Mei";"Juni";"Juli";"Agustus";"September";"Oktober";"November";"Desember"}, 0)
        &gt;= MONTH(TODAY()),
      "AKTIF (Semester " &amp;
        (INT((12*(YEAR(TODAY())-M117) + MONTH(TODAY()) -
          MATCH(L117, {"Januari";"Februari";"Maret";"April";"Mei";"Juni";"Juli";"Agustus";"September";"Oktober";"November";"Desember"}, 0)) / 6) + 1) &amp; ")",
      "LULUS"
    ),
    "AKTIF (Semester " &amp;
      (INT((12*(YEAR(TODAY())-M117) + MONTH(TODAY()) -
        MATCH(L117, {"Januari";"Februari";"Maret";"April";"Mei";"Juni";"Juli";"Agustus";"September";"Oktober";"November";"Desember"}, 0)) / 6) + 1) &amp; ")"
  )
)</f>
        <v>AKTIF (Semester 8)</v>
      </c>
      <c r="T117" s="16" t="str">
        <f ca="1">IF(O117 &lt; YEAR(TODAY()), "LULUS",
 IF(O117 = YEAR(TODAY()),
    IF(MATCH(N117, {"Januari";"Februari";"Maret";"April";"Mei";"Juni";"Juli";"Agustus";"September";"Oktober";"November";"Desember"},0)
        &lt;= MONTH(TODAY()),
        "LULUS",
        "AKTIF"),
 "AKTIF"))</f>
        <v>AKTIF</v>
      </c>
      <c r="U117" s="16" t="s">
        <v>2944</v>
      </c>
      <c r="V117" s="15"/>
      <c r="W117" s="15"/>
      <c r="X117" s="15"/>
      <c r="Y117" s="15"/>
      <c r="Z117" s="15"/>
    </row>
    <row r="118" spans="1:26" ht="29" customHeight="1" x14ac:dyDescent="0.35">
      <c r="A118" s="12">
        <v>117</v>
      </c>
      <c r="B118" s="25" t="s">
        <v>473</v>
      </c>
      <c r="C118" s="26" t="s">
        <v>474</v>
      </c>
      <c r="D118" s="25" t="s">
        <v>172</v>
      </c>
      <c r="E118" s="153" t="str">
        <f t="shared" si="2"/>
        <v>Laki-Laki</v>
      </c>
      <c r="F118" s="33" t="s">
        <v>377</v>
      </c>
      <c r="G118" s="25" t="s">
        <v>254</v>
      </c>
      <c r="H118" s="19" t="s">
        <v>475</v>
      </c>
      <c r="I118" s="28" t="s">
        <v>476</v>
      </c>
      <c r="J118" s="32" t="s">
        <v>180</v>
      </c>
      <c r="K118" s="28" t="s">
        <v>477</v>
      </c>
      <c r="L118" s="35" t="s">
        <v>478</v>
      </c>
      <c r="M118" s="21">
        <v>2024</v>
      </c>
      <c r="N118" s="15" t="s">
        <v>478</v>
      </c>
      <c r="O118" s="15"/>
      <c r="P118" s="15">
        <v>2025</v>
      </c>
      <c r="Q118" s="15"/>
      <c r="R118" s="16"/>
      <c r="S118" s="16" t="str">
        <f ca="1">IF(
  O118 &lt; YEAR(TODAY()),
  "LULUS",
  IF(
    O118 = YEAR(TODAY()),
    IF(
      MATCH(L118, {"Januari";"Februari";"Maret";"April";"Mei";"Juni";"Juli";"Agustus";"September";"Oktober";"November";"Desember"}, 0)
        &gt;= MONTH(TODAY()),
      "AKTIF (Semester " &amp;
        (INT((12*(YEAR(TODAY())-M118) + MONTH(TODAY()) -
          MATCH(L118, {"Januari";"Februari";"Maret";"April";"Mei";"Juni";"Juli";"Agustus";"September";"Oktober";"November";"Desember"}, 0)) / 6) + 1) &amp; ")",
      "LULUS"
    ),
    "AKTIF (Semester " &amp;
      (INT((12*(YEAR(TODAY())-M118) + MONTH(TODAY()) -
        MATCH(L118, {"Januari";"Februari";"Maret";"April";"Mei";"Juni";"Juli";"Agustus";"September";"Oktober";"November";"Desember"}, 0)) / 6) + 1) &amp; ")"
  )
)</f>
        <v>LULUS</v>
      </c>
      <c r="T118" s="16" t="str">
        <f ca="1">IF(O118 &lt; YEAR(TODAY()), "LULUS",
 IF(O118 = YEAR(TODAY()),
    IF(MATCH(N118, {"Januari";"Februari";"Maret";"April";"Mei";"Juni";"Juli";"Agustus";"September";"Oktober";"November";"Desember"},0)
        &lt;= MONTH(TODAY()),
        "LULUS",
        "AKTIF"),
 "AKTIF"))</f>
        <v>LULUS</v>
      </c>
      <c r="U118" s="16" t="s">
        <v>29</v>
      </c>
      <c r="V118" s="15"/>
      <c r="W118" s="15"/>
      <c r="X118" s="15"/>
      <c r="Y118" s="15"/>
      <c r="Z118" s="15"/>
    </row>
    <row r="119" spans="1:26" ht="29" customHeight="1" x14ac:dyDescent="0.35">
      <c r="A119" s="12">
        <v>118</v>
      </c>
      <c r="B119" s="25" t="s">
        <v>479</v>
      </c>
      <c r="C119" s="26" t="s">
        <v>480</v>
      </c>
      <c r="D119" s="25" t="s">
        <v>172</v>
      </c>
      <c r="E119" s="153" t="str">
        <f t="shared" si="2"/>
        <v>Laki-Laki</v>
      </c>
      <c r="F119" s="25" t="s">
        <v>99</v>
      </c>
      <c r="G119" s="25" t="s">
        <v>254</v>
      </c>
      <c r="H119" s="19" t="s">
        <v>475</v>
      </c>
      <c r="I119" s="28" t="s">
        <v>476</v>
      </c>
      <c r="J119" s="32" t="s">
        <v>180</v>
      </c>
      <c r="K119" s="28" t="s">
        <v>46</v>
      </c>
      <c r="L119" s="35" t="s">
        <v>205</v>
      </c>
      <c r="M119" s="21">
        <v>2024</v>
      </c>
      <c r="N119" s="15" t="s">
        <v>205</v>
      </c>
      <c r="O119" s="15"/>
      <c r="P119" s="15">
        <v>2025</v>
      </c>
      <c r="Q119" s="15"/>
      <c r="R119" s="16"/>
      <c r="S119" s="16" t="str">
        <f ca="1">IF(
  O119 &lt; YEAR(TODAY()),
  "LULUS",
  IF(
    O119 = YEAR(TODAY()),
    IF(
      MATCH(L119, {"Januari";"Februari";"Maret";"April";"Mei";"Juni";"Juli";"Agustus";"September";"Oktober";"November";"Desember"}, 0)
        &gt;= MONTH(TODAY()),
      "AKTIF (Semester " &amp;
        (INT((12*(YEAR(TODAY())-M119) + MONTH(TODAY()) -
          MATCH(L119, {"Januari";"Februari";"Maret";"April";"Mei";"Juni";"Juli";"Agustus";"September";"Oktober";"November";"Desember"}, 0)) / 6) + 1) &amp; ")",
      "LULUS"
    ),
    "AKTIF (Semester " &amp;
      (INT((12*(YEAR(TODAY())-M119) + MONTH(TODAY()) -
        MATCH(L119, {"Januari";"Februari";"Maret";"April";"Mei";"Juni";"Juli";"Agustus";"September";"Oktober";"November";"Desember"}, 0)) / 6) + 1) &amp; ")"
  )
)</f>
        <v>LULUS</v>
      </c>
      <c r="T119" s="16" t="str">
        <f ca="1">IF(O119 &lt; YEAR(TODAY()), "LULUS",
 IF(O119 = YEAR(TODAY()),
    IF(MATCH(N119, {"Januari";"Februari";"Maret";"April";"Mei";"Juni";"Juli";"Agustus";"September";"Oktober";"November";"Desember"},0)
        &lt;= MONTH(TODAY()),
        "LULUS",
        "AKTIF"),
 "AKTIF"))</f>
        <v>LULUS</v>
      </c>
      <c r="U119" s="16" t="s">
        <v>29</v>
      </c>
      <c r="V119" s="15"/>
      <c r="W119" s="15"/>
      <c r="X119" s="15"/>
      <c r="Y119" s="15"/>
      <c r="Z119" s="15"/>
    </row>
    <row r="120" spans="1:26" ht="29" customHeight="1" x14ac:dyDescent="0.35">
      <c r="A120" s="12">
        <v>119</v>
      </c>
      <c r="B120" s="25" t="s">
        <v>481</v>
      </c>
      <c r="C120" s="26" t="s">
        <v>482</v>
      </c>
      <c r="D120" s="25" t="s">
        <v>483</v>
      </c>
      <c r="E120" s="153" t="str">
        <f t="shared" si="2"/>
        <v>Laki-Laki</v>
      </c>
      <c r="F120" s="25" t="s">
        <v>484</v>
      </c>
      <c r="G120" s="25" t="s">
        <v>254</v>
      </c>
      <c r="H120" s="19" t="s">
        <v>276</v>
      </c>
      <c r="I120" s="28" t="s">
        <v>485</v>
      </c>
      <c r="J120" s="32" t="s">
        <v>486</v>
      </c>
      <c r="K120" s="28" t="s">
        <v>487</v>
      </c>
      <c r="L120" s="35" t="s">
        <v>205</v>
      </c>
      <c r="M120" s="21">
        <v>2024</v>
      </c>
      <c r="N120" s="15" t="s">
        <v>205</v>
      </c>
      <c r="O120" s="15"/>
      <c r="P120" s="15">
        <v>2025</v>
      </c>
      <c r="Q120" s="15"/>
      <c r="R120" s="16"/>
      <c r="S120" s="16" t="str">
        <f ca="1">IF(
  O120 &lt; YEAR(TODAY()),
  "LULUS",
  IF(
    O120 = YEAR(TODAY()),
    IF(
      MATCH(L120, {"Januari";"Februari";"Maret";"April";"Mei";"Juni";"Juli";"Agustus";"September";"Oktober";"November";"Desember"}, 0)
        &gt;= MONTH(TODAY()),
      "AKTIF (Semester " &amp;
        (INT((12*(YEAR(TODAY())-M120) + MONTH(TODAY()) -
          MATCH(L120, {"Januari";"Februari";"Maret";"April";"Mei";"Juni";"Juli";"Agustus";"September";"Oktober";"November";"Desember"}, 0)) / 6) + 1) &amp; ")",
      "LULUS"
    ),
    "AKTIF (Semester " &amp;
      (INT((12*(YEAR(TODAY())-M120) + MONTH(TODAY()) -
        MATCH(L120, {"Januari";"Februari";"Maret";"April";"Mei";"Juni";"Juli";"Agustus";"September";"Oktober";"November";"Desember"}, 0)) / 6) + 1) &amp; ")"
  )
)</f>
        <v>LULUS</v>
      </c>
      <c r="T120" s="16" t="str">
        <f ca="1">IF(O120 &lt; YEAR(TODAY()), "LULUS",
 IF(O120 = YEAR(TODAY()),
    IF(MATCH(N120, {"Januari";"Februari";"Maret";"April";"Mei";"Juni";"Juli";"Agustus";"September";"Oktober";"November";"Desember"},0)
        &lt;= MONTH(TODAY()),
        "LULUS",
        "AKTIF"),
 "AKTIF"))</f>
        <v>LULUS</v>
      </c>
      <c r="U120" s="16" t="s">
        <v>29</v>
      </c>
      <c r="V120" s="15"/>
      <c r="W120" s="15"/>
      <c r="X120" s="15"/>
      <c r="Y120" s="15"/>
      <c r="Z120" s="15"/>
    </row>
    <row r="121" spans="1:26" ht="29" customHeight="1" x14ac:dyDescent="0.35">
      <c r="A121" s="12">
        <v>120</v>
      </c>
      <c r="B121" s="25" t="s">
        <v>488</v>
      </c>
      <c r="C121" s="26" t="s">
        <v>489</v>
      </c>
      <c r="D121" s="25" t="s">
        <v>215</v>
      </c>
      <c r="E121" s="153" t="str">
        <f t="shared" si="2"/>
        <v>Laki-Laki</v>
      </c>
      <c r="F121" s="33" t="s">
        <v>490</v>
      </c>
      <c r="G121" s="25" t="s">
        <v>254</v>
      </c>
      <c r="H121" s="19" t="s">
        <v>268</v>
      </c>
      <c r="I121" s="19" t="s">
        <v>90</v>
      </c>
      <c r="J121" s="32" t="s">
        <v>190</v>
      </c>
      <c r="K121" s="28" t="s">
        <v>394</v>
      </c>
      <c r="L121" s="35" t="s">
        <v>491</v>
      </c>
      <c r="M121" s="21">
        <v>2024</v>
      </c>
      <c r="N121" s="15" t="s">
        <v>491</v>
      </c>
      <c r="O121" s="15"/>
      <c r="P121" s="15">
        <v>2025</v>
      </c>
      <c r="Q121" s="15"/>
      <c r="R121" s="16"/>
      <c r="S121" s="16" t="str">
        <f ca="1">IF(
  O121 &lt; YEAR(TODAY()),
  "LULUS",
  IF(
    O121 = YEAR(TODAY()),
    IF(
      MATCH(L121, {"Januari";"Februari";"Maret";"April";"Mei";"Juni";"Juli";"Agustus";"September";"Oktober";"November";"Desember"}, 0)
        &gt;= MONTH(TODAY()),
      "AKTIF (Semester " &amp;
        (INT((12*(YEAR(TODAY())-M121) + MONTH(TODAY()) -
          MATCH(L121, {"Januari";"Februari";"Maret";"April";"Mei";"Juni";"Juli";"Agustus";"September";"Oktober";"November";"Desember"}, 0)) / 6) + 1) &amp; ")",
      "LULUS"
    ),
    "AKTIF (Semester " &amp;
      (INT((12*(YEAR(TODAY())-M121) + MONTH(TODAY()) -
        MATCH(L121, {"Januari";"Februari";"Maret";"April";"Mei";"Juni";"Juli";"Agustus";"September";"Oktober";"November";"Desember"}, 0)) / 6) + 1) &amp; ")"
  )
)</f>
        <v>LULUS</v>
      </c>
      <c r="T121" s="16" t="str">
        <f ca="1">IF(O121 &lt; YEAR(TODAY()), "LULUS",
 IF(O121 = YEAR(TODAY()),
    IF(MATCH(N121, {"Januari";"Februari";"Maret";"April";"Mei";"Juni";"Juli";"Agustus";"September";"Oktober";"November";"Desember"},0)
        &lt;= MONTH(TODAY()),
        "LULUS",
        "AKTIF"),
 "AKTIF"))</f>
        <v>LULUS</v>
      </c>
      <c r="U121" s="16" t="s">
        <v>29</v>
      </c>
      <c r="V121" s="15"/>
      <c r="W121" s="15"/>
      <c r="X121" s="15"/>
      <c r="Y121" s="15"/>
      <c r="Z121" s="15"/>
    </row>
    <row r="122" spans="1:26" ht="29" customHeight="1" x14ac:dyDescent="0.35">
      <c r="A122" s="12">
        <v>121</v>
      </c>
      <c r="B122" s="25" t="s">
        <v>492</v>
      </c>
      <c r="C122" s="26" t="s">
        <v>493</v>
      </c>
      <c r="D122" s="25" t="s">
        <v>494</v>
      </c>
      <c r="E122" s="153" t="str">
        <f t="shared" si="2"/>
        <v>Laki-Laki</v>
      </c>
      <c r="F122" s="25" t="s">
        <v>495</v>
      </c>
      <c r="G122" s="25" t="s">
        <v>254</v>
      </c>
      <c r="H122" s="19" t="s">
        <v>330</v>
      </c>
      <c r="I122" s="19" t="s">
        <v>90</v>
      </c>
      <c r="J122" s="32" t="s">
        <v>180</v>
      </c>
      <c r="K122" s="28" t="s">
        <v>496</v>
      </c>
      <c r="L122" s="35" t="s">
        <v>205</v>
      </c>
      <c r="M122" s="21">
        <v>2024</v>
      </c>
      <c r="N122" s="15" t="s">
        <v>205</v>
      </c>
      <c r="O122" s="15"/>
      <c r="P122" s="15">
        <v>2025</v>
      </c>
      <c r="Q122" s="15"/>
      <c r="R122" s="16"/>
      <c r="S122" s="16" t="str">
        <f ca="1">IF(
  O122 &lt; YEAR(TODAY()),
  "LULUS",
  IF(
    O122 = YEAR(TODAY()),
    IF(
      MATCH(L122, {"Januari";"Februari";"Maret";"April";"Mei";"Juni";"Juli";"Agustus";"September";"Oktober";"November";"Desember"}, 0)
        &gt;= MONTH(TODAY()),
      "AKTIF (Semester " &amp;
        (INT((12*(YEAR(TODAY())-M122) + MONTH(TODAY()) -
          MATCH(L122, {"Januari";"Februari";"Maret";"April";"Mei";"Juni";"Juli";"Agustus";"September";"Oktober";"November";"Desember"}, 0)) / 6) + 1) &amp; ")",
      "LULUS"
    ),
    "AKTIF (Semester " &amp;
      (INT((12*(YEAR(TODAY())-M122) + MONTH(TODAY()) -
        MATCH(L122, {"Januari";"Februari";"Maret";"April";"Mei";"Juni";"Juli";"Agustus";"September";"Oktober";"November";"Desember"}, 0)) / 6) + 1) &amp; ")"
  )
)</f>
        <v>LULUS</v>
      </c>
      <c r="T122" s="16" t="str">
        <f ca="1">IF(O122 &lt; YEAR(TODAY()), "LULUS",
 IF(O122 = YEAR(TODAY()),
    IF(MATCH(N122, {"Januari";"Februari";"Maret";"April";"Mei";"Juni";"Juli";"Agustus";"September";"Oktober";"November";"Desember"},0)
        &lt;= MONTH(TODAY()),
        "LULUS",
        "AKTIF"),
 "AKTIF"))</f>
        <v>LULUS</v>
      </c>
      <c r="U122" s="16" t="s">
        <v>29</v>
      </c>
      <c r="V122" s="15"/>
      <c r="W122" s="15"/>
      <c r="X122" s="15"/>
      <c r="Y122" s="15"/>
      <c r="Z122" s="15"/>
    </row>
    <row r="123" spans="1:26" ht="29" customHeight="1" x14ac:dyDescent="0.35">
      <c r="A123" s="12">
        <v>122</v>
      </c>
      <c r="B123" s="25" t="s">
        <v>497</v>
      </c>
      <c r="C123" s="26" t="s">
        <v>498</v>
      </c>
      <c r="D123" s="25" t="s">
        <v>499</v>
      </c>
      <c r="E123" s="153" t="str">
        <f t="shared" si="2"/>
        <v>Laki-Laki</v>
      </c>
      <c r="F123" s="25" t="s">
        <v>500</v>
      </c>
      <c r="G123" s="25" t="s">
        <v>254</v>
      </c>
      <c r="H123" s="19" t="s">
        <v>393</v>
      </c>
      <c r="I123" s="28" t="s">
        <v>501</v>
      </c>
      <c r="J123" s="32" t="s">
        <v>502</v>
      </c>
      <c r="K123" s="28" t="s">
        <v>503</v>
      </c>
      <c r="L123" s="35" t="s">
        <v>504</v>
      </c>
      <c r="M123" s="21">
        <v>2024</v>
      </c>
      <c r="N123" s="15" t="s">
        <v>504</v>
      </c>
      <c r="O123" s="15"/>
      <c r="P123" s="15">
        <v>2025</v>
      </c>
      <c r="Q123" s="15"/>
      <c r="R123" s="16"/>
      <c r="S123" s="16" t="str">
        <f ca="1">IF(
  O123 &lt; YEAR(TODAY()),
  "LULUS",
  IF(
    O123 = YEAR(TODAY()),
    IF(
      MATCH(L123, {"Januari";"Februari";"Maret";"April";"Mei";"Juni";"Juli";"Agustus";"September";"Oktober";"November";"Desember"}, 0)
        &gt;= MONTH(TODAY()),
      "AKTIF (Semester " &amp;
        (INT((12*(YEAR(TODAY())-M123) + MONTH(TODAY()) -
          MATCH(L123, {"Januari";"Februari";"Maret";"April";"Mei";"Juni";"Juli";"Agustus";"September";"Oktober";"November";"Desember"}, 0)) / 6) + 1) &amp; ")",
      "LULUS"
    ),
    "AKTIF (Semester " &amp;
      (INT((12*(YEAR(TODAY())-M123) + MONTH(TODAY()) -
        MATCH(L123, {"Januari";"Februari";"Maret";"April";"Mei";"Juni";"Juli";"Agustus";"September";"Oktober";"November";"Desember"}, 0)) / 6) + 1) &amp; ")"
  )
)</f>
        <v>LULUS</v>
      </c>
      <c r="T123" s="16" t="str">
        <f ca="1">IF(O123 &lt; YEAR(TODAY()), "LULUS",
 IF(O123 = YEAR(TODAY()),
    IF(MATCH(N123, {"Januari";"Februari";"Maret";"April";"Mei";"Juni";"Juli";"Agustus";"September";"Oktober";"November";"Desember"},0)
        &lt;= MONTH(TODAY()),
        "LULUS",
        "AKTIF"),
 "AKTIF"))</f>
        <v>LULUS</v>
      </c>
      <c r="U123" s="16" t="s">
        <v>29</v>
      </c>
      <c r="V123" s="15"/>
      <c r="W123" s="15"/>
      <c r="X123" s="15"/>
      <c r="Y123" s="15"/>
      <c r="Z123" s="15"/>
    </row>
    <row r="124" spans="1:26" ht="29" customHeight="1" x14ac:dyDescent="0.35">
      <c r="A124" s="12">
        <v>123</v>
      </c>
      <c r="B124" s="25" t="s">
        <v>505</v>
      </c>
      <c r="C124" s="26" t="s">
        <v>506</v>
      </c>
      <c r="D124" s="26" t="s">
        <v>507</v>
      </c>
      <c r="E124" s="153" t="str">
        <f t="shared" si="2"/>
        <v>Laki-Laki</v>
      </c>
      <c r="F124" s="33" t="s">
        <v>404</v>
      </c>
      <c r="G124" s="25" t="s">
        <v>254</v>
      </c>
      <c r="H124" s="19" t="s">
        <v>285</v>
      </c>
      <c r="I124" s="28" t="s">
        <v>508</v>
      </c>
      <c r="J124" s="32" t="s">
        <v>509</v>
      </c>
      <c r="K124" s="28" t="s">
        <v>510</v>
      </c>
      <c r="L124" s="35" t="s">
        <v>511</v>
      </c>
      <c r="M124" s="21">
        <v>2024</v>
      </c>
      <c r="N124" s="15" t="s">
        <v>511</v>
      </c>
      <c r="O124" s="15"/>
      <c r="P124" s="15">
        <v>2025</v>
      </c>
      <c r="Q124" s="15"/>
      <c r="R124" s="16"/>
      <c r="S124" s="16" t="str">
        <f ca="1">IF(
  O124 &lt; YEAR(TODAY()),
  "LULUS",
  IF(
    O124 = YEAR(TODAY()),
    IF(
      MATCH(L124, {"Januari";"Februari";"Maret";"April";"Mei";"Juni";"Juli";"Agustus";"September";"Oktober";"November";"Desember"}, 0)
        &gt;= MONTH(TODAY()),
      "AKTIF (Semester " &amp;
        (INT((12*(YEAR(TODAY())-M124) + MONTH(TODAY()) -
          MATCH(L124, {"Januari";"Februari";"Maret";"April";"Mei";"Juni";"Juli";"Agustus";"September";"Oktober";"November";"Desember"}, 0)) / 6) + 1) &amp; ")",
      "LULUS"
    ),
    "AKTIF (Semester " &amp;
      (INT((12*(YEAR(TODAY())-M124) + MONTH(TODAY()) -
        MATCH(L124, {"Januari";"Februari";"Maret";"April";"Mei";"Juni";"Juli";"Agustus";"September";"Oktober";"November";"Desember"}, 0)) / 6) + 1) &amp; ")"
  )
)</f>
        <v>LULUS</v>
      </c>
      <c r="T124" s="16" t="str">
        <f ca="1">IF(O124 &lt; YEAR(TODAY()), "LULUS",
 IF(O124 = YEAR(TODAY()),
    IF(MATCH(N124, {"Januari";"Februari";"Maret";"April";"Mei";"Juni";"Juli";"Agustus";"September";"Oktober";"November";"Desember"},0)
        &lt;= MONTH(TODAY()),
        "LULUS",
        "AKTIF"),
 "AKTIF"))</f>
        <v>LULUS</v>
      </c>
      <c r="U124" s="16" t="s">
        <v>29</v>
      </c>
      <c r="V124" s="15"/>
      <c r="W124" s="15"/>
      <c r="X124" s="15"/>
      <c r="Y124" s="15"/>
      <c r="Z124" s="15"/>
    </row>
    <row r="125" spans="1:26" ht="29" customHeight="1" x14ac:dyDescent="0.35">
      <c r="A125" s="12">
        <v>124</v>
      </c>
      <c r="B125" s="25" t="s">
        <v>512</v>
      </c>
      <c r="C125" s="26" t="s">
        <v>513</v>
      </c>
      <c r="D125" s="25" t="s">
        <v>514</v>
      </c>
      <c r="E125" s="153" t="str">
        <f t="shared" si="2"/>
        <v>Perempuan</v>
      </c>
      <c r="F125" s="25" t="s">
        <v>515</v>
      </c>
      <c r="G125" s="25" t="s">
        <v>254</v>
      </c>
      <c r="H125" s="19" t="s">
        <v>516</v>
      </c>
      <c r="I125" s="28" t="s">
        <v>378</v>
      </c>
      <c r="J125" s="32" t="s">
        <v>190</v>
      </c>
      <c r="K125" s="28" t="s">
        <v>46</v>
      </c>
      <c r="L125" s="35" t="s">
        <v>511</v>
      </c>
      <c r="M125" s="21">
        <v>2024</v>
      </c>
      <c r="N125" s="15" t="s">
        <v>511</v>
      </c>
      <c r="O125" s="15"/>
      <c r="P125" s="15">
        <v>2025</v>
      </c>
      <c r="Q125" s="15"/>
      <c r="R125" s="16"/>
      <c r="S125" s="16" t="str">
        <f ca="1">IF(
  O125 &lt; YEAR(TODAY()),
  "LULUS",
  IF(
    O125 = YEAR(TODAY()),
    IF(
      MATCH(L125, {"Januari";"Februari";"Maret";"April";"Mei";"Juni";"Juli";"Agustus";"September";"Oktober";"November";"Desember"}, 0)
        &gt;= MONTH(TODAY()),
      "AKTIF (Semester " &amp;
        (INT((12*(YEAR(TODAY())-M125) + MONTH(TODAY()) -
          MATCH(L125, {"Januari";"Februari";"Maret";"April";"Mei";"Juni";"Juli";"Agustus";"September";"Oktober";"November";"Desember"}, 0)) / 6) + 1) &amp; ")",
      "LULUS"
    ),
    "AKTIF (Semester " &amp;
      (INT((12*(YEAR(TODAY())-M125) + MONTH(TODAY()) -
        MATCH(L125, {"Januari";"Februari";"Maret";"April";"Mei";"Juni";"Juli";"Agustus";"September";"Oktober";"November";"Desember"}, 0)) / 6) + 1) &amp; ")"
  )
)</f>
        <v>LULUS</v>
      </c>
      <c r="T125" s="16" t="str">
        <f ca="1">IF(O125 &lt; YEAR(TODAY()), "LULUS",
 IF(O125 = YEAR(TODAY()),
    IF(MATCH(N125, {"Januari";"Februari";"Maret";"April";"Mei";"Juni";"Juli";"Agustus";"September";"Oktober";"November";"Desember"},0)
        &lt;= MONTH(TODAY()),
        "LULUS",
        "AKTIF"),
 "AKTIF"))</f>
        <v>LULUS</v>
      </c>
      <c r="U125" s="16" t="s">
        <v>29</v>
      </c>
      <c r="V125" s="15"/>
      <c r="W125" s="15"/>
      <c r="X125" s="15"/>
      <c r="Y125" s="15"/>
      <c r="Z125" s="15"/>
    </row>
    <row r="126" spans="1:26" ht="29" customHeight="1" x14ac:dyDescent="0.35">
      <c r="A126" s="12">
        <v>125</v>
      </c>
      <c r="B126" s="25" t="s">
        <v>517</v>
      </c>
      <c r="C126" s="26" t="s">
        <v>518</v>
      </c>
      <c r="D126" s="25" t="s">
        <v>519</v>
      </c>
      <c r="E126" s="153" t="str">
        <f t="shared" si="2"/>
        <v>Laki-Laki</v>
      </c>
      <c r="F126" s="33" t="s">
        <v>383</v>
      </c>
      <c r="G126" s="25" t="s">
        <v>254</v>
      </c>
      <c r="H126" s="19" t="s">
        <v>465</v>
      </c>
      <c r="I126" s="52" t="s">
        <v>2485</v>
      </c>
      <c r="J126" s="32" t="s">
        <v>180</v>
      </c>
      <c r="K126" s="28" t="s">
        <v>521</v>
      </c>
      <c r="L126" s="29" t="s">
        <v>504</v>
      </c>
      <c r="M126" s="21">
        <v>2024</v>
      </c>
      <c r="N126" s="15" t="s">
        <v>504</v>
      </c>
      <c r="O126" s="15"/>
      <c r="P126" s="15">
        <v>2025</v>
      </c>
      <c r="Q126" s="15"/>
      <c r="R126" s="16"/>
      <c r="S126" s="16" t="str">
        <f ca="1">IF(
  O126 &lt; YEAR(TODAY()),
  "LULUS",
  IF(
    O126 = YEAR(TODAY()),
    IF(
      MATCH(L126, {"Januari";"Februari";"Maret";"April";"Mei";"Juni";"Juli";"Agustus";"September";"Oktober";"November";"Desember"}, 0)
        &gt;= MONTH(TODAY()),
      "AKTIF (Semester " &amp;
        (INT((12*(YEAR(TODAY())-M126) + MONTH(TODAY()) -
          MATCH(L126, {"Januari";"Februari";"Maret";"April";"Mei";"Juni";"Juli";"Agustus";"September";"Oktober";"November";"Desember"}, 0)) / 6) + 1) &amp; ")",
      "LULUS"
    ),
    "AKTIF (Semester " &amp;
      (INT((12*(YEAR(TODAY())-M126) + MONTH(TODAY()) -
        MATCH(L126, {"Januari";"Februari";"Maret";"April";"Mei";"Juni";"Juli";"Agustus";"September";"Oktober";"November";"Desember"}, 0)) / 6) + 1) &amp; ")"
  )
)</f>
        <v>LULUS</v>
      </c>
      <c r="T126" s="16" t="str">
        <f ca="1">IF(O126 &lt; YEAR(TODAY()), "LULUS",
 IF(O126 = YEAR(TODAY()),
    IF(MATCH(N126, {"Januari";"Februari";"Maret";"April";"Mei";"Juni";"Juli";"Agustus";"September";"Oktober";"November";"Desember"},0)
        &lt;= MONTH(TODAY()),
        "LULUS",
        "AKTIF"),
 "AKTIF"))</f>
        <v>LULUS</v>
      </c>
      <c r="U126" s="16" t="s">
        <v>29</v>
      </c>
      <c r="V126" s="15"/>
      <c r="W126" s="15"/>
      <c r="X126" s="15"/>
      <c r="Y126" s="15"/>
      <c r="Z126" s="15"/>
    </row>
    <row r="127" spans="1:26" ht="29" customHeight="1" x14ac:dyDescent="0.35">
      <c r="A127" s="12">
        <v>126</v>
      </c>
      <c r="B127" s="25" t="s">
        <v>522</v>
      </c>
      <c r="C127" s="26" t="s">
        <v>523</v>
      </c>
      <c r="D127" s="25" t="s">
        <v>519</v>
      </c>
      <c r="E127" s="153" t="str">
        <f t="shared" si="2"/>
        <v>Laki-Laki</v>
      </c>
      <c r="F127" s="33" t="s">
        <v>383</v>
      </c>
      <c r="G127" s="25" t="s">
        <v>254</v>
      </c>
      <c r="H127" s="19" t="s">
        <v>276</v>
      </c>
      <c r="I127" s="28" t="s">
        <v>485</v>
      </c>
      <c r="J127" s="32" t="s">
        <v>180</v>
      </c>
      <c r="K127" s="28" t="s">
        <v>286</v>
      </c>
      <c r="L127" s="35" t="s">
        <v>511</v>
      </c>
      <c r="M127" s="21">
        <v>2024</v>
      </c>
      <c r="N127" s="15" t="s">
        <v>511</v>
      </c>
      <c r="O127" s="15"/>
      <c r="P127" s="15">
        <v>2025</v>
      </c>
      <c r="Q127" s="15"/>
      <c r="R127" s="16"/>
      <c r="S127" s="16" t="str">
        <f ca="1">IF(
  O127 &lt; YEAR(TODAY()),
  "LULUS",
  IF(
    O127 = YEAR(TODAY()),
    IF(
      MATCH(L127, {"Januari";"Februari";"Maret";"April";"Mei";"Juni";"Juli";"Agustus";"September";"Oktober";"November";"Desember"}, 0)
        &gt;= MONTH(TODAY()),
      "AKTIF (Semester " &amp;
        (INT((12*(YEAR(TODAY())-M127) + MONTH(TODAY()) -
          MATCH(L127, {"Januari";"Februari";"Maret";"April";"Mei";"Juni";"Juli";"Agustus";"September";"Oktober";"November";"Desember"}, 0)) / 6) + 1) &amp; ")",
      "LULUS"
    ),
    "AKTIF (Semester " &amp;
      (INT((12*(YEAR(TODAY())-M127) + MONTH(TODAY()) -
        MATCH(L127, {"Januari";"Februari";"Maret";"April";"Mei";"Juni";"Juli";"Agustus";"September";"Oktober";"November";"Desember"}, 0)) / 6) + 1) &amp; ")"
  )
)</f>
        <v>LULUS</v>
      </c>
      <c r="T127" s="16" t="str">
        <f ca="1">IF(O127 &lt; YEAR(TODAY()), "LULUS",
 IF(O127 = YEAR(TODAY()),
    IF(MATCH(N127, {"Januari";"Februari";"Maret";"April";"Mei";"Juni";"Juli";"Agustus";"September";"Oktober";"November";"Desember"},0)
        &lt;= MONTH(TODAY()),
        "LULUS",
        "AKTIF"),
 "AKTIF"))</f>
        <v>LULUS</v>
      </c>
      <c r="U127" s="16" t="s">
        <v>29</v>
      </c>
      <c r="V127" s="15"/>
      <c r="W127" s="15"/>
      <c r="X127" s="15"/>
      <c r="Y127" s="15"/>
      <c r="Z127" s="15"/>
    </row>
    <row r="128" spans="1:26" ht="29" customHeight="1" x14ac:dyDescent="0.35">
      <c r="A128" s="12">
        <v>127</v>
      </c>
      <c r="B128" s="25" t="s">
        <v>524</v>
      </c>
      <c r="C128" s="26" t="s">
        <v>525</v>
      </c>
      <c r="D128" s="25" t="s">
        <v>172</v>
      </c>
      <c r="E128" s="153" t="str">
        <f t="shared" si="2"/>
        <v>Perempuan</v>
      </c>
      <c r="F128" s="25" t="s">
        <v>526</v>
      </c>
      <c r="G128" s="25" t="s">
        <v>254</v>
      </c>
      <c r="H128" s="19" t="s">
        <v>527</v>
      </c>
      <c r="I128" s="19" t="s">
        <v>2931</v>
      </c>
      <c r="J128" s="32" t="s">
        <v>180</v>
      </c>
      <c r="K128" s="28" t="s">
        <v>40</v>
      </c>
      <c r="L128" s="29" t="s">
        <v>504</v>
      </c>
      <c r="M128" s="21">
        <v>2024</v>
      </c>
      <c r="N128" s="15" t="s">
        <v>504</v>
      </c>
      <c r="O128" s="15"/>
      <c r="P128" s="15">
        <v>2025</v>
      </c>
      <c r="Q128" s="15"/>
      <c r="R128" s="16"/>
      <c r="S128" s="16" t="str">
        <f ca="1">IF(
  O128 &lt; YEAR(TODAY()),
  "LULUS",
  IF(
    O128 = YEAR(TODAY()),
    IF(
      MATCH(L128, {"Januari";"Februari";"Maret";"April";"Mei";"Juni";"Juli";"Agustus";"September";"Oktober";"November";"Desember"}, 0)
        &gt;= MONTH(TODAY()),
      "AKTIF (Semester " &amp;
        (INT((12*(YEAR(TODAY())-M128) + MONTH(TODAY()) -
          MATCH(L128, {"Januari";"Februari";"Maret";"April";"Mei";"Juni";"Juli";"Agustus";"September";"Oktober";"November";"Desember"}, 0)) / 6) + 1) &amp; ")",
      "LULUS"
    ),
    "AKTIF (Semester " &amp;
      (INT((12*(YEAR(TODAY())-M128) + MONTH(TODAY()) -
        MATCH(L128, {"Januari";"Februari";"Maret";"April";"Mei";"Juni";"Juli";"Agustus";"September";"Oktober";"November";"Desember"}, 0)) / 6) + 1) &amp; ")"
  )
)</f>
        <v>LULUS</v>
      </c>
      <c r="T128" s="16" t="str">
        <f ca="1">IF(O128 &lt; YEAR(TODAY()), "LULUS",
 IF(O128 = YEAR(TODAY()),
    IF(MATCH(N128, {"Januari";"Februari";"Maret";"April";"Mei";"Juni";"Juli";"Agustus";"September";"Oktober";"November";"Desember"},0)
        &lt;= MONTH(TODAY()),
        "LULUS",
        "AKTIF"),
 "AKTIF"))</f>
        <v>LULUS</v>
      </c>
      <c r="U128" s="16" t="s">
        <v>29</v>
      </c>
      <c r="V128" s="15"/>
      <c r="W128" s="15"/>
      <c r="X128" s="15"/>
      <c r="Y128" s="15"/>
      <c r="Z128" s="15"/>
    </row>
    <row r="129" spans="1:26" ht="29" customHeight="1" x14ac:dyDescent="0.35">
      <c r="A129" s="12">
        <v>128</v>
      </c>
      <c r="B129" s="25" t="s">
        <v>529</v>
      </c>
      <c r="C129" s="26" t="s">
        <v>530</v>
      </c>
      <c r="D129" s="25" t="s">
        <v>188</v>
      </c>
      <c r="E129" s="153" t="str">
        <f t="shared" si="2"/>
        <v>Laki-Laki</v>
      </c>
      <c r="F129" s="33" t="s">
        <v>404</v>
      </c>
      <c r="G129" s="25" t="s">
        <v>254</v>
      </c>
      <c r="H129" s="19" t="s">
        <v>531</v>
      </c>
      <c r="I129" s="28" t="s">
        <v>241</v>
      </c>
      <c r="J129" s="32" t="s">
        <v>509</v>
      </c>
      <c r="K129" s="28" t="s">
        <v>243</v>
      </c>
      <c r="L129" s="35" t="s">
        <v>532</v>
      </c>
      <c r="M129" s="21">
        <v>2025</v>
      </c>
      <c r="N129" s="15" t="s">
        <v>532</v>
      </c>
      <c r="O129" s="15"/>
      <c r="P129" s="15">
        <v>2025</v>
      </c>
      <c r="Q129" s="15"/>
      <c r="R129" s="16"/>
      <c r="S129" s="16" t="str">
        <f ca="1">IF(
  O129 &lt; YEAR(TODAY()),
  "LULUS",
  IF(
    O129 = YEAR(TODAY()),
    IF(
      MATCH(L129, {"Januari";"Februari";"Maret";"April";"Mei";"Juni";"Juli";"Agustus";"September";"Oktober";"November";"Desember"}, 0)
        &gt;= MONTH(TODAY()),
      "AKTIF (Semester " &amp;
        (INT((12*(YEAR(TODAY())-M129) + MONTH(TODAY()) -
          MATCH(L129, {"Januari";"Februari";"Maret";"April";"Mei";"Juni";"Juli";"Agustus";"September";"Oktober";"November";"Desember"}, 0)) / 6) + 1) &amp; ")",
      "LULUS"
    ),
    "AKTIF (Semester " &amp;
      (INT((12*(YEAR(TODAY())-M129) + MONTH(TODAY()) -
        MATCH(L129, {"Januari";"Februari";"Maret";"April";"Mei";"Juni";"Juli";"Agustus";"September";"Oktober";"November";"Desember"}, 0)) / 6) + 1) &amp; ")"
  )
)</f>
        <v>LULUS</v>
      </c>
      <c r="T129" s="16" t="str">
        <f ca="1">IF(O129 &lt; YEAR(TODAY()), "LULUS",
 IF(O129 = YEAR(TODAY()),
    IF(MATCH(N129, {"Januari";"Februari";"Maret";"April";"Mei";"Juni";"Juli";"Agustus";"September";"Oktober";"November";"Desember"},0)
        &lt;= MONTH(TODAY()),
        "LULUS",
        "AKTIF"),
 "AKTIF"))</f>
        <v>LULUS</v>
      </c>
      <c r="U129" s="16" t="s">
        <v>29</v>
      </c>
      <c r="V129" s="15"/>
      <c r="W129" s="15"/>
      <c r="X129" s="15"/>
      <c r="Y129" s="15"/>
      <c r="Z129" s="15"/>
    </row>
    <row r="130" spans="1:26" ht="29" customHeight="1" x14ac:dyDescent="0.35">
      <c r="A130" s="12">
        <v>129</v>
      </c>
      <c r="B130" s="25" t="s">
        <v>533</v>
      </c>
      <c r="C130" s="26" t="s">
        <v>534</v>
      </c>
      <c r="D130" s="25" t="s">
        <v>211</v>
      </c>
      <c r="E130" s="153" t="str">
        <f t="shared" si="2"/>
        <v>Perempuan</v>
      </c>
      <c r="F130" s="25" t="s">
        <v>397</v>
      </c>
      <c r="G130" s="25" t="s">
        <v>254</v>
      </c>
      <c r="H130" s="19" t="s">
        <v>535</v>
      </c>
      <c r="I130" s="28" t="s">
        <v>536</v>
      </c>
      <c r="J130" s="36" t="s">
        <v>190</v>
      </c>
      <c r="K130" s="28" t="s">
        <v>63</v>
      </c>
      <c r="L130" s="29" t="s">
        <v>504</v>
      </c>
      <c r="M130" s="21">
        <v>2024</v>
      </c>
      <c r="N130" s="15" t="s">
        <v>504</v>
      </c>
      <c r="O130" s="15"/>
      <c r="P130" s="15">
        <v>2025</v>
      </c>
      <c r="Q130" s="15"/>
      <c r="R130" s="16"/>
      <c r="S130" s="16" t="str">
        <f ca="1">IF(
  O130 &lt; YEAR(TODAY()),
  "LULUS",
  IF(
    O130 = YEAR(TODAY()),
    IF(
      MATCH(L130, {"Januari";"Februari";"Maret";"April";"Mei";"Juni";"Juli";"Agustus";"September";"Oktober";"November";"Desember"}, 0)
        &gt;= MONTH(TODAY()),
      "AKTIF (Semester " &amp;
        (INT((12*(YEAR(TODAY())-M130) + MONTH(TODAY()) -
          MATCH(L130, {"Januari";"Februari";"Maret";"April";"Mei";"Juni";"Juli";"Agustus";"September";"Oktober";"November";"Desember"}, 0)) / 6) + 1) &amp; ")",
      "LULUS"
    ),
    "AKTIF (Semester " &amp;
      (INT((12*(YEAR(TODAY())-M130) + MONTH(TODAY()) -
        MATCH(L130, {"Januari";"Februari";"Maret";"April";"Mei";"Juni";"Juli";"Agustus";"September";"Oktober";"November";"Desember"}, 0)) / 6) + 1) &amp; ")"
  )
)</f>
        <v>LULUS</v>
      </c>
      <c r="T130" s="16" t="str">
        <f ca="1">IF(O130 &lt; YEAR(TODAY()), "LULUS",
 IF(O130 = YEAR(TODAY()),
    IF(MATCH(N130, {"Januari";"Februari";"Maret";"April";"Mei";"Juni";"Juli";"Agustus";"September";"Oktober";"November";"Desember"},0)
        &lt;= MONTH(TODAY()),
        "LULUS",
        "AKTIF"),
 "AKTIF"))</f>
        <v>LULUS</v>
      </c>
      <c r="U130" s="16" t="s">
        <v>29</v>
      </c>
      <c r="V130" s="15"/>
      <c r="W130" s="15"/>
      <c r="X130" s="15"/>
      <c r="Y130" s="15"/>
      <c r="Z130" s="15"/>
    </row>
    <row r="131" spans="1:26" ht="29" customHeight="1" x14ac:dyDescent="0.35">
      <c r="A131" s="12">
        <v>130</v>
      </c>
      <c r="B131" s="25" t="s">
        <v>537</v>
      </c>
      <c r="C131" s="26" t="s">
        <v>538</v>
      </c>
      <c r="D131" s="25" t="s">
        <v>539</v>
      </c>
      <c r="E131" s="153" t="str">
        <f t="shared" si="2"/>
        <v>Laki-Laki</v>
      </c>
      <c r="F131" s="25" t="s">
        <v>540</v>
      </c>
      <c r="G131" s="25" t="s">
        <v>254</v>
      </c>
      <c r="H131" s="19" t="s">
        <v>465</v>
      </c>
      <c r="I131" s="27" t="s">
        <v>466</v>
      </c>
      <c r="J131" s="12" t="s">
        <v>190</v>
      </c>
      <c r="K131" s="28" t="s">
        <v>449</v>
      </c>
      <c r="L131" s="37" t="s">
        <v>145</v>
      </c>
      <c r="M131" s="21">
        <v>2024</v>
      </c>
      <c r="N131" s="15" t="s">
        <v>145</v>
      </c>
      <c r="O131" s="15"/>
      <c r="P131" s="15">
        <v>2025</v>
      </c>
      <c r="Q131" s="15"/>
      <c r="R131" s="16"/>
      <c r="S131" s="16" t="str">
        <f ca="1">IF(
  O131 &lt; YEAR(TODAY()),
  "LULUS",
  IF(
    O131 = YEAR(TODAY()),
    IF(
      MATCH(L131, {"Januari";"Februari";"Maret";"April";"Mei";"Juni";"Juli";"Agustus";"September";"Oktober";"November";"Desember"}, 0)
        &gt;= MONTH(TODAY()),
      "AKTIF (Semester " &amp;
        (INT((12*(YEAR(TODAY())-M131) + MONTH(TODAY()) -
          MATCH(L131, {"Januari";"Februari";"Maret";"April";"Mei";"Juni";"Juli";"Agustus";"September";"Oktober";"November";"Desember"}, 0)) / 6) + 1) &amp; ")",
      "LULUS"
    ),
    "AKTIF (Semester " &amp;
      (INT((12*(YEAR(TODAY())-M131) + MONTH(TODAY()) -
        MATCH(L131, {"Januari";"Februari";"Maret";"April";"Mei";"Juni";"Juli";"Agustus";"September";"Oktober";"November";"Desember"}, 0)) / 6) + 1) &amp; ")"
  )
)</f>
        <v>LULUS</v>
      </c>
      <c r="T131" s="16" t="str">
        <f ca="1">IF(O131 &lt; YEAR(TODAY()), "LULUS",
 IF(O131 = YEAR(TODAY()),
    IF(MATCH(N131, {"Januari";"Februari";"Maret";"April";"Mei";"Juni";"Juli";"Agustus";"September";"Oktober";"November";"Desember"},0)
        &lt;= MONTH(TODAY()),
        "LULUS",
        "AKTIF"),
 "AKTIF"))</f>
        <v>LULUS</v>
      </c>
      <c r="U131" s="16" t="s">
        <v>29</v>
      </c>
      <c r="V131" s="15"/>
      <c r="W131" s="15"/>
      <c r="X131" s="15"/>
      <c r="Y131" s="15"/>
      <c r="Z131" s="15"/>
    </row>
    <row r="132" spans="1:26" ht="29" customHeight="1" x14ac:dyDescent="0.35">
      <c r="A132" s="12">
        <v>131</v>
      </c>
      <c r="B132" s="38" t="s">
        <v>541</v>
      </c>
      <c r="C132" s="39" t="s">
        <v>542</v>
      </c>
      <c r="D132" s="38" t="s">
        <v>211</v>
      </c>
      <c r="E132" s="153" t="str">
        <f t="shared" si="2"/>
        <v>Laki-Laki</v>
      </c>
      <c r="F132" s="38" t="s">
        <v>397</v>
      </c>
      <c r="G132" s="38" t="s">
        <v>254</v>
      </c>
      <c r="H132" s="40" t="s">
        <v>276</v>
      </c>
      <c r="I132" s="41" t="s">
        <v>485</v>
      </c>
      <c r="J132" s="42" t="s">
        <v>190</v>
      </c>
      <c r="K132" s="41" t="s">
        <v>449</v>
      </c>
      <c r="L132" s="34" t="s">
        <v>205</v>
      </c>
      <c r="M132" s="21">
        <v>2024</v>
      </c>
      <c r="N132" s="15" t="s">
        <v>205</v>
      </c>
      <c r="O132" s="15"/>
      <c r="P132" s="15">
        <v>2025</v>
      </c>
      <c r="Q132" s="15"/>
      <c r="R132" s="16"/>
      <c r="S132" s="16" t="str">
        <f ca="1">IF(
  O132 &lt; YEAR(TODAY()),
  "LULUS",
  IF(
    O132 = YEAR(TODAY()),
    IF(
      MATCH(L132, {"Januari";"Februari";"Maret";"April";"Mei";"Juni";"Juli";"Agustus";"September";"Oktober";"November";"Desember"}, 0)
        &gt;= MONTH(TODAY()),
      "AKTIF (Semester " &amp;
        (INT((12*(YEAR(TODAY())-M132) + MONTH(TODAY()) -
          MATCH(L132, {"Januari";"Februari";"Maret";"April";"Mei";"Juni";"Juli";"Agustus";"September";"Oktober";"November";"Desember"}, 0)) / 6) + 1) &amp; ")",
      "LULUS"
    ),
    "AKTIF (Semester " &amp;
      (INT((12*(YEAR(TODAY())-M132) + MONTH(TODAY()) -
        MATCH(L132, {"Januari";"Februari";"Maret";"April";"Mei";"Juni";"Juli";"Agustus";"September";"Oktober";"November";"Desember"}, 0)) / 6) + 1) &amp; ")"
  )
)</f>
        <v>LULUS</v>
      </c>
      <c r="T132" s="16" t="str">
        <f ca="1">IF(O132 &lt; YEAR(TODAY()), "LULUS",
 IF(O132 = YEAR(TODAY()),
    IF(MATCH(N132, {"Januari";"Februari";"Maret";"April";"Mei";"Juni";"Juli";"Agustus";"September";"Oktober";"November";"Desember"},0)
        &lt;= MONTH(TODAY()),
        "LULUS",
        "AKTIF"),
 "AKTIF"))</f>
        <v>LULUS</v>
      </c>
      <c r="U132" s="16" t="s">
        <v>29</v>
      </c>
      <c r="V132" s="15"/>
      <c r="W132" s="15"/>
      <c r="X132" s="15"/>
      <c r="Y132" s="15"/>
      <c r="Z132" s="15"/>
    </row>
    <row r="133" spans="1:26" ht="29" customHeight="1" x14ac:dyDescent="0.35">
      <c r="A133" s="12">
        <v>132</v>
      </c>
      <c r="B133" s="13" t="s">
        <v>543</v>
      </c>
      <c r="C133" s="14" t="s">
        <v>544</v>
      </c>
      <c r="D133" s="13" t="s">
        <v>507</v>
      </c>
      <c r="E133" s="153" t="str">
        <f t="shared" si="2"/>
        <v>Laki-Laki</v>
      </c>
      <c r="F133" s="13" t="s">
        <v>545</v>
      </c>
      <c r="G133" s="38" t="s">
        <v>254</v>
      </c>
      <c r="H133" s="15" t="s">
        <v>330</v>
      </c>
      <c r="I133" s="15" t="s">
        <v>241</v>
      </c>
      <c r="J133" s="12" t="s">
        <v>509</v>
      </c>
      <c r="K133" s="16" t="s">
        <v>243</v>
      </c>
      <c r="L133" s="34" t="s">
        <v>205</v>
      </c>
      <c r="M133" s="21">
        <v>2025</v>
      </c>
      <c r="N133" s="15" t="s">
        <v>205</v>
      </c>
      <c r="O133" s="15"/>
      <c r="P133" s="15">
        <v>2025</v>
      </c>
      <c r="Q133" s="15"/>
      <c r="R133" s="16"/>
      <c r="S133" s="16" t="str">
        <f ca="1">IF(
  O133 &lt; YEAR(TODAY()),
  "LULUS",
  IF(
    O133 = YEAR(TODAY()),
    IF(
      MATCH(L133, {"Januari";"Februari";"Maret";"April";"Mei";"Juni";"Juli";"Agustus";"September";"Oktober";"November";"Desember"}, 0)
        &gt;= MONTH(TODAY()),
      "AKTIF (Semester " &amp;
        (INT((12*(YEAR(TODAY())-M133) + MONTH(TODAY()) -
          MATCH(L133, {"Januari";"Februari";"Maret";"April";"Mei";"Juni";"Juli";"Agustus";"September";"Oktober";"November";"Desember"}, 0)) / 6) + 1) &amp; ")",
      "LULUS"
    ),
    "AKTIF (Semester " &amp;
      (INT((12*(YEAR(TODAY())-M133) + MONTH(TODAY()) -
        MATCH(L133, {"Januari";"Februari";"Maret";"April";"Mei";"Juni";"Juli";"Agustus";"September";"Oktober";"November";"Desember"}, 0)) / 6) + 1) &amp; ")"
  )
)</f>
        <v>LULUS</v>
      </c>
      <c r="T133" s="16" t="str">
        <f ca="1">IF(O133 &lt; YEAR(TODAY()), "LULUS",
 IF(O133 = YEAR(TODAY()),
    IF(MATCH(N133, {"Januari";"Februari";"Maret";"April";"Mei";"Juni";"Juli";"Agustus";"September";"Oktober";"November";"Desember"},0)
        &lt;= MONTH(TODAY()),
        "LULUS",
        "AKTIF"),
 "AKTIF"))</f>
        <v>LULUS</v>
      </c>
      <c r="U133" s="16" t="s">
        <v>29</v>
      </c>
      <c r="V133" s="15"/>
      <c r="W133" s="15"/>
      <c r="X133" s="15"/>
      <c r="Y133" s="15"/>
      <c r="Z133" s="15"/>
    </row>
    <row r="134" spans="1:26" ht="29" customHeight="1" x14ac:dyDescent="0.35">
      <c r="A134" s="12">
        <v>133</v>
      </c>
      <c r="B134" s="13" t="s">
        <v>546</v>
      </c>
      <c r="C134" s="14" t="s">
        <v>547</v>
      </c>
      <c r="D134" s="13" t="s">
        <v>188</v>
      </c>
      <c r="E134" s="153" t="str">
        <f t="shared" si="2"/>
        <v>Laki-Laki</v>
      </c>
      <c r="F134" s="18" t="s">
        <v>548</v>
      </c>
      <c r="G134" s="38" t="s">
        <v>254</v>
      </c>
      <c r="H134" s="15" t="s">
        <v>330</v>
      </c>
      <c r="I134" s="15" t="s">
        <v>549</v>
      </c>
      <c r="J134" s="12" t="s">
        <v>190</v>
      </c>
      <c r="K134" s="15" t="s">
        <v>46</v>
      </c>
      <c r="L134" s="34" t="s">
        <v>205</v>
      </c>
      <c r="M134" s="21">
        <v>2024</v>
      </c>
      <c r="N134" s="15" t="s">
        <v>205</v>
      </c>
      <c r="O134" s="15"/>
      <c r="P134" s="15">
        <v>2025</v>
      </c>
      <c r="Q134" s="15"/>
      <c r="R134" s="16"/>
      <c r="S134" s="16" t="str">
        <f ca="1">IF(
  O134 &lt; YEAR(TODAY()),
  "LULUS",
  IF(
    O134 = YEAR(TODAY()),
    IF(
      MATCH(L134, {"Januari";"Februari";"Maret";"April";"Mei";"Juni";"Juli";"Agustus";"September";"Oktober";"November";"Desember"}, 0)
        &gt;= MONTH(TODAY()),
      "AKTIF (Semester " &amp;
        (INT((12*(YEAR(TODAY())-M134) + MONTH(TODAY()) -
          MATCH(L134, {"Januari";"Februari";"Maret";"April";"Mei";"Juni";"Juli";"Agustus";"September";"Oktober";"November";"Desember"}, 0)) / 6) + 1) &amp; ")",
      "LULUS"
    ),
    "AKTIF (Semester " &amp;
      (INT((12*(YEAR(TODAY())-M134) + MONTH(TODAY()) -
        MATCH(L134, {"Januari";"Februari";"Maret";"April";"Mei";"Juni";"Juli";"Agustus";"September";"Oktober";"November";"Desember"}, 0)) / 6) + 1) &amp; ")"
  )
)</f>
        <v>LULUS</v>
      </c>
      <c r="T134" s="16" t="str">
        <f ca="1">IF(O134 &lt; YEAR(TODAY()), "LULUS",
 IF(O134 = YEAR(TODAY()),
    IF(MATCH(N134, {"Januari";"Februari";"Maret";"April";"Mei";"Juni";"Juli";"Agustus";"September";"Oktober";"November";"Desember"},0)
        &lt;= MONTH(TODAY()),
        "LULUS",
        "AKTIF"),
 "AKTIF"))</f>
        <v>LULUS</v>
      </c>
      <c r="U134" s="16" t="s">
        <v>29</v>
      </c>
      <c r="V134" s="15"/>
      <c r="W134" s="15"/>
      <c r="X134" s="15"/>
      <c r="Y134" s="15"/>
      <c r="Z134" s="15"/>
    </row>
    <row r="135" spans="1:26" ht="29" customHeight="1" x14ac:dyDescent="0.35">
      <c r="A135" s="12">
        <v>134</v>
      </c>
      <c r="B135" s="13" t="s">
        <v>550</v>
      </c>
      <c r="C135" s="14" t="s">
        <v>551</v>
      </c>
      <c r="D135" s="13" t="s">
        <v>188</v>
      </c>
      <c r="E135" s="153" t="str">
        <f t="shared" si="2"/>
        <v>Laki-Laki</v>
      </c>
      <c r="F135" s="18" t="s">
        <v>404</v>
      </c>
      <c r="G135" s="38" t="s">
        <v>254</v>
      </c>
      <c r="H135" s="15" t="s">
        <v>531</v>
      </c>
      <c r="I135" s="15" t="s">
        <v>241</v>
      </c>
      <c r="J135" s="12" t="s">
        <v>509</v>
      </c>
      <c r="K135" s="16" t="s">
        <v>243</v>
      </c>
      <c r="L135" s="34" t="s">
        <v>532</v>
      </c>
      <c r="M135" s="21">
        <v>2025</v>
      </c>
      <c r="N135" s="15" t="s">
        <v>532</v>
      </c>
      <c r="O135" s="15"/>
      <c r="P135" s="15">
        <v>2025</v>
      </c>
      <c r="Q135" s="15"/>
      <c r="R135" s="16"/>
      <c r="S135" s="16" t="str">
        <f ca="1">IF(
  O135 &lt; YEAR(TODAY()),
  "LULUS",
  IF(
    O135 = YEAR(TODAY()),
    IF(
      MATCH(L135, {"Januari";"Februari";"Maret";"April";"Mei";"Juni";"Juli";"Agustus";"September";"Oktober";"November";"Desember"}, 0)
        &gt;= MONTH(TODAY()),
      "AKTIF (Semester " &amp;
        (INT((12*(YEAR(TODAY())-M135) + MONTH(TODAY()) -
          MATCH(L135, {"Januari";"Februari";"Maret";"April";"Mei";"Juni";"Juli";"Agustus";"September";"Oktober";"November";"Desember"}, 0)) / 6) + 1) &amp; ")",
      "LULUS"
    ),
    "AKTIF (Semester " &amp;
      (INT((12*(YEAR(TODAY())-M135) + MONTH(TODAY()) -
        MATCH(L135, {"Januari";"Februari";"Maret";"April";"Mei";"Juni";"Juli";"Agustus";"September";"Oktober";"November";"Desember"}, 0)) / 6) + 1) &amp; ")"
  )
)</f>
        <v>LULUS</v>
      </c>
      <c r="T135" s="16" t="str">
        <f ca="1">IF(O135 &lt; YEAR(TODAY()), "LULUS",
 IF(O135 = YEAR(TODAY()),
    IF(MATCH(N135, {"Januari";"Februari";"Maret";"April";"Mei";"Juni";"Juli";"Agustus";"September";"Oktober";"November";"Desember"},0)
        &lt;= MONTH(TODAY()),
        "LULUS",
        "AKTIF"),
 "AKTIF"))</f>
        <v>LULUS</v>
      </c>
      <c r="U135" s="16" t="s">
        <v>29</v>
      </c>
      <c r="V135" s="15"/>
      <c r="W135" s="15"/>
      <c r="X135" s="15"/>
      <c r="Y135" s="15"/>
      <c r="Z135" s="15"/>
    </row>
    <row r="136" spans="1:26" ht="29" customHeight="1" x14ac:dyDescent="0.35">
      <c r="A136" s="12">
        <v>135</v>
      </c>
      <c r="B136" s="13" t="s">
        <v>552</v>
      </c>
      <c r="C136" s="14" t="s">
        <v>553</v>
      </c>
      <c r="D136" s="13" t="s">
        <v>554</v>
      </c>
      <c r="E136" s="153" t="str">
        <f t="shared" si="2"/>
        <v>Perempuan</v>
      </c>
      <c r="F136" s="13" t="s">
        <v>555</v>
      </c>
      <c r="G136" s="38" t="s">
        <v>254</v>
      </c>
      <c r="H136" s="15" t="s">
        <v>417</v>
      </c>
      <c r="I136" s="15" t="s">
        <v>241</v>
      </c>
      <c r="J136" s="12" t="s">
        <v>509</v>
      </c>
      <c r="K136" s="16" t="s">
        <v>243</v>
      </c>
      <c r="L136" s="34" t="s">
        <v>205</v>
      </c>
      <c r="M136" s="21">
        <v>2024</v>
      </c>
      <c r="N136" s="15" t="s">
        <v>205</v>
      </c>
      <c r="O136" s="15"/>
      <c r="P136" s="15">
        <v>2025</v>
      </c>
      <c r="Q136" s="15"/>
      <c r="R136" s="16"/>
      <c r="S136" s="16" t="str">
        <f ca="1">IF(
  O136 &lt; YEAR(TODAY()),
  "LULUS",
  IF(
    O136 = YEAR(TODAY()),
    IF(
      MATCH(L136, {"Januari";"Februari";"Maret";"April";"Mei";"Juni";"Juli";"Agustus";"September";"Oktober";"November";"Desember"}, 0)
        &gt;= MONTH(TODAY()),
      "AKTIF (Semester " &amp;
        (INT((12*(YEAR(TODAY())-M136) + MONTH(TODAY()) -
          MATCH(L136, {"Januari";"Februari";"Maret";"April";"Mei";"Juni";"Juli";"Agustus";"September";"Oktober";"November";"Desember"}, 0)) / 6) + 1) &amp; ")",
      "LULUS"
    ),
    "AKTIF (Semester " &amp;
      (INT((12*(YEAR(TODAY())-M136) + MONTH(TODAY()) -
        MATCH(L136, {"Januari";"Februari";"Maret";"April";"Mei";"Juni";"Juli";"Agustus";"September";"Oktober";"November";"Desember"}, 0)) / 6) + 1) &amp; ")"
  )
)</f>
        <v>LULUS</v>
      </c>
      <c r="T136" s="16" t="str">
        <f ca="1">IF(O136 &lt; YEAR(TODAY()), "LULUS",
 IF(O136 = YEAR(TODAY()),
    IF(MATCH(N136, {"Januari";"Februari";"Maret";"April";"Mei";"Juni";"Juli";"Agustus";"September";"Oktober";"November";"Desember"},0)
        &lt;= MONTH(TODAY()),
        "LULUS",
        "AKTIF"),
 "AKTIF"))</f>
        <v>LULUS</v>
      </c>
      <c r="U136" s="16" t="s">
        <v>29</v>
      </c>
      <c r="V136" s="15"/>
      <c r="W136" s="15"/>
      <c r="X136" s="15"/>
      <c r="Y136" s="15"/>
      <c r="Z136" s="15"/>
    </row>
    <row r="137" spans="1:26" ht="29" customHeight="1" x14ac:dyDescent="0.35">
      <c r="A137" s="12">
        <v>136</v>
      </c>
      <c r="B137" s="13" t="s">
        <v>556</v>
      </c>
      <c r="C137" s="14" t="s">
        <v>557</v>
      </c>
      <c r="D137" s="13" t="s">
        <v>188</v>
      </c>
      <c r="E137" s="153" t="str">
        <f t="shared" si="2"/>
        <v>Laki-Laki</v>
      </c>
      <c r="F137" s="13" t="s">
        <v>558</v>
      </c>
      <c r="G137" s="38" t="s">
        <v>254</v>
      </c>
      <c r="H137" s="15" t="s">
        <v>330</v>
      </c>
      <c r="I137" s="15" t="s">
        <v>241</v>
      </c>
      <c r="J137" s="12" t="s">
        <v>509</v>
      </c>
      <c r="K137" s="16" t="s">
        <v>243</v>
      </c>
      <c r="L137" s="34" t="s">
        <v>205</v>
      </c>
      <c r="M137" s="21">
        <v>2024</v>
      </c>
      <c r="N137" s="15" t="s">
        <v>205</v>
      </c>
      <c r="O137" s="15"/>
      <c r="P137" s="15">
        <v>2025</v>
      </c>
      <c r="Q137" s="15"/>
      <c r="R137" s="16"/>
      <c r="S137" s="16" t="str">
        <f ca="1">IF(
  O137 &lt; YEAR(TODAY()),
  "LULUS",
  IF(
    O137 = YEAR(TODAY()),
    IF(
      MATCH(L137, {"Januari";"Februari";"Maret";"April";"Mei";"Juni";"Juli";"Agustus";"September";"Oktober";"November";"Desember"}, 0)
        &gt;= MONTH(TODAY()),
      "AKTIF (Semester " &amp;
        (INT((12*(YEAR(TODAY())-M137) + MONTH(TODAY()) -
          MATCH(L137, {"Januari";"Februari";"Maret";"April";"Mei";"Juni";"Juli";"Agustus";"September";"Oktober";"November";"Desember"}, 0)) / 6) + 1) &amp; ")",
      "LULUS"
    ),
    "AKTIF (Semester " &amp;
      (INT((12*(YEAR(TODAY())-M137) + MONTH(TODAY()) -
        MATCH(L137, {"Januari";"Februari";"Maret";"April";"Mei";"Juni";"Juli";"Agustus";"September";"Oktober";"November";"Desember"}, 0)) / 6) + 1) &amp; ")"
  )
)</f>
        <v>LULUS</v>
      </c>
      <c r="T137" s="16" t="str">
        <f ca="1">IF(O137 &lt; YEAR(TODAY()), "LULUS",
 IF(O137 = YEAR(TODAY()),
    IF(MATCH(N137, {"Januari";"Februari";"Maret";"April";"Mei";"Juni";"Juli";"Agustus";"September";"Oktober";"November";"Desember"},0)
        &lt;= MONTH(TODAY()),
        "LULUS",
        "AKTIF"),
 "AKTIF"))</f>
        <v>LULUS</v>
      </c>
      <c r="U137" s="16" t="s">
        <v>29</v>
      </c>
      <c r="V137" s="15"/>
      <c r="W137" s="15"/>
      <c r="X137" s="15"/>
      <c r="Y137" s="15"/>
      <c r="Z137" s="15"/>
    </row>
    <row r="138" spans="1:26" ht="29" customHeight="1" x14ac:dyDescent="0.35">
      <c r="A138" s="12">
        <v>137</v>
      </c>
      <c r="B138" s="13" t="s">
        <v>559</v>
      </c>
      <c r="C138" s="14" t="s">
        <v>560</v>
      </c>
      <c r="D138" s="13" t="s">
        <v>215</v>
      </c>
      <c r="E138" s="153" t="str">
        <f t="shared" si="2"/>
        <v>Perempuan</v>
      </c>
      <c r="F138" s="13" t="s">
        <v>526</v>
      </c>
      <c r="G138" s="13" t="s">
        <v>254</v>
      </c>
      <c r="H138" s="15" t="s">
        <v>276</v>
      </c>
      <c r="I138" s="15" t="s">
        <v>485</v>
      </c>
      <c r="J138" s="32" t="s">
        <v>180</v>
      </c>
      <c r="K138" s="15" t="s">
        <v>95</v>
      </c>
      <c r="L138" s="34" t="s">
        <v>205</v>
      </c>
      <c r="M138" s="21">
        <v>2024</v>
      </c>
      <c r="N138" s="15" t="s">
        <v>205</v>
      </c>
      <c r="O138" s="15"/>
      <c r="P138" s="15">
        <v>2025</v>
      </c>
      <c r="Q138" s="15"/>
      <c r="R138" s="16"/>
      <c r="S138" s="16" t="str">
        <f ca="1">IF(
  O138 &lt; YEAR(TODAY()),
  "LULUS",
  IF(
    O138 = YEAR(TODAY()),
    IF(
      MATCH(L138, {"Januari";"Februari";"Maret";"April";"Mei";"Juni";"Juli";"Agustus";"September";"Oktober";"November";"Desember"}, 0)
        &gt;= MONTH(TODAY()),
      "AKTIF (Semester " &amp;
        (INT((12*(YEAR(TODAY())-M138) + MONTH(TODAY()) -
          MATCH(L138, {"Januari";"Februari";"Maret";"April";"Mei";"Juni";"Juli";"Agustus";"September";"Oktober";"November";"Desember"}, 0)) / 6) + 1) &amp; ")",
      "LULUS"
    ),
    "AKTIF (Semester " &amp;
      (INT((12*(YEAR(TODAY())-M138) + MONTH(TODAY()) -
        MATCH(L138, {"Januari";"Februari";"Maret";"April";"Mei";"Juni";"Juli";"Agustus";"September";"Oktober";"November";"Desember"}, 0)) / 6) + 1) &amp; ")"
  )
)</f>
        <v>LULUS</v>
      </c>
      <c r="T138" s="16" t="str">
        <f ca="1">IF(O138 &lt; YEAR(TODAY()), "LULUS",
 IF(O138 = YEAR(TODAY()),
    IF(MATCH(N138, {"Januari";"Februari";"Maret";"April";"Mei";"Juni";"Juli";"Agustus";"September";"Oktober";"November";"Desember"},0)
        &lt;= MONTH(TODAY()),
        "LULUS",
        "AKTIF"),
 "AKTIF"))</f>
        <v>LULUS</v>
      </c>
      <c r="U138" s="16" t="s">
        <v>29</v>
      </c>
      <c r="V138" s="15"/>
      <c r="W138" s="15"/>
      <c r="X138" s="15"/>
      <c r="Y138" s="15"/>
      <c r="Z138" s="15"/>
    </row>
    <row r="139" spans="1:26" ht="29" customHeight="1" x14ac:dyDescent="0.35">
      <c r="A139" s="12">
        <v>138</v>
      </c>
      <c r="B139" s="24" t="s">
        <v>561</v>
      </c>
      <c r="C139" s="43" t="s">
        <v>562</v>
      </c>
      <c r="D139" s="24" t="s">
        <v>539</v>
      </c>
      <c r="E139" s="153" t="str">
        <f t="shared" si="2"/>
        <v>Perempuan</v>
      </c>
      <c r="F139" s="24" t="s">
        <v>397</v>
      </c>
      <c r="G139" s="13" t="s">
        <v>254</v>
      </c>
      <c r="H139" s="44" t="s">
        <v>527</v>
      </c>
      <c r="I139" s="28" t="s">
        <v>563</v>
      </c>
      <c r="J139" s="12" t="s">
        <v>190</v>
      </c>
      <c r="K139" s="28" t="s">
        <v>564</v>
      </c>
      <c r="L139" s="34" t="s">
        <v>205</v>
      </c>
      <c r="M139" s="21">
        <v>2024</v>
      </c>
      <c r="N139" s="15" t="s">
        <v>205</v>
      </c>
      <c r="O139" s="15"/>
      <c r="P139" s="15">
        <v>2025</v>
      </c>
      <c r="Q139" s="15"/>
      <c r="R139" s="16"/>
      <c r="S139" s="16" t="str">
        <f ca="1">IF(
  O139 &lt; YEAR(TODAY()),
  "LULUS",
  IF(
    O139 = YEAR(TODAY()),
    IF(
      MATCH(L139, {"Januari";"Februari";"Maret";"April";"Mei";"Juni";"Juli";"Agustus";"September";"Oktober";"November";"Desember"}, 0)
        &gt;= MONTH(TODAY()),
      "AKTIF (Semester " &amp;
        (INT((12*(YEAR(TODAY())-M139) + MONTH(TODAY()) -
          MATCH(L139, {"Januari";"Februari";"Maret";"April";"Mei";"Juni";"Juli";"Agustus";"September";"Oktober";"November";"Desember"}, 0)) / 6) + 1) &amp; ")",
      "LULUS"
    ),
    "AKTIF (Semester " &amp;
      (INT((12*(YEAR(TODAY())-M139) + MONTH(TODAY()) -
        MATCH(L139, {"Januari";"Februari";"Maret";"April";"Mei";"Juni";"Juli";"Agustus";"September";"Oktober";"November";"Desember"}, 0)) / 6) + 1) &amp; ")"
  )
)</f>
        <v>LULUS</v>
      </c>
      <c r="T139" s="16" t="str">
        <f ca="1">IF(O139 &lt; YEAR(TODAY()), "LULUS",
 IF(O139 = YEAR(TODAY()),
    IF(MATCH(N139, {"Januari";"Februari";"Maret";"April";"Mei";"Juni";"Juli";"Agustus";"September";"Oktober";"November";"Desember"},0)
        &lt;= MONTH(TODAY()),
        "LULUS",
        "AKTIF"),
 "AKTIF"))</f>
        <v>LULUS</v>
      </c>
      <c r="U139" s="16" t="s">
        <v>29</v>
      </c>
      <c r="V139" s="15"/>
      <c r="W139" s="15"/>
      <c r="X139" s="15"/>
      <c r="Y139" s="15"/>
      <c r="Z139" s="15"/>
    </row>
    <row r="140" spans="1:26" ht="29" customHeight="1" x14ac:dyDescent="0.35">
      <c r="A140" s="12">
        <v>139</v>
      </c>
      <c r="B140" s="25" t="s">
        <v>565</v>
      </c>
      <c r="C140" s="26" t="s">
        <v>566</v>
      </c>
      <c r="D140" s="25" t="s">
        <v>215</v>
      </c>
      <c r="E140" s="153" t="str">
        <f t="shared" si="2"/>
        <v>Perempuan</v>
      </c>
      <c r="F140" s="25" t="s">
        <v>377</v>
      </c>
      <c r="G140" s="13" t="s">
        <v>254</v>
      </c>
      <c r="H140" s="19" t="s">
        <v>567</v>
      </c>
      <c r="I140" s="19" t="s">
        <v>90</v>
      </c>
      <c r="J140" s="32" t="s">
        <v>568</v>
      </c>
      <c r="K140" s="28" t="s">
        <v>569</v>
      </c>
      <c r="L140" s="35" t="s">
        <v>478</v>
      </c>
      <c r="M140" s="21">
        <v>2024</v>
      </c>
      <c r="N140" s="15" t="s">
        <v>478</v>
      </c>
      <c r="O140" s="15"/>
      <c r="P140" s="15">
        <v>2025</v>
      </c>
      <c r="Q140" s="15"/>
      <c r="R140" s="16"/>
      <c r="S140" s="16" t="str">
        <f ca="1">IF(
  O140 &lt; YEAR(TODAY()),
  "LULUS",
  IF(
    O140 = YEAR(TODAY()),
    IF(
      MATCH(L140, {"Januari";"Februari";"Maret";"April";"Mei";"Juni";"Juli";"Agustus";"September";"Oktober";"November";"Desember"}, 0)
        &gt;= MONTH(TODAY()),
      "AKTIF (Semester " &amp;
        (INT((12*(YEAR(TODAY())-M140) + MONTH(TODAY()) -
          MATCH(L140, {"Januari";"Februari";"Maret";"April";"Mei";"Juni";"Juli";"Agustus";"September";"Oktober";"November";"Desember"}, 0)) / 6) + 1) &amp; ")",
      "LULUS"
    ),
    "AKTIF (Semester " &amp;
      (INT((12*(YEAR(TODAY())-M140) + MONTH(TODAY()) -
        MATCH(L140, {"Januari";"Februari";"Maret";"April";"Mei";"Juni";"Juli";"Agustus";"September";"Oktober";"November";"Desember"}, 0)) / 6) + 1) &amp; ")"
  )
)</f>
        <v>LULUS</v>
      </c>
      <c r="T140" s="16" t="str">
        <f ca="1">IF(O140 &lt; YEAR(TODAY()), "LULUS",
 IF(O140 = YEAR(TODAY()),
    IF(MATCH(N140, {"Januari";"Februari";"Maret";"April";"Mei";"Juni";"Juli";"Agustus";"September";"Oktober";"November";"Desember"},0)
        &lt;= MONTH(TODAY()),
        "LULUS",
        "AKTIF"),
 "AKTIF"))</f>
        <v>LULUS</v>
      </c>
      <c r="U140" s="16" t="s">
        <v>29</v>
      </c>
      <c r="V140" s="15"/>
      <c r="W140" s="15"/>
      <c r="X140" s="15"/>
      <c r="Y140" s="15"/>
      <c r="Z140" s="15"/>
    </row>
    <row r="141" spans="1:26" ht="29" customHeight="1" x14ac:dyDescent="0.35">
      <c r="A141" s="12">
        <v>140</v>
      </c>
      <c r="B141" s="25" t="s">
        <v>570</v>
      </c>
      <c r="C141" s="26" t="s">
        <v>571</v>
      </c>
      <c r="D141" s="25" t="s">
        <v>185</v>
      </c>
      <c r="E141" s="153" t="str">
        <f t="shared" si="2"/>
        <v>Laki-Laki</v>
      </c>
      <c r="F141" s="25" t="s">
        <v>572</v>
      </c>
      <c r="G141" s="13" t="s">
        <v>254</v>
      </c>
      <c r="H141" s="19" t="s">
        <v>393</v>
      </c>
      <c r="I141" s="28" t="s">
        <v>501</v>
      </c>
      <c r="J141" s="32" t="s">
        <v>502</v>
      </c>
      <c r="K141" s="28" t="s">
        <v>503</v>
      </c>
      <c r="L141" s="35" t="s">
        <v>504</v>
      </c>
      <c r="M141" s="21">
        <v>2024</v>
      </c>
      <c r="N141" s="15" t="s">
        <v>504</v>
      </c>
      <c r="O141" s="15"/>
      <c r="P141" s="15">
        <v>2025</v>
      </c>
      <c r="Q141" s="15"/>
      <c r="R141" s="16"/>
      <c r="S141" s="16" t="str">
        <f ca="1">IF(
  O141 &lt; YEAR(TODAY()),
  "LULUS",
  IF(
    O141 = YEAR(TODAY()),
    IF(
      MATCH(L141, {"Januari";"Februari";"Maret";"April";"Mei";"Juni";"Juli";"Agustus";"September";"Oktober";"November";"Desember"}, 0)
        &gt;= MONTH(TODAY()),
      "AKTIF (Semester " &amp;
        (INT((12*(YEAR(TODAY())-M141) + MONTH(TODAY()) -
          MATCH(L141, {"Januari";"Februari";"Maret";"April";"Mei";"Juni";"Juli";"Agustus";"September";"Oktober";"November";"Desember"}, 0)) / 6) + 1) &amp; ")",
      "LULUS"
    ),
    "AKTIF (Semester " &amp;
      (INT((12*(YEAR(TODAY())-M141) + MONTH(TODAY()) -
        MATCH(L141, {"Januari";"Februari";"Maret";"April";"Mei";"Juni";"Juli";"Agustus";"September";"Oktober";"November";"Desember"}, 0)) / 6) + 1) &amp; ")"
  )
)</f>
        <v>LULUS</v>
      </c>
      <c r="T141" s="16" t="str">
        <f ca="1">IF(O141 &lt; YEAR(TODAY()), "LULUS",
 IF(O141 = YEAR(TODAY()),
    IF(MATCH(N141, {"Januari";"Februari";"Maret";"April";"Mei";"Juni";"Juli";"Agustus";"September";"Oktober";"November";"Desember"},0)
        &lt;= MONTH(TODAY()),
        "LULUS",
        "AKTIF"),
 "AKTIF"))</f>
        <v>LULUS</v>
      </c>
      <c r="U141" s="16" t="s">
        <v>29</v>
      </c>
      <c r="V141" s="15"/>
      <c r="W141" s="15"/>
      <c r="X141" s="15"/>
      <c r="Y141" s="15"/>
      <c r="Z141" s="15"/>
    </row>
    <row r="142" spans="1:26" ht="29" customHeight="1" x14ac:dyDescent="0.35">
      <c r="A142" s="12">
        <v>141</v>
      </c>
      <c r="B142" s="25" t="s">
        <v>573</v>
      </c>
      <c r="C142" s="26" t="s">
        <v>574</v>
      </c>
      <c r="D142" s="25" t="s">
        <v>172</v>
      </c>
      <c r="E142" s="153" t="str">
        <f t="shared" si="2"/>
        <v>Laki-Laki</v>
      </c>
      <c r="F142" s="25" t="s">
        <v>526</v>
      </c>
      <c r="G142" s="13" t="s">
        <v>254</v>
      </c>
      <c r="H142" s="19" t="s">
        <v>429</v>
      </c>
      <c r="I142" s="19" t="s">
        <v>90</v>
      </c>
      <c r="J142" s="32" t="s">
        <v>568</v>
      </c>
      <c r="K142" s="28" t="s">
        <v>46</v>
      </c>
      <c r="L142" s="35" t="s">
        <v>511</v>
      </c>
      <c r="M142" s="21">
        <v>2024</v>
      </c>
      <c r="N142" s="15" t="s">
        <v>511</v>
      </c>
      <c r="O142" s="15"/>
      <c r="P142" s="15">
        <v>2025</v>
      </c>
      <c r="Q142" s="15"/>
      <c r="R142" s="16"/>
      <c r="S142" s="16" t="str">
        <f ca="1">IF(
  O142 &lt; YEAR(TODAY()),
  "LULUS",
  IF(
    O142 = YEAR(TODAY()),
    IF(
      MATCH(L142, {"Januari";"Februari";"Maret";"April";"Mei";"Juni";"Juli";"Agustus";"September";"Oktober";"November";"Desember"}, 0)
        &gt;= MONTH(TODAY()),
      "AKTIF (Semester " &amp;
        (INT((12*(YEAR(TODAY())-M142) + MONTH(TODAY()) -
          MATCH(L142, {"Januari";"Februari";"Maret";"April";"Mei";"Juni";"Juli";"Agustus";"September";"Oktober";"November";"Desember"}, 0)) / 6) + 1) &amp; ")",
      "LULUS"
    ),
    "AKTIF (Semester " &amp;
      (INT((12*(YEAR(TODAY())-M142) + MONTH(TODAY()) -
        MATCH(L142, {"Januari";"Februari";"Maret";"April";"Mei";"Juni";"Juli";"Agustus";"September";"Oktober";"November";"Desember"}, 0)) / 6) + 1) &amp; ")"
  )
)</f>
        <v>LULUS</v>
      </c>
      <c r="T142" s="16" t="str">
        <f ca="1">IF(O142 &lt; YEAR(TODAY()), "LULUS",
 IF(O142 = YEAR(TODAY()),
    IF(MATCH(N142, {"Januari";"Februari";"Maret";"April";"Mei";"Juni";"Juli";"Agustus";"September";"Oktober";"November";"Desember"},0)
        &lt;= MONTH(TODAY()),
        "LULUS",
        "AKTIF"),
 "AKTIF"))</f>
        <v>LULUS</v>
      </c>
      <c r="U142" s="16" t="s">
        <v>29</v>
      </c>
      <c r="V142" s="15"/>
      <c r="W142" s="15"/>
      <c r="X142" s="15"/>
      <c r="Y142" s="15"/>
      <c r="Z142" s="15"/>
    </row>
    <row r="143" spans="1:26" ht="29" customHeight="1" x14ac:dyDescent="0.35">
      <c r="A143" s="12">
        <v>142</v>
      </c>
      <c r="B143" s="33" t="s">
        <v>575</v>
      </c>
      <c r="C143" s="26" t="s">
        <v>576</v>
      </c>
      <c r="D143" s="25" t="s">
        <v>215</v>
      </c>
      <c r="E143" s="153" t="str">
        <f t="shared" si="2"/>
        <v>Laki-Laki</v>
      </c>
      <c r="F143" s="33" t="s">
        <v>490</v>
      </c>
      <c r="G143" s="13" t="s">
        <v>254</v>
      </c>
      <c r="H143" s="19" t="s">
        <v>327</v>
      </c>
      <c r="I143" s="19" t="s">
        <v>90</v>
      </c>
      <c r="J143" s="32" t="s">
        <v>190</v>
      </c>
      <c r="K143" s="28" t="s">
        <v>394</v>
      </c>
      <c r="L143" s="35" t="s">
        <v>491</v>
      </c>
      <c r="M143" s="21">
        <v>2024</v>
      </c>
      <c r="N143" s="15" t="s">
        <v>491</v>
      </c>
      <c r="O143" s="15"/>
      <c r="P143" s="15">
        <v>2025</v>
      </c>
      <c r="Q143" s="15"/>
      <c r="R143" s="16"/>
      <c r="S143" s="16" t="str">
        <f ca="1">IF(
  O143 &lt; YEAR(TODAY()),
  "LULUS",
  IF(
    O143 = YEAR(TODAY()),
    IF(
      MATCH(L143, {"Januari";"Februari";"Maret";"April";"Mei";"Juni";"Juli";"Agustus";"September";"Oktober";"November";"Desember"}, 0)
        &gt;= MONTH(TODAY()),
      "AKTIF (Semester " &amp;
        (INT((12*(YEAR(TODAY())-M143) + MONTH(TODAY()) -
          MATCH(L143, {"Januari";"Februari";"Maret";"April";"Mei";"Juni";"Juli";"Agustus";"September";"Oktober";"November";"Desember"}, 0)) / 6) + 1) &amp; ")",
      "LULUS"
    ),
    "AKTIF (Semester " &amp;
      (INT((12*(YEAR(TODAY())-M143) + MONTH(TODAY()) -
        MATCH(L143, {"Januari";"Februari";"Maret";"April";"Mei";"Juni";"Juli";"Agustus";"September";"Oktober";"November";"Desember"}, 0)) / 6) + 1) &amp; ")"
  )
)</f>
        <v>LULUS</v>
      </c>
      <c r="T143" s="16" t="str">
        <f ca="1">IF(O143 &lt; YEAR(TODAY()), "LULUS",
 IF(O143 = YEAR(TODAY()),
    IF(MATCH(N143, {"Januari";"Februari";"Maret";"April";"Mei";"Juni";"Juli";"Agustus";"September";"Oktober";"November";"Desember"},0)
        &lt;= MONTH(TODAY()),
        "LULUS",
        "AKTIF"),
 "AKTIF"))</f>
        <v>LULUS</v>
      </c>
      <c r="U143" s="16" t="s">
        <v>29</v>
      </c>
      <c r="V143" s="15"/>
      <c r="W143" s="15"/>
      <c r="X143" s="15"/>
      <c r="Y143" s="15"/>
      <c r="Z143" s="15"/>
    </row>
    <row r="144" spans="1:26" ht="29" customHeight="1" x14ac:dyDescent="0.35">
      <c r="A144" s="12">
        <v>143</v>
      </c>
      <c r="B144" s="25" t="s">
        <v>577</v>
      </c>
      <c r="C144" s="26" t="s">
        <v>578</v>
      </c>
      <c r="D144" s="25" t="s">
        <v>172</v>
      </c>
      <c r="E144" s="153" t="str">
        <f t="shared" si="2"/>
        <v>Perempuan</v>
      </c>
      <c r="F144" s="25" t="s">
        <v>579</v>
      </c>
      <c r="G144" s="13" t="s">
        <v>254</v>
      </c>
      <c r="H144" s="19" t="s">
        <v>429</v>
      </c>
      <c r="I144" s="19" t="s">
        <v>90</v>
      </c>
      <c r="J144" s="32" t="s">
        <v>568</v>
      </c>
      <c r="K144" s="28" t="s">
        <v>46</v>
      </c>
      <c r="L144" s="35" t="s">
        <v>145</v>
      </c>
      <c r="M144" s="21">
        <v>2024</v>
      </c>
      <c r="N144" s="15" t="s">
        <v>145</v>
      </c>
      <c r="O144" s="15"/>
      <c r="P144" s="15">
        <v>2025</v>
      </c>
      <c r="Q144" s="15"/>
      <c r="R144" s="16"/>
      <c r="S144" s="16" t="str">
        <f ca="1">IF(
  O144 &lt; YEAR(TODAY()),
  "LULUS",
  IF(
    O144 = YEAR(TODAY()),
    IF(
      MATCH(L144, {"Januari";"Februari";"Maret";"April";"Mei";"Juni";"Juli";"Agustus";"September";"Oktober";"November";"Desember"}, 0)
        &gt;= MONTH(TODAY()),
      "AKTIF (Semester " &amp;
        (INT((12*(YEAR(TODAY())-M144) + MONTH(TODAY()) -
          MATCH(L144, {"Januari";"Februari";"Maret";"April";"Mei";"Juni";"Juli";"Agustus";"September";"Oktober";"November";"Desember"}, 0)) / 6) + 1) &amp; ")",
      "LULUS"
    ),
    "AKTIF (Semester " &amp;
      (INT((12*(YEAR(TODAY())-M144) + MONTH(TODAY()) -
        MATCH(L144, {"Januari";"Februari";"Maret";"April";"Mei";"Juni";"Juli";"Agustus";"September";"Oktober";"November";"Desember"}, 0)) / 6) + 1) &amp; ")"
  )
)</f>
        <v>LULUS</v>
      </c>
      <c r="T144" s="16" t="str">
        <f ca="1">IF(O144 &lt; YEAR(TODAY()), "LULUS",
 IF(O144 = YEAR(TODAY()),
    IF(MATCH(N144, {"Januari";"Februari";"Maret";"April";"Mei";"Juni";"Juli";"Agustus";"September";"Oktober";"November";"Desember"},0)
        &lt;= MONTH(TODAY()),
        "LULUS",
        "AKTIF"),
 "AKTIF"))</f>
        <v>LULUS</v>
      </c>
      <c r="U144" s="16" t="s">
        <v>29</v>
      </c>
      <c r="V144" s="15"/>
      <c r="W144" s="15"/>
      <c r="X144" s="15"/>
      <c r="Y144" s="15"/>
      <c r="Z144" s="15"/>
    </row>
    <row r="145" spans="1:26" ht="29" customHeight="1" x14ac:dyDescent="0.35">
      <c r="A145" s="12">
        <v>144</v>
      </c>
      <c r="B145" s="25" t="s">
        <v>581</v>
      </c>
      <c r="C145" s="26" t="s">
        <v>582</v>
      </c>
      <c r="D145" s="25" t="s">
        <v>583</v>
      </c>
      <c r="E145" s="153" t="str">
        <f t="shared" si="2"/>
        <v>Laki-Laki</v>
      </c>
      <c r="F145" s="25" t="s">
        <v>584</v>
      </c>
      <c r="G145" s="13" t="s">
        <v>254</v>
      </c>
      <c r="H145" s="19" t="s">
        <v>585</v>
      </c>
      <c r="I145" s="28" t="s">
        <v>241</v>
      </c>
      <c r="J145" s="32" t="s">
        <v>509</v>
      </c>
      <c r="K145" s="32" t="s">
        <v>243</v>
      </c>
      <c r="L145" s="45" t="s">
        <v>28</v>
      </c>
      <c r="M145" s="45">
        <v>2024</v>
      </c>
      <c r="N145" s="15" t="s">
        <v>28</v>
      </c>
      <c r="O145" s="15"/>
      <c r="P145" s="15">
        <v>2024</v>
      </c>
      <c r="Q145" s="15"/>
      <c r="R145" s="16"/>
      <c r="S145" s="16" t="str">
        <f ca="1">IF(
  O145 &lt; YEAR(TODAY()),
  "LULUS",
  IF(
    O145 = YEAR(TODAY()),
    IF(
      MATCH(L145, {"Januari";"Februari";"Maret";"April";"Mei";"Juni";"Juli";"Agustus";"September";"Oktober";"November";"Desember"}, 0)
        &gt;= MONTH(TODAY()),
      "AKTIF (Semester " &amp;
        (INT((12*(YEAR(TODAY())-M145) + MONTH(TODAY()) -
          MATCH(L145, {"Januari";"Februari";"Maret";"April";"Mei";"Juni";"Juli";"Agustus";"September";"Oktober";"November";"Desember"}, 0)) / 6) + 1) &amp; ")",
      "LULUS"
    ),
    "AKTIF (Semester " &amp;
      (INT((12*(YEAR(TODAY())-M145) + MONTH(TODAY()) -
        MATCH(L145, {"Januari";"Februari";"Maret";"April";"Mei";"Juni";"Juli";"Agustus";"September";"Oktober";"November";"Desember"}, 0)) / 6) + 1) &amp; ")"
  )
)</f>
        <v>LULUS</v>
      </c>
      <c r="T145" s="16" t="str">
        <f ca="1">IF(O145 &lt; YEAR(TODAY()), "LULUS",
 IF(O145 = YEAR(TODAY()),
    IF(MATCH(N145, {"Januari";"Februari";"Maret";"April";"Mei";"Juni";"Juli";"Agustus";"September";"Oktober";"November";"Desember"},0)
        &lt;= MONTH(TODAY()),
        "LULUS",
        "AKTIF"),
 "AKTIF"))</f>
        <v>LULUS</v>
      </c>
      <c r="U145" s="16" t="s">
        <v>29</v>
      </c>
      <c r="V145" s="15"/>
      <c r="W145" s="15"/>
      <c r="X145" s="15"/>
      <c r="Y145" s="15"/>
      <c r="Z145" s="15"/>
    </row>
    <row r="146" spans="1:26" ht="29" customHeight="1" x14ac:dyDescent="0.35">
      <c r="A146" s="12">
        <v>145</v>
      </c>
      <c r="B146" s="13" t="s">
        <v>586</v>
      </c>
      <c r="C146" s="14" t="s">
        <v>587</v>
      </c>
      <c r="D146" s="13"/>
      <c r="E146" s="26" t="str">
        <f t="shared" si="2"/>
        <v>Laki-Laki</v>
      </c>
      <c r="F146" s="13"/>
      <c r="G146" s="13" t="s">
        <v>588</v>
      </c>
      <c r="H146" s="15" t="s">
        <v>589</v>
      </c>
      <c r="I146" s="19" t="s">
        <v>590</v>
      </c>
      <c r="J146" s="12" t="s">
        <v>26</v>
      </c>
      <c r="K146" s="15" t="s">
        <v>591</v>
      </c>
      <c r="L146" s="23" t="s">
        <v>28</v>
      </c>
      <c r="M146" s="21">
        <v>2019</v>
      </c>
      <c r="N146" s="15" t="s">
        <v>28</v>
      </c>
      <c r="O146" s="15">
        <v>2022</v>
      </c>
      <c r="P146" s="15">
        <v>2020</v>
      </c>
      <c r="Q146" s="15"/>
      <c r="R146" s="16" t="s">
        <v>29</v>
      </c>
      <c r="S146" s="16" t="str">
        <f ca="1">IF(
  O146 &lt; YEAR(TODAY()),
  "LULUS",
  IF(
    O146 = YEAR(TODAY()),
    IF(
      MATCH(L146, {"Januari";"Februari";"Maret";"April";"Mei";"Juni";"Juli";"Agustus";"September";"Oktober";"November";"Desember"}, 0)
        &gt;= MONTH(TODAY()),
      "AKTIF (Semester " &amp;
        (INT((12*(YEAR(TODAY())-M146) + MONTH(TODAY()) -
          MATCH(L146, {"Januari";"Februari";"Maret";"April";"Mei";"Juni";"Juli";"Agustus";"September";"Oktober";"November";"Desember"}, 0)) / 6) + 1) &amp; ")",
      "LULUS"
    ),
    "AKTIF (Semester " &amp;
      (INT((12*(YEAR(TODAY())-M146) + MONTH(TODAY()) -
        MATCH(L146, {"Januari";"Februari";"Maret";"April";"Mei";"Juni";"Juli";"Agustus";"September";"Oktober";"November";"Desember"}, 0)) / 6) + 1) &amp; ")"
  )
)</f>
        <v>LULUS</v>
      </c>
      <c r="T146" s="16" t="str">
        <f ca="1">IF(O146 &lt; YEAR(TODAY()), "LULUS",
 IF(O146 = YEAR(TODAY()),
    IF(MATCH(N146, {"Januari";"Februari";"Maret";"April";"Mei";"Juni";"Juli";"Agustus";"September";"Oktober";"November";"Desember"},0)
        &lt;= MONTH(TODAY()),
        "LULUS",
        "AKTIF"),
 "AKTIF"))</f>
        <v>LULUS</v>
      </c>
      <c r="U146" s="16" t="s">
        <v>29</v>
      </c>
      <c r="V146" s="15"/>
      <c r="W146" s="15"/>
      <c r="X146" s="15"/>
      <c r="Y146" s="15"/>
      <c r="Z146" s="15"/>
    </row>
    <row r="147" spans="1:26" ht="29" customHeight="1" x14ac:dyDescent="0.35">
      <c r="A147" s="12">
        <v>146</v>
      </c>
      <c r="B147" s="13" t="s">
        <v>592</v>
      </c>
      <c r="C147" s="14" t="s">
        <v>593</v>
      </c>
      <c r="D147" s="13"/>
      <c r="E147" s="26" t="str">
        <f t="shared" si="2"/>
        <v>Laki-Laki</v>
      </c>
      <c r="F147" s="13"/>
      <c r="G147" s="13" t="s">
        <v>588</v>
      </c>
      <c r="H147" s="15" t="s">
        <v>589</v>
      </c>
      <c r="I147" s="19" t="s">
        <v>590</v>
      </c>
      <c r="J147" s="12" t="s">
        <v>26</v>
      </c>
      <c r="K147" s="15" t="s">
        <v>594</v>
      </c>
      <c r="L147" s="23" t="s">
        <v>28</v>
      </c>
      <c r="M147" s="21">
        <v>2019</v>
      </c>
      <c r="N147" s="15" t="s">
        <v>28</v>
      </c>
      <c r="O147" s="15">
        <v>2022</v>
      </c>
      <c r="P147" s="15">
        <v>2020</v>
      </c>
      <c r="Q147" s="15"/>
      <c r="R147" s="16" t="s">
        <v>29</v>
      </c>
      <c r="S147" s="16" t="str">
        <f ca="1">IF(
  O147 &lt; YEAR(TODAY()),
  "LULUS",
  IF(
    O147 = YEAR(TODAY()),
    IF(
      MATCH(L147, {"Januari";"Februari";"Maret";"April";"Mei";"Juni";"Juli";"Agustus";"September";"Oktober";"November";"Desember"}, 0)
        &gt;= MONTH(TODAY()),
      "AKTIF (Semester " &amp;
        (INT((12*(YEAR(TODAY())-M147) + MONTH(TODAY()) -
          MATCH(L147, {"Januari";"Februari";"Maret";"April";"Mei";"Juni";"Juli";"Agustus";"September";"Oktober";"November";"Desember"}, 0)) / 6) + 1) &amp; ")",
      "LULUS"
    ),
    "AKTIF (Semester " &amp;
      (INT((12*(YEAR(TODAY())-M147) + MONTH(TODAY()) -
        MATCH(L147, {"Januari";"Februari";"Maret";"April";"Mei";"Juni";"Juli";"Agustus";"September";"Oktober";"November";"Desember"}, 0)) / 6) + 1) &amp; ")"
  )
)</f>
        <v>LULUS</v>
      </c>
      <c r="T147" s="16" t="str">
        <f ca="1">IF(O147 &lt; YEAR(TODAY()), "LULUS",
 IF(O147 = YEAR(TODAY()),
    IF(MATCH(N147, {"Januari";"Februari";"Maret";"April";"Mei";"Juni";"Juli";"Agustus";"September";"Oktober";"November";"Desember"},0)
        &lt;= MONTH(TODAY()),
        "LULUS",
        "AKTIF"),
 "AKTIF"))</f>
        <v>LULUS</v>
      </c>
      <c r="U147" s="16" t="s">
        <v>29</v>
      </c>
      <c r="V147" s="15"/>
      <c r="W147" s="15"/>
      <c r="X147" s="15"/>
      <c r="Y147" s="15"/>
      <c r="Z147" s="15"/>
    </row>
    <row r="148" spans="1:26" ht="29" customHeight="1" x14ac:dyDescent="0.35">
      <c r="A148" s="12">
        <v>147</v>
      </c>
      <c r="B148" s="13" t="s">
        <v>595</v>
      </c>
      <c r="C148" s="14" t="s">
        <v>596</v>
      </c>
      <c r="D148" s="13"/>
      <c r="E148" s="26" t="str">
        <f t="shared" si="2"/>
        <v>Laki-Laki</v>
      </c>
      <c r="F148" s="13"/>
      <c r="G148" s="13" t="s">
        <v>588</v>
      </c>
      <c r="H148" s="15" t="s">
        <v>597</v>
      </c>
      <c r="I148" s="19" t="s">
        <v>90</v>
      </c>
      <c r="J148" s="12" t="s">
        <v>26</v>
      </c>
      <c r="K148" s="15" t="s">
        <v>394</v>
      </c>
      <c r="L148" s="15" t="s">
        <v>446</v>
      </c>
      <c r="M148" s="15">
        <v>2019</v>
      </c>
      <c r="N148" s="15" t="s">
        <v>446</v>
      </c>
      <c r="O148" s="15">
        <v>2022</v>
      </c>
      <c r="P148" s="15">
        <v>2020</v>
      </c>
      <c r="Q148" s="15"/>
      <c r="R148" s="22" t="s">
        <v>51</v>
      </c>
      <c r="S148" s="16" t="str">
        <f ca="1">IF(
  O148 &lt; YEAR(TODAY()),
  "LULUS",
  IF(
    O148 = YEAR(TODAY()),
    IF(
      MATCH(L148, {"Januari";"Februari";"Maret";"April";"Mei";"Juni";"Juli";"Agustus";"September";"Oktober";"November";"Desember"}, 0)
        &gt;= MONTH(TODAY()),
      "AKTIF (Semester " &amp;
        (INT((12*(YEAR(TODAY())-M148) + MONTH(TODAY()) -
          MATCH(L148, {"Januari";"Februari";"Maret";"April";"Mei";"Juni";"Juli";"Agustus";"September";"Oktober";"November";"Desember"}, 0)) / 6) + 1) &amp; ")",
      "LULUS"
    ),
    "AKTIF (Semester " &amp;
      (INT((12*(YEAR(TODAY())-M148) + MONTH(TODAY()) -
        MATCH(L148, {"Januari";"Februari";"Maret";"April";"Mei";"Juni";"Juli";"Agustus";"September";"Oktober";"November";"Desember"}, 0)) / 6) + 1) &amp; ")"
  )
)</f>
        <v>LULUS</v>
      </c>
      <c r="T148" s="16" t="str">
        <f ca="1">IF(O148 &lt; YEAR(TODAY()), "LULUS",
 IF(O148 = YEAR(TODAY()),
    IF(MATCH(N148, {"Januari";"Februari";"Maret";"April";"Mei";"Juni";"Juli";"Agustus";"September";"Oktober";"November";"Desember"},0)
        &lt;= MONTH(TODAY()),
        "LULUS",
        "AKTIF"),
 "AKTIF"))</f>
        <v>LULUS</v>
      </c>
      <c r="U148" s="16" t="s">
        <v>29</v>
      </c>
      <c r="V148" s="23"/>
      <c r="W148" s="23"/>
      <c r="X148" s="23"/>
      <c r="Y148" s="23"/>
      <c r="Z148" s="23"/>
    </row>
    <row r="149" spans="1:26" ht="29" customHeight="1" x14ac:dyDescent="0.35">
      <c r="A149" s="12">
        <v>148</v>
      </c>
      <c r="B149" s="13" t="s">
        <v>598</v>
      </c>
      <c r="C149" s="14" t="s">
        <v>599</v>
      </c>
      <c r="D149" s="13"/>
      <c r="E149" s="26" t="str">
        <f t="shared" si="2"/>
        <v>Laki-Laki</v>
      </c>
      <c r="F149" s="13"/>
      <c r="G149" s="13" t="s">
        <v>588</v>
      </c>
      <c r="H149" s="15" t="s">
        <v>597</v>
      </c>
      <c r="I149" s="19" t="s">
        <v>90</v>
      </c>
      <c r="J149" s="12" t="s">
        <v>26</v>
      </c>
      <c r="K149" s="15" t="s">
        <v>394</v>
      </c>
      <c r="L149" s="15" t="s">
        <v>446</v>
      </c>
      <c r="M149" s="15">
        <v>2019</v>
      </c>
      <c r="N149" s="15" t="s">
        <v>446</v>
      </c>
      <c r="O149" s="15">
        <v>2023</v>
      </c>
      <c r="P149" s="15">
        <v>2020</v>
      </c>
      <c r="Q149" s="15"/>
      <c r="R149" s="16" t="s">
        <v>29</v>
      </c>
      <c r="S149" s="16" t="str">
        <f ca="1">IF(
  O149 &lt; YEAR(TODAY()),
  "LULUS",
  IF(
    O149 = YEAR(TODAY()),
    IF(
      MATCH(L149, {"Januari";"Februari";"Maret";"April";"Mei";"Juni";"Juli";"Agustus";"September";"Oktober";"November";"Desember"}, 0)
        &gt;= MONTH(TODAY()),
      "AKTIF (Semester " &amp;
        (INT((12*(YEAR(TODAY())-M149) + MONTH(TODAY()) -
          MATCH(L149, {"Januari";"Februari";"Maret";"April";"Mei";"Juni";"Juli";"Agustus";"September";"Oktober";"November";"Desember"}, 0)) / 6) + 1) &amp; ")",
      "LULUS"
    ),
    "AKTIF (Semester " &amp;
      (INT((12*(YEAR(TODAY())-M149) + MONTH(TODAY()) -
        MATCH(L149, {"Januari";"Februari";"Maret";"April";"Mei";"Juni";"Juli";"Agustus";"September";"Oktober";"November";"Desember"}, 0)) / 6) + 1) &amp; ")"
  )
)</f>
        <v>LULUS</v>
      </c>
      <c r="T149" s="16" t="str">
        <f ca="1">IF(O149 &lt; YEAR(TODAY()), "LULUS",
 IF(O149 = YEAR(TODAY()),
    IF(MATCH(N149, {"Januari";"Februari";"Maret";"April";"Mei";"Juni";"Juli";"Agustus";"September";"Oktober";"November";"Desember"},0)
        &lt;= MONTH(TODAY()),
        "LULUS",
        "AKTIF"),
 "AKTIF"))</f>
        <v>LULUS</v>
      </c>
      <c r="U149" s="16" t="s">
        <v>29</v>
      </c>
      <c r="V149" s="15"/>
      <c r="W149" s="15"/>
      <c r="X149" s="15"/>
      <c r="Y149" s="15"/>
      <c r="Z149" s="15"/>
    </row>
    <row r="150" spans="1:26" ht="29" customHeight="1" x14ac:dyDescent="0.35">
      <c r="A150" s="12">
        <v>149</v>
      </c>
      <c r="B150" s="13" t="s">
        <v>600</v>
      </c>
      <c r="C150" s="14" t="s">
        <v>601</v>
      </c>
      <c r="D150" s="13"/>
      <c r="E150" s="26" t="str">
        <f t="shared" si="2"/>
        <v>Perempuan</v>
      </c>
      <c r="F150" s="13"/>
      <c r="G150" s="13" t="s">
        <v>588</v>
      </c>
      <c r="H150" s="15" t="s">
        <v>602</v>
      </c>
      <c r="I150" s="19" t="s">
        <v>90</v>
      </c>
      <c r="J150" s="12" t="s">
        <v>26</v>
      </c>
      <c r="K150" s="15" t="s">
        <v>394</v>
      </c>
      <c r="L150" s="23" t="s">
        <v>118</v>
      </c>
      <c r="M150" s="21">
        <v>2020</v>
      </c>
      <c r="N150" s="15" t="s">
        <v>118</v>
      </c>
      <c r="O150" s="15">
        <v>2022</v>
      </c>
      <c r="P150" s="15">
        <v>2020</v>
      </c>
      <c r="Q150" s="15"/>
      <c r="R150" s="16" t="s">
        <v>29</v>
      </c>
      <c r="S150" s="16" t="str">
        <f ca="1">IF(
  O150 &lt; YEAR(TODAY()),
  "LULUS",
  IF(
    O150 = YEAR(TODAY()),
    IF(
      MATCH(L150, {"Januari";"Februari";"Maret";"April";"Mei";"Juni";"Juli";"Agustus";"September";"Oktober";"November";"Desember"}, 0)
        &gt;= MONTH(TODAY()),
      "AKTIF (Semester " &amp;
        (INT((12*(YEAR(TODAY())-M150) + MONTH(TODAY()) -
          MATCH(L150, {"Januari";"Februari";"Maret";"April";"Mei";"Juni";"Juli";"Agustus";"September";"Oktober";"November";"Desember"}, 0)) / 6) + 1) &amp; ")",
      "LULUS"
    ),
    "AKTIF (Semester " &amp;
      (INT((12*(YEAR(TODAY())-M150) + MONTH(TODAY()) -
        MATCH(L150, {"Januari";"Februari";"Maret";"April";"Mei";"Juni";"Juli";"Agustus";"September";"Oktober";"November";"Desember"}, 0)) / 6) + 1) &amp; ")"
  )
)</f>
        <v>LULUS</v>
      </c>
      <c r="T150" s="16" t="str">
        <f ca="1">IF(O150 &lt; YEAR(TODAY()), "LULUS",
 IF(O150 = YEAR(TODAY()),
    IF(MATCH(N150, {"Januari";"Februari";"Maret";"April";"Mei";"Juni";"Juli";"Agustus";"September";"Oktober";"November";"Desember"},0)
        &lt;= MONTH(TODAY()),
        "LULUS",
        "AKTIF"),
 "AKTIF"))</f>
        <v>LULUS</v>
      </c>
      <c r="U150" s="16" t="s">
        <v>29</v>
      </c>
      <c r="V150" s="15"/>
      <c r="W150" s="15"/>
      <c r="X150" s="15"/>
      <c r="Y150" s="15"/>
      <c r="Z150" s="15"/>
    </row>
    <row r="151" spans="1:26" ht="29" customHeight="1" x14ac:dyDescent="0.35">
      <c r="A151" s="12">
        <v>150</v>
      </c>
      <c r="B151" s="13" t="s">
        <v>603</v>
      </c>
      <c r="C151" s="14" t="s">
        <v>604</v>
      </c>
      <c r="D151" s="13"/>
      <c r="E151" s="26" t="str">
        <f t="shared" si="2"/>
        <v>Laki-Laki</v>
      </c>
      <c r="F151" s="13"/>
      <c r="G151" s="13" t="s">
        <v>588</v>
      </c>
      <c r="H151" s="15" t="s">
        <v>602</v>
      </c>
      <c r="I151" s="19" t="s">
        <v>90</v>
      </c>
      <c r="J151" s="12" t="s">
        <v>45</v>
      </c>
      <c r="K151" s="15" t="s">
        <v>605</v>
      </c>
      <c r="L151" s="21" t="s">
        <v>205</v>
      </c>
      <c r="M151" s="21">
        <v>2019</v>
      </c>
      <c r="N151" s="15" t="s">
        <v>205</v>
      </c>
      <c r="O151" s="15">
        <v>2024</v>
      </c>
      <c r="P151" s="15">
        <v>2020</v>
      </c>
      <c r="Q151" s="15"/>
      <c r="R151" s="22" t="s">
        <v>51</v>
      </c>
      <c r="S151" s="16" t="str">
        <f ca="1">IF(
  O151 &lt; YEAR(TODAY()),
  "LULUS",
  IF(
    O151 = YEAR(TODAY()),
    IF(
      MATCH(L151, {"Januari";"Februari";"Maret";"April";"Mei";"Juni";"Juli";"Agustus";"September";"Oktober";"November";"Desember"}, 0)
        &gt;= MONTH(TODAY()),
      "AKTIF (Semester " &amp;
        (INT((12*(YEAR(TODAY())-M151) + MONTH(TODAY()) -
          MATCH(L151, {"Januari";"Februari";"Maret";"April";"Mei";"Juni";"Juli";"Agustus";"September";"Oktober";"November";"Desember"}, 0)) / 6) + 1) &amp; ")",
      "LULUS"
    ),
    "AKTIF (Semester " &amp;
      (INT((12*(YEAR(TODAY())-M151) + MONTH(TODAY()) -
        MATCH(L151, {"Januari";"Februari";"Maret";"April";"Mei";"Juni";"Juli";"Agustus";"September";"Oktober";"November";"Desember"}, 0)) / 6) + 1) &amp; ")"
  )
)</f>
        <v>LULUS</v>
      </c>
      <c r="T151" s="16" t="str">
        <f ca="1">IF(O151 &lt; YEAR(TODAY()), "LULUS",
 IF(O151 = YEAR(TODAY()),
    IF(MATCH(N151, {"Januari";"Februari";"Maret";"April";"Mei";"Juni";"Juli";"Agustus";"September";"Oktober";"November";"Desember"},0)
        &lt;= MONTH(TODAY()),
        "LULUS",
        "AKTIF"),
 "AKTIF"))</f>
        <v>LULUS</v>
      </c>
      <c r="U151" s="16" t="s">
        <v>29</v>
      </c>
      <c r="V151" s="23"/>
      <c r="W151" s="23"/>
      <c r="X151" s="23"/>
      <c r="Y151" s="23"/>
      <c r="Z151" s="23"/>
    </row>
    <row r="152" spans="1:26" ht="29" customHeight="1" x14ac:dyDescent="0.35">
      <c r="A152" s="12">
        <v>151</v>
      </c>
      <c r="B152" s="13" t="s">
        <v>606</v>
      </c>
      <c r="C152" s="14" t="s">
        <v>607</v>
      </c>
      <c r="D152" s="13"/>
      <c r="E152" s="26" t="str">
        <f t="shared" si="2"/>
        <v>Laki-Laki</v>
      </c>
      <c r="F152" s="46"/>
      <c r="G152" s="13" t="s">
        <v>588</v>
      </c>
      <c r="H152" s="15" t="s">
        <v>608</v>
      </c>
      <c r="I152" s="19" t="s">
        <v>90</v>
      </c>
      <c r="J152" s="12" t="s">
        <v>26</v>
      </c>
      <c r="K152" s="15" t="s">
        <v>394</v>
      </c>
      <c r="L152" s="23" t="s">
        <v>118</v>
      </c>
      <c r="M152" s="21">
        <v>2020</v>
      </c>
      <c r="N152" s="15" t="s">
        <v>118</v>
      </c>
      <c r="O152" s="15">
        <v>2022</v>
      </c>
      <c r="P152" s="15">
        <v>2020</v>
      </c>
      <c r="Q152" s="15"/>
      <c r="R152" s="16" t="s">
        <v>51</v>
      </c>
      <c r="S152" s="16" t="str">
        <f ca="1">IF(
  O152 &lt; YEAR(TODAY()),
  "LULUS",
  IF(
    O152 = YEAR(TODAY()),
    IF(
      MATCH(L152, {"Januari";"Februari";"Maret";"April";"Mei";"Juni";"Juli";"Agustus";"September";"Oktober";"November";"Desember"}, 0)
        &gt;= MONTH(TODAY()),
      "AKTIF (Semester " &amp;
        (INT((12*(YEAR(TODAY())-M152) + MONTH(TODAY()) -
          MATCH(L152, {"Januari";"Februari";"Maret";"April";"Mei";"Juni";"Juli";"Agustus";"September";"Oktober";"November";"Desember"}, 0)) / 6) + 1) &amp; ")",
      "LULUS"
    ),
    "AKTIF (Semester " &amp;
      (INT((12*(YEAR(TODAY())-M152) + MONTH(TODAY()) -
        MATCH(L152, {"Januari";"Februari";"Maret";"April";"Mei";"Juni";"Juli";"Agustus";"September";"Oktober";"November";"Desember"}, 0)) / 6) + 1) &amp; ")"
  )
)</f>
        <v>LULUS</v>
      </c>
      <c r="T152" s="16" t="str">
        <f ca="1">IF(O152 &lt; YEAR(TODAY()), "LULUS",
 IF(O152 = YEAR(TODAY()),
    IF(MATCH(N152, {"Januari";"Februari";"Maret";"April";"Mei";"Juni";"Juli";"Agustus";"September";"Oktober";"November";"Desember"},0)
        &lt;= MONTH(TODAY()),
        "LULUS",
        "AKTIF"),
 "AKTIF"))</f>
        <v>LULUS</v>
      </c>
      <c r="U152" s="16" t="s">
        <v>29</v>
      </c>
      <c r="V152" s="15"/>
      <c r="W152" s="15"/>
      <c r="X152" s="15"/>
      <c r="Y152" s="15"/>
      <c r="Z152" s="15"/>
    </row>
    <row r="153" spans="1:26" ht="29" customHeight="1" x14ac:dyDescent="0.35">
      <c r="A153" s="12">
        <v>152</v>
      </c>
      <c r="B153" s="13" t="s">
        <v>610</v>
      </c>
      <c r="C153" s="14" t="s">
        <v>611</v>
      </c>
      <c r="D153" s="13"/>
      <c r="E153" s="26" t="str">
        <f t="shared" si="2"/>
        <v>Laki-Laki</v>
      </c>
      <c r="F153" s="13"/>
      <c r="G153" s="13" t="s">
        <v>588</v>
      </c>
      <c r="H153" s="15" t="s">
        <v>612</v>
      </c>
      <c r="I153" s="19" t="s">
        <v>90</v>
      </c>
      <c r="J153" s="12" t="s">
        <v>45</v>
      </c>
      <c r="K153" s="15" t="s">
        <v>613</v>
      </c>
      <c r="L153" s="23" t="s">
        <v>614</v>
      </c>
      <c r="M153" s="21">
        <v>2020</v>
      </c>
      <c r="N153" s="15" t="s">
        <v>614</v>
      </c>
      <c r="O153" s="15">
        <v>2024</v>
      </c>
      <c r="P153" s="15">
        <v>2020</v>
      </c>
      <c r="Q153" s="15"/>
      <c r="R153" s="34" t="s">
        <v>51</v>
      </c>
      <c r="S153" s="16" t="str">
        <f ca="1">IF(
  O153 &lt; YEAR(TODAY()),
  "LULUS",
  IF(
    O153 = YEAR(TODAY()),
    IF(
      MATCH(L153, {"Januari";"Februari";"Maret";"April";"Mei";"Juni";"Juli";"Agustus";"September";"Oktober";"November";"Desember"}, 0)
        &gt;= MONTH(TODAY()),
      "AKTIF (Semester " &amp;
        (INT((12*(YEAR(TODAY())-M153) + MONTH(TODAY()) -
          MATCH(L153, {"Januari";"Februari";"Maret";"April";"Mei";"Juni";"Juli";"Agustus";"September";"Oktober";"November";"Desember"}, 0)) / 6) + 1) &amp; ")",
      "LULUS"
    ),
    "AKTIF (Semester " &amp;
      (INT((12*(YEAR(TODAY())-M153) + MONTH(TODAY()) -
        MATCH(L153, {"Januari";"Februari";"Maret";"April";"Mei";"Juni";"Juli";"Agustus";"September";"Oktober";"November";"Desember"}, 0)) / 6) + 1) &amp; ")"
  )
)</f>
        <v>LULUS</v>
      </c>
      <c r="T153" s="16" t="str">
        <f ca="1">IF(O153 &lt; YEAR(TODAY()), "LULUS",
 IF(O153 = YEAR(TODAY()),
    IF(MATCH(N153, {"Januari";"Februari";"Maret";"April";"Mei";"Juni";"Juli";"Agustus";"September";"Oktober";"November";"Desember"},0)
        &lt;= MONTH(TODAY()),
        "LULUS",
        "AKTIF"),
 "AKTIF"))</f>
        <v>LULUS</v>
      </c>
      <c r="U153" s="16" t="s">
        <v>29</v>
      </c>
      <c r="V153" s="21"/>
      <c r="W153" s="21"/>
      <c r="X153" s="21"/>
      <c r="Y153" s="21"/>
      <c r="Z153" s="21"/>
    </row>
    <row r="154" spans="1:26" ht="29" customHeight="1" x14ac:dyDescent="0.35">
      <c r="A154" s="12">
        <v>153</v>
      </c>
      <c r="B154" s="13" t="s">
        <v>615</v>
      </c>
      <c r="C154" s="14" t="s">
        <v>616</v>
      </c>
      <c r="D154" s="13"/>
      <c r="E154" s="26" t="str">
        <f t="shared" si="2"/>
        <v>Laki-Laki</v>
      </c>
      <c r="F154" s="13"/>
      <c r="G154" s="13" t="s">
        <v>588</v>
      </c>
      <c r="H154" s="15" t="s">
        <v>589</v>
      </c>
      <c r="I154" s="19" t="s">
        <v>90</v>
      </c>
      <c r="J154" s="12" t="s">
        <v>45</v>
      </c>
      <c r="K154" s="15" t="s">
        <v>617</v>
      </c>
      <c r="L154" s="12" t="s">
        <v>60</v>
      </c>
      <c r="M154" s="12">
        <v>2020</v>
      </c>
      <c r="N154" s="15" t="s">
        <v>60</v>
      </c>
      <c r="O154" s="15">
        <v>2024</v>
      </c>
      <c r="P154" s="15">
        <v>2021</v>
      </c>
      <c r="Q154" s="15"/>
      <c r="R154" s="34" t="s">
        <v>51</v>
      </c>
      <c r="S154" s="16" t="str">
        <f ca="1">IF(
  O154 &lt; YEAR(TODAY()),
  "LULUS",
  IF(
    O154 = YEAR(TODAY()),
    IF(
      MATCH(L154, {"Januari";"Februari";"Maret";"April";"Mei";"Juni";"Juli";"Agustus";"September";"Oktober";"November";"Desember"}, 0)
        &gt;= MONTH(TODAY()),
      "AKTIF (Semester " &amp;
        (INT((12*(YEAR(TODAY())-M154) + MONTH(TODAY()) -
          MATCH(L154, {"Januari";"Februari";"Maret";"April";"Mei";"Juni";"Juli";"Agustus";"September";"Oktober";"November";"Desember"}, 0)) / 6) + 1) &amp; ")",
      "LULUS"
    ),
    "AKTIF (Semester " &amp;
      (INT((12*(YEAR(TODAY())-M154) + MONTH(TODAY()) -
        MATCH(L154, {"Januari";"Februari";"Maret";"April";"Mei";"Juni";"Juli";"Agustus";"September";"Oktober";"November";"Desember"}, 0)) / 6) + 1) &amp; ")"
  )
)</f>
        <v>LULUS</v>
      </c>
      <c r="T154" s="16" t="str">
        <f ca="1">IF(O154 &lt; YEAR(TODAY()), "LULUS",
 IF(O154 = YEAR(TODAY()),
    IF(MATCH(N154, {"Januari";"Februari";"Maret";"April";"Mei";"Juni";"Juli";"Agustus";"September";"Oktober";"November";"Desember"},0)
        &lt;= MONTH(TODAY()),
        "LULUS",
        "AKTIF"),
 "AKTIF"))</f>
        <v>LULUS</v>
      </c>
      <c r="U154" s="16" t="s">
        <v>29</v>
      </c>
      <c r="V154" s="21"/>
      <c r="W154" s="21"/>
      <c r="X154" s="21"/>
      <c r="Y154" s="21"/>
      <c r="Z154" s="21"/>
    </row>
    <row r="155" spans="1:26" ht="29" customHeight="1" x14ac:dyDescent="0.35">
      <c r="A155" s="12">
        <v>154</v>
      </c>
      <c r="B155" s="13" t="s">
        <v>618</v>
      </c>
      <c r="C155" s="14" t="s">
        <v>619</v>
      </c>
      <c r="D155" s="13"/>
      <c r="E155" s="26" t="str">
        <f t="shared" si="2"/>
        <v>Laki-Laki</v>
      </c>
      <c r="F155" s="13"/>
      <c r="G155" s="13" t="s">
        <v>588</v>
      </c>
      <c r="H155" s="15" t="s">
        <v>589</v>
      </c>
      <c r="I155" s="19" t="s">
        <v>590</v>
      </c>
      <c r="J155" s="12" t="s">
        <v>26</v>
      </c>
      <c r="K155" s="15" t="s">
        <v>46</v>
      </c>
      <c r="L155" s="12" t="s">
        <v>28</v>
      </c>
      <c r="M155" s="12">
        <v>2020</v>
      </c>
      <c r="N155" s="15" t="s">
        <v>28</v>
      </c>
      <c r="O155" s="15">
        <v>2023</v>
      </c>
      <c r="P155" s="15">
        <v>2021</v>
      </c>
      <c r="Q155" s="15"/>
      <c r="R155" s="34" t="s">
        <v>29</v>
      </c>
      <c r="S155" s="16" t="str">
        <f ca="1">IF(
  O155 &lt; YEAR(TODAY()),
  "LULUS",
  IF(
    O155 = YEAR(TODAY()),
    IF(
      MATCH(L155, {"Januari";"Februari";"Maret";"April";"Mei";"Juni";"Juli";"Agustus";"September";"Oktober";"November";"Desember"}, 0)
        &gt;= MONTH(TODAY()),
      "AKTIF (Semester " &amp;
        (INT((12*(YEAR(TODAY())-M155) + MONTH(TODAY()) -
          MATCH(L155, {"Januari";"Februari";"Maret";"April";"Mei";"Juni";"Juli";"Agustus";"September";"Oktober";"November";"Desember"}, 0)) / 6) + 1) &amp; ")",
      "LULUS"
    ),
    "AKTIF (Semester " &amp;
      (INT((12*(YEAR(TODAY())-M155) + MONTH(TODAY()) -
        MATCH(L155, {"Januari";"Februari";"Maret";"April";"Mei";"Juni";"Juli";"Agustus";"September";"Oktober";"November";"Desember"}, 0)) / 6) + 1) &amp; ")"
  )
)</f>
        <v>LULUS</v>
      </c>
      <c r="T155" s="16" t="str">
        <f ca="1">IF(O155 &lt; YEAR(TODAY()), "LULUS",
 IF(O155 = YEAR(TODAY()),
    IF(MATCH(N155, {"Januari";"Februari";"Maret";"April";"Mei";"Juni";"Juli";"Agustus";"September";"Oktober";"November";"Desember"},0)
        &lt;= MONTH(TODAY()),
        "LULUS",
        "AKTIF"),
 "AKTIF"))</f>
        <v>LULUS</v>
      </c>
      <c r="U155" s="16" t="s">
        <v>29</v>
      </c>
      <c r="V155" s="21"/>
      <c r="W155" s="21"/>
      <c r="X155" s="21"/>
      <c r="Y155" s="21"/>
      <c r="Z155" s="21"/>
    </row>
    <row r="156" spans="1:26" ht="29" customHeight="1" x14ac:dyDescent="0.35">
      <c r="A156" s="12">
        <v>155</v>
      </c>
      <c r="B156" s="13" t="s">
        <v>620</v>
      </c>
      <c r="C156" s="14" t="s">
        <v>621</v>
      </c>
      <c r="D156" s="13" t="s">
        <v>188</v>
      </c>
      <c r="E156" s="26" t="str">
        <f t="shared" si="2"/>
        <v>Laki-Laki</v>
      </c>
      <c r="F156" s="13" t="s">
        <v>622</v>
      </c>
      <c r="G156" s="13" t="s">
        <v>588</v>
      </c>
      <c r="H156" s="15" t="s">
        <v>597</v>
      </c>
      <c r="I156" s="15" t="s">
        <v>623</v>
      </c>
      <c r="J156" s="12" t="s">
        <v>26</v>
      </c>
      <c r="K156" s="15" t="s">
        <v>624</v>
      </c>
      <c r="L156" s="12" t="s">
        <v>169</v>
      </c>
      <c r="M156" s="12">
        <v>2020</v>
      </c>
      <c r="N156" s="15" t="s">
        <v>169</v>
      </c>
      <c r="O156" s="15">
        <v>2022</v>
      </c>
      <c r="P156" s="15">
        <v>2021</v>
      </c>
      <c r="Q156" s="15"/>
      <c r="R156" s="34" t="s">
        <v>51</v>
      </c>
      <c r="S156" s="16" t="str">
        <f ca="1">IF(
  O156 &lt; YEAR(TODAY()),
  "LULUS",
  IF(
    O156 = YEAR(TODAY()),
    IF(
      MATCH(L156, {"Januari";"Februari";"Maret";"April";"Mei";"Juni";"Juli";"Agustus";"September";"Oktober";"November";"Desember"}, 0)
        &gt;= MONTH(TODAY()),
      "AKTIF (Semester " &amp;
        (INT((12*(YEAR(TODAY())-M156) + MONTH(TODAY()) -
          MATCH(L156, {"Januari";"Februari";"Maret";"April";"Mei";"Juni";"Juli";"Agustus";"September";"Oktober";"November";"Desember"}, 0)) / 6) + 1) &amp; ")",
      "LULUS"
    ),
    "AKTIF (Semester " &amp;
      (INT((12*(YEAR(TODAY())-M156) + MONTH(TODAY()) -
        MATCH(L156, {"Januari";"Februari";"Maret";"April";"Mei";"Juni";"Juli";"Agustus";"September";"Oktober";"November";"Desember"}, 0)) / 6) + 1) &amp; ")"
  )
)</f>
        <v>LULUS</v>
      </c>
      <c r="T156" s="16" t="str">
        <f ca="1">IF(O156 &lt; YEAR(TODAY()), "LULUS",
 IF(O156 = YEAR(TODAY()),
    IF(MATCH(N156, {"Januari";"Februari";"Maret";"April";"Mei";"Juni";"Juli";"Agustus";"September";"Oktober";"November";"Desember"},0)
        &lt;= MONTH(TODAY()),
        "LULUS",
        "AKTIF"),
 "AKTIF"))</f>
        <v>LULUS</v>
      </c>
      <c r="U156" s="16" t="s">
        <v>29</v>
      </c>
      <c r="V156" s="21"/>
      <c r="W156" s="21"/>
      <c r="X156" s="21"/>
      <c r="Y156" s="21"/>
      <c r="Z156" s="21"/>
    </row>
    <row r="157" spans="1:26" ht="29" customHeight="1" x14ac:dyDescent="0.35">
      <c r="A157" s="12">
        <v>156</v>
      </c>
      <c r="B157" s="13" t="s">
        <v>625</v>
      </c>
      <c r="C157" s="14" t="s">
        <v>626</v>
      </c>
      <c r="D157" s="13" t="s">
        <v>188</v>
      </c>
      <c r="E157" s="26" t="str">
        <f t="shared" ref="E157:E220" si="3">IF(MID(C157,15,1)="1","Laki-Laki","Perempuan")</f>
        <v>Perempuan</v>
      </c>
      <c r="F157" s="13" t="s">
        <v>627</v>
      </c>
      <c r="G157" s="13" t="s">
        <v>588</v>
      </c>
      <c r="H157" s="15" t="s">
        <v>628</v>
      </c>
      <c r="I157" s="15" t="s">
        <v>629</v>
      </c>
      <c r="J157" s="12" t="s">
        <v>26</v>
      </c>
      <c r="K157" s="15" t="s">
        <v>630</v>
      </c>
      <c r="L157" s="12" t="s">
        <v>28</v>
      </c>
      <c r="M157" s="12">
        <v>2020</v>
      </c>
      <c r="N157" s="15" t="s">
        <v>28</v>
      </c>
      <c r="O157" s="15">
        <v>2022</v>
      </c>
      <c r="P157" s="15">
        <v>2021</v>
      </c>
      <c r="Q157" s="15"/>
      <c r="R157" s="34" t="s">
        <v>29</v>
      </c>
      <c r="S157" s="16" t="str">
        <f ca="1">IF(
  O157 &lt; YEAR(TODAY()),
  "LULUS",
  IF(
    O157 = YEAR(TODAY()),
    IF(
      MATCH(L157, {"Januari";"Februari";"Maret";"April";"Mei";"Juni";"Juli";"Agustus";"September";"Oktober";"November";"Desember"}, 0)
        &gt;= MONTH(TODAY()),
      "AKTIF (Semester " &amp;
        (INT((12*(YEAR(TODAY())-M157) + MONTH(TODAY()) -
          MATCH(L157, {"Januari";"Februari";"Maret";"April";"Mei";"Juni";"Juli";"Agustus";"September";"Oktober";"November";"Desember"}, 0)) / 6) + 1) &amp; ")",
      "LULUS"
    ),
    "AKTIF (Semester " &amp;
      (INT((12*(YEAR(TODAY())-M157) + MONTH(TODAY()) -
        MATCH(L157, {"Januari";"Februari";"Maret";"April";"Mei";"Juni";"Juli";"Agustus";"September";"Oktober";"November";"Desember"}, 0)) / 6) + 1) &amp; ")"
  )
)</f>
        <v>LULUS</v>
      </c>
      <c r="T157" s="16" t="str">
        <f ca="1">IF(O157 &lt; YEAR(TODAY()), "LULUS",
 IF(O157 = YEAR(TODAY()),
    IF(MATCH(N157, {"Januari";"Februari";"Maret";"April";"Mei";"Juni";"Juli";"Agustus";"September";"Oktober";"November";"Desember"},0)
        &lt;= MONTH(TODAY()),
        "LULUS",
        "AKTIF"),
 "AKTIF"))</f>
        <v>LULUS</v>
      </c>
      <c r="U157" s="16" t="s">
        <v>29</v>
      </c>
      <c r="V157" s="21"/>
      <c r="W157" s="21"/>
      <c r="X157" s="21"/>
      <c r="Y157" s="21"/>
      <c r="Z157" s="21"/>
    </row>
    <row r="158" spans="1:26" ht="29" customHeight="1" x14ac:dyDescent="0.35">
      <c r="A158" s="12">
        <v>157</v>
      </c>
      <c r="B158" s="13" t="s">
        <v>631</v>
      </c>
      <c r="C158" s="14" t="s">
        <v>632</v>
      </c>
      <c r="D158" s="13"/>
      <c r="E158" s="26" t="str">
        <f t="shared" si="3"/>
        <v>Perempuan</v>
      </c>
      <c r="F158" s="13"/>
      <c r="G158" s="13" t="s">
        <v>588</v>
      </c>
      <c r="H158" s="15" t="s">
        <v>597</v>
      </c>
      <c r="I158" s="15" t="s">
        <v>633</v>
      </c>
      <c r="J158" s="12" t="s">
        <v>26</v>
      </c>
      <c r="K158" s="15" t="s">
        <v>394</v>
      </c>
      <c r="L158" s="12"/>
      <c r="M158" s="12"/>
      <c r="N158" s="15">
        <v>0</v>
      </c>
      <c r="O158" s="15"/>
      <c r="P158" s="15">
        <v>2021</v>
      </c>
      <c r="Q158" s="15"/>
      <c r="R158" s="34" t="s">
        <v>51</v>
      </c>
      <c r="S158" s="16" t="str">
        <f ca="1">IF(
  O158 &lt; YEAR(TODAY()),
  "LULUS",
  IF(
    O158 = YEAR(TODAY()),
    IF(
      MATCH(L158, {"Januari";"Februari";"Maret";"April";"Mei";"Juni";"Juli";"Agustus";"September";"Oktober";"November";"Desember"}, 0)
        &gt;= MONTH(TODAY()),
      "AKTIF (Semester " &amp;
        (INT((12*(YEAR(TODAY())-M158) + MONTH(TODAY()) -
          MATCH(L158, {"Januari";"Februari";"Maret";"April";"Mei";"Juni";"Juli";"Agustus";"September";"Oktober";"November";"Desember"}, 0)) / 6) + 1) &amp; ")",
      "LULUS"
    ),
    "AKTIF (Semester " &amp;
      (INT((12*(YEAR(TODAY())-M158) + MONTH(TODAY()) -
        MATCH(L158, {"Januari";"Februari";"Maret";"April";"Mei";"Juni";"Juli";"Agustus";"September";"Oktober";"November";"Desember"}, 0)) / 6) + 1) &amp; ")"
  )
)</f>
        <v>LULUS</v>
      </c>
      <c r="T158" s="16" t="str">
        <f ca="1">IF(O158 &lt; YEAR(TODAY()), "LULUS",
 IF(O158 = YEAR(TODAY()),
    IF(MATCH(N158, {"Januari";"Februari";"Maret";"April";"Mei";"Juni";"Juli";"Agustus";"September";"Oktober";"November";"Desember"},0)
        &lt;= MONTH(TODAY()),
        "LULUS",
        "AKTIF"),
 "AKTIF"))</f>
        <v>LULUS</v>
      </c>
      <c r="U158" s="16" t="s">
        <v>29</v>
      </c>
      <c r="V158" s="21"/>
      <c r="W158" s="21"/>
      <c r="X158" s="21"/>
      <c r="Y158" s="21"/>
      <c r="Z158" s="21"/>
    </row>
    <row r="159" spans="1:26" ht="29" customHeight="1" x14ac:dyDescent="0.35">
      <c r="A159" s="12">
        <v>158</v>
      </c>
      <c r="B159" s="13" t="s">
        <v>634</v>
      </c>
      <c r="C159" s="14" t="s">
        <v>635</v>
      </c>
      <c r="D159" s="13"/>
      <c r="E159" s="26" t="str">
        <f t="shared" si="3"/>
        <v>Laki-Laki</v>
      </c>
      <c r="F159" s="13"/>
      <c r="G159" s="13" t="s">
        <v>588</v>
      </c>
      <c r="H159" s="15" t="s">
        <v>636</v>
      </c>
      <c r="I159" s="19" t="s">
        <v>90</v>
      </c>
      <c r="J159" s="12" t="s">
        <v>45</v>
      </c>
      <c r="K159" s="15" t="s">
        <v>40</v>
      </c>
      <c r="L159" s="12" t="s">
        <v>35</v>
      </c>
      <c r="M159" s="12">
        <v>2021</v>
      </c>
      <c r="N159" s="15" t="s">
        <v>35</v>
      </c>
      <c r="O159" s="15">
        <v>2025</v>
      </c>
      <c r="P159" s="15">
        <v>2021</v>
      </c>
      <c r="Q159" s="15"/>
      <c r="R159" s="34" t="s">
        <v>51</v>
      </c>
      <c r="S159" s="16" t="str">
        <f ca="1">IF(
  O159 &lt; YEAR(TODAY()),
  "LULUS",
  IF(
    O159 = YEAR(TODAY()),
    IF(
      MATCH(L159, {"Januari";"Februari";"Maret";"April";"Mei";"Juni";"Juli";"Agustus";"September";"Oktober";"November";"Desember"}, 0)
        &gt;= MONTH(TODAY()),
      "AKTIF (Semester " &amp;
        (INT((12*(YEAR(TODAY())-M159) + MONTH(TODAY()) -
          MATCH(L159, {"Januari";"Februari";"Maret";"April";"Mei";"Juni";"Juli";"Agustus";"September";"Oktober";"November";"Desember"}, 0)) / 6) + 1) &amp; ")",
      "LULUS"
    ),
    "AKTIF (Semester " &amp;
      (INT((12*(YEAR(TODAY())-M159) + MONTH(TODAY()) -
        MATCH(L159, {"Januari";"Februari";"Maret";"April";"Mei";"Juni";"Juli";"Agustus";"September";"Oktober";"November";"Desember"}, 0)) / 6) + 1) &amp; ")"
  )
)</f>
        <v>LULUS</v>
      </c>
      <c r="T159" s="16" t="str">
        <f ca="1">IF(O159 &lt; YEAR(TODAY()), "LULUS",
 IF(O159 = YEAR(TODAY()),
    IF(MATCH(N159, {"Januari";"Februari";"Maret";"April";"Mei";"Juni";"Juli";"Agustus";"September";"Oktober";"November";"Desember"},0)
        &lt;= MONTH(TODAY()),
        "LULUS",
        "AKTIF"),
 "AKTIF"))</f>
        <v>LULUS</v>
      </c>
      <c r="U159" s="16" t="s">
        <v>29</v>
      </c>
      <c r="V159" s="21"/>
      <c r="W159" s="21"/>
      <c r="X159" s="21"/>
      <c r="Y159" s="21"/>
      <c r="Z159" s="21"/>
    </row>
    <row r="160" spans="1:26" ht="29" customHeight="1" x14ac:dyDescent="0.35">
      <c r="A160" s="12">
        <v>159</v>
      </c>
      <c r="B160" s="13" t="s">
        <v>637</v>
      </c>
      <c r="C160" s="14" t="s">
        <v>638</v>
      </c>
      <c r="D160" s="13"/>
      <c r="E160" s="26" t="str">
        <f t="shared" si="3"/>
        <v>Perempuan</v>
      </c>
      <c r="F160" s="13"/>
      <c r="G160" s="13" t="s">
        <v>588</v>
      </c>
      <c r="H160" s="15" t="s">
        <v>639</v>
      </c>
      <c r="I160" s="19" t="s">
        <v>90</v>
      </c>
      <c r="J160" s="12" t="s">
        <v>45</v>
      </c>
      <c r="K160" s="15" t="s">
        <v>196</v>
      </c>
      <c r="L160" s="12" t="s">
        <v>113</v>
      </c>
      <c r="M160" s="12">
        <v>2021</v>
      </c>
      <c r="N160" s="15" t="s">
        <v>113</v>
      </c>
      <c r="O160" s="15">
        <v>2023</v>
      </c>
      <c r="P160" s="15">
        <v>2021</v>
      </c>
      <c r="Q160" s="15"/>
      <c r="R160" s="34" t="s">
        <v>29</v>
      </c>
      <c r="S160" s="16" t="str">
        <f ca="1">IF(
  O160 &lt; YEAR(TODAY()),
  "LULUS",
  IF(
    O160 = YEAR(TODAY()),
    IF(
      MATCH(L160, {"Januari";"Februari";"Maret";"April";"Mei";"Juni";"Juli";"Agustus";"September";"Oktober";"November";"Desember"}, 0)
        &gt;= MONTH(TODAY()),
      "AKTIF (Semester " &amp;
        (INT((12*(YEAR(TODAY())-M160) + MONTH(TODAY()) -
          MATCH(L160, {"Januari";"Februari";"Maret";"April";"Mei";"Juni";"Juli";"Agustus";"September";"Oktober";"November";"Desember"}, 0)) / 6) + 1) &amp; ")",
      "LULUS"
    ),
    "AKTIF (Semester " &amp;
      (INT((12*(YEAR(TODAY())-M160) + MONTH(TODAY()) -
        MATCH(L160, {"Januari";"Februari";"Maret";"April";"Mei";"Juni";"Juli";"Agustus";"September";"Oktober";"November";"Desember"}, 0)) / 6) + 1) &amp; ")"
  )
)</f>
        <v>LULUS</v>
      </c>
      <c r="T160" s="16" t="str">
        <f ca="1">IF(O160 &lt; YEAR(TODAY()), "LULUS",
 IF(O160 = YEAR(TODAY()),
    IF(MATCH(N160, {"Januari";"Februari";"Maret";"April";"Mei";"Juni";"Juli";"Agustus";"September";"Oktober";"November";"Desember"},0)
        &lt;= MONTH(TODAY()),
        "LULUS",
        "AKTIF"),
 "AKTIF"))</f>
        <v>LULUS</v>
      </c>
      <c r="U160" s="16" t="s">
        <v>29</v>
      </c>
      <c r="V160" s="21"/>
      <c r="W160" s="21"/>
      <c r="X160" s="21"/>
      <c r="Y160" s="21"/>
      <c r="Z160" s="21"/>
    </row>
    <row r="161" spans="1:26" ht="29" customHeight="1" x14ac:dyDescent="0.35">
      <c r="A161" s="12">
        <v>160</v>
      </c>
      <c r="B161" s="13" t="s">
        <v>640</v>
      </c>
      <c r="C161" s="14" t="s">
        <v>641</v>
      </c>
      <c r="D161" s="13"/>
      <c r="E161" s="26" t="str">
        <f t="shared" si="3"/>
        <v>Laki-Laki</v>
      </c>
      <c r="F161" s="13"/>
      <c r="G161" s="13" t="s">
        <v>588</v>
      </c>
      <c r="H161" s="15" t="s">
        <v>639</v>
      </c>
      <c r="I161" s="19" t="s">
        <v>90</v>
      </c>
      <c r="J161" s="12" t="s">
        <v>26</v>
      </c>
      <c r="K161" s="15" t="s">
        <v>394</v>
      </c>
      <c r="L161" s="12" t="s">
        <v>35</v>
      </c>
      <c r="M161" s="12">
        <v>2021</v>
      </c>
      <c r="N161" s="15" t="s">
        <v>35</v>
      </c>
      <c r="O161" s="15">
        <v>2023</v>
      </c>
      <c r="P161" s="15">
        <v>2021</v>
      </c>
      <c r="Q161" s="15"/>
      <c r="R161" s="34" t="s">
        <v>51</v>
      </c>
      <c r="S161" s="16" t="str">
        <f ca="1">IF(
  O161 &lt; YEAR(TODAY()),
  "LULUS",
  IF(
    O161 = YEAR(TODAY()),
    IF(
      MATCH(L161, {"Januari";"Februari";"Maret";"April";"Mei";"Juni";"Juli";"Agustus";"September";"Oktober";"November";"Desember"}, 0)
        &gt;= MONTH(TODAY()),
      "AKTIF (Semester " &amp;
        (INT((12*(YEAR(TODAY())-M161) + MONTH(TODAY()) -
          MATCH(L161, {"Januari";"Februari";"Maret";"April";"Mei";"Juni";"Juli";"Agustus";"September";"Oktober";"November";"Desember"}, 0)) / 6) + 1) &amp; ")",
      "LULUS"
    ),
    "AKTIF (Semester " &amp;
      (INT((12*(YEAR(TODAY())-M161) + MONTH(TODAY()) -
        MATCH(L161, {"Januari";"Februari";"Maret";"April";"Mei";"Juni";"Juli";"Agustus";"September";"Oktober";"November";"Desember"}, 0)) / 6) + 1) &amp; ")"
  )
)</f>
        <v>LULUS</v>
      </c>
      <c r="T161" s="16" t="str">
        <f ca="1">IF(O161 &lt; YEAR(TODAY()), "LULUS",
 IF(O161 = YEAR(TODAY()),
    IF(MATCH(N161, {"Januari";"Februari";"Maret";"April";"Mei";"Juni";"Juli";"Agustus";"September";"Oktober";"November";"Desember"},0)
        &lt;= MONTH(TODAY()),
        "LULUS",
        "AKTIF"),
 "AKTIF"))</f>
        <v>LULUS</v>
      </c>
      <c r="U161" s="16" t="s">
        <v>29</v>
      </c>
      <c r="V161" s="21"/>
      <c r="W161" s="21"/>
      <c r="X161" s="21"/>
      <c r="Y161" s="21"/>
      <c r="Z161" s="21"/>
    </row>
    <row r="162" spans="1:26" ht="29" customHeight="1" x14ac:dyDescent="0.35">
      <c r="A162" s="12">
        <v>161</v>
      </c>
      <c r="B162" s="13" t="s">
        <v>642</v>
      </c>
      <c r="C162" s="14" t="s">
        <v>643</v>
      </c>
      <c r="D162" s="13"/>
      <c r="E162" s="26" t="str">
        <f t="shared" si="3"/>
        <v>Laki-Laki</v>
      </c>
      <c r="F162" s="13"/>
      <c r="G162" s="13" t="s">
        <v>588</v>
      </c>
      <c r="H162" s="15" t="s">
        <v>639</v>
      </c>
      <c r="I162" s="19" t="s">
        <v>90</v>
      </c>
      <c r="J162" s="12" t="s">
        <v>26</v>
      </c>
      <c r="K162" s="15" t="s">
        <v>394</v>
      </c>
      <c r="L162" s="12" t="s">
        <v>35</v>
      </c>
      <c r="M162" s="12">
        <v>2021</v>
      </c>
      <c r="N162" s="15" t="s">
        <v>35</v>
      </c>
      <c r="O162" s="15">
        <v>2023</v>
      </c>
      <c r="P162" s="15">
        <v>2021</v>
      </c>
      <c r="Q162" s="15"/>
      <c r="R162" s="34" t="s">
        <v>51</v>
      </c>
      <c r="S162" s="16" t="str">
        <f ca="1">IF(
  O162 &lt; YEAR(TODAY()),
  "LULUS",
  IF(
    O162 = YEAR(TODAY()),
    IF(
      MATCH(L162, {"Januari";"Februari";"Maret";"April";"Mei";"Juni";"Juli";"Agustus";"September";"Oktober";"November";"Desember"}, 0)
        &gt;= MONTH(TODAY()),
      "AKTIF (Semester " &amp;
        (INT((12*(YEAR(TODAY())-M162) + MONTH(TODAY()) -
          MATCH(L162, {"Januari";"Februari";"Maret";"April";"Mei";"Juni";"Juli";"Agustus";"September";"Oktober";"November";"Desember"}, 0)) / 6) + 1) &amp; ")",
      "LULUS"
    ),
    "AKTIF (Semester " &amp;
      (INT((12*(YEAR(TODAY())-M162) + MONTH(TODAY()) -
        MATCH(L162, {"Januari";"Februari";"Maret";"April";"Mei";"Juni";"Juli";"Agustus";"September";"Oktober";"November";"Desember"}, 0)) / 6) + 1) &amp; ")"
  )
)</f>
        <v>LULUS</v>
      </c>
      <c r="T162" s="16" t="str">
        <f ca="1">IF(O162 &lt; YEAR(TODAY()), "LULUS",
 IF(O162 = YEAR(TODAY()),
    IF(MATCH(N162, {"Januari";"Februari";"Maret";"April";"Mei";"Juni";"Juli";"Agustus";"September";"Oktober";"November";"Desember"},0)
        &lt;= MONTH(TODAY()),
        "LULUS",
        "AKTIF"),
 "AKTIF"))</f>
        <v>LULUS</v>
      </c>
      <c r="U162" s="16" t="s">
        <v>29</v>
      </c>
      <c r="V162" s="21"/>
      <c r="W162" s="21"/>
      <c r="X162" s="21"/>
      <c r="Y162" s="21"/>
      <c r="Z162" s="21"/>
    </row>
    <row r="163" spans="1:26" ht="29" customHeight="1" x14ac:dyDescent="0.35">
      <c r="A163" s="12">
        <v>162</v>
      </c>
      <c r="B163" s="13" t="s">
        <v>644</v>
      </c>
      <c r="C163" s="14" t="s">
        <v>645</v>
      </c>
      <c r="D163" s="13"/>
      <c r="E163" s="26" t="str">
        <f t="shared" si="3"/>
        <v>Perempuan</v>
      </c>
      <c r="F163" s="13"/>
      <c r="G163" s="13" t="s">
        <v>588</v>
      </c>
      <c r="H163" s="15" t="s">
        <v>646</v>
      </c>
      <c r="I163" s="134" t="s">
        <v>56</v>
      </c>
      <c r="J163" s="12" t="s">
        <v>26</v>
      </c>
      <c r="K163" s="15" t="s">
        <v>648</v>
      </c>
      <c r="L163" s="23" t="s">
        <v>28</v>
      </c>
      <c r="M163" s="21">
        <v>2022</v>
      </c>
      <c r="N163" s="15" t="s">
        <v>28</v>
      </c>
      <c r="O163" s="15">
        <v>2024</v>
      </c>
      <c r="P163" s="15">
        <v>2022</v>
      </c>
      <c r="Q163" s="15"/>
      <c r="R163" s="16" t="s">
        <v>51</v>
      </c>
      <c r="S163" s="16" t="str">
        <f ca="1">IF(
  O163 &lt; YEAR(TODAY()),
  "LULUS",
  IF(
    O163 = YEAR(TODAY()),
    IF(
      MATCH(L163, {"Januari";"Februari";"Maret";"April";"Mei";"Juni";"Juli";"Agustus";"September";"Oktober";"November";"Desember"}, 0)
        &gt;= MONTH(TODAY()),
      "AKTIF (Semester " &amp;
        (INT((12*(YEAR(TODAY())-M163) + MONTH(TODAY()) -
          MATCH(L163, {"Januari";"Februari";"Maret";"April";"Mei";"Juni";"Juli";"Agustus";"September";"Oktober";"November";"Desember"}, 0)) / 6) + 1) &amp; ")",
      "LULUS"
    ),
    "AKTIF (Semester " &amp;
      (INT((12*(YEAR(TODAY())-M163) + MONTH(TODAY()) -
        MATCH(L163, {"Januari";"Februari";"Maret";"April";"Mei";"Juni";"Juli";"Agustus";"September";"Oktober";"November";"Desember"}, 0)) / 6) + 1) &amp; ")"
  )
)</f>
        <v>LULUS</v>
      </c>
      <c r="T163" s="16" t="str">
        <f ca="1">IF(O163 &lt; YEAR(TODAY()), "LULUS",
 IF(O163 = YEAR(TODAY()),
    IF(MATCH(N163, {"Januari";"Februari";"Maret";"April";"Mei";"Juni";"Juli";"Agustus";"September";"Oktober";"November";"Desember"},0)
        &lt;= MONTH(TODAY()),
        "LULUS",
        "AKTIF"),
 "AKTIF"))</f>
        <v>LULUS</v>
      </c>
      <c r="U163" s="16" t="s">
        <v>29</v>
      </c>
      <c r="V163" s="15"/>
      <c r="W163" s="15"/>
      <c r="X163" s="15"/>
      <c r="Y163" s="15"/>
      <c r="Z163" s="15"/>
    </row>
    <row r="164" spans="1:26" ht="29" customHeight="1" x14ac:dyDescent="0.35">
      <c r="A164" s="12">
        <v>163</v>
      </c>
      <c r="B164" s="13" t="s">
        <v>649</v>
      </c>
      <c r="C164" s="14" t="s">
        <v>650</v>
      </c>
      <c r="D164" s="13"/>
      <c r="E164" s="26" t="str">
        <f t="shared" si="3"/>
        <v>Laki-Laki</v>
      </c>
      <c r="F164" s="13"/>
      <c r="G164" s="13" t="s">
        <v>588</v>
      </c>
      <c r="H164" s="15" t="s">
        <v>639</v>
      </c>
      <c r="I164" s="19" t="s">
        <v>90</v>
      </c>
      <c r="J164" s="12" t="s">
        <v>45</v>
      </c>
      <c r="K164" s="15" t="s">
        <v>651</v>
      </c>
      <c r="L164" s="23" t="s">
        <v>652</v>
      </c>
      <c r="M164" s="21">
        <v>2022</v>
      </c>
      <c r="N164" s="15" t="s">
        <v>652</v>
      </c>
      <c r="O164" s="15">
        <v>2026</v>
      </c>
      <c r="P164" s="15">
        <v>2022</v>
      </c>
      <c r="Q164" s="15"/>
      <c r="R164" s="16" t="s">
        <v>51</v>
      </c>
      <c r="S164" s="16" t="str">
        <f ca="1">IF(
  O164 &lt; YEAR(TODAY()),
  "LULUS",
  IF(
    O164 = YEAR(TODAY()),
    IF(
      MATCH(L164, {"Januari";"Februari";"Maret";"April";"Mei";"Juni";"Juli";"Agustus";"September";"Oktober";"November";"Desember"}, 0)
        &gt;= MONTH(TODAY()),
      "AKTIF (Semester " &amp;
        (INT((12*(YEAR(TODAY())-M164) + MONTH(TODAY()) -
          MATCH(L164, {"Januari";"Februari";"Maret";"April";"Mei";"Juni";"Juli";"Agustus";"September";"Oktober";"November";"Desember"}, 0)) / 6) + 1) &amp; ")",
      "LULUS"
    ),
    "AKTIF (Semester " &amp;
      (INT((12*(YEAR(TODAY())-M164) + MONTH(TODAY()) -
        MATCH(L164, {"Januari";"Februari";"Maret";"April";"Mei";"Juni";"Juli";"Agustus";"September";"Oktober";"November";"Desember"}, 0)) / 6) + 1) &amp; ")"
  )
)</f>
        <v>AKTIF (Semester 8)</v>
      </c>
      <c r="T164" s="16" t="str">
        <f ca="1">IF(O164 &lt; YEAR(TODAY()), "LULUS",
 IF(O164 = YEAR(TODAY()),
    IF(MATCH(N164, {"Januari";"Februari";"Maret";"April";"Mei";"Juni";"Juli";"Agustus";"September";"Oktober";"November";"Desember"},0)
        &lt;= MONTH(TODAY()),
        "LULUS",
        "AKTIF"),
 "AKTIF"))</f>
        <v>AKTIF</v>
      </c>
      <c r="U164" s="16" t="s">
        <v>2944</v>
      </c>
      <c r="V164" s="15"/>
      <c r="W164" s="15"/>
      <c r="X164" s="15"/>
      <c r="Y164" s="15"/>
      <c r="Z164" s="15"/>
    </row>
    <row r="165" spans="1:26" ht="29" customHeight="1" x14ac:dyDescent="0.35">
      <c r="A165" s="12">
        <v>164</v>
      </c>
      <c r="B165" s="13" t="s">
        <v>653</v>
      </c>
      <c r="C165" s="14" t="s">
        <v>654</v>
      </c>
      <c r="D165" s="13"/>
      <c r="E165" s="26" t="str">
        <f t="shared" si="3"/>
        <v>Laki-Laki</v>
      </c>
      <c r="F165" s="13"/>
      <c r="G165" s="13" t="s">
        <v>588</v>
      </c>
      <c r="H165" s="15" t="s">
        <v>655</v>
      </c>
      <c r="I165" s="134" t="s">
        <v>56</v>
      </c>
      <c r="J165" s="12" t="s">
        <v>26</v>
      </c>
      <c r="K165" s="15" t="s">
        <v>656</v>
      </c>
      <c r="L165" s="21" t="s">
        <v>60</v>
      </c>
      <c r="M165" s="21">
        <v>2022</v>
      </c>
      <c r="N165" s="15" t="s">
        <v>60</v>
      </c>
      <c r="O165" s="15">
        <v>2024</v>
      </c>
      <c r="P165" s="15">
        <v>2022</v>
      </c>
      <c r="Q165" s="15"/>
      <c r="R165" s="16" t="s">
        <v>51</v>
      </c>
      <c r="S165" s="16" t="str">
        <f ca="1">IF(
  O165 &lt; YEAR(TODAY()),
  "LULUS",
  IF(
    O165 = YEAR(TODAY()),
    IF(
      MATCH(L165, {"Januari";"Februari";"Maret";"April";"Mei";"Juni";"Juli";"Agustus";"September";"Oktober";"November";"Desember"}, 0)
        &gt;= MONTH(TODAY()),
      "AKTIF (Semester " &amp;
        (INT((12*(YEAR(TODAY())-M165) + MONTH(TODAY()) -
          MATCH(L165, {"Januari";"Februari";"Maret";"April";"Mei";"Juni";"Juli";"Agustus";"September";"Oktober";"November";"Desember"}, 0)) / 6) + 1) &amp; ")",
      "LULUS"
    ),
    "AKTIF (Semester " &amp;
      (INT((12*(YEAR(TODAY())-M165) + MONTH(TODAY()) -
        MATCH(L165, {"Januari";"Februari";"Maret";"April";"Mei";"Juni";"Juli";"Agustus";"September";"Oktober";"November";"Desember"}, 0)) / 6) + 1) &amp; ")"
  )
)</f>
        <v>LULUS</v>
      </c>
      <c r="T165" s="16" t="str">
        <f ca="1">IF(O165 &lt; YEAR(TODAY()), "LULUS",
 IF(O165 = YEAR(TODAY()),
    IF(MATCH(N165, {"Januari";"Februari";"Maret";"April";"Mei";"Juni";"Juli";"Agustus";"September";"Oktober";"November";"Desember"},0)
        &lt;= MONTH(TODAY()),
        "LULUS",
        "AKTIF"),
 "AKTIF"))</f>
        <v>LULUS</v>
      </c>
      <c r="U165" s="16" t="s">
        <v>29</v>
      </c>
      <c r="V165" s="15"/>
      <c r="W165" s="15"/>
      <c r="X165" s="15"/>
      <c r="Y165" s="15"/>
      <c r="Z165" s="15"/>
    </row>
    <row r="166" spans="1:26" ht="29" customHeight="1" x14ac:dyDescent="0.35">
      <c r="A166" s="12">
        <v>165</v>
      </c>
      <c r="B166" s="13" t="s">
        <v>657</v>
      </c>
      <c r="C166" s="14"/>
      <c r="D166" s="13"/>
      <c r="E166" s="26" t="str">
        <f t="shared" si="3"/>
        <v>Perempuan</v>
      </c>
      <c r="F166" s="13"/>
      <c r="G166" s="13" t="s">
        <v>588</v>
      </c>
      <c r="H166" s="15"/>
      <c r="I166" s="19" t="s">
        <v>788</v>
      </c>
      <c r="J166" s="12" t="s">
        <v>26</v>
      </c>
      <c r="K166" s="15" t="s">
        <v>659</v>
      </c>
      <c r="L166" s="23"/>
      <c r="M166" s="21"/>
      <c r="N166" s="15">
        <v>0</v>
      </c>
      <c r="O166" s="15"/>
      <c r="P166" s="15">
        <v>2022</v>
      </c>
      <c r="Q166" s="15"/>
      <c r="R166" s="16" t="s">
        <v>51</v>
      </c>
      <c r="S166" s="16" t="str">
        <f ca="1">IF(
  O166 &lt; YEAR(TODAY()),
  "LULUS",
  IF(
    O166 = YEAR(TODAY()),
    IF(
      MATCH(L166, {"Januari";"Februari";"Maret";"April";"Mei";"Juni";"Juli";"Agustus";"September";"Oktober";"November";"Desember"}, 0)
        &gt;= MONTH(TODAY()),
      "AKTIF (Semester " &amp;
        (INT((12*(YEAR(TODAY())-M166) + MONTH(TODAY()) -
          MATCH(L166, {"Januari";"Februari";"Maret";"April";"Mei";"Juni";"Juli";"Agustus";"September";"Oktober";"November";"Desember"}, 0)) / 6) + 1) &amp; ")",
      "LULUS"
    ),
    "AKTIF (Semester " &amp;
      (INT((12*(YEAR(TODAY())-M166) + MONTH(TODAY()) -
        MATCH(L166, {"Januari";"Februari";"Maret";"April";"Mei";"Juni";"Juli";"Agustus";"September";"Oktober";"November";"Desember"}, 0)) / 6) + 1) &amp; ")"
  )
)</f>
        <v>LULUS</v>
      </c>
      <c r="T166" s="16" t="str">
        <f ca="1">IF(O166 &lt; YEAR(TODAY()), "LULUS",
 IF(O166 = YEAR(TODAY()),
    IF(MATCH(N166, {"Januari";"Februari";"Maret";"April";"Mei";"Juni";"Juli";"Agustus";"September";"Oktober";"November";"Desember"},0)
        &lt;= MONTH(TODAY()),
        "LULUS",
        "AKTIF"),
 "AKTIF"))</f>
        <v>LULUS</v>
      </c>
      <c r="U166" s="16" t="s">
        <v>29</v>
      </c>
      <c r="V166" s="15"/>
      <c r="W166" s="15"/>
      <c r="X166" s="15"/>
      <c r="Y166" s="15"/>
      <c r="Z166" s="15"/>
    </row>
    <row r="167" spans="1:26" ht="29" customHeight="1" x14ac:dyDescent="0.35">
      <c r="A167" s="12">
        <v>166</v>
      </c>
      <c r="B167" s="66" t="s">
        <v>660</v>
      </c>
      <c r="C167" s="63" t="s">
        <v>661</v>
      </c>
      <c r="D167" s="24" t="s">
        <v>109</v>
      </c>
      <c r="E167" s="26" t="str">
        <f t="shared" si="3"/>
        <v>Laki-Laki</v>
      </c>
      <c r="F167" s="64" t="s">
        <v>662</v>
      </c>
      <c r="G167" s="13" t="s">
        <v>588</v>
      </c>
      <c r="H167" s="19" t="s">
        <v>663</v>
      </c>
      <c r="I167" s="19" t="s">
        <v>90</v>
      </c>
      <c r="J167" s="20" t="s">
        <v>26</v>
      </c>
      <c r="K167" s="19" t="s">
        <v>664</v>
      </c>
      <c r="L167" s="86" t="s">
        <v>72</v>
      </c>
      <c r="M167" s="15">
        <v>2023</v>
      </c>
      <c r="N167" s="15" t="s">
        <v>462</v>
      </c>
      <c r="O167" s="15">
        <v>2025</v>
      </c>
      <c r="P167" s="15">
        <v>2023</v>
      </c>
      <c r="Q167" s="15"/>
      <c r="R167" s="16" t="s">
        <v>51</v>
      </c>
      <c r="S167" s="16" t="str">
        <f ca="1">IF(
  O167 &lt; YEAR(TODAY()),
  "LULUS",
  IF(
    O167 = YEAR(TODAY()),
    IF(
      MATCH(L167, {"Januari";"Februari";"Maret";"April";"Mei";"Juni";"Juli";"Agustus";"September";"Oktober";"November";"Desember"}, 0)
        &gt;= MONTH(TODAY()),
      "AKTIF (Semester " &amp;
        (INT((12*(YEAR(TODAY())-M167) + MONTH(TODAY()) -
          MATCH(L167, {"Januari";"Februari";"Maret";"April";"Mei";"Juni";"Juli";"Agustus";"September";"Oktober";"November";"Desember"}, 0)) / 6) + 1) &amp; ")",
      "LULUS"
    ),
    "AKTIF (Semester " &amp;
      (INT((12*(YEAR(TODAY())-M167) + MONTH(TODAY()) -
        MATCH(L167, {"Januari";"Februari";"Maret";"April";"Mei";"Juni";"Juli";"Agustus";"September";"Oktober";"November";"Desember"}, 0)) / 6) + 1) &amp; ")"
  )
)</f>
        <v>LULUS</v>
      </c>
      <c r="T167" s="16" t="e">
        <f ca="1">IF(O167 &lt; YEAR(TODAY()), "LULUS",
 IF(O167 = YEAR(TODAY()),
    IF(MATCH(N167, {"Januari";"Februari";"Maret";"April";"Mei";"Juni";"Juli";"Agustus";"September";"Oktober";"November";"Desember"},0)
        &lt;= MONTH(TODAY()),
        "LULUS",
        "AKTIF"),
 "AKTIF"))</f>
        <v>#N/A</v>
      </c>
      <c r="U167" s="16" t="s">
        <v>29</v>
      </c>
      <c r="V167" s="15"/>
      <c r="W167" s="15"/>
      <c r="X167" s="15"/>
      <c r="Y167" s="15"/>
      <c r="Z167" s="15"/>
    </row>
    <row r="168" spans="1:26" ht="29" customHeight="1" x14ac:dyDescent="0.35">
      <c r="A168" s="12">
        <v>167</v>
      </c>
      <c r="B168" s="66" t="s">
        <v>665</v>
      </c>
      <c r="C168" s="67" t="s">
        <v>666</v>
      </c>
      <c r="D168" s="24" t="s">
        <v>87</v>
      </c>
      <c r="E168" s="26" t="str">
        <f t="shared" si="3"/>
        <v>Perempuan</v>
      </c>
      <c r="F168" s="68" t="s">
        <v>88</v>
      </c>
      <c r="G168" s="13" t="s">
        <v>588</v>
      </c>
      <c r="H168" s="19" t="s">
        <v>663</v>
      </c>
      <c r="I168" s="19" t="s">
        <v>90</v>
      </c>
      <c r="J168" s="20" t="s">
        <v>45</v>
      </c>
      <c r="K168" s="19" t="s">
        <v>667</v>
      </c>
      <c r="L168" s="65" t="s">
        <v>113</v>
      </c>
      <c r="M168" s="15">
        <v>2023</v>
      </c>
      <c r="N168" s="15" t="s">
        <v>113</v>
      </c>
      <c r="O168" s="15">
        <v>2027</v>
      </c>
      <c r="P168" s="15">
        <v>2023</v>
      </c>
      <c r="Q168" s="15"/>
      <c r="R168" s="16" t="s">
        <v>51</v>
      </c>
      <c r="S168" s="16" t="str">
        <f ca="1">IF(
  O168 &lt; YEAR(TODAY()),
  "LULUS",
  IF(
    O168 = YEAR(TODAY()),
    IF(
      MATCH(L168, {"Januari";"Februari";"Maret";"April";"Mei";"Juni";"Juli";"Agustus";"September";"Oktober";"November";"Desember"}, 0)
        &gt;= MONTH(TODAY()),
      "AKTIF (Semester " &amp;
        (INT((12*(YEAR(TODAY())-M168) + MONTH(TODAY()) -
          MATCH(L168, {"Januari";"Februari";"Maret";"April";"Mei";"Juni";"Juli";"Agustus";"September";"Oktober";"November";"Desember"}, 0)) / 6) + 1) &amp; ")",
      "LULUS"
    ),
    "AKTIF (Semester " &amp;
      (INT((12*(YEAR(TODAY())-M168) + MONTH(TODAY()) -
        MATCH(L168, {"Januari";"Februari";"Maret";"April";"Mei";"Juni";"Juli";"Agustus";"September";"Oktober";"November";"Desember"}, 0)) / 6) + 1) &amp; ")"
  )
)</f>
        <v>AKTIF (Semester 6)</v>
      </c>
      <c r="T168" s="16" t="str">
        <f ca="1">IF(O168 &lt; YEAR(TODAY()), "LULUS",
 IF(O168 = YEAR(TODAY()),
    IF(MATCH(N168, {"Januari";"Februari";"Maret";"April";"Mei";"Juni";"Juli";"Agustus";"September";"Oktober";"November";"Desember"},0)
        &lt;= MONTH(TODAY()),
        "LULUS",
        "AKTIF"),
 "AKTIF"))</f>
        <v>AKTIF</v>
      </c>
      <c r="U168" s="16" t="s">
        <v>2938</v>
      </c>
      <c r="V168" s="15"/>
      <c r="W168" s="15"/>
      <c r="X168" s="15"/>
      <c r="Y168" s="15"/>
      <c r="Z168" s="15"/>
    </row>
    <row r="169" spans="1:26" ht="29" customHeight="1" x14ac:dyDescent="0.35">
      <c r="A169" s="12">
        <v>168</v>
      </c>
      <c r="B169" s="66" t="s">
        <v>668</v>
      </c>
      <c r="C169" s="67" t="s">
        <v>669</v>
      </c>
      <c r="D169" s="24" t="s">
        <v>87</v>
      </c>
      <c r="E169" s="26" t="str">
        <f t="shared" si="3"/>
        <v>Perempuan</v>
      </c>
      <c r="F169" s="68" t="s">
        <v>88</v>
      </c>
      <c r="G169" s="13" t="s">
        <v>588</v>
      </c>
      <c r="H169" s="19" t="s">
        <v>663</v>
      </c>
      <c r="I169" s="19" t="s">
        <v>90</v>
      </c>
      <c r="J169" s="20" t="s">
        <v>45</v>
      </c>
      <c r="K169" s="19" t="s">
        <v>667</v>
      </c>
      <c r="L169" s="65" t="s">
        <v>113</v>
      </c>
      <c r="M169" s="15">
        <v>2023</v>
      </c>
      <c r="N169" s="15" t="s">
        <v>113</v>
      </c>
      <c r="O169" s="15">
        <v>2027</v>
      </c>
      <c r="P169" s="15">
        <v>2023</v>
      </c>
      <c r="Q169" s="15"/>
      <c r="R169" s="16" t="s">
        <v>51</v>
      </c>
      <c r="S169" s="16" t="str">
        <f ca="1">IF(
  O169 &lt; YEAR(TODAY()),
  "LULUS",
  IF(
    O169 = YEAR(TODAY()),
    IF(
      MATCH(L169, {"Januari";"Februari";"Maret";"April";"Mei";"Juni";"Juli";"Agustus";"September";"Oktober";"November";"Desember"}, 0)
        &gt;= MONTH(TODAY()),
      "AKTIF (Semester " &amp;
        (INT((12*(YEAR(TODAY())-M169) + MONTH(TODAY()) -
          MATCH(L169, {"Januari";"Februari";"Maret";"April";"Mei";"Juni";"Juli";"Agustus";"September";"Oktober";"November";"Desember"}, 0)) / 6) + 1) &amp; ")",
      "LULUS"
    ),
    "AKTIF (Semester " &amp;
      (INT((12*(YEAR(TODAY())-M169) + MONTH(TODAY()) -
        MATCH(L169, {"Januari";"Februari";"Maret";"April";"Mei";"Juni";"Juli";"Agustus";"September";"Oktober";"November";"Desember"}, 0)) / 6) + 1) &amp; ")"
  )
)</f>
        <v>AKTIF (Semester 6)</v>
      </c>
      <c r="T169" s="16" t="str">
        <f ca="1">IF(O169 &lt; YEAR(TODAY()), "LULUS",
 IF(O169 = YEAR(TODAY()),
    IF(MATCH(N169, {"Januari";"Februari";"Maret";"April";"Mei";"Juni";"Juli";"Agustus";"September";"Oktober";"November";"Desember"},0)
        &lt;= MONTH(TODAY()),
        "LULUS",
        "AKTIF"),
 "AKTIF"))</f>
        <v>AKTIF</v>
      </c>
      <c r="U169" s="16" t="s">
        <v>2938</v>
      </c>
      <c r="V169" s="15"/>
      <c r="W169" s="15"/>
      <c r="X169" s="15"/>
      <c r="Y169" s="15"/>
      <c r="Z169" s="15"/>
    </row>
    <row r="170" spans="1:26" ht="29" customHeight="1" x14ac:dyDescent="0.35">
      <c r="A170" s="12">
        <v>169</v>
      </c>
      <c r="B170" s="66" t="s">
        <v>670</v>
      </c>
      <c r="C170" s="67" t="s">
        <v>671</v>
      </c>
      <c r="D170" s="24" t="s">
        <v>109</v>
      </c>
      <c r="E170" s="26" t="str">
        <f t="shared" si="3"/>
        <v>Perempuan</v>
      </c>
      <c r="F170" s="68" t="s">
        <v>672</v>
      </c>
      <c r="G170" s="13" t="s">
        <v>588</v>
      </c>
      <c r="H170" s="19" t="s">
        <v>673</v>
      </c>
      <c r="I170" s="19" t="s">
        <v>629</v>
      </c>
      <c r="J170" s="20" t="s">
        <v>26</v>
      </c>
      <c r="K170" s="19" t="s">
        <v>674</v>
      </c>
      <c r="L170" s="70" t="s">
        <v>60</v>
      </c>
      <c r="M170" s="15">
        <v>2023</v>
      </c>
      <c r="N170" s="15" t="s">
        <v>145</v>
      </c>
      <c r="O170" s="15">
        <v>2025</v>
      </c>
      <c r="P170" s="15">
        <v>2023</v>
      </c>
      <c r="Q170" s="15"/>
      <c r="R170" s="16" t="s">
        <v>51</v>
      </c>
      <c r="S170" s="16" t="str">
        <f ca="1">IF(
  O170 &lt; YEAR(TODAY()),
  "LULUS",
  IF(
    O170 = YEAR(TODAY()),
    IF(
      MATCH(L170, {"Januari";"Februari";"Maret";"April";"Mei";"Juni";"Juli";"Agustus";"September";"Oktober";"November";"Desember"}, 0)
        &gt;= MONTH(TODAY()),
      "AKTIF (Semester " &amp;
        (INT((12*(YEAR(TODAY())-M170) + MONTH(TODAY()) -
          MATCH(L170, {"Januari";"Februari";"Maret";"April";"Mei";"Juni";"Juli";"Agustus";"September";"Oktober";"November";"Desember"}, 0)) / 6) + 1) &amp; ")",
      "LULUS"
    ),
    "AKTIF (Semester " &amp;
      (INT((12*(YEAR(TODAY())-M170) + MONTH(TODAY()) -
        MATCH(L170, {"Januari";"Februari";"Maret";"April";"Mei";"Juni";"Juli";"Agustus";"September";"Oktober";"November";"Desember"}, 0)) / 6) + 1) &amp; ")"
  )
)</f>
        <v>LULUS</v>
      </c>
      <c r="T170" s="16" t="e">
        <f ca="1">IF(O170 &lt; YEAR(TODAY()), "LULUS",
 IF(O170 = YEAR(TODAY()),
    IF(MATCH(N170, {"Januari";"Februari";"Maret";"April";"Mei";"Juni";"Juli";"Agustus";"September";"Oktober";"November";"Desember"},0)
        &lt;= MONTH(TODAY()),
        "LULUS",
        "AKTIF"),
 "AKTIF"))</f>
        <v>#N/A</v>
      </c>
      <c r="U170" s="16" t="s">
        <v>29</v>
      </c>
      <c r="V170" s="15"/>
      <c r="W170" s="15"/>
      <c r="X170" s="15"/>
      <c r="Y170" s="15"/>
      <c r="Z170" s="15"/>
    </row>
    <row r="171" spans="1:26" ht="29" customHeight="1" x14ac:dyDescent="0.35">
      <c r="A171" s="12">
        <v>170</v>
      </c>
      <c r="B171" s="66" t="s">
        <v>675</v>
      </c>
      <c r="C171" s="67" t="s">
        <v>676</v>
      </c>
      <c r="D171" s="24" t="s">
        <v>370</v>
      </c>
      <c r="E171" s="26" t="str">
        <f t="shared" si="3"/>
        <v>Laki-Laki</v>
      </c>
      <c r="F171" s="68" t="s">
        <v>627</v>
      </c>
      <c r="G171" s="13" t="s">
        <v>588</v>
      </c>
      <c r="H171" s="88" t="s">
        <v>677</v>
      </c>
      <c r="I171" s="19" t="s">
        <v>90</v>
      </c>
      <c r="J171" s="20" t="s">
        <v>26</v>
      </c>
      <c r="K171" s="19" t="s">
        <v>667</v>
      </c>
      <c r="L171" s="70" t="s">
        <v>35</v>
      </c>
      <c r="M171" s="15">
        <v>2023</v>
      </c>
      <c r="N171" s="15" t="s">
        <v>123</v>
      </c>
      <c r="O171" s="15">
        <v>2025</v>
      </c>
      <c r="P171" s="15">
        <v>2023</v>
      </c>
      <c r="Q171" s="15"/>
      <c r="R171" s="16" t="s">
        <v>51</v>
      </c>
      <c r="S171" s="16" t="str">
        <f ca="1">IF(
  O171 &lt; YEAR(TODAY()),
  "LULUS",
  IF(
    O171 = YEAR(TODAY()),
    IF(
      MATCH(L171, {"Januari";"Februari";"Maret";"April";"Mei";"Juni";"Juli";"Agustus";"September";"Oktober";"November";"Desember"}, 0)
        &gt;= MONTH(TODAY()),
      "AKTIF (Semester " &amp;
        (INT((12*(YEAR(TODAY())-M171) + MONTH(TODAY()) -
          MATCH(L171, {"Januari";"Februari";"Maret";"April";"Mei";"Juni";"Juli";"Agustus";"September";"Oktober";"November";"Desember"}, 0)) / 6) + 1) &amp; ")",
      "LULUS"
    ),
    "AKTIF (Semester " &amp;
      (INT((12*(YEAR(TODAY())-M171) + MONTH(TODAY()) -
        MATCH(L171, {"Januari";"Februari";"Maret";"April";"Mei";"Juni";"Juli";"Agustus";"September";"Oktober";"November";"Desember"}, 0)) / 6) + 1) &amp; ")"
  )
)</f>
        <v>LULUS</v>
      </c>
      <c r="T171" s="16" t="e">
        <f ca="1">IF(O171 &lt; YEAR(TODAY()), "LULUS",
 IF(O171 = YEAR(TODAY()),
    IF(MATCH(N171, {"Januari";"Februari";"Maret";"April";"Mei";"Juni";"Juli";"Agustus";"September";"Oktober";"November";"Desember"},0)
        &lt;= MONTH(TODAY()),
        "LULUS",
        "AKTIF"),
 "AKTIF"))</f>
        <v>#N/A</v>
      </c>
      <c r="U171" s="16" t="s">
        <v>29</v>
      </c>
      <c r="V171" s="15"/>
      <c r="W171" s="15"/>
      <c r="X171" s="15"/>
      <c r="Y171" s="15"/>
      <c r="Z171" s="15"/>
    </row>
    <row r="172" spans="1:26" ht="29" customHeight="1" x14ac:dyDescent="0.35">
      <c r="A172" s="12">
        <v>171</v>
      </c>
      <c r="B172" s="66" t="s">
        <v>678</v>
      </c>
      <c r="C172" s="63" t="s">
        <v>679</v>
      </c>
      <c r="D172" s="24" t="s">
        <v>126</v>
      </c>
      <c r="E172" s="26" t="str">
        <f t="shared" si="3"/>
        <v>Laki-Laki</v>
      </c>
      <c r="F172" s="64" t="s">
        <v>680</v>
      </c>
      <c r="G172" s="13" t="s">
        <v>588</v>
      </c>
      <c r="H172" s="19" t="s">
        <v>681</v>
      </c>
      <c r="I172" s="19" t="s">
        <v>563</v>
      </c>
      <c r="J172" s="20" t="s">
        <v>26</v>
      </c>
      <c r="K172" s="19" t="s">
        <v>564</v>
      </c>
      <c r="L172" s="29" t="s">
        <v>28</v>
      </c>
      <c r="M172" s="15">
        <v>2023</v>
      </c>
      <c r="N172" s="15" t="s">
        <v>682</v>
      </c>
      <c r="O172" s="15">
        <v>2025</v>
      </c>
      <c r="P172" s="15">
        <v>2023</v>
      </c>
      <c r="Q172" s="15"/>
      <c r="R172" s="16" t="s">
        <v>51</v>
      </c>
      <c r="S172" s="16" t="str">
        <f ca="1">IF(
  O172 &lt; YEAR(TODAY()),
  "LULUS",
  IF(
    O172 = YEAR(TODAY()),
    IF(
      MATCH(L172, {"Januari";"Februari";"Maret";"April";"Mei";"Juni";"Juli";"Agustus";"September";"Oktober";"November";"Desember"}, 0)
        &gt;= MONTH(TODAY()),
      "AKTIF (Semester " &amp;
        (INT((12*(YEAR(TODAY())-M172) + MONTH(TODAY()) -
          MATCH(L172, {"Januari";"Februari";"Maret";"April";"Mei";"Juni";"Juli";"Agustus";"September";"Oktober";"November";"Desember"}, 0)) / 6) + 1) &amp; ")",
      "LULUS"
    ),
    "AKTIF (Semester " &amp;
      (INT((12*(YEAR(TODAY())-M172) + MONTH(TODAY()) -
        MATCH(L172, {"Januari";"Februari";"Maret";"April";"Mei";"Juni";"Juli";"Agustus";"September";"Oktober";"November";"Desember"}, 0)) / 6) + 1) &amp; ")"
  )
)</f>
        <v>LULUS</v>
      </c>
      <c r="T172" s="16" t="e">
        <f ca="1">IF(O172 &lt; YEAR(TODAY()), "LULUS",
 IF(O172 = YEAR(TODAY()),
    IF(MATCH(N172, {"Januari";"Februari";"Maret";"April";"Mei";"Juni";"Juli";"Agustus";"September";"Oktober";"November";"Desember"},0)
        &lt;= MONTH(TODAY()),
        "LULUS",
        "AKTIF"),
 "AKTIF"))</f>
        <v>#N/A</v>
      </c>
      <c r="U172" s="16" t="s">
        <v>29</v>
      </c>
      <c r="V172" s="15"/>
      <c r="W172" s="15"/>
      <c r="X172" s="15"/>
      <c r="Y172" s="15"/>
      <c r="Z172" s="15"/>
    </row>
    <row r="173" spans="1:26" ht="29" customHeight="1" x14ac:dyDescent="0.35">
      <c r="A173" s="12">
        <v>172</v>
      </c>
      <c r="B173" s="66" t="s">
        <v>683</v>
      </c>
      <c r="C173" s="67" t="s">
        <v>684</v>
      </c>
      <c r="D173" s="24" t="s">
        <v>471</v>
      </c>
      <c r="E173" s="26" t="str">
        <f t="shared" si="3"/>
        <v>Laki-Laki</v>
      </c>
      <c r="F173" s="68" t="s">
        <v>397</v>
      </c>
      <c r="G173" s="13" t="s">
        <v>588</v>
      </c>
      <c r="H173" s="19" t="s">
        <v>685</v>
      </c>
      <c r="I173" s="19" t="s">
        <v>629</v>
      </c>
      <c r="J173" s="20" t="s">
        <v>242</v>
      </c>
      <c r="K173" s="19" t="s">
        <v>686</v>
      </c>
      <c r="L173" s="70" t="s">
        <v>60</v>
      </c>
      <c r="M173" s="15">
        <v>2023</v>
      </c>
      <c r="N173" s="15" t="s">
        <v>145</v>
      </c>
      <c r="O173" s="15">
        <v>2026</v>
      </c>
      <c r="P173" s="15">
        <v>2023</v>
      </c>
      <c r="Q173" s="15"/>
      <c r="R173" s="16" t="s">
        <v>51</v>
      </c>
      <c r="S173" s="16" t="str">
        <f ca="1">IF(
  O173 &lt; YEAR(TODAY()),
  "LULUS",
  IF(
    O173 = YEAR(TODAY()),
    IF(
      MATCH(L173, {"Januari";"Februari";"Maret";"April";"Mei";"Juni";"Juli";"Agustus";"September";"Oktober";"November";"Desember"}, 0)
        &gt;= MONTH(TODAY()),
      "AKTIF (Semester " &amp;
        (INT((12*(YEAR(TODAY())-M173) + MONTH(TODAY()) -
          MATCH(L173, {"Januari";"Februari";"Maret";"April";"Mei";"Juni";"Juli";"Agustus";"September";"Oktober";"November";"Desember"}, 0)) / 6) + 1) &amp; ")",
      "LULUS"
    ),
    "AKTIF (Semester " &amp;
      (INT((12*(YEAR(TODAY())-M173) + MONTH(TODAY()) -
        MATCH(L173, {"Januari";"Februari";"Maret";"April";"Mei";"Juni";"Juli";"Agustus";"September";"Oktober";"November";"Desember"}, 0)) / 6) + 1) &amp; ")"
  )
)</f>
        <v>AKTIF (Semester 5)</v>
      </c>
      <c r="T173" s="16" t="str">
        <f ca="1">IF(O173 &lt; YEAR(TODAY()), "LULUS",
 IF(O173 = YEAR(TODAY()),
    IF(MATCH(N173, {"Januari";"Februari";"Maret";"April";"Mei";"Juni";"Juli";"Agustus";"September";"Oktober";"November";"Desember"},0)
        &lt;= MONTH(TODAY()),
        "LULUS",
        "AKTIF"),
 "AKTIF"))</f>
        <v>AKTIF</v>
      </c>
      <c r="U173" s="16" t="s">
        <v>2941</v>
      </c>
      <c r="V173" s="15"/>
      <c r="W173" s="15"/>
      <c r="X173" s="15"/>
      <c r="Y173" s="15"/>
      <c r="Z173" s="15"/>
    </row>
    <row r="174" spans="1:26" ht="29" customHeight="1" x14ac:dyDescent="0.35">
      <c r="A174" s="12">
        <v>173</v>
      </c>
      <c r="B174" s="66" t="s">
        <v>687</v>
      </c>
      <c r="C174" s="67" t="s">
        <v>688</v>
      </c>
      <c r="D174" s="24" t="s">
        <v>104</v>
      </c>
      <c r="E174" s="26" t="str">
        <f t="shared" si="3"/>
        <v>Laki-Laki</v>
      </c>
      <c r="F174" s="68" t="s">
        <v>689</v>
      </c>
      <c r="G174" s="13" t="s">
        <v>588</v>
      </c>
      <c r="H174" s="19" t="s">
        <v>685</v>
      </c>
      <c r="I174" s="19" t="s">
        <v>629</v>
      </c>
      <c r="J174" s="20" t="s">
        <v>26</v>
      </c>
      <c r="K174" s="19" t="s">
        <v>690</v>
      </c>
      <c r="L174" s="70" t="s">
        <v>60</v>
      </c>
      <c r="M174" s="15">
        <v>2023</v>
      </c>
      <c r="N174" s="15" t="s">
        <v>145</v>
      </c>
      <c r="O174" s="15">
        <v>2025</v>
      </c>
      <c r="P174" s="15">
        <v>2023</v>
      </c>
      <c r="Q174" s="15"/>
      <c r="R174" s="16" t="s">
        <v>51</v>
      </c>
      <c r="S174" s="16" t="str">
        <f ca="1">IF(
  O174 &lt; YEAR(TODAY()),
  "LULUS",
  IF(
    O174 = YEAR(TODAY()),
    IF(
      MATCH(L174, {"Januari";"Februari";"Maret";"April";"Mei";"Juni";"Juli";"Agustus";"September";"Oktober";"November";"Desember"}, 0)
        &gt;= MONTH(TODAY()),
      "AKTIF (Semester " &amp;
        (INT((12*(YEAR(TODAY())-M174) + MONTH(TODAY()) -
          MATCH(L174, {"Januari";"Februari";"Maret";"April";"Mei";"Juni";"Juli";"Agustus";"September";"Oktober";"November";"Desember"}, 0)) / 6) + 1) &amp; ")",
      "LULUS"
    ),
    "AKTIF (Semester " &amp;
      (INT((12*(YEAR(TODAY())-M174) + MONTH(TODAY()) -
        MATCH(L174, {"Januari";"Februari";"Maret";"April";"Mei";"Juni";"Juli";"Agustus";"September";"Oktober";"November";"Desember"}, 0)) / 6) + 1) &amp; ")"
  )
)</f>
        <v>LULUS</v>
      </c>
      <c r="T174" s="16" t="e">
        <f ca="1">IF(O174 &lt; YEAR(TODAY()), "LULUS",
 IF(O174 = YEAR(TODAY()),
    IF(MATCH(N174, {"Januari";"Februari";"Maret";"April";"Mei";"Juni";"Juli";"Agustus";"September";"Oktober";"November";"Desember"},0)
        &lt;= MONTH(TODAY()),
        "LULUS",
        "AKTIF"),
 "AKTIF"))</f>
        <v>#N/A</v>
      </c>
      <c r="U174" s="16" t="s">
        <v>29</v>
      </c>
      <c r="V174" s="15"/>
      <c r="W174" s="15"/>
      <c r="X174" s="15"/>
      <c r="Y174" s="15"/>
      <c r="Z174" s="15"/>
    </row>
    <row r="175" spans="1:26" ht="29" customHeight="1" x14ac:dyDescent="0.35">
      <c r="A175" s="12">
        <v>174</v>
      </c>
      <c r="B175" s="66" t="s">
        <v>691</v>
      </c>
      <c r="C175" s="63" t="s">
        <v>692</v>
      </c>
      <c r="D175" s="24" t="s">
        <v>126</v>
      </c>
      <c r="E175" s="26" t="str">
        <f t="shared" si="3"/>
        <v>Perempuan</v>
      </c>
      <c r="F175" s="64" t="s">
        <v>693</v>
      </c>
      <c r="G175" s="13" t="s">
        <v>588</v>
      </c>
      <c r="H175" s="19" t="s">
        <v>681</v>
      </c>
      <c r="I175" s="19" t="s">
        <v>563</v>
      </c>
      <c r="J175" s="20" t="s">
        <v>26</v>
      </c>
      <c r="K175" s="19" t="s">
        <v>694</v>
      </c>
      <c r="L175" s="29" t="s">
        <v>28</v>
      </c>
      <c r="M175" s="15">
        <v>2023</v>
      </c>
      <c r="N175" s="15" t="s">
        <v>205</v>
      </c>
      <c r="O175" s="15">
        <v>2025</v>
      </c>
      <c r="P175" s="15">
        <v>2023</v>
      </c>
      <c r="Q175" s="15"/>
      <c r="R175" s="16" t="s">
        <v>51</v>
      </c>
      <c r="S175" s="16" t="str">
        <f ca="1">IF(
  O175 &lt; YEAR(TODAY()),
  "LULUS",
  IF(
    O175 = YEAR(TODAY()),
    IF(
      MATCH(L175, {"Januari";"Februari";"Maret";"April";"Mei";"Juni";"Juli";"Agustus";"September";"Oktober";"November";"Desember"}, 0)
        &gt;= MONTH(TODAY()),
      "AKTIF (Semester " &amp;
        (INT((12*(YEAR(TODAY())-M175) + MONTH(TODAY()) -
          MATCH(L175, {"Januari";"Februari";"Maret";"April";"Mei";"Juni";"Juli";"Agustus";"September";"Oktober";"November";"Desember"}, 0)) / 6) + 1) &amp; ")",
      "LULUS"
    ),
    "AKTIF (Semester " &amp;
      (INT((12*(YEAR(TODAY())-M175) + MONTH(TODAY()) -
        MATCH(L175, {"Januari";"Februari";"Maret";"April";"Mei";"Juni";"Juli";"Agustus";"September";"Oktober";"November";"Desember"}, 0)) / 6) + 1) &amp; ")"
  )
)</f>
        <v>LULUS</v>
      </c>
      <c r="T175" s="16" t="e">
        <f ca="1">IF(O175 &lt; YEAR(TODAY()), "LULUS",
 IF(O175 = YEAR(TODAY()),
    IF(MATCH(N175, {"Januari";"Februari";"Maret";"April";"Mei";"Juni";"Juli";"Agustus";"September";"Oktober";"November";"Desember"},0)
        &lt;= MONTH(TODAY()),
        "LULUS",
        "AKTIF"),
 "AKTIF"))</f>
        <v>#N/A</v>
      </c>
      <c r="U175" s="16" t="s">
        <v>29</v>
      </c>
      <c r="V175" s="15"/>
      <c r="W175" s="15"/>
      <c r="X175" s="15"/>
      <c r="Y175" s="15"/>
      <c r="Z175" s="15"/>
    </row>
    <row r="176" spans="1:26" ht="29" customHeight="1" x14ac:dyDescent="0.35">
      <c r="A176" s="12">
        <v>175</v>
      </c>
      <c r="B176" s="25" t="s">
        <v>695</v>
      </c>
      <c r="C176" s="69" t="s">
        <v>696</v>
      </c>
      <c r="D176" s="24" t="s">
        <v>126</v>
      </c>
      <c r="E176" s="26" t="str">
        <f t="shared" si="3"/>
        <v>Perempuan</v>
      </c>
      <c r="F176" s="64" t="s">
        <v>697</v>
      </c>
      <c r="G176" s="13" t="s">
        <v>588</v>
      </c>
      <c r="H176" s="19" t="s">
        <v>698</v>
      </c>
      <c r="I176" s="19" t="s">
        <v>90</v>
      </c>
      <c r="J176" s="20" t="s">
        <v>45</v>
      </c>
      <c r="K176" s="19" t="s">
        <v>46</v>
      </c>
      <c r="L176" s="70" t="s">
        <v>28</v>
      </c>
      <c r="M176" s="15">
        <v>2023</v>
      </c>
      <c r="N176" s="15" t="s">
        <v>28</v>
      </c>
      <c r="O176" s="15">
        <v>2027</v>
      </c>
      <c r="P176" s="15">
        <v>2023</v>
      </c>
      <c r="Q176" s="15"/>
      <c r="R176" s="16" t="s">
        <v>51</v>
      </c>
      <c r="S176" s="16" t="str">
        <f ca="1">IF(
  O176 &lt; YEAR(TODAY()),
  "LULUS",
  IF(
    O176 = YEAR(TODAY()),
    IF(
      MATCH(L176, {"Januari";"Februari";"Maret";"April";"Mei";"Juni";"Juli";"Agustus";"September";"Oktober";"November";"Desember"}, 0)
        &gt;= MONTH(TODAY()),
      "AKTIF (Semester " &amp;
        (INT((12*(YEAR(TODAY())-M176) + MONTH(TODAY()) -
          MATCH(L176, {"Januari";"Februari";"Maret";"April";"Mei";"Juni";"Juli";"Agustus";"September";"Oktober";"November";"Desember"}, 0)) / 6) + 1) &amp; ")",
      "LULUS"
    ),
    "AKTIF (Semester " &amp;
      (INT((12*(YEAR(TODAY())-M176) + MONTH(TODAY()) -
        MATCH(L176, {"Januari";"Februari";"Maret";"April";"Mei";"Juni";"Juli";"Agustus";"September";"Oktober";"November";"Desember"}, 0)) / 6) + 1) &amp; ")"
  )
)</f>
        <v>AKTIF (Semester 5)</v>
      </c>
      <c r="T176" s="16" t="str">
        <f ca="1">IF(O176 &lt; YEAR(TODAY()), "LULUS",
 IF(O176 = YEAR(TODAY()),
    IF(MATCH(N176, {"Januari";"Februari";"Maret";"April";"Mei";"Juni";"Juli";"Agustus";"September";"Oktober";"November";"Desember"},0)
        &lt;= MONTH(TODAY()),
        "LULUS",
        "AKTIF"),
 "AKTIF"))</f>
        <v>AKTIF</v>
      </c>
      <c r="U176" s="16" t="s">
        <v>2941</v>
      </c>
      <c r="V176" s="15"/>
      <c r="W176" s="15"/>
      <c r="X176" s="15"/>
      <c r="Y176" s="15"/>
      <c r="Z176" s="15"/>
    </row>
    <row r="177" spans="1:26" ht="29" customHeight="1" x14ac:dyDescent="0.35">
      <c r="A177" s="12">
        <v>176</v>
      </c>
      <c r="B177" s="25" t="s">
        <v>699</v>
      </c>
      <c r="C177" s="69" t="s">
        <v>700</v>
      </c>
      <c r="D177" s="24" t="s">
        <v>370</v>
      </c>
      <c r="E177" s="26" t="str">
        <f t="shared" si="3"/>
        <v>Laki-Laki</v>
      </c>
      <c r="F177" s="64" t="s">
        <v>139</v>
      </c>
      <c r="G177" s="13" t="s">
        <v>588</v>
      </c>
      <c r="H177" s="19" t="s">
        <v>701</v>
      </c>
      <c r="I177" s="19" t="s">
        <v>90</v>
      </c>
      <c r="J177" s="20" t="s">
        <v>45</v>
      </c>
      <c r="K177" s="41" t="s">
        <v>702</v>
      </c>
      <c r="L177" s="29" t="s">
        <v>28</v>
      </c>
      <c r="M177" s="15">
        <v>2023</v>
      </c>
      <c r="N177" s="15" t="s">
        <v>205</v>
      </c>
      <c r="O177" s="15">
        <v>2027</v>
      </c>
      <c r="P177" s="15">
        <v>2023</v>
      </c>
      <c r="Q177" s="15"/>
      <c r="R177" s="16" t="s">
        <v>51</v>
      </c>
      <c r="S177" s="16" t="str">
        <f ca="1">IF(
  O177 &lt; YEAR(TODAY()),
  "LULUS",
  IF(
    O177 = YEAR(TODAY()),
    IF(
      MATCH(L177, {"Januari";"Februari";"Maret";"April";"Mei";"Juni";"Juli";"Agustus";"September";"Oktober";"November";"Desember"}, 0)
        &gt;= MONTH(TODAY()),
      "AKTIF (Semester " &amp;
        (INT((12*(YEAR(TODAY())-M177) + MONTH(TODAY()) -
          MATCH(L177, {"Januari";"Februari";"Maret";"April";"Mei";"Juni";"Juli";"Agustus";"September";"Oktober";"November";"Desember"}, 0)) / 6) + 1) &amp; ")",
      "LULUS"
    ),
    "AKTIF (Semester " &amp;
      (INT((12*(YEAR(TODAY())-M177) + MONTH(TODAY()) -
        MATCH(L177, {"Januari";"Februari";"Maret";"April";"Mei";"Juni";"Juli";"Agustus";"September";"Oktober";"November";"Desember"}, 0)) / 6) + 1) &amp; ")"
  )
)</f>
        <v>AKTIF (Semester 5)</v>
      </c>
      <c r="T177" s="16" t="str">
        <f ca="1">IF(O177 &lt; YEAR(TODAY()), "LULUS",
 IF(O177 = YEAR(TODAY()),
    IF(MATCH(N177, {"Januari";"Februari";"Maret";"April";"Mei";"Juni";"Juli";"Agustus";"September";"Oktober";"November";"Desember"},0)
        &lt;= MONTH(TODAY()),
        "LULUS",
        "AKTIF"),
 "AKTIF"))</f>
        <v>AKTIF</v>
      </c>
      <c r="U177" s="16" t="s">
        <v>2941</v>
      </c>
      <c r="V177" s="15"/>
      <c r="W177" s="15"/>
      <c r="X177" s="15"/>
      <c r="Y177" s="15"/>
      <c r="Z177" s="15"/>
    </row>
    <row r="178" spans="1:26" ht="29" customHeight="1" x14ac:dyDescent="0.35">
      <c r="A178" s="12">
        <v>177</v>
      </c>
      <c r="B178" s="25" t="s">
        <v>703</v>
      </c>
      <c r="C178" s="69" t="s">
        <v>704</v>
      </c>
      <c r="D178" s="24" t="s">
        <v>109</v>
      </c>
      <c r="E178" s="26" t="str">
        <f t="shared" si="3"/>
        <v>Laki-Laki</v>
      </c>
      <c r="F178" s="72" t="s">
        <v>662</v>
      </c>
      <c r="G178" s="13" t="s">
        <v>588</v>
      </c>
      <c r="H178" s="19" t="s">
        <v>705</v>
      </c>
      <c r="I178" s="19" t="s">
        <v>485</v>
      </c>
      <c r="J178" s="20" t="s">
        <v>26</v>
      </c>
      <c r="K178" s="19" t="s">
        <v>449</v>
      </c>
      <c r="L178" s="70" t="s">
        <v>60</v>
      </c>
      <c r="M178" s="15">
        <v>2023</v>
      </c>
      <c r="N178" s="15" t="s">
        <v>60</v>
      </c>
      <c r="O178" s="15">
        <v>2025</v>
      </c>
      <c r="P178" s="15">
        <v>2023</v>
      </c>
      <c r="Q178" s="15"/>
      <c r="R178" s="16" t="s">
        <v>51</v>
      </c>
      <c r="S178" s="16" t="str">
        <f ca="1">IF(
  O178 &lt; YEAR(TODAY()),
  "LULUS",
  IF(
    O178 = YEAR(TODAY()),
    IF(
      MATCH(L178, {"Januari";"Februari";"Maret";"April";"Mei";"Juni";"Juli";"Agustus";"September";"Oktober";"November";"Desember"}, 0)
        &gt;= MONTH(TODAY()),
      "AKTIF (Semester " &amp;
        (INT((12*(YEAR(TODAY())-M178) + MONTH(TODAY()) -
          MATCH(L178, {"Januari";"Februari";"Maret";"April";"Mei";"Juni";"Juli";"Agustus";"September";"Oktober";"November";"Desember"}, 0)) / 6) + 1) &amp; ")",
      "LULUS"
    ),
    "AKTIF (Semester " &amp;
      (INT((12*(YEAR(TODAY())-M178) + MONTH(TODAY()) -
        MATCH(L178, {"Januari";"Februari";"Maret";"April";"Mei";"Juni";"Juli";"Agustus";"September";"Oktober";"November";"Desember"}, 0)) / 6) + 1) &amp; ")"
  )
)</f>
        <v>LULUS</v>
      </c>
      <c r="T178" s="16" t="str">
        <f ca="1">IF(O178 &lt; YEAR(TODAY()), "LULUS",
 IF(O178 = YEAR(TODAY()),
    IF(MATCH(N178, {"Januari";"Februari";"Maret";"April";"Mei";"Juni";"Juli";"Agustus";"September";"Oktober";"November";"Desember"},0)
        &lt;= MONTH(TODAY()),
        "LULUS",
        "AKTIF"),
 "AKTIF"))</f>
        <v>LULUS</v>
      </c>
      <c r="U178" s="16" t="s">
        <v>29</v>
      </c>
      <c r="V178" s="15"/>
      <c r="W178" s="15"/>
      <c r="X178" s="15"/>
      <c r="Y178" s="15"/>
      <c r="Z178" s="15"/>
    </row>
    <row r="179" spans="1:26" ht="29" customHeight="1" x14ac:dyDescent="0.35">
      <c r="A179" s="12">
        <v>178</v>
      </c>
      <c r="B179" s="25" t="s">
        <v>706</v>
      </c>
      <c r="C179" s="69" t="s">
        <v>707</v>
      </c>
      <c r="D179" s="24" t="s">
        <v>109</v>
      </c>
      <c r="E179" s="26" t="str">
        <f t="shared" si="3"/>
        <v>Laki-Laki</v>
      </c>
      <c r="F179" s="72" t="s">
        <v>708</v>
      </c>
      <c r="G179" s="13" t="s">
        <v>588</v>
      </c>
      <c r="H179" s="19" t="s">
        <v>705</v>
      </c>
      <c r="I179" s="19" t="s">
        <v>485</v>
      </c>
      <c r="J179" s="20" t="s">
        <v>26</v>
      </c>
      <c r="K179" s="19" t="s">
        <v>449</v>
      </c>
      <c r="L179" s="70" t="s">
        <v>60</v>
      </c>
      <c r="M179" s="15">
        <v>2023</v>
      </c>
      <c r="N179" s="15" t="s">
        <v>145</v>
      </c>
      <c r="O179" s="15">
        <v>2025</v>
      </c>
      <c r="P179" s="15">
        <v>2023</v>
      </c>
      <c r="Q179" s="15"/>
      <c r="R179" s="16" t="s">
        <v>51</v>
      </c>
      <c r="S179" s="16" t="str">
        <f ca="1">IF(
  O179 &lt; YEAR(TODAY()),
  "LULUS",
  IF(
    O179 = YEAR(TODAY()),
    IF(
      MATCH(L179, {"Januari";"Februari";"Maret";"April";"Mei";"Juni";"Juli";"Agustus";"September";"Oktober";"November";"Desember"}, 0)
        &gt;= MONTH(TODAY()),
      "AKTIF (Semester " &amp;
        (INT((12*(YEAR(TODAY())-M179) + MONTH(TODAY()) -
          MATCH(L179, {"Januari";"Februari";"Maret";"April";"Mei";"Juni";"Juli";"Agustus";"September";"Oktober";"November";"Desember"}, 0)) / 6) + 1) &amp; ")",
      "LULUS"
    ),
    "AKTIF (Semester " &amp;
      (INT((12*(YEAR(TODAY())-M179) + MONTH(TODAY()) -
        MATCH(L179, {"Januari";"Februari";"Maret";"April";"Mei";"Juni";"Juli";"Agustus";"September";"Oktober";"November";"Desember"}, 0)) / 6) + 1) &amp; ")"
  )
)</f>
        <v>LULUS</v>
      </c>
      <c r="T179" s="16" t="e">
        <f ca="1">IF(O179 &lt; YEAR(TODAY()), "LULUS",
 IF(O179 = YEAR(TODAY()),
    IF(MATCH(N179, {"Januari";"Februari";"Maret";"April";"Mei";"Juni";"Juli";"Agustus";"September";"Oktober";"November";"Desember"},0)
        &lt;= MONTH(TODAY()),
        "LULUS",
        "AKTIF"),
 "AKTIF"))</f>
        <v>#N/A</v>
      </c>
      <c r="U179" s="16" t="s">
        <v>29</v>
      </c>
      <c r="V179" s="15"/>
      <c r="W179" s="15"/>
      <c r="X179" s="15"/>
      <c r="Y179" s="15"/>
      <c r="Z179" s="15"/>
    </row>
    <row r="180" spans="1:26" ht="29" customHeight="1" x14ac:dyDescent="0.35">
      <c r="A180" s="12">
        <v>179</v>
      </c>
      <c r="B180" s="25" t="s">
        <v>709</v>
      </c>
      <c r="C180" s="69" t="s">
        <v>710</v>
      </c>
      <c r="D180" s="24" t="s">
        <v>370</v>
      </c>
      <c r="E180" s="26" t="str">
        <f t="shared" si="3"/>
        <v>Laki-Laki</v>
      </c>
      <c r="F180" s="72" t="s">
        <v>711</v>
      </c>
      <c r="G180" s="13" t="s">
        <v>588</v>
      </c>
      <c r="H180" s="19" t="s">
        <v>712</v>
      </c>
      <c r="I180" s="19" t="s">
        <v>563</v>
      </c>
      <c r="J180" s="20" t="s">
        <v>26</v>
      </c>
      <c r="K180" s="19" t="s">
        <v>694</v>
      </c>
      <c r="L180" s="29" t="s">
        <v>28</v>
      </c>
      <c r="M180" s="15">
        <v>2023</v>
      </c>
      <c r="N180" s="15" t="s">
        <v>205</v>
      </c>
      <c r="O180" s="15">
        <v>2025</v>
      </c>
      <c r="P180" s="15">
        <v>2023</v>
      </c>
      <c r="Q180" s="15"/>
      <c r="R180" s="16" t="s">
        <v>51</v>
      </c>
      <c r="S180" s="16" t="str">
        <f ca="1">IF(
  O180 &lt; YEAR(TODAY()),
  "LULUS",
  IF(
    O180 = YEAR(TODAY()),
    IF(
      MATCH(L180, {"Januari";"Februari";"Maret";"April";"Mei";"Juni";"Juli";"Agustus";"September";"Oktober";"November";"Desember"}, 0)
        &gt;= MONTH(TODAY()),
      "AKTIF (Semester " &amp;
        (INT((12*(YEAR(TODAY())-M180) + MONTH(TODAY()) -
          MATCH(L180, {"Januari";"Februari";"Maret";"April";"Mei";"Juni";"Juli";"Agustus";"September";"Oktober";"November";"Desember"}, 0)) / 6) + 1) &amp; ")",
      "LULUS"
    ),
    "AKTIF (Semester " &amp;
      (INT((12*(YEAR(TODAY())-M180) + MONTH(TODAY()) -
        MATCH(L180, {"Januari";"Februari";"Maret";"April";"Mei";"Juni";"Juli";"Agustus";"September";"Oktober";"November";"Desember"}, 0)) / 6) + 1) &amp; ")"
  )
)</f>
        <v>LULUS</v>
      </c>
      <c r="T180" s="16" t="e">
        <f ca="1">IF(O180 &lt; YEAR(TODAY()), "LULUS",
 IF(O180 = YEAR(TODAY()),
    IF(MATCH(N180, {"Januari";"Februari";"Maret";"April";"Mei";"Juni";"Juli";"Agustus";"September";"Oktober";"November";"Desember"},0)
        &lt;= MONTH(TODAY()),
        "LULUS",
        "AKTIF"),
 "AKTIF"))</f>
        <v>#N/A</v>
      </c>
      <c r="U180" s="16" t="s">
        <v>29</v>
      </c>
      <c r="V180" s="15"/>
      <c r="W180" s="15"/>
      <c r="X180" s="15"/>
      <c r="Y180" s="15"/>
      <c r="Z180" s="15"/>
    </row>
    <row r="181" spans="1:26" ht="29" customHeight="1" x14ac:dyDescent="0.35">
      <c r="A181" s="12">
        <v>180</v>
      </c>
      <c r="B181" s="25" t="s">
        <v>713</v>
      </c>
      <c r="C181" s="69" t="s">
        <v>714</v>
      </c>
      <c r="D181" s="24" t="s">
        <v>126</v>
      </c>
      <c r="E181" s="26" t="str">
        <f t="shared" si="3"/>
        <v>Laki-Laki</v>
      </c>
      <c r="F181" s="72" t="s">
        <v>715</v>
      </c>
      <c r="G181" s="13" t="s">
        <v>588</v>
      </c>
      <c r="H181" s="19" t="s">
        <v>712</v>
      </c>
      <c r="I181" s="19" t="s">
        <v>563</v>
      </c>
      <c r="J181" s="20" t="s">
        <v>26</v>
      </c>
      <c r="K181" s="19" t="s">
        <v>694</v>
      </c>
      <c r="L181" s="70" t="s">
        <v>28</v>
      </c>
      <c r="M181" s="15">
        <v>2023</v>
      </c>
      <c r="N181" s="15" t="s">
        <v>28</v>
      </c>
      <c r="O181" s="15">
        <v>2025</v>
      </c>
      <c r="P181" s="15">
        <v>2023</v>
      </c>
      <c r="Q181" s="15"/>
      <c r="R181" s="16" t="s">
        <v>51</v>
      </c>
      <c r="S181" s="16" t="str">
        <f ca="1">IF(
  O181 &lt; YEAR(TODAY()),
  "LULUS",
  IF(
    O181 = YEAR(TODAY()),
    IF(
      MATCH(L181, {"Januari";"Februari";"Maret";"April";"Mei";"Juni";"Juli";"Agustus";"September";"Oktober";"November";"Desember"}, 0)
        &gt;= MONTH(TODAY()),
      "AKTIF (Semester " &amp;
        (INT((12*(YEAR(TODAY())-M181) + MONTH(TODAY()) -
          MATCH(L181, {"Januari";"Februari";"Maret";"April";"Mei";"Juni";"Juli";"Agustus";"September";"Oktober";"November";"Desember"}, 0)) / 6) + 1) &amp; ")",
      "LULUS"
    ),
    "AKTIF (Semester " &amp;
      (INT((12*(YEAR(TODAY())-M181) + MONTH(TODAY()) -
        MATCH(L181, {"Januari";"Februari";"Maret";"April";"Mei";"Juni";"Juli";"Agustus";"September";"Oktober";"November";"Desember"}, 0)) / 6) + 1) &amp; ")"
  )
)</f>
        <v>LULUS</v>
      </c>
      <c r="T181" s="16" t="str">
        <f ca="1">IF(O181 &lt; YEAR(TODAY()), "LULUS",
 IF(O181 = YEAR(TODAY()),
    IF(MATCH(N181, {"Januari";"Februari";"Maret";"April";"Mei";"Juni";"Juli";"Agustus";"September";"Oktober";"November";"Desember"},0)
        &lt;= MONTH(TODAY()),
        "LULUS",
        "AKTIF"),
 "AKTIF"))</f>
        <v>LULUS</v>
      </c>
      <c r="U181" s="16" t="s">
        <v>29</v>
      </c>
      <c r="V181" s="15"/>
      <c r="W181" s="15"/>
      <c r="X181" s="15"/>
      <c r="Y181" s="15"/>
      <c r="Z181" s="15"/>
    </row>
    <row r="182" spans="1:26" ht="29" customHeight="1" x14ac:dyDescent="0.35">
      <c r="A182" s="12">
        <v>181</v>
      </c>
      <c r="B182" s="25" t="s">
        <v>716</v>
      </c>
      <c r="C182" s="69" t="s">
        <v>717</v>
      </c>
      <c r="D182" s="24" t="s">
        <v>109</v>
      </c>
      <c r="E182" s="26" t="str">
        <f t="shared" si="3"/>
        <v>Laki-Laki</v>
      </c>
      <c r="F182" s="72" t="s">
        <v>715</v>
      </c>
      <c r="G182" s="13" t="s">
        <v>588</v>
      </c>
      <c r="H182" s="19" t="s">
        <v>718</v>
      </c>
      <c r="I182" s="19" t="s">
        <v>90</v>
      </c>
      <c r="J182" s="20" t="s">
        <v>26</v>
      </c>
      <c r="K182" s="19" t="s">
        <v>422</v>
      </c>
      <c r="L182" s="29" t="s">
        <v>28</v>
      </c>
      <c r="M182" s="15">
        <v>2023</v>
      </c>
      <c r="N182" s="15" t="s">
        <v>205</v>
      </c>
      <c r="O182" s="15">
        <v>2025</v>
      </c>
      <c r="P182" s="15">
        <v>2023</v>
      </c>
      <c r="Q182" s="15"/>
      <c r="R182" s="16" t="s">
        <v>51</v>
      </c>
      <c r="S182" s="16" t="str">
        <f ca="1">IF(
  O182 &lt; YEAR(TODAY()),
  "LULUS",
  IF(
    O182 = YEAR(TODAY()),
    IF(
      MATCH(L182, {"Januari";"Februari";"Maret";"April";"Mei";"Juni";"Juli";"Agustus";"September";"Oktober";"November";"Desember"}, 0)
        &gt;= MONTH(TODAY()),
      "AKTIF (Semester " &amp;
        (INT((12*(YEAR(TODAY())-M182) + MONTH(TODAY()) -
          MATCH(L182, {"Januari";"Februari";"Maret";"April";"Mei";"Juni";"Juli";"Agustus";"September";"Oktober";"November";"Desember"}, 0)) / 6) + 1) &amp; ")",
      "LULUS"
    ),
    "AKTIF (Semester " &amp;
      (INT((12*(YEAR(TODAY())-M182) + MONTH(TODAY()) -
        MATCH(L182, {"Januari";"Februari";"Maret";"April";"Mei";"Juni";"Juli";"Agustus";"September";"Oktober";"November";"Desember"}, 0)) / 6) + 1) &amp; ")"
  )
)</f>
        <v>LULUS</v>
      </c>
      <c r="T182" s="16" t="e">
        <f ca="1">IF(O182 &lt; YEAR(TODAY()), "LULUS",
 IF(O182 = YEAR(TODAY()),
    IF(MATCH(N182, {"Januari";"Februari";"Maret";"April";"Mei";"Juni";"Juli";"Agustus";"September";"Oktober";"November";"Desember"},0)
        &lt;= MONTH(TODAY()),
        "LULUS",
        "AKTIF"),
 "AKTIF"))</f>
        <v>#N/A</v>
      </c>
      <c r="U182" s="16" t="s">
        <v>29</v>
      </c>
      <c r="V182" s="15"/>
      <c r="W182" s="15"/>
      <c r="X182" s="15"/>
      <c r="Y182" s="15"/>
      <c r="Z182" s="15"/>
    </row>
    <row r="183" spans="1:26" ht="29" customHeight="1" x14ac:dyDescent="0.35">
      <c r="A183" s="12">
        <v>182</v>
      </c>
      <c r="B183" s="25" t="s">
        <v>720</v>
      </c>
      <c r="C183" s="69" t="s">
        <v>721</v>
      </c>
      <c r="D183" s="24" t="s">
        <v>104</v>
      </c>
      <c r="E183" s="26" t="str">
        <f t="shared" si="3"/>
        <v>Laki-Laki</v>
      </c>
      <c r="F183" s="72" t="s">
        <v>680</v>
      </c>
      <c r="G183" s="13" t="s">
        <v>588</v>
      </c>
      <c r="H183" s="19" t="s">
        <v>722</v>
      </c>
      <c r="I183" s="19" t="s">
        <v>623</v>
      </c>
      <c r="J183" s="20" t="s">
        <v>26</v>
      </c>
      <c r="K183" s="19" t="s">
        <v>723</v>
      </c>
      <c r="L183" s="89" t="s">
        <v>28</v>
      </c>
      <c r="M183" s="15">
        <v>2023</v>
      </c>
      <c r="N183" s="15" t="s">
        <v>28</v>
      </c>
      <c r="O183" s="15">
        <v>2025</v>
      </c>
      <c r="P183" s="15">
        <v>2024</v>
      </c>
      <c r="Q183" s="15"/>
      <c r="R183" s="16" t="s">
        <v>51</v>
      </c>
      <c r="S183" s="16" t="str">
        <f ca="1">IF(
  O183 &lt; YEAR(TODAY()),
  "LULUS",
  IF(
    O183 = YEAR(TODAY()),
    IF(
      MATCH(L183, {"Januari";"Februari";"Maret";"April";"Mei";"Juni";"Juli";"Agustus";"September";"Oktober";"November";"Desember"}, 0)
        &gt;= MONTH(TODAY()),
      "AKTIF (Semester " &amp;
        (INT((12*(YEAR(TODAY())-M183) + MONTH(TODAY()) -
          MATCH(L183, {"Januari";"Februari";"Maret";"April";"Mei";"Juni";"Juli";"Agustus";"September";"Oktober";"November";"Desember"}, 0)) / 6) + 1) &amp; ")",
      "LULUS"
    ),
    "AKTIF (Semester " &amp;
      (INT((12*(YEAR(TODAY())-M183) + MONTH(TODAY()) -
        MATCH(L183, {"Januari";"Februari";"Maret";"April";"Mei";"Juni";"Juli";"Agustus";"September";"Oktober";"November";"Desember"}, 0)) / 6) + 1) &amp; ")"
  )
)</f>
        <v>LULUS</v>
      </c>
      <c r="T183" s="16" t="str">
        <f ca="1">IF(O183 &lt; YEAR(TODAY()), "LULUS",
 IF(O183 = YEAR(TODAY()),
    IF(MATCH(N183, {"Januari";"Februari";"Maret";"April";"Mei";"Juni";"Juli";"Agustus";"September";"Oktober";"November";"Desember"},0)
        &lt;= MONTH(TODAY()),
        "LULUS",
        "AKTIF"),
 "AKTIF"))</f>
        <v>LULUS</v>
      </c>
      <c r="U183" s="16" t="s">
        <v>29</v>
      </c>
      <c r="V183" s="15"/>
      <c r="W183" s="15"/>
      <c r="X183" s="15"/>
      <c r="Y183" s="15"/>
      <c r="Z183" s="15"/>
    </row>
    <row r="184" spans="1:26" ht="29" customHeight="1" x14ac:dyDescent="0.35">
      <c r="A184" s="12">
        <v>183</v>
      </c>
      <c r="B184" s="25" t="s">
        <v>724</v>
      </c>
      <c r="C184" s="69" t="s">
        <v>725</v>
      </c>
      <c r="D184" s="24" t="s">
        <v>109</v>
      </c>
      <c r="E184" s="26" t="str">
        <f t="shared" si="3"/>
        <v>Laki-Laki</v>
      </c>
      <c r="F184" s="72" t="s">
        <v>672</v>
      </c>
      <c r="G184" s="13" t="s">
        <v>588</v>
      </c>
      <c r="H184" s="19" t="s">
        <v>722</v>
      </c>
      <c r="I184" s="19" t="s">
        <v>623</v>
      </c>
      <c r="J184" s="20" t="s">
        <v>26</v>
      </c>
      <c r="K184" s="19" t="s">
        <v>723</v>
      </c>
      <c r="L184" s="89" t="s">
        <v>28</v>
      </c>
      <c r="M184" s="15">
        <v>2023</v>
      </c>
      <c r="N184" s="15" t="s">
        <v>28</v>
      </c>
      <c r="O184" s="15">
        <v>2025</v>
      </c>
      <c r="P184" s="15">
        <v>2024</v>
      </c>
      <c r="Q184" s="15"/>
      <c r="R184" s="16" t="s">
        <v>51</v>
      </c>
      <c r="S184" s="16" t="str">
        <f ca="1">IF(
  O184 &lt; YEAR(TODAY()),
  "LULUS",
  IF(
    O184 = YEAR(TODAY()),
    IF(
      MATCH(L184, {"Januari";"Februari";"Maret";"April";"Mei";"Juni";"Juli";"Agustus";"September";"Oktober";"November";"Desember"}, 0)
        &gt;= MONTH(TODAY()),
      "AKTIF (Semester " &amp;
        (INT((12*(YEAR(TODAY())-M184) + MONTH(TODAY()) -
          MATCH(L184, {"Januari";"Februari";"Maret";"April";"Mei";"Juni";"Juli";"Agustus";"September";"Oktober";"November";"Desember"}, 0)) / 6) + 1) &amp; ")",
      "LULUS"
    ),
    "AKTIF (Semester " &amp;
      (INT((12*(YEAR(TODAY())-M184) + MONTH(TODAY()) -
        MATCH(L184, {"Januari";"Februari";"Maret";"April";"Mei";"Juni";"Juli";"Agustus";"September";"Oktober";"November";"Desember"}, 0)) / 6) + 1) &amp; ")"
  )
)</f>
        <v>LULUS</v>
      </c>
      <c r="T184" s="16" t="str">
        <f ca="1">IF(O184 &lt; YEAR(TODAY()), "LULUS",
 IF(O184 = YEAR(TODAY()),
    IF(MATCH(N184, {"Januari";"Februari";"Maret";"April";"Mei";"Juni";"Juli";"Agustus";"September";"Oktober";"November";"Desember"},0)
        &lt;= MONTH(TODAY()),
        "LULUS",
        "AKTIF"),
 "AKTIF"))</f>
        <v>LULUS</v>
      </c>
      <c r="U184" s="16" t="s">
        <v>29</v>
      </c>
      <c r="V184" s="15"/>
      <c r="W184" s="15"/>
      <c r="X184" s="15"/>
      <c r="Y184" s="15"/>
      <c r="Z184" s="15"/>
    </row>
    <row r="185" spans="1:26" ht="29" customHeight="1" x14ac:dyDescent="0.35">
      <c r="A185" s="12">
        <v>184</v>
      </c>
      <c r="B185" s="73" t="s">
        <v>2834</v>
      </c>
      <c r="C185" s="69" t="s">
        <v>726</v>
      </c>
      <c r="D185" s="24" t="s">
        <v>126</v>
      </c>
      <c r="E185" s="26" t="str">
        <f t="shared" si="3"/>
        <v>Laki-Laki</v>
      </c>
      <c r="F185" s="72" t="s">
        <v>727</v>
      </c>
      <c r="G185" s="13" t="s">
        <v>588</v>
      </c>
      <c r="H185" s="19" t="s">
        <v>722</v>
      </c>
      <c r="I185" s="19" t="s">
        <v>90</v>
      </c>
      <c r="J185" s="20" t="s">
        <v>45</v>
      </c>
      <c r="K185" s="19" t="s">
        <v>728</v>
      </c>
      <c r="L185" s="89" t="s">
        <v>28</v>
      </c>
      <c r="M185" s="15">
        <v>2023</v>
      </c>
      <c r="N185" s="15" t="s">
        <v>28</v>
      </c>
      <c r="O185" s="15">
        <v>2027</v>
      </c>
      <c r="P185" s="15">
        <v>2024</v>
      </c>
      <c r="Q185" s="15"/>
      <c r="R185" s="16" t="s">
        <v>51</v>
      </c>
      <c r="S185" s="16" t="str">
        <f ca="1">IF(
  O185 &lt; YEAR(TODAY()),
  "LULUS",
  IF(
    O185 = YEAR(TODAY()),
    IF(
      MATCH(L185, {"Januari";"Februari";"Maret";"April";"Mei";"Juni";"Juli";"Agustus";"September";"Oktober";"November";"Desember"}, 0)
        &gt;= MONTH(TODAY()),
      "AKTIF (Semester " &amp;
        (INT((12*(YEAR(TODAY())-M185) + MONTH(TODAY()) -
          MATCH(L185, {"Januari";"Februari";"Maret";"April";"Mei";"Juni";"Juli";"Agustus";"September";"Oktober";"November";"Desember"}, 0)) / 6) + 1) &amp; ")",
      "LULUS"
    ),
    "AKTIF (Semester " &amp;
      (INT((12*(YEAR(TODAY())-M185) + MONTH(TODAY()) -
        MATCH(L185, {"Januari";"Februari";"Maret";"April";"Mei";"Juni";"Juli";"Agustus";"September";"Oktober";"November";"Desember"}, 0)) / 6) + 1) &amp; ")"
  )
)</f>
        <v>AKTIF (Semester 5)</v>
      </c>
      <c r="T185" s="16" t="str">
        <f ca="1">IF(O185 &lt; YEAR(TODAY()), "LULUS",
 IF(O185 = YEAR(TODAY()),
    IF(MATCH(N185, {"Januari";"Februari";"Maret";"April";"Mei";"Juni";"Juli";"Agustus";"September";"Oktober";"November";"Desember"},0)
        &lt;= MONTH(TODAY()),
        "LULUS",
        "AKTIF"),
 "AKTIF"))</f>
        <v>AKTIF</v>
      </c>
      <c r="U185" s="16" t="s">
        <v>2941</v>
      </c>
      <c r="V185" s="15"/>
      <c r="W185" s="15"/>
      <c r="X185" s="15"/>
      <c r="Y185" s="15"/>
      <c r="Z185" s="15"/>
    </row>
    <row r="186" spans="1:26" ht="29" customHeight="1" x14ac:dyDescent="0.35">
      <c r="A186" s="12">
        <v>185</v>
      </c>
      <c r="B186" s="25" t="s">
        <v>729</v>
      </c>
      <c r="C186" s="69" t="s">
        <v>730</v>
      </c>
      <c r="D186" s="24" t="s">
        <v>109</v>
      </c>
      <c r="E186" s="26" t="str">
        <f t="shared" si="3"/>
        <v>Laki-Laki</v>
      </c>
      <c r="F186" s="72" t="s">
        <v>731</v>
      </c>
      <c r="G186" s="13" t="s">
        <v>588</v>
      </c>
      <c r="H186" s="19" t="s">
        <v>718</v>
      </c>
      <c r="I186" s="15" t="s">
        <v>1576</v>
      </c>
      <c r="J186" s="20" t="s">
        <v>26</v>
      </c>
      <c r="K186" s="19" t="s">
        <v>733</v>
      </c>
      <c r="L186" s="70" t="s">
        <v>182</v>
      </c>
      <c r="M186" s="15">
        <v>2021</v>
      </c>
      <c r="N186" s="15" t="s">
        <v>182</v>
      </c>
      <c r="O186" s="15">
        <v>2023</v>
      </c>
      <c r="P186" s="15">
        <v>2023</v>
      </c>
      <c r="Q186" s="15"/>
      <c r="R186" s="16" t="s">
        <v>51</v>
      </c>
      <c r="S186" s="16" t="str">
        <f ca="1">IF(
  O186 &lt; YEAR(TODAY()),
  "LULUS",
  IF(
    O186 = YEAR(TODAY()),
    IF(
      MATCH(L186, {"Januari";"Februari";"Maret";"April";"Mei";"Juni";"Juli";"Agustus";"September";"Oktober";"November";"Desember"}, 0)
        &gt;= MONTH(TODAY()),
      "AKTIF (Semester " &amp;
        (INT((12*(YEAR(TODAY())-M186) + MONTH(TODAY()) -
          MATCH(L186, {"Januari";"Februari";"Maret";"April";"Mei";"Juni";"Juli";"Agustus";"September";"Oktober";"November";"Desember"}, 0)) / 6) + 1) &amp; ")",
      "LULUS"
    ),
    "AKTIF (Semester " &amp;
      (INT((12*(YEAR(TODAY())-M186) + MONTH(TODAY()) -
        MATCH(L186, {"Januari";"Februari";"Maret";"April";"Mei";"Juni";"Juli";"Agustus";"September";"Oktober";"November";"Desember"}, 0)) / 6) + 1) &amp; ")"
  )
)</f>
        <v>LULUS</v>
      </c>
      <c r="T186" s="16" t="str">
        <f ca="1">IF(O186 &lt; YEAR(TODAY()), "LULUS",
 IF(O186 = YEAR(TODAY()),
    IF(MATCH(N186, {"Januari";"Februari";"Maret";"April";"Mei";"Juni";"Juli";"Agustus";"September";"Oktober";"November";"Desember"},0)
        &lt;= MONTH(TODAY()),
        "LULUS",
        "AKTIF"),
 "AKTIF"))</f>
        <v>LULUS</v>
      </c>
      <c r="U186" s="16" t="s">
        <v>29</v>
      </c>
      <c r="V186" s="15"/>
      <c r="W186" s="15"/>
      <c r="X186" s="15"/>
      <c r="Y186" s="15"/>
      <c r="Z186" s="15"/>
    </row>
    <row r="187" spans="1:26" ht="29" customHeight="1" x14ac:dyDescent="0.35">
      <c r="A187" s="12">
        <v>186</v>
      </c>
      <c r="B187" s="25" t="s">
        <v>734</v>
      </c>
      <c r="C187" s="69" t="s">
        <v>735</v>
      </c>
      <c r="D187" s="24" t="s">
        <v>109</v>
      </c>
      <c r="E187" s="26" t="str">
        <f t="shared" si="3"/>
        <v>Perempuan</v>
      </c>
      <c r="F187" s="72" t="s">
        <v>736</v>
      </c>
      <c r="G187" s="13" t="s">
        <v>588</v>
      </c>
      <c r="H187" s="19" t="s">
        <v>722</v>
      </c>
      <c r="I187" s="19" t="s">
        <v>623</v>
      </c>
      <c r="J187" s="20" t="s">
        <v>26</v>
      </c>
      <c r="K187" s="19" t="s">
        <v>723</v>
      </c>
      <c r="L187" s="70" t="s">
        <v>145</v>
      </c>
      <c r="M187" s="15">
        <v>2022</v>
      </c>
      <c r="N187" s="15" t="s">
        <v>145</v>
      </c>
      <c r="O187" s="15">
        <v>2024</v>
      </c>
      <c r="P187" s="15">
        <v>2022</v>
      </c>
      <c r="Q187" s="15"/>
      <c r="R187" s="16" t="s">
        <v>51</v>
      </c>
      <c r="S187" s="16" t="str">
        <f ca="1">IF(
  O187 &lt; YEAR(TODAY()),
  "LULUS",
  IF(
    O187 = YEAR(TODAY()),
    IF(
      MATCH(L187, {"Januari";"Februari";"Maret";"April";"Mei";"Juni";"Juli";"Agustus";"September";"Oktober";"November";"Desember"}, 0)
        &gt;= MONTH(TODAY()),
      "AKTIF (Semester " &amp;
        (INT((12*(YEAR(TODAY())-M187) + MONTH(TODAY()) -
          MATCH(L187, {"Januari";"Februari";"Maret";"April";"Mei";"Juni";"Juli";"Agustus";"September";"Oktober";"November";"Desember"}, 0)) / 6) + 1) &amp; ")",
      "LULUS"
    ),
    "AKTIF (Semester " &amp;
      (INT((12*(YEAR(TODAY())-M187) + MONTH(TODAY()) -
        MATCH(L187, {"Januari";"Februari";"Maret";"April";"Mei";"Juni";"Juli";"Agustus";"September";"Oktober";"November";"Desember"}, 0)) / 6) + 1) &amp; ")"
  )
)</f>
        <v>LULUS</v>
      </c>
      <c r="T187" s="16" t="str">
        <f ca="1">IF(O187 &lt; YEAR(TODAY()), "LULUS",
 IF(O187 = YEAR(TODAY()),
    IF(MATCH(N187, {"Januari";"Februari";"Maret";"April";"Mei";"Juni";"Juli";"Agustus";"September";"Oktober";"November";"Desember"},0)
        &lt;= MONTH(TODAY()),
        "LULUS",
        "AKTIF"),
 "AKTIF"))</f>
        <v>LULUS</v>
      </c>
      <c r="U187" s="16" t="s">
        <v>29</v>
      </c>
      <c r="V187" s="15"/>
      <c r="W187" s="15"/>
      <c r="X187" s="15"/>
      <c r="Y187" s="15"/>
      <c r="Z187" s="15"/>
    </row>
    <row r="188" spans="1:26" ht="29" customHeight="1" x14ac:dyDescent="0.35">
      <c r="A188" s="12">
        <v>187</v>
      </c>
      <c r="B188" s="25" t="s">
        <v>737</v>
      </c>
      <c r="C188" s="69" t="s">
        <v>738</v>
      </c>
      <c r="D188" s="24" t="s">
        <v>126</v>
      </c>
      <c r="E188" s="26" t="str">
        <f t="shared" si="3"/>
        <v>Laki-Laki</v>
      </c>
      <c r="F188" s="72" t="s">
        <v>739</v>
      </c>
      <c r="G188" s="13" t="s">
        <v>588</v>
      </c>
      <c r="H188" s="19" t="s">
        <v>722</v>
      </c>
      <c r="I188" s="19" t="s">
        <v>623</v>
      </c>
      <c r="J188" s="20" t="s">
        <v>26</v>
      </c>
      <c r="K188" s="19" t="s">
        <v>723</v>
      </c>
      <c r="L188" s="70" t="s">
        <v>145</v>
      </c>
      <c r="M188" s="15">
        <v>2022</v>
      </c>
      <c r="N188" s="15" t="s">
        <v>145</v>
      </c>
      <c r="O188" s="15">
        <v>2024</v>
      </c>
      <c r="P188" s="15">
        <v>2022</v>
      </c>
      <c r="Q188" s="15"/>
      <c r="R188" s="16" t="s">
        <v>51</v>
      </c>
      <c r="S188" s="16" t="str">
        <f ca="1">IF(
  O188 &lt; YEAR(TODAY()),
  "LULUS",
  IF(
    O188 = YEAR(TODAY()),
    IF(
      MATCH(L188, {"Januari";"Februari";"Maret";"April";"Mei";"Juni";"Juli";"Agustus";"September";"Oktober";"November";"Desember"}, 0)
        &gt;= MONTH(TODAY()),
      "AKTIF (Semester " &amp;
        (INT((12*(YEAR(TODAY())-M188) + MONTH(TODAY()) -
          MATCH(L188, {"Januari";"Februari";"Maret";"April";"Mei";"Juni";"Juli";"Agustus";"September";"Oktober";"November";"Desember"}, 0)) / 6) + 1) &amp; ")",
      "LULUS"
    ),
    "AKTIF (Semester " &amp;
      (INT((12*(YEAR(TODAY())-M188) + MONTH(TODAY()) -
        MATCH(L188, {"Januari";"Februari";"Maret";"April";"Mei";"Juni";"Juli";"Agustus";"September";"Oktober";"November";"Desember"}, 0)) / 6) + 1) &amp; ")"
  )
)</f>
        <v>LULUS</v>
      </c>
      <c r="T188" s="16" t="str">
        <f ca="1">IF(O188 &lt; YEAR(TODAY()), "LULUS",
 IF(O188 = YEAR(TODAY()),
    IF(MATCH(N188, {"Januari";"Februari";"Maret";"April";"Mei";"Juni";"Juli";"Agustus";"September";"Oktober";"November";"Desember"},0)
        &lt;= MONTH(TODAY()),
        "LULUS",
        "AKTIF"),
 "AKTIF"))</f>
        <v>LULUS</v>
      </c>
      <c r="U188" s="16" t="s">
        <v>29</v>
      </c>
      <c r="V188" s="15"/>
      <c r="W188" s="15"/>
      <c r="X188" s="15"/>
      <c r="Y188" s="15"/>
      <c r="Z188" s="15"/>
    </row>
    <row r="189" spans="1:26" ht="29" customHeight="1" x14ac:dyDescent="0.35">
      <c r="A189" s="12">
        <v>188</v>
      </c>
      <c r="B189" s="25" t="s">
        <v>740</v>
      </c>
      <c r="C189" s="69" t="s">
        <v>741</v>
      </c>
      <c r="D189" s="24" t="s">
        <v>109</v>
      </c>
      <c r="E189" s="26" t="str">
        <f t="shared" si="3"/>
        <v>Perempuan</v>
      </c>
      <c r="F189" s="72" t="s">
        <v>742</v>
      </c>
      <c r="G189" s="13" t="s">
        <v>588</v>
      </c>
      <c r="H189" s="19" t="s">
        <v>743</v>
      </c>
      <c r="I189" s="19" t="s">
        <v>744</v>
      </c>
      <c r="J189" s="20" t="s">
        <v>242</v>
      </c>
      <c r="K189" s="19" t="s">
        <v>745</v>
      </c>
      <c r="L189" s="70" t="s">
        <v>145</v>
      </c>
      <c r="M189" s="15">
        <v>2021</v>
      </c>
      <c r="N189" s="15" t="s">
        <v>145</v>
      </c>
      <c r="O189" s="15">
        <v>2024</v>
      </c>
      <c r="P189" s="15">
        <v>2022</v>
      </c>
      <c r="Q189" s="15"/>
      <c r="R189" s="16" t="s">
        <v>51</v>
      </c>
      <c r="S189" s="16" t="str">
        <f ca="1">IF(
  O189 &lt; YEAR(TODAY()),
  "LULUS",
  IF(
    O189 = YEAR(TODAY()),
    IF(
      MATCH(L189, {"Januari";"Februari";"Maret";"April";"Mei";"Juni";"Juli";"Agustus";"September";"Oktober";"November";"Desember"}, 0)
        &gt;= MONTH(TODAY()),
      "AKTIF (Semester " &amp;
        (INT((12*(YEAR(TODAY())-M189) + MONTH(TODAY()) -
          MATCH(L189, {"Januari";"Februari";"Maret";"April";"Mei";"Juni";"Juli";"Agustus";"September";"Oktober";"November";"Desember"}, 0)) / 6) + 1) &amp; ")",
      "LULUS"
    ),
    "AKTIF (Semester " &amp;
      (INT((12*(YEAR(TODAY())-M189) + MONTH(TODAY()) -
        MATCH(L189, {"Januari";"Februari";"Maret";"April";"Mei";"Juni";"Juli";"Agustus";"September";"Oktober";"November";"Desember"}, 0)) / 6) + 1) &amp; ")"
  )
)</f>
        <v>LULUS</v>
      </c>
      <c r="T189" s="16" t="str">
        <f ca="1">IF(O189 &lt; YEAR(TODAY()), "LULUS",
 IF(O189 = YEAR(TODAY()),
    IF(MATCH(N189, {"Januari";"Februari";"Maret";"April";"Mei";"Juni";"Juli";"Agustus";"September";"Oktober";"November";"Desember"},0)
        &lt;= MONTH(TODAY()),
        "LULUS",
        "AKTIF"),
 "AKTIF"))</f>
        <v>LULUS</v>
      </c>
      <c r="U189" s="16" t="s">
        <v>29</v>
      </c>
      <c r="V189" s="15"/>
      <c r="W189" s="15"/>
      <c r="X189" s="15"/>
      <c r="Y189" s="15"/>
      <c r="Z189" s="15"/>
    </row>
    <row r="190" spans="1:26" ht="29" customHeight="1" x14ac:dyDescent="0.35">
      <c r="A190" s="12">
        <v>189</v>
      </c>
      <c r="B190" s="25" t="s">
        <v>746</v>
      </c>
      <c r="C190" s="69" t="s">
        <v>747</v>
      </c>
      <c r="D190" s="24" t="s">
        <v>109</v>
      </c>
      <c r="E190" s="26" t="str">
        <f t="shared" si="3"/>
        <v>Perempuan</v>
      </c>
      <c r="F190" s="72" t="s">
        <v>622</v>
      </c>
      <c r="G190" s="13" t="s">
        <v>588</v>
      </c>
      <c r="H190" s="19" t="s">
        <v>743</v>
      </c>
      <c r="I190" s="19" t="s">
        <v>90</v>
      </c>
      <c r="J190" s="20" t="s">
        <v>26</v>
      </c>
      <c r="K190" s="19" t="s">
        <v>394</v>
      </c>
      <c r="L190" s="70" t="s">
        <v>182</v>
      </c>
      <c r="M190" s="15">
        <v>2021</v>
      </c>
      <c r="N190" s="15" t="s">
        <v>182</v>
      </c>
      <c r="O190" s="15">
        <v>2023</v>
      </c>
      <c r="P190" s="15">
        <v>2022</v>
      </c>
      <c r="Q190" s="15"/>
      <c r="R190" s="16" t="s">
        <v>51</v>
      </c>
      <c r="S190" s="16" t="str">
        <f ca="1">IF(
  O190 &lt; YEAR(TODAY()),
  "LULUS",
  IF(
    O190 = YEAR(TODAY()),
    IF(
      MATCH(L190, {"Januari";"Februari";"Maret";"April";"Mei";"Juni";"Juli";"Agustus";"September";"Oktober";"November";"Desember"}, 0)
        &gt;= MONTH(TODAY()),
      "AKTIF (Semester " &amp;
        (INT((12*(YEAR(TODAY())-M190) + MONTH(TODAY()) -
          MATCH(L190, {"Januari";"Februari";"Maret";"April";"Mei";"Juni";"Juli";"Agustus";"September";"Oktober";"November";"Desember"}, 0)) / 6) + 1) &amp; ")",
      "LULUS"
    ),
    "AKTIF (Semester " &amp;
      (INT((12*(YEAR(TODAY())-M190) + MONTH(TODAY()) -
        MATCH(L190, {"Januari";"Februari";"Maret";"April";"Mei";"Juni";"Juli";"Agustus";"September";"Oktober";"November";"Desember"}, 0)) / 6) + 1) &amp; ")"
  )
)</f>
        <v>LULUS</v>
      </c>
      <c r="T190" s="16" t="str">
        <f ca="1">IF(O190 &lt; YEAR(TODAY()), "LULUS",
 IF(O190 = YEAR(TODAY()),
    IF(MATCH(N190, {"Januari";"Februari";"Maret";"April";"Mei";"Juni";"Juli";"Agustus";"September";"Oktober";"November";"Desember"},0)
        &lt;= MONTH(TODAY()),
        "LULUS",
        "AKTIF"),
 "AKTIF"))</f>
        <v>LULUS</v>
      </c>
      <c r="U190" s="16" t="s">
        <v>29</v>
      </c>
      <c r="V190" s="15"/>
      <c r="W190" s="15"/>
      <c r="X190" s="15"/>
      <c r="Y190" s="15"/>
      <c r="Z190" s="15"/>
    </row>
    <row r="191" spans="1:26" ht="29" customHeight="1" x14ac:dyDescent="0.35">
      <c r="A191" s="12">
        <v>190</v>
      </c>
      <c r="B191" s="25" t="s">
        <v>748</v>
      </c>
      <c r="C191" s="69" t="s">
        <v>749</v>
      </c>
      <c r="D191" s="24" t="s">
        <v>104</v>
      </c>
      <c r="E191" s="26" t="str">
        <f t="shared" si="3"/>
        <v>Perempuan</v>
      </c>
      <c r="F191" s="72" t="s">
        <v>750</v>
      </c>
      <c r="G191" s="13" t="s">
        <v>588</v>
      </c>
      <c r="H191" s="19" t="s">
        <v>639</v>
      </c>
      <c r="I191" s="19" t="s">
        <v>90</v>
      </c>
      <c r="J191" s="20" t="s">
        <v>45</v>
      </c>
      <c r="K191" s="19" t="s">
        <v>46</v>
      </c>
      <c r="L191" s="86" t="s">
        <v>169</v>
      </c>
      <c r="M191" s="15">
        <v>2022</v>
      </c>
      <c r="N191" s="15" t="s">
        <v>446</v>
      </c>
      <c r="O191" s="15">
        <v>2026</v>
      </c>
      <c r="P191" s="15">
        <v>2022</v>
      </c>
      <c r="Q191" s="15"/>
      <c r="R191" s="16" t="s">
        <v>51</v>
      </c>
      <c r="S191" s="16" t="str">
        <f ca="1">IF(
  O191 &lt; YEAR(TODAY()),
  "LULUS",
  IF(
    O191 = YEAR(TODAY()),
    IF(
      MATCH(L191, {"Januari";"Februari";"Maret";"April";"Mei";"Juni";"Juli";"Agustus";"September";"Oktober";"November";"Desember"}, 0)
        &gt;= MONTH(TODAY()),
      "AKTIF (Semester " &amp;
        (INT((12*(YEAR(TODAY())-M191) + MONTH(TODAY()) -
          MATCH(L191, {"Januari";"Februari";"Maret";"April";"Mei";"Juni";"Juli";"Agustus";"September";"Oktober";"November";"Desember"}, 0)) / 6) + 1) &amp; ")",
      "LULUS"
    ),
    "AKTIF (Semester " &amp;
      (INT((12*(YEAR(TODAY())-M191) + MONTH(TODAY()) -
        MATCH(L191, {"Januari";"Februari";"Maret";"April";"Mei";"Juni";"Juli";"Agustus";"September";"Oktober";"November";"Desember"}, 0)) / 6) + 1) &amp; ")"
  )
)</f>
        <v>AKTIF (Semester 7)</v>
      </c>
      <c r="T191" s="16" t="str">
        <f ca="1">IF(O191 &lt; YEAR(TODAY()), "LULUS",
 IF(O191 = YEAR(TODAY()),
    IF(MATCH(N191, {"Januari";"Februari";"Maret";"April";"Mei";"Juni";"Juli";"Agustus";"September";"Oktober";"November";"Desember"},0)
        &lt;= MONTH(TODAY()),
        "LULUS",
        "AKTIF"),
 "AKTIF"))</f>
        <v>AKTIF</v>
      </c>
      <c r="U191" s="16" t="s">
        <v>2939</v>
      </c>
      <c r="V191" s="15"/>
      <c r="W191" s="15"/>
      <c r="X191" s="15"/>
      <c r="Y191" s="15"/>
      <c r="Z191" s="15"/>
    </row>
    <row r="192" spans="1:26" ht="29" customHeight="1" x14ac:dyDescent="0.35">
      <c r="A192" s="12">
        <v>191</v>
      </c>
      <c r="B192" s="25" t="s">
        <v>751</v>
      </c>
      <c r="C192" s="69" t="s">
        <v>752</v>
      </c>
      <c r="D192" s="24" t="s">
        <v>109</v>
      </c>
      <c r="E192" s="26" t="str">
        <f t="shared" si="3"/>
        <v>Laki-Laki</v>
      </c>
      <c r="F192" s="72" t="s">
        <v>424</v>
      </c>
      <c r="G192" s="13" t="s">
        <v>588</v>
      </c>
      <c r="H192" s="19" t="s">
        <v>753</v>
      </c>
      <c r="I192" s="19" t="s">
        <v>2931</v>
      </c>
      <c r="J192" s="20" t="s">
        <v>45</v>
      </c>
      <c r="K192" s="19" t="s">
        <v>46</v>
      </c>
      <c r="L192" s="70" t="s">
        <v>28</v>
      </c>
      <c r="M192" s="15">
        <v>2022</v>
      </c>
      <c r="N192" s="15" t="s">
        <v>28</v>
      </c>
      <c r="O192" s="15">
        <v>2026</v>
      </c>
      <c r="P192" s="15">
        <v>2022</v>
      </c>
      <c r="Q192" s="15"/>
      <c r="R192" s="16" t="s">
        <v>51</v>
      </c>
      <c r="S192" s="16" t="str">
        <f ca="1">IF(
  O192 &lt; YEAR(TODAY()),
  "LULUS",
  IF(
    O192 = YEAR(TODAY()),
    IF(
      MATCH(L192, {"Januari";"Februari";"Maret";"April";"Mei";"Juni";"Juli";"Agustus";"September";"Oktober";"November";"Desember"}, 0)
        &gt;= MONTH(TODAY()),
      "AKTIF (Semester " &amp;
        (INT((12*(YEAR(TODAY())-M192) + MONTH(TODAY()) -
          MATCH(L192, {"Januari";"Februari";"Maret";"April";"Mei";"Juni";"Juli";"Agustus";"September";"Oktober";"November";"Desember"}, 0)) / 6) + 1) &amp; ")",
      "LULUS"
    ),
    "AKTIF (Semester " &amp;
      (INT((12*(YEAR(TODAY())-M192) + MONTH(TODAY()) -
        MATCH(L192, {"Januari";"Februari";"Maret";"April";"Mei";"Juni";"Juli";"Agustus";"September";"Oktober";"November";"Desember"}, 0)) / 6) + 1) &amp; ")"
  )
)</f>
        <v>AKTIF (Semester 7)</v>
      </c>
      <c r="T192" s="16" t="str">
        <f ca="1">IF(O192 &lt; YEAR(TODAY()), "LULUS",
 IF(O192 = YEAR(TODAY()),
    IF(MATCH(N192, {"Januari";"Februari";"Maret";"April";"Mei";"Juni";"Juli";"Agustus";"September";"Oktober";"November";"Desember"},0)
        &lt;= MONTH(TODAY()),
        "LULUS",
        "AKTIF"),
 "AKTIF"))</f>
        <v>AKTIF</v>
      </c>
      <c r="U192" s="16" t="s">
        <v>2939</v>
      </c>
      <c r="V192" s="15"/>
      <c r="W192" s="15"/>
      <c r="X192" s="15"/>
      <c r="Y192" s="15"/>
      <c r="Z192" s="15"/>
    </row>
    <row r="193" spans="1:26" ht="29" customHeight="1" x14ac:dyDescent="0.35">
      <c r="A193" s="12">
        <v>192</v>
      </c>
      <c r="B193" s="25" t="s">
        <v>755</v>
      </c>
      <c r="C193" s="69" t="s">
        <v>756</v>
      </c>
      <c r="D193" s="24" t="s">
        <v>104</v>
      </c>
      <c r="E193" s="26" t="str">
        <f t="shared" si="3"/>
        <v>Laki-Laki</v>
      </c>
      <c r="F193" s="72" t="s">
        <v>727</v>
      </c>
      <c r="G193" s="13" t="s">
        <v>588</v>
      </c>
      <c r="H193" s="19" t="s">
        <v>757</v>
      </c>
      <c r="I193" s="19" t="s">
        <v>90</v>
      </c>
      <c r="J193" s="20" t="s">
        <v>45</v>
      </c>
      <c r="K193" s="19" t="s">
        <v>758</v>
      </c>
      <c r="L193" s="86" t="s">
        <v>169</v>
      </c>
      <c r="M193" s="15">
        <v>2022</v>
      </c>
      <c r="N193" s="15" t="s">
        <v>446</v>
      </c>
      <c r="O193" s="15">
        <v>2026</v>
      </c>
      <c r="P193" s="15">
        <v>2022</v>
      </c>
      <c r="Q193" s="15"/>
      <c r="R193" s="16" t="s">
        <v>51</v>
      </c>
      <c r="S193" s="16" t="str">
        <f ca="1">IF(
  O193 &lt; YEAR(TODAY()),
  "LULUS",
  IF(
    O193 = YEAR(TODAY()),
    IF(
      MATCH(L193, {"Januari";"Februari";"Maret";"April";"Mei";"Juni";"Juli";"Agustus";"September";"Oktober";"November";"Desember"}, 0)
        &gt;= MONTH(TODAY()),
      "AKTIF (Semester " &amp;
        (INT((12*(YEAR(TODAY())-M193) + MONTH(TODAY()) -
          MATCH(L193, {"Januari";"Februari";"Maret";"April";"Mei";"Juni";"Juli";"Agustus";"September";"Oktober";"November";"Desember"}, 0)) / 6) + 1) &amp; ")",
      "LULUS"
    ),
    "AKTIF (Semester " &amp;
      (INT((12*(YEAR(TODAY())-M193) + MONTH(TODAY()) -
        MATCH(L193, {"Januari";"Februari";"Maret";"April";"Mei";"Juni";"Juli";"Agustus";"September";"Oktober";"November";"Desember"}, 0)) / 6) + 1) &amp; ")"
  )
)</f>
        <v>AKTIF (Semester 7)</v>
      </c>
      <c r="T193" s="16" t="str">
        <f ca="1">IF(O193 &lt; YEAR(TODAY()), "LULUS",
 IF(O193 = YEAR(TODAY()),
    IF(MATCH(N193, {"Januari";"Februari";"Maret";"April";"Mei";"Juni";"Juli";"Agustus";"September";"Oktober";"November";"Desember"},0)
        &lt;= MONTH(TODAY()),
        "LULUS",
        "AKTIF"),
 "AKTIF"))</f>
        <v>AKTIF</v>
      </c>
      <c r="U193" s="16" t="s">
        <v>2939</v>
      </c>
      <c r="V193" s="15"/>
      <c r="W193" s="15"/>
      <c r="X193" s="15"/>
      <c r="Y193" s="15"/>
      <c r="Z193" s="15"/>
    </row>
    <row r="194" spans="1:26" ht="29" customHeight="1" x14ac:dyDescent="0.35">
      <c r="A194" s="12">
        <v>193</v>
      </c>
      <c r="B194" s="73" t="s">
        <v>2835</v>
      </c>
      <c r="C194" s="63" t="s">
        <v>759</v>
      </c>
      <c r="D194" s="24" t="s">
        <v>370</v>
      </c>
      <c r="E194" s="26" t="str">
        <f t="shared" si="3"/>
        <v>Perempuan</v>
      </c>
      <c r="F194" s="72" t="s">
        <v>736</v>
      </c>
      <c r="G194" s="13" t="s">
        <v>588</v>
      </c>
      <c r="H194" s="19" t="s">
        <v>760</v>
      </c>
      <c r="I194" s="19" t="s">
        <v>629</v>
      </c>
      <c r="J194" s="20" t="s">
        <v>26</v>
      </c>
      <c r="K194" s="19" t="s">
        <v>344</v>
      </c>
      <c r="L194" s="70" t="s">
        <v>145</v>
      </c>
      <c r="M194" s="15">
        <v>2022</v>
      </c>
      <c r="N194" s="15" t="s">
        <v>145</v>
      </c>
      <c r="O194" s="15">
        <v>2024</v>
      </c>
      <c r="P194" s="15">
        <v>2022</v>
      </c>
      <c r="Q194" s="15"/>
      <c r="R194" s="16" t="s">
        <v>51</v>
      </c>
      <c r="S194" s="16" t="str">
        <f ca="1">IF(
  O194 &lt; YEAR(TODAY()),
  "LULUS",
  IF(
    O194 = YEAR(TODAY()),
    IF(
      MATCH(L194, {"Januari";"Februari";"Maret";"April";"Mei";"Juni";"Juli";"Agustus";"September";"Oktober";"November";"Desember"}, 0)
        &gt;= MONTH(TODAY()),
      "AKTIF (Semester " &amp;
        (INT((12*(YEAR(TODAY())-M194) + MONTH(TODAY()) -
          MATCH(L194, {"Januari";"Februari";"Maret";"April";"Mei";"Juni";"Juli";"Agustus";"September";"Oktober";"November";"Desember"}, 0)) / 6) + 1) &amp; ")",
      "LULUS"
    ),
    "AKTIF (Semester " &amp;
      (INT((12*(YEAR(TODAY())-M194) + MONTH(TODAY()) -
        MATCH(L194, {"Januari";"Februari";"Maret";"April";"Mei";"Juni";"Juli";"Agustus";"September";"Oktober";"November";"Desember"}, 0)) / 6) + 1) &amp; ")"
  )
)</f>
        <v>LULUS</v>
      </c>
      <c r="T194" s="16" t="str">
        <f ca="1">IF(O194 &lt; YEAR(TODAY()), "LULUS",
 IF(O194 = YEAR(TODAY()),
    IF(MATCH(N194, {"Januari";"Februari";"Maret";"April";"Mei";"Juni";"Juli";"Agustus";"September";"Oktober";"November";"Desember"},0)
        &lt;= MONTH(TODAY()),
        "LULUS",
        "AKTIF"),
 "AKTIF"))</f>
        <v>LULUS</v>
      </c>
      <c r="U194" s="16" t="s">
        <v>29</v>
      </c>
      <c r="V194" s="15"/>
      <c r="W194" s="15"/>
      <c r="X194" s="15"/>
      <c r="Y194" s="15"/>
      <c r="Z194" s="15"/>
    </row>
    <row r="195" spans="1:26" ht="29" customHeight="1" x14ac:dyDescent="0.35">
      <c r="A195" s="12">
        <v>194</v>
      </c>
      <c r="B195" s="73" t="s">
        <v>2836</v>
      </c>
      <c r="C195" s="69" t="s">
        <v>761</v>
      </c>
      <c r="D195" s="24" t="s">
        <v>116</v>
      </c>
      <c r="E195" s="26" t="str">
        <f t="shared" si="3"/>
        <v>Laki-Laki</v>
      </c>
      <c r="F195" s="72" t="s">
        <v>762</v>
      </c>
      <c r="G195" s="13" t="s">
        <v>588</v>
      </c>
      <c r="H195" s="19" t="s">
        <v>763</v>
      </c>
      <c r="I195" s="19" t="s">
        <v>90</v>
      </c>
      <c r="J195" s="20" t="s">
        <v>45</v>
      </c>
      <c r="K195" s="19" t="s">
        <v>63</v>
      </c>
      <c r="L195" s="29" t="s">
        <v>28</v>
      </c>
      <c r="M195" s="15">
        <v>2022</v>
      </c>
      <c r="N195" s="15" t="s">
        <v>205</v>
      </c>
      <c r="O195" s="15">
        <v>2026</v>
      </c>
      <c r="P195" s="15">
        <v>2022</v>
      </c>
      <c r="Q195" s="15"/>
      <c r="R195" s="16" t="s">
        <v>51</v>
      </c>
      <c r="S195" s="16" t="str">
        <f ca="1">IF(
  O195 &lt; YEAR(TODAY()),
  "LULUS",
  IF(
    O195 = YEAR(TODAY()),
    IF(
      MATCH(L195, {"Januari";"Februari";"Maret";"April";"Mei";"Juni";"Juli";"Agustus";"September";"Oktober";"November";"Desember"}, 0)
        &gt;= MONTH(TODAY()),
      "AKTIF (Semester " &amp;
        (INT((12*(YEAR(TODAY())-M195) + MONTH(TODAY()) -
          MATCH(L195, {"Januari";"Februari";"Maret";"April";"Mei";"Juni";"Juli";"Agustus";"September";"Oktober";"November";"Desember"}, 0)) / 6) + 1) &amp; ")",
      "LULUS"
    ),
    "AKTIF (Semester " &amp;
      (INT((12*(YEAR(TODAY())-M195) + MONTH(TODAY()) -
        MATCH(L195, {"Januari";"Februari";"Maret";"April";"Mei";"Juni";"Juli";"Agustus";"September";"Oktober";"November";"Desember"}, 0)) / 6) + 1) &amp; ")"
  )
)</f>
        <v>AKTIF (Semester 7)</v>
      </c>
      <c r="T195" s="16" t="str">
        <f ca="1">IF(O195 &lt; YEAR(TODAY()), "LULUS",
 IF(O195 = YEAR(TODAY()),
    IF(MATCH(N195, {"Januari";"Februari";"Maret";"April";"Mei";"Juni";"Juli";"Agustus";"September";"Oktober";"November";"Desember"},0)
        &lt;= MONTH(TODAY()),
        "LULUS",
        "AKTIF"),
 "AKTIF"))</f>
        <v>AKTIF</v>
      </c>
      <c r="U195" s="16" t="s">
        <v>2939</v>
      </c>
      <c r="V195" s="15"/>
      <c r="W195" s="15"/>
      <c r="X195" s="15"/>
      <c r="Y195" s="15"/>
      <c r="Z195" s="15"/>
    </row>
    <row r="196" spans="1:26" ht="29" customHeight="1" x14ac:dyDescent="0.35">
      <c r="A196" s="12">
        <v>195</v>
      </c>
      <c r="B196" s="25" t="s">
        <v>764</v>
      </c>
      <c r="C196" s="69" t="s">
        <v>765</v>
      </c>
      <c r="D196" s="24" t="s">
        <v>370</v>
      </c>
      <c r="E196" s="26" t="str">
        <f t="shared" si="3"/>
        <v>Laki-Laki</v>
      </c>
      <c r="F196" s="72" t="s">
        <v>766</v>
      </c>
      <c r="G196" s="13" t="s">
        <v>588</v>
      </c>
      <c r="H196" s="19" t="s">
        <v>767</v>
      </c>
      <c r="I196" s="19" t="s">
        <v>485</v>
      </c>
      <c r="J196" s="20" t="s">
        <v>26</v>
      </c>
      <c r="K196" s="19" t="s">
        <v>449</v>
      </c>
      <c r="L196" s="70" t="s">
        <v>60</v>
      </c>
      <c r="M196" s="15">
        <v>2022</v>
      </c>
      <c r="N196" s="15" t="s">
        <v>60</v>
      </c>
      <c r="O196" s="15">
        <v>2024</v>
      </c>
      <c r="P196" s="15">
        <v>2022</v>
      </c>
      <c r="Q196" s="15"/>
      <c r="R196" s="16" t="s">
        <v>51</v>
      </c>
      <c r="S196" s="16" t="str">
        <f ca="1">IF(
  O196 &lt; YEAR(TODAY()),
  "LULUS",
  IF(
    O196 = YEAR(TODAY()),
    IF(
      MATCH(L196, {"Januari";"Februari";"Maret";"April";"Mei";"Juni";"Juli";"Agustus";"September";"Oktober";"November";"Desember"}, 0)
        &gt;= MONTH(TODAY()),
      "AKTIF (Semester " &amp;
        (INT((12*(YEAR(TODAY())-M196) + MONTH(TODAY()) -
          MATCH(L196, {"Januari";"Februari";"Maret";"April";"Mei";"Juni";"Juli";"Agustus";"September";"Oktober";"November";"Desember"}, 0)) / 6) + 1) &amp; ")",
      "LULUS"
    ),
    "AKTIF (Semester " &amp;
      (INT((12*(YEAR(TODAY())-M196) + MONTH(TODAY()) -
        MATCH(L196, {"Januari";"Februari";"Maret";"April";"Mei";"Juni";"Juli";"Agustus";"September";"Oktober";"November";"Desember"}, 0)) / 6) + 1) &amp; ")"
  )
)</f>
        <v>LULUS</v>
      </c>
      <c r="T196" s="16" t="str">
        <f ca="1">IF(O196 &lt; YEAR(TODAY()), "LULUS",
 IF(O196 = YEAR(TODAY()),
    IF(MATCH(N196, {"Januari";"Februari";"Maret";"April";"Mei";"Juni";"Juli";"Agustus";"September";"Oktober";"November";"Desember"},0)
        &lt;= MONTH(TODAY()),
        "LULUS",
        "AKTIF"),
 "AKTIF"))</f>
        <v>LULUS</v>
      </c>
      <c r="U196" s="16" t="s">
        <v>29</v>
      </c>
      <c r="V196" s="15"/>
      <c r="W196" s="15"/>
      <c r="X196" s="15"/>
      <c r="Y196" s="15"/>
      <c r="Z196" s="15"/>
    </row>
    <row r="197" spans="1:26" ht="29" customHeight="1" x14ac:dyDescent="0.35">
      <c r="A197" s="12">
        <v>196</v>
      </c>
      <c r="B197" s="25" t="s">
        <v>768</v>
      </c>
      <c r="C197" s="69" t="s">
        <v>769</v>
      </c>
      <c r="D197" s="24" t="s">
        <v>98</v>
      </c>
      <c r="E197" s="26" t="str">
        <f t="shared" si="3"/>
        <v>Laki-Laki</v>
      </c>
      <c r="F197" s="72" t="s">
        <v>770</v>
      </c>
      <c r="G197" s="13" t="s">
        <v>588</v>
      </c>
      <c r="H197" s="19" t="s">
        <v>771</v>
      </c>
      <c r="I197" s="19" t="s">
        <v>788</v>
      </c>
      <c r="J197" s="20" t="s">
        <v>45</v>
      </c>
      <c r="K197" s="19" t="s">
        <v>591</v>
      </c>
      <c r="L197" s="70" t="s">
        <v>28</v>
      </c>
      <c r="M197" s="15">
        <v>2022</v>
      </c>
      <c r="N197" s="15" t="s">
        <v>28</v>
      </c>
      <c r="O197" s="15">
        <v>2026</v>
      </c>
      <c r="P197" s="15">
        <v>2022</v>
      </c>
      <c r="Q197" s="15"/>
      <c r="R197" s="16" t="s">
        <v>51</v>
      </c>
      <c r="S197" s="16" t="str">
        <f ca="1">IF(
  O197 &lt; YEAR(TODAY()),
  "LULUS",
  IF(
    O197 = YEAR(TODAY()),
    IF(
      MATCH(L197, {"Januari";"Februari";"Maret";"April";"Mei";"Juni";"Juli";"Agustus";"September";"Oktober";"November";"Desember"}, 0)
        &gt;= MONTH(TODAY()),
      "AKTIF (Semester " &amp;
        (INT((12*(YEAR(TODAY())-M197) + MONTH(TODAY()) -
          MATCH(L197, {"Januari";"Februari";"Maret";"April";"Mei";"Juni";"Juli";"Agustus";"September";"Oktober";"November";"Desember"}, 0)) / 6) + 1) &amp; ")",
      "LULUS"
    ),
    "AKTIF (Semester " &amp;
      (INT((12*(YEAR(TODAY())-M197) + MONTH(TODAY()) -
        MATCH(L197, {"Januari";"Februari";"Maret";"April";"Mei";"Juni";"Juli";"Agustus";"September";"Oktober";"November";"Desember"}, 0)) / 6) + 1) &amp; ")"
  )
)</f>
        <v>AKTIF (Semester 7)</v>
      </c>
      <c r="T197" s="16" t="str">
        <f ca="1">IF(O197 &lt; YEAR(TODAY()), "LULUS",
 IF(O197 = YEAR(TODAY()),
    IF(MATCH(N197, {"Januari";"Februari";"Maret";"April";"Mei";"Juni";"Juli";"Agustus";"September";"Oktober";"November";"Desember"},0)
        &lt;= MONTH(TODAY()),
        "LULUS",
        "AKTIF"),
 "AKTIF"))</f>
        <v>AKTIF</v>
      </c>
      <c r="U197" s="16" t="s">
        <v>2939</v>
      </c>
      <c r="V197" s="15"/>
      <c r="W197" s="15"/>
      <c r="X197" s="15"/>
      <c r="Y197" s="15"/>
      <c r="Z197" s="15"/>
    </row>
    <row r="198" spans="1:26" ht="29" customHeight="1" x14ac:dyDescent="0.35">
      <c r="A198" s="12">
        <v>197</v>
      </c>
      <c r="B198" s="25" t="s">
        <v>773</v>
      </c>
      <c r="C198" s="69" t="s">
        <v>774</v>
      </c>
      <c r="D198" s="24" t="s">
        <v>370</v>
      </c>
      <c r="E198" s="26" t="str">
        <f t="shared" si="3"/>
        <v>Perempuan</v>
      </c>
      <c r="F198" s="72" t="s">
        <v>775</v>
      </c>
      <c r="G198" s="13" t="s">
        <v>588</v>
      </c>
      <c r="H198" s="19" t="s">
        <v>771</v>
      </c>
      <c r="I198" s="19" t="s">
        <v>788</v>
      </c>
      <c r="J198" s="20" t="s">
        <v>26</v>
      </c>
      <c r="K198" s="19" t="s">
        <v>777</v>
      </c>
      <c r="L198" s="70" t="s">
        <v>28</v>
      </c>
      <c r="M198" s="15">
        <v>2022</v>
      </c>
      <c r="N198" s="15" t="s">
        <v>28</v>
      </c>
      <c r="O198" s="15">
        <v>2024</v>
      </c>
      <c r="P198" s="15">
        <v>2022</v>
      </c>
      <c r="Q198" s="15"/>
      <c r="R198" s="16" t="s">
        <v>51</v>
      </c>
      <c r="S198" s="16" t="str">
        <f ca="1">IF(
  O198 &lt; YEAR(TODAY()),
  "LULUS",
  IF(
    O198 = YEAR(TODAY()),
    IF(
      MATCH(L198, {"Januari";"Februari";"Maret";"April";"Mei";"Juni";"Juli";"Agustus";"September";"Oktober";"November";"Desember"}, 0)
        &gt;= MONTH(TODAY()),
      "AKTIF (Semester " &amp;
        (INT((12*(YEAR(TODAY())-M198) + MONTH(TODAY()) -
          MATCH(L198, {"Januari";"Februari";"Maret";"April";"Mei";"Juni";"Juli";"Agustus";"September";"Oktober";"November";"Desember"}, 0)) / 6) + 1) &amp; ")",
      "LULUS"
    ),
    "AKTIF (Semester " &amp;
      (INT((12*(YEAR(TODAY())-M198) + MONTH(TODAY()) -
        MATCH(L198, {"Januari";"Februari";"Maret";"April";"Mei";"Juni";"Juli";"Agustus";"September";"Oktober";"November";"Desember"}, 0)) / 6) + 1) &amp; ")"
  )
)</f>
        <v>LULUS</v>
      </c>
      <c r="T198" s="16" t="str">
        <f ca="1">IF(O198 &lt; YEAR(TODAY()), "LULUS",
 IF(O198 = YEAR(TODAY()),
    IF(MATCH(N198, {"Januari";"Februari";"Maret";"April";"Mei";"Juni";"Juli";"Agustus";"September";"Oktober";"November";"Desember"},0)
        &lt;= MONTH(TODAY()),
        "LULUS",
        "AKTIF"),
 "AKTIF"))</f>
        <v>LULUS</v>
      </c>
      <c r="U198" s="16" t="s">
        <v>29</v>
      </c>
      <c r="V198" s="15"/>
      <c r="W198" s="15"/>
      <c r="X198" s="15"/>
      <c r="Y198" s="15"/>
      <c r="Z198" s="15"/>
    </row>
    <row r="199" spans="1:26" ht="29" customHeight="1" x14ac:dyDescent="0.35">
      <c r="A199" s="12">
        <v>198</v>
      </c>
      <c r="B199" s="25" t="s">
        <v>778</v>
      </c>
      <c r="C199" s="69" t="s">
        <v>779</v>
      </c>
      <c r="D199" s="24" t="s">
        <v>370</v>
      </c>
      <c r="E199" s="26" t="str">
        <f t="shared" si="3"/>
        <v>Laki-Laki</v>
      </c>
      <c r="F199" s="72" t="s">
        <v>672</v>
      </c>
      <c r="G199" s="13" t="s">
        <v>588</v>
      </c>
      <c r="H199" s="19" t="s">
        <v>771</v>
      </c>
      <c r="I199" s="19" t="s">
        <v>788</v>
      </c>
      <c r="J199" s="20" t="s">
        <v>26</v>
      </c>
      <c r="K199" s="19" t="s">
        <v>777</v>
      </c>
      <c r="L199" s="70" t="s">
        <v>205</v>
      </c>
      <c r="M199" s="15">
        <v>2022</v>
      </c>
      <c r="N199" s="15" t="s">
        <v>205</v>
      </c>
      <c r="O199" s="15">
        <v>2024</v>
      </c>
      <c r="P199" s="15">
        <v>2022</v>
      </c>
      <c r="Q199" s="15"/>
      <c r="R199" s="16" t="s">
        <v>51</v>
      </c>
      <c r="S199" s="16" t="str">
        <f ca="1">IF(
  O199 &lt; YEAR(TODAY()),
  "LULUS",
  IF(
    O199 = YEAR(TODAY()),
    IF(
      MATCH(L199, {"Januari";"Februari";"Maret";"April";"Mei";"Juni";"Juli";"Agustus";"September";"Oktober";"November";"Desember"}, 0)
        &gt;= MONTH(TODAY()),
      "AKTIF (Semester " &amp;
        (INT((12*(YEAR(TODAY())-M199) + MONTH(TODAY()) -
          MATCH(L199, {"Januari";"Februari";"Maret";"April";"Mei";"Juni";"Juli";"Agustus";"September";"Oktober";"November";"Desember"}, 0)) / 6) + 1) &amp; ")",
      "LULUS"
    ),
    "AKTIF (Semester " &amp;
      (INT((12*(YEAR(TODAY())-M199) + MONTH(TODAY()) -
        MATCH(L199, {"Januari";"Februari";"Maret";"April";"Mei";"Juni";"Juli";"Agustus";"September";"Oktober";"November";"Desember"}, 0)) / 6) + 1) &amp; ")"
  )
)</f>
        <v>LULUS</v>
      </c>
      <c r="T199" s="16" t="str">
        <f ca="1">IF(O199 &lt; YEAR(TODAY()), "LULUS",
 IF(O199 = YEAR(TODAY()),
    IF(MATCH(N199, {"Januari";"Februari";"Maret";"April";"Mei";"Juni";"Juli";"Agustus";"September";"Oktober";"November";"Desember"},0)
        &lt;= MONTH(TODAY()),
        "LULUS",
        "AKTIF"),
 "AKTIF"))</f>
        <v>LULUS</v>
      </c>
      <c r="U199" s="16" t="s">
        <v>29</v>
      </c>
      <c r="V199" s="15"/>
      <c r="W199" s="15"/>
      <c r="X199" s="15"/>
      <c r="Y199" s="15"/>
      <c r="Z199" s="15"/>
    </row>
    <row r="200" spans="1:26" ht="29" customHeight="1" x14ac:dyDescent="0.35">
      <c r="A200" s="12">
        <v>199</v>
      </c>
      <c r="B200" s="25" t="s">
        <v>780</v>
      </c>
      <c r="C200" s="69" t="s">
        <v>781</v>
      </c>
      <c r="D200" s="24" t="s">
        <v>109</v>
      </c>
      <c r="E200" s="26" t="str">
        <f t="shared" si="3"/>
        <v>Laki-Laki</v>
      </c>
      <c r="F200" s="72" t="s">
        <v>622</v>
      </c>
      <c r="G200" s="13" t="s">
        <v>588</v>
      </c>
      <c r="H200" s="19" t="s">
        <v>771</v>
      </c>
      <c r="I200" s="19" t="s">
        <v>788</v>
      </c>
      <c r="J200" s="20" t="s">
        <v>26</v>
      </c>
      <c r="K200" s="19" t="s">
        <v>777</v>
      </c>
      <c r="L200" s="70" t="s">
        <v>205</v>
      </c>
      <c r="M200" s="15">
        <v>2022</v>
      </c>
      <c r="N200" s="15" t="s">
        <v>205</v>
      </c>
      <c r="O200" s="15">
        <v>2024</v>
      </c>
      <c r="P200" s="15">
        <v>2022</v>
      </c>
      <c r="Q200" s="15"/>
      <c r="R200" s="16" t="s">
        <v>51</v>
      </c>
      <c r="S200" s="16" t="str">
        <f ca="1">IF(
  O200 &lt; YEAR(TODAY()),
  "LULUS",
  IF(
    O200 = YEAR(TODAY()),
    IF(
      MATCH(L200, {"Januari";"Februari";"Maret";"April";"Mei";"Juni";"Juli";"Agustus";"September";"Oktober";"November";"Desember"}, 0)
        &gt;= MONTH(TODAY()),
      "AKTIF (Semester " &amp;
        (INT((12*(YEAR(TODAY())-M200) + MONTH(TODAY()) -
          MATCH(L200, {"Januari";"Februari";"Maret";"April";"Mei";"Juni";"Juli";"Agustus";"September";"Oktober";"November";"Desember"}, 0)) / 6) + 1) &amp; ")",
      "LULUS"
    ),
    "AKTIF (Semester " &amp;
      (INT((12*(YEAR(TODAY())-M200) + MONTH(TODAY()) -
        MATCH(L200, {"Januari";"Februari";"Maret";"April";"Mei";"Juni";"Juli";"Agustus";"September";"Oktober";"November";"Desember"}, 0)) / 6) + 1) &amp; ")"
  )
)</f>
        <v>LULUS</v>
      </c>
      <c r="T200" s="16" t="str">
        <f ca="1">IF(O200 &lt; YEAR(TODAY()), "LULUS",
 IF(O200 = YEAR(TODAY()),
    IF(MATCH(N200, {"Januari";"Februari";"Maret";"April";"Mei";"Juni";"Juli";"Agustus";"September";"Oktober";"November";"Desember"},0)
        &lt;= MONTH(TODAY()),
        "LULUS",
        "AKTIF"),
 "AKTIF"))</f>
        <v>LULUS</v>
      </c>
      <c r="U200" s="16" t="s">
        <v>29</v>
      </c>
      <c r="V200" s="15"/>
      <c r="W200" s="15"/>
      <c r="X200" s="15"/>
      <c r="Y200" s="15"/>
      <c r="Z200" s="15"/>
    </row>
    <row r="201" spans="1:26" ht="29" customHeight="1" x14ac:dyDescent="0.35">
      <c r="A201" s="12">
        <v>200</v>
      </c>
      <c r="B201" s="73" t="s">
        <v>2837</v>
      </c>
      <c r="C201" s="69" t="s">
        <v>782</v>
      </c>
      <c r="D201" s="24" t="s">
        <v>116</v>
      </c>
      <c r="E201" s="26" t="str">
        <f t="shared" si="3"/>
        <v>Perempuan</v>
      </c>
      <c r="F201" s="72" t="s">
        <v>783</v>
      </c>
      <c r="G201" s="13" t="s">
        <v>588</v>
      </c>
      <c r="H201" s="19" t="s">
        <v>784</v>
      </c>
      <c r="I201" s="19" t="s">
        <v>90</v>
      </c>
      <c r="J201" s="20" t="s">
        <v>45</v>
      </c>
      <c r="K201" s="19" t="s">
        <v>46</v>
      </c>
      <c r="L201" s="70" t="s">
        <v>614</v>
      </c>
      <c r="M201" s="15">
        <v>2022</v>
      </c>
      <c r="N201" s="15" t="s">
        <v>785</v>
      </c>
      <c r="O201" s="15">
        <v>2026</v>
      </c>
      <c r="P201" s="15">
        <v>2022</v>
      </c>
      <c r="Q201" s="15"/>
      <c r="R201" s="16" t="s">
        <v>51</v>
      </c>
      <c r="S201" s="16" t="str">
        <f ca="1">IF(
  O201 &lt; YEAR(TODAY()),
  "LULUS",
  IF(
    O201 = YEAR(TODAY()),
    IF(
      MATCH(L201, {"Januari";"Februari";"Maret";"April";"Mei";"Juni";"Juli";"Agustus";"September";"Oktober";"November";"Desember"}, 0)
        &gt;= MONTH(TODAY()),
      "AKTIF (Semester " &amp;
        (INT((12*(YEAR(TODAY())-M201) + MONTH(TODAY()) -
          MATCH(L201, {"Januari";"Februari";"Maret";"April";"Mei";"Juni";"Juli";"Agustus";"September";"Oktober";"November";"Desember"}, 0)) / 6) + 1) &amp; ")",
      "LULUS"
    ),
    "AKTIF (Semester " &amp;
      (INT((12*(YEAR(TODAY())-M201) + MONTH(TODAY()) -
        MATCH(L201, {"Januari";"Februari";"Maret";"April";"Mei";"Juni";"Juli";"Agustus";"September";"Oktober";"November";"Desember"}, 0)) / 6) + 1) &amp; ")"
  )
)</f>
        <v>AKTIF (Semester 8)</v>
      </c>
      <c r="T201" s="16" t="str">
        <f ca="1">IF(O201 &lt; YEAR(TODAY()), "LULUS",
 IF(O201 = YEAR(TODAY()),
    IF(MATCH(N201, {"Januari";"Februari";"Maret";"April";"Mei";"Juni";"Juli";"Agustus";"September";"Oktober";"November";"Desember"},0)
        &lt;= MONTH(TODAY()),
        "LULUS",
        "AKTIF"),
 "AKTIF"))</f>
        <v>AKTIF</v>
      </c>
      <c r="U201" s="16" t="s">
        <v>2944</v>
      </c>
      <c r="V201" s="15"/>
      <c r="W201" s="15"/>
      <c r="X201" s="15"/>
      <c r="Y201" s="15"/>
      <c r="Z201" s="15"/>
    </row>
    <row r="202" spans="1:26" ht="29" customHeight="1" x14ac:dyDescent="0.35">
      <c r="A202" s="12">
        <v>201</v>
      </c>
      <c r="B202" s="25" t="s">
        <v>786</v>
      </c>
      <c r="C202" s="69" t="s">
        <v>787</v>
      </c>
      <c r="D202" s="24" t="s">
        <v>109</v>
      </c>
      <c r="E202" s="26" t="str">
        <f t="shared" si="3"/>
        <v>Laki-Laki</v>
      </c>
      <c r="F202" s="72" t="s">
        <v>672</v>
      </c>
      <c r="G202" s="13" t="s">
        <v>588</v>
      </c>
      <c r="H202" s="19" t="s">
        <v>771</v>
      </c>
      <c r="I202" s="19" t="s">
        <v>788</v>
      </c>
      <c r="J202" s="20" t="s">
        <v>26</v>
      </c>
      <c r="K202" s="19" t="s">
        <v>777</v>
      </c>
      <c r="L202" s="70" t="s">
        <v>205</v>
      </c>
      <c r="M202" s="15">
        <v>2022</v>
      </c>
      <c r="N202" s="15" t="s">
        <v>205</v>
      </c>
      <c r="O202" s="15">
        <v>2024</v>
      </c>
      <c r="P202" s="15">
        <v>2022</v>
      </c>
      <c r="Q202" s="15"/>
      <c r="R202" s="16" t="s">
        <v>51</v>
      </c>
      <c r="S202" s="16" t="str">
        <f ca="1">IF(
  O202 &lt; YEAR(TODAY()),
  "LULUS",
  IF(
    O202 = YEAR(TODAY()),
    IF(
      MATCH(L202, {"Januari";"Februari";"Maret";"April";"Mei";"Juni";"Juli";"Agustus";"September";"Oktober";"November";"Desember"}, 0)
        &gt;= MONTH(TODAY()),
      "AKTIF (Semester " &amp;
        (INT((12*(YEAR(TODAY())-M202) + MONTH(TODAY()) -
          MATCH(L202, {"Januari";"Februari";"Maret";"April";"Mei";"Juni";"Juli";"Agustus";"September";"Oktober";"November";"Desember"}, 0)) / 6) + 1) &amp; ")",
      "LULUS"
    ),
    "AKTIF (Semester " &amp;
      (INT((12*(YEAR(TODAY())-M202) + MONTH(TODAY()) -
        MATCH(L202, {"Januari";"Februari";"Maret";"April";"Mei";"Juni";"Juli";"Agustus";"September";"Oktober";"November";"Desember"}, 0)) / 6) + 1) &amp; ")"
  )
)</f>
        <v>LULUS</v>
      </c>
      <c r="T202" s="16" t="str">
        <f ca="1">IF(O202 &lt; YEAR(TODAY()), "LULUS",
 IF(O202 = YEAR(TODAY()),
    IF(MATCH(N202, {"Januari";"Februari";"Maret";"April";"Mei";"Juni";"Juli";"Agustus";"September";"Oktober";"November";"Desember"},0)
        &lt;= MONTH(TODAY()),
        "LULUS",
        "AKTIF"),
 "AKTIF"))</f>
        <v>LULUS</v>
      </c>
      <c r="U202" s="16" t="s">
        <v>29</v>
      </c>
      <c r="V202" s="15"/>
      <c r="W202" s="15"/>
      <c r="X202" s="15"/>
      <c r="Y202" s="15"/>
      <c r="Z202" s="15"/>
    </row>
    <row r="203" spans="1:26" ht="29" customHeight="1" x14ac:dyDescent="0.35">
      <c r="A203" s="12">
        <v>202</v>
      </c>
      <c r="B203" s="25" t="s">
        <v>789</v>
      </c>
      <c r="C203" s="69" t="s">
        <v>790</v>
      </c>
      <c r="D203" s="24" t="s">
        <v>791</v>
      </c>
      <c r="E203" s="26" t="str">
        <f t="shared" si="3"/>
        <v>Laki-Laki</v>
      </c>
      <c r="F203" s="72" t="s">
        <v>792</v>
      </c>
      <c r="G203" s="13" t="s">
        <v>588</v>
      </c>
      <c r="H203" s="19" t="s">
        <v>771</v>
      </c>
      <c r="I203" s="19" t="s">
        <v>788</v>
      </c>
      <c r="J203" s="20" t="s">
        <v>26</v>
      </c>
      <c r="K203" s="19" t="s">
        <v>777</v>
      </c>
      <c r="L203" s="70" t="s">
        <v>205</v>
      </c>
      <c r="M203" s="15">
        <v>2022</v>
      </c>
      <c r="N203" s="15" t="s">
        <v>205</v>
      </c>
      <c r="O203" s="15">
        <v>2024</v>
      </c>
      <c r="P203" s="15">
        <v>2022</v>
      </c>
      <c r="Q203" s="15"/>
      <c r="R203" s="16" t="s">
        <v>51</v>
      </c>
      <c r="S203" s="16" t="str">
        <f ca="1">IF(
  O203 &lt; YEAR(TODAY()),
  "LULUS",
  IF(
    O203 = YEAR(TODAY()),
    IF(
      MATCH(L203, {"Januari";"Februari";"Maret";"April";"Mei";"Juni";"Juli";"Agustus";"September";"Oktober";"November";"Desember"}, 0)
        &gt;= MONTH(TODAY()),
      "AKTIF (Semester " &amp;
        (INT((12*(YEAR(TODAY())-M203) + MONTH(TODAY()) -
          MATCH(L203, {"Januari";"Februari";"Maret";"April";"Mei";"Juni";"Juli";"Agustus";"September";"Oktober";"November";"Desember"}, 0)) / 6) + 1) &amp; ")",
      "LULUS"
    ),
    "AKTIF (Semester " &amp;
      (INT((12*(YEAR(TODAY())-M203) + MONTH(TODAY()) -
        MATCH(L203, {"Januari";"Februari";"Maret";"April";"Mei";"Juni";"Juli";"Agustus";"September";"Oktober";"November";"Desember"}, 0)) / 6) + 1) &amp; ")"
  )
)</f>
        <v>LULUS</v>
      </c>
      <c r="T203" s="16" t="str">
        <f ca="1">IF(O203 &lt; YEAR(TODAY()), "LULUS",
 IF(O203 = YEAR(TODAY()),
    IF(MATCH(N203, {"Januari";"Februari";"Maret";"April";"Mei";"Juni";"Juli";"Agustus";"September";"Oktober";"November";"Desember"},0)
        &lt;= MONTH(TODAY()),
        "LULUS",
        "AKTIF"),
 "AKTIF"))</f>
        <v>LULUS</v>
      </c>
      <c r="U203" s="16" t="s">
        <v>29</v>
      </c>
      <c r="V203" s="15"/>
      <c r="W203" s="15"/>
      <c r="X203" s="15"/>
      <c r="Y203" s="15"/>
      <c r="Z203" s="15"/>
    </row>
    <row r="204" spans="1:26" ht="29" customHeight="1" x14ac:dyDescent="0.35">
      <c r="A204" s="12">
        <v>203</v>
      </c>
      <c r="B204" s="25" t="s">
        <v>793</v>
      </c>
      <c r="C204" s="69" t="s">
        <v>794</v>
      </c>
      <c r="D204" s="24" t="s">
        <v>370</v>
      </c>
      <c r="E204" s="26" t="str">
        <f t="shared" si="3"/>
        <v>Laki-Laki</v>
      </c>
      <c r="F204" s="72" t="s">
        <v>795</v>
      </c>
      <c r="G204" s="13" t="s">
        <v>588</v>
      </c>
      <c r="H204" s="19" t="s">
        <v>771</v>
      </c>
      <c r="I204" s="19" t="s">
        <v>788</v>
      </c>
      <c r="J204" s="20" t="s">
        <v>45</v>
      </c>
      <c r="K204" s="19" t="s">
        <v>591</v>
      </c>
      <c r="L204" s="29" t="s">
        <v>28</v>
      </c>
      <c r="M204" s="15">
        <v>2022</v>
      </c>
      <c r="N204" s="15" t="s">
        <v>205</v>
      </c>
      <c r="O204" s="15">
        <v>2026</v>
      </c>
      <c r="P204" s="15">
        <v>2022</v>
      </c>
      <c r="Q204" s="15"/>
      <c r="R204" s="16" t="s">
        <v>51</v>
      </c>
      <c r="S204" s="16" t="str">
        <f ca="1">IF(
  O204 &lt; YEAR(TODAY()),
  "LULUS",
  IF(
    O204 = YEAR(TODAY()),
    IF(
      MATCH(L204, {"Januari";"Februari";"Maret";"April";"Mei";"Juni";"Juli";"Agustus";"September";"Oktober";"November";"Desember"}, 0)
        &gt;= MONTH(TODAY()),
      "AKTIF (Semester " &amp;
        (INT((12*(YEAR(TODAY())-M204) + MONTH(TODAY()) -
          MATCH(L204, {"Januari";"Februari";"Maret";"April";"Mei";"Juni";"Juli";"Agustus";"September";"Oktober";"November";"Desember"}, 0)) / 6) + 1) &amp; ")",
      "LULUS"
    ),
    "AKTIF (Semester " &amp;
      (INT((12*(YEAR(TODAY())-M204) + MONTH(TODAY()) -
        MATCH(L204, {"Januari";"Februari";"Maret";"April";"Mei";"Juni";"Juli";"Agustus";"September";"Oktober";"November";"Desember"}, 0)) / 6) + 1) &amp; ")"
  )
)</f>
        <v>AKTIF (Semester 7)</v>
      </c>
      <c r="T204" s="16" t="str">
        <f ca="1">IF(O204 &lt; YEAR(TODAY()), "LULUS",
 IF(O204 = YEAR(TODAY()),
    IF(MATCH(N204, {"Januari";"Februari";"Maret";"April";"Mei";"Juni";"Juli";"Agustus";"September";"Oktober";"November";"Desember"},0)
        &lt;= MONTH(TODAY()),
        "LULUS",
        "AKTIF"),
 "AKTIF"))</f>
        <v>AKTIF</v>
      </c>
      <c r="U204" s="16" t="s">
        <v>2939</v>
      </c>
      <c r="V204" s="15"/>
      <c r="W204" s="15"/>
      <c r="X204" s="15"/>
      <c r="Y204" s="15"/>
      <c r="Z204" s="15"/>
    </row>
    <row r="205" spans="1:26" ht="29" customHeight="1" x14ac:dyDescent="0.35">
      <c r="A205" s="12">
        <v>204</v>
      </c>
      <c r="B205" s="25" t="s">
        <v>796</v>
      </c>
      <c r="C205" s="69" t="s">
        <v>797</v>
      </c>
      <c r="D205" s="24" t="s">
        <v>109</v>
      </c>
      <c r="E205" s="26" t="str">
        <f t="shared" si="3"/>
        <v>Laki-Laki</v>
      </c>
      <c r="F205" s="72" t="s">
        <v>622</v>
      </c>
      <c r="G205" s="13" t="s">
        <v>588</v>
      </c>
      <c r="H205" s="19" t="s">
        <v>771</v>
      </c>
      <c r="I205" s="19" t="s">
        <v>788</v>
      </c>
      <c r="J205" s="20" t="s">
        <v>26</v>
      </c>
      <c r="K205" s="19" t="s">
        <v>407</v>
      </c>
      <c r="L205" s="70" t="s">
        <v>205</v>
      </c>
      <c r="M205" s="15">
        <v>2022</v>
      </c>
      <c r="N205" s="15" t="s">
        <v>205</v>
      </c>
      <c r="O205" s="15">
        <v>2024</v>
      </c>
      <c r="P205" s="15">
        <v>2022</v>
      </c>
      <c r="Q205" s="15"/>
      <c r="R205" s="16" t="s">
        <v>51</v>
      </c>
      <c r="S205" s="16" t="str">
        <f ca="1">IF(
  O205 &lt; YEAR(TODAY()),
  "LULUS",
  IF(
    O205 = YEAR(TODAY()),
    IF(
      MATCH(L205, {"Januari";"Februari";"Maret";"April";"Mei";"Juni";"Juli";"Agustus";"September";"Oktober";"November";"Desember"}, 0)
        &gt;= MONTH(TODAY()),
      "AKTIF (Semester " &amp;
        (INT((12*(YEAR(TODAY())-M205) + MONTH(TODAY()) -
          MATCH(L205, {"Januari";"Februari";"Maret";"April";"Mei";"Juni";"Juli";"Agustus";"September";"Oktober";"November";"Desember"}, 0)) / 6) + 1) &amp; ")",
      "LULUS"
    ),
    "AKTIF (Semester " &amp;
      (INT((12*(YEAR(TODAY())-M205) + MONTH(TODAY()) -
        MATCH(L205, {"Januari";"Februari";"Maret";"April";"Mei";"Juni";"Juli";"Agustus";"September";"Oktober";"November";"Desember"}, 0)) / 6) + 1) &amp; ")"
  )
)</f>
        <v>LULUS</v>
      </c>
      <c r="T205" s="16" t="str">
        <f ca="1">IF(O205 &lt; YEAR(TODAY()), "LULUS",
 IF(O205 = YEAR(TODAY()),
    IF(MATCH(N205, {"Januari";"Februari";"Maret";"April";"Mei";"Juni";"Juli";"Agustus";"September";"Oktober";"November";"Desember"},0)
        &lt;= MONTH(TODAY()),
        "LULUS",
        "AKTIF"),
 "AKTIF"))</f>
        <v>LULUS</v>
      </c>
      <c r="U205" s="16" t="s">
        <v>29</v>
      </c>
      <c r="V205" s="15"/>
      <c r="W205" s="15"/>
      <c r="X205" s="15"/>
      <c r="Y205" s="15"/>
      <c r="Z205" s="15"/>
    </row>
    <row r="206" spans="1:26" ht="29" customHeight="1" x14ac:dyDescent="0.35">
      <c r="A206" s="12">
        <v>205</v>
      </c>
      <c r="B206" s="25" t="s">
        <v>798</v>
      </c>
      <c r="C206" s="69" t="s">
        <v>799</v>
      </c>
      <c r="D206" s="24" t="s">
        <v>98</v>
      </c>
      <c r="E206" s="26" t="str">
        <f t="shared" si="3"/>
        <v>Laki-Laki</v>
      </c>
      <c r="F206" s="72" t="s">
        <v>800</v>
      </c>
      <c r="G206" s="13" t="s">
        <v>588</v>
      </c>
      <c r="H206" s="19" t="s">
        <v>801</v>
      </c>
      <c r="I206" s="19" t="s">
        <v>90</v>
      </c>
      <c r="J206" s="20" t="s">
        <v>45</v>
      </c>
      <c r="K206" s="19" t="s">
        <v>802</v>
      </c>
      <c r="L206" s="65" t="s">
        <v>113</v>
      </c>
      <c r="M206" s="15">
        <v>2022</v>
      </c>
      <c r="N206" s="15" t="s">
        <v>113</v>
      </c>
      <c r="O206" s="15">
        <v>2026</v>
      </c>
      <c r="P206" s="15">
        <v>2022</v>
      </c>
      <c r="Q206" s="15"/>
      <c r="R206" s="16" t="s">
        <v>51</v>
      </c>
      <c r="S206" s="16" t="str">
        <f ca="1">IF(
  O206 &lt; YEAR(TODAY()),
  "LULUS",
  IF(
    O206 = YEAR(TODAY()),
    IF(
      MATCH(L206, {"Januari";"Februari";"Maret";"April";"Mei";"Juni";"Juli";"Agustus";"September";"Oktober";"November";"Desember"}, 0)
        &gt;= MONTH(TODAY()),
      "AKTIF (Semester " &amp;
        (INT((12*(YEAR(TODAY())-M206) + MONTH(TODAY()) -
          MATCH(L206, {"Januari";"Februari";"Maret";"April";"Mei";"Juni";"Juli";"Agustus";"September";"Oktober";"November";"Desember"}, 0)) / 6) + 1) &amp; ")",
      "LULUS"
    ),
    "AKTIF (Semester " &amp;
      (INT((12*(YEAR(TODAY())-M206) + MONTH(TODAY()) -
        MATCH(L206, {"Januari";"Februari";"Maret";"April";"Mei";"Juni";"Juli";"Agustus";"September";"Oktober";"November";"Desember"}, 0)) / 6) + 1) &amp; ")"
  )
)</f>
        <v>AKTIF (Semester 8)</v>
      </c>
      <c r="T206" s="16" t="str">
        <f ca="1">IF(O206 &lt; YEAR(TODAY()), "LULUS",
 IF(O206 = YEAR(TODAY()),
    IF(MATCH(N206, {"Januari";"Februari";"Maret";"April";"Mei";"Juni";"Juli";"Agustus";"September";"Oktober";"November";"Desember"},0)
        &lt;= MONTH(TODAY()),
        "LULUS",
        "AKTIF"),
 "AKTIF"))</f>
        <v>AKTIF</v>
      </c>
      <c r="U206" s="16" t="s">
        <v>2944</v>
      </c>
      <c r="V206" s="15"/>
      <c r="W206" s="15"/>
      <c r="X206" s="15"/>
      <c r="Y206" s="15"/>
      <c r="Z206" s="15"/>
    </row>
    <row r="207" spans="1:26" ht="29" customHeight="1" x14ac:dyDescent="0.35">
      <c r="A207" s="12">
        <v>206</v>
      </c>
      <c r="B207" s="25" t="s">
        <v>803</v>
      </c>
      <c r="C207" s="69" t="s">
        <v>804</v>
      </c>
      <c r="D207" s="24" t="s">
        <v>109</v>
      </c>
      <c r="E207" s="26" t="str">
        <f t="shared" si="3"/>
        <v>Laki-Laki</v>
      </c>
      <c r="F207" s="72" t="s">
        <v>805</v>
      </c>
      <c r="G207" s="13" t="s">
        <v>588</v>
      </c>
      <c r="H207" s="19" t="s">
        <v>806</v>
      </c>
      <c r="I207" s="19" t="s">
        <v>590</v>
      </c>
      <c r="J207" s="20" t="s">
        <v>26</v>
      </c>
      <c r="K207" s="19" t="s">
        <v>591</v>
      </c>
      <c r="L207" s="70" t="s">
        <v>60</v>
      </c>
      <c r="M207" s="15">
        <v>2023</v>
      </c>
      <c r="N207" s="15" t="s">
        <v>145</v>
      </c>
      <c r="O207" s="15">
        <v>2027</v>
      </c>
      <c r="P207" s="15">
        <v>2024</v>
      </c>
      <c r="Q207" s="15"/>
      <c r="R207" s="16"/>
      <c r="S207" s="16" t="str">
        <f ca="1">IF(
  O207 &lt; YEAR(TODAY()),
  "LULUS",
  IF(
    O207 = YEAR(TODAY()),
    IF(
      MATCH(L207, {"Januari";"Februari";"Maret";"April";"Mei";"Juni";"Juli";"Agustus";"September";"Oktober";"November";"Desember"}, 0)
        &gt;= MONTH(TODAY()),
      "AKTIF (Semester " &amp;
        (INT((12*(YEAR(TODAY())-M207) + MONTH(TODAY()) -
          MATCH(L207, {"Januari";"Februari";"Maret";"April";"Mei";"Juni";"Juli";"Agustus";"September";"Oktober";"November";"Desember"}, 0)) / 6) + 1) &amp; ")",
      "LULUS"
    ),
    "AKTIF (Semester " &amp;
      (INT((12*(YEAR(TODAY())-M207) + MONTH(TODAY()) -
        MATCH(L207, {"Januari";"Februari";"Maret";"April";"Mei";"Juni";"Juli";"Agustus";"September";"Oktober";"November";"Desember"}, 0)) / 6) + 1) &amp; ")"
  )
)</f>
        <v>AKTIF (Semester 5)</v>
      </c>
      <c r="T207" s="16" t="str">
        <f ca="1">IF(O207 &lt; YEAR(TODAY()), "LULUS",
 IF(O207 = YEAR(TODAY()),
    IF(MATCH(N207, {"Januari";"Februari";"Maret";"April";"Mei";"Juni";"Juli";"Agustus";"September";"Oktober";"November";"Desember"},0)
        &lt;= MONTH(TODAY()),
        "LULUS",
        "AKTIF"),
 "AKTIF"))</f>
        <v>AKTIF</v>
      </c>
      <c r="U207" s="16" t="s">
        <v>2941</v>
      </c>
      <c r="V207" s="15"/>
      <c r="W207" s="15"/>
      <c r="X207" s="15"/>
      <c r="Y207" s="15"/>
      <c r="Z207" s="15"/>
    </row>
    <row r="208" spans="1:26" ht="29" customHeight="1" x14ac:dyDescent="0.35">
      <c r="A208" s="12">
        <v>207</v>
      </c>
      <c r="B208" s="13" t="s">
        <v>807</v>
      </c>
      <c r="C208" s="14" t="s">
        <v>808</v>
      </c>
      <c r="D208" s="13" t="s">
        <v>188</v>
      </c>
      <c r="E208" s="26" t="str">
        <f t="shared" si="3"/>
        <v>Perempuan</v>
      </c>
      <c r="F208" s="18" t="s">
        <v>809</v>
      </c>
      <c r="G208" s="13" t="s">
        <v>588</v>
      </c>
      <c r="H208" s="15" t="s">
        <v>663</v>
      </c>
      <c r="I208" s="19" t="s">
        <v>90</v>
      </c>
      <c r="J208" s="20" t="s">
        <v>26</v>
      </c>
      <c r="K208" s="15" t="s">
        <v>394</v>
      </c>
      <c r="L208" s="15"/>
      <c r="M208" s="15">
        <v>2024</v>
      </c>
      <c r="N208" s="15"/>
      <c r="O208" s="15">
        <v>2026</v>
      </c>
      <c r="P208" s="15">
        <v>2024</v>
      </c>
      <c r="Q208" s="15"/>
      <c r="R208" s="16" t="s">
        <v>51</v>
      </c>
      <c r="S208" s="16" t="e">
        <f ca="1">IF(
  O208 &lt; YEAR(TODAY()),
  "LULUS",
  IF(
    O208 = YEAR(TODAY()),
    IF(
      MATCH(L208, {"Januari";"Februari";"Maret";"April";"Mei";"Juni";"Juli";"Agustus";"September";"Oktober";"November";"Desember"}, 0)
        &gt;= MONTH(TODAY()),
      "AKTIF (Semester " &amp;
        (INT((12*(YEAR(TODAY())-M208) + MONTH(TODAY()) -
          MATCH(L208, {"Januari";"Februari";"Maret";"April";"Mei";"Juni";"Juli";"Agustus";"September";"Oktober";"November";"Desember"}, 0)) / 6) + 1) &amp; ")",
      "LULUS"
    ),
    "AKTIF (Semester " &amp;
      (INT((12*(YEAR(TODAY())-M208) + MONTH(TODAY()) -
        MATCH(L208, {"Januari";"Februari";"Maret";"April";"Mei";"Juni";"Juli";"Agustus";"September";"Oktober";"November";"Desember"}, 0)) / 6) + 1) &amp; ")"
  )
)</f>
        <v>#N/A</v>
      </c>
      <c r="T208" s="16" t="str">
        <f ca="1">IF(O208 &lt; YEAR(TODAY()), "LULUS",
 IF(O208 = YEAR(TODAY()),
    IF(MATCH(N208, {"Januari";"Februari";"Maret";"April";"Mei";"Juni";"Juli";"Agustus";"September";"Oktober";"November";"Desember"},0)
        &lt;= MONTH(TODAY()),
        "LULUS",
        "AKTIF"),
 "AKTIF"))</f>
        <v>AKTIF</v>
      </c>
      <c r="U208" s="16" t="e">
        <v>#N/A</v>
      </c>
      <c r="V208" s="15"/>
      <c r="W208" s="15"/>
      <c r="X208" s="15"/>
      <c r="Y208" s="15"/>
      <c r="Z208" s="15"/>
    </row>
    <row r="209" spans="1:26" ht="29" customHeight="1" x14ac:dyDescent="0.35">
      <c r="A209" s="12">
        <v>208</v>
      </c>
      <c r="B209" s="13" t="s">
        <v>811</v>
      </c>
      <c r="C209" s="14" t="s">
        <v>812</v>
      </c>
      <c r="D209" s="13" t="s">
        <v>152</v>
      </c>
      <c r="E209" s="26" t="str">
        <f t="shared" si="3"/>
        <v>Laki-Laki</v>
      </c>
      <c r="F209" s="18" t="s">
        <v>813</v>
      </c>
      <c r="G209" s="13" t="s">
        <v>588</v>
      </c>
      <c r="H209" s="15" t="s">
        <v>814</v>
      </c>
      <c r="I209" s="15" t="s">
        <v>2935</v>
      </c>
      <c r="J209" s="12" t="s">
        <v>45</v>
      </c>
      <c r="K209" s="15" t="s">
        <v>591</v>
      </c>
      <c r="L209" s="15" t="s">
        <v>28</v>
      </c>
      <c r="M209" s="15">
        <v>2024</v>
      </c>
      <c r="N209" s="15" t="s">
        <v>28</v>
      </c>
      <c r="O209" s="15">
        <v>2028</v>
      </c>
      <c r="P209" s="15">
        <v>2024</v>
      </c>
      <c r="Q209" s="15"/>
      <c r="R209" s="16" t="s">
        <v>51</v>
      </c>
      <c r="S209" s="16" t="str">
        <f ca="1">IF(
  O209 &lt; YEAR(TODAY()),
  "LULUS",
  IF(
    O209 = YEAR(TODAY()),
    IF(
      MATCH(L209, {"Januari";"Februari";"Maret";"April";"Mei";"Juni";"Juli";"Agustus";"September";"Oktober";"November";"Desember"}, 0)
        &gt;= MONTH(TODAY()),
      "AKTIF (Semester " &amp;
        (INT((12*(YEAR(TODAY())-M209) + MONTH(TODAY()) -
          MATCH(L209, {"Januari";"Februari";"Maret";"April";"Mei";"Juni";"Juli";"Agustus";"September";"Oktober";"November";"Desember"}, 0)) / 6) + 1) &amp; ")",
      "LULUS"
    ),
    "AKTIF (Semester " &amp;
      (INT((12*(YEAR(TODAY())-M209) + MONTH(TODAY()) -
        MATCH(L209, {"Januari";"Februari";"Maret";"April";"Mei";"Juni";"Juli";"Agustus";"September";"Oktober";"November";"Desember"}, 0)) / 6) + 1) &amp; ")"
  )
)</f>
        <v>AKTIF (Semester 3)</v>
      </c>
      <c r="T209" s="16" t="str">
        <f ca="1">IF(O209 &lt; YEAR(TODAY()), "LULUS",
 IF(O209 = YEAR(TODAY()),
    IF(MATCH(N209, {"Januari";"Februari";"Maret";"April";"Mei";"Juni";"Juli";"Agustus";"September";"Oktober";"November";"Desember"},0)
        &lt;= MONTH(TODAY()),
        "LULUS",
        "AKTIF"),
 "AKTIF"))</f>
        <v>AKTIF</v>
      </c>
      <c r="U209" s="16" t="s">
        <v>2940</v>
      </c>
      <c r="V209" s="15"/>
      <c r="W209" s="15"/>
      <c r="X209" s="15"/>
      <c r="Y209" s="15"/>
      <c r="Z209" s="15"/>
    </row>
    <row r="210" spans="1:26" ht="29" customHeight="1" x14ac:dyDescent="0.35">
      <c r="A210" s="12">
        <v>209</v>
      </c>
      <c r="B210" s="13" t="s">
        <v>816</v>
      </c>
      <c r="C210" s="14" t="s">
        <v>817</v>
      </c>
      <c r="D210" s="13" t="s">
        <v>152</v>
      </c>
      <c r="E210" s="26" t="str">
        <f t="shared" si="3"/>
        <v>Laki-Laki</v>
      </c>
      <c r="F210" s="18" t="s">
        <v>818</v>
      </c>
      <c r="G210" s="13" t="s">
        <v>588</v>
      </c>
      <c r="H210" s="15" t="s">
        <v>814</v>
      </c>
      <c r="I210" s="19" t="s">
        <v>90</v>
      </c>
      <c r="J210" s="12" t="s">
        <v>45</v>
      </c>
      <c r="K210" s="15" t="s">
        <v>651</v>
      </c>
      <c r="L210" s="15" t="s">
        <v>113</v>
      </c>
      <c r="M210" s="15">
        <v>2024</v>
      </c>
      <c r="N210" s="15" t="s">
        <v>113</v>
      </c>
      <c r="O210" s="15">
        <v>2028</v>
      </c>
      <c r="P210" s="15">
        <v>2024</v>
      </c>
      <c r="Q210" s="15"/>
      <c r="R210" s="16" t="s">
        <v>51</v>
      </c>
      <c r="S210" s="16" t="str">
        <f ca="1">IF(
  O210 &lt; YEAR(TODAY()),
  "LULUS",
  IF(
    O210 = YEAR(TODAY()),
    IF(
      MATCH(L210, {"Januari";"Februari";"Maret";"April";"Mei";"Juni";"Juli";"Agustus";"September";"Oktober";"November";"Desember"}, 0)
        &gt;= MONTH(TODAY()),
      "AKTIF (Semester " &amp;
        (INT((12*(YEAR(TODAY())-M210) + MONTH(TODAY()) -
          MATCH(L210, {"Januari";"Februari";"Maret";"April";"Mei";"Juni";"Juli";"Agustus";"September";"Oktober";"November";"Desember"}, 0)) / 6) + 1) &amp; ")",
      "LULUS"
    ),
    "AKTIF (Semester " &amp;
      (INT((12*(YEAR(TODAY())-M210) + MONTH(TODAY()) -
        MATCH(L210, {"Januari";"Februari";"Maret";"April";"Mei";"Juni";"Juli";"Agustus";"September";"Oktober";"November";"Desember"}, 0)) / 6) + 1) &amp; ")"
  )
)</f>
        <v>AKTIF (Semester 4)</v>
      </c>
      <c r="T210" s="16" t="str">
        <f ca="1">IF(O210 &lt; YEAR(TODAY()), "LULUS",
 IF(O210 = YEAR(TODAY()),
    IF(MATCH(N210, {"Januari";"Februari";"Maret";"April";"Mei";"Juni";"Juli";"Agustus";"September";"Oktober";"November";"Desember"},0)
        &lt;= MONTH(TODAY()),
        "LULUS",
        "AKTIF"),
 "AKTIF"))</f>
        <v>AKTIF</v>
      </c>
      <c r="U210" s="16" t="s">
        <v>2942</v>
      </c>
      <c r="V210" s="15"/>
      <c r="W210" s="15"/>
      <c r="X210" s="15"/>
      <c r="Y210" s="15"/>
      <c r="Z210" s="15"/>
    </row>
    <row r="211" spans="1:26" ht="29" customHeight="1" x14ac:dyDescent="0.35">
      <c r="A211" s="12">
        <v>210</v>
      </c>
      <c r="B211" s="13" t="s">
        <v>820</v>
      </c>
      <c r="C211" s="14" t="s">
        <v>821</v>
      </c>
      <c r="D211" s="13" t="s">
        <v>822</v>
      </c>
      <c r="E211" s="26" t="str">
        <f t="shared" si="3"/>
        <v>Laki-Laki</v>
      </c>
      <c r="F211" s="18" t="s">
        <v>397</v>
      </c>
      <c r="G211" s="13" t="s">
        <v>588</v>
      </c>
      <c r="H211" s="15" t="s">
        <v>639</v>
      </c>
      <c r="I211" s="15" t="s">
        <v>823</v>
      </c>
      <c r="J211" s="20" t="s">
        <v>26</v>
      </c>
      <c r="K211" s="15" t="s">
        <v>46</v>
      </c>
      <c r="L211" s="15" t="s">
        <v>28</v>
      </c>
      <c r="M211" s="15">
        <v>2024</v>
      </c>
      <c r="N211" s="15" t="s">
        <v>28</v>
      </c>
      <c r="O211" s="15">
        <v>2026</v>
      </c>
      <c r="P211" s="15">
        <v>2024</v>
      </c>
      <c r="Q211" s="15"/>
      <c r="R211" s="16" t="s">
        <v>51</v>
      </c>
      <c r="S211" s="16" t="str">
        <f ca="1">IF(
  O211 &lt; YEAR(TODAY()),
  "LULUS",
  IF(
    O211 = YEAR(TODAY()),
    IF(
      MATCH(L211, {"Januari";"Februari";"Maret";"April";"Mei";"Juni";"Juli";"Agustus";"September";"Oktober";"November";"Desember"}, 0)
        &gt;= MONTH(TODAY()),
      "AKTIF (Semester " &amp;
        (INT((12*(YEAR(TODAY())-M211) + MONTH(TODAY()) -
          MATCH(L211, {"Januari";"Februari";"Maret";"April";"Mei";"Juni";"Juli";"Agustus";"September";"Oktober";"November";"Desember"}, 0)) / 6) + 1) &amp; ")",
      "LULUS"
    ),
    "AKTIF (Semester " &amp;
      (INT((12*(YEAR(TODAY())-M211) + MONTH(TODAY()) -
        MATCH(L211, {"Januari";"Februari";"Maret";"April";"Mei";"Juni";"Juli";"Agustus";"September";"Oktober";"November";"Desember"}, 0)) / 6) + 1) &amp; ")"
  )
)</f>
        <v>AKTIF (Semester 3)</v>
      </c>
      <c r="T211" s="16" t="str">
        <f ca="1">IF(O211 &lt; YEAR(TODAY()), "LULUS",
 IF(O211 = YEAR(TODAY()),
    IF(MATCH(N211, {"Januari";"Februari";"Maret";"April";"Mei";"Juni";"Juli";"Agustus";"September";"Oktober";"November";"Desember"},0)
        &lt;= MONTH(TODAY()),
        "LULUS",
        "AKTIF"),
 "AKTIF"))</f>
        <v>AKTIF</v>
      </c>
      <c r="U211" s="16" t="s">
        <v>2940</v>
      </c>
      <c r="V211" s="15"/>
      <c r="W211" s="15"/>
      <c r="X211" s="15"/>
      <c r="Y211" s="15"/>
      <c r="Z211" s="15"/>
    </row>
    <row r="212" spans="1:26" ht="29" customHeight="1" x14ac:dyDescent="0.35">
      <c r="A212" s="12">
        <v>211</v>
      </c>
      <c r="B212" s="13" t="s">
        <v>824</v>
      </c>
      <c r="C212" s="14" t="s">
        <v>825</v>
      </c>
      <c r="D212" s="13" t="s">
        <v>826</v>
      </c>
      <c r="E212" s="26" t="str">
        <f t="shared" si="3"/>
        <v>Perempuan</v>
      </c>
      <c r="F212" s="18" t="s">
        <v>153</v>
      </c>
      <c r="G212" s="13" t="s">
        <v>588</v>
      </c>
      <c r="H212" s="15" t="s">
        <v>639</v>
      </c>
      <c r="I212" s="15" t="s">
        <v>823</v>
      </c>
      <c r="J212" s="20" t="s">
        <v>26</v>
      </c>
      <c r="K212" s="15" t="s">
        <v>46</v>
      </c>
      <c r="L212" s="15" t="s">
        <v>28</v>
      </c>
      <c r="M212" s="15">
        <v>2024</v>
      </c>
      <c r="N212" s="15" t="s">
        <v>28</v>
      </c>
      <c r="O212" s="15">
        <v>2026</v>
      </c>
      <c r="P212" s="15">
        <v>2024</v>
      </c>
      <c r="Q212" s="15"/>
      <c r="R212" s="16" t="s">
        <v>51</v>
      </c>
      <c r="S212" s="16" t="str">
        <f ca="1">IF(
  O212 &lt; YEAR(TODAY()),
  "LULUS",
  IF(
    O212 = YEAR(TODAY()),
    IF(
      MATCH(L212, {"Januari";"Februari";"Maret";"April";"Mei";"Juni";"Juli";"Agustus";"September";"Oktober";"November";"Desember"}, 0)
        &gt;= MONTH(TODAY()),
      "AKTIF (Semester " &amp;
        (INT((12*(YEAR(TODAY())-M212) + MONTH(TODAY()) -
          MATCH(L212, {"Januari";"Februari";"Maret";"April";"Mei";"Juni";"Juli";"Agustus";"September";"Oktober";"November";"Desember"}, 0)) / 6) + 1) &amp; ")",
      "LULUS"
    ),
    "AKTIF (Semester " &amp;
      (INT((12*(YEAR(TODAY())-M212) + MONTH(TODAY()) -
        MATCH(L212, {"Januari";"Februari";"Maret";"April";"Mei";"Juni";"Juli";"Agustus";"September";"Oktober";"November";"Desember"}, 0)) / 6) + 1) &amp; ")"
  )
)</f>
        <v>AKTIF (Semester 3)</v>
      </c>
      <c r="T212" s="16" t="str">
        <f ca="1">IF(O212 &lt; YEAR(TODAY()), "LULUS",
 IF(O212 = YEAR(TODAY()),
    IF(MATCH(N212, {"Januari";"Februari";"Maret";"April";"Mei";"Juni";"Juli";"Agustus";"September";"Oktober";"November";"Desember"},0)
        &lt;= MONTH(TODAY()),
        "LULUS",
        "AKTIF"),
 "AKTIF"))</f>
        <v>AKTIF</v>
      </c>
      <c r="U212" s="16" t="s">
        <v>2940</v>
      </c>
      <c r="V212" s="15"/>
      <c r="W212" s="15"/>
      <c r="X212" s="15"/>
      <c r="Y212" s="15"/>
      <c r="Z212" s="15"/>
    </row>
    <row r="213" spans="1:26" ht="29" customHeight="1" x14ac:dyDescent="0.35">
      <c r="A213" s="12">
        <v>212</v>
      </c>
      <c r="B213" s="13" t="s">
        <v>827</v>
      </c>
      <c r="C213" s="14" t="s">
        <v>828</v>
      </c>
      <c r="D213" s="13" t="s">
        <v>211</v>
      </c>
      <c r="E213" s="26" t="str">
        <f t="shared" si="3"/>
        <v>Laki-Laki</v>
      </c>
      <c r="F213" s="18" t="s">
        <v>795</v>
      </c>
      <c r="G213" s="13" t="s">
        <v>588</v>
      </c>
      <c r="H213" s="15" t="s">
        <v>814</v>
      </c>
      <c r="I213" s="15" t="s">
        <v>2935</v>
      </c>
      <c r="J213" s="12" t="s">
        <v>45</v>
      </c>
      <c r="K213" s="15" t="s">
        <v>591</v>
      </c>
      <c r="L213" s="15" t="s">
        <v>28</v>
      </c>
      <c r="M213" s="15">
        <v>2024</v>
      </c>
      <c r="N213" s="15" t="s">
        <v>28</v>
      </c>
      <c r="O213" s="15">
        <v>2028</v>
      </c>
      <c r="P213" s="15">
        <v>2024</v>
      </c>
      <c r="Q213" s="15"/>
      <c r="R213" s="16" t="s">
        <v>51</v>
      </c>
      <c r="S213" s="16" t="str">
        <f ca="1">IF(
  O213 &lt; YEAR(TODAY()),
  "LULUS",
  IF(
    O213 = YEAR(TODAY()),
    IF(
      MATCH(L213, {"Januari";"Februari";"Maret";"April";"Mei";"Juni";"Juli";"Agustus";"September";"Oktober";"November";"Desember"}, 0)
        &gt;= MONTH(TODAY()),
      "AKTIF (Semester " &amp;
        (INT((12*(YEAR(TODAY())-M213) + MONTH(TODAY()) -
          MATCH(L213, {"Januari";"Februari";"Maret";"April";"Mei";"Juni";"Juli";"Agustus";"September";"Oktober";"November";"Desember"}, 0)) / 6) + 1) &amp; ")",
      "LULUS"
    ),
    "AKTIF (Semester " &amp;
      (INT((12*(YEAR(TODAY())-M213) + MONTH(TODAY()) -
        MATCH(L213, {"Januari";"Februari";"Maret";"April";"Mei";"Juni";"Juli";"Agustus";"September";"Oktober";"November";"Desember"}, 0)) / 6) + 1) &amp; ")"
  )
)</f>
        <v>AKTIF (Semester 3)</v>
      </c>
      <c r="T213" s="16" t="str">
        <f ca="1">IF(O213 &lt; YEAR(TODAY()), "LULUS",
 IF(O213 = YEAR(TODAY()),
    IF(MATCH(N213, {"Januari";"Februari";"Maret";"April";"Mei";"Juni";"Juli";"Agustus";"September";"Oktober";"November";"Desember"},0)
        &lt;= MONTH(TODAY()),
        "LULUS",
        "AKTIF"),
 "AKTIF"))</f>
        <v>AKTIF</v>
      </c>
      <c r="U213" s="16" t="s">
        <v>2940</v>
      </c>
      <c r="V213" s="15"/>
      <c r="W213" s="15"/>
      <c r="X213" s="15"/>
      <c r="Y213" s="15"/>
      <c r="Z213" s="15"/>
    </row>
    <row r="214" spans="1:26" ht="29" customHeight="1" x14ac:dyDescent="0.35">
      <c r="A214" s="12">
        <v>213</v>
      </c>
      <c r="B214" s="13" t="s">
        <v>830</v>
      </c>
      <c r="C214" s="14" t="s">
        <v>831</v>
      </c>
      <c r="D214" s="13" t="s">
        <v>211</v>
      </c>
      <c r="E214" s="26" t="str">
        <f t="shared" si="3"/>
        <v>Laki-Laki</v>
      </c>
      <c r="F214" s="18" t="s">
        <v>795</v>
      </c>
      <c r="G214" s="13" t="s">
        <v>588</v>
      </c>
      <c r="H214" s="15" t="s">
        <v>814</v>
      </c>
      <c r="I214" s="15" t="s">
        <v>2935</v>
      </c>
      <c r="J214" s="12" t="s">
        <v>45</v>
      </c>
      <c r="K214" s="15" t="s">
        <v>591</v>
      </c>
      <c r="L214" s="15" t="s">
        <v>28</v>
      </c>
      <c r="M214" s="15">
        <v>2024</v>
      </c>
      <c r="N214" s="15" t="s">
        <v>28</v>
      </c>
      <c r="O214" s="15">
        <v>2028</v>
      </c>
      <c r="P214" s="15">
        <v>2024</v>
      </c>
      <c r="Q214" s="15"/>
      <c r="R214" s="16" t="s">
        <v>51</v>
      </c>
      <c r="S214" s="16" t="str">
        <f ca="1">IF(
  O214 &lt; YEAR(TODAY()),
  "LULUS",
  IF(
    O214 = YEAR(TODAY()),
    IF(
      MATCH(L214, {"Januari";"Februari";"Maret";"April";"Mei";"Juni";"Juli";"Agustus";"September";"Oktober";"November";"Desember"}, 0)
        &gt;= MONTH(TODAY()),
      "AKTIF (Semester " &amp;
        (INT((12*(YEAR(TODAY())-M214) + MONTH(TODAY()) -
          MATCH(L214, {"Januari";"Februari";"Maret";"April";"Mei";"Juni";"Juli";"Agustus";"September";"Oktober";"November";"Desember"}, 0)) / 6) + 1) &amp; ")",
      "LULUS"
    ),
    "AKTIF (Semester " &amp;
      (INT((12*(YEAR(TODAY())-M214) + MONTH(TODAY()) -
        MATCH(L214, {"Januari";"Februari";"Maret";"April";"Mei";"Juni";"Juli";"Agustus";"September";"Oktober";"November";"Desember"}, 0)) / 6) + 1) &amp; ")"
  )
)</f>
        <v>AKTIF (Semester 3)</v>
      </c>
      <c r="T214" s="16" t="str">
        <f ca="1">IF(O214 &lt; YEAR(TODAY()), "LULUS",
 IF(O214 = YEAR(TODAY()),
    IF(MATCH(N214, {"Januari";"Februari";"Maret";"April";"Mei";"Juni";"Juli";"Agustus";"September";"Oktober";"November";"Desember"},0)
        &lt;= MONTH(TODAY()),
        "LULUS",
        "AKTIF"),
 "AKTIF"))</f>
        <v>AKTIF</v>
      </c>
      <c r="U214" s="16" t="s">
        <v>2940</v>
      </c>
      <c r="V214" s="15"/>
      <c r="W214" s="15"/>
      <c r="X214" s="15"/>
      <c r="Y214" s="15"/>
      <c r="Z214" s="15"/>
    </row>
    <row r="215" spans="1:26" ht="29" customHeight="1" x14ac:dyDescent="0.35">
      <c r="A215" s="12">
        <v>214</v>
      </c>
      <c r="B215" s="13" t="s">
        <v>832</v>
      </c>
      <c r="C215" s="14" t="s">
        <v>833</v>
      </c>
      <c r="D215" s="13" t="s">
        <v>211</v>
      </c>
      <c r="E215" s="26" t="str">
        <f t="shared" si="3"/>
        <v>Laki-Laki</v>
      </c>
      <c r="F215" s="18" t="s">
        <v>795</v>
      </c>
      <c r="G215" s="13" t="s">
        <v>588</v>
      </c>
      <c r="H215" s="15" t="s">
        <v>814</v>
      </c>
      <c r="I215" s="15" t="s">
        <v>2935</v>
      </c>
      <c r="J215" s="12" t="s">
        <v>45</v>
      </c>
      <c r="K215" s="15" t="s">
        <v>591</v>
      </c>
      <c r="L215" s="15" t="s">
        <v>28</v>
      </c>
      <c r="M215" s="15">
        <v>2024</v>
      </c>
      <c r="N215" s="15" t="s">
        <v>28</v>
      </c>
      <c r="O215" s="15">
        <v>2028</v>
      </c>
      <c r="P215" s="15">
        <v>2024</v>
      </c>
      <c r="Q215" s="15"/>
      <c r="R215" s="16" t="s">
        <v>51</v>
      </c>
      <c r="S215" s="16" t="str">
        <f ca="1">IF(
  O215 &lt; YEAR(TODAY()),
  "LULUS",
  IF(
    O215 = YEAR(TODAY()),
    IF(
      MATCH(L215, {"Januari";"Februari";"Maret";"April";"Mei";"Juni";"Juli";"Agustus";"September";"Oktober";"November";"Desember"}, 0)
        &gt;= MONTH(TODAY()),
      "AKTIF (Semester " &amp;
        (INT((12*(YEAR(TODAY())-M215) + MONTH(TODAY()) -
          MATCH(L215, {"Januari";"Februari";"Maret";"April";"Mei";"Juni";"Juli";"Agustus";"September";"Oktober";"November";"Desember"}, 0)) / 6) + 1) &amp; ")",
      "LULUS"
    ),
    "AKTIF (Semester " &amp;
      (INT((12*(YEAR(TODAY())-M215) + MONTH(TODAY()) -
        MATCH(L215, {"Januari";"Februari";"Maret";"April";"Mei";"Juni";"Juli";"Agustus";"September";"Oktober";"November";"Desember"}, 0)) / 6) + 1) &amp; ")"
  )
)</f>
        <v>AKTIF (Semester 3)</v>
      </c>
      <c r="T215" s="16" t="str">
        <f ca="1">IF(O215 &lt; YEAR(TODAY()), "LULUS",
 IF(O215 = YEAR(TODAY()),
    IF(MATCH(N215, {"Januari";"Februari";"Maret";"April";"Mei";"Juni";"Juli";"Agustus";"September";"Oktober";"November";"Desember"},0)
        &lt;= MONTH(TODAY()),
        "LULUS",
        "AKTIF"),
 "AKTIF"))</f>
        <v>AKTIF</v>
      </c>
      <c r="U215" s="16" t="s">
        <v>2940</v>
      </c>
      <c r="V215" s="15"/>
      <c r="W215" s="15"/>
      <c r="X215" s="15"/>
      <c r="Y215" s="15"/>
      <c r="Z215" s="15"/>
    </row>
    <row r="216" spans="1:26" ht="29" customHeight="1" x14ac:dyDescent="0.35">
      <c r="A216" s="12">
        <v>215</v>
      </c>
      <c r="B216" s="13" t="s">
        <v>834</v>
      </c>
      <c r="C216" s="14" t="s">
        <v>835</v>
      </c>
      <c r="D216" s="13" t="s">
        <v>188</v>
      </c>
      <c r="E216" s="26" t="str">
        <f t="shared" si="3"/>
        <v>Laki-Laki</v>
      </c>
      <c r="F216" s="18" t="s">
        <v>836</v>
      </c>
      <c r="G216" s="13" t="s">
        <v>588</v>
      </c>
      <c r="H216" s="15" t="s">
        <v>663</v>
      </c>
      <c r="I216" s="19" t="s">
        <v>90</v>
      </c>
      <c r="J216" s="20" t="s">
        <v>26</v>
      </c>
      <c r="K216" s="15" t="s">
        <v>837</v>
      </c>
      <c r="L216" s="15"/>
      <c r="M216" s="15">
        <v>2024</v>
      </c>
      <c r="N216" s="15"/>
      <c r="O216" s="15">
        <v>2026</v>
      </c>
      <c r="P216" s="15">
        <v>2024</v>
      </c>
      <c r="Q216" s="15"/>
      <c r="R216" s="16" t="s">
        <v>51</v>
      </c>
      <c r="S216" s="16" t="e">
        <f ca="1">IF(
  O216 &lt; YEAR(TODAY()),
  "LULUS",
  IF(
    O216 = YEAR(TODAY()),
    IF(
      MATCH(L216, {"Januari";"Februari";"Maret";"April";"Mei";"Juni";"Juli";"Agustus";"September";"Oktober";"November";"Desember"}, 0)
        &gt;= MONTH(TODAY()),
      "AKTIF (Semester " &amp;
        (INT((12*(YEAR(TODAY())-M216) + MONTH(TODAY()) -
          MATCH(L216, {"Januari";"Februari";"Maret";"April";"Mei";"Juni";"Juli";"Agustus";"September";"Oktober";"November";"Desember"}, 0)) / 6) + 1) &amp; ")",
      "LULUS"
    ),
    "AKTIF (Semester " &amp;
      (INT((12*(YEAR(TODAY())-M216) + MONTH(TODAY()) -
        MATCH(L216, {"Januari";"Februari";"Maret";"April";"Mei";"Juni";"Juli";"Agustus";"September";"Oktober";"November";"Desember"}, 0)) / 6) + 1) &amp; ")"
  )
)</f>
        <v>#N/A</v>
      </c>
      <c r="T216" s="16" t="str">
        <f ca="1">IF(O216 &lt; YEAR(TODAY()), "LULUS",
 IF(O216 = YEAR(TODAY()),
    IF(MATCH(N216, {"Januari";"Februari";"Maret";"April";"Mei";"Juni";"Juli";"Agustus";"September";"Oktober";"November";"Desember"},0)
        &lt;= MONTH(TODAY()),
        "LULUS",
        "AKTIF"),
 "AKTIF"))</f>
        <v>AKTIF</v>
      </c>
      <c r="U216" s="16" t="e">
        <v>#N/A</v>
      </c>
      <c r="V216" s="15"/>
      <c r="W216" s="15"/>
      <c r="X216" s="15"/>
      <c r="Y216" s="15"/>
      <c r="Z216" s="15"/>
    </row>
    <row r="217" spans="1:26" ht="29" customHeight="1" x14ac:dyDescent="0.35">
      <c r="A217" s="12">
        <v>216</v>
      </c>
      <c r="B217" s="13" t="s">
        <v>838</v>
      </c>
      <c r="C217" s="14" t="s">
        <v>839</v>
      </c>
      <c r="D217" s="13" t="s">
        <v>188</v>
      </c>
      <c r="E217" s="26" t="str">
        <f t="shared" si="3"/>
        <v>Laki-Laki</v>
      </c>
      <c r="F217" s="18" t="s">
        <v>809</v>
      </c>
      <c r="G217" s="13" t="s">
        <v>588</v>
      </c>
      <c r="H217" s="15" t="s">
        <v>663</v>
      </c>
      <c r="I217" s="19" t="s">
        <v>90</v>
      </c>
      <c r="J217" s="20" t="s">
        <v>26</v>
      </c>
      <c r="K217" s="15" t="s">
        <v>837</v>
      </c>
      <c r="L217" s="15"/>
      <c r="M217" s="15">
        <v>2024</v>
      </c>
      <c r="N217" s="15"/>
      <c r="O217" s="15">
        <v>2026</v>
      </c>
      <c r="P217" s="15">
        <v>2024</v>
      </c>
      <c r="Q217" s="15"/>
      <c r="R217" s="16" t="s">
        <v>51</v>
      </c>
      <c r="S217" s="16" t="e">
        <f ca="1">IF(
  O217 &lt; YEAR(TODAY()),
  "LULUS",
  IF(
    O217 = YEAR(TODAY()),
    IF(
      MATCH(L217, {"Januari";"Februari";"Maret";"April";"Mei";"Juni";"Juli";"Agustus";"September";"Oktober";"November";"Desember"}, 0)
        &gt;= MONTH(TODAY()),
      "AKTIF (Semester " &amp;
        (INT((12*(YEAR(TODAY())-M217) + MONTH(TODAY()) -
          MATCH(L217, {"Januari";"Februari";"Maret";"April";"Mei";"Juni";"Juli";"Agustus";"September";"Oktober";"November";"Desember"}, 0)) / 6) + 1) &amp; ")",
      "LULUS"
    ),
    "AKTIF (Semester " &amp;
      (INT((12*(YEAR(TODAY())-M217) + MONTH(TODAY()) -
        MATCH(L217, {"Januari";"Februari";"Maret";"April";"Mei";"Juni";"Juli";"Agustus";"September";"Oktober";"November";"Desember"}, 0)) / 6) + 1) &amp; ")"
  )
)</f>
        <v>#N/A</v>
      </c>
      <c r="T217" s="16" t="str">
        <f ca="1">IF(O217 &lt; YEAR(TODAY()), "LULUS",
 IF(O217 = YEAR(TODAY()),
    IF(MATCH(N217, {"Januari";"Februari";"Maret";"April";"Mei";"Juni";"Juli";"Agustus";"September";"Oktober";"November";"Desember"},0)
        &lt;= MONTH(TODAY()),
        "LULUS",
        "AKTIF"),
 "AKTIF"))</f>
        <v>AKTIF</v>
      </c>
      <c r="U217" s="16" t="e">
        <v>#N/A</v>
      </c>
      <c r="V217" s="15"/>
      <c r="W217" s="15"/>
      <c r="X217" s="15"/>
      <c r="Y217" s="15"/>
      <c r="Z217" s="15"/>
    </row>
    <row r="218" spans="1:26" ht="29" customHeight="1" x14ac:dyDescent="0.35">
      <c r="A218" s="12">
        <v>217</v>
      </c>
      <c r="B218" s="13" t="s">
        <v>840</v>
      </c>
      <c r="C218" s="14" t="s">
        <v>841</v>
      </c>
      <c r="D218" s="13" t="s">
        <v>842</v>
      </c>
      <c r="E218" s="26" t="str">
        <f t="shared" si="3"/>
        <v>Laki-Laki</v>
      </c>
      <c r="F218" s="18" t="s">
        <v>843</v>
      </c>
      <c r="G218" s="13" t="s">
        <v>588</v>
      </c>
      <c r="H218" s="15" t="s">
        <v>844</v>
      </c>
      <c r="I218" s="15" t="s">
        <v>256</v>
      </c>
      <c r="J218" s="12" t="s">
        <v>242</v>
      </c>
      <c r="K218" s="15" t="s">
        <v>257</v>
      </c>
      <c r="L218" s="15" t="s">
        <v>60</v>
      </c>
      <c r="M218" s="15">
        <v>2024</v>
      </c>
      <c r="N218" s="15" t="s">
        <v>60</v>
      </c>
      <c r="O218" s="15">
        <v>2027</v>
      </c>
      <c r="P218" s="15">
        <v>2024</v>
      </c>
      <c r="Q218" s="15"/>
      <c r="R218" s="16" t="s">
        <v>51</v>
      </c>
      <c r="S218" s="16" t="str">
        <f ca="1">IF(
  O218 &lt; YEAR(TODAY()),
  "LULUS",
  IF(
    O218 = YEAR(TODAY()),
    IF(
      MATCH(L218, {"Januari";"Februari";"Maret";"April";"Mei";"Juni";"Juli";"Agustus";"September";"Oktober";"November";"Desember"}, 0)
        &gt;= MONTH(TODAY()),
      "AKTIF (Semester " &amp;
        (INT((12*(YEAR(TODAY())-M218) + MONTH(TODAY()) -
          MATCH(L218, {"Januari";"Februari";"Maret";"April";"Mei";"Juni";"Juli";"Agustus";"September";"Oktober";"November";"Desember"}, 0)) / 6) + 1) &amp; ")",
      "LULUS"
    ),
    "AKTIF (Semester " &amp;
      (INT((12*(YEAR(TODAY())-M218) + MONTH(TODAY()) -
        MATCH(L218, {"Januari";"Februari";"Maret";"April";"Mei";"Juni";"Juli";"Agustus";"September";"Oktober";"November";"Desember"}, 0)) / 6) + 1) &amp; ")"
  )
)</f>
        <v>AKTIF (Semester 3)</v>
      </c>
      <c r="T218" s="16" t="str">
        <f ca="1">IF(O218 &lt; YEAR(TODAY()), "LULUS",
 IF(O218 = YEAR(TODAY()),
    IF(MATCH(N218, {"Januari";"Februari";"Maret";"April";"Mei";"Juni";"Juli";"Agustus";"September";"Oktober";"November";"Desember"},0)
        &lt;= MONTH(TODAY()),
        "LULUS",
        "AKTIF"),
 "AKTIF"))</f>
        <v>AKTIF</v>
      </c>
      <c r="U218" s="16" t="s">
        <v>2940</v>
      </c>
      <c r="V218" s="15"/>
      <c r="W218" s="15"/>
      <c r="X218" s="15"/>
      <c r="Y218" s="15"/>
      <c r="Z218" s="15"/>
    </row>
    <row r="219" spans="1:26" ht="29" customHeight="1" x14ac:dyDescent="0.35">
      <c r="A219" s="12">
        <v>218</v>
      </c>
      <c r="B219" s="13" t="s">
        <v>845</v>
      </c>
      <c r="C219" s="14" t="s">
        <v>846</v>
      </c>
      <c r="D219" s="13" t="s">
        <v>842</v>
      </c>
      <c r="E219" s="26" t="str">
        <f t="shared" si="3"/>
        <v>Perempuan</v>
      </c>
      <c r="F219" s="18" t="s">
        <v>847</v>
      </c>
      <c r="G219" s="13" t="s">
        <v>588</v>
      </c>
      <c r="H219" s="15" t="s">
        <v>806</v>
      </c>
      <c r="I219" s="19" t="s">
        <v>590</v>
      </c>
      <c r="J219" s="20" t="s">
        <v>26</v>
      </c>
      <c r="K219" s="15" t="s">
        <v>591</v>
      </c>
      <c r="L219" s="15" t="s">
        <v>28</v>
      </c>
      <c r="M219" s="15">
        <v>2024</v>
      </c>
      <c r="N219" s="15" t="s">
        <v>28</v>
      </c>
      <c r="O219" s="15">
        <v>2026</v>
      </c>
      <c r="P219" s="15">
        <v>2024</v>
      </c>
      <c r="Q219" s="15"/>
      <c r="R219" s="16" t="s">
        <v>51</v>
      </c>
      <c r="S219" s="16" t="str">
        <f ca="1">IF(
  O219 &lt; YEAR(TODAY()),
  "LULUS",
  IF(
    O219 = YEAR(TODAY()),
    IF(
      MATCH(L219, {"Januari";"Februari";"Maret";"April";"Mei";"Juni";"Juli";"Agustus";"September";"Oktober";"November";"Desember"}, 0)
        &gt;= MONTH(TODAY()),
      "AKTIF (Semester " &amp;
        (INT((12*(YEAR(TODAY())-M219) + MONTH(TODAY()) -
          MATCH(L219, {"Januari";"Februari";"Maret";"April";"Mei";"Juni";"Juli";"Agustus";"September";"Oktober";"November";"Desember"}, 0)) / 6) + 1) &amp; ")",
      "LULUS"
    ),
    "AKTIF (Semester " &amp;
      (INT((12*(YEAR(TODAY())-M219) + MONTH(TODAY()) -
        MATCH(L219, {"Januari";"Februari";"Maret";"April";"Mei";"Juni";"Juli";"Agustus";"September";"Oktober";"November";"Desember"}, 0)) / 6) + 1) &amp; ")"
  )
)</f>
        <v>AKTIF (Semester 3)</v>
      </c>
      <c r="T219" s="16" t="str">
        <f ca="1">IF(O219 &lt; YEAR(TODAY()), "LULUS",
 IF(O219 = YEAR(TODAY()),
    IF(MATCH(N219, {"Januari";"Februari";"Maret";"April";"Mei";"Juni";"Juli";"Agustus";"September";"Oktober";"November";"Desember"},0)
        &lt;= MONTH(TODAY()),
        "LULUS",
        "AKTIF"),
 "AKTIF"))</f>
        <v>AKTIF</v>
      </c>
      <c r="U219" s="16" t="s">
        <v>2940</v>
      </c>
      <c r="V219" s="15"/>
      <c r="W219" s="15"/>
      <c r="X219" s="15"/>
      <c r="Y219" s="15"/>
      <c r="Z219" s="15"/>
    </row>
    <row r="220" spans="1:26" ht="29" customHeight="1" x14ac:dyDescent="0.35">
      <c r="A220" s="12">
        <v>219</v>
      </c>
      <c r="B220" s="13" t="s">
        <v>849</v>
      </c>
      <c r="C220" s="14" t="s">
        <v>850</v>
      </c>
      <c r="D220" s="13" t="s">
        <v>172</v>
      </c>
      <c r="E220" s="26" t="str">
        <f t="shared" si="3"/>
        <v>Laki-Laki</v>
      </c>
      <c r="F220" s="18" t="s">
        <v>851</v>
      </c>
      <c r="G220" s="13" t="s">
        <v>588</v>
      </c>
      <c r="H220" s="15" t="s">
        <v>663</v>
      </c>
      <c r="I220" s="15" t="s">
        <v>852</v>
      </c>
      <c r="J220" s="12" t="s">
        <v>45</v>
      </c>
      <c r="K220" s="15" t="s">
        <v>591</v>
      </c>
      <c r="L220" s="15" t="s">
        <v>28</v>
      </c>
      <c r="M220" s="15">
        <v>2024</v>
      </c>
      <c r="N220" s="15" t="s">
        <v>28</v>
      </c>
      <c r="O220" s="15">
        <v>2028</v>
      </c>
      <c r="P220" s="15">
        <v>2024</v>
      </c>
      <c r="Q220" s="15"/>
      <c r="R220" s="16" t="s">
        <v>51</v>
      </c>
      <c r="S220" s="16" t="str">
        <f ca="1">IF(
  O220 &lt; YEAR(TODAY()),
  "LULUS",
  IF(
    O220 = YEAR(TODAY()),
    IF(
      MATCH(L220, {"Januari";"Februari";"Maret";"April";"Mei";"Juni";"Juli";"Agustus";"September";"Oktober";"November";"Desember"}, 0)
        &gt;= MONTH(TODAY()),
      "AKTIF (Semester " &amp;
        (INT((12*(YEAR(TODAY())-M220) + MONTH(TODAY()) -
          MATCH(L220, {"Januari";"Februari";"Maret";"April";"Mei";"Juni";"Juli";"Agustus";"September";"Oktober";"November";"Desember"}, 0)) / 6) + 1) &amp; ")",
      "LULUS"
    ),
    "AKTIF (Semester " &amp;
      (INT((12*(YEAR(TODAY())-M220) + MONTH(TODAY()) -
        MATCH(L220, {"Januari";"Februari";"Maret";"April";"Mei";"Juni";"Juli";"Agustus";"September";"Oktober";"November";"Desember"}, 0)) / 6) + 1) &amp; ")"
  )
)</f>
        <v>AKTIF (Semester 3)</v>
      </c>
      <c r="T220" s="16" t="str">
        <f ca="1">IF(O220 &lt; YEAR(TODAY()), "LULUS",
 IF(O220 = YEAR(TODAY()),
    IF(MATCH(N220, {"Januari";"Februari";"Maret";"April";"Mei";"Juni";"Juli";"Agustus";"September";"Oktober";"November";"Desember"},0)
        &lt;= MONTH(TODAY()),
        "LULUS",
        "AKTIF"),
 "AKTIF"))</f>
        <v>AKTIF</v>
      </c>
      <c r="U220" s="16" t="s">
        <v>2940</v>
      </c>
      <c r="V220" s="15"/>
      <c r="W220" s="15"/>
      <c r="X220" s="15"/>
      <c r="Y220" s="15"/>
      <c r="Z220" s="15"/>
    </row>
    <row r="221" spans="1:26" ht="29" customHeight="1" x14ac:dyDescent="0.35">
      <c r="A221" s="12">
        <v>220</v>
      </c>
      <c r="B221" s="25" t="s">
        <v>853</v>
      </c>
      <c r="C221" s="26" t="s">
        <v>854</v>
      </c>
      <c r="D221" s="25" t="s">
        <v>211</v>
      </c>
      <c r="E221" s="26" t="str">
        <f t="shared" ref="E221:E284" si="4">IF(MID(C221,15,1)="1","Laki-Laki","Perempuan")</f>
        <v>Laki-Laki</v>
      </c>
      <c r="F221" s="33" t="s">
        <v>855</v>
      </c>
      <c r="G221" s="25" t="s">
        <v>588</v>
      </c>
      <c r="H221" s="19" t="s">
        <v>856</v>
      </c>
      <c r="I221" s="52" t="s">
        <v>2485</v>
      </c>
      <c r="J221" s="32" t="s">
        <v>180</v>
      </c>
      <c r="K221" s="28" t="s">
        <v>858</v>
      </c>
      <c r="L221" s="47" t="s">
        <v>169</v>
      </c>
      <c r="M221" s="12">
        <v>2024</v>
      </c>
      <c r="N221" s="15" t="s">
        <v>169</v>
      </c>
      <c r="O221" s="15">
        <v>2028</v>
      </c>
      <c r="P221" s="15">
        <v>2025</v>
      </c>
      <c r="Q221" s="15"/>
      <c r="R221" s="16" t="s">
        <v>51</v>
      </c>
      <c r="S221" s="16" t="str">
        <f ca="1">IF(
  O221 &lt; YEAR(TODAY()),
  "LULUS",
  IF(
    O221 = YEAR(TODAY()),
    IF(
      MATCH(L221, {"Januari";"Februari";"Maret";"April";"Mei";"Juni";"Juli";"Agustus";"September";"Oktober";"November";"Desember"}, 0)
        &gt;= MONTH(TODAY()),
      "AKTIF (Semester " &amp;
        (INT((12*(YEAR(TODAY())-M221) + MONTH(TODAY()) -
          MATCH(L221, {"Januari";"Februari";"Maret";"April";"Mei";"Juni";"Juli";"Agustus";"September";"Oktober";"November";"Desember"}, 0)) / 6) + 1) &amp; ")",
      "LULUS"
    ),
    "AKTIF (Semester " &amp;
      (INT((12*(YEAR(TODAY())-M221) + MONTH(TODAY()) -
        MATCH(L221, {"Januari";"Februari";"Maret";"April";"Mei";"Juni";"Juli";"Agustus";"September";"Oktober";"November";"Desember"}, 0)) / 6) + 1) &amp; ")"
  )
)</f>
        <v>AKTIF (Semester 3)</v>
      </c>
      <c r="T221" s="16" t="str">
        <f ca="1">IF(O221 &lt; YEAR(TODAY()), "LULUS",
 IF(O221 = YEAR(TODAY()),
    IF(MATCH(N221, {"Januari";"Februari";"Maret";"April";"Mei";"Juni";"Juli";"Agustus";"September";"Oktober";"November";"Desember"},0)
        &lt;= MONTH(TODAY()),
        "LULUS",
        "AKTIF"),
 "AKTIF"))</f>
        <v>AKTIF</v>
      </c>
      <c r="U221" s="16" t="s">
        <v>2940</v>
      </c>
      <c r="V221" s="15"/>
      <c r="W221" s="15"/>
      <c r="X221" s="15"/>
      <c r="Y221" s="15"/>
      <c r="Z221" s="15"/>
    </row>
    <row r="222" spans="1:26" ht="29" customHeight="1" x14ac:dyDescent="0.35">
      <c r="A222" s="12">
        <v>221</v>
      </c>
      <c r="B222" s="25" t="s">
        <v>859</v>
      </c>
      <c r="C222" s="26" t="s">
        <v>860</v>
      </c>
      <c r="D222" s="25" t="s">
        <v>215</v>
      </c>
      <c r="E222" s="26" t="str">
        <f t="shared" si="4"/>
        <v>Laki-Laki</v>
      </c>
      <c r="F222" s="33" t="s">
        <v>851</v>
      </c>
      <c r="G222" s="25" t="s">
        <v>588</v>
      </c>
      <c r="H222" s="19" t="s">
        <v>814</v>
      </c>
      <c r="I222" s="15" t="s">
        <v>2935</v>
      </c>
      <c r="J222" s="32" t="s">
        <v>180</v>
      </c>
      <c r="K222" s="28" t="s">
        <v>591</v>
      </c>
      <c r="L222" s="47" t="s">
        <v>28</v>
      </c>
      <c r="M222" s="12">
        <v>2024</v>
      </c>
      <c r="N222" s="15" t="s">
        <v>28</v>
      </c>
      <c r="O222" s="15">
        <v>2028</v>
      </c>
      <c r="P222" s="15">
        <v>2025</v>
      </c>
      <c r="Q222" s="15"/>
      <c r="R222" s="16" t="s">
        <v>51</v>
      </c>
      <c r="S222" s="16" t="str">
        <f ca="1">IF(
  O222 &lt; YEAR(TODAY()),
  "LULUS",
  IF(
    O222 = YEAR(TODAY()),
    IF(
      MATCH(L222, {"Januari";"Februari";"Maret";"April";"Mei";"Juni";"Juli";"Agustus";"September";"Oktober";"November";"Desember"}, 0)
        &gt;= MONTH(TODAY()),
      "AKTIF (Semester " &amp;
        (INT((12*(YEAR(TODAY())-M222) + MONTH(TODAY()) -
          MATCH(L222, {"Januari";"Februari";"Maret";"April";"Mei";"Juni";"Juli";"Agustus";"September";"Oktober";"November";"Desember"}, 0)) / 6) + 1) &amp; ")",
      "LULUS"
    ),
    "AKTIF (Semester " &amp;
      (INT((12*(YEAR(TODAY())-M222) + MONTH(TODAY()) -
        MATCH(L222, {"Januari";"Februari";"Maret";"April";"Mei";"Juni";"Juli";"Agustus";"September";"Oktober";"November";"Desember"}, 0)) / 6) + 1) &amp; ")"
  )
)</f>
        <v>AKTIF (Semester 3)</v>
      </c>
      <c r="T222" s="16" t="str">
        <f ca="1">IF(O222 &lt; YEAR(TODAY()), "LULUS",
 IF(O222 = YEAR(TODAY()),
    IF(MATCH(N222, {"Januari";"Februari";"Maret";"April";"Mei";"Juni";"Juli";"Agustus";"September";"Oktober";"November";"Desember"},0)
        &lt;= MONTH(TODAY()),
        "LULUS",
        "AKTIF"),
 "AKTIF"))</f>
        <v>AKTIF</v>
      </c>
      <c r="U222" s="16" t="s">
        <v>2940</v>
      </c>
      <c r="V222" s="15"/>
      <c r="W222" s="15"/>
      <c r="X222" s="15"/>
      <c r="Y222" s="15"/>
      <c r="Z222" s="15"/>
    </row>
    <row r="223" spans="1:26" ht="29" customHeight="1" x14ac:dyDescent="0.35">
      <c r="A223" s="12">
        <v>222</v>
      </c>
      <c r="B223" s="25" t="s">
        <v>862</v>
      </c>
      <c r="C223" s="26" t="s">
        <v>863</v>
      </c>
      <c r="D223" s="25" t="s">
        <v>864</v>
      </c>
      <c r="E223" s="26" t="str">
        <f t="shared" si="4"/>
        <v>Laki-Laki</v>
      </c>
      <c r="F223" s="33" t="s">
        <v>865</v>
      </c>
      <c r="G223" s="25" t="s">
        <v>588</v>
      </c>
      <c r="H223" s="19" t="s">
        <v>866</v>
      </c>
      <c r="I223" s="28" t="s">
        <v>256</v>
      </c>
      <c r="J223" s="32" t="s">
        <v>509</v>
      </c>
      <c r="K223" s="28" t="s">
        <v>257</v>
      </c>
      <c r="L223" s="47" t="s">
        <v>60</v>
      </c>
      <c r="M223" s="12">
        <v>2024</v>
      </c>
      <c r="N223" s="15" t="s">
        <v>60</v>
      </c>
      <c r="O223" s="15">
        <v>2027</v>
      </c>
      <c r="P223" s="15">
        <v>2025</v>
      </c>
      <c r="Q223" s="15"/>
      <c r="R223" s="16" t="s">
        <v>51</v>
      </c>
      <c r="S223" s="16" t="str">
        <f ca="1">IF(
  O223 &lt; YEAR(TODAY()),
  "LULUS",
  IF(
    O223 = YEAR(TODAY()),
    IF(
      MATCH(L223, {"Januari";"Februari";"Maret";"April";"Mei";"Juni";"Juli";"Agustus";"September";"Oktober";"November";"Desember"}, 0)
        &gt;= MONTH(TODAY()),
      "AKTIF (Semester " &amp;
        (INT((12*(YEAR(TODAY())-M223) + MONTH(TODAY()) -
          MATCH(L223, {"Januari";"Februari";"Maret";"April";"Mei";"Juni";"Juli";"Agustus";"September";"Oktober";"November";"Desember"}, 0)) / 6) + 1) &amp; ")",
      "LULUS"
    ),
    "AKTIF (Semester " &amp;
      (INT((12*(YEAR(TODAY())-M223) + MONTH(TODAY()) -
        MATCH(L223, {"Januari";"Februari";"Maret";"April";"Mei";"Juni";"Juli";"Agustus";"September";"Oktober";"November";"Desember"}, 0)) / 6) + 1) &amp; ")"
  )
)</f>
        <v>AKTIF (Semester 3)</v>
      </c>
      <c r="T223" s="16" t="str">
        <f ca="1">IF(O223 &lt; YEAR(TODAY()), "LULUS",
 IF(O223 = YEAR(TODAY()),
    IF(MATCH(N223, {"Januari";"Februari";"Maret";"April";"Mei";"Juni";"Juli";"Agustus";"September";"Oktober";"November";"Desember"},0)
        &lt;= MONTH(TODAY()),
        "LULUS",
        "AKTIF"),
 "AKTIF"))</f>
        <v>AKTIF</v>
      </c>
      <c r="U223" s="16" t="s">
        <v>2940</v>
      </c>
      <c r="V223" s="15"/>
      <c r="W223" s="15"/>
      <c r="X223" s="15"/>
      <c r="Y223" s="15"/>
      <c r="Z223" s="15"/>
    </row>
    <row r="224" spans="1:26" ht="29" customHeight="1" x14ac:dyDescent="0.35">
      <c r="A224" s="12">
        <v>223</v>
      </c>
      <c r="B224" s="25" t="s">
        <v>867</v>
      </c>
      <c r="C224" s="26" t="s">
        <v>868</v>
      </c>
      <c r="D224" s="25" t="s">
        <v>869</v>
      </c>
      <c r="E224" s="26" t="str">
        <f t="shared" si="4"/>
        <v>Perempuan</v>
      </c>
      <c r="F224" s="33" t="s">
        <v>105</v>
      </c>
      <c r="G224" s="25" t="s">
        <v>588</v>
      </c>
      <c r="H224" s="19" t="s">
        <v>870</v>
      </c>
      <c r="I224" s="19" t="s">
        <v>90</v>
      </c>
      <c r="J224" s="32" t="s">
        <v>180</v>
      </c>
      <c r="K224" s="28" t="s">
        <v>46</v>
      </c>
      <c r="L224" s="47" t="s">
        <v>28</v>
      </c>
      <c r="M224" s="12">
        <v>2024</v>
      </c>
      <c r="N224" s="15" t="s">
        <v>28</v>
      </c>
      <c r="O224" s="15">
        <v>2028</v>
      </c>
      <c r="P224" s="15">
        <v>2025</v>
      </c>
      <c r="Q224" s="15"/>
      <c r="R224" s="16" t="s">
        <v>51</v>
      </c>
      <c r="S224" s="16" t="str">
        <f ca="1">IF(
  O224 &lt; YEAR(TODAY()),
  "LULUS",
  IF(
    O224 = YEAR(TODAY()),
    IF(
      MATCH(L224, {"Januari";"Februari";"Maret";"April";"Mei";"Juni";"Juli";"Agustus";"September";"Oktober";"November";"Desember"}, 0)
        &gt;= MONTH(TODAY()),
      "AKTIF (Semester " &amp;
        (INT((12*(YEAR(TODAY())-M224) + MONTH(TODAY()) -
          MATCH(L224, {"Januari";"Februari";"Maret";"April";"Mei";"Juni";"Juli";"Agustus";"September";"Oktober";"November";"Desember"}, 0)) / 6) + 1) &amp; ")",
      "LULUS"
    ),
    "AKTIF (Semester " &amp;
      (INT((12*(YEAR(TODAY())-M224) + MONTH(TODAY()) -
        MATCH(L224, {"Januari";"Februari";"Maret";"April";"Mei";"Juni";"Juli";"Agustus";"September";"Oktober";"November";"Desember"}, 0)) / 6) + 1) &amp; ")"
  )
)</f>
        <v>AKTIF (Semester 3)</v>
      </c>
      <c r="T224" s="16" t="str">
        <f ca="1">IF(O224 &lt; YEAR(TODAY()), "LULUS",
 IF(O224 = YEAR(TODAY()),
    IF(MATCH(N224, {"Januari";"Februari";"Maret";"April";"Mei";"Juni";"Juli";"Agustus";"September";"Oktober";"November";"Desember"},0)
        &lt;= MONTH(TODAY()),
        "LULUS",
        "AKTIF"),
 "AKTIF"))</f>
        <v>AKTIF</v>
      </c>
      <c r="U224" s="16" t="s">
        <v>2940</v>
      </c>
      <c r="V224" s="15"/>
      <c r="W224" s="15"/>
      <c r="X224" s="15"/>
      <c r="Y224" s="15"/>
      <c r="Z224" s="15"/>
    </row>
    <row r="225" spans="1:26" ht="29" customHeight="1" x14ac:dyDescent="0.35">
      <c r="A225" s="12">
        <v>224</v>
      </c>
      <c r="B225" s="25" t="s">
        <v>872</v>
      </c>
      <c r="C225" s="26" t="s">
        <v>873</v>
      </c>
      <c r="D225" s="25" t="s">
        <v>188</v>
      </c>
      <c r="E225" s="26" t="str">
        <f t="shared" si="4"/>
        <v>Perempuan</v>
      </c>
      <c r="F225" s="33" t="s">
        <v>874</v>
      </c>
      <c r="G225" s="25" t="s">
        <v>588</v>
      </c>
      <c r="H225" s="19" t="s">
        <v>814</v>
      </c>
      <c r="I225" s="19" t="s">
        <v>90</v>
      </c>
      <c r="J225" s="32" t="s">
        <v>190</v>
      </c>
      <c r="K225" s="28" t="s">
        <v>394</v>
      </c>
      <c r="L225" s="47" t="s">
        <v>28</v>
      </c>
      <c r="M225" s="12">
        <v>2024</v>
      </c>
      <c r="N225" s="15" t="s">
        <v>28</v>
      </c>
      <c r="O225" s="15">
        <v>2026</v>
      </c>
      <c r="P225" s="15">
        <v>2025</v>
      </c>
      <c r="Q225" s="15"/>
      <c r="R225" s="16" t="s">
        <v>51</v>
      </c>
      <c r="S225" s="16" t="str">
        <f ca="1">IF(
  O225 &lt; YEAR(TODAY()),
  "LULUS",
  IF(
    O225 = YEAR(TODAY()),
    IF(
      MATCH(L225, {"Januari";"Februari";"Maret";"April";"Mei";"Juni";"Juli";"Agustus";"September";"Oktober";"November";"Desember"}, 0)
        &gt;= MONTH(TODAY()),
      "AKTIF (Semester " &amp;
        (INT((12*(YEAR(TODAY())-M225) + MONTH(TODAY()) -
          MATCH(L225, {"Januari";"Februari";"Maret";"April";"Mei";"Juni";"Juli";"Agustus";"September";"Oktober";"November";"Desember"}, 0)) / 6) + 1) &amp; ")",
      "LULUS"
    ),
    "AKTIF (Semester " &amp;
      (INT((12*(YEAR(TODAY())-M225) + MONTH(TODAY()) -
        MATCH(L225, {"Januari";"Februari";"Maret";"April";"Mei";"Juni";"Juli";"Agustus";"September";"Oktober";"November";"Desember"}, 0)) / 6) + 1) &amp; ")"
  )
)</f>
        <v>AKTIF (Semester 3)</v>
      </c>
      <c r="T225" s="16" t="str">
        <f ca="1">IF(O225 &lt; YEAR(TODAY()), "LULUS",
 IF(O225 = YEAR(TODAY()),
    IF(MATCH(N225, {"Januari";"Februari";"Maret";"April";"Mei";"Juni";"Juli";"Agustus";"September";"Oktober";"November";"Desember"},0)
        &lt;= MONTH(TODAY()),
        "LULUS",
        "AKTIF"),
 "AKTIF"))</f>
        <v>AKTIF</v>
      </c>
      <c r="U225" s="16" t="s">
        <v>2940</v>
      </c>
      <c r="V225" s="15"/>
      <c r="W225" s="15"/>
      <c r="X225" s="15"/>
      <c r="Y225" s="15"/>
      <c r="Z225" s="15"/>
    </row>
    <row r="226" spans="1:26" ht="29" customHeight="1" x14ac:dyDescent="0.35">
      <c r="A226" s="12">
        <v>225</v>
      </c>
      <c r="B226" s="25" t="s">
        <v>875</v>
      </c>
      <c r="C226" s="26" t="s">
        <v>876</v>
      </c>
      <c r="D226" s="25" t="s">
        <v>172</v>
      </c>
      <c r="E226" s="26" t="str">
        <f t="shared" si="4"/>
        <v>Laki-Laki</v>
      </c>
      <c r="F226" s="33" t="s">
        <v>99</v>
      </c>
      <c r="G226" s="25" t="s">
        <v>588</v>
      </c>
      <c r="H226" s="19" t="s">
        <v>877</v>
      </c>
      <c r="I226" s="19" t="s">
        <v>90</v>
      </c>
      <c r="J226" s="32" t="s">
        <v>180</v>
      </c>
      <c r="K226" s="28" t="s">
        <v>46</v>
      </c>
      <c r="L226" s="47" t="s">
        <v>169</v>
      </c>
      <c r="M226" s="12">
        <v>2024</v>
      </c>
      <c r="N226" s="15" t="s">
        <v>169</v>
      </c>
      <c r="O226" s="15">
        <v>2028</v>
      </c>
      <c r="P226" s="15">
        <v>2025</v>
      </c>
      <c r="Q226" s="15"/>
      <c r="R226" s="16" t="s">
        <v>51</v>
      </c>
      <c r="S226" s="16" t="str">
        <f ca="1">IF(
  O226 &lt; YEAR(TODAY()),
  "LULUS",
  IF(
    O226 = YEAR(TODAY()),
    IF(
      MATCH(L226, {"Januari";"Februari";"Maret";"April";"Mei";"Juni";"Juli";"Agustus";"September";"Oktober";"November";"Desember"}, 0)
        &gt;= MONTH(TODAY()),
      "AKTIF (Semester " &amp;
        (INT((12*(YEAR(TODAY())-M226) + MONTH(TODAY()) -
          MATCH(L226, {"Januari";"Februari";"Maret";"April";"Mei";"Juni";"Juli";"Agustus";"September";"Oktober";"November";"Desember"}, 0)) / 6) + 1) &amp; ")",
      "LULUS"
    ),
    "AKTIF (Semester " &amp;
      (INT((12*(YEAR(TODAY())-M226) + MONTH(TODAY()) -
        MATCH(L226, {"Januari";"Februari";"Maret";"April";"Mei";"Juni";"Juli";"Agustus";"September";"Oktober";"November";"Desember"}, 0)) / 6) + 1) &amp; ")"
  )
)</f>
        <v>AKTIF (Semester 3)</v>
      </c>
      <c r="T226" s="16" t="str">
        <f ca="1">IF(O226 &lt; YEAR(TODAY()), "LULUS",
 IF(O226 = YEAR(TODAY()),
    IF(MATCH(N226, {"Januari";"Februari";"Maret";"April";"Mei";"Juni";"Juli";"Agustus";"September";"Oktober";"November";"Desember"},0)
        &lt;= MONTH(TODAY()),
        "LULUS",
        "AKTIF"),
 "AKTIF"))</f>
        <v>AKTIF</v>
      </c>
      <c r="U226" s="16" t="s">
        <v>2940</v>
      </c>
      <c r="V226" s="15"/>
      <c r="W226" s="15"/>
      <c r="X226" s="15"/>
      <c r="Y226" s="15"/>
      <c r="Z226" s="15"/>
    </row>
    <row r="227" spans="1:26" ht="29" customHeight="1" x14ac:dyDescent="0.35">
      <c r="A227" s="12">
        <v>226</v>
      </c>
      <c r="B227" s="25" t="s">
        <v>878</v>
      </c>
      <c r="C227" s="26" t="s">
        <v>879</v>
      </c>
      <c r="D227" s="25" t="s">
        <v>826</v>
      </c>
      <c r="E227" s="26" t="str">
        <f t="shared" si="4"/>
        <v>Perempuan</v>
      </c>
      <c r="F227" s="33" t="s">
        <v>662</v>
      </c>
      <c r="G227" s="25" t="s">
        <v>588</v>
      </c>
      <c r="H227" s="19" t="s">
        <v>771</v>
      </c>
      <c r="I227" s="19" t="s">
        <v>788</v>
      </c>
      <c r="J227" s="32" t="s">
        <v>190</v>
      </c>
      <c r="K227" s="28" t="s">
        <v>407</v>
      </c>
      <c r="L227" s="47" t="s">
        <v>28</v>
      </c>
      <c r="M227" s="12">
        <v>2024</v>
      </c>
      <c r="N227" s="15" t="s">
        <v>28</v>
      </c>
      <c r="O227" s="15">
        <v>2026</v>
      </c>
      <c r="P227" s="15">
        <v>2025</v>
      </c>
      <c r="Q227" s="15"/>
      <c r="R227" s="16" t="s">
        <v>51</v>
      </c>
      <c r="S227" s="16" t="str">
        <f ca="1">IF(
  O227 &lt; YEAR(TODAY()),
  "LULUS",
  IF(
    O227 = YEAR(TODAY()),
    IF(
      MATCH(L227, {"Januari";"Februari";"Maret";"April";"Mei";"Juni";"Juli";"Agustus";"September";"Oktober";"November";"Desember"}, 0)
        &gt;= MONTH(TODAY()),
      "AKTIF (Semester " &amp;
        (INT((12*(YEAR(TODAY())-M227) + MONTH(TODAY()) -
          MATCH(L227, {"Januari";"Februari";"Maret";"April";"Mei";"Juni";"Juli";"Agustus";"September";"Oktober";"November";"Desember"}, 0)) / 6) + 1) &amp; ")",
      "LULUS"
    ),
    "AKTIF (Semester " &amp;
      (INT((12*(YEAR(TODAY())-M227) + MONTH(TODAY()) -
        MATCH(L227, {"Januari";"Februari";"Maret";"April";"Mei";"Juni";"Juli";"Agustus";"September";"Oktober";"November";"Desember"}, 0)) / 6) + 1) &amp; ")"
  )
)</f>
        <v>AKTIF (Semester 3)</v>
      </c>
      <c r="T227" s="16" t="str">
        <f ca="1">IF(O227 &lt; YEAR(TODAY()), "LULUS",
 IF(O227 = YEAR(TODAY()),
    IF(MATCH(N227, {"Januari";"Februari";"Maret";"April";"Mei";"Juni";"Juli";"Agustus";"September";"Oktober";"November";"Desember"},0)
        &lt;= MONTH(TODAY()),
        "LULUS",
        "AKTIF"),
 "AKTIF"))</f>
        <v>AKTIF</v>
      </c>
      <c r="U227" s="16" t="s">
        <v>2940</v>
      </c>
      <c r="V227" s="15"/>
      <c r="W227" s="15"/>
      <c r="X227" s="15"/>
      <c r="Y227" s="15"/>
      <c r="Z227" s="15"/>
    </row>
    <row r="228" spans="1:26" ht="29" customHeight="1" x14ac:dyDescent="0.35">
      <c r="A228" s="12">
        <v>227</v>
      </c>
      <c r="B228" s="25" t="s">
        <v>880</v>
      </c>
      <c r="C228" s="26" t="s">
        <v>881</v>
      </c>
      <c r="D228" s="25" t="s">
        <v>882</v>
      </c>
      <c r="E228" s="26" t="str">
        <f t="shared" si="4"/>
        <v>Laki-Laki</v>
      </c>
      <c r="F228" s="33" t="s">
        <v>883</v>
      </c>
      <c r="G228" s="25" t="s">
        <v>588</v>
      </c>
      <c r="H228" s="19" t="s">
        <v>884</v>
      </c>
      <c r="I228" s="28" t="s">
        <v>629</v>
      </c>
      <c r="J228" s="32" t="s">
        <v>190</v>
      </c>
      <c r="K228" s="28" t="s">
        <v>46</v>
      </c>
      <c r="L228" s="47" t="s">
        <v>60</v>
      </c>
      <c r="M228" s="12">
        <v>2024</v>
      </c>
      <c r="N228" s="15" t="s">
        <v>60</v>
      </c>
      <c r="O228" s="15">
        <v>2026</v>
      </c>
      <c r="P228" s="15">
        <v>2025</v>
      </c>
      <c r="Q228" s="15"/>
      <c r="R228" s="16" t="s">
        <v>51</v>
      </c>
      <c r="S228" s="16" t="str">
        <f ca="1">IF(
  O228 &lt; YEAR(TODAY()),
  "LULUS",
  IF(
    O228 = YEAR(TODAY()),
    IF(
      MATCH(L228, {"Januari";"Februari";"Maret";"April";"Mei";"Juni";"Juli";"Agustus";"September";"Oktober";"November";"Desember"}, 0)
        &gt;= MONTH(TODAY()),
      "AKTIF (Semester " &amp;
        (INT((12*(YEAR(TODAY())-M228) + MONTH(TODAY()) -
          MATCH(L228, {"Januari";"Februari";"Maret";"April";"Mei";"Juni";"Juli";"Agustus";"September";"Oktober";"November";"Desember"}, 0)) / 6) + 1) &amp; ")",
      "LULUS"
    ),
    "AKTIF (Semester " &amp;
      (INT((12*(YEAR(TODAY())-M228) + MONTH(TODAY()) -
        MATCH(L228, {"Januari";"Februari";"Maret";"April";"Mei";"Juni";"Juli";"Agustus";"September";"Oktober";"November";"Desember"}, 0)) / 6) + 1) &amp; ")"
  )
)</f>
        <v>AKTIF (Semester 3)</v>
      </c>
      <c r="T228" s="16" t="str">
        <f ca="1">IF(O228 &lt; YEAR(TODAY()), "LULUS",
 IF(O228 = YEAR(TODAY()),
    IF(MATCH(N228, {"Januari";"Februari";"Maret";"April";"Mei";"Juni";"Juli";"Agustus";"September";"Oktober";"November";"Desember"},0)
        &lt;= MONTH(TODAY()),
        "LULUS",
        "AKTIF"),
 "AKTIF"))</f>
        <v>AKTIF</v>
      </c>
      <c r="U228" s="16" t="s">
        <v>2940</v>
      </c>
      <c r="V228" s="15"/>
      <c r="W228" s="15"/>
      <c r="X228" s="15"/>
      <c r="Y228" s="15"/>
      <c r="Z228" s="15"/>
    </row>
    <row r="229" spans="1:26" ht="29" customHeight="1" x14ac:dyDescent="0.35">
      <c r="A229" s="12">
        <v>228</v>
      </c>
      <c r="B229" s="25" t="s">
        <v>885</v>
      </c>
      <c r="C229" s="26" t="s">
        <v>886</v>
      </c>
      <c r="D229" s="25" t="s">
        <v>172</v>
      </c>
      <c r="E229" s="26" t="str">
        <f t="shared" si="4"/>
        <v>Laki-Laki</v>
      </c>
      <c r="F229" s="33" t="s">
        <v>887</v>
      </c>
      <c r="G229" s="25" t="s">
        <v>588</v>
      </c>
      <c r="H229" s="19" t="s">
        <v>888</v>
      </c>
      <c r="I229" s="19" t="s">
        <v>90</v>
      </c>
      <c r="J229" s="32" t="s">
        <v>180</v>
      </c>
      <c r="K229" s="28" t="s">
        <v>234</v>
      </c>
      <c r="L229" s="47" t="s">
        <v>169</v>
      </c>
      <c r="M229" s="12">
        <v>2024</v>
      </c>
      <c r="N229" s="15" t="s">
        <v>169</v>
      </c>
      <c r="O229" s="15">
        <v>2028</v>
      </c>
      <c r="P229" s="15">
        <v>2025</v>
      </c>
      <c r="Q229" s="15"/>
      <c r="R229" s="16" t="s">
        <v>51</v>
      </c>
      <c r="S229" s="16" t="str">
        <f ca="1">IF(
  O229 &lt; YEAR(TODAY()),
  "LULUS",
  IF(
    O229 = YEAR(TODAY()),
    IF(
      MATCH(L229, {"Januari";"Februari";"Maret";"April";"Mei";"Juni";"Juli";"Agustus";"September";"Oktober";"November";"Desember"}, 0)
        &gt;= MONTH(TODAY()),
      "AKTIF (Semester " &amp;
        (INT((12*(YEAR(TODAY())-M229) + MONTH(TODAY()) -
          MATCH(L229, {"Januari";"Februari";"Maret";"April";"Mei";"Juni";"Juli";"Agustus";"September";"Oktober";"November";"Desember"}, 0)) / 6) + 1) &amp; ")",
      "LULUS"
    ),
    "AKTIF (Semester " &amp;
      (INT((12*(YEAR(TODAY())-M229) + MONTH(TODAY()) -
        MATCH(L229, {"Januari";"Februari";"Maret";"April";"Mei";"Juni";"Juli";"Agustus";"September";"Oktober";"November";"Desember"}, 0)) / 6) + 1) &amp; ")"
  )
)</f>
        <v>AKTIF (Semester 3)</v>
      </c>
      <c r="T229" s="16" t="str">
        <f ca="1">IF(O229 &lt; YEAR(TODAY()), "LULUS",
 IF(O229 = YEAR(TODAY()),
    IF(MATCH(N229, {"Januari";"Februari";"Maret";"April";"Mei";"Juni";"Juli";"Agustus";"September";"Oktober";"November";"Desember"},0)
        &lt;= MONTH(TODAY()),
        "LULUS",
        "AKTIF"),
 "AKTIF"))</f>
        <v>AKTIF</v>
      </c>
      <c r="U229" s="16" t="s">
        <v>2940</v>
      </c>
      <c r="V229" s="15"/>
      <c r="W229" s="15"/>
      <c r="X229" s="15"/>
      <c r="Y229" s="15"/>
      <c r="Z229" s="15"/>
    </row>
    <row r="230" spans="1:26" ht="29" customHeight="1" x14ac:dyDescent="0.35">
      <c r="A230" s="12">
        <v>229</v>
      </c>
      <c r="B230" s="25" t="s">
        <v>889</v>
      </c>
      <c r="C230" s="26" t="s">
        <v>825</v>
      </c>
      <c r="D230" s="25" t="s">
        <v>211</v>
      </c>
      <c r="E230" s="26" t="str">
        <f t="shared" si="4"/>
        <v>Perempuan</v>
      </c>
      <c r="F230" s="33" t="s">
        <v>105</v>
      </c>
      <c r="G230" s="25" t="s">
        <v>588</v>
      </c>
      <c r="H230" s="19" t="s">
        <v>877</v>
      </c>
      <c r="I230" s="19" t="s">
        <v>90</v>
      </c>
      <c r="J230" s="32" t="s">
        <v>180</v>
      </c>
      <c r="K230" s="28" t="s">
        <v>234</v>
      </c>
      <c r="L230" s="47" t="s">
        <v>890</v>
      </c>
      <c r="M230" s="12">
        <v>2025</v>
      </c>
      <c r="N230" s="15" t="s">
        <v>890</v>
      </c>
      <c r="O230" s="15">
        <v>2028</v>
      </c>
      <c r="P230" s="15">
        <v>2025</v>
      </c>
      <c r="Q230" s="15"/>
      <c r="R230" s="16" t="s">
        <v>51</v>
      </c>
      <c r="S230" s="16" t="str">
        <f ca="1">IF(
  O230 &lt; YEAR(TODAY()),
  "LULUS",
  IF(
    O230 = YEAR(TODAY()),
    IF(
      MATCH(L230, {"Januari";"Februari";"Maret";"April";"Mei";"Juni";"Juli";"Agustus";"September";"Oktober";"November";"Desember"}, 0)
        &gt;= MONTH(TODAY()),
      "AKTIF (Semester " &amp;
        (INT((12*(YEAR(TODAY())-M230) + MONTH(TODAY()) -
          MATCH(L230, {"Januari";"Februari";"Maret";"April";"Mei";"Juni";"Juli";"Agustus";"September";"Oktober";"November";"Desember"}, 0)) / 6) + 1) &amp; ")",
      "LULUS"
    ),
    "AKTIF (Semester " &amp;
      (INT((12*(YEAR(TODAY())-M230) + MONTH(TODAY()) -
        MATCH(L230, {"Januari";"Februari";"Maret";"April";"Mei";"Juni";"Juli";"Agustus";"September";"Oktober";"November";"Desember"}, 0)) / 6) + 1) &amp; ")"
  )
)</f>
        <v>AKTIF (Semester 2)</v>
      </c>
      <c r="T230" s="16" t="str">
        <f ca="1">IF(O230 &lt; YEAR(TODAY()), "LULUS",
 IF(O230 = YEAR(TODAY()),
    IF(MATCH(N230, {"Januari";"Februari";"Maret";"April";"Mei";"Juni";"Juli";"Agustus";"September";"Oktober";"November";"Desember"},0)
        &lt;= MONTH(TODAY()),
        "LULUS",
        "AKTIF"),
 "AKTIF"))</f>
        <v>AKTIF</v>
      </c>
      <c r="U230" s="16" t="s">
        <v>2945</v>
      </c>
      <c r="V230" s="15"/>
      <c r="W230" s="15"/>
      <c r="X230" s="15"/>
      <c r="Y230" s="15"/>
      <c r="Z230" s="15"/>
    </row>
    <row r="231" spans="1:26" ht="29" customHeight="1" x14ac:dyDescent="0.35">
      <c r="A231" s="12">
        <v>230</v>
      </c>
      <c r="B231" s="25" t="s">
        <v>891</v>
      </c>
      <c r="C231" s="26" t="s">
        <v>892</v>
      </c>
      <c r="D231" s="25" t="s">
        <v>864</v>
      </c>
      <c r="E231" s="26" t="str">
        <f t="shared" si="4"/>
        <v>Laki-Laki</v>
      </c>
      <c r="F231" s="33" t="s">
        <v>558</v>
      </c>
      <c r="G231" s="25" t="s">
        <v>588</v>
      </c>
      <c r="H231" s="19" t="s">
        <v>893</v>
      </c>
      <c r="I231" s="28" t="s">
        <v>256</v>
      </c>
      <c r="J231" s="32" t="s">
        <v>509</v>
      </c>
      <c r="K231" s="28" t="s">
        <v>257</v>
      </c>
      <c r="L231" s="47" t="s">
        <v>60</v>
      </c>
      <c r="M231" s="12">
        <v>2024</v>
      </c>
      <c r="N231" s="15" t="s">
        <v>60</v>
      </c>
      <c r="O231" s="15">
        <v>2027</v>
      </c>
      <c r="P231" s="15">
        <v>2025</v>
      </c>
      <c r="Q231" s="15"/>
      <c r="R231" s="16" t="s">
        <v>51</v>
      </c>
      <c r="S231" s="16" t="str">
        <f ca="1">IF(
  O231 &lt; YEAR(TODAY()),
  "LULUS",
  IF(
    O231 = YEAR(TODAY()),
    IF(
      MATCH(L231, {"Januari";"Februari";"Maret";"April";"Mei";"Juni";"Juli";"Agustus";"September";"Oktober";"November";"Desember"}, 0)
        &gt;= MONTH(TODAY()),
      "AKTIF (Semester " &amp;
        (INT((12*(YEAR(TODAY())-M231) + MONTH(TODAY()) -
          MATCH(L231, {"Januari";"Februari";"Maret";"April";"Mei";"Juni";"Juli";"Agustus";"September";"Oktober";"November";"Desember"}, 0)) / 6) + 1) &amp; ")",
      "LULUS"
    ),
    "AKTIF (Semester " &amp;
      (INT((12*(YEAR(TODAY())-M231) + MONTH(TODAY()) -
        MATCH(L231, {"Januari";"Februari";"Maret";"April";"Mei";"Juni";"Juli";"Agustus";"September";"Oktober";"November";"Desember"}, 0)) / 6) + 1) &amp; ")"
  )
)</f>
        <v>AKTIF (Semester 3)</v>
      </c>
      <c r="T231" s="16" t="str">
        <f ca="1">IF(O231 &lt; YEAR(TODAY()), "LULUS",
 IF(O231 = YEAR(TODAY()),
    IF(MATCH(N231, {"Januari";"Februari";"Maret";"April";"Mei";"Juni";"Juli";"Agustus";"September";"Oktober";"November";"Desember"},0)
        &lt;= MONTH(TODAY()),
        "LULUS",
        "AKTIF"),
 "AKTIF"))</f>
        <v>AKTIF</v>
      </c>
      <c r="U231" s="16" t="s">
        <v>2940</v>
      </c>
      <c r="V231" s="15"/>
      <c r="W231" s="15"/>
      <c r="X231" s="15"/>
      <c r="Y231" s="15"/>
      <c r="Z231" s="15"/>
    </row>
    <row r="232" spans="1:26" ht="29" customHeight="1" x14ac:dyDescent="0.35">
      <c r="A232" s="12">
        <v>231</v>
      </c>
      <c r="B232" s="25" t="s">
        <v>894</v>
      </c>
      <c r="C232" s="26" t="s">
        <v>895</v>
      </c>
      <c r="D232" s="25" t="s">
        <v>896</v>
      </c>
      <c r="E232" s="26" t="str">
        <f t="shared" si="4"/>
        <v>Laki-Laki</v>
      </c>
      <c r="F232" s="33" t="s">
        <v>836</v>
      </c>
      <c r="G232" s="25" t="s">
        <v>588</v>
      </c>
      <c r="H232" s="19" t="s">
        <v>763</v>
      </c>
      <c r="I232" s="19" t="s">
        <v>90</v>
      </c>
      <c r="J232" s="32" t="s">
        <v>190</v>
      </c>
      <c r="K232" s="28" t="s">
        <v>394</v>
      </c>
      <c r="L232" s="47" t="s">
        <v>35</v>
      </c>
      <c r="M232" s="12">
        <v>2025</v>
      </c>
      <c r="N232" s="15" t="s">
        <v>35</v>
      </c>
      <c r="O232" s="15">
        <v>2026</v>
      </c>
      <c r="P232" s="15">
        <v>2025</v>
      </c>
      <c r="Q232" s="15"/>
      <c r="R232" s="16" t="s">
        <v>51</v>
      </c>
      <c r="S232" s="16" t="str">
        <f ca="1">IF(
  O232 &lt; YEAR(TODAY()),
  "LULUS",
  IF(
    O232 = YEAR(TODAY()),
    IF(
      MATCH(L232, {"Januari";"Februari";"Maret";"April";"Mei";"Juni";"Juli";"Agustus";"September";"Oktober";"November";"Desember"}, 0)
        &gt;= MONTH(TODAY()),
      "AKTIF (Semester " &amp;
        (INT((12*(YEAR(TODAY())-M232) + MONTH(TODAY()) -
          MATCH(L232, {"Januari";"Februari";"Maret";"April";"Mei";"Juni";"Juli";"Agustus";"September";"Oktober";"November";"Desember"}, 0)) / 6) + 1) &amp; ")",
      "LULUS"
    ),
    "AKTIF (Semester " &amp;
      (INT((12*(YEAR(TODAY())-M232) + MONTH(TODAY()) -
        MATCH(L232, {"Januari";"Februari";"Maret";"April";"Mei";"Juni";"Juli";"Agustus";"September";"Oktober";"November";"Desember"}, 0)) / 6) + 1) &amp; ")"
  )
)</f>
        <v>AKTIF (Semester 2)</v>
      </c>
      <c r="T232" s="16" t="str">
        <f ca="1">IF(O232 &lt; YEAR(TODAY()), "LULUS",
 IF(O232 = YEAR(TODAY()),
    IF(MATCH(N232, {"Januari";"Februari";"Maret";"April";"Mei";"Juni";"Juli";"Agustus";"September";"Oktober";"November";"Desember"},0)
        &lt;= MONTH(TODAY()),
        "LULUS",
        "AKTIF"),
 "AKTIF"))</f>
        <v>AKTIF</v>
      </c>
      <c r="U232" s="16" t="s">
        <v>2945</v>
      </c>
      <c r="V232" s="15"/>
      <c r="W232" s="15"/>
      <c r="X232" s="15"/>
      <c r="Y232" s="15"/>
      <c r="Z232" s="15"/>
    </row>
    <row r="233" spans="1:26" ht="29" customHeight="1" x14ac:dyDescent="0.35">
      <c r="A233" s="12">
        <v>232</v>
      </c>
      <c r="B233" s="25" t="s">
        <v>897</v>
      </c>
      <c r="C233" s="26" t="s">
        <v>898</v>
      </c>
      <c r="D233" s="25" t="s">
        <v>896</v>
      </c>
      <c r="E233" s="26" t="str">
        <f t="shared" si="4"/>
        <v>Perempuan</v>
      </c>
      <c r="F233" s="33" t="s">
        <v>836</v>
      </c>
      <c r="G233" s="25" t="s">
        <v>588</v>
      </c>
      <c r="H233" s="19" t="s">
        <v>763</v>
      </c>
      <c r="I233" s="19" t="s">
        <v>90</v>
      </c>
      <c r="J233" s="32" t="s">
        <v>190</v>
      </c>
      <c r="K233" s="28" t="s">
        <v>394</v>
      </c>
      <c r="L233" s="47" t="s">
        <v>35</v>
      </c>
      <c r="M233" s="12">
        <v>2025</v>
      </c>
      <c r="N233" s="15" t="s">
        <v>35</v>
      </c>
      <c r="O233" s="15">
        <v>2026</v>
      </c>
      <c r="P233" s="15">
        <v>2025</v>
      </c>
      <c r="Q233" s="15"/>
      <c r="R233" s="16" t="s">
        <v>51</v>
      </c>
      <c r="S233" s="16" t="str">
        <f ca="1">IF(
  O233 &lt; YEAR(TODAY()),
  "LULUS",
  IF(
    O233 = YEAR(TODAY()),
    IF(
      MATCH(L233, {"Januari";"Februari";"Maret";"April";"Mei";"Juni";"Juli";"Agustus";"September";"Oktober";"November";"Desember"}, 0)
        &gt;= MONTH(TODAY()),
      "AKTIF (Semester " &amp;
        (INT((12*(YEAR(TODAY())-M233) + MONTH(TODAY()) -
          MATCH(L233, {"Januari";"Februari";"Maret";"April";"Mei";"Juni";"Juli";"Agustus";"September";"Oktober";"November";"Desember"}, 0)) / 6) + 1) &amp; ")",
      "LULUS"
    ),
    "AKTIF (Semester " &amp;
      (INT((12*(YEAR(TODAY())-M233) + MONTH(TODAY()) -
        MATCH(L233, {"Januari";"Februari";"Maret";"April";"Mei";"Juni";"Juli";"Agustus";"September";"Oktober";"November";"Desember"}, 0)) / 6) + 1) &amp; ")"
  )
)</f>
        <v>AKTIF (Semester 2)</v>
      </c>
      <c r="T233" s="16" t="str">
        <f ca="1">IF(O233 &lt; YEAR(TODAY()), "LULUS",
 IF(O233 = YEAR(TODAY()),
    IF(MATCH(N233, {"Januari";"Februari";"Maret";"April";"Mei";"Juni";"Juli";"Agustus";"September";"Oktober";"November";"Desember"},0)
        &lt;= MONTH(TODAY()),
        "LULUS",
        "AKTIF"),
 "AKTIF"))</f>
        <v>AKTIF</v>
      </c>
      <c r="U233" s="16" t="s">
        <v>2945</v>
      </c>
      <c r="V233" s="15"/>
      <c r="W233" s="15"/>
      <c r="X233" s="15"/>
      <c r="Y233" s="15"/>
      <c r="Z233" s="15"/>
    </row>
    <row r="234" spans="1:26" ht="29" customHeight="1" x14ac:dyDescent="0.35">
      <c r="A234" s="12">
        <v>233</v>
      </c>
      <c r="B234" s="25" t="s">
        <v>899</v>
      </c>
      <c r="C234" s="26" t="s">
        <v>900</v>
      </c>
      <c r="D234" s="25" t="s">
        <v>896</v>
      </c>
      <c r="E234" s="26" t="str">
        <f t="shared" si="4"/>
        <v>Perempuan</v>
      </c>
      <c r="F234" s="33" t="s">
        <v>836</v>
      </c>
      <c r="G234" s="25" t="s">
        <v>588</v>
      </c>
      <c r="H234" s="19" t="s">
        <v>763</v>
      </c>
      <c r="I234" s="19" t="s">
        <v>90</v>
      </c>
      <c r="J234" s="32" t="s">
        <v>190</v>
      </c>
      <c r="K234" s="28" t="s">
        <v>394</v>
      </c>
      <c r="L234" s="47" t="s">
        <v>35</v>
      </c>
      <c r="M234" s="12">
        <v>2025</v>
      </c>
      <c r="N234" s="15" t="s">
        <v>35</v>
      </c>
      <c r="O234" s="15">
        <v>2026</v>
      </c>
      <c r="P234" s="15">
        <v>2025</v>
      </c>
      <c r="Q234" s="15"/>
      <c r="R234" s="16" t="s">
        <v>51</v>
      </c>
      <c r="S234" s="16" t="str">
        <f ca="1">IF(
  O234 &lt; YEAR(TODAY()),
  "LULUS",
  IF(
    O234 = YEAR(TODAY()),
    IF(
      MATCH(L234, {"Januari";"Februari";"Maret";"April";"Mei";"Juni";"Juli";"Agustus";"September";"Oktober";"November";"Desember"}, 0)
        &gt;= MONTH(TODAY()),
      "AKTIF (Semester " &amp;
        (INT((12*(YEAR(TODAY())-M234) + MONTH(TODAY()) -
          MATCH(L234, {"Januari";"Februari";"Maret";"April";"Mei";"Juni";"Juli";"Agustus";"September";"Oktober";"November";"Desember"}, 0)) / 6) + 1) &amp; ")",
      "LULUS"
    ),
    "AKTIF (Semester " &amp;
      (INT((12*(YEAR(TODAY())-M234) + MONTH(TODAY()) -
        MATCH(L234, {"Januari";"Februari";"Maret";"April";"Mei";"Juni";"Juli";"Agustus";"September";"Oktober";"November";"Desember"}, 0)) / 6) + 1) &amp; ")"
  )
)</f>
        <v>AKTIF (Semester 2)</v>
      </c>
      <c r="T234" s="16" t="str">
        <f ca="1">IF(O234 &lt; YEAR(TODAY()), "LULUS",
 IF(O234 = YEAR(TODAY()),
    IF(MATCH(N234, {"Januari";"Februari";"Maret";"April";"Mei";"Juni";"Juli";"Agustus";"September";"Oktober";"November";"Desember"},0)
        &lt;= MONTH(TODAY()),
        "LULUS",
        "AKTIF"),
 "AKTIF"))</f>
        <v>AKTIF</v>
      </c>
      <c r="U234" s="16" t="s">
        <v>2945</v>
      </c>
      <c r="V234" s="15"/>
      <c r="W234" s="15"/>
      <c r="X234" s="15"/>
      <c r="Y234" s="15"/>
      <c r="Z234" s="15"/>
    </row>
    <row r="235" spans="1:26" ht="29" customHeight="1" x14ac:dyDescent="0.35">
      <c r="A235" s="12">
        <v>234</v>
      </c>
      <c r="B235" s="25" t="s">
        <v>901</v>
      </c>
      <c r="C235" s="26" t="s">
        <v>902</v>
      </c>
      <c r="D235" s="25" t="s">
        <v>903</v>
      </c>
      <c r="E235" s="26" t="str">
        <f t="shared" si="4"/>
        <v>Laki-Laki</v>
      </c>
      <c r="F235" s="25" t="s">
        <v>904</v>
      </c>
      <c r="G235" s="25" t="s">
        <v>588</v>
      </c>
      <c r="H235" s="19" t="s">
        <v>597</v>
      </c>
      <c r="I235" s="19" t="s">
        <v>90</v>
      </c>
      <c r="J235" s="32" t="s">
        <v>180</v>
      </c>
      <c r="K235" s="28" t="s">
        <v>905</v>
      </c>
      <c r="L235" s="86" t="s">
        <v>169</v>
      </c>
      <c r="M235" s="12">
        <v>2024</v>
      </c>
      <c r="N235" s="15" t="s">
        <v>446</v>
      </c>
      <c r="O235" s="15">
        <v>2028</v>
      </c>
      <c r="P235" s="15">
        <v>2025</v>
      </c>
      <c r="Q235" s="15"/>
      <c r="R235" s="16" t="s">
        <v>51</v>
      </c>
      <c r="S235" s="16" t="str">
        <f ca="1">IF(
  O235 &lt; YEAR(TODAY()),
  "LULUS",
  IF(
    O235 = YEAR(TODAY()),
    IF(
      MATCH(L235, {"Januari";"Februari";"Maret";"April";"Mei";"Juni";"Juli";"Agustus";"September";"Oktober";"November";"Desember"}, 0)
        &gt;= MONTH(TODAY()),
      "AKTIF (Semester " &amp;
        (INT((12*(YEAR(TODAY())-M235) + MONTH(TODAY()) -
          MATCH(L235, {"Januari";"Februari";"Maret";"April";"Mei";"Juni";"Juli";"Agustus";"September";"Oktober";"November";"Desember"}, 0)) / 6) + 1) &amp; ")",
      "LULUS"
    ),
    "AKTIF (Semester " &amp;
      (INT((12*(YEAR(TODAY())-M235) + MONTH(TODAY()) -
        MATCH(L235, {"Januari";"Februari";"Maret";"April";"Mei";"Juni";"Juli";"Agustus";"September";"Oktober";"November";"Desember"}, 0)) / 6) + 1) &amp; ")"
  )
)</f>
        <v>AKTIF (Semester 3)</v>
      </c>
      <c r="T235" s="16" t="str">
        <f ca="1">IF(O235 &lt; YEAR(TODAY()), "LULUS",
 IF(O235 = YEAR(TODAY()),
    IF(MATCH(N235, {"Januari";"Februari";"Maret";"April";"Mei";"Juni";"Juli";"Agustus";"September";"Oktober";"November";"Desember"},0)
        &lt;= MONTH(TODAY()),
        "LULUS",
        "AKTIF"),
 "AKTIF"))</f>
        <v>AKTIF</v>
      </c>
      <c r="U235" s="16" t="s">
        <v>2940</v>
      </c>
      <c r="V235" s="15"/>
      <c r="W235" s="15"/>
      <c r="X235" s="15"/>
      <c r="Y235" s="15"/>
      <c r="Z235" s="15"/>
    </row>
    <row r="236" spans="1:26" ht="29" customHeight="1" x14ac:dyDescent="0.35">
      <c r="A236" s="12">
        <v>235</v>
      </c>
      <c r="B236" s="13" t="s">
        <v>907</v>
      </c>
      <c r="C236" s="14" t="s">
        <v>908</v>
      </c>
      <c r="D236" s="13"/>
      <c r="E236" s="26" t="str">
        <f t="shared" si="4"/>
        <v>Laki-Laki</v>
      </c>
      <c r="F236" s="13"/>
      <c r="G236" s="13" t="s">
        <v>909</v>
      </c>
      <c r="H236" s="15" t="s">
        <v>910</v>
      </c>
      <c r="I236" s="15" t="s">
        <v>911</v>
      </c>
      <c r="J236" s="12" t="s">
        <v>26</v>
      </c>
      <c r="K236" s="15" t="s">
        <v>221</v>
      </c>
      <c r="L236" s="23" t="s">
        <v>912</v>
      </c>
      <c r="M236" s="21">
        <v>2020</v>
      </c>
      <c r="N236" s="15" t="s">
        <v>912</v>
      </c>
      <c r="O236" s="15">
        <v>2023</v>
      </c>
      <c r="P236" s="15">
        <v>2020</v>
      </c>
      <c r="Q236" s="15"/>
      <c r="R236" s="34" t="s">
        <v>29</v>
      </c>
      <c r="S236" s="16" t="str">
        <f ca="1">IF(
  O236 &lt; YEAR(TODAY()),
  "LULUS",
  IF(
    O236 = YEAR(TODAY()),
    IF(
      MATCH(L236, {"Januari";"Februari";"Maret";"April";"Mei";"Juni";"Juli";"Agustus";"September";"Oktober";"November";"Desember"}, 0)
        &gt;= MONTH(TODAY()),
      "AKTIF (Semester " &amp;
        (INT((12*(YEAR(TODAY())-M236) + MONTH(TODAY()) -
          MATCH(L236, {"Januari";"Februari";"Maret";"April";"Mei";"Juni";"Juli";"Agustus";"September";"Oktober";"November";"Desember"}, 0)) / 6) + 1) &amp; ")",
      "LULUS"
    ),
    "AKTIF (Semester " &amp;
      (INT((12*(YEAR(TODAY())-M236) + MONTH(TODAY()) -
        MATCH(L236, {"Januari";"Februari";"Maret";"April";"Mei";"Juni";"Juli";"Agustus";"September";"Oktober";"November";"Desember"}, 0)) / 6) + 1) &amp; ")"
  )
)</f>
        <v>LULUS</v>
      </c>
      <c r="T236" s="16" t="str">
        <f ca="1">IF(O236 &lt; YEAR(TODAY()), "LULUS",
 IF(O236 = YEAR(TODAY()),
    IF(MATCH(N236, {"Januari";"Februari";"Maret";"April";"Mei";"Juni";"Juli";"Agustus";"September";"Oktober";"November";"Desember"},0)
        &lt;= MONTH(TODAY()),
        "LULUS",
        "AKTIF"),
 "AKTIF"))</f>
        <v>LULUS</v>
      </c>
      <c r="U236" s="16" t="s">
        <v>29</v>
      </c>
      <c r="V236" s="21"/>
      <c r="W236" s="21"/>
      <c r="X236" s="21"/>
      <c r="Y236" s="21"/>
      <c r="Z236" s="21"/>
    </row>
    <row r="237" spans="1:26" ht="29" customHeight="1" x14ac:dyDescent="0.35">
      <c r="A237" s="12">
        <v>236</v>
      </c>
      <c r="B237" s="13" t="s">
        <v>913</v>
      </c>
      <c r="C237" s="14" t="s">
        <v>914</v>
      </c>
      <c r="D237" s="13"/>
      <c r="E237" s="26" t="str">
        <f t="shared" si="4"/>
        <v>Laki-Laki</v>
      </c>
      <c r="F237" s="13"/>
      <c r="G237" s="13" t="s">
        <v>909</v>
      </c>
      <c r="H237" s="15" t="s">
        <v>915</v>
      </c>
      <c r="I237" s="15" t="s">
        <v>320</v>
      </c>
      <c r="J237" s="12" t="s">
        <v>45</v>
      </c>
      <c r="K237" s="15" t="s">
        <v>916</v>
      </c>
      <c r="L237" s="23" t="s">
        <v>462</v>
      </c>
      <c r="M237" s="21">
        <v>2020</v>
      </c>
      <c r="N237" s="15" t="s">
        <v>462</v>
      </c>
      <c r="O237" s="15">
        <v>2022</v>
      </c>
      <c r="P237" s="15">
        <v>2020</v>
      </c>
      <c r="Q237" s="15"/>
      <c r="R237" s="34" t="s">
        <v>29</v>
      </c>
      <c r="S237" s="16" t="str">
        <f ca="1">IF(
  O237 &lt; YEAR(TODAY()),
  "LULUS",
  IF(
    O237 = YEAR(TODAY()),
    IF(
      MATCH(L237, {"Januari";"Februari";"Maret";"April";"Mei";"Juni";"Juli";"Agustus";"September";"Oktober";"November";"Desember"}, 0)
        &gt;= MONTH(TODAY()),
      "AKTIF (Semester " &amp;
        (INT((12*(YEAR(TODAY())-M237) + MONTH(TODAY()) -
          MATCH(L237, {"Januari";"Februari";"Maret";"April";"Mei";"Juni";"Juli";"Agustus";"September";"Oktober";"November";"Desember"}, 0)) / 6) + 1) &amp; ")",
      "LULUS"
    ),
    "AKTIF (Semester " &amp;
      (INT((12*(YEAR(TODAY())-M237) + MONTH(TODAY()) -
        MATCH(L237, {"Januari";"Februari";"Maret";"April";"Mei";"Juni";"Juli";"Agustus";"September";"Oktober";"November";"Desember"}, 0)) / 6) + 1) &amp; ")"
  )
)</f>
        <v>LULUS</v>
      </c>
      <c r="T237" s="16" t="str">
        <f ca="1">IF(O237 &lt; YEAR(TODAY()), "LULUS",
 IF(O237 = YEAR(TODAY()),
    IF(MATCH(N237, {"Januari";"Februari";"Maret";"April";"Mei";"Juni";"Juli";"Agustus";"September";"Oktober";"November";"Desember"},0)
        &lt;= MONTH(TODAY()),
        "LULUS",
        "AKTIF"),
 "AKTIF"))</f>
        <v>LULUS</v>
      </c>
      <c r="U237" s="16" t="s">
        <v>29</v>
      </c>
      <c r="V237" s="21"/>
      <c r="W237" s="21"/>
      <c r="X237" s="21"/>
      <c r="Y237" s="21"/>
      <c r="Z237" s="21"/>
    </row>
    <row r="238" spans="1:26" ht="29" customHeight="1" x14ac:dyDescent="0.35">
      <c r="A238" s="12">
        <v>237</v>
      </c>
      <c r="B238" s="13" t="s">
        <v>917</v>
      </c>
      <c r="C238" s="14" t="s">
        <v>918</v>
      </c>
      <c r="D238" s="13"/>
      <c r="E238" s="26" t="str">
        <f t="shared" si="4"/>
        <v>Laki-Laki</v>
      </c>
      <c r="F238" s="13"/>
      <c r="G238" s="13" t="s">
        <v>909</v>
      </c>
      <c r="H238" s="15" t="s">
        <v>919</v>
      </c>
      <c r="I238" s="19" t="s">
        <v>90</v>
      </c>
      <c r="J238" s="12" t="s">
        <v>26</v>
      </c>
      <c r="K238" s="15" t="s">
        <v>394</v>
      </c>
      <c r="L238" s="23" t="s">
        <v>123</v>
      </c>
      <c r="M238" s="21">
        <v>2020</v>
      </c>
      <c r="N238" s="15" t="s">
        <v>123</v>
      </c>
      <c r="O238" s="15">
        <v>2024</v>
      </c>
      <c r="P238" s="15">
        <v>2020</v>
      </c>
      <c r="Q238" s="15"/>
      <c r="R238" s="34" t="s">
        <v>29</v>
      </c>
      <c r="S238" s="16" t="str">
        <f ca="1">IF(
  O238 &lt; YEAR(TODAY()),
  "LULUS",
  IF(
    O238 = YEAR(TODAY()),
    IF(
      MATCH(L238, {"Januari";"Februari";"Maret";"April";"Mei";"Juni";"Juli";"Agustus";"September";"Oktober";"November";"Desember"}, 0)
        &gt;= MONTH(TODAY()),
      "AKTIF (Semester " &amp;
        (INT((12*(YEAR(TODAY())-M238) + MONTH(TODAY()) -
          MATCH(L238, {"Januari";"Februari";"Maret";"April";"Mei";"Juni";"Juli";"Agustus";"September";"Oktober";"November";"Desember"}, 0)) / 6) + 1) &amp; ")",
      "LULUS"
    ),
    "AKTIF (Semester " &amp;
      (INT((12*(YEAR(TODAY())-M238) + MONTH(TODAY()) -
        MATCH(L238, {"Januari";"Februari";"Maret";"April";"Mei";"Juni";"Juli";"Agustus";"September";"Oktober";"November";"Desember"}, 0)) / 6) + 1) &amp; ")"
  )
)</f>
        <v>LULUS</v>
      </c>
      <c r="T238" s="16" t="str">
        <f ca="1">IF(O238 &lt; YEAR(TODAY()), "LULUS",
 IF(O238 = YEAR(TODAY()),
    IF(MATCH(N238, {"Januari";"Februari";"Maret";"April";"Mei";"Juni";"Juli";"Agustus";"September";"Oktober";"November";"Desember"},0)
        &lt;= MONTH(TODAY()),
        "LULUS",
        "AKTIF"),
 "AKTIF"))</f>
        <v>LULUS</v>
      </c>
      <c r="U238" s="16" t="s">
        <v>29</v>
      </c>
      <c r="V238" s="21"/>
      <c r="W238" s="21"/>
      <c r="X238" s="21"/>
      <c r="Y238" s="21"/>
      <c r="Z238" s="21"/>
    </row>
    <row r="239" spans="1:26" ht="29" customHeight="1" x14ac:dyDescent="0.35">
      <c r="A239" s="12">
        <v>238</v>
      </c>
      <c r="B239" s="13" t="s">
        <v>920</v>
      </c>
      <c r="C239" s="14" t="s">
        <v>921</v>
      </c>
      <c r="D239" s="13"/>
      <c r="E239" s="26" t="str">
        <f t="shared" si="4"/>
        <v>Laki-Laki</v>
      </c>
      <c r="F239" s="13"/>
      <c r="G239" s="13" t="s">
        <v>909</v>
      </c>
      <c r="H239" s="15" t="s">
        <v>922</v>
      </c>
      <c r="I239" s="19" t="s">
        <v>90</v>
      </c>
      <c r="J239" s="12" t="s">
        <v>45</v>
      </c>
      <c r="K239" s="15" t="s">
        <v>221</v>
      </c>
      <c r="L239" s="23" t="s">
        <v>118</v>
      </c>
      <c r="M239" s="21">
        <v>2020</v>
      </c>
      <c r="N239" s="15" t="s">
        <v>118</v>
      </c>
      <c r="O239" s="15">
        <v>2024</v>
      </c>
      <c r="P239" s="15">
        <v>2020</v>
      </c>
      <c r="Q239" s="15"/>
      <c r="R239" s="16" t="s">
        <v>51</v>
      </c>
      <c r="S239" s="16" t="str">
        <f ca="1">IF(
  O239 &lt; YEAR(TODAY()),
  "LULUS",
  IF(
    O239 = YEAR(TODAY()),
    IF(
      MATCH(L239, {"Januari";"Februari";"Maret";"April";"Mei";"Juni";"Juli";"Agustus";"September";"Oktober";"November";"Desember"}, 0)
        &gt;= MONTH(TODAY()),
      "AKTIF (Semester " &amp;
        (INT((12*(YEAR(TODAY())-M239) + MONTH(TODAY()) -
          MATCH(L239, {"Januari";"Februari";"Maret";"April";"Mei";"Juni";"Juli";"Agustus";"September";"Oktober";"November";"Desember"}, 0)) / 6) + 1) &amp; ")",
      "LULUS"
    ),
    "AKTIF (Semester " &amp;
      (INT((12*(YEAR(TODAY())-M239) + MONTH(TODAY()) -
        MATCH(L239, {"Januari";"Februari";"Maret";"April";"Mei";"Juni";"Juli";"Agustus";"September";"Oktober";"November";"Desember"}, 0)) / 6) + 1) &amp; ")"
  )
)</f>
        <v>LULUS</v>
      </c>
      <c r="T239" s="16" t="str">
        <f ca="1">IF(O239 &lt; YEAR(TODAY()), "LULUS",
 IF(O239 = YEAR(TODAY()),
    IF(MATCH(N239, {"Januari";"Februari";"Maret";"April";"Mei";"Juni";"Juli";"Agustus";"September";"Oktober";"November";"Desember"},0)
        &lt;= MONTH(TODAY()),
        "LULUS",
        "AKTIF"),
 "AKTIF"))</f>
        <v>LULUS</v>
      </c>
      <c r="U239" s="16" t="s">
        <v>29</v>
      </c>
      <c r="V239" s="15"/>
      <c r="W239" s="15"/>
      <c r="X239" s="15"/>
      <c r="Y239" s="15"/>
      <c r="Z239" s="15"/>
    </row>
    <row r="240" spans="1:26" ht="29" customHeight="1" x14ac:dyDescent="0.35">
      <c r="A240" s="12">
        <v>239</v>
      </c>
      <c r="B240" s="13" t="s">
        <v>923</v>
      </c>
      <c r="C240" s="14" t="s">
        <v>924</v>
      </c>
      <c r="D240" s="13"/>
      <c r="E240" s="26" t="str">
        <f t="shared" si="4"/>
        <v>Laki-Laki</v>
      </c>
      <c r="F240" s="13"/>
      <c r="G240" s="13" t="s">
        <v>909</v>
      </c>
      <c r="H240" s="15" t="s">
        <v>925</v>
      </c>
      <c r="I240" s="15" t="s">
        <v>926</v>
      </c>
      <c r="J240" s="12" t="s">
        <v>26</v>
      </c>
      <c r="K240" s="15" t="s">
        <v>221</v>
      </c>
      <c r="L240" s="23" t="s">
        <v>123</v>
      </c>
      <c r="M240" s="21">
        <v>2020</v>
      </c>
      <c r="N240" s="15" t="s">
        <v>123</v>
      </c>
      <c r="O240" s="15">
        <v>2022</v>
      </c>
      <c r="P240" s="15">
        <v>2020</v>
      </c>
      <c r="Q240" s="15"/>
      <c r="R240" s="34" t="s">
        <v>29</v>
      </c>
      <c r="S240" s="16" t="str">
        <f ca="1">IF(
  O240 &lt; YEAR(TODAY()),
  "LULUS",
  IF(
    O240 = YEAR(TODAY()),
    IF(
      MATCH(L240, {"Januari";"Februari";"Maret";"April";"Mei";"Juni";"Juli";"Agustus";"September";"Oktober";"November";"Desember"}, 0)
        &gt;= MONTH(TODAY()),
      "AKTIF (Semester " &amp;
        (INT((12*(YEAR(TODAY())-M240) + MONTH(TODAY()) -
          MATCH(L240, {"Januari";"Februari";"Maret";"April";"Mei";"Juni";"Juli";"Agustus";"September";"Oktober";"November";"Desember"}, 0)) / 6) + 1) &amp; ")",
      "LULUS"
    ),
    "AKTIF (Semester " &amp;
      (INT((12*(YEAR(TODAY())-M240) + MONTH(TODAY()) -
        MATCH(L240, {"Januari";"Februari";"Maret";"April";"Mei";"Juni";"Juli";"Agustus";"September";"Oktober";"November";"Desember"}, 0)) / 6) + 1) &amp; ")"
  )
)</f>
        <v>LULUS</v>
      </c>
      <c r="T240" s="16" t="str">
        <f ca="1">IF(O240 &lt; YEAR(TODAY()), "LULUS",
 IF(O240 = YEAR(TODAY()),
    IF(MATCH(N240, {"Januari";"Februari";"Maret";"April";"Mei";"Juni";"Juli";"Agustus";"September";"Oktober";"November";"Desember"},0)
        &lt;= MONTH(TODAY()),
        "LULUS",
        "AKTIF"),
 "AKTIF"))</f>
        <v>LULUS</v>
      </c>
      <c r="U240" s="16" t="s">
        <v>29</v>
      </c>
      <c r="V240" s="21"/>
      <c r="W240" s="21"/>
      <c r="X240" s="21"/>
      <c r="Y240" s="21"/>
      <c r="Z240" s="21"/>
    </row>
    <row r="241" spans="1:26" ht="29" customHeight="1" x14ac:dyDescent="0.35">
      <c r="A241" s="12">
        <v>240</v>
      </c>
      <c r="B241" s="13" t="s">
        <v>927</v>
      </c>
      <c r="C241" s="14" t="s">
        <v>928</v>
      </c>
      <c r="D241" s="13"/>
      <c r="E241" s="26" t="str">
        <f t="shared" si="4"/>
        <v>Laki-Laki</v>
      </c>
      <c r="F241" s="13"/>
      <c r="G241" s="13" t="s">
        <v>909</v>
      </c>
      <c r="H241" s="15" t="s">
        <v>922</v>
      </c>
      <c r="I241" s="19" t="s">
        <v>90</v>
      </c>
      <c r="J241" s="12" t="s">
        <v>45</v>
      </c>
      <c r="K241" s="15" t="s">
        <v>613</v>
      </c>
      <c r="L241" s="23" t="s">
        <v>511</v>
      </c>
      <c r="M241" s="21">
        <v>2020</v>
      </c>
      <c r="N241" s="15" t="s">
        <v>511</v>
      </c>
      <c r="O241" s="15">
        <v>2024</v>
      </c>
      <c r="P241" s="15">
        <v>2020</v>
      </c>
      <c r="Q241" s="15"/>
      <c r="R241" s="16" t="s">
        <v>29</v>
      </c>
      <c r="S241" s="16" t="str">
        <f ca="1">IF(
  O241 &lt; YEAR(TODAY()),
  "LULUS",
  IF(
    O241 = YEAR(TODAY()),
    IF(
      MATCH(L241, {"Januari";"Februari";"Maret";"April";"Mei";"Juni";"Juli";"Agustus";"September";"Oktober";"November";"Desember"}, 0)
        &gt;= MONTH(TODAY()),
      "AKTIF (Semester " &amp;
        (INT((12*(YEAR(TODAY())-M241) + MONTH(TODAY()) -
          MATCH(L241, {"Januari";"Februari";"Maret";"April";"Mei";"Juni";"Juli";"Agustus";"September";"Oktober";"November";"Desember"}, 0)) / 6) + 1) &amp; ")",
      "LULUS"
    ),
    "AKTIF (Semester " &amp;
      (INT((12*(YEAR(TODAY())-M241) + MONTH(TODAY()) -
        MATCH(L241, {"Januari";"Februari";"Maret";"April";"Mei";"Juni";"Juli";"Agustus";"September";"Oktober";"November";"Desember"}, 0)) / 6) + 1) &amp; ")"
  )
)</f>
        <v>LULUS</v>
      </c>
      <c r="T241" s="16" t="str">
        <f ca="1">IF(O241 &lt; YEAR(TODAY()), "LULUS",
 IF(O241 = YEAR(TODAY()),
    IF(MATCH(N241, {"Januari";"Februari";"Maret";"April";"Mei";"Juni";"Juli";"Agustus";"September";"Oktober";"November";"Desember"},0)
        &lt;= MONTH(TODAY()),
        "LULUS",
        "AKTIF"),
 "AKTIF"))</f>
        <v>LULUS</v>
      </c>
      <c r="U241" s="16" t="s">
        <v>29</v>
      </c>
      <c r="V241" s="15"/>
      <c r="W241" s="15"/>
      <c r="X241" s="15"/>
      <c r="Y241" s="15"/>
      <c r="Z241" s="15"/>
    </row>
    <row r="242" spans="1:26" ht="29" customHeight="1" x14ac:dyDescent="0.35">
      <c r="A242" s="12">
        <v>241</v>
      </c>
      <c r="B242" s="13" t="s">
        <v>929</v>
      </c>
      <c r="C242" s="14" t="s">
        <v>930</v>
      </c>
      <c r="D242" s="13"/>
      <c r="E242" s="26" t="str">
        <f t="shared" si="4"/>
        <v>Laki-Laki</v>
      </c>
      <c r="F242" s="13"/>
      <c r="G242" s="13" t="s">
        <v>909</v>
      </c>
      <c r="H242" s="15" t="s">
        <v>931</v>
      </c>
      <c r="I242" s="19" t="s">
        <v>90</v>
      </c>
      <c r="J242" s="12" t="s">
        <v>45</v>
      </c>
      <c r="K242" s="15" t="s">
        <v>613</v>
      </c>
      <c r="L242" s="23" t="s">
        <v>205</v>
      </c>
      <c r="M242" s="21">
        <v>2020</v>
      </c>
      <c r="N242" s="15" t="s">
        <v>205</v>
      </c>
      <c r="O242" s="15">
        <v>2024</v>
      </c>
      <c r="P242" s="15">
        <v>2020</v>
      </c>
      <c r="Q242" s="15"/>
      <c r="R242" s="16" t="s">
        <v>29</v>
      </c>
      <c r="S242" s="16" t="str">
        <f ca="1">IF(
  O242 &lt; YEAR(TODAY()),
  "LULUS",
  IF(
    O242 = YEAR(TODAY()),
    IF(
      MATCH(L242, {"Januari";"Februari";"Maret";"April";"Mei";"Juni";"Juli";"Agustus";"September";"Oktober";"November";"Desember"}, 0)
        &gt;= MONTH(TODAY()),
      "AKTIF (Semester " &amp;
        (INT((12*(YEAR(TODAY())-M242) + MONTH(TODAY()) -
          MATCH(L242, {"Januari";"Februari";"Maret";"April";"Mei";"Juni";"Juli";"Agustus";"September";"Oktober";"November";"Desember"}, 0)) / 6) + 1) &amp; ")",
      "LULUS"
    ),
    "AKTIF (Semester " &amp;
      (INT((12*(YEAR(TODAY())-M242) + MONTH(TODAY()) -
        MATCH(L242, {"Januari";"Februari";"Maret";"April";"Mei";"Juni";"Juli";"Agustus";"September";"Oktober";"November";"Desember"}, 0)) / 6) + 1) &amp; ")"
  )
)</f>
        <v>LULUS</v>
      </c>
      <c r="T242" s="16" t="str">
        <f ca="1">IF(O242 &lt; YEAR(TODAY()), "LULUS",
 IF(O242 = YEAR(TODAY()),
    IF(MATCH(N242, {"Januari";"Februari";"Maret";"April";"Mei";"Juni";"Juli";"Agustus";"September";"Oktober";"November";"Desember"},0)
        &lt;= MONTH(TODAY()),
        "LULUS",
        "AKTIF"),
 "AKTIF"))</f>
        <v>LULUS</v>
      </c>
      <c r="U242" s="16" t="s">
        <v>29</v>
      </c>
      <c r="V242" s="15"/>
      <c r="W242" s="15"/>
      <c r="X242" s="15"/>
      <c r="Y242" s="15"/>
      <c r="Z242" s="15"/>
    </row>
    <row r="243" spans="1:26" ht="29" customHeight="1" x14ac:dyDescent="0.35">
      <c r="A243" s="12">
        <v>242</v>
      </c>
      <c r="B243" s="13" t="s">
        <v>932</v>
      </c>
      <c r="C243" s="14" t="s">
        <v>933</v>
      </c>
      <c r="D243" s="13"/>
      <c r="E243" s="26" t="str">
        <f t="shared" si="4"/>
        <v>Laki-Laki</v>
      </c>
      <c r="F243" s="13"/>
      <c r="G243" s="13" t="s">
        <v>909</v>
      </c>
      <c r="H243" s="15" t="s">
        <v>931</v>
      </c>
      <c r="I243" s="19" t="s">
        <v>90</v>
      </c>
      <c r="J243" s="12" t="s">
        <v>45</v>
      </c>
      <c r="K243" s="15" t="s">
        <v>613</v>
      </c>
      <c r="L243" s="23" t="s">
        <v>28</v>
      </c>
      <c r="M243" s="21">
        <v>2020</v>
      </c>
      <c r="N243" s="15" t="s">
        <v>28</v>
      </c>
      <c r="O243" s="15">
        <v>2023</v>
      </c>
      <c r="P243" s="15">
        <v>2020</v>
      </c>
      <c r="Q243" s="15"/>
      <c r="R243" s="16" t="s">
        <v>29</v>
      </c>
      <c r="S243" s="16" t="str">
        <f ca="1">IF(
  O243 &lt; YEAR(TODAY()),
  "LULUS",
  IF(
    O243 = YEAR(TODAY()),
    IF(
      MATCH(L243, {"Januari";"Februari";"Maret";"April";"Mei";"Juni";"Juli";"Agustus";"September";"Oktober";"November";"Desember"}, 0)
        &gt;= MONTH(TODAY()),
      "AKTIF (Semester " &amp;
        (INT((12*(YEAR(TODAY())-M243) + MONTH(TODAY()) -
          MATCH(L243, {"Januari";"Februari";"Maret";"April";"Mei";"Juni";"Juli";"Agustus";"September";"Oktober";"November";"Desember"}, 0)) / 6) + 1) &amp; ")",
      "LULUS"
    ),
    "AKTIF (Semester " &amp;
      (INT((12*(YEAR(TODAY())-M243) + MONTH(TODAY()) -
        MATCH(L243, {"Januari";"Februari";"Maret";"April";"Mei";"Juni";"Juli";"Agustus";"September";"Oktober";"November";"Desember"}, 0)) / 6) + 1) &amp; ")"
  )
)</f>
        <v>LULUS</v>
      </c>
      <c r="T243" s="16" t="str">
        <f ca="1">IF(O243 &lt; YEAR(TODAY()), "LULUS",
 IF(O243 = YEAR(TODAY()),
    IF(MATCH(N243, {"Januari";"Februari";"Maret";"April";"Mei";"Juni";"Juli";"Agustus";"September";"Oktober";"November";"Desember"},0)
        &lt;= MONTH(TODAY()),
        "LULUS",
        "AKTIF"),
 "AKTIF"))</f>
        <v>LULUS</v>
      </c>
      <c r="U243" s="16" t="s">
        <v>29</v>
      </c>
      <c r="V243" s="15"/>
      <c r="W243" s="15"/>
      <c r="X243" s="15"/>
      <c r="Y243" s="15"/>
      <c r="Z243" s="15"/>
    </row>
    <row r="244" spans="1:26" ht="29" customHeight="1" x14ac:dyDescent="0.35">
      <c r="A244" s="12">
        <v>243</v>
      </c>
      <c r="B244" s="13" t="s">
        <v>934</v>
      </c>
      <c r="C244" s="14" t="s">
        <v>935</v>
      </c>
      <c r="D244" s="13"/>
      <c r="E244" s="26" t="str">
        <f t="shared" si="4"/>
        <v>Laki-Laki</v>
      </c>
      <c r="F244" s="13"/>
      <c r="G244" s="13" t="s">
        <v>909</v>
      </c>
      <c r="H244" s="15" t="s">
        <v>936</v>
      </c>
      <c r="I244" s="19" t="s">
        <v>90</v>
      </c>
      <c r="J244" s="12" t="s">
        <v>26</v>
      </c>
      <c r="K244" s="15" t="s">
        <v>221</v>
      </c>
      <c r="L244" s="15" t="s">
        <v>205</v>
      </c>
      <c r="M244" s="15">
        <v>2020</v>
      </c>
      <c r="N244" s="15" t="s">
        <v>205</v>
      </c>
      <c r="O244" s="15">
        <v>2022</v>
      </c>
      <c r="P244" s="15">
        <v>2020</v>
      </c>
      <c r="Q244" s="15"/>
      <c r="R244" s="16" t="s">
        <v>29</v>
      </c>
      <c r="S244" s="16" t="str">
        <f ca="1">IF(
  O244 &lt; YEAR(TODAY()),
  "LULUS",
  IF(
    O244 = YEAR(TODAY()),
    IF(
      MATCH(L244, {"Januari";"Februari";"Maret";"April";"Mei";"Juni";"Juli";"Agustus";"September";"Oktober";"November";"Desember"}, 0)
        &gt;= MONTH(TODAY()),
      "AKTIF (Semester " &amp;
        (INT((12*(YEAR(TODAY())-M244) + MONTH(TODAY()) -
          MATCH(L244, {"Januari";"Februari";"Maret";"April";"Mei";"Juni";"Juli";"Agustus";"September";"Oktober";"November";"Desember"}, 0)) / 6) + 1) &amp; ")",
      "LULUS"
    ),
    "AKTIF (Semester " &amp;
      (INT((12*(YEAR(TODAY())-M244) + MONTH(TODAY()) -
        MATCH(L244, {"Januari";"Februari";"Maret";"April";"Mei";"Juni";"Juli";"Agustus";"September";"Oktober";"November";"Desember"}, 0)) / 6) + 1) &amp; ")"
  )
)</f>
        <v>LULUS</v>
      </c>
      <c r="T244" s="16" t="str">
        <f ca="1">IF(O244 &lt; YEAR(TODAY()), "LULUS",
 IF(O244 = YEAR(TODAY()),
    IF(MATCH(N244, {"Januari";"Februari";"Maret";"April";"Mei";"Juni";"Juli";"Agustus";"September";"Oktober";"November";"Desember"},0)
        &lt;= MONTH(TODAY()),
        "LULUS",
        "AKTIF"),
 "AKTIF"))</f>
        <v>LULUS</v>
      </c>
      <c r="U244" s="16" t="s">
        <v>29</v>
      </c>
      <c r="V244" s="15"/>
      <c r="W244" s="15"/>
      <c r="X244" s="15"/>
      <c r="Y244" s="15"/>
      <c r="Z244" s="15"/>
    </row>
    <row r="245" spans="1:26" ht="29" customHeight="1" x14ac:dyDescent="0.35">
      <c r="A245" s="12">
        <v>244</v>
      </c>
      <c r="B245" s="13" t="s">
        <v>937</v>
      </c>
      <c r="C245" s="14" t="s">
        <v>938</v>
      </c>
      <c r="D245" s="13"/>
      <c r="E245" s="26" t="str">
        <f t="shared" si="4"/>
        <v>Laki-Laki</v>
      </c>
      <c r="F245" s="13"/>
      <c r="G245" s="13" t="s">
        <v>909</v>
      </c>
      <c r="H245" s="15" t="s">
        <v>922</v>
      </c>
      <c r="I245" s="19" t="s">
        <v>90</v>
      </c>
      <c r="J245" s="12" t="s">
        <v>26</v>
      </c>
      <c r="K245" s="15" t="s">
        <v>394</v>
      </c>
      <c r="L245" s="15" t="s">
        <v>145</v>
      </c>
      <c r="M245" s="15">
        <v>2020</v>
      </c>
      <c r="N245" s="15" t="s">
        <v>145</v>
      </c>
      <c r="O245" s="15">
        <v>2024</v>
      </c>
      <c r="P245" s="15">
        <v>2020</v>
      </c>
      <c r="Q245" s="15"/>
      <c r="R245" s="16" t="s">
        <v>29</v>
      </c>
      <c r="S245" s="16" t="str">
        <f ca="1">IF(
  O245 &lt; YEAR(TODAY()),
  "LULUS",
  IF(
    O245 = YEAR(TODAY()),
    IF(
      MATCH(L245, {"Januari";"Februari";"Maret";"April";"Mei";"Juni";"Juli";"Agustus";"September";"Oktober";"November";"Desember"}, 0)
        &gt;= MONTH(TODAY()),
      "AKTIF (Semester " &amp;
        (INT((12*(YEAR(TODAY())-M245) + MONTH(TODAY()) -
          MATCH(L245, {"Januari";"Februari";"Maret";"April";"Mei";"Juni";"Juli";"Agustus";"September";"Oktober";"November";"Desember"}, 0)) / 6) + 1) &amp; ")",
      "LULUS"
    ),
    "AKTIF (Semester " &amp;
      (INT((12*(YEAR(TODAY())-M245) + MONTH(TODAY()) -
        MATCH(L245, {"Januari";"Februari";"Maret";"April";"Mei";"Juni";"Juli";"Agustus";"September";"Oktober";"November";"Desember"}, 0)) / 6) + 1) &amp; ")"
  )
)</f>
        <v>LULUS</v>
      </c>
      <c r="T245" s="16" t="str">
        <f ca="1">IF(O245 &lt; YEAR(TODAY()), "LULUS",
 IF(O245 = YEAR(TODAY()),
    IF(MATCH(N245, {"Januari";"Februari";"Maret";"April";"Mei";"Juni";"Juli";"Agustus";"September";"Oktober";"November";"Desember"},0)
        &lt;= MONTH(TODAY()),
        "LULUS",
        "AKTIF"),
 "AKTIF"))</f>
        <v>LULUS</v>
      </c>
      <c r="U245" s="16" t="s">
        <v>29</v>
      </c>
      <c r="V245" s="15"/>
      <c r="W245" s="15"/>
      <c r="X245" s="15"/>
      <c r="Y245" s="15"/>
      <c r="Z245" s="15"/>
    </row>
    <row r="246" spans="1:26" ht="29" customHeight="1" x14ac:dyDescent="0.35">
      <c r="A246" s="12">
        <v>245</v>
      </c>
      <c r="B246" s="13" t="s">
        <v>939</v>
      </c>
      <c r="C246" s="14" t="s">
        <v>940</v>
      </c>
      <c r="D246" s="13"/>
      <c r="E246" s="26" t="str">
        <f t="shared" si="4"/>
        <v>Laki-Laki</v>
      </c>
      <c r="F246" s="13"/>
      <c r="G246" s="13" t="s">
        <v>909</v>
      </c>
      <c r="H246" s="15" t="s">
        <v>931</v>
      </c>
      <c r="I246" s="19" t="s">
        <v>90</v>
      </c>
      <c r="J246" s="12" t="s">
        <v>45</v>
      </c>
      <c r="K246" s="15" t="s">
        <v>613</v>
      </c>
      <c r="L246" s="15" t="s">
        <v>123</v>
      </c>
      <c r="M246" s="15">
        <v>2020</v>
      </c>
      <c r="N246" s="15" t="s">
        <v>123</v>
      </c>
      <c r="O246" s="15">
        <v>2024</v>
      </c>
      <c r="P246" s="15">
        <v>2020</v>
      </c>
      <c r="Q246" s="15"/>
      <c r="R246" s="16" t="s">
        <v>51</v>
      </c>
      <c r="S246" s="16" t="str">
        <f ca="1">IF(
  O246 &lt; YEAR(TODAY()),
  "LULUS",
  IF(
    O246 = YEAR(TODAY()),
    IF(
      MATCH(L246, {"Januari";"Februari";"Maret";"April";"Mei";"Juni";"Juli";"Agustus";"September";"Oktober";"November";"Desember"}, 0)
        &gt;= MONTH(TODAY()),
      "AKTIF (Semester " &amp;
        (INT((12*(YEAR(TODAY())-M246) + MONTH(TODAY()) -
          MATCH(L246, {"Januari";"Februari";"Maret";"April";"Mei";"Juni";"Juli";"Agustus";"September";"Oktober";"November";"Desember"}, 0)) / 6) + 1) &amp; ")",
      "LULUS"
    ),
    "AKTIF (Semester " &amp;
      (INT((12*(YEAR(TODAY())-M246) + MONTH(TODAY()) -
        MATCH(L246, {"Januari";"Februari";"Maret";"April";"Mei";"Juni";"Juli";"Agustus";"September";"Oktober";"November";"Desember"}, 0)) / 6) + 1) &amp; ")"
  )
)</f>
        <v>LULUS</v>
      </c>
      <c r="T246" s="16" t="str">
        <f ca="1">IF(O246 &lt; YEAR(TODAY()), "LULUS",
 IF(O246 = YEAR(TODAY()),
    IF(MATCH(N246, {"Januari";"Februari";"Maret";"April";"Mei";"Juni";"Juli";"Agustus";"September";"Oktober";"November";"Desember"},0)
        &lt;= MONTH(TODAY()),
        "LULUS",
        "AKTIF"),
 "AKTIF"))</f>
        <v>LULUS</v>
      </c>
      <c r="U246" s="16" t="s">
        <v>29</v>
      </c>
      <c r="V246" s="15"/>
      <c r="W246" s="15"/>
      <c r="X246" s="15"/>
      <c r="Y246" s="15"/>
      <c r="Z246" s="15"/>
    </row>
    <row r="247" spans="1:26" ht="29" customHeight="1" x14ac:dyDescent="0.35">
      <c r="A247" s="12">
        <v>246</v>
      </c>
      <c r="B247" s="13" t="s">
        <v>941</v>
      </c>
      <c r="C247" s="14" t="s">
        <v>942</v>
      </c>
      <c r="D247" s="13"/>
      <c r="E247" s="26" t="str">
        <f t="shared" si="4"/>
        <v>Laki-Laki</v>
      </c>
      <c r="F247" s="13"/>
      <c r="G247" s="13" t="s">
        <v>909</v>
      </c>
      <c r="H247" s="15" t="s">
        <v>931</v>
      </c>
      <c r="I247" s="19" t="s">
        <v>90</v>
      </c>
      <c r="J247" s="12" t="s">
        <v>45</v>
      </c>
      <c r="K247" s="15" t="s">
        <v>943</v>
      </c>
      <c r="L247" s="15" t="s">
        <v>205</v>
      </c>
      <c r="M247" s="15">
        <v>2020</v>
      </c>
      <c r="N247" s="15" t="s">
        <v>205</v>
      </c>
      <c r="O247" s="15">
        <v>2024</v>
      </c>
      <c r="P247" s="15">
        <v>2020</v>
      </c>
      <c r="Q247" s="15"/>
      <c r="R247" s="16" t="s">
        <v>51</v>
      </c>
      <c r="S247" s="16" t="str">
        <f ca="1">IF(
  O247 &lt; YEAR(TODAY()),
  "LULUS",
  IF(
    O247 = YEAR(TODAY()),
    IF(
      MATCH(L247, {"Januari";"Februari";"Maret";"April";"Mei";"Juni";"Juli";"Agustus";"September";"Oktober";"November";"Desember"}, 0)
        &gt;= MONTH(TODAY()),
      "AKTIF (Semester " &amp;
        (INT((12*(YEAR(TODAY())-M247) + MONTH(TODAY()) -
          MATCH(L247, {"Januari";"Februari";"Maret";"April";"Mei";"Juni";"Juli";"Agustus";"September";"Oktober";"November";"Desember"}, 0)) / 6) + 1) &amp; ")",
      "LULUS"
    ),
    "AKTIF (Semester " &amp;
      (INT((12*(YEAR(TODAY())-M247) + MONTH(TODAY()) -
        MATCH(L247, {"Januari";"Februari";"Maret";"April";"Mei";"Juni";"Juli";"Agustus";"September";"Oktober";"November";"Desember"}, 0)) / 6) + 1) &amp; ")"
  )
)</f>
        <v>LULUS</v>
      </c>
      <c r="T247" s="16" t="str">
        <f ca="1">IF(O247 &lt; YEAR(TODAY()), "LULUS",
 IF(O247 = YEAR(TODAY()),
    IF(MATCH(N247, {"Januari";"Februari";"Maret";"April";"Mei";"Juni";"Juli";"Agustus";"September";"Oktober";"November";"Desember"},0)
        &lt;= MONTH(TODAY()),
        "LULUS",
        "AKTIF"),
 "AKTIF"))</f>
        <v>LULUS</v>
      </c>
      <c r="U247" s="16" t="s">
        <v>29</v>
      </c>
      <c r="V247" s="15"/>
      <c r="W247" s="15"/>
      <c r="X247" s="15"/>
      <c r="Y247" s="15"/>
      <c r="Z247" s="15"/>
    </row>
    <row r="248" spans="1:26" ht="29" customHeight="1" x14ac:dyDescent="0.35">
      <c r="A248" s="12">
        <v>247</v>
      </c>
      <c r="B248" s="13" t="s">
        <v>944</v>
      </c>
      <c r="C248" s="14" t="s">
        <v>945</v>
      </c>
      <c r="D248" s="13"/>
      <c r="E248" s="26" t="str">
        <f t="shared" si="4"/>
        <v>Laki-Laki</v>
      </c>
      <c r="F248" s="13"/>
      <c r="G248" s="13" t="s">
        <v>909</v>
      </c>
      <c r="H248" s="15" t="s">
        <v>946</v>
      </c>
      <c r="I248" s="19" t="s">
        <v>90</v>
      </c>
      <c r="J248" s="12" t="s">
        <v>26</v>
      </c>
      <c r="K248" s="15" t="s">
        <v>394</v>
      </c>
      <c r="L248" s="15" t="s">
        <v>205</v>
      </c>
      <c r="M248" s="15">
        <v>2020</v>
      </c>
      <c r="N248" s="15" t="s">
        <v>205</v>
      </c>
      <c r="O248" s="15">
        <v>2022</v>
      </c>
      <c r="P248" s="15">
        <v>2020</v>
      </c>
      <c r="Q248" s="15"/>
      <c r="R248" s="16" t="s">
        <v>51</v>
      </c>
      <c r="S248" s="16" t="str">
        <f ca="1">IF(
  O248 &lt; YEAR(TODAY()),
  "LULUS",
  IF(
    O248 = YEAR(TODAY()),
    IF(
      MATCH(L248, {"Januari";"Februari";"Maret";"April";"Mei";"Juni";"Juli";"Agustus";"September";"Oktober";"November";"Desember"}, 0)
        &gt;= MONTH(TODAY()),
      "AKTIF (Semester " &amp;
        (INT((12*(YEAR(TODAY())-M248) + MONTH(TODAY()) -
          MATCH(L248, {"Januari";"Februari";"Maret";"April";"Mei";"Juni";"Juli";"Agustus";"September";"Oktober";"November";"Desember"}, 0)) / 6) + 1) &amp; ")",
      "LULUS"
    ),
    "AKTIF (Semester " &amp;
      (INT((12*(YEAR(TODAY())-M248) + MONTH(TODAY()) -
        MATCH(L248, {"Januari";"Februari";"Maret";"April";"Mei";"Juni";"Juli";"Agustus";"September";"Oktober";"November";"Desember"}, 0)) / 6) + 1) &amp; ")"
  )
)</f>
        <v>LULUS</v>
      </c>
      <c r="T248" s="16" t="str">
        <f ca="1">IF(O248 &lt; YEAR(TODAY()), "LULUS",
 IF(O248 = YEAR(TODAY()),
    IF(MATCH(N248, {"Januari";"Februari";"Maret";"April";"Mei";"Juni";"Juli";"Agustus";"September";"Oktober";"November";"Desember"},0)
        &lt;= MONTH(TODAY()),
        "LULUS",
        "AKTIF"),
 "AKTIF"))</f>
        <v>LULUS</v>
      </c>
      <c r="U248" s="16" t="s">
        <v>29</v>
      </c>
      <c r="V248" s="15"/>
      <c r="W248" s="15"/>
      <c r="X248" s="15"/>
      <c r="Y248" s="15"/>
      <c r="Z248" s="15"/>
    </row>
    <row r="249" spans="1:26" ht="29" customHeight="1" x14ac:dyDescent="0.35">
      <c r="A249" s="12">
        <v>248</v>
      </c>
      <c r="B249" s="13" t="s">
        <v>947</v>
      </c>
      <c r="C249" s="14" t="s">
        <v>948</v>
      </c>
      <c r="D249" s="13"/>
      <c r="E249" s="26" t="str">
        <f t="shared" si="4"/>
        <v>Laki-Laki</v>
      </c>
      <c r="F249" s="13"/>
      <c r="G249" s="13" t="s">
        <v>909</v>
      </c>
      <c r="H249" s="15" t="s">
        <v>931</v>
      </c>
      <c r="I249" s="19" t="s">
        <v>90</v>
      </c>
      <c r="J249" s="12" t="s">
        <v>45</v>
      </c>
      <c r="K249" s="15" t="s">
        <v>905</v>
      </c>
      <c r="L249" s="15" t="s">
        <v>145</v>
      </c>
      <c r="M249" s="15">
        <v>2020</v>
      </c>
      <c r="N249" s="15" t="s">
        <v>145</v>
      </c>
      <c r="O249" s="15">
        <v>2024</v>
      </c>
      <c r="P249" s="15">
        <v>2020</v>
      </c>
      <c r="Q249" s="15"/>
      <c r="R249" s="16" t="s">
        <v>29</v>
      </c>
      <c r="S249" s="16" t="str">
        <f ca="1">IF(
  O249 &lt; YEAR(TODAY()),
  "LULUS",
  IF(
    O249 = YEAR(TODAY()),
    IF(
      MATCH(L249, {"Januari";"Februari";"Maret";"April";"Mei";"Juni";"Juli";"Agustus";"September";"Oktober";"November";"Desember"}, 0)
        &gt;= MONTH(TODAY()),
      "AKTIF (Semester " &amp;
        (INT((12*(YEAR(TODAY())-M249) + MONTH(TODAY()) -
          MATCH(L249, {"Januari";"Februari";"Maret";"April";"Mei";"Juni";"Juli";"Agustus";"September";"Oktober";"November";"Desember"}, 0)) / 6) + 1) &amp; ")",
      "LULUS"
    ),
    "AKTIF (Semester " &amp;
      (INT((12*(YEAR(TODAY())-M249) + MONTH(TODAY()) -
        MATCH(L249, {"Januari";"Februari";"Maret";"April";"Mei";"Juni";"Juli";"Agustus";"September";"Oktober";"November";"Desember"}, 0)) / 6) + 1) &amp; ")"
  )
)</f>
        <v>LULUS</v>
      </c>
      <c r="T249" s="16" t="str">
        <f ca="1">IF(O249 &lt; YEAR(TODAY()), "LULUS",
 IF(O249 = YEAR(TODAY()),
    IF(MATCH(N249, {"Januari";"Februari";"Maret";"April";"Mei";"Juni";"Juli";"Agustus";"September";"Oktober";"November";"Desember"},0)
        &lt;= MONTH(TODAY()),
        "LULUS",
        "AKTIF"),
 "AKTIF"))</f>
        <v>LULUS</v>
      </c>
      <c r="U249" s="16" t="s">
        <v>29</v>
      </c>
      <c r="V249" s="15"/>
      <c r="W249" s="15"/>
      <c r="X249" s="15"/>
      <c r="Y249" s="15"/>
      <c r="Z249" s="15"/>
    </row>
    <row r="250" spans="1:26" ht="29" customHeight="1" x14ac:dyDescent="0.35">
      <c r="A250" s="12">
        <v>249</v>
      </c>
      <c r="B250" s="13" t="s">
        <v>949</v>
      </c>
      <c r="C250" s="14" t="s">
        <v>950</v>
      </c>
      <c r="D250" s="13"/>
      <c r="E250" s="26" t="str">
        <f t="shared" si="4"/>
        <v>Laki-Laki</v>
      </c>
      <c r="F250" s="13"/>
      <c r="G250" s="13" t="s">
        <v>909</v>
      </c>
      <c r="H250" s="15" t="s">
        <v>931</v>
      </c>
      <c r="I250" s="19" t="s">
        <v>90</v>
      </c>
      <c r="J250" s="12" t="s">
        <v>45</v>
      </c>
      <c r="K250" s="15" t="s">
        <v>905</v>
      </c>
      <c r="L250" s="15" t="s">
        <v>182</v>
      </c>
      <c r="M250" s="15">
        <v>2017</v>
      </c>
      <c r="N250" s="15" t="s">
        <v>182</v>
      </c>
      <c r="O250" s="15">
        <v>2024</v>
      </c>
      <c r="P250" s="15">
        <v>2020</v>
      </c>
      <c r="Q250" s="15"/>
      <c r="R250" s="16" t="s">
        <v>51</v>
      </c>
      <c r="S250" s="16" t="str">
        <f ca="1">IF(
  O250 &lt; YEAR(TODAY()),
  "LULUS",
  IF(
    O250 = YEAR(TODAY()),
    IF(
      MATCH(L250, {"Januari";"Februari";"Maret";"April";"Mei";"Juni";"Juli";"Agustus";"September";"Oktober";"November";"Desember"}, 0)
        &gt;= MONTH(TODAY()),
      "AKTIF (Semester " &amp;
        (INT((12*(YEAR(TODAY())-M250) + MONTH(TODAY()) -
          MATCH(L250, {"Januari";"Februari";"Maret";"April";"Mei";"Juni";"Juli";"Agustus";"September";"Oktober";"November";"Desember"}, 0)) / 6) + 1) &amp; ")",
      "LULUS"
    ),
    "AKTIF (Semester " &amp;
      (INT((12*(YEAR(TODAY())-M250) + MONTH(TODAY()) -
        MATCH(L250, {"Januari";"Februari";"Maret";"April";"Mei";"Juni";"Juli";"Agustus";"September";"Oktober";"November";"Desember"}, 0)) / 6) + 1) &amp; ")"
  )
)</f>
        <v>LULUS</v>
      </c>
      <c r="T250" s="16" t="str">
        <f ca="1">IF(O250 &lt; YEAR(TODAY()), "LULUS",
 IF(O250 = YEAR(TODAY()),
    IF(MATCH(N250, {"Januari";"Februari";"Maret";"April";"Mei";"Juni";"Juli";"Agustus";"September";"Oktober";"November";"Desember"},0)
        &lt;= MONTH(TODAY()),
        "LULUS",
        "AKTIF"),
 "AKTIF"))</f>
        <v>LULUS</v>
      </c>
      <c r="U250" s="16" t="s">
        <v>29</v>
      </c>
      <c r="V250" s="15"/>
      <c r="W250" s="15"/>
      <c r="X250" s="15"/>
      <c r="Y250" s="15"/>
      <c r="Z250" s="15"/>
    </row>
    <row r="251" spans="1:26" ht="29" customHeight="1" x14ac:dyDescent="0.35">
      <c r="A251" s="12">
        <v>250</v>
      </c>
      <c r="B251" s="13" t="s">
        <v>951</v>
      </c>
      <c r="C251" s="14" t="s">
        <v>952</v>
      </c>
      <c r="D251" s="13"/>
      <c r="E251" s="26" t="str">
        <f t="shared" si="4"/>
        <v>Laki-Laki</v>
      </c>
      <c r="F251" s="13"/>
      <c r="G251" s="13" t="s">
        <v>909</v>
      </c>
      <c r="H251" s="15" t="s">
        <v>910</v>
      </c>
      <c r="I251" s="15" t="s">
        <v>241</v>
      </c>
      <c r="J251" s="12" t="s">
        <v>26</v>
      </c>
      <c r="K251" s="15" t="s">
        <v>953</v>
      </c>
      <c r="L251" s="12" t="s">
        <v>890</v>
      </c>
      <c r="M251" s="12">
        <v>2021</v>
      </c>
      <c r="N251" s="15" t="s">
        <v>890</v>
      </c>
      <c r="O251" s="15">
        <v>2024</v>
      </c>
      <c r="P251" s="15">
        <v>2021</v>
      </c>
      <c r="Q251" s="15"/>
      <c r="R251" s="34" t="s">
        <v>29</v>
      </c>
      <c r="S251" s="16" t="str">
        <f ca="1">IF(
  O251 &lt; YEAR(TODAY()),
  "LULUS",
  IF(
    O251 = YEAR(TODAY()),
    IF(
      MATCH(L251, {"Januari";"Februari";"Maret";"April";"Mei";"Juni";"Juli";"Agustus";"September";"Oktober";"November";"Desember"}, 0)
        &gt;= MONTH(TODAY()),
      "AKTIF (Semester " &amp;
        (INT((12*(YEAR(TODAY())-M251) + MONTH(TODAY()) -
          MATCH(L251, {"Januari";"Februari";"Maret";"April";"Mei";"Juni";"Juli";"Agustus";"September";"Oktober";"November";"Desember"}, 0)) / 6) + 1) &amp; ")",
      "LULUS"
    ),
    "AKTIF (Semester " &amp;
      (INT((12*(YEAR(TODAY())-M251) + MONTH(TODAY()) -
        MATCH(L251, {"Januari";"Februari";"Maret";"April";"Mei";"Juni";"Juli";"Agustus";"September";"Oktober";"November";"Desember"}, 0)) / 6) + 1) &amp; ")"
  )
)</f>
        <v>LULUS</v>
      </c>
      <c r="T251" s="16" t="str">
        <f ca="1">IF(O251 &lt; YEAR(TODAY()), "LULUS",
 IF(O251 = YEAR(TODAY()),
    IF(MATCH(N251, {"Januari";"Februari";"Maret";"April";"Mei";"Juni";"Juli";"Agustus";"September";"Oktober";"November";"Desember"},0)
        &lt;= MONTH(TODAY()),
        "LULUS",
        "AKTIF"),
 "AKTIF"))</f>
        <v>LULUS</v>
      </c>
      <c r="U251" s="16" t="s">
        <v>29</v>
      </c>
      <c r="V251" s="21"/>
      <c r="W251" s="21"/>
      <c r="X251" s="21"/>
      <c r="Y251" s="21"/>
      <c r="Z251" s="21"/>
    </row>
    <row r="252" spans="1:26" ht="29" customHeight="1" x14ac:dyDescent="0.35">
      <c r="A252" s="12">
        <v>251</v>
      </c>
      <c r="B252" s="13" t="s">
        <v>954</v>
      </c>
      <c r="C252" s="14" t="s">
        <v>955</v>
      </c>
      <c r="D252" s="13"/>
      <c r="E252" s="26" t="str">
        <f t="shared" si="4"/>
        <v>Laki-Laki</v>
      </c>
      <c r="F252" s="13"/>
      <c r="G252" s="13" t="s">
        <v>909</v>
      </c>
      <c r="H252" s="15" t="s">
        <v>915</v>
      </c>
      <c r="I252" s="19" t="s">
        <v>90</v>
      </c>
      <c r="J252" s="12" t="s">
        <v>45</v>
      </c>
      <c r="K252" s="15" t="s">
        <v>956</v>
      </c>
      <c r="L252" s="12" t="s">
        <v>890</v>
      </c>
      <c r="M252" s="12">
        <v>2021</v>
      </c>
      <c r="N252" s="15" t="s">
        <v>890</v>
      </c>
      <c r="O252" s="15">
        <v>2025</v>
      </c>
      <c r="P252" s="15">
        <v>2021</v>
      </c>
      <c r="Q252" s="15"/>
      <c r="R252" s="34" t="s">
        <v>51</v>
      </c>
      <c r="S252" s="16" t="str">
        <f ca="1">IF(
  O252 &lt; YEAR(TODAY()),
  "LULUS",
  IF(
    O252 = YEAR(TODAY()),
    IF(
      MATCH(L252, {"Januari";"Februari";"Maret";"April";"Mei";"Juni";"Juli";"Agustus";"September";"Oktober";"November";"Desember"}, 0)
        &gt;= MONTH(TODAY()),
      "AKTIF (Semester " &amp;
        (INT((12*(YEAR(TODAY())-M252) + MONTH(TODAY()) -
          MATCH(L252, {"Januari";"Februari";"Maret";"April";"Mei";"Juni";"Juli";"Agustus";"September";"Oktober";"November";"Desember"}, 0)) / 6) + 1) &amp; ")",
      "LULUS"
    ),
    "AKTIF (Semester " &amp;
      (INT((12*(YEAR(TODAY())-M252) + MONTH(TODAY()) -
        MATCH(L252, {"Januari";"Februari";"Maret";"April";"Mei";"Juni";"Juli";"Agustus";"September";"Oktober";"November";"Desember"}, 0)) / 6) + 1) &amp; ")"
  )
)</f>
        <v>LULUS</v>
      </c>
      <c r="T252" s="16" t="str">
        <f ca="1">IF(O252 &lt; YEAR(TODAY()), "LULUS",
 IF(O252 = YEAR(TODAY()),
    IF(MATCH(N252, {"Januari";"Februari";"Maret";"April";"Mei";"Juni";"Juli";"Agustus";"September";"Oktober";"November";"Desember"},0)
        &lt;= MONTH(TODAY()),
        "LULUS",
        "AKTIF"),
 "AKTIF"))</f>
        <v>LULUS</v>
      </c>
      <c r="U252" s="16" t="s">
        <v>29</v>
      </c>
      <c r="V252" s="21"/>
      <c r="W252" s="21"/>
      <c r="X252" s="21"/>
      <c r="Y252" s="21"/>
      <c r="Z252" s="21"/>
    </row>
    <row r="253" spans="1:26" ht="29" customHeight="1" x14ac:dyDescent="0.35">
      <c r="A253" s="12">
        <v>252</v>
      </c>
      <c r="B253" s="13" t="s">
        <v>957</v>
      </c>
      <c r="C253" s="14" t="s">
        <v>958</v>
      </c>
      <c r="D253" s="13"/>
      <c r="E253" s="26" t="str">
        <f t="shared" si="4"/>
        <v>Laki-Laki</v>
      </c>
      <c r="F253" s="13"/>
      <c r="G253" s="13" t="s">
        <v>909</v>
      </c>
      <c r="H253" s="15" t="s">
        <v>910</v>
      </c>
      <c r="I253" s="15" t="s">
        <v>911</v>
      </c>
      <c r="J253" s="12" t="s">
        <v>26</v>
      </c>
      <c r="K253" s="15" t="s">
        <v>221</v>
      </c>
      <c r="L253" s="12" t="s">
        <v>72</v>
      </c>
      <c r="M253" s="12">
        <v>2021</v>
      </c>
      <c r="N253" s="15" t="s">
        <v>72</v>
      </c>
      <c r="O253" s="15">
        <v>2023</v>
      </c>
      <c r="P253" s="15">
        <v>2021</v>
      </c>
      <c r="Q253" s="15"/>
      <c r="R253" s="34" t="s">
        <v>29</v>
      </c>
      <c r="S253" s="16" t="str">
        <f ca="1">IF(
  O253 &lt; YEAR(TODAY()),
  "LULUS",
  IF(
    O253 = YEAR(TODAY()),
    IF(
      MATCH(L253, {"Januari";"Februari";"Maret";"April";"Mei";"Juni";"Juli";"Agustus";"September";"Oktober";"November";"Desember"}, 0)
        &gt;= MONTH(TODAY()),
      "AKTIF (Semester " &amp;
        (INT((12*(YEAR(TODAY())-M253) + MONTH(TODAY()) -
          MATCH(L253, {"Januari";"Februari";"Maret";"April";"Mei";"Juni";"Juli";"Agustus";"September";"Oktober";"November";"Desember"}, 0)) / 6) + 1) &amp; ")",
      "LULUS"
    ),
    "AKTIF (Semester " &amp;
      (INT((12*(YEAR(TODAY())-M253) + MONTH(TODAY()) -
        MATCH(L253, {"Januari";"Februari";"Maret";"April";"Mei";"Juni";"Juli";"Agustus";"September";"Oktober";"November";"Desember"}, 0)) / 6) + 1) &amp; ")"
  )
)</f>
        <v>LULUS</v>
      </c>
      <c r="T253" s="16" t="str">
        <f ca="1">IF(O253 &lt; YEAR(TODAY()), "LULUS",
 IF(O253 = YEAR(TODAY()),
    IF(MATCH(N253, {"Januari";"Februari";"Maret";"April";"Mei";"Juni";"Juli";"Agustus";"September";"Oktober";"November";"Desember"},0)
        &lt;= MONTH(TODAY()),
        "LULUS",
        "AKTIF"),
 "AKTIF"))</f>
        <v>LULUS</v>
      </c>
      <c r="U253" s="16" t="s">
        <v>29</v>
      </c>
      <c r="V253" s="21"/>
      <c r="W253" s="21"/>
      <c r="X253" s="21"/>
      <c r="Y253" s="21"/>
      <c r="Z253" s="21"/>
    </row>
    <row r="254" spans="1:26" ht="29" customHeight="1" x14ac:dyDescent="0.35">
      <c r="A254" s="12">
        <v>253</v>
      </c>
      <c r="B254" s="13" t="s">
        <v>959</v>
      </c>
      <c r="C254" s="14" t="s">
        <v>960</v>
      </c>
      <c r="D254" s="13"/>
      <c r="E254" s="26" t="str">
        <f t="shared" si="4"/>
        <v>Laki-Laki</v>
      </c>
      <c r="F254" s="13"/>
      <c r="G254" s="13" t="s">
        <v>909</v>
      </c>
      <c r="H254" s="15" t="s">
        <v>961</v>
      </c>
      <c r="I254" s="15" t="s">
        <v>241</v>
      </c>
      <c r="J254" s="12" t="s">
        <v>242</v>
      </c>
      <c r="K254" s="15" t="s">
        <v>962</v>
      </c>
      <c r="L254" s="12" t="s">
        <v>72</v>
      </c>
      <c r="M254" s="12">
        <v>2021</v>
      </c>
      <c r="N254" s="15" t="s">
        <v>890</v>
      </c>
      <c r="O254" s="15">
        <v>2024</v>
      </c>
      <c r="P254" s="15">
        <v>2021</v>
      </c>
      <c r="Q254" s="15"/>
      <c r="R254" s="34" t="s">
        <v>29</v>
      </c>
      <c r="S254" s="16" t="str">
        <f ca="1">IF(
  O254 &lt; YEAR(TODAY()),
  "LULUS",
  IF(
    O254 = YEAR(TODAY()),
    IF(
      MATCH(L254, {"Januari";"Februari";"Maret";"April";"Mei";"Juni";"Juli";"Agustus";"September";"Oktober";"November";"Desember"}, 0)
        &gt;= MONTH(TODAY()),
      "AKTIF (Semester " &amp;
        (INT((12*(YEAR(TODAY())-M254) + MONTH(TODAY()) -
          MATCH(L254, {"Januari";"Februari";"Maret";"April";"Mei";"Juni";"Juli";"Agustus";"September";"Oktober";"November";"Desember"}, 0)) / 6) + 1) &amp; ")",
      "LULUS"
    ),
    "AKTIF (Semester " &amp;
      (INT((12*(YEAR(TODAY())-M254) + MONTH(TODAY()) -
        MATCH(L254, {"Januari";"Februari";"Maret";"April";"Mei";"Juni";"Juli";"Agustus";"September";"Oktober";"November";"Desember"}, 0)) / 6) + 1) &amp; ")"
  )
)</f>
        <v>LULUS</v>
      </c>
      <c r="T254" s="16" t="str">
        <f ca="1">IF(O254 &lt; YEAR(TODAY()), "LULUS",
 IF(O254 = YEAR(TODAY()),
    IF(MATCH(N254, {"Januari";"Februari";"Maret";"April";"Mei";"Juni";"Juli";"Agustus";"September";"Oktober";"November";"Desember"},0)
        &lt;= MONTH(TODAY()),
        "LULUS",
        "AKTIF"),
 "AKTIF"))</f>
        <v>LULUS</v>
      </c>
      <c r="U254" s="16" t="s">
        <v>29</v>
      </c>
      <c r="V254" s="21"/>
      <c r="W254" s="21"/>
      <c r="X254" s="21"/>
      <c r="Y254" s="21"/>
      <c r="Z254" s="21"/>
    </row>
    <row r="255" spans="1:26" ht="29" customHeight="1" x14ac:dyDescent="0.35">
      <c r="A255" s="12">
        <v>254</v>
      </c>
      <c r="B255" s="13" t="s">
        <v>963</v>
      </c>
      <c r="C255" s="14" t="s">
        <v>964</v>
      </c>
      <c r="D255" s="13"/>
      <c r="E255" s="26" t="str">
        <f t="shared" si="4"/>
        <v>Perempuan</v>
      </c>
      <c r="F255" s="13"/>
      <c r="G255" s="13" t="s">
        <v>909</v>
      </c>
      <c r="H255" s="15" t="s">
        <v>965</v>
      </c>
      <c r="I255" s="19" t="s">
        <v>90</v>
      </c>
      <c r="J255" s="12" t="s">
        <v>45</v>
      </c>
      <c r="K255" s="15" t="s">
        <v>905</v>
      </c>
      <c r="L255" s="12" t="s">
        <v>113</v>
      </c>
      <c r="M255" s="12">
        <v>2021</v>
      </c>
      <c r="N255" s="15" t="s">
        <v>113</v>
      </c>
      <c r="O255" s="15">
        <v>2023</v>
      </c>
      <c r="P255" s="15">
        <v>2021</v>
      </c>
      <c r="Q255" s="15"/>
      <c r="R255" s="34" t="s">
        <v>29</v>
      </c>
      <c r="S255" s="16" t="str">
        <f ca="1">IF(
  O255 &lt; YEAR(TODAY()),
  "LULUS",
  IF(
    O255 = YEAR(TODAY()),
    IF(
      MATCH(L255, {"Januari";"Februari";"Maret";"April";"Mei";"Juni";"Juli";"Agustus";"September";"Oktober";"November";"Desember"}, 0)
        &gt;= MONTH(TODAY()),
      "AKTIF (Semester " &amp;
        (INT((12*(YEAR(TODAY())-M255) + MONTH(TODAY()) -
          MATCH(L255, {"Januari";"Februari";"Maret";"April";"Mei";"Juni";"Juli";"Agustus";"September";"Oktober";"November";"Desember"}, 0)) / 6) + 1) &amp; ")",
      "LULUS"
    ),
    "AKTIF (Semester " &amp;
      (INT((12*(YEAR(TODAY())-M255) + MONTH(TODAY()) -
        MATCH(L255, {"Januari";"Februari";"Maret";"April";"Mei";"Juni";"Juli";"Agustus";"September";"Oktober";"November";"Desember"}, 0)) / 6) + 1) &amp; ")"
  )
)</f>
        <v>LULUS</v>
      </c>
      <c r="T255" s="16" t="str">
        <f ca="1">IF(O255 &lt; YEAR(TODAY()), "LULUS",
 IF(O255 = YEAR(TODAY()),
    IF(MATCH(N255, {"Januari";"Februari";"Maret";"April";"Mei";"Juni";"Juli";"Agustus";"September";"Oktober";"November";"Desember"},0)
        &lt;= MONTH(TODAY()),
        "LULUS",
        "AKTIF"),
 "AKTIF"))</f>
        <v>LULUS</v>
      </c>
      <c r="U255" s="16" t="s">
        <v>29</v>
      </c>
      <c r="V255" s="21"/>
      <c r="W255" s="21"/>
      <c r="X255" s="21"/>
      <c r="Y255" s="21"/>
      <c r="Z255" s="21"/>
    </row>
    <row r="256" spans="1:26" ht="29" customHeight="1" x14ac:dyDescent="0.35">
      <c r="A256" s="12">
        <v>255</v>
      </c>
      <c r="B256" s="13" t="s">
        <v>966</v>
      </c>
      <c r="C256" s="14" t="s">
        <v>967</v>
      </c>
      <c r="D256" s="13"/>
      <c r="E256" s="26" t="str">
        <f t="shared" si="4"/>
        <v>Perempuan</v>
      </c>
      <c r="F256" s="13"/>
      <c r="G256" s="13" t="s">
        <v>909</v>
      </c>
      <c r="H256" s="15" t="s">
        <v>931</v>
      </c>
      <c r="I256" s="134" t="s">
        <v>56</v>
      </c>
      <c r="J256" s="12" t="s">
        <v>26</v>
      </c>
      <c r="K256" s="15" t="s">
        <v>57</v>
      </c>
      <c r="L256" s="23" t="s">
        <v>60</v>
      </c>
      <c r="M256" s="21">
        <v>2022</v>
      </c>
      <c r="N256" s="15" t="s">
        <v>60</v>
      </c>
      <c r="O256" s="15">
        <v>2024</v>
      </c>
      <c r="P256" s="15">
        <v>2022</v>
      </c>
      <c r="Q256" s="15"/>
      <c r="R256" s="16" t="s">
        <v>29</v>
      </c>
      <c r="S256" s="16" t="str">
        <f ca="1">IF(
  O256 &lt; YEAR(TODAY()),
  "LULUS",
  IF(
    O256 = YEAR(TODAY()),
    IF(
      MATCH(L256, {"Januari";"Februari";"Maret";"April";"Mei";"Juni";"Juli";"Agustus";"September";"Oktober";"November";"Desember"}, 0)
        &gt;= MONTH(TODAY()),
      "AKTIF (Semester " &amp;
        (INT((12*(YEAR(TODAY())-M256) + MONTH(TODAY()) -
          MATCH(L256, {"Januari";"Februari";"Maret";"April";"Mei";"Juni";"Juli";"Agustus";"September";"Oktober";"November";"Desember"}, 0)) / 6) + 1) &amp; ")",
      "LULUS"
    ),
    "AKTIF (Semester " &amp;
      (INT((12*(YEAR(TODAY())-M256) + MONTH(TODAY()) -
        MATCH(L256, {"Januari";"Februari";"Maret";"April";"Mei";"Juni";"Juli";"Agustus";"September";"Oktober";"November";"Desember"}, 0)) / 6) + 1) &amp; ")"
  )
)</f>
        <v>LULUS</v>
      </c>
      <c r="T256" s="16" t="str">
        <f ca="1">IF(O256 &lt; YEAR(TODAY()), "LULUS",
 IF(O256 = YEAR(TODAY()),
    IF(MATCH(N256, {"Januari";"Februari";"Maret";"April";"Mei";"Juni";"Juli";"Agustus";"September";"Oktober";"November";"Desember"},0)
        &lt;= MONTH(TODAY()),
        "LULUS",
        "AKTIF"),
 "AKTIF"))</f>
        <v>LULUS</v>
      </c>
      <c r="U256" s="16" t="s">
        <v>29</v>
      </c>
      <c r="V256" s="15"/>
      <c r="W256" s="15"/>
      <c r="X256" s="15"/>
      <c r="Y256" s="15"/>
      <c r="Z256" s="15"/>
    </row>
    <row r="257" spans="1:26" ht="29" customHeight="1" x14ac:dyDescent="0.35">
      <c r="A257" s="12">
        <v>256</v>
      </c>
      <c r="B257" s="13" t="s">
        <v>969</v>
      </c>
      <c r="C257" s="14" t="s">
        <v>970</v>
      </c>
      <c r="D257" s="13"/>
      <c r="E257" s="26" t="str">
        <f t="shared" si="4"/>
        <v>Laki-Laki</v>
      </c>
      <c r="F257" s="13"/>
      <c r="G257" s="13" t="s">
        <v>909</v>
      </c>
      <c r="H257" s="15" t="s">
        <v>971</v>
      </c>
      <c r="I257" s="134" t="s">
        <v>56</v>
      </c>
      <c r="J257" s="12" t="s">
        <v>26</v>
      </c>
      <c r="K257" s="15" t="s">
        <v>57</v>
      </c>
      <c r="L257" s="23" t="s">
        <v>60</v>
      </c>
      <c r="M257" s="21">
        <v>2022</v>
      </c>
      <c r="N257" s="15" t="s">
        <v>60</v>
      </c>
      <c r="O257" s="15">
        <v>2024</v>
      </c>
      <c r="P257" s="15">
        <v>2022</v>
      </c>
      <c r="Q257" s="15"/>
      <c r="R257" s="16" t="s">
        <v>29</v>
      </c>
      <c r="S257" s="16" t="str">
        <f ca="1">IF(
  O257 &lt; YEAR(TODAY()),
  "LULUS",
  IF(
    O257 = YEAR(TODAY()),
    IF(
      MATCH(L257, {"Januari";"Februari";"Maret";"April";"Mei";"Juni";"Juli";"Agustus";"September";"Oktober";"November";"Desember"}, 0)
        &gt;= MONTH(TODAY()),
      "AKTIF (Semester " &amp;
        (INT((12*(YEAR(TODAY())-M257) + MONTH(TODAY()) -
          MATCH(L257, {"Januari";"Februari";"Maret";"April";"Mei";"Juni";"Juli";"Agustus";"September";"Oktober";"November";"Desember"}, 0)) / 6) + 1) &amp; ")",
      "LULUS"
    ),
    "AKTIF (Semester " &amp;
      (INT((12*(YEAR(TODAY())-M257) + MONTH(TODAY()) -
        MATCH(L257, {"Januari";"Februari";"Maret";"April";"Mei";"Juni";"Juli";"Agustus";"September";"Oktober";"November";"Desember"}, 0)) / 6) + 1) &amp; ")"
  )
)</f>
        <v>LULUS</v>
      </c>
      <c r="T257" s="16" t="str">
        <f ca="1">IF(O257 &lt; YEAR(TODAY()), "LULUS",
 IF(O257 = YEAR(TODAY()),
    IF(MATCH(N257, {"Januari";"Februari";"Maret";"April";"Mei";"Juni";"Juli";"Agustus";"September";"Oktober";"November";"Desember"},0)
        &lt;= MONTH(TODAY()),
        "LULUS",
        "AKTIF"),
 "AKTIF"))</f>
        <v>LULUS</v>
      </c>
      <c r="U257" s="16" t="s">
        <v>29</v>
      </c>
      <c r="V257" s="15"/>
      <c r="W257" s="15"/>
      <c r="X257" s="15"/>
      <c r="Y257" s="15"/>
      <c r="Z257" s="15"/>
    </row>
    <row r="258" spans="1:26" ht="29" customHeight="1" x14ac:dyDescent="0.35">
      <c r="A258" s="12">
        <v>257</v>
      </c>
      <c r="B258" s="13" t="s">
        <v>972</v>
      </c>
      <c r="C258" s="14" t="s">
        <v>973</v>
      </c>
      <c r="D258" s="13"/>
      <c r="E258" s="26" t="str">
        <f t="shared" si="4"/>
        <v>Perempuan</v>
      </c>
      <c r="F258" s="13"/>
      <c r="G258" s="13" t="s">
        <v>909</v>
      </c>
      <c r="H258" s="15" t="s">
        <v>931</v>
      </c>
      <c r="I258" s="19" t="s">
        <v>90</v>
      </c>
      <c r="J258" s="12" t="s">
        <v>45</v>
      </c>
      <c r="K258" s="15" t="s">
        <v>196</v>
      </c>
      <c r="L258" s="23" t="s">
        <v>72</v>
      </c>
      <c r="M258" s="21">
        <v>2022</v>
      </c>
      <c r="N258" s="15" t="s">
        <v>72</v>
      </c>
      <c r="O258" s="15">
        <v>2026</v>
      </c>
      <c r="P258" s="15">
        <v>2022</v>
      </c>
      <c r="Q258" s="15"/>
      <c r="R258" s="16" t="s">
        <v>51</v>
      </c>
      <c r="S258" s="16" t="str">
        <f ca="1">IF(
  O258 &lt; YEAR(TODAY()),
  "LULUS",
  IF(
    O258 = YEAR(TODAY()),
    IF(
      MATCH(L258, {"Januari";"Februari";"Maret";"April";"Mei";"Juni";"Juli";"Agustus";"September";"Oktober";"November";"Desember"}, 0)
        &gt;= MONTH(TODAY()),
      "AKTIF (Semester " &amp;
        (INT((12*(YEAR(TODAY())-M258) + MONTH(TODAY()) -
          MATCH(L258, {"Januari";"Februari";"Maret";"April";"Mei";"Juni";"Juli";"Agustus";"September";"Oktober";"November";"Desember"}, 0)) / 6) + 1) &amp; ")",
      "LULUS"
    ),
    "AKTIF (Semester " &amp;
      (INT((12*(YEAR(TODAY())-M258) + MONTH(TODAY()) -
        MATCH(L258, {"Januari";"Februari";"Maret";"April";"Mei";"Juni";"Juli";"Agustus";"September";"Oktober";"November";"Desember"}, 0)) / 6) + 1) &amp; ")"
  )
)</f>
        <v>AKTIF (Semester 8)</v>
      </c>
      <c r="T258" s="16" t="str">
        <f ca="1">IF(O258 &lt; YEAR(TODAY()), "LULUS",
 IF(O258 = YEAR(TODAY()),
    IF(MATCH(N258, {"Januari";"Februari";"Maret";"April";"Mei";"Juni";"Juli";"Agustus";"September";"Oktober";"November";"Desember"},0)
        &lt;= MONTH(TODAY()),
        "LULUS",
        "AKTIF"),
 "AKTIF"))</f>
        <v>AKTIF</v>
      </c>
      <c r="U258" s="16" t="s">
        <v>2944</v>
      </c>
      <c r="V258" s="15"/>
      <c r="W258" s="15"/>
      <c r="X258" s="15"/>
      <c r="Y258" s="15"/>
      <c r="Z258" s="15"/>
    </row>
    <row r="259" spans="1:26" ht="29" customHeight="1" x14ac:dyDescent="0.35">
      <c r="A259" s="12">
        <v>258</v>
      </c>
      <c r="B259" s="13" t="s">
        <v>974</v>
      </c>
      <c r="C259" s="14" t="s">
        <v>975</v>
      </c>
      <c r="D259" s="13"/>
      <c r="E259" s="26" t="str">
        <f t="shared" si="4"/>
        <v>Laki-Laki</v>
      </c>
      <c r="F259" s="13"/>
      <c r="G259" s="13" t="s">
        <v>909</v>
      </c>
      <c r="H259" s="15" t="s">
        <v>931</v>
      </c>
      <c r="I259" s="19" t="s">
        <v>90</v>
      </c>
      <c r="J259" s="12" t="s">
        <v>45</v>
      </c>
      <c r="K259" s="15" t="s">
        <v>905</v>
      </c>
      <c r="L259" s="23" t="s">
        <v>72</v>
      </c>
      <c r="M259" s="21">
        <v>2022</v>
      </c>
      <c r="N259" s="15" t="s">
        <v>72</v>
      </c>
      <c r="O259" s="15">
        <v>2026</v>
      </c>
      <c r="P259" s="15">
        <v>2022</v>
      </c>
      <c r="Q259" s="15"/>
      <c r="R259" s="16" t="s">
        <v>51</v>
      </c>
      <c r="S259" s="16" t="str">
        <f ca="1">IF(
  O259 &lt; YEAR(TODAY()),
  "LULUS",
  IF(
    O259 = YEAR(TODAY()),
    IF(
      MATCH(L259, {"Januari";"Februari";"Maret";"April";"Mei";"Juni";"Juli";"Agustus";"September";"Oktober";"November";"Desember"}, 0)
        &gt;= MONTH(TODAY()),
      "AKTIF (Semester " &amp;
        (INT((12*(YEAR(TODAY())-M259) + MONTH(TODAY()) -
          MATCH(L259, {"Januari";"Februari";"Maret";"April";"Mei";"Juni";"Juli";"Agustus";"September";"Oktober";"November";"Desember"}, 0)) / 6) + 1) &amp; ")",
      "LULUS"
    ),
    "AKTIF (Semester " &amp;
      (INT((12*(YEAR(TODAY())-M259) + MONTH(TODAY()) -
        MATCH(L259, {"Januari";"Februari";"Maret";"April";"Mei";"Juni";"Juli";"Agustus";"September";"Oktober";"November";"Desember"}, 0)) / 6) + 1) &amp; ")"
  )
)</f>
        <v>AKTIF (Semester 8)</v>
      </c>
      <c r="T259" s="16" t="str">
        <f ca="1">IF(O259 &lt; YEAR(TODAY()), "LULUS",
 IF(O259 = YEAR(TODAY()),
    IF(MATCH(N259, {"Januari";"Februari";"Maret";"April";"Mei";"Juni";"Juli";"Agustus";"September";"Oktober";"November";"Desember"},0)
        &lt;= MONTH(TODAY()),
        "LULUS",
        "AKTIF"),
 "AKTIF"))</f>
        <v>AKTIF</v>
      </c>
      <c r="U259" s="16" t="s">
        <v>2944</v>
      </c>
      <c r="V259" s="15"/>
      <c r="W259" s="15"/>
      <c r="X259" s="15"/>
      <c r="Y259" s="15"/>
      <c r="Z259" s="15"/>
    </row>
    <row r="260" spans="1:26" ht="29" customHeight="1" x14ac:dyDescent="0.35">
      <c r="A260" s="12">
        <v>259</v>
      </c>
      <c r="B260" s="13" t="s">
        <v>976</v>
      </c>
      <c r="C260" s="14" t="s">
        <v>977</v>
      </c>
      <c r="D260" s="13"/>
      <c r="E260" s="26" t="str">
        <f t="shared" si="4"/>
        <v>Laki-Laki</v>
      </c>
      <c r="F260" s="13"/>
      <c r="G260" s="13" t="s">
        <v>909</v>
      </c>
      <c r="H260" s="15" t="s">
        <v>910</v>
      </c>
      <c r="I260" s="19" t="s">
        <v>90</v>
      </c>
      <c r="J260" s="12" t="s">
        <v>26</v>
      </c>
      <c r="K260" s="15" t="s">
        <v>394</v>
      </c>
      <c r="L260" s="23" t="s">
        <v>28</v>
      </c>
      <c r="M260" s="21">
        <v>2022</v>
      </c>
      <c r="N260" s="15" t="s">
        <v>28</v>
      </c>
      <c r="O260" s="15">
        <v>2024</v>
      </c>
      <c r="P260" s="15">
        <v>2022</v>
      </c>
      <c r="Q260" s="15"/>
      <c r="R260" s="16" t="s">
        <v>51</v>
      </c>
      <c r="S260" s="16" t="str">
        <f ca="1">IF(
  O260 &lt; YEAR(TODAY()),
  "LULUS",
  IF(
    O260 = YEAR(TODAY()),
    IF(
      MATCH(L260, {"Januari";"Februari";"Maret";"April";"Mei";"Juni";"Juli";"Agustus";"September";"Oktober";"November";"Desember"}, 0)
        &gt;= MONTH(TODAY()),
      "AKTIF (Semester " &amp;
        (INT((12*(YEAR(TODAY())-M260) + MONTH(TODAY()) -
          MATCH(L260, {"Januari";"Februari";"Maret";"April";"Mei";"Juni";"Juli";"Agustus";"September";"Oktober";"November";"Desember"}, 0)) / 6) + 1) &amp; ")",
      "LULUS"
    ),
    "AKTIF (Semester " &amp;
      (INT((12*(YEAR(TODAY())-M260) + MONTH(TODAY()) -
        MATCH(L260, {"Januari";"Februari";"Maret";"April";"Mei";"Juni";"Juli";"Agustus";"September";"Oktober";"November";"Desember"}, 0)) / 6) + 1) &amp; ")"
  )
)</f>
        <v>LULUS</v>
      </c>
      <c r="T260" s="16" t="str">
        <f ca="1">IF(O260 &lt; YEAR(TODAY()), "LULUS",
 IF(O260 = YEAR(TODAY()),
    IF(MATCH(N260, {"Januari";"Februari";"Maret";"April";"Mei";"Juni";"Juli";"Agustus";"September";"Oktober";"November";"Desember"},0)
        &lt;= MONTH(TODAY()),
        "LULUS",
        "AKTIF"),
 "AKTIF"))</f>
        <v>LULUS</v>
      </c>
      <c r="U260" s="16" t="s">
        <v>29</v>
      </c>
      <c r="V260" s="15"/>
      <c r="W260" s="15"/>
      <c r="X260" s="15"/>
      <c r="Y260" s="15"/>
      <c r="Z260" s="15"/>
    </row>
    <row r="261" spans="1:26" ht="29" customHeight="1" x14ac:dyDescent="0.35">
      <c r="A261" s="12">
        <v>260</v>
      </c>
      <c r="B261" s="13" t="s">
        <v>978</v>
      </c>
      <c r="C261" s="14" t="s">
        <v>979</v>
      </c>
      <c r="D261" s="13"/>
      <c r="E261" s="26" t="str">
        <f t="shared" si="4"/>
        <v>Perempuan</v>
      </c>
      <c r="F261" s="13"/>
      <c r="G261" s="13" t="s">
        <v>909</v>
      </c>
      <c r="H261" s="15" t="s">
        <v>980</v>
      </c>
      <c r="I261" s="15" t="s">
        <v>39</v>
      </c>
      <c r="J261" s="12" t="s">
        <v>26</v>
      </c>
      <c r="K261" s="15" t="s">
        <v>46</v>
      </c>
      <c r="L261" s="15" t="s">
        <v>60</v>
      </c>
      <c r="M261" s="21">
        <v>2022</v>
      </c>
      <c r="N261" s="15" t="s">
        <v>60</v>
      </c>
      <c r="O261" s="15">
        <v>2024</v>
      </c>
      <c r="P261" s="15">
        <v>2022</v>
      </c>
      <c r="Q261" s="15"/>
      <c r="R261" s="16" t="s">
        <v>29</v>
      </c>
      <c r="S261" s="16" t="str">
        <f ca="1">IF(
  O261 &lt; YEAR(TODAY()),
  "LULUS",
  IF(
    O261 = YEAR(TODAY()),
    IF(
      MATCH(L261, {"Januari";"Februari";"Maret";"April";"Mei";"Juni";"Juli";"Agustus";"September";"Oktober";"November";"Desember"}, 0)
        &gt;= MONTH(TODAY()),
      "AKTIF (Semester " &amp;
        (INT((12*(YEAR(TODAY())-M261) + MONTH(TODAY()) -
          MATCH(L261, {"Januari";"Februari";"Maret";"April";"Mei";"Juni";"Juli";"Agustus";"September";"Oktober";"November";"Desember"}, 0)) / 6) + 1) &amp; ")",
      "LULUS"
    ),
    "AKTIF (Semester " &amp;
      (INT((12*(YEAR(TODAY())-M261) + MONTH(TODAY()) -
        MATCH(L261, {"Januari";"Februari";"Maret";"April";"Mei";"Juni";"Juli";"Agustus";"September";"Oktober";"November";"Desember"}, 0)) / 6) + 1) &amp; ")"
  )
)</f>
        <v>LULUS</v>
      </c>
      <c r="T261" s="16" t="str">
        <f ca="1">IF(O261 &lt; YEAR(TODAY()), "LULUS",
 IF(O261 = YEAR(TODAY()),
    IF(MATCH(N261, {"Januari";"Februari";"Maret";"April";"Mei";"Juni";"Juli";"Agustus";"September";"Oktober";"November";"Desember"},0)
        &lt;= MONTH(TODAY()),
        "LULUS",
        "AKTIF"),
 "AKTIF"))</f>
        <v>LULUS</v>
      </c>
      <c r="U261" s="16" t="s">
        <v>29</v>
      </c>
      <c r="V261" s="15"/>
      <c r="W261" s="15"/>
      <c r="X261" s="15"/>
      <c r="Y261" s="15"/>
      <c r="Z261" s="15"/>
    </row>
    <row r="262" spans="1:26" ht="29" customHeight="1" x14ac:dyDescent="0.35">
      <c r="A262" s="12">
        <v>261</v>
      </c>
      <c r="B262" s="62" t="s">
        <v>981</v>
      </c>
      <c r="C262" s="63" t="s">
        <v>982</v>
      </c>
      <c r="D262" s="24" t="s">
        <v>382</v>
      </c>
      <c r="E262" s="26" t="str">
        <f t="shared" si="4"/>
        <v>Laki-Laki</v>
      </c>
      <c r="F262" s="64" t="s">
        <v>983</v>
      </c>
      <c r="G262" s="13" t="s">
        <v>909</v>
      </c>
      <c r="H262" s="19" t="s">
        <v>984</v>
      </c>
      <c r="I262" s="19" t="s">
        <v>90</v>
      </c>
      <c r="J262" s="20" t="s">
        <v>45</v>
      </c>
      <c r="K262" s="19" t="s">
        <v>985</v>
      </c>
      <c r="L262" s="86" t="s">
        <v>72</v>
      </c>
      <c r="M262" s="15">
        <v>2023</v>
      </c>
      <c r="N262" s="15" t="s">
        <v>912</v>
      </c>
      <c r="O262" s="15">
        <v>2027</v>
      </c>
      <c r="P262" s="15">
        <v>2023</v>
      </c>
      <c r="Q262" s="15"/>
      <c r="R262" s="16" t="s">
        <v>51</v>
      </c>
      <c r="S262" s="16" t="str">
        <f ca="1">IF(
  O262 &lt; YEAR(TODAY()),
  "LULUS",
  IF(
    O262 = YEAR(TODAY()),
    IF(
      MATCH(L262, {"Januari";"Februari";"Maret";"April";"Mei";"Juni";"Juli";"Agustus";"September";"Oktober";"November";"Desember"}, 0)
        &gt;= MONTH(TODAY()),
      "AKTIF (Semester " &amp;
        (INT((12*(YEAR(TODAY())-M262) + MONTH(TODAY()) -
          MATCH(L262, {"Januari";"Februari";"Maret";"April";"Mei";"Juni";"Juli";"Agustus";"September";"Oktober";"November";"Desember"}, 0)) / 6) + 1) &amp; ")",
      "LULUS"
    ),
    "AKTIF (Semester " &amp;
      (INT((12*(YEAR(TODAY())-M262) + MONTH(TODAY()) -
        MATCH(L262, {"Januari";"Februari";"Maret";"April";"Mei";"Juni";"Juli";"Agustus";"September";"Oktober";"November";"Desember"}, 0)) / 6) + 1) &amp; ")"
  )
)</f>
        <v>AKTIF (Semester 6)</v>
      </c>
      <c r="T262" s="16" t="str">
        <f ca="1">IF(O262 &lt; YEAR(TODAY()), "LULUS",
 IF(O262 = YEAR(TODAY()),
    IF(MATCH(N262, {"Januari";"Februari";"Maret";"April";"Mei";"Juni";"Juli";"Agustus";"September";"Oktober";"November";"Desember"},0)
        &lt;= MONTH(TODAY()),
        "LULUS",
        "AKTIF"),
 "AKTIF"))</f>
        <v>AKTIF</v>
      </c>
      <c r="U262" s="16" t="s">
        <v>2938</v>
      </c>
      <c r="V262" s="15"/>
      <c r="W262" s="15"/>
      <c r="X262" s="15"/>
      <c r="Y262" s="15"/>
      <c r="Z262" s="15"/>
    </row>
    <row r="263" spans="1:26" ht="29" customHeight="1" x14ac:dyDescent="0.35">
      <c r="A263" s="12">
        <v>262</v>
      </c>
      <c r="B263" s="66" t="s">
        <v>986</v>
      </c>
      <c r="C263" s="63" t="s">
        <v>987</v>
      </c>
      <c r="D263" s="24" t="s">
        <v>109</v>
      </c>
      <c r="E263" s="26" t="str">
        <f t="shared" si="4"/>
        <v>Laki-Laki</v>
      </c>
      <c r="F263" s="64" t="s">
        <v>672</v>
      </c>
      <c r="G263" s="13" t="s">
        <v>909</v>
      </c>
      <c r="H263" s="19" t="s">
        <v>988</v>
      </c>
      <c r="I263" s="19" t="s">
        <v>1095</v>
      </c>
      <c r="J263" s="12" t="s">
        <v>26</v>
      </c>
      <c r="K263" s="19" t="s">
        <v>985</v>
      </c>
      <c r="L263" s="29" t="s">
        <v>28</v>
      </c>
      <c r="M263" s="15">
        <v>2023</v>
      </c>
      <c r="N263" s="15" t="s">
        <v>682</v>
      </c>
      <c r="O263" s="15">
        <v>2025</v>
      </c>
      <c r="P263" s="15">
        <v>2023</v>
      </c>
      <c r="Q263" s="15"/>
      <c r="R263" s="16" t="s">
        <v>51</v>
      </c>
      <c r="S263" s="16" t="str">
        <f ca="1">IF(
  O263 &lt; YEAR(TODAY()),
  "LULUS",
  IF(
    O263 = YEAR(TODAY()),
    IF(
      MATCH(L263, {"Januari";"Februari";"Maret";"April";"Mei";"Juni";"Juli";"Agustus";"September";"Oktober";"November";"Desember"}, 0)
        &gt;= MONTH(TODAY()),
      "AKTIF (Semester " &amp;
        (INT((12*(YEAR(TODAY())-M263) + MONTH(TODAY()) -
          MATCH(L263, {"Januari";"Februari";"Maret";"April";"Mei";"Juni";"Juli";"Agustus";"September";"Oktober";"November";"Desember"}, 0)) / 6) + 1) &amp; ")",
      "LULUS"
    ),
    "AKTIF (Semester " &amp;
      (INT((12*(YEAR(TODAY())-M263) + MONTH(TODAY()) -
        MATCH(L263, {"Januari";"Februari";"Maret";"April";"Mei";"Juni";"Juli";"Agustus";"September";"Oktober";"November";"Desember"}, 0)) / 6) + 1) &amp; ")"
  )
)</f>
        <v>LULUS</v>
      </c>
      <c r="T263" s="16" t="e">
        <f ca="1">IF(O263 &lt; YEAR(TODAY()), "LULUS",
 IF(O263 = YEAR(TODAY()),
    IF(MATCH(N263, {"Januari";"Februari";"Maret";"April";"Mei";"Juni";"Juli";"Agustus";"September";"Oktober";"November";"Desember"},0)
        &lt;= MONTH(TODAY()),
        "LULUS",
        "AKTIF"),
 "AKTIF"))</f>
        <v>#N/A</v>
      </c>
      <c r="U263" s="16" t="s">
        <v>29</v>
      </c>
      <c r="V263" s="15"/>
      <c r="W263" s="15"/>
      <c r="X263" s="15"/>
      <c r="Y263" s="15"/>
      <c r="Z263" s="15"/>
    </row>
    <row r="264" spans="1:26" ht="29" customHeight="1" x14ac:dyDescent="0.35">
      <c r="A264" s="12">
        <v>263</v>
      </c>
      <c r="B264" s="62" t="s">
        <v>990</v>
      </c>
      <c r="C264" s="63" t="s">
        <v>991</v>
      </c>
      <c r="D264" s="24" t="s">
        <v>791</v>
      </c>
      <c r="E264" s="26" t="str">
        <f t="shared" si="4"/>
        <v>Laki-Laki</v>
      </c>
      <c r="F264" s="64" t="s">
        <v>992</v>
      </c>
      <c r="G264" s="13" t="s">
        <v>909</v>
      </c>
      <c r="H264" s="19" t="s">
        <v>993</v>
      </c>
      <c r="I264" s="19" t="s">
        <v>1095</v>
      </c>
      <c r="J264" s="12" t="s">
        <v>26</v>
      </c>
      <c r="K264" s="19" t="s">
        <v>985</v>
      </c>
      <c r="L264" s="29" t="s">
        <v>28</v>
      </c>
      <c r="M264" s="15">
        <v>2023</v>
      </c>
      <c r="N264" s="15" t="s">
        <v>682</v>
      </c>
      <c r="O264" s="15">
        <v>2025</v>
      </c>
      <c r="P264" s="15">
        <v>2023</v>
      </c>
      <c r="Q264" s="15"/>
      <c r="R264" s="16" t="s">
        <v>51</v>
      </c>
      <c r="S264" s="16" t="str">
        <f ca="1">IF(
  O264 &lt; YEAR(TODAY()),
  "LULUS",
  IF(
    O264 = YEAR(TODAY()),
    IF(
      MATCH(L264, {"Januari";"Februari";"Maret";"April";"Mei";"Juni";"Juli";"Agustus";"September";"Oktober";"November";"Desember"}, 0)
        &gt;= MONTH(TODAY()),
      "AKTIF (Semester " &amp;
        (INT((12*(YEAR(TODAY())-M264) + MONTH(TODAY()) -
          MATCH(L264, {"Januari";"Februari";"Maret";"April";"Mei";"Juni";"Juli";"Agustus";"September";"Oktober";"November";"Desember"}, 0)) / 6) + 1) &amp; ")",
      "LULUS"
    ),
    "AKTIF (Semester " &amp;
      (INT((12*(YEAR(TODAY())-M264) + MONTH(TODAY()) -
        MATCH(L264, {"Januari";"Februari";"Maret";"April";"Mei";"Juni";"Juli";"Agustus";"September";"Oktober";"November";"Desember"}, 0)) / 6) + 1) &amp; ")"
  )
)</f>
        <v>LULUS</v>
      </c>
      <c r="T264" s="16" t="e">
        <f ca="1">IF(O264 &lt; YEAR(TODAY()), "LULUS",
 IF(O264 = YEAR(TODAY()),
    IF(MATCH(N264, {"Januari";"Februari";"Maret";"April";"Mei";"Juni";"Juli";"Agustus";"September";"Oktober";"November";"Desember"},0)
        &lt;= MONTH(TODAY()),
        "LULUS",
        "AKTIF"),
 "AKTIF"))</f>
        <v>#N/A</v>
      </c>
      <c r="U264" s="16" t="s">
        <v>29</v>
      </c>
      <c r="V264" s="15"/>
      <c r="W264" s="15"/>
      <c r="X264" s="15"/>
      <c r="Y264" s="15"/>
      <c r="Z264" s="15"/>
    </row>
    <row r="265" spans="1:26" ht="29" customHeight="1" x14ac:dyDescent="0.35">
      <c r="A265" s="12">
        <v>264</v>
      </c>
      <c r="B265" s="62" t="s">
        <v>994</v>
      </c>
      <c r="C265" s="67" t="s">
        <v>995</v>
      </c>
      <c r="D265" s="24" t="s">
        <v>116</v>
      </c>
      <c r="E265" s="26" t="str">
        <f t="shared" si="4"/>
        <v>Laki-Laki</v>
      </c>
      <c r="F265" s="68" t="s">
        <v>996</v>
      </c>
      <c r="G265" s="13" t="s">
        <v>909</v>
      </c>
      <c r="H265" s="19" t="s">
        <v>997</v>
      </c>
      <c r="I265" s="19" t="s">
        <v>90</v>
      </c>
      <c r="J265" s="20" t="s">
        <v>45</v>
      </c>
      <c r="K265" s="19" t="s">
        <v>985</v>
      </c>
      <c r="L265" s="65" t="s">
        <v>92</v>
      </c>
      <c r="M265" s="15">
        <v>2023</v>
      </c>
      <c r="N265" s="15" t="s">
        <v>92</v>
      </c>
      <c r="O265" s="15"/>
      <c r="P265" s="15">
        <v>2023</v>
      </c>
      <c r="Q265" s="15"/>
      <c r="R265" s="16" t="s">
        <v>51</v>
      </c>
      <c r="S265" s="16" t="str">
        <f ca="1">IF(
  O265 &lt; YEAR(TODAY()),
  "LULUS",
  IF(
    O265 = YEAR(TODAY()),
    IF(
      MATCH(L265, {"Januari";"Februari";"Maret";"April";"Mei";"Juni";"Juli";"Agustus";"September";"Oktober";"November";"Desember"}, 0)
        &gt;= MONTH(TODAY()),
      "AKTIF (Semester " &amp;
        (INT((12*(YEAR(TODAY())-M265) + MONTH(TODAY()) -
          MATCH(L265, {"Januari";"Februari";"Maret";"April";"Mei";"Juni";"Juli";"Agustus";"September";"Oktober";"November";"Desember"}, 0)) / 6) + 1) &amp; ")",
      "LULUS"
    ),
    "AKTIF (Semester " &amp;
      (INT((12*(YEAR(TODAY())-M265) + MONTH(TODAY()) -
        MATCH(L265, {"Januari";"Februari";"Maret";"April";"Mei";"Juni";"Juli";"Agustus";"September";"Oktober";"November";"Desember"}, 0)) / 6) + 1) &amp; ")"
  )
)</f>
        <v>LULUS</v>
      </c>
      <c r="T265" s="16" t="str">
        <f ca="1">IF(O265 &lt; YEAR(TODAY()), "LULUS",
 IF(O265 = YEAR(TODAY()),
    IF(MATCH(N265, {"Januari";"Februari";"Maret";"April";"Mei";"Juni";"Juli";"Agustus";"September";"Oktober";"November";"Desember"},0)
        &lt;= MONTH(TODAY()),
        "LULUS",
        "AKTIF"),
 "AKTIF"))</f>
        <v>LULUS</v>
      </c>
      <c r="U265" s="16" t="s">
        <v>29</v>
      </c>
      <c r="V265" s="15"/>
      <c r="W265" s="15"/>
      <c r="X265" s="15"/>
      <c r="Y265" s="15"/>
      <c r="Z265" s="15"/>
    </row>
    <row r="266" spans="1:26" ht="29" customHeight="1" x14ac:dyDescent="0.35">
      <c r="A266" s="12">
        <v>265</v>
      </c>
      <c r="B266" s="62" t="s">
        <v>998</v>
      </c>
      <c r="C266" s="63" t="s">
        <v>999</v>
      </c>
      <c r="D266" s="24" t="s">
        <v>791</v>
      </c>
      <c r="E266" s="26" t="str">
        <f t="shared" si="4"/>
        <v>Laki-Laki</v>
      </c>
      <c r="F266" s="64" t="s">
        <v>992</v>
      </c>
      <c r="G266" s="13" t="s">
        <v>909</v>
      </c>
      <c r="H266" s="19" t="s">
        <v>1000</v>
      </c>
      <c r="I266" s="19" t="s">
        <v>1001</v>
      </c>
      <c r="J266" s="12" t="s">
        <v>26</v>
      </c>
      <c r="K266" s="19" t="s">
        <v>1002</v>
      </c>
      <c r="L266" s="65" t="s">
        <v>652</v>
      </c>
      <c r="M266" s="15">
        <v>2023</v>
      </c>
      <c r="N266" s="15" t="s">
        <v>1003</v>
      </c>
      <c r="O266" s="15">
        <v>2025</v>
      </c>
      <c r="P266" s="15">
        <v>2023</v>
      </c>
      <c r="Q266" s="15"/>
      <c r="R266" s="16" t="s">
        <v>29</v>
      </c>
      <c r="S266" s="16" t="str">
        <f ca="1">IF(
  O266 &lt; YEAR(TODAY()),
  "LULUS",
  IF(
    O266 = YEAR(TODAY()),
    IF(
      MATCH(L266, {"Januari";"Februari";"Maret";"April";"Mei";"Juni";"Juli";"Agustus";"September";"Oktober";"November";"Desember"}, 0)
        &gt;= MONTH(TODAY()),
      "AKTIF (Semester " &amp;
        (INT((12*(YEAR(TODAY())-M266) + MONTH(TODAY()) -
          MATCH(L266, {"Januari";"Februari";"Maret";"April";"Mei";"Juni";"Juli";"Agustus";"September";"Oktober";"November";"Desember"}, 0)) / 6) + 1) &amp; ")",
      "LULUS"
    ),
    "AKTIF (Semester " &amp;
      (INT((12*(YEAR(TODAY())-M266) + MONTH(TODAY()) -
        MATCH(L266, {"Januari";"Februari";"Maret";"April";"Mei";"Juni";"Juli";"Agustus";"September";"Oktober";"November";"Desember"}, 0)) / 6) + 1) &amp; ")"
  )
)</f>
        <v>LULUS</v>
      </c>
      <c r="T266" s="16" t="e">
        <f ca="1">IF(O266 &lt; YEAR(TODAY()), "LULUS",
 IF(O266 = YEAR(TODAY()),
    IF(MATCH(N266, {"Januari";"Februari";"Maret";"April";"Mei";"Juni";"Juli";"Agustus";"September";"Oktober";"November";"Desember"},0)
        &lt;= MONTH(TODAY()),
        "LULUS",
        "AKTIF"),
 "AKTIF"))</f>
        <v>#N/A</v>
      </c>
      <c r="U266" s="16" t="s">
        <v>29</v>
      </c>
      <c r="V266" s="15"/>
      <c r="W266" s="15"/>
      <c r="X266" s="15"/>
      <c r="Y266" s="15"/>
      <c r="Z266" s="15"/>
    </row>
    <row r="267" spans="1:26" ht="29" customHeight="1" x14ac:dyDescent="0.35">
      <c r="A267" s="12">
        <v>266</v>
      </c>
      <c r="B267" s="62" t="s">
        <v>1004</v>
      </c>
      <c r="C267" s="63" t="s">
        <v>1005</v>
      </c>
      <c r="D267" s="24" t="s">
        <v>116</v>
      </c>
      <c r="E267" s="26" t="str">
        <f t="shared" si="4"/>
        <v>Laki-Laki</v>
      </c>
      <c r="F267" s="64" t="s">
        <v>1006</v>
      </c>
      <c r="G267" s="13" t="s">
        <v>909</v>
      </c>
      <c r="H267" s="19" t="s">
        <v>1007</v>
      </c>
      <c r="I267" s="19" t="s">
        <v>90</v>
      </c>
      <c r="J267" s="20" t="s">
        <v>45</v>
      </c>
      <c r="K267" s="19" t="s">
        <v>728</v>
      </c>
      <c r="L267" s="70" t="s">
        <v>35</v>
      </c>
      <c r="M267" s="15">
        <v>2023</v>
      </c>
      <c r="N267" s="15" t="s">
        <v>123</v>
      </c>
      <c r="O267" s="15">
        <v>2027</v>
      </c>
      <c r="P267" s="15">
        <v>2023</v>
      </c>
      <c r="Q267" s="15"/>
      <c r="R267" s="16" t="s">
        <v>51</v>
      </c>
      <c r="S267" s="16" t="str">
        <f ca="1">IF(
  O267 &lt; YEAR(TODAY()),
  "LULUS",
  IF(
    O267 = YEAR(TODAY()),
    IF(
      MATCH(L267, {"Januari";"Februari";"Maret";"April";"Mei";"Juni";"Juli";"Agustus";"September";"Oktober";"November";"Desember"}, 0)
        &gt;= MONTH(TODAY()),
      "AKTIF (Semester " &amp;
        (INT((12*(YEAR(TODAY())-M267) + MONTH(TODAY()) -
          MATCH(L267, {"Januari";"Februari";"Maret";"April";"Mei";"Juni";"Juli";"Agustus";"September";"Oktober";"November";"Desember"}, 0)) / 6) + 1) &amp; ")",
      "LULUS"
    ),
    "AKTIF (Semester " &amp;
      (INT((12*(YEAR(TODAY())-M267) + MONTH(TODAY()) -
        MATCH(L267, {"Januari";"Februari";"Maret";"April";"Mei";"Juni";"Juli";"Agustus";"September";"Oktober";"November";"Desember"}, 0)) / 6) + 1) &amp; ")"
  )
)</f>
        <v>AKTIF (Semester 6)</v>
      </c>
      <c r="T267" s="16" t="str">
        <f ca="1">IF(O267 &lt; YEAR(TODAY()), "LULUS",
 IF(O267 = YEAR(TODAY()),
    IF(MATCH(N267, {"Januari";"Februari";"Maret";"April";"Mei";"Juni";"Juli";"Agustus";"September";"Oktober";"November";"Desember"},0)
        &lt;= MONTH(TODAY()),
        "LULUS",
        "AKTIF"),
 "AKTIF"))</f>
        <v>AKTIF</v>
      </c>
      <c r="U267" s="16" t="s">
        <v>2938</v>
      </c>
      <c r="V267" s="15"/>
      <c r="W267" s="15"/>
      <c r="X267" s="15"/>
      <c r="Y267" s="15"/>
      <c r="Z267" s="15"/>
    </row>
    <row r="268" spans="1:26" ht="29" customHeight="1" x14ac:dyDescent="0.35">
      <c r="A268" s="12">
        <v>267</v>
      </c>
      <c r="B268" s="62" t="s">
        <v>1008</v>
      </c>
      <c r="C268" s="63" t="s">
        <v>1009</v>
      </c>
      <c r="D268" s="24" t="s">
        <v>370</v>
      </c>
      <c r="E268" s="26" t="str">
        <f t="shared" si="4"/>
        <v>Laki-Laki</v>
      </c>
      <c r="F268" s="64" t="s">
        <v>1010</v>
      </c>
      <c r="G268" s="13" t="s">
        <v>909</v>
      </c>
      <c r="H268" s="19" t="s">
        <v>1011</v>
      </c>
      <c r="I268" s="19" t="s">
        <v>90</v>
      </c>
      <c r="J268" s="20" t="s">
        <v>45</v>
      </c>
      <c r="K268" s="19" t="s">
        <v>728</v>
      </c>
      <c r="L268" s="70" t="s">
        <v>35</v>
      </c>
      <c r="M268" s="15">
        <v>2023</v>
      </c>
      <c r="N268" s="15" t="s">
        <v>123</v>
      </c>
      <c r="O268" s="15">
        <v>2027</v>
      </c>
      <c r="P268" s="15">
        <v>2023</v>
      </c>
      <c r="Q268" s="15"/>
      <c r="R268" s="16" t="s">
        <v>51</v>
      </c>
      <c r="S268" s="16" t="str">
        <f ca="1">IF(
  O268 &lt; YEAR(TODAY()),
  "LULUS",
  IF(
    O268 = YEAR(TODAY()),
    IF(
      MATCH(L268, {"Januari";"Februari";"Maret";"April";"Mei";"Juni";"Juli";"Agustus";"September";"Oktober";"November";"Desember"}, 0)
        &gt;= MONTH(TODAY()),
      "AKTIF (Semester " &amp;
        (INT((12*(YEAR(TODAY())-M268) + MONTH(TODAY()) -
          MATCH(L268, {"Januari";"Februari";"Maret";"April";"Mei";"Juni";"Juli";"Agustus";"September";"Oktober";"November";"Desember"}, 0)) / 6) + 1) &amp; ")",
      "LULUS"
    ),
    "AKTIF (Semester " &amp;
      (INT((12*(YEAR(TODAY())-M268) + MONTH(TODAY()) -
        MATCH(L268, {"Januari";"Februari";"Maret";"April";"Mei";"Juni";"Juli";"Agustus";"September";"Oktober";"November";"Desember"}, 0)) / 6) + 1) &amp; ")"
  )
)</f>
        <v>AKTIF (Semester 6)</v>
      </c>
      <c r="T268" s="16" t="str">
        <f ca="1">IF(O268 &lt; YEAR(TODAY()), "LULUS",
 IF(O268 = YEAR(TODAY()),
    IF(MATCH(N268, {"Januari";"Februari";"Maret";"April";"Mei";"Juni";"Juli";"Agustus";"September";"Oktober";"November";"Desember"},0)
        &lt;= MONTH(TODAY()),
        "LULUS",
        "AKTIF"),
 "AKTIF"))</f>
        <v>AKTIF</v>
      </c>
      <c r="U268" s="16" t="s">
        <v>2938</v>
      </c>
      <c r="V268" s="15"/>
      <c r="W268" s="15"/>
      <c r="X268" s="15"/>
      <c r="Y268" s="15"/>
      <c r="Z268" s="15"/>
    </row>
    <row r="269" spans="1:26" ht="29" customHeight="1" x14ac:dyDescent="0.35">
      <c r="A269" s="12">
        <v>268</v>
      </c>
      <c r="B269" s="62" t="s">
        <v>1012</v>
      </c>
      <c r="C269" s="63" t="s">
        <v>1013</v>
      </c>
      <c r="D269" s="24" t="s">
        <v>382</v>
      </c>
      <c r="E269" s="26" t="str">
        <f t="shared" si="4"/>
        <v>Laki-Laki</v>
      </c>
      <c r="F269" s="64" t="s">
        <v>1014</v>
      </c>
      <c r="G269" s="13" t="s">
        <v>909</v>
      </c>
      <c r="H269" s="19" t="s">
        <v>1015</v>
      </c>
      <c r="I269" s="19" t="s">
        <v>90</v>
      </c>
      <c r="J269" s="20" t="s">
        <v>45</v>
      </c>
      <c r="K269" s="19" t="s">
        <v>1016</v>
      </c>
      <c r="L269" s="65" t="s">
        <v>113</v>
      </c>
      <c r="M269" s="15">
        <v>2023</v>
      </c>
      <c r="N269" s="15" t="s">
        <v>113</v>
      </c>
      <c r="O269" s="15">
        <v>2027</v>
      </c>
      <c r="P269" s="15">
        <v>2023</v>
      </c>
      <c r="Q269" s="15"/>
      <c r="R269" s="16" t="s">
        <v>51</v>
      </c>
      <c r="S269" s="16" t="str">
        <f ca="1">IF(
  O269 &lt; YEAR(TODAY()),
  "LULUS",
  IF(
    O269 = YEAR(TODAY()),
    IF(
      MATCH(L269, {"Januari";"Februari";"Maret";"April";"Mei";"Juni";"Juli";"Agustus";"September";"Oktober";"November";"Desember"}, 0)
        &gt;= MONTH(TODAY()),
      "AKTIF (Semester " &amp;
        (INT((12*(YEAR(TODAY())-M269) + MONTH(TODAY()) -
          MATCH(L269, {"Januari";"Februari";"Maret";"April";"Mei";"Juni";"Juli";"Agustus";"September";"Oktober";"November";"Desember"}, 0)) / 6) + 1) &amp; ")",
      "LULUS"
    ),
    "AKTIF (Semester " &amp;
      (INT((12*(YEAR(TODAY())-M269) + MONTH(TODAY()) -
        MATCH(L269, {"Januari";"Februari";"Maret";"April";"Mei";"Juni";"Juli";"Agustus";"September";"Oktober";"November";"Desember"}, 0)) / 6) + 1) &amp; ")"
  )
)</f>
        <v>AKTIF (Semester 6)</v>
      </c>
      <c r="T269" s="16" t="str">
        <f ca="1">IF(O269 &lt; YEAR(TODAY()), "LULUS",
 IF(O269 = YEAR(TODAY()),
    IF(MATCH(N269, {"Januari";"Februari";"Maret";"April";"Mei";"Juni";"Juli";"Agustus";"September";"Oktober";"November";"Desember"},0)
        &lt;= MONTH(TODAY()),
        "LULUS",
        "AKTIF"),
 "AKTIF"))</f>
        <v>AKTIF</v>
      </c>
      <c r="U269" s="16" t="s">
        <v>2938</v>
      </c>
      <c r="V269" s="15"/>
      <c r="W269" s="15"/>
      <c r="X269" s="15"/>
      <c r="Y269" s="15"/>
      <c r="Z269" s="15"/>
    </row>
    <row r="270" spans="1:26" ht="29" customHeight="1" x14ac:dyDescent="0.35">
      <c r="A270" s="12">
        <v>269</v>
      </c>
      <c r="B270" s="62" t="s">
        <v>1018</v>
      </c>
      <c r="C270" s="63" t="s">
        <v>1019</v>
      </c>
      <c r="D270" s="24" t="s">
        <v>104</v>
      </c>
      <c r="E270" s="26" t="str">
        <f t="shared" si="4"/>
        <v>Laki-Laki</v>
      </c>
      <c r="F270" s="64" t="s">
        <v>1020</v>
      </c>
      <c r="G270" s="13" t="s">
        <v>909</v>
      </c>
      <c r="H270" s="19" t="s">
        <v>1015</v>
      </c>
      <c r="I270" s="19" t="s">
        <v>90</v>
      </c>
      <c r="J270" s="12" t="s">
        <v>26</v>
      </c>
      <c r="K270" s="19" t="s">
        <v>1021</v>
      </c>
      <c r="L270" s="29" t="s">
        <v>28</v>
      </c>
      <c r="M270" s="15">
        <v>2023</v>
      </c>
      <c r="N270" s="15" t="s">
        <v>682</v>
      </c>
      <c r="O270" s="15">
        <v>2025</v>
      </c>
      <c r="P270" s="15">
        <v>2023</v>
      </c>
      <c r="Q270" s="15"/>
      <c r="R270" s="16" t="s">
        <v>51</v>
      </c>
      <c r="S270" s="16" t="str">
        <f ca="1">IF(
  O270 &lt; YEAR(TODAY()),
  "LULUS",
  IF(
    O270 = YEAR(TODAY()),
    IF(
      MATCH(L270, {"Januari";"Februari";"Maret";"April";"Mei";"Juni";"Juli";"Agustus";"September";"Oktober";"November";"Desember"}, 0)
        &gt;= MONTH(TODAY()),
      "AKTIF (Semester " &amp;
        (INT((12*(YEAR(TODAY())-M270) + MONTH(TODAY()) -
          MATCH(L270, {"Januari";"Februari";"Maret";"April";"Mei";"Juni";"Juli";"Agustus";"September";"Oktober";"November";"Desember"}, 0)) / 6) + 1) &amp; ")",
      "LULUS"
    ),
    "AKTIF (Semester " &amp;
      (INT((12*(YEAR(TODAY())-M270) + MONTH(TODAY()) -
        MATCH(L270, {"Januari";"Februari";"Maret";"April";"Mei";"Juni";"Juli";"Agustus";"September";"Oktober";"November";"Desember"}, 0)) / 6) + 1) &amp; ")"
  )
)</f>
        <v>LULUS</v>
      </c>
      <c r="T270" s="16" t="e">
        <f ca="1">IF(O270 &lt; YEAR(TODAY()), "LULUS",
 IF(O270 = YEAR(TODAY()),
    IF(MATCH(N270, {"Januari";"Februari";"Maret";"April";"Mei";"Juni";"Juli";"Agustus";"September";"Oktober";"November";"Desember"},0)
        &lt;= MONTH(TODAY()),
        "LULUS",
        "AKTIF"),
 "AKTIF"))</f>
        <v>#N/A</v>
      </c>
      <c r="U270" s="16" t="s">
        <v>29</v>
      </c>
      <c r="V270" s="15"/>
      <c r="W270" s="15"/>
      <c r="X270" s="15"/>
      <c r="Y270" s="15"/>
      <c r="Z270" s="15"/>
    </row>
    <row r="271" spans="1:26" ht="29" customHeight="1" x14ac:dyDescent="0.35">
      <c r="A271" s="12">
        <v>270</v>
      </c>
      <c r="B271" s="62" t="s">
        <v>1022</v>
      </c>
      <c r="C271" s="63" t="s">
        <v>1023</v>
      </c>
      <c r="D271" s="24" t="s">
        <v>116</v>
      </c>
      <c r="E271" s="26" t="str">
        <f t="shared" si="4"/>
        <v>Laki-Laki</v>
      </c>
      <c r="F271" s="64" t="s">
        <v>1024</v>
      </c>
      <c r="G271" s="13" t="s">
        <v>909</v>
      </c>
      <c r="H271" s="19" t="s">
        <v>1025</v>
      </c>
      <c r="I271" s="19" t="s">
        <v>90</v>
      </c>
      <c r="J271" s="20" t="s">
        <v>45</v>
      </c>
      <c r="K271" s="19" t="s">
        <v>1016</v>
      </c>
      <c r="L271" s="65" t="s">
        <v>113</v>
      </c>
      <c r="M271" s="15">
        <v>2023</v>
      </c>
      <c r="N271" s="15" t="s">
        <v>113</v>
      </c>
      <c r="O271" s="15">
        <v>2027</v>
      </c>
      <c r="P271" s="15">
        <v>2023</v>
      </c>
      <c r="Q271" s="15"/>
      <c r="R271" s="16" t="s">
        <v>51</v>
      </c>
      <c r="S271" s="16" t="str">
        <f ca="1">IF(
  O271 &lt; YEAR(TODAY()),
  "LULUS",
  IF(
    O271 = YEAR(TODAY()),
    IF(
      MATCH(L271, {"Januari";"Februari";"Maret";"April";"Mei";"Juni";"Juli";"Agustus";"September";"Oktober";"November";"Desember"}, 0)
        &gt;= MONTH(TODAY()),
      "AKTIF (Semester " &amp;
        (INT((12*(YEAR(TODAY())-M271) + MONTH(TODAY()) -
          MATCH(L271, {"Januari";"Februari";"Maret";"April";"Mei";"Juni";"Juli";"Agustus";"September";"Oktober";"November";"Desember"}, 0)) / 6) + 1) &amp; ")",
      "LULUS"
    ),
    "AKTIF (Semester " &amp;
      (INT((12*(YEAR(TODAY())-M271) + MONTH(TODAY()) -
        MATCH(L271, {"Januari";"Februari";"Maret";"April";"Mei";"Juni";"Juli";"Agustus";"September";"Oktober";"November";"Desember"}, 0)) / 6) + 1) &amp; ")"
  )
)</f>
        <v>AKTIF (Semester 6)</v>
      </c>
      <c r="T271" s="16" t="str">
        <f ca="1">IF(O271 &lt; YEAR(TODAY()), "LULUS",
 IF(O271 = YEAR(TODAY()),
    IF(MATCH(N271, {"Januari";"Februari";"Maret";"April";"Mei";"Juni";"Juli";"Agustus";"September";"Oktober";"November";"Desember"},0)
        &lt;= MONTH(TODAY()),
        "LULUS",
        "AKTIF"),
 "AKTIF"))</f>
        <v>AKTIF</v>
      </c>
      <c r="U271" s="16" t="s">
        <v>2938</v>
      </c>
      <c r="V271" s="15"/>
      <c r="W271" s="15"/>
      <c r="X271" s="15"/>
      <c r="Y271" s="15"/>
      <c r="Z271" s="15"/>
    </row>
    <row r="272" spans="1:26" ht="29" customHeight="1" x14ac:dyDescent="0.35">
      <c r="A272" s="12">
        <v>271</v>
      </c>
      <c r="B272" s="62" t="s">
        <v>1026</v>
      </c>
      <c r="C272" s="63" t="s">
        <v>1027</v>
      </c>
      <c r="D272" s="24" t="s">
        <v>109</v>
      </c>
      <c r="E272" s="26" t="str">
        <f t="shared" si="4"/>
        <v>Laki-Laki</v>
      </c>
      <c r="F272" s="64" t="s">
        <v>809</v>
      </c>
      <c r="G272" s="13" t="s">
        <v>909</v>
      </c>
      <c r="H272" s="19" t="s">
        <v>910</v>
      </c>
      <c r="I272" s="52" t="s">
        <v>2485</v>
      </c>
      <c r="J272" s="12" t="s">
        <v>26</v>
      </c>
      <c r="K272" s="19" t="s">
        <v>985</v>
      </c>
      <c r="L272" s="65" t="s">
        <v>169</v>
      </c>
      <c r="M272" s="15">
        <v>2023</v>
      </c>
      <c r="N272" s="15" t="s">
        <v>169</v>
      </c>
      <c r="O272" s="15">
        <v>2025</v>
      </c>
      <c r="P272" s="15">
        <v>2023</v>
      </c>
      <c r="Q272" s="15"/>
      <c r="R272" s="16" t="s">
        <v>51</v>
      </c>
      <c r="S272" s="16" t="str">
        <f ca="1">IF(
  O272 &lt; YEAR(TODAY()),
  "LULUS",
  IF(
    O272 = YEAR(TODAY()),
    IF(
      MATCH(L272, {"Januari";"Februari";"Maret";"April";"Mei";"Juni";"Juli";"Agustus";"September";"Oktober";"November";"Desember"}, 0)
        &gt;= MONTH(TODAY()),
      "AKTIF (Semester " &amp;
        (INT((12*(YEAR(TODAY())-M272) + MONTH(TODAY()) -
          MATCH(L272, {"Januari";"Februari";"Maret";"April";"Mei";"Juni";"Juli";"Agustus";"September";"Oktober";"November";"Desember"}, 0)) / 6) + 1) &amp; ")",
      "LULUS"
    ),
    "AKTIF (Semester " &amp;
      (INT((12*(YEAR(TODAY())-M272) + MONTH(TODAY()) -
        MATCH(L272, {"Januari";"Februari";"Maret";"April";"Mei";"Juni";"Juli";"Agustus";"September";"Oktober";"November";"Desember"}, 0)) / 6) + 1) &amp; ")"
  )
)</f>
        <v>LULUS</v>
      </c>
      <c r="T272" s="16" t="str">
        <f ca="1">IF(O272 &lt; YEAR(TODAY()), "LULUS",
 IF(O272 = YEAR(TODAY()),
    IF(MATCH(N272, {"Januari";"Februari";"Maret";"April";"Mei";"Juni";"Juli";"Agustus";"September";"Oktober";"November";"Desember"},0)
        &lt;= MONTH(TODAY()),
        "LULUS",
        "AKTIF"),
 "AKTIF"))</f>
        <v>LULUS</v>
      </c>
      <c r="U272" s="16" t="s">
        <v>29</v>
      </c>
      <c r="V272" s="15"/>
      <c r="W272" s="15"/>
      <c r="X272" s="15"/>
      <c r="Y272" s="15"/>
      <c r="Z272" s="15"/>
    </row>
    <row r="273" spans="1:26" ht="29" customHeight="1" x14ac:dyDescent="0.35">
      <c r="A273" s="12">
        <v>272</v>
      </c>
      <c r="B273" s="62" t="s">
        <v>1029</v>
      </c>
      <c r="C273" s="63" t="s">
        <v>1030</v>
      </c>
      <c r="D273" s="24" t="s">
        <v>98</v>
      </c>
      <c r="E273" s="26" t="str">
        <f t="shared" si="4"/>
        <v>Laki-Laki</v>
      </c>
      <c r="F273" s="64" t="s">
        <v>1031</v>
      </c>
      <c r="G273" s="13" t="s">
        <v>909</v>
      </c>
      <c r="H273" s="19" t="s">
        <v>946</v>
      </c>
      <c r="I273" s="19" t="s">
        <v>90</v>
      </c>
      <c r="J273" s="20" t="s">
        <v>45</v>
      </c>
      <c r="K273" s="19" t="s">
        <v>1016</v>
      </c>
      <c r="L273" s="70" t="s">
        <v>35</v>
      </c>
      <c r="M273" s="15">
        <v>2023</v>
      </c>
      <c r="N273" s="15" t="s">
        <v>123</v>
      </c>
      <c r="O273" s="15">
        <v>2027</v>
      </c>
      <c r="P273" s="15">
        <v>2023</v>
      </c>
      <c r="Q273" s="15"/>
      <c r="R273" s="16" t="s">
        <v>51</v>
      </c>
      <c r="S273" s="16" t="str">
        <f ca="1">IF(
  O273 &lt; YEAR(TODAY()),
  "LULUS",
  IF(
    O273 = YEAR(TODAY()),
    IF(
      MATCH(L273, {"Januari";"Februari";"Maret";"April";"Mei";"Juni";"Juli";"Agustus";"September";"Oktober";"November";"Desember"}, 0)
        &gt;= MONTH(TODAY()),
      "AKTIF (Semester " &amp;
        (INT((12*(YEAR(TODAY())-M273) + MONTH(TODAY()) -
          MATCH(L273, {"Januari";"Februari";"Maret";"April";"Mei";"Juni";"Juli";"Agustus";"September";"Oktober";"November";"Desember"}, 0)) / 6) + 1) &amp; ")",
      "LULUS"
    ),
    "AKTIF (Semester " &amp;
      (INT((12*(YEAR(TODAY())-M273) + MONTH(TODAY()) -
        MATCH(L273, {"Januari";"Februari";"Maret";"April";"Mei";"Juni";"Juli";"Agustus";"September";"Oktober";"November";"Desember"}, 0)) / 6) + 1) &amp; ")"
  )
)</f>
        <v>AKTIF (Semester 6)</v>
      </c>
      <c r="T273" s="16" t="str">
        <f ca="1">IF(O273 &lt; YEAR(TODAY()), "LULUS",
 IF(O273 = YEAR(TODAY()),
    IF(MATCH(N273, {"Januari";"Februari";"Maret";"April";"Mei";"Juni";"Juli";"Agustus";"September";"Oktober";"November";"Desember"},0)
        &lt;= MONTH(TODAY()),
        "LULUS",
        "AKTIF"),
 "AKTIF"))</f>
        <v>AKTIF</v>
      </c>
      <c r="U273" s="16" t="s">
        <v>2938</v>
      </c>
      <c r="V273" s="15"/>
      <c r="W273" s="15"/>
      <c r="X273" s="15"/>
      <c r="Y273" s="15"/>
      <c r="Z273" s="15"/>
    </row>
    <row r="274" spans="1:26" ht="29" customHeight="1" x14ac:dyDescent="0.35">
      <c r="A274" s="12">
        <v>273</v>
      </c>
      <c r="B274" s="25" t="s">
        <v>1032</v>
      </c>
      <c r="C274" s="69" t="s">
        <v>1033</v>
      </c>
      <c r="D274" s="24" t="s">
        <v>109</v>
      </c>
      <c r="E274" s="26" t="str">
        <f t="shared" si="4"/>
        <v>Laki-Laki</v>
      </c>
      <c r="F274" s="64" t="s">
        <v>1034</v>
      </c>
      <c r="G274" s="13" t="s">
        <v>909</v>
      </c>
      <c r="H274" s="19" t="s">
        <v>1035</v>
      </c>
      <c r="I274" s="19" t="s">
        <v>485</v>
      </c>
      <c r="J274" s="12" t="s">
        <v>26</v>
      </c>
      <c r="K274" s="19" t="s">
        <v>1036</v>
      </c>
      <c r="L274" s="70" t="s">
        <v>60</v>
      </c>
      <c r="M274" s="15">
        <v>2023</v>
      </c>
      <c r="N274" s="15" t="s">
        <v>145</v>
      </c>
      <c r="O274" s="15">
        <v>2025</v>
      </c>
      <c r="P274" s="15">
        <v>2023</v>
      </c>
      <c r="Q274" s="15"/>
      <c r="R274" s="16" t="s">
        <v>51</v>
      </c>
      <c r="S274" s="16" t="str">
        <f ca="1">IF(
  O274 &lt; YEAR(TODAY()),
  "LULUS",
  IF(
    O274 = YEAR(TODAY()),
    IF(
      MATCH(L274, {"Januari";"Februari";"Maret";"April";"Mei";"Juni";"Juli";"Agustus";"September";"Oktober";"November";"Desember"}, 0)
        &gt;= MONTH(TODAY()),
      "AKTIF (Semester " &amp;
        (INT((12*(YEAR(TODAY())-M274) + MONTH(TODAY()) -
          MATCH(L274, {"Januari";"Februari";"Maret";"April";"Mei";"Juni";"Juli";"Agustus";"September";"Oktober";"November";"Desember"}, 0)) / 6) + 1) &amp; ")",
      "LULUS"
    ),
    "AKTIF (Semester " &amp;
      (INT((12*(YEAR(TODAY())-M274) + MONTH(TODAY()) -
        MATCH(L274, {"Januari";"Februari";"Maret";"April";"Mei";"Juni";"Juli";"Agustus";"September";"Oktober";"November";"Desember"}, 0)) / 6) + 1) &amp; ")"
  )
)</f>
        <v>LULUS</v>
      </c>
      <c r="T274" s="16" t="e">
        <f ca="1">IF(O274 &lt; YEAR(TODAY()), "LULUS",
 IF(O274 = YEAR(TODAY()),
    IF(MATCH(N274, {"Januari";"Februari";"Maret";"April";"Mei";"Juni";"Juli";"Agustus";"September";"Oktober";"November";"Desember"},0)
        &lt;= MONTH(TODAY()),
        "LULUS",
        "AKTIF"),
 "AKTIF"))</f>
        <v>#N/A</v>
      </c>
      <c r="U274" s="16" t="s">
        <v>29</v>
      </c>
      <c r="V274" s="15"/>
      <c r="W274" s="15"/>
      <c r="X274" s="15"/>
      <c r="Y274" s="15"/>
      <c r="Z274" s="15"/>
    </row>
    <row r="275" spans="1:26" ht="29" customHeight="1" x14ac:dyDescent="0.35">
      <c r="A275" s="12">
        <v>274</v>
      </c>
      <c r="B275" s="71" t="s">
        <v>1037</v>
      </c>
      <c r="C275" s="69" t="s">
        <v>1038</v>
      </c>
      <c r="D275" s="24" t="s">
        <v>98</v>
      </c>
      <c r="E275" s="26" t="str">
        <f t="shared" si="4"/>
        <v>Laki-Laki</v>
      </c>
      <c r="F275" s="64" t="s">
        <v>1039</v>
      </c>
      <c r="G275" s="13" t="s">
        <v>909</v>
      </c>
      <c r="H275" s="19" t="s">
        <v>1040</v>
      </c>
      <c r="I275" s="19" t="s">
        <v>90</v>
      </c>
      <c r="J275" s="20" t="s">
        <v>45</v>
      </c>
      <c r="K275" s="19" t="s">
        <v>985</v>
      </c>
      <c r="L275" s="29" t="s">
        <v>28</v>
      </c>
      <c r="M275" s="15">
        <v>2023</v>
      </c>
      <c r="N275" s="15" t="s">
        <v>682</v>
      </c>
      <c r="O275" s="15">
        <v>2027</v>
      </c>
      <c r="P275" s="15">
        <v>2023</v>
      </c>
      <c r="Q275" s="15"/>
      <c r="R275" s="16" t="s">
        <v>51</v>
      </c>
      <c r="S275" s="16" t="str">
        <f ca="1">IF(
  O275 &lt; YEAR(TODAY()),
  "LULUS",
  IF(
    O275 = YEAR(TODAY()),
    IF(
      MATCH(L275, {"Januari";"Februari";"Maret";"April";"Mei";"Juni";"Juli";"Agustus";"September";"Oktober";"November";"Desember"}, 0)
        &gt;= MONTH(TODAY()),
      "AKTIF (Semester " &amp;
        (INT((12*(YEAR(TODAY())-M275) + MONTH(TODAY()) -
          MATCH(L275, {"Januari";"Februari";"Maret";"April";"Mei";"Juni";"Juli";"Agustus";"September";"Oktober";"November";"Desember"}, 0)) / 6) + 1) &amp; ")",
      "LULUS"
    ),
    "AKTIF (Semester " &amp;
      (INT((12*(YEAR(TODAY())-M275) + MONTH(TODAY()) -
        MATCH(L275, {"Januari";"Februari";"Maret";"April";"Mei";"Juni";"Juli";"Agustus";"September";"Oktober";"November";"Desember"}, 0)) / 6) + 1) &amp; ")"
  )
)</f>
        <v>AKTIF (Semester 5)</v>
      </c>
      <c r="T275" s="16" t="str">
        <f ca="1">IF(O275 &lt; YEAR(TODAY()), "LULUS",
 IF(O275 = YEAR(TODAY()),
    IF(MATCH(N275, {"Januari";"Februari";"Maret";"April";"Mei";"Juni";"Juli";"Agustus";"September";"Oktober";"November";"Desember"},0)
        &lt;= MONTH(TODAY()),
        "LULUS",
        "AKTIF"),
 "AKTIF"))</f>
        <v>AKTIF</v>
      </c>
      <c r="U275" s="16" t="s">
        <v>2941</v>
      </c>
      <c r="V275" s="15"/>
      <c r="W275" s="15"/>
      <c r="X275" s="15"/>
      <c r="Y275" s="15"/>
      <c r="Z275" s="15"/>
    </row>
    <row r="276" spans="1:26" ht="29" customHeight="1" x14ac:dyDescent="0.35">
      <c r="A276" s="12">
        <v>275</v>
      </c>
      <c r="B276" s="25" t="s">
        <v>1041</v>
      </c>
      <c r="C276" s="69" t="s">
        <v>1042</v>
      </c>
      <c r="D276" s="24" t="s">
        <v>370</v>
      </c>
      <c r="E276" s="26" t="str">
        <f t="shared" si="4"/>
        <v>Laki-Laki</v>
      </c>
      <c r="F276" s="64" t="s">
        <v>1043</v>
      </c>
      <c r="G276" s="13" t="s">
        <v>909</v>
      </c>
      <c r="H276" s="19" t="s">
        <v>984</v>
      </c>
      <c r="I276" s="19" t="s">
        <v>90</v>
      </c>
      <c r="J276" s="20" t="s">
        <v>45</v>
      </c>
      <c r="K276" s="19" t="s">
        <v>728</v>
      </c>
      <c r="L276" s="86" t="s">
        <v>72</v>
      </c>
      <c r="M276" s="15">
        <v>2023</v>
      </c>
      <c r="N276" s="15" t="s">
        <v>462</v>
      </c>
      <c r="O276" s="15">
        <v>2027</v>
      </c>
      <c r="P276" s="15">
        <v>2023</v>
      </c>
      <c r="Q276" s="15"/>
      <c r="R276" s="16" t="s">
        <v>51</v>
      </c>
      <c r="S276" s="16" t="str">
        <f ca="1">IF(
  O276 &lt; YEAR(TODAY()),
  "LULUS",
  IF(
    O276 = YEAR(TODAY()),
    IF(
      MATCH(L276, {"Januari";"Februari";"Maret";"April";"Mei";"Juni";"Juli";"Agustus";"September";"Oktober";"November";"Desember"}, 0)
        &gt;= MONTH(TODAY()),
      "AKTIF (Semester " &amp;
        (INT((12*(YEAR(TODAY())-M276) + MONTH(TODAY()) -
          MATCH(L276, {"Januari";"Februari";"Maret";"April";"Mei";"Juni";"Juli";"Agustus";"September";"Oktober";"November";"Desember"}, 0)) / 6) + 1) &amp; ")",
      "LULUS"
    ),
    "AKTIF (Semester " &amp;
      (INT((12*(YEAR(TODAY())-M276) + MONTH(TODAY()) -
        MATCH(L276, {"Januari";"Februari";"Maret";"April";"Mei";"Juni";"Juli";"Agustus";"September";"Oktober";"November";"Desember"}, 0)) / 6) + 1) &amp; ")"
  )
)</f>
        <v>AKTIF (Semester 6)</v>
      </c>
      <c r="T276" s="16" t="str">
        <f ca="1">IF(O276 &lt; YEAR(TODAY()), "LULUS",
 IF(O276 = YEAR(TODAY()),
    IF(MATCH(N276, {"Januari";"Februari";"Maret";"April";"Mei";"Juni";"Juli";"Agustus";"September";"Oktober";"November";"Desember"},0)
        &lt;= MONTH(TODAY()),
        "LULUS",
        "AKTIF"),
 "AKTIF"))</f>
        <v>AKTIF</v>
      </c>
      <c r="U276" s="16" t="s">
        <v>2938</v>
      </c>
      <c r="V276" s="15"/>
      <c r="W276" s="15"/>
      <c r="X276" s="15"/>
      <c r="Y276" s="15"/>
      <c r="Z276" s="15"/>
    </row>
    <row r="277" spans="1:26" ht="29" customHeight="1" x14ac:dyDescent="0.35">
      <c r="A277" s="12">
        <v>276</v>
      </c>
      <c r="B277" s="25" t="s">
        <v>1044</v>
      </c>
      <c r="C277" s="69" t="s">
        <v>1045</v>
      </c>
      <c r="D277" s="24" t="s">
        <v>104</v>
      </c>
      <c r="E277" s="26" t="str">
        <f t="shared" si="4"/>
        <v>Laki-Laki</v>
      </c>
      <c r="F277" s="72" t="s">
        <v>1046</v>
      </c>
      <c r="G277" s="13" t="s">
        <v>909</v>
      </c>
      <c r="H277" s="19" t="s">
        <v>1047</v>
      </c>
      <c r="I277" s="19" t="s">
        <v>90</v>
      </c>
      <c r="J277" s="20" t="s">
        <v>45</v>
      </c>
      <c r="K277" s="19" t="s">
        <v>728</v>
      </c>
      <c r="L277" s="86" t="s">
        <v>72</v>
      </c>
      <c r="M277" s="15">
        <v>2023</v>
      </c>
      <c r="N277" s="15" t="s">
        <v>462</v>
      </c>
      <c r="O277" s="15">
        <v>2027</v>
      </c>
      <c r="P277" s="15">
        <v>2023</v>
      </c>
      <c r="Q277" s="15"/>
      <c r="R277" s="16" t="s">
        <v>51</v>
      </c>
      <c r="S277" s="16" t="str">
        <f ca="1">IF(
  O277 &lt; YEAR(TODAY()),
  "LULUS",
  IF(
    O277 = YEAR(TODAY()),
    IF(
      MATCH(L277, {"Januari";"Februari";"Maret";"April";"Mei";"Juni";"Juli";"Agustus";"September";"Oktober";"November";"Desember"}, 0)
        &gt;= MONTH(TODAY()),
      "AKTIF (Semester " &amp;
        (INT((12*(YEAR(TODAY())-M277) + MONTH(TODAY()) -
          MATCH(L277, {"Januari";"Februari";"Maret";"April";"Mei";"Juni";"Juli";"Agustus";"September";"Oktober";"November";"Desember"}, 0)) / 6) + 1) &amp; ")",
      "LULUS"
    ),
    "AKTIF (Semester " &amp;
      (INT((12*(YEAR(TODAY())-M277) + MONTH(TODAY()) -
        MATCH(L277, {"Januari";"Februari";"Maret";"April";"Mei";"Juni";"Juli";"Agustus";"September";"Oktober";"November";"Desember"}, 0)) / 6) + 1) &amp; ")"
  )
)</f>
        <v>AKTIF (Semester 6)</v>
      </c>
      <c r="T277" s="16" t="str">
        <f ca="1">IF(O277 &lt; YEAR(TODAY()), "LULUS",
 IF(O277 = YEAR(TODAY()),
    IF(MATCH(N277, {"Januari";"Februari";"Maret";"April";"Mei";"Juni";"Juli";"Agustus";"September";"Oktober";"November";"Desember"},0)
        &lt;= MONTH(TODAY()),
        "LULUS",
        "AKTIF"),
 "AKTIF"))</f>
        <v>AKTIF</v>
      </c>
      <c r="U277" s="16" t="s">
        <v>2938</v>
      </c>
      <c r="V277" s="15"/>
      <c r="W277" s="15"/>
      <c r="X277" s="15"/>
      <c r="Y277" s="15"/>
      <c r="Z277" s="15"/>
    </row>
    <row r="278" spans="1:26" ht="29" customHeight="1" x14ac:dyDescent="0.35">
      <c r="A278" s="12">
        <v>277</v>
      </c>
      <c r="B278" s="25" t="s">
        <v>1048</v>
      </c>
      <c r="C278" s="69" t="s">
        <v>1049</v>
      </c>
      <c r="D278" s="24" t="s">
        <v>104</v>
      </c>
      <c r="E278" s="26" t="str">
        <f t="shared" si="4"/>
        <v>Laki-Laki</v>
      </c>
      <c r="F278" s="72" t="s">
        <v>1050</v>
      </c>
      <c r="G278" s="13" t="s">
        <v>909</v>
      </c>
      <c r="H278" s="19" t="s">
        <v>1047</v>
      </c>
      <c r="I278" s="19" t="s">
        <v>90</v>
      </c>
      <c r="J278" s="20" t="s">
        <v>45</v>
      </c>
      <c r="K278" s="19" t="s">
        <v>728</v>
      </c>
      <c r="L278" s="70" t="s">
        <v>160</v>
      </c>
      <c r="M278" s="15">
        <v>2023</v>
      </c>
      <c r="N278" s="15" t="s">
        <v>160</v>
      </c>
      <c r="O278" s="15">
        <v>2027</v>
      </c>
      <c r="P278" s="15">
        <v>2023</v>
      </c>
      <c r="Q278" s="15"/>
      <c r="R278" s="16" t="s">
        <v>51</v>
      </c>
      <c r="S278" s="16" t="str">
        <f ca="1">IF(
  O278 &lt; YEAR(TODAY()),
  "LULUS",
  IF(
    O278 = YEAR(TODAY()),
    IF(
      MATCH(L278, {"Januari";"Februari";"Maret";"April";"Mei";"Juni";"Juli";"Agustus";"September";"Oktober";"November";"Desember"}, 0)
        &gt;= MONTH(TODAY()),
      "AKTIF (Semester " &amp;
        (INT((12*(YEAR(TODAY())-M278) + MONTH(TODAY()) -
          MATCH(L278, {"Januari";"Februari";"Maret";"April";"Mei";"Juni";"Juli";"Agustus";"September";"Oktober";"November";"Desember"}, 0)) / 6) + 1) &amp; ")",
      "LULUS"
    ),
    "AKTIF (Semester " &amp;
      (INT((12*(YEAR(TODAY())-M278) + MONTH(TODAY()) -
        MATCH(L278, {"Januari";"Februari";"Maret";"April";"Mei";"Juni";"Juli";"Agustus";"September";"Oktober";"November";"Desember"}, 0)) / 6) + 1) &amp; ")"
  )
)</f>
        <v>AKTIF (Semester 5)</v>
      </c>
      <c r="T278" s="16" t="str">
        <f ca="1">IF(O278 &lt; YEAR(TODAY()), "LULUS",
 IF(O278 = YEAR(TODAY()),
    IF(MATCH(N278, {"Januari";"Februari";"Maret";"April";"Mei";"Juni";"Juli";"Agustus";"September";"Oktober";"November";"Desember"},0)
        &lt;= MONTH(TODAY()),
        "LULUS",
        "AKTIF"),
 "AKTIF"))</f>
        <v>AKTIF</v>
      </c>
      <c r="U278" s="16" t="s">
        <v>2941</v>
      </c>
      <c r="V278" s="15"/>
      <c r="W278" s="15"/>
      <c r="X278" s="15"/>
      <c r="Y278" s="15"/>
      <c r="Z278" s="15"/>
    </row>
    <row r="279" spans="1:26" ht="29" customHeight="1" x14ac:dyDescent="0.35">
      <c r="A279" s="12">
        <v>278</v>
      </c>
      <c r="B279" s="25" t="s">
        <v>1051</v>
      </c>
      <c r="C279" s="69" t="s">
        <v>1052</v>
      </c>
      <c r="D279" s="24" t="s">
        <v>370</v>
      </c>
      <c r="E279" s="26" t="str">
        <f t="shared" si="4"/>
        <v>Laki-Laki</v>
      </c>
      <c r="F279" s="72" t="s">
        <v>1053</v>
      </c>
      <c r="G279" s="13" t="s">
        <v>909</v>
      </c>
      <c r="H279" s="19" t="s">
        <v>1047</v>
      </c>
      <c r="I279" s="19" t="s">
        <v>90</v>
      </c>
      <c r="J279" s="20" t="s">
        <v>45</v>
      </c>
      <c r="K279" s="19" t="s">
        <v>728</v>
      </c>
      <c r="L279" s="70" t="s">
        <v>60</v>
      </c>
      <c r="M279" s="15">
        <v>2023</v>
      </c>
      <c r="N279" s="15" t="s">
        <v>145</v>
      </c>
      <c r="O279" s="15">
        <v>2027</v>
      </c>
      <c r="P279" s="15">
        <v>2023</v>
      </c>
      <c r="Q279" s="15"/>
      <c r="R279" s="16" t="s">
        <v>51</v>
      </c>
      <c r="S279" s="16" t="str">
        <f ca="1">IF(
  O279 &lt; YEAR(TODAY()),
  "LULUS",
  IF(
    O279 = YEAR(TODAY()),
    IF(
      MATCH(L279, {"Januari";"Februari";"Maret";"April";"Mei";"Juni";"Juli";"Agustus";"September";"Oktober";"November";"Desember"}, 0)
        &gt;= MONTH(TODAY()),
      "AKTIF (Semester " &amp;
        (INT((12*(YEAR(TODAY())-M279) + MONTH(TODAY()) -
          MATCH(L279, {"Januari";"Februari";"Maret";"April";"Mei";"Juni";"Juli";"Agustus";"September";"Oktober";"November";"Desember"}, 0)) / 6) + 1) &amp; ")",
      "LULUS"
    ),
    "AKTIF (Semester " &amp;
      (INT((12*(YEAR(TODAY())-M279) + MONTH(TODAY()) -
        MATCH(L279, {"Januari";"Februari";"Maret";"April";"Mei";"Juni";"Juli";"Agustus";"September";"Oktober";"November";"Desember"}, 0)) / 6) + 1) &amp; ")"
  )
)</f>
        <v>AKTIF (Semester 5)</v>
      </c>
      <c r="T279" s="16" t="str">
        <f ca="1">IF(O279 &lt; YEAR(TODAY()), "LULUS",
 IF(O279 = YEAR(TODAY()),
    IF(MATCH(N279, {"Januari";"Februari";"Maret";"April";"Mei";"Juni";"Juli";"Agustus";"September";"Oktober";"November";"Desember"},0)
        &lt;= MONTH(TODAY()),
        "LULUS",
        "AKTIF"),
 "AKTIF"))</f>
        <v>AKTIF</v>
      </c>
      <c r="U279" s="16" t="s">
        <v>2941</v>
      </c>
      <c r="V279" s="15"/>
      <c r="W279" s="15"/>
      <c r="X279" s="15"/>
      <c r="Y279" s="15"/>
      <c r="Z279" s="15"/>
    </row>
    <row r="280" spans="1:26" ht="29" customHeight="1" x14ac:dyDescent="0.35">
      <c r="A280" s="12">
        <v>279</v>
      </c>
      <c r="B280" s="25" t="s">
        <v>1054</v>
      </c>
      <c r="C280" s="72">
        <v>1.9830129200604099E+17</v>
      </c>
      <c r="D280" s="24" t="s">
        <v>104</v>
      </c>
      <c r="E280" s="26" t="str">
        <f t="shared" si="4"/>
        <v>Laki-Laki</v>
      </c>
      <c r="F280" s="72" t="s">
        <v>1055</v>
      </c>
      <c r="G280" s="13" t="s">
        <v>909</v>
      </c>
      <c r="H280" s="19" t="s">
        <v>1056</v>
      </c>
      <c r="I280" s="19" t="s">
        <v>90</v>
      </c>
      <c r="J280" s="20" t="s">
        <v>45</v>
      </c>
      <c r="K280" s="19" t="s">
        <v>985</v>
      </c>
      <c r="L280" s="70" t="s">
        <v>60</v>
      </c>
      <c r="M280" s="15">
        <v>2023</v>
      </c>
      <c r="N280" s="15" t="s">
        <v>145</v>
      </c>
      <c r="O280" s="15">
        <v>2027</v>
      </c>
      <c r="P280" s="15">
        <v>2024</v>
      </c>
      <c r="Q280" s="15"/>
      <c r="R280" s="16" t="s">
        <v>51</v>
      </c>
      <c r="S280" s="16" t="str">
        <f ca="1">IF(
  O280 &lt; YEAR(TODAY()),
  "LULUS",
  IF(
    O280 = YEAR(TODAY()),
    IF(
      MATCH(L280, {"Januari";"Februari";"Maret";"April";"Mei";"Juni";"Juli";"Agustus";"September";"Oktober";"November";"Desember"}, 0)
        &gt;= MONTH(TODAY()),
      "AKTIF (Semester " &amp;
        (INT((12*(YEAR(TODAY())-M280) + MONTH(TODAY()) -
          MATCH(L280, {"Januari";"Februari";"Maret";"April";"Mei";"Juni";"Juli";"Agustus";"September";"Oktober";"November";"Desember"}, 0)) / 6) + 1) &amp; ")",
      "LULUS"
    ),
    "AKTIF (Semester " &amp;
      (INT((12*(YEAR(TODAY())-M280) + MONTH(TODAY()) -
        MATCH(L280, {"Januari";"Februari";"Maret";"April";"Mei";"Juni";"Juli";"Agustus";"September";"Oktober";"November";"Desember"}, 0)) / 6) + 1) &amp; ")"
  )
)</f>
        <v>AKTIF (Semester 5)</v>
      </c>
      <c r="T280" s="16" t="str">
        <f ca="1">IF(O280 &lt; YEAR(TODAY()), "LULUS",
 IF(O280 = YEAR(TODAY()),
    IF(MATCH(N280, {"Januari";"Februari";"Maret";"April";"Mei";"Juni";"Juli";"Agustus";"September";"Oktober";"November";"Desember"},0)
        &lt;= MONTH(TODAY()),
        "LULUS",
        "AKTIF"),
 "AKTIF"))</f>
        <v>AKTIF</v>
      </c>
      <c r="U280" s="16" t="s">
        <v>2941</v>
      </c>
      <c r="V280" s="15"/>
      <c r="W280" s="15"/>
      <c r="X280" s="15"/>
      <c r="Y280" s="15"/>
      <c r="Z280" s="15"/>
    </row>
    <row r="281" spans="1:26" ht="29" customHeight="1" x14ac:dyDescent="0.35">
      <c r="A281" s="12">
        <v>280</v>
      </c>
      <c r="B281" s="25" t="s">
        <v>1057</v>
      </c>
      <c r="C281" s="69" t="s">
        <v>1058</v>
      </c>
      <c r="D281" s="24" t="s">
        <v>98</v>
      </c>
      <c r="E281" s="26" t="str">
        <f t="shared" si="4"/>
        <v>Laki-Laki</v>
      </c>
      <c r="F281" s="72" t="s">
        <v>1059</v>
      </c>
      <c r="G281" s="13" t="s">
        <v>909</v>
      </c>
      <c r="H281" s="19" t="s">
        <v>1056</v>
      </c>
      <c r="I281" s="19" t="s">
        <v>90</v>
      </c>
      <c r="J281" s="20" t="s">
        <v>45</v>
      </c>
      <c r="K281" s="19" t="s">
        <v>985</v>
      </c>
      <c r="L281" s="70" t="s">
        <v>60</v>
      </c>
      <c r="M281" s="15">
        <v>2023</v>
      </c>
      <c r="N281" s="15" t="s">
        <v>145</v>
      </c>
      <c r="O281" s="15">
        <v>2027</v>
      </c>
      <c r="P281" s="15">
        <v>2024</v>
      </c>
      <c r="Q281" s="15"/>
      <c r="R281" s="16" t="s">
        <v>51</v>
      </c>
      <c r="S281" s="16" t="str">
        <f ca="1">IF(
  O281 &lt; YEAR(TODAY()),
  "LULUS",
  IF(
    O281 = YEAR(TODAY()),
    IF(
      MATCH(L281, {"Januari";"Februari";"Maret";"April";"Mei";"Juni";"Juli";"Agustus";"September";"Oktober";"November";"Desember"}, 0)
        &gt;= MONTH(TODAY()),
      "AKTIF (Semester " &amp;
        (INT((12*(YEAR(TODAY())-M281) + MONTH(TODAY()) -
          MATCH(L281, {"Januari";"Februari";"Maret";"April";"Mei";"Juni";"Juli";"Agustus";"September";"Oktober";"November";"Desember"}, 0)) / 6) + 1) &amp; ")",
      "LULUS"
    ),
    "AKTIF (Semester " &amp;
      (INT((12*(YEAR(TODAY())-M281) + MONTH(TODAY()) -
        MATCH(L281, {"Januari";"Februari";"Maret";"April";"Mei";"Juni";"Juli";"Agustus";"September";"Oktober";"November";"Desember"}, 0)) / 6) + 1) &amp; ")"
  )
)</f>
        <v>AKTIF (Semester 5)</v>
      </c>
      <c r="T281" s="16" t="str">
        <f ca="1">IF(O281 &lt; YEAR(TODAY()), "LULUS",
 IF(O281 = YEAR(TODAY()),
    IF(MATCH(N281, {"Januari";"Februari";"Maret";"April";"Mei";"Juni";"Juli";"Agustus";"September";"Oktober";"November";"Desember"},0)
        &lt;= MONTH(TODAY()),
        "LULUS",
        "AKTIF"),
 "AKTIF"))</f>
        <v>AKTIF</v>
      </c>
      <c r="U281" s="16" t="s">
        <v>2941</v>
      </c>
      <c r="V281" s="15"/>
      <c r="W281" s="15"/>
      <c r="X281" s="15"/>
      <c r="Y281" s="15"/>
      <c r="Z281" s="15"/>
    </row>
    <row r="282" spans="1:26" ht="29" customHeight="1" x14ac:dyDescent="0.35">
      <c r="A282" s="12">
        <v>281</v>
      </c>
      <c r="B282" s="25" t="s">
        <v>1060</v>
      </c>
      <c r="C282" s="69" t="s">
        <v>1061</v>
      </c>
      <c r="D282" s="24" t="s">
        <v>126</v>
      </c>
      <c r="E282" s="26" t="str">
        <f t="shared" si="4"/>
        <v>Laki-Laki</v>
      </c>
      <c r="F282" s="72" t="s">
        <v>1062</v>
      </c>
      <c r="G282" s="13" t="s">
        <v>909</v>
      </c>
      <c r="H282" s="19" t="s">
        <v>1056</v>
      </c>
      <c r="I282" s="19" t="s">
        <v>90</v>
      </c>
      <c r="J282" s="20" t="s">
        <v>45</v>
      </c>
      <c r="K282" s="19" t="s">
        <v>728</v>
      </c>
      <c r="L282" s="70" t="s">
        <v>614</v>
      </c>
      <c r="M282" s="15">
        <v>2023</v>
      </c>
      <c r="N282" s="15" t="s">
        <v>785</v>
      </c>
      <c r="O282" s="15">
        <v>2027</v>
      </c>
      <c r="P282" s="15">
        <v>2024</v>
      </c>
      <c r="Q282" s="15"/>
      <c r="R282" s="16" t="s">
        <v>51</v>
      </c>
      <c r="S282" s="16" t="str">
        <f ca="1">IF(
  O282 &lt; YEAR(TODAY()),
  "LULUS",
  IF(
    O282 = YEAR(TODAY()),
    IF(
      MATCH(L282, {"Januari";"Februari";"Maret";"April";"Mei";"Juni";"Juli";"Agustus";"September";"Oktober";"November";"Desember"}, 0)
        &gt;= MONTH(TODAY()),
      "AKTIF (Semester " &amp;
        (INT((12*(YEAR(TODAY())-M282) + MONTH(TODAY()) -
          MATCH(L282, {"Januari";"Februari";"Maret";"April";"Mei";"Juni";"Juli";"Agustus";"September";"Oktober";"November";"Desember"}, 0)) / 6) + 1) &amp; ")",
      "LULUS"
    ),
    "AKTIF (Semester " &amp;
      (INT((12*(YEAR(TODAY())-M282) + MONTH(TODAY()) -
        MATCH(L282, {"Januari";"Februari";"Maret";"April";"Mei";"Juni";"Juli";"Agustus";"September";"Oktober";"November";"Desember"}, 0)) / 6) + 1) &amp; ")"
  )
)</f>
        <v>AKTIF (Semester 6)</v>
      </c>
      <c r="T282" s="16" t="str">
        <f ca="1">IF(O282 &lt; YEAR(TODAY()), "LULUS",
 IF(O282 = YEAR(TODAY()),
    IF(MATCH(N282, {"Januari";"Februari";"Maret";"April";"Mei";"Juni";"Juli";"Agustus";"September";"Oktober";"November";"Desember"},0)
        &lt;= MONTH(TODAY()),
        "LULUS",
        "AKTIF"),
 "AKTIF"))</f>
        <v>AKTIF</v>
      </c>
      <c r="U282" s="16" t="s">
        <v>2938</v>
      </c>
      <c r="V282" s="15"/>
      <c r="W282" s="15"/>
      <c r="X282" s="15"/>
      <c r="Y282" s="15"/>
      <c r="Z282" s="15"/>
    </row>
    <row r="283" spans="1:26" ht="29" customHeight="1" x14ac:dyDescent="0.35">
      <c r="A283" s="12">
        <v>282</v>
      </c>
      <c r="B283" s="73" t="s">
        <v>2833</v>
      </c>
      <c r="C283" s="69" t="s">
        <v>1063</v>
      </c>
      <c r="D283" s="24" t="s">
        <v>791</v>
      </c>
      <c r="E283" s="26" t="str">
        <f t="shared" si="4"/>
        <v>Laki-Laki</v>
      </c>
      <c r="F283" s="25" t="s">
        <v>1064</v>
      </c>
      <c r="G283" s="13" t="s">
        <v>909</v>
      </c>
      <c r="H283" s="19" t="s">
        <v>1065</v>
      </c>
      <c r="I283" s="19" t="s">
        <v>1066</v>
      </c>
      <c r="J283" s="20" t="s">
        <v>242</v>
      </c>
      <c r="K283" s="19" t="s">
        <v>344</v>
      </c>
      <c r="L283" s="70" t="s">
        <v>60</v>
      </c>
      <c r="M283" s="15">
        <v>2023</v>
      </c>
      <c r="N283" s="15" t="s">
        <v>145</v>
      </c>
      <c r="O283" s="15">
        <v>2026</v>
      </c>
      <c r="P283" s="15">
        <v>2024</v>
      </c>
      <c r="Q283" s="15"/>
      <c r="R283" s="16" t="s">
        <v>51</v>
      </c>
      <c r="S283" s="16" t="str">
        <f ca="1">IF(
  O283 &lt; YEAR(TODAY()),
  "LULUS",
  IF(
    O283 = YEAR(TODAY()),
    IF(
      MATCH(L283, {"Januari";"Februari";"Maret";"April";"Mei";"Juni";"Juli";"Agustus";"September";"Oktober";"November";"Desember"}, 0)
        &gt;= MONTH(TODAY()),
      "AKTIF (Semester " &amp;
        (INT((12*(YEAR(TODAY())-M283) + MONTH(TODAY()) -
          MATCH(L283, {"Januari";"Februari";"Maret";"April";"Mei";"Juni";"Juli";"Agustus";"September";"Oktober";"November";"Desember"}, 0)) / 6) + 1) &amp; ")",
      "LULUS"
    ),
    "AKTIF (Semester " &amp;
      (INT((12*(YEAR(TODAY())-M283) + MONTH(TODAY()) -
        MATCH(L283, {"Januari";"Februari";"Maret";"April";"Mei";"Juni";"Juli";"Agustus";"September";"Oktober";"November";"Desember"}, 0)) / 6) + 1) &amp; ")"
  )
)</f>
        <v>AKTIF (Semester 5)</v>
      </c>
      <c r="T283" s="16" t="str">
        <f ca="1">IF(O283 &lt; YEAR(TODAY()), "LULUS",
 IF(O283 = YEAR(TODAY()),
    IF(MATCH(N283, {"Januari";"Februari";"Maret";"April";"Mei";"Juni";"Juli";"Agustus";"September";"Oktober";"November";"Desember"},0)
        &lt;= MONTH(TODAY()),
        "LULUS",
        "AKTIF"),
 "AKTIF"))</f>
        <v>AKTIF</v>
      </c>
      <c r="U283" s="16" t="s">
        <v>2941</v>
      </c>
      <c r="V283" s="15"/>
      <c r="W283" s="15"/>
      <c r="X283" s="15"/>
      <c r="Y283" s="15"/>
      <c r="Z283" s="15"/>
    </row>
    <row r="284" spans="1:26" ht="29" customHeight="1" x14ac:dyDescent="0.35">
      <c r="A284" s="12">
        <v>283</v>
      </c>
      <c r="B284" s="25" t="s">
        <v>1067</v>
      </c>
      <c r="C284" s="69" t="s">
        <v>1068</v>
      </c>
      <c r="D284" s="24" t="s">
        <v>109</v>
      </c>
      <c r="E284" s="26" t="str">
        <f t="shared" si="4"/>
        <v>Laki-Laki</v>
      </c>
      <c r="F284" s="72" t="s">
        <v>1069</v>
      </c>
      <c r="G284" s="13" t="s">
        <v>909</v>
      </c>
      <c r="H284" s="19" t="s">
        <v>1070</v>
      </c>
      <c r="I284" s="19" t="s">
        <v>90</v>
      </c>
      <c r="J284" s="12" t="s">
        <v>26</v>
      </c>
      <c r="K284" s="19" t="s">
        <v>1071</v>
      </c>
      <c r="L284" s="29" t="s">
        <v>160</v>
      </c>
      <c r="M284" s="15">
        <v>2023</v>
      </c>
      <c r="N284" s="15" t="s">
        <v>182</v>
      </c>
      <c r="O284" s="15">
        <v>2025</v>
      </c>
      <c r="P284" s="15">
        <v>2024</v>
      </c>
      <c r="Q284" s="15"/>
      <c r="R284" s="16" t="s">
        <v>51</v>
      </c>
      <c r="S284" s="16" t="str">
        <f ca="1">IF(
  O284 &lt; YEAR(TODAY()),
  "LULUS",
  IF(
    O284 = YEAR(TODAY()),
    IF(
      MATCH(L284, {"Januari";"Februari";"Maret";"April";"Mei";"Juni";"Juli";"Agustus";"September";"Oktober";"November";"Desember"}, 0)
        &gt;= MONTH(TODAY()),
      "AKTIF (Semester " &amp;
        (INT((12*(YEAR(TODAY())-M284) + MONTH(TODAY()) -
          MATCH(L284, {"Januari";"Februari";"Maret";"April";"Mei";"Juni";"Juli";"Agustus";"September";"Oktober";"November";"Desember"}, 0)) / 6) + 1) &amp; ")",
      "LULUS"
    ),
    "AKTIF (Semester " &amp;
      (INT((12*(YEAR(TODAY())-M284) + MONTH(TODAY()) -
        MATCH(L284, {"Januari";"Februari";"Maret";"April";"Mei";"Juni";"Juli";"Agustus";"September";"Oktober";"November";"Desember"}, 0)) / 6) + 1) &amp; ")"
  )
)</f>
        <v>LULUS</v>
      </c>
      <c r="T284" s="16" t="e">
        <f ca="1">IF(O284 &lt; YEAR(TODAY()), "LULUS",
 IF(O284 = YEAR(TODAY()),
    IF(MATCH(N284, {"Januari";"Februari";"Maret";"April";"Mei";"Juni";"Juli";"Agustus";"September";"Oktober";"November";"Desember"},0)
        &lt;= MONTH(TODAY()),
        "LULUS",
        "AKTIF"),
 "AKTIF"))</f>
        <v>#N/A</v>
      </c>
      <c r="U284" s="16" t="s">
        <v>29</v>
      </c>
      <c r="V284" s="15"/>
      <c r="W284" s="15"/>
      <c r="X284" s="15"/>
      <c r="Y284" s="15"/>
      <c r="Z284" s="15"/>
    </row>
    <row r="285" spans="1:26" ht="29" customHeight="1" x14ac:dyDescent="0.35">
      <c r="A285" s="12">
        <v>284</v>
      </c>
      <c r="B285" s="25" t="s">
        <v>1072</v>
      </c>
      <c r="C285" s="69" t="s">
        <v>1073</v>
      </c>
      <c r="D285" s="24" t="s">
        <v>104</v>
      </c>
      <c r="E285" s="26" t="str">
        <f t="shared" ref="E285:E348" si="5">IF(MID(C285,15,1)="1","Laki-Laki","Perempuan")</f>
        <v>Laki-Laki</v>
      </c>
      <c r="F285" s="72" t="s">
        <v>1074</v>
      </c>
      <c r="G285" s="13" t="s">
        <v>909</v>
      </c>
      <c r="H285" s="19" t="s">
        <v>1047</v>
      </c>
      <c r="I285" s="19" t="s">
        <v>90</v>
      </c>
      <c r="J285" s="20" t="s">
        <v>45</v>
      </c>
      <c r="K285" s="19" t="s">
        <v>905</v>
      </c>
      <c r="L285" s="65" t="s">
        <v>652</v>
      </c>
      <c r="M285" s="15">
        <v>2023</v>
      </c>
      <c r="N285" s="15" t="s">
        <v>1003</v>
      </c>
      <c r="O285" s="15">
        <v>2027</v>
      </c>
      <c r="P285" s="15">
        <v>2023</v>
      </c>
      <c r="Q285" s="15"/>
      <c r="R285" s="16" t="s">
        <v>51</v>
      </c>
      <c r="S285" s="16" t="str">
        <f ca="1">IF(
  O285 &lt; YEAR(TODAY()),
  "LULUS",
  IF(
    O285 = YEAR(TODAY()),
    IF(
      MATCH(L285, {"Januari";"Februari";"Maret";"April";"Mei";"Juni";"Juli";"Agustus";"September";"Oktober";"November";"Desember"}, 0)
        &gt;= MONTH(TODAY()),
      "AKTIF (Semester " &amp;
        (INT((12*(YEAR(TODAY())-M285) + MONTH(TODAY()) -
          MATCH(L285, {"Januari";"Februari";"Maret";"April";"Mei";"Juni";"Juli";"Agustus";"September";"Oktober";"November";"Desember"}, 0)) / 6) + 1) &amp; ")",
      "LULUS"
    ),
    "AKTIF (Semester " &amp;
      (INT((12*(YEAR(TODAY())-M285) + MONTH(TODAY()) -
        MATCH(L285, {"Januari";"Februari";"Maret";"April";"Mei";"Juni";"Juli";"Agustus";"September";"Oktober";"November";"Desember"}, 0)) / 6) + 1) &amp; ")"
  )
)</f>
        <v>AKTIF (Semester 6)</v>
      </c>
      <c r="T285" s="16" t="str">
        <f ca="1">IF(O285 &lt; YEAR(TODAY()), "LULUS",
 IF(O285 = YEAR(TODAY()),
    IF(MATCH(N285, {"Januari";"Februari";"Maret";"April";"Mei";"Juni";"Juli";"Agustus";"September";"Oktober";"November";"Desember"},0)
        &lt;= MONTH(TODAY()),
        "LULUS",
        "AKTIF"),
 "AKTIF"))</f>
        <v>AKTIF</v>
      </c>
      <c r="U285" s="16" t="s">
        <v>2938</v>
      </c>
      <c r="V285" s="15"/>
      <c r="W285" s="15"/>
      <c r="X285" s="15"/>
      <c r="Y285" s="15"/>
      <c r="Z285" s="15"/>
    </row>
    <row r="286" spans="1:26" ht="29" customHeight="1" x14ac:dyDescent="0.35">
      <c r="A286" s="12">
        <v>285</v>
      </c>
      <c r="B286" s="25" t="s">
        <v>1075</v>
      </c>
      <c r="C286" s="69" t="s">
        <v>1076</v>
      </c>
      <c r="D286" s="24" t="s">
        <v>109</v>
      </c>
      <c r="E286" s="26" t="str">
        <f t="shared" si="5"/>
        <v>Laki-Laki</v>
      </c>
      <c r="F286" s="72" t="s">
        <v>1077</v>
      </c>
      <c r="G286" s="13" t="s">
        <v>909</v>
      </c>
      <c r="H286" s="19" t="s">
        <v>1035</v>
      </c>
      <c r="I286" s="19" t="s">
        <v>485</v>
      </c>
      <c r="J286" s="12" t="s">
        <v>26</v>
      </c>
      <c r="K286" s="19" t="s">
        <v>221</v>
      </c>
      <c r="L286" s="65" t="s">
        <v>682</v>
      </c>
      <c r="M286" s="15">
        <v>2022</v>
      </c>
      <c r="N286" s="15" t="s">
        <v>682</v>
      </c>
      <c r="O286" s="15">
        <v>2024</v>
      </c>
      <c r="P286" s="15">
        <v>2022</v>
      </c>
      <c r="Q286" s="15"/>
      <c r="R286" s="16" t="s">
        <v>51</v>
      </c>
      <c r="S286" s="16" t="str">
        <f ca="1">IF(
  O286 &lt; YEAR(TODAY()),
  "LULUS",
  IF(
    O286 = YEAR(TODAY()),
    IF(
      MATCH(L286, {"Januari";"Februari";"Maret";"April";"Mei";"Juni";"Juli";"Agustus";"September";"Oktober";"November";"Desember"}, 0)
        &gt;= MONTH(TODAY()),
      "AKTIF (Semester " &amp;
        (INT((12*(YEAR(TODAY())-M286) + MONTH(TODAY()) -
          MATCH(L286, {"Januari";"Februari";"Maret";"April";"Mei";"Juni";"Juli";"Agustus";"September";"Oktober";"November";"Desember"}, 0)) / 6) + 1) &amp; ")",
      "LULUS"
    ),
    "AKTIF (Semester " &amp;
      (INT((12*(YEAR(TODAY())-M286) + MONTH(TODAY()) -
        MATCH(L286, {"Januari";"Februari";"Maret";"April";"Mei";"Juni";"Juli";"Agustus";"September";"Oktober";"November";"Desember"}, 0)) / 6) + 1) &amp; ")"
  )
)</f>
        <v>LULUS</v>
      </c>
      <c r="T286" s="16" t="str">
        <f ca="1">IF(O286 &lt; YEAR(TODAY()), "LULUS",
 IF(O286 = YEAR(TODAY()),
    IF(MATCH(N286, {"Januari";"Februari";"Maret";"April";"Mei";"Juni";"Juli";"Agustus";"September";"Oktober";"November";"Desember"},0)
        &lt;= MONTH(TODAY()),
        "LULUS",
        "AKTIF"),
 "AKTIF"))</f>
        <v>LULUS</v>
      </c>
      <c r="U286" s="16" t="s">
        <v>29</v>
      </c>
      <c r="V286" s="15"/>
      <c r="W286" s="15"/>
      <c r="X286" s="15"/>
      <c r="Y286" s="15"/>
      <c r="Z286" s="15"/>
    </row>
    <row r="287" spans="1:26" ht="29" customHeight="1" x14ac:dyDescent="0.35">
      <c r="A287" s="12">
        <v>286</v>
      </c>
      <c r="B287" s="25" t="s">
        <v>1078</v>
      </c>
      <c r="C287" s="69" t="s">
        <v>1079</v>
      </c>
      <c r="D287" s="24" t="s">
        <v>116</v>
      </c>
      <c r="E287" s="26" t="str">
        <f t="shared" si="5"/>
        <v>Laki-Laki</v>
      </c>
      <c r="F287" s="72" t="s">
        <v>1080</v>
      </c>
      <c r="G287" s="13" t="s">
        <v>909</v>
      </c>
      <c r="H287" s="19" t="s">
        <v>1035</v>
      </c>
      <c r="I287" s="19" t="s">
        <v>90</v>
      </c>
      <c r="J287" s="20" t="s">
        <v>45</v>
      </c>
      <c r="K287" s="19" t="s">
        <v>905</v>
      </c>
      <c r="L287" s="70" t="s">
        <v>60</v>
      </c>
      <c r="M287" s="15">
        <v>2022</v>
      </c>
      <c r="N287" s="15" t="s">
        <v>60</v>
      </c>
      <c r="O287" s="15">
        <v>2026</v>
      </c>
      <c r="P287" s="15">
        <v>2022</v>
      </c>
      <c r="Q287" s="15"/>
      <c r="R287" s="16" t="s">
        <v>51</v>
      </c>
      <c r="S287" s="16" t="str">
        <f ca="1">IF(
  O287 &lt; YEAR(TODAY()),
  "LULUS",
  IF(
    O287 = YEAR(TODAY()),
    IF(
      MATCH(L287, {"Januari";"Februari";"Maret";"April";"Mei";"Juni";"Juli";"Agustus";"September";"Oktober";"November";"Desember"}, 0)
        &gt;= MONTH(TODAY()),
      "AKTIF (Semester " &amp;
        (INT((12*(YEAR(TODAY())-M287) + MONTH(TODAY()) -
          MATCH(L287, {"Januari";"Februari";"Maret";"April";"Mei";"Juni";"Juli";"Agustus";"September";"Oktober";"November";"Desember"}, 0)) / 6) + 1) &amp; ")",
      "LULUS"
    ),
    "AKTIF (Semester " &amp;
      (INT((12*(YEAR(TODAY())-M287) + MONTH(TODAY()) -
        MATCH(L287, {"Januari";"Februari";"Maret";"April";"Mei";"Juni";"Juli";"Agustus";"September";"Oktober";"November";"Desember"}, 0)) / 6) + 1) &amp; ")"
  )
)</f>
        <v>AKTIF (Semester 7)</v>
      </c>
      <c r="T287" s="16" t="str">
        <f ca="1">IF(O287 &lt; YEAR(TODAY()), "LULUS",
 IF(O287 = YEAR(TODAY()),
    IF(MATCH(N287, {"Januari";"Februari";"Maret";"April";"Mei";"Juni";"Juli";"Agustus";"September";"Oktober";"November";"Desember"},0)
        &lt;= MONTH(TODAY()),
        "LULUS",
        "AKTIF"),
 "AKTIF"))</f>
        <v>AKTIF</v>
      </c>
      <c r="U287" s="16" t="s">
        <v>2939</v>
      </c>
      <c r="V287" s="15"/>
      <c r="W287" s="15"/>
      <c r="X287" s="15"/>
      <c r="Y287" s="15"/>
      <c r="Z287" s="15"/>
    </row>
    <row r="288" spans="1:26" ht="29" customHeight="1" x14ac:dyDescent="0.35">
      <c r="A288" s="12">
        <v>287</v>
      </c>
      <c r="B288" s="25" t="s">
        <v>1081</v>
      </c>
      <c r="C288" s="69" t="s">
        <v>1082</v>
      </c>
      <c r="D288" s="24" t="s">
        <v>109</v>
      </c>
      <c r="E288" s="26" t="str">
        <f t="shared" si="5"/>
        <v>Laki-Laki</v>
      </c>
      <c r="F288" s="72" t="s">
        <v>1083</v>
      </c>
      <c r="G288" s="13" t="s">
        <v>909</v>
      </c>
      <c r="H288" s="19" t="s">
        <v>1084</v>
      </c>
      <c r="I288" s="19" t="s">
        <v>1085</v>
      </c>
      <c r="J288" s="12" t="s">
        <v>26</v>
      </c>
      <c r="K288" s="19" t="s">
        <v>221</v>
      </c>
      <c r="L288" s="70" t="s">
        <v>156</v>
      </c>
      <c r="M288" s="15">
        <v>2022</v>
      </c>
      <c r="N288" s="15" t="s">
        <v>156</v>
      </c>
      <c r="O288" s="15">
        <v>2023</v>
      </c>
      <c r="P288" s="15">
        <v>2022</v>
      </c>
      <c r="Q288" s="15"/>
      <c r="R288" s="16" t="s">
        <v>29</v>
      </c>
      <c r="S288" s="16" t="str">
        <f ca="1">IF(
  O288 &lt; YEAR(TODAY()),
  "LULUS",
  IF(
    O288 = YEAR(TODAY()),
    IF(
      MATCH(L288, {"Januari";"Februari";"Maret";"April";"Mei";"Juni";"Juli";"Agustus";"September";"Oktober";"November";"Desember"}, 0)
        &gt;= MONTH(TODAY()),
      "AKTIF (Semester " &amp;
        (INT((12*(YEAR(TODAY())-M288) + MONTH(TODAY()) -
          MATCH(L288, {"Januari";"Februari";"Maret";"April";"Mei";"Juni";"Juli";"Agustus";"September";"Oktober";"November";"Desember"}, 0)) / 6) + 1) &amp; ")",
      "LULUS"
    ),
    "AKTIF (Semester " &amp;
      (INT((12*(YEAR(TODAY())-M288) + MONTH(TODAY()) -
        MATCH(L288, {"Januari";"Februari";"Maret";"April";"Mei";"Juni";"Juli";"Agustus";"September";"Oktober";"November";"Desember"}, 0)) / 6) + 1) &amp; ")"
  )
)</f>
        <v>LULUS</v>
      </c>
      <c r="T288" s="16" t="str">
        <f ca="1">IF(O288 &lt; YEAR(TODAY()), "LULUS",
 IF(O288 = YEAR(TODAY()),
    IF(MATCH(N288, {"Januari";"Februari";"Maret";"April";"Mei";"Juni";"Juli";"Agustus";"September";"Oktober";"November";"Desember"},0)
        &lt;= MONTH(TODAY()),
        "LULUS",
        "AKTIF"),
 "AKTIF"))</f>
        <v>LULUS</v>
      </c>
      <c r="U288" s="16" t="s">
        <v>29</v>
      </c>
      <c r="V288" s="15"/>
      <c r="W288" s="15"/>
      <c r="X288" s="15"/>
      <c r="Y288" s="15"/>
      <c r="Z288" s="15"/>
    </row>
    <row r="289" spans="1:26" ht="29" customHeight="1" x14ac:dyDescent="0.35">
      <c r="A289" s="12">
        <v>288</v>
      </c>
      <c r="B289" s="25" t="s">
        <v>1086</v>
      </c>
      <c r="C289" s="69" t="s">
        <v>1087</v>
      </c>
      <c r="D289" s="24" t="s">
        <v>116</v>
      </c>
      <c r="E289" s="26" t="str">
        <f t="shared" si="5"/>
        <v>Laki-Laki</v>
      </c>
      <c r="F289" s="72" t="s">
        <v>1088</v>
      </c>
      <c r="G289" s="13" t="s">
        <v>909</v>
      </c>
      <c r="H289" s="19" t="s">
        <v>946</v>
      </c>
      <c r="I289" s="19" t="s">
        <v>90</v>
      </c>
      <c r="J289" s="20" t="s">
        <v>45</v>
      </c>
      <c r="K289" s="19" t="s">
        <v>905</v>
      </c>
      <c r="L289" s="29" t="s">
        <v>28</v>
      </c>
      <c r="M289" s="15">
        <v>2022</v>
      </c>
      <c r="N289" s="15" t="s">
        <v>682</v>
      </c>
      <c r="O289" s="15">
        <v>2026</v>
      </c>
      <c r="P289" s="15">
        <v>2022</v>
      </c>
      <c r="Q289" s="15"/>
      <c r="R289" s="16" t="s">
        <v>51</v>
      </c>
      <c r="S289" s="16" t="str">
        <f ca="1">IF(
  O289 &lt; YEAR(TODAY()),
  "LULUS",
  IF(
    O289 = YEAR(TODAY()),
    IF(
      MATCH(L289, {"Januari";"Februari";"Maret";"April";"Mei";"Juni";"Juli";"Agustus";"September";"Oktober";"November";"Desember"}, 0)
        &gt;= MONTH(TODAY()),
      "AKTIF (Semester " &amp;
        (INT((12*(YEAR(TODAY())-M289) + MONTH(TODAY()) -
          MATCH(L289, {"Januari";"Februari";"Maret";"April";"Mei";"Juni";"Juli";"Agustus";"September";"Oktober";"November";"Desember"}, 0)) / 6) + 1) &amp; ")",
      "LULUS"
    ),
    "AKTIF (Semester " &amp;
      (INT((12*(YEAR(TODAY())-M289) + MONTH(TODAY()) -
        MATCH(L289, {"Januari";"Februari";"Maret";"April";"Mei";"Juni";"Juli";"Agustus";"September";"Oktober";"November";"Desember"}, 0)) / 6) + 1) &amp; ")"
  )
)</f>
        <v>AKTIF (Semester 7)</v>
      </c>
      <c r="T289" s="16" t="str">
        <f ca="1">IF(O289 &lt; YEAR(TODAY()), "LULUS",
 IF(O289 = YEAR(TODAY()),
    IF(MATCH(N289, {"Januari";"Februari";"Maret";"April";"Mei";"Juni";"Juli";"Agustus";"September";"Oktober";"November";"Desember"},0)
        &lt;= MONTH(TODAY()),
        "LULUS",
        "AKTIF"),
 "AKTIF"))</f>
        <v>AKTIF</v>
      </c>
      <c r="U289" s="16" t="s">
        <v>2939</v>
      </c>
      <c r="V289" s="15"/>
      <c r="W289" s="15"/>
      <c r="X289" s="15"/>
      <c r="Y289" s="15"/>
      <c r="Z289" s="15"/>
    </row>
    <row r="290" spans="1:26" ht="29" customHeight="1" x14ac:dyDescent="0.35">
      <c r="A290" s="12">
        <v>289</v>
      </c>
      <c r="B290" s="25" t="s">
        <v>1089</v>
      </c>
      <c r="C290" s="69" t="s">
        <v>1090</v>
      </c>
      <c r="D290" s="24" t="s">
        <v>109</v>
      </c>
      <c r="E290" s="26" t="str">
        <f t="shared" si="5"/>
        <v>Laki-Laki</v>
      </c>
      <c r="F290" s="72" t="s">
        <v>1091</v>
      </c>
      <c r="G290" s="13" t="s">
        <v>909</v>
      </c>
      <c r="H290" s="19" t="s">
        <v>993</v>
      </c>
      <c r="I290" s="19" t="s">
        <v>1092</v>
      </c>
      <c r="J290" s="12" t="s">
        <v>26</v>
      </c>
      <c r="K290" s="19" t="s">
        <v>46</v>
      </c>
      <c r="L290" s="70" t="s">
        <v>145</v>
      </c>
      <c r="M290" s="15">
        <v>2022</v>
      </c>
      <c r="N290" s="15" t="s">
        <v>145</v>
      </c>
      <c r="O290" s="15">
        <v>2024</v>
      </c>
      <c r="P290" s="15">
        <v>2022</v>
      </c>
      <c r="Q290" s="15"/>
      <c r="R290" s="16" t="s">
        <v>29</v>
      </c>
      <c r="S290" s="16" t="str">
        <f ca="1">IF(
  O290 &lt; YEAR(TODAY()),
  "LULUS",
  IF(
    O290 = YEAR(TODAY()),
    IF(
      MATCH(L290, {"Januari";"Februari";"Maret";"April";"Mei";"Juni";"Juli";"Agustus";"September";"Oktober";"November";"Desember"}, 0)
        &gt;= MONTH(TODAY()),
      "AKTIF (Semester " &amp;
        (INT((12*(YEAR(TODAY())-M290) + MONTH(TODAY()) -
          MATCH(L290, {"Januari";"Februari";"Maret";"April";"Mei";"Juni";"Juli";"Agustus";"September";"Oktober";"November";"Desember"}, 0)) / 6) + 1) &amp; ")",
      "LULUS"
    ),
    "AKTIF (Semester " &amp;
      (INT((12*(YEAR(TODAY())-M290) + MONTH(TODAY()) -
        MATCH(L290, {"Januari";"Februari";"Maret";"April";"Mei";"Juni";"Juli";"Agustus";"September";"Oktober";"November";"Desember"}, 0)) / 6) + 1) &amp; ")"
  )
)</f>
        <v>LULUS</v>
      </c>
      <c r="T290" s="16" t="str">
        <f ca="1">IF(O290 &lt; YEAR(TODAY()), "LULUS",
 IF(O290 = YEAR(TODAY()),
    IF(MATCH(N290, {"Januari";"Februari";"Maret";"April";"Mei";"Juni";"Juli";"Agustus";"September";"Oktober";"November";"Desember"},0)
        &lt;= MONTH(TODAY()),
        "LULUS",
        "AKTIF"),
 "AKTIF"))</f>
        <v>LULUS</v>
      </c>
      <c r="U290" s="16" t="s">
        <v>29</v>
      </c>
      <c r="V290" s="15"/>
      <c r="W290" s="15"/>
      <c r="X290" s="15"/>
      <c r="Y290" s="15"/>
      <c r="Z290" s="15"/>
    </row>
    <row r="291" spans="1:26" ht="29" customHeight="1" x14ac:dyDescent="0.35">
      <c r="A291" s="12">
        <v>290</v>
      </c>
      <c r="B291" s="25" t="s">
        <v>1093</v>
      </c>
      <c r="C291" s="69" t="s">
        <v>1094</v>
      </c>
      <c r="D291" s="24" t="s">
        <v>109</v>
      </c>
      <c r="E291" s="26" t="str">
        <f t="shared" si="5"/>
        <v>Laki-Laki</v>
      </c>
      <c r="F291" s="72" t="s">
        <v>672</v>
      </c>
      <c r="G291" s="13" t="s">
        <v>909</v>
      </c>
      <c r="H291" s="19" t="s">
        <v>961</v>
      </c>
      <c r="I291" s="19" t="s">
        <v>1095</v>
      </c>
      <c r="J291" s="12" t="s">
        <v>26</v>
      </c>
      <c r="K291" s="19" t="s">
        <v>1096</v>
      </c>
      <c r="L291" s="70" t="s">
        <v>123</v>
      </c>
      <c r="M291" s="15">
        <v>2022</v>
      </c>
      <c r="N291" s="15" t="s">
        <v>123</v>
      </c>
      <c r="O291" s="15">
        <v>2024</v>
      </c>
      <c r="P291" s="15">
        <v>2022</v>
      </c>
      <c r="Q291" s="15"/>
      <c r="R291" s="16" t="s">
        <v>29</v>
      </c>
      <c r="S291" s="16" t="str">
        <f ca="1">IF(
  O291 &lt; YEAR(TODAY()),
  "LULUS",
  IF(
    O291 = YEAR(TODAY()),
    IF(
      MATCH(L291, {"Januari";"Februari";"Maret";"April";"Mei";"Juni";"Juli";"Agustus";"September";"Oktober";"November";"Desember"}, 0)
        &gt;= MONTH(TODAY()),
      "AKTIF (Semester " &amp;
        (INT((12*(YEAR(TODAY())-M291) + MONTH(TODAY()) -
          MATCH(L291, {"Januari";"Februari";"Maret";"April";"Mei";"Juni";"Juli";"Agustus";"September";"Oktober";"November";"Desember"}, 0)) / 6) + 1) &amp; ")",
      "LULUS"
    ),
    "AKTIF (Semester " &amp;
      (INT((12*(YEAR(TODAY())-M291) + MONTH(TODAY()) -
        MATCH(L291, {"Januari";"Februari";"Maret";"April";"Mei";"Juni";"Juli";"Agustus";"September";"Oktober";"November";"Desember"}, 0)) / 6) + 1) &amp; ")"
  )
)</f>
        <v>LULUS</v>
      </c>
      <c r="T291" s="16" t="str">
        <f ca="1">IF(O291 &lt; YEAR(TODAY()), "LULUS",
 IF(O291 = YEAR(TODAY()),
    IF(MATCH(N291, {"Januari";"Februari";"Maret";"April";"Mei";"Juni";"Juli";"Agustus";"September";"Oktober";"November";"Desember"},0)
        &lt;= MONTH(TODAY()),
        "LULUS",
        "AKTIF"),
 "AKTIF"))</f>
        <v>LULUS</v>
      </c>
      <c r="U291" s="16" t="s">
        <v>29</v>
      </c>
      <c r="V291" s="15"/>
      <c r="W291" s="15"/>
      <c r="X291" s="15"/>
      <c r="Y291" s="15"/>
      <c r="Z291" s="15"/>
    </row>
    <row r="292" spans="1:26" ht="29" customHeight="1" x14ac:dyDescent="0.35">
      <c r="A292" s="12">
        <v>291</v>
      </c>
      <c r="B292" s="13" t="s">
        <v>1097</v>
      </c>
      <c r="C292" s="14" t="s">
        <v>1098</v>
      </c>
      <c r="D292" s="13"/>
      <c r="E292" s="26" t="str">
        <f t="shared" si="5"/>
        <v>Perempuan</v>
      </c>
      <c r="F292" s="13"/>
      <c r="G292" s="13" t="s">
        <v>909</v>
      </c>
      <c r="H292" s="15" t="s">
        <v>961</v>
      </c>
      <c r="I292" s="19" t="s">
        <v>90</v>
      </c>
      <c r="J292" s="12" t="s">
        <v>45</v>
      </c>
      <c r="K292" s="15" t="s">
        <v>40</v>
      </c>
      <c r="L292" s="86" t="s">
        <v>169</v>
      </c>
      <c r="M292" s="21">
        <v>2021</v>
      </c>
      <c r="N292" s="15" t="s">
        <v>446</v>
      </c>
      <c r="O292" s="15">
        <v>2025</v>
      </c>
      <c r="P292" s="15">
        <v>2022</v>
      </c>
      <c r="Q292" s="15"/>
      <c r="R292" s="16" t="s">
        <v>51</v>
      </c>
      <c r="S292" s="16" t="str">
        <f ca="1">IF(
  O292 &lt; YEAR(TODAY()),
  "LULUS",
  IF(
    O292 = YEAR(TODAY()),
    IF(
      MATCH(L292, {"Januari";"Februari";"Maret";"April";"Mei";"Juni";"Juli";"Agustus";"September";"Oktober";"November";"Desember"}, 0)
        &gt;= MONTH(TODAY()),
      "AKTIF (Semester " &amp;
        (INT((12*(YEAR(TODAY())-M292) + MONTH(TODAY()) -
          MATCH(L292, {"Januari";"Februari";"Maret";"April";"Mei";"Juni";"Juli";"Agustus";"September";"Oktober";"November";"Desember"}, 0)) / 6) + 1) &amp; ")",
      "LULUS"
    ),
    "AKTIF (Semester " &amp;
      (INT((12*(YEAR(TODAY())-M292) + MONTH(TODAY()) -
        MATCH(L292, {"Januari";"Februari";"Maret";"April";"Mei";"Juni";"Juli";"Agustus";"September";"Oktober";"November";"Desember"}, 0)) / 6) + 1) &amp; ")"
  )
)</f>
        <v>LULUS</v>
      </c>
      <c r="T292" s="16" t="e">
        <f ca="1">IF(O292 &lt; YEAR(TODAY()), "LULUS",
 IF(O292 = YEAR(TODAY()),
    IF(MATCH(N292, {"Januari";"Februari";"Maret";"April";"Mei";"Juni";"Juli";"Agustus";"September";"Oktober";"November";"Desember"},0)
        &lt;= MONTH(TODAY()),
        "LULUS",
        "AKTIF"),
 "AKTIF"))</f>
        <v>#N/A</v>
      </c>
      <c r="U292" s="16" t="s">
        <v>29</v>
      </c>
      <c r="V292" s="15"/>
      <c r="W292" s="15"/>
      <c r="X292" s="15"/>
      <c r="Y292" s="15"/>
      <c r="Z292" s="15"/>
    </row>
    <row r="293" spans="1:26" ht="29" customHeight="1" x14ac:dyDescent="0.35">
      <c r="A293" s="12">
        <v>292</v>
      </c>
      <c r="B293" s="13" t="s">
        <v>1099</v>
      </c>
      <c r="C293" s="14" t="s">
        <v>1100</v>
      </c>
      <c r="D293" s="13" t="s">
        <v>507</v>
      </c>
      <c r="E293" s="26" t="str">
        <f t="shared" si="5"/>
        <v>Laki-Laki</v>
      </c>
      <c r="F293" s="18" t="s">
        <v>189</v>
      </c>
      <c r="G293" s="13" t="s">
        <v>909</v>
      </c>
      <c r="H293" s="15" t="s">
        <v>1101</v>
      </c>
      <c r="I293" s="15" t="s">
        <v>549</v>
      </c>
      <c r="J293" s="12" t="s">
        <v>26</v>
      </c>
      <c r="K293" s="15" t="s">
        <v>46</v>
      </c>
      <c r="L293" s="15"/>
      <c r="M293" s="15">
        <v>2024</v>
      </c>
      <c r="N293" s="15"/>
      <c r="O293" s="15">
        <v>2026</v>
      </c>
      <c r="P293" s="15">
        <v>2024</v>
      </c>
      <c r="Q293" s="15"/>
      <c r="R293" s="16" t="s">
        <v>51</v>
      </c>
      <c r="S293" s="16" t="e">
        <f ca="1">IF(
  O293 &lt; YEAR(TODAY()),
  "LULUS",
  IF(
    O293 = YEAR(TODAY()),
    IF(
      MATCH(L293, {"Januari";"Februari";"Maret";"April";"Mei";"Juni";"Juli";"Agustus";"September";"Oktober";"November";"Desember"}, 0)
        &gt;= MONTH(TODAY()),
      "AKTIF (Semester " &amp;
        (INT((12*(YEAR(TODAY())-M293) + MONTH(TODAY()) -
          MATCH(L293, {"Januari";"Februari";"Maret";"April";"Mei";"Juni";"Juli";"Agustus";"September";"Oktober";"November";"Desember"}, 0)) / 6) + 1) &amp; ")",
      "LULUS"
    ),
    "AKTIF (Semester " &amp;
      (INT((12*(YEAR(TODAY())-M293) + MONTH(TODAY()) -
        MATCH(L293, {"Januari";"Februari";"Maret";"April";"Mei";"Juni";"Juli";"Agustus";"September";"Oktober";"November";"Desember"}, 0)) / 6) + 1) &amp; ")"
  )
)</f>
        <v>#N/A</v>
      </c>
      <c r="T293" s="16" t="str">
        <f ca="1">IF(O293 &lt; YEAR(TODAY()), "LULUS",
 IF(O293 = YEAR(TODAY()),
    IF(MATCH(N293, {"Januari";"Februari";"Maret";"April";"Mei";"Juni";"Juli";"Agustus";"September";"Oktober";"November";"Desember"},0)
        &lt;= MONTH(TODAY()),
        "LULUS",
        "AKTIF"),
 "AKTIF"))</f>
        <v>AKTIF</v>
      </c>
      <c r="U293" s="16" t="e">
        <v>#N/A</v>
      </c>
      <c r="V293" s="15"/>
      <c r="W293" s="15"/>
      <c r="X293" s="15"/>
      <c r="Y293" s="15"/>
      <c r="Z293" s="15"/>
    </row>
    <row r="294" spans="1:26" ht="29" customHeight="1" x14ac:dyDescent="0.35">
      <c r="A294" s="12">
        <v>293</v>
      </c>
      <c r="B294" s="13" t="s">
        <v>1102</v>
      </c>
      <c r="C294" s="14" t="s">
        <v>1103</v>
      </c>
      <c r="D294" s="13" t="s">
        <v>188</v>
      </c>
      <c r="E294" s="26" t="str">
        <f t="shared" si="5"/>
        <v>Laki-Laki</v>
      </c>
      <c r="F294" s="18" t="s">
        <v>189</v>
      </c>
      <c r="G294" s="13" t="s">
        <v>909</v>
      </c>
      <c r="H294" s="15" t="s">
        <v>1101</v>
      </c>
      <c r="I294" s="15" t="s">
        <v>549</v>
      </c>
      <c r="J294" s="12" t="s">
        <v>26</v>
      </c>
      <c r="K294" s="15" t="s">
        <v>46</v>
      </c>
      <c r="L294" s="15" t="s">
        <v>28</v>
      </c>
      <c r="M294" s="15">
        <v>2024</v>
      </c>
      <c r="N294" s="15" t="s">
        <v>28</v>
      </c>
      <c r="O294" s="15">
        <v>2026</v>
      </c>
      <c r="P294" s="15">
        <v>2024</v>
      </c>
      <c r="Q294" s="15"/>
      <c r="R294" s="16" t="s">
        <v>51</v>
      </c>
      <c r="S294" s="16" t="str">
        <f ca="1">IF(
  O294 &lt; YEAR(TODAY()),
  "LULUS",
  IF(
    O294 = YEAR(TODAY()),
    IF(
      MATCH(L294, {"Januari";"Februari";"Maret";"April";"Mei";"Juni";"Juli";"Agustus";"September";"Oktober";"November";"Desember"}, 0)
        &gt;= MONTH(TODAY()),
      "AKTIF (Semester " &amp;
        (INT((12*(YEAR(TODAY())-M294) + MONTH(TODAY()) -
          MATCH(L294, {"Januari";"Februari";"Maret";"April";"Mei";"Juni";"Juli";"Agustus";"September";"Oktober";"November";"Desember"}, 0)) / 6) + 1) &amp; ")",
      "LULUS"
    ),
    "AKTIF (Semester " &amp;
      (INT((12*(YEAR(TODAY())-M294) + MONTH(TODAY()) -
        MATCH(L294, {"Januari";"Februari";"Maret";"April";"Mei";"Juni";"Juli";"Agustus";"September";"Oktober";"November";"Desember"}, 0)) / 6) + 1) &amp; ")"
  )
)</f>
        <v>AKTIF (Semester 3)</v>
      </c>
      <c r="T294" s="16" t="str">
        <f ca="1">IF(O294 &lt; YEAR(TODAY()), "LULUS",
 IF(O294 = YEAR(TODAY()),
    IF(MATCH(N294, {"Januari";"Februari";"Maret";"April";"Mei";"Juni";"Juli";"Agustus";"September";"Oktober";"November";"Desember"},0)
        &lt;= MONTH(TODAY()),
        "LULUS",
        "AKTIF"),
 "AKTIF"))</f>
        <v>AKTIF</v>
      </c>
      <c r="U294" s="16" t="s">
        <v>2940</v>
      </c>
      <c r="V294" s="15"/>
      <c r="W294" s="15"/>
      <c r="X294" s="15"/>
      <c r="Y294" s="15"/>
      <c r="Z294" s="15"/>
    </row>
    <row r="295" spans="1:26" ht="29" customHeight="1" x14ac:dyDescent="0.35">
      <c r="A295" s="12">
        <v>294</v>
      </c>
      <c r="B295" s="13" t="s">
        <v>1104</v>
      </c>
      <c r="C295" s="14" t="s">
        <v>1105</v>
      </c>
      <c r="D295" s="13" t="s">
        <v>172</v>
      </c>
      <c r="E295" s="26" t="str">
        <f t="shared" si="5"/>
        <v>Perempuan</v>
      </c>
      <c r="F295" s="18" t="s">
        <v>1106</v>
      </c>
      <c r="G295" s="13" t="s">
        <v>909</v>
      </c>
      <c r="H295" s="15" t="s">
        <v>1107</v>
      </c>
      <c r="I295" s="134" t="s">
        <v>56</v>
      </c>
      <c r="J295" s="20" t="s">
        <v>45</v>
      </c>
      <c r="K295" s="15" t="s">
        <v>57</v>
      </c>
      <c r="L295" s="15" t="s">
        <v>60</v>
      </c>
      <c r="M295" s="15">
        <v>2024</v>
      </c>
      <c r="N295" s="15" t="s">
        <v>60</v>
      </c>
      <c r="O295" s="15">
        <v>2028</v>
      </c>
      <c r="P295" s="15">
        <v>2024</v>
      </c>
      <c r="Q295" s="15"/>
      <c r="R295" s="16" t="s">
        <v>51</v>
      </c>
      <c r="S295" s="16" t="str">
        <f ca="1">IF(
  O295 &lt; YEAR(TODAY()),
  "LULUS",
  IF(
    O295 = YEAR(TODAY()),
    IF(
      MATCH(L295, {"Januari";"Februari";"Maret";"April";"Mei";"Juni";"Juli";"Agustus";"September";"Oktober";"November";"Desember"}, 0)
        &gt;= MONTH(TODAY()),
      "AKTIF (Semester " &amp;
        (INT((12*(YEAR(TODAY())-M295) + MONTH(TODAY()) -
          MATCH(L295, {"Januari";"Februari";"Maret";"April";"Mei";"Juni";"Juli";"Agustus";"September";"Oktober";"November";"Desember"}, 0)) / 6) + 1) &amp; ")",
      "LULUS"
    ),
    "AKTIF (Semester " &amp;
      (INT((12*(YEAR(TODAY())-M295) + MONTH(TODAY()) -
        MATCH(L295, {"Januari";"Februari";"Maret";"April";"Mei";"Juni";"Juli";"Agustus";"September";"Oktober";"November";"Desember"}, 0)) / 6) + 1) &amp; ")"
  )
)</f>
        <v>AKTIF (Semester 3)</v>
      </c>
      <c r="T295" s="16" t="str">
        <f ca="1">IF(O295 &lt; YEAR(TODAY()), "LULUS",
 IF(O295 = YEAR(TODAY()),
    IF(MATCH(N295, {"Januari";"Februari";"Maret";"April";"Mei";"Juni";"Juli";"Agustus";"September";"Oktober";"November";"Desember"},0)
        &lt;= MONTH(TODAY()),
        "LULUS",
        "AKTIF"),
 "AKTIF"))</f>
        <v>AKTIF</v>
      </c>
      <c r="U295" s="16" t="s">
        <v>2940</v>
      </c>
      <c r="V295" s="15"/>
      <c r="W295" s="15"/>
      <c r="X295" s="15"/>
      <c r="Y295" s="15"/>
      <c r="Z295" s="15"/>
    </row>
    <row r="296" spans="1:26" ht="29" customHeight="1" x14ac:dyDescent="0.35">
      <c r="A296" s="12">
        <v>295</v>
      </c>
      <c r="B296" s="13" t="s">
        <v>1109</v>
      </c>
      <c r="C296" s="14" t="s">
        <v>1110</v>
      </c>
      <c r="D296" s="13" t="s">
        <v>172</v>
      </c>
      <c r="E296" s="26" t="str">
        <f t="shared" si="5"/>
        <v>Perempuan</v>
      </c>
      <c r="F296" s="18" t="s">
        <v>99</v>
      </c>
      <c r="G296" s="13" t="s">
        <v>909</v>
      </c>
      <c r="H296" s="15" t="s">
        <v>1101</v>
      </c>
      <c r="I296" s="19" t="s">
        <v>90</v>
      </c>
      <c r="J296" s="20" t="s">
        <v>45</v>
      </c>
      <c r="K296" s="15" t="s">
        <v>95</v>
      </c>
      <c r="L296" s="15" t="s">
        <v>28</v>
      </c>
      <c r="M296" s="15">
        <v>2024</v>
      </c>
      <c r="N296" s="15" t="s">
        <v>28</v>
      </c>
      <c r="O296" s="15">
        <v>2028</v>
      </c>
      <c r="P296" s="15">
        <v>2024</v>
      </c>
      <c r="Q296" s="15"/>
      <c r="R296" s="16" t="s">
        <v>51</v>
      </c>
      <c r="S296" s="16" t="str">
        <f ca="1">IF(
  O296 &lt; YEAR(TODAY()),
  "LULUS",
  IF(
    O296 = YEAR(TODAY()),
    IF(
      MATCH(L296, {"Januari";"Februari";"Maret";"April";"Mei";"Juni";"Juli";"Agustus";"September";"Oktober";"November";"Desember"}, 0)
        &gt;= MONTH(TODAY()),
      "AKTIF (Semester " &amp;
        (INT((12*(YEAR(TODAY())-M296) + MONTH(TODAY()) -
          MATCH(L296, {"Januari";"Februari";"Maret";"April";"Mei";"Juni";"Juli";"Agustus";"September";"Oktober";"November";"Desember"}, 0)) / 6) + 1) &amp; ")",
      "LULUS"
    ),
    "AKTIF (Semester " &amp;
      (INT((12*(YEAR(TODAY())-M296) + MONTH(TODAY()) -
        MATCH(L296, {"Januari";"Februari";"Maret";"April";"Mei";"Juni";"Juli";"Agustus";"September";"Oktober";"November";"Desember"}, 0)) / 6) + 1) &amp; ")"
  )
)</f>
        <v>AKTIF (Semester 3)</v>
      </c>
      <c r="T296" s="16" t="str">
        <f ca="1">IF(O296 &lt; YEAR(TODAY()), "LULUS",
 IF(O296 = YEAR(TODAY()),
    IF(MATCH(N296, {"Januari";"Februari";"Maret";"April";"Mei";"Juni";"Juli";"Agustus";"September";"Oktober";"November";"Desember"},0)
        &lt;= MONTH(TODAY()),
        "LULUS",
        "AKTIF"),
 "AKTIF"))</f>
        <v>AKTIF</v>
      </c>
      <c r="U296" s="16" t="s">
        <v>2940</v>
      </c>
      <c r="V296" s="15"/>
      <c r="W296" s="15"/>
      <c r="X296" s="15"/>
      <c r="Y296" s="15"/>
      <c r="Z296" s="15"/>
    </row>
    <row r="297" spans="1:26" ht="29" customHeight="1" x14ac:dyDescent="0.35">
      <c r="A297" s="12">
        <v>296</v>
      </c>
      <c r="B297" s="13" t="s">
        <v>1111</v>
      </c>
      <c r="C297" s="14" t="s">
        <v>1112</v>
      </c>
      <c r="D297" s="13" t="s">
        <v>188</v>
      </c>
      <c r="E297" s="26" t="str">
        <f t="shared" si="5"/>
        <v>Laki-Laki</v>
      </c>
      <c r="F297" s="18" t="s">
        <v>672</v>
      </c>
      <c r="G297" s="13" t="s">
        <v>909</v>
      </c>
      <c r="H297" s="15" t="s">
        <v>1113</v>
      </c>
      <c r="I297" s="19" t="s">
        <v>90</v>
      </c>
      <c r="J297" s="12" t="s">
        <v>26</v>
      </c>
      <c r="K297" s="15" t="s">
        <v>394</v>
      </c>
      <c r="L297" s="15" t="s">
        <v>28</v>
      </c>
      <c r="M297" s="15">
        <v>2024</v>
      </c>
      <c r="N297" s="15" t="s">
        <v>28</v>
      </c>
      <c r="O297" s="15">
        <v>2026</v>
      </c>
      <c r="P297" s="15">
        <v>2024</v>
      </c>
      <c r="Q297" s="15"/>
      <c r="R297" s="16" t="s">
        <v>51</v>
      </c>
      <c r="S297" s="16" t="str">
        <f ca="1">IF(
  O297 &lt; YEAR(TODAY()),
  "LULUS",
  IF(
    O297 = YEAR(TODAY()),
    IF(
      MATCH(L297, {"Januari";"Februari";"Maret";"April";"Mei";"Juni";"Juli";"Agustus";"September";"Oktober";"November";"Desember"}, 0)
        &gt;= MONTH(TODAY()),
      "AKTIF (Semester " &amp;
        (INT((12*(YEAR(TODAY())-M297) + MONTH(TODAY()) -
          MATCH(L297, {"Januari";"Februari";"Maret";"April";"Mei";"Juni";"Juli";"Agustus";"September";"Oktober";"November";"Desember"}, 0)) / 6) + 1) &amp; ")",
      "LULUS"
    ),
    "AKTIF (Semester " &amp;
      (INT((12*(YEAR(TODAY())-M297) + MONTH(TODAY()) -
        MATCH(L297, {"Januari";"Februari";"Maret";"April";"Mei";"Juni";"Juli";"Agustus";"September";"Oktober";"November";"Desember"}, 0)) / 6) + 1) &amp; ")"
  )
)</f>
        <v>AKTIF (Semester 3)</v>
      </c>
      <c r="T297" s="16" t="str">
        <f ca="1">IF(O297 &lt; YEAR(TODAY()), "LULUS",
 IF(O297 = YEAR(TODAY()),
    IF(MATCH(N297, {"Januari";"Februari";"Maret";"April";"Mei";"Juni";"Juli";"Agustus";"September";"Oktober";"November";"Desember"},0)
        &lt;= MONTH(TODAY()),
        "LULUS",
        "AKTIF"),
 "AKTIF"))</f>
        <v>AKTIF</v>
      </c>
      <c r="U297" s="16" t="s">
        <v>2940</v>
      </c>
      <c r="V297" s="15"/>
      <c r="W297" s="15"/>
      <c r="X297" s="15"/>
      <c r="Y297" s="15"/>
      <c r="Z297" s="15"/>
    </row>
    <row r="298" spans="1:26" ht="29" customHeight="1" x14ac:dyDescent="0.35">
      <c r="A298" s="12">
        <v>297</v>
      </c>
      <c r="B298" s="13" t="s">
        <v>1114</v>
      </c>
      <c r="C298" s="14" t="s">
        <v>1115</v>
      </c>
      <c r="D298" s="13" t="s">
        <v>152</v>
      </c>
      <c r="E298" s="26" t="str">
        <f t="shared" si="5"/>
        <v>Laki-Laki</v>
      </c>
      <c r="F298" s="18" t="s">
        <v>142</v>
      </c>
      <c r="G298" s="13" t="s">
        <v>909</v>
      </c>
      <c r="H298" s="15" t="s">
        <v>1107</v>
      </c>
      <c r="I298" s="19" t="s">
        <v>90</v>
      </c>
      <c r="J298" s="20" t="s">
        <v>45</v>
      </c>
      <c r="K298" s="15" t="s">
        <v>95</v>
      </c>
      <c r="L298" s="15" t="s">
        <v>169</v>
      </c>
      <c r="M298" s="15">
        <v>2024</v>
      </c>
      <c r="N298" s="15" t="s">
        <v>169</v>
      </c>
      <c r="O298" s="15">
        <v>2028</v>
      </c>
      <c r="P298" s="15">
        <v>2024</v>
      </c>
      <c r="Q298" s="15"/>
      <c r="R298" s="16" t="s">
        <v>51</v>
      </c>
      <c r="S298" s="16" t="str">
        <f ca="1">IF(
  O298 &lt; YEAR(TODAY()),
  "LULUS",
  IF(
    O298 = YEAR(TODAY()),
    IF(
      MATCH(L298, {"Januari";"Februari";"Maret";"April";"Mei";"Juni";"Juli";"Agustus";"September";"Oktober";"November";"Desember"}, 0)
        &gt;= MONTH(TODAY()),
      "AKTIF (Semester " &amp;
        (INT((12*(YEAR(TODAY())-M298) + MONTH(TODAY()) -
          MATCH(L298, {"Januari";"Februari";"Maret";"April";"Mei";"Juni";"Juli";"Agustus";"September";"Oktober";"November";"Desember"}, 0)) / 6) + 1) &amp; ")",
      "LULUS"
    ),
    "AKTIF (Semester " &amp;
      (INT((12*(YEAR(TODAY())-M298) + MONTH(TODAY()) -
        MATCH(L298, {"Januari";"Februari";"Maret";"April";"Mei";"Juni";"Juli";"Agustus";"September";"Oktober";"November";"Desember"}, 0)) / 6) + 1) &amp; ")"
  )
)</f>
        <v>AKTIF (Semester 3)</v>
      </c>
      <c r="T298" s="16" t="str">
        <f ca="1">IF(O298 &lt; YEAR(TODAY()), "LULUS",
 IF(O298 = YEAR(TODAY()),
    IF(MATCH(N298, {"Januari";"Februari";"Maret";"April";"Mei";"Juni";"Juli";"Agustus";"September";"Oktober";"November";"Desember"},0)
        &lt;= MONTH(TODAY()),
        "LULUS",
        "AKTIF"),
 "AKTIF"))</f>
        <v>AKTIF</v>
      </c>
      <c r="U298" s="16" t="s">
        <v>2940</v>
      </c>
      <c r="V298" s="15"/>
      <c r="W298" s="15"/>
      <c r="X298" s="15"/>
      <c r="Y298" s="15"/>
      <c r="Z298" s="15"/>
    </row>
    <row r="299" spans="1:26" ht="29" customHeight="1" x14ac:dyDescent="0.35">
      <c r="A299" s="12">
        <v>298</v>
      </c>
      <c r="B299" s="13" t="s">
        <v>1116</v>
      </c>
      <c r="C299" s="14" t="s">
        <v>1117</v>
      </c>
      <c r="D299" s="13" t="s">
        <v>188</v>
      </c>
      <c r="E299" s="26" t="str">
        <f t="shared" si="5"/>
        <v>Laki-Laki</v>
      </c>
      <c r="F299" s="18" t="s">
        <v>189</v>
      </c>
      <c r="G299" s="13" t="s">
        <v>909</v>
      </c>
      <c r="H299" s="15" t="s">
        <v>1101</v>
      </c>
      <c r="I299" s="15" t="s">
        <v>549</v>
      </c>
      <c r="J299" s="12" t="s">
        <v>26</v>
      </c>
      <c r="K299" s="15" t="s">
        <v>234</v>
      </c>
      <c r="L299" s="15"/>
      <c r="M299" s="15">
        <v>2024</v>
      </c>
      <c r="N299" s="15">
        <v>0</v>
      </c>
      <c r="O299" s="15">
        <v>2026</v>
      </c>
      <c r="P299" s="15">
        <v>2024</v>
      </c>
      <c r="Q299" s="15"/>
      <c r="R299" s="16" t="s">
        <v>51</v>
      </c>
      <c r="S299" s="16" t="e">
        <f ca="1">IF(
  O299 &lt; YEAR(TODAY()),
  "LULUS",
  IF(
    O299 = YEAR(TODAY()),
    IF(
      MATCH(L299, {"Januari";"Februari";"Maret";"April";"Mei";"Juni";"Juli";"Agustus";"September";"Oktober";"November";"Desember"}, 0)
        &gt;= MONTH(TODAY()),
      "AKTIF (Semester " &amp;
        (INT((12*(YEAR(TODAY())-M299) + MONTH(TODAY()) -
          MATCH(L299, {"Januari";"Februari";"Maret";"April";"Mei";"Juni";"Juli";"Agustus";"September";"Oktober";"November";"Desember"}, 0)) / 6) + 1) &amp; ")",
      "LULUS"
    ),
    "AKTIF (Semester " &amp;
      (INT((12*(YEAR(TODAY())-M299) + MONTH(TODAY()) -
        MATCH(L299, {"Januari";"Februari";"Maret";"April";"Mei";"Juni";"Juli";"Agustus";"September";"Oktober";"November";"Desember"}, 0)) / 6) + 1) &amp; ")"
  )
)</f>
        <v>#N/A</v>
      </c>
      <c r="T299" s="16" t="str">
        <f ca="1">IF(O299 &lt; YEAR(TODAY()), "LULUS",
 IF(O299 = YEAR(TODAY()),
    IF(MATCH(N299, {"Januari";"Februari";"Maret";"April";"Mei";"Juni";"Juli";"Agustus";"September";"Oktober";"November";"Desember"},0)
        &lt;= MONTH(TODAY()),
        "LULUS",
        "AKTIF"),
 "AKTIF"))</f>
        <v>AKTIF</v>
      </c>
      <c r="U299" s="16" t="e">
        <v>#N/A</v>
      </c>
      <c r="V299" s="15"/>
      <c r="W299" s="15"/>
      <c r="X299" s="15"/>
      <c r="Y299" s="15"/>
      <c r="Z299" s="15"/>
    </row>
    <row r="300" spans="1:26" ht="29" customHeight="1" x14ac:dyDescent="0.35">
      <c r="A300" s="12">
        <v>299</v>
      </c>
      <c r="B300" s="13" t="s">
        <v>1118</v>
      </c>
      <c r="C300" s="14" t="s">
        <v>1119</v>
      </c>
      <c r="D300" s="13" t="s">
        <v>188</v>
      </c>
      <c r="E300" s="26" t="str">
        <f t="shared" si="5"/>
        <v>Laki-Laki</v>
      </c>
      <c r="F300" s="18" t="s">
        <v>672</v>
      </c>
      <c r="G300" s="13" t="s">
        <v>909</v>
      </c>
      <c r="H300" s="15" t="s">
        <v>1120</v>
      </c>
      <c r="I300" s="19" t="s">
        <v>90</v>
      </c>
      <c r="J300" s="12" t="s">
        <v>26</v>
      </c>
      <c r="K300" s="15" t="s">
        <v>394</v>
      </c>
      <c r="L300" s="15" t="s">
        <v>28</v>
      </c>
      <c r="M300" s="15">
        <v>2024</v>
      </c>
      <c r="N300" s="15" t="s">
        <v>28</v>
      </c>
      <c r="O300" s="15">
        <v>2026</v>
      </c>
      <c r="P300" s="15">
        <v>2024</v>
      </c>
      <c r="Q300" s="15"/>
      <c r="R300" s="16" t="s">
        <v>51</v>
      </c>
      <c r="S300" s="16" t="str">
        <f ca="1">IF(
  O300 &lt; YEAR(TODAY()),
  "LULUS",
  IF(
    O300 = YEAR(TODAY()),
    IF(
      MATCH(L300, {"Januari";"Februari";"Maret";"April";"Mei";"Juni";"Juli";"Agustus";"September";"Oktober";"November";"Desember"}, 0)
        &gt;= MONTH(TODAY()),
      "AKTIF (Semester " &amp;
        (INT((12*(YEAR(TODAY())-M300) + MONTH(TODAY()) -
          MATCH(L300, {"Januari";"Februari";"Maret";"April";"Mei";"Juni";"Juli";"Agustus";"September";"Oktober";"November";"Desember"}, 0)) / 6) + 1) &amp; ")",
      "LULUS"
    ),
    "AKTIF (Semester " &amp;
      (INT((12*(YEAR(TODAY())-M300) + MONTH(TODAY()) -
        MATCH(L300, {"Januari";"Februari";"Maret";"April";"Mei";"Juni";"Juli";"Agustus";"September";"Oktober";"November";"Desember"}, 0)) / 6) + 1) &amp; ")"
  )
)</f>
        <v>AKTIF (Semester 3)</v>
      </c>
      <c r="T300" s="16" t="str">
        <f ca="1">IF(O300 &lt; YEAR(TODAY()), "LULUS",
 IF(O300 = YEAR(TODAY()),
    IF(MATCH(N300, {"Januari";"Februari";"Maret";"April";"Mei";"Juni";"Juli";"Agustus";"September";"Oktober";"November";"Desember"},0)
        &lt;= MONTH(TODAY()),
        "LULUS",
        "AKTIF"),
 "AKTIF"))</f>
        <v>AKTIF</v>
      </c>
      <c r="U300" s="16" t="s">
        <v>2940</v>
      </c>
      <c r="V300" s="15"/>
      <c r="W300" s="15"/>
      <c r="X300" s="15"/>
      <c r="Y300" s="15"/>
      <c r="Z300" s="15"/>
    </row>
    <row r="301" spans="1:26" ht="29" customHeight="1" x14ac:dyDescent="0.35">
      <c r="A301" s="12">
        <v>300</v>
      </c>
      <c r="B301" s="13" t="s">
        <v>1122</v>
      </c>
      <c r="C301" s="14" t="s">
        <v>1123</v>
      </c>
      <c r="D301" s="13" t="s">
        <v>903</v>
      </c>
      <c r="E301" s="26" t="str">
        <f t="shared" si="5"/>
        <v>Perempuan</v>
      </c>
      <c r="F301" s="18" t="s">
        <v>99</v>
      </c>
      <c r="G301" s="13" t="s">
        <v>909</v>
      </c>
      <c r="H301" s="15" t="s">
        <v>1101</v>
      </c>
      <c r="I301" s="19" t="s">
        <v>90</v>
      </c>
      <c r="J301" s="20" t="s">
        <v>45</v>
      </c>
      <c r="K301" s="15" t="s">
        <v>40</v>
      </c>
      <c r="L301" s="15" t="s">
        <v>28</v>
      </c>
      <c r="M301" s="15">
        <v>2024</v>
      </c>
      <c r="N301" s="15" t="s">
        <v>28</v>
      </c>
      <c r="O301" s="15">
        <v>2028</v>
      </c>
      <c r="P301" s="15">
        <v>2024</v>
      </c>
      <c r="Q301" s="15"/>
      <c r="R301" s="16" t="s">
        <v>51</v>
      </c>
      <c r="S301" s="16" t="str">
        <f ca="1">IF(
  O301 &lt; YEAR(TODAY()),
  "LULUS",
  IF(
    O301 = YEAR(TODAY()),
    IF(
      MATCH(L301, {"Januari";"Februari";"Maret";"April";"Mei";"Juni";"Juli";"Agustus";"September";"Oktober";"November";"Desember"}, 0)
        &gt;= MONTH(TODAY()),
      "AKTIF (Semester " &amp;
        (INT((12*(YEAR(TODAY())-M301) + MONTH(TODAY()) -
          MATCH(L301, {"Januari";"Februari";"Maret";"April";"Mei";"Juni";"Juli";"Agustus";"September";"Oktober";"November";"Desember"}, 0)) / 6) + 1) &amp; ")",
      "LULUS"
    ),
    "AKTIF (Semester " &amp;
      (INT((12*(YEAR(TODAY())-M301) + MONTH(TODAY()) -
        MATCH(L301, {"Januari";"Februari";"Maret";"April";"Mei";"Juni";"Juli";"Agustus";"September";"Oktober";"November";"Desember"}, 0)) / 6) + 1) &amp; ")"
  )
)</f>
        <v>AKTIF (Semester 3)</v>
      </c>
      <c r="T301" s="16" t="str">
        <f ca="1">IF(O301 &lt; YEAR(TODAY()), "LULUS",
 IF(O301 = YEAR(TODAY()),
    IF(MATCH(N301, {"Januari";"Februari";"Maret";"April";"Mei";"Juni";"Juli";"Agustus";"September";"Oktober";"November";"Desember"},0)
        &lt;= MONTH(TODAY()),
        "LULUS",
        "AKTIF"),
 "AKTIF"))</f>
        <v>AKTIF</v>
      </c>
      <c r="U301" s="16" t="s">
        <v>2940</v>
      </c>
      <c r="V301" s="15"/>
      <c r="W301" s="15"/>
      <c r="X301" s="15"/>
      <c r="Y301" s="15"/>
      <c r="Z301" s="15"/>
    </row>
    <row r="302" spans="1:26" ht="29" customHeight="1" x14ac:dyDescent="0.35">
      <c r="A302" s="12">
        <v>301</v>
      </c>
      <c r="B302" s="13" t="s">
        <v>1124</v>
      </c>
      <c r="C302" s="14" t="s">
        <v>1125</v>
      </c>
      <c r="D302" s="13" t="s">
        <v>215</v>
      </c>
      <c r="E302" s="26" t="str">
        <f t="shared" si="5"/>
        <v>Laki-Laki</v>
      </c>
      <c r="F302" s="18" t="s">
        <v>1126</v>
      </c>
      <c r="G302" s="13" t="s">
        <v>909</v>
      </c>
      <c r="H302" s="15" t="s">
        <v>1101</v>
      </c>
      <c r="I302" s="134" t="s">
        <v>56</v>
      </c>
      <c r="J302" s="12" t="s">
        <v>26</v>
      </c>
      <c r="K302" s="15" t="s">
        <v>57</v>
      </c>
      <c r="L302" s="74" t="s">
        <v>60</v>
      </c>
      <c r="M302" s="15">
        <v>2024</v>
      </c>
      <c r="N302" s="15" t="s">
        <v>60</v>
      </c>
      <c r="O302" s="15">
        <v>2026</v>
      </c>
      <c r="P302" s="15">
        <v>2024</v>
      </c>
      <c r="Q302" s="15"/>
      <c r="R302" s="16" t="s">
        <v>51</v>
      </c>
      <c r="S302" s="16" t="str">
        <f ca="1">IF(
  O302 &lt; YEAR(TODAY()),
  "LULUS",
  IF(
    O302 = YEAR(TODAY()),
    IF(
      MATCH(L302, {"Januari";"Februari";"Maret";"April";"Mei";"Juni";"Juli";"Agustus";"September";"Oktober";"November";"Desember"}, 0)
        &gt;= MONTH(TODAY()),
      "AKTIF (Semester " &amp;
        (INT((12*(YEAR(TODAY())-M302) + MONTH(TODAY()) -
          MATCH(L302, {"Januari";"Februari";"Maret";"April";"Mei";"Juni";"Juli";"Agustus";"September";"Oktober";"November";"Desember"}, 0)) / 6) + 1) &amp; ")",
      "LULUS"
    ),
    "AKTIF (Semester " &amp;
      (INT((12*(YEAR(TODAY())-M302) + MONTH(TODAY()) -
        MATCH(L302, {"Januari";"Februari";"Maret";"April";"Mei";"Juni";"Juli";"Agustus";"September";"Oktober";"November";"Desember"}, 0)) / 6) + 1) &amp; ")"
  )
)</f>
        <v>AKTIF (Semester 3)</v>
      </c>
      <c r="T302" s="16" t="str">
        <f ca="1">IF(O302 &lt; YEAR(TODAY()), "LULUS",
 IF(O302 = YEAR(TODAY()),
    IF(MATCH(N302, {"Januari";"Februari";"Maret";"April";"Mei";"Juni";"Juli";"Agustus";"September";"Oktober";"November";"Desember"},0)
        &lt;= MONTH(TODAY()),
        "LULUS",
        "AKTIF"),
 "AKTIF"))</f>
        <v>AKTIF</v>
      </c>
      <c r="U302" s="16" t="s">
        <v>2940</v>
      </c>
      <c r="V302" s="15"/>
      <c r="W302" s="15"/>
      <c r="X302" s="15"/>
      <c r="Y302" s="15"/>
      <c r="Z302" s="15"/>
    </row>
    <row r="303" spans="1:26" ht="29" customHeight="1" x14ac:dyDescent="0.35">
      <c r="A303" s="12">
        <v>302</v>
      </c>
      <c r="B303" s="13" t="s">
        <v>1127</v>
      </c>
      <c r="C303" s="14" t="s">
        <v>1128</v>
      </c>
      <c r="D303" s="13" t="s">
        <v>188</v>
      </c>
      <c r="E303" s="26" t="str">
        <f t="shared" si="5"/>
        <v>Perempuan</v>
      </c>
      <c r="F303" s="18" t="s">
        <v>548</v>
      </c>
      <c r="G303" s="13" t="s">
        <v>909</v>
      </c>
      <c r="H303" s="15" t="s">
        <v>1101</v>
      </c>
      <c r="I303" s="15" t="s">
        <v>1129</v>
      </c>
      <c r="J303" s="12" t="s">
        <v>26</v>
      </c>
      <c r="K303" s="15" t="s">
        <v>46</v>
      </c>
      <c r="L303" s="15" t="s">
        <v>28</v>
      </c>
      <c r="M303" s="15">
        <v>2024</v>
      </c>
      <c r="N303" s="15" t="s">
        <v>28</v>
      </c>
      <c r="O303" s="15">
        <v>2026</v>
      </c>
      <c r="P303" s="15">
        <v>2024</v>
      </c>
      <c r="Q303" s="15"/>
      <c r="R303" s="16" t="s">
        <v>51</v>
      </c>
      <c r="S303" s="16" t="str">
        <f ca="1">IF(
  O303 &lt; YEAR(TODAY()),
  "LULUS",
  IF(
    O303 = YEAR(TODAY()),
    IF(
      MATCH(L303, {"Januari";"Februari";"Maret";"April";"Mei";"Juni";"Juli";"Agustus";"September";"Oktober";"November";"Desember"}, 0)
        &gt;= MONTH(TODAY()),
      "AKTIF (Semester " &amp;
        (INT((12*(YEAR(TODAY())-M303) + MONTH(TODAY()) -
          MATCH(L303, {"Januari";"Februari";"Maret";"April";"Mei";"Juni";"Juli";"Agustus";"September";"Oktober";"November";"Desember"}, 0)) / 6) + 1) &amp; ")",
      "LULUS"
    ),
    "AKTIF (Semester " &amp;
      (INT((12*(YEAR(TODAY())-M303) + MONTH(TODAY()) -
        MATCH(L303, {"Januari";"Februari";"Maret";"April";"Mei";"Juni";"Juli";"Agustus";"September";"Oktober";"November";"Desember"}, 0)) / 6) + 1) &amp; ")"
  )
)</f>
        <v>AKTIF (Semester 3)</v>
      </c>
      <c r="T303" s="16" t="str">
        <f ca="1">IF(O303 &lt; YEAR(TODAY()), "LULUS",
 IF(O303 = YEAR(TODAY()),
    IF(MATCH(N303, {"Januari";"Februari";"Maret";"April";"Mei";"Juni";"Juli";"Agustus";"September";"Oktober";"November";"Desember"},0)
        &lt;= MONTH(TODAY()),
        "LULUS",
        "AKTIF"),
 "AKTIF"))</f>
        <v>AKTIF</v>
      </c>
      <c r="U303" s="16" t="s">
        <v>2940</v>
      </c>
      <c r="V303" s="15"/>
      <c r="W303" s="15"/>
      <c r="X303" s="15"/>
      <c r="Y303" s="15"/>
      <c r="Z303" s="15"/>
    </row>
    <row r="304" spans="1:26" ht="29" customHeight="1" x14ac:dyDescent="0.35">
      <c r="A304" s="12">
        <v>303</v>
      </c>
      <c r="B304" s="13" t="s">
        <v>1130</v>
      </c>
      <c r="C304" s="14" t="s">
        <v>1131</v>
      </c>
      <c r="D304" s="13" t="s">
        <v>554</v>
      </c>
      <c r="E304" s="26" t="str">
        <f t="shared" si="5"/>
        <v>Perempuan</v>
      </c>
      <c r="F304" s="18" t="s">
        <v>843</v>
      </c>
      <c r="G304" s="13" t="s">
        <v>909</v>
      </c>
      <c r="H304" s="15" t="s">
        <v>1101</v>
      </c>
      <c r="I304" s="15" t="s">
        <v>256</v>
      </c>
      <c r="J304" s="12" t="s">
        <v>242</v>
      </c>
      <c r="K304" s="15" t="s">
        <v>257</v>
      </c>
      <c r="L304" s="15" t="s">
        <v>60</v>
      </c>
      <c r="M304" s="15">
        <v>2024</v>
      </c>
      <c r="N304" s="15" t="s">
        <v>60</v>
      </c>
      <c r="O304" s="15">
        <v>2027</v>
      </c>
      <c r="P304" s="15">
        <v>2024</v>
      </c>
      <c r="Q304" s="15"/>
      <c r="R304" s="16" t="s">
        <v>51</v>
      </c>
      <c r="S304" s="16" t="str">
        <f ca="1">IF(
  O304 &lt; YEAR(TODAY()),
  "LULUS",
  IF(
    O304 = YEAR(TODAY()),
    IF(
      MATCH(L304, {"Januari";"Februari";"Maret";"April";"Mei";"Juni";"Juli";"Agustus";"September";"Oktober";"November";"Desember"}, 0)
        &gt;= MONTH(TODAY()),
      "AKTIF (Semester " &amp;
        (INT((12*(YEAR(TODAY())-M304) + MONTH(TODAY()) -
          MATCH(L304, {"Januari";"Februari";"Maret";"April";"Mei";"Juni";"Juli";"Agustus";"September";"Oktober";"November";"Desember"}, 0)) / 6) + 1) &amp; ")",
      "LULUS"
    ),
    "AKTIF (Semester " &amp;
      (INT((12*(YEAR(TODAY())-M304) + MONTH(TODAY()) -
        MATCH(L304, {"Januari";"Februari";"Maret";"April";"Mei";"Juni";"Juli";"Agustus";"September";"Oktober";"November";"Desember"}, 0)) / 6) + 1) &amp; ")"
  )
)</f>
        <v>AKTIF (Semester 3)</v>
      </c>
      <c r="T304" s="16" t="str">
        <f ca="1">IF(O304 &lt; YEAR(TODAY()), "LULUS",
 IF(O304 = YEAR(TODAY()),
    IF(MATCH(N304, {"Januari";"Februari";"Maret";"April";"Mei";"Juni";"Juli";"Agustus";"September";"Oktober";"November";"Desember"},0)
        &lt;= MONTH(TODAY()),
        "LULUS",
        "AKTIF"),
 "AKTIF"))</f>
        <v>AKTIF</v>
      </c>
      <c r="U304" s="16" t="s">
        <v>2940</v>
      </c>
      <c r="V304" s="15"/>
      <c r="W304" s="15"/>
      <c r="X304" s="15"/>
      <c r="Y304" s="15"/>
      <c r="Z304" s="15"/>
    </row>
    <row r="305" spans="1:26" ht="29" customHeight="1" x14ac:dyDescent="0.35">
      <c r="A305" s="12">
        <v>304</v>
      </c>
      <c r="B305" s="13" t="s">
        <v>1132</v>
      </c>
      <c r="C305" s="14" t="s">
        <v>1133</v>
      </c>
      <c r="D305" s="13" t="s">
        <v>188</v>
      </c>
      <c r="E305" s="26" t="str">
        <f t="shared" si="5"/>
        <v>Perempuan</v>
      </c>
      <c r="F305" s="18" t="s">
        <v>1134</v>
      </c>
      <c r="G305" s="13" t="s">
        <v>909</v>
      </c>
      <c r="H305" s="15" t="s">
        <v>1101</v>
      </c>
      <c r="I305" s="15" t="s">
        <v>1135</v>
      </c>
      <c r="J305" s="12" t="s">
        <v>26</v>
      </c>
      <c r="K305" s="15" t="s">
        <v>221</v>
      </c>
      <c r="L305" s="15" t="s">
        <v>28</v>
      </c>
      <c r="M305" s="15">
        <v>2024</v>
      </c>
      <c r="N305" s="15" t="s">
        <v>28</v>
      </c>
      <c r="O305" s="15">
        <v>2026</v>
      </c>
      <c r="P305" s="15">
        <v>2024</v>
      </c>
      <c r="Q305" s="15"/>
      <c r="R305" s="16" t="s">
        <v>51</v>
      </c>
      <c r="S305" s="16" t="str">
        <f ca="1">IF(
  O305 &lt; YEAR(TODAY()),
  "LULUS",
  IF(
    O305 = YEAR(TODAY()),
    IF(
      MATCH(L305, {"Januari";"Februari";"Maret";"April";"Mei";"Juni";"Juli";"Agustus";"September";"Oktober";"November";"Desember"}, 0)
        &gt;= MONTH(TODAY()),
      "AKTIF (Semester " &amp;
        (INT((12*(YEAR(TODAY())-M305) + MONTH(TODAY()) -
          MATCH(L305, {"Januari";"Februari";"Maret";"April";"Mei";"Juni";"Juli";"Agustus";"September";"Oktober";"November";"Desember"}, 0)) / 6) + 1) &amp; ")",
      "LULUS"
    ),
    "AKTIF (Semester " &amp;
      (INT((12*(YEAR(TODAY())-M305) + MONTH(TODAY()) -
        MATCH(L305, {"Januari";"Februari";"Maret";"April";"Mei";"Juni";"Juli";"Agustus";"September";"Oktober";"November";"Desember"}, 0)) / 6) + 1) &amp; ")"
  )
)</f>
        <v>AKTIF (Semester 3)</v>
      </c>
      <c r="T305" s="16" t="str">
        <f ca="1">IF(O305 &lt; YEAR(TODAY()), "LULUS",
 IF(O305 = YEAR(TODAY()),
    IF(MATCH(N305, {"Januari";"Februari";"Maret";"April";"Mei";"Juni";"Juli";"Agustus";"September";"Oktober";"November";"Desember"},0)
        &lt;= MONTH(TODAY()),
        "LULUS",
        "AKTIF"),
 "AKTIF"))</f>
        <v>AKTIF</v>
      </c>
      <c r="U305" s="16" t="s">
        <v>2940</v>
      </c>
      <c r="V305" s="15"/>
      <c r="W305" s="15"/>
      <c r="X305" s="15"/>
      <c r="Y305" s="15"/>
      <c r="Z305" s="15"/>
    </row>
    <row r="306" spans="1:26" ht="29" customHeight="1" x14ac:dyDescent="0.35">
      <c r="A306" s="12">
        <v>305</v>
      </c>
      <c r="B306" s="25" t="s">
        <v>1136</v>
      </c>
      <c r="C306" s="26" t="s">
        <v>1137</v>
      </c>
      <c r="D306" s="25" t="s">
        <v>903</v>
      </c>
      <c r="E306" s="26" t="str">
        <f t="shared" si="5"/>
        <v>Laki-Laki</v>
      </c>
      <c r="F306" s="25" t="s">
        <v>1138</v>
      </c>
      <c r="G306" s="25" t="s">
        <v>909</v>
      </c>
      <c r="H306" s="19" t="s">
        <v>1113</v>
      </c>
      <c r="I306" s="19" t="s">
        <v>90</v>
      </c>
      <c r="J306" s="32" t="s">
        <v>180</v>
      </c>
      <c r="K306" s="32" t="s">
        <v>905</v>
      </c>
      <c r="L306" s="47" t="s">
        <v>169</v>
      </c>
      <c r="M306" s="12">
        <v>2024</v>
      </c>
      <c r="N306" s="15" t="s">
        <v>169</v>
      </c>
      <c r="O306" s="15">
        <v>2028</v>
      </c>
      <c r="P306" s="15">
        <v>2025</v>
      </c>
      <c r="Q306" s="15"/>
      <c r="R306" s="16" t="s">
        <v>51</v>
      </c>
      <c r="S306" s="16" t="str">
        <f ca="1">IF(
  O306 &lt; YEAR(TODAY()),
  "LULUS",
  IF(
    O306 = YEAR(TODAY()),
    IF(
      MATCH(L306, {"Januari";"Februari";"Maret";"April";"Mei";"Juni";"Juli";"Agustus";"September";"Oktober";"November";"Desember"}, 0)
        &gt;= MONTH(TODAY()),
      "AKTIF (Semester " &amp;
        (INT((12*(YEAR(TODAY())-M306) + MONTH(TODAY()) -
          MATCH(L306, {"Januari";"Februari";"Maret";"April";"Mei";"Juni";"Juli";"Agustus";"September";"Oktober";"November";"Desember"}, 0)) / 6) + 1) &amp; ")",
      "LULUS"
    ),
    "AKTIF (Semester " &amp;
      (INT((12*(YEAR(TODAY())-M306) + MONTH(TODAY()) -
        MATCH(L306, {"Januari";"Februari";"Maret";"April";"Mei";"Juni";"Juli";"Agustus";"September";"Oktober";"November";"Desember"}, 0)) / 6) + 1) &amp; ")"
  )
)</f>
        <v>AKTIF (Semester 3)</v>
      </c>
      <c r="T306" s="16" t="str">
        <f ca="1">IF(O306 &lt; YEAR(TODAY()), "LULUS",
 IF(O306 = YEAR(TODAY()),
    IF(MATCH(N306, {"Januari";"Februari";"Maret";"April";"Mei";"Juni";"Juli";"Agustus";"September";"Oktober";"November";"Desember"},0)
        &lt;= MONTH(TODAY()),
        "LULUS",
        "AKTIF"),
 "AKTIF"))</f>
        <v>AKTIF</v>
      </c>
      <c r="U306" s="16" t="s">
        <v>2940</v>
      </c>
      <c r="V306" s="15"/>
      <c r="W306" s="15"/>
      <c r="X306" s="15"/>
      <c r="Y306" s="15"/>
      <c r="Z306" s="15"/>
    </row>
    <row r="307" spans="1:26" ht="29" customHeight="1" x14ac:dyDescent="0.35">
      <c r="A307" s="12">
        <v>306</v>
      </c>
      <c r="B307" s="25" t="s">
        <v>1139</v>
      </c>
      <c r="C307" s="26" t="s">
        <v>1140</v>
      </c>
      <c r="D307" s="25" t="s">
        <v>172</v>
      </c>
      <c r="E307" s="26" t="str">
        <f t="shared" si="5"/>
        <v>Laki-Laki</v>
      </c>
      <c r="F307" s="25" t="s">
        <v>1141</v>
      </c>
      <c r="G307" s="25" t="s">
        <v>909</v>
      </c>
      <c r="H307" s="19" t="s">
        <v>1113</v>
      </c>
      <c r="I307" s="19" t="s">
        <v>90</v>
      </c>
      <c r="J307" s="32" t="s">
        <v>180</v>
      </c>
      <c r="K307" s="32" t="s">
        <v>905</v>
      </c>
      <c r="L307" s="47" t="s">
        <v>28</v>
      </c>
      <c r="M307" s="12">
        <v>2024</v>
      </c>
      <c r="N307" s="15" t="s">
        <v>28</v>
      </c>
      <c r="O307" s="15">
        <v>2028</v>
      </c>
      <c r="P307" s="15">
        <v>2025</v>
      </c>
      <c r="Q307" s="15"/>
      <c r="R307" s="16" t="s">
        <v>51</v>
      </c>
      <c r="S307" s="16" t="str">
        <f ca="1">IF(
  O307 &lt; YEAR(TODAY()),
  "LULUS",
  IF(
    O307 = YEAR(TODAY()),
    IF(
      MATCH(L307, {"Januari";"Februari";"Maret";"April";"Mei";"Juni";"Juli";"Agustus";"September";"Oktober";"November";"Desember"}, 0)
        &gt;= MONTH(TODAY()),
      "AKTIF (Semester " &amp;
        (INT((12*(YEAR(TODAY())-M307) + MONTH(TODAY()) -
          MATCH(L307, {"Januari";"Februari";"Maret";"April";"Mei";"Juni";"Juli";"Agustus";"September";"Oktober";"November";"Desember"}, 0)) / 6) + 1) &amp; ")",
      "LULUS"
    ),
    "AKTIF (Semester " &amp;
      (INT((12*(YEAR(TODAY())-M307) + MONTH(TODAY()) -
        MATCH(L307, {"Januari";"Februari";"Maret";"April";"Mei";"Juni";"Juli";"Agustus";"September";"Oktober";"November";"Desember"}, 0)) / 6) + 1) &amp; ")"
  )
)</f>
        <v>AKTIF (Semester 3)</v>
      </c>
      <c r="T307" s="16" t="str">
        <f ca="1">IF(O307 &lt; YEAR(TODAY()), "LULUS",
 IF(O307 = YEAR(TODAY()),
    IF(MATCH(N307, {"Januari";"Februari";"Maret";"April";"Mei";"Juni";"Juli";"Agustus";"September";"Oktober";"November";"Desember"},0)
        &lt;= MONTH(TODAY()),
        "LULUS",
        "AKTIF"),
 "AKTIF"))</f>
        <v>AKTIF</v>
      </c>
      <c r="U307" s="16" t="s">
        <v>2940</v>
      </c>
      <c r="V307" s="15"/>
      <c r="W307" s="15"/>
      <c r="X307" s="15"/>
      <c r="Y307" s="15"/>
      <c r="Z307" s="15"/>
    </row>
    <row r="308" spans="1:26" ht="29" customHeight="1" x14ac:dyDescent="0.35">
      <c r="A308" s="12">
        <v>307</v>
      </c>
      <c r="B308" s="25" t="s">
        <v>1142</v>
      </c>
      <c r="C308" s="26" t="s">
        <v>1143</v>
      </c>
      <c r="D308" s="25" t="s">
        <v>172</v>
      </c>
      <c r="E308" s="26" t="str">
        <f t="shared" si="5"/>
        <v>Laki-Laki</v>
      </c>
      <c r="F308" s="25" t="s">
        <v>1144</v>
      </c>
      <c r="G308" s="25" t="s">
        <v>909</v>
      </c>
      <c r="H308" s="19" t="s">
        <v>1113</v>
      </c>
      <c r="I308" s="19" t="s">
        <v>90</v>
      </c>
      <c r="J308" s="32" t="s">
        <v>180</v>
      </c>
      <c r="K308" s="32" t="s">
        <v>905</v>
      </c>
      <c r="L308" s="47" t="s">
        <v>72</v>
      </c>
      <c r="M308" s="12">
        <v>2024</v>
      </c>
      <c r="N308" s="15" t="s">
        <v>72</v>
      </c>
      <c r="O308" s="15">
        <v>2028</v>
      </c>
      <c r="P308" s="15">
        <v>2025</v>
      </c>
      <c r="Q308" s="15"/>
      <c r="R308" s="16" t="s">
        <v>51</v>
      </c>
      <c r="S308" s="16" t="str">
        <f ca="1">IF(
  O308 &lt; YEAR(TODAY()),
  "LULUS",
  IF(
    O308 = YEAR(TODAY()),
    IF(
      MATCH(L308, {"Januari";"Februari";"Maret";"April";"Mei";"Juni";"Juli";"Agustus";"September";"Oktober";"November";"Desember"}, 0)
        &gt;= MONTH(TODAY()),
      "AKTIF (Semester " &amp;
        (INT((12*(YEAR(TODAY())-M308) + MONTH(TODAY()) -
          MATCH(L308, {"Januari";"Februari";"Maret";"April";"Mei";"Juni";"Juli";"Agustus";"September";"Oktober";"November";"Desember"}, 0)) / 6) + 1) &amp; ")",
      "LULUS"
    ),
    "AKTIF (Semester " &amp;
      (INT((12*(YEAR(TODAY())-M308) + MONTH(TODAY()) -
        MATCH(L308, {"Januari";"Februari";"Maret";"April";"Mei";"Juni";"Juli";"Agustus";"September";"Oktober";"November";"Desember"}, 0)) / 6) + 1) &amp; ")"
  )
)</f>
        <v>AKTIF (Semester 4)</v>
      </c>
      <c r="T308" s="16" t="str">
        <f ca="1">IF(O308 &lt; YEAR(TODAY()), "LULUS",
 IF(O308 = YEAR(TODAY()),
    IF(MATCH(N308, {"Januari";"Februari";"Maret";"April";"Mei";"Juni";"Juli";"Agustus";"September";"Oktober";"November";"Desember"},0)
        &lt;= MONTH(TODAY()),
        "LULUS",
        "AKTIF"),
 "AKTIF"))</f>
        <v>AKTIF</v>
      </c>
      <c r="U308" s="16" t="s">
        <v>2942</v>
      </c>
      <c r="V308" s="15"/>
      <c r="W308" s="15"/>
      <c r="X308" s="15"/>
      <c r="Y308" s="15"/>
      <c r="Z308" s="15"/>
    </row>
    <row r="309" spans="1:26" ht="29" customHeight="1" x14ac:dyDescent="0.35">
      <c r="A309" s="12">
        <v>308</v>
      </c>
      <c r="B309" s="25" t="s">
        <v>1145</v>
      </c>
      <c r="C309" s="26" t="s">
        <v>1146</v>
      </c>
      <c r="D309" s="25" t="s">
        <v>172</v>
      </c>
      <c r="E309" s="26" t="str">
        <f t="shared" si="5"/>
        <v>Laki-Laki</v>
      </c>
      <c r="F309" s="25" t="s">
        <v>1147</v>
      </c>
      <c r="G309" s="25" t="s">
        <v>909</v>
      </c>
      <c r="H309" s="19" t="s">
        <v>1113</v>
      </c>
      <c r="I309" s="19" t="s">
        <v>90</v>
      </c>
      <c r="J309" s="32" t="s">
        <v>180</v>
      </c>
      <c r="K309" s="32" t="s">
        <v>905</v>
      </c>
      <c r="L309" s="47" t="s">
        <v>890</v>
      </c>
      <c r="M309" s="12">
        <v>2024</v>
      </c>
      <c r="N309" s="15" t="s">
        <v>890</v>
      </c>
      <c r="O309" s="15">
        <v>2028</v>
      </c>
      <c r="P309" s="15">
        <v>2025</v>
      </c>
      <c r="Q309" s="15"/>
      <c r="R309" s="16" t="s">
        <v>51</v>
      </c>
      <c r="S309" s="16" t="str">
        <f ca="1">IF(
  O309 &lt; YEAR(TODAY()),
  "LULUS",
  IF(
    O309 = YEAR(TODAY()),
    IF(
      MATCH(L309, {"Januari";"Februari";"Maret";"April";"Mei";"Juni";"Juli";"Agustus";"September";"Oktober";"November";"Desember"}, 0)
        &gt;= MONTH(TODAY()),
      "AKTIF (Semester " &amp;
        (INT((12*(YEAR(TODAY())-M309) + MONTH(TODAY()) -
          MATCH(L309, {"Januari";"Februari";"Maret";"April";"Mei";"Juni";"Juli";"Agustus";"September";"Oktober";"November";"Desember"}, 0)) / 6) + 1) &amp; ")",
      "LULUS"
    ),
    "AKTIF (Semester " &amp;
      (INT((12*(YEAR(TODAY())-M309) + MONTH(TODAY()) -
        MATCH(L309, {"Januari";"Februari";"Maret";"April";"Mei";"Juni";"Juli";"Agustus";"September";"Oktober";"November";"Desember"}, 0)) / 6) + 1) &amp; ")"
  )
)</f>
        <v>AKTIF (Semester 4)</v>
      </c>
      <c r="T309" s="16" t="str">
        <f ca="1">IF(O309 &lt; YEAR(TODAY()), "LULUS",
 IF(O309 = YEAR(TODAY()),
    IF(MATCH(N309, {"Januari";"Februari";"Maret";"April";"Mei";"Juni";"Juli";"Agustus";"September";"Oktober";"November";"Desember"},0)
        &lt;= MONTH(TODAY()),
        "LULUS",
        "AKTIF"),
 "AKTIF"))</f>
        <v>AKTIF</v>
      </c>
      <c r="U309" s="16" t="s">
        <v>2942</v>
      </c>
      <c r="V309" s="15"/>
      <c r="W309" s="15"/>
      <c r="X309" s="15"/>
      <c r="Y309" s="15"/>
      <c r="Z309" s="15"/>
    </row>
    <row r="310" spans="1:26" ht="29" customHeight="1" x14ac:dyDescent="0.35">
      <c r="A310" s="12">
        <v>309</v>
      </c>
      <c r="B310" s="25" t="s">
        <v>1148</v>
      </c>
      <c r="C310" s="26" t="s">
        <v>1149</v>
      </c>
      <c r="D310" s="25" t="s">
        <v>172</v>
      </c>
      <c r="E310" s="26" t="str">
        <f t="shared" si="5"/>
        <v>Laki-Laki</v>
      </c>
      <c r="F310" s="25" t="s">
        <v>1150</v>
      </c>
      <c r="G310" s="25" t="s">
        <v>909</v>
      </c>
      <c r="H310" s="19" t="s">
        <v>1113</v>
      </c>
      <c r="I310" s="19" t="s">
        <v>90</v>
      </c>
      <c r="J310" s="32" t="s">
        <v>180</v>
      </c>
      <c r="K310" s="32" t="s">
        <v>905</v>
      </c>
      <c r="L310" s="47" t="s">
        <v>28</v>
      </c>
      <c r="M310" s="12">
        <v>2024</v>
      </c>
      <c r="N310" s="15" t="s">
        <v>28</v>
      </c>
      <c r="O310" s="15">
        <v>2028</v>
      </c>
      <c r="P310" s="15">
        <v>2025</v>
      </c>
      <c r="Q310" s="15"/>
      <c r="R310" s="16" t="s">
        <v>51</v>
      </c>
      <c r="S310" s="16" t="str">
        <f ca="1">IF(
  O310 &lt; YEAR(TODAY()),
  "LULUS",
  IF(
    O310 = YEAR(TODAY()),
    IF(
      MATCH(L310, {"Januari";"Februari";"Maret";"April";"Mei";"Juni";"Juli";"Agustus";"September";"Oktober";"November";"Desember"}, 0)
        &gt;= MONTH(TODAY()),
      "AKTIF (Semester " &amp;
        (INT((12*(YEAR(TODAY())-M310) + MONTH(TODAY()) -
          MATCH(L310, {"Januari";"Februari";"Maret";"April";"Mei";"Juni";"Juli";"Agustus";"September";"Oktober";"November";"Desember"}, 0)) / 6) + 1) &amp; ")",
      "LULUS"
    ),
    "AKTIF (Semester " &amp;
      (INT((12*(YEAR(TODAY())-M310) + MONTH(TODAY()) -
        MATCH(L310, {"Januari";"Februari";"Maret";"April";"Mei";"Juni";"Juli";"Agustus";"September";"Oktober";"November";"Desember"}, 0)) / 6) + 1) &amp; ")"
  )
)</f>
        <v>AKTIF (Semester 3)</v>
      </c>
      <c r="T310" s="16" t="str">
        <f ca="1">IF(O310 &lt; YEAR(TODAY()), "LULUS",
 IF(O310 = YEAR(TODAY()),
    IF(MATCH(N310, {"Januari";"Februari";"Maret";"April";"Mei";"Juni";"Juli";"Agustus";"September";"Oktober";"November";"Desember"},0)
        &lt;= MONTH(TODAY()),
        "LULUS",
        "AKTIF"),
 "AKTIF"))</f>
        <v>AKTIF</v>
      </c>
      <c r="U310" s="16" t="s">
        <v>2940</v>
      </c>
      <c r="V310" s="15"/>
      <c r="W310" s="15"/>
      <c r="X310" s="15"/>
      <c r="Y310" s="15"/>
      <c r="Z310" s="15"/>
    </row>
    <row r="311" spans="1:26" ht="29" customHeight="1" x14ac:dyDescent="0.35">
      <c r="A311" s="12">
        <v>310</v>
      </c>
      <c r="B311" s="25" t="s">
        <v>1151</v>
      </c>
      <c r="C311" s="26" t="s">
        <v>1152</v>
      </c>
      <c r="D311" s="25" t="s">
        <v>172</v>
      </c>
      <c r="E311" s="26" t="str">
        <f t="shared" si="5"/>
        <v>Laki-Laki</v>
      </c>
      <c r="F311" s="25" t="s">
        <v>1153</v>
      </c>
      <c r="G311" s="25" t="s">
        <v>909</v>
      </c>
      <c r="H311" s="19" t="s">
        <v>1113</v>
      </c>
      <c r="I311" s="19" t="s">
        <v>90</v>
      </c>
      <c r="J311" s="32" t="s">
        <v>180</v>
      </c>
      <c r="K311" s="32" t="s">
        <v>905</v>
      </c>
      <c r="L311" s="47" t="s">
        <v>169</v>
      </c>
      <c r="M311" s="12">
        <v>2024</v>
      </c>
      <c r="N311" s="15" t="s">
        <v>169</v>
      </c>
      <c r="O311" s="15">
        <v>2028</v>
      </c>
      <c r="P311" s="15">
        <v>2025</v>
      </c>
      <c r="Q311" s="15"/>
      <c r="R311" s="16" t="s">
        <v>51</v>
      </c>
      <c r="S311" s="16" t="str">
        <f ca="1">IF(
  O311 &lt; YEAR(TODAY()),
  "LULUS",
  IF(
    O311 = YEAR(TODAY()),
    IF(
      MATCH(L311, {"Januari";"Februari";"Maret";"April";"Mei";"Juni";"Juli";"Agustus";"September";"Oktober";"November";"Desember"}, 0)
        &gt;= MONTH(TODAY()),
      "AKTIF (Semester " &amp;
        (INT((12*(YEAR(TODAY())-M311) + MONTH(TODAY()) -
          MATCH(L311, {"Januari";"Februari";"Maret";"April";"Mei";"Juni";"Juli";"Agustus";"September";"Oktober";"November";"Desember"}, 0)) / 6) + 1) &amp; ")",
      "LULUS"
    ),
    "AKTIF (Semester " &amp;
      (INT((12*(YEAR(TODAY())-M311) + MONTH(TODAY()) -
        MATCH(L311, {"Januari";"Februari";"Maret";"April";"Mei";"Juni";"Juli";"Agustus";"September";"Oktober";"November";"Desember"}, 0)) / 6) + 1) &amp; ")"
  )
)</f>
        <v>AKTIF (Semester 3)</v>
      </c>
      <c r="T311" s="16" t="str">
        <f ca="1">IF(O311 &lt; YEAR(TODAY()), "LULUS",
 IF(O311 = YEAR(TODAY()),
    IF(MATCH(N311, {"Januari";"Februari";"Maret";"April";"Mei";"Juni";"Juli";"Agustus";"September";"Oktober";"November";"Desember"},0)
        &lt;= MONTH(TODAY()),
        "LULUS",
        "AKTIF"),
 "AKTIF"))</f>
        <v>AKTIF</v>
      </c>
      <c r="U311" s="16" t="s">
        <v>2940</v>
      </c>
      <c r="V311" s="15"/>
      <c r="W311" s="15"/>
      <c r="X311" s="15"/>
      <c r="Y311" s="15"/>
      <c r="Z311" s="15"/>
    </row>
    <row r="312" spans="1:26" ht="29" customHeight="1" x14ac:dyDescent="0.35">
      <c r="A312" s="12">
        <v>311</v>
      </c>
      <c r="B312" s="25" t="s">
        <v>1154</v>
      </c>
      <c r="C312" s="26" t="s">
        <v>1155</v>
      </c>
      <c r="D312" s="25" t="s">
        <v>903</v>
      </c>
      <c r="E312" s="26" t="str">
        <f t="shared" si="5"/>
        <v>Laki-Laki</v>
      </c>
      <c r="F312" s="25" t="s">
        <v>1147</v>
      </c>
      <c r="G312" s="25" t="s">
        <v>909</v>
      </c>
      <c r="H312" s="19" t="s">
        <v>1113</v>
      </c>
      <c r="I312" s="19" t="s">
        <v>90</v>
      </c>
      <c r="J312" s="32" t="s">
        <v>180</v>
      </c>
      <c r="K312" s="32" t="s">
        <v>221</v>
      </c>
      <c r="L312" s="47" t="s">
        <v>28</v>
      </c>
      <c r="M312" s="12">
        <v>2024</v>
      </c>
      <c r="N312" s="15" t="s">
        <v>28</v>
      </c>
      <c r="O312" s="15">
        <v>2028</v>
      </c>
      <c r="P312" s="15">
        <v>2025</v>
      </c>
      <c r="Q312" s="15"/>
      <c r="R312" s="16" t="s">
        <v>51</v>
      </c>
      <c r="S312" s="16" t="str">
        <f ca="1">IF(
  O312 &lt; YEAR(TODAY()),
  "LULUS",
  IF(
    O312 = YEAR(TODAY()),
    IF(
      MATCH(L312, {"Januari";"Februari";"Maret";"April";"Mei";"Juni";"Juli";"Agustus";"September";"Oktober";"November";"Desember"}, 0)
        &gt;= MONTH(TODAY()),
      "AKTIF (Semester " &amp;
        (INT((12*(YEAR(TODAY())-M312) + MONTH(TODAY()) -
          MATCH(L312, {"Januari";"Februari";"Maret";"April";"Mei";"Juni";"Juli";"Agustus";"September";"Oktober";"November";"Desember"}, 0)) / 6) + 1) &amp; ")",
      "LULUS"
    ),
    "AKTIF (Semester " &amp;
      (INT((12*(YEAR(TODAY())-M312) + MONTH(TODAY()) -
        MATCH(L312, {"Januari";"Februari";"Maret";"April";"Mei";"Juni";"Juli";"Agustus";"September";"Oktober";"November";"Desember"}, 0)) / 6) + 1) &amp; ")"
  )
)</f>
        <v>AKTIF (Semester 3)</v>
      </c>
      <c r="T312" s="16" t="str">
        <f ca="1">IF(O312 &lt; YEAR(TODAY()), "LULUS",
 IF(O312 = YEAR(TODAY()),
    IF(MATCH(N312, {"Januari";"Februari";"Maret";"April";"Mei";"Juni";"Juli";"Agustus";"September";"Oktober";"November";"Desember"},0)
        &lt;= MONTH(TODAY()),
        "LULUS",
        "AKTIF"),
 "AKTIF"))</f>
        <v>AKTIF</v>
      </c>
      <c r="U312" s="16" t="s">
        <v>2940</v>
      </c>
      <c r="V312" s="15"/>
      <c r="W312" s="15"/>
      <c r="X312" s="15"/>
      <c r="Y312" s="15"/>
      <c r="Z312" s="15"/>
    </row>
    <row r="313" spans="1:26" ht="29" customHeight="1" x14ac:dyDescent="0.35">
      <c r="A313" s="12">
        <v>312</v>
      </c>
      <c r="B313" s="25" t="s">
        <v>1156</v>
      </c>
      <c r="C313" s="26" t="s">
        <v>1157</v>
      </c>
      <c r="D313" s="25" t="s">
        <v>172</v>
      </c>
      <c r="E313" s="26" t="str">
        <f t="shared" si="5"/>
        <v>Laki-Laki</v>
      </c>
      <c r="F313" s="25" t="s">
        <v>1147</v>
      </c>
      <c r="G313" s="25" t="s">
        <v>909</v>
      </c>
      <c r="H313" s="19" t="s">
        <v>1113</v>
      </c>
      <c r="I313" s="19" t="s">
        <v>90</v>
      </c>
      <c r="J313" s="32" t="s">
        <v>180</v>
      </c>
      <c r="K313" s="32" t="s">
        <v>221</v>
      </c>
      <c r="L313" s="47" t="s">
        <v>113</v>
      </c>
      <c r="M313" s="12">
        <v>2024</v>
      </c>
      <c r="N313" s="15" t="s">
        <v>113</v>
      </c>
      <c r="O313" s="15">
        <v>2028</v>
      </c>
      <c r="P313" s="15">
        <v>2025</v>
      </c>
      <c r="Q313" s="15"/>
      <c r="R313" s="16" t="s">
        <v>51</v>
      </c>
      <c r="S313" s="16" t="str">
        <f ca="1">IF(
  O313 &lt; YEAR(TODAY()),
  "LULUS",
  IF(
    O313 = YEAR(TODAY()),
    IF(
      MATCH(L313, {"Januari";"Februari";"Maret";"April";"Mei";"Juni";"Juli";"Agustus";"September";"Oktober";"November";"Desember"}, 0)
        &gt;= MONTH(TODAY()),
      "AKTIF (Semester " &amp;
        (INT((12*(YEAR(TODAY())-M313) + MONTH(TODAY()) -
          MATCH(L313, {"Januari";"Februari";"Maret";"April";"Mei";"Juni";"Juli";"Agustus";"September";"Oktober";"November";"Desember"}, 0)) / 6) + 1) &amp; ")",
      "LULUS"
    ),
    "AKTIF (Semester " &amp;
      (INT((12*(YEAR(TODAY())-M313) + MONTH(TODAY()) -
        MATCH(L313, {"Januari";"Februari";"Maret";"April";"Mei";"Juni";"Juli";"Agustus";"September";"Oktober";"November";"Desember"}, 0)) / 6) + 1) &amp; ")"
  )
)</f>
        <v>AKTIF (Semester 4)</v>
      </c>
      <c r="T313" s="16" t="str">
        <f ca="1">IF(O313 &lt; YEAR(TODAY()), "LULUS",
 IF(O313 = YEAR(TODAY()),
    IF(MATCH(N313, {"Januari";"Februari";"Maret";"April";"Mei";"Juni";"Juli";"Agustus";"September";"Oktober";"November";"Desember"},0)
        &lt;= MONTH(TODAY()),
        "LULUS",
        "AKTIF"),
 "AKTIF"))</f>
        <v>AKTIF</v>
      </c>
      <c r="U313" s="16" t="s">
        <v>2942</v>
      </c>
      <c r="V313" s="15"/>
      <c r="W313" s="15"/>
      <c r="X313" s="15"/>
      <c r="Y313" s="15"/>
      <c r="Z313" s="15"/>
    </row>
    <row r="314" spans="1:26" ht="29" customHeight="1" x14ac:dyDescent="0.35">
      <c r="A314" s="12">
        <v>313</v>
      </c>
      <c r="B314" s="25" t="s">
        <v>1158</v>
      </c>
      <c r="C314" s="26" t="s">
        <v>1159</v>
      </c>
      <c r="D314" s="25" t="s">
        <v>152</v>
      </c>
      <c r="E314" s="26" t="str">
        <f t="shared" si="5"/>
        <v>Laki-Laki</v>
      </c>
      <c r="F314" s="25" t="s">
        <v>1160</v>
      </c>
      <c r="G314" s="25" t="s">
        <v>909</v>
      </c>
      <c r="H314" s="19" t="s">
        <v>1113</v>
      </c>
      <c r="I314" s="19" t="s">
        <v>90</v>
      </c>
      <c r="J314" s="32" t="s">
        <v>180</v>
      </c>
      <c r="K314" s="32" t="s">
        <v>905</v>
      </c>
      <c r="L314" s="47" t="s">
        <v>169</v>
      </c>
      <c r="M314" s="12">
        <v>2024</v>
      </c>
      <c r="N314" s="15" t="s">
        <v>169</v>
      </c>
      <c r="O314" s="15">
        <v>2028</v>
      </c>
      <c r="P314" s="15">
        <v>2025</v>
      </c>
      <c r="Q314" s="15"/>
      <c r="R314" s="16" t="s">
        <v>51</v>
      </c>
      <c r="S314" s="16" t="str">
        <f ca="1">IF(
  O314 &lt; YEAR(TODAY()),
  "LULUS",
  IF(
    O314 = YEAR(TODAY()),
    IF(
      MATCH(L314, {"Januari";"Februari";"Maret";"April";"Mei";"Juni";"Juli";"Agustus";"September";"Oktober";"November";"Desember"}, 0)
        &gt;= MONTH(TODAY()),
      "AKTIF (Semester " &amp;
        (INT((12*(YEAR(TODAY())-M314) + MONTH(TODAY()) -
          MATCH(L314, {"Januari";"Februari";"Maret";"April";"Mei";"Juni";"Juli";"Agustus";"September";"Oktober";"November";"Desember"}, 0)) / 6) + 1) &amp; ")",
      "LULUS"
    ),
    "AKTIF (Semester " &amp;
      (INT((12*(YEAR(TODAY())-M314) + MONTH(TODAY()) -
        MATCH(L314, {"Januari";"Februari";"Maret";"April";"Mei";"Juni";"Juli";"Agustus";"September";"Oktober";"November";"Desember"}, 0)) / 6) + 1) &amp; ")"
  )
)</f>
        <v>AKTIF (Semester 3)</v>
      </c>
      <c r="T314" s="16" t="str">
        <f ca="1">IF(O314 &lt; YEAR(TODAY()), "LULUS",
 IF(O314 = YEAR(TODAY()),
    IF(MATCH(N314, {"Januari";"Februari";"Maret";"April";"Mei";"Juni";"Juli";"Agustus";"September";"Oktober";"November";"Desember"},0)
        &lt;= MONTH(TODAY()),
        "LULUS",
        "AKTIF"),
 "AKTIF"))</f>
        <v>AKTIF</v>
      </c>
      <c r="U314" s="16" t="s">
        <v>2940</v>
      </c>
      <c r="V314" s="15"/>
      <c r="W314" s="15"/>
      <c r="X314" s="15"/>
      <c r="Y314" s="15"/>
      <c r="Z314" s="15"/>
    </row>
    <row r="315" spans="1:26" ht="29" customHeight="1" x14ac:dyDescent="0.35">
      <c r="A315" s="12">
        <v>314</v>
      </c>
      <c r="B315" s="25" t="s">
        <v>1161</v>
      </c>
      <c r="C315" s="26" t="s">
        <v>1162</v>
      </c>
      <c r="D315" s="25" t="s">
        <v>172</v>
      </c>
      <c r="E315" s="26" t="str">
        <f t="shared" si="5"/>
        <v>Laki-Laki</v>
      </c>
      <c r="F315" s="25" t="s">
        <v>1163</v>
      </c>
      <c r="G315" s="25" t="s">
        <v>909</v>
      </c>
      <c r="H315" s="19" t="s">
        <v>1113</v>
      </c>
      <c r="I315" s="19" t="s">
        <v>90</v>
      </c>
      <c r="J315" s="32" t="s">
        <v>180</v>
      </c>
      <c r="K315" s="32" t="s">
        <v>905</v>
      </c>
      <c r="L315" s="47" t="s">
        <v>169</v>
      </c>
      <c r="M315" s="12">
        <v>2024</v>
      </c>
      <c r="N315" s="15" t="s">
        <v>169</v>
      </c>
      <c r="O315" s="15">
        <v>2028</v>
      </c>
      <c r="P315" s="15">
        <v>2025</v>
      </c>
      <c r="Q315" s="15"/>
      <c r="R315" s="16" t="s">
        <v>51</v>
      </c>
      <c r="S315" s="16" t="str">
        <f ca="1">IF(
  O315 &lt; YEAR(TODAY()),
  "LULUS",
  IF(
    O315 = YEAR(TODAY()),
    IF(
      MATCH(L315, {"Januari";"Februari";"Maret";"April";"Mei";"Juni";"Juli";"Agustus";"September";"Oktober";"November";"Desember"}, 0)
        &gt;= MONTH(TODAY()),
      "AKTIF (Semester " &amp;
        (INT((12*(YEAR(TODAY())-M315) + MONTH(TODAY()) -
          MATCH(L315, {"Januari";"Februari";"Maret";"April";"Mei";"Juni";"Juli";"Agustus";"September";"Oktober";"November";"Desember"}, 0)) / 6) + 1) &amp; ")",
      "LULUS"
    ),
    "AKTIF (Semester " &amp;
      (INT((12*(YEAR(TODAY())-M315) + MONTH(TODAY()) -
        MATCH(L315, {"Januari";"Februari";"Maret";"April";"Mei";"Juni";"Juli";"Agustus";"September";"Oktober";"November";"Desember"}, 0)) / 6) + 1) &amp; ")"
  )
)</f>
        <v>AKTIF (Semester 3)</v>
      </c>
      <c r="T315" s="16" t="str">
        <f ca="1">IF(O315 &lt; YEAR(TODAY()), "LULUS",
 IF(O315 = YEAR(TODAY()),
    IF(MATCH(N315, {"Januari";"Februari";"Maret";"April";"Mei";"Juni";"Juli";"Agustus";"September";"Oktober";"November";"Desember"},0)
        &lt;= MONTH(TODAY()),
        "LULUS",
        "AKTIF"),
 "AKTIF"))</f>
        <v>AKTIF</v>
      </c>
      <c r="U315" s="16" t="s">
        <v>2940</v>
      </c>
      <c r="V315" s="15"/>
      <c r="W315" s="15"/>
      <c r="X315" s="15"/>
      <c r="Y315" s="15"/>
      <c r="Z315" s="15"/>
    </row>
    <row r="316" spans="1:26" ht="29" customHeight="1" x14ac:dyDescent="0.35">
      <c r="A316" s="12">
        <v>315</v>
      </c>
      <c r="B316" s="25" t="s">
        <v>1164</v>
      </c>
      <c r="C316" s="26" t="s">
        <v>1165</v>
      </c>
      <c r="D316" s="25" t="s">
        <v>188</v>
      </c>
      <c r="E316" s="26" t="str">
        <f t="shared" si="5"/>
        <v>Perempuan</v>
      </c>
      <c r="F316" s="25" t="s">
        <v>672</v>
      </c>
      <c r="G316" s="25" t="s">
        <v>909</v>
      </c>
      <c r="H316" s="19" t="s">
        <v>1166</v>
      </c>
      <c r="I316" s="28" t="s">
        <v>1167</v>
      </c>
      <c r="J316" s="32" t="s">
        <v>190</v>
      </c>
      <c r="K316" s="32" t="s">
        <v>221</v>
      </c>
      <c r="L316" s="47" t="s">
        <v>28</v>
      </c>
      <c r="M316" s="12">
        <v>2024</v>
      </c>
      <c r="N316" s="15" t="s">
        <v>28</v>
      </c>
      <c r="O316" s="15">
        <v>2026</v>
      </c>
      <c r="P316" s="15">
        <v>2025</v>
      </c>
      <c r="Q316" s="15"/>
      <c r="R316" s="16" t="s">
        <v>51</v>
      </c>
      <c r="S316" s="16" t="str">
        <f ca="1">IF(
  O316 &lt; YEAR(TODAY()),
  "LULUS",
  IF(
    O316 = YEAR(TODAY()),
    IF(
      MATCH(L316, {"Januari";"Februari";"Maret";"April";"Mei";"Juni";"Juli";"Agustus";"September";"Oktober";"November";"Desember"}, 0)
        &gt;= MONTH(TODAY()),
      "AKTIF (Semester " &amp;
        (INT((12*(YEAR(TODAY())-M316) + MONTH(TODAY()) -
          MATCH(L316, {"Januari";"Februari";"Maret";"April";"Mei";"Juni";"Juli";"Agustus";"September";"Oktober";"November";"Desember"}, 0)) / 6) + 1) &amp; ")",
      "LULUS"
    ),
    "AKTIF (Semester " &amp;
      (INT((12*(YEAR(TODAY())-M316) + MONTH(TODAY()) -
        MATCH(L316, {"Januari";"Februari";"Maret";"April";"Mei";"Juni";"Juli";"Agustus";"September";"Oktober";"November";"Desember"}, 0)) / 6) + 1) &amp; ")"
  )
)</f>
        <v>AKTIF (Semester 3)</v>
      </c>
      <c r="T316" s="16" t="str">
        <f ca="1">IF(O316 &lt; YEAR(TODAY()), "LULUS",
 IF(O316 = YEAR(TODAY()),
    IF(MATCH(N316, {"Januari";"Februari";"Maret";"April";"Mei";"Juni";"Juli";"Agustus";"September";"Oktober";"November";"Desember"},0)
        &lt;= MONTH(TODAY()),
        "LULUS",
        "AKTIF"),
 "AKTIF"))</f>
        <v>AKTIF</v>
      </c>
      <c r="U316" s="16" t="s">
        <v>2940</v>
      </c>
      <c r="V316" s="15"/>
      <c r="W316" s="15"/>
      <c r="X316" s="15"/>
      <c r="Y316" s="15"/>
      <c r="Z316" s="15"/>
    </row>
    <row r="317" spans="1:26" ht="29" customHeight="1" x14ac:dyDescent="0.35">
      <c r="A317" s="12">
        <v>316</v>
      </c>
      <c r="B317" s="25" t="s">
        <v>1168</v>
      </c>
      <c r="C317" s="26" t="s">
        <v>1169</v>
      </c>
      <c r="D317" s="25" t="s">
        <v>583</v>
      </c>
      <c r="E317" s="26" t="str">
        <f t="shared" si="5"/>
        <v>Laki-Laki</v>
      </c>
      <c r="F317" s="25" t="s">
        <v>1170</v>
      </c>
      <c r="G317" s="25" t="s">
        <v>909</v>
      </c>
      <c r="H317" s="19" t="s">
        <v>1171</v>
      </c>
      <c r="I317" s="28" t="s">
        <v>256</v>
      </c>
      <c r="J317" s="32" t="s">
        <v>509</v>
      </c>
      <c r="K317" s="32" t="s">
        <v>1172</v>
      </c>
      <c r="L317" s="47" t="s">
        <v>614</v>
      </c>
      <c r="M317" s="12">
        <v>2024</v>
      </c>
      <c r="N317" s="15" t="s">
        <v>614</v>
      </c>
      <c r="O317" s="15">
        <v>2027</v>
      </c>
      <c r="P317" s="15">
        <v>2025</v>
      </c>
      <c r="Q317" s="15"/>
      <c r="R317" s="16" t="s">
        <v>51</v>
      </c>
      <c r="S317" s="16" t="str">
        <f ca="1">IF(
  O317 &lt; YEAR(TODAY()),
  "LULUS",
  IF(
    O317 = YEAR(TODAY()),
    IF(
      MATCH(L317, {"Januari";"Februari";"Maret";"April";"Mei";"Juni";"Juli";"Agustus";"September";"Oktober";"November";"Desember"}, 0)
        &gt;= MONTH(TODAY()),
      "AKTIF (Semester " &amp;
        (INT((12*(YEAR(TODAY())-M317) + MONTH(TODAY()) -
          MATCH(L317, {"Januari";"Februari";"Maret";"April";"Mei";"Juni";"Juli";"Agustus";"September";"Oktober";"November";"Desember"}, 0)) / 6) + 1) &amp; ")",
      "LULUS"
    ),
    "AKTIF (Semester " &amp;
      (INT((12*(YEAR(TODAY())-M317) + MONTH(TODAY()) -
        MATCH(L317, {"Januari";"Februari";"Maret";"April";"Mei";"Juni";"Juli";"Agustus";"September";"Oktober";"November";"Desember"}, 0)) / 6) + 1) &amp; ")"
  )
)</f>
        <v>AKTIF (Semester 4)</v>
      </c>
      <c r="T317" s="16" t="str">
        <f ca="1">IF(O317 &lt; YEAR(TODAY()), "LULUS",
 IF(O317 = YEAR(TODAY()),
    IF(MATCH(N317, {"Januari";"Februari";"Maret";"April";"Mei";"Juni";"Juli";"Agustus";"September";"Oktober";"November";"Desember"},0)
        &lt;= MONTH(TODAY()),
        "LULUS",
        "AKTIF"),
 "AKTIF"))</f>
        <v>AKTIF</v>
      </c>
      <c r="U317" s="16" t="s">
        <v>2942</v>
      </c>
      <c r="V317" s="15"/>
      <c r="W317" s="15"/>
      <c r="X317" s="15"/>
      <c r="Y317" s="15"/>
      <c r="Z317" s="15"/>
    </row>
    <row r="318" spans="1:26" ht="29" customHeight="1" x14ac:dyDescent="0.35">
      <c r="A318" s="12">
        <v>317</v>
      </c>
      <c r="B318" s="25" t="s">
        <v>1173</v>
      </c>
      <c r="C318" s="26" t="s">
        <v>1174</v>
      </c>
      <c r="D318" s="25" t="s">
        <v>903</v>
      </c>
      <c r="E318" s="26" t="str">
        <f t="shared" si="5"/>
        <v>Laki-Laki</v>
      </c>
      <c r="F318" s="25" t="s">
        <v>1175</v>
      </c>
      <c r="G318" s="25" t="s">
        <v>909</v>
      </c>
      <c r="H318" s="19" t="s">
        <v>925</v>
      </c>
      <c r="I318" s="19" t="s">
        <v>90</v>
      </c>
      <c r="J318" s="32" t="s">
        <v>180</v>
      </c>
      <c r="K318" s="32" t="s">
        <v>905</v>
      </c>
      <c r="L318" s="47" t="s">
        <v>28</v>
      </c>
      <c r="M318" s="12">
        <v>2024</v>
      </c>
      <c r="N318" s="15" t="s">
        <v>28</v>
      </c>
      <c r="O318" s="15">
        <v>2028</v>
      </c>
      <c r="P318" s="15">
        <v>2025</v>
      </c>
      <c r="Q318" s="15"/>
      <c r="R318" s="16" t="s">
        <v>51</v>
      </c>
      <c r="S318" s="16" t="str">
        <f ca="1">IF(
  O318 &lt; YEAR(TODAY()),
  "LULUS",
  IF(
    O318 = YEAR(TODAY()),
    IF(
      MATCH(L318, {"Januari";"Februari";"Maret";"April";"Mei";"Juni";"Juli";"Agustus";"September";"Oktober";"November";"Desember"}, 0)
        &gt;= MONTH(TODAY()),
      "AKTIF (Semester " &amp;
        (INT((12*(YEAR(TODAY())-M318) + MONTH(TODAY()) -
          MATCH(L318, {"Januari";"Februari";"Maret";"April";"Mei";"Juni";"Juli";"Agustus";"September";"Oktober";"November";"Desember"}, 0)) / 6) + 1) &amp; ")",
      "LULUS"
    ),
    "AKTIF (Semester " &amp;
      (INT((12*(YEAR(TODAY())-M318) + MONTH(TODAY()) -
        MATCH(L318, {"Januari";"Februari";"Maret";"April";"Mei";"Juni";"Juli";"Agustus";"September";"Oktober";"November";"Desember"}, 0)) / 6) + 1) &amp; ")"
  )
)</f>
        <v>AKTIF (Semester 3)</v>
      </c>
      <c r="T318" s="16" t="str">
        <f ca="1">IF(O318 &lt; YEAR(TODAY()), "LULUS",
 IF(O318 = YEAR(TODAY()),
    IF(MATCH(N318, {"Januari";"Februari";"Maret";"April";"Mei";"Juni";"Juli";"Agustus";"September";"Oktober";"November";"Desember"},0)
        &lt;= MONTH(TODAY()),
        "LULUS",
        "AKTIF"),
 "AKTIF"))</f>
        <v>AKTIF</v>
      </c>
      <c r="U318" s="16" t="s">
        <v>2940</v>
      </c>
      <c r="V318" s="15"/>
      <c r="W318" s="15"/>
      <c r="X318" s="15"/>
      <c r="Y318" s="15"/>
      <c r="Z318" s="15"/>
    </row>
    <row r="319" spans="1:26" ht="29" customHeight="1" x14ac:dyDescent="0.35">
      <c r="A319" s="12">
        <v>318</v>
      </c>
      <c r="B319" s="25" t="s">
        <v>1176</v>
      </c>
      <c r="C319" s="26" t="s">
        <v>1177</v>
      </c>
      <c r="D319" s="25" t="s">
        <v>152</v>
      </c>
      <c r="E319" s="26" t="str">
        <f t="shared" si="5"/>
        <v>Laki-Laki</v>
      </c>
      <c r="F319" s="25" t="s">
        <v>1088</v>
      </c>
      <c r="G319" s="25" t="s">
        <v>909</v>
      </c>
      <c r="H319" s="19" t="s">
        <v>925</v>
      </c>
      <c r="I319" s="19" t="s">
        <v>90</v>
      </c>
      <c r="J319" s="32" t="s">
        <v>180</v>
      </c>
      <c r="K319" s="32" t="s">
        <v>221</v>
      </c>
      <c r="L319" s="47" t="s">
        <v>28</v>
      </c>
      <c r="M319" s="12">
        <v>2024</v>
      </c>
      <c r="N319" s="15" t="s">
        <v>28</v>
      </c>
      <c r="O319" s="15">
        <v>2028</v>
      </c>
      <c r="P319" s="15">
        <v>2025</v>
      </c>
      <c r="Q319" s="15"/>
      <c r="R319" s="16" t="s">
        <v>51</v>
      </c>
      <c r="S319" s="16" t="str">
        <f ca="1">IF(
  O319 &lt; YEAR(TODAY()),
  "LULUS",
  IF(
    O319 = YEAR(TODAY()),
    IF(
      MATCH(L319, {"Januari";"Februari";"Maret";"April";"Mei";"Juni";"Juli";"Agustus";"September";"Oktober";"November";"Desember"}, 0)
        &gt;= MONTH(TODAY()),
      "AKTIF (Semester " &amp;
        (INT((12*(YEAR(TODAY())-M319) + MONTH(TODAY()) -
          MATCH(L319, {"Januari";"Februari";"Maret";"April";"Mei";"Juni";"Juli";"Agustus";"September";"Oktober";"November";"Desember"}, 0)) / 6) + 1) &amp; ")",
      "LULUS"
    ),
    "AKTIF (Semester " &amp;
      (INT((12*(YEAR(TODAY())-M319) + MONTH(TODAY()) -
        MATCH(L319, {"Januari";"Februari";"Maret";"April";"Mei";"Juni";"Juli";"Agustus";"September";"Oktober";"November";"Desember"}, 0)) / 6) + 1) &amp; ")"
  )
)</f>
        <v>AKTIF (Semester 3)</v>
      </c>
      <c r="T319" s="16" t="str">
        <f ca="1">IF(O319 &lt; YEAR(TODAY()), "LULUS",
 IF(O319 = YEAR(TODAY()),
    IF(MATCH(N319, {"Januari";"Februari";"Maret";"April";"Mei";"Juni";"Juli";"Agustus";"September";"Oktober";"November";"Desember"},0)
        &lt;= MONTH(TODAY()),
        "LULUS",
        "AKTIF"),
 "AKTIF"))</f>
        <v>AKTIF</v>
      </c>
      <c r="U319" s="16" t="s">
        <v>2940</v>
      </c>
      <c r="V319" s="15"/>
      <c r="W319" s="15"/>
      <c r="X319" s="15"/>
      <c r="Y319" s="15"/>
      <c r="Z319" s="15"/>
    </row>
    <row r="320" spans="1:26" ht="29" customHeight="1" x14ac:dyDescent="0.35">
      <c r="A320" s="12">
        <v>319</v>
      </c>
      <c r="B320" s="25" t="s">
        <v>1178</v>
      </c>
      <c r="C320" s="26" t="s">
        <v>1179</v>
      </c>
      <c r="D320" s="25" t="s">
        <v>188</v>
      </c>
      <c r="E320" s="26" t="str">
        <f t="shared" si="5"/>
        <v>Laki-Laki</v>
      </c>
      <c r="F320" s="25" t="s">
        <v>1180</v>
      </c>
      <c r="G320" s="25" t="s">
        <v>909</v>
      </c>
      <c r="H320" s="19" t="s">
        <v>925</v>
      </c>
      <c r="I320" s="28" t="s">
        <v>1181</v>
      </c>
      <c r="J320" s="32" t="s">
        <v>190</v>
      </c>
      <c r="K320" s="32" t="s">
        <v>1182</v>
      </c>
      <c r="L320" s="47" t="s">
        <v>35</v>
      </c>
      <c r="M320" s="12">
        <v>2024</v>
      </c>
      <c r="N320" s="15" t="s">
        <v>35</v>
      </c>
      <c r="O320" s="15">
        <v>2026</v>
      </c>
      <c r="P320" s="15">
        <v>2025</v>
      </c>
      <c r="Q320" s="15"/>
      <c r="R320" s="16" t="s">
        <v>51</v>
      </c>
      <c r="S320" s="16" t="str">
        <f ca="1">IF(
  O320 &lt; YEAR(TODAY()),
  "LULUS",
  IF(
    O320 = YEAR(TODAY()),
    IF(
      MATCH(L320, {"Januari";"Februari";"Maret";"April";"Mei";"Juni";"Juli";"Agustus";"September";"Oktober";"November";"Desember"}, 0)
        &gt;= MONTH(TODAY()),
      "AKTIF (Semester " &amp;
        (INT((12*(YEAR(TODAY())-M320) + MONTH(TODAY()) -
          MATCH(L320, {"Januari";"Februari";"Maret";"April";"Mei";"Juni";"Juli";"Agustus";"September";"Oktober";"November";"Desember"}, 0)) / 6) + 1) &amp; ")",
      "LULUS"
    ),
    "AKTIF (Semester " &amp;
      (INT((12*(YEAR(TODAY())-M320) + MONTH(TODAY()) -
        MATCH(L320, {"Januari";"Februari";"Maret";"April";"Mei";"Juni";"Juli";"Agustus";"September";"Oktober";"November";"Desember"}, 0)) / 6) + 1) &amp; ")"
  )
)</f>
        <v>AKTIF (Semester 4)</v>
      </c>
      <c r="T320" s="16" t="str">
        <f ca="1">IF(O320 &lt; YEAR(TODAY()), "LULUS",
 IF(O320 = YEAR(TODAY()),
    IF(MATCH(N320, {"Januari";"Februari";"Maret";"April";"Mei";"Juni";"Juli";"Agustus";"September";"Oktober";"November";"Desember"},0)
        &lt;= MONTH(TODAY()),
        "LULUS",
        "AKTIF"),
 "AKTIF"))</f>
        <v>AKTIF</v>
      </c>
      <c r="U320" s="16" t="s">
        <v>2942</v>
      </c>
      <c r="V320" s="15"/>
      <c r="W320" s="15"/>
      <c r="X320" s="15"/>
      <c r="Y320" s="15"/>
      <c r="Z320" s="15"/>
    </row>
    <row r="321" spans="1:26" ht="29" customHeight="1" x14ac:dyDescent="0.35">
      <c r="A321" s="12">
        <v>320</v>
      </c>
      <c r="B321" s="25" t="s">
        <v>1183</v>
      </c>
      <c r="C321" s="26" t="s">
        <v>1184</v>
      </c>
      <c r="D321" s="25" t="s">
        <v>188</v>
      </c>
      <c r="E321" s="26" t="str">
        <f t="shared" si="5"/>
        <v>Laki-Laki</v>
      </c>
      <c r="F321" s="25" t="s">
        <v>1185</v>
      </c>
      <c r="G321" s="25" t="s">
        <v>909</v>
      </c>
      <c r="H321" s="19" t="s">
        <v>993</v>
      </c>
      <c r="I321" s="28" t="s">
        <v>1135</v>
      </c>
      <c r="J321" s="32" t="s">
        <v>190</v>
      </c>
      <c r="K321" s="32" t="s">
        <v>1182</v>
      </c>
      <c r="L321" s="47" t="s">
        <v>28</v>
      </c>
      <c r="M321" s="12">
        <v>2024</v>
      </c>
      <c r="N321" s="15" t="s">
        <v>28</v>
      </c>
      <c r="O321" s="15">
        <v>2026</v>
      </c>
      <c r="P321" s="15">
        <v>2025</v>
      </c>
      <c r="Q321" s="15"/>
      <c r="R321" s="16" t="s">
        <v>51</v>
      </c>
      <c r="S321" s="16" t="str">
        <f ca="1">IF(
  O321 &lt; YEAR(TODAY()),
  "LULUS",
  IF(
    O321 = YEAR(TODAY()),
    IF(
      MATCH(L321, {"Januari";"Februari";"Maret";"April";"Mei";"Juni";"Juli";"Agustus";"September";"Oktober";"November";"Desember"}, 0)
        &gt;= MONTH(TODAY()),
      "AKTIF (Semester " &amp;
        (INT((12*(YEAR(TODAY())-M321) + MONTH(TODAY()) -
          MATCH(L321, {"Januari";"Februari";"Maret";"April";"Mei";"Juni";"Juli";"Agustus";"September";"Oktober";"November";"Desember"}, 0)) / 6) + 1) &amp; ")",
      "LULUS"
    ),
    "AKTIF (Semester " &amp;
      (INT((12*(YEAR(TODAY())-M321) + MONTH(TODAY()) -
        MATCH(L321, {"Januari";"Februari";"Maret";"April";"Mei";"Juni";"Juli";"Agustus";"September";"Oktober";"November";"Desember"}, 0)) / 6) + 1) &amp; ")"
  )
)</f>
        <v>AKTIF (Semester 3)</v>
      </c>
      <c r="T321" s="16" t="str">
        <f ca="1">IF(O321 &lt; YEAR(TODAY()), "LULUS",
 IF(O321 = YEAR(TODAY()),
    IF(MATCH(N321, {"Januari";"Februari";"Maret";"April";"Mei";"Juni";"Juli";"Agustus";"September";"Oktober";"November";"Desember"},0)
        &lt;= MONTH(TODAY()),
        "LULUS",
        "AKTIF"),
 "AKTIF"))</f>
        <v>AKTIF</v>
      </c>
      <c r="U321" s="16" t="s">
        <v>2940</v>
      </c>
      <c r="V321" s="15"/>
      <c r="W321" s="15"/>
      <c r="X321" s="15"/>
      <c r="Y321" s="15"/>
      <c r="Z321" s="15"/>
    </row>
    <row r="322" spans="1:26" ht="29" customHeight="1" x14ac:dyDescent="0.35">
      <c r="A322" s="12">
        <v>321</v>
      </c>
      <c r="B322" s="25" t="s">
        <v>1186</v>
      </c>
      <c r="C322" s="26" t="s">
        <v>1187</v>
      </c>
      <c r="D322" s="25" t="s">
        <v>215</v>
      </c>
      <c r="E322" s="26" t="str">
        <f t="shared" si="5"/>
        <v>Laki-Laki</v>
      </c>
      <c r="F322" s="25" t="s">
        <v>1188</v>
      </c>
      <c r="G322" s="25" t="s">
        <v>909</v>
      </c>
      <c r="H322" s="19" t="s">
        <v>993</v>
      </c>
      <c r="I322" s="28" t="s">
        <v>1135</v>
      </c>
      <c r="J322" s="32" t="s">
        <v>190</v>
      </c>
      <c r="K322" s="32" t="s">
        <v>1182</v>
      </c>
      <c r="L322" s="47" t="s">
        <v>28</v>
      </c>
      <c r="M322" s="12">
        <v>2024</v>
      </c>
      <c r="N322" s="15" t="s">
        <v>28</v>
      </c>
      <c r="O322" s="15">
        <v>2026</v>
      </c>
      <c r="P322" s="15">
        <v>2025</v>
      </c>
      <c r="Q322" s="15"/>
      <c r="R322" s="16" t="s">
        <v>51</v>
      </c>
      <c r="S322" s="16" t="str">
        <f ca="1">IF(
  O322 &lt; YEAR(TODAY()),
  "LULUS",
  IF(
    O322 = YEAR(TODAY()),
    IF(
      MATCH(L322, {"Januari";"Februari";"Maret";"April";"Mei";"Juni";"Juli";"Agustus";"September";"Oktober";"November";"Desember"}, 0)
        &gt;= MONTH(TODAY()),
      "AKTIF (Semester " &amp;
        (INT((12*(YEAR(TODAY())-M322) + MONTH(TODAY()) -
          MATCH(L322, {"Januari";"Februari";"Maret";"April";"Mei";"Juni";"Juli";"Agustus";"September";"Oktober";"November";"Desember"}, 0)) / 6) + 1) &amp; ")",
      "LULUS"
    ),
    "AKTIF (Semester " &amp;
      (INT((12*(YEAR(TODAY())-M322) + MONTH(TODAY()) -
        MATCH(L322, {"Januari";"Februari";"Maret";"April";"Mei";"Juni";"Juli";"Agustus";"September";"Oktober";"November";"Desember"}, 0)) / 6) + 1) &amp; ")"
  )
)</f>
        <v>AKTIF (Semester 3)</v>
      </c>
      <c r="T322" s="16" t="str">
        <f ca="1">IF(O322 &lt; YEAR(TODAY()), "LULUS",
 IF(O322 = YEAR(TODAY()),
    IF(MATCH(N322, {"Januari";"Februari";"Maret";"April";"Mei";"Juni";"Juli";"Agustus";"September";"Oktober";"November";"Desember"},0)
        &lt;= MONTH(TODAY()),
        "LULUS",
        "AKTIF"),
 "AKTIF"))</f>
        <v>AKTIF</v>
      </c>
      <c r="U322" s="16" t="s">
        <v>2940</v>
      </c>
      <c r="V322" s="15"/>
      <c r="W322" s="15"/>
      <c r="X322" s="15"/>
      <c r="Y322" s="15"/>
      <c r="Z322" s="15"/>
    </row>
    <row r="323" spans="1:26" ht="29" customHeight="1" x14ac:dyDescent="0.35">
      <c r="A323" s="12">
        <v>322</v>
      </c>
      <c r="B323" s="25" t="s">
        <v>1189</v>
      </c>
      <c r="C323" s="26" t="s">
        <v>1190</v>
      </c>
      <c r="D323" s="25" t="s">
        <v>211</v>
      </c>
      <c r="E323" s="26" t="str">
        <f t="shared" si="5"/>
        <v>Perempuan</v>
      </c>
      <c r="F323" s="25" t="s">
        <v>874</v>
      </c>
      <c r="G323" s="25" t="s">
        <v>909</v>
      </c>
      <c r="H323" s="19" t="s">
        <v>993</v>
      </c>
      <c r="I323" s="28" t="s">
        <v>426</v>
      </c>
      <c r="J323" s="32" t="s">
        <v>190</v>
      </c>
      <c r="K323" s="32" t="s">
        <v>1191</v>
      </c>
      <c r="L323" s="47" t="s">
        <v>28</v>
      </c>
      <c r="M323" s="12">
        <v>2024</v>
      </c>
      <c r="N323" s="15" t="s">
        <v>28</v>
      </c>
      <c r="O323" s="15">
        <v>2026</v>
      </c>
      <c r="P323" s="15">
        <v>2025</v>
      </c>
      <c r="Q323" s="15"/>
      <c r="R323" s="16" t="s">
        <v>51</v>
      </c>
      <c r="S323" s="16" t="str">
        <f ca="1">IF(
  O323 &lt; YEAR(TODAY()),
  "LULUS",
  IF(
    O323 = YEAR(TODAY()),
    IF(
      MATCH(L323, {"Januari";"Februari";"Maret";"April";"Mei";"Juni";"Juli";"Agustus";"September";"Oktober";"November";"Desember"}, 0)
        &gt;= MONTH(TODAY()),
      "AKTIF (Semester " &amp;
        (INT((12*(YEAR(TODAY())-M323) + MONTH(TODAY()) -
          MATCH(L323, {"Januari";"Februari";"Maret";"April";"Mei";"Juni";"Juli";"Agustus";"September";"Oktober";"November";"Desember"}, 0)) / 6) + 1) &amp; ")",
      "LULUS"
    ),
    "AKTIF (Semester " &amp;
      (INT((12*(YEAR(TODAY())-M323) + MONTH(TODAY()) -
        MATCH(L323, {"Januari";"Februari";"Maret";"April";"Mei";"Juni";"Juli";"Agustus";"September";"Oktober";"November";"Desember"}, 0)) / 6) + 1) &amp; ")"
  )
)</f>
        <v>AKTIF (Semester 3)</v>
      </c>
      <c r="T323" s="16" t="str">
        <f ca="1">IF(O323 &lt; YEAR(TODAY()), "LULUS",
 IF(O323 = YEAR(TODAY()),
    IF(MATCH(N323, {"Januari";"Februari";"Maret";"April";"Mei";"Juni";"Juli";"Agustus";"September";"Oktober";"November";"Desember"},0)
        &lt;= MONTH(TODAY()),
        "LULUS",
        "AKTIF"),
 "AKTIF"))</f>
        <v>AKTIF</v>
      </c>
      <c r="U323" s="16" t="s">
        <v>2940</v>
      </c>
      <c r="V323" s="15"/>
      <c r="W323" s="15"/>
      <c r="X323" s="15"/>
      <c r="Y323" s="15"/>
      <c r="Z323" s="15"/>
    </row>
    <row r="324" spans="1:26" ht="29" customHeight="1" x14ac:dyDescent="0.35">
      <c r="A324" s="12">
        <v>323</v>
      </c>
      <c r="B324" s="25" t="s">
        <v>1192</v>
      </c>
      <c r="C324" s="26" t="s">
        <v>1193</v>
      </c>
      <c r="D324" s="25" t="s">
        <v>172</v>
      </c>
      <c r="E324" s="26" t="str">
        <f t="shared" si="5"/>
        <v>Laki-Laki</v>
      </c>
      <c r="F324" s="25" t="s">
        <v>1141</v>
      </c>
      <c r="G324" s="25" t="s">
        <v>909</v>
      </c>
      <c r="H324" s="19" t="s">
        <v>993</v>
      </c>
      <c r="I324" s="19" t="s">
        <v>90</v>
      </c>
      <c r="J324" s="32" t="s">
        <v>180</v>
      </c>
      <c r="K324" s="32" t="s">
        <v>905</v>
      </c>
      <c r="L324" s="47"/>
      <c r="M324" s="12">
        <v>2024</v>
      </c>
      <c r="N324" s="15">
        <v>0</v>
      </c>
      <c r="O324" s="15">
        <v>2028</v>
      </c>
      <c r="P324" s="15">
        <v>2025</v>
      </c>
      <c r="Q324" s="15"/>
      <c r="R324" s="16" t="s">
        <v>51</v>
      </c>
      <c r="S324" s="16" t="e">
        <f ca="1">IF(
  O324 &lt; YEAR(TODAY()),
  "LULUS",
  IF(
    O324 = YEAR(TODAY()),
    IF(
      MATCH(L324, {"Januari";"Februari";"Maret";"April";"Mei";"Juni";"Juli";"Agustus";"September";"Oktober";"November";"Desember"}, 0)
        &gt;= MONTH(TODAY()),
      "AKTIF (Semester " &amp;
        (INT((12*(YEAR(TODAY())-M324) + MONTH(TODAY()) -
          MATCH(L324, {"Januari";"Februari";"Maret";"April";"Mei";"Juni";"Juli";"Agustus";"September";"Oktober";"November";"Desember"}, 0)) / 6) + 1) &amp; ")",
      "LULUS"
    ),
    "AKTIF (Semester " &amp;
      (INT((12*(YEAR(TODAY())-M324) + MONTH(TODAY()) -
        MATCH(L324, {"Januari";"Februari";"Maret";"April";"Mei";"Juni";"Juli";"Agustus";"September";"Oktober";"November";"Desember"}, 0)) / 6) + 1) &amp; ")"
  )
)</f>
        <v>#N/A</v>
      </c>
      <c r="T324" s="16" t="str">
        <f ca="1">IF(O324 &lt; YEAR(TODAY()), "LULUS",
 IF(O324 = YEAR(TODAY()),
    IF(MATCH(N324, {"Januari";"Februari";"Maret";"April";"Mei";"Juni";"Juli";"Agustus";"September";"Oktober";"November";"Desember"},0)
        &lt;= MONTH(TODAY()),
        "LULUS",
        "AKTIF"),
 "AKTIF"))</f>
        <v>AKTIF</v>
      </c>
      <c r="U324" s="16" t="e">
        <v>#N/A</v>
      </c>
      <c r="V324" s="15"/>
      <c r="W324" s="15"/>
      <c r="X324" s="15"/>
      <c r="Y324" s="15"/>
      <c r="Z324" s="15"/>
    </row>
    <row r="325" spans="1:26" ht="29" customHeight="1" x14ac:dyDescent="0.35">
      <c r="A325" s="12">
        <v>324</v>
      </c>
      <c r="B325" s="25" t="s">
        <v>1194</v>
      </c>
      <c r="C325" s="26" t="s">
        <v>1195</v>
      </c>
      <c r="D325" s="25" t="s">
        <v>188</v>
      </c>
      <c r="E325" s="26" t="str">
        <f t="shared" si="5"/>
        <v>Laki-Laki</v>
      </c>
      <c r="F325" s="25" t="s">
        <v>1185</v>
      </c>
      <c r="G325" s="25" t="s">
        <v>909</v>
      </c>
      <c r="H325" s="19" t="s">
        <v>1196</v>
      </c>
      <c r="I325" s="19" t="s">
        <v>90</v>
      </c>
      <c r="J325" s="32" t="s">
        <v>190</v>
      </c>
      <c r="K325" s="32" t="s">
        <v>1197</v>
      </c>
      <c r="L325" s="47" t="s">
        <v>60</v>
      </c>
      <c r="M325" s="12">
        <v>2024</v>
      </c>
      <c r="N325" s="15" t="s">
        <v>60</v>
      </c>
      <c r="O325" s="15">
        <v>2026</v>
      </c>
      <c r="P325" s="15">
        <v>2025</v>
      </c>
      <c r="Q325" s="15"/>
      <c r="R325" s="16" t="s">
        <v>51</v>
      </c>
      <c r="S325" s="16" t="str">
        <f ca="1">IF(
  O325 &lt; YEAR(TODAY()),
  "LULUS",
  IF(
    O325 = YEAR(TODAY()),
    IF(
      MATCH(L325, {"Januari";"Februari";"Maret";"April";"Mei";"Juni";"Juli";"Agustus";"September";"Oktober";"November";"Desember"}, 0)
        &gt;= MONTH(TODAY()),
      "AKTIF (Semester " &amp;
        (INT((12*(YEAR(TODAY())-M325) + MONTH(TODAY()) -
          MATCH(L325, {"Januari";"Februari";"Maret";"April";"Mei";"Juni";"Juli";"Agustus";"September";"Oktober";"November";"Desember"}, 0)) / 6) + 1) &amp; ")",
      "LULUS"
    ),
    "AKTIF (Semester " &amp;
      (INT((12*(YEAR(TODAY())-M325) + MONTH(TODAY()) -
        MATCH(L325, {"Januari";"Februari";"Maret";"April";"Mei";"Juni";"Juli";"Agustus";"September";"Oktober";"November";"Desember"}, 0)) / 6) + 1) &amp; ")"
  )
)</f>
        <v>AKTIF (Semester 3)</v>
      </c>
      <c r="T325" s="16" t="str">
        <f ca="1">IF(O325 &lt; YEAR(TODAY()), "LULUS",
 IF(O325 = YEAR(TODAY()),
    IF(MATCH(N325, {"Januari";"Februari";"Maret";"April";"Mei";"Juni";"Juli";"Agustus";"September";"Oktober";"November";"Desember"},0)
        &lt;= MONTH(TODAY()),
        "LULUS",
        "AKTIF"),
 "AKTIF"))</f>
        <v>AKTIF</v>
      </c>
      <c r="U325" s="16" t="s">
        <v>2940</v>
      </c>
      <c r="V325" s="15"/>
      <c r="W325" s="15"/>
      <c r="X325" s="15"/>
      <c r="Y325" s="15"/>
      <c r="Z325" s="15"/>
    </row>
    <row r="326" spans="1:26" ht="29" customHeight="1" x14ac:dyDescent="0.35">
      <c r="A326" s="12">
        <v>325</v>
      </c>
      <c r="B326" s="25" t="s">
        <v>1198</v>
      </c>
      <c r="C326" s="26" t="s">
        <v>1199</v>
      </c>
      <c r="D326" s="25" t="s">
        <v>188</v>
      </c>
      <c r="E326" s="26" t="str">
        <f t="shared" si="5"/>
        <v>Perempuan</v>
      </c>
      <c r="F326" s="25" t="s">
        <v>672</v>
      </c>
      <c r="G326" s="25" t="s">
        <v>909</v>
      </c>
      <c r="H326" s="19" t="s">
        <v>993</v>
      </c>
      <c r="I326" s="28" t="s">
        <v>1200</v>
      </c>
      <c r="J326" s="32" t="s">
        <v>190</v>
      </c>
      <c r="K326" s="32" t="s">
        <v>1182</v>
      </c>
      <c r="L326" s="47" t="s">
        <v>169</v>
      </c>
      <c r="M326" s="12">
        <v>2024</v>
      </c>
      <c r="N326" s="15" t="s">
        <v>169</v>
      </c>
      <c r="O326" s="15">
        <v>2026</v>
      </c>
      <c r="P326" s="15">
        <v>2025</v>
      </c>
      <c r="Q326" s="15"/>
      <c r="R326" s="16" t="s">
        <v>51</v>
      </c>
      <c r="S326" s="16" t="str">
        <f ca="1">IF(
  O326 &lt; YEAR(TODAY()),
  "LULUS",
  IF(
    O326 = YEAR(TODAY()),
    IF(
      MATCH(L326, {"Januari";"Februari";"Maret";"April";"Mei";"Juni";"Juli";"Agustus";"September";"Oktober";"November";"Desember"}, 0)
        &gt;= MONTH(TODAY()),
      "AKTIF (Semester " &amp;
        (INT((12*(YEAR(TODAY())-M326) + MONTH(TODAY()) -
          MATCH(L326, {"Januari";"Februari";"Maret";"April";"Mei";"Juni";"Juli";"Agustus";"September";"Oktober";"November";"Desember"}, 0)) / 6) + 1) &amp; ")",
      "LULUS"
    ),
    "AKTIF (Semester " &amp;
      (INT((12*(YEAR(TODAY())-M326) + MONTH(TODAY()) -
        MATCH(L326, {"Januari";"Februari";"Maret";"April";"Mei";"Juni";"Juli";"Agustus";"September";"Oktober";"November";"Desember"}, 0)) / 6) + 1) &amp; ")"
  )
)</f>
        <v>AKTIF (Semester 3)</v>
      </c>
      <c r="T326" s="16" t="str">
        <f ca="1">IF(O326 &lt; YEAR(TODAY()), "LULUS",
 IF(O326 = YEAR(TODAY()),
    IF(MATCH(N326, {"Januari";"Februari";"Maret";"April";"Mei";"Juni";"Juli";"Agustus";"September";"Oktober";"November";"Desember"},0)
        &lt;= MONTH(TODAY()),
        "LULUS",
        "AKTIF"),
 "AKTIF"))</f>
        <v>AKTIF</v>
      </c>
      <c r="U326" s="16" t="s">
        <v>2940</v>
      </c>
      <c r="V326" s="15"/>
      <c r="W326" s="15"/>
      <c r="X326" s="15"/>
      <c r="Y326" s="15"/>
      <c r="Z326" s="15"/>
    </row>
    <row r="327" spans="1:26" ht="29" customHeight="1" x14ac:dyDescent="0.35">
      <c r="A327" s="12">
        <v>326</v>
      </c>
      <c r="B327" s="25" t="s">
        <v>1201</v>
      </c>
      <c r="C327" s="26" t="s">
        <v>1202</v>
      </c>
      <c r="D327" s="25" t="s">
        <v>172</v>
      </c>
      <c r="E327" s="26" t="str">
        <f t="shared" si="5"/>
        <v>Laki-Laki</v>
      </c>
      <c r="F327" s="25" t="s">
        <v>1147</v>
      </c>
      <c r="G327" s="25" t="s">
        <v>909</v>
      </c>
      <c r="H327" s="19" t="s">
        <v>925</v>
      </c>
      <c r="I327" s="19" t="s">
        <v>90</v>
      </c>
      <c r="J327" s="32" t="s">
        <v>180</v>
      </c>
      <c r="K327" s="32" t="s">
        <v>905</v>
      </c>
      <c r="L327" s="47" t="s">
        <v>28</v>
      </c>
      <c r="M327" s="12">
        <v>2024</v>
      </c>
      <c r="N327" s="15" t="s">
        <v>28</v>
      </c>
      <c r="O327" s="15">
        <v>2028</v>
      </c>
      <c r="P327" s="15">
        <v>2025</v>
      </c>
      <c r="Q327" s="15"/>
      <c r="R327" s="16" t="s">
        <v>51</v>
      </c>
      <c r="S327" s="16" t="str">
        <f ca="1">IF(
  O327 &lt; YEAR(TODAY()),
  "LULUS",
  IF(
    O327 = YEAR(TODAY()),
    IF(
      MATCH(L327, {"Januari";"Februari";"Maret";"April";"Mei";"Juni";"Juli";"Agustus";"September";"Oktober";"November";"Desember"}, 0)
        &gt;= MONTH(TODAY()),
      "AKTIF (Semester " &amp;
        (INT((12*(YEAR(TODAY())-M327) + MONTH(TODAY()) -
          MATCH(L327, {"Januari";"Februari";"Maret";"April";"Mei";"Juni";"Juli";"Agustus";"September";"Oktober";"November";"Desember"}, 0)) / 6) + 1) &amp; ")",
      "LULUS"
    ),
    "AKTIF (Semester " &amp;
      (INT((12*(YEAR(TODAY())-M327) + MONTH(TODAY()) -
        MATCH(L327, {"Januari";"Februari";"Maret";"April";"Mei";"Juni";"Juli";"Agustus";"September";"Oktober";"November";"Desember"}, 0)) / 6) + 1) &amp; ")"
  )
)</f>
        <v>AKTIF (Semester 3)</v>
      </c>
      <c r="T327" s="16" t="str">
        <f ca="1">IF(O327 &lt; YEAR(TODAY()), "LULUS",
 IF(O327 = YEAR(TODAY()),
    IF(MATCH(N327, {"Januari";"Februari";"Maret";"April";"Mei";"Juni";"Juli";"Agustus";"September";"Oktober";"November";"Desember"},0)
        &lt;= MONTH(TODAY()),
        "LULUS",
        "AKTIF"),
 "AKTIF"))</f>
        <v>AKTIF</v>
      </c>
      <c r="U327" s="16" t="s">
        <v>2940</v>
      </c>
      <c r="V327" s="15"/>
      <c r="W327" s="15"/>
      <c r="X327" s="15"/>
      <c r="Y327" s="15"/>
      <c r="Z327" s="15"/>
    </row>
    <row r="328" spans="1:26" ht="29" customHeight="1" x14ac:dyDescent="0.35">
      <c r="A328" s="12">
        <v>327</v>
      </c>
      <c r="B328" s="25" t="s">
        <v>1203</v>
      </c>
      <c r="C328" s="26" t="s">
        <v>1204</v>
      </c>
      <c r="D328" s="25" t="s">
        <v>188</v>
      </c>
      <c r="E328" s="26" t="str">
        <f t="shared" si="5"/>
        <v>Laki-Laki</v>
      </c>
      <c r="F328" s="25" t="s">
        <v>1180</v>
      </c>
      <c r="G328" s="25" t="s">
        <v>909</v>
      </c>
      <c r="H328" s="19" t="s">
        <v>1101</v>
      </c>
      <c r="I328" s="28" t="s">
        <v>1001</v>
      </c>
      <c r="J328" s="32" t="s">
        <v>190</v>
      </c>
      <c r="K328" s="32" t="s">
        <v>1205</v>
      </c>
      <c r="L328" s="47" t="s">
        <v>28</v>
      </c>
      <c r="M328" s="12">
        <v>2024</v>
      </c>
      <c r="N328" s="15" t="s">
        <v>28</v>
      </c>
      <c r="O328" s="15">
        <v>2026</v>
      </c>
      <c r="P328" s="15">
        <v>2025</v>
      </c>
      <c r="Q328" s="15"/>
      <c r="R328" s="16" t="s">
        <v>51</v>
      </c>
      <c r="S328" s="16" t="str">
        <f ca="1">IF(
  O328 &lt; YEAR(TODAY()),
  "LULUS",
  IF(
    O328 = YEAR(TODAY()),
    IF(
      MATCH(L328, {"Januari";"Februari";"Maret";"April";"Mei";"Juni";"Juli";"Agustus";"September";"Oktober";"November";"Desember"}, 0)
        &gt;= MONTH(TODAY()),
      "AKTIF (Semester " &amp;
        (INT((12*(YEAR(TODAY())-M328) + MONTH(TODAY()) -
          MATCH(L328, {"Januari";"Februari";"Maret";"April";"Mei";"Juni";"Juli";"Agustus";"September";"Oktober";"November";"Desember"}, 0)) / 6) + 1) &amp; ")",
      "LULUS"
    ),
    "AKTIF (Semester " &amp;
      (INT((12*(YEAR(TODAY())-M328) + MONTH(TODAY()) -
        MATCH(L328, {"Januari";"Februari";"Maret";"April";"Mei";"Juni";"Juli";"Agustus";"September";"Oktober";"November";"Desember"}, 0)) / 6) + 1) &amp; ")"
  )
)</f>
        <v>AKTIF (Semester 3)</v>
      </c>
      <c r="T328" s="16" t="str">
        <f ca="1">IF(O328 &lt; YEAR(TODAY()), "LULUS",
 IF(O328 = YEAR(TODAY()),
    IF(MATCH(N328, {"Januari";"Februari";"Maret";"April";"Mei";"Juni";"Juli";"Agustus";"September";"Oktober";"November";"Desember"},0)
        &lt;= MONTH(TODAY()),
        "LULUS",
        "AKTIF"),
 "AKTIF"))</f>
        <v>AKTIF</v>
      </c>
      <c r="U328" s="16" t="s">
        <v>2940</v>
      </c>
      <c r="V328" s="15"/>
      <c r="W328" s="15"/>
      <c r="X328" s="15"/>
      <c r="Y328" s="15"/>
      <c r="Z328" s="15"/>
    </row>
    <row r="329" spans="1:26" ht="29" customHeight="1" x14ac:dyDescent="0.35">
      <c r="A329" s="12">
        <v>328</v>
      </c>
      <c r="B329" s="25" t="s">
        <v>1206</v>
      </c>
      <c r="C329" s="26" t="s">
        <v>1207</v>
      </c>
      <c r="D329" s="25" t="s">
        <v>172</v>
      </c>
      <c r="E329" s="26" t="str">
        <f t="shared" si="5"/>
        <v>Laki-Laki</v>
      </c>
      <c r="F329" s="25" t="s">
        <v>1208</v>
      </c>
      <c r="G329" s="25" t="s">
        <v>909</v>
      </c>
      <c r="H329" s="19" t="s">
        <v>1209</v>
      </c>
      <c r="I329" s="28" t="s">
        <v>1210</v>
      </c>
      <c r="J329" s="32" t="s">
        <v>180</v>
      </c>
      <c r="K329" s="32" t="s">
        <v>221</v>
      </c>
      <c r="L329" s="86" t="s">
        <v>169</v>
      </c>
      <c r="M329" s="15">
        <v>2024</v>
      </c>
      <c r="N329" s="15" t="s">
        <v>446</v>
      </c>
      <c r="O329" s="15">
        <v>2028</v>
      </c>
      <c r="P329" s="15">
        <v>2025</v>
      </c>
      <c r="Q329" s="15"/>
      <c r="R329" s="16" t="s">
        <v>51</v>
      </c>
      <c r="S329" s="16" t="str">
        <f ca="1">IF(
  O329 &lt; YEAR(TODAY()),
  "LULUS",
  IF(
    O329 = YEAR(TODAY()),
    IF(
      MATCH(L329, {"Januari";"Februari";"Maret";"April";"Mei";"Juni";"Juli";"Agustus";"September";"Oktober";"November";"Desember"}, 0)
        &gt;= MONTH(TODAY()),
      "AKTIF (Semester " &amp;
        (INT((12*(YEAR(TODAY())-M329) + MONTH(TODAY()) -
          MATCH(L329, {"Januari";"Februari";"Maret";"April";"Mei";"Juni";"Juli";"Agustus";"September";"Oktober";"November";"Desember"}, 0)) / 6) + 1) &amp; ")",
      "LULUS"
    ),
    "AKTIF (Semester " &amp;
      (INT((12*(YEAR(TODAY())-M329) + MONTH(TODAY()) -
        MATCH(L329, {"Januari";"Februari";"Maret";"April";"Mei";"Juni";"Juli";"Agustus";"September";"Oktober";"November";"Desember"}, 0)) / 6) + 1) &amp; ")"
  )
)</f>
        <v>AKTIF (Semester 3)</v>
      </c>
      <c r="T329" s="16" t="str">
        <f ca="1">IF(O329 &lt; YEAR(TODAY()), "LULUS",
 IF(O329 = YEAR(TODAY()),
    IF(MATCH(N329, {"Januari";"Februari";"Maret";"April";"Mei";"Juni";"Juli";"Agustus";"September";"Oktober";"November";"Desember"},0)
        &lt;= MONTH(TODAY()),
        "LULUS",
        "AKTIF"),
 "AKTIF"))</f>
        <v>AKTIF</v>
      </c>
      <c r="U329" s="16" t="s">
        <v>2940</v>
      </c>
      <c r="V329" s="15"/>
      <c r="W329" s="15"/>
      <c r="X329" s="15"/>
      <c r="Y329" s="15"/>
      <c r="Z329" s="15"/>
    </row>
    <row r="330" spans="1:26" ht="29" customHeight="1" x14ac:dyDescent="0.35">
      <c r="A330" s="12">
        <v>329</v>
      </c>
      <c r="B330" s="25" t="s">
        <v>1211</v>
      </c>
      <c r="C330" s="26" t="s">
        <v>1212</v>
      </c>
      <c r="D330" s="25" t="s">
        <v>188</v>
      </c>
      <c r="E330" s="26" t="str">
        <f t="shared" si="5"/>
        <v>Laki-Laki</v>
      </c>
      <c r="F330" s="25" t="s">
        <v>672</v>
      </c>
      <c r="G330" s="25" t="s">
        <v>909</v>
      </c>
      <c r="H330" s="19" t="s">
        <v>925</v>
      </c>
      <c r="I330" s="52" t="s">
        <v>2485</v>
      </c>
      <c r="J330" s="32" t="s">
        <v>190</v>
      </c>
      <c r="K330" s="32" t="s">
        <v>943</v>
      </c>
      <c r="L330" s="70" t="s">
        <v>35</v>
      </c>
      <c r="M330" s="15">
        <v>2025</v>
      </c>
      <c r="N330" s="15" t="s">
        <v>123</v>
      </c>
      <c r="O330" s="15">
        <v>2027</v>
      </c>
      <c r="P330" s="15">
        <v>2025</v>
      </c>
      <c r="Q330" s="15"/>
      <c r="R330" s="16" t="s">
        <v>51</v>
      </c>
      <c r="S330" s="16" t="str">
        <f ca="1">IF(
  O330 &lt; YEAR(TODAY()),
  "LULUS",
  IF(
    O330 = YEAR(TODAY()),
    IF(
      MATCH(L330, {"Januari";"Februari";"Maret";"April";"Mei";"Juni";"Juli";"Agustus";"September";"Oktober";"November";"Desember"}, 0)
        &gt;= MONTH(TODAY()),
      "AKTIF (Semester " &amp;
        (INT((12*(YEAR(TODAY())-M330) + MONTH(TODAY()) -
          MATCH(L330, {"Januari";"Februari";"Maret";"April";"Mei";"Juni";"Juli";"Agustus";"September";"Oktober";"November";"Desember"}, 0)) / 6) + 1) &amp; ")",
      "LULUS"
    ),
    "AKTIF (Semester " &amp;
      (INT((12*(YEAR(TODAY())-M330) + MONTH(TODAY()) -
        MATCH(L330, {"Januari";"Februari";"Maret";"April";"Mei";"Juni";"Juli";"Agustus";"September";"Oktober";"November";"Desember"}, 0)) / 6) + 1) &amp; ")"
  )
)</f>
        <v>AKTIF (Semester 2)</v>
      </c>
      <c r="T330" s="16" t="str">
        <f ca="1">IF(O330 &lt; YEAR(TODAY()), "LULUS",
 IF(O330 = YEAR(TODAY()),
    IF(MATCH(N330, {"Januari";"Februari";"Maret";"April";"Mei";"Juni";"Juli";"Agustus";"September";"Oktober";"November";"Desember"},0)
        &lt;= MONTH(TODAY()),
        "LULUS",
        "AKTIF"),
 "AKTIF"))</f>
        <v>AKTIF</v>
      </c>
      <c r="U330" s="16" t="s">
        <v>2945</v>
      </c>
      <c r="V330" s="15"/>
      <c r="W330" s="15"/>
      <c r="X330" s="15"/>
      <c r="Y330" s="15"/>
      <c r="Z330" s="15"/>
    </row>
    <row r="331" spans="1:26" ht="29" customHeight="1" x14ac:dyDescent="0.35">
      <c r="A331" s="12">
        <v>330</v>
      </c>
      <c r="B331" s="25" t="s">
        <v>1214</v>
      </c>
      <c r="C331" s="26" t="s">
        <v>1215</v>
      </c>
      <c r="D331" s="25" t="s">
        <v>211</v>
      </c>
      <c r="E331" s="26" t="str">
        <f t="shared" si="5"/>
        <v>Laki-Laki</v>
      </c>
      <c r="F331" s="25" t="s">
        <v>1216</v>
      </c>
      <c r="G331" s="25" t="s">
        <v>909</v>
      </c>
      <c r="H331" s="19" t="s">
        <v>919</v>
      </c>
      <c r="I331" s="19" t="s">
        <v>90</v>
      </c>
      <c r="J331" s="32" t="s">
        <v>190</v>
      </c>
      <c r="K331" s="32" t="s">
        <v>1197</v>
      </c>
      <c r="L331" s="29" t="s">
        <v>160</v>
      </c>
      <c r="M331" s="21">
        <v>2025</v>
      </c>
      <c r="N331" s="15" t="s">
        <v>182</v>
      </c>
      <c r="O331" s="15">
        <v>2027</v>
      </c>
      <c r="P331" s="15">
        <v>2025</v>
      </c>
      <c r="Q331" s="15"/>
      <c r="R331" s="16" t="s">
        <v>51</v>
      </c>
      <c r="S331" s="16" t="str">
        <f ca="1">IF(
  O331 &lt; YEAR(TODAY()),
  "LULUS",
  IF(
    O331 = YEAR(TODAY()),
    IF(
      MATCH(L331, {"Januari";"Februari";"Maret";"April";"Mei";"Juni";"Juli";"Agustus";"September";"Oktober";"November";"Desember"}, 0)
        &gt;= MONTH(TODAY()),
      "AKTIF (Semester " &amp;
        (INT((12*(YEAR(TODAY())-M331) + MONTH(TODAY()) -
          MATCH(L331, {"Januari";"Februari";"Maret";"April";"Mei";"Juni";"Juli";"Agustus";"September";"Oktober";"November";"Desember"}, 0)) / 6) + 1) &amp; ")",
      "LULUS"
    ),
    "AKTIF (Semester " &amp;
      (INT((12*(YEAR(TODAY())-M331) + MONTH(TODAY()) -
        MATCH(L331, {"Januari";"Februari";"Maret";"April";"Mei";"Juni";"Juli";"Agustus";"September";"Oktober";"November";"Desember"}, 0)) / 6) + 1) &amp; ")"
  )
)</f>
        <v>AKTIF (Semester 1)</v>
      </c>
      <c r="T331" s="16" t="str">
        <f ca="1">IF(O331 &lt; YEAR(TODAY()), "LULUS",
 IF(O331 = YEAR(TODAY()),
    IF(MATCH(N331, {"Januari";"Februari";"Maret";"April";"Mei";"Juni";"Juli";"Agustus";"September";"Oktober";"November";"Desember"},0)
        &lt;= MONTH(TODAY()),
        "LULUS",
        "AKTIF"),
 "AKTIF"))</f>
        <v>AKTIF</v>
      </c>
      <c r="U331" s="16" t="s">
        <v>2943</v>
      </c>
      <c r="V331" s="15"/>
      <c r="W331" s="15"/>
      <c r="X331" s="15"/>
      <c r="Y331" s="15"/>
      <c r="Z331" s="15"/>
    </row>
    <row r="332" spans="1:26" ht="29" customHeight="1" x14ac:dyDescent="0.35">
      <c r="A332" s="12">
        <v>331</v>
      </c>
      <c r="B332" s="25" t="s">
        <v>1217</v>
      </c>
      <c r="C332" s="26" t="s">
        <v>1218</v>
      </c>
      <c r="D332" s="25" t="s">
        <v>211</v>
      </c>
      <c r="E332" s="26" t="str">
        <f t="shared" si="5"/>
        <v>Laki-Laki</v>
      </c>
      <c r="F332" s="25" t="s">
        <v>1219</v>
      </c>
      <c r="G332" s="25" t="s">
        <v>909</v>
      </c>
      <c r="H332" s="19" t="s">
        <v>922</v>
      </c>
      <c r="I332" s="19" t="s">
        <v>90</v>
      </c>
      <c r="J332" s="32" t="s">
        <v>190</v>
      </c>
      <c r="K332" s="32" t="s">
        <v>1197</v>
      </c>
      <c r="L332" s="70" t="s">
        <v>614</v>
      </c>
      <c r="M332" s="21">
        <v>2025</v>
      </c>
      <c r="N332" s="15" t="s">
        <v>785</v>
      </c>
      <c r="O332" s="15">
        <v>2027</v>
      </c>
      <c r="P332" s="15">
        <v>2025</v>
      </c>
      <c r="Q332" s="15"/>
      <c r="R332" s="16" t="s">
        <v>51</v>
      </c>
      <c r="S332" s="16" t="str">
        <f ca="1">IF(
  O332 &lt; YEAR(TODAY()),
  "LULUS",
  IF(
    O332 = YEAR(TODAY()),
    IF(
      MATCH(L332, {"Januari";"Februari";"Maret";"April";"Mei";"Juni";"Juli";"Agustus";"September";"Oktober";"November";"Desember"}, 0)
        &gt;= MONTH(TODAY()),
      "AKTIF (Semester " &amp;
        (INT((12*(YEAR(TODAY())-M332) + MONTH(TODAY()) -
          MATCH(L332, {"Januari";"Februari";"Maret";"April";"Mei";"Juni";"Juli";"Agustus";"September";"Oktober";"November";"Desember"}, 0)) / 6) + 1) &amp; ")",
      "LULUS"
    ),
    "AKTIF (Semester " &amp;
      (INT((12*(YEAR(TODAY())-M332) + MONTH(TODAY()) -
        MATCH(L332, {"Januari";"Februari";"Maret";"April";"Mei";"Juni";"Juli";"Agustus";"September";"Oktober";"November";"Desember"}, 0)) / 6) + 1) &amp; ")"
  )
)</f>
        <v>AKTIF (Semester 2)</v>
      </c>
      <c r="T332" s="16" t="str">
        <f ca="1">IF(O332 &lt; YEAR(TODAY()), "LULUS",
 IF(O332 = YEAR(TODAY()),
    IF(MATCH(N332, {"Januari";"Februari";"Maret";"April";"Mei";"Juni";"Juli";"Agustus";"September";"Oktober";"November";"Desember"},0)
        &lt;= MONTH(TODAY()),
        "LULUS",
        "AKTIF"),
 "AKTIF"))</f>
        <v>AKTIF</v>
      </c>
      <c r="U332" s="16" t="s">
        <v>2945</v>
      </c>
      <c r="V332" s="15"/>
      <c r="W332" s="15"/>
      <c r="X332" s="15"/>
      <c r="Y332" s="15"/>
      <c r="Z332" s="15"/>
    </row>
    <row r="333" spans="1:26" ht="29" customHeight="1" x14ac:dyDescent="0.35">
      <c r="A333" s="12">
        <v>332</v>
      </c>
      <c r="B333" s="33" t="s">
        <v>1220</v>
      </c>
      <c r="C333" s="26" t="s">
        <v>1221</v>
      </c>
      <c r="D333" s="25" t="s">
        <v>215</v>
      </c>
      <c r="E333" s="26" t="str">
        <f t="shared" si="5"/>
        <v>Laki-Laki</v>
      </c>
      <c r="F333" s="25" t="s">
        <v>1147</v>
      </c>
      <c r="G333" s="25" t="s">
        <v>909</v>
      </c>
      <c r="H333" s="19" t="s">
        <v>922</v>
      </c>
      <c r="I333" s="19" t="s">
        <v>90</v>
      </c>
      <c r="J333" s="32" t="s">
        <v>190</v>
      </c>
      <c r="K333" s="32" t="s">
        <v>1197</v>
      </c>
      <c r="L333" s="70" t="s">
        <v>614</v>
      </c>
      <c r="M333" s="21">
        <v>2025</v>
      </c>
      <c r="N333" s="15" t="s">
        <v>785</v>
      </c>
      <c r="O333" s="15">
        <v>2027</v>
      </c>
      <c r="P333" s="15">
        <v>2025</v>
      </c>
      <c r="Q333" s="15"/>
      <c r="R333" s="16" t="s">
        <v>51</v>
      </c>
      <c r="S333" s="16" t="str">
        <f ca="1">IF(
  O333 &lt; YEAR(TODAY()),
  "LULUS",
  IF(
    O333 = YEAR(TODAY()),
    IF(
      MATCH(L333, {"Januari";"Februari";"Maret";"April";"Mei";"Juni";"Juli";"Agustus";"September";"Oktober";"November";"Desember"}, 0)
        &gt;= MONTH(TODAY()),
      "AKTIF (Semester " &amp;
        (INT((12*(YEAR(TODAY())-M333) + MONTH(TODAY()) -
          MATCH(L333, {"Januari";"Februari";"Maret";"April";"Mei";"Juni";"Juli";"Agustus";"September";"Oktober";"November";"Desember"}, 0)) / 6) + 1) &amp; ")",
      "LULUS"
    ),
    "AKTIF (Semester " &amp;
      (INT((12*(YEAR(TODAY())-M333) + MONTH(TODAY()) -
        MATCH(L333, {"Januari";"Februari";"Maret";"April";"Mei";"Juni";"Juli";"Agustus";"September";"Oktober";"November";"Desember"}, 0)) / 6) + 1) &amp; ")"
  )
)</f>
        <v>AKTIF (Semester 2)</v>
      </c>
      <c r="T333" s="16" t="str">
        <f ca="1">IF(O333 &lt; YEAR(TODAY()), "LULUS",
 IF(O333 = YEAR(TODAY()),
    IF(MATCH(N333, {"Januari";"Februari";"Maret";"April";"Mei";"Juni";"Juli";"Agustus";"September";"Oktober";"November";"Desember"},0)
        &lt;= MONTH(TODAY()),
        "LULUS",
        "AKTIF"),
 "AKTIF"))</f>
        <v>AKTIF</v>
      </c>
      <c r="U333" s="16" t="s">
        <v>2945</v>
      </c>
      <c r="V333" s="15"/>
      <c r="W333" s="15"/>
      <c r="X333" s="15"/>
      <c r="Y333" s="15"/>
      <c r="Z333" s="15"/>
    </row>
    <row r="334" spans="1:26" ht="29" customHeight="1" x14ac:dyDescent="0.35">
      <c r="A334" s="12">
        <v>333</v>
      </c>
      <c r="B334" s="25" t="s">
        <v>1222</v>
      </c>
      <c r="C334" s="26" t="s">
        <v>1223</v>
      </c>
      <c r="D334" s="25" t="s">
        <v>172</v>
      </c>
      <c r="E334" s="26" t="str">
        <f t="shared" si="5"/>
        <v>Laki-Laki</v>
      </c>
      <c r="F334" s="25" t="s">
        <v>1147</v>
      </c>
      <c r="G334" s="25" t="s">
        <v>909</v>
      </c>
      <c r="H334" s="19" t="s">
        <v>1040</v>
      </c>
      <c r="I334" s="19" t="s">
        <v>90</v>
      </c>
      <c r="J334" s="32" t="s">
        <v>180</v>
      </c>
      <c r="K334" s="32" t="s">
        <v>905</v>
      </c>
      <c r="L334" s="70" t="s">
        <v>35</v>
      </c>
      <c r="M334" s="15">
        <v>2025</v>
      </c>
      <c r="N334" s="15" t="s">
        <v>123</v>
      </c>
      <c r="O334" s="15">
        <v>2027</v>
      </c>
      <c r="P334" s="15">
        <v>2025</v>
      </c>
      <c r="Q334" s="15"/>
      <c r="R334" s="16" t="s">
        <v>51</v>
      </c>
      <c r="S334" s="16" t="str">
        <f ca="1">IF(
  O334 &lt; YEAR(TODAY()),
  "LULUS",
  IF(
    O334 = YEAR(TODAY()),
    IF(
      MATCH(L334, {"Januari";"Februari";"Maret";"April";"Mei";"Juni";"Juli";"Agustus";"September";"Oktober";"November";"Desember"}, 0)
        &gt;= MONTH(TODAY()),
      "AKTIF (Semester " &amp;
        (INT((12*(YEAR(TODAY())-M334) + MONTH(TODAY()) -
          MATCH(L334, {"Januari";"Februari";"Maret";"April";"Mei";"Juni";"Juli";"Agustus";"September";"Oktober";"November";"Desember"}, 0)) / 6) + 1) &amp; ")",
      "LULUS"
    ),
    "AKTIF (Semester " &amp;
      (INT((12*(YEAR(TODAY())-M334) + MONTH(TODAY()) -
        MATCH(L334, {"Januari";"Februari";"Maret";"April";"Mei";"Juni";"Juli";"Agustus";"September";"Oktober";"November";"Desember"}, 0)) / 6) + 1) &amp; ")"
  )
)</f>
        <v>AKTIF (Semester 2)</v>
      </c>
      <c r="T334" s="16" t="str">
        <f ca="1">IF(O334 &lt; YEAR(TODAY()), "LULUS",
 IF(O334 = YEAR(TODAY()),
    IF(MATCH(N334, {"Januari";"Februari";"Maret";"April";"Mei";"Juni";"Juli";"Agustus";"September";"Oktober";"November";"Desember"},0)
        &lt;= MONTH(TODAY()),
        "LULUS",
        "AKTIF"),
 "AKTIF"))</f>
        <v>AKTIF</v>
      </c>
      <c r="U334" s="16" t="s">
        <v>2945</v>
      </c>
      <c r="V334" s="15"/>
      <c r="W334" s="15"/>
      <c r="X334" s="15"/>
      <c r="Y334" s="15"/>
      <c r="Z334" s="15"/>
    </row>
    <row r="335" spans="1:26" ht="29" customHeight="1" x14ac:dyDescent="0.35">
      <c r="A335" s="12">
        <v>334</v>
      </c>
      <c r="B335" s="25" t="s">
        <v>1224</v>
      </c>
      <c r="C335" s="26" t="s">
        <v>1225</v>
      </c>
      <c r="D335" s="25" t="s">
        <v>211</v>
      </c>
      <c r="E335" s="26" t="str">
        <f t="shared" si="5"/>
        <v>Laki-Laki</v>
      </c>
      <c r="F335" s="25" t="s">
        <v>1226</v>
      </c>
      <c r="G335" s="25" t="s">
        <v>909</v>
      </c>
      <c r="H335" s="19" t="s">
        <v>910</v>
      </c>
      <c r="I335" s="19" t="s">
        <v>90</v>
      </c>
      <c r="J335" s="32" t="s">
        <v>486</v>
      </c>
      <c r="K335" s="32" t="s">
        <v>1197</v>
      </c>
      <c r="L335" s="70" t="s">
        <v>35</v>
      </c>
      <c r="M335" s="15">
        <v>2025</v>
      </c>
      <c r="N335" s="15" t="s">
        <v>123</v>
      </c>
      <c r="O335" s="15">
        <v>2027</v>
      </c>
      <c r="P335" s="15">
        <v>2025</v>
      </c>
      <c r="Q335" s="15"/>
      <c r="R335" s="16" t="s">
        <v>51</v>
      </c>
      <c r="S335" s="16" t="str">
        <f ca="1">IF(
  O335 &lt; YEAR(TODAY()),
  "LULUS",
  IF(
    O335 = YEAR(TODAY()),
    IF(
      MATCH(L335, {"Januari";"Februari";"Maret";"April";"Mei";"Juni";"Juli";"Agustus";"September";"Oktober";"November";"Desember"}, 0)
        &gt;= MONTH(TODAY()),
      "AKTIF (Semester " &amp;
        (INT((12*(YEAR(TODAY())-M335) + MONTH(TODAY()) -
          MATCH(L335, {"Januari";"Februari";"Maret";"April";"Mei";"Juni";"Juli";"Agustus";"September";"Oktober";"November";"Desember"}, 0)) / 6) + 1) &amp; ")",
      "LULUS"
    ),
    "AKTIF (Semester " &amp;
      (INT((12*(YEAR(TODAY())-M335) + MONTH(TODAY()) -
        MATCH(L335, {"Januari";"Februari";"Maret";"April";"Mei";"Juni";"Juli";"Agustus";"September";"Oktober";"November";"Desember"}, 0)) / 6) + 1) &amp; ")"
  )
)</f>
        <v>AKTIF (Semester 2)</v>
      </c>
      <c r="T335" s="16" t="str">
        <f ca="1">IF(O335 &lt; YEAR(TODAY()), "LULUS",
 IF(O335 = YEAR(TODAY()),
    IF(MATCH(N335, {"Januari";"Februari";"Maret";"April";"Mei";"Juni";"Juli";"Agustus";"September";"Oktober";"November";"Desember"},0)
        &lt;= MONTH(TODAY()),
        "LULUS",
        "AKTIF"),
 "AKTIF"))</f>
        <v>AKTIF</v>
      </c>
      <c r="U335" s="16" t="s">
        <v>2945</v>
      </c>
      <c r="V335" s="15"/>
      <c r="W335" s="15"/>
      <c r="X335" s="15"/>
      <c r="Y335" s="15"/>
      <c r="Z335" s="15"/>
    </row>
    <row r="336" spans="1:26" ht="29" customHeight="1" x14ac:dyDescent="0.35">
      <c r="A336" s="12">
        <v>335</v>
      </c>
      <c r="B336" s="25" t="s">
        <v>1227</v>
      </c>
      <c r="C336" s="26" t="s">
        <v>1228</v>
      </c>
      <c r="D336" s="25" t="s">
        <v>152</v>
      </c>
      <c r="E336" s="26" t="str">
        <f t="shared" si="5"/>
        <v>Laki-Laki</v>
      </c>
      <c r="F336" s="25" t="s">
        <v>1229</v>
      </c>
      <c r="G336" s="25" t="s">
        <v>909</v>
      </c>
      <c r="H336" s="19" t="s">
        <v>1230</v>
      </c>
      <c r="I336" s="19" t="s">
        <v>90</v>
      </c>
      <c r="J336" s="32" t="s">
        <v>180</v>
      </c>
      <c r="K336" s="32" t="s">
        <v>905</v>
      </c>
      <c r="L336" s="70" t="s">
        <v>890</v>
      </c>
      <c r="M336" s="15">
        <v>2025</v>
      </c>
      <c r="N336" s="15" t="s">
        <v>118</v>
      </c>
      <c r="O336" s="15">
        <v>2029</v>
      </c>
      <c r="P336" s="15">
        <v>2025</v>
      </c>
      <c r="Q336" s="15"/>
      <c r="R336" s="16" t="s">
        <v>51</v>
      </c>
      <c r="S336" s="16" t="str">
        <f ca="1">IF(
  O336 &lt; YEAR(TODAY()),
  "LULUS",
  IF(
    O336 = YEAR(TODAY()),
    IF(
      MATCH(L336, {"Januari";"Februari";"Maret";"April";"Mei";"Juni";"Juli";"Agustus";"September";"Oktober";"November";"Desember"}, 0)
        &gt;= MONTH(TODAY()),
      "AKTIF (Semester " &amp;
        (INT((12*(YEAR(TODAY())-M336) + MONTH(TODAY()) -
          MATCH(L336, {"Januari";"Februari";"Maret";"April";"Mei";"Juni";"Juli";"Agustus";"September";"Oktober";"November";"Desember"}, 0)) / 6) + 1) &amp; ")",
      "LULUS"
    ),
    "AKTIF (Semester " &amp;
      (INT((12*(YEAR(TODAY())-M336) + MONTH(TODAY()) -
        MATCH(L336, {"Januari";"Februari";"Maret";"April";"Mei";"Juni";"Juli";"Agustus";"September";"Oktober";"November";"Desember"}, 0)) / 6) + 1) &amp; ")"
  )
)</f>
        <v>AKTIF (Semester 2)</v>
      </c>
      <c r="T336" s="16" t="str">
        <f ca="1">IF(O336 &lt; YEAR(TODAY()), "LULUS",
 IF(O336 = YEAR(TODAY()),
    IF(MATCH(N336, {"Januari";"Februari";"Maret";"April";"Mei";"Juni";"Juli";"Agustus";"September";"Oktober";"November";"Desember"},0)
        &lt;= MONTH(TODAY()),
        "LULUS",
        "AKTIF"),
 "AKTIF"))</f>
        <v>AKTIF</v>
      </c>
      <c r="U336" s="16" t="s">
        <v>2945</v>
      </c>
      <c r="V336" s="15"/>
      <c r="W336" s="15"/>
      <c r="X336" s="15"/>
      <c r="Y336" s="15"/>
      <c r="Z336" s="15"/>
    </row>
    <row r="337" spans="1:26" ht="29" customHeight="1" x14ac:dyDescent="0.35">
      <c r="A337" s="12">
        <v>336</v>
      </c>
      <c r="B337" s="25" t="s">
        <v>1231</v>
      </c>
      <c r="C337" s="26" t="s">
        <v>1232</v>
      </c>
      <c r="D337" s="25" t="s">
        <v>211</v>
      </c>
      <c r="E337" s="26" t="str">
        <f t="shared" si="5"/>
        <v>Laki-Laki</v>
      </c>
      <c r="F337" s="25" t="s">
        <v>1233</v>
      </c>
      <c r="G337" s="25" t="s">
        <v>909</v>
      </c>
      <c r="H337" s="19" t="s">
        <v>1230</v>
      </c>
      <c r="I337" s="19" t="s">
        <v>90</v>
      </c>
      <c r="J337" s="32" t="s">
        <v>486</v>
      </c>
      <c r="K337" s="32" t="s">
        <v>394</v>
      </c>
      <c r="L337" s="70" t="s">
        <v>890</v>
      </c>
      <c r="M337" s="15">
        <v>2025</v>
      </c>
      <c r="N337" s="15" t="s">
        <v>118</v>
      </c>
      <c r="O337" s="15">
        <v>2027</v>
      </c>
      <c r="P337" s="15">
        <v>2025</v>
      </c>
      <c r="Q337" s="15"/>
      <c r="R337" s="16" t="s">
        <v>51</v>
      </c>
      <c r="S337" s="16" t="str">
        <f ca="1">IF(
  O337 &lt; YEAR(TODAY()),
  "LULUS",
  IF(
    O337 = YEAR(TODAY()),
    IF(
      MATCH(L337, {"Januari";"Februari";"Maret";"April";"Mei";"Juni";"Juli";"Agustus";"September";"Oktober";"November";"Desember"}, 0)
        &gt;= MONTH(TODAY()),
      "AKTIF (Semester " &amp;
        (INT((12*(YEAR(TODAY())-M337) + MONTH(TODAY()) -
          MATCH(L337, {"Januari";"Februari";"Maret";"April";"Mei";"Juni";"Juli";"Agustus";"September";"Oktober";"November";"Desember"}, 0)) / 6) + 1) &amp; ")",
      "LULUS"
    ),
    "AKTIF (Semester " &amp;
      (INT((12*(YEAR(TODAY())-M337) + MONTH(TODAY()) -
        MATCH(L337, {"Januari";"Februari";"Maret";"April";"Mei";"Juni";"Juli";"Agustus";"September";"Oktober";"November";"Desember"}, 0)) / 6) + 1) &amp; ")"
  )
)</f>
        <v>AKTIF (Semester 2)</v>
      </c>
      <c r="T337" s="16" t="str">
        <f ca="1">IF(O337 &lt; YEAR(TODAY()), "LULUS",
 IF(O337 = YEAR(TODAY()),
    IF(MATCH(N337, {"Januari";"Februari";"Maret";"April";"Mei";"Juni";"Juli";"Agustus";"September";"Oktober";"November";"Desember"},0)
        &lt;= MONTH(TODAY()),
        "LULUS",
        "AKTIF"),
 "AKTIF"))</f>
        <v>AKTIF</v>
      </c>
      <c r="U337" s="16" t="s">
        <v>2945</v>
      </c>
      <c r="V337" s="15"/>
      <c r="W337" s="15"/>
      <c r="X337" s="15"/>
      <c r="Y337" s="15"/>
      <c r="Z337" s="15"/>
    </row>
    <row r="338" spans="1:26" ht="29" customHeight="1" x14ac:dyDescent="0.35">
      <c r="A338" s="12">
        <v>337</v>
      </c>
      <c r="B338" s="25" t="s">
        <v>1234</v>
      </c>
      <c r="C338" s="26" t="s">
        <v>1235</v>
      </c>
      <c r="D338" s="25" t="s">
        <v>172</v>
      </c>
      <c r="E338" s="26" t="str">
        <f t="shared" si="5"/>
        <v>Laki-Laki</v>
      </c>
      <c r="F338" s="25" t="s">
        <v>1236</v>
      </c>
      <c r="G338" s="25" t="s">
        <v>909</v>
      </c>
      <c r="H338" s="19" t="s">
        <v>1040</v>
      </c>
      <c r="I338" s="52" t="s">
        <v>2485</v>
      </c>
      <c r="J338" s="47" t="s">
        <v>180</v>
      </c>
      <c r="K338" s="32" t="s">
        <v>1238</v>
      </c>
      <c r="L338" s="29" t="s">
        <v>28</v>
      </c>
      <c r="M338" s="21">
        <v>2024</v>
      </c>
      <c r="N338" s="15" t="s">
        <v>205</v>
      </c>
      <c r="O338" s="15">
        <v>2028</v>
      </c>
      <c r="P338" s="15">
        <v>2025</v>
      </c>
      <c r="Q338" s="15"/>
      <c r="R338" s="16" t="s">
        <v>51</v>
      </c>
      <c r="S338" s="16" t="str">
        <f ca="1">IF(
  O338 &lt; YEAR(TODAY()),
  "LULUS",
  IF(
    O338 = YEAR(TODAY()),
    IF(
      MATCH(L338, {"Januari";"Februari";"Maret";"April";"Mei";"Juni";"Juli";"Agustus";"September";"Oktober";"November";"Desember"}, 0)
        &gt;= MONTH(TODAY()),
      "AKTIF (Semester " &amp;
        (INT((12*(YEAR(TODAY())-M338) + MONTH(TODAY()) -
          MATCH(L338, {"Januari";"Februari";"Maret";"April";"Mei";"Juni";"Juli";"Agustus";"September";"Oktober";"November";"Desember"}, 0)) / 6) + 1) &amp; ")",
      "LULUS"
    ),
    "AKTIF (Semester " &amp;
      (INT((12*(YEAR(TODAY())-M338) + MONTH(TODAY()) -
        MATCH(L338, {"Januari";"Februari";"Maret";"April";"Mei";"Juni";"Juli";"Agustus";"September";"Oktober";"November";"Desember"}, 0)) / 6) + 1) &amp; ")"
  )
)</f>
        <v>AKTIF (Semester 3)</v>
      </c>
      <c r="T338" s="16" t="str">
        <f ca="1">IF(O338 &lt; YEAR(TODAY()), "LULUS",
 IF(O338 = YEAR(TODAY()),
    IF(MATCH(N338, {"Januari";"Februari";"Maret";"April";"Mei";"Juni";"Juli";"Agustus";"September";"Oktober";"November";"Desember"},0)
        &lt;= MONTH(TODAY()),
        "LULUS",
        "AKTIF"),
 "AKTIF"))</f>
        <v>AKTIF</v>
      </c>
      <c r="U338" s="16" t="s">
        <v>2940</v>
      </c>
      <c r="V338" s="15"/>
      <c r="W338" s="15"/>
      <c r="X338" s="15"/>
      <c r="Y338" s="15"/>
      <c r="Z338" s="15"/>
    </row>
    <row r="339" spans="1:26" ht="29" customHeight="1" x14ac:dyDescent="0.35">
      <c r="A339" s="12">
        <v>338</v>
      </c>
      <c r="B339" s="25" t="s">
        <v>1239</v>
      </c>
      <c r="C339" s="26" t="s">
        <v>1240</v>
      </c>
      <c r="D339" s="25" t="s">
        <v>172</v>
      </c>
      <c r="E339" s="26" t="str">
        <f t="shared" si="5"/>
        <v>Laki-Laki</v>
      </c>
      <c r="F339" s="25" t="s">
        <v>1241</v>
      </c>
      <c r="G339" s="25" t="s">
        <v>909</v>
      </c>
      <c r="H339" s="19" t="s">
        <v>919</v>
      </c>
      <c r="I339" s="28" t="s">
        <v>1242</v>
      </c>
      <c r="J339" s="47" t="s">
        <v>190</v>
      </c>
      <c r="K339" s="32" t="s">
        <v>1243</v>
      </c>
      <c r="L339" s="70" t="s">
        <v>60</v>
      </c>
      <c r="M339" s="21">
        <v>2024</v>
      </c>
      <c r="N339" s="15" t="s">
        <v>145</v>
      </c>
      <c r="O339" s="15">
        <v>2026</v>
      </c>
      <c r="P339" s="15">
        <v>2025</v>
      </c>
      <c r="Q339" s="15"/>
      <c r="R339" s="16" t="s">
        <v>51</v>
      </c>
      <c r="S339" s="16" t="str">
        <f ca="1">IF(
  O339 &lt; YEAR(TODAY()),
  "LULUS",
  IF(
    O339 = YEAR(TODAY()),
    IF(
      MATCH(L339, {"Januari";"Februari";"Maret";"April";"Mei";"Juni";"Juli";"Agustus";"September";"Oktober";"November";"Desember"}, 0)
        &gt;= MONTH(TODAY()),
      "AKTIF (Semester " &amp;
        (INT((12*(YEAR(TODAY())-M339) + MONTH(TODAY()) -
          MATCH(L339, {"Januari";"Februari";"Maret";"April";"Mei";"Juni";"Juli";"Agustus";"September";"Oktober";"November";"Desember"}, 0)) / 6) + 1) &amp; ")",
      "LULUS"
    ),
    "AKTIF (Semester " &amp;
      (INT((12*(YEAR(TODAY())-M339) + MONTH(TODAY()) -
        MATCH(L339, {"Januari";"Februari";"Maret";"April";"Mei";"Juni";"Juli";"Agustus";"September";"Oktober";"November";"Desember"}, 0)) / 6) + 1) &amp; ")"
  )
)</f>
        <v>AKTIF (Semester 3)</v>
      </c>
      <c r="T339" s="16" t="str">
        <f ca="1">IF(O339 &lt; YEAR(TODAY()), "LULUS",
 IF(O339 = YEAR(TODAY()),
    IF(MATCH(N339, {"Januari";"Februari";"Maret";"April";"Mei";"Juni";"Juli";"Agustus";"September";"Oktober";"November";"Desember"},0)
        &lt;= MONTH(TODAY()),
        "LULUS",
        "AKTIF"),
 "AKTIF"))</f>
        <v>AKTIF</v>
      </c>
      <c r="U339" s="16" t="s">
        <v>2940</v>
      </c>
      <c r="V339" s="15"/>
      <c r="W339" s="15"/>
      <c r="X339" s="15"/>
      <c r="Y339" s="15"/>
      <c r="Z339" s="15"/>
    </row>
    <row r="340" spans="1:26" ht="29" customHeight="1" x14ac:dyDescent="0.35">
      <c r="A340" s="12">
        <v>339</v>
      </c>
      <c r="B340" s="25" t="s">
        <v>1244</v>
      </c>
      <c r="C340" s="26" t="s">
        <v>1245</v>
      </c>
      <c r="D340" s="25" t="s">
        <v>519</v>
      </c>
      <c r="E340" s="26" t="str">
        <f t="shared" si="5"/>
        <v>Laki-Laki</v>
      </c>
      <c r="F340" s="25" t="s">
        <v>1246</v>
      </c>
      <c r="G340" s="25" t="s">
        <v>909</v>
      </c>
      <c r="H340" s="19" t="s">
        <v>1230</v>
      </c>
      <c r="I340" s="19" t="s">
        <v>90</v>
      </c>
      <c r="J340" s="47" t="s">
        <v>180</v>
      </c>
      <c r="K340" s="32" t="s">
        <v>905</v>
      </c>
      <c r="L340" s="70" t="s">
        <v>890</v>
      </c>
      <c r="M340" s="21">
        <v>2025</v>
      </c>
      <c r="N340" s="15" t="s">
        <v>118</v>
      </c>
      <c r="O340" s="15">
        <v>2029</v>
      </c>
      <c r="P340" s="15">
        <v>2025</v>
      </c>
      <c r="Q340" s="15"/>
      <c r="R340" s="16" t="s">
        <v>51</v>
      </c>
      <c r="S340" s="16" t="str">
        <f ca="1">IF(
  O340 &lt; YEAR(TODAY()),
  "LULUS",
  IF(
    O340 = YEAR(TODAY()),
    IF(
      MATCH(L340, {"Januari";"Februari";"Maret";"April";"Mei";"Juni";"Juli";"Agustus";"September";"Oktober";"November";"Desember"}, 0)
        &gt;= MONTH(TODAY()),
      "AKTIF (Semester " &amp;
        (INT((12*(YEAR(TODAY())-M340) + MONTH(TODAY()) -
          MATCH(L340, {"Januari";"Februari";"Maret";"April";"Mei";"Juni";"Juli";"Agustus";"September";"Oktober";"November";"Desember"}, 0)) / 6) + 1) &amp; ")",
      "LULUS"
    ),
    "AKTIF (Semester " &amp;
      (INT((12*(YEAR(TODAY())-M340) + MONTH(TODAY()) -
        MATCH(L340, {"Januari";"Februari";"Maret";"April";"Mei";"Juni";"Juli";"Agustus";"September";"Oktober";"November";"Desember"}, 0)) / 6) + 1) &amp; ")"
  )
)</f>
        <v>AKTIF (Semester 2)</v>
      </c>
      <c r="T340" s="16" t="str">
        <f ca="1">IF(O340 &lt; YEAR(TODAY()), "LULUS",
 IF(O340 = YEAR(TODAY()),
    IF(MATCH(N340, {"Januari";"Februari";"Maret";"April";"Mei";"Juni";"Juli";"Agustus";"September";"Oktober";"November";"Desember"},0)
        &lt;= MONTH(TODAY()),
        "LULUS",
        "AKTIF"),
 "AKTIF"))</f>
        <v>AKTIF</v>
      </c>
      <c r="U340" s="16" t="s">
        <v>2945</v>
      </c>
      <c r="V340" s="15"/>
      <c r="W340" s="15"/>
      <c r="X340" s="15"/>
      <c r="Y340" s="15"/>
      <c r="Z340" s="15"/>
    </row>
    <row r="341" spans="1:26" ht="29" customHeight="1" x14ac:dyDescent="0.35">
      <c r="A341" s="12">
        <v>340</v>
      </c>
      <c r="B341" s="25" t="s">
        <v>1247</v>
      </c>
      <c r="C341" s="26" t="s">
        <v>1248</v>
      </c>
      <c r="D341" s="25" t="s">
        <v>211</v>
      </c>
      <c r="E341" s="26" t="str">
        <f t="shared" si="5"/>
        <v>Laki-Laki</v>
      </c>
      <c r="F341" s="25" t="s">
        <v>1249</v>
      </c>
      <c r="G341" s="25" t="s">
        <v>909</v>
      </c>
      <c r="H341" s="19" t="s">
        <v>1230</v>
      </c>
      <c r="I341" s="19" t="s">
        <v>90</v>
      </c>
      <c r="J341" s="47" t="s">
        <v>190</v>
      </c>
      <c r="K341" s="32" t="s">
        <v>394</v>
      </c>
      <c r="L341" s="70" t="s">
        <v>890</v>
      </c>
      <c r="M341" s="21">
        <v>2025</v>
      </c>
      <c r="N341" s="15" t="s">
        <v>118</v>
      </c>
      <c r="O341" s="15">
        <v>2027</v>
      </c>
      <c r="P341" s="15">
        <v>2025</v>
      </c>
      <c r="Q341" s="15"/>
      <c r="R341" s="16" t="s">
        <v>51</v>
      </c>
      <c r="S341" s="16" t="str">
        <f ca="1">IF(
  O341 &lt; YEAR(TODAY()),
  "LULUS",
  IF(
    O341 = YEAR(TODAY()),
    IF(
      MATCH(L341, {"Januari";"Februari";"Maret";"April";"Mei";"Juni";"Juli";"Agustus";"September";"Oktober";"November";"Desember"}, 0)
        &gt;= MONTH(TODAY()),
      "AKTIF (Semester " &amp;
        (INT((12*(YEAR(TODAY())-M341) + MONTH(TODAY()) -
          MATCH(L341, {"Januari";"Februari";"Maret";"April";"Mei";"Juni";"Juli";"Agustus";"September";"Oktober";"November";"Desember"}, 0)) / 6) + 1) &amp; ")",
      "LULUS"
    ),
    "AKTIF (Semester " &amp;
      (INT((12*(YEAR(TODAY())-M341) + MONTH(TODAY()) -
        MATCH(L341, {"Januari";"Februari";"Maret";"April";"Mei";"Juni";"Juli";"Agustus";"September";"Oktober";"November";"Desember"}, 0)) / 6) + 1) &amp; ")"
  )
)</f>
        <v>AKTIF (Semester 2)</v>
      </c>
      <c r="T341" s="16" t="str">
        <f ca="1">IF(O341 &lt; YEAR(TODAY()), "LULUS",
 IF(O341 = YEAR(TODAY()),
    IF(MATCH(N341, {"Januari";"Februari";"Maret";"April";"Mei";"Juni";"Juli";"Agustus";"September";"Oktober";"November";"Desember"},0)
        &lt;= MONTH(TODAY()),
        "LULUS",
        "AKTIF"),
 "AKTIF"))</f>
        <v>AKTIF</v>
      </c>
      <c r="U341" s="16" t="s">
        <v>2945</v>
      </c>
      <c r="V341" s="15"/>
      <c r="W341" s="15"/>
      <c r="X341" s="15"/>
      <c r="Y341" s="15"/>
      <c r="Z341" s="15"/>
    </row>
    <row r="342" spans="1:26" ht="29" customHeight="1" x14ac:dyDescent="0.35">
      <c r="A342" s="12">
        <v>341</v>
      </c>
      <c r="B342" s="25" t="s">
        <v>1250</v>
      </c>
      <c r="C342" s="26" t="s">
        <v>1251</v>
      </c>
      <c r="D342" s="25" t="s">
        <v>188</v>
      </c>
      <c r="E342" s="26" t="str">
        <f t="shared" si="5"/>
        <v>Laki-Laki</v>
      </c>
      <c r="F342" s="25" t="s">
        <v>1252</v>
      </c>
      <c r="G342" s="25" t="s">
        <v>909</v>
      </c>
      <c r="H342" s="19" t="s">
        <v>1253</v>
      </c>
      <c r="I342" s="19" t="s">
        <v>90</v>
      </c>
      <c r="J342" s="47" t="s">
        <v>190</v>
      </c>
      <c r="K342" s="32" t="s">
        <v>394</v>
      </c>
      <c r="L342" s="70" t="s">
        <v>890</v>
      </c>
      <c r="M342" s="21">
        <v>2025</v>
      </c>
      <c r="N342" s="15" t="s">
        <v>118</v>
      </c>
      <c r="O342" s="15">
        <v>2027</v>
      </c>
      <c r="P342" s="15">
        <v>2025</v>
      </c>
      <c r="Q342" s="15"/>
      <c r="R342" s="16" t="s">
        <v>51</v>
      </c>
      <c r="S342" s="16" t="str">
        <f ca="1">IF(
  O342 &lt; YEAR(TODAY()),
  "LULUS",
  IF(
    O342 = YEAR(TODAY()),
    IF(
      MATCH(L342, {"Januari";"Februari";"Maret";"April";"Mei";"Juni";"Juli";"Agustus";"September";"Oktober";"November";"Desember"}, 0)
        &gt;= MONTH(TODAY()),
      "AKTIF (Semester " &amp;
        (INT((12*(YEAR(TODAY())-M342) + MONTH(TODAY()) -
          MATCH(L342, {"Januari";"Februari";"Maret";"April";"Mei";"Juni";"Juli";"Agustus";"September";"Oktober";"November";"Desember"}, 0)) / 6) + 1) &amp; ")",
      "LULUS"
    ),
    "AKTIF (Semester " &amp;
      (INT((12*(YEAR(TODAY())-M342) + MONTH(TODAY()) -
        MATCH(L342, {"Januari";"Februari";"Maret";"April";"Mei";"Juni";"Juli";"Agustus";"September";"Oktober";"November";"Desember"}, 0)) / 6) + 1) &amp; ")"
  )
)</f>
        <v>AKTIF (Semester 2)</v>
      </c>
      <c r="T342" s="16" t="str">
        <f ca="1">IF(O342 &lt; YEAR(TODAY()), "LULUS",
 IF(O342 = YEAR(TODAY()),
    IF(MATCH(N342, {"Januari";"Februari";"Maret";"April";"Mei";"Juni";"Juli";"Agustus";"September";"Oktober";"November";"Desember"},0)
        &lt;= MONTH(TODAY()),
        "LULUS",
        "AKTIF"),
 "AKTIF"))</f>
        <v>AKTIF</v>
      </c>
      <c r="U342" s="16" t="s">
        <v>2945</v>
      </c>
      <c r="V342" s="15"/>
      <c r="W342" s="15"/>
      <c r="X342" s="15"/>
      <c r="Y342" s="15"/>
      <c r="Z342" s="15"/>
    </row>
    <row r="343" spans="1:26" ht="29" customHeight="1" x14ac:dyDescent="0.35">
      <c r="A343" s="12">
        <v>342</v>
      </c>
      <c r="B343" s="25" t="s">
        <v>1254</v>
      </c>
      <c r="C343" s="26" t="s">
        <v>1255</v>
      </c>
      <c r="D343" s="25" t="s">
        <v>188</v>
      </c>
      <c r="E343" s="26" t="str">
        <f t="shared" si="5"/>
        <v>Laki-Laki</v>
      </c>
      <c r="F343" s="25" t="s">
        <v>672</v>
      </c>
      <c r="G343" s="25" t="s">
        <v>909</v>
      </c>
      <c r="H343" s="19" t="s">
        <v>1256</v>
      </c>
      <c r="I343" s="28" t="s">
        <v>1257</v>
      </c>
      <c r="J343" s="47" t="s">
        <v>190</v>
      </c>
      <c r="K343" s="32" t="s">
        <v>221</v>
      </c>
      <c r="L343" s="86" t="s">
        <v>169</v>
      </c>
      <c r="M343" s="21">
        <v>2024</v>
      </c>
      <c r="N343" s="15" t="s">
        <v>446</v>
      </c>
      <c r="O343" s="15">
        <v>2026</v>
      </c>
      <c r="P343" s="15">
        <v>2025</v>
      </c>
      <c r="Q343" s="15"/>
      <c r="R343" s="16" t="s">
        <v>51</v>
      </c>
      <c r="S343" s="16" t="str">
        <f ca="1">IF(
  O343 &lt; YEAR(TODAY()),
  "LULUS",
  IF(
    O343 = YEAR(TODAY()),
    IF(
      MATCH(L343, {"Januari";"Februari";"Maret";"April";"Mei";"Juni";"Juli";"Agustus";"September";"Oktober";"November";"Desember"}, 0)
        &gt;= MONTH(TODAY()),
      "AKTIF (Semester " &amp;
        (INT((12*(YEAR(TODAY())-M343) + MONTH(TODAY()) -
          MATCH(L343, {"Januari";"Februari";"Maret";"April";"Mei";"Juni";"Juli";"Agustus";"September";"Oktober";"November";"Desember"}, 0)) / 6) + 1) &amp; ")",
      "LULUS"
    ),
    "AKTIF (Semester " &amp;
      (INT((12*(YEAR(TODAY())-M343) + MONTH(TODAY()) -
        MATCH(L343, {"Januari";"Februari";"Maret";"April";"Mei";"Juni";"Juli";"Agustus";"September";"Oktober";"November";"Desember"}, 0)) / 6) + 1) &amp; ")"
  )
)</f>
        <v>AKTIF (Semester 3)</v>
      </c>
      <c r="T343" s="16" t="str">
        <f ca="1">IF(O343 &lt; YEAR(TODAY()), "LULUS",
 IF(O343 = YEAR(TODAY()),
    IF(MATCH(N343, {"Januari";"Februari";"Maret";"April";"Mei";"Juni";"Juli";"Agustus";"September";"Oktober";"November";"Desember"},0)
        &lt;= MONTH(TODAY()),
        "LULUS",
        "AKTIF"),
 "AKTIF"))</f>
        <v>AKTIF</v>
      </c>
      <c r="U343" s="16" t="s">
        <v>2940</v>
      </c>
      <c r="V343" s="15"/>
      <c r="W343" s="15"/>
      <c r="X343" s="15"/>
      <c r="Y343" s="15"/>
      <c r="Z343" s="15"/>
    </row>
    <row r="344" spans="1:26" ht="29" customHeight="1" x14ac:dyDescent="0.35">
      <c r="A344" s="12">
        <v>343</v>
      </c>
      <c r="B344" s="25" t="s">
        <v>1258</v>
      </c>
      <c r="C344" s="26" t="s">
        <v>1259</v>
      </c>
      <c r="D344" s="25" t="s">
        <v>172</v>
      </c>
      <c r="E344" s="26" t="str">
        <f t="shared" si="5"/>
        <v>Laki-Laki</v>
      </c>
      <c r="F344" s="25" t="s">
        <v>1260</v>
      </c>
      <c r="G344" s="25" t="s">
        <v>909</v>
      </c>
      <c r="H344" s="19" t="s">
        <v>1230</v>
      </c>
      <c r="I344" s="19" t="s">
        <v>90</v>
      </c>
      <c r="J344" s="47" t="s">
        <v>180</v>
      </c>
      <c r="K344" s="32" t="s">
        <v>905</v>
      </c>
      <c r="L344" s="65" t="s">
        <v>1562</v>
      </c>
      <c r="M344" s="21">
        <v>2024</v>
      </c>
      <c r="N344" s="15" t="s">
        <v>106</v>
      </c>
      <c r="O344" s="15">
        <v>2028</v>
      </c>
      <c r="P344" s="15">
        <v>2025</v>
      </c>
      <c r="Q344" s="15"/>
      <c r="R344" s="16" t="s">
        <v>51</v>
      </c>
      <c r="S344" s="16" t="str">
        <f ca="1">IF(
  O344 &lt; YEAR(TODAY()),
  "LULUS",
  IF(
    O344 = YEAR(TODAY()),
    IF(
      MATCH(L344, {"Januari";"Februari";"Maret";"April";"Mei";"Juni";"Juli";"Agustus";"September";"Oktober";"November";"Desember"}, 0)
        &gt;= MONTH(TODAY()),
      "AKTIF (Semester " &amp;
        (INT((12*(YEAR(TODAY())-M344) + MONTH(TODAY()) -
          MATCH(L344, {"Januari";"Februari";"Maret";"April";"Mei";"Juni";"Juli";"Agustus";"September";"Oktober";"November";"Desember"}, 0)) / 6) + 1) &amp; ")",
      "LULUS"
    ),
    "AKTIF (Semester " &amp;
      (INT((12*(YEAR(TODAY())-M344) + MONTH(TODAY()) -
        MATCH(L344, {"Januari";"Februari";"Maret";"April";"Mei";"Juni";"Juli";"Agustus";"September";"Oktober";"November";"Desember"}, 0)) / 6) + 1) &amp; ")"
  )
)</f>
        <v>AKTIF (Semester 3)</v>
      </c>
      <c r="T344" s="16" t="str">
        <f ca="1">IF(O344 &lt; YEAR(TODAY()), "LULUS",
 IF(O344 = YEAR(TODAY()),
    IF(MATCH(N344, {"Januari";"Februari";"Maret";"April";"Mei";"Juni";"Juli";"Agustus";"September";"Oktober";"November";"Desember"},0)
        &lt;= MONTH(TODAY()),
        "LULUS",
        "AKTIF"),
 "AKTIF"))</f>
        <v>AKTIF</v>
      </c>
      <c r="U344" s="16" t="s">
        <v>2940</v>
      </c>
      <c r="V344" s="15"/>
      <c r="W344" s="15"/>
      <c r="X344" s="15"/>
      <c r="Y344" s="15"/>
      <c r="Z344" s="15"/>
    </row>
    <row r="345" spans="1:26" ht="29" customHeight="1" x14ac:dyDescent="0.35">
      <c r="A345" s="12">
        <v>344</v>
      </c>
      <c r="B345" s="25" t="s">
        <v>1261</v>
      </c>
      <c r="C345" s="26" t="s">
        <v>1262</v>
      </c>
      <c r="D345" s="25" t="s">
        <v>211</v>
      </c>
      <c r="E345" s="26" t="str">
        <f t="shared" si="5"/>
        <v>Laki-Laki</v>
      </c>
      <c r="F345" s="25" t="s">
        <v>1144</v>
      </c>
      <c r="G345" s="25" t="s">
        <v>909</v>
      </c>
      <c r="H345" s="19" t="s">
        <v>1230</v>
      </c>
      <c r="I345" s="19" t="s">
        <v>90</v>
      </c>
      <c r="J345" s="48" t="s">
        <v>190</v>
      </c>
      <c r="K345" s="32" t="s">
        <v>394</v>
      </c>
      <c r="L345" s="70" t="s">
        <v>890</v>
      </c>
      <c r="M345" s="21">
        <v>2025</v>
      </c>
      <c r="N345" s="15" t="s">
        <v>1263</v>
      </c>
      <c r="O345" s="15">
        <v>2029</v>
      </c>
      <c r="P345" s="15">
        <v>2025</v>
      </c>
      <c r="Q345" s="15"/>
      <c r="R345" s="16" t="s">
        <v>51</v>
      </c>
      <c r="S345" s="16" t="str">
        <f ca="1">IF(
  O345 &lt; YEAR(TODAY()),
  "LULUS",
  IF(
    O345 = YEAR(TODAY()),
    IF(
      MATCH(L345, {"Januari";"Februari";"Maret";"April";"Mei";"Juni";"Juli";"Agustus";"September";"Oktober";"November";"Desember"}, 0)
        &gt;= MONTH(TODAY()),
      "AKTIF (Semester " &amp;
        (INT((12*(YEAR(TODAY())-M345) + MONTH(TODAY()) -
          MATCH(L345, {"Januari";"Februari";"Maret";"April";"Mei";"Juni";"Juli";"Agustus";"September";"Oktober";"November";"Desember"}, 0)) / 6) + 1) &amp; ")",
      "LULUS"
    ),
    "AKTIF (Semester " &amp;
      (INT((12*(YEAR(TODAY())-M345) + MONTH(TODAY()) -
        MATCH(L345, {"Januari";"Februari";"Maret";"April";"Mei";"Juni";"Juli";"Agustus";"September";"Oktober";"November";"Desember"}, 0)) / 6) + 1) &amp; ")"
  )
)</f>
        <v>AKTIF (Semester 2)</v>
      </c>
      <c r="T345" s="16" t="str">
        <f ca="1">IF(O345 &lt; YEAR(TODAY()), "LULUS",
 IF(O345 = YEAR(TODAY()),
    IF(MATCH(N345, {"Januari";"Februari";"Maret";"April";"Mei";"Juni";"Juli";"Agustus";"September";"Oktober";"November";"Desember"},0)
        &lt;= MONTH(TODAY()),
        "LULUS",
        "AKTIF"),
 "AKTIF"))</f>
        <v>AKTIF</v>
      </c>
      <c r="U345" s="16" t="s">
        <v>2945</v>
      </c>
      <c r="V345" s="15"/>
      <c r="W345" s="15"/>
      <c r="X345" s="15"/>
      <c r="Y345" s="15"/>
      <c r="Z345" s="15"/>
    </row>
    <row r="346" spans="1:26" ht="29" customHeight="1" x14ac:dyDescent="0.35">
      <c r="A346" s="12">
        <v>345</v>
      </c>
      <c r="B346" s="25" t="s">
        <v>1264</v>
      </c>
      <c r="C346" s="26" t="s">
        <v>1265</v>
      </c>
      <c r="D346" s="25" t="s">
        <v>172</v>
      </c>
      <c r="E346" s="26" t="str">
        <f t="shared" si="5"/>
        <v>Laki-Laki</v>
      </c>
      <c r="F346" s="25" t="s">
        <v>1266</v>
      </c>
      <c r="G346" s="25" t="s">
        <v>909</v>
      </c>
      <c r="H346" s="19" t="s">
        <v>1025</v>
      </c>
      <c r="I346" s="19" t="s">
        <v>90</v>
      </c>
      <c r="J346" s="12" t="s">
        <v>180</v>
      </c>
      <c r="K346" s="32" t="s">
        <v>221</v>
      </c>
      <c r="L346" s="70" t="s">
        <v>890</v>
      </c>
      <c r="M346" s="21">
        <v>2025</v>
      </c>
      <c r="N346" s="15" t="s">
        <v>118</v>
      </c>
      <c r="O346" s="15">
        <v>2029</v>
      </c>
      <c r="P346" s="15">
        <v>2025</v>
      </c>
      <c r="Q346" s="15"/>
      <c r="R346" s="16" t="s">
        <v>51</v>
      </c>
      <c r="S346" s="16" t="str">
        <f ca="1">IF(
  O346 &lt; YEAR(TODAY()),
  "LULUS",
  IF(
    O346 = YEAR(TODAY()),
    IF(
      MATCH(L346, {"Januari";"Februari";"Maret";"April";"Mei";"Juni";"Juli";"Agustus";"September";"Oktober";"November";"Desember"}, 0)
        &gt;= MONTH(TODAY()),
      "AKTIF (Semester " &amp;
        (INT((12*(YEAR(TODAY())-M346) + MONTH(TODAY()) -
          MATCH(L346, {"Januari";"Februari";"Maret";"April";"Mei";"Juni";"Juli";"Agustus";"September";"Oktober";"November";"Desember"}, 0)) / 6) + 1) &amp; ")",
      "LULUS"
    ),
    "AKTIF (Semester " &amp;
      (INT((12*(YEAR(TODAY())-M346) + MONTH(TODAY()) -
        MATCH(L346, {"Januari";"Februari";"Maret";"April";"Mei";"Juni";"Juli";"Agustus";"September";"Oktober";"November";"Desember"}, 0)) / 6) + 1) &amp; ")"
  )
)</f>
        <v>AKTIF (Semester 2)</v>
      </c>
      <c r="T346" s="16" t="str">
        <f ca="1">IF(O346 &lt; YEAR(TODAY()), "LULUS",
 IF(O346 = YEAR(TODAY()),
    IF(MATCH(N346, {"Januari";"Februari";"Maret";"April";"Mei";"Juni";"Juli";"Agustus";"September";"Oktober";"November";"Desember"},0)
        &lt;= MONTH(TODAY()),
        "LULUS",
        "AKTIF"),
 "AKTIF"))</f>
        <v>AKTIF</v>
      </c>
      <c r="U346" s="16" t="s">
        <v>2945</v>
      </c>
      <c r="V346" s="15"/>
      <c r="W346" s="15"/>
      <c r="X346" s="15"/>
      <c r="Y346" s="15"/>
      <c r="Z346" s="15"/>
    </row>
    <row r="347" spans="1:26" ht="29" customHeight="1" x14ac:dyDescent="0.35">
      <c r="A347" s="12">
        <v>346</v>
      </c>
      <c r="B347" s="25" t="s">
        <v>1267</v>
      </c>
      <c r="C347" s="26" t="s">
        <v>1268</v>
      </c>
      <c r="D347" s="25" t="s">
        <v>519</v>
      </c>
      <c r="E347" s="26" t="str">
        <f t="shared" si="5"/>
        <v>Laki-Laki</v>
      </c>
      <c r="F347" s="25" t="s">
        <v>1246</v>
      </c>
      <c r="G347" s="25" t="s">
        <v>909</v>
      </c>
      <c r="H347" s="19" t="s">
        <v>925</v>
      </c>
      <c r="I347" s="19" t="s">
        <v>90</v>
      </c>
      <c r="J347" s="12" t="s">
        <v>180</v>
      </c>
      <c r="K347" s="32" t="s">
        <v>221</v>
      </c>
      <c r="L347" s="29" t="s">
        <v>156</v>
      </c>
      <c r="M347" s="21">
        <v>2024</v>
      </c>
      <c r="N347" s="15" t="s">
        <v>226</v>
      </c>
      <c r="O347" s="15">
        <v>2028</v>
      </c>
      <c r="P347" s="15">
        <v>2025</v>
      </c>
      <c r="Q347" s="15"/>
      <c r="R347" s="16" t="s">
        <v>51</v>
      </c>
      <c r="S347" s="16" t="str">
        <f ca="1">IF(
  O347 &lt; YEAR(TODAY()),
  "LULUS",
  IF(
    O347 = YEAR(TODAY()),
    IF(
      MATCH(L347, {"Januari";"Februari";"Maret";"April";"Mei";"Juni";"Juli";"Agustus";"September";"Oktober";"November";"Desember"}, 0)
        &gt;= MONTH(TODAY()),
      "AKTIF (Semester " &amp;
        (INT((12*(YEAR(TODAY())-M347) + MONTH(TODAY()) -
          MATCH(L347, {"Januari";"Februari";"Maret";"April";"Mei";"Juni";"Juli";"Agustus";"September";"Oktober";"November";"Desember"}, 0)) / 6) + 1) &amp; ")",
      "LULUS"
    ),
    "AKTIF (Semester " &amp;
      (INT((12*(YEAR(TODAY())-M347) + MONTH(TODAY()) -
        MATCH(L347, {"Januari";"Februari";"Maret";"April";"Mei";"Juni";"Juli";"Agustus";"September";"Oktober";"November";"Desember"}, 0)) / 6) + 1) &amp; ")"
  )
)</f>
        <v>AKTIF (Semester 3)</v>
      </c>
      <c r="T347" s="16" t="str">
        <f ca="1">IF(O347 &lt; YEAR(TODAY()), "LULUS",
 IF(O347 = YEAR(TODAY()),
    IF(MATCH(N347, {"Januari";"Februari";"Maret";"April";"Mei";"Juni";"Juli";"Agustus";"September";"Oktober";"November";"Desember"},0)
        &lt;= MONTH(TODAY()),
        "LULUS",
        "AKTIF"),
 "AKTIF"))</f>
        <v>AKTIF</v>
      </c>
      <c r="U347" s="16" t="s">
        <v>2940</v>
      </c>
      <c r="V347" s="15"/>
      <c r="W347" s="15"/>
      <c r="X347" s="15"/>
      <c r="Y347" s="15"/>
      <c r="Z347" s="15"/>
    </row>
    <row r="348" spans="1:26" ht="29" customHeight="1" x14ac:dyDescent="0.35">
      <c r="A348" s="12">
        <v>347</v>
      </c>
      <c r="B348" s="25" t="s">
        <v>1269</v>
      </c>
      <c r="C348" s="26" t="s">
        <v>1270</v>
      </c>
      <c r="D348" s="25" t="s">
        <v>188</v>
      </c>
      <c r="E348" s="26" t="str">
        <f t="shared" si="5"/>
        <v>Laki-Laki</v>
      </c>
      <c r="F348" s="25" t="s">
        <v>1180</v>
      </c>
      <c r="G348" s="25" t="s">
        <v>909</v>
      </c>
      <c r="H348" s="19" t="s">
        <v>1271</v>
      </c>
      <c r="I348" s="27" t="s">
        <v>1135</v>
      </c>
      <c r="J348" s="12" t="s">
        <v>190</v>
      </c>
      <c r="K348" s="32" t="s">
        <v>221</v>
      </c>
      <c r="L348" s="29" t="s">
        <v>28</v>
      </c>
      <c r="M348" s="21">
        <v>2024</v>
      </c>
      <c r="N348" s="15" t="s">
        <v>504</v>
      </c>
      <c r="O348" s="15">
        <v>2026</v>
      </c>
      <c r="P348" s="15">
        <v>2025</v>
      </c>
      <c r="Q348" s="15"/>
      <c r="R348" s="16" t="s">
        <v>51</v>
      </c>
      <c r="S348" s="16" t="str">
        <f ca="1">IF(
  O348 &lt; YEAR(TODAY()),
  "LULUS",
  IF(
    O348 = YEAR(TODAY()),
    IF(
      MATCH(L348, {"Januari";"Februari";"Maret";"April";"Mei";"Juni";"Juli";"Agustus";"September";"Oktober";"November";"Desember"}, 0)
        &gt;= MONTH(TODAY()),
      "AKTIF (Semester " &amp;
        (INT((12*(YEAR(TODAY())-M348) + MONTH(TODAY()) -
          MATCH(L348, {"Januari";"Februari";"Maret";"April";"Mei";"Juni";"Juli";"Agustus";"September";"Oktober";"November";"Desember"}, 0)) / 6) + 1) &amp; ")",
      "LULUS"
    ),
    "AKTIF (Semester " &amp;
      (INT((12*(YEAR(TODAY())-M348) + MONTH(TODAY()) -
        MATCH(L348, {"Januari";"Februari";"Maret";"April";"Mei";"Juni";"Juli";"Agustus";"September";"Oktober";"November";"Desember"}, 0)) / 6) + 1) &amp; ")"
  )
)</f>
        <v>AKTIF (Semester 3)</v>
      </c>
      <c r="T348" s="16" t="str">
        <f ca="1">IF(O348 &lt; YEAR(TODAY()), "LULUS",
 IF(O348 = YEAR(TODAY()),
    IF(MATCH(N348, {"Januari";"Februari";"Maret";"April";"Mei";"Juni";"Juli";"Agustus";"September";"Oktober";"November";"Desember"},0)
        &lt;= MONTH(TODAY()),
        "LULUS",
        "AKTIF"),
 "AKTIF"))</f>
        <v>AKTIF</v>
      </c>
      <c r="U348" s="16" t="s">
        <v>2940</v>
      </c>
      <c r="V348" s="15"/>
      <c r="W348" s="15"/>
      <c r="X348" s="15"/>
      <c r="Y348" s="15"/>
      <c r="Z348" s="15"/>
    </row>
    <row r="349" spans="1:26" ht="29" customHeight="1" x14ac:dyDescent="0.35">
      <c r="A349" s="12">
        <v>348</v>
      </c>
      <c r="B349" s="25" t="s">
        <v>1272</v>
      </c>
      <c r="C349" s="26" t="s">
        <v>1273</v>
      </c>
      <c r="D349" s="25" t="s">
        <v>172</v>
      </c>
      <c r="E349" s="26" t="str">
        <f t="shared" ref="E349:E412" si="6">IF(MID(C349,15,1)="1","Laki-Laki","Perempuan")</f>
        <v>Laki-Laki</v>
      </c>
      <c r="F349" s="25" t="s">
        <v>1147</v>
      </c>
      <c r="G349" s="25" t="s">
        <v>909</v>
      </c>
      <c r="H349" s="19" t="s">
        <v>1035</v>
      </c>
      <c r="I349" s="19" t="s">
        <v>90</v>
      </c>
      <c r="J349" s="12" t="s">
        <v>180</v>
      </c>
      <c r="K349" s="32" t="s">
        <v>221</v>
      </c>
      <c r="L349" s="65" t="s">
        <v>113</v>
      </c>
      <c r="M349" s="21">
        <v>2024</v>
      </c>
      <c r="N349" s="15" t="s">
        <v>113</v>
      </c>
      <c r="O349" s="15">
        <v>2028</v>
      </c>
      <c r="P349" s="15">
        <v>2025</v>
      </c>
      <c r="Q349" s="15"/>
      <c r="R349" s="16" t="s">
        <v>51</v>
      </c>
      <c r="S349" s="16" t="str">
        <f ca="1">IF(
  O349 &lt; YEAR(TODAY()),
  "LULUS",
  IF(
    O349 = YEAR(TODAY()),
    IF(
      MATCH(L349, {"Januari";"Februari";"Maret";"April";"Mei";"Juni";"Juli";"Agustus";"September";"Oktober";"November";"Desember"}, 0)
        &gt;= MONTH(TODAY()),
      "AKTIF (Semester " &amp;
        (INT((12*(YEAR(TODAY())-M349) + MONTH(TODAY()) -
          MATCH(L349, {"Januari";"Februari";"Maret";"April";"Mei";"Juni";"Juli";"Agustus";"September";"Oktober";"November";"Desember"}, 0)) / 6) + 1) &amp; ")",
      "LULUS"
    ),
    "AKTIF (Semester " &amp;
      (INT((12*(YEAR(TODAY())-M349) + MONTH(TODAY()) -
        MATCH(L349, {"Januari";"Februari";"Maret";"April";"Mei";"Juni";"Juli";"Agustus";"September";"Oktober";"November";"Desember"}, 0)) / 6) + 1) &amp; ")"
  )
)</f>
        <v>AKTIF (Semester 4)</v>
      </c>
      <c r="T349" s="16" t="str">
        <f ca="1">IF(O349 &lt; YEAR(TODAY()), "LULUS",
 IF(O349 = YEAR(TODAY()),
    IF(MATCH(N349, {"Januari";"Februari";"Maret";"April";"Mei";"Juni";"Juli";"Agustus";"September";"Oktober";"November";"Desember"},0)
        &lt;= MONTH(TODAY()),
        "LULUS",
        "AKTIF"),
 "AKTIF"))</f>
        <v>AKTIF</v>
      </c>
      <c r="U349" s="16" t="s">
        <v>2942</v>
      </c>
      <c r="V349" s="15"/>
      <c r="W349" s="15"/>
      <c r="X349" s="15"/>
      <c r="Y349" s="15"/>
      <c r="Z349" s="15"/>
    </row>
    <row r="350" spans="1:26" ht="29" customHeight="1" x14ac:dyDescent="0.35">
      <c r="A350" s="12">
        <v>349</v>
      </c>
      <c r="B350" s="25" t="s">
        <v>1274</v>
      </c>
      <c r="C350" s="26" t="s">
        <v>1275</v>
      </c>
      <c r="D350" s="25" t="s">
        <v>519</v>
      </c>
      <c r="E350" s="26" t="str">
        <f t="shared" si="6"/>
        <v>Laki-Laki</v>
      </c>
      <c r="F350" s="25" t="s">
        <v>1276</v>
      </c>
      <c r="G350" s="25" t="s">
        <v>909</v>
      </c>
      <c r="H350" s="19" t="s">
        <v>922</v>
      </c>
      <c r="I350" s="19" t="s">
        <v>90</v>
      </c>
      <c r="J350" s="12" t="s">
        <v>180</v>
      </c>
      <c r="K350" s="32" t="s">
        <v>221</v>
      </c>
      <c r="L350" s="29" t="s">
        <v>1277</v>
      </c>
      <c r="M350" s="21">
        <v>2024</v>
      </c>
      <c r="N350" s="15" t="s">
        <v>1277</v>
      </c>
      <c r="O350" s="15">
        <v>2028</v>
      </c>
      <c r="P350" s="15">
        <v>2025</v>
      </c>
      <c r="Q350" s="15"/>
      <c r="R350" s="16" t="s">
        <v>51</v>
      </c>
      <c r="S350" s="16" t="e">
        <f ca="1">IF(
  O350 &lt; YEAR(TODAY()),
  "LULUS",
  IF(
    O350 = YEAR(TODAY()),
    IF(
      MATCH(L350, {"Januari";"Februari";"Maret";"April";"Mei";"Juni";"Juli";"Agustus";"September";"Oktober";"November";"Desember"}, 0)
        &gt;= MONTH(TODAY()),
      "AKTIF (Semester " &amp;
        (INT((12*(YEAR(TODAY())-M350) + MONTH(TODAY()) -
          MATCH(L350, {"Januari";"Februari";"Maret";"April";"Mei";"Juni";"Juli";"Agustus";"September";"Oktober";"November";"Desember"}, 0)) / 6) + 1) &amp; ")",
      "LULUS"
    ),
    "AKTIF (Semester " &amp;
      (INT((12*(YEAR(TODAY())-M350) + MONTH(TODAY()) -
        MATCH(L350, {"Januari";"Februari";"Maret";"April";"Mei";"Juni";"Juli";"Agustus";"September";"Oktober";"November";"Desember"}, 0)) / 6) + 1) &amp; ")"
  )
)</f>
        <v>#N/A</v>
      </c>
      <c r="T350" s="16" t="str">
        <f ca="1">IF(O350 &lt; YEAR(TODAY()), "LULUS",
 IF(O350 = YEAR(TODAY()),
    IF(MATCH(N350, {"Januari";"Februari";"Maret";"April";"Mei";"Juni";"Juli";"Agustus";"September";"Oktober";"November";"Desember"},0)
        &lt;= MONTH(TODAY()),
        "LULUS",
        "AKTIF"),
 "AKTIF"))</f>
        <v>AKTIF</v>
      </c>
      <c r="U350" s="16" t="e">
        <v>#N/A</v>
      </c>
      <c r="V350" s="15"/>
      <c r="W350" s="15"/>
      <c r="X350" s="15"/>
      <c r="Y350" s="15"/>
      <c r="Z350" s="15"/>
    </row>
    <row r="351" spans="1:26" ht="29" customHeight="1" x14ac:dyDescent="0.35">
      <c r="A351" s="12">
        <v>350</v>
      </c>
      <c r="B351" s="25" t="s">
        <v>1278</v>
      </c>
      <c r="C351" s="26" t="s">
        <v>1279</v>
      </c>
      <c r="D351" s="25" t="s">
        <v>188</v>
      </c>
      <c r="E351" s="26" t="str">
        <f t="shared" si="6"/>
        <v>Perempuan</v>
      </c>
      <c r="F351" s="25" t="s">
        <v>1180</v>
      </c>
      <c r="G351" s="25" t="s">
        <v>909</v>
      </c>
      <c r="H351" s="19" t="s">
        <v>1280</v>
      </c>
      <c r="I351" s="27" t="s">
        <v>1135</v>
      </c>
      <c r="J351" s="12" t="s">
        <v>190</v>
      </c>
      <c r="K351" s="32" t="s">
        <v>221</v>
      </c>
      <c r="L351" s="29" t="s">
        <v>28</v>
      </c>
      <c r="M351" s="21">
        <v>2024</v>
      </c>
      <c r="N351" s="15" t="s">
        <v>504</v>
      </c>
      <c r="O351" s="15">
        <v>2026</v>
      </c>
      <c r="P351" s="15">
        <v>2025</v>
      </c>
      <c r="Q351" s="15"/>
      <c r="R351" s="16" t="s">
        <v>51</v>
      </c>
      <c r="S351" s="16" t="str">
        <f ca="1">IF(
  O351 &lt; YEAR(TODAY()),
  "LULUS",
  IF(
    O351 = YEAR(TODAY()),
    IF(
      MATCH(L351, {"Januari";"Februari";"Maret";"April";"Mei";"Juni";"Juli";"Agustus";"September";"Oktober";"November";"Desember"}, 0)
        &gt;= MONTH(TODAY()),
      "AKTIF (Semester " &amp;
        (INT((12*(YEAR(TODAY())-M351) + MONTH(TODAY()) -
          MATCH(L351, {"Januari";"Februari";"Maret";"April";"Mei";"Juni";"Juli";"Agustus";"September";"Oktober";"November";"Desember"}, 0)) / 6) + 1) &amp; ")",
      "LULUS"
    ),
    "AKTIF (Semester " &amp;
      (INT((12*(YEAR(TODAY())-M351) + MONTH(TODAY()) -
        MATCH(L351, {"Januari";"Februari";"Maret";"April";"Mei";"Juni";"Juli";"Agustus";"September";"Oktober";"November";"Desember"}, 0)) / 6) + 1) &amp; ")"
  )
)</f>
        <v>AKTIF (Semester 3)</v>
      </c>
      <c r="T351" s="16" t="str">
        <f ca="1">IF(O351 &lt; YEAR(TODAY()), "LULUS",
 IF(O351 = YEAR(TODAY()),
    IF(MATCH(N351, {"Januari";"Februari";"Maret";"April";"Mei";"Juni";"Juli";"Agustus";"September";"Oktober";"November";"Desember"},0)
        &lt;= MONTH(TODAY()),
        "LULUS",
        "AKTIF"),
 "AKTIF"))</f>
        <v>AKTIF</v>
      </c>
      <c r="U351" s="16" t="s">
        <v>2940</v>
      </c>
      <c r="V351" s="15"/>
      <c r="W351" s="15"/>
      <c r="X351" s="15"/>
      <c r="Y351" s="15"/>
      <c r="Z351" s="15"/>
    </row>
    <row r="352" spans="1:26" ht="29" customHeight="1" x14ac:dyDescent="0.35">
      <c r="A352" s="12">
        <v>351</v>
      </c>
      <c r="B352" s="25" t="s">
        <v>1281</v>
      </c>
      <c r="C352" s="26" t="s">
        <v>1282</v>
      </c>
      <c r="D352" s="25" t="s">
        <v>172</v>
      </c>
      <c r="E352" s="26" t="str">
        <f t="shared" si="6"/>
        <v>Laki-Laki</v>
      </c>
      <c r="F352" s="25" t="s">
        <v>1141</v>
      </c>
      <c r="G352" s="25" t="s">
        <v>909</v>
      </c>
      <c r="H352" s="19" t="s">
        <v>910</v>
      </c>
      <c r="I352" s="19" t="s">
        <v>90</v>
      </c>
      <c r="J352" s="12" t="s">
        <v>180</v>
      </c>
      <c r="K352" s="32" t="s">
        <v>1283</v>
      </c>
      <c r="L352" s="29" t="s">
        <v>156</v>
      </c>
      <c r="M352" s="21">
        <v>2024</v>
      </c>
      <c r="N352" s="15" t="s">
        <v>156</v>
      </c>
      <c r="O352" s="15">
        <v>2028</v>
      </c>
      <c r="P352" s="15">
        <v>2025</v>
      </c>
      <c r="Q352" s="15"/>
      <c r="R352" s="16" t="s">
        <v>51</v>
      </c>
      <c r="S352" s="16" t="str">
        <f ca="1">IF(
  O352 &lt; YEAR(TODAY()),
  "LULUS",
  IF(
    O352 = YEAR(TODAY()),
    IF(
      MATCH(L352, {"Januari";"Februari";"Maret";"April";"Mei";"Juni";"Juli";"Agustus";"September";"Oktober";"November";"Desember"}, 0)
        &gt;= MONTH(TODAY()),
      "AKTIF (Semester " &amp;
        (INT((12*(YEAR(TODAY())-M352) + MONTH(TODAY()) -
          MATCH(L352, {"Januari";"Februari";"Maret";"April";"Mei";"Juni";"Juli";"Agustus";"September";"Oktober";"November";"Desember"}, 0)) / 6) + 1) &amp; ")",
      "LULUS"
    ),
    "AKTIF (Semester " &amp;
      (INT((12*(YEAR(TODAY())-M352) + MONTH(TODAY()) -
        MATCH(L352, {"Januari";"Februari";"Maret";"April";"Mei";"Juni";"Juli";"Agustus";"September";"Oktober";"November";"Desember"}, 0)) / 6) + 1) &amp; ")"
  )
)</f>
        <v>AKTIF (Semester 3)</v>
      </c>
      <c r="T352" s="16" t="str">
        <f ca="1">IF(O352 &lt; YEAR(TODAY()), "LULUS",
 IF(O352 = YEAR(TODAY()),
    IF(MATCH(N352, {"Januari";"Februari";"Maret";"April";"Mei";"Juni";"Juli";"Agustus";"September";"Oktober";"November";"Desember"},0)
        &lt;= MONTH(TODAY()),
        "LULUS",
        "AKTIF"),
 "AKTIF"))</f>
        <v>AKTIF</v>
      </c>
      <c r="U352" s="16" t="s">
        <v>2940</v>
      </c>
      <c r="V352" s="15"/>
      <c r="W352" s="15"/>
      <c r="X352" s="15"/>
      <c r="Y352" s="15"/>
      <c r="Z352" s="15"/>
    </row>
    <row r="353" spans="1:26" ht="29" customHeight="1" x14ac:dyDescent="0.35">
      <c r="A353" s="12">
        <v>352</v>
      </c>
      <c r="B353" s="25" t="s">
        <v>1284</v>
      </c>
      <c r="C353" s="26" t="s">
        <v>1285</v>
      </c>
      <c r="D353" s="25" t="s">
        <v>152</v>
      </c>
      <c r="E353" s="26" t="str">
        <f t="shared" si="6"/>
        <v>Perempuan</v>
      </c>
      <c r="F353" s="25" t="s">
        <v>1286</v>
      </c>
      <c r="G353" s="25" t="s">
        <v>909</v>
      </c>
      <c r="H353" s="19" t="s">
        <v>984</v>
      </c>
      <c r="I353" s="19" t="s">
        <v>90</v>
      </c>
      <c r="J353" s="12" t="s">
        <v>180</v>
      </c>
      <c r="K353" s="32" t="s">
        <v>46</v>
      </c>
      <c r="L353" s="29" t="s">
        <v>28</v>
      </c>
      <c r="M353" s="21">
        <v>2024</v>
      </c>
      <c r="N353" s="15" t="s">
        <v>28</v>
      </c>
      <c r="O353" s="15">
        <v>2028</v>
      </c>
      <c r="P353" s="15">
        <v>2025</v>
      </c>
      <c r="Q353" s="15"/>
      <c r="R353" s="16" t="s">
        <v>51</v>
      </c>
      <c r="S353" s="16" t="str">
        <f ca="1">IF(
  O353 &lt; YEAR(TODAY()),
  "LULUS",
  IF(
    O353 = YEAR(TODAY()),
    IF(
      MATCH(L353, {"Januari";"Februari";"Maret";"April";"Mei";"Juni";"Juli";"Agustus";"September";"Oktober";"November";"Desember"}, 0)
        &gt;= MONTH(TODAY()),
      "AKTIF (Semester " &amp;
        (INT((12*(YEAR(TODAY())-M353) + MONTH(TODAY()) -
          MATCH(L353, {"Januari";"Februari";"Maret";"April";"Mei";"Juni";"Juli";"Agustus";"September";"Oktober";"November";"Desember"}, 0)) / 6) + 1) &amp; ")",
      "LULUS"
    ),
    "AKTIF (Semester " &amp;
      (INT((12*(YEAR(TODAY())-M353) + MONTH(TODAY()) -
        MATCH(L353, {"Januari";"Februari";"Maret";"April";"Mei";"Juni";"Juli";"Agustus";"September";"Oktober";"November";"Desember"}, 0)) / 6) + 1) &amp; ")"
  )
)</f>
        <v>AKTIF (Semester 3)</v>
      </c>
      <c r="T353" s="16" t="str">
        <f ca="1">IF(O353 &lt; YEAR(TODAY()), "LULUS",
 IF(O353 = YEAR(TODAY()),
    IF(MATCH(N353, {"Januari";"Februari";"Maret";"April";"Mei";"Juni";"Juli";"Agustus";"September";"Oktober";"November";"Desember"},0)
        &lt;= MONTH(TODAY()),
        "LULUS",
        "AKTIF"),
 "AKTIF"))</f>
        <v>AKTIF</v>
      </c>
      <c r="U353" s="16" t="s">
        <v>2940</v>
      </c>
      <c r="V353" s="15"/>
      <c r="W353" s="15"/>
      <c r="X353" s="15"/>
      <c r="Y353" s="15"/>
      <c r="Z353" s="15"/>
    </row>
    <row r="354" spans="1:26" ht="29" customHeight="1" x14ac:dyDescent="0.35">
      <c r="A354" s="12">
        <v>353</v>
      </c>
      <c r="B354" s="25" t="s">
        <v>1287</v>
      </c>
      <c r="C354" s="26" t="s">
        <v>1288</v>
      </c>
      <c r="D354" s="25" t="s">
        <v>211</v>
      </c>
      <c r="E354" s="26" t="str">
        <f t="shared" si="6"/>
        <v>Laki-Laki</v>
      </c>
      <c r="F354" s="25" t="s">
        <v>1289</v>
      </c>
      <c r="G354" s="25" t="s">
        <v>909</v>
      </c>
      <c r="H354" s="19" t="s">
        <v>984</v>
      </c>
      <c r="I354" s="19" t="s">
        <v>90</v>
      </c>
      <c r="J354" s="12" t="s">
        <v>180</v>
      </c>
      <c r="K354" s="32" t="s">
        <v>905</v>
      </c>
      <c r="L354" s="29" t="s">
        <v>156</v>
      </c>
      <c r="M354" s="21">
        <v>2024</v>
      </c>
      <c r="N354" s="15" t="s">
        <v>226</v>
      </c>
      <c r="O354" s="15">
        <v>2028</v>
      </c>
      <c r="P354" s="15">
        <v>2025</v>
      </c>
      <c r="Q354" s="15"/>
      <c r="R354" s="16" t="s">
        <v>51</v>
      </c>
      <c r="S354" s="16" t="str">
        <f ca="1">IF(
  O354 &lt; YEAR(TODAY()),
  "LULUS",
  IF(
    O354 = YEAR(TODAY()),
    IF(
      MATCH(L354, {"Januari";"Februari";"Maret";"April";"Mei";"Juni";"Juli";"Agustus";"September";"Oktober";"November";"Desember"}, 0)
        &gt;= MONTH(TODAY()),
      "AKTIF (Semester " &amp;
        (INT((12*(YEAR(TODAY())-M354) + MONTH(TODAY()) -
          MATCH(L354, {"Januari";"Februari";"Maret";"April";"Mei";"Juni";"Juli";"Agustus";"September";"Oktober";"November";"Desember"}, 0)) / 6) + 1) &amp; ")",
      "LULUS"
    ),
    "AKTIF (Semester " &amp;
      (INT((12*(YEAR(TODAY())-M354) + MONTH(TODAY()) -
        MATCH(L354, {"Januari";"Februari";"Maret";"April";"Mei";"Juni";"Juli";"Agustus";"September";"Oktober";"November";"Desember"}, 0)) / 6) + 1) &amp; ")"
  )
)</f>
        <v>AKTIF (Semester 3)</v>
      </c>
      <c r="T354" s="16" t="str">
        <f ca="1">IF(O354 &lt; YEAR(TODAY()), "LULUS",
 IF(O354 = YEAR(TODAY()),
    IF(MATCH(N354, {"Januari";"Februari";"Maret";"April";"Mei";"Juni";"Juli";"Agustus";"September";"Oktober";"November";"Desember"},0)
        &lt;= MONTH(TODAY()),
        "LULUS",
        "AKTIF"),
 "AKTIF"))</f>
        <v>AKTIF</v>
      </c>
      <c r="U354" s="16" t="s">
        <v>2940</v>
      </c>
      <c r="V354" s="15"/>
      <c r="W354" s="15"/>
      <c r="X354" s="15"/>
      <c r="Y354" s="15"/>
      <c r="Z354" s="15"/>
    </row>
    <row r="355" spans="1:26" ht="29" customHeight="1" x14ac:dyDescent="0.35">
      <c r="A355" s="12">
        <v>354</v>
      </c>
      <c r="B355" s="25" t="s">
        <v>1291</v>
      </c>
      <c r="C355" s="26" t="s">
        <v>1292</v>
      </c>
      <c r="D355" s="25" t="s">
        <v>188</v>
      </c>
      <c r="E355" s="26" t="str">
        <f t="shared" si="6"/>
        <v>Laki-Laki</v>
      </c>
      <c r="F355" s="25" t="s">
        <v>672</v>
      </c>
      <c r="G355" s="25" t="s">
        <v>909</v>
      </c>
      <c r="H355" s="19" t="s">
        <v>984</v>
      </c>
      <c r="I355" s="19" t="s">
        <v>90</v>
      </c>
      <c r="J355" s="12" t="s">
        <v>190</v>
      </c>
      <c r="K355" s="32" t="s">
        <v>1293</v>
      </c>
      <c r="L355" s="86" t="s">
        <v>72</v>
      </c>
      <c r="M355" s="21">
        <v>2025</v>
      </c>
      <c r="N355" s="15" t="s">
        <v>912</v>
      </c>
      <c r="O355" s="15">
        <v>2027</v>
      </c>
      <c r="P355" s="15">
        <v>2025</v>
      </c>
      <c r="Q355" s="15"/>
      <c r="R355" s="16" t="s">
        <v>51</v>
      </c>
      <c r="S355" s="16" t="str">
        <f ca="1">IF(
  O355 &lt; YEAR(TODAY()),
  "LULUS",
  IF(
    O355 = YEAR(TODAY()),
    IF(
      MATCH(L355, {"Januari";"Februari";"Maret";"April";"Mei";"Juni";"Juli";"Agustus";"September";"Oktober";"November";"Desember"}, 0)
        &gt;= MONTH(TODAY()),
      "AKTIF (Semester " &amp;
        (INT((12*(YEAR(TODAY())-M355) + MONTH(TODAY()) -
          MATCH(L355, {"Januari";"Februari";"Maret";"April";"Mei";"Juni";"Juli";"Agustus";"September";"Oktober";"November";"Desember"}, 0)) / 6) + 1) &amp; ")",
      "LULUS"
    ),
    "AKTIF (Semester " &amp;
      (INT((12*(YEAR(TODAY())-M355) + MONTH(TODAY()) -
        MATCH(L355, {"Januari";"Februari";"Maret";"April";"Mei";"Juni";"Juli";"Agustus";"September";"Oktober";"November";"Desember"}, 0)) / 6) + 1) &amp; ")"
  )
)</f>
        <v>AKTIF (Semester 2)</v>
      </c>
      <c r="T355" s="16" t="str">
        <f ca="1">IF(O355 &lt; YEAR(TODAY()), "LULUS",
 IF(O355 = YEAR(TODAY()),
    IF(MATCH(N355, {"Januari";"Februari";"Maret";"April";"Mei";"Juni";"Juli";"Agustus";"September";"Oktober";"November";"Desember"},0)
        &lt;= MONTH(TODAY()),
        "LULUS",
        "AKTIF"),
 "AKTIF"))</f>
        <v>AKTIF</v>
      </c>
      <c r="U355" s="16" t="s">
        <v>2945</v>
      </c>
      <c r="V355" s="15"/>
      <c r="W355" s="15"/>
      <c r="X355" s="15"/>
      <c r="Y355" s="15"/>
      <c r="Z355" s="15"/>
    </row>
    <row r="356" spans="1:26" ht="29" customHeight="1" x14ac:dyDescent="0.35">
      <c r="A356" s="12">
        <v>355</v>
      </c>
      <c r="B356" s="25" t="s">
        <v>1294</v>
      </c>
      <c r="C356" s="26" t="s">
        <v>1295</v>
      </c>
      <c r="D356" s="25" t="s">
        <v>519</v>
      </c>
      <c r="E356" s="26" t="str">
        <f t="shared" si="6"/>
        <v>Perempuan</v>
      </c>
      <c r="F356" s="25" t="s">
        <v>1175</v>
      </c>
      <c r="G356" s="25" t="s">
        <v>909</v>
      </c>
      <c r="H356" s="19" t="s">
        <v>984</v>
      </c>
      <c r="I356" s="19" t="s">
        <v>90</v>
      </c>
      <c r="J356" s="12" t="s">
        <v>180</v>
      </c>
      <c r="K356" s="32" t="s">
        <v>905</v>
      </c>
      <c r="L356" s="29" t="s">
        <v>28</v>
      </c>
      <c r="M356" s="21">
        <v>2024</v>
      </c>
      <c r="N356" s="15" t="s">
        <v>205</v>
      </c>
      <c r="O356" s="15">
        <v>2028</v>
      </c>
      <c r="P356" s="15">
        <v>2025</v>
      </c>
      <c r="Q356" s="15"/>
      <c r="R356" s="16" t="s">
        <v>51</v>
      </c>
      <c r="S356" s="16" t="str">
        <f ca="1">IF(
  O356 &lt; YEAR(TODAY()),
  "LULUS",
  IF(
    O356 = YEAR(TODAY()),
    IF(
      MATCH(L356, {"Januari";"Februari";"Maret";"April";"Mei";"Juni";"Juli";"Agustus";"September";"Oktober";"November";"Desember"}, 0)
        &gt;= MONTH(TODAY()),
      "AKTIF (Semester " &amp;
        (INT((12*(YEAR(TODAY())-M356) + MONTH(TODAY()) -
          MATCH(L356, {"Januari";"Februari";"Maret";"April";"Mei";"Juni";"Juli";"Agustus";"September";"Oktober";"November";"Desember"}, 0)) / 6) + 1) &amp; ")",
      "LULUS"
    ),
    "AKTIF (Semester " &amp;
      (INT((12*(YEAR(TODAY())-M356) + MONTH(TODAY()) -
        MATCH(L356, {"Januari";"Februari";"Maret";"April";"Mei";"Juni";"Juli";"Agustus";"September";"Oktober";"November";"Desember"}, 0)) / 6) + 1) &amp; ")"
  )
)</f>
        <v>AKTIF (Semester 3)</v>
      </c>
      <c r="T356" s="16" t="str">
        <f ca="1">IF(O356 &lt; YEAR(TODAY()), "LULUS",
 IF(O356 = YEAR(TODAY()),
    IF(MATCH(N356, {"Januari";"Februari";"Maret";"April";"Mei";"Juni";"Juli";"Agustus";"September";"Oktober";"November";"Desember"},0)
        &lt;= MONTH(TODAY()),
        "LULUS",
        "AKTIF"),
 "AKTIF"))</f>
        <v>AKTIF</v>
      </c>
      <c r="U356" s="16" t="s">
        <v>2940</v>
      </c>
      <c r="V356" s="15"/>
      <c r="W356" s="15"/>
      <c r="X356" s="15"/>
      <c r="Y356" s="15"/>
      <c r="Z356" s="15"/>
    </row>
    <row r="357" spans="1:26" ht="29" customHeight="1" x14ac:dyDescent="0.35">
      <c r="A357" s="12">
        <v>356</v>
      </c>
      <c r="B357" s="25" t="s">
        <v>1296</v>
      </c>
      <c r="C357" s="26" t="s">
        <v>1297</v>
      </c>
      <c r="D357" s="25" t="s">
        <v>539</v>
      </c>
      <c r="E357" s="26" t="str">
        <f t="shared" si="6"/>
        <v>Laki-Laki</v>
      </c>
      <c r="F357" s="25" t="s">
        <v>672</v>
      </c>
      <c r="G357" s="25" t="s">
        <v>909</v>
      </c>
      <c r="H357" s="19" t="s">
        <v>1298</v>
      </c>
      <c r="I357" s="27" t="s">
        <v>1299</v>
      </c>
      <c r="J357" s="12" t="s">
        <v>486</v>
      </c>
      <c r="K357" s="28" t="s">
        <v>1300</v>
      </c>
      <c r="L357" s="29" t="s">
        <v>160</v>
      </c>
      <c r="M357" s="21">
        <v>2024</v>
      </c>
      <c r="N357" s="15" t="s">
        <v>182</v>
      </c>
      <c r="O357" s="15">
        <v>2026</v>
      </c>
      <c r="P357" s="15">
        <v>2025</v>
      </c>
      <c r="Q357" s="15"/>
      <c r="R357" s="16" t="s">
        <v>51</v>
      </c>
      <c r="S357" s="16" t="str">
        <f ca="1">IF(
  O357 &lt; YEAR(TODAY()),
  "LULUS",
  IF(
    O357 = YEAR(TODAY()),
    IF(
      MATCH(L357, {"Januari";"Februari";"Maret";"April";"Mei";"Juni";"Juli";"Agustus";"September";"Oktober";"November";"Desember"}, 0)
        &gt;= MONTH(TODAY()),
      "AKTIF (Semester " &amp;
        (INT((12*(YEAR(TODAY())-M357) + MONTH(TODAY()) -
          MATCH(L357, {"Januari";"Februari";"Maret";"April";"Mei";"Juni";"Juli";"Agustus";"September";"Oktober";"November";"Desember"}, 0)) / 6) + 1) &amp; ")",
      "LULUS"
    ),
    "AKTIF (Semester " &amp;
      (INT((12*(YEAR(TODAY())-M357) + MONTH(TODAY()) -
        MATCH(L357, {"Januari";"Februari";"Maret";"April";"Mei";"Juni";"Juli";"Agustus";"September";"Oktober";"November";"Desember"}, 0)) / 6) + 1) &amp; ")"
  )
)</f>
        <v>AKTIF (Semester 3)</v>
      </c>
      <c r="T357" s="16" t="str">
        <f ca="1">IF(O357 &lt; YEAR(TODAY()), "LULUS",
 IF(O357 = YEAR(TODAY()),
    IF(MATCH(N357, {"Januari";"Februari";"Maret";"April";"Mei";"Juni";"Juli";"Agustus";"September";"Oktober";"November";"Desember"},0)
        &lt;= MONTH(TODAY()),
        "LULUS",
        "AKTIF"),
 "AKTIF"))</f>
        <v>AKTIF</v>
      </c>
      <c r="U357" s="16" t="s">
        <v>2940</v>
      </c>
      <c r="V357" s="15"/>
      <c r="W357" s="15"/>
      <c r="X357" s="15"/>
      <c r="Y357" s="15"/>
      <c r="Z357" s="15"/>
    </row>
    <row r="358" spans="1:26" ht="29" customHeight="1" x14ac:dyDescent="0.35">
      <c r="A358" s="12">
        <v>357</v>
      </c>
      <c r="B358" s="25" t="s">
        <v>1301</v>
      </c>
      <c r="C358" s="26" t="s">
        <v>1302</v>
      </c>
      <c r="D358" s="25" t="s">
        <v>188</v>
      </c>
      <c r="E358" s="26" t="str">
        <f t="shared" si="6"/>
        <v>Laki-Laki</v>
      </c>
      <c r="F358" s="25" t="s">
        <v>1180</v>
      </c>
      <c r="G358" s="25" t="s">
        <v>909</v>
      </c>
      <c r="H358" s="19" t="s">
        <v>984</v>
      </c>
      <c r="I358" s="28" t="s">
        <v>563</v>
      </c>
      <c r="J358" s="32" t="s">
        <v>190</v>
      </c>
      <c r="K358" s="32" t="s">
        <v>1293</v>
      </c>
      <c r="L358" s="29" t="s">
        <v>160</v>
      </c>
      <c r="M358" s="21">
        <v>2025</v>
      </c>
      <c r="N358" s="15" t="s">
        <v>182</v>
      </c>
      <c r="O358" s="15">
        <v>2027</v>
      </c>
      <c r="P358" s="15">
        <v>2025</v>
      </c>
      <c r="Q358" s="15"/>
      <c r="R358" s="16"/>
      <c r="S358" s="16" t="str">
        <f ca="1">IF(
  O358 &lt; YEAR(TODAY()),
  "LULUS",
  IF(
    O358 = YEAR(TODAY()),
    IF(
      MATCH(L358, {"Januari";"Februari";"Maret";"April";"Mei";"Juni";"Juli";"Agustus";"September";"Oktober";"November";"Desember"}, 0)
        &gt;= MONTH(TODAY()),
      "AKTIF (Semester " &amp;
        (INT((12*(YEAR(TODAY())-M358) + MONTH(TODAY()) -
          MATCH(L358, {"Januari";"Februari";"Maret";"April";"Mei";"Juni";"Juli";"Agustus";"September";"Oktober";"November";"Desember"}, 0)) / 6) + 1) &amp; ")",
      "LULUS"
    ),
    "AKTIF (Semester " &amp;
      (INT((12*(YEAR(TODAY())-M358) + MONTH(TODAY()) -
        MATCH(L358, {"Januari";"Februari";"Maret";"April";"Mei";"Juni";"Juli";"Agustus";"September";"Oktober";"November";"Desember"}, 0)) / 6) + 1) &amp; ")"
  )
)</f>
        <v>AKTIF (Semester 1)</v>
      </c>
      <c r="T358" s="16" t="str">
        <f ca="1">IF(O358 &lt; YEAR(TODAY()), "LULUS",
 IF(O358 = YEAR(TODAY()),
    IF(MATCH(N358, {"Januari";"Februari";"Maret";"April";"Mei";"Juni";"Juli";"Agustus";"September";"Oktober";"November";"Desember"},0)
        &lt;= MONTH(TODAY()),
        "LULUS",
        "AKTIF"),
 "AKTIF"))</f>
        <v>AKTIF</v>
      </c>
      <c r="U358" s="16" t="s">
        <v>2943</v>
      </c>
      <c r="V358" s="15"/>
      <c r="W358" s="15"/>
      <c r="X358" s="15"/>
      <c r="Y358" s="15"/>
      <c r="Z358" s="15"/>
    </row>
    <row r="359" spans="1:26" ht="29" customHeight="1" x14ac:dyDescent="0.35">
      <c r="A359" s="12">
        <v>358</v>
      </c>
      <c r="B359" s="13" t="s">
        <v>1303</v>
      </c>
      <c r="C359" s="14" t="s">
        <v>1304</v>
      </c>
      <c r="D359" s="13"/>
      <c r="E359" s="14" t="str">
        <f t="shared" si="6"/>
        <v>Laki-Laki</v>
      </c>
      <c r="F359" s="13"/>
      <c r="G359" s="13" t="s">
        <v>1305</v>
      </c>
      <c r="H359" s="15" t="s">
        <v>1306</v>
      </c>
      <c r="I359" s="19" t="s">
        <v>90</v>
      </c>
      <c r="J359" s="12" t="s">
        <v>45</v>
      </c>
      <c r="K359" s="15" t="s">
        <v>1307</v>
      </c>
      <c r="L359" s="15" t="s">
        <v>205</v>
      </c>
      <c r="M359" s="15">
        <v>2019</v>
      </c>
      <c r="N359" s="15" t="s">
        <v>60</v>
      </c>
      <c r="O359" s="15">
        <v>2023</v>
      </c>
      <c r="P359" s="15">
        <v>2020</v>
      </c>
      <c r="Q359" s="15"/>
      <c r="R359" s="16" t="s">
        <v>51</v>
      </c>
      <c r="S359" s="16" t="str">
        <f ca="1">IF(
  O359 &lt; YEAR(TODAY()),
  "LULUS",
  IF(
    O359 = YEAR(TODAY()),
    IF(
      MATCH(L359, {"Januari";"Februari";"Maret";"April";"Mei";"Juni";"Juli";"Agustus";"September";"Oktober";"November";"Desember"}, 0)
        &gt;= MONTH(TODAY()),
      "AKTIF (Semester " &amp;
        (INT((12*(YEAR(TODAY())-M359) + MONTH(TODAY()) -
          MATCH(L359, {"Januari";"Februari";"Maret";"April";"Mei";"Juni";"Juli";"Agustus";"September";"Oktober";"November";"Desember"}, 0)) / 6) + 1) &amp; ")",
      "LULUS"
    ),
    "AKTIF (Semester " &amp;
      (INT((12*(YEAR(TODAY())-M359) + MONTH(TODAY()) -
        MATCH(L359, {"Januari";"Februari";"Maret";"April";"Mei";"Juni";"Juli";"Agustus";"September";"Oktober";"November";"Desember"}, 0)) / 6) + 1) &amp; ")"
  )
)</f>
        <v>LULUS</v>
      </c>
      <c r="T359" s="16" t="str">
        <f ca="1">IF(O359 &lt; YEAR(TODAY()), "LULUS",
 IF(O359 = YEAR(TODAY()),
    IF(MATCH(N359, {"Januari";"Februari";"Maret";"April";"Mei";"Juni";"Juli";"Agustus";"September";"Oktober";"November";"Desember"},0)
        &lt;= MONTH(TODAY()),
        "LULUS",
        "AKTIF"),
 "AKTIF"))</f>
        <v>LULUS</v>
      </c>
      <c r="U359" s="16" t="s">
        <v>29</v>
      </c>
      <c r="V359" s="15"/>
      <c r="W359" s="15"/>
      <c r="X359" s="15"/>
      <c r="Y359" s="15"/>
      <c r="Z359" s="15"/>
    </row>
    <row r="360" spans="1:26" ht="29" customHeight="1" x14ac:dyDescent="0.35">
      <c r="A360" s="12">
        <v>359</v>
      </c>
      <c r="B360" s="13" t="s">
        <v>1308</v>
      </c>
      <c r="C360" s="14" t="s">
        <v>1309</v>
      </c>
      <c r="D360" s="13"/>
      <c r="E360" s="14" t="str">
        <f t="shared" si="6"/>
        <v>Laki-Laki</v>
      </c>
      <c r="F360" s="13"/>
      <c r="G360" s="13" t="s">
        <v>1305</v>
      </c>
      <c r="H360" s="15" t="s">
        <v>1310</v>
      </c>
      <c r="I360" s="15" t="s">
        <v>39</v>
      </c>
      <c r="J360" s="12" t="s">
        <v>45</v>
      </c>
      <c r="K360" s="15" t="s">
        <v>181</v>
      </c>
      <c r="L360" s="15" t="s">
        <v>123</v>
      </c>
      <c r="M360" s="15">
        <v>2020</v>
      </c>
      <c r="N360" s="15" t="s">
        <v>123</v>
      </c>
      <c r="O360" s="15">
        <v>2024</v>
      </c>
      <c r="P360" s="15">
        <v>2020</v>
      </c>
      <c r="Q360" s="15"/>
      <c r="R360" s="16" t="s">
        <v>29</v>
      </c>
      <c r="S360" s="16" t="str">
        <f ca="1">IF(
  O360 &lt; YEAR(TODAY()),
  "LULUS",
  IF(
    O360 = YEAR(TODAY()),
    IF(
      MATCH(L360, {"Januari";"Februari";"Maret";"April";"Mei";"Juni";"Juli";"Agustus";"September";"Oktober";"November";"Desember"}, 0)
        &gt;= MONTH(TODAY()),
      "AKTIF (Semester " &amp;
        (INT((12*(YEAR(TODAY())-M360) + MONTH(TODAY()) -
          MATCH(L360, {"Januari";"Februari";"Maret";"April";"Mei";"Juni";"Juli";"Agustus";"September";"Oktober";"November";"Desember"}, 0)) / 6) + 1) &amp; ")",
      "LULUS"
    ),
    "AKTIF (Semester " &amp;
      (INT((12*(YEAR(TODAY())-M360) + MONTH(TODAY()) -
        MATCH(L360, {"Januari";"Februari";"Maret";"April";"Mei";"Juni";"Juli";"Agustus";"September";"Oktober";"November";"Desember"}, 0)) / 6) + 1) &amp; ")"
  )
)</f>
        <v>LULUS</v>
      </c>
      <c r="T360" s="16" t="str">
        <f ca="1">IF(O360 &lt; YEAR(TODAY()), "LULUS",
 IF(O360 = YEAR(TODAY()),
    IF(MATCH(N360, {"Januari";"Februari";"Maret";"April";"Mei";"Juni";"Juli";"Agustus";"September";"Oktober";"November";"Desember"},0)
        &lt;= MONTH(TODAY()),
        "LULUS",
        "AKTIF"),
 "AKTIF"))</f>
        <v>LULUS</v>
      </c>
      <c r="U360" s="16" t="s">
        <v>29</v>
      </c>
      <c r="V360" s="15"/>
      <c r="W360" s="15"/>
      <c r="X360" s="15"/>
      <c r="Y360" s="15"/>
      <c r="Z360" s="15"/>
    </row>
    <row r="361" spans="1:26" ht="29" customHeight="1" x14ac:dyDescent="0.35">
      <c r="A361" s="12">
        <v>360</v>
      </c>
      <c r="B361" s="13" t="s">
        <v>1311</v>
      </c>
      <c r="C361" s="14" t="s">
        <v>1312</v>
      </c>
      <c r="D361" s="13"/>
      <c r="E361" s="14" t="str">
        <f t="shared" si="6"/>
        <v>Laki-Laki</v>
      </c>
      <c r="F361" s="13"/>
      <c r="G361" s="13" t="s">
        <v>1305</v>
      </c>
      <c r="H361" s="15" t="s">
        <v>1313</v>
      </c>
      <c r="I361" s="15" t="s">
        <v>1314</v>
      </c>
      <c r="J361" s="12" t="s">
        <v>26</v>
      </c>
      <c r="K361" s="15" t="s">
        <v>1315</v>
      </c>
      <c r="L361" s="15" t="s">
        <v>511</v>
      </c>
      <c r="M361" s="15">
        <v>2020</v>
      </c>
      <c r="N361" s="15" t="s">
        <v>511</v>
      </c>
      <c r="O361" s="15">
        <v>2024</v>
      </c>
      <c r="P361" s="15">
        <v>2020</v>
      </c>
      <c r="Q361" s="15"/>
      <c r="R361" s="16" t="s">
        <v>29</v>
      </c>
      <c r="S361" s="16" t="str">
        <f ca="1">IF(
  O361 &lt; YEAR(TODAY()),
  "LULUS",
  IF(
    O361 = YEAR(TODAY()),
    IF(
      MATCH(L361, {"Januari";"Februari";"Maret";"April";"Mei";"Juni";"Juli";"Agustus";"September";"Oktober";"November";"Desember"}, 0)
        &gt;= MONTH(TODAY()),
      "AKTIF (Semester " &amp;
        (INT((12*(YEAR(TODAY())-M361) + MONTH(TODAY()) -
          MATCH(L361, {"Januari";"Februari";"Maret";"April";"Mei";"Juni";"Juli";"Agustus";"September";"Oktober";"November";"Desember"}, 0)) / 6) + 1) &amp; ")",
      "LULUS"
    ),
    "AKTIF (Semester " &amp;
      (INT((12*(YEAR(TODAY())-M361) + MONTH(TODAY()) -
        MATCH(L361, {"Januari";"Februari";"Maret";"April";"Mei";"Juni";"Juli";"Agustus";"September";"Oktober";"November";"Desember"}, 0)) / 6) + 1) &amp; ")"
  )
)</f>
        <v>LULUS</v>
      </c>
      <c r="T361" s="16" t="str">
        <f ca="1">IF(O361 &lt; YEAR(TODAY()), "LULUS",
 IF(O361 = YEAR(TODAY()),
    IF(MATCH(N361, {"Januari";"Februari";"Maret";"April";"Mei";"Juni";"Juli";"Agustus";"September";"Oktober";"November";"Desember"},0)
        &lt;= MONTH(TODAY()),
        "LULUS",
        "AKTIF"),
 "AKTIF"))</f>
        <v>LULUS</v>
      </c>
      <c r="U361" s="16" t="s">
        <v>29</v>
      </c>
      <c r="V361" s="15"/>
      <c r="W361" s="15"/>
      <c r="X361" s="15"/>
      <c r="Y361" s="15"/>
      <c r="Z361" s="15"/>
    </row>
    <row r="362" spans="1:26" ht="29" customHeight="1" x14ac:dyDescent="0.35">
      <c r="A362" s="12">
        <v>361</v>
      </c>
      <c r="B362" s="13" t="s">
        <v>1316</v>
      </c>
      <c r="C362" s="14" t="s">
        <v>1317</v>
      </c>
      <c r="D362" s="13"/>
      <c r="E362" s="14" t="str">
        <f t="shared" si="6"/>
        <v>Laki-Laki</v>
      </c>
      <c r="F362" s="13"/>
      <c r="G362" s="13" t="s">
        <v>1305</v>
      </c>
      <c r="H362" s="81" t="s">
        <v>1318</v>
      </c>
      <c r="I362" s="15" t="s">
        <v>1319</v>
      </c>
      <c r="J362" s="12" t="s">
        <v>26</v>
      </c>
      <c r="K362" s="15" t="s">
        <v>221</v>
      </c>
      <c r="L362" s="15" t="s">
        <v>182</v>
      </c>
      <c r="M362" s="15">
        <v>2020</v>
      </c>
      <c r="N362" s="15" t="s">
        <v>182</v>
      </c>
      <c r="O362" s="15">
        <v>2024</v>
      </c>
      <c r="P362" s="15">
        <v>2020</v>
      </c>
      <c r="Q362" s="15"/>
      <c r="R362" s="16" t="s">
        <v>29</v>
      </c>
      <c r="S362" s="16" t="str">
        <f ca="1">IF(
  O362 &lt; YEAR(TODAY()),
  "LULUS",
  IF(
    O362 = YEAR(TODAY()),
    IF(
      MATCH(L362, {"Januari";"Februari";"Maret";"April";"Mei";"Juni";"Juli";"Agustus";"September";"Oktober";"November";"Desember"}, 0)
        &gt;= MONTH(TODAY()),
      "AKTIF (Semester " &amp;
        (INT((12*(YEAR(TODAY())-M362) + MONTH(TODAY()) -
          MATCH(L362, {"Januari";"Februari";"Maret";"April";"Mei";"Juni";"Juli";"Agustus";"September";"Oktober";"November";"Desember"}, 0)) / 6) + 1) &amp; ")",
      "LULUS"
    ),
    "AKTIF (Semester " &amp;
      (INT((12*(YEAR(TODAY())-M362) + MONTH(TODAY()) -
        MATCH(L362, {"Januari";"Februari";"Maret";"April";"Mei";"Juni";"Juli";"Agustus";"September";"Oktober";"November";"Desember"}, 0)) / 6) + 1) &amp; ")"
  )
)</f>
        <v>LULUS</v>
      </c>
      <c r="T362" s="16" t="str">
        <f ca="1">IF(O362 &lt; YEAR(TODAY()), "LULUS",
 IF(O362 = YEAR(TODAY()),
    IF(MATCH(N362, {"Januari";"Februari";"Maret";"April";"Mei";"Juni";"Juli";"Agustus";"September";"Oktober";"November";"Desember"},0)
        &lt;= MONTH(TODAY()),
        "LULUS",
        "AKTIF"),
 "AKTIF"))</f>
        <v>LULUS</v>
      </c>
      <c r="U362" s="16" t="s">
        <v>29</v>
      </c>
      <c r="V362" s="15"/>
      <c r="W362" s="15"/>
      <c r="X362" s="15"/>
      <c r="Y362" s="15"/>
      <c r="Z362" s="15"/>
    </row>
    <row r="363" spans="1:26" ht="29" customHeight="1" x14ac:dyDescent="0.35">
      <c r="A363" s="12">
        <v>362</v>
      </c>
      <c r="B363" s="13" t="s">
        <v>1320</v>
      </c>
      <c r="C363" s="14" t="s">
        <v>1321</v>
      </c>
      <c r="D363" s="13"/>
      <c r="E363" s="14" t="str">
        <f t="shared" si="6"/>
        <v>Laki-Laki</v>
      </c>
      <c r="F363" s="18"/>
      <c r="G363" s="13" t="s">
        <v>1305</v>
      </c>
      <c r="H363" s="15" t="s">
        <v>1322</v>
      </c>
      <c r="I363" s="15" t="s">
        <v>261</v>
      </c>
      <c r="J363" s="12" t="s">
        <v>26</v>
      </c>
      <c r="K363" s="15" t="s">
        <v>1323</v>
      </c>
      <c r="L363" s="15" t="s">
        <v>28</v>
      </c>
      <c r="M363" s="15">
        <v>2020</v>
      </c>
      <c r="N363" s="15" t="s">
        <v>28</v>
      </c>
      <c r="O363" s="15">
        <v>2022</v>
      </c>
      <c r="P363" s="15">
        <v>2020</v>
      </c>
      <c r="Q363" s="15"/>
      <c r="R363" s="16" t="s">
        <v>29</v>
      </c>
      <c r="S363" s="16" t="str">
        <f ca="1">IF(
  O363 &lt; YEAR(TODAY()),
  "LULUS",
  IF(
    O363 = YEAR(TODAY()),
    IF(
      MATCH(L363, {"Januari";"Februari";"Maret";"April";"Mei";"Juni";"Juli";"Agustus";"September";"Oktober";"November";"Desember"}, 0)
        &gt;= MONTH(TODAY()),
      "AKTIF (Semester " &amp;
        (INT((12*(YEAR(TODAY())-M363) + MONTH(TODAY()) -
          MATCH(L363, {"Januari";"Februari";"Maret";"April";"Mei";"Juni";"Juli";"Agustus";"September";"Oktober";"November";"Desember"}, 0)) / 6) + 1) &amp; ")",
      "LULUS"
    ),
    "AKTIF (Semester " &amp;
      (INT((12*(YEAR(TODAY())-M363) + MONTH(TODAY()) -
        MATCH(L363, {"Januari";"Februari";"Maret";"April";"Mei";"Juni";"Juli";"Agustus";"September";"Oktober";"November";"Desember"}, 0)) / 6) + 1) &amp; ")"
  )
)</f>
        <v>LULUS</v>
      </c>
      <c r="T363" s="16" t="str">
        <f ca="1">IF(O363 &lt; YEAR(TODAY()), "LULUS",
 IF(O363 = YEAR(TODAY()),
    IF(MATCH(N363, {"Januari";"Februari";"Maret";"April";"Mei";"Juni";"Juli";"Agustus";"September";"Oktober";"November";"Desember"},0)
        &lt;= MONTH(TODAY()),
        "LULUS",
        "AKTIF"),
 "AKTIF"))</f>
        <v>LULUS</v>
      </c>
      <c r="U363" s="16" t="s">
        <v>29</v>
      </c>
      <c r="V363" s="15"/>
      <c r="W363" s="15"/>
      <c r="X363" s="15"/>
      <c r="Y363" s="15"/>
      <c r="Z363" s="15"/>
    </row>
    <row r="364" spans="1:26" ht="29" customHeight="1" x14ac:dyDescent="0.35">
      <c r="A364" s="12">
        <v>363</v>
      </c>
      <c r="B364" s="13" t="s">
        <v>1324</v>
      </c>
      <c r="C364" s="14" t="s">
        <v>1325</v>
      </c>
      <c r="D364" s="13"/>
      <c r="E364" s="14" t="str">
        <f t="shared" si="6"/>
        <v>Laki-Laki</v>
      </c>
      <c r="F364" s="18"/>
      <c r="G364" s="13" t="s">
        <v>1305</v>
      </c>
      <c r="H364" s="15" t="s">
        <v>1326</v>
      </c>
      <c r="I364" s="15" t="s">
        <v>241</v>
      </c>
      <c r="J364" s="12" t="s">
        <v>242</v>
      </c>
      <c r="K364" s="15" t="s">
        <v>1327</v>
      </c>
      <c r="L364" s="15" t="s">
        <v>205</v>
      </c>
      <c r="M364" s="15">
        <v>2020</v>
      </c>
      <c r="N364" s="15" t="s">
        <v>205</v>
      </c>
      <c r="O364" s="15">
        <v>2023</v>
      </c>
      <c r="P364" s="15">
        <v>2020</v>
      </c>
      <c r="Q364" s="15"/>
      <c r="R364" s="16" t="s">
        <v>51</v>
      </c>
      <c r="S364" s="16" t="str">
        <f ca="1">IF(
  O364 &lt; YEAR(TODAY()),
  "LULUS",
  IF(
    O364 = YEAR(TODAY()),
    IF(
      MATCH(L364, {"Januari";"Februari";"Maret";"April";"Mei";"Juni";"Juli";"Agustus";"September";"Oktober";"November";"Desember"}, 0)
        &gt;= MONTH(TODAY()),
      "AKTIF (Semester " &amp;
        (INT((12*(YEAR(TODAY())-M364) + MONTH(TODAY()) -
          MATCH(L364, {"Januari";"Februari";"Maret";"April";"Mei";"Juni";"Juli";"Agustus";"September";"Oktober";"November";"Desember"}, 0)) / 6) + 1) &amp; ")",
      "LULUS"
    ),
    "AKTIF (Semester " &amp;
      (INT((12*(YEAR(TODAY())-M364) + MONTH(TODAY()) -
        MATCH(L364, {"Januari";"Februari";"Maret";"April";"Mei";"Juni";"Juli";"Agustus";"September";"Oktober";"November";"Desember"}, 0)) / 6) + 1) &amp; ")"
  )
)</f>
        <v>LULUS</v>
      </c>
      <c r="T364" s="16" t="str">
        <f ca="1">IF(O364 &lt; YEAR(TODAY()), "LULUS",
 IF(O364 = YEAR(TODAY()),
    IF(MATCH(N364, {"Januari";"Februari";"Maret";"April";"Mei";"Juni";"Juli";"Agustus";"September";"Oktober";"November";"Desember"},0)
        &lt;= MONTH(TODAY()),
        "LULUS",
        "AKTIF"),
 "AKTIF"))</f>
        <v>LULUS</v>
      </c>
      <c r="U364" s="16" t="s">
        <v>29</v>
      </c>
      <c r="V364" s="15"/>
      <c r="W364" s="15"/>
      <c r="X364" s="15"/>
      <c r="Y364" s="15"/>
      <c r="Z364" s="15"/>
    </row>
    <row r="365" spans="1:26" ht="29" customHeight="1" x14ac:dyDescent="0.35">
      <c r="A365" s="12">
        <v>364</v>
      </c>
      <c r="B365" s="13" t="s">
        <v>1328</v>
      </c>
      <c r="C365" s="14" t="s">
        <v>1329</v>
      </c>
      <c r="D365" s="13"/>
      <c r="E365" s="14" t="str">
        <f t="shared" si="6"/>
        <v>Laki-Laki</v>
      </c>
      <c r="F365" s="18"/>
      <c r="G365" s="13" t="s">
        <v>1305</v>
      </c>
      <c r="H365" s="15" t="s">
        <v>1330</v>
      </c>
      <c r="I365" s="15" t="s">
        <v>241</v>
      </c>
      <c r="J365" s="12" t="s">
        <v>242</v>
      </c>
      <c r="K365" s="15" t="s">
        <v>1327</v>
      </c>
      <c r="L365" s="15" t="s">
        <v>205</v>
      </c>
      <c r="M365" s="15">
        <v>2020</v>
      </c>
      <c r="N365" s="15" t="s">
        <v>205</v>
      </c>
      <c r="O365" s="15">
        <v>2023</v>
      </c>
      <c r="P365" s="15">
        <v>2020</v>
      </c>
      <c r="Q365" s="15"/>
      <c r="R365" s="16" t="s">
        <v>51</v>
      </c>
      <c r="S365" s="16" t="str">
        <f ca="1">IF(
  O365 &lt; YEAR(TODAY()),
  "LULUS",
  IF(
    O365 = YEAR(TODAY()),
    IF(
      MATCH(L365, {"Januari";"Februari";"Maret";"April";"Mei";"Juni";"Juli";"Agustus";"September";"Oktober";"November";"Desember"}, 0)
        &gt;= MONTH(TODAY()),
      "AKTIF (Semester " &amp;
        (INT((12*(YEAR(TODAY())-M365) + MONTH(TODAY()) -
          MATCH(L365, {"Januari";"Februari";"Maret";"April";"Mei";"Juni";"Juli";"Agustus";"September";"Oktober";"November";"Desember"}, 0)) / 6) + 1) &amp; ")",
      "LULUS"
    ),
    "AKTIF (Semester " &amp;
      (INT((12*(YEAR(TODAY())-M365) + MONTH(TODAY()) -
        MATCH(L365, {"Januari";"Februari";"Maret";"April";"Mei";"Juni";"Juli";"Agustus";"September";"Oktober";"November";"Desember"}, 0)) / 6) + 1) &amp; ")"
  )
)</f>
        <v>LULUS</v>
      </c>
      <c r="T365" s="16" t="str">
        <f ca="1">IF(O365 &lt; YEAR(TODAY()), "LULUS",
 IF(O365 = YEAR(TODAY()),
    IF(MATCH(N365, {"Januari";"Februari";"Maret";"April";"Mei";"Juni";"Juli";"Agustus";"September";"Oktober";"November";"Desember"},0)
        &lt;= MONTH(TODAY()),
        "LULUS",
        "AKTIF"),
 "AKTIF"))</f>
        <v>LULUS</v>
      </c>
      <c r="U365" s="16" t="s">
        <v>29</v>
      </c>
      <c r="V365" s="15"/>
      <c r="W365" s="15"/>
      <c r="X365" s="15"/>
      <c r="Y365" s="15"/>
      <c r="Z365" s="15"/>
    </row>
    <row r="366" spans="1:26" ht="29" customHeight="1" x14ac:dyDescent="0.35">
      <c r="A366" s="12">
        <v>365</v>
      </c>
      <c r="B366" s="13" t="s">
        <v>1331</v>
      </c>
      <c r="C366" s="14" t="s">
        <v>1332</v>
      </c>
      <c r="D366" s="13"/>
      <c r="E366" s="14" t="str">
        <f t="shared" si="6"/>
        <v>Laki-Laki</v>
      </c>
      <c r="F366" s="18"/>
      <c r="G366" s="13" t="s">
        <v>1305</v>
      </c>
      <c r="H366" s="15" t="s">
        <v>1326</v>
      </c>
      <c r="I366" s="15" t="s">
        <v>241</v>
      </c>
      <c r="J366" s="12" t="s">
        <v>242</v>
      </c>
      <c r="K366" s="15" t="s">
        <v>1327</v>
      </c>
      <c r="L366" s="15" t="s">
        <v>205</v>
      </c>
      <c r="M366" s="15">
        <v>2020</v>
      </c>
      <c r="N366" s="15" t="s">
        <v>205</v>
      </c>
      <c r="O366" s="15">
        <v>2023</v>
      </c>
      <c r="P366" s="15">
        <v>2020</v>
      </c>
      <c r="Q366" s="15"/>
      <c r="R366" s="16" t="s">
        <v>51</v>
      </c>
      <c r="S366" s="16" t="str">
        <f ca="1">IF(
  O366 &lt; YEAR(TODAY()),
  "LULUS",
  IF(
    O366 = YEAR(TODAY()),
    IF(
      MATCH(L366, {"Januari";"Februari";"Maret";"April";"Mei";"Juni";"Juli";"Agustus";"September";"Oktober";"November";"Desember"}, 0)
        &gt;= MONTH(TODAY()),
      "AKTIF (Semester " &amp;
        (INT((12*(YEAR(TODAY())-M366) + MONTH(TODAY()) -
          MATCH(L366, {"Januari";"Februari";"Maret";"April";"Mei";"Juni";"Juli";"Agustus";"September";"Oktober";"November";"Desember"}, 0)) / 6) + 1) &amp; ")",
      "LULUS"
    ),
    "AKTIF (Semester " &amp;
      (INT((12*(YEAR(TODAY())-M366) + MONTH(TODAY()) -
        MATCH(L366, {"Januari";"Februari";"Maret";"April";"Mei";"Juni";"Juli";"Agustus";"September";"Oktober";"November";"Desember"}, 0)) / 6) + 1) &amp; ")"
  )
)</f>
        <v>LULUS</v>
      </c>
      <c r="T366" s="16" t="str">
        <f ca="1">IF(O366 &lt; YEAR(TODAY()), "LULUS",
 IF(O366 = YEAR(TODAY()),
    IF(MATCH(N366, {"Januari";"Februari";"Maret";"April";"Mei";"Juni";"Juli";"Agustus";"September";"Oktober";"November";"Desember"},0)
        &lt;= MONTH(TODAY()),
        "LULUS",
        "AKTIF"),
 "AKTIF"))</f>
        <v>LULUS</v>
      </c>
      <c r="U366" s="16" t="s">
        <v>29</v>
      </c>
      <c r="V366" s="15"/>
      <c r="W366" s="15"/>
      <c r="X366" s="15"/>
      <c r="Y366" s="15"/>
      <c r="Z366" s="15"/>
    </row>
    <row r="367" spans="1:26" ht="29" customHeight="1" x14ac:dyDescent="0.35">
      <c r="A367" s="12">
        <v>366</v>
      </c>
      <c r="B367" s="13" t="s">
        <v>1333</v>
      </c>
      <c r="C367" s="14" t="s">
        <v>1334</v>
      </c>
      <c r="D367" s="13"/>
      <c r="E367" s="14" t="str">
        <f t="shared" si="6"/>
        <v>Laki-Laki</v>
      </c>
      <c r="F367" s="18"/>
      <c r="G367" s="13" t="s">
        <v>1305</v>
      </c>
      <c r="H367" s="15" t="s">
        <v>1326</v>
      </c>
      <c r="I367" s="15" t="s">
        <v>241</v>
      </c>
      <c r="J367" s="12" t="s">
        <v>242</v>
      </c>
      <c r="K367" s="15" t="s">
        <v>1327</v>
      </c>
      <c r="L367" s="15" t="s">
        <v>205</v>
      </c>
      <c r="M367" s="15">
        <v>2020</v>
      </c>
      <c r="N367" s="15" t="s">
        <v>205</v>
      </c>
      <c r="O367" s="15">
        <v>2023</v>
      </c>
      <c r="P367" s="15">
        <v>2020</v>
      </c>
      <c r="Q367" s="15"/>
      <c r="R367" s="16" t="s">
        <v>51</v>
      </c>
      <c r="S367" s="16" t="str">
        <f ca="1">IF(
  O367 &lt; YEAR(TODAY()),
  "LULUS",
  IF(
    O367 = YEAR(TODAY()),
    IF(
      MATCH(L367, {"Januari";"Februari";"Maret";"April";"Mei";"Juni";"Juli";"Agustus";"September";"Oktober";"November";"Desember"}, 0)
        &gt;= MONTH(TODAY()),
      "AKTIF (Semester " &amp;
        (INT((12*(YEAR(TODAY())-M367) + MONTH(TODAY()) -
          MATCH(L367, {"Januari";"Februari";"Maret";"April";"Mei";"Juni";"Juli";"Agustus";"September";"Oktober";"November";"Desember"}, 0)) / 6) + 1) &amp; ")",
      "LULUS"
    ),
    "AKTIF (Semester " &amp;
      (INT((12*(YEAR(TODAY())-M367) + MONTH(TODAY()) -
        MATCH(L367, {"Januari";"Februari";"Maret";"April";"Mei";"Juni";"Juli";"Agustus";"September";"Oktober";"November";"Desember"}, 0)) / 6) + 1) &amp; ")"
  )
)</f>
        <v>LULUS</v>
      </c>
      <c r="T367" s="16" t="str">
        <f ca="1">IF(O367 &lt; YEAR(TODAY()), "LULUS",
 IF(O367 = YEAR(TODAY()),
    IF(MATCH(N367, {"Januari";"Februari";"Maret";"April";"Mei";"Juni";"Juli";"Agustus";"September";"Oktober";"November";"Desember"},0)
        &lt;= MONTH(TODAY()),
        "LULUS",
        "AKTIF"),
 "AKTIF"))</f>
        <v>LULUS</v>
      </c>
      <c r="U367" s="16" t="s">
        <v>29</v>
      </c>
      <c r="V367" s="15"/>
      <c r="W367" s="15"/>
      <c r="X367" s="15"/>
      <c r="Y367" s="15"/>
      <c r="Z367" s="15"/>
    </row>
    <row r="368" spans="1:26" ht="29" customHeight="1" x14ac:dyDescent="0.35">
      <c r="A368" s="12">
        <v>367</v>
      </c>
      <c r="B368" s="13" t="s">
        <v>1335</v>
      </c>
      <c r="C368" s="14" t="s">
        <v>1336</v>
      </c>
      <c r="D368" s="13"/>
      <c r="E368" s="14" t="str">
        <f t="shared" si="6"/>
        <v>Laki-Laki</v>
      </c>
      <c r="F368" s="18"/>
      <c r="G368" s="13" t="s">
        <v>1305</v>
      </c>
      <c r="H368" s="15" t="s">
        <v>1326</v>
      </c>
      <c r="I368" s="15" t="s">
        <v>241</v>
      </c>
      <c r="J368" s="12" t="s">
        <v>242</v>
      </c>
      <c r="K368" s="15" t="s">
        <v>1327</v>
      </c>
      <c r="L368" s="15" t="s">
        <v>205</v>
      </c>
      <c r="M368" s="15">
        <v>2020</v>
      </c>
      <c r="N368" s="15" t="s">
        <v>205</v>
      </c>
      <c r="O368" s="15">
        <v>2023</v>
      </c>
      <c r="P368" s="15">
        <v>2020</v>
      </c>
      <c r="Q368" s="15"/>
      <c r="R368" s="16" t="s">
        <v>51</v>
      </c>
      <c r="S368" s="16" t="str">
        <f ca="1">IF(
  O368 &lt; YEAR(TODAY()),
  "LULUS",
  IF(
    O368 = YEAR(TODAY()),
    IF(
      MATCH(L368, {"Januari";"Februari";"Maret";"April";"Mei";"Juni";"Juli";"Agustus";"September";"Oktober";"November";"Desember"}, 0)
        &gt;= MONTH(TODAY()),
      "AKTIF (Semester " &amp;
        (INT((12*(YEAR(TODAY())-M368) + MONTH(TODAY()) -
          MATCH(L368, {"Januari";"Februari";"Maret";"April";"Mei";"Juni";"Juli";"Agustus";"September";"Oktober";"November";"Desember"}, 0)) / 6) + 1) &amp; ")",
      "LULUS"
    ),
    "AKTIF (Semester " &amp;
      (INT((12*(YEAR(TODAY())-M368) + MONTH(TODAY()) -
        MATCH(L368, {"Januari";"Februari";"Maret";"April";"Mei";"Juni";"Juli";"Agustus";"September";"Oktober";"November";"Desember"}, 0)) / 6) + 1) &amp; ")"
  )
)</f>
        <v>LULUS</v>
      </c>
      <c r="T368" s="16" t="str">
        <f ca="1">IF(O368 &lt; YEAR(TODAY()), "LULUS",
 IF(O368 = YEAR(TODAY()),
    IF(MATCH(N368, {"Januari";"Februari";"Maret";"April";"Mei";"Juni";"Juli";"Agustus";"September";"Oktober";"November";"Desember"},0)
        &lt;= MONTH(TODAY()),
        "LULUS",
        "AKTIF"),
 "AKTIF"))</f>
        <v>LULUS</v>
      </c>
      <c r="U368" s="16" t="s">
        <v>29</v>
      </c>
      <c r="V368" s="15"/>
      <c r="W368" s="15"/>
      <c r="X368" s="15"/>
      <c r="Y368" s="15"/>
      <c r="Z368" s="15"/>
    </row>
    <row r="369" spans="1:26" ht="29" customHeight="1" x14ac:dyDescent="0.35">
      <c r="A369" s="12">
        <v>368</v>
      </c>
      <c r="B369" s="13" t="s">
        <v>1337</v>
      </c>
      <c r="C369" s="14" t="s">
        <v>1338</v>
      </c>
      <c r="D369" s="13"/>
      <c r="E369" s="14" t="str">
        <f t="shared" si="6"/>
        <v>Laki-Laki</v>
      </c>
      <c r="F369" s="18"/>
      <c r="G369" s="13" t="s">
        <v>1305</v>
      </c>
      <c r="H369" s="15" t="s">
        <v>1326</v>
      </c>
      <c r="I369" s="15" t="s">
        <v>241</v>
      </c>
      <c r="J369" s="12" t="s">
        <v>242</v>
      </c>
      <c r="K369" s="15" t="s">
        <v>1327</v>
      </c>
      <c r="L369" s="15" t="s">
        <v>205</v>
      </c>
      <c r="M369" s="15">
        <v>2020</v>
      </c>
      <c r="N369" s="15" t="s">
        <v>205</v>
      </c>
      <c r="O369" s="15">
        <v>2023</v>
      </c>
      <c r="P369" s="15">
        <v>2020</v>
      </c>
      <c r="Q369" s="15"/>
      <c r="R369" s="16" t="s">
        <v>51</v>
      </c>
      <c r="S369" s="16" t="str">
        <f ca="1">IF(
  O369 &lt; YEAR(TODAY()),
  "LULUS",
  IF(
    O369 = YEAR(TODAY()),
    IF(
      MATCH(L369, {"Januari";"Februari";"Maret";"April";"Mei";"Juni";"Juli";"Agustus";"September";"Oktober";"November";"Desember"}, 0)
        &gt;= MONTH(TODAY()),
      "AKTIF (Semester " &amp;
        (INT((12*(YEAR(TODAY())-M369) + MONTH(TODAY()) -
          MATCH(L369, {"Januari";"Februari";"Maret";"April";"Mei";"Juni";"Juli";"Agustus";"September";"Oktober";"November";"Desember"}, 0)) / 6) + 1) &amp; ")",
      "LULUS"
    ),
    "AKTIF (Semester " &amp;
      (INT((12*(YEAR(TODAY())-M369) + MONTH(TODAY()) -
        MATCH(L369, {"Januari";"Februari";"Maret";"April";"Mei";"Juni";"Juli";"Agustus";"September";"Oktober";"November";"Desember"}, 0)) / 6) + 1) &amp; ")"
  )
)</f>
        <v>LULUS</v>
      </c>
      <c r="T369" s="16" t="str">
        <f ca="1">IF(O369 &lt; YEAR(TODAY()), "LULUS",
 IF(O369 = YEAR(TODAY()),
    IF(MATCH(N369, {"Januari";"Februari";"Maret";"April";"Mei";"Juni";"Juli";"Agustus";"September";"Oktober";"November";"Desember"},0)
        &lt;= MONTH(TODAY()),
        "LULUS",
        "AKTIF"),
 "AKTIF"))</f>
        <v>LULUS</v>
      </c>
      <c r="U369" s="16" t="s">
        <v>29</v>
      </c>
      <c r="V369" s="15"/>
      <c r="W369" s="15"/>
      <c r="X369" s="15"/>
      <c r="Y369" s="15"/>
      <c r="Z369" s="15"/>
    </row>
    <row r="370" spans="1:26" ht="29" customHeight="1" x14ac:dyDescent="0.35">
      <c r="A370" s="12">
        <v>369</v>
      </c>
      <c r="B370" s="13" t="s">
        <v>1339</v>
      </c>
      <c r="C370" s="14" t="s">
        <v>1340</v>
      </c>
      <c r="D370" s="13"/>
      <c r="E370" s="14" t="str">
        <f t="shared" si="6"/>
        <v>Laki-Laki</v>
      </c>
      <c r="F370" s="18"/>
      <c r="G370" s="13" t="s">
        <v>1305</v>
      </c>
      <c r="H370" s="15" t="s">
        <v>1326</v>
      </c>
      <c r="I370" s="15" t="s">
        <v>241</v>
      </c>
      <c r="J370" s="12" t="s">
        <v>242</v>
      </c>
      <c r="K370" s="15" t="s">
        <v>1327</v>
      </c>
      <c r="L370" s="15" t="s">
        <v>205</v>
      </c>
      <c r="M370" s="15">
        <v>2020</v>
      </c>
      <c r="N370" s="15" t="s">
        <v>205</v>
      </c>
      <c r="O370" s="15">
        <v>2023</v>
      </c>
      <c r="P370" s="15">
        <v>2020</v>
      </c>
      <c r="Q370" s="15"/>
      <c r="R370" s="16" t="s">
        <v>51</v>
      </c>
      <c r="S370" s="16" t="str">
        <f ca="1">IF(
  O370 &lt; YEAR(TODAY()),
  "LULUS",
  IF(
    O370 = YEAR(TODAY()),
    IF(
      MATCH(L370, {"Januari";"Februari";"Maret";"April";"Mei";"Juni";"Juli";"Agustus";"September";"Oktober";"November";"Desember"}, 0)
        &gt;= MONTH(TODAY()),
      "AKTIF (Semester " &amp;
        (INT((12*(YEAR(TODAY())-M370) + MONTH(TODAY()) -
          MATCH(L370, {"Januari";"Februari";"Maret";"April";"Mei";"Juni";"Juli";"Agustus";"September";"Oktober";"November";"Desember"}, 0)) / 6) + 1) &amp; ")",
      "LULUS"
    ),
    "AKTIF (Semester " &amp;
      (INT((12*(YEAR(TODAY())-M370) + MONTH(TODAY()) -
        MATCH(L370, {"Januari";"Februari";"Maret";"April";"Mei";"Juni";"Juli";"Agustus";"September";"Oktober";"November";"Desember"}, 0)) / 6) + 1) &amp; ")"
  )
)</f>
        <v>LULUS</v>
      </c>
      <c r="T370" s="16" t="str">
        <f ca="1">IF(O370 &lt; YEAR(TODAY()), "LULUS",
 IF(O370 = YEAR(TODAY()),
    IF(MATCH(N370, {"Januari";"Februari";"Maret";"April";"Mei";"Juni";"Juli";"Agustus";"September";"Oktober";"November";"Desember"},0)
        &lt;= MONTH(TODAY()),
        "LULUS",
        "AKTIF"),
 "AKTIF"))</f>
        <v>LULUS</v>
      </c>
      <c r="U370" s="16" t="s">
        <v>29</v>
      </c>
      <c r="V370" s="15"/>
      <c r="W370" s="15"/>
      <c r="X370" s="15"/>
      <c r="Y370" s="15"/>
      <c r="Z370" s="15"/>
    </row>
    <row r="371" spans="1:26" ht="29" customHeight="1" x14ac:dyDescent="0.35">
      <c r="A371" s="12">
        <v>370</v>
      </c>
      <c r="B371" s="13" t="s">
        <v>1341</v>
      </c>
      <c r="C371" s="14" t="s">
        <v>1342</v>
      </c>
      <c r="D371" s="13"/>
      <c r="E371" s="14" t="str">
        <f t="shared" si="6"/>
        <v>Laki-Laki</v>
      </c>
      <c r="F371" s="18"/>
      <c r="G371" s="13" t="s">
        <v>1305</v>
      </c>
      <c r="H371" s="15" t="s">
        <v>1326</v>
      </c>
      <c r="I371" s="15" t="s">
        <v>241</v>
      </c>
      <c r="J371" s="12" t="s">
        <v>242</v>
      </c>
      <c r="K371" s="15" t="s">
        <v>1327</v>
      </c>
      <c r="L371" s="15" t="s">
        <v>205</v>
      </c>
      <c r="M371" s="15">
        <v>2020</v>
      </c>
      <c r="N371" s="15" t="s">
        <v>205</v>
      </c>
      <c r="O371" s="15">
        <v>2023</v>
      </c>
      <c r="P371" s="15">
        <v>2020</v>
      </c>
      <c r="Q371" s="15"/>
      <c r="R371" s="16" t="s">
        <v>51</v>
      </c>
      <c r="S371" s="16" t="str">
        <f ca="1">IF(
  O371 &lt; YEAR(TODAY()),
  "LULUS",
  IF(
    O371 = YEAR(TODAY()),
    IF(
      MATCH(L371, {"Januari";"Februari";"Maret";"April";"Mei";"Juni";"Juli";"Agustus";"September";"Oktober";"November";"Desember"}, 0)
        &gt;= MONTH(TODAY()),
      "AKTIF (Semester " &amp;
        (INT((12*(YEAR(TODAY())-M371) + MONTH(TODAY()) -
          MATCH(L371, {"Januari";"Februari";"Maret";"April";"Mei";"Juni";"Juli";"Agustus";"September";"Oktober";"November";"Desember"}, 0)) / 6) + 1) &amp; ")",
      "LULUS"
    ),
    "AKTIF (Semester " &amp;
      (INT((12*(YEAR(TODAY())-M371) + MONTH(TODAY()) -
        MATCH(L371, {"Januari";"Februari";"Maret";"April";"Mei";"Juni";"Juli";"Agustus";"September";"Oktober";"November";"Desember"}, 0)) / 6) + 1) &amp; ")"
  )
)</f>
        <v>LULUS</v>
      </c>
      <c r="T371" s="16" t="str">
        <f ca="1">IF(O371 &lt; YEAR(TODAY()), "LULUS",
 IF(O371 = YEAR(TODAY()),
    IF(MATCH(N371, {"Januari";"Februari";"Maret";"April";"Mei";"Juni";"Juli";"Agustus";"September";"Oktober";"November";"Desember"},0)
        &lt;= MONTH(TODAY()),
        "LULUS",
        "AKTIF"),
 "AKTIF"))</f>
        <v>LULUS</v>
      </c>
      <c r="U371" s="16" t="s">
        <v>29</v>
      </c>
      <c r="V371" s="15"/>
      <c r="W371" s="15"/>
      <c r="X371" s="15"/>
      <c r="Y371" s="15"/>
      <c r="Z371" s="15"/>
    </row>
    <row r="372" spans="1:26" ht="29" customHeight="1" x14ac:dyDescent="0.35">
      <c r="A372" s="12">
        <v>371</v>
      </c>
      <c r="B372" s="13" t="s">
        <v>1343</v>
      </c>
      <c r="C372" s="14" t="s">
        <v>1344</v>
      </c>
      <c r="D372" s="13"/>
      <c r="E372" s="14" t="str">
        <f t="shared" si="6"/>
        <v>Laki-Laki</v>
      </c>
      <c r="F372" s="13"/>
      <c r="G372" s="13" t="s">
        <v>1305</v>
      </c>
      <c r="H372" s="15" t="s">
        <v>1345</v>
      </c>
      <c r="I372" s="19" t="s">
        <v>90</v>
      </c>
      <c r="J372" s="12" t="s">
        <v>45</v>
      </c>
      <c r="K372" s="15" t="s">
        <v>40</v>
      </c>
      <c r="L372" s="12" t="s">
        <v>35</v>
      </c>
      <c r="M372" s="12">
        <v>2021</v>
      </c>
      <c r="N372" s="15" t="s">
        <v>35</v>
      </c>
      <c r="O372" s="15">
        <v>2024</v>
      </c>
      <c r="P372" s="15">
        <v>2021</v>
      </c>
      <c r="Q372" s="15"/>
      <c r="R372" s="34" t="s">
        <v>29</v>
      </c>
      <c r="S372" s="16" t="str">
        <f ca="1">IF(
  O372 &lt; YEAR(TODAY()),
  "LULUS",
  IF(
    O372 = YEAR(TODAY()),
    IF(
      MATCH(L372, {"Januari";"Februari";"Maret";"April";"Mei";"Juni";"Juli";"Agustus";"September";"Oktober";"November";"Desember"}, 0)
        &gt;= MONTH(TODAY()),
      "AKTIF (Semester " &amp;
        (INT((12*(YEAR(TODAY())-M372) + MONTH(TODAY()) -
          MATCH(L372, {"Januari";"Februari";"Maret";"April";"Mei";"Juni";"Juli";"Agustus";"September";"Oktober";"November";"Desember"}, 0)) / 6) + 1) &amp; ")",
      "LULUS"
    ),
    "AKTIF (Semester " &amp;
      (INT((12*(YEAR(TODAY())-M372) + MONTH(TODAY()) -
        MATCH(L372, {"Januari";"Februari";"Maret";"April";"Mei";"Juni";"Juli";"Agustus";"September";"Oktober";"November";"Desember"}, 0)) / 6) + 1) &amp; ")"
  )
)</f>
        <v>LULUS</v>
      </c>
      <c r="T372" s="16" t="str">
        <f ca="1">IF(O372 &lt; YEAR(TODAY()), "LULUS",
 IF(O372 = YEAR(TODAY()),
    IF(MATCH(N372, {"Januari";"Februari";"Maret";"April";"Mei";"Juni";"Juli";"Agustus";"September";"Oktober";"November";"Desember"},0)
        &lt;= MONTH(TODAY()),
        "LULUS",
        "AKTIF"),
 "AKTIF"))</f>
        <v>LULUS</v>
      </c>
      <c r="U372" s="16" t="s">
        <v>29</v>
      </c>
      <c r="V372" s="21"/>
      <c r="W372" s="21"/>
      <c r="X372" s="21"/>
      <c r="Y372" s="21"/>
      <c r="Z372" s="21"/>
    </row>
    <row r="373" spans="1:26" ht="29" customHeight="1" x14ac:dyDescent="0.35">
      <c r="A373" s="12">
        <v>372</v>
      </c>
      <c r="B373" s="13" t="s">
        <v>1346</v>
      </c>
      <c r="C373" s="14" t="s">
        <v>1347</v>
      </c>
      <c r="D373" s="13"/>
      <c r="E373" s="14" t="str">
        <f t="shared" si="6"/>
        <v>Laki-Laki</v>
      </c>
      <c r="F373" s="13"/>
      <c r="G373" s="13" t="s">
        <v>1305</v>
      </c>
      <c r="H373" s="15" t="s">
        <v>1348</v>
      </c>
      <c r="I373" s="15" t="s">
        <v>241</v>
      </c>
      <c r="J373" s="12" t="s">
        <v>242</v>
      </c>
      <c r="K373" s="15" t="s">
        <v>243</v>
      </c>
      <c r="L373" s="12" t="s">
        <v>72</v>
      </c>
      <c r="M373" s="12">
        <v>2021</v>
      </c>
      <c r="N373" s="15" t="s">
        <v>72</v>
      </c>
      <c r="O373" s="15">
        <v>2023</v>
      </c>
      <c r="P373" s="15">
        <v>2021</v>
      </c>
      <c r="Q373" s="15"/>
      <c r="R373" s="34" t="s">
        <v>51</v>
      </c>
      <c r="S373" s="16" t="str">
        <f ca="1">IF(
  O373 &lt; YEAR(TODAY()),
  "LULUS",
  IF(
    O373 = YEAR(TODAY()),
    IF(
      MATCH(L373, {"Januari";"Februari";"Maret";"April";"Mei";"Juni";"Juli";"Agustus";"September";"Oktober";"November";"Desember"}, 0)
        &gt;= MONTH(TODAY()),
      "AKTIF (Semester " &amp;
        (INT((12*(YEAR(TODAY())-M373) + MONTH(TODAY()) -
          MATCH(L373, {"Januari";"Februari";"Maret";"April";"Mei";"Juni";"Juli";"Agustus";"September";"Oktober";"November";"Desember"}, 0)) / 6) + 1) &amp; ")",
      "LULUS"
    ),
    "AKTIF (Semester " &amp;
      (INT((12*(YEAR(TODAY())-M373) + MONTH(TODAY()) -
        MATCH(L373, {"Januari";"Februari";"Maret";"April";"Mei";"Juni";"Juli";"Agustus";"September";"Oktober";"November";"Desember"}, 0)) / 6) + 1) &amp; ")"
  )
)</f>
        <v>LULUS</v>
      </c>
      <c r="T373" s="16" t="str">
        <f ca="1">IF(O373 &lt; YEAR(TODAY()), "LULUS",
 IF(O373 = YEAR(TODAY()),
    IF(MATCH(N373, {"Januari";"Februari";"Maret";"April";"Mei";"Juni";"Juli";"Agustus";"September";"Oktober";"November";"Desember"},0)
        &lt;= MONTH(TODAY()),
        "LULUS",
        "AKTIF"),
 "AKTIF"))</f>
        <v>LULUS</v>
      </c>
      <c r="U373" s="16" t="s">
        <v>29</v>
      </c>
      <c r="V373" s="21"/>
      <c r="W373" s="21"/>
      <c r="X373" s="21"/>
      <c r="Y373" s="21"/>
      <c r="Z373" s="21"/>
    </row>
    <row r="374" spans="1:26" ht="29" customHeight="1" x14ac:dyDescent="0.35">
      <c r="A374" s="12">
        <v>373</v>
      </c>
      <c r="B374" s="13" t="s">
        <v>1349</v>
      </c>
      <c r="C374" s="49" t="s">
        <v>1350</v>
      </c>
      <c r="D374" s="13"/>
      <c r="E374" s="14" t="str">
        <f t="shared" si="6"/>
        <v>Laki-Laki</v>
      </c>
      <c r="F374" s="13"/>
      <c r="G374" s="13" t="s">
        <v>1305</v>
      </c>
      <c r="H374" s="15" t="s">
        <v>1351</v>
      </c>
      <c r="I374" s="15" t="s">
        <v>241</v>
      </c>
      <c r="J374" s="12" t="s">
        <v>242</v>
      </c>
      <c r="K374" s="15" t="s">
        <v>243</v>
      </c>
      <c r="L374" s="12" t="s">
        <v>72</v>
      </c>
      <c r="M374" s="12">
        <v>2021</v>
      </c>
      <c r="N374" s="15" t="s">
        <v>72</v>
      </c>
      <c r="O374" s="15">
        <v>2023</v>
      </c>
      <c r="P374" s="15">
        <v>2021</v>
      </c>
      <c r="Q374" s="15"/>
      <c r="R374" s="34" t="s">
        <v>51</v>
      </c>
      <c r="S374" s="16" t="str">
        <f ca="1">IF(
  O374 &lt; YEAR(TODAY()),
  "LULUS",
  IF(
    O374 = YEAR(TODAY()),
    IF(
      MATCH(L374, {"Januari";"Februari";"Maret";"April";"Mei";"Juni";"Juli";"Agustus";"September";"Oktober";"November";"Desember"}, 0)
        &gt;= MONTH(TODAY()),
      "AKTIF (Semester " &amp;
        (INT((12*(YEAR(TODAY())-M374) + MONTH(TODAY()) -
          MATCH(L374, {"Januari";"Februari";"Maret";"April";"Mei";"Juni";"Juli";"Agustus";"September";"Oktober";"November";"Desember"}, 0)) / 6) + 1) &amp; ")",
      "LULUS"
    ),
    "AKTIF (Semester " &amp;
      (INT((12*(YEAR(TODAY())-M374) + MONTH(TODAY()) -
        MATCH(L374, {"Januari";"Februari";"Maret";"April";"Mei";"Juni";"Juli";"Agustus";"September";"Oktober";"November";"Desember"}, 0)) / 6) + 1) &amp; ")"
  )
)</f>
        <v>LULUS</v>
      </c>
      <c r="T374" s="16" t="str">
        <f ca="1">IF(O374 &lt; YEAR(TODAY()), "LULUS",
 IF(O374 = YEAR(TODAY()),
    IF(MATCH(N374, {"Januari";"Februari";"Maret";"April";"Mei";"Juni";"Juli";"Agustus";"September";"Oktober";"November";"Desember"},0)
        &lt;= MONTH(TODAY()),
        "LULUS",
        "AKTIF"),
 "AKTIF"))</f>
        <v>LULUS</v>
      </c>
      <c r="U374" s="16" t="s">
        <v>29</v>
      </c>
      <c r="V374" s="21"/>
      <c r="W374" s="21"/>
      <c r="X374" s="21"/>
      <c r="Y374" s="21"/>
      <c r="Z374" s="21"/>
    </row>
    <row r="375" spans="1:26" ht="29" customHeight="1" x14ac:dyDescent="0.35">
      <c r="A375" s="12">
        <v>374</v>
      </c>
      <c r="B375" s="13" t="s">
        <v>1352</v>
      </c>
      <c r="C375" s="14" t="s">
        <v>1353</v>
      </c>
      <c r="D375" s="13"/>
      <c r="E375" s="14" t="str">
        <f t="shared" si="6"/>
        <v>Perempuan</v>
      </c>
      <c r="F375" s="13"/>
      <c r="G375" s="13" t="s">
        <v>1305</v>
      </c>
      <c r="H375" s="15" t="s">
        <v>1354</v>
      </c>
      <c r="I375" s="19" t="s">
        <v>90</v>
      </c>
      <c r="J375" s="12" t="s">
        <v>26</v>
      </c>
      <c r="K375" s="15" t="s">
        <v>234</v>
      </c>
      <c r="L375" s="12" t="s">
        <v>35</v>
      </c>
      <c r="M375" s="12">
        <v>2021</v>
      </c>
      <c r="N375" s="15" t="s">
        <v>35</v>
      </c>
      <c r="O375" s="15">
        <v>2024</v>
      </c>
      <c r="P375" s="15">
        <v>2021</v>
      </c>
      <c r="Q375" s="15"/>
      <c r="R375" s="34" t="s">
        <v>29</v>
      </c>
      <c r="S375" s="16" t="str">
        <f ca="1">IF(
  O375 &lt; YEAR(TODAY()),
  "LULUS",
  IF(
    O375 = YEAR(TODAY()),
    IF(
      MATCH(L375, {"Januari";"Februari";"Maret";"April";"Mei";"Juni";"Juli";"Agustus";"September";"Oktober";"November";"Desember"}, 0)
        &gt;= MONTH(TODAY()),
      "AKTIF (Semester " &amp;
        (INT((12*(YEAR(TODAY())-M375) + MONTH(TODAY()) -
          MATCH(L375, {"Januari";"Februari";"Maret";"April";"Mei";"Juni";"Juli";"Agustus";"September";"Oktober";"November";"Desember"}, 0)) / 6) + 1) &amp; ")",
      "LULUS"
    ),
    "AKTIF (Semester " &amp;
      (INT((12*(YEAR(TODAY())-M375) + MONTH(TODAY()) -
        MATCH(L375, {"Januari";"Februari";"Maret";"April";"Mei";"Juni";"Juli";"Agustus";"September";"Oktober";"November";"Desember"}, 0)) / 6) + 1) &amp; ")"
  )
)</f>
        <v>LULUS</v>
      </c>
      <c r="T375" s="16" t="str">
        <f ca="1">IF(O375 &lt; YEAR(TODAY()), "LULUS",
 IF(O375 = YEAR(TODAY()),
    IF(MATCH(N375, {"Januari";"Februari";"Maret";"April";"Mei";"Juni";"Juli";"Agustus";"September";"Oktober";"November";"Desember"},0)
        &lt;= MONTH(TODAY()),
        "LULUS",
        "AKTIF"),
 "AKTIF"))</f>
        <v>LULUS</v>
      </c>
      <c r="U375" s="16" t="s">
        <v>29</v>
      </c>
      <c r="V375" s="21"/>
      <c r="W375" s="21"/>
      <c r="X375" s="21"/>
      <c r="Y375" s="21"/>
      <c r="Z375" s="21"/>
    </row>
    <row r="376" spans="1:26" ht="29" customHeight="1" x14ac:dyDescent="0.35">
      <c r="A376" s="12">
        <v>375</v>
      </c>
      <c r="B376" s="13" t="s">
        <v>1355</v>
      </c>
      <c r="C376" s="14" t="s">
        <v>1356</v>
      </c>
      <c r="D376" s="13"/>
      <c r="E376" s="14" t="str">
        <f t="shared" si="6"/>
        <v>Perempuan</v>
      </c>
      <c r="F376" s="13"/>
      <c r="G376" s="13" t="s">
        <v>1305</v>
      </c>
      <c r="H376" s="15" t="s">
        <v>1313</v>
      </c>
      <c r="I376" s="15" t="s">
        <v>1314</v>
      </c>
      <c r="J376" s="12" t="s">
        <v>26</v>
      </c>
      <c r="K376" s="15" t="s">
        <v>407</v>
      </c>
      <c r="L376" s="12" t="s">
        <v>35</v>
      </c>
      <c r="M376" s="12">
        <v>2021</v>
      </c>
      <c r="N376" s="15" t="s">
        <v>35</v>
      </c>
      <c r="O376" s="15">
        <v>2023</v>
      </c>
      <c r="P376" s="15">
        <v>2021</v>
      </c>
      <c r="Q376" s="15"/>
      <c r="R376" s="34" t="s">
        <v>29</v>
      </c>
      <c r="S376" s="16" t="str">
        <f ca="1">IF(
  O376 &lt; YEAR(TODAY()),
  "LULUS",
  IF(
    O376 = YEAR(TODAY()),
    IF(
      MATCH(L376, {"Januari";"Februari";"Maret";"April";"Mei";"Juni";"Juli";"Agustus";"September";"Oktober";"November";"Desember"}, 0)
        &gt;= MONTH(TODAY()),
      "AKTIF (Semester " &amp;
        (INT((12*(YEAR(TODAY())-M376) + MONTH(TODAY()) -
          MATCH(L376, {"Januari";"Februari";"Maret";"April";"Mei";"Juni";"Juli";"Agustus";"September";"Oktober";"November";"Desember"}, 0)) / 6) + 1) &amp; ")",
      "LULUS"
    ),
    "AKTIF (Semester " &amp;
      (INT((12*(YEAR(TODAY())-M376) + MONTH(TODAY()) -
        MATCH(L376, {"Januari";"Februari";"Maret";"April";"Mei";"Juni";"Juli";"Agustus";"September";"Oktober";"November";"Desember"}, 0)) / 6) + 1) &amp; ")"
  )
)</f>
        <v>LULUS</v>
      </c>
      <c r="T376" s="16" t="str">
        <f ca="1">IF(O376 &lt; YEAR(TODAY()), "LULUS",
 IF(O376 = YEAR(TODAY()),
    IF(MATCH(N376, {"Januari";"Februari";"Maret";"April";"Mei";"Juni";"Juli";"Agustus";"September";"Oktober";"November";"Desember"},0)
        &lt;= MONTH(TODAY()),
        "LULUS",
        "AKTIF"),
 "AKTIF"))</f>
        <v>LULUS</v>
      </c>
      <c r="U376" s="16" t="s">
        <v>29</v>
      </c>
      <c r="V376" s="21"/>
      <c r="W376" s="21"/>
      <c r="X376" s="21"/>
      <c r="Y376" s="21"/>
      <c r="Z376" s="21"/>
    </row>
    <row r="377" spans="1:26" ht="29" customHeight="1" x14ac:dyDescent="0.35">
      <c r="A377" s="12">
        <v>376</v>
      </c>
      <c r="B377" s="13" t="s">
        <v>1357</v>
      </c>
      <c r="C377" s="14" t="s">
        <v>1358</v>
      </c>
      <c r="D377" s="13"/>
      <c r="E377" s="14" t="str">
        <f t="shared" si="6"/>
        <v>Laki-Laki</v>
      </c>
      <c r="F377" s="13"/>
      <c r="G377" s="13" t="s">
        <v>1305</v>
      </c>
      <c r="H377" s="15" t="s">
        <v>1359</v>
      </c>
      <c r="I377" s="15" t="s">
        <v>241</v>
      </c>
      <c r="J377" s="12" t="s">
        <v>242</v>
      </c>
      <c r="K377" s="15" t="s">
        <v>1323</v>
      </c>
      <c r="L377" s="12" t="s">
        <v>60</v>
      </c>
      <c r="M377" s="12">
        <v>2020</v>
      </c>
      <c r="N377" s="15" t="s">
        <v>60</v>
      </c>
      <c r="O377" s="15">
        <v>2023</v>
      </c>
      <c r="P377" s="15">
        <v>2021</v>
      </c>
      <c r="Q377" s="15"/>
      <c r="R377" s="34" t="s">
        <v>51</v>
      </c>
      <c r="S377" s="16" t="str">
        <f ca="1">IF(
  O377 &lt; YEAR(TODAY()),
  "LULUS",
  IF(
    O377 = YEAR(TODAY()),
    IF(
      MATCH(L377, {"Januari";"Februari";"Maret";"April";"Mei";"Juni";"Juli";"Agustus";"September";"Oktober";"November";"Desember"}, 0)
        &gt;= MONTH(TODAY()),
      "AKTIF (Semester " &amp;
        (INT((12*(YEAR(TODAY())-M377) + MONTH(TODAY()) -
          MATCH(L377, {"Januari";"Februari";"Maret";"April";"Mei";"Juni";"Juli";"Agustus";"September";"Oktober";"November";"Desember"}, 0)) / 6) + 1) &amp; ")",
      "LULUS"
    ),
    "AKTIF (Semester " &amp;
      (INT((12*(YEAR(TODAY())-M377) + MONTH(TODAY()) -
        MATCH(L377, {"Januari";"Februari";"Maret";"April";"Mei";"Juni";"Juli";"Agustus";"September";"Oktober";"November";"Desember"}, 0)) / 6) + 1) &amp; ")"
  )
)</f>
        <v>LULUS</v>
      </c>
      <c r="T377" s="16" t="str">
        <f ca="1">IF(O377 &lt; YEAR(TODAY()), "LULUS",
 IF(O377 = YEAR(TODAY()),
    IF(MATCH(N377, {"Januari";"Februari";"Maret";"April";"Mei";"Juni";"Juli";"Agustus";"September";"Oktober";"November";"Desember"},0)
        &lt;= MONTH(TODAY()),
        "LULUS",
        "AKTIF"),
 "AKTIF"))</f>
        <v>LULUS</v>
      </c>
      <c r="U377" s="16" t="s">
        <v>29</v>
      </c>
      <c r="V377" s="21"/>
      <c r="W377" s="21"/>
      <c r="X377" s="21"/>
      <c r="Y377" s="21"/>
      <c r="Z377" s="21"/>
    </row>
    <row r="378" spans="1:26" ht="29" customHeight="1" x14ac:dyDescent="0.35">
      <c r="A378" s="12">
        <v>377</v>
      </c>
      <c r="B378" s="18" t="s">
        <v>1360</v>
      </c>
      <c r="C378" s="14" t="s">
        <v>1361</v>
      </c>
      <c r="D378" s="13"/>
      <c r="E378" s="14" t="str">
        <f t="shared" si="6"/>
        <v>Laki-Laki</v>
      </c>
      <c r="F378" s="13"/>
      <c r="G378" s="13" t="s">
        <v>1305</v>
      </c>
      <c r="H378" s="15" t="s">
        <v>1362</v>
      </c>
      <c r="I378" s="15" t="s">
        <v>1363</v>
      </c>
      <c r="J378" s="12" t="s">
        <v>242</v>
      </c>
      <c r="K378" s="15" t="s">
        <v>1364</v>
      </c>
      <c r="L378" s="23" t="s">
        <v>72</v>
      </c>
      <c r="M378" s="21">
        <v>2022</v>
      </c>
      <c r="N378" s="30" t="s">
        <v>72</v>
      </c>
      <c r="O378" s="15">
        <v>2025</v>
      </c>
      <c r="P378" s="15">
        <v>2022</v>
      </c>
      <c r="Q378" s="15"/>
      <c r="R378" s="16" t="s">
        <v>51</v>
      </c>
      <c r="S378" s="16" t="str">
        <f ca="1">IF(
  O378 &lt; YEAR(TODAY()),
  "LULUS",
  IF(
    O378 = YEAR(TODAY()),
    IF(
      MATCH(L378, {"Januari";"Februari";"Maret";"April";"Mei";"Juni";"Juli";"Agustus";"September";"Oktober";"November";"Desember"}, 0)
        &gt;= MONTH(TODAY()),
      "AKTIF (Semester " &amp;
        (INT((12*(YEAR(TODAY())-M378) + MONTH(TODAY()) -
          MATCH(L378, {"Januari";"Februari";"Maret";"April";"Mei";"Juni";"Juli";"Agustus";"September";"Oktober";"November";"Desember"}, 0)) / 6) + 1) &amp; ")",
      "LULUS"
    ),
    "AKTIF (Semester " &amp;
      (INT((12*(YEAR(TODAY())-M378) + MONTH(TODAY()) -
        MATCH(L378, {"Januari";"Februari";"Maret";"April";"Mei";"Juni";"Juli";"Agustus";"September";"Oktober";"November";"Desember"}, 0)) / 6) + 1) &amp; ")"
  )
)</f>
        <v>LULUS</v>
      </c>
      <c r="T378" s="16" t="str">
        <f ca="1">IF(O378 &lt; YEAR(TODAY()), "LULUS",
 IF(O378 = YEAR(TODAY()),
    IF(MATCH(N378, {"Januari";"Februari";"Maret";"April";"Mei";"Juni";"Juli";"Agustus";"September";"Oktober";"November";"Desember"},0)
        &lt;= MONTH(TODAY()),
        "LULUS",
        "AKTIF"),
 "AKTIF"))</f>
        <v>LULUS</v>
      </c>
      <c r="U378" s="16" t="s">
        <v>29</v>
      </c>
      <c r="V378" s="15"/>
      <c r="W378" s="15"/>
      <c r="X378" s="15"/>
      <c r="Y378" s="15"/>
      <c r="Z378" s="15"/>
    </row>
    <row r="379" spans="1:26" ht="29" customHeight="1" x14ac:dyDescent="0.35">
      <c r="A379" s="12">
        <v>378</v>
      </c>
      <c r="B379" s="13" t="s">
        <v>1365</v>
      </c>
      <c r="C379" s="14" t="s">
        <v>1366</v>
      </c>
      <c r="D379" s="13"/>
      <c r="E379" s="14" t="str">
        <f t="shared" si="6"/>
        <v>Laki-Laki</v>
      </c>
      <c r="F379" s="13"/>
      <c r="G379" s="13" t="s">
        <v>1305</v>
      </c>
      <c r="H379" s="15" t="s">
        <v>1367</v>
      </c>
      <c r="I379" s="15" t="s">
        <v>1368</v>
      </c>
      <c r="J379" s="12" t="s">
        <v>45</v>
      </c>
      <c r="K379" s="15" t="s">
        <v>174</v>
      </c>
      <c r="L379" s="15" t="s">
        <v>169</v>
      </c>
      <c r="M379" s="15">
        <v>2022</v>
      </c>
      <c r="N379" s="15" t="s">
        <v>169</v>
      </c>
      <c r="O379" s="15">
        <v>2026</v>
      </c>
      <c r="P379" s="15">
        <v>2022</v>
      </c>
      <c r="Q379" s="15"/>
      <c r="R379" s="16" t="s">
        <v>51</v>
      </c>
      <c r="S379" s="16" t="str">
        <f ca="1">IF(
  O379 &lt; YEAR(TODAY()),
  "LULUS",
  IF(
    O379 = YEAR(TODAY()),
    IF(
      MATCH(L379, {"Januari";"Februari";"Maret";"April";"Mei";"Juni";"Juli";"Agustus";"September";"Oktober";"November";"Desember"}, 0)
        &gt;= MONTH(TODAY()),
      "AKTIF (Semester " &amp;
        (INT((12*(YEAR(TODAY())-M379) + MONTH(TODAY()) -
          MATCH(L379, {"Januari";"Februari";"Maret";"April";"Mei";"Juni";"Juli";"Agustus";"September";"Oktober";"November";"Desember"}, 0)) / 6) + 1) &amp; ")",
      "LULUS"
    ),
    "AKTIF (Semester " &amp;
      (INT((12*(YEAR(TODAY())-M379) + MONTH(TODAY()) -
        MATCH(L379, {"Januari";"Februari";"Maret";"April";"Mei";"Juni";"Juli";"Agustus";"September";"Oktober";"November";"Desember"}, 0)) / 6) + 1) &amp; ")"
  )
)</f>
        <v>AKTIF (Semester 7)</v>
      </c>
      <c r="T379" s="16" t="str">
        <f ca="1">IF(O379 &lt; YEAR(TODAY()), "LULUS",
 IF(O379 = YEAR(TODAY()),
    IF(MATCH(N379, {"Januari";"Februari";"Maret";"April";"Mei";"Juni";"Juli";"Agustus";"September";"Oktober";"November";"Desember"},0)
        &lt;= MONTH(TODAY()),
        "LULUS",
        "AKTIF"),
 "AKTIF"))</f>
        <v>AKTIF</v>
      </c>
      <c r="U379" s="16" t="s">
        <v>2939</v>
      </c>
      <c r="V379" s="15"/>
      <c r="W379" s="15"/>
      <c r="X379" s="15"/>
      <c r="Y379" s="15"/>
      <c r="Z379" s="15"/>
    </row>
    <row r="380" spans="1:26" ht="29" customHeight="1" x14ac:dyDescent="0.35">
      <c r="A380" s="12">
        <v>379</v>
      </c>
      <c r="B380" s="62" t="s">
        <v>1369</v>
      </c>
      <c r="C380" s="67" t="s">
        <v>1370</v>
      </c>
      <c r="D380" s="24" t="s">
        <v>126</v>
      </c>
      <c r="E380" s="14" t="str">
        <f t="shared" si="6"/>
        <v>Laki-Laki</v>
      </c>
      <c r="F380" s="68" t="s">
        <v>1371</v>
      </c>
      <c r="G380" s="13" t="s">
        <v>1305</v>
      </c>
      <c r="H380" s="19" t="s">
        <v>1372</v>
      </c>
      <c r="I380" s="19" t="s">
        <v>1373</v>
      </c>
      <c r="J380" s="19" t="s">
        <v>26</v>
      </c>
      <c r="K380" s="19" t="s">
        <v>95</v>
      </c>
      <c r="L380" s="83" t="s">
        <v>462</v>
      </c>
      <c r="M380" s="15">
        <v>2023</v>
      </c>
      <c r="N380" s="15"/>
      <c r="O380" s="15"/>
      <c r="P380" s="15">
        <v>2023</v>
      </c>
      <c r="Q380" s="15"/>
      <c r="R380" s="16"/>
      <c r="S380" s="16" t="str">
        <f ca="1">IF(
  O380 &lt; YEAR(TODAY()),
  "LULUS",
  IF(
    O380 = YEAR(TODAY()),
    IF(
      MATCH(L380, {"Januari";"Februari";"Maret";"April";"Mei";"Juni";"Juli";"Agustus";"September";"Oktober";"November";"Desember"}, 0)
        &gt;= MONTH(TODAY()),
      "AKTIF (Semester " &amp;
        (INT((12*(YEAR(TODAY())-M380) + MONTH(TODAY()) -
          MATCH(L380, {"Januari";"Februari";"Maret";"April";"Mei";"Juni";"Juli";"Agustus";"September";"Oktober";"November";"Desember"}, 0)) / 6) + 1) &amp; ")",
      "LULUS"
    ),
    "AKTIF (Semester " &amp;
      (INT((12*(YEAR(TODAY())-M380) + MONTH(TODAY()) -
        MATCH(L380, {"Januari";"Februari";"Maret";"April";"Mei";"Juni";"Juli";"Agustus";"September";"Oktober";"November";"Desember"}, 0)) / 6) + 1) &amp; ")"
  )
)</f>
        <v>LULUS</v>
      </c>
      <c r="T380" s="16" t="str">
        <f ca="1">IF(O380 &lt; YEAR(TODAY()), "LULUS",
 IF(O380 = YEAR(TODAY()),
    IF(MATCH(N380, {"Januari";"Februari";"Maret";"April";"Mei";"Juni";"Juli";"Agustus";"September";"Oktober";"November";"Desember"},0)
        &lt;= MONTH(TODAY()),
        "LULUS",
        "AKTIF"),
 "AKTIF"))</f>
        <v>LULUS</v>
      </c>
      <c r="U380" s="16" t="s">
        <v>29</v>
      </c>
      <c r="V380" s="15"/>
      <c r="W380" s="15"/>
      <c r="X380" s="15"/>
      <c r="Y380" s="15"/>
      <c r="Z380" s="15"/>
    </row>
    <row r="381" spans="1:26" ht="29" customHeight="1" x14ac:dyDescent="0.35">
      <c r="A381" s="12">
        <v>380</v>
      </c>
      <c r="B381" s="25" t="s">
        <v>1374</v>
      </c>
      <c r="C381" s="69" t="s">
        <v>1375</v>
      </c>
      <c r="D381" s="24" t="s">
        <v>98</v>
      </c>
      <c r="E381" s="14" t="str">
        <f t="shared" si="6"/>
        <v>Perempuan</v>
      </c>
      <c r="F381" s="64" t="s">
        <v>224</v>
      </c>
      <c r="G381" s="13" t="s">
        <v>1305</v>
      </c>
      <c r="H381" s="19" t="s">
        <v>1376</v>
      </c>
      <c r="I381" s="19" t="s">
        <v>25</v>
      </c>
      <c r="J381" s="12" t="s">
        <v>45</v>
      </c>
      <c r="K381" s="19" t="s">
        <v>40</v>
      </c>
      <c r="L381" s="29" t="s">
        <v>28</v>
      </c>
      <c r="M381" s="15">
        <v>2023</v>
      </c>
      <c r="N381" s="15" t="s">
        <v>205</v>
      </c>
      <c r="O381" s="15">
        <v>2027</v>
      </c>
      <c r="P381" s="15">
        <v>2023</v>
      </c>
      <c r="Q381" s="15"/>
      <c r="R381" s="16"/>
      <c r="S381" s="16" t="str">
        <f ca="1">IF(
  O381 &lt; YEAR(TODAY()),
  "LULUS",
  IF(
    O381 = YEAR(TODAY()),
    IF(
      MATCH(L381, {"Januari";"Februari";"Maret";"April";"Mei";"Juni";"Juli";"Agustus";"September";"Oktober";"November";"Desember"}, 0)
        &gt;= MONTH(TODAY()),
      "AKTIF (Semester " &amp;
        (INT((12*(YEAR(TODAY())-M381) + MONTH(TODAY()) -
          MATCH(L381, {"Januari";"Februari";"Maret";"April";"Mei";"Juni";"Juli";"Agustus";"September";"Oktober";"November";"Desember"}, 0)) / 6) + 1) &amp; ")",
      "LULUS"
    ),
    "AKTIF (Semester " &amp;
      (INT((12*(YEAR(TODAY())-M381) + MONTH(TODAY()) -
        MATCH(L381, {"Januari";"Februari";"Maret";"April";"Mei";"Juni";"Juli";"Agustus";"September";"Oktober";"November";"Desember"}, 0)) / 6) + 1) &amp; ")"
  )
)</f>
        <v>AKTIF (Semester 5)</v>
      </c>
      <c r="T381" s="16" t="str">
        <f ca="1">IF(O381 &lt; YEAR(TODAY()), "LULUS",
 IF(O381 = YEAR(TODAY()),
    IF(MATCH(N381, {"Januari";"Februari";"Maret";"April";"Mei";"Juni";"Juli";"Agustus";"September";"Oktober";"November";"Desember"},0)
        &lt;= MONTH(TODAY()),
        "LULUS",
        "AKTIF"),
 "AKTIF"))</f>
        <v>AKTIF</v>
      </c>
      <c r="U381" s="16" t="s">
        <v>2941</v>
      </c>
      <c r="V381" s="15"/>
      <c r="W381" s="15"/>
      <c r="X381" s="15"/>
      <c r="Y381" s="15"/>
      <c r="Z381" s="15"/>
    </row>
    <row r="382" spans="1:26" ht="29" customHeight="1" x14ac:dyDescent="0.35">
      <c r="A382" s="12">
        <v>381</v>
      </c>
      <c r="B382" s="25" t="s">
        <v>1377</v>
      </c>
      <c r="C382" s="69" t="s">
        <v>1378</v>
      </c>
      <c r="D382" s="24" t="s">
        <v>98</v>
      </c>
      <c r="E382" s="14" t="str">
        <f t="shared" si="6"/>
        <v>Laki-Laki</v>
      </c>
      <c r="F382" s="72" t="s">
        <v>224</v>
      </c>
      <c r="G382" s="13" t="s">
        <v>1305</v>
      </c>
      <c r="H382" s="19" t="s">
        <v>1376</v>
      </c>
      <c r="I382" s="19" t="s">
        <v>90</v>
      </c>
      <c r="J382" s="12" t="s">
        <v>45</v>
      </c>
      <c r="K382" s="19" t="s">
        <v>40</v>
      </c>
      <c r="L382" s="86" t="s">
        <v>169</v>
      </c>
      <c r="M382" s="15">
        <v>2023</v>
      </c>
      <c r="N382" s="15" t="s">
        <v>446</v>
      </c>
      <c r="O382" s="15">
        <v>2027</v>
      </c>
      <c r="P382" s="15">
        <v>2023</v>
      </c>
      <c r="Q382" s="15"/>
      <c r="R382" s="16"/>
      <c r="S382" s="16" t="str">
        <f ca="1">IF(
  O382 &lt; YEAR(TODAY()),
  "LULUS",
  IF(
    O382 = YEAR(TODAY()),
    IF(
      MATCH(L382, {"Januari";"Februari";"Maret";"April";"Mei";"Juni";"Juli";"Agustus";"September";"Oktober";"November";"Desember"}, 0)
        &gt;= MONTH(TODAY()),
      "AKTIF (Semester " &amp;
        (INT((12*(YEAR(TODAY())-M382) + MONTH(TODAY()) -
          MATCH(L382, {"Januari";"Februari";"Maret";"April";"Mei";"Juni";"Juli";"Agustus";"September";"Oktober";"November";"Desember"}, 0)) / 6) + 1) &amp; ")",
      "LULUS"
    ),
    "AKTIF (Semester " &amp;
      (INT((12*(YEAR(TODAY())-M382) + MONTH(TODAY()) -
        MATCH(L382, {"Januari";"Februari";"Maret";"April";"Mei";"Juni";"Juli";"Agustus";"September";"Oktober";"November";"Desember"}, 0)) / 6) + 1) &amp; ")"
  )
)</f>
        <v>AKTIF (Semester 5)</v>
      </c>
      <c r="T382" s="16" t="str">
        <f ca="1">IF(O382 &lt; YEAR(TODAY()), "LULUS",
 IF(O382 = YEAR(TODAY()),
    IF(MATCH(N382, {"Januari";"Februari";"Maret";"April";"Mei";"Juni";"Juli";"Agustus";"September";"Oktober";"November";"Desember"},0)
        &lt;= MONTH(TODAY()),
        "LULUS",
        "AKTIF"),
 "AKTIF"))</f>
        <v>AKTIF</v>
      </c>
      <c r="U382" s="16" t="s">
        <v>2941</v>
      </c>
      <c r="V382" s="15"/>
      <c r="W382" s="15"/>
      <c r="X382" s="15"/>
      <c r="Y382" s="15"/>
      <c r="Z382" s="15"/>
    </row>
    <row r="383" spans="1:26" ht="29" customHeight="1" x14ac:dyDescent="0.35">
      <c r="A383" s="12">
        <v>382</v>
      </c>
      <c r="B383" s="25" t="s">
        <v>1379</v>
      </c>
      <c r="C383" s="69" t="s">
        <v>1380</v>
      </c>
      <c r="D383" s="24"/>
      <c r="E383" s="14" t="str">
        <f t="shared" si="6"/>
        <v>Laki-Laki</v>
      </c>
      <c r="F383" s="72"/>
      <c r="G383" s="13" t="s">
        <v>1305</v>
      </c>
      <c r="H383" s="19" t="s">
        <v>1381</v>
      </c>
      <c r="I383" s="19" t="s">
        <v>261</v>
      </c>
      <c r="J383" s="19" t="s">
        <v>26</v>
      </c>
      <c r="K383" s="19" t="s">
        <v>434</v>
      </c>
      <c r="L383" s="19"/>
      <c r="M383" s="15"/>
      <c r="N383" s="15">
        <v>0</v>
      </c>
      <c r="O383" s="15"/>
      <c r="P383" s="15">
        <v>2023</v>
      </c>
      <c r="Q383" s="15"/>
      <c r="R383" s="16"/>
      <c r="S383" s="16" t="str">
        <f ca="1">IF(
  O383 &lt; YEAR(TODAY()),
  "LULUS",
  IF(
    O383 = YEAR(TODAY()),
    IF(
      MATCH(L383, {"Januari";"Februari";"Maret";"April";"Mei";"Juni";"Juli";"Agustus";"September";"Oktober";"November";"Desember"}, 0)
        &gt;= MONTH(TODAY()),
      "AKTIF (Semester " &amp;
        (INT((12*(YEAR(TODAY())-M383) + MONTH(TODAY()) -
          MATCH(L383, {"Januari";"Februari";"Maret";"April";"Mei";"Juni";"Juli";"Agustus";"September";"Oktober";"November";"Desember"}, 0)) / 6) + 1) &amp; ")",
      "LULUS"
    ),
    "AKTIF (Semester " &amp;
      (INT((12*(YEAR(TODAY())-M383) + MONTH(TODAY()) -
        MATCH(L383, {"Januari";"Februari";"Maret";"April";"Mei";"Juni";"Juli";"Agustus";"September";"Oktober";"November";"Desember"}, 0)) / 6) + 1) &amp; ")"
  )
)</f>
        <v>LULUS</v>
      </c>
      <c r="T383" s="16" t="str">
        <f ca="1">IF(O383 &lt; YEAR(TODAY()), "LULUS",
 IF(O383 = YEAR(TODAY()),
    IF(MATCH(N383, {"Januari";"Februari";"Maret";"April";"Mei";"Juni";"Juli";"Agustus";"September";"Oktober";"November";"Desember"},0)
        &lt;= MONTH(TODAY()),
        "LULUS",
        "AKTIF"),
 "AKTIF"))</f>
        <v>LULUS</v>
      </c>
      <c r="U383" s="16" t="s">
        <v>29</v>
      </c>
      <c r="V383" s="15"/>
      <c r="W383" s="15"/>
      <c r="X383" s="15"/>
      <c r="Y383" s="15"/>
      <c r="Z383" s="15"/>
    </row>
    <row r="384" spans="1:26" ht="29" customHeight="1" x14ac:dyDescent="0.35">
      <c r="A384" s="12">
        <v>383</v>
      </c>
      <c r="B384" s="25" t="s">
        <v>1382</v>
      </c>
      <c r="C384" s="69" t="s">
        <v>1383</v>
      </c>
      <c r="D384" s="24" t="s">
        <v>109</v>
      </c>
      <c r="E384" s="14" t="str">
        <f t="shared" si="6"/>
        <v>Laki-Laki</v>
      </c>
      <c r="F384" s="72" t="s">
        <v>397</v>
      </c>
      <c r="G384" s="13" t="s">
        <v>1305</v>
      </c>
      <c r="H384" s="19" t="s">
        <v>1384</v>
      </c>
      <c r="I384" s="19" t="s">
        <v>1385</v>
      </c>
      <c r="J384" s="19" t="s">
        <v>26</v>
      </c>
      <c r="K384" s="19" t="s">
        <v>221</v>
      </c>
      <c r="L384" s="86" t="s">
        <v>60</v>
      </c>
      <c r="M384" s="15">
        <v>2023</v>
      </c>
      <c r="N384" s="15" t="s">
        <v>60</v>
      </c>
      <c r="O384" s="15">
        <v>2025</v>
      </c>
      <c r="P384" s="15">
        <v>2023</v>
      </c>
      <c r="Q384" s="15"/>
      <c r="R384" s="16"/>
      <c r="S384" s="16" t="str">
        <f ca="1">IF(
  O384 &lt; YEAR(TODAY()),
  "LULUS",
  IF(
    O384 = YEAR(TODAY()),
    IF(
      MATCH(L384, {"Januari";"Februari";"Maret";"April";"Mei";"Juni";"Juli";"Agustus";"September";"Oktober";"November";"Desember"}, 0)
        &gt;= MONTH(TODAY()),
      "AKTIF (Semester " &amp;
        (INT((12*(YEAR(TODAY())-M384) + MONTH(TODAY()) -
          MATCH(L384, {"Januari";"Februari";"Maret";"April";"Mei";"Juni";"Juli";"Agustus";"September";"Oktober";"November";"Desember"}, 0)) / 6) + 1) &amp; ")",
      "LULUS"
    ),
    "AKTIF (Semester " &amp;
      (INT((12*(YEAR(TODAY())-M384) + MONTH(TODAY()) -
        MATCH(L384, {"Januari";"Februari";"Maret";"April";"Mei";"Juni";"Juli";"Agustus";"September";"Oktober";"November";"Desember"}, 0)) / 6) + 1) &amp; ")"
  )
)</f>
        <v>LULUS</v>
      </c>
      <c r="T384" s="16" t="str">
        <f ca="1">IF(O384 &lt; YEAR(TODAY()), "LULUS",
 IF(O384 = YEAR(TODAY()),
    IF(MATCH(N384, {"Januari";"Februari";"Maret";"April";"Mei";"Juni";"Juli";"Agustus";"September";"Oktober";"November";"Desember"},0)
        &lt;= MONTH(TODAY()),
        "LULUS",
        "AKTIF"),
 "AKTIF"))</f>
        <v>LULUS</v>
      </c>
      <c r="U384" s="16" t="s">
        <v>29</v>
      </c>
      <c r="V384" s="15"/>
      <c r="W384" s="15"/>
      <c r="X384" s="15"/>
      <c r="Y384" s="15"/>
      <c r="Z384" s="15"/>
    </row>
    <row r="385" spans="1:26" ht="29" customHeight="1" x14ac:dyDescent="0.35">
      <c r="A385" s="12">
        <v>384</v>
      </c>
      <c r="B385" s="25" t="s">
        <v>1386</v>
      </c>
      <c r="C385" s="69" t="s">
        <v>1387</v>
      </c>
      <c r="D385" s="24" t="s">
        <v>116</v>
      </c>
      <c r="E385" s="14" t="str">
        <f t="shared" si="6"/>
        <v>Perempuan</v>
      </c>
      <c r="F385" s="72" t="s">
        <v>1388</v>
      </c>
      <c r="G385" s="13" t="s">
        <v>1305</v>
      </c>
      <c r="H385" s="19" t="s">
        <v>1389</v>
      </c>
      <c r="I385" s="19" t="s">
        <v>90</v>
      </c>
      <c r="J385" s="12" t="s">
        <v>45</v>
      </c>
      <c r="K385" s="19" t="s">
        <v>46</v>
      </c>
      <c r="L385" s="29" t="s">
        <v>28</v>
      </c>
      <c r="M385" s="15">
        <v>2023</v>
      </c>
      <c r="N385" s="15" t="s">
        <v>205</v>
      </c>
      <c r="O385" s="15">
        <v>2027</v>
      </c>
      <c r="P385" s="15">
        <v>2023</v>
      </c>
      <c r="Q385" s="15"/>
      <c r="R385" s="16"/>
      <c r="S385" s="16" t="str">
        <f ca="1">IF(
  O385 &lt; YEAR(TODAY()),
  "LULUS",
  IF(
    O385 = YEAR(TODAY()),
    IF(
      MATCH(L385, {"Januari";"Februari";"Maret";"April";"Mei";"Juni";"Juli";"Agustus";"September";"Oktober";"November";"Desember"}, 0)
        &gt;= MONTH(TODAY()),
      "AKTIF (Semester " &amp;
        (INT((12*(YEAR(TODAY())-M385) + MONTH(TODAY()) -
          MATCH(L385, {"Januari";"Februari";"Maret";"April";"Mei";"Juni";"Juli";"Agustus";"September";"Oktober";"November";"Desember"}, 0)) / 6) + 1) &amp; ")",
      "LULUS"
    ),
    "AKTIF (Semester " &amp;
      (INT((12*(YEAR(TODAY())-M385) + MONTH(TODAY()) -
        MATCH(L385, {"Januari";"Februari";"Maret";"April";"Mei";"Juni";"Juli";"Agustus";"September";"Oktober";"November";"Desember"}, 0)) / 6) + 1) &amp; ")"
  )
)</f>
        <v>AKTIF (Semester 5)</v>
      </c>
      <c r="T385" s="16" t="str">
        <f ca="1">IF(O385 &lt; YEAR(TODAY()), "LULUS",
 IF(O385 = YEAR(TODAY()),
    IF(MATCH(N385, {"Januari";"Februari";"Maret";"April";"Mei";"Juni";"Juli";"Agustus";"September";"Oktober";"November";"Desember"},0)
        &lt;= MONTH(TODAY()),
        "LULUS",
        "AKTIF"),
 "AKTIF"))</f>
        <v>AKTIF</v>
      </c>
      <c r="U385" s="16" t="s">
        <v>2941</v>
      </c>
      <c r="V385" s="15"/>
      <c r="W385" s="15"/>
      <c r="X385" s="15"/>
      <c r="Y385" s="15"/>
      <c r="Z385" s="15"/>
    </row>
    <row r="386" spans="1:26" ht="29" customHeight="1" x14ac:dyDescent="0.35">
      <c r="A386" s="12">
        <v>385</v>
      </c>
      <c r="B386" s="25" t="s">
        <v>1391</v>
      </c>
      <c r="C386" s="69" t="s">
        <v>1392</v>
      </c>
      <c r="D386" s="24" t="s">
        <v>370</v>
      </c>
      <c r="E386" s="14" t="str">
        <f t="shared" si="6"/>
        <v>Laki-Laki</v>
      </c>
      <c r="F386" s="72" t="s">
        <v>1393</v>
      </c>
      <c r="G386" s="13" t="s">
        <v>1305</v>
      </c>
      <c r="H386" s="19" t="s">
        <v>1394</v>
      </c>
      <c r="I386" s="19" t="s">
        <v>1395</v>
      </c>
      <c r="J386" s="19" t="s">
        <v>26</v>
      </c>
      <c r="K386" s="19" t="s">
        <v>449</v>
      </c>
      <c r="L386" s="70" t="s">
        <v>890</v>
      </c>
      <c r="M386" s="15">
        <v>2024</v>
      </c>
      <c r="N386" s="15" t="s">
        <v>118</v>
      </c>
      <c r="O386" s="15">
        <v>2026</v>
      </c>
      <c r="P386" s="15">
        <v>2024</v>
      </c>
      <c r="Q386" s="15"/>
      <c r="R386" s="16"/>
      <c r="S386" s="16" t="str">
        <f ca="1">IF(
  O386 &lt; YEAR(TODAY()),
  "LULUS",
  IF(
    O386 = YEAR(TODAY()),
    IF(
      MATCH(L386, {"Januari";"Februari";"Maret";"April";"Mei";"Juni";"Juli";"Agustus";"September";"Oktober";"November";"Desember"}, 0)
        &gt;= MONTH(TODAY()),
      "AKTIF (Semester " &amp;
        (INT((12*(YEAR(TODAY())-M386) + MONTH(TODAY()) -
          MATCH(L386, {"Januari";"Februari";"Maret";"April";"Mei";"Juni";"Juli";"Agustus";"September";"Oktober";"November";"Desember"}, 0)) / 6) + 1) &amp; ")",
      "LULUS"
    ),
    "AKTIF (Semester " &amp;
      (INT((12*(YEAR(TODAY())-M386) + MONTH(TODAY()) -
        MATCH(L386, {"Januari";"Februari";"Maret";"April";"Mei";"Juni";"Juli";"Agustus";"September";"Oktober";"November";"Desember"}, 0)) / 6) + 1) &amp; ")"
  )
)</f>
        <v>AKTIF (Semester 4)</v>
      </c>
      <c r="T386" s="16" t="str">
        <f ca="1">IF(O386 &lt; YEAR(TODAY()), "LULUS",
 IF(O386 = YEAR(TODAY()),
    IF(MATCH(N386, {"Januari";"Februari";"Maret";"April";"Mei";"Juni";"Juli";"Agustus";"September";"Oktober";"November";"Desember"},0)
        &lt;= MONTH(TODAY()),
        "LULUS",
        "AKTIF"),
 "AKTIF"))</f>
        <v>AKTIF</v>
      </c>
      <c r="U386" s="16" t="s">
        <v>2942</v>
      </c>
      <c r="V386" s="15"/>
      <c r="W386" s="15"/>
      <c r="X386" s="15"/>
      <c r="Y386" s="15"/>
      <c r="Z386" s="15"/>
    </row>
    <row r="387" spans="1:26" ht="29" customHeight="1" x14ac:dyDescent="0.35">
      <c r="A387" s="12">
        <v>386</v>
      </c>
      <c r="B387" s="25" t="s">
        <v>1396</v>
      </c>
      <c r="C387" s="69" t="s">
        <v>1397</v>
      </c>
      <c r="D387" s="24" t="s">
        <v>382</v>
      </c>
      <c r="E387" s="14" t="str">
        <f t="shared" si="6"/>
        <v>Laki-Laki</v>
      </c>
      <c r="F387" s="72" t="s">
        <v>142</v>
      </c>
      <c r="G387" s="13" t="s">
        <v>1305</v>
      </c>
      <c r="H387" s="19" t="s">
        <v>1348</v>
      </c>
      <c r="I387" s="19" t="s">
        <v>90</v>
      </c>
      <c r="J387" s="12" t="s">
        <v>45</v>
      </c>
      <c r="K387" s="19" t="s">
        <v>1307</v>
      </c>
      <c r="L387" s="86" t="s">
        <v>169</v>
      </c>
      <c r="M387" s="15">
        <v>2022</v>
      </c>
      <c r="N387" s="15" t="s">
        <v>446</v>
      </c>
      <c r="O387" s="15">
        <v>2026</v>
      </c>
      <c r="P387" s="15">
        <v>2022</v>
      </c>
      <c r="Q387" s="15"/>
      <c r="R387" s="16"/>
      <c r="S387" s="16" t="str">
        <f ca="1">IF(
  O387 &lt; YEAR(TODAY()),
  "LULUS",
  IF(
    O387 = YEAR(TODAY()),
    IF(
      MATCH(L387, {"Januari";"Februari";"Maret";"April";"Mei";"Juni";"Juli";"Agustus";"September";"Oktober";"November";"Desember"}, 0)
        &gt;= MONTH(TODAY()),
      "AKTIF (Semester " &amp;
        (INT((12*(YEAR(TODAY())-M387) + MONTH(TODAY()) -
          MATCH(L387, {"Januari";"Februari";"Maret";"April";"Mei";"Juni";"Juli";"Agustus";"September";"Oktober";"November";"Desember"}, 0)) / 6) + 1) &amp; ")",
      "LULUS"
    ),
    "AKTIF (Semester " &amp;
      (INT((12*(YEAR(TODAY())-M387) + MONTH(TODAY()) -
        MATCH(L387, {"Januari";"Februari";"Maret";"April";"Mei";"Juni";"Juli";"Agustus";"September";"Oktober";"November";"Desember"}, 0)) / 6) + 1) &amp; ")"
  )
)</f>
        <v>AKTIF (Semester 7)</v>
      </c>
      <c r="T387" s="16" t="str">
        <f ca="1">IF(O387 &lt; YEAR(TODAY()), "LULUS",
 IF(O387 = YEAR(TODAY()),
    IF(MATCH(N387, {"Januari";"Februari";"Maret";"April";"Mei";"Juni";"Juli";"Agustus";"September";"Oktober";"November";"Desember"},0)
        &lt;= MONTH(TODAY()),
        "LULUS",
        "AKTIF"),
 "AKTIF"))</f>
        <v>AKTIF</v>
      </c>
      <c r="U387" s="16" t="s">
        <v>2939</v>
      </c>
      <c r="V387" s="15"/>
      <c r="W387" s="15"/>
      <c r="X387" s="15"/>
      <c r="Y387" s="15"/>
      <c r="Z387" s="15"/>
    </row>
    <row r="388" spans="1:26" ht="29" customHeight="1" x14ac:dyDescent="0.35">
      <c r="A388" s="12">
        <v>387</v>
      </c>
      <c r="B388" s="25" t="s">
        <v>1398</v>
      </c>
      <c r="C388" s="69" t="s">
        <v>1399</v>
      </c>
      <c r="D388" s="24" t="s">
        <v>471</v>
      </c>
      <c r="E388" s="14" t="str">
        <f t="shared" si="6"/>
        <v>Laki-Laki</v>
      </c>
      <c r="F388" s="72" t="s">
        <v>558</v>
      </c>
      <c r="G388" s="13" t="s">
        <v>1305</v>
      </c>
      <c r="H388" s="19" t="s">
        <v>1400</v>
      </c>
      <c r="I388" s="19" t="s">
        <v>1395</v>
      </c>
      <c r="J388" s="12" t="s">
        <v>242</v>
      </c>
      <c r="K388" s="19" t="s">
        <v>344</v>
      </c>
      <c r="L388" s="70" t="s">
        <v>60</v>
      </c>
      <c r="M388" s="15">
        <v>2022</v>
      </c>
      <c r="N388" s="15" t="s">
        <v>145</v>
      </c>
      <c r="O388" s="15">
        <v>2025</v>
      </c>
      <c r="P388" s="15">
        <v>2022</v>
      </c>
      <c r="Q388" s="15"/>
      <c r="R388" s="16" t="s">
        <v>51</v>
      </c>
      <c r="S388" s="16" t="str">
        <f ca="1">IF(
  O388 &lt; YEAR(TODAY()),
  "LULUS",
  IF(
    O388 = YEAR(TODAY()),
    IF(
      MATCH(L388, {"Januari";"Februari";"Maret";"April";"Mei";"Juni";"Juli";"Agustus";"September";"Oktober";"November";"Desember"}, 0)
        &gt;= MONTH(TODAY()),
      "AKTIF (Semester " &amp;
        (INT((12*(YEAR(TODAY())-M388) + MONTH(TODAY()) -
          MATCH(L388, {"Januari";"Februari";"Maret";"April";"Mei";"Juni";"Juli";"Agustus";"September";"Oktober";"November";"Desember"}, 0)) / 6) + 1) &amp; ")",
      "LULUS"
    ),
    "AKTIF (Semester " &amp;
      (INT((12*(YEAR(TODAY())-M388) + MONTH(TODAY()) -
        MATCH(L388, {"Januari";"Februari";"Maret";"April";"Mei";"Juni";"Juli";"Agustus";"September";"Oktober";"November";"Desember"}, 0)) / 6) + 1) &amp; ")"
  )
)</f>
        <v>LULUS</v>
      </c>
      <c r="T388" s="16" t="e">
        <f ca="1">IF(O388 &lt; YEAR(TODAY()), "LULUS",
 IF(O388 = YEAR(TODAY()),
    IF(MATCH(N388, {"Januari";"Februari";"Maret";"April";"Mei";"Juni";"Juli";"Agustus";"September";"Oktober";"November";"Desember"},0)
        &lt;= MONTH(TODAY()),
        "LULUS",
        "AKTIF"),
 "AKTIF"))</f>
        <v>#N/A</v>
      </c>
      <c r="U388" s="16" t="s">
        <v>29</v>
      </c>
      <c r="V388" s="15"/>
      <c r="W388" s="15"/>
      <c r="X388" s="15"/>
      <c r="Y388" s="15"/>
      <c r="Z388" s="15"/>
    </row>
    <row r="389" spans="1:26" ht="29" customHeight="1" x14ac:dyDescent="0.35">
      <c r="A389" s="12">
        <v>388</v>
      </c>
      <c r="B389" s="25" t="s">
        <v>1401</v>
      </c>
      <c r="C389" s="69" t="s">
        <v>1402</v>
      </c>
      <c r="D389" s="24" t="s">
        <v>370</v>
      </c>
      <c r="E389" s="14" t="str">
        <f t="shared" si="6"/>
        <v>Laki-Laki</v>
      </c>
      <c r="F389" s="72" t="s">
        <v>1403</v>
      </c>
      <c r="G389" s="13" t="s">
        <v>1305</v>
      </c>
      <c r="H389" s="19" t="s">
        <v>1367</v>
      </c>
      <c r="I389" s="19" t="s">
        <v>1404</v>
      </c>
      <c r="J389" s="19" t="s">
        <v>26</v>
      </c>
      <c r="K389" s="19" t="s">
        <v>204</v>
      </c>
      <c r="L389" s="86" t="s">
        <v>118</v>
      </c>
      <c r="M389" s="15">
        <v>2022</v>
      </c>
      <c r="N389" s="15" t="s">
        <v>118</v>
      </c>
      <c r="O389" s="15">
        <v>2024</v>
      </c>
      <c r="P389" s="15">
        <v>2022</v>
      </c>
      <c r="Q389" s="15"/>
      <c r="R389" s="16" t="s">
        <v>29</v>
      </c>
      <c r="S389" s="16" t="str">
        <f ca="1">IF(
  O389 &lt; YEAR(TODAY()),
  "LULUS",
  IF(
    O389 = YEAR(TODAY()),
    IF(
      MATCH(L389, {"Januari";"Februari";"Maret";"April";"Mei";"Juni";"Juli";"Agustus";"September";"Oktober";"November";"Desember"}, 0)
        &gt;= MONTH(TODAY()),
      "AKTIF (Semester " &amp;
        (INT((12*(YEAR(TODAY())-M389) + MONTH(TODAY()) -
          MATCH(L389, {"Januari";"Februari";"Maret";"April";"Mei";"Juni";"Juli";"Agustus";"September";"Oktober";"November";"Desember"}, 0)) / 6) + 1) &amp; ")",
      "LULUS"
    ),
    "AKTIF (Semester " &amp;
      (INT((12*(YEAR(TODAY())-M389) + MONTH(TODAY()) -
        MATCH(L389, {"Januari";"Februari";"Maret";"April";"Mei";"Juni";"Juli";"Agustus";"September";"Oktober";"November";"Desember"}, 0)) / 6) + 1) &amp; ")"
  )
)</f>
        <v>LULUS</v>
      </c>
      <c r="T389" s="16" t="str">
        <f ca="1">IF(O389 &lt; YEAR(TODAY()), "LULUS",
 IF(O389 = YEAR(TODAY()),
    IF(MATCH(N389, {"Januari";"Februari";"Maret";"April";"Mei";"Juni";"Juli";"Agustus";"September";"Oktober";"November";"Desember"},0)
        &lt;= MONTH(TODAY()),
        "LULUS",
        "AKTIF"),
 "AKTIF"))</f>
        <v>LULUS</v>
      </c>
      <c r="U389" s="16" t="s">
        <v>29</v>
      </c>
      <c r="V389" s="15"/>
      <c r="W389" s="15"/>
      <c r="X389" s="15"/>
      <c r="Y389" s="15"/>
      <c r="Z389" s="15"/>
    </row>
    <row r="390" spans="1:26" ht="29" customHeight="1" x14ac:dyDescent="0.35">
      <c r="A390" s="12">
        <v>389</v>
      </c>
      <c r="B390" s="25" t="s">
        <v>1405</v>
      </c>
      <c r="C390" s="69" t="s">
        <v>1406</v>
      </c>
      <c r="D390" s="24" t="s">
        <v>109</v>
      </c>
      <c r="E390" s="14" t="str">
        <f t="shared" si="6"/>
        <v>Perempuan</v>
      </c>
      <c r="F390" s="72" t="s">
        <v>1407</v>
      </c>
      <c r="G390" s="13" t="s">
        <v>1305</v>
      </c>
      <c r="H390" s="19" t="s">
        <v>1384</v>
      </c>
      <c r="I390" s="19" t="s">
        <v>90</v>
      </c>
      <c r="J390" s="19" t="s">
        <v>26</v>
      </c>
      <c r="K390" s="19" t="s">
        <v>394</v>
      </c>
      <c r="L390" s="29" t="s">
        <v>28</v>
      </c>
      <c r="M390" s="15">
        <v>2023</v>
      </c>
      <c r="N390" s="15" t="s">
        <v>205</v>
      </c>
      <c r="O390" s="15">
        <v>2025</v>
      </c>
      <c r="P390" s="15">
        <v>2024</v>
      </c>
      <c r="Q390" s="15"/>
      <c r="R390" s="16"/>
      <c r="S390" s="16" t="str">
        <f ca="1">IF(
  O390 &lt; YEAR(TODAY()),
  "LULUS",
  IF(
    O390 = YEAR(TODAY()),
    IF(
      MATCH(L390, {"Januari";"Februari";"Maret";"April";"Mei";"Juni";"Juli";"Agustus";"September";"Oktober";"November";"Desember"}, 0)
        &gt;= MONTH(TODAY()),
      "AKTIF (Semester " &amp;
        (INT((12*(YEAR(TODAY())-M390) + MONTH(TODAY()) -
          MATCH(L390, {"Januari";"Februari";"Maret";"April";"Mei";"Juni";"Juli";"Agustus";"September";"Oktober";"November";"Desember"}, 0)) / 6) + 1) &amp; ")",
      "LULUS"
    ),
    "AKTIF (Semester " &amp;
      (INT((12*(YEAR(TODAY())-M390) + MONTH(TODAY()) -
        MATCH(L390, {"Januari";"Februari";"Maret";"April";"Mei";"Juni";"Juli";"Agustus";"September";"Oktober";"November";"Desember"}, 0)) / 6) + 1) &amp; ")"
  )
)</f>
        <v>LULUS</v>
      </c>
      <c r="T390" s="16" t="e">
        <f ca="1">IF(O390 &lt; YEAR(TODAY()), "LULUS",
 IF(O390 = YEAR(TODAY()),
    IF(MATCH(N390, {"Januari";"Februari";"Maret";"April";"Mei";"Juni";"Juli";"Agustus";"September";"Oktober";"November";"Desember"},0)
        &lt;= MONTH(TODAY()),
        "LULUS",
        "AKTIF"),
 "AKTIF"))</f>
        <v>#N/A</v>
      </c>
      <c r="U390" s="16" t="s">
        <v>29</v>
      </c>
      <c r="V390" s="15"/>
      <c r="W390" s="15"/>
      <c r="X390" s="15"/>
      <c r="Y390" s="15"/>
      <c r="Z390" s="15"/>
    </row>
    <row r="391" spans="1:26" ht="29" customHeight="1" x14ac:dyDescent="0.35">
      <c r="A391" s="12">
        <v>390</v>
      </c>
      <c r="B391" s="13" t="s">
        <v>1408</v>
      </c>
      <c r="C391" s="14" t="s">
        <v>1409</v>
      </c>
      <c r="D391" s="13" t="s">
        <v>164</v>
      </c>
      <c r="E391" s="14" t="str">
        <f t="shared" si="6"/>
        <v>Laki-Laki</v>
      </c>
      <c r="F391" s="18" t="s">
        <v>1410</v>
      </c>
      <c r="G391" s="13" t="s">
        <v>1305</v>
      </c>
      <c r="H391" s="15" t="s">
        <v>1411</v>
      </c>
      <c r="I391" s="19" t="s">
        <v>90</v>
      </c>
      <c r="J391" s="12" t="s">
        <v>45</v>
      </c>
      <c r="K391" s="15" t="s">
        <v>196</v>
      </c>
      <c r="L391" s="15" t="s">
        <v>28</v>
      </c>
      <c r="M391" s="15">
        <v>2024</v>
      </c>
      <c r="N391" s="15" t="s">
        <v>28</v>
      </c>
      <c r="O391" s="15">
        <v>2028</v>
      </c>
      <c r="P391" s="15">
        <v>2024</v>
      </c>
      <c r="Q391" s="15"/>
      <c r="R391" s="16" t="s">
        <v>51</v>
      </c>
      <c r="S391" s="16" t="str">
        <f ca="1">IF(
  O391 &lt; YEAR(TODAY()),
  "LULUS",
  IF(
    O391 = YEAR(TODAY()),
    IF(
      MATCH(L391, {"Januari";"Februari";"Maret";"April";"Mei";"Juni";"Juli";"Agustus";"September";"Oktober";"November";"Desember"}, 0)
        &gt;= MONTH(TODAY()),
      "AKTIF (Semester " &amp;
        (INT((12*(YEAR(TODAY())-M391) + MONTH(TODAY()) -
          MATCH(L391, {"Januari";"Februari";"Maret";"April";"Mei";"Juni";"Juli";"Agustus";"September";"Oktober";"November";"Desember"}, 0)) / 6) + 1) &amp; ")",
      "LULUS"
    ),
    "AKTIF (Semester " &amp;
      (INT((12*(YEAR(TODAY())-M391) + MONTH(TODAY()) -
        MATCH(L391, {"Januari";"Februari";"Maret";"April";"Mei";"Juni";"Juli";"Agustus";"September";"Oktober";"November";"Desember"}, 0)) / 6) + 1) &amp; ")"
  )
)</f>
        <v>AKTIF (Semester 3)</v>
      </c>
      <c r="T391" s="16" t="str">
        <f ca="1">IF(O391 &lt; YEAR(TODAY()), "LULUS",
 IF(O391 = YEAR(TODAY()),
    IF(MATCH(N391, {"Januari";"Februari";"Maret";"April";"Mei";"Juni";"Juli";"Agustus";"September";"Oktober";"November";"Desember"},0)
        &lt;= MONTH(TODAY()),
        "LULUS",
        "AKTIF"),
 "AKTIF"))</f>
        <v>AKTIF</v>
      </c>
      <c r="U391" s="16" t="s">
        <v>2940</v>
      </c>
      <c r="V391" s="15"/>
      <c r="W391" s="15"/>
      <c r="X391" s="15"/>
      <c r="Y391" s="15"/>
      <c r="Z391" s="15"/>
    </row>
    <row r="392" spans="1:26" ht="29" customHeight="1" x14ac:dyDescent="0.35">
      <c r="A392" s="12">
        <v>391</v>
      </c>
      <c r="B392" s="13" t="s">
        <v>1412</v>
      </c>
      <c r="C392" s="14" t="s">
        <v>1413</v>
      </c>
      <c r="D392" s="13" t="s">
        <v>164</v>
      </c>
      <c r="E392" s="14" t="str">
        <f t="shared" si="6"/>
        <v>Laki-Laki</v>
      </c>
      <c r="F392" s="18" t="s">
        <v>1414</v>
      </c>
      <c r="G392" s="13" t="s">
        <v>1305</v>
      </c>
      <c r="H392" s="15" t="s">
        <v>1415</v>
      </c>
      <c r="I392" s="19" t="s">
        <v>90</v>
      </c>
      <c r="J392" s="12" t="s">
        <v>45</v>
      </c>
      <c r="K392" s="15" t="s">
        <v>221</v>
      </c>
      <c r="L392" s="15" t="s">
        <v>28</v>
      </c>
      <c r="M392" s="15">
        <v>2024</v>
      </c>
      <c r="N392" s="15" t="s">
        <v>28</v>
      </c>
      <c r="O392" s="15">
        <v>2028</v>
      </c>
      <c r="P392" s="15">
        <v>2024</v>
      </c>
      <c r="Q392" s="15"/>
      <c r="R392" s="16" t="s">
        <v>51</v>
      </c>
      <c r="S392" s="16" t="str">
        <f ca="1">IF(
  O392 &lt; YEAR(TODAY()),
  "LULUS",
  IF(
    O392 = YEAR(TODAY()),
    IF(
      MATCH(L392, {"Januari";"Februari";"Maret";"April";"Mei";"Juni";"Juli";"Agustus";"September";"Oktober";"November";"Desember"}, 0)
        &gt;= MONTH(TODAY()),
      "AKTIF (Semester " &amp;
        (INT((12*(YEAR(TODAY())-M392) + MONTH(TODAY()) -
          MATCH(L392, {"Januari";"Februari";"Maret";"April";"Mei";"Juni";"Juli";"Agustus";"September";"Oktober";"November";"Desember"}, 0)) / 6) + 1) &amp; ")",
      "LULUS"
    ),
    "AKTIF (Semester " &amp;
      (INT((12*(YEAR(TODAY())-M392) + MONTH(TODAY()) -
        MATCH(L392, {"Januari";"Februari";"Maret";"April";"Mei";"Juni";"Juli";"Agustus";"September";"Oktober";"November";"Desember"}, 0)) / 6) + 1) &amp; ")"
  )
)</f>
        <v>AKTIF (Semester 3)</v>
      </c>
      <c r="T392" s="16" t="str">
        <f ca="1">IF(O392 &lt; YEAR(TODAY()), "LULUS",
 IF(O392 = YEAR(TODAY()),
    IF(MATCH(N392, {"Januari";"Februari";"Maret";"April";"Mei";"Juni";"Juli";"Agustus";"September";"Oktober";"November";"Desember"},0)
        &lt;= MONTH(TODAY()),
        "LULUS",
        "AKTIF"),
 "AKTIF"))</f>
        <v>AKTIF</v>
      </c>
      <c r="U392" s="16" t="s">
        <v>2940</v>
      </c>
      <c r="V392" s="15"/>
      <c r="W392" s="15"/>
      <c r="X392" s="15"/>
      <c r="Y392" s="15"/>
      <c r="Z392" s="15"/>
    </row>
    <row r="393" spans="1:26" ht="29" customHeight="1" x14ac:dyDescent="0.35">
      <c r="A393" s="12">
        <v>392</v>
      </c>
      <c r="B393" s="25" t="s">
        <v>1416</v>
      </c>
      <c r="C393" s="26" t="s">
        <v>1417</v>
      </c>
      <c r="D393" s="25" t="s">
        <v>215</v>
      </c>
      <c r="E393" s="14" t="str">
        <f t="shared" si="6"/>
        <v>Laki-Laki</v>
      </c>
      <c r="F393" s="25" t="s">
        <v>1388</v>
      </c>
      <c r="G393" s="25" t="s">
        <v>1305</v>
      </c>
      <c r="H393" s="19" t="s">
        <v>1418</v>
      </c>
      <c r="I393" s="19" t="s">
        <v>90</v>
      </c>
      <c r="J393" s="32" t="s">
        <v>180</v>
      </c>
      <c r="K393" s="32" t="s">
        <v>1419</v>
      </c>
      <c r="L393" s="86" t="s">
        <v>169</v>
      </c>
      <c r="M393" s="15">
        <v>2024</v>
      </c>
      <c r="N393" s="15" t="s">
        <v>446</v>
      </c>
      <c r="O393" s="15">
        <v>2028</v>
      </c>
      <c r="P393" s="15">
        <v>2025</v>
      </c>
      <c r="Q393" s="15"/>
      <c r="R393" s="16" t="s">
        <v>51</v>
      </c>
      <c r="S393" s="16" t="str">
        <f ca="1">IF(
  O393 &lt; YEAR(TODAY()),
  "LULUS",
  IF(
    O393 = YEAR(TODAY()),
    IF(
      MATCH(L393, {"Januari";"Februari";"Maret";"April";"Mei";"Juni";"Juli";"Agustus";"September";"Oktober";"November";"Desember"}, 0)
        &gt;= MONTH(TODAY()),
      "AKTIF (Semester " &amp;
        (INT((12*(YEAR(TODAY())-M393) + MONTH(TODAY()) -
          MATCH(L393, {"Januari";"Februari";"Maret";"April";"Mei";"Juni";"Juli";"Agustus";"September";"Oktober";"November";"Desember"}, 0)) / 6) + 1) &amp; ")",
      "LULUS"
    ),
    "AKTIF (Semester " &amp;
      (INT((12*(YEAR(TODAY())-M393) + MONTH(TODAY()) -
        MATCH(L393, {"Januari";"Februari";"Maret";"April";"Mei";"Juni";"Juli";"Agustus";"September";"Oktober";"November";"Desember"}, 0)) / 6) + 1) &amp; ")"
  )
)</f>
        <v>AKTIF (Semester 3)</v>
      </c>
      <c r="T393" s="16" t="str">
        <f ca="1">IF(O393 &lt; YEAR(TODAY()), "LULUS",
 IF(O393 = YEAR(TODAY()),
    IF(MATCH(N393, {"Januari";"Februari";"Maret";"April";"Mei";"Juni";"Juli";"Agustus";"September";"Oktober";"November";"Desember"},0)
        &lt;= MONTH(TODAY()),
        "LULUS",
        "AKTIF"),
 "AKTIF"))</f>
        <v>AKTIF</v>
      </c>
      <c r="U393" s="16" t="s">
        <v>2940</v>
      </c>
      <c r="V393" s="15"/>
      <c r="W393" s="15"/>
      <c r="X393" s="15"/>
      <c r="Y393" s="15"/>
      <c r="Z393" s="15"/>
    </row>
    <row r="394" spans="1:26" ht="29" customHeight="1" x14ac:dyDescent="0.35">
      <c r="A394" s="12">
        <v>393</v>
      </c>
      <c r="B394" s="25" t="s">
        <v>1420</v>
      </c>
      <c r="C394" s="26" t="s">
        <v>1421</v>
      </c>
      <c r="D394" s="25" t="s">
        <v>188</v>
      </c>
      <c r="E394" s="14" t="str">
        <f t="shared" si="6"/>
        <v>Laki-Laki</v>
      </c>
      <c r="F394" s="25" t="s">
        <v>540</v>
      </c>
      <c r="G394" s="25" t="s">
        <v>1305</v>
      </c>
      <c r="H394" s="19" t="s">
        <v>1418</v>
      </c>
      <c r="I394" s="28" t="s">
        <v>385</v>
      </c>
      <c r="J394" s="32" t="s">
        <v>190</v>
      </c>
      <c r="K394" s="32" t="s">
        <v>449</v>
      </c>
      <c r="L394" s="70" t="s">
        <v>60</v>
      </c>
      <c r="M394" s="15">
        <v>2024</v>
      </c>
      <c r="N394" s="15" t="s">
        <v>145</v>
      </c>
      <c r="O394" s="15">
        <v>2026</v>
      </c>
      <c r="P394" s="15">
        <v>2025</v>
      </c>
      <c r="Q394" s="15"/>
      <c r="R394" s="16" t="s">
        <v>51</v>
      </c>
      <c r="S394" s="16" t="str">
        <f ca="1">IF(
  O394 &lt; YEAR(TODAY()),
  "LULUS",
  IF(
    O394 = YEAR(TODAY()),
    IF(
      MATCH(L394, {"Januari";"Februari";"Maret";"April";"Mei";"Juni";"Juli";"Agustus";"September";"Oktober";"November";"Desember"}, 0)
        &gt;= MONTH(TODAY()),
      "AKTIF (Semester " &amp;
        (INT((12*(YEAR(TODAY())-M394) + MONTH(TODAY()) -
          MATCH(L394, {"Januari";"Februari";"Maret";"April";"Mei";"Juni";"Juli";"Agustus";"September";"Oktober";"November";"Desember"}, 0)) / 6) + 1) &amp; ")",
      "LULUS"
    ),
    "AKTIF (Semester " &amp;
      (INT((12*(YEAR(TODAY())-M394) + MONTH(TODAY()) -
        MATCH(L394, {"Januari";"Februari";"Maret";"April";"Mei";"Juni";"Juli";"Agustus";"September";"Oktober";"November";"Desember"}, 0)) / 6) + 1) &amp; ")"
  )
)</f>
        <v>AKTIF (Semester 3)</v>
      </c>
      <c r="T394" s="16" t="str">
        <f ca="1">IF(O394 &lt; YEAR(TODAY()), "LULUS",
 IF(O394 = YEAR(TODAY()),
    IF(MATCH(N394, {"Januari";"Februari";"Maret";"April";"Mei";"Juni";"Juli";"Agustus";"September";"Oktober";"November";"Desember"},0)
        &lt;= MONTH(TODAY()),
        "LULUS",
        "AKTIF"),
 "AKTIF"))</f>
        <v>AKTIF</v>
      </c>
      <c r="U394" s="16" t="s">
        <v>2940</v>
      </c>
      <c r="V394" s="15"/>
      <c r="W394" s="15"/>
      <c r="X394" s="15"/>
      <c r="Y394" s="15"/>
      <c r="Z394" s="15"/>
    </row>
    <row r="395" spans="1:26" ht="29" customHeight="1" x14ac:dyDescent="0.35">
      <c r="A395" s="12">
        <v>394</v>
      </c>
      <c r="B395" s="25" t="s">
        <v>1422</v>
      </c>
      <c r="C395" s="26" t="s">
        <v>1423</v>
      </c>
      <c r="D395" s="25" t="s">
        <v>1424</v>
      </c>
      <c r="E395" s="14" t="str">
        <f t="shared" si="6"/>
        <v>Laki-Laki</v>
      </c>
      <c r="F395" s="25" t="s">
        <v>1425</v>
      </c>
      <c r="G395" s="25" t="s">
        <v>1305</v>
      </c>
      <c r="H395" s="19" t="s">
        <v>1426</v>
      </c>
      <c r="I395" s="28" t="s">
        <v>1404</v>
      </c>
      <c r="J395" s="32" t="s">
        <v>190</v>
      </c>
      <c r="K395" s="32" t="s">
        <v>204</v>
      </c>
      <c r="L395" s="47" t="s">
        <v>28</v>
      </c>
      <c r="M395" s="15">
        <v>2024</v>
      </c>
      <c r="N395" s="15" t="s">
        <v>28</v>
      </c>
      <c r="O395" s="15">
        <v>2026</v>
      </c>
      <c r="P395" s="15">
        <v>2025</v>
      </c>
      <c r="Q395" s="15"/>
      <c r="R395" s="16" t="s">
        <v>51</v>
      </c>
      <c r="S395" s="16" t="str">
        <f ca="1">IF(
  O395 &lt; YEAR(TODAY()),
  "LULUS",
  IF(
    O395 = YEAR(TODAY()),
    IF(
      MATCH(L395, {"Januari";"Februari";"Maret";"April";"Mei";"Juni";"Juli";"Agustus";"September";"Oktober";"November";"Desember"}, 0)
        &gt;= MONTH(TODAY()),
      "AKTIF (Semester " &amp;
        (INT((12*(YEAR(TODAY())-M395) + MONTH(TODAY()) -
          MATCH(L395, {"Januari";"Februari";"Maret";"April";"Mei";"Juni";"Juli";"Agustus";"September";"Oktober";"November";"Desember"}, 0)) / 6) + 1) &amp; ")",
      "LULUS"
    ),
    "AKTIF (Semester " &amp;
      (INT((12*(YEAR(TODAY())-M395) + MONTH(TODAY()) -
        MATCH(L395, {"Januari";"Februari";"Maret";"April";"Mei";"Juni";"Juli";"Agustus";"September";"Oktober";"November";"Desember"}, 0)) / 6) + 1) &amp; ")"
  )
)</f>
        <v>AKTIF (Semester 3)</v>
      </c>
      <c r="T395" s="16" t="str">
        <f ca="1">IF(O395 &lt; YEAR(TODAY()), "LULUS",
 IF(O395 = YEAR(TODAY()),
    IF(MATCH(N395, {"Januari";"Februari";"Maret";"April";"Mei";"Juni";"Juli";"Agustus";"September";"Oktober";"November";"Desember"},0)
        &lt;= MONTH(TODAY()),
        "LULUS",
        "AKTIF"),
 "AKTIF"))</f>
        <v>AKTIF</v>
      </c>
      <c r="U395" s="16" t="s">
        <v>2940</v>
      </c>
      <c r="V395" s="15"/>
      <c r="W395" s="15"/>
      <c r="X395" s="15"/>
      <c r="Y395" s="15"/>
      <c r="Z395" s="15"/>
    </row>
    <row r="396" spans="1:26" ht="29" customHeight="1" x14ac:dyDescent="0.35">
      <c r="A396" s="12">
        <v>395</v>
      </c>
      <c r="B396" s="13" t="s">
        <v>1427</v>
      </c>
      <c r="C396" s="14" t="s">
        <v>1428</v>
      </c>
      <c r="D396" s="13"/>
      <c r="E396" s="14" t="str">
        <f t="shared" si="6"/>
        <v>Laki-Laki</v>
      </c>
      <c r="F396" s="18"/>
      <c r="G396" s="13" t="s">
        <v>1429</v>
      </c>
      <c r="H396" s="15" t="s">
        <v>1430</v>
      </c>
      <c r="I396" s="15" t="s">
        <v>1431</v>
      </c>
      <c r="J396" s="12" t="s">
        <v>26</v>
      </c>
      <c r="K396" s="15" t="s">
        <v>257</v>
      </c>
      <c r="L396" s="15" t="s">
        <v>205</v>
      </c>
      <c r="M396" s="15">
        <v>2020</v>
      </c>
      <c r="N396" s="15" t="s">
        <v>205</v>
      </c>
      <c r="O396" s="15">
        <v>2022</v>
      </c>
      <c r="P396" s="15">
        <v>2020</v>
      </c>
      <c r="Q396" s="15"/>
      <c r="R396" s="16" t="s">
        <v>29</v>
      </c>
      <c r="S396" s="16" t="str">
        <f ca="1">IF(
  O396 &lt; YEAR(TODAY()),
  "LULUS",
  IF(
    O396 = YEAR(TODAY()),
    IF(
      MATCH(L396, {"Januari";"Februari";"Maret";"April";"Mei";"Juni";"Juli";"Agustus";"September";"Oktober";"November";"Desember"}, 0)
        &gt;= MONTH(TODAY()),
      "AKTIF (Semester " &amp;
        (INT((12*(YEAR(TODAY())-M396) + MONTH(TODAY()) -
          MATCH(L396, {"Januari";"Februari";"Maret";"April";"Mei";"Juni";"Juli";"Agustus";"September";"Oktober";"November";"Desember"}, 0)) / 6) + 1) &amp; ")",
      "LULUS"
    ),
    "AKTIF (Semester " &amp;
      (INT((12*(YEAR(TODAY())-M396) + MONTH(TODAY()) -
        MATCH(L396, {"Januari";"Februari";"Maret";"April";"Mei";"Juni";"Juli";"Agustus";"September";"Oktober";"November";"Desember"}, 0)) / 6) + 1) &amp; ")"
  )
)</f>
        <v>LULUS</v>
      </c>
      <c r="T396" s="16" t="str">
        <f ca="1">IF(O396 &lt; YEAR(TODAY()), "LULUS",
 IF(O396 = YEAR(TODAY()),
    IF(MATCH(N396, {"Januari";"Februari";"Maret";"April";"Mei";"Juni";"Juli";"Agustus";"September";"Oktober";"November";"Desember"},0)
        &lt;= MONTH(TODAY()),
        "LULUS",
        "AKTIF"),
 "AKTIF"))</f>
        <v>LULUS</v>
      </c>
      <c r="U396" s="16" t="s">
        <v>29</v>
      </c>
      <c r="V396" s="15"/>
      <c r="W396" s="15"/>
      <c r="X396" s="15"/>
      <c r="Y396" s="15"/>
      <c r="Z396" s="15"/>
    </row>
    <row r="397" spans="1:26" ht="29" customHeight="1" x14ac:dyDescent="0.35">
      <c r="A397" s="12">
        <v>396</v>
      </c>
      <c r="B397" s="13" t="s">
        <v>1432</v>
      </c>
      <c r="C397" s="14" t="s">
        <v>1433</v>
      </c>
      <c r="D397" s="13"/>
      <c r="E397" s="14" t="str">
        <f t="shared" si="6"/>
        <v>Perempuan</v>
      </c>
      <c r="F397" s="13"/>
      <c r="G397" s="13" t="s">
        <v>1429</v>
      </c>
      <c r="H397" s="15" t="s">
        <v>1434</v>
      </c>
      <c r="I397" s="15" t="s">
        <v>852</v>
      </c>
      <c r="J397" s="12" t="s">
        <v>45</v>
      </c>
      <c r="K397" s="15" t="s">
        <v>286</v>
      </c>
      <c r="L397" s="23" t="s">
        <v>28</v>
      </c>
      <c r="M397" s="21">
        <v>2022</v>
      </c>
      <c r="N397" s="15" t="s">
        <v>28</v>
      </c>
      <c r="O397" s="15">
        <v>2026</v>
      </c>
      <c r="P397" s="15">
        <v>2022</v>
      </c>
      <c r="Q397" s="15"/>
      <c r="R397" s="34" t="s">
        <v>51</v>
      </c>
      <c r="S397" s="16" t="str">
        <f ca="1">IF(
  O397 &lt; YEAR(TODAY()),
  "LULUS",
  IF(
    O397 = YEAR(TODAY()),
    IF(
      MATCH(L397, {"Januari";"Februari";"Maret";"April";"Mei";"Juni";"Juli";"Agustus";"September";"Oktober";"November";"Desember"}, 0)
        &gt;= MONTH(TODAY()),
      "AKTIF (Semester " &amp;
        (INT((12*(YEAR(TODAY())-M397) + MONTH(TODAY()) -
          MATCH(L397, {"Januari";"Februari";"Maret";"April";"Mei";"Juni";"Juli";"Agustus";"September";"Oktober";"November";"Desember"}, 0)) / 6) + 1) &amp; ")",
      "LULUS"
    ),
    "AKTIF (Semester " &amp;
      (INT((12*(YEAR(TODAY())-M397) + MONTH(TODAY()) -
        MATCH(L397, {"Januari";"Februari";"Maret";"April";"Mei";"Juni";"Juli";"Agustus";"September";"Oktober";"November";"Desember"}, 0)) / 6) + 1) &amp; ")"
  )
)</f>
        <v>AKTIF (Semester 7)</v>
      </c>
      <c r="T397" s="16" t="str">
        <f ca="1">IF(O397 &lt; YEAR(TODAY()), "LULUS",
 IF(O397 = YEAR(TODAY()),
    IF(MATCH(N397, {"Januari";"Februari";"Maret";"April";"Mei";"Juni";"Juli";"Agustus";"September";"Oktober";"November";"Desember"},0)
        &lt;= MONTH(TODAY()),
        "LULUS",
        "AKTIF"),
 "AKTIF"))</f>
        <v>AKTIF</v>
      </c>
      <c r="U397" s="16" t="s">
        <v>2939</v>
      </c>
      <c r="V397" s="21"/>
      <c r="W397" s="21"/>
      <c r="X397" s="21"/>
      <c r="Y397" s="21"/>
      <c r="Z397" s="21"/>
    </row>
    <row r="398" spans="1:26" ht="29" customHeight="1" x14ac:dyDescent="0.35">
      <c r="A398" s="12">
        <v>397</v>
      </c>
      <c r="B398" s="25" t="s">
        <v>1435</v>
      </c>
      <c r="C398" s="63" t="s">
        <v>1436</v>
      </c>
      <c r="D398" s="24" t="s">
        <v>104</v>
      </c>
      <c r="E398" s="14" t="str">
        <f t="shared" si="6"/>
        <v>Laki-Laki</v>
      </c>
      <c r="F398" s="64" t="s">
        <v>1437</v>
      </c>
      <c r="G398" s="13" t="s">
        <v>1429</v>
      </c>
      <c r="H398" s="19" t="s">
        <v>1438</v>
      </c>
      <c r="I398" s="19" t="s">
        <v>549</v>
      </c>
      <c r="J398" s="12" t="s">
        <v>26</v>
      </c>
      <c r="K398" s="19" t="s">
        <v>46</v>
      </c>
      <c r="L398" s="70" t="s">
        <v>35</v>
      </c>
      <c r="M398" s="15">
        <v>2023</v>
      </c>
      <c r="N398" s="15" t="s">
        <v>1439</v>
      </c>
      <c r="O398" s="15">
        <v>2025</v>
      </c>
      <c r="P398" s="15">
        <v>2023</v>
      </c>
      <c r="Q398" s="15"/>
      <c r="R398" s="34" t="s">
        <v>51</v>
      </c>
      <c r="S398" s="16" t="str">
        <f ca="1">IF(
  O398 &lt; YEAR(TODAY()),
  "LULUS",
  IF(
    O398 = YEAR(TODAY()),
    IF(
      MATCH(L398, {"Januari";"Februari";"Maret";"April";"Mei";"Juni";"Juli";"Agustus";"September";"Oktober";"November";"Desember"}, 0)
        &gt;= MONTH(TODAY()),
      "AKTIF (Semester " &amp;
        (INT((12*(YEAR(TODAY())-M398) + MONTH(TODAY()) -
          MATCH(L398, {"Januari";"Februari";"Maret";"April";"Mei";"Juni";"Juli";"Agustus";"September";"Oktober";"November";"Desember"}, 0)) / 6) + 1) &amp; ")",
      "LULUS"
    ),
    "AKTIF (Semester " &amp;
      (INT((12*(YEAR(TODAY())-M398) + MONTH(TODAY()) -
        MATCH(L398, {"Januari";"Februari";"Maret";"April";"Mei";"Juni";"Juli";"Agustus";"September";"Oktober";"November";"Desember"}, 0)) / 6) + 1) &amp; ")"
  )
)</f>
        <v>LULUS</v>
      </c>
      <c r="T398" s="16" t="e">
        <f ca="1">IF(O398 &lt; YEAR(TODAY()), "LULUS",
 IF(O398 = YEAR(TODAY()),
    IF(MATCH(N398, {"Januari";"Februari";"Maret";"April";"Mei";"Juni";"Juli";"Agustus";"September";"Oktober";"November";"Desember"},0)
        &lt;= MONTH(TODAY()),
        "LULUS",
        "AKTIF"),
 "AKTIF"))</f>
        <v>#N/A</v>
      </c>
      <c r="U398" s="16" t="s">
        <v>29</v>
      </c>
      <c r="V398" s="21"/>
      <c r="W398" s="21"/>
      <c r="X398" s="21"/>
      <c r="Y398" s="21"/>
      <c r="Z398" s="21"/>
    </row>
    <row r="399" spans="1:26" ht="29" customHeight="1" x14ac:dyDescent="0.35">
      <c r="A399" s="12">
        <v>398</v>
      </c>
      <c r="B399" s="72" t="s">
        <v>1440</v>
      </c>
      <c r="C399" s="63" t="s">
        <v>1441</v>
      </c>
      <c r="D399" s="24" t="s">
        <v>98</v>
      </c>
      <c r="E399" s="14" t="str">
        <f t="shared" si="6"/>
        <v>Perempuan</v>
      </c>
      <c r="F399" s="64" t="s">
        <v>1442</v>
      </c>
      <c r="G399" s="13" t="s">
        <v>1429</v>
      </c>
      <c r="H399" s="19" t="s">
        <v>1443</v>
      </c>
      <c r="I399" s="19" t="s">
        <v>90</v>
      </c>
      <c r="J399" s="12" t="s">
        <v>45</v>
      </c>
      <c r="K399" s="19" t="s">
        <v>569</v>
      </c>
      <c r="L399" s="70" t="s">
        <v>35</v>
      </c>
      <c r="M399" s="15">
        <v>2023</v>
      </c>
      <c r="N399" s="15" t="s">
        <v>1439</v>
      </c>
      <c r="O399" s="15">
        <v>2027</v>
      </c>
      <c r="P399" s="15">
        <v>2023</v>
      </c>
      <c r="Q399" s="15"/>
      <c r="R399" s="34" t="s">
        <v>51</v>
      </c>
      <c r="S399" s="16" t="str">
        <f ca="1">IF(
  O399 &lt; YEAR(TODAY()),
  "LULUS",
  IF(
    O399 = YEAR(TODAY()),
    IF(
      MATCH(L399, {"Januari";"Februari";"Maret";"April";"Mei";"Juni";"Juli";"Agustus";"September";"Oktober";"November";"Desember"}, 0)
        &gt;= MONTH(TODAY()),
      "AKTIF (Semester " &amp;
        (INT((12*(YEAR(TODAY())-M399) + MONTH(TODAY()) -
          MATCH(L399, {"Januari";"Februari";"Maret";"April";"Mei";"Juni";"Juli";"Agustus";"September";"Oktober";"November";"Desember"}, 0)) / 6) + 1) &amp; ")",
      "LULUS"
    ),
    "AKTIF (Semester " &amp;
      (INT((12*(YEAR(TODAY())-M399) + MONTH(TODAY()) -
        MATCH(L399, {"Januari";"Februari";"Maret";"April";"Mei";"Juni";"Juli";"Agustus";"September";"Oktober";"November";"Desember"}, 0)) / 6) + 1) &amp; ")"
  )
)</f>
        <v>AKTIF (Semester 6)</v>
      </c>
      <c r="T399" s="16" t="str">
        <f ca="1">IF(O399 &lt; YEAR(TODAY()), "LULUS",
 IF(O399 = YEAR(TODAY()),
    IF(MATCH(N399, {"Januari";"Februari";"Maret";"April";"Mei";"Juni";"Juli";"Agustus";"September";"Oktober";"November";"Desember"},0)
        &lt;= MONTH(TODAY()),
        "LULUS",
        "AKTIF"),
 "AKTIF"))</f>
        <v>AKTIF</v>
      </c>
      <c r="U399" s="16" t="s">
        <v>2938</v>
      </c>
      <c r="V399" s="21"/>
      <c r="W399" s="21"/>
      <c r="X399" s="21"/>
      <c r="Y399" s="21"/>
      <c r="Z399" s="21"/>
    </row>
    <row r="400" spans="1:26" ht="29" customHeight="1" x14ac:dyDescent="0.35">
      <c r="A400" s="12">
        <v>399</v>
      </c>
      <c r="B400" s="72" t="s">
        <v>1444</v>
      </c>
      <c r="C400" s="63" t="s">
        <v>1445</v>
      </c>
      <c r="D400" s="24" t="s">
        <v>126</v>
      </c>
      <c r="E400" s="14" t="str">
        <f t="shared" si="6"/>
        <v>Perempuan</v>
      </c>
      <c r="F400" s="64" t="s">
        <v>1106</v>
      </c>
      <c r="G400" s="13" t="s">
        <v>1429</v>
      </c>
      <c r="H400" s="19" t="s">
        <v>1446</v>
      </c>
      <c r="I400" s="19" t="s">
        <v>320</v>
      </c>
      <c r="J400" s="12" t="s">
        <v>45</v>
      </c>
      <c r="K400" s="19" t="s">
        <v>295</v>
      </c>
      <c r="L400" s="70" t="s">
        <v>35</v>
      </c>
      <c r="M400" s="15">
        <v>2023</v>
      </c>
      <c r="N400" s="15" t="s">
        <v>1439</v>
      </c>
      <c r="O400" s="15">
        <v>2027</v>
      </c>
      <c r="P400" s="15">
        <v>2023</v>
      </c>
      <c r="Q400" s="15"/>
      <c r="R400" s="34" t="s">
        <v>51</v>
      </c>
      <c r="S400" s="16" t="str">
        <f ca="1">IF(
  O400 &lt; YEAR(TODAY()),
  "LULUS",
  IF(
    O400 = YEAR(TODAY()),
    IF(
      MATCH(L400, {"Januari";"Februari";"Maret";"April";"Mei";"Juni";"Juli";"Agustus";"September";"Oktober";"November";"Desember"}, 0)
        &gt;= MONTH(TODAY()),
      "AKTIF (Semester " &amp;
        (INT((12*(YEAR(TODAY())-M400) + MONTH(TODAY()) -
          MATCH(L400, {"Januari";"Februari";"Maret";"April";"Mei";"Juni";"Juli";"Agustus";"September";"Oktober";"November";"Desember"}, 0)) / 6) + 1) &amp; ")",
      "LULUS"
    ),
    "AKTIF (Semester " &amp;
      (INT((12*(YEAR(TODAY())-M400) + MONTH(TODAY()) -
        MATCH(L400, {"Januari";"Februari";"Maret";"April";"Mei";"Juni";"Juli";"Agustus";"September";"Oktober";"November";"Desember"}, 0)) / 6) + 1) &amp; ")"
  )
)</f>
        <v>AKTIF (Semester 6)</v>
      </c>
      <c r="T400" s="16" t="str">
        <f ca="1">IF(O400 &lt; YEAR(TODAY()), "LULUS",
 IF(O400 = YEAR(TODAY()),
    IF(MATCH(N400, {"Januari";"Februari";"Maret";"April";"Mei";"Juni";"Juli";"Agustus";"September";"Oktober";"November";"Desember"},0)
        &lt;= MONTH(TODAY()),
        "LULUS",
        "AKTIF"),
 "AKTIF"))</f>
        <v>AKTIF</v>
      </c>
      <c r="U400" s="16" t="s">
        <v>2938</v>
      </c>
      <c r="V400" s="21"/>
      <c r="W400" s="21"/>
      <c r="X400" s="21"/>
      <c r="Y400" s="21"/>
      <c r="Z400" s="21"/>
    </row>
    <row r="401" spans="1:26" ht="29" customHeight="1" x14ac:dyDescent="0.35">
      <c r="A401" s="12">
        <v>400</v>
      </c>
      <c r="B401" s="25" t="s">
        <v>1447</v>
      </c>
      <c r="C401" s="69" t="s">
        <v>1448</v>
      </c>
      <c r="D401" s="24" t="s">
        <v>791</v>
      </c>
      <c r="E401" s="14" t="str">
        <f t="shared" si="6"/>
        <v>Laki-Laki</v>
      </c>
      <c r="F401" s="72" t="s">
        <v>1449</v>
      </c>
      <c r="G401" s="13" t="s">
        <v>1429</v>
      </c>
      <c r="H401" s="19" t="s">
        <v>1450</v>
      </c>
      <c r="I401" s="19" t="s">
        <v>241</v>
      </c>
      <c r="J401" s="12" t="s">
        <v>242</v>
      </c>
      <c r="K401" s="19" t="s">
        <v>243</v>
      </c>
      <c r="L401" s="86" t="s">
        <v>145</v>
      </c>
      <c r="M401" s="15">
        <v>2020</v>
      </c>
      <c r="N401" s="15" t="s">
        <v>145</v>
      </c>
      <c r="O401" s="15">
        <v>2023</v>
      </c>
      <c r="P401" s="15">
        <v>2022</v>
      </c>
      <c r="Q401" s="15"/>
      <c r="R401" s="34" t="s">
        <v>51</v>
      </c>
      <c r="S401" s="16" t="str">
        <f ca="1">IF(
  O401 &lt; YEAR(TODAY()),
  "LULUS",
  IF(
    O401 = YEAR(TODAY()),
    IF(
      MATCH(L401, {"Januari";"Februari";"Maret";"April";"Mei";"Juni";"Juli";"Agustus";"September";"Oktober";"November";"Desember"}, 0)
        &gt;= MONTH(TODAY()),
      "AKTIF (Semester " &amp;
        (INT((12*(YEAR(TODAY())-M401) + MONTH(TODAY()) -
          MATCH(L401, {"Januari";"Februari";"Maret";"April";"Mei";"Juni";"Juli";"Agustus";"September";"Oktober";"November";"Desember"}, 0)) / 6) + 1) &amp; ")",
      "LULUS"
    ),
    "AKTIF (Semester " &amp;
      (INT((12*(YEAR(TODAY())-M401) + MONTH(TODAY()) -
        MATCH(L401, {"Januari";"Februari";"Maret";"April";"Mei";"Juni";"Juli";"Agustus";"September";"Oktober";"November";"Desember"}, 0)) / 6) + 1) &amp; ")"
  )
)</f>
        <v>LULUS</v>
      </c>
      <c r="T401" s="16" t="str">
        <f ca="1">IF(O401 &lt; YEAR(TODAY()), "LULUS",
 IF(O401 = YEAR(TODAY()),
    IF(MATCH(N401, {"Januari";"Februari";"Maret";"April";"Mei";"Juni";"Juli";"Agustus";"September";"Oktober";"November";"Desember"},0)
        &lt;= MONTH(TODAY()),
        "LULUS",
        "AKTIF"),
 "AKTIF"))</f>
        <v>LULUS</v>
      </c>
      <c r="U401" s="16" t="s">
        <v>29</v>
      </c>
      <c r="V401" s="21"/>
      <c r="W401" s="21"/>
      <c r="X401" s="21"/>
      <c r="Y401" s="21"/>
      <c r="Z401" s="21"/>
    </row>
    <row r="402" spans="1:26" ht="29" customHeight="1" x14ac:dyDescent="0.35">
      <c r="A402" s="12">
        <v>401</v>
      </c>
      <c r="B402" s="73" t="s">
        <v>2838</v>
      </c>
      <c r="C402" s="69" t="s">
        <v>1451</v>
      </c>
      <c r="D402" s="24" t="s">
        <v>116</v>
      </c>
      <c r="E402" s="14" t="str">
        <f t="shared" si="6"/>
        <v>Perempuan</v>
      </c>
      <c r="F402" s="72" t="s">
        <v>99</v>
      </c>
      <c r="G402" s="13" t="s">
        <v>1429</v>
      </c>
      <c r="H402" s="19" t="s">
        <v>1452</v>
      </c>
      <c r="I402" s="19" t="s">
        <v>2931</v>
      </c>
      <c r="J402" s="19" t="s">
        <v>45</v>
      </c>
      <c r="K402" s="19" t="s">
        <v>273</v>
      </c>
      <c r="L402" s="86" t="s">
        <v>205</v>
      </c>
      <c r="M402" s="15">
        <v>2022</v>
      </c>
      <c r="N402" s="15" t="s">
        <v>205</v>
      </c>
      <c r="O402" s="15"/>
      <c r="P402" s="15">
        <v>2022</v>
      </c>
      <c r="Q402" s="15"/>
      <c r="R402" s="16" t="s">
        <v>29</v>
      </c>
      <c r="S402" s="16" t="str">
        <f ca="1">IF(
  O402 &lt; YEAR(TODAY()),
  "LULUS",
  IF(
    O402 = YEAR(TODAY()),
    IF(
      MATCH(L402, {"Januari";"Februari";"Maret";"April";"Mei";"Juni";"Juli";"Agustus";"September";"Oktober";"November";"Desember"}, 0)
        &gt;= MONTH(TODAY()),
      "AKTIF (Semester " &amp;
        (INT((12*(YEAR(TODAY())-M402) + MONTH(TODAY()) -
          MATCH(L402, {"Januari";"Februari";"Maret";"April";"Mei";"Juni";"Juli";"Agustus";"September";"Oktober";"November";"Desember"}, 0)) / 6) + 1) &amp; ")",
      "LULUS"
    ),
    "AKTIF (Semester " &amp;
      (INT((12*(YEAR(TODAY())-M402) + MONTH(TODAY()) -
        MATCH(L402, {"Januari";"Februari";"Maret";"April";"Mei";"Juni";"Juli";"Agustus";"September";"Oktober";"November";"Desember"}, 0)) / 6) + 1) &amp; ")"
  )
)</f>
        <v>LULUS</v>
      </c>
      <c r="T402" s="16" t="str">
        <f ca="1">IF(O402 &lt; YEAR(TODAY()), "LULUS",
 IF(O402 = YEAR(TODAY()),
    IF(MATCH(N402, {"Januari";"Februari";"Maret";"April";"Mei";"Juni";"Juli";"Agustus";"September";"Oktober";"November";"Desember"},0)
        &lt;= MONTH(TODAY()),
        "LULUS",
        "AKTIF"),
 "AKTIF"))</f>
        <v>LULUS</v>
      </c>
      <c r="U402" s="16" t="s">
        <v>29</v>
      </c>
      <c r="V402" s="15"/>
      <c r="W402" s="15"/>
      <c r="X402" s="15"/>
      <c r="Y402" s="15"/>
      <c r="Z402" s="15"/>
    </row>
    <row r="403" spans="1:26" ht="29" customHeight="1" x14ac:dyDescent="0.35">
      <c r="A403" s="12">
        <v>402</v>
      </c>
      <c r="B403" s="25" t="s">
        <v>1454</v>
      </c>
      <c r="C403" s="69" t="s">
        <v>1455</v>
      </c>
      <c r="D403" s="24" t="s">
        <v>116</v>
      </c>
      <c r="E403" s="14" t="str">
        <f t="shared" si="6"/>
        <v>Laki-Laki</v>
      </c>
      <c r="F403" s="72" t="s">
        <v>1414</v>
      </c>
      <c r="G403" s="13" t="s">
        <v>1429</v>
      </c>
      <c r="H403" s="19" t="s">
        <v>1456</v>
      </c>
      <c r="I403" s="19" t="s">
        <v>90</v>
      </c>
      <c r="J403" s="32" t="s">
        <v>2474</v>
      </c>
      <c r="K403" s="19" t="s">
        <v>117</v>
      </c>
      <c r="L403" s="29" t="s">
        <v>28</v>
      </c>
      <c r="M403" s="15">
        <v>2022</v>
      </c>
      <c r="N403" s="15" t="s">
        <v>205</v>
      </c>
      <c r="O403" s="15">
        <v>2026</v>
      </c>
      <c r="P403" s="15">
        <v>2022</v>
      </c>
      <c r="Q403" s="15"/>
      <c r="R403" s="16" t="s">
        <v>51</v>
      </c>
      <c r="S403" s="16" t="str">
        <f ca="1">IF(
  O403 &lt; YEAR(TODAY()),
  "LULUS",
  IF(
    O403 = YEAR(TODAY()),
    IF(
      MATCH(L403, {"Januari";"Februari";"Maret";"April";"Mei";"Juni";"Juli";"Agustus";"September";"Oktober";"November";"Desember"}, 0)
        &gt;= MONTH(TODAY()),
      "AKTIF (Semester " &amp;
        (INT((12*(YEAR(TODAY())-M403) + MONTH(TODAY()) -
          MATCH(L403, {"Januari";"Februari";"Maret";"April";"Mei";"Juni";"Juli";"Agustus";"September";"Oktober";"November";"Desember"}, 0)) / 6) + 1) &amp; ")",
      "LULUS"
    ),
    "AKTIF (Semester " &amp;
      (INT((12*(YEAR(TODAY())-M403) + MONTH(TODAY()) -
        MATCH(L403, {"Januari";"Februari";"Maret";"April";"Mei";"Juni";"Juli";"Agustus";"September";"Oktober";"November";"Desember"}, 0)) / 6) + 1) &amp; ")"
  )
)</f>
        <v>AKTIF (Semester 7)</v>
      </c>
      <c r="T403" s="16" t="str">
        <f ca="1">IF(O403 &lt; YEAR(TODAY()), "LULUS",
 IF(O403 = YEAR(TODAY()),
    IF(MATCH(N403, {"Januari";"Februari";"Maret";"April";"Mei";"Juni";"Juli";"Agustus";"September";"Oktober";"November";"Desember"},0)
        &lt;= MONTH(TODAY()),
        "LULUS",
        "AKTIF"),
 "AKTIF"))</f>
        <v>AKTIF</v>
      </c>
      <c r="U403" s="16" t="s">
        <v>2939</v>
      </c>
      <c r="V403" s="15"/>
      <c r="W403" s="15"/>
      <c r="X403" s="15"/>
      <c r="Y403" s="15"/>
      <c r="Z403" s="15"/>
    </row>
    <row r="404" spans="1:26" ht="29" customHeight="1" x14ac:dyDescent="0.35">
      <c r="A404" s="12">
        <v>403</v>
      </c>
      <c r="B404" s="25" t="s">
        <v>1457</v>
      </c>
      <c r="C404" s="69" t="s">
        <v>1458</v>
      </c>
      <c r="D404" s="24" t="s">
        <v>116</v>
      </c>
      <c r="E404" s="14" t="str">
        <f t="shared" si="6"/>
        <v>Laki-Laki</v>
      </c>
      <c r="F404" s="72" t="s">
        <v>1414</v>
      </c>
      <c r="G404" s="13" t="s">
        <v>1429</v>
      </c>
      <c r="H404" s="19" t="s">
        <v>1456</v>
      </c>
      <c r="I404" s="19" t="s">
        <v>90</v>
      </c>
      <c r="J404" s="19" t="s">
        <v>45</v>
      </c>
      <c r="K404" s="19" t="s">
        <v>46</v>
      </c>
      <c r="L404" s="29" t="s">
        <v>28</v>
      </c>
      <c r="M404" s="15">
        <v>2022</v>
      </c>
      <c r="N404" s="15" t="s">
        <v>205</v>
      </c>
      <c r="O404" s="15">
        <v>2026</v>
      </c>
      <c r="P404" s="15">
        <v>2022</v>
      </c>
      <c r="Q404" s="15"/>
      <c r="R404" s="16" t="s">
        <v>51</v>
      </c>
      <c r="S404" s="16" t="str">
        <f ca="1">IF(
  O404 &lt; YEAR(TODAY()),
  "LULUS",
  IF(
    O404 = YEAR(TODAY()),
    IF(
      MATCH(L404, {"Januari";"Februari";"Maret";"April";"Mei";"Juni";"Juli";"Agustus";"September";"Oktober";"November";"Desember"}, 0)
        &gt;= MONTH(TODAY()),
      "AKTIF (Semester " &amp;
        (INT((12*(YEAR(TODAY())-M404) + MONTH(TODAY()) -
          MATCH(L404, {"Januari";"Februari";"Maret";"April";"Mei";"Juni";"Juli";"Agustus";"September";"Oktober";"November";"Desember"}, 0)) / 6) + 1) &amp; ")",
      "LULUS"
    ),
    "AKTIF (Semester " &amp;
      (INT((12*(YEAR(TODAY())-M404) + MONTH(TODAY()) -
        MATCH(L404, {"Januari";"Februari";"Maret";"April";"Mei";"Juni";"Juli";"Agustus";"September";"Oktober";"November";"Desember"}, 0)) / 6) + 1) &amp; ")"
  )
)</f>
        <v>AKTIF (Semester 7)</v>
      </c>
      <c r="T404" s="16" t="str">
        <f ca="1">IF(O404 &lt; YEAR(TODAY()), "LULUS",
 IF(O404 = YEAR(TODAY()),
    IF(MATCH(N404, {"Januari";"Februari";"Maret";"April";"Mei";"Juni";"Juli";"Agustus";"September";"Oktober";"November";"Desember"},0)
        &lt;= MONTH(TODAY()),
        "LULUS",
        "AKTIF"),
 "AKTIF"))</f>
        <v>AKTIF</v>
      </c>
      <c r="U404" s="16" t="s">
        <v>2939</v>
      </c>
      <c r="V404" s="15"/>
      <c r="W404" s="15"/>
      <c r="X404" s="15"/>
      <c r="Y404" s="15"/>
      <c r="Z404" s="15"/>
    </row>
    <row r="405" spans="1:26" ht="29" customHeight="1" x14ac:dyDescent="0.35">
      <c r="A405" s="12">
        <v>404</v>
      </c>
      <c r="B405" s="25" t="s">
        <v>1459</v>
      </c>
      <c r="C405" s="69" t="s">
        <v>1460</v>
      </c>
      <c r="D405" s="24" t="s">
        <v>116</v>
      </c>
      <c r="E405" s="14" t="str">
        <f t="shared" si="6"/>
        <v>Laki-Laki</v>
      </c>
      <c r="F405" s="72" t="s">
        <v>526</v>
      </c>
      <c r="G405" s="13" t="s">
        <v>1429</v>
      </c>
      <c r="H405" s="19" t="s">
        <v>1456</v>
      </c>
      <c r="I405" s="19" t="s">
        <v>90</v>
      </c>
      <c r="J405" s="19" t="s">
        <v>45</v>
      </c>
      <c r="K405" s="19" t="s">
        <v>196</v>
      </c>
      <c r="L405" s="29" t="s">
        <v>28</v>
      </c>
      <c r="M405" s="15">
        <v>2022</v>
      </c>
      <c r="N405" s="15" t="s">
        <v>205</v>
      </c>
      <c r="O405" s="15">
        <v>2026</v>
      </c>
      <c r="P405" s="15">
        <v>2022</v>
      </c>
      <c r="Q405" s="15"/>
      <c r="R405" s="16" t="s">
        <v>51</v>
      </c>
      <c r="S405" s="16" t="str">
        <f ca="1">IF(
  O405 &lt; YEAR(TODAY()),
  "LULUS",
  IF(
    O405 = YEAR(TODAY()),
    IF(
      MATCH(L405, {"Januari";"Februari";"Maret";"April";"Mei";"Juni";"Juli";"Agustus";"September";"Oktober";"November";"Desember"}, 0)
        &gt;= MONTH(TODAY()),
      "AKTIF (Semester " &amp;
        (INT((12*(YEAR(TODAY())-M405) + MONTH(TODAY()) -
          MATCH(L405, {"Januari";"Februari";"Maret";"April";"Mei";"Juni";"Juli";"Agustus";"September";"Oktober";"November";"Desember"}, 0)) / 6) + 1) &amp; ")",
      "LULUS"
    ),
    "AKTIF (Semester " &amp;
      (INT((12*(YEAR(TODAY())-M405) + MONTH(TODAY()) -
        MATCH(L405, {"Januari";"Februari";"Maret";"April";"Mei";"Juni";"Juli";"Agustus";"September";"Oktober";"November";"Desember"}, 0)) / 6) + 1) &amp; ")"
  )
)</f>
        <v>AKTIF (Semester 7)</v>
      </c>
      <c r="T405" s="16" t="str">
        <f ca="1">IF(O405 &lt; YEAR(TODAY()), "LULUS",
 IF(O405 = YEAR(TODAY()),
    IF(MATCH(N405, {"Januari";"Februari";"Maret";"April";"Mei";"Juni";"Juli";"Agustus";"September";"Oktober";"November";"Desember"},0)
        &lt;= MONTH(TODAY()),
        "LULUS",
        "AKTIF"),
 "AKTIF"))</f>
        <v>AKTIF</v>
      </c>
      <c r="U405" s="16" t="s">
        <v>2939</v>
      </c>
      <c r="V405" s="15"/>
      <c r="W405" s="15"/>
      <c r="X405" s="15"/>
      <c r="Y405" s="15"/>
      <c r="Z405" s="15"/>
    </row>
    <row r="406" spans="1:26" ht="29" customHeight="1" x14ac:dyDescent="0.35">
      <c r="A406" s="12">
        <v>405</v>
      </c>
      <c r="B406" s="25" t="s">
        <v>1461</v>
      </c>
      <c r="C406" s="69" t="s">
        <v>1462</v>
      </c>
      <c r="D406" s="24" t="s">
        <v>109</v>
      </c>
      <c r="E406" s="14" t="str">
        <f t="shared" si="6"/>
        <v>Perempuan</v>
      </c>
      <c r="F406" s="72" t="s">
        <v>1463</v>
      </c>
      <c r="G406" s="13" t="s">
        <v>1429</v>
      </c>
      <c r="H406" s="19" t="s">
        <v>1456</v>
      </c>
      <c r="I406" s="19" t="s">
        <v>426</v>
      </c>
      <c r="J406" s="19" t="s">
        <v>26</v>
      </c>
      <c r="K406" s="19" t="s">
        <v>46</v>
      </c>
      <c r="L406" s="86" t="s">
        <v>205</v>
      </c>
      <c r="M406" s="15">
        <v>2022</v>
      </c>
      <c r="N406" s="15" t="s">
        <v>205</v>
      </c>
      <c r="O406" s="15">
        <v>2024</v>
      </c>
      <c r="P406" s="15">
        <v>2022</v>
      </c>
      <c r="Q406" s="15"/>
      <c r="R406" s="16" t="s">
        <v>51</v>
      </c>
      <c r="S406" s="16" t="str">
        <f ca="1">IF(
  O406 &lt; YEAR(TODAY()),
  "LULUS",
  IF(
    O406 = YEAR(TODAY()),
    IF(
      MATCH(L406, {"Januari";"Februari";"Maret";"April";"Mei";"Juni";"Juli";"Agustus";"September";"Oktober";"November";"Desember"}, 0)
        &gt;= MONTH(TODAY()),
      "AKTIF (Semester " &amp;
        (INT((12*(YEAR(TODAY())-M406) + MONTH(TODAY()) -
          MATCH(L406, {"Januari";"Februari";"Maret";"April";"Mei";"Juni";"Juli";"Agustus";"September";"Oktober";"November";"Desember"}, 0)) / 6) + 1) &amp; ")",
      "LULUS"
    ),
    "AKTIF (Semester " &amp;
      (INT((12*(YEAR(TODAY())-M406) + MONTH(TODAY()) -
        MATCH(L406, {"Januari";"Februari";"Maret";"April";"Mei";"Juni";"Juli";"Agustus";"September";"Oktober";"November";"Desember"}, 0)) / 6) + 1) &amp; ")"
  )
)</f>
        <v>LULUS</v>
      </c>
      <c r="T406" s="16" t="str">
        <f ca="1">IF(O406 &lt; YEAR(TODAY()), "LULUS",
 IF(O406 = YEAR(TODAY()),
    IF(MATCH(N406, {"Januari";"Februari";"Maret";"April";"Mei";"Juni";"Juli";"Agustus";"September";"Oktober";"November";"Desember"},0)
        &lt;= MONTH(TODAY()),
        "LULUS",
        "AKTIF"),
 "AKTIF"))</f>
        <v>LULUS</v>
      </c>
      <c r="U406" s="16" t="s">
        <v>29</v>
      </c>
      <c r="V406" s="15"/>
      <c r="W406" s="15"/>
      <c r="X406" s="15"/>
      <c r="Y406" s="15"/>
      <c r="Z406" s="15"/>
    </row>
    <row r="407" spans="1:26" ht="29" customHeight="1" x14ac:dyDescent="0.35">
      <c r="A407" s="12">
        <v>406</v>
      </c>
      <c r="B407" s="13" t="s">
        <v>1464</v>
      </c>
      <c r="C407" s="14" t="s">
        <v>1465</v>
      </c>
      <c r="D407" s="13" t="s">
        <v>152</v>
      </c>
      <c r="E407" s="14" t="str">
        <f t="shared" si="6"/>
        <v>Perempuan</v>
      </c>
      <c r="F407" s="18" t="s">
        <v>153</v>
      </c>
      <c r="G407" s="13" t="s">
        <v>1429</v>
      </c>
      <c r="H407" s="15" t="s">
        <v>1438</v>
      </c>
      <c r="I407" s="15" t="s">
        <v>25</v>
      </c>
      <c r="J407" s="19" t="s">
        <v>45</v>
      </c>
      <c r="K407" s="15" t="s">
        <v>46</v>
      </c>
      <c r="L407" s="15" t="s">
        <v>60</v>
      </c>
      <c r="M407" s="15">
        <v>2024</v>
      </c>
      <c r="N407" s="15" t="s">
        <v>60</v>
      </c>
      <c r="O407" s="15">
        <v>2028</v>
      </c>
      <c r="P407" s="15">
        <v>2024</v>
      </c>
      <c r="Q407" s="15"/>
      <c r="R407" s="16" t="s">
        <v>51</v>
      </c>
      <c r="S407" s="16" t="str">
        <f ca="1">IF(
  O407 &lt; YEAR(TODAY()),
  "LULUS",
  IF(
    O407 = YEAR(TODAY()),
    IF(
      MATCH(L407, {"Januari";"Februari";"Maret";"April";"Mei";"Juni";"Juli";"Agustus";"September";"Oktober";"November";"Desember"}, 0)
        &gt;= MONTH(TODAY()),
      "AKTIF (Semester " &amp;
        (INT((12*(YEAR(TODAY())-M407) + MONTH(TODAY()) -
          MATCH(L407, {"Januari";"Februari";"Maret";"April";"Mei";"Juni";"Juli";"Agustus";"September";"Oktober";"November";"Desember"}, 0)) / 6) + 1) &amp; ")",
      "LULUS"
    ),
    "AKTIF (Semester " &amp;
      (INT((12*(YEAR(TODAY())-M407) + MONTH(TODAY()) -
        MATCH(L407, {"Januari";"Februari";"Maret";"April";"Mei";"Juni";"Juli";"Agustus";"September";"Oktober";"November";"Desember"}, 0)) / 6) + 1) &amp; ")"
  )
)</f>
        <v>AKTIF (Semester 3)</v>
      </c>
      <c r="T407" s="16" t="str">
        <f ca="1">IF(O407 &lt; YEAR(TODAY()), "LULUS",
 IF(O407 = YEAR(TODAY()),
    IF(MATCH(N407, {"Januari";"Februari";"Maret";"April";"Mei";"Juni";"Juli";"Agustus";"September";"Oktober";"November";"Desember"},0)
        &lt;= MONTH(TODAY()),
        "LULUS",
        "AKTIF"),
 "AKTIF"))</f>
        <v>AKTIF</v>
      </c>
      <c r="U407" s="16" t="s">
        <v>2940</v>
      </c>
      <c r="V407" s="15"/>
      <c r="W407" s="15"/>
      <c r="X407" s="15"/>
      <c r="Y407" s="15"/>
      <c r="Z407" s="15"/>
    </row>
    <row r="408" spans="1:26" ht="29" customHeight="1" x14ac:dyDescent="0.35">
      <c r="A408" s="12">
        <v>407</v>
      </c>
      <c r="B408" s="13" t="s">
        <v>1466</v>
      </c>
      <c r="C408" s="14" t="s">
        <v>1467</v>
      </c>
      <c r="D408" s="13" t="s">
        <v>152</v>
      </c>
      <c r="E408" s="14" t="str">
        <f t="shared" si="6"/>
        <v>Perempuan</v>
      </c>
      <c r="F408" s="18" t="s">
        <v>99</v>
      </c>
      <c r="G408" s="13" t="s">
        <v>1429</v>
      </c>
      <c r="H408" s="15" t="s">
        <v>1468</v>
      </c>
      <c r="I408" s="15" t="s">
        <v>225</v>
      </c>
      <c r="J408" s="19" t="s">
        <v>45</v>
      </c>
      <c r="K408" s="15" t="s">
        <v>40</v>
      </c>
      <c r="L408" s="15" t="s">
        <v>160</v>
      </c>
      <c r="M408" s="15">
        <v>2024</v>
      </c>
      <c r="N408" s="15" t="s">
        <v>160</v>
      </c>
      <c r="O408" s="15">
        <v>2028</v>
      </c>
      <c r="P408" s="15">
        <v>2024</v>
      </c>
      <c r="Q408" s="15"/>
      <c r="R408" s="16" t="s">
        <v>51</v>
      </c>
      <c r="S408" s="16" t="str">
        <f ca="1">IF(
  O408 &lt; YEAR(TODAY()),
  "LULUS",
  IF(
    O408 = YEAR(TODAY()),
    IF(
      MATCH(L408, {"Januari";"Februari";"Maret";"April";"Mei";"Juni";"Juli";"Agustus";"September";"Oktober";"November";"Desember"}, 0)
        &gt;= MONTH(TODAY()),
      "AKTIF (Semester " &amp;
        (INT((12*(YEAR(TODAY())-M408) + MONTH(TODAY()) -
          MATCH(L408, {"Januari";"Februari";"Maret";"April";"Mei";"Juni";"Juli";"Agustus";"September";"Oktober";"November";"Desember"}, 0)) / 6) + 1) &amp; ")",
      "LULUS"
    ),
    "AKTIF (Semester " &amp;
      (INT((12*(YEAR(TODAY())-M408) + MONTH(TODAY()) -
        MATCH(L408, {"Januari";"Februari";"Maret";"April";"Mei";"Juni";"Juli";"Agustus";"September";"Oktober";"November";"Desember"}, 0)) / 6) + 1) &amp; ")"
  )
)</f>
        <v>AKTIF (Semester 3)</v>
      </c>
      <c r="T408" s="16" t="str">
        <f ca="1">IF(O408 &lt; YEAR(TODAY()), "LULUS",
 IF(O408 = YEAR(TODAY()),
    IF(MATCH(N408, {"Januari";"Februari";"Maret";"April";"Mei";"Juni";"Juli";"Agustus";"September";"Oktober";"November";"Desember"},0)
        &lt;= MONTH(TODAY()),
        "LULUS",
        "AKTIF"),
 "AKTIF"))</f>
        <v>AKTIF</v>
      </c>
      <c r="U408" s="16" t="s">
        <v>2940</v>
      </c>
      <c r="V408" s="15"/>
      <c r="W408" s="15"/>
      <c r="X408" s="15"/>
      <c r="Y408" s="15"/>
      <c r="Z408" s="15"/>
    </row>
    <row r="409" spans="1:26" ht="29" customHeight="1" x14ac:dyDescent="0.35">
      <c r="A409" s="12">
        <v>408</v>
      </c>
      <c r="B409" s="13" t="s">
        <v>1469</v>
      </c>
      <c r="C409" s="14" t="s">
        <v>1470</v>
      </c>
      <c r="D409" s="13" t="s">
        <v>152</v>
      </c>
      <c r="E409" s="14" t="str">
        <f t="shared" si="6"/>
        <v>Perempuan</v>
      </c>
      <c r="F409" s="18" t="s">
        <v>153</v>
      </c>
      <c r="G409" s="13" t="s">
        <v>1429</v>
      </c>
      <c r="H409" s="15" t="s">
        <v>1438</v>
      </c>
      <c r="I409" s="15" t="s">
        <v>1471</v>
      </c>
      <c r="J409" s="19" t="s">
        <v>45</v>
      </c>
      <c r="K409" s="15" t="s">
        <v>46</v>
      </c>
      <c r="L409" s="15" t="s">
        <v>60</v>
      </c>
      <c r="M409" s="15">
        <v>2024</v>
      </c>
      <c r="N409" s="15" t="s">
        <v>60</v>
      </c>
      <c r="O409" s="15">
        <v>2028</v>
      </c>
      <c r="P409" s="15">
        <v>2024</v>
      </c>
      <c r="Q409" s="15"/>
      <c r="R409" s="16" t="s">
        <v>51</v>
      </c>
      <c r="S409" s="16" t="str">
        <f ca="1">IF(
  O409 &lt; YEAR(TODAY()),
  "LULUS",
  IF(
    O409 = YEAR(TODAY()),
    IF(
      MATCH(L409, {"Januari";"Februari";"Maret";"April";"Mei";"Juni";"Juli";"Agustus";"September";"Oktober";"November";"Desember"}, 0)
        &gt;= MONTH(TODAY()),
      "AKTIF (Semester " &amp;
        (INT((12*(YEAR(TODAY())-M409) + MONTH(TODAY()) -
          MATCH(L409, {"Januari";"Februari";"Maret";"April";"Mei";"Juni";"Juli";"Agustus";"September";"Oktober";"November";"Desember"}, 0)) / 6) + 1) &amp; ")",
      "LULUS"
    ),
    "AKTIF (Semester " &amp;
      (INT((12*(YEAR(TODAY())-M409) + MONTH(TODAY()) -
        MATCH(L409, {"Januari";"Februari";"Maret";"April";"Mei";"Juni";"Juli";"Agustus";"September";"Oktober";"November";"Desember"}, 0)) / 6) + 1) &amp; ")"
  )
)</f>
        <v>AKTIF (Semester 3)</v>
      </c>
      <c r="T409" s="16" t="str">
        <f ca="1">IF(O409 &lt; YEAR(TODAY()), "LULUS",
 IF(O409 = YEAR(TODAY()),
    IF(MATCH(N409, {"Januari";"Februari";"Maret";"April";"Mei";"Juni";"Juli";"Agustus";"September";"Oktober";"November";"Desember"},0)
        &lt;= MONTH(TODAY()),
        "LULUS",
        "AKTIF"),
 "AKTIF"))</f>
        <v>AKTIF</v>
      </c>
      <c r="U409" s="16" t="s">
        <v>2940</v>
      </c>
      <c r="V409" s="15"/>
      <c r="W409" s="15"/>
      <c r="X409" s="15"/>
      <c r="Y409" s="15"/>
      <c r="Z409" s="15"/>
    </row>
    <row r="410" spans="1:26" ht="29" customHeight="1" x14ac:dyDescent="0.35">
      <c r="A410" s="12">
        <v>409</v>
      </c>
      <c r="B410" s="13" t="s">
        <v>1472</v>
      </c>
      <c r="C410" s="14" t="s">
        <v>1473</v>
      </c>
      <c r="D410" s="13" t="s">
        <v>215</v>
      </c>
      <c r="E410" s="14" t="str">
        <f t="shared" si="6"/>
        <v>Perempuan</v>
      </c>
      <c r="F410" s="18" t="s">
        <v>1474</v>
      </c>
      <c r="G410" s="13" t="s">
        <v>1429</v>
      </c>
      <c r="H410" s="15" t="s">
        <v>1456</v>
      </c>
      <c r="I410" s="15" t="s">
        <v>426</v>
      </c>
      <c r="J410" s="19" t="s">
        <v>26</v>
      </c>
      <c r="K410" s="15" t="s">
        <v>1475</v>
      </c>
      <c r="L410" s="15" t="s">
        <v>28</v>
      </c>
      <c r="M410" s="15">
        <v>2024</v>
      </c>
      <c r="N410" s="15" t="s">
        <v>28</v>
      </c>
      <c r="O410" s="15">
        <v>2026</v>
      </c>
      <c r="P410" s="15">
        <v>2024</v>
      </c>
      <c r="Q410" s="15"/>
      <c r="R410" s="16" t="s">
        <v>51</v>
      </c>
      <c r="S410" s="16" t="str">
        <f ca="1">IF(
  O410 &lt; YEAR(TODAY()),
  "LULUS",
  IF(
    O410 = YEAR(TODAY()),
    IF(
      MATCH(L410, {"Januari";"Februari";"Maret";"April";"Mei";"Juni";"Juli";"Agustus";"September";"Oktober";"November";"Desember"}, 0)
        &gt;= MONTH(TODAY()),
      "AKTIF (Semester " &amp;
        (INT((12*(YEAR(TODAY())-M410) + MONTH(TODAY()) -
          MATCH(L410, {"Januari";"Februari";"Maret";"April";"Mei";"Juni";"Juli";"Agustus";"September";"Oktober";"November";"Desember"}, 0)) / 6) + 1) &amp; ")",
      "LULUS"
    ),
    "AKTIF (Semester " &amp;
      (INT((12*(YEAR(TODAY())-M410) + MONTH(TODAY()) -
        MATCH(L410, {"Januari";"Februari";"Maret";"April";"Mei";"Juni";"Juli";"Agustus";"September";"Oktober";"November";"Desember"}, 0)) / 6) + 1) &amp; ")"
  )
)</f>
        <v>AKTIF (Semester 3)</v>
      </c>
      <c r="T410" s="16" t="str">
        <f ca="1">IF(O410 &lt; YEAR(TODAY()), "LULUS",
 IF(O410 = YEAR(TODAY()),
    IF(MATCH(N410, {"Januari";"Februari";"Maret";"April";"Mei";"Juni";"Juli";"Agustus";"September";"Oktober";"November";"Desember"},0)
        &lt;= MONTH(TODAY()),
        "LULUS",
        "AKTIF"),
 "AKTIF"))</f>
        <v>AKTIF</v>
      </c>
      <c r="U410" s="16" t="s">
        <v>2940</v>
      </c>
      <c r="V410" s="15"/>
      <c r="W410" s="15"/>
      <c r="X410" s="15"/>
      <c r="Y410" s="15"/>
      <c r="Z410" s="15"/>
    </row>
    <row r="411" spans="1:26" ht="29" customHeight="1" x14ac:dyDescent="0.35">
      <c r="A411" s="12">
        <v>410</v>
      </c>
      <c r="B411" s="25" t="s">
        <v>1476</v>
      </c>
      <c r="C411" s="26" t="s">
        <v>1477</v>
      </c>
      <c r="D411" s="25" t="s">
        <v>188</v>
      </c>
      <c r="E411" s="14" t="str">
        <f t="shared" si="6"/>
        <v>Perempuan</v>
      </c>
      <c r="F411" s="33" t="s">
        <v>1478</v>
      </c>
      <c r="G411" s="13" t="s">
        <v>1429</v>
      </c>
      <c r="H411" s="19" t="s">
        <v>1456</v>
      </c>
      <c r="I411" s="19" t="s">
        <v>90</v>
      </c>
      <c r="J411" s="32" t="s">
        <v>190</v>
      </c>
      <c r="K411" s="32" t="s">
        <v>394</v>
      </c>
      <c r="L411" s="70" t="s">
        <v>890</v>
      </c>
      <c r="M411" s="15">
        <v>2025</v>
      </c>
      <c r="N411" s="15" t="s">
        <v>118</v>
      </c>
      <c r="O411" s="15">
        <v>2027</v>
      </c>
      <c r="P411" s="15">
        <v>2025</v>
      </c>
      <c r="Q411" s="15"/>
      <c r="R411" s="16" t="s">
        <v>51</v>
      </c>
      <c r="S411" s="16" t="str">
        <f ca="1">IF(
  O411 &lt; YEAR(TODAY()),
  "LULUS",
  IF(
    O411 = YEAR(TODAY()),
    IF(
      MATCH(L411, {"Januari";"Februari";"Maret";"April";"Mei";"Juni";"Juli";"Agustus";"September";"Oktober";"November";"Desember"}, 0)
        &gt;= MONTH(TODAY()),
      "AKTIF (Semester " &amp;
        (INT((12*(YEAR(TODAY())-M411) + MONTH(TODAY()) -
          MATCH(L411, {"Januari";"Februari";"Maret";"April";"Mei";"Juni";"Juli";"Agustus";"September";"Oktober";"November";"Desember"}, 0)) / 6) + 1) &amp; ")",
      "LULUS"
    ),
    "AKTIF (Semester " &amp;
      (INT((12*(YEAR(TODAY())-M411) + MONTH(TODAY()) -
        MATCH(L411, {"Januari";"Februari";"Maret";"April";"Mei";"Juni";"Juli";"Agustus";"September";"Oktober";"November";"Desember"}, 0)) / 6) + 1) &amp; ")"
  )
)</f>
        <v>AKTIF (Semester 2)</v>
      </c>
      <c r="T411" s="16" t="str">
        <f ca="1">IF(O411 &lt; YEAR(TODAY()), "LULUS",
 IF(O411 = YEAR(TODAY()),
    IF(MATCH(N411, {"Januari";"Februari";"Maret";"April";"Mei";"Juni";"Juli";"Agustus";"September";"Oktober";"November";"Desember"},0)
        &lt;= MONTH(TODAY()),
        "LULUS",
        "AKTIF"),
 "AKTIF"))</f>
        <v>AKTIF</v>
      </c>
      <c r="U411" s="16" t="s">
        <v>2945</v>
      </c>
      <c r="V411" s="15"/>
      <c r="W411" s="15"/>
      <c r="X411" s="15"/>
      <c r="Y411" s="15"/>
      <c r="Z411" s="15"/>
    </row>
    <row r="412" spans="1:26" ht="29" customHeight="1" x14ac:dyDescent="0.35">
      <c r="A412" s="12">
        <v>411</v>
      </c>
      <c r="B412" s="25" t="s">
        <v>1479</v>
      </c>
      <c r="C412" s="26" t="s">
        <v>1480</v>
      </c>
      <c r="D412" s="25" t="s">
        <v>152</v>
      </c>
      <c r="E412" s="14" t="str">
        <f t="shared" si="6"/>
        <v>Laki-Laki</v>
      </c>
      <c r="F412" s="33" t="s">
        <v>99</v>
      </c>
      <c r="G412" s="13" t="s">
        <v>1429</v>
      </c>
      <c r="H412" s="19" t="s">
        <v>1456</v>
      </c>
      <c r="I412" s="19" t="s">
        <v>90</v>
      </c>
      <c r="J412" s="32" t="s">
        <v>180</v>
      </c>
      <c r="K412" s="32" t="s">
        <v>1481</v>
      </c>
      <c r="L412" s="27" t="s">
        <v>113</v>
      </c>
      <c r="M412" s="15">
        <v>2025</v>
      </c>
      <c r="N412" s="15" t="s">
        <v>113</v>
      </c>
      <c r="O412" s="15">
        <v>2029</v>
      </c>
      <c r="P412" s="15">
        <v>2025</v>
      </c>
      <c r="Q412" s="15"/>
      <c r="R412" s="16" t="s">
        <v>51</v>
      </c>
      <c r="S412" s="16" t="str">
        <f ca="1">IF(
  O412 &lt; YEAR(TODAY()),
  "LULUS",
  IF(
    O412 = YEAR(TODAY()),
    IF(
      MATCH(L412, {"Januari";"Februari";"Maret";"April";"Mei";"Juni";"Juli";"Agustus";"September";"Oktober";"November";"Desember"}, 0)
        &gt;= MONTH(TODAY()),
      "AKTIF (Semester " &amp;
        (INT((12*(YEAR(TODAY())-M412) + MONTH(TODAY()) -
          MATCH(L412, {"Januari";"Februari";"Maret";"April";"Mei";"Juni";"Juli";"Agustus";"September";"Oktober";"November";"Desember"}, 0)) / 6) + 1) &amp; ")",
      "LULUS"
    ),
    "AKTIF (Semester " &amp;
      (INT((12*(YEAR(TODAY())-M412) + MONTH(TODAY()) -
        MATCH(L412, {"Januari";"Februari";"Maret";"April";"Mei";"Juni";"Juli";"Agustus";"September";"Oktober";"November";"Desember"}, 0)) / 6) + 1) &amp; ")"
  )
)</f>
        <v>AKTIF (Semester 2)</v>
      </c>
      <c r="T412" s="16" t="str">
        <f ca="1">IF(O412 &lt; YEAR(TODAY()), "LULUS",
 IF(O412 = YEAR(TODAY()),
    IF(MATCH(N412, {"Januari";"Februari";"Maret";"April";"Mei";"Juni";"Juli";"Agustus";"September";"Oktober";"November";"Desember"},0)
        &lt;= MONTH(TODAY()),
        "LULUS",
        "AKTIF"),
 "AKTIF"))</f>
        <v>AKTIF</v>
      </c>
      <c r="U412" s="16" t="s">
        <v>2945</v>
      </c>
      <c r="V412" s="15"/>
      <c r="W412" s="15"/>
      <c r="X412" s="15"/>
      <c r="Y412" s="15"/>
      <c r="Z412" s="15"/>
    </row>
    <row r="413" spans="1:26" ht="29" customHeight="1" x14ac:dyDescent="0.35">
      <c r="A413" s="12">
        <v>412</v>
      </c>
      <c r="B413" s="13" t="s">
        <v>1482</v>
      </c>
      <c r="C413" s="14" t="s">
        <v>1483</v>
      </c>
      <c r="D413" s="13"/>
      <c r="E413" s="14" t="str">
        <f t="shared" ref="E413:E476" si="7">IF(MID(C413,15,1)="1","Laki-Laki","Perempuan")</f>
        <v>Perempuan</v>
      </c>
      <c r="F413" s="18"/>
      <c r="G413" s="13" t="s">
        <v>1484</v>
      </c>
      <c r="H413" s="15" t="s">
        <v>1485</v>
      </c>
      <c r="I413" s="15" t="s">
        <v>241</v>
      </c>
      <c r="J413" s="12" t="s">
        <v>242</v>
      </c>
      <c r="K413" s="15" t="s">
        <v>1486</v>
      </c>
      <c r="L413" s="15" t="s">
        <v>60</v>
      </c>
      <c r="M413" s="15">
        <v>2019</v>
      </c>
      <c r="N413" s="15" t="s">
        <v>60</v>
      </c>
      <c r="O413" s="15">
        <v>2022</v>
      </c>
      <c r="P413" s="15">
        <v>2020</v>
      </c>
      <c r="Q413" s="15"/>
      <c r="R413" s="16" t="s">
        <v>2846</v>
      </c>
      <c r="S413" s="16" t="str">
        <f ca="1">IF(
  O413 &lt; YEAR(TODAY()),
  "LULUS",
  IF(
    O413 = YEAR(TODAY()),
    IF(
      MATCH(L413, {"Januari";"Februari";"Maret";"April";"Mei";"Juni";"Juli";"Agustus";"September";"Oktober";"November";"Desember"}, 0)
        &gt;= MONTH(TODAY()),
      "AKTIF (Semester " &amp;
        (INT((12*(YEAR(TODAY())-M413) + MONTH(TODAY()) -
          MATCH(L413, {"Januari";"Februari";"Maret";"April";"Mei";"Juni";"Juli";"Agustus";"September";"Oktober";"November";"Desember"}, 0)) / 6) + 1) &amp; ")",
      "LULUS"
    ),
    "AKTIF (Semester " &amp;
      (INT((12*(YEAR(TODAY())-M413) + MONTH(TODAY()) -
        MATCH(L413, {"Januari";"Februari";"Maret";"April";"Mei";"Juni";"Juli";"Agustus";"September";"Oktober";"November";"Desember"}, 0)) / 6) + 1) &amp; ")"
  )
)</f>
        <v>LULUS</v>
      </c>
      <c r="T413" s="16" t="str">
        <f ca="1">IF(O413 &lt; YEAR(TODAY()), "LULUS",
 IF(O413 = YEAR(TODAY()),
    IF(MATCH(N413, {"Januari";"Februari";"Maret";"April";"Mei";"Juni";"Juli";"Agustus";"September";"Oktober";"November";"Desember"},0)
        &lt;= MONTH(TODAY()),
        "LULUS",
        "AKTIF"),
 "AKTIF"))</f>
        <v>LULUS</v>
      </c>
      <c r="U413" s="16" t="s">
        <v>29</v>
      </c>
      <c r="V413" s="15"/>
      <c r="W413" s="15"/>
      <c r="X413" s="15"/>
      <c r="Y413" s="15"/>
      <c r="Z413" s="15"/>
    </row>
    <row r="414" spans="1:26" ht="29" customHeight="1" x14ac:dyDescent="0.35">
      <c r="A414" s="12">
        <v>413</v>
      </c>
      <c r="B414" s="13" t="s">
        <v>1487</v>
      </c>
      <c r="C414" s="14" t="s">
        <v>1488</v>
      </c>
      <c r="D414" s="13"/>
      <c r="E414" s="14" t="str">
        <f t="shared" si="7"/>
        <v>Laki-Laki</v>
      </c>
      <c r="F414" s="18"/>
      <c r="G414" s="13" t="s">
        <v>1484</v>
      </c>
      <c r="H414" s="15" t="s">
        <v>1489</v>
      </c>
      <c r="I414" s="15" t="s">
        <v>1395</v>
      </c>
      <c r="J414" s="12" t="s">
        <v>242</v>
      </c>
      <c r="K414" s="15" t="s">
        <v>407</v>
      </c>
      <c r="L414" s="15" t="s">
        <v>60</v>
      </c>
      <c r="M414" s="15">
        <v>2019</v>
      </c>
      <c r="N414" s="15" t="s">
        <v>60</v>
      </c>
      <c r="O414" s="15">
        <v>2022</v>
      </c>
      <c r="P414" s="15">
        <v>2020</v>
      </c>
      <c r="Q414" s="15"/>
      <c r="R414" s="16" t="s">
        <v>51</v>
      </c>
      <c r="S414" s="16" t="str">
        <f ca="1">IF(
  O414 &lt; YEAR(TODAY()),
  "LULUS",
  IF(
    O414 = YEAR(TODAY()),
    IF(
      MATCH(L414, {"Januari";"Februari";"Maret";"April";"Mei";"Juni";"Juli";"Agustus";"September";"Oktober";"November";"Desember"}, 0)
        &gt;= MONTH(TODAY()),
      "AKTIF (Semester " &amp;
        (INT((12*(YEAR(TODAY())-M414) + MONTH(TODAY()) -
          MATCH(L414, {"Januari";"Februari";"Maret";"April";"Mei";"Juni";"Juli";"Agustus";"September";"Oktober";"November";"Desember"}, 0)) / 6) + 1) &amp; ")",
      "LULUS"
    ),
    "AKTIF (Semester " &amp;
      (INT((12*(YEAR(TODAY())-M414) + MONTH(TODAY()) -
        MATCH(L414, {"Januari";"Februari";"Maret";"April";"Mei";"Juni";"Juli";"Agustus";"September";"Oktober";"November";"Desember"}, 0)) / 6) + 1) &amp; ")"
  )
)</f>
        <v>LULUS</v>
      </c>
      <c r="T414" s="16" t="str">
        <f ca="1">IF(O414 &lt; YEAR(TODAY()), "LULUS",
 IF(O414 = YEAR(TODAY()),
    IF(MATCH(N414, {"Januari";"Februari";"Maret";"April";"Mei";"Juni";"Juli";"Agustus";"September";"Oktober";"November";"Desember"},0)
        &lt;= MONTH(TODAY()),
        "LULUS",
        "AKTIF"),
 "AKTIF"))</f>
        <v>LULUS</v>
      </c>
      <c r="U414" s="16" t="s">
        <v>29</v>
      </c>
      <c r="V414" s="15"/>
      <c r="W414" s="15"/>
      <c r="X414" s="15"/>
      <c r="Y414" s="15"/>
      <c r="Z414" s="15"/>
    </row>
    <row r="415" spans="1:26" ht="29" customHeight="1" x14ac:dyDescent="0.35">
      <c r="A415" s="12">
        <v>414</v>
      </c>
      <c r="B415" s="13" t="s">
        <v>1490</v>
      </c>
      <c r="C415" s="14"/>
      <c r="D415" s="13"/>
      <c r="E415" s="14" t="str">
        <f t="shared" si="7"/>
        <v>Perempuan</v>
      </c>
      <c r="F415" s="18"/>
      <c r="G415" s="13" t="s">
        <v>1484</v>
      </c>
      <c r="H415" s="15" t="s">
        <v>1489</v>
      </c>
      <c r="I415" s="15" t="s">
        <v>1395</v>
      </c>
      <c r="J415" s="12" t="s">
        <v>242</v>
      </c>
      <c r="K415" s="15" t="s">
        <v>407</v>
      </c>
      <c r="L415" s="15" t="s">
        <v>60</v>
      </c>
      <c r="M415" s="15">
        <v>2019</v>
      </c>
      <c r="N415" s="15" t="s">
        <v>60</v>
      </c>
      <c r="O415" s="15">
        <v>2022</v>
      </c>
      <c r="P415" s="15">
        <v>2020</v>
      </c>
      <c r="Q415" s="15"/>
      <c r="R415" s="16" t="s">
        <v>51</v>
      </c>
      <c r="S415" s="16" t="str">
        <f ca="1">IF(
  O415 &lt; YEAR(TODAY()),
  "LULUS",
  IF(
    O415 = YEAR(TODAY()),
    IF(
      MATCH(L415, {"Januari";"Februari";"Maret";"April";"Mei";"Juni";"Juli";"Agustus";"September";"Oktober";"November";"Desember"}, 0)
        &gt;= MONTH(TODAY()),
      "AKTIF (Semester " &amp;
        (INT((12*(YEAR(TODAY())-M415) + MONTH(TODAY()) -
          MATCH(L415, {"Januari";"Februari";"Maret";"April";"Mei";"Juni";"Juli";"Agustus";"September";"Oktober";"November";"Desember"}, 0)) / 6) + 1) &amp; ")",
      "LULUS"
    ),
    "AKTIF (Semester " &amp;
      (INT((12*(YEAR(TODAY())-M415) + MONTH(TODAY()) -
        MATCH(L415, {"Januari";"Februari";"Maret";"April";"Mei";"Juni";"Juli";"Agustus";"September";"Oktober";"November";"Desember"}, 0)) / 6) + 1) &amp; ")"
  )
)</f>
        <v>LULUS</v>
      </c>
      <c r="T415" s="16" t="str">
        <f ca="1">IF(O415 &lt; YEAR(TODAY()), "LULUS",
 IF(O415 = YEAR(TODAY()),
    IF(MATCH(N415, {"Januari";"Februari";"Maret";"April";"Mei";"Juni";"Juli";"Agustus";"September";"Oktober";"November";"Desember"},0)
        &lt;= MONTH(TODAY()),
        "LULUS",
        "AKTIF"),
 "AKTIF"))</f>
        <v>LULUS</v>
      </c>
      <c r="U415" s="16" t="s">
        <v>29</v>
      </c>
      <c r="V415" s="15"/>
      <c r="W415" s="15"/>
      <c r="X415" s="15"/>
      <c r="Y415" s="15"/>
      <c r="Z415" s="15"/>
    </row>
    <row r="416" spans="1:26" ht="29" customHeight="1" x14ac:dyDescent="0.35">
      <c r="A416" s="12">
        <v>415</v>
      </c>
      <c r="B416" s="13" t="s">
        <v>1491</v>
      </c>
      <c r="C416" s="14" t="s">
        <v>1492</v>
      </c>
      <c r="D416" s="13"/>
      <c r="E416" s="14" t="str">
        <f t="shared" si="7"/>
        <v>Perempuan</v>
      </c>
      <c r="F416" s="18"/>
      <c r="G416" s="13" t="s">
        <v>1484</v>
      </c>
      <c r="H416" s="15" t="s">
        <v>1489</v>
      </c>
      <c r="I416" s="15" t="s">
        <v>1395</v>
      </c>
      <c r="J416" s="12" t="s">
        <v>242</v>
      </c>
      <c r="K416" s="15" t="s">
        <v>407</v>
      </c>
      <c r="L416" s="15" t="s">
        <v>60</v>
      </c>
      <c r="M416" s="15">
        <v>2019</v>
      </c>
      <c r="N416" s="15" t="s">
        <v>60</v>
      </c>
      <c r="O416" s="15">
        <v>2022</v>
      </c>
      <c r="P416" s="15">
        <v>2020</v>
      </c>
      <c r="Q416" s="15"/>
      <c r="R416" s="16" t="s">
        <v>51</v>
      </c>
      <c r="S416" s="16" t="str">
        <f ca="1">IF(
  O416 &lt; YEAR(TODAY()),
  "LULUS",
  IF(
    O416 = YEAR(TODAY()),
    IF(
      MATCH(L416, {"Januari";"Februari";"Maret";"April";"Mei";"Juni";"Juli";"Agustus";"September";"Oktober";"November";"Desember"}, 0)
        &gt;= MONTH(TODAY()),
      "AKTIF (Semester " &amp;
        (INT((12*(YEAR(TODAY())-M416) + MONTH(TODAY()) -
          MATCH(L416, {"Januari";"Februari";"Maret";"April";"Mei";"Juni";"Juli";"Agustus";"September";"Oktober";"November";"Desember"}, 0)) / 6) + 1) &amp; ")",
      "LULUS"
    ),
    "AKTIF (Semester " &amp;
      (INT((12*(YEAR(TODAY())-M416) + MONTH(TODAY()) -
        MATCH(L416, {"Januari";"Februari";"Maret";"April";"Mei";"Juni";"Juli";"Agustus";"September";"Oktober";"November";"Desember"}, 0)) / 6) + 1) &amp; ")"
  )
)</f>
        <v>LULUS</v>
      </c>
      <c r="T416" s="16" t="str">
        <f ca="1">IF(O416 &lt; YEAR(TODAY()), "LULUS",
 IF(O416 = YEAR(TODAY()),
    IF(MATCH(N416, {"Januari";"Februari";"Maret";"April";"Mei";"Juni";"Juli";"Agustus";"September";"Oktober";"November";"Desember"},0)
        &lt;= MONTH(TODAY()),
        "LULUS",
        "AKTIF"),
 "AKTIF"))</f>
        <v>LULUS</v>
      </c>
      <c r="U416" s="16" t="s">
        <v>29</v>
      </c>
      <c r="V416" s="15"/>
      <c r="W416" s="15"/>
      <c r="X416" s="15"/>
      <c r="Y416" s="15"/>
      <c r="Z416" s="15"/>
    </row>
    <row r="417" spans="1:26" ht="29" customHeight="1" x14ac:dyDescent="0.35">
      <c r="A417" s="12">
        <v>416</v>
      </c>
      <c r="B417" s="13" t="s">
        <v>1493</v>
      </c>
      <c r="C417" s="50" t="s">
        <v>1494</v>
      </c>
      <c r="D417" s="13"/>
      <c r="E417" s="14" t="str">
        <f t="shared" si="7"/>
        <v>Laki-Laki</v>
      </c>
      <c r="F417" s="18"/>
      <c r="G417" s="13" t="s">
        <v>1484</v>
      </c>
      <c r="H417" s="15" t="s">
        <v>1489</v>
      </c>
      <c r="I417" s="15" t="s">
        <v>1395</v>
      </c>
      <c r="J417" s="12" t="s">
        <v>242</v>
      </c>
      <c r="K417" s="15" t="s">
        <v>407</v>
      </c>
      <c r="L417" s="15" t="s">
        <v>60</v>
      </c>
      <c r="M417" s="15">
        <v>2019</v>
      </c>
      <c r="N417" s="15" t="s">
        <v>60</v>
      </c>
      <c r="O417" s="15">
        <v>2022</v>
      </c>
      <c r="P417" s="15">
        <v>2020</v>
      </c>
      <c r="Q417" s="15"/>
      <c r="R417" s="16" t="s">
        <v>51</v>
      </c>
      <c r="S417" s="16" t="str">
        <f ca="1">IF(
  O417 &lt; YEAR(TODAY()),
  "LULUS",
  IF(
    O417 = YEAR(TODAY()),
    IF(
      MATCH(L417, {"Januari";"Februari";"Maret";"April";"Mei";"Juni";"Juli";"Agustus";"September";"Oktober";"November";"Desember"}, 0)
        &gt;= MONTH(TODAY()),
      "AKTIF (Semester " &amp;
        (INT((12*(YEAR(TODAY())-M417) + MONTH(TODAY()) -
          MATCH(L417, {"Januari";"Februari";"Maret";"April";"Mei";"Juni";"Juli";"Agustus";"September";"Oktober";"November";"Desember"}, 0)) / 6) + 1) &amp; ")",
      "LULUS"
    ),
    "AKTIF (Semester " &amp;
      (INT((12*(YEAR(TODAY())-M417) + MONTH(TODAY()) -
        MATCH(L417, {"Januari";"Februari";"Maret";"April";"Mei";"Juni";"Juli";"Agustus";"September";"Oktober";"November";"Desember"}, 0)) / 6) + 1) &amp; ")"
  )
)</f>
        <v>LULUS</v>
      </c>
      <c r="T417" s="16" t="str">
        <f ca="1">IF(O417 &lt; YEAR(TODAY()), "LULUS",
 IF(O417 = YEAR(TODAY()),
    IF(MATCH(N417, {"Januari";"Februari";"Maret";"April";"Mei";"Juni";"Juli";"Agustus";"September";"Oktober";"November";"Desember"},0)
        &lt;= MONTH(TODAY()),
        "LULUS",
        "AKTIF"),
 "AKTIF"))</f>
        <v>LULUS</v>
      </c>
      <c r="U417" s="16" t="s">
        <v>29</v>
      </c>
      <c r="V417" s="15"/>
      <c r="W417" s="15"/>
      <c r="X417" s="15"/>
      <c r="Y417" s="15"/>
      <c r="Z417" s="15"/>
    </row>
    <row r="418" spans="1:26" ht="29" customHeight="1" x14ac:dyDescent="0.35">
      <c r="A418" s="12">
        <v>417</v>
      </c>
      <c r="B418" s="13" t="s">
        <v>1495</v>
      </c>
      <c r="C418" s="14" t="s">
        <v>1496</v>
      </c>
      <c r="D418" s="13"/>
      <c r="E418" s="14" t="str">
        <f t="shared" si="7"/>
        <v>Laki-Laki</v>
      </c>
      <c r="F418" s="18"/>
      <c r="G418" s="13" t="s">
        <v>1484</v>
      </c>
      <c r="H418" s="15" t="s">
        <v>1497</v>
      </c>
      <c r="I418" s="15" t="s">
        <v>1395</v>
      </c>
      <c r="J418" s="12" t="s">
        <v>242</v>
      </c>
      <c r="K418" s="15" t="s">
        <v>407</v>
      </c>
      <c r="L418" s="15" t="s">
        <v>28</v>
      </c>
      <c r="M418" s="15">
        <v>2019</v>
      </c>
      <c r="N418" s="15" t="s">
        <v>28</v>
      </c>
      <c r="O418" s="15">
        <v>2024</v>
      </c>
      <c r="P418" s="15">
        <v>2020</v>
      </c>
      <c r="Q418" s="15"/>
      <c r="R418" s="16" t="s">
        <v>29</v>
      </c>
      <c r="S418" s="16" t="str">
        <f ca="1">IF(
  O418 &lt; YEAR(TODAY()),
  "LULUS",
  IF(
    O418 = YEAR(TODAY()),
    IF(
      MATCH(L418, {"Januari";"Februari";"Maret";"April";"Mei";"Juni";"Juli";"Agustus";"September";"Oktober";"November";"Desember"}, 0)
        &gt;= MONTH(TODAY()),
      "AKTIF (Semester " &amp;
        (INT((12*(YEAR(TODAY())-M418) + MONTH(TODAY()) -
          MATCH(L418, {"Januari";"Februari";"Maret";"April";"Mei";"Juni";"Juli";"Agustus";"September";"Oktober";"November";"Desember"}, 0)) / 6) + 1) &amp; ")",
      "LULUS"
    ),
    "AKTIF (Semester " &amp;
      (INT((12*(YEAR(TODAY())-M418) + MONTH(TODAY()) -
        MATCH(L418, {"Januari";"Februari";"Maret";"April";"Mei";"Juni";"Juli";"Agustus";"September";"Oktober";"November";"Desember"}, 0)) / 6) + 1) &amp; ")"
  )
)</f>
        <v>LULUS</v>
      </c>
      <c r="T418" s="16" t="str">
        <f ca="1">IF(O418 &lt; YEAR(TODAY()), "LULUS",
 IF(O418 = YEAR(TODAY()),
    IF(MATCH(N418, {"Januari";"Februari";"Maret";"April";"Mei";"Juni";"Juli";"Agustus";"September";"Oktober";"November";"Desember"},0)
        &lt;= MONTH(TODAY()),
        "LULUS",
        "AKTIF"),
 "AKTIF"))</f>
        <v>LULUS</v>
      </c>
      <c r="U418" s="16" t="s">
        <v>29</v>
      </c>
      <c r="V418" s="15"/>
      <c r="W418" s="15"/>
      <c r="X418" s="15"/>
      <c r="Y418" s="15"/>
      <c r="Z418" s="15"/>
    </row>
    <row r="419" spans="1:26" ht="29" customHeight="1" x14ac:dyDescent="0.35">
      <c r="A419" s="12">
        <v>418</v>
      </c>
      <c r="B419" s="13" t="s">
        <v>1498</v>
      </c>
      <c r="C419" s="14" t="s">
        <v>1499</v>
      </c>
      <c r="D419" s="13"/>
      <c r="E419" s="14" t="str">
        <f t="shared" si="7"/>
        <v>Perempuan</v>
      </c>
      <c r="F419" s="18"/>
      <c r="G419" s="13" t="s">
        <v>1484</v>
      </c>
      <c r="H419" s="15" t="s">
        <v>1497</v>
      </c>
      <c r="I419" s="15" t="s">
        <v>1395</v>
      </c>
      <c r="J419" s="12" t="s">
        <v>242</v>
      </c>
      <c r="K419" s="15" t="s">
        <v>407</v>
      </c>
      <c r="L419" s="15" t="s">
        <v>28</v>
      </c>
      <c r="M419" s="15">
        <v>2019</v>
      </c>
      <c r="N419" s="15" t="s">
        <v>614</v>
      </c>
      <c r="O419" s="15">
        <v>2025</v>
      </c>
      <c r="P419" s="15">
        <v>2020</v>
      </c>
      <c r="Q419" s="15"/>
      <c r="R419" s="16" t="s">
        <v>29</v>
      </c>
      <c r="S419" s="16" t="str">
        <f ca="1">IF(
  O419 &lt; YEAR(TODAY()),
  "LULUS",
  IF(
    O419 = YEAR(TODAY()),
    IF(
      MATCH(L419, {"Januari";"Februari";"Maret";"April";"Mei";"Juni";"Juli";"Agustus";"September";"Oktober";"November";"Desember"}, 0)
        &gt;= MONTH(TODAY()),
      "AKTIF (Semester " &amp;
        (INT((12*(YEAR(TODAY())-M419) + MONTH(TODAY()) -
          MATCH(L419, {"Januari";"Februari";"Maret";"April";"Mei";"Juni";"Juli";"Agustus";"September";"Oktober";"November";"Desember"}, 0)) / 6) + 1) &amp; ")",
      "LULUS"
    ),
    "AKTIF (Semester " &amp;
      (INT((12*(YEAR(TODAY())-M419) + MONTH(TODAY()) -
        MATCH(L419, {"Januari";"Februari";"Maret";"April";"Mei";"Juni";"Juli";"Agustus";"September";"Oktober";"November";"Desember"}, 0)) / 6) + 1) &amp; ")"
  )
)</f>
        <v>LULUS</v>
      </c>
      <c r="T419" s="16" t="str">
        <f ca="1">IF(O419 &lt; YEAR(TODAY()), "LULUS",
 IF(O419 = YEAR(TODAY()),
    IF(MATCH(N419, {"Januari";"Februari";"Maret";"April";"Mei";"Juni";"Juli";"Agustus";"September";"Oktober";"November";"Desember"},0)
        &lt;= MONTH(TODAY()),
        "LULUS",
        "AKTIF"),
 "AKTIF"))</f>
        <v>LULUS</v>
      </c>
      <c r="U419" s="16" t="s">
        <v>29</v>
      </c>
      <c r="V419" s="15"/>
      <c r="W419" s="15"/>
      <c r="X419" s="15"/>
      <c r="Y419" s="15"/>
      <c r="Z419" s="15"/>
    </row>
    <row r="420" spans="1:26" ht="29" customHeight="1" x14ac:dyDescent="0.35">
      <c r="A420" s="12">
        <v>419</v>
      </c>
      <c r="B420" s="13" t="s">
        <v>1500</v>
      </c>
      <c r="C420" s="14" t="s">
        <v>1501</v>
      </c>
      <c r="D420" s="13"/>
      <c r="E420" s="14" t="str">
        <f t="shared" si="7"/>
        <v>Laki-Laki</v>
      </c>
      <c r="F420" s="18"/>
      <c r="G420" s="13" t="s">
        <v>1484</v>
      </c>
      <c r="H420" s="15" t="s">
        <v>1497</v>
      </c>
      <c r="I420" s="15" t="s">
        <v>1395</v>
      </c>
      <c r="J420" s="12" t="s">
        <v>242</v>
      </c>
      <c r="K420" s="15" t="s">
        <v>407</v>
      </c>
      <c r="L420" s="15" t="s">
        <v>28</v>
      </c>
      <c r="M420" s="15">
        <v>2019</v>
      </c>
      <c r="N420" s="15" t="s">
        <v>28</v>
      </c>
      <c r="O420" s="15">
        <v>2023</v>
      </c>
      <c r="P420" s="15">
        <v>2020</v>
      </c>
      <c r="Q420" s="15"/>
      <c r="R420" s="16" t="s">
        <v>51</v>
      </c>
      <c r="S420" s="16" t="str">
        <f ca="1">IF(
  O420 &lt; YEAR(TODAY()),
  "LULUS",
  IF(
    O420 = YEAR(TODAY()),
    IF(
      MATCH(L420, {"Januari";"Februari";"Maret";"April";"Mei";"Juni";"Juli";"Agustus";"September";"Oktober";"November";"Desember"}, 0)
        &gt;= MONTH(TODAY()),
      "AKTIF (Semester " &amp;
        (INT((12*(YEAR(TODAY())-M420) + MONTH(TODAY()) -
          MATCH(L420, {"Januari";"Februari";"Maret";"April";"Mei";"Juni";"Juli";"Agustus";"September";"Oktober";"November";"Desember"}, 0)) / 6) + 1) &amp; ")",
      "LULUS"
    ),
    "AKTIF (Semester " &amp;
      (INT((12*(YEAR(TODAY())-M420) + MONTH(TODAY()) -
        MATCH(L420, {"Januari";"Februari";"Maret";"April";"Mei";"Juni";"Juli";"Agustus";"September";"Oktober";"November";"Desember"}, 0)) / 6) + 1) &amp; ")"
  )
)</f>
        <v>LULUS</v>
      </c>
      <c r="T420" s="16" t="str">
        <f ca="1">IF(O420 &lt; YEAR(TODAY()), "LULUS",
 IF(O420 = YEAR(TODAY()),
    IF(MATCH(N420, {"Januari";"Februari";"Maret";"April";"Mei";"Juni";"Juli";"Agustus";"September";"Oktober";"November";"Desember"},0)
        &lt;= MONTH(TODAY()),
        "LULUS",
        "AKTIF"),
 "AKTIF"))</f>
        <v>LULUS</v>
      </c>
      <c r="U420" s="16" t="s">
        <v>29</v>
      </c>
      <c r="V420" s="15"/>
      <c r="W420" s="15"/>
      <c r="X420" s="15"/>
      <c r="Y420" s="15"/>
      <c r="Z420" s="15"/>
    </row>
    <row r="421" spans="1:26" ht="29" customHeight="1" x14ac:dyDescent="0.35">
      <c r="A421" s="12">
        <v>420</v>
      </c>
      <c r="B421" s="13" t="s">
        <v>1502</v>
      </c>
      <c r="C421" s="14" t="s">
        <v>1503</v>
      </c>
      <c r="D421" s="13"/>
      <c r="E421" s="14" t="str">
        <f t="shared" si="7"/>
        <v>Laki-Laki</v>
      </c>
      <c r="F421" s="18"/>
      <c r="G421" s="13" t="s">
        <v>1484</v>
      </c>
      <c r="H421" s="15" t="s">
        <v>1497</v>
      </c>
      <c r="I421" s="15" t="s">
        <v>1395</v>
      </c>
      <c r="J421" s="12" t="s">
        <v>242</v>
      </c>
      <c r="K421" s="15" t="s">
        <v>407</v>
      </c>
      <c r="L421" s="15" t="s">
        <v>28</v>
      </c>
      <c r="M421" s="15">
        <v>2019</v>
      </c>
      <c r="N421" s="15" t="s">
        <v>28</v>
      </c>
      <c r="O421" s="15">
        <v>2023</v>
      </c>
      <c r="P421" s="15">
        <v>2020</v>
      </c>
      <c r="Q421" s="15"/>
      <c r="R421" s="16" t="s">
        <v>51</v>
      </c>
      <c r="S421" s="16" t="str">
        <f ca="1">IF(
  O421 &lt; YEAR(TODAY()),
  "LULUS",
  IF(
    O421 = YEAR(TODAY()),
    IF(
      MATCH(L421, {"Januari";"Februari";"Maret";"April";"Mei";"Juni";"Juli";"Agustus";"September";"Oktober";"November";"Desember"}, 0)
        &gt;= MONTH(TODAY()),
      "AKTIF (Semester " &amp;
        (INT((12*(YEAR(TODAY())-M421) + MONTH(TODAY()) -
          MATCH(L421, {"Januari";"Februari";"Maret";"April";"Mei";"Juni";"Juli";"Agustus";"September";"Oktober";"November";"Desember"}, 0)) / 6) + 1) &amp; ")",
      "LULUS"
    ),
    "AKTIF (Semester " &amp;
      (INT((12*(YEAR(TODAY())-M421) + MONTH(TODAY()) -
        MATCH(L421, {"Januari";"Februari";"Maret";"April";"Mei";"Juni";"Juli";"Agustus";"September";"Oktober";"November";"Desember"}, 0)) / 6) + 1) &amp; ")"
  )
)</f>
        <v>LULUS</v>
      </c>
      <c r="T421" s="16" t="str">
        <f ca="1">IF(O421 &lt; YEAR(TODAY()), "LULUS",
 IF(O421 = YEAR(TODAY()),
    IF(MATCH(N421, {"Januari";"Februari";"Maret";"April";"Mei";"Juni";"Juli";"Agustus";"September";"Oktober";"November";"Desember"},0)
        &lt;= MONTH(TODAY()),
        "LULUS",
        "AKTIF"),
 "AKTIF"))</f>
        <v>LULUS</v>
      </c>
      <c r="U421" s="16" t="s">
        <v>29</v>
      </c>
      <c r="V421" s="15"/>
      <c r="W421" s="15"/>
      <c r="X421" s="15"/>
      <c r="Y421" s="15"/>
      <c r="Z421" s="15"/>
    </row>
    <row r="422" spans="1:26" ht="29" customHeight="1" x14ac:dyDescent="0.35">
      <c r="A422" s="12">
        <v>421</v>
      </c>
      <c r="B422" s="13" t="s">
        <v>1504</v>
      </c>
      <c r="C422" s="14" t="s">
        <v>1505</v>
      </c>
      <c r="D422" s="13"/>
      <c r="E422" s="14" t="str">
        <f t="shared" si="7"/>
        <v>Laki-Laki</v>
      </c>
      <c r="F422" s="18"/>
      <c r="G422" s="13" t="s">
        <v>1484</v>
      </c>
      <c r="H422" s="15" t="s">
        <v>1497</v>
      </c>
      <c r="I422" s="15" t="s">
        <v>1395</v>
      </c>
      <c r="J422" s="12" t="s">
        <v>242</v>
      </c>
      <c r="K422" s="15" t="s">
        <v>407</v>
      </c>
      <c r="L422" s="15" t="s">
        <v>28</v>
      </c>
      <c r="M422" s="15">
        <v>2019</v>
      </c>
      <c r="N422" s="15" t="s">
        <v>28</v>
      </c>
      <c r="O422" s="15">
        <v>2023</v>
      </c>
      <c r="P422" s="15">
        <v>2020</v>
      </c>
      <c r="Q422" s="15"/>
      <c r="R422" s="16" t="s">
        <v>51</v>
      </c>
      <c r="S422" s="16" t="str">
        <f ca="1">IF(
  O422 &lt; YEAR(TODAY()),
  "LULUS",
  IF(
    O422 = YEAR(TODAY()),
    IF(
      MATCH(L422, {"Januari";"Februari";"Maret";"April";"Mei";"Juni";"Juli";"Agustus";"September";"Oktober";"November";"Desember"}, 0)
        &gt;= MONTH(TODAY()),
      "AKTIF (Semester " &amp;
        (INT((12*(YEAR(TODAY())-M422) + MONTH(TODAY()) -
          MATCH(L422, {"Januari";"Februari";"Maret";"April";"Mei";"Juni";"Juli";"Agustus";"September";"Oktober";"November";"Desember"}, 0)) / 6) + 1) &amp; ")",
      "LULUS"
    ),
    "AKTIF (Semester " &amp;
      (INT((12*(YEAR(TODAY())-M422) + MONTH(TODAY()) -
        MATCH(L422, {"Januari";"Februari";"Maret";"April";"Mei";"Juni";"Juli";"Agustus";"September";"Oktober";"November";"Desember"}, 0)) / 6) + 1) &amp; ")"
  )
)</f>
        <v>LULUS</v>
      </c>
      <c r="T422" s="16" t="str">
        <f ca="1">IF(O422 &lt; YEAR(TODAY()), "LULUS",
 IF(O422 = YEAR(TODAY()),
    IF(MATCH(N422, {"Januari";"Februari";"Maret";"April";"Mei";"Juni";"Juli";"Agustus";"September";"Oktober";"November";"Desember"},0)
        &lt;= MONTH(TODAY()),
        "LULUS",
        "AKTIF"),
 "AKTIF"))</f>
        <v>LULUS</v>
      </c>
      <c r="U422" s="16" t="s">
        <v>29</v>
      </c>
      <c r="V422" s="15"/>
      <c r="W422" s="15"/>
      <c r="X422" s="15"/>
      <c r="Y422" s="15"/>
      <c r="Z422" s="15"/>
    </row>
    <row r="423" spans="1:26" ht="29" customHeight="1" x14ac:dyDescent="0.35">
      <c r="A423" s="12">
        <v>422</v>
      </c>
      <c r="B423" s="13" t="s">
        <v>1506</v>
      </c>
      <c r="C423" s="14" t="s">
        <v>1507</v>
      </c>
      <c r="D423" s="13"/>
      <c r="E423" s="14" t="str">
        <f t="shared" si="7"/>
        <v>Laki-Laki</v>
      </c>
      <c r="F423" s="18"/>
      <c r="G423" s="13" t="s">
        <v>1484</v>
      </c>
      <c r="H423" s="15" t="s">
        <v>1497</v>
      </c>
      <c r="I423" s="15" t="s">
        <v>1395</v>
      </c>
      <c r="J423" s="12" t="s">
        <v>242</v>
      </c>
      <c r="K423" s="15" t="s">
        <v>407</v>
      </c>
      <c r="L423" s="15" t="s">
        <v>28</v>
      </c>
      <c r="M423" s="15">
        <v>2019</v>
      </c>
      <c r="N423" s="15" t="s">
        <v>28</v>
      </c>
      <c r="O423" s="15">
        <v>2023</v>
      </c>
      <c r="P423" s="15">
        <v>2020</v>
      </c>
      <c r="Q423" s="15"/>
      <c r="R423" s="16" t="s">
        <v>51</v>
      </c>
      <c r="S423" s="16" t="str">
        <f ca="1">IF(
  O423 &lt; YEAR(TODAY()),
  "LULUS",
  IF(
    O423 = YEAR(TODAY()),
    IF(
      MATCH(L423, {"Januari";"Februari";"Maret";"April";"Mei";"Juni";"Juli";"Agustus";"September";"Oktober";"November";"Desember"}, 0)
        &gt;= MONTH(TODAY()),
      "AKTIF (Semester " &amp;
        (INT((12*(YEAR(TODAY())-M423) + MONTH(TODAY()) -
          MATCH(L423, {"Januari";"Februari";"Maret";"April";"Mei";"Juni";"Juli";"Agustus";"September";"Oktober";"November";"Desember"}, 0)) / 6) + 1) &amp; ")",
      "LULUS"
    ),
    "AKTIF (Semester " &amp;
      (INT((12*(YEAR(TODAY())-M423) + MONTH(TODAY()) -
        MATCH(L423, {"Januari";"Februari";"Maret";"April";"Mei";"Juni";"Juli";"Agustus";"September";"Oktober";"November";"Desember"}, 0)) / 6) + 1) &amp; ")"
  )
)</f>
        <v>LULUS</v>
      </c>
      <c r="T423" s="16" t="str">
        <f ca="1">IF(O423 &lt; YEAR(TODAY()), "LULUS",
 IF(O423 = YEAR(TODAY()),
    IF(MATCH(N423, {"Januari";"Februari";"Maret";"April";"Mei";"Juni";"Juli";"Agustus";"September";"Oktober";"November";"Desember"},0)
        &lt;= MONTH(TODAY()),
        "LULUS",
        "AKTIF"),
 "AKTIF"))</f>
        <v>LULUS</v>
      </c>
      <c r="U423" s="16" t="s">
        <v>29</v>
      </c>
      <c r="V423" s="15"/>
      <c r="W423" s="15"/>
      <c r="X423" s="15"/>
      <c r="Y423" s="15"/>
      <c r="Z423" s="15"/>
    </row>
    <row r="424" spans="1:26" ht="29" customHeight="1" x14ac:dyDescent="0.35">
      <c r="A424" s="12">
        <v>423</v>
      </c>
      <c r="B424" s="13" t="s">
        <v>1508</v>
      </c>
      <c r="C424" s="14" t="s">
        <v>1509</v>
      </c>
      <c r="D424" s="13"/>
      <c r="E424" s="14" t="str">
        <f t="shared" si="7"/>
        <v>Laki-Laki</v>
      </c>
      <c r="F424" s="18"/>
      <c r="G424" s="13" t="s">
        <v>1484</v>
      </c>
      <c r="H424" s="15" t="s">
        <v>1497</v>
      </c>
      <c r="I424" s="15" t="s">
        <v>1395</v>
      </c>
      <c r="J424" s="12" t="s">
        <v>242</v>
      </c>
      <c r="K424" s="15" t="s">
        <v>407</v>
      </c>
      <c r="L424" s="15" t="s">
        <v>28</v>
      </c>
      <c r="M424" s="15">
        <v>2019</v>
      </c>
      <c r="N424" s="15" t="s">
        <v>28</v>
      </c>
      <c r="O424" s="15">
        <v>2023</v>
      </c>
      <c r="P424" s="15">
        <v>2020</v>
      </c>
      <c r="Q424" s="15"/>
      <c r="R424" s="16" t="s">
        <v>29</v>
      </c>
      <c r="S424" s="16" t="str">
        <f ca="1">IF(
  O424 &lt; YEAR(TODAY()),
  "LULUS",
  IF(
    O424 = YEAR(TODAY()),
    IF(
      MATCH(L424, {"Januari";"Februari";"Maret";"April";"Mei";"Juni";"Juli";"Agustus";"September";"Oktober";"November";"Desember"}, 0)
        &gt;= MONTH(TODAY()),
      "AKTIF (Semester " &amp;
        (INT((12*(YEAR(TODAY())-M424) + MONTH(TODAY()) -
          MATCH(L424, {"Januari";"Februari";"Maret";"April";"Mei";"Juni";"Juli";"Agustus";"September";"Oktober";"November";"Desember"}, 0)) / 6) + 1) &amp; ")",
      "LULUS"
    ),
    "AKTIF (Semester " &amp;
      (INT((12*(YEAR(TODAY())-M424) + MONTH(TODAY()) -
        MATCH(L424, {"Januari";"Februari";"Maret";"April";"Mei";"Juni";"Juli";"Agustus";"September";"Oktober";"November";"Desember"}, 0)) / 6) + 1) &amp; ")"
  )
)</f>
        <v>LULUS</v>
      </c>
      <c r="T424" s="16" t="str">
        <f ca="1">IF(O424 &lt; YEAR(TODAY()), "LULUS",
 IF(O424 = YEAR(TODAY()),
    IF(MATCH(N424, {"Januari";"Februari";"Maret";"April";"Mei";"Juni";"Juli";"Agustus";"September";"Oktober";"November";"Desember"},0)
        &lt;= MONTH(TODAY()),
        "LULUS",
        "AKTIF"),
 "AKTIF"))</f>
        <v>LULUS</v>
      </c>
      <c r="U424" s="16" t="s">
        <v>29</v>
      </c>
      <c r="V424" s="15"/>
      <c r="W424" s="15"/>
      <c r="X424" s="15"/>
      <c r="Y424" s="15"/>
      <c r="Z424" s="15"/>
    </row>
    <row r="425" spans="1:26" ht="29" customHeight="1" x14ac:dyDescent="0.35">
      <c r="A425" s="12">
        <v>424</v>
      </c>
      <c r="B425" s="13" t="s">
        <v>1510</v>
      </c>
      <c r="C425" s="14" t="s">
        <v>1511</v>
      </c>
      <c r="D425" s="13"/>
      <c r="E425" s="14" t="str">
        <f t="shared" si="7"/>
        <v>Laki-Laki</v>
      </c>
      <c r="F425" s="18"/>
      <c r="G425" s="13" t="s">
        <v>1484</v>
      </c>
      <c r="H425" s="15" t="s">
        <v>1497</v>
      </c>
      <c r="I425" s="15" t="s">
        <v>1395</v>
      </c>
      <c r="J425" s="12" t="s">
        <v>242</v>
      </c>
      <c r="K425" s="15" t="s">
        <v>407</v>
      </c>
      <c r="L425" s="15" t="s">
        <v>28</v>
      </c>
      <c r="M425" s="15">
        <v>2019</v>
      </c>
      <c r="N425" s="15" t="s">
        <v>614</v>
      </c>
      <c r="O425" s="15">
        <v>2025</v>
      </c>
      <c r="P425" s="15">
        <v>2020</v>
      </c>
      <c r="Q425" s="15"/>
      <c r="R425" s="16" t="s">
        <v>29</v>
      </c>
      <c r="S425" s="16" t="str">
        <f ca="1">IF(
  O425 &lt; YEAR(TODAY()),
  "LULUS",
  IF(
    O425 = YEAR(TODAY()),
    IF(
      MATCH(L425, {"Januari";"Februari";"Maret";"April";"Mei";"Juni";"Juli";"Agustus";"September";"Oktober";"November";"Desember"}, 0)
        &gt;= MONTH(TODAY()),
      "AKTIF (Semester " &amp;
        (INT((12*(YEAR(TODAY())-M425) + MONTH(TODAY()) -
          MATCH(L425, {"Januari";"Februari";"Maret";"April";"Mei";"Juni";"Juli";"Agustus";"September";"Oktober";"November";"Desember"}, 0)) / 6) + 1) &amp; ")",
      "LULUS"
    ),
    "AKTIF (Semester " &amp;
      (INT((12*(YEAR(TODAY())-M425) + MONTH(TODAY()) -
        MATCH(L425, {"Januari";"Februari";"Maret";"April";"Mei";"Juni";"Juli";"Agustus";"September";"Oktober";"November";"Desember"}, 0)) / 6) + 1) &amp; ")"
  )
)</f>
        <v>LULUS</v>
      </c>
      <c r="T425" s="16" t="str">
        <f ca="1">IF(O425 &lt; YEAR(TODAY()), "LULUS",
 IF(O425 = YEAR(TODAY()),
    IF(MATCH(N425, {"Januari";"Februari";"Maret";"April";"Mei";"Juni";"Juli";"Agustus";"September";"Oktober";"November";"Desember"},0)
        &lt;= MONTH(TODAY()),
        "LULUS",
        "AKTIF"),
 "AKTIF"))</f>
        <v>LULUS</v>
      </c>
      <c r="U425" s="16" t="s">
        <v>29</v>
      </c>
      <c r="V425" s="15"/>
      <c r="W425" s="15"/>
      <c r="X425" s="15"/>
      <c r="Y425" s="15"/>
      <c r="Z425" s="15"/>
    </row>
    <row r="426" spans="1:26" ht="29" customHeight="1" x14ac:dyDescent="0.35">
      <c r="A426" s="12">
        <v>425</v>
      </c>
      <c r="B426" s="13" t="s">
        <v>1512</v>
      </c>
      <c r="C426" s="14" t="s">
        <v>1513</v>
      </c>
      <c r="D426" s="13"/>
      <c r="E426" s="14" t="str">
        <f t="shared" si="7"/>
        <v>Laki-Laki</v>
      </c>
      <c r="F426" s="13"/>
      <c r="G426" s="13" t="s">
        <v>1484</v>
      </c>
      <c r="H426" s="15" t="s">
        <v>1514</v>
      </c>
      <c r="I426" s="19" t="s">
        <v>90</v>
      </c>
      <c r="J426" s="12" t="s">
        <v>45</v>
      </c>
      <c r="K426" s="15" t="s">
        <v>905</v>
      </c>
      <c r="L426" s="12" t="s">
        <v>72</v>
      </c>
      <c r="M426" s="12">
        <v>2021</v>
      </c>
      <c r="N426" s="15" t="s">
        <v>72</v>
      </c>
      <c r="O426" s="15">
        <v>2025</v>
      </c>
      <c r="P426" s="15">
        <v>2021</v>
      </c>
      <c r="Q426" s="15"/>
      <c r="R426" s="34" t="s">
        <v>51</v>
      </c>
      <c r="S426" s="16" t="str">
        <f ca="1">IF(
  O426 &lt; YEAR(TODAY()),
  "LULUS",
  IF(
    O426 = YEAR(TODAY()),
    IF(
      MATCH(L426, {"Januari";"Februari";"Maret";"April";"Mei";"Juni";"Juli";"Agustus";"September";"Oktober";"November";"Desember"}, 0)
        &gt;= MONTH(TODAY()),
      "AKTIF (Semester " &amp;
        (INT((12*(YEAR(TODAY())-M426) + MONTH(TODAY()) -
          MATCH(L426, {"Januari";"Februari";"Maret";"April";"Mei";"Juni";"Juli";"Agustus";"September";"Oktober";"November";"Desember"}, 0)) / 6) + 1) &amp; ")",
      "LULUS"
    ),
    "AKTIF (Semester " &amp;
      (INT((12*(YEAR(TODAY())-M426) + MONTH(TODAY()) -
        MATCH(L426, {"Januari";"Februari";"Maret";"April";"Mei";"Juni";"Juli";"Agustus";"September";"Oktober";"November";"Desember"}, 0)) / 6) + 1) &amp; ")"
  )
)</f>
        <v>LULUS</v>
      </c>
      <c r="T426" s="16" t="str">
        <f ca="1">IF(O426 &lt; YEAR(TODAY()), "LULUS",
 IF(O426 = YEAR(TODAY()),
    IF(MATCH(N426, {"Januari";"Februari";"Maret";"April";"Mei";"Juni";"Juli";"Agustus";"September";"Oktober";"November";"Desember"},0)
        &lt;= MONTH(TODAY()),
        "LULUS",
        "AKTIF"),
 "AKTIF"))</f>
        <v>LULUS</v>
      </c>
      <c r="U426" s="16" t="s">
        <v>29</v>
      </c>
      <c r="V426" s="21"/>
      <c r="W426" s="21"/>
      <c r="X426" s="21"/>
      <c r="Y426" s="21"/>
      <c r="Z426" s="21"/>
    </row>
    <row r="427" spans="1:26" ht="29" customHeight="1" x14ac:dyDescent="0.35">
      <c r="A427" s="12">
        <v>426</v>
      </c>
      <c r="B427" s="13" t="s">
        <v>1515</v>
      </c>
      <c r="C427" s="14" t="s">
        <v>1516</v>
      </c>
      <c r="D427" s="13"/>
      <c r="E427" s="14" t="str">
        <f t="shared" si="7"/>
        <v>Laki-Laki</v>
      </c>
      <c r="F427" s="13"/>
      <c r="G427" s="13" t="s">
        <v>1484</v>
      </c>
      <c r="H427" s="15" t="s">
        <v>1514</v>
      </c>
      <c r="I427" s="19" t="s">
        <v>90</v>
      </c>
      <c r="J427" s="12" t="s">
        <v>45</v>
      </c>
      <c r="K427" s="15" t="s">
        <v>46</v>
      </c>
      <c r="L427" s="12" t="s">
        <v>72</v>
      </c>
      <c r="M427" s="12">
        <v>2021</v>
      </c>
      <c r="N427" s="15" t="s">
        <v>72</v>
      </c>
      <c r="O427" s="15">
        <v>2025</v>
      </c>
      <c r="P427" s="15">
        <v>2021</v>
      </c>
      <c r="Q427" s="15"/>
      <c r="R427" s="16" t="s">
        <v>51</v>
      </c>
      <c r="S427" s="16" t="str">
        <f ca="1">IF(
  O427 &lt; YEAR(TODAY()),
  "LULUS",
  IF(
    O427 = YEAR(TODAY()),
    IF(
      MATCH(L427, {"Januari";"Februari";"Maret";"April";"Mei";"Juni";"Juli";"Agustus";"September";"Oktober";"November";"Desember"}, 0)
        &gt;= MONTH(TODAY()),
      "AKTIF (Semester " &amp;
        (INT((12*(YEAR(TODAY())-M427) + MONTH(TODAY()) -
          MATCH(L427, {"Januari";"Februari";"Maret";"April";"Mei";"Juni";"Juli";"Agustus";"September";"Oktober";"November";"Desember"}, 0)) / 6) + 1) &amp; ")",
      "LULUS"
    ),
    "AKTIF (Semester " &amp;
      (INT((12*(YEAR(TODAY())-M427) + MONTH(TODAY()) -
        MATCH(L427, {"Januari";"Februari";"Maret";"April";"Mei";"Juni";"Juli";"Agustus";"September";"Oktober";"November";"Desember"}, 0)) / 6) + 1) &amp; ")"
  )
)</f>
        <v>LULUS</v>
      </c>
      <c r="T427" s="16" t="str">
        <f ca="1">IF(O427 &lt; YEAR(TODAY()), "LULUS",
 IF(O427 = YEAR(TODAY()),
    IF(MATCH(N427, {"Januari";"Februari";"Maret";"April";"Mei";"Juni";"Juli";"Agustus";"September";"Oktober";"November";"Desember"},0)
        &lt;= MONTH(TODAY()),
        "LULUS",
        "AKTIF"),
 "AKTIF"))</f>
        <v>LULUS</v>
      </c>
      <c r="U427" s="16" t="s">
        <v>29</v>
      </c>
      <c r="V427" s="15"/>
      <c r="W427" s="15"/>
      <c r="X427" s="15"/>
      <c r="Y427" s="15"/>
      <c r="Z427" s="15"/>
    </row>
    <row r="428" spans="1:26" ht="29" customHeight="1" x14ac:dyDescent="0.35">
      <c r="A428" s="12">
        <v>427</v>
      </c>
      <c r="B428" s="13" t="s">
        <v>1517</v>
      </c>
      <c r="C428" s="14" t="s">
        <v>1518</v>
      </c>
      <c r="D428" s="13"/>
      <c r="E428" s="14" t="str">
        <f t="shared" si="7"/>
        <v>Laki-Laki</v>
      </c>
      <c r="F428" s="13"/>
      <c r="G428" s="13" t="s">
        <v>1484</v>
      </c>
      <c r="H428" s="15" t="s">
        <v>1519</v>
      </c>
      <c r="I428" s="15" t="s">
        <v>241</v>
      </c>
      <c r="J428" s="12" t="s">
        <v>242</v>
      </c>
      <c r="K428" s="15" t="s">
        <v>1327</v>
      </c>
      <c r="L428" s="12" t="s">
        <v>28</v>
      </c>
      <c r="M428" s="12">
        <v>2020</v>
      </c>
      <c r="N428" s="15" t="s">
        <v>28</v>
      </c>
      <c r="O428" s="15">
        <v>2023</v>
      </c>
      <c r="P428" s="15">
        <v>2021</v>
      </c>
      <c r="Q428" s="15"/>
      <c r="R428" s="16" t="s">
        <v>51</v>
      </c>
      <c r="S428" s="16" t="str">
        <f ca="1">IF(
  O428 &lt; YEAR(TODAY()),
  "LULUS",
  IF(
    O428 = YEAR(TODAY()),
    IF(
      MATCH(L428, {"Januari";"Februari";"Maret";"April";"Mei";"Juni";"Juli";"Agustus";"September";"Oktober";"November";"Desember"}, 0)
        &gt;= MONTH(TODAY()),
      "AKTIF (Semester " &amp;
        (INT((12*(YEAR(TODAY())-M428) + MONTH(TODAY()) -
          MATCH(L428, {"Januari";"Februari";"Maret";"April";"Mei";"Juni";"Juli";"Agustus";"September";"Oktober";"November";"Desember"}, 0)) / 6) + 1) &amp; ")",
      "LULUS"
    ),
    "AKTIF (Semester " &amp;
      (INT((12*(YEAR(TODAY())-M428) + MONTH(TODAY()) -
        MATCH(L428, {"Januari";"Februari";"Maret";"April";"Mei";"Juni";"Juli";"Agustus";"September";"Oktober";"November";"Desember"}, 0)) / 6) + 1) &amp; ")"
  )
)</f>
        <v>LULUS</v>
      </c>
      <c r="T428" s="16" t="str">
        <f ca="1">IF(O428 &lt; YEAR(TODAY()), "LULUS",
 IF(O428 = YEAR(TODAY()),
    IF(MATCH(N428, {"Januari";"Februari";"Maret";"April";"Mei";"Juni";"Juli";"Agustus";"September";"Oktober";"November";"Desember"},0)
        &lt;= MONTH(TODAY()),
        "LULUS",
        "AKTIF"),
 "AKTIF"))</f>
        <v>LULUS</v>
      </c>
      <c r="U428" s="16" t="s">
        <v>29</v>
      </c>
      <c r="V428" s="15"/>
      <c r="W428" s="15"/>
      <c r="X428" s="15"/>
      <c r="Y428" s="15"/>
      <c r="Z428" s="15"/>
    </row>
    <row r="429" spans="1:26" ht="29" customHeight="1" x14ac:dyDescent="0.35">
      <c r="A429" s="12">
        <v>428</v>
      </c>
      <c r="B429" s="13" t="s">
        <v>1520</v>
      </c>
      <c r="C429" s="14" t="s">
        <v>1521</v>
      </c>
      <c r="D429" s="13"/>
      <c r="E429" s="14" t="str">
        <f t="shared" si="7"/>
        <v>Laki-Laki</v>
      </c>
      <c r="F429" s="13"/>
      <c r="G429" s="13" t="s">
        <v>1484</v>
      </c>
      <c r="H429" s="15" t="s">
        <v>1522</v>
      </c>
      <c r="I429" s="19" t="s">
        <v>90</v>
      </c>
      <c r="J429" s="12" t="s">
        <v>26</v>
      </c>
      <c r="K429" s="15" t="s">
        <v>394</v>
      </c>
      <c r="L429" s="15" t="s">
        <v>35</v>
      </c>
      <c r="M429" s="12">
        <v>2021</v>
      </c>
      <c r="N429" s="15" t="s">
        <v>35</v>
      </c>
      <c r="O429" s="15">
        <v>2023</v>
      </c>
      <c r="P429" s="15">
        <v>2021</v>
      </c>
      <c r="Q429" s="15"/>
      <c r="R429" s="16" t="s">
        <v>51</v>
      </c>
      <c r="S429" s="16" t="str">
        <f ca="1">IF(
  O429 &lt; YEAR(TODAY()),
  "LULUS",
  IF(
    O429 = YEAR(TODAY()),
    IF(
      MATCH(L429, {"Januari";"Februari";"Maret";"April";"Mei";"Juni";"Juli";"Agustus";"September";"Oktober";"November";"Desember"}, 0)
        &gt;= MONTH(TODAY()),
      "AKTIF (Semester " &amp;
        (INT((12*(YEAR(TODAY())-M429) + MONTH(TODAY()) -
          MATCH(L429, {"Januari";"Februari";"Maret";"April";"Mei";"Juni";"Juli";"Agustus";"September";"Oktober";"November";"Desember"}, 0)) / 6) + 1) &amp; ")",
      "LULUS"
    ),
    "AKTIF (Semester " &amp;
      (INT((12*(YEAR(TODAY())-M429) + MONTH(TODAY()) -
        MATCH(L429, {"Januari";"Februari";"Maret";"April";"Mei";"Juni";"Juli";"Agustus";"September";"Oktober";"November";"Desember"}, 0)) / 6) + 1) &amp; ")"
  )
)</f>
        <v>LULUS</v>
      </c>
      <c r="T429" s="16" t="str">
        <f ca="1">IF(O429 &lt; YEAR(TODAY()), "LULUS",
 IF(O429 = YEAR(TODAY()),
    IF(MATCH(N429, {"Januari";"Februari";"Maret";"April";"Mei";"Juni";"Juli";"Agustus";"September";"Oktober";"November";"Desember"},0)
        &lt;= MONTH(TODAY()),
        "LULUS",
        "AKTIF"),
 "AKTIF"))</f>
        <v>LULUS</v>
      </c>
      <c r="U429" s="16" t="s">
        <v>29</v>
      </c>
      <c r="V429" s="15"/>
      <c r="W429" s="15"/>
      <c r="X429" s="15"/>
      <c r="Y429" s="15"/>
      <c r="Z429" s="15"/>
    </row>
    <row r="430" spans="1:26" ht="29" customHeight="1" x14ac:dyDescent="0.35">
      <c r="A430" s="12">
        <v>429</v>
      </c>
      <c r="B430" s="13" t="s">
        <v>1523</v>
      </c>
      <c r="C430" s="14" t="s">
        <v>1524</v>
      </c>
      <c r="D430" s="13"/>
      <c r="E430" s="14" t="str">
        <f t="shared" si="7"/>
        <v>Perempuan</v>
      </c>
      <c r="F430" s="13"/>
      <c r="G430" s="13" t="s">
        <v>1484</v>
      </c>
      <c r="H430" s="15" t="s">
        <v>1525</v>
      </c>
      <c r="I430" s="19" t="s">
        <v>90</v>
      </c>
      <c r="J430" s="12" t="s">
        <v>26</v>
      </c>
      <c r="K430" s="15" t="s">
        <v>394</v>
      </c>
      <c r="L430" s="15" t="s">
        <v>890</v>
      </c>
      <c r="M430" s="12">
        <v>2020</v>
      </c>
      <c r="N430" s="15" t="s">
        <v>890</v>
      </c>
      <c r="O430" s="15">
        <v>2022</v>
      </c>
      <c r="P430" s="15">
        <v>2021</v>
      </c>
      <c r="Q430" s="15"/>
      <c r="R430" s="34" t="s">
        <v>51</v>
      </c>
      <c r="S430" s="16" t="str">
        <f ca="1">IF(
  O430 &lt; YEAR(TODAY()),
  "LULUS",
  IF(
    O430 = YEAR(TODAY()),
    IF(
      MATCH(L430, {"Januari";"Februari";"Maret";"April";"Mei";"Juni";"Juli";"Agustus";"September";"Oktober";"November";"Desember"}, 0)
        &gt;= MONTH(TODAY()),
      "AKTIF (Semester " &amp;
        (INT((12*(YEAR(TODAY())-M430) + MONTH(TODAY()) -
          MATCH(L430, {"Januari";"Februari";"Maret";"April";"Mei";"Juni";"Juli";"Agustus";"September";"Oktober";"November";"Desember"}, 0)) / 6) + 1) &amp; ")",
      "LULUS"
    ),
    "AKTIF (Semester " &amp;
      (INT((12*(YEAR(TODAY())-M430) + MONTH(TODAY()) -
        MATCH(L430, {"Januari";"Februari";"Maret";"April";"Mei";"Juni";"Juli";"Agustus";"September";"Oktober";"November";"Desember"}, 0)) / 6) + 1) &amp; ")"
  )
)</f>
        <v>LULUS</v>
      </c>
      <c r="T430" s="16" t="str">
        <f ca="1">IF(O430 &lt; YEAR(TODAY()), "LULUS",
 IF(O430 = YEAR(TODAY()),
    IF(MATCH(N430, {"Januari";"Februari";"Maret";"April";"Mei";"Juni";"Juli";"Agustus";"September";"Oktober";"November";"Desember"},0)
        &lt;= MONTH(TODAY()),
        "LULUS",
        "AKTIF"),
 "AKTIF"))</f>
        <v>LULUS</v>
      </c>
      <c r="U430" s="16" t="s">
        <v>29</v>
      </c>
      <c r="V430" s="21"/>
      <c r="W430" s="21"/>
      <c r="X430" s="21"/>
      <c r="Y430" s="21"/>
      <c r="Z430" s="21"/>
    </row>
    <row r="431" spans="1:26" ht="29" customHeight="1" x14ac:dyDescent="0.35">
      <c r="A431" s="12">
        <v>430</v>
      </c>
      <c r="B431" s="13" t="s">
        <v>1526</v>
      </c>
      <c r="C431" s="14" t="s">
        <v>1527</v>
      </c>
      <c r="D431" s="13"/>
      <c r="E431" s="14" t="str">
        <f t="shared" si="7"/>
        <v>Laki-Laki</v>
      </c>
      <c r="F431" s="13"/>
      <c r="G431" s="13" t="s">
        <v>1484</v>
      </c>
      <c r="H431" s="15" t="s">
        <v>1528</v>
      </c>
      <c r="I431" s="15" t="s">
        <v>1529</v>
      </c>
      <c r="J431" s="12" t="s">
        <v>26</v>
      </c>
      <c r="K431" s="15" t="s">
        <v>1530</v>
      </c>
      <c r="L431" s="15" t="s">
        <v>60</v>
      </c>
      <c r="M431" s="15">
        <v>2020</v>
      </c>
      <c r="N431" s="15" t="s">
        <v>60</v>
      </c>
      <c r="O431" s="15">
        <v>2024</v>
      </c>
      <c r="P431" s="15">
        <v>2021</v>
      </c>
      <c r="Q431" s="15"/>
      <c r="R431" s="16" t="s">
        <v>29</v>
      </c>
      <c r="S431" s="16" t="str">
        <f ca="1">IF(
  O431 &lt; YEAR(TODAY()),
  "LULUS",
  IF(
    O431 = YEAR(TODAY()),
    IF(
      MATCH(L431, {"Januari";"Februari";"Maret";"April";"Mei";"Juni";"Juli";"Agustus";"September";"Oktober";"November";"Desember"}, 0)
        &gt;= MONTH(TODAY()),
      "AKTIF (Semester " &amp;
        (INT((12*(YEAR(TODAY())-M431) + MONTH(TODAY()) -
          MATCH(L431, {"Januari";"Februari";"Maret";"April";"Mei";"Juni";"Juli";"Agustus";"September";"Oktober";"November";"Desember"}, 0)) / 6) + 1) &amp; ")",
      "LULUS"
    ),
    "AKTIF (Semester " &amp;
      (INT((12*(YEAR(TODAY())-M431) + MONTH(TODAY()) -
        MATCH(L431, {"Januari";"Februari";"Maret";"April";"Mei";"Juni";"Juli";"Agustus";"September";"Oktober";"November";"Desember"}, 0)) / 6) + 1) &amp; ")"
  )
)</f>
        <v>LULUS</v>
      </c>
      <c r="T431" s="16" t="str">
        <f ca="1">IF(O431 &lt; YEAR(TODAY()), "LULUS",
 IF(O431 = YEAR(TODAY()),
    IF(MATCH(N431, {"Januari";"Februari";"Maret";"April";"Mei";"Juni";"Juli";"Agustus";"September";"Oktober";"November";"Desember"},0)
        &lt;= MONTH(TODAY()),
        "LULUS",
        "AKTIF"),
 "AKTIF"))</f>
        <v>LULUS</v>
      </c>
      <c r="U431" s="16" t="s">
        <v>29</v>
      </c>
      <c r="V431" s="15"/>
      <c r="W431" s="15"/>
      <c r="X431" s="15"/>
      <c r="Y431" s="15"/>
      <c r="Z431" s="15"/>
    </row>
    <row r="432" spans="1:26" ht="29" customHeight="1" x14ac:dyDescent="0.35">
      <c r="A432" s="12">
        <v>431</v>
      </c>
      <c r="B432" s="13" t="s">
        <v>1531</v>
      </c>
      <c r="C432" s="14" t="s">
        <v>1532</v>
      </c>
      <c r="D432" s="13"/>
      <c r="E432" s="14" t="str">
        <f t="shared" si="7"/>
        <v>Perempuan</v>
      </c>
      <c r="F432" s="13"/>
      <c r="G432" s="13" t="s">
        <v>1484</v>
      </c>
      <c r="H432" s="15" t="s">
        <v>1533</v>
      </c>
      <c r="I432" s="134" t="s">
        <v>56</v>
      </c>
      <c r="J432" s="12" t="s">
        <v>26</v>
      </c>
      <c r="K432" s="15" t="s">
        <v>57</v>
      </c>
      <c r="L432" s="15" t="s">
        <v>60</v>
      </c>
      <c r="M432" s="15">
        <v>2021</v>
      </c>
      <c r="N432" s="15" t="s">
        <v>60</v>
      </c>
      <c r="O432" s="15">
        <v>2023</v>
      </c>
      <c r="P432" s="15">
        <v>2021</v>
      </c>
      <c r="Q432" s="15"/>
      <c r="R432" s="16" t="s">
        <v>51</v>
      </c>
      <c r="S432" s="16" t="str">
        <f ca="1">IF(
  O432 &lt; YEAR(TODAY()),
  "LULUS",
  IF(
    O432 = YEAR(TODAY()),
    IF(
      MATCH(L432, {"Januari";"Februari";"Maret";"April";"Mei";"Juni";"Juli";"Agustus";"September";"Oktober";"November";"Desember"}, 0)
        &gt;= MONTH(TODAY()),
      "AKTIF (Semester " &amp;
        (INT((12*(YEAR(TODAY())-M432) + MONTH(TODAY()) -
          MATCH(L432, {"Januari";"Februari";"Maret";"April";"Mei";"Juni";"Juli";"Agustus";"September";"Oktober";"November";"Desember"}, 0)) / 6) + 1) &amp; ")",
      "LULUS"
    ),
    "AKTIF (Semester " &amp;
      (INT((12*(YEAR(TODAY())-M432) + MONTH(TODAY()) -
        MATCH(L432, {"Januari";"Februari";"Maret";"April";"Mei";"Juni";"Juli";"Agustus";"September";"Oktober";"November";"Desember"}, 0)) / 6) + 1) &amp; ")"
  )
)</f>
        <v>LULUS</v>
      </c>
      <c r="T432" s="16" t="str">
        <f ca="1">IF(O432 &lt; YEAR(TODAY()), "LULUS",
 IF(O432 = YEAR(TODAY()),
    IF(MATCH(N432, {"Januari";"Februari";"Maret";"April";"Mei";"Juni";"Juli";"Agustus";"September";"Oktober";"November";"Desember"},0)
        &lt;= MONTH(TODAY()),
        "LULUS",
        "AKTIF"),
 "AKTIF"))</f>
        <v>LULUS</v>
      </c>
      <c r="U432" s="16" t="s">
        <v>29</v>
      </c>
      <c r="V432" s="15"/>
      <c r="W432" s="15"/>
      <c r="X432" s="15"/>
      <c r="Y432" s="15"/>
      <c r="Z432" s="15"/>
    </row>
    <row r="433" spans="1:26" ht="29" customHeight="1" x14ac:dyDescent="0.35">
      <c r="A433" s="12">
        <v>432</v>
      </c>
      <c r="B433" s="13" t="s">
        <v>1534</v>
      </c>
      <c r="C433" s="14" t="s">
        <v>1535</v>
      </c>
      <c r="D433" s="13"/>
      <c r="E433" s="14" t="str">
        <f t="shared" si="7"/>
        <v>Laki-Laki</v>
      </c>
      <c r="F433" s="13"/>
      <c r="G433" s="13" t="s">
        <v>1484</v>
      </c>
      <c r="H433" s="15" t="s">
        <v>1536</v>
      </c>
      <c r="I433" s="19" t="s">
        <v>90</v>
      </c>
      <c r="J433" s="12" t="s">
        <v>26</v>
      </c>
      <c r="K433" s="15" t="s">
        <v>394</v>
      </c>
      <c r="L433" s="12" t="s">
        <v>72</v>
      </c>
      <c r="M433" s="12">
        <v>2021</v>
      </c>
      <c r="N433" s="15" t="s">
        <v>72</v>
      </c>
      <c r="O433" s="15">
        <v>2023</v>
      </c>
      <c r="P433" s="15">
        <v>2021</v>
      </c>
      <c r="Q433" s="15"/>
      <c r="R433" s="16" t="s">
        <v>51</v>
      </c>
      <c r="S433" s="16" t="str">
        <f ca="1">IF(
  O433 &lt; YEAR(TODAY()),
  "LULUS",
  IF(
    O433 = YEAR(TODAY()),
    IF(
      MATCH(L433, {"Januari";"Februari";"Maret";"April";"Mei";"Juni";"Juli";"Agustus";"September";"Oktober";"November";"Desember"}, 0)
        &gt;= MONTH(TODAY()),
      "AKTIF (Semester " &amp;
        (INT((12*(YEAR(TODAY())-M433) + MONTH(TODAY()) -
          MATCH(L433, {"Januari";"Februari";"Maret";"April";"Mei";"Juni";"Juli";"Agustus";"September";"Oktober";"November";"Desember"}, 0)) / 6) + 1) &amp; ")",
      "LULUS"
    ),
    "AKTIF (Semester " &amp;
      (INT((12*(YEAR(TODAY())-M433) + MONTH(TODAY()) -
        MATCH(L433, {"Januari";"Februari";"Maret";"April";"Mei";"Juni";"Juli";"Agustus";"September";"Oktober";"November";"Desember"}, 0)) / 6) + 1) &amp; ")"
  )
)</f>
        <v>LULUS</v>
      </c>
      <c r="T433" s="16" t="str">
        <f ca="1">IF(O433 &lt; YEAR(TODAY()), "LULUS",
 IF(O433 = YEAR(TODAY()),
    IF(MATCH(N433, {"Januari";"Februari";"Maret";"April";"Mei";"Juni";"Juli";"Agustus";"September";"Oktober";"November";"Desember"},0)
        &lt;= MONTH(TODAY()),
        "LULUS",
        "AKTIF"),
 "AKTIF"))</f>
        <v>LULUS</v>
      </c>
      <c r="U433" s="16" t="s">
        <v>29</v>
      </c>
      <c r="V433" s="15"/>
      <c r="W433" s="15"/>
      <c r="X433" s="15"/>
      <c r="Y433" s="15"/>
      <c r="Z433" s="15"/>
    </row>
    <row r="434" spans="1:26" ht="29" customHeight="1" x14ac:dyDescent="0.35">
      <c r="A434" s="12">
        <v>433</v>
      </c>
      <c r="B434" s="13" t="s">
        <v>1537</v>
      </c>
      <c r="C434" s="14" t="s">
        <v>1538</v>
      </c>
      <c r="D434" s="13"/>
      <c r="E434" s="14" t="str">
        <f t="shared" si="7"/>
        <v>Laki-Laki</v>
      </c>
      <c r="F434" s="13"/>
      <c r="G434" s="13" t="s">
        <v>1484</v>
      </c>
      <c r="H434" s="15" t="s">
        <v>1539</v>
      </c>
      <c r="I434" s="19" t="s">
        <v>90</v>
      </c>
      <c r="J434" s="12" t="s">
        <v>26</v>
      </c>
      <c r="K434" s="15" t="s">
        <v>394</v>
      </c>
      <c r="L434" s="12" t="s">
        <v>72</v>
      </c>
      <c r="M434" s="12">
        <v>2021</v>
      </c>
      <c r="N434" s="15" t="s">
        <v>72</v>
      </c>
      <c r="O434" s="15">
        <v>2023</v>
      </c>
      <c r="P434" s="15">
        <v>2021</v>
      </c>
      <c r="Q434" s="15"/>
      <c r="R434" s="16" t="s">
        <v>51</v>
      </c>
      <c r="S434" s="16" t="str">
        <f ca="1">IF(
  O434 &lt; YEAR(TODAY()),
  "LULUS",
  IF(
    O434 = YEAR(TODAY()),
    IF(
      MATCH(L434, {"Januari";"Februari";"Maret";"April";"Mei";"Juni";"Juli";"Agustus";"September";"Oktober";"November";"Desember"}, 0)
        &gt;= MONTH(TODAY()),
      "AKTIF (Semester " &amp;
        (INT((12*(YEAR(TODAY())-M434) + MONTH(TODAY()) -
          MATCH(L434, {"Januari";"Februari";"Maret";"April";"Mei";"Juni";"Juli";"Agustus";"September";"Oktober";"November";"Desember"}, 0)) / 6) + 1) &amp; ")",
      "LULUS"
    ),
    "AKTIF (Semester " &amp;
      (INT((12*(YEAR(TODAY())-M434) + MONTH(TODAY()) -
        MATCH(L434, {"Januari";"Februari";"Maret";"April";"Mei";"Juni";"Juli";"Agustus";"September";"Oktober";"November";"Desember"}, 0)) / 6) + 1) &amp; ")"
  )
)</f>
        <v>LULUS</v>
      </c>
      <c r="T434" s="16" t="str">
        <f ca="1">IF(O434 &lt; YEAR(TODAY()), "LULUS",
 IF(O434 = YEAR(TODAY()),
    IF(MATCH(N434, {"Januari";"Februari";"Maret";"April";"Mei";"Juni";"Juli";"Agustus";"September";"Oktober";"November";"Desember"},0)
        &lt;= MONTH(TODAY()),
        "LULUS",
        "AKTIF"),
 "AKTIF"))</f>
        <v>LULUS</v>
      </c>
      <c r="U434" s="16" t="s">
        <v>29</v>
      </c>
      <c r="V434" s="15"/>
      <c r="W434" s="15"/>
      <c r="X434" s="15"/>
      <c r="Y434" s="15"/>
      <c r="Z434" s="15"/>
    </row>
    <row r="435" spans="1:26" ht="29" customHeight="1" x14ac:dyDescent="0.35">
      <c r="A435" s="12">
        <v>434</v>
      </c>
      <c r="B435" s="13" t="s">
        <v>1540</v>
      </c>
      <c r="C435" s="14" t="s">
        <v>1541</v>
      </c>
      <c r="D435" s="13"/>
      <c r="E435" s="14" t="str">
        <f t="shared" si="7"/>
        <v>Laki-Laki</v>
      </c>
      <c r="F435" s="13"/>
      <c r="G435" s="13" t="s">
        <v>1484</v>
      </c>
      <c r="H435" s="15" t="s">
        <v>1542</v>
      </c>
      <c r="I435" s="15" t="s">
        <v>1543</v>
      </c>
      <c r="J435" s="12" t="s">
        <v>26</v>
      </c>
      <c r="K435" s="15" t="s">
        <v>1544</v>
      </c>
      <c r="L435" s="15" t="s">
        <v>160</v>
      </c>
      <c r="M435" s="15">
        <v>2019</v>
      </c>
      <c r="N435" s="15" t="s">
        <v>160</v>
      </c>
      <c r="O435" s="15">
        <v>2021</v>
      </c>
      <c r="P435" s="15">
        <v>2021</v>
      </c>
      <c r="Q435" s="15"/>
      <c r="R435" s="16" t="s">
        <v>29</v>
      </c>
      <c r="S435" s="16" t="str">
        <f ca="1">IF(
  O435 &lt; YEAR(TODAY()),
  "LULUS",
  IF(
    O435 = YEAR(TODAY()),
    IF(
      MATCH(L435, {"Januari";"Februari";"Maret";"April";"Mei";"Juni";"Juli";"Agustus";"September";"Oktober";"November";"Desember"}, 0)
        &gt;= MONTH(TODAY()),
      "AKTIF (Semester " &amp;
        (INT((12*(YEAR(TODAY())-M435) + MONTH(TODAY()) -
          MATCH(L435, {"Januari";"Februari";"Maret";"April";"Mei";"Juni";"Juli";"Agustus";"September";"Oktober";"November";"Desember"}, 0)) / 6) + 1) &amp; ")",
      "LULUS"
    ),
    "AKTIF (Semester " &amp;
      (INT((12*(YEAR(TODAY())-M435) + MONTH(TODAY()) -
        MATCH(L435, {"Januari";"Februari";"Maret";"April";"Mei";"Juni";"Juli";"Agustus";"September";"Oktober";"November";"Desember"}, 0)) / 6) + 1) &amp; ")"
  )
)</f>
        <v>LULUS</v>
      </c>
      <c r="T435" s="16" t="str">
        <f ca="1">IF(O435 &lt; YEAR(TODAY()), "LULUS",
 IF(O435 = YEAR(TODAY()),
    IF(MATCH(N435, {"Januari";"Februari";"Maret";"April";"Mei";"Juni";"Juli";"Agustus";"September";"Oktober";"November";"Desember"},0)
        &lt;= MONTH(TODAY()),
        "LULUS",
        "AKTIF"),
 "AKTIF"))</f>
        <v>LULUS</v>
      </c>
      <c r="U435" s="16" t="s">
        <v>29</v>
      </c>
      <c r="V435" s="15"/>
      <c r="W435" s="15"/>
      <c r="X435" s="15"/>
      <c r="Y435" s="15"/>
      <c r="Z435" s="15"/>
    </row>
    <row r="436" spans="1:26" ht="29" customHeight="1" x14ac:dyDescent="0.35">
      <c r="A436" s="12">
        <v>435</v>
      </c>
      <c r="B436" s="13" t="s">
        <v>1545</v>
      </c>
      <c r="C436" s="14" t="s">
        <v>1546</v>
      </c>
      <c r="D436" s="13"/>
      <c r="E436" s="14" t="str">
        <f t="shared" si="7"/>
        <v>Laki-Laki</v>
      </c>
      <c r="F436" s="13"/>
      <c r="G436" s="13" t="s">
        <v>1484</v>
      </c>
      <c r="H436" s="15" t="s">
        <v>1547</v>
      </c>
      <c r="I436" s="15" t="s">
        <v>1548</v>
      </c>
      <c r="J436" s="15" t="s">
        <v>26</v>
      </c>
      <c r="K436" s="15" t="s">
        <v>50</v>
      </c>
      <c r="L436" s="21" t="s">
        <v>113</v>
      </c>
      <c r="M436" s="21">
        <v>2021</v>
      </c>
      <c r="N436" s="15" t="s">
        <v>113</v>
      </c>
      <c r="O436" s="15">
        <v>2023</v>
      </c>
      <c r="P436" s="15">
        <v>2021</v>
      </c>
      <c r="Q436" s="15"/>
      <c r="R436" s="16" t="s">
        <v>29</v>
      </c>
      <c r="S436" s="16" t="str">
        <f ca="1">IF(
  O436 &lt; YEAR(TODAY()),
  "LULUS",
  IF(
    O436 = YEAR(TODAY()),
    IF(
      MATCH(L436, {"Januari";"Februari";"Maret";"April";"Mei";"Juni";"Juli";"Agustus";"September";"Oktober";"November";"Desember"}, 0)
        &gt;= MONTH(TODAY()),
      "AKTIF (Semester " &amp;
        (INT((12*(YEAR(TODAY())-M436) + MONTH(TODAY()) -
          MATCH(L436, {"Januari";"Februari";"Maret";"April";"Mei";"Juni";"Juli";"Agustus";"September";"Oktober";"November";"Desember"}, 0)) / 6) + 1) &amp; ")",
      "LULUS"
    ),
    "AKTIF (Semester " &amp;
      (INT((12*(YEAR(TODAY())-M436) + MONTH(TODAY()) -
        MATCH(L436, {"Januari";"Februari";"Maret";"April";"Mei";"Juni";"Juli";"Agustus";"September";"Oktober";"November";"Desember"}, 0)) / 6) + 1) &amp; ")"
  )
)</f>
        <v>LULUS</v>
      </c>
      <c r="T436" s="16" t="str">
        <f ca="1">IF(O436 &lt; YEAR(TODAY()), "LULUS",
 IF(O436 = YEAR(TODAY()),
    IF(MATCH(N436, {"Januari";"Februari";"Maret";"April";"Mei";"Juni";"Juli";"Agustus";"September";"Oktober";"November";"Desember"},0)
        &lt;= MONTH(TODAY()),
        "LULUS",
        "AKTIF"),
 "AKTIF"))</f>
        <v>LULUS</v>
      </c>
      <c r="U436" s="16" t="s">
        <v>29</v>
      </c>
      <c r="V436" s="15"/>
      <c r="W436" s="15"/>
      <c r="X436" s="15"/>
      <c r="Y436" s="15"/>
      <c r="Z436" s="15"/>
    </row>
    <row r="437" spans="1:26" ht="29" customHeight="1" x14ac:dyDescent="0.35">
      <c r="A437" s="12">
        <v>436</v>
      </c>
      <c r="B437" s="13" t="s">
        <v>1549</v>
      </c>
      <c r="C437" s="14" t="s">
        <v>1550</v>
      </c>
      <c r="D437" s="13"/>
      <c r="E437" s="14" t="str">
        <f t="shared" si="7"/>
        <v>Laki-Laki</v>
      </c>
      <c r="F437" s="13"/>
      <c r="G437" s="13" t="s">
        <v>1484</v>
      </c>
      <c r="H437" s="15" t="s">
        <v>1547</v>
      </c>
      <c r="I437" s="15" t="s">
        <v>1548</v>
      </c>
      <c r="J437" s="15" t="s">
        <v>26</v>
      </c>
      <c r="K437" s="15" t="s">
        <v>50</v>
      </c>
      <c r="L437" s="21" t="s">
        <v>113</v>
      </c>
      <c r="M437" s="21">
        <v>2021</v>
      </c>
      <c r="N437" s="15" t="s">
        <v>113</v>
      </c>
      <c r="O437" s="15">
        <v>2023</v>
      </c>
      <c r="P437" s="15">
        <v>2021</v>
      </c>
      <c r="Q437" s="15"/>
      <c r="R437" s="16" t="s">
        <v>29</v>
      </c>
      <c r="S437" s="16" t="str">
        <f ca="1">IF(
  O437 &lt; YEAR(TODAY()),
  "LULUS",
  IF(
    O437 = YEAR(TODAY()),
    IF(
      MATCH(L437, {"Januari";"Februari";"Maret";"April";"Mei";"Juni";"Juli";"Agustus";"September";"Oktober";"November";"Desember"}, 0)
        &gt;= MONTH(TODAY()),
      "AKTIF (Semester " &amp;
        (INT((12*(YEAR(TODAY())-M437) + MONTH(TODAY()) -
          MATCH(L437, {"Januari";"Februari";"Maret";"April";"Mei";"Juni";"Juli";"Agustus";"September";"Oktober";"November";"Desember"}, 0)) / 6) + 1) &amp; ")",
      "LULUS"
    ),
    "AKTIF (Semester " &amp;
      (INT((12*(YEAR(TODAY())-M437) + MONTH(TODAY()) -
        MATCH(L437, {"Januari";"Februari";"Maret";"April";"Mei";"Juni";"Juli";"Agustus";"September";"Oktober";"November";"Desember"}, 0)) / 6) + 1) &amp; ")"
  )
)</f>
        <v>LULUS</v>
      </c>
      <c r="T437" s="16" t="str">
        <f ca="1">IF(O437 &lt; YEAR(TODAY()), "LULUS",
 IF(O437 = YEAR(TODAY()),
    IF(MATCH(N437, {"Januari";"Februari";"Maret";"April";"Mei";"Juni";"Juli";"Agustus";"September";"Oktober";"November";"Desember"},0)
        &lt;= MONTH(TODAY()),
        "LULUS",
        "AKTIF"),
 "AKTIF"))</f>
        <v>LULUS</v>
      </c>
      <c r="U437" s="16" t="s">
        <v>29</v>
      </c>
      <c r="V437" s="15"/>
      <c r="W437" s="15"/>
      <c r="X437" s="15"/>
      <c r="Y437" s="15"/>
      <c r="Z437" s="15"/>
    </row>
    <row r="438" spans="1:26" ht="29" customHeight="1" x14ac:dyDescent="0.35">
      <c r="A438" s="12">
        <v>437</v>
      </c>
      <c r="B438" s="13" t="s">
        <v>1551</v>
      </c>
      <c r="C438" s="14" t="s">
        <v>1552</v>
      </c>
      <c r="D438" s="13"/>
      <c r="E438" s="14" t="str">
        <f t="shared" si="7"/>
        <v>Perempuan</v>
      </c>
      <c r="F438" s="13"/>
      <c r="G438" s="13" t="s">
        <v>1484</v>
      </c>
      <c r="H438" s="15" t="s">
        <v>1553</v>
      </c>
      <c r="I438" s="15" t="s">
        <v>485</v>
      </c>
      <c r="J438" s="12" t="s">
        <v>45</v>
      </c>
      <c r="K438" s="15" t="s">
        <v>269</v>
      </c>
      <c r="L438" s="21" t="s">
        <v>60</v>
      </c>
      <c r="M438" s="21">
        <v>2019</v>
      </c>
      <c r="N438" s="15" t="s">
        <v>60</v>
      </c>
      <c r="O438" s="15">
        <v>2023</v>
      </c>
      <c r="P438" s="15">
        <v>2021</v>
      </c>
      <c r="Q438" s="15"/>
      <c r="R438" s="16" t="s">
        <v>29</v>
      </c>
      <c r="S438" s="16" t="str">
        <f ca="1">IF(
  O438 &lt; YEAR(TODAY()),
  "LULUS",
  IF(
    O438 = YEAR(TODAY()),
    IF(
      MATCH(L438, {"Januari";"Februari";"Maret";"April";"Mei";"Juni";"Juli";"Agustus";"September";"Oktober";"November";"Desember"}, 0)
        &gt;= MONTH(TODAY()),
      "AKTIF (Semester " &amp;
        (INT((12*(YEAR(TODAY())-M438) + MONTH(TODAY()) -
          MATCH(L438, {"Januari";"Februari";"Maret";"April";"Mei";"Juni";"Juli";"Agustus";"September";"Oktober";"November";"Desember"}, 0)) / 6) + 1) &amp; ")",
      "LULUS"
    ),
    "AKTIF (Semester " &amp;
      (INT((12*(YEAR(TODAY())-M438) + MONTH(TODAY()) -
        MATCH(L438, {"Januari";"Februari";"Maret";"April";"Mei";"Juni";"Juli";"Agustus";"September";"Oktober";"November";"Desember"}, 0)) / 6) + 1) &amp; ")"
  )
)</f>
        <v>LULUS</v>
      </c>
      <c r="T438" s="16" t="str">
        <f ca="1">IF(O438 &lt; YEAR(TODAY()), "LULUS",
 IF(O438 = YEAR(TODAY()),
    IF(MATCH(N438, {"Januari";"Februari";"Maret";"April";"Mei";"Juni";"Juli";"Agustus";"September";"Oktober";"November";"Desember"},0)
        &lt;= MONTH(TODAY()),
        "LULUS",
        "AKTIF"),
 "AKTIF"))</f>
        <v>LULUS</v>
      </c>
      <c r="U438" s="16" t="s">
        <v>29</v>
      </c>
      <c r="V438" s="15"/>
      <c r="W438" s="15"/>
      <c r="X438" s="15"/>
      <c r="Y438" s="15"/>
      <c r="Z438" s="15"/>
    </row>
    <row r="439" spans="1:26" ht="29" customHeight="1" x14ac:dyDescent="0.35">
      <c r="A439" s="12">
        <v>438</v>
      </c>
      <c r="B439" s="13" t="s">
        <v>1554</v>
      </c>
      <c r="C439" s="14" t="s">
        <v>1555</v>
      </c>
      <c r="D439" s="13"/>
      <c r="E439" s="14" t="str">
        <f t="shared" si="7"/>
        <v>Laki-Laki</v>
      </c>
      <c r="F439" s="13"/>
      <c r="G439" s="13" t="s">
        <v>1484</v>
      </c>
      <c r="H439" s="15" t="s">
        <v>1553</v>
      </c>
      <c r="I439" s="15" t="s">
        <v>485</v>
      </c>
      <c r="J439" s="12" t="s">
        <v>45</v>
      </c>
      <c r="K439" s="15" t="s">
        <v>269</v>
      </c>
      <c r="L439" s="21" t="s">
        <v>60</v>
      </c>
      <c r="M439" s="21">
        <v>2019</v>
      </c>
      <c r="N439" s="15" t="s">
        <v>60</v>
      </c>
      <c r="O439" s="15">
        <v>2023</v>
      </c>
      <c r="P439" s="15">
        <v>2021</v>
      </c>
      <c r="Q439" s="15"/>
      <c r="R439" s="16" t="s">
        <v>29</v>
      </c>
      <c r="S439" s="16" t="str">
        <f ca="1">IF(
  O439 &lt; YEAR(TODAY()),
  "LULUS",
  IF(
    O439 = YEAR(TODAY()),
    IF(
      MATCH(L439, {"Januari";"Februari";"Maret";"April";"Mei";"Juni";"Juli";"Agustus";"September";"Oktober";"November";"Desember"}, 0)
        &gt;= MONTH(TODAY()),
      "AKTIF (Semester " &amp;
        (INT((12*(YEAR(TODAY())-M439) + MONTH(TODAY()) -
          MATCH(L439, {"Januari";"Februari";"Maret";"April";"Mei";"Juni";"Juli";"Agustus";"September";"Oktober";"November";"Desember"}, 0)) / 6) + 1) &amp; ")",
      "LULUS"
    ),
    "AKTIF (Semester " &amp;
      (INT((12*(YEAR(TODAY())-M439) + MONTH(TODAY()) -
        MATCH(L439, {"Januari";"Februari";"Maret";"April";"Mei";"Juni";"Juli";"Agustus";"September";"Oktober";"November";"Desember"}, 0)) / 6) + 1) &amp; ")"
  )
)</f>
        <v>LULUS</v>
      </c>
      <c r="T439" s="16" t="str">
        <f ca="1">IF(O439 &lt; YEAR(TODAY()), "LULUS",
 IF(O439 = YEAR(TODAY()),
    IF(MATCH(N439, {"Januari";"Februari";"Maret";"April";"Mei";"Juni";"Juli";"Agustus";"September";"Oktober";"November";"Desember"},0)
        &lt;= MONTH(TODAY()),
        "LULUS",
        "AKTIF"),
 "AKTIF"))</f>
        <v>LULUS</v>
      </c>
      <c r="U439" s="16" t="s">
        <v>29</v>
      </c>
      <c r="V439" s="15"/>
      <c r="W439" s="15"/>
      <c r="X439" s="15"/>
      <c r="Y439" s="15"/>
      <c r="Z439" s="15"/>
    </row>
    <row r="440" spans="1:26" ht="29" customHeight="1" x14ac:dyDescent="0.35">
      <c r="A440" s="12">
        <v>439</v>
      </c>
      <c r="B440" s="13" t="s">
        <v>1556</v>
      </c>
      <c r="C440" s="14" t="s">
        <v>1557</v>
      </c>
      <c r="D440" s="13"/>
      <c r="E440" s="14" t="str">
        <f t="shared" si="7"/>
        <v>Laki-Laki</v>
      </c>
      <c r="F440" s="13"/>
      <c r="G440" s="13" t="s">
        <v>1484</v>
      </c>
      <c r="H440" s="15" t="s">
        <v>1553</v>
      </c>
      <c r="I440" s="15" t="s">
        <v>485</v>
      </c>
      <c r="J440" s="12" t="s">
        <v>45</v>
      </c>
      <c r="K440" s="15" t="s">
        <v>269</v>
      </c>
      <c r="L440" s="21" t="s">
        <v>60</v>
      </c>
      <c r="M440" s="21">
        <v>2019</v>
      </c>
      <c r="N440" s="15" t="s">
        <v>60</v>
      </c>
      <c r="O440" s="15">
        <v>2023</v>
      </c>
      <c r="P440" s="15">
        <v>2021</v>
      </c>
      <c r="Q440" s="15"/>
      <c r="R440" s="16" t="s">
        <v>29</v>
      </c>
      <c r="S440" s="16" t="str">
        <f ca="1">IF(
  O440 &lt; YEAR(TODAY()),
  "LULUS",
  IF(
    O440 = YEAR(TODAY()),
    IF(
      MATCH(L440, {"Januari";"Februari";"Maret";"April";"Mei";"Juni";"Juli";"Agustus";"September";"Oktober";"November";"Desember"}, 0)
        &gt;= MONTH(TODAY()),
      "AKTIF (Semester " &amp;
        (INT((12*(YEAR(TODAY())-M440) + MONTH(TODAY()) -
          MATCH(L440, {"Januari";"Februari";"Maret";"April";"Mei";"Juni";"Juli";"Agustus";"September";"Oktober";"November";"Desember"}, 0)) / 6) + 1) &amp; ")",
      "LULUS"
    ),
    "AKTIF (Semester " &amp;
      (INT((12*(YEAR(TODAY())-M440) + MONTH(TODAY()) -
        MATCH(L440, {"Januari";"Februari";"Maret";"April";"Mei";"Juni";"Juli";"Agustus";"September";"Oktober";"November";"Desember"}, 0)) / 6) + 1) &amp; ")"
  )
)</f>
        <v>LULUS</v>
      </c>
      <c r="T440" s="16" t="str">
        <f ca="1">IF(O440 &lt; YEAR(TODAY()), "LULUS",
 IF(O440 = YEAR(TODAY()),
    IF(MATCH(N440, {"Januari";"Februari";"Maret";"April";"Mei";"Juni";"Juli";"Agustus";"September";"Oktober";"November";"Desember"},0)
        &lt;= MONTH(TODAY()),
        "LULUS",
        "AKTIF"),
 "AKTIF"))</f>
        <v>LULUS</v>
      </c>
      <c r="U440" s="16" t="s">
        <v>29</v>
      </c>
      <c r="V440" s="15"/>
      <c r="W440" s="15"/>
      <c r="X440" s="15"/>
      <c r="Y440" s="15"/>
      <c r="Z440" s="15"/>
    </row>
    <row r="441" spans="1:26" ht="29" customHeight="1" x14ac:dyDescent="0.35">
      <c r="A441" s="12">
        <v>440</v>
      </c>
      <c r="B441" s="13" t="s">
        <v>1558</v>
      </c>
      <c r="C441" s="14" t="s">
        <v>1559</v>
      </c>
      <c r="D441" s="13"/>
      <c r="E441" s="14" t="str">
        <f t="shared" si="7"/>
        <v>Laki-Laki</v>
      </c>
      <c r="F441" s="18"/>
      <c r="G441" s="13" t="s">
        <v>1484</v>
      </c>
      <c r="H441" s="15" t="s">
        <v>1560</v>
      </c>
      <c r="I441" s="15" t="s">
        <v>1561</v>
      </c>
      <c r="J441" s="12" t="s">
        <v>45</v>
      </c>
      <c r="K441" s="15" t="s">
        <v>51</v>
      </c>
      <c r="L441" s="15" t="s">
        <v>1562</v>
      </c>
      <c r="M441" s="15">
        <v>2021</v>
      </c>
      <c r="N441" s="15" t="s">
        <v>1562</v>
      </c>
      <c r="O441" s="15">
        <v>2025</v>
      </c>
      <c r="P441" s="15">
        <v>2022</v>
      </c>
      <c r="Q441" s="15"/>
      <c r="R441" s="16" t="s">
        <v>51</v>
      </c>
      <c r="S441" s="16" t="str">
        <f ca="1">IF(
  O441 &lt; YEAR(TODAY()),
  "LULUS",
  IF(
    O441 = YEAR(TODAY()),
    IF(
      MATCH(L441, {"Januari";"Februari";"Maret";"April";"Mei";"Juni";"Juli";"Agustus";"September";"Oktober";"November";"Desember"}, 0)
        &gt;= MONTH(TODAY()),
      "AKTIF (Semester " &amp;
        (INT((12*(YEAR(TODAY())-M441) + MONTH(TODAY()) -
          MATCH(L441, {"Januari";"Februari";"Maret";"April";"Mei";"Juni";"Juli";"Agustus";"September";"Oktober";"November";"Desember"}, 0)) / 6) + 1) &amp; ")",
      "LULUS"
    ),
    "AKTIF (Semester " &amp;
      (INT((12*(YEAR(TODAY())-M441) + MONTH(TODAY()) -
        MATCH(L441, {"Januari";"Februari";"Maret";"April";"Mei";"Juni";"Juli";"Agustus";"September";"Oktober";"November";"Desember"}, 0)) / 6) + 1) &amp; ")"
  )
)</f>
        <v>AKTIF (Semester 9)</v>
      </c>
      <c r="T441" s="16" t="str">
        <f ca="1">IF(O441 &lt; YEAR(TODAY()), "LULUS",
 IF(O441 = YEAR(TODAY()),
    IF(MATCH(N441, {"Januari";"Februari";"Maret";"April";"Mei";"Juni";"Juli";"Agustus";"September";"Oktober";"November";"Desember"},0)
        &lt;= MONTH(TODAY()),
        "LULUS",
        "AKTIF"),
 "AKTIF"))</f>
        <v>LULUS</v>
      </c>
      <c r="U441" s="16" t="s">
        <v>2946</v>
      </c>
      <c r="V441" s="15"/>
      <c r="W441" s="15"/>
      <c r="X441" s="15"/>
      <c r="Y441" s="15"/>
      <c r="Z441" s="15"/>
    </row>
    <row r="442" spans="1:26" ht="29" customHeight="1" x14ac:dyDescent="0.35">
      <c r="A442" s="12">
        <v>441</v>
      </c>
      <c r="B442" s="13" t="s">
        <v>1563</v>
      </c>
      <c r="C442" s="14" t="s">
        <v>1564</v>
      </c>
      <c r="D442" s="13"/>
      <c r="E442" s="14" t="str">
        <f t="shared" si="7"/>
        <v>Laki-Laki</v>
      </c>
      <c r="F442" s="18"/>
      <c r="G442" s="13" t="s">
        <v>1484</v>
      </c>
      <c r="H442" s="15" t="s">
        <v>1560</v>
      </c>
      <c r="I442" s="19" t="s">
        <v>2931</v>
      </c>
      <c r="J442" s="12" t="s">
        <v>45</v>
      </c>
      <c r="K442" s="15" t="s">
        <v>46</v>
      </c>
      <c r="L442" s="21" t="s">
        <v>169</v>
      </c>
      <c r="M442" s="21">
        <v>2020</v>
      </c>
      <c r="N442" s="15" t="s">
        <v>169</v>
      </c>
      <c r="O442" s="15">
        <v>2024</v>
      </c>
      <c r="P442" s="15">
        <v>2022</v>
      </c>
      <c r="Q442" s="15"/>
      <c r="R442" s="16" t="s">
        <v>51</v>
      </c>
      <c r="S442" s="16" t="str">
        <f ca="1">IF(
  O442 &lt; YEAR(TODAY()),
  "LULUS",
  IF(
    O442 = YEAR(TODAY()),
    IF(
      MATCH(L442, {"Januari";"Februari";"Maret";"April";"Mei";"Juni";"Juli";"Agustus";"September";"Oktober";"November";"Desember"}, 0)
        &gt;= MONTH(TODAY()),
      "AKTIF (Semester " &amp;
        (INT((12*(YEAR(TODAY())-M442) + MONTH(TODAY()) -
          MATCH(L442, {"Januari";"Februari";"Maret";"April";"Mei";"Juni";"Juli";"Agustus";"September";"Oktober";"November";"Desember"}, 0)) / 6) + 1) &amp; ")",
      "LULUS"
    ),
    "AKTIF (Semester " &amp;
      (INT((12*(YEAR(TODAY())-M442) + MONTH(TODAY()) -
        MATCH(L442, {"Januari";"Februari";"Maret";"April";"Mei";"Juni";"Juli";"Agustus";"September";"Oktober";"November";"Desember"}, 0)) / 6) + 1) &amp; ")"
  )
)</f>
        <v>LULUS</v>
      </c>
      <c r="T442" s="16" t="str">
        <f ca="1">IF(O442 &lt; YEAR(TODAY()), "LULUS",
 IF(O442 = YEAR(TODAY()),
    IF(MATCH(N442, {"Januari";"Februari";"Maret";"April";"Mei";"Juni";"Juli";"Agustus";"September";"Oktober";"November";"Desember"},0)
        &lt;= MONTH(TODAY()),
        "LULUS",
        "AKTIF"),
 "AKTIF"))</f>
        <v>LULUS</v>
      </c>
      <c r="U442" s="16" t="s">
        <v>29</v>
      </c>
      <c r="V442" s="15"/>
      <c r="W442" s="15"/>
      <c r="X442" s="15"/>
      <c r="Y442" s="15"/>
      <c r="Z442" s="15"/>
    </row>
    <row r="443" spans="1:26" ht="29" customHeight="1" x14ac:dyDescent="0.35">
      <c r="A443" s="12">
        <v>442</v>
      </c>
      <c r="B443" s="13" t="s">
        <v>1566</v>
      </c>
      <c r="C443" s="14" t="s">
        <v>1567</v>
      </c>
      <c r="D443" s="13"/>
      <c r="E443" s="14" t="str">
        <f t="shared" si="7"/>
        <v>Laki-Laki</v>
      </c>
      <c r="F443" s="13"/>
      <c r="G443" s="13" t="s">
        <v>1484</v>
      </c>
      <c r="H443" s="15"/>
      <c r="I443" s="15" t="s">
        <v>1568</v>
      </c>
      <c r="J443" s="12" t="s">
        <v>26</v>
      </c>
      <c r="K443" s="15" t="s">
        <v>1569</v>
      </c>
      <c r="L443" s="21" t="s">
        <v>28</v>
      </c>
      <c r="M443" s="21">
        <v>2022</v>
      </c>
      <c r="N443" s="15" t="s">
        <v>28</v>
      </c>
      <c r="O443" s="15">
        <v>2024</v>
      </c>
      <c r="P443" s="15">
        <v>2022</v>
      </c>
      <c r="Q443" s="15"/>
      <c r="R443" s="16" t="s">
        <v>29</v>
      </c>
      <c r="S443" s="16" t="str">
        <f ca="1">IF(
  O443 &lt; YEAR(TODAY()),
  "LULUS",
  IF(
    O443 = YEAR(TODAY()),
    IF(
      MATCH(L443, {"Januari";"Februari";"Maret";"April";"Mei";"Juni";"Juli";"Agustus";"September";"Oktober";"November";"Desember"}, 0)
        &gt;= MONTH(TODAY()),
      "AKTIF (Semester " &amp;
        (INT((12*(YEAR(TODAY())-M443) + MONTH(TODAY()) -
          MATCH(L443, {"Januari";"Februari";"Maret";"April";"Mei";"Juni";"Juli";"Agustus";"September";"Oktober";"November";"Desember"}, 0)) / 6) + 1) &amp; ")",
      "LULUS"
    ),
    "AKTIF (Semester " &amp;
      (INT((12*(YEAR(TODAY())-M443) + MONTH(TODAY()) -
        MATCH(L443, {"Januari";"Februari";"Maret";"April";"Mei";"Juni";"Juli";"Agustus";"September";"Oktober";"November";"Desember"}, 0)) / 6) + 1) &amp; ")"
  )
)</f>
        <v>LULUS</v>
      </c>
      <c r="T443" s="16" t="str">
        <f ca="1">IF(O443 &lt; YEAR(TODAY()), "LULUS",
 IF(O443 = YEAR(TODAY()),
    IF(MATCH(N443, {"Januari";"Februari";"Maret";"April";"Mei";"Juni";"Juli";"Agustus";"September";"Oktober";"November";"Desember"},0)
        &lt;= MONTH(TODAY()),
        "LULUS",
        "AKTIF"),
 "AKTIF"))</f>
        <v>LULUS</v>
      </c>
      <c r="U443" s="16" t="s">
        <v>29</v>
      </c>
      <c r="V443" s="15"/>
      <c r="W443" s="15"/>
      <c r="X443" s="15"/>
      <c r="Y443" s="15"/>
      <c r="Z443" s="15"/>
    </row>
    <row r="444" spans="1:26" ht="29" customHeight="1" x14ac:dyDescent="0.35">
      <c r="A444" s="12">
        <v>443</v>
      </c>
      <c r="B444" s="13" t="s">
        <v>1570</v>
      </c>
      <c r="C444" s="14" t="s">
        <v>1571</v>
      </c>
      <c r="D444" s="13"/>
      <c r="E444" s="14" t="str">
        <f t="shared" si="7"/>
        <v>Perempuan</v>
      </c>
      <c r="F444" s="13"/>
      <c r="G444" s="13" t="s">
        <v>1484</v>
      </c>
      <c r="H444" s="15" t="s">
        <v>1572</v>
      </c>
      <c r="I444" s="15" t="s">
        <v>2934</v>
      </c>
      <c r="J444" s="12" t="s">
        <v>45</v>
      </c>
      <c r="K444" s="15" t="s">
        <v>196</v>
      </c>
      <c r="L444" s="21" t="s">
        <v>890</v>
      </c>
      <c r="M444" s="21">
        <v>2022</v>
      </c>
      <c r="N444" s="15" t="s">
        <v>890</v>
      </c>
      <c r="O444" s="15">
        <v>2026</v>
      </c>
      <c r="P444" s="15">
        <v>2022</v>
      </c>
      <c r="Q444" s="15"/>
      <c r="R444" s="16" t="s">
        <v>51</v>
      </c>
      <c r="S444" s="16" t="str">
        <f ca="1">IF(
  O444 &lt; YEAR(TODAY()),
  "LULUS",
  IF(
    O444 = YEAR(TODAY()),
    IF(
      MATCH(L444, {"Januari";"Februari";"Maret";"April";"Mei";"Juni";"Juli";"Agustus";"September";"Oktober";"November";"Desember"}, 0)
        &gt;= MONTH(TODAY()),
      "AKTIF (Semester " &amp;
        (INT((12*(YEAR(TODAY())-M444) + MONTH(TODAY()) -
          MATCH(L444, {"Januari";"Februari";"Maret";"April";"Mei";"Juni";"Juli";"Agustus";"September";"Oktober";"November";"Desember"}, 0)) / 6) + 1) &amp; ")",
      "LULUS"
    ),
    "AKTIF (Semester " &amp;
      (INT((12*(YEAR(TODAY())-M444) + MONTH(TODAY()) -
        MATCH(L444, {"Januari";"Februari";"Maret";"April";"Mei";"Juni";"Juli";"Agustus";"September";"Oktober";"November";"Desember"}, 0)) / 6) + 1) &amp; ")"
  )
)</f>
        <v>AKTIF (Semester 8)</v>
      </c>
      <c r="T444" s="16" t="str">
        <f ca="1">IF(O444 &lt; YEAR(TODAY()), "LULUS",
 IF(O444 = YEAR(TODAY()),
    IF(MATCH(N444, {"Januari";"Februari";"Maret";"April";"Mei";"Juni";"Juli";"Agustus";"September";"Oktober";"November";"Desember"},0)
        &lt;= MONTH(TODAY()),
        "LULUS",
        "AKTIF"),
 "AKTIF"))</f>
        <v>AKTIF</v>
      </c>
      <c r="U444" s="16" t="s">
        <v>2944</v>
      </c>
      <c r="V444" s="15"/>
      <c r="W444" s="15"/>
      <c r="X444" s="15"/>
      <c r="Y444" s="15"/>
      <c r="Z444" s="15"/>
    </row>
    <row r="445" spans="1:26" ht="29" customHeight="1" x14ac:dyDescent="0.35">
      <c r="A445" s="12">
        <v>444</v>
      </c>
      <c r="B445" s="13" t="s">
        <v>1574</v>
      </c>
      <c r="C445" s="14" t="s">
        <v>1575</v>
      </c>
      <c r="D445" s="13"/>
      <c r="E445" s="14" t="str">
        <f t="shared" si="7"/>
        <v>Laki-Laki</v>
      </c>
      <c r="F445" s="18"/>
      <c r="G445" s="13" t="s">
        <v>1484</v>
      </c>
      <c r="H445" s="15" t="s">
        <v>1560</v>
      </c>
      <c r="I445" s="15" t="s">
        <v>1576</v>
      </c>
      <c r="J445" s="12" t="s">
        <v>26</v>
      </c>
      <c r="K445" s="15" t="s">
        <v>1577</v>
      </c>
      <c r="L445" s="21" t="s">
        <v>60</v>
      </c>
      <c r="M445" s="21">
        <v>2021</v>
      </c>
      <c r="N445" s="15" t="s">
        <v>60</v>
      </c>
      <c r="O445" s="15">
        <v>2023</v>
      </c>
      <c r="P445" s="15">
        <v>2022</v>
      </c>
      <c r="Q445" s="15"/>
      <c r="R445" s="16" t="s">
        <v>29</v>
      </c>
      <c r="S445" s="16" t="str">
        <f ca="1">IF(
  O445 &lt; YEAR(TODAY()),
  "LULUS",
  IF(
    O445 = YEAR(TODAY()),
    IF(
      MATCH(L445, {"Januari";"Februari";"Maret";"April";"Mei";"Juni";"Juli";"Agustus";"September";"Oktober";"November";"Desember"}, 0)
        &gt;= MONTH(TODAY()),
      "AKTIF (Semester " &amp;
        (INT((12*(YEAR(TODAY())-M445) + MONTH(TODAY()) -
          MATCH(L445, {"Januari";"Februari";"Maret";"April";"Mei";"Juni";"Juli";"Agustus";"September";"Oktober";"November";"Desember"}, 0)) / 6) + 1) &amp; ")",
      "LULUS"
    ),
    "AKTIF (Semester " &amp;
      (INT((12*(YEAR(TODAY())-M445) + MONTH(TODAY()) -
        MATCH(L445, {"Januari";"Februari";"Maret";"April";"Mei";"Juni";"Juli";"Agustus";"September";"Oktober";"November";"Desember"}, 0)) / 6) + 1) &amp; ")"
  )
)</f>
        <v>LULUS</v>
      </c>
      <c r="T445" s="16" t="str">
        <f ca="1">IF(O445 &lt; YEAR(TODAY()), "LULUS",
 IF(O445 = YEAR(TODAY()),
    IF(MATCH(N445, {"Januari";"Februari";"Maret";"April";"Mei";"Juni";"Juli";"Agustus";"September";"Oktober";"November";"Desember"},0)
        &lt;= MONTH(TODAY()),
        "LULUS",
        "AKTIF"),
 "AKTIF"))</f>
        <v>LULUS</v>
      </c>
      <c r="U445" s="16" t="s">
        <v>29</v>
      </c>
      <c r="V445" s="15"/>
      <c r="W445" s="15"/>
      <c r="X445" s="15"/>
      <c r="Y445" s="15"/>
      <c r="Z445" s="15"/>
    </row>
    <row r="446" spans="1:26" ht="29" customHeight="1" x14ac:dyDescent="0.35">
      <c r="A446" s="12">
        <v>445</v>
      </c>
      <c r="B446" s="13" t="s">
        <v>1578</v>
      </c>
      <c r="C446" s="14" t="s">
        <v>1579</v>
      </c>
      <c r="D446" s="13"/>
      <c r="E446" s="14" t="str">
        <f t="shared" si="7"/>
        <v>Laki-Laki</v>
      </c>
      <c r="F446" s="13"/>
      <c r="G446" s="13" t="s">
        <v>1484</v>
      </c>
      <c r="H446" s="15"/>
      <c r="I446" s="19" t="s">
        <v>90</v>
      </c>
      <c r="J446" s="12" t="s">
        <v>26</v>
      </c>
      <c r="K446" s="15" t="s">
        <v>46</v>
      </c>
      <c r="L446" s="21" t="s">
        <v>156</v>
      </c>
      <c r="M446" s="21">
        <v>2021</v>
      </c>
      <c r="N446" s="15" t="s">
        <v>156</v>
      </c>
      <c r="O446" s="15">
        <v>2024</v>
      </c>
      <c r="P446" s="15">
        <v>2022</v>
      </c>
      <c r="Q446" s="15"/>
      <c r="R446" s="16" t="s">
        <v>29</v>
      </c>
      <c r="S446" s="16" t="str">
        <f ca="1">IF(
  O446 &lt; YEAR(TODAY()),
  "LULUS",
  IF(
    O446 = YEAR(TODAY()),
    IF(
      MATCH(L446, {"Januari";"Februari";"Maret";"April";"Mei";"Juni";"Juli";"Agustus";"September";"Oktober";"November";"Desember"}, 0)
        &gt;= MONTH(TODAY()),
      "AKTIF (Semester " &amp;
        (INT((12*(YEAR(TODAY())-M446) + MONTH(TODAY()) -
          MATCH(L446, {"Januari";"Februari";"Maret";"April";"Mei";"Juni";"Juli";"Agustus";"September";"Oktober";"November";"Desember"}, 0)) / 6) + 1) &amp; ")",
      "LULUS"
    ),
    "AKTIF (Semester " &amp;
      (INT((12*(YEAR(TODAY())-M446) + MONTH(TODAY()) -
        MATCH(L446, {"Januari";"Februari";"Maret";"April";"Mei";"Juni";"Juli";"Agustus";"September";"Oktober";"November";"Desember"}, 0)) / 6) + 1) &amp; ")"
  )
)</f>
        <v>LULUS</v>
      </c>
      <c r="T446" s="16" t="str">
        <f ca="1">IF(O446 &lt; YEAR(TODAY()), "LULUS",
 IF(O446 = YEAR(TODAY()),
    IF(MATCH(N446, {"Januari";"Februari";"Maret";"April";"Mei";"Juni";"Juli";"Agustus";"September";"Oktober";"November";"Desember"},0)
        &lt;= MONTH(TODAY()),
        "LULUS",
        "AKTIF"),
 "AKTIF"))</f>
        <v>LULUS</v>
      </c>
      <c r="U446" s="16" t="s">
        <v>29</v>
      </c>
      <c r="V446" s="15"/>
      <c r="W446" s="15"/>
      <c r="X446" s="15"/>
      <c r="Y446" s="15"/>
      <c r="Z446" s="15"/>
    </row>
    <row r="447" spans="1:26" ht="29" customHeight="1" x14ac:dyDescent="0.35">
      <c r="A447" s="12">
        <v>446</v>
      </c>
      <c r="B447" s="13" t="s">
        <v>1580</v>
      </c>
      <c r="C447" s="14" t="s">
        <v>1581</v>
      </c>
      <c r="D447" s="13"/>
      <c r="E447" s="14" t="str">
        <f t="shared" si="7"/>
        <v>Perempuan</v>
      </c>
      <c r="F447" s="13"/>
      <c r="G447" s="13" t="s">
        <v>1484</v>
      </c>
      <c r="H447" s="15"/>
      <c r="I447" s="15" t="s">
        <v>485</v>
      </c>
      <c r="J447" s="12" t="s">
        <v>26</v>
      </c>
      <c r="K447" s="15" t="s">
        <v>487</v>
      </c>
      <c r="L447" s="21" t="s">
        <v>28</v>
      </c>
      <c r="M447" s="21">
        <v>2021</v>
      </c>
      <c r="N447" s="15" t="s">
        <v>28</v>
      </c>
      <c r="O447" s="15">
        <v>2023</v>
      </c>
      <c r="P447" s="15">
        <v>2022</v>
      </c>
      <c r="Q447" s="15"/>
      <c r="R447" s="16" t="s">
        <v>29</v>
      </c>
      <c r="S447" s="16" t="str">
        <f ca="1">IF(
  O447 &lt; YEAR(TODAY()),
  "LULUS",
  IF(
    O447 = YEAR(TODAY()),
    IF(
      MATCH(L447, {"Januari";"Februari";"Maret";"April";"Mei";"Juni";"Juli";"Agustus";"September";"Oktober";"November";"Desember"}, 0)
        &gt;= MONTH(TODAY()),
      "AKTIF (Semester " &amp;
        (INT((12*(YEAR(TODAY())-M447) + MONTH(TODAY()) -
          MATCH(L447, {"Januari";"Februari";"Maret";"April";"Mei";"Juni";"Juli";"Agustus";"September";"Oktober";"November";"Desember"}, 0)) / 6) + 1) &amp; ")",
      "LULUS"
    ),
    "AKTIF (Semester " &amp;
      (INT((12*(YEAR(TODAY())-M447) + MONTH(TODAY()) -
        MATCH(L447, {"Januari";"Februari";"Maret";"April";"Mei";"Juni";"Juli";"Agustus";"September";"Oktober";"November";"Desember"}, 0)) / 6) + 1) &amp; ")"
  )
)</f>
        <v>LULUS</v>
      </c>
      <c r="T447" s="16" t="str">
        <f ca="1">IF(O447 &lt; YEAR(TODAY()), "LULUS",
 IF(O447 = YEAR(TODAY()),
    IF(MATCH(N447, {"Januari";"Februari";"Maret";"April";"Mei";"Juni";"Juli";"Agustus";"September";"Oktober";"November";"Desember"},0)
        &lt;= MONTH(TODAY()),
        "LULUS",
        "AKTIF"),
 "AKTIF"))</f>
        <v>LULUS</v>
      </c>
      <c r="U447" s="16" t="s">
        <v>29</v>
      </c>
      <c r="V447" s="15"/>
      <c r="W447" s="15"/>
      <c r="X447" s="15"/>
      <c r="Y447" s="15"/>
      <c r="Z447" s="15"/>
    </row>
    <row r="448" spans="1:26" ht="29" customHeight="1" x14ac:dyDescent="0.35">
      <c r="A448" s="12">
        <v>447</v>
      </c>
      <c r="B448" s="13" t="s">
        <v>1582</v>
      </c>
      <c r="C448" s="14" t="s">
        <v>1583</v>
      </c>
      <c r="D448" s="14"/>
      <c r="E448" s="14" t="str">
        <f t="shared" si="7"/>
        <v>Laki-Laki</v>
      </c>
      <c r="F448" s="18"/>
      <c r="G448" s="13" t="s">
        <v>1484</v>
      </c>
      <c r="H448" s="15"/>
      <c r="I448" s="15" t="s">
        <v>485</v>
      </c>
      <c r="J448" s="12" t="s">
        <v>26</v>
      </c>
      <c r="K448" s="15" t="s">
        <v>487</v>
      </c>
      <c r="L448" s="21" t="s">
        <v>28</v>
      </c>
      <c r="M448" s="21">
        <v>2021</v>
      </c>
      <c r="N448" s="15" t="s">
        <v>28</v>
      </c>
      <c r="O448" s="15">
        <v>2023</v>
      </c>
      <c r="P448" s="15">
        <v>2022</v>
      </c>
      <c r="Q448" s="15"/>
      <c r="R448" s="16" t="s">
        <v>29</v>
      </c>
      <c r="S448" s="16" t="str">
        <f ca="1">IF(
  O448 &lt; YEAR(TODAY()),
  "LULUS",
  IF(
    O448 = YEAR(TODAY()),
    IF(
      MATCH(L448, {"Januari";"Februari";"Maret";"April";"Mei";"Juni";"Juli";"Agustus";"September";"Oktober";"November";"Desember"}, 0)
        &gt;= MONTH(TODAY()),
      "AKTIF (Semester " &amp;
        (INT((12*(YEAR(TODAY())-M448) + MONTH(TODAY()) -
          MATCH(L448, {"Januari";"Februari";"Maret";"April";"Mei";"Juni";"Juli";"Agustus";"September";"Oktober";"November";"Desember"}, 0)) / 6) + 1) &amp; ")",
      "LULUS"
    ),
    "AKTIF (Semester " &amp;
      (INT((12*(YEAR(TODAY())-M448) + MONTH(TODAY()) -
        MATCH(L448, {"Januari";"Februari";"Maret";"April";"Mei";"Juni";"Juli";"Agustus";"September";"Oktober";"November";"Desember"}, 0)) / 6) + 1) &amp; ")"
  )
)</f>
        <v>LULUS</v>
      </c>
      <c r="T448" s="16" t="str">
        <f ca="1">IF(O448 &lt; YEAR(TODAY()), "LULUS",
 IF(O448 = YEAR(TODAY()),
    IF(MATCH(N448, {"Januari";"Februari";"Maret";"April";"Mei";"Juni";"Juli";"Agustus";"September";"Oktober";"November";"Desember"},0)
        &lt;= MONTH(TODAY()),
        "LULUS",
        "AKTIF"),
 "AKTIF"))</f>
        <v>LULUS</v>
      </c>
      <c r="U448" s="16" t="s">
        <v>29</v>
      </c>
      <c r="V448" s="15"/>
      <c r="W448" s="15"/>
      <c r="X448" s="15"/>
      <c r="Y448" s="15"/>
      <c r="Z448" s="15"/>
    </row>
    <row r="449" spans="1:26" ht="29" customHeight="1" x14ac:dyDescent="0.35">
      <c r="A449" s="12">
        <v>448</v>
      </c>
      <c r="B449" s="13" t="s">
        <v>1584</v>
      </c>
      <c r="C449" s="14" t="s">
        <v>1585</v>
      </c>
      <c r="D449" s="13"/>
      <c r="E449" s="14" t="str">
        <f t="shared" si="7"/>
        <v>Laki-Laki</v>
      </c>
      <c r="F449" s="13"/>
      <c r="G449" s="13" t="s">
        <v>1484</v>
      </c>
      <c r="H449" s="15"/>
      <c r="I449" s="15" t="s">
        <v>485</v>
      </c>
      <c r="J449" s="12" t="s">
        <v>26</v>
      </c>
      <c r="K449" s="15" t="s">
        <v>487</v>
      </c>
      <c r="L449" s="21" t="s">
        <v>28</v>
      </c>
      <c r="M449" s="21">
        <v>2021</v>
      </c>
      <c r="N449" s="15" t="s">
        <v>28</v>
      </c>
      <c r="O449" s="15">
        <v>2023</v>
      </c>
      <c r="P449" s="15">
        <v>2022</v>
      </c>
      <c r="Q449" s="15"/>
      <c r="R449" s="16" t="s">
        <v>29</v>
      </c>
      <c r="S449" s="16" t="str">
        <f ca="1">IF(
  O449 &lt; YEAR(TODAY()),
  "LULUS",
  IF(
    O449 = YEAR(TODAY()),
    IF(
      MATCH(L449, {"Januari";"Februari";"Maret";"April";"Mei";"Juni";"Juli";"Agustus";"September";"Oktober";"November";"Desember"}, 0)
        &gt;= MONTH(TODAY()),
      "AKTIF (Semester " &amp;
        (INT((12*(YEAR(TODAY())-M449) + MONTH(TODAY()) -
          MATCH(L449, {"Januari";"Februari";"Maret";"April";"Mei";"Juni";"Juli";"Agustus";"September";"Oktober";"November";"Desember"}, 0)) / 6) + 1) &amp; ")",
      "LULUS"
    ),
    "AKTIF (Semester " &amp;
      (INT((12*(YEAR(TODAY())-M449) + MONTH(TODAY()) -
        MATCH(L449, {"Januari";"Februari";"Maret";"April";"Mei";"Juni";"Juli";"Agustus";"September";"Oktober";"November";"Desember"}, 0)) / 6) + 1) &amp; ")"
  )
)</f>
        <v>LULUS</v>
      </c>
      <c r="T449" s="16" t="str">
        <f ca="1">IF(O449 &lt; YEAR(TODAY()), "LULUS",
 IF(O449 = YEAR(TODAY()),
    IF(MATCH(N449, {"Januari";"Februari";"Maret";"April";"Mei";"Juni";"Juli";"Agustus";"September";"Oktober";"November";"Desember"},0)
        &lt;= MONTH(TODAY()),
        "LULUS",
        "AKTIF"),
 "AKTIF"))</f>
        <v>LULUS</v>
      </c>
      <c r="U449" s="16" t="s">
        <v>29</v>
      </c>
      <c r="V449" s="15"/>
      <c r="W449" s="15"/>
      <c r="X449" s="15"/>
      <c r="Y449" s="15"/>
      <c r="Z449" s="15"/>
    </row>
    <row r="450" spans="1:26" ht="29" customHeight="1" x14ac:dyDescent="0.35">
      <c r="A450" s="12">
        <v>449</v>
      </c>
      <c r="B450" s="13" t="s">
        <v>1586</v>
      </c>
      <c r="C450" s="14" t="s">
        <v>1587</v>
      </c>
      <c r="D450" s="13"/>
      <c r="E450" s="14" t="str">
        <f t="shared" si="7"/>
        <v>Laki-Laki</v>
      </c>
      <c r="F450" s="18"/>
      <c r="G450" s="13" t="s">
        <v>1484</v>
      </c>
      <c r="H450" s="15"/>
      <c r="I450" s="15" t="s">
        <v>1588</v>
      </c>
      <c r="J450" s="12" t="s">
        <v>45</v>
      </c>
      <c r="K450" s="15" t="s">
        <v>46</v>
      </c>
      <c r="L450" s="23" t="s">
        <v>169</v>
      </c>
      <c r="M450" s="21">
        <v>2018</v>
      </c>
      <c r="N450" s="15" t="s">
        <v>169</v>
      </c>
      <c r="O450" s="15">
        <v>2022</v>
      </c>
      <c r="P450" s="15">
        <v>2022</v>
      </c>
      <c r="Q450" s="15"/>
      <c r="R450" s="16" t="s">
        <v>29</v>
      </c>
      <c r="S450" s="16" t="str">
        <f ca="1">IF(
  O450 &lt; YEAR(TODAY()),
  "LULUS",
  IF(
    O450 = YEAR(TODAY()),
    IF(
      MATCH(L450, {"Januari";"Februari";"Maret";"April";"Mei";"Juni";"Juli";"Agustus";"September";"Oktober";"November";"Desember"}, 0)
        &gt;= MONTH(TODAY()),
      "AKTIF (Semester " &amp;
        (INT((12*(YEAR(TODAY())-M450) + MONTH(TODAY()) -
          MATCH(L450, {"Januari";"Februari";"Maret";"April";"Mei";"Juni";"Juli";"Agustus";"September";"Oktober";"November";"Desember"}, 0)) / 6) + 1) &amp; ")",
      "LULUS"
    ),
    "AKTIF (Semester " &amp;
      (INT((12*(YEAR(TODAY())-M450) + MONTH(TODAY()) -
        MATCH(L450, {"Januari";"Februari";"Maret";"April";"Mei";"Juni";"Juli";"Agustus";"September";"Oktober";"November";"Desember"}, 0)) / 6) + 1) &amp; ")"
  )
)</f>
        <v>LULUS</v>
      </c>
      <c r="T450" s="16" t="str">
        <f ca="1">IF(O450 &lt; YEAR(TODAY()), "LULUS",
 IF(O450 = YEAR(TODAY()),
    IF(MATCH(N450, {"Januari";"Februari";"Maret";"April";"Mei";"Juni";"Juli";"Agustus";"September";"Oktober";"November";"Desember"},0)
        &lt;= MONTH(TODAY()),
        "LULUS",
        "AKTIF"),
 "AKTIF"))</f>
        <v>LULUS</v>
      </c>
      <c r="U450" s="16" t="s">
        <v>29</v>
      </c>
      <c r="V450" s="15"/>
      <c r="W450" s="15"/>
      <c r="X450" s="15"/>
      <c r="Y450" s="15"/>
      <c r="Z450" s="15"/>
    </row>
    <row r="451" spans="1:26" ht="29" customHeight="1" x14ac:dyDescent="0.35">
      <c r="A451" s="12">
        <v>450</v>
      </c>
      <c r="B451" s="13" t="s">
        <v>1589</v>
      </c>
      <c r="C451" s="14" t="s">
        <v>1590</v>
      </c>
      <c r="D451" s="13"/>
      <c r="E451" s="14" t="str">
        <f t="shared" si="7"/>
        <v>Perempuan</v>
      </c>
      <c r="F451" s="18"/>
      <c r="G451" s="13" t="s">
        <v>1484</v>
      </c>
      <c r="H451" s="15" t="s">
        <v>1591</v>
      </c>
      <c r="I451" s="19" t="s">
        <v>90</v>
      </c>
      <c r="J451" s="12" t="s">
        <v>45</v>
      </c>
      <c r="K451" s="15" t="s">
        <v>1592</v>
      </c>
      <c r="L451" s="21" t="s">
        <v>28</v>
      </c>
      <c r="M451" s="21">
        <v>2020</v>
      </c>
      <c r="N451" s="15" t="s">
        <v>28</v>
      </c>
      <c r="O451" s="15">
        <v>2024</v>
      </c>
      <c r="P451" s="15">
        <v>2022</v>
      </c>
      <c r="Q451" s="15"/>
      <c r="R451" s="16" t="s">
        <v>51</v>
      </c>
      <c r="S451" s="16" t="str">
        <f ca="1">IF(
  O451 &lt; YEAR(TODAY()),
  "LULUS",
  IF(
    O451 = YEAR(TODAY()),
    IF(
      MATCH(L451, {"Januari";"Februari";"Maret";"April";"Mei";"Juni";"Juli";"Agustus";"September";"Oktober";"November";"Desember"}, 0)
        &gt;= MONTH(TODAY()),
      "AKTIF (Semester " &amp;
        (INT((12*(YEAR(TODAY())-M451) + MONTH(TODAY()) -
          MATCH(L451, {"Januari";"Februari";"Maret";"April";"Mei";"Juni";"Juli";"Agustus";"September";"Oktober";"November";"Desember"}, 0)) / 6) + 1) &amp; ")",
      "LULUS"
    ),
    "AKTIF (Semester " &amp;
      (INT((12*(YEAR(TODAY())-M451) + MONTH(TODAY()) -
        MATCH(L451, {"Januari";"Februari";"Maret";"April";"Mei";"Juni";"Juli";"Agustus";"September";"Oktober";"November";"Desember"}, 0)) / 6) + 1) &amp; ")"
  )
)</f>
        <v>LULUS</v>
      </c>
      <c r="T451" s="16" t="str">
        <f ca="1">IF(O451 &lt; YEAR(TODAY()), "LULUS",
 IF(O451 = YEAR(TODAY()),
    IF(MATCH(N451, {"Januari";"Februari";"Maret";"April";"Mei";"Juni";"Juli";"Agustus";"September";"Oktober";"November";"Desember"},0)
        &lt;= MONTH(TODAY()),
        "LULUS",
        "AKTIF"),
 "AKTIF"))</f>
        <v>LULUS</v>
      </c>
      <c r="U451" s="16" t="s">
        <v>29</v>
      </c>
      <c r="V451" s="15"/>
      <c r="W451" s="15"/>
      <c r="X451" s="15"/>
      <c r="Y451" s="15"/>
      <c r="Z451" s="15"/>
    </row>
    <row r="452" spans="1:26" ht="29" customHeight="1" x14ac:dyDescent="0.35">
      <c r="A452" s="12">
        <v>451</v>
      </c>
      <c r="B452" s="13" t="s">
        <v>1593</v>
      </c>
      <c r="C452" s="14" t="s">
        <v>1594</v>
      </c>
      <c r="D452" s="13"/>
      <c r="E452" s="14" t="str">
        <f t="shared" si="7"/>
        <v>Perempuan</v>
      </c>
      <c r="F452" s="13"/>
      <c r="G452" s="13" t="s">
        <v>1484</v>
      </c>
      <c r="H452" s="15" t="s">
        <v>1595</v>
      </c>
      <c r="I452" s="19" t="s">
        <v>90</v>
      </c>
      <c r="J452" s="12" t="s">
        <v>45</v>
      </c>
      <c r="K452" s="15" t="s">
        <v>1592</v>
      </c>
      <c r="L452" s="23" t="s">
        <v>169</v>
      </c>
      <c r="M452" s="21">
        <v>2021</v>
      </c>
      <c r="N452" s="15" t="s">
        <v>169</v>
      </c>
      <c r="O452" s="15">
        <v>2024</v>
      </c>
      <c r="P452" s="15">
        <v>2022</v>
      </c>
      <c r="Q452" s="15"/>
      <c r="R452" s="16" t="s">
        <v>29</v>
      </c>
      <c r="S452" s="16" t="str">
        <f ca="1">IF(
  O452 &lt; YEAR(TODAY()),
  "LULUS",
  IF(
    O452 = YEAR(TODAY()),
    IF(
      MATCH(L452, {"Januari";"Februari";"Maret";"April";"Mei";"Juni";"Juli";"Agustus";"September";"Oktober";"November";"Desember"}, 0)
        &gt;= MONTH(TODAY()),
      "AKTIF (Semester " &amp;
        (INT((12*(YEAR(TODAY())-M452) + MONTH(TODAY()) -
          MATCH(L452, {"Januari";"Februari";"Maret";"April";"Mei";"Juni";"Juli";"Agustus";"September";"Oktober";"November";"Desember"}, 0)) / 6) + 1) &amp; ")",
      "LULUS"
    ),
    "AKTIF (Semester " &amp;
      (INT((12*(YEAR(TODAY())-M452) + MONTH(TODAY()) -
        MATCH(L452, {"Januari";"Februari";"Maret";"April";"Mei";"Juni";"Juli";"Agustus";"September";"Oktober";"November";"Desember"}, 0)) / 6) + 1) &amp; ")"
  )
)</f>
        <v>LULUS</v>
      </c>
      <c r="T452" s="16" t="str">
        <f ca="1">IF(O452 &lt; YEAR(TODAY()), "LULUS",
 IF(O452 = YEAR(TODAY()),
    IF(MATCH(N452, {"Januari";"Februari";"Maret";"April";"Mei";"Juni";"Juli";"Agustus";"September";"Oktober";"November";"Desember"},0)
        &lt;= MONTH(TODAY()),
        "LULUS",
        "AKTIF"),
 "AKTIF"))</f>
        <v>LULUS</v>
      </c>
      <c r="U452" s="16" t="s">
        <v>29</v>
      </c>
      <c r="V452" s="15"/>
      <c r="W452" s="15"/>
      <c r="X452" s="15"/>
      <c r="Y452" s="15"/>
      <c r="Z452" s="15"/>
    </row>
    <row r="453" spans="1:26" ht="29" customHeight="1" x14ac:dyDescent="0.35">
      <c r="A453" s="12">
        <v>452</v>
      </c>
      <c r="B453" s="13" t="s">
        <v>1596</v>
      </c>
      <c r="C453" s="14" t="s">
        <v>1597</v>
      </c>
      <c r="D453" s="13"/>
      <c r="E453" s="14" t="str">
        <f t="shared" si="7"/>
        <v>Laki-Laki</v>
      </c>
      <c r="F453" s="18"/>
      <c r="G453" s="13" t="s">
        <v>1484</v>
      </c>
      <c r="H453" s="15" t="s">
        <v>1595</v>
      </c>
      <c r="I453" s="19" t="s">
        <v>90</v>
      </c>
      <c r="J453" s="12" t="s">
        <v>45</v>
      </c>
      <c r="K453" s="15" t="s">
        <v>1592</v>
      </c>
      <c r="L453" s="23" t="s">
        <v>169</v>
      </c>
      <c r="M453" s="21">
        <v>2021</v>
      </c>
      <c r="N453" s="15" t="s">
        <v>169</v>
      </c>
      <c r="O453" s="15">
        <v>2025</v>
      </c>
      <c r="P453" s="15">
        <v>2022</v>
      </c>
      <c r="Q453" s="15"/>
      <c r="R453" s="16" t="s">
        <v>51</v>
      </c>
      <c r="S453" s="16" t="str">
        <f ca="1">IF(
  O453 &lt; YEAR(TODAY()),
  "LULUS",
  IF(
    O453 = YEAR(TODAY()),
    IF(
      MATCH(L453, {"Januari";"Februari";"Maret";"April";"Mei";"Juni";"Juli";"Agustus";"September";"Oktober";"November";"Desember"}, 0)
        &gt;= MONTH(TODAY()),
      "AKTIF (Semester " &amp;
        (INT((12*(YEAR(TODAY())-M453) + MONTH(TODAY()) -
          MATCH(L453, {"Januari";"Februari";"Maret";"April";"Mei";"Juni";"Juli";"Agustus";"September";"Oktober";"November";"Desember"}, 0)) / 6) + 1) &amp; ")",
      "LULUS"
    ),
    "AKTIF (Semester " &amp;
      (INT((12*(YEAR(TODAY())-M453) + MONTH(TODAY()) -
        MATCH(L453, {"Januari";"Februari";"Maret";"April";"Mei";"Juni";"Juli";"Agustus";"September";"Oktober";"November";"Desember"}, 0)) / 6) + 1) &amp; ")"
  )
)</f>
        <v>LULUS</v>
      </c>
      <c r="T453" s="16" t="str">
        <f ca="1">IF(O453 &lt; YEAR(TODAY()), "LULUS",
 IF(O453 = YEAR(TODAY()),
    IF(MATCH(N453, {"Januari";"Februari";"Maret";"April";"Mei";"Juni";"Juli";"Agustus";"September";"Oktober";"November";"Desember"},0)
        &lt;= MONTH(TODAY()),
        "LULUS",
        "AKTIF"),
 "AKTIF"))</f>
        <v>LULUS</v>
      </c>
      <c r="U453" s="16" t="s">
        <v>29</v>
      </c>
      <c r="V453" s="15"/>
      <c r="W453" s="15"/>
      <c r="X453" s="15"/>
      <c r="Y453" s="15"/>
      <c r="Z453" s="15"/>
    </row>
    <row r="454" spans="1:26" ht="29" customHeight="1" x14ac:dyDescent="0.35">
      <c r="A454" s="12">
        <v>453</v>
      </c>
      <c r="B454" s="13" t="s">
        <v>1598</v>
      </c>
      <c r="C454" s="14" t="s">
        <v>1599</v>
      </c>
      <c r="D454" s="13"/>
      <c r="E454" s="14" t="str">
        <f t="shared" si="7"/>
        <v>Laki-Laki</v>
      </c>
      <c r="F454" s="13"/>
      <c r="G454" s="13" t="s">
        <v>1484</v>
      </c>
      <c r="H454" s="15" t="s">
        <v>1600</v>
      </c>
      <c r="I454" s="19" t="s">
        <v>90</v>
      </c>
      <c r="J454" s="12" t="s">
        <v>45</v>
      </c>
      <c r="K454" s="15" t="s">
        <v>1592</v>
      </c>
      <c r="L454" s="23" t="s">
        <v>35</v>
      </c>
      <c r="M454" s="21">
        <v>2022</v>
      </c>
      <c r="N454" s="15" t="s">
        <v>35</v>
      </c>
      <c r="O454" s="15">
        <v>2026</v>
      </c>
      <c r="P454" s="15">
        <v>2022</v>
      </c>
      <c r="Q454" s="15"/>
      <c r="R454" s="16" t="s">
        <v>51</v>
      </c>
      <c r="S454" s="16" t="str">
        <f ca="1">IF(
  O454 &lt; YEAR(TODAY()),
  "LULUS",
  IF(
    O454 = YEAR(TODAY()),
    IF(
      MATCH(L454, {"Januari";"Februari";"Maret";"April";"Mei";"Juni";"Juli";"Agustus";"September";"Oktober";"November";"Desember"}, 0)
        &gt;= MONTH(TODAY()),
      "AKTIF (Semester " &amp;
        (INT((12*(YEAR(TODAY())-M454) + MONTH(TODAY()) -
          MATCH(L454, {"Januari";"Februari";"Maret";"April";"Mei";"Juni";"Juli";"Agustus";"September";"Oktober";"November";"Desember"}, 0)) / 6) + 1) &amp; ")",
      "LULUS"
    ),
    "AKTIF (Semester " &amp;
      (INT((12*(YEAR(TODAY())-M454) + MONTH(TODAY()) -
        MATCH(L454, {"Januari";"Februari";"Maret";"April";"Mei";"Juni";"Juli";"Agustus";"September";"Oktober";"November";"Desember"}, 0)) / 6) + 1) &amp; ")"
  )
)</f>
        <v>AKTIF (Semester 8)</v>
      </c>
      <c r="T454" s="16" t="str">
        <f ca="1">IF(O454 &lt; YEAR(TODAY()), "LULUS",
 IF(O454 = YEAR(TODAY()),
    IF(MATCH(N454, {"Januari";"Februari";"Maret";"April";"Mei";"Juni";"Juli";"Agustus";"September";"Oktober";"November";"Desember"},0)
        &lt;= MONTH(TODAY()),
        "LULUS",
        "AKTIF"),
 "AKTIF"))</f>
        <v>AKTIF</v>
      </c>
      <c r="U454" s="16" t="s">
        <v>2944</v>
      </c>
      <c r="V454" s="15"/>
      <c r="W454" s="15"/>
      <c r="X454" s="15"/>
      <c r="Y454" s="15"/>
      <c r="Z454" s="15"/>
    </row>
    <row r="455" spans="1:26" ht="29" customHeight="1" x14ac:dyDescent="0.35">
      <c r="A455" s="12">
        <v>454</v>
      </c>
      <c r="B455" s="13" t="s">
        <v>1601</v>
      </c>
      <c r="C455" s="14" t="s">
        <v>1602</v>
      </c>
      <c r="D455" s="13"/>
      <c r="E455" s="14" t="str">
        <f t="shared" si="7"/>
        <v>Perempuan</v>
      </c>
      <c r="F455" s="13"/>
      <c r="G455" s="13" t="s">
        <v>1484</v>
      </c>
      <c r="H455" s="15" t="s">
        <v>1600</v>
      </c>
      <c r="I455" s="19" t="s">
        <v>90</v>
      </c>
      <c r="J455" s="12" t="s">
        <v>45</v>
      </c>
      <c r="K455" s="15" t="s">
        <v>1592</v>
      </c>
      <c r="L455" s="21" t="s">
        <v>28</v>
      </c>
      <c r="M455" s="21">
        <v>2021</v>
      </c>
      <c r="N455" s="15" t="s">
        <v>28</v>
      </c>
      <c r="O455" s="15">
        <v>2025</v>
      </c>
      <c r="P455" s="15">
        <v>2022</v>
      </c>
      <c r="Q455" s="15"/>
      <c r="R455" s="16" t="s">
        <v>51</v>
      </c>
      <c r="S455" s="16" t="str">
        <f ca="1">IF(
  O455 &lt; YEAR(TODAY()),
  "LULUS",
  IF(
    O455 = YEAR(TODAY()),
    IF(
      MATCH(L455, {"Januari";"Februari";"Maret";"April";"Mei";"Juni";"Juli";"Agustus";"September";"Oktober";"November";"Desember"}, 0)
        &gt;= MONTH(TODAY()),
      "AKTIF (Semester " &amp;
        (INT((12*(YEAR(TODAY())-M455) + MONTH(TODAY()) -
          MATCH(L455, {"Januari";"Februari";"Maret";"April";"Mei";"Juni";"Juli";"Agustus";"September";"Oktober";"November";"Desember"}, 0)) / 6) + 1) &amp; ")",
      "LULUS"
    ),
    "AKTIF (Semester " &amp;
      (INT((12*(YEAR(TODAY())-M455) + MONTH(TODAY()) -
        MATCH(L455, {"Januari";"Februari";"Maret";"April";"Mei";"Juni";"Juli";"Agustus";"September";"Oktober";"November";"Desember"}, 0)) / 6) + 1) &amp; ")"
  )
)</f>
        <v>LULUS</v>
      </c>
      <c r="T455" s="16" t="str">
        <f ca="1">IF(O455 &lt; YEAR(TODAY()), "LULUS",
 IF(O455 = YEAR(TODAY()),
    IF(MATCH(N455, {"Januari";"Februari";"Maret";"April";"Mei";"Juni";"Juli";"Agustus";"September";"Oktober";"November";"Desember"},0)
        &lt;= MONTH(TODAY()),
        "LULUS",
        "AKTIF"),
 "AKTIF"))</f>
        <v>LULUS</v>
      </c>
      <c r="U455" s="16" t="s">
        <v>29</v>
      </c>
      <c r="V455" s="15"/>
      <c r="W455" s="15"/>
      <c r="X455" s="15"/>
      <c r="Y455" s="15"/>
      <c r="Z455" s="15"/>
    </row>
    <row r="456" spans="1:26" ht="29" customHeight="1" x14ac:dyDescent="0.35">
      <c r="A456" s="12">
        <v>455</v>
      </c>
      <c r="B456" s="13" t="s">
        <v>1603</v>
      </c>
      <c r="C456" s="14" t="s">
        <v>1604</v>
      </c>
      <c r="D456" s="13"/>
      <c r="E456" s="14" t="str">
        <f t="shared" si="7"/>
        <v>Perempuan</v>
      </c>
      <c r="F456" s="13"/>
      <c r="G456" s="13" t="s">
        <v>1484</v>
      </c>
      <c r="H456" s="15" t="s">
        <v>1600</v>
      </c>
      <c r="I456" s="19" t="s">
        <v>90</v>
      </c>
      <c r="J456" s="12" t="s">
        <v>45</v>
      </c>
      <c r="K456" s="15" t="s">
        <v>1592</v>
      </c>
      <c r="L456" s="23" t="s">
        <v>169</v>
      </c>
      <c r="M456" s="21">
        <v>2021</v>
      </c>
      <c r="N456" s="15" t="s">
        <v>169</v>
      </c>
      <c r="O456" s="15">
        <v>2025</v>
      </c>
      <c r="P456" s="15">
        <v>2022</v>
      </c>
      <c r="Q456" s="15"/>
      <c r="R456" s="16" t="s">
        <v>51</v>
      </c>
      <c r="S456" s="16" t="str">
        <f ca="1">IF(
  O456 &lt; YEAR(TODAY()),
  "LULUS",
  IF(
    O456 = YEAR(TODAY()),
    IF(
      MATCH(L456, {"Januari";"Februari";"Maret";"April";"Mei";"Juni";"Juli";"Agustus";"September";"Oktober";"November";"Desember"}, 0)
        &gt;= MONTH(TODAY()),
      "AKTIF (Semester " &amp;
        (INT((12*(YEAR(TODAY())-M456) + MONTH(TODAY()) -
          MATCH(L456, {"Januari";"Februari";"Maret";"April";"Mei";"Juni";"Juli";"Agustus";"September";"Oktober";"November";"Desember"}, 0)) / 6) + 1) &amp; ")",
      "LULUS"
    ),
    "AKTIF (Semester " &amp;
      (INT((12*(YEAR(TODAY())-M456) + MONTH(TODAY()) -
        MATCH(L456, {"Januari";"Februari";"Maret";"April";"Mei";"Juni";"Juli";"Agustus";"September";"Oktober";"November";"Desember"}, 0)) / 6) + 1) &amp; ")"
  )
)</f>
        <v>LULUS</v>
      </c>
      <c r="T456" s="16" t="str">
        <f ca="1">IF(O456 &lt; YEAR(TODAY()), "LULUS",
 IF(O456 = YEAR(TODAY()),
    IF(MATCH(N456, {"Januari";"Februari";"Maret";"April";"Mei";"Juni";"Juli";"Agustus";"September";"Oktober";"November";"Desember"},0)
        &lt;= MONTH(TODAY()),
        "LULUS",
        "AKTIF"),
 "AKTIF"))</f>
        <v>LULUS</v>
      </c>
      <c r="U456" s="16" t="s">
        <v>29</v>
      </c>
      <c r="V456" s="15"/>
      <c r="W456" s="15"/>
      <c r="X456" s="15"/>
      <c r="Y456" s="15"/>
      <c r="Z456" s="15"/>
    </row>
    <row r="457" spans="1:26" ht="29" customHeight="1" x14ac:dyDescent="0.35">
      <c r="A457" s="12">
        <v>456</v>
      </c>
      <c r="B457" s="13" t="s">
        <v>1605</v>
      </c>
      <c r="C457" s="14" t="s">
        <v>1606</v>
      </c>
      <c r="D457" s="13"/>
      <c r="E457" s="14" t="str">
        <f t="shared" si="7"/>
        <v>Perempuan</v>
      </c>
      <c r="F457" s="13"/>
      <c r="G457" s="13" t="s">
        <v>1484</v>
      </c>
      <c r="H457" s="15" t="s">
        <v>1600</v>
      </c>
      <c r="I457" s="19" t="s">
        <v>90</v>
      </c>
      <c r="J457" s="12" t="s">
        <v>45</v>
      </c>
      <c r="K457" s="15" t="s">
        <v>1592</v>
      </c>
      <c r="L457" s="23" t="s">
        <v>169</v>
      </c>
      <c r="M457" s="21">
        <v>2021</v>
      </c>
      <c r="N457" s="15" t="s">
        <v>169</v>
      </c>
      <c r="O457" s="15">
        <v>2025</v>
      </c>
      <c r="P457" s="15">
        <v>2022</v>
      </c>
      <c r="Q457" s="15"/>
      <c r="R457" s="16" t="s">
        <v>51</v>
      </c>
      <c r="S457" s="16" t="str">
        <f ca="1">IF(
  O457 &lt; YEAR(TODAY()),
  "LULUS",
  IF(
    O457 = YEAR(TODAY()),
    IF(
      MATCH(L457, {"Januari";"Februari";"Maret";"April";"Mei";"Juni";"Juli";"Agustus";"September";"Oktober";"November";"Desember"}, 0)
        &gt;= MONTH(TODAY()),
      "AKTIF (Semester " &amp;
        (INT((12*(YEAR(TODAY())-M457) + MONTH(TODAY()) -
          MATCH(L457, {"Januari";"Februari";"Maret";"April";"Mei";"Juni";"Juli";"Agustus";"September";"Oktober";"November";"Desember"}, 0)) / 6) + 1) &amp; ")",
      "LULUS"
    ),
    "AKTIF (Semester " &amp;
      (INT((12*(YEAR(TODAY())-M457) + MONTH(TODAY()) -
        MATCH(L457, {"Januari";"Februari";"Maret";"April";"Mei";"Juni";"Juli";"Agustus";"September";"Oktober";"November";"Desember"}, 0)) / 6) + 1) &amp; ")"
  )
)</f>
        <v>LULUS</v>
      </c>
      <c r="T457" s="16" t="str">
        <f ca="1">IF(O457 &lt; YEAR(TODAY()), "LULUS",
 IF(O457 = YEAR(TODAY()),
    IF(MATCH(N457, {"Januari";"Februari";"Maret";"April";"Mei";"Juni";"Juli";"Agustus";"September";"Oktober";"November";"Desember"},0)
        &lt;= MONTH(TODAY()),
        "LULUS",
        "AKTIF"),
 "AKTIF"))</f>
        <v>LULUS</v>
      </c>
      <c r="U457" s="16" t="s">
        <v>29</v>
      </c>
      <c r="V457" s="15"/>
      <c r="W457" s="15"/>
      <c r="X457" s="15"/>
      <c r="Y457" s="15"/>
      <c r="Z457" s="15"/>
    </row>
    <row r="458" spans="1:26" ht="29" customHeight="1" x14ac:dyDescent="0.35">
      <c r="A458" s="12">
        <v>457</v>
      </c>
      <c r="B458" s="13" t="s">
        <v>1607</v>
      </c>
      <c r="C458" s="14" t="s">
        <v>1608</v>
      </c>
      <c r="D458" s="13"/>
      <c r="E458" s="14" t="str">
        <f t="shared" si="7"/>
        <v>Perempuan</v>
      </c>
      <c r="F458" s="18"/>
      <c r="G458" s="13" t="s">
        <v>1484</v>
      </c>
      <c r="H458" s="15" t="s">
        <v>1600</v>
      </c>
      <c r="I458" s="15" t="s">
        <v>485</v>
      </c>
      <c r="J458" s="12" t="s">
        <v>45</v>
      </c>
      <c r="K458" s="15" t="s">
        <v>46</v>
      </c>
      <c r="L458" s="23" t="s">
        <v>169</v>
      </c>
      <c r="M458" s="21">
        <v>2020</v>
      </c>
      <c r="N458" s="15" t="s">
        <v>169</v>
      </c>
      <c r="O458" s="15">
        <v>2024</v>
      </c>
      <c r="P458" s="15">
        <v>2022</v>
      </c>
      <c r="Q458" s="15"/>
      <c r="R458" s="16" t="s">
        <v>51</v>
      </c>
      <c r="S458" s="16" t="str">
        <f ca="1">IF(
  O458 &lt; YEAR(TODAY()),
  "LULUS",
  IF(
    O458 = YEAR(TODAY()),
    IF(
      MATCH(L458, {"Januari";"Februari";"Maret";"April";"Mei";"Juni";"Juli";"Agustus";"September";"Oktober";"November";"Desember"}, 0)
        &gt;= MONTH(TODAY()),
      "AKTIF (Semester " &amp;
        (INT((12*(YEAR(TODAY())-M458) + MONTH(TODAY()) -
          MATCH(L458, {"Januari";"Februari";"Maret";"April";"Mei";"Juni";"Juli";"Agustus";"September";"Oktober";"November";"Desember"}, 0)) / 6) + 1) &amp; ")",
      "LULUS"
    ),
    "AKTIF (Semester " &amp;
      (INT((12*(YEAR(TODAY())-M458) + MONTH(TODAY()) -
        MATCH(L458, {"Januari";"Februari";"Maret";"April";"Mei";"Juni";"Juli";"Agustus";"September";"Oktober";"November";"Desember"}, 0)) / 6) + 1) &amp; ")"
  )
)</f>
        <v>LULUS</v>
      </c>
      <c r="T458" s="16" t="str">
        <f ca="1">IF(O458 &lt; YEAR(TODAY()), "LULUS",
 IF(O458 = YEAR(TODAY()),
    IF(MATCH(N458, {"Januari";"Februari";"Maret";"April";"Mei";"Juni";"Juli";"Agustus";"September";"Oktober";"November";"Desember"},0)
        &lt;= MONTH(TODAY()),
        "LULUS",
        "AKTIF"),
 "AKTIF"))</f>
        <v>LULUS</v>
      </c>
      <c r="U458" s="16" t="s">
        <v>29</v>
      </c>
      <c r="V458" s="15"/>
      <c r="W458" s="15"/>
      <c r="X458" s="15"/>
      <c r="Y458" s="15"/>
      <c r="Z458" s="15"/>
    </row>
    <row r="459" spans="1:26" ht="29" customHeight="1" x14ac:dyDescent="0.35">
      <c r="A459" s="12">
        <v>458</v>
      </c>
      <c r="B459" s="13" t="s">
        <v>1609</v>
      </c>
      <c r="C459" s="14" t="s">
        <v>1610</v>
      </c>
      <c r="D459" s="13"/>
      <c r="E459" s="14" t="str">
        <f t="shared" si="7"/>
        <v>Laki-Laki</v>
      </c>
      <c r="F459" s="18"/>
      <c r="G459" s="13" t="s">
        <v>1484</v>
      </c>
      <c r="H459" s="15" t="s">
        <v>1600</v>
      </c>
      <c r="I459" s="19" t="s">
        <v>90</v>
      </c>
      <c r="J459" s="12" t="s">
        <v>45</v>
      </c>
      <c r="K459" s="15" t="s">
        <v>1592</v>
      </c>
      <c r="L459" s="23" t="s">
        <v>169</v>
      </c>
      <c r="M459" s="21">
        <v>2021</v>
      </c>
      <c r="N459" s="15" t="s">
        <v>169</v>
      </c>
      <c r="O459" s="15">
        <v>2024</v>
      </c>
      <c r="P459" s="15">
        <v>2022</v>
      </c>
      <c r="Q459" s="15"/>
      <c r="R459" s="16" t="s">
        <v>51</v>
      </c>
      <c r="S459" s="16" t="str">
        <f ca="1">IF(
  O459 &lt; YEAR(TODAY()),
  "LULUS",
  IF(
    O459 = YEAR(TODAY()),
    IF(
      MATCH(L459, {"Januari";"Februari";"Maret";"April";"Mei";"Juni";"Juli";"Agustus";"September";"Oktober";"November";"Desember"}, 0)
        &gt;= MONTH(TODAY()),
      "AKTIF (Semester " &amp;
        (INT((12*(YEAR(TODAY())-M459) + MONTH(TODAY()) -
          MATCH(L459, {"Januari";"Februari";"Maret";"April";"Mei";"Juni";"Juli";"Agustus";"September";"Oktober";"November";"Desember"}, 0)) / 6) + 1) &amp; ")",
      "LULUS"
    ),
    "AKTIF (Semester " &amp;
      (INT((12*(YEAR(TODAY())-M459) + MONTH(TODAY()) -
        MATCH(L459, {"Januari";"Februari";"Maret";"April";"Mei";"Juni";"Juli";"Agustus";"September";"Oktober";"November";"Desember"}, 0)) / 6) + 1) &amp; ")"
  )
)</f>
        <v>LULUS</v>
      </c>
      <c r="T459" s="16" t="str">
        <f ca="1">IF(O459 &lt; YEAR(TODAY()), "LULUS",
 IF(O459 = YEAR(TODAY()),
    IF(MATCH(N459, {"Januari";"Februari";"Maret";"April";"Mei";"Juni";"Juli";"Agustus";"September";"Oktober";"November";"Desember"},0)
        &lt;= MONTH(TODAY()),
        "LULUS",
        "AKTIF"),
 "AKTIF"))</f>
        <v>LULUS</v>
      </c>
      <c r="U459" s="16" t="s">
        <v>29</v>
      </c>
      <c r="V459" s="15"/>
      <c r="W459" s="15"/>
      <c r="X459" s="15"/>
      <c r="Y459" s="15"/>
      <c r="Z459" s="15"/>
    </row>
    <row r="460" spans="1:26" ht="29" customHeight="1" x14ac:dyDescent="0.35">
      <c r="A460" s="12">
        <v>459</v>
      </c>
      <c r="B460" s="13" t="s">
        <v>1611</v>
      </c>
      <c r="C460" s="14" t="s">
        <v>1612</v>
      </c>
      <c r="D460" s="13"/>
      <c r="E460" s="14" t="str">
        <f t="shared" si="7"/>
        <v>Laki-Laki</v>
      </c>
      <c r="F460" s="13"/>
      <c r="G460" s="13" t="s">
        <v>1484</v>
      </c>
      <c r="H460" s="15" t="s">
        <v>1600</v>
      </c>
      <c r="I460" s="19" t="s">
        <v>90</v>
      </c>
      <c r="J460" s="12" t="s">
        <v>45</v>
      </c>
      <c r="K460" s="15" t="s">
        <v>1592</v>
      </c>
      <c r="L460" s="21" t="s">
        <v>113</v>
      </c>
      <c r="M460" s="21">
        <v>2022</v>
      </c>
      <c r="N460" s="15" t="s">
        <v>113</v>
      </c>
      <c r="O460" s="15">
        <v>2026</v>
      </c>
      <c r="P460" s="15">
        <v>2022</v>
      </c>
      <c r="Q460" s="15"/>
      <c r="R460" s="16" t="s">
        <v>51</v>
      </c>
      <c r="S460" s="16" t="str">
        <f ca="1">IF(
  O460 &lt; YEAR(TODAY()),
  "LULUS",
  IF(
    O460 = YEAR(TODAY()),
    IF(
      MATCH(L460, {"Januari";"Februari";"Maret";"April";"Mei";"Juni";"Juli";"Agustus";"September";"Oktober";"November";"Desember"}, 0)
        &gt;= MONTH(TODAY()),
      "AKTIF (Semester " &amp;
        (INT((12*(YEAR(TODAY())-M460) + MONTH(TODAY()) -
          MATCH(L460, {"Januari";"Februari";"Maret";"April";"Mei";"Juni";"Juli";"Agustus";"September";"Oktober";"November";"Desember"}, 0)) / 6) + 1) &amp; ")",
      "LULUS"
    ),
    "AKTIF (Semester " &amp;
      (INT((12*(YEAR(TODAY())-M460) + MONTH(TODAY()) -
        MATCH(L460, {"Januari";"Februari";"Maret";"April";"Mei";"Juni";"Juli";"Agustus";"September";"Oktober";"November";"Desember"}, 0)) / 6) + 1) &amp; ")"
  )
)</f>
        <v>AKTIF (Semester 8)</v>
      </c>
      <c r="T460" s="16" t="str">
        <f ca="1">IF(O460 &lt; YEAR(TODAY()), "LULUS",
 IF(O460 = YEAR(TODAY()),
    IF(MATCH(N460, {"Januari";"Februari";"Maret";"April";"Mei";"Juni";"Juli";"Agustus";"September";"Oktober";"November";"Desember"},0)
        &lt;= MONTH(TODAY()),
        "LULUS",
        "AKTIF"),
 "AKTIF"))</f>
        <v>AKTIF</v>
      </c>
      <c r="U460" s="16" t="s">
        <v>2944</v>
      </c>
      <c r="V460" s="15"/>
      <c r="W460" s="15"/>
      <c r="X460" s="15"/>
      <c r="Y460" s="15"/>
      <c r="Z460" s="15"/>
    </row>
    <row r="461" spans="1:26" ht="29" customHeight="1" x14ac:dyDescent="0.35">
      <c r="A461" s="12">
        <v>460</v>
      </c>
      <c r="B461" s="13" t="s">
        <v>1613</v>
      </c>
      <c r="C461" s="14" t="s">
        <v>1614</v>
      </c>
      <c r="D461" s="13"/>
      <c r="E461" s="14" t="str">
        <f t="shared" si="7"/>
        <v>Laki-Laki</v>
      </c>
      <c r="F461" s="13"/>
      <c r="G461" s="13" t="s">
        <v>1484</v>
      </c>
      <c r="H461" s="15" t="s">
        <v>1600</v>
      </c>
      <c r="I461" s="19" t="s">
        <v>90</v>
      </c>
      <c r="J461" s="12" t="s">
        <v>45</v>
      </c>
      <c r="K461" s="15" t="s">
        <v>1592</v>
      </c>
      <c r="L461" s="21" t="s">
        <v>113</v>
      </c>
      <c r="M461" s="21">
        <v>2022</v>
      </c>
      <c r="N461" s="15" t="s">
        <v>113</v>
      </c>
      <c r="O461" s="15">
        <v>2026</v>
      </c>
      <c r="P461" s="15">
        <v>2022</v>
      </c>
      <c r="Q461" s="15"/>
      <c r="R461" s="16" t="s">
        <v>51</v>
      </c>
      <c r="S461" s="16" t="str">
        <f ca="1">IF(
  O461 &lt; YEAR(TODAY()),
  "LULUS",
  IF(
    O461 = YEAR(TODAY()),
    IF(
      MATCH(L461, {"Januari";"Februari";"Maret";"April";"Mei";"Juni";"Juli";"Agustus";"September";"Oktober";"November";"Desember"}, 0)
        &gt;= MONTH(TODAY()),
      "AKTIF (Semester " &amp;
        (INT((12*(YEAR(TODAY())-M461) + MONTH(TODAY()) -
          MATCH(L461, {"Januari";"Februari";"Maret";"April";"Mei";"Juni";"Juli";"Agustus";"September";"Oktober";"November";"Desember"}, 0)) / 6) + 1) &amp; ")",
      "LULUS"
    ),
    "AKTIF (Semester " &amp;
      (INT((12*(YEAR(TODAY())-M461) + MONTH(TODAY()) -
        MATCH(L461, {"Januari";"Februari";"Maret";"April";"Mei";"Juni";"Juli";"Agustus";"September";"Oktober";"November";"Desember"}, 0)) / 6) + 1) &amp; ")"
  )
)</f>
        <v>AKTIF (Semester 8)</v>
      </c>
      <c r="T461" s="16" t="str">
        <f ca="1">IF(O461 &lt; YEAR(TODAY()), "LULUS",
 IF(O461 = YEAR(TODAY()),
    IF(MATCH(N461, {"Januari";"Februari";"Maret";"April";"Mei";"Juni";"Juli";"Agustus";"September";"Oktober";"November";"Desember"},0)
        &lt;= MONTH(TODAY()),
        "LULUS",
        "AKTIF"),
 "AKTIF"))</f>
        <v>AKTIF</v>
      </c>
      <c r="U461" s="16" t="s">
        <v>2944</v>
      </c>
      <c r="V461" s="15"/>
      <c r="W461" s="15"/>
      <c r="X461" s="15"/>
      <c r="Y461" s="15"/>
      <c r="Z461" s="15"/>
    </row>
    <row r="462" spans="1:26" ht="29" customHeight="1" x14ac:dyDescent="0.35">
      <c r="A462" s="12">
        <v>461</v>
      </c>
      <c r="B462" s="13" t="s">
        <v>1615</v>
      </c>
      <c r="C462" s="14" t="s">
        <v>1616</v>
      </c>
      <c r="D462" s="13"/>
      <c r="E462" s="14" t="str">
        <f t="shared" si="7"/>
        <v>Laki-Laki</v>
      </c>
      <c r="F462" s="13"/>
      <c r="G462" s="13" t="s">
        <v>1484</v>
      </c>
      <c r="H462" s="15" t="s">
        <v>1600</v>
      </c>
      <c r="I462" s="19" t="s">
        <v>90</v>
      </c>
      <c r="J462" s="12" t="s">
        <v>45</v>
      </c>
      <c r="K462" s="15" t="s">
        <v>1592</v>
      </c>
      <c r="L462" s="21" t="s">
        <v>113</v>
      </c>
      <c r="M462" s="21">
        <v>2022</v>
      </c>
      <c r="N462" s="15" t="s">
        <v>113</v>
      </c>
      <c r="O462" s="15">
        <v>2026</v>
      </c>
      <c r="P462" s="15">
        <v>2022</v>
      </c>
      <c r="Q462" s="15"/>
      <c r="R462" s="16" t="s">
        <v>51</v>
      </c>
      <c r="S462" s="16" t="str">
        <f ca="1">IF(
  O462 &lt; YEAR(TODAY()),
  "LULUS",
  IF(
    O462 = YEAR(TODAY()),
    IF(
      MATCH(L462, {"Januari";"Februari";"Maret";"April";"Mei";"Juni";"Juli";"Agustus";"September";"Oktober";"November";"Desember"}, 0)
        &gt;= MONTH(TODAY()),
      "AKTIF (Semester " &amp;
        (INT((12*(YEAR(TODAY())-M462) + MONTH(TODAY()) -
          MATCH(L462, {"Januari";"Februari";"Maret";"April";"Mei";"Juni";"Juli";"Agustus";"September";"Oktober";"November";"Desember"}, 0)) / 6) + 1) &amp; ")",
      "LULUS"
    ),
    "AKTIF (Semester " &amp;
      (INT((12*(YEAR(TODAY())-M462) + MONTH(TODAY()) -
        MATCH(L462, {"Januari";"Februari";"Maret";"April";"Mei";"Juni";"Juli";"Agustus";"September";"Oktober";"November";"Desember"}, 0)) / 6) + 1) &amp; ")"
  )
)</f>
        <v>AKTIF (Semester 8)</v>
      </c>
      <c r="T462" s="16" t="str">
        <f ca="1">IF(O462 &lt; YEAR(TODAY()), "LULUS",
 IF(O462 = YEAR(TODAY()),
    IF(MATCH(N462, {"Januari";"Februari";"Maret";"April";"Mei";"Juni";"Juli";"Agustus";"September";"Oktober";"November";"Desember"},0)
        &lt;= MONTH(TODAY()),
        "LULUS",
        "AKTIF"),
 "AKTIF"))</f>
        <v>AKTIF</v>
      </c>
      <c r="U462" s="16" t="s">
        <v>2944</v>
      </c>
      <c r="V462" s="15"/>
      <c r="W462" s="15"/>
      <c r="X462" s="15"/>
      <c r="Y462" s="15"/>
      <c r="Z462" s="15"/>
    </row>
    <row r="463" spans="1:26" ht="29" customHeight="1" x14ac:dyDescent="0.35">
      <c r="A463" s="12">
        <v>462</v>
      </c>
      <c r="B463" s="13" t="s">
        <v>1617</v>
      </c>
      <c r="C463" s="14" t="s">
        <v>1618</v>
      </c>
      <c r="D463" s="13"/>
      <c r="E463" s="14" t="str">
        <f t="shared" si="7"/>
        <v>Laki-Laki</v>
      </c>
      <c r="F463" s="13"/>
      <c r="G463" s="13" t="s">
        <v>1484</v>
      </c>
      <c r="H463" s="15" t="s">
        <v>1600</v>
      </c>
      <c r="I463" s="19" t="s">
        <v>90</v>
      </c>
      <c r="J463" s="12" t="s">
        <v>45</v>
      </c>
      <c r="K463" s="15" t="s">
        <v>1592</v>
      </c>
      <c r="L463" s="21" t="s">
        <v>113</v>
      </c>
      <c r="M463" s="21">
        <v>2022</v>
      </c>
      <c r="N463" s="15" t="s">
        <v>113</v>
      </c>
      <c r="O463" s="15">
        <v>2026</v>
      </c>
      <c r="P463" s="15">
        <v>2022</v>
      </c>
      <c r="Q463" s="15"/>
      <c r="R463" s="16" t="s">
        <v>51</v>
      </c>
      <c r="S463" s="16" t="str">
        <f ca="1">IF(
  O463 &lt; YEAR(TODAY()),
  "LULUS",
  IF(
    O463 = YEAR(TODAY()),
    IF(
      MATCH(L463, {"Januari";"Februari";"Maret";"April";"Mei";"Juni";"Juli";"Agustus";"September";"Oktober";"November";"Desember"}, 0)
        &gt;= MONTH(TODAY()),
      "AKTIF (Semester " &amp;
        (INT((12*(YEAR(TODAY())-M463) + MONTH(TODAY()) -
          MATCH(L463, {"Januari";"Februari";"Maret";"April";"Mei";"Juni";"Juli";"Agustus";"September";"Oktober";"November";"Desember"}, 0)) / 6) + 1) &amp; ")",
      "LULUS"
    ),
    "AKTIF (Semester " &amp;
      (INT((12*(YEAR(TODAY())-M463) + MONTH(TODAY()) -
        MATCH(L463, {"Januari";"Februari";"Maret";"April";"Mei";"Juni";"Juli";"Agustus";"September";"Oktober";"November";"Desember"}, 0)) / 6) + 1) &amp; ")"
  )
)</f>
        <v>AKTIF (Semester 8)</v>
      </c>
      <c r="T463" s="16" t="str">
        <f ca="1">IF(O463 &lt; YEAR(TODAY()), "LULUS",
 IF(O463 = YEAR(TODAY()),
    IF(MATCH(N463, {"Januari";"Februari";"Maret";"April";"Mei";"Juni";"Juli";"Agustus";"September";"Oktober";"November";"Desember"},0)
        &lt;= MONTH(TODAY()),
        "LULUS",
        "AKTIF"),
 "AKTIF"))</f>
        <v>AKTIF</v>
      </c>
      <c r="U463" s="16" t="s">
        <v>2944</v>
      </c>
      <c r="V463" s="15"/>
      <c r="W463" s="15"/>
      <c r="X463" s="15"/>
      <c r="Y463" s="15"/>
      <c r="Z463" s="15"/>
    </row>
    <row r="464" spans="1:26" ht="29" customHeight="1" x14ac:dyDescent="0.35">
      <c r="A464" s="12">
        <v>463</v>
      </c>
      <c r="B464" s="13" t="s">
        <v>1619</v>
      </c>
      <c r="C464" s="14" t="s">
        <v>1620</v>
      </c>
      <c r="D464" s="13"/>
      <c r="E464" s="14" t="str">
        <f t="shared" si="7"/>
        <v>Laki-Laki</v>
      </c>
      <c r="F464" s="13"/>
      <c r="G464" s="13" t="s">
        <v>1484</v>
      </c>
      <c r="H464" s="15" t="s">
        <v>1600</v>
      </c>
      <c r="I464" s="90" t="s">
        <v>1621</v>
      </c>
      <c r="J464" s="91" t="s">
        <v>45</v>
      </c>
      <c r="K464" s="92" t="s">
        <v>1622</v>
      </c>
      <c r="L464" s="21" t="s">
        <v>28</v>
      </c>
      <c r="M464" s="21">
        <v>2022</v>
      </c>
      <c r="N464" s="15" t="s">
        <v>28</v>
      </c>
      <c r="O464" s="15">
        <v>2026</v>
      </c>
      <c r="P464" s="15">
        <v>2022</v>
      </c>
      <c r="Q464" s="15"/>
      <c r="R464" s="16" t="s">
        <v>51</v>
      </c>
      <c r="S464" s="16" t="str">
        <f ca="1">IF(
  O464 &lt; YEAR(TODAY()),
  "LULUS",
  IF(
    O464 = YEAR(TODAY()),
    IF(
      MATCH(L464, {"Januari";"Februari";"Maret";"April";"Mei";"Juni";"Juli";"Agustus";"September";"Oktober";"November";"Desember"}, 0)
        &gt;= MONTH(TODAY()),
      "AKTIF (Semester " &amp;
        (INT((12*(YEAR(TODAY())-M464) + MONTH(TODAY()) -
          MATCH(L464, {"Januari";"Februari";"Maret";"April";"Mei";"Juni";"Juli";"Agustus";"September";"Oktober";"November";"Desember"}, 0)) / 6) + 1) &amp; ")",
      "LULUS"
    ),
    "AKTIF (Semester " &amp;
      (INT((12*(YEAR(TODAY())-M464) + MONTH(TODAY()) -
        MATCH(L464, {"Januari";"Februari";"Maret";"April";"Mei";"Juni";"Juli";"Agustus";"September";"Oktober";"November";"Desember"}, 0)) / 6) + 1) &amp; ")"
  )
)</f>
        <v>AKTIF (Semester 7)</v>
      </c>
      <c r="T464" s="16" t="str">
        <f ca="1">IF(O464 &lt; YEAR(TODAY()), "LULUS",
 IF(O464 = YEAR(TODAY()),
    IF(MATCH(N464, {"Januari";"Februari";"Maret";"April";"Mei";"Juni";"Juli";"Agustus";"September";"Oktober";"November";"Desember"},0)
        &lt;= MONTH(TODAY()),
        "LULUS",
        "AKTIF"),
 "AKTIF"))</f>
        <v>AKTIF</v>
      </c>
      <c r="U464" s="16" t="s">
        <v>2939</v>
      </c>
      <c r="V464" s="15"/>
      <c r="W464" s="15"/>
      <c r="X464" s="15"/>
      <c r="Y464" s="15"/>
      <c r="Z464" s="15"/>
    </row>
    <row r="465" spans="1:26" ht="29" customHeight="1" x14ac:dyDescent="0.35">
      <c r="A465" s="12">
        <v>464</v>
      </c>
      <c r="B465" s="13" t="s">
        <v>1623</v>
      </c>
      <c r="C465" s="14" t="s">
        <v>1624</v>
      </c>
      <c r="D465" s="13"/>
      <c r="E465" s="14" t="str">
        <f t="shared" si="7"/>
        <v>Perempuan</v>
      </c>
      <c r="F465" s="13"/>
      <c r="G465" s="13" t="s">
        <v>1484</v>
      </c>
      <c r="H465" s="15"/>
      <c r="I465" s="19" t="s">
        <v>90</v>
      </c>
      <c r="J465" s="91" t="s">
        <v>45</v>
      </c>
      <c r="K465" s="92" t="s">
        <v>46</v>
      </c>
      <c r="L465" s="21"/>
      <c r="M465" s="21"/>
      <c r="N465" s="15">
        <v>0</v>
      </c>
      <c r="O465" s="15"/>
      <c r="P465" s="15">
        <v>2022</v>
      </c>
      <c r="Q465" s="15"/>
      <c r="R465" s="16" t="s">
        <v>51</v>
      </c>
      <c r="S465" s="16" t="str">
        <f ca="1">IF(
  O465 &lt; YEAR(TODAY()),
  "LULUS",
  IF(
    O465 = YEAR(TODAY()),
    IF(
      MATCH(L465, {"Januari";"Februari";"Maret";"April";"Mei";"Juni";"Juli";"Agustus";"September";"Oktober";"November";"Desember"}, 0)
        &gt;= MONTH(TODAY()),
      "AKTIF (Semester " &amp;
        (INT((12*(YEAR(TODAY())-M465) + MONTH(TODAY()) -
          MATCH(L465, {"Januari";"Februari";"Maret";"April";"Mei";"Juni";"Juli";"Agustus";"September";"Oktober";"November";"Desember"}, 0)) / 6) + 1) &amp; ")",
      "LULUS"
    ),
    "AKTIF (Semester " &amp;
      (INT((12*(YEAR(TODAY())-M465) + MONTH(TODAY()) -
        MATCH(L465, {"Januari";"Februari";"Maret";"April";"Mei";"Juni";"Juli";"Agustus";"September";"Oktober";"November";"Desember"}, 0)) / 6) + 1) &amp; ")"
  )
)</f>
        <v>LULUS</v>
      </c>
      <c r="T465" s="16" t="str">
        <f ca="1">IF(O465 &lt; YEAR(TODAY()), "LULUS",
 IF(O465 = YEAR(TODAY()),
    IF(MATCH(N465, {"Januari";"Februari";"Maret";"April";"Mei";"Juni";"Juli";"Agustus";"September";"Oktober";"November";"Desember"},0)
        &lt;= MONTH(TODAY()),
        "LULUS",
        "AKTIF"),
 "AKTIF"))</f>
        <v>LULUS</v>
      </c>
      <c r="U465" s="16" t="s">
        <v>29</v>
      </c>
      <c r="V465" s="15"/>
      <c r="W465" s="15"/>
      <c r="X465" s="15"/>
      <c r="Y465" s="15"/>
      <c r="Z465" s="15"/>
    </row>
    <row r="466" spans="1:26" ht="29" customHeight="1" x14ac:dyDescent="0.35">
      <c r="A466" s="12">
        <v>465</v>
      </c>
      <c r="B466" s="13" t="s">
        <v>1626</v>
      </c>
      <c r="C466" s="14"/>
      <c r="D466" s="13"/>
      <c r="E466" s="14" t="str">
        <f t="shared" si="7"/>
        <v>Perempuan</v>
      </c>
      <c r="F466" s="13"/>
      <c r="G466" s="13" t="s">
        <v>1484</v>
      </c>
      <c r="H466" s="15"/>
      <c r="I466" s="19" t="s">
        <v>90</v>
      </c>
      <c r="J466" s="91" t="s">
        <v>45</v>
      </c>
      <c r="K466" s="92" t="s">
        <v>905</v>
      </c>
      <c r="L466" s="21"/>
      <c r="M466" s="21"/>
      <c r="N466" s="15">
        <v>0</v>
      </c>
      <c r="O466" s="15"/>
      <c r="P466" s="15">
        <v>2022</v>
      </c>
      <c r="Q466" s="15"/>
      <c r="R466" s="16" t="s">
        <v>51</v>
      </c>
      <c r="S466" s="16" t="str">
        <f ca="1">IF(
  O466 &lt; YEAR(TODAY()),
  "LULUS",
  IF(
    O466 = YEAR(TODAY()),
    IF(
      MATCH(L466, {"Januari";"Februari";"Maret";"April";"Mei";"Juni";"Juli";"Agustus";"September";"Oktober";"November";"Desember"}, 0)
        &gt;= MONTH(TODAY()),
      "AKTIF (Semester " &amp;
        (INT((12*(YEAR(TODAY())-M466) + MONTH(TODAY()) -
          MATCH(L466, {"Januari";"Februari";"Maret";"April";"Mei";"Juni";"Juli";"Agustus";"September";"Oktober";"November";"Desember"}, 0)) / 6) + 1) &amp; ")",
      "LULUS"
    ),
    "AKTIF (Semester " &amp;
      (INT((12*(YEAR(TODAY())-M466) + MONTH(TODAY()) -
        MATCH(L466, {"Januari";"Februari";"Maret";"April";"Mei";"Juni";"Juli";"Agustus";"September";"Oktober";"November";"Desember"}, 0)) / 6) + 1) &amp; ")"
  )
)</f>
        <v>LULUS</v>
      </c>
      <c r="T466" s="16" t="str">
        <f ca="1">IF(O466 &lt; YEAR(TODAY()), "LULUS",
 IF(O466 = YEAR(TODAY()),
    IF(MATCH(N466, {"Januari";"Februari";"Maret";"April";"Mei";"Juni";"Juli";"Agustus";"September";"Oktober";"November";"Desember"},0)
        &lt;= MONTH(TODAY()),
        "LULUS",
        "AKTIF"),
 "AKTIF"))</f>
        <v>LULUS</v>
      </c>
      <c r="U466" s="16" t="s">
        <v>29</v>
      </c>
      <c r="V466" s="15"/>
      <c r="W466" s="15"/>
      <c r="X466" s="15"/>
      <c r="Y466" s="15"/>
      <c r="Z466" s="15"/>
    </row>
    <row r="467" spans="1:26" ht="29" customHeight="1" x14ac:dyDescent="0.35">
      <c r="A467" s="12">
        <v>466</v>
      </c>
      <c r="B467" s="72" t="s">
        <v>1627</v>
      </c>
      <c r="C467" s="67" t="s">
        <v>1628</v>
      </c>
      <c r="D467" s="24" t="s">
        <v>126</v>
      </c>
      <c r="E467" s="14" t="str">
        <f t="shared" si="7"/>
        <v>Perempuan</v>
      </c>
      <c r="F467" s="68" t="s">
        <v>1629</v>
      </c>
      <c r="G467" s="25" t="s">
        <v>1484</v>
      </c>
      <c r="H467" s="88" t="s">
        <v>1630</v>
      </c>
      <c r="I467" s="19" t="s">
        <v>90</v>
      </c>
      <c r="J467" s="19" t="s">
        <v>26</v>
      </c>
      <c r="K467" s="19" t="s">
        <v>1631</v>
      </c>
      <c r="L467" s="70" t="s">
        <v>35</v>
      </c>
      <c r="M467" s="15">
        <v>2023</v>
      </c>
      <c r="N467" s="15" t="s">
        <v>123</v>
      </c>
      <c r="O467" s="15">
        <v>2025</v>
      </c>
      <c r="P467" s="15">
        <v>2023</v>
      </c>
      <c r="Q467" s="15"/>
      <c r="R467" s="16"/>
      <c r="S467" s="16" t="str">
        <f ca="1">IF(
  O467 &lt; YEAR(TODAY()),
  "LULUS",
  IF(
    O467 = YEAR(TODAY()),
    IF(
      MATCH(L467, {"Januari";"Februari";"Maret";"April";"Mei";"Juni";"Juli";"Agustus";"September";"Oktober";"November";"Desember"}, 0)
        &gt;= MONTH(TODAY()),
      "AKTIF (Semester " &amp;
        (INT((12*(YEAR(TODAY())-M467) + MONTH(TODAY()) -
          MATCH(L467, {"Januari";"Februari";"Maret";"April";"Mei";"Juni";"Juli";"Agustus";"September";"Oktober";"November";"Desember"}, 0)) / 6) + 1) &amp; ")",
      "LULUS"
    ),
    "AKTIF (Semester " &amp;
      (INT((12*(YEAR(TODAY())-M467) + MONTH(TODAY()) -
        MATCH(L467, {"Januari";"Februari";"Maret";"April";"Mei";"Juni";"Juli";"Agustus";"September";"Oktober";"November";"Desember"}, 0)) / 6) + 1) &amp; ")"
  )
)</f>
        <v>LULUS</v>
      </c>
      <c r="T467" s="16" t="e">
        <f ca="1">IF(O467 &lt; YEAR(TODAY()), "LULUS",
 IF(O467 = YEAR(TODAY()),
    IF(MATCH(N467, {"Januari";"Februari";"Maret";"April";"Mei";"Juni";"Juli";"Agustus";"September";"Oktober";"November";"Desember"},0)
        &lt;= MONTH(TODAY()),
        "LULUS",
        "AKTIF"),
 "AKTIF"))</f>
        <v>#N/A</v>
      </c>
      <c r="U467" s="16" t="s">
        <v>29</v>
      </c>
      <c r="V467" s="15"/>
      <c r="W467" s="15"/>
      <c r="X467" s="15"/>
      <c r="Y467" s="15"/>
      <c r="Z467" s="15"/>
    </row>
    <row r="468" spans="1:26" ht="29" customHeight="1" x14ac:dyDescent="0.35">
      <c r="A468" s="12">
        <v>467</v>
      </c>
      <c r="B468" s="72" t="s">
        <v>1632</v>
      </c>
      <c r="C468" s="67" t="s">
        <v>1633</v>
      </c>
      <c r="D468" s="24" t="s">
        <v>109</v>
      </c>
      <c r="E468" s="14" t="str">
        <f t="shared" si="7"/>
        <v>Perempuan</v>
      </c>
      <c r="F468" s="68" t="s">
        <v>1629</v>
      </c>
      <c r="G468" s="25" t="s">
        <v>1484</v>
      </c>
      <c r="H468" s="88" t="s">
        <v>1630</v>
      </c>
      <c r="I468" s="19" t="s">
        <v>90</v>
      </c>
      <c r="J468" s="19" t="s">
        <v>26</v>
      </c>
      <c r="K468" s="19" t="s">
        <v>1631</v>
      </c>
      <c r="L468" s="70" t="s">
        <v>35</v>
      </c>
      <c r="M468" s="15">
        <v>2023</v>
      </c>
      <c r="N468" s="15" t="s">
        <v>123</v>
      </c>
      <c r="O468" s="15">
        <v>2025</v>
      </c>
      <c r="P468" s="15">
        <v>2023</v>
      </c>
      <c r="Q468" s="15"/>
      <c r="R468" s="16"/>
      <c r="S468" s="16" t="str">
        <f ca="1">IF(
  O468 &lt; YEAR(TODAY()),
  "LULUS",
  IF(
    O468 = YEAR(TODAY()),
    IF(
      MATCH(L468, {"Januari";"Februari";"Maret";"April";"Mei";"Juni";"Juli";"Agustus";"September";"Oktober";"November";"Desember"}, 0)
        &gt;= MONTH(TODAY()),
      "AKTIF (Semester " &amp;
        (INT((12*(YEAR(TODAY())-M468) + MONTH(TODAY()) -
          MATCH(L468, {"Januari";"Februari";"Maret";"April";"Mei";"Juni";"Juli";"Agustus";"September";"Oktober";"November";"Desember"}, 0)) / 6) + 1) &amp; ")",
      "LULUS"
    ),
    "AKTIF (Semester " &amp;
      (INT((12*(YEAR(TODAY())-M468) + MONTH(TODAY()) -
        MATCH(L468, {"Januari";"Februari";"Maret";"April";"Mei";"Juni";"Juli";"Agustus";"September";"Oktober";"November";"Desember"}, 0)) / 6) + 1) &amp; ")"
  )
)</f>
        <v>LULUS</v>
      </c>
      <c r="T468" s="16" t="e">
        <f ca="1">IF(O468 &lt; YEAR(TODAY()), "LULUS",
 IF(O468 = YEAR(TODAY()),
    IF(MATCH(N468, {"Januari";"Februari";"Maret";"April";"Mei";"Juni";"Juli";"Agustus";"September";"Oktober";"November";"Desember"},0)
        &lt;= MONTH(TODAY()),
        "LULUS",
        "AKTIF"),
 "AKTIF"))</f>
        <v>#N/A</v>
      </c>
      <c r="U468" s="16" t="s">
        <v>29</v>
      </c>
      <c r="V468" s="15"/>
      <c r="W468" s="15"/>
      <c r="X468" s="15"/>
      <c r="Y468" s="15"/>
      <c r="Z468" s="15"/>
    </row>
    <row r="469" spans="1:26" ht="29" customHeight="1" x14ac:dyDescent="0.35">
      <c r="A469" s="12">
        <v>468</v>
      </c>
      <c r="B469" s="72" t="s">
        <v>1634</v>
      </c>
      <c r="C469" s="93">
        <v>1.9872505200701101E+17</v>
      </c>
      <c r="D469" s="24" t="s">
        <v>126</v>
      </c>
      <c r="E469" s="14" t="str">
        <f t="shared" si="7"/>
        <v>Laki-Laki</v>
      </c>
      <c r="F469" s="68" t="s">
        <v>99</v>
      </c>
      <c r="G469" s="25" t="s">
        <v>1484</v>
      </c>
      <c r="H469" s="88" t="s">
        <v>1635</v>
      </c>
      <c r="I469" s="19" t="s">
        <v>1636</v>
      </c>
      <c r="J469" s="19" t="s">
        <v>26</v>
      </c>
      <c r="K469" s="19" t="s">
        <v>234</v>
      </c>
      <c r="L469" s="86" t="s">
        <v>113</v>
      </c>
      <c r="M469" s="15">
        <v>2023</v>
      </c>
      <c r="N469" s="15" t="s">
        <v>113</v>
      </c>
      <c r="O469" s="15">
        <v>2025</v>
      </c>
      <c r="P469" s="15">
        <v>2023</v>
      </c>
      <c r="Q469" s="15"/>
      <c r="R469" s="16"/>
      <c r="S469" s="16" t="str">
        <f ca="1">IF(
  O469 &lt; YEAR(TODAY()),
  "LULUS",
  IF(
    O469 = YEAR(TODAY()),
    IF(
      MATCH(L469, {"Januari";"Februari";"Maret";"April";"Mei";"Juni";"Juli";"Agustus";"September";"Oktober";"November";"Desember"}, 0)
        &gt;= MONTH(TODAY()),
      "AKTIF (Semester " &amp;
        (INT((12*(YEAR(TODAY())-M469) + MONTH(TODAY()) -
          MATCH(L469, {"Januari";"Februari";"Maret";"April";"Mei";"Juni";"Juli";"Agustus";"September";"Oktober";"November";"Desember"}, 0)) / 6) + 1) &amp; ")",
      "LULUS"
    ),
    "AKTIF (Semester " &amp;
      (INT((12*(YEAR(TODAY())-M469) + MONTH(TODAY()) -
        MATCH(L469, {"Januari";"Februari";"Maret";"April";"Mei";"Juni";"Juli";"Agustus";"September";"Oktober";"November";"Desember"}, 0)) / 6) + 1) &amp; ")"
  )
)</f>
        <v>LULUS</v>
      </c>
      <c r="T469" s="16" t="str">
        <f ca="1">IF(O469 &lt; YEAR(TODAY()), "LULUS",
 IF(O469 = YEAR(TODAY()),
    IF(MATCH(N469, {"Januari";"Februari";"Maret";"April";"Mei";"Juni";"Juli";"Agustus";"September";"Oktober";"November";"Desember"},0)
        &lt;= MONTH(TODAY()),
        "LULUS",
        "AKTIF"),
 "AKTIF"))</f>
        <v>LULUS</v>
      </c>
      <c r="U469" s="16" t="s">
        <v>29</v>
      </c>
      <c r="V469" s="15"/>
      <c r="W469" s="15"/>
      <c r="X469" s="15"/>
      <c r="Y469" s="15"/>
      <c r="Z469" s="15"/>
    </row>
    <row r="470" spans="1:26" ht="29" customHeight="1" x14ac:dyDescent="0.35">
      <c r="A470" s="12">
        <v>469</v>
      </c>
      <c r="B470" s="72" t="s">
        <v>1637</v>
      </c>
      <c r="C470" s="67" t="s">
        <v>1638</v>
      </c>
      <c r="D470" s="24" t="s">
        <v>109</v>
      </c>
      <c r="E470" s="14" t="str">
        <f t="shared" si="7"/>
        <v>Laki-Laki</v>
      </c>
      <c r="F470" s="68" t="s">
        <v>153</v>
      </c>
      <c r="G470" s="25" t="s">
        <v>1484</v>
      </c>
      <c r="H470" s="88" t="s">
        <v>1635</v>
      </c>
      <c r="I470" s="19" t="s">
        <v>1636</v>
      </c>
      <c r="J470" s="19" t="s">
        <v>26</v>
      </c>
      <c r="K470" s="19" t="s">
        <v>234</v>
      </c>
      <c r="L470" s="86" t="s">
        <v>113</v>
      </c>
      <c r="M470" s="15">
        <v>2023</v>
      </c>
      <c r="N470" s="15" t="s">
        <v>113</v>
      </c>
      <c r="O470" s="15">
        <v>2025</v>
      </c>
      <c r="P470" s="15">
        <v>2023</v>
      </c>
      <c r="Q470" s="15"/>
      <c r="R470" s="16"/>
      <c r="S470" s="16" t="str">
        <f ca="1">IF(
  O470 &lt; YEAR(TODAY()),
  "LULUS",
  IF(
    O470 = YEAR(TODAY()),
    IF(
      MATCH(L470, {"Januari";"Februari";"Maret";"April";"Mei";"Juni";"Juli";"Agustus";"September";"Oktober";"November";"Desember"}, 0)
        &gt;= MONTH(TODAY()),
      "AKTIF (Semester " &amp;
        (INT((12*(YEAR(TODAY())-M470) + MONTH(TODAY()) -
          MATCH(L470, {"Januari";"Februari";"Maret";"April";"Mei";"Juni";"Juli";"Agustus";"September";"Oktober";"November";"Desember"}, 0)) / 6) + 1) &amp; ")",
      "LULUS"
    ),
    "AKTIF (Semester " &amp;
      (INT((12*(YEAR(TODAY())-M470) + MONTH(TODAY()) -
        MATCH(L470, {"Januari";"Februari";"Maret";"April";"Mei";"Juni";"Juli";"Agustus";"September";"Oktober";"November";"Desember"}, 0)) / 6) + 1) &amp; ")"
  )
)</f>
        <v>LULUS</v>
      </c>
      <c r="T470" s="16" t="str">
        <f ca="1">IF(O470 &lt; YEAR(TODAY()), "LULUS",
 IF(O470 = YEAR(TODAY()),
    IF(MATCH(N470, {"Januari";"Februari";"Maret";"April";"Mei";"Juni";"Juli";"Agustus";"September";"Oktober";"November";"Desember"},0)
        &lt;= MONTH(TODAY()),
        "LULUS",
        "AKTIF"),
 "AKTIF"))</f>
        <v>LULUS</v>
      </c>
      <c r="U470" s="16" t="s">
        <v>29</v>
      </c>
      <c r="V470" s="15"/>
      <c r="W470" s="15"/>
      <c r="X470" s="15"/>
      <c r="Y470" s="15"/>
      <c r="Z470" s="15"/>
    </row>
    <row r="471" spans="1:26" ht="29" customHeight="1" x14ac:dyDescent="0.35">
      <c r="A471" s="12">
        <v>470</v>
      </c>
      <c r="B471" s="72" t="s">
        <v>1639</v>
      </c>
      <c r="C471" s="67" t="s">
        <v>1640</v>
      </c>
      <c r="D471" s="24" t="s">
        <v>109</v>
      </c>
      <c r="E471" s="14" t="str">
        <f t="shared" si="7"/>
        <v>Laki-Laki</v>
      </c>
      <c r="F471" s="68" t="s">
        <v>1641</v>
      </c>
      <c r="G471" s="25" t="s">
        <v>1484</v>
      </c>
      <c r="H471" s="88" t="s">
        <v>1642</v>
      </c>
      <c r="I471" s="19" t="s">
        <v>90</v>
      </c>
      <c r="J471" s="19" t="s">
        <v>26</v>
      </c>
      <c r="K471" s="19" t="s">
        <v>1643</v>
      </c>
      <c r="L471" s="86" t="s">
        <v>60</v>
      </c>
      <c r="M471" s="15">
        <v>2023</v>
      </c>
      <c r="N471" s="15" t="s">
        <v>60</v>
      </c>
      <c r="O471" s="15">
        <v>2025</v>
      </c>
      <c r="P471" s="15">
        <v>2023</v>
      </c>
      <c r="Q471" s="15"/>
      <c r="R471" s="16"/>
      <c r="S471" s="16" t="str">
        <f ca="1">IF(
  O471 &lt; YEAR(TODAY()),
  "LULUS",
  IF(
    O471 = YEAR(TODAY()),
    IF(
      MATCH(L471, {"Januari";"Februari";"Maret";"April";"Mei";"Juni";"Juli";"Agustus";"September";"Oktober";"November";"Desember"}, 0)
        &gt;= MONTH(TODAY()),
      "AKTIF (Semester " &amp;
        (INT((12*(YEAR(TODAY())-M471) + MONTH(TODAY()) -
          MATCH(L471, {"Januari";"Februari";"Maret";"April";"Mei";"Juni";"Juli";"Agustus";"September";"Oktober";"November";"Desember"}, 0)) / 6) + 1) &amp; ")",
      "LULUS"
    ),
    "AKTIF (Semester " &amp;
      (INT((12*(YEAR(TODAY())-M471) + MONTH(TODAY()) -
        MATCH(L471, {"Januari";"Februari";"Maret";"April";"Mei";"Juni";"Juli";"Agustus";"September";"Oktober";"November";"Desember"}, 0)) / 6) + 1) &amp; ")"
  )
)</f>
        <v>LULUS</v>
      </c>
      <c r="T471" s="16" t="str">
        <f ca="1">IF(O471 &lt; YEAR(TODAY()), "LULUS",
 IF(O471 = YEAR(TODAY()),
    IF(MATCH(N471, {"Januari";"Februari";"Maret";"April";"Mei";"Juni";"Juli";"Agustus";"September";"Oktober";"November";"Desember"},0)
        &lt;= MONTH(TODAY()),
        "LULUS",
        "AKTIF"),
 "AKTIF"))</f>
        <v>LULUS</v>
      </c>
      <c r="U471" s="16" t="s">
        <v>29</v>
      </c>
      <c r="V471" s="15"/>
      <c r="W471" s="15"/>
      <c r="X471" s="15"/>
      <c r="Y471" s="15"/>
      <c r="Z471" s="15"/>
    </row>
    <row r="472" spans="1:26" ht="29" customHeight="1" x14ac:dyDescent="0.35">
      <c r="A472" s="12">
        <v>471</v>
      </c>
      <c r="B472" s="72" t="s">
        <v>1644</v>
      </c>
      <c r="C472" s="67" t="s">
        <v>1645</v>
      </c>
      <c r="D472" s="24" t="s">
        <v>126</v>
      </c>
      <c r="E472" s="14" t="str">
        <f t="shared" si="7"/>
        <v>Perempuan</v>
      </c>
      <c r="F472" s="68" t="s">
        <v>1252</v>
      </c>
      <c r="G472" s="25" t="s">
        <v>1484</v>
      </c>
      <c r="H472" s="88" t="s">
        <v>1642</v>
      </c>
      <c r="I472" s="19" t="s">
        <v>90</v>
      </c>
      <c r="J472" s="19" t="s">
        <v>26</v>
      </c>
      <c r="K472" s="19" t="s">
        <v>234</v>
      </c>
      <c r="L472" s="86" t="s">
        <v>60</v>
      </c>
      <c r="M472" s="15">
        <v>2023</v>
      </c>
      <c r="N472" s="15" t="s">
        <v>60</v>
      </c>
      <c r="O472" s="15">
        <v>2025</v>
      </c>
      <c r="P472" s="15">
        <v>2023</v>
      </c>
      <c r="Q472" s="15"/>
      <c r="R472" s="16"/>
      <c r="S472" s="16" t="str">
        <f ca="1">IF(
  O472 &lt; YEAR(TODAY()),
  "LULUS",
  IF(
    O472 = YEAR(TODAY()),
    IF(
      MATCH(L472, {"Januari";"Februari";"Maret";"April";"Mei";"Juni";"Juli";"Agustus";"September";"Oktober";"November";"Desember"}, 0)
        &gt;= MONTH(TODAY()),
      "AKTIF (Semester " &amp;
        (INT((12*(YEAR(TODAY())-M472) + MONTH(TODAY()) -
          MATCH(L472, {"Januari";"Februari";"Maret";"April";"Mei";"Juni";"Juli";"Agustus";"September";"Oktober";"November";"Desember"}, 0)) / 6) + 1) &amp; ")",
      "LULUS"
    ),
    "AKTIF (Semester " &amp;
      (INT((12*(YEAR(TODAY())-M472) + MONTH(TODAY()) -
        MATCH(L472, {"Januari";"Februari";"Maret";"April";"Mei";"Juni";"Juli";"Agustus";"September";"Oktober";"November";"Desember"}, 0)) / 6) + 1) &amp; ")"
  )
)</f>
        <v>LULUS</v>
      </c>
      <c r="T472" s="16" t="str">
        <f ca="1">IF(O472 &lt; YEAR(TODAY()), "LULUS",
 IF(O472 = YEAR(TODAY()),
    IF(MATCH(N472, {"Januari";"Februari";"Maret";"April";"Mei";"Juni";"Juli";"Agustus";"September";"Oktober";"November";"Desember"},0)
        &lt;= MONTH(TODAY()),
        "LULUS",
        "AKTIF"),
 "AKTIF"))</f>
        <v>LULUS</v>
      </c>
      <c r="U472" s="16" t="s">
        <v>29</v>
      </c>
      <c r="V472" s="15"/>
      <c r="W472" s="15"/>
      <c r="X472" s="15"/>
      <c r="Y472" s="15"/>
      <c r="Z472" s="15"/>
    </row>
    <row r="473" spans="1:26" ht="29" customHeight="1" x14ac:dyDescent="0.35">
      <c r="A473" s="12">
        <v>472</v>
      </c>
      <c r="B473" s="72" t="s">
        <v>1646</v>
      </c>
      <c r="C473" s="67" t="s">
        <v>1647</v>
      </c>
      <c r="D473" s="24" t="s">
        <v>104</v>
      </c>
      <c r="E473" s="14" t="str">
        <f t="shared" si="7"/>
        <v>Laki-Laki</v>
      </c>
      <c r="F473" s="68" t="s">
        <v>1648</v>
      </c>
      <c r="G473" s="25" t="s">
        <v>1484</v>
      </c>
      <c r="H473" s="88" t="s">
        <v>1649</v>
      </c>
      <c r="I473" s="19" t="s">
        <v>261</v>
      </c>
      <c r="J473" s="19" t="s">
        <v>26</v>
      </c>
      <c r="K473" s="19" t="s">
        <v>453</v>
      </c>
      <c r="L473" s="86" t="s">
        <v>28</v>
      </c>
      <c r="M473" s="15">
        <v>2023</v>
      </c>
      <c r="N473" s="15" t="s">
        <v>28</v>
      </c>
      <c r="O473" s="15">
        <v>2025</v>
      </c>
      <c r="P473" s="15">
        <v>2023</v>
      </c>
      <c r="Q473" s="15"/>
      <c r="R473" s="16"/>
      <c r="S473" s="16" t="str">
        <f ca="1">IF(
  O473 &lt; YEAR(TODAY()),
  "LULUS",
  IF(
    O473 = YEAR(TODAY()),
    IF(
      MATCH(L473, {"Januari";"Februari";"Maret";"April";"Mei";"Juni";"Juli";"Agustus";"September";"Oktober";"November";"Desember"}, 0)
        &gt;= MONTH(TODAY()),
      "AKTIF (Semester " &amp;
        (INT((12*(YEAR(TODAY())-M473) + MONTH(TODAY()) -
          MATCH(L473, {"Januari";"Februari";"Maret";"April";"Mei";"Juni";"Juli";"Agustus";"September";"Oktober";"November";"Desember"}, 0)) / 6) + 1) &amp; ")",
      "LULUS"
    ),
    "AKTIF (Semester " &amp;
      (INT((12*(YEAR(TODAY())-M473) + MONTH(TODAY()) -
        MATCH(L473, {"Januari";"Februari";"Maret";"April";"Mei";"Juni";"Juli";"Agustus";"September";"Oktober";"November";"Desember"}, 0)) / 6) + 1) &amp; ")"
  )
)</f>
        <v>LULUS</v>
      </c>
      <c r="T473" s="16" t="str">
        <f ca="1">IF(O473 &lt; YEAR(TODAY()), "LULUS",
 IF(O473 = YEAR(TODAY()),
    IF(MATCH(N473, {"Januari";"Februari";"Maret";"April";"Mei";"Juni";"Juli";"Agustus";"September";"Oktober";"November";"Desember"},0)
        &lt;= MONTH(TODAY()),
        "LULUS",
        "AKTIF"),
 "AKTIF"))</f>
        <v>LULUS</v>
      </c>
      <c r="U473" s="16" t="s">
        <v>29</v>
      </c>
      <c r="V473" s="15"/>
      <c r="W473" s="15"/>
      <c r="X473" s="15"/>
      <c r="Y473" s="15"/>
      <c r="Z473" s="15"/>
    </row>
    <row r="474" spans="1:26" ht="29" customHeight="1" x14ac:dyDescent="0.35">
      <c r="A474" s="12">
        <v>473</v>
      </c>
      <c r="B474" s="72" t="s">
        <v>1650</v>
      </c>
      <c r="C474" s="67" t="s">
        <v>1651</v>
      </c>
      <c r="D474" s="24" t="s">
        <v>104</v>
      </c>
      <c r="E474" s="14" t="str">
        <f t="shared" si="7"/>
        <v>Laki-Laki</v>
      </c>
      <c r="F474" s="68" t="s">
        <v>1652</v>
      </c>
      <c r="G474" s="25" t="s">
        <v>1484</v>
      </c>
      <c r="H474" s="88" t="s">
        <v>1649</v>
      </c>
      <c r="I474" s="19" t="s">
        <v>261</v>
      </c>
      <c r="J474" s="19" t="s">
        <v>26</v>
      </c>
      <c r="K474" s="19" t="s">
        <v>453</v>
      </c>
      <c r="L474" s="86" t="s">
        <v>28</v>
      </c>
      <c r="M474" s="15">
        <v>2023</v>
      </c>
      <c r="N474" s="15" t="s">
        <v>28</v>
      </c>
      <c r="O474" s="15">
        <v>2025</v>
      </c>
      <c r="P474" s="15">
        <v>2023</v>
      </c>
      <c r="Q474" s="15"/>
      <c r="R474" s="16"/>
      <c r="S474" s="16" t="str">
        <f ca="1">IF(
  O474 &lt; YEAR(TODAY()),
  "LULUS",
  IF(
    O474 = YEAR(TODAY()),
    IF(
      MATCH(L474, {"Januari";"Februari";"Maret";"April";"Mei";"Juni";"Juli";"Agustus";"September";"Oktober";"November";"Desember"}, 0)
        &gt;= MONTH(TODAY()),
      "AKTIF (Semester " &amp;
        (INT((12*(YEAR(TODAY())-M474) + MONTH(TODAY()) -
          MATCH(L474, {"Januari";"Februari";"Maret";"April";"Mei";"Juni";"Juli";"Agustus";"September";"Oktober";"November";"Desember"}, 0)) / 6) + 1) &amp; ")",
      "LULUS"
    ),
    "AKTIF (Semester " &amp;
      (INT((12*(YEAR(TODAY())-M474) + MONTH(TODAY()) -
        MATCH(L474, {"Januari";"Februari";"Maret";"April";"Mei";"Juni";"Juli";"Agustus";"September";"Oktober";"November";"Desember"}, 0)) / 6) + 1) &amp; ")"
  )
)</f>
        <v>LULUS</v>
      </c>
      <c r="T474" s="16" t="str">
        <f ca="1">IF(O474 &lt; YEAR(TODAY()), "LULUS",
 IF(O474 = YEAR(TODAY()),
    IF(MATCH(N474, {"Januari";"Februari";"Maret";"April";"Mei";"Juni";"Juli";"Agustus";"September";"Oktober";"November";"Desember"},0)
        &lt;= MONTH(TODAY()),
        "LULUS",
        "AKTIF"),
 "AKTIF"))</f>
        <v>LULUS</v>
      </c>
      <c r="U474" s="16" t="s">
        <v>29</v>
      </c>
      <c r="V474" s="15"/>
      <c r="W474" s="15"/>
      <c r="X474" s="15"/>
      <c r="Y474" s="15"/>
      <c r="Z474" s="15"/>
    </row>
    <row r="475" spans="1:26" ht="29" customHeight="1" x14ac:dyDescent="0.35">
      <c r="A475" s="12">
        <v>474</v>
      </c>
      <c r="B475" s="72" t="s">
        <v>1653</v>
      </c>
      <c r="C475" s="67" t="s">
        <v>1654</v>
      </c>
      <c r="D475" s="24" t="s">
        <v>104</v>
      </c>
      <c r="E475" s="14" t="str">
        <f t="shared" si="7"/>
        <v>Perempuan</v>
      </c>
      <c r="F475" s="68" t="s">
        <v>579</v>
      </c>
      <c r="G475" s="25" t="s">
        <v>1484</v>
      </c>
      <c r="H475" s="88" t="s">
        <v>1649</v>
      </c>
      <c r="I475" s="19" t="s">
        <v>261</v>
      </c>
      <c r="J475" s="19" t="s">
        <v>26</v>
      </c>
      <c r="K475" s="19" t="s">
        <v>453</v>
      </c>
      <c r="L475" s="86" t="s">
        <v>28</v>
      </c>
      <c r="M475" s="15">
        <v>2023</v>
      </c>
      <c r="N475" s="15" t="s">
        <v>28</v>
      </c>
      <c r="O475" s="15">
        <v>2025</v>
      </c>
      <c r="P475" s="15">
        <v>2023</v>
      </c>
      <c r="Q475" s="15"/>
      <c r="R475" s="16"/>
      <c r="S475" s="16" t="str">
        <f ca="1">IF(
  O475 &lt; YEAR(TODAY()),
  "LULUS",
  IF(
    O475 = YEAR(TODAY()),
    IF(
      MATCH(L475, {"Januari";"Februari";"Maret";"April";"Mei";"Juni";"Juli";"Agustus";"September";"Oktober";"November";"Desember"}, 0)
        &gt;= MONTH(TODAY()),
      "AKTIF (Semester " &amp;
        (INT((12*(YEAR(TODAY())-M475) + MONTH(TODAY()) -
          MATCH(L475, {"Januari";"Februari";"Maret";"April";"Mei";"Juni";"Juli";"Agustus";"September";"Oktober";"November";"Desember"}, 0)) / 6) + 1) &amp; ")",
      "LULUS"
    ),
    "AKTIF (Semester " &amp;
      (INT((12*(YEAR(TODAY())-M475) + MONTH(TODAY()) -
        MATCH(L475, {"Januari";"Februari";"Maret";"April";"Mei";"Juni";"Juli";"Agustus";"September";"Oktober";"November";"Desember"}, 0)) / 6) + 1) &amp; ")"
  )
)</f>
        <v>LULUS</v>
      </c>
      <c r="T475" s="16" t="str">
        <f ca="1">IF(O475 &lt; YEAR(TODAY()), "LULUS",
 IF(O475 = YEAR(TODAY()),
    IF(MATCH(N475, {"Januari";"Februari";"Maret";"April";"Mei";"Juni";"Juli";"Agustus";"September";"Oktober";"November";"Desember"},0)
        &lt;= MONTH(TODAY()),
        "LULUS",
        "AKTIF"),
 "AKTIF"))</f>
        <v>LULUS</v>
      </c>
      <c r="U475" s="16" t="s">
        <v>29</v>
      </c>
      <c r="V475" s="15"/>
      <c r="W475" s="15"/>
      <c r="X475" s="15"/>
      <c r="Y475" s="15"/>
      <c r="Z475" s="15"/>
    </row>
    <row r="476" spans="1:26" ht="29" customHeight="1" x14ac:dyDescent="0.35">
      <c r="A476" s="12">
        <v>475</v>
      </c>
      <c r="B476" s="25" t="s">
        <v>1655</v>
      </c>
      <c r="C476" s="69" t="s">
        <v>1656</v>
      </c>
      <c r="D476" s="24" t="s">
        <v>116</v>
      </c>
      <c r="E476" s="14" t="str">
        <f t="shared" si="7"/>
        <v>Perempuan</v>
      </c>
      <c r="F476" s="64" t="s">
        <v>1657</v>
      </c>
      <c r="G476" s="25" t="s">
        <v>1484</v>
      </c>
      <c r="H476" s="19" t="s">
        <v>1658</v>
      </c>
      <c r="I476" s="19" t="s">
        <v>90</v>
      </c>
      <c r="J476" s="19" t="s">
        <v>45</v>
      </c>
      <c r="K476" s="19" t="s">
        <v>728</v>
      </c>
      <c r="L476" s="86" t="s">
        <v>28</v>
      </c>
      <c r="M476" s="15">
        <v>2023</v>
      </c>
      <c r="N476" s="15" t="s">
        <v>28</v>
      </c>
      <c r="O476" s="15">
        <v>2027</v>
      </c>
      <c r="P476" s="15">
        <v>2023</v>
      </c>
      <c r="Q476" s="15"/>
      <c r="R476" s="16"/>
      <c r="S476" s="16" t="str">
        <f ca="1">IF(
  O476 &lt; YEAR(TODAY()),
  "LULUS",
  IF(
    O476 = YEAR(TODAY()),
    IF(
      MATCH(L476, {"Januari";"Februari";"Maret";"April";"Mei";"Juni";"Juli";"Agustus";"September";"Oktober";"November";"Desember"}, 0)
        &gt;= MONTH(TODAY()),
      "AKTIF (Semester " &amp;
        (INT((12*(YEAR(TODAY())-M476) + MONTH(TODAY()) -
          MATCH(L476, {"Januari";"Februari";"Maret";"April";"Mei";"Juni";"Juli";"Agustus";"September";"Oktober";"November";"Desember"}, 0)) / 6) + 1) &amp; ")",
      "LULUS"
    ),
    "AKTIF (Semester " &amp;
      (INT((12*(YEAR(TODAY())-M476) + MONTH(TODAY()) -
        MATCH(L476, {"Januari";"Februari";"Maret";"April";"Mei";"Juni";"Juli";"Agustus";"September";"Oktober";"November";"Desember"}, 0)) / 6) + 1) &amp; ")"
  )
)</f>
        <v>AKTIF (Semester 5)</v>
      </c>
      <c r="T476" s="16" t="str">
        <f ca="1">IF(O476 &lt; YEAR(TODAY()), "LULUS",
 IF(O476 = YEAR(TODAY()),
    IF(MATCH(N476, {"Januari";"Februari";"Maret";"April";"Mei";"Juni";"Juli";"Agustus";"September";"Oktober";"November";"Desember"},0)
        &lt;= MONTH(TODAY()),
        "LULUS",
        "AKTIF"),
 "AKTIF"))</f>
        <v>AKTIF</v>
      </c>
      <c r="U476" s="16" t="s">
        <v>2941</v>
      </c>
      <c r="V476" s="15"/>
      <c r="W476" s="15"/>
      <c r="X476" s="15"/>
      <c r="Y476" s="15"/>
      <c r="Z476" s="15"/>
    </row>
    <row r="477" spans="1:26" ht="29" customHeight="1" x14ac:dyDescent="0.35">
      <c r="A477" s="12">
        <v>476</v>
      </c>
      <c r="B477" s="25" t="s">
        <v>1659</v>
      </c>
      <c r="C477" s="69" t="s">
        <v>1660</v>
      </c>
      <c r="D477" s="24" t="s">
        <v>116</v>
      </c>
      <c r="E477" s="14" t="str">
        <f t="shared" ref="E477:E540" si="8">IF(MID(C477,15,1)="1","Laki-Laki","Perempuan")</f>
        <v>Laki-Laki</v>
      </c>
      <c r="F477" s="64" t="s">
        <v>1657</v>
      </c>
      <c r="G477" s="25" t="s">
        <v>1484</v>
      </c>
      <c r="H477" s="19" t="s">
        <v>1658</v>
      </c>
      <c r="I477" s="19" t="s">
        <v>90</v>
      </c>
      <c r="J477" s="19" t="s">
        <v>45</v>
      </c>
      <c r="K477" s="19" t="s">
        <v>728</v>
      </c>
      <c r="L477" s="86" t="s">
        <v>28</v>
      </c>
      <c r="M477" s="15">
        <v>2023</v>
      </c>
      <c r="N477" s="15" t="s">
        <v>28</v>
      </c>
      <c r="O477" s="15">
        <v>2027</v>
      </c>
      <c r="P477" s="15">
        <v>2023</v>
      </c>
      <c r="Q477" s="15"/>
      <c r="R477" s="16"/>
      <c r="S477" s="16" t="str">
        <f ca="1">IF(
  O477 &lt; YEAR(TODAY()),
  "LULUS",
  IF(
    O477 = YEAR(TODAY()),
    IF(
      MATCH(L477, {"Januari";"Februari";"Maret";"April";"Mei";"Juni";"Juli";"Agustus";"September";"Oktober";"November";"Desember"}, 0)
        &gt;= MONTH(TODAY()),
      "AKTIF (Semester " &amp;
        (INT((12*(YEAR(TODAY())-M477) + MONTH(TODAY()) -
          MATCH(L477, {"Januari";"Februari";"Maret";"April";"Mei";"Juni";"Juli";"Agustus";"September";"Oktober";"November";"Desember"}, 0)) / 6) + 1) &amp; ")",
      "LULUS"
    ),
    "AKTIF (Semester " &amp;
      (INT((12*(YEAR(TODAY())-M477) + MONTH(TODAY()) -
        MATCH(L477, {"Januari";"Februari";"Maret";"April";"Mei";"Juni";"Juli";"Agustus";"September";"Oktober";"November";"Desember"}, 0)) / 6) + 1) &amp; ")"
  )
)</f>
        <v>AKTIF (Semester 5)</v>
      </c>
      <c r="T477" s="16" t="str">
        <f ca="1">IF(O477 &lt; YEAR(TODAY()), "LULUS",
 IF(O477 = YEAR(TODAY()),
    IF(MATCH(N477, {"Januari";"Februari";"Maret";"April";"Mei";"Juni";"Juli";"Agustus";"September";"Oktober";"November";"Desember"},0)
        &lt;= MONTH(TODAY()),
        "LULUS",
        "AKTIF"),
 "AKTIF"))</f>
        <v>AKTIF</v>
      </c>
      <c r="U477" s="16" t="s">
        <v>2941</v>
      </c>
      <c r="V477" s="15"/>
      <c r="W477" s="15"/>
      <c r="X477" s="15"/>
      <c r="Y477" s="15"/>
      <c r="Z477" s="15"/>
    </row>
    <row r="478" spans="1:26" ht="29" customHeight="1" x14ac:dyDescent="0.35">
      <c r="A478" s="12">
        <v>477</v>
      </c>
      <c r="B478" s="25" t="s">
        <v>1661</v>
      </c>
      <c r="C478" s="69" t="s">
        <v>1662</v>
      </c>
      <c r="D478" s="24" t="s">
        <v>109</v>
      </c>
      <c r="E478" s="14" t="str">
        <f t="shared" si="8"/>
        <v>Perempuan</v>
      </c>
      <c r="F478" s="64" t="s">
        <v>1663</v>
      </c>
      <c r="G478" s="25" t="s">
        <v>1484</v>
      </c>
      <c r="H478" s="19" t="s">
        <v>1536</v>
      </c>
      <c r="I478" s="19" t="s">
        <v>90</v>
      </c>
      <c r="J478" s="19" t="s">
        <v>45</v>
      </c>
      <c r="K478" s="19" t="s">
        <v>728</v>
      </c>
      <c r="L478" s="86" t="s">
        <v>169</v>
      </c>
      <c r="M478" s="15">
        <v>2023</v>
      </c>
      <c r="N478" s="15" t="s">
        <v>169</v>
      </c>
      <c r="O478" s="15">
        <v>2027</v>
      </c>
      <c r="P478" s="15">
        <v>2023</v>
      </c>
      <c r="Q478" s="15"/>
      <c r="R478" s="16"/>
      <c r="S478" s="16" t="str">
        <f ca="1">IF(
  O478 &lt; YEAR(TODAY()),
  "LULUS",
  IF(
    O478 = YEAR(TODAY()),
    IF(
      MATCH(L478, {"Januari";"Februari";"Maret";"April";"Mei";"Juni";"Juli";"Agustus";"September";"Oktober";"November";"Desember"}, 0)
        &gt;= MONTH(TODAY()),
      "AKTIF (Semester " &amp;
        (INT((12*(YEAR(TODAY())-M478) + MONTH(TODAY()) -
          MATCH(L478, {"Januari";"Februari";"Maret";"April";"Mei";"Juni";"Juli";"Agustus";"September";"Oktober";"November";"Desember"}, 0)) / 6) + 1) &amp; ")",
      "LULUS"
    ),
    "AKTIF (Semester " &amp;
      (INT((12*(YEAR(TODAY())-M478) + MONTH(TODAY()) -
        MATCH(L478, {"Januari";"Februari";"Maret";"April";"Mei";"Juni";"Juli";"Agustus";"September";"Oktober";"November";"Desember"}, 0)) / 6) + 1) &amp; ")"
  )
)</f>
        <v>AKTIF (Semester 5)</v>
      </c>
      <c r="T478" s="16" t="str">
        <f ca="1">IF(O478 &lt; YEAR(TODAY()), "LULUS",
 IF(O478 = YEAR(TODAY()),
    IF(MATCH(N478, {"Januari";"Februari";"Maret";"April";"Mei";"Juni";"Juli";"Agustus";"September";"Oktober";"November";"Desember"},0)
        &lt;= MONTH(TODAY()),
        "LULUS",
        "AKTIF"),
 "AKTIF"))</f>
        <v>AKTIF</v>
      </c>
      <c r="U478" s="16" t="s">
        <v>2941</v>
      </c>
      <c r="V478" s="15"/>
      <c r="W478" s="15"/>
      <c r="X478" s="15"/>
      <c r="Y478" s="15"/>
      <c r="Z478" s="15"/>
    </row>
    <row r="479" spans="1:26" ht="29" customHeight="1" x14ac:dyDescent="0.35">
      <c r="A479" s="12">
        <v>478</v>
      </c>
      <c r="B479" s="25" t="s">
        <v>1664</v>
      </c>
      <c r="C479" s="69" t="s">
        <v>1665</v>
      </c>
      <c r="D479" s="24" t="s">
        <v>370</v>
      </c>
      <c r="E479" s="14" t="str">
        <f t="shared" si="8"/>
        <v>Laki-Laki</v>
      </c>
      <c r="F479" s="64" t="s">
        <v>1629</v>
      </c>
      <c r="G479" s="25" t="s">
        <v>1484</v>
      </c>
      <c r="H479" s="19" t="s">
        <v>1536</v>
      </c>
      <c r="I479" s="19" t="s">
        <v>788</v>
      </c>
      <c r="J479" s="19" t="s">
        <v>26</v>
      </c>
      <c r="K479" s="19" t="s">
        <v>407</v>
      </c>
      <c r="L479" s="86" t="s">
        <v>28</v>
      </c>
      <c r="M479" s="15">
        <v>2023</v>
      </c>
      <c r="N479" s="15" t="s">
        <v>28</v>
      </c>
      <c r="O479" s="15">
        <v>2025</v>
      </c>
      <c r="P479" s="15">
        <v>2023</v>
      </c>
      <c r="Q479" s="15"/>
      <c r="R479" s="16"/>
      <c r="S479" s="16" t="str">
        <f ca="1">IF(
  O479 &lt; YEAR(TODAY()),
  "LULUS",
  IF(
    O479 = YEAR(TODAY()),
    IF(
      MATCH(L479, {"Januari";"Februari";"Maret";"April";"Mei";"Juni";"Juli";"Agustus";"September";"Oktober";"November";"Desember"}, 0)
        &gt;= MONTH(TODAY()),
      "AKTIF (Semester " &amp;
        (INT((12*(YEAR(TODAY())-M479) + MONTH(TODAY()) -
          MATCH(L479, {"Januari";"Februari";"Maret";"April";"Mei";"Juni";"Juli";"Agustus";"September";"Oktober";"November";"Desember"}, 0)) / 6) + 1) &amp; ")",
      "LULUS"
    ),
    "AKTIF (Semester " &amp;
      (INT((12*(YEAR(TODAY())-M479) + MONTH(TODAY()) -
        MATCH(L479, {"Januari";"Februari";"Maret";"April";"Mei";"Juni";"Juli";"Agustus";"September";"Oktober";"November";"Desember"}, 0)) / 6) + 1) &amp; ")"
  )
)</f>
        <v>LULUS</v>
      </c>
      <c r="T479" s="16" t="str">
        <f ca="1">IF(O479 &lt; YEAR(TODAY()), "LULUS",
 IF(O479 = YEAR(TODAY()),
    IF(MATCH(N479, {"Januari";"Februari";"Maret";"April";"Mei";"Juni";"Juli";"Agustus";"September";"Oktober";"November";"Desember"},0)
        &lt;= MONTH(TODAY()),
        "LULUS",
        "AKTIF"),
 "AKTIF"))</f>
        <v>LULUS</v>
      </c>
      <c r="U479" s="16" t="s">
        <v>29</v>
      </c>
      <c r="V479" s="15"/>
      <c r="W479" s="15"/>
      <c r="X479" s="15"/>
      <c r="Y479" s="15"/>
      <c r="Z479" s="15"/>
    </row>
    <row r="480" spans="1:26" ht="29" customHeight="1" x14ac:dyDescent="0.35">
      <c r="A480" s="12">
        <v>479</v>
      </c>
      <c r="B480" s="25" t="s">
        <v>1667</v>
      </c>
      <c r="C480" s="69" t="s">
        <v>1668</v>
      </c>
      <c r="D480" s="24" t="s">
        <v>109</v>
      </c>
      <c r="E480" s="14" t="str">
        <f t="shared" si="8"/>
        <v>Perempuan</v>
      </c>
      <c r="F480" s="64" t="s">
        <v>1629</v>
      </c>
      <c r="G480" s="25" t="s">
        <v>1484</v>
      </c>
      <c r="H480" s="19" t="s">
        <v>1536</v>
      </c>
      <c r="I480" s="19" t="s">
        <v>788</v>
      </c>
      <c r="J480" s="19" t="s">
        <v>26</v>
      </c>
      <c r="K480" s="19" t="s">
        <v>407</v>
      </c>
      <c r="L480" s="86" t="s">
        <v>28</v>
      </c>
      <c r="M480" s="15">
        <v>2023</v>
      </c>
      <c r="N480" s="15" t="s">
        <v>28</v>
      </c>
      <c r="O480" s="15">
        <v>2025</v>
      </c>
      <c r="P480" s="15">
        <v>2023</v>
      </c>
      <c r="Q480" s="15"/>
      <c r="R480" s="16"/>
      <c r="S480" s="16" t="str">
        <f ca="1">IF(
  O480 &lt; YEAR(TODAY()),
  "LULUS",
  IF(
    O480 = YEAR(TODAY()),
    IF(
      MATCH(L480, {"Januari";"Februari";"Maret";"April";"Mei";"Juni";"Juli";"Agustus";"September";"Oktober";"November";"Desember"}, 0)
        &gt;= MONTH(TODAY()),
      "AKTIF (Semester " &amp;
        (INT((12*(YEAR(TODAY())-M480) + MONTH(TODAY()) -
          MATCH(L480, {"Januari";"Februari";"Maret";"April";"Mei";"Juni";"Juli";"Agustus";"September";"Oktober";"November";"Desember"}, 0)) / 6) + 1) &amp; ")",
      "LULUS"
    ),
    "AKTIF (Semester " &amp;
      (INT((12*(YEAR(TODAY())-M480) + MONTH(TODAY()) -
        MATCH(L480, {"Januari";"Februari";"Maret";"April";"Mei";"Juni";"Juli";"Agustus";"September";"Oktober";"November";"Desember"}, 0)) / 6) + 1) &amp; ")"
  )
)</f>
        <v>LULUS</v>
      </c>
      <c r="T480" s="16" t="str">
        <f ca="1">IF(O480 &lt; YEAR(TODAY()), "LULUS",
 IF(O480 = YEAR(TODAY()),
    IF(MATCH(N480, {"Januari";"Februari";"Maret";"April";"Mei";"Juni";"Juli";"Agustus";"September";"Oktober";"November";"Desember"},0)
        &lt;= MONTH(TODAY()),
        "LULUS",
        "AKTIF"),
 "AKTIF"))</f>
        <v>LULUS</v>
      </c>
      <c r="U480" s="16" t="s">
        <v>29</v>
      </c>
      <c r="V480" s="15"/>
      <c r="W480" s="15"/>
      <c r="X480" s="15"/>
      <c r="Y480" s="15"/>
      <c r="Z480" s="15"/>
    </row>
    <row r="481" spans="1:26" ht="29" customHeight="1" x14ac:dyDescent="0.35">
      <c r="A481" s="12">
        <v>480</v>
      </c>
      <c r="B481" s="25" t="s">
        <v>1669</v>
      </c>
      <c r="C481" s="69" t="s">
        <v>1670</v>
      </c>
      <c r="D481" s="24" t="s">
        <v>370</v>
      </c>
      <c r="E481" s="14" t="str">
        <f t="shared" si="8"/>
        <v>Laki-Laki</v>
      </c>
      <c r="F481" s="64" t="s">
        <v>1629</v>
      </c>
      <c r="G481" s="25" t="s">
        <v>1484</v>
      </c>
      <c r="H481" s="19" t="s">
        <v>1536</v>
      </c>
      <c r="I481" s="19" t="s">
        <v>788</v>
      </c>
      <c r="J481" s="19" t="s">
        <v>26</v>
      </c>
      <c r="K481" s="19" t="s">
        <v>407</v>
      </c>
      <c r="L481" s="86" t="s">
        <v>28</v>
      </c>
      <c r="M481" s="15">
        <v>2023</v>
      </c>
      <c r="N481" s="15" t="s">
        <v>28</v>
      </c>
      <c r="O481" s="15">
        <v>2025</v>
      </c>
      <c r="P481" s="15">
        <v>2023</v>
      </c>
      <c r="Q481" s="15"/>
      <c r="R481" s="16"/>
      <c r="S481" s="16" t="str">
        <f ca="1">IF(
  O481 &lt; YEAR(TODAY()),
  "LULUS",
  IF(
    O481 = YEAR(TODAY()),
    IF(
      MATCH(L481, {"Januari";"Februari";"Maret";"April";"Mei";"Juni";"Juli";"Agustus";"September";"Oktober";"November";"Desember"}, 0)
        &gt;= MONTH(TODAY()),
      "AKTIF (Semester " &amp;
        (INT((12*(YEAR(TODAY())-M481) + MONTH(TODAY()) -
          MATCH(L481, {"Januari";"Februari";"Maret";"April";"Mei";"Juni";"Juli";"Agustus";"September";"Oktober";"November";"Desember"}, 0)) / 6) + 1) &amp; ")",
      "LULUS"
    ),
    "AKTIF (Semester " &amp;
      (INT((12*(YEAR(TODAY())-M481) + MONTH(TODAY()) -
        MATCH(L481, {"Januari";"Februari";"Maret";"April";"Mei";"Juni";"Juli";"Agustus";"September";"Oktober";"November";"Desember"}, 0)) / 6) + 1) &amp; ")"
  )
)</f>
        <v>LULUS</v>
      </c>
      <c r="T481" s="16" t="str">
        <f ca="1">IF(O481 &lt; YEAR(TODAY()), "LULUS",
 IF(O481 = YEAR(TODAY()),
    IF(MATCH(N481, {"Januari";"Februari";"Maret";"April";"Mei";"Juni";"Juli";"Agustus";"September";"Oktober";"November";"Desember"},0)
        &lt;= MONTH(TODAY()),
        "LULUS",
        "AKTIF"),
 "AKTIF"))</f>
        <v>LULUS</v>
      </c>
      <c r="U481" s="16" t="s">
        <v>29</v>
      </c>
      <c r="V481" s="15"/>
      <c r="W481" s="15"/>
      <c r="X481" s="15"/>
      <c r="Y481" s="15"/>
      <c r="Z481" s="15"/>
    </row>
    <row r="482" spans="1:26" ht="29" customHeight="1" x14ac:dyDescent="0.35">
      <c r="A482" s="12">
        <v>481</v>
      </c>
      <c r="B482" s="25" t="s">
        <v>1671</v>
      </c>
      <c r="C482" s="69" t="s">
        <v>1672</v>
      </c>
      <c r="D482" s="24" t="s">
        <v>471</v>
      </c>
      <c r="E482" s="14" t="str">
        <f t="shared" si="8"/>
        <v>Laki-Laki</v>
      </c>
      <c r="F482" s="64" t="s">
        <v>1673</v>
      </c>
      <c r="G482" s="25" t="s">
        <v>1484</v>
      </c>
      <c r="H482" s="19" t="s">
        <v>1536</v>
      </c>
      <c r="I482" s="19" t="s">
        <v>788</v>
      </c>
      <c r="J482" s="19" t="s">
        <v>26</v>
      </c>
      <c r="K482" s="19" t="s">
        <v>407</v>
      </c>
      <c r="L482" s="86" t="s">
        <v>28</v>
      </c>
      <c r="M482" s="15">
        <v>2023</v>
      </c>
      <c r="N482" s="15" t="s">
        <v>28</v>
      </c>
      <c r="O482" s="15">
        <v>2025</v>
      </c>
      <c r="P482" s="15">
        <v>2023</v>
      </c>
      <c r="Q482" s="15"/>
      <c r="R482" s="16"/>
      <c r="S482" s="16" t="str">
        <f ca="1">IF(
  O482 &lt; YEAR(TODAY()),
  "LULUS",
  IF(
    O482 = YEAR(TODAY()),
    IF(
      MATCH(L482, {"Januari";"Februari";"Maret";"April";"Mei";"Juni";"Juli";"Agustus";"September";"Oktober";"November";"Desember"}, 0)
        &gt;= MONTH(TODAY()),
      "AKTIF (Semester " &amp;
        (INT((12*(YEAR(TODAY())-M482) + MONTH(TODAY()) -
          MATCH(L482, {"Januari";"Februari";"Maret";"April";"Mei";"Juni";"Juli";"Agustus";"September";"Oktober";"November";"Desember"}, 0)) / 6) + 1) &amp; ")",
      "LULUS"
    ),
    "AKTIF (Semester " &amp;
      (INT((12*(YEAR(TODAY())-M482) + MONTH(TODAY()) -
        MATCH(L482, {"Januari";"Februari";"Maret";"April";"Mei";"Juni";"Juli";"Agustus";"September";"Oktober";"November";"Desember"}, 0)) / 6) + 1) &amp; ")"
  )
)</f>
        <v>LULUS</v>
      </c>
      <c r="T482" s="16" t="str">
        <f ca="1">IF(O482 &lt; YEAR(TODAY()), "LULUS",
 IF(O482 = YEAR(TODAY()),
    IF(MATCH(N482, {"Januari";"Februari";"Maret";"April";"Mei";"Juni";"Juli";"Agustus";"September";"Oktober";"November";"Desember"},0)
        &lt;= MONTH(TODAY()),
        "LULUS",
        "AKTIF"),
 "AKTIF"))</f>
        <v>LULUS</v>
      </c>
      <c r="U482" s="16" t="s">
        <v>29</v>
      </c>
      <c r="V482" s="15"/>
      <c r="W482" s="15"/>
      <c r="X482" s="15"/>
      <c r="Y482" s="15"/>
      <c r="Z482" s="15"/>
    </row>
    <row r="483" spans="1:26" ht="29" customHeight="1" x14ac:dyDescent="0.35">
      <c r="A483" s="12">
        <v>482</v>
      </c>
      <c r="B483" s="25" t="s">
        <v>1674</v>
      </c>
      <c r="C483" s="69" t="s">
        <v>1675</v>
      </c>
      <c r="D483" s="24" t="s">
        <v>471</v>
      </c>
      <c r="E483" s="14" t="str">
        <f t="shared" si="8"/>
        <v>Laki-Laki</v>
      </c>
      <c r="F483" s="64" t="s">
        <v>1673</v>
      </c>
      <c r="G483" s="25" t="s">
        <v>1484</v>
      </c>
      <c r="H483" s="19" t="s">
        <v>1536</v>
      </c>
      <c r="I483" s="19" t="s">
        <v>788</v>
      </c>
      <c r="J483" s="19" t="s">
        <v>26</v>
      </c>
      <c r="K483" s="19" t="s">
        <v>407</v>
      </c>
      <c r="L483" s="86" t="s">
        <v>28</v>
      </c>
      <c r="M483" s="15">
        <v>2023</v>
      </c>
      <c r="N483" s="15" t="s">
        <v>28</v>
      </c>
      <c r="O483" s="15">
        <v>2025</v>
      </c>
      <c r="P483" s="15">
        <v>2023</v>
      </c>
      <c r="Q483" s="15"/>
      <c r="R483" s="16"/>
      <c r="S483" s="16" t="str">
        <f ca="1">IF(
  O483 &lt; YEAR(TODAY()),
  "LULUS",
  IF(
    O483 = YEAR(TODAY()),
    IF(
      MATCH(L483, {"Januari";"Februari";"Maret";"April";"Mei";"Juni";"Juli";"Agustus";"September";"Oktober";"November";"Desember"}, 0)
        &gt;= MONTH(TODAY()),
      "AKTIF (Semester " &amp;
        (INT((12*(YEAR(TODAY())-M483) + MONTH(TODAY()) -
          MATCH(L483, {"Januari";"Februari";"Maret";"April";"Mei";"Juni";"Juli";"Agustus";"September";"Oktober";"November";"Desember"}, 0)) / 6) + 1) &amp; ")",
      "LULUS"
    ),
    "AKTIF (Semester " &amp;
      (INT((12*(YEAR(TODAY())-M483) + MONTH(TODAY()) -
        MATCH(L483, {"Januari";"Februari";"Maret";"April";"Mei";"Juni";"Juli";"Agustus";"September";"Oktober";"November";"Desember"}, 0)) / 6) + 1) &amp; ")"
  )
)</f>
        <v>LULUS</v>
      </c>
      <c r="T483" s="16" t="str">
        <f ca="1">IF(O483 &lt; YEAR(TODAY()), "LULUS",
 IF(O483 = YEAR(TODAY()),
    IF(MATCH(N483, {"Januari";"Februari";"Maret";"April";"Mei";"Juni";"Juli";"Agustus";"September";"Oktober";"November";"Desember"},0)
        &lt;= MONTH(TODAY()),
        "LULUS",
        "AKTIF"),
 "AKTIF"))</f>
        <v>LULUS</v>
      </c>
      <c r="U483" s="16" t="s">
        <v>29</v>
      </c>
      <c r="V483" s="15"/>
      <c r="W483" s="15"/>
      <c r="X483" s="15"/>
      <c r="Y483" s="15"/>
      <c r="Z483" s="15"/>
    </row>
    <row r="484" spans="1:26" ht="29" customHeight="1" x14ac:dyDescent="0.35">
      <c r="A484" s="12">
        <v>483</v>
      </c>
      <c r="B484" s="25" t="s">
        <v>1676</v>
      </c>
      <c r="C484" s="69" t="s">
        <v>1677</v>
      </c>
      <c r="D484" s="24" t="s">
        <v>126</v>
      </c>
      <c r="E484" s="14" t="str">
        <f t="shared" si="8"/>
        <v>Perempuan</v>
      </c>
      <c r="F484" s="64" t="s">
        <v>1678</v>
      </c>
      <c r="G484" s="25" t="s">
        <v>1484</v>
      </c>
      <c r="H484" s="19" t="s">
        <v>1536</v>
      </c>
      <c r="I484" s="19" t="s">
        <v>788</v>
      </c>
      <c r="J484" s="19" t="s">
        <v>26</v>
      </c>
      <c r="K484" s="19" t="s">
        <v>407</v>
      </c>
      <c r="L484" s="86" t="s">
        <v>28</v>
      </c>
      <c r="M484" s="15">
        <v>2023</v>
      </c>
      <c r="N484" s="15" t="s">
        <v>28</v>
      </c>
      <c r="O484" s="15">
        <v>2025</v>
      </c>
      <c r="P484" s="15">
        <v>2023</v>
      </c>
      <c r="Q484" s="15"/>
      <c r="R484" s="16"/>
      <c r="S484" s="16" t="str">
        <f ca="1">IF(
  O484 &lt; YEAR(TODAY()),
  "LULUS",
  IF(
    O484 = YEAR(TODAY()),
    IF(
      MATCH(L484, {"Januari";"Februari";"Maret";"April";"Mei";"Juni";"Juli";"Agustus";"September";"Oktober";"November";"Desember"}, 0)
        &gt;= MONTH(TODAY()),
      "AKTIF (Semester " &amp;
        (INT((12*(YEAR(TODAY())-M484) + MONTH(TODAY()) -
          MATCH(L484, {"Januari";"Februari";"Maret";"April";"Mei";"Juni";"Juli";"Agustus";"September";"Oktober";"November";"Desember"}, 0)) / 6) + 1) &amp; ")",
      "LULUS"
    ),
    "AKTIF (Semester " &amp;
      (INT((12*(YEAR(TODAY())-M484) + MONTH(TODAY()) -
        MATCH(L484, {"Januari";"Februari";"Maret";"April";"Mei";"Juni";"Juli";"Agustus";"September";"Oktober";"November";"Desember"}, 0)) / 6) + 1) &amp; ")"
  )
)</f>
        <v>LULUS</v>
      </c>
      <c r="T484" s="16" t="str">
        <f ca="1">IF(O484 &lt; YEAR(TODAY()), "LULUS",
 IF(O484 = YEAR(TODAY()),
    IF(MATCH(N484, {"Januari";"Februari";"Maret";"April";"Mei";"Juni";"Juli";"Agustus";"September";"Oktober";"November";"Desember"},0)
        &lt;= MONTH(TODAY()),
        "LULUS",
        "AKTIF"),
 "AKTIF"))</f>
        <v>LULUS</v>
      </c>
      <c r="U484" s="16" t="s">
        <v>29</v>
      </c>
      <c r="V484" s="15"/>
      <c r="W484" s="15"/>
      <c r="X484" s="15"/>
      <c r="Y484" s="15"/>
      <c r="Z484" s="15"/>
    </row>
    <row r="485" spans="1:26" ht="29" customHeight="1" x14ac:dyDescent="0.35">
      <c r="A485" s="12">
        <v>484</v>
      </c>
      <c r="B485" s="25" t="s">
        <v>1679</v>
      </c>
      <c r="C485" s="69" t="s">
        <v>1680</v>
      </c>
      <c r="D485" s="24" t="s">
        <v>126</v>
      </c>
      <c r="E485" s="14" t="str">
        <f t="shared" si="8"/>
        <v>Laki-Laki</v>
      </c>
      <c r="F485" s="64" t="s">
        <v>1678</v>
      </c>
      <c r="G485" s="25" t="s">
        <v>1484</v>
      </c>
      <c r="H485" s="19" t="s">
        <v>1536</v>
      </c>
      <c r="I485" s="19" t="s">
        <v>788</v>
      </c>
      <c r="J485" s="19" t="s">
        <v>26</v>
      </c>
      <c r="K485" s="19" t="s">
        <v>407</v>
      </c>
      <c r="L485" s="86" t="s">
        <v>28</v>
      </c>
      <c r="M485" s="15">
        <v>2023</v>
      </c>
      <c r="N485" s="15" t="s">
        <v>28</v>
      </c>
      <c r="O485" s="15">
        <v>2025</v>
      </c>
      <c r="P485" s="15">
        <v>2023</v>
      </c>
      <c r="Q485" s="15"/>
      <c r="R485" s="16"/>
      <c r="S485" s="16" t="str">
        <f ca="1">IF(
  O485 &lt; YEAR(TODAY()),
  "LULUS",
  IF(
    O485 = YEAR(TODAY()),
    IF(
      MATCH(L485, {"Januari";"Februari";"Maret";"April";"Mei";"Juni";"Juli";"Agustus";"September";"Oktober";"November";"Desember"}, 0)
        &gt;= MONTH(TODAY()),
      "AKTIF (Semester " &amp;
        (INT((12*(YEAR(TODAY())-M485) + MONTH(TODAY()) -
          MATCH(L485, {"Januari";"Februari";"Maret";"April";"Mei";"Juni";"Juli";"Agustus";"September";"Oktober";"November";"Desember"}, 0)) / 6) + 1) &amp; ")",
      "LULUS"
    ),
    "AKTIF (Semester " &amp;
      (INT((12*(YEAR(TODAY())-M485) + MONTH(TODAY()) -
        MATCH(L485, {"Januari";"Februari";"Maret";"April";"Mei";"Juni";"Juli";"Agustus";"September";"Oktober";"November";"Desember"}, 0)) / 6) + 1) &amp; ")"
  )
)</f>
        <v>LULUS</v>
      </c>
      <c r="T485" s="16" t="str">
        <f ca="1">IF(O485 &lt; YEAR(TODAY()), "LULUS",
 IF(O485 = YEAR(TODAY()),
    IF(MATCH(N485, {"Januari";"Februari";"Maret";"April";"Mei";"Juni";"Juli";"Agustus";"September";"Oktober";"November";"Desember"},0)
        &lt;= MONTH(TODAY()),
        "LULUS",
        "AKTIF"),
 "AKTIF"))</f>
        <v>LULUS</v>
      </c>
      <c r="U485" s="16" t="s">
        <v>29</v>
      </c>
      <c r="V485" s="15"/>
      <c r="W485" s="15"/>
      <c r="X485" s="15"/>
      <c r="Y485" s="15"/>
      <c r="Z485" s="15"/>
    </row>
    <row r="486" spans="1:26" ht="29" customHeight="1" x14ac:dyDescent="0.35">
      <c r="A486" s="12">
        <v>485</v>
      </c>
      <c r="B486" s="25" t="s">
        <v>1681</v>
      </c>
      <c r="C486" s="69" t="s">
        <v>1682</v>
      </c>
      <c r="D486" s="24" t="s">
        <v>109</v>
      </c>
      <c r="E486" s="14" t="str">
        <f t="shared" si="8"/>
        <v>Laki-Laki</v>
      </c>
      <c r="F486" s="64" t="s">
        <v>1629</v>
      </c>
      <c r="G486" s="25" t="s">
        <v>1484</v>
      </c>
      <c r="H486" s="19" t="s">
        <v>1536</v>
      </c>
      <c r="I486" s="19" t="s">
        <v>788</v>
      </c>
      <c r="J486" s="19" t="s">
        <v>26</v>
      </c>
      <c r="K486" s="19" t="s">
        <v>407</v>
      </c>
      <c r="L486" s="86" t="s">
        <v>28</v>
      </c>
      <c r="M486" s="15">
        <v>2023</v>
      </c>
      <c r="N486" s="15" t="s">
        <v>28</v>
      </c>
      <c r="O486" s="15">
        <v>2025</v>
      </c>
      <c r="P486" s="15">
        <v>2023</v>
      </c>
      <c r="Q486" s="15"/>
      <c r="R486" s="16"/>
      <c r="S486" s="16" t="str">
        <f ca="1">IF(
  O486 &lt; YEAR(TODAY()),
  "LULUS",
  IF(
    O486 = YEAR(TODAY()),
    IF(
      MATCH(L486, {"Januari";"Februari";"Maret";"April";"Mei";"Juni";"Juli";"Agustus";"September";"Oktober";"November";"Desember"}, 0)
        &gt;= MONTH(TODAY()),
      "AKTIF (Semester " &amp;
        (INT((12*(YEAR(TODAY())-M486) + MONTH(TODAY()) -
          MATCH(L486, {"Januari";"Februari";"Maret";"April";"Mei";"Juni";"Juli";"Agustus";"September";"Oktober";"November";"Desember"}, 0)) / 6) + 1) &amp; ")",
      "LULUS"
    ),
    "AKTIF (Semester " &amp;
      (INT((12*(YEAR(TODAY())-M486) + MONTH(TODAY()) -
        MATCH(L486, {"Januari";"Februari";"Maret";"April";"Mei";"Juni";"Juli";"Agustus";"September";"Oktober";"November";"Desember"}, 0)) / 6) + 1) &amp; ")"
  )
)</f>
        <v>LULUS</v>
      </c>
      <c r="T486" s="16" t="str">
        <f ca="1">IF(O486 &lt; YEAR(TODAY()), "LULUS",
 IF(O486 = YEAR(TODAY()),
    IF(MATCH(N486, {"Januari";"Februari";"Maret";"April";"Mei";"Juni";"Juli";"Agustus";"September";"Oktober";"November";"Desember"},0)
        &lt;= MONTH(TODAY()),
        "LULUS",
        "AKTIF"),
 "AKTIF"))</f>
        <v>LULUS</v>
      </c>
      <c r="U486" s="16" t="s">
        <v>29</v>
      </c>
      <c r="V486" s="15"/>
      <c r="W486" s="15"/>
      <c r="X486" s="15"/>
      <c r="Y486" s="15"/>
      <c r="Z486" s="15"/>
    </row>
    <row r="487" spans="1:26" ht="29" customHeight="1" x14ac:dyDescent="0.35">
      <c r="A487" s="12">
        <v>486</v>
      </c>
      <c r="B487" s="25" t="s">
        <v>1683</v>
      </c>
      <c r="C487" s="69" t="s">
        <v>1684</v>
      </c>
      <c r="D487" s="24" t="s">
        <v>109</v>
      </c>
      <c r="E487" s="14" t="str">
        <f t="shared" si="8"/>
        <v>Perempuan</v>
      </c>
      <c r="F487" s="64" t="s">
        <v>1629</v>
      </c>
      <c r="G487" s="25" t="s">
        <v>1484</v>
      </c>
      <c r="H487" s="19" t="s">
        <v>1536</v>
      </c>
      <c r="I487" s="19" t="s">
        <v>788</v>
      </c>
      <c r="J487" s="19" t="s">
        <v>26</v>
      </c>
      <c r="K487" s="19" t="s">
        <v>407</v>
      </c>
      <c r="L487" s="86" t="s">
        <v>28</v>
      </c>
      <c r="M487" s="15">
        <v>2023</v>
      </c>
      <c r="N487" s="15" t="s">
        <v>28</v>
      </c>
      <c r="O487" s="15">
        <v>2025</v>
      </c>
      <c r="P487" s="15">
        <v>2023</v>
      </c>
      <c r="Q487" s="15"/>
      <c r="R487" s="16"/>
      <c r="S487" s="16" t="str">
        <f ca="1">IF(
  O487 &lt; YEAR(TODAY()),
  "LULUS",
  IF(
    O487 = YEAR(TODAY()),
    IF(
      MATCH(L487, {"Januari";"Februari";"Maret";"April";"Mei";"Juni";"Juli";"Agustus";"September";"Oktober";"November";"Desember"}, 0)
        &gt;= MONTH(TODAY()),
      "AKTIF (Semester " &amp;
        (INT((12*(YEAR(TODAY())-M487) + MONTH(TODAY()) -
          MATCH(L487, {"Januari";"Februari";"Maret";"April";"Mei";"Juni";"Juli";"Agustus";"September";"Oktober";"November";"Desember"}, 0)) / 6) + 1) &amp; ")",
      "LULUS"
    ),
    "AKTIF (Semester " &amp;
      (INT((12*(YEAR(TODAY())-M487) + MONTH(TODAY()) -
        MATCH(L487, {"Januari";"Februari";"Maret";"April";"Mei";"Juni";"Juli";"Agustus";"September";"Oktober";"November";"Desember"}, 0)) / 6) + 1) &amp; ")"
  )
)</f>
        <v>LULUS</v>
      </c>
      <c r="T487" s="16" t="str">
        <f ca="1">IF(O487 &lt; YEAR(TODAY()), "LULUS",
 IF(O487 = YEAR(TODAY()),
    IF(MATCH(N487, {"Januari";"Februari";"Maret";"April";"Mei";"Juni";"Juli";"Agustus";"September";"Oktober";"November";"Desember"},0)
        &lt;= MONTH(TODAY()),
        "LULUS",
        "AKTIF"),
 "AKTIF"))</f>
        <v>LULUS</v>
      </c>
      <c r="U487" s="16" t="s">
        <v>29</v>
      </c>
      <c r="V487" s="15"/>
      <c r="W487" s="15"/>
      <c r="X487" s="15"/>
      <c r="Y487" s="15"/>
      <c r="Z487" s="15"/>
    </row>
    <row r="488" spans="1:26" ht="29" customHeight="1" x14ac:dyDescent="0.35">
      <c r="A488" s="12">
        <v>487</v>
      </c>
      <c r="B488" s="25" t="s">
        <v>1685</v>
      </c>
      <c r="C488" s="69" t="s">
        <v>1686</v>
      </c>
      <c r="D488" s="24" t="s">
        <v>370</v>
      </c>
      <c r="E488" s="14" t="str">
        <f t="shared" si="8"/>
        <v>Laki-Laki</v>
      </c>
      <c r="F488" s="64" t="s">
        <v>1629</v>
      </c>
      <c r="G488" s="25" t="s">
        <v>1484</v>
      </c>
      <c r="H488" s="19" t="s">
        <v>1536</v>
      </c>
      <c r="I488" s="19" t="s">
        <v>788</v>
      </c>
      <c r="J488" s="19" t="s">
        <v>26</v>
      </c>
      <c r="K488" s="19" t="s">
        <v>407</v>
      </c>
      <c r="L488" s="86" t="s">
        <v>28</v>
      </c>
      <c r="M488" s="15">
        <v>2023</v>
      </c>
      <c r="N488" s="15" t="s">
        <v>28</v>
      </c>
      <c r="O488" s="15">
        <v>2025</v>
      </c>
      <c r="P488" s="15">
        <v>2023</v>
      </c>
      <c r="Q488" s="15"/>
      <c r="R488" s="16"/>
      <c r="S488" s="16" t="str">
        <f ca="1">IF(
  O488 &lt; YEAR(TODAY()),
  "LULUS",
  IF(
    O488 = YEAR(TODAY()),
    IF(
      MATCH(L488, {"Januari";"Februari";"Maret";"April";"Mei";"Juni";"Juli";"Agustus";"September";"Oktober";"November";"Desember"}, 0)
        &gt;= MONTH(TODAY()),
      "AKTIF (Semester " &amp;
        (INT((12*(YEAR(TODAY())-M488) + MONTH(TODAY()) -
          MATCH(L488, {"Januari";"Februari";"Maret";"April";"Mei";"Juni";"Juli";"Agustus";"September";"Oktober";"November";"Desember"}, 0)) / 6) + 1) &amp; ")",
      "LULUS"
    ),
    "AKTIF (Semester " &amp;
      (INT((12*(YEAR(TODAY())-M488) + MONTH(TODAY()) -
        MATCH(L488, {"Januari";"Februari";"Maret";"April";"Mei";"Juni";"Juli";"Agustus";"September";"Oktober";"November";"Desember"}, 0)) / 6) + 1) &amp; ")"
  )
)</f>
        <v>LULUS</v>
      </c>
      <c r="T488" s="16" t="str">
        <f ca="1">IF(O488 &lt; YEAR(TODAY()), "LULUS",
 IF(O488 = YEAR(TODAY()),
    IF(MATCH(N488, {"Januari";"Februari";"Maret";"April";"Mei";"Juni";"Juli";"Agustus";"September";"Oktober";"November";"Desember"},0)
        &lt;= MONTH(TODAY()),
        "LULUS",
        "AKTIF"),
 "AKTIF"))</f>
        <v>LULUS</v>
      </c>
      <c r="U488" s="16" t="s">
        <v>29</v>
      </c>
      <c r="V488" s="15"/>
      <c r="W488" s="15"/>
      <c r="X488" s="15"/>
      <c r="Y488" s="15"/>
      <c r="Z488" s="15"/>
    </row>
    <row r="489" spans="1:26" ht="29" customHeight="1" x14ac:dyDescent="0.35">
      <c r="A489" s="12">
        <v>488</v>
      </c>
      <c r="B489" s="25" t="s">
        <v>1687</v>
      </c>
      <c r="C489" s="69" t="s">
        <v>1688</v>
      </c>
      <c r="D489" s="24" t="s">
        <v>370</v>
      </c>
      <c r="E489" s="14" t="str">
        <f t="shared" si="8"/>
        <v>Perempuan</v>
      </c>
      <c r="F489" s="64" t="s">
        <v>1629</v>
      </c>
      <c r="G489" s="25" t="s">
        <v>1484</v>
      </c>
      <c r="H489" s="19" t="s">
        <v>1536</v>
      </c>
      <c r="I489" s="19" t="s">
        <v>788</v>
      </c>
      <c r="J489" s="19" t="s">
        <v>26</v>
      </c>
      <c r="K489" s="19" t="s">
        <v>407</v>
      </c>
      <c r="L489" s="86" t="s">
        <v>28</v>
      </c>
      <c r="M489" s="15">
        <v>2023</v>
      </c>
      <c r="N489" s="15" t="s">
        <v>28</v>
      </c>
      <c r="O489" s="15">
        <v>2025</v>
      </c>
      <c r="P489" s="15">
        <v>2023</v>
      </c>
      <c r="Q489" s="15"/>
      <c r="R489" s="16"/>
      <c r="S489" s="16" t="str">
        <f ca="1">IF(
  O489 &lt; YEAR(TODAY()),
  "LULUS",
  IF(
    O489 = YEAR(TODAY()),
    IF(
      MATCH(L489, {"Januari";"Februari";"Maret";"April";"Mei";"Juni";"Juli";"Agustus";"September";"Oktober";"November";"Desember"}, 0)
        &gt;= MONTH(TODAY()),
      "AKTIF (Semester " &amp;
        (INT((12*(YEAR(TODAY())-M489) + MONTH(TODAY()) -
          MATCH(L489, {"Januari";"Februari";"Maret";"April";"Mei";"Juni";"Juli";"Agustus";"September";"Oktober";"November";"Desember"}, 0)) / 6) + 1) &amp; ")",
      "LULUS"
    ),
    "AKTIF (Semester " &amp;
      (INT((12*(YEAR(TODAY())-M489) + MONTH(TODAY()) -
        MATCH(L489, {"Januari";"Februari";"Maret";"April";"Mei";"Juni";"Juli";"Agustus";"September";"Oktober";"November";"Desember"}, 0)) / 6) + 1) &amp; ")"
  )
)</f>
        <v>LULUS</v>
      </c>
      <c r="T489" s="16" t="str">
        <f ca="1">IF(O489 &lt; YEAR(TODAY()), "LULUS",
 IF(O489 = YEAR(TODAY()),
    IF(MATCH(N489, {"Januari";"Februari";"Maret";"April";"Mei";"Juni";"Juli";"Agustus";"September";"Oktober";"November";"Desember"},0)
        &lt;= MONTH(TODAY()),
        "LULUS",
        "AKTIF"),
 "AKTIF"))</f>
        <v>LULUS</v>
      </c>
      <c r="U489" s="16" t="s">
        <v>29</v>
      </c>
      <c r="V489" s="15"/>
      <c r="W489" s="15"/>
      <c r="X489" s="15"/>
      <c r="Y489" s="15"/>
      <c r="Z489" s="15"/>
    </row>
    <row r="490" spans="1:26" ht="29" customHeight="1" x14ac:dyDescent="0.35">
      <c r="A490" s="12">
        <v>489</v>
      </c>
      <c r="B490" s="25" t="s">
        <v>1689</v>
      </c>
      <c r="C490" s="69" t="s">
        <v>1690</v>
      </c>
      <c r="D490" s="24" t="s">
        <v>109</v>
      </c>
      <c r="E490" s="14" t="str">
        <f t="shared" si="8"/>
        <v>Perempuan</v>
      </c>
      <c r="F490" s="64" t="s">
        <v>1629</v>
      </c>
      <c r="G490" s="25" t="s">
        <v>1484</v>
      </c>
      <c r="H490" s="19" t="s">
        <v>1536</v>
      </c>
      <c r="I490" s="19" t="s">
        <v>788</v>
      </c>
      <c r="J490" s="19" t="s">
        <v>26</v>
      </c>
      <c r="K490" s="19" t="s">
        <v>407</v>
      </c>
      <c r="L490" s="86" t="s">
        <v>28</v>
      </c>
      <c r="M490" s="15">
        <v>2023</v>
      </c>
      <c r="N490" s="15" t="s">
        <v>28</v>
      </c>
      <c r="O490" s="15">
        <v>2025</v>
      </c>
      <c r="P490" s="15">
        <v>2023</v>
      </c>
      <c r="Q490" s="15"/>
      <c r="R490" s="16"/>
      <c r="S490" s="16" t="str">
        <f ca="1">IF(
  O490 &lt; YEAR(TODAY()),
  "LULUS",
  IF(
    O490 = YEAR(TODAY()),
    IF(
      MATCH(L490, {"Januari";"Februari";"Maret";"April";"Mei";"Juni";"Juli";"Agustus";"September";"Oktober";"November";"Desember"}, 0)
        &gt;= MONTH(TODAY()),
      "AKTIF (Semester " &amp;
        (INT((12*(YEAR(TODAY())-M490) + MONTH(TODAY()) -
          MATCH(L490, {"Januari";"Februari";"Maret";"April";"Mei";"Juni";"Juli";"Agustus";"September";"Oktober";"November";"Desember"}, 0)) / 6) + 1) &amp; ")",
      "LULUS"
    ),
    "AKTIF (Semester " &amp;
      (INT((12*(YEAR(TODAY())-M490) + MONTH(TODAY()) -
        MATCH(L490, {"Januari";"Februari";"Maret";"April";"Mei";"Juni";"Juli";"Agustus";"September";"Oktober";"November";"Desember"}, 0)) / 6) + 1) &amp; ")"
  )
)</f>
        <v>LULUS</v>
      </c>
      <c r="T490" s="16" t="str">
        <f ca="1">IF(O490 &lt; YEAR(TODAY()), "LULUS",
 IF(O490 = YEAR(TODAY()),
    IF(MATCH(N490, {"Januari";"Februari";"Maret";"April";"Mei";"Juni";"Juli";"Agustus";"September";"Oktober";"November";"Desember"},0)
        &lt;= MONTH(TODAY()),
        "LULUS",
        "AKTIF"),
 "AKTIF"))</f>
        <v>LULUS</v>
      </c>
      <c r="U490" s="16" t="s">
        <v>29</v>
      </c>
      <c r="V490" s="15"/>
      <c r="W490" s="15"/>
      <c r="X490" s="15"/>
      <c r="Y490" s="15"/>
      <c r="Z490" s="15"/>
    </row>
    <row r="491" spans="1:26" ht="29" customHeight="1" x14ac:dyDescent="0.35">
      <c r="A491" s="12">
        <v>490</v>
      </c>
      <c r="B491" s="25" t="s">
        <v>1691</v>
      </c>
      <c r="C491" s="69" t="s">
        <v>1692</v>
      </c>
      <c r="D491" s="24" t="s">
        <v>109</v>
      </c>
      <c r="E491" s="14" t="str">
        <f t="shared" si="8"/>
        <v>Perempuan</v>
      </c>
      <c r="F491" s="64" t="s">
        <v>1629</v>
      </c>
      <c r="G491" s="25" t="s">
        <v>1484</v>
      </c>
      <c r="H491" s="19" t="s">
        <v>1536</v>
      </c>
      <c r="I491" s="19" t="s">
        <v>788</v>
      </c>
      <c r="J491" s="19" t="s">
        <v>26</v>
      </c>
      <c r="K491" s="19" t="s">
        <v>407</v>
      </c>
      <c r="L491" s="86" t="s">
        <v>28</v>
      </c>
      <c r="M491" s="15">
        <v>2023</v>
      </c>
      <c r="N491" s="15" t="s">
        <v>28</v>
      </c>
      <c r="O491" s="15">
        <v>2025</v>
      </c>
      <c r="P491" s="15">
        <v>2023</v>
      </c>
      <c r="Q491" s="15"/>
      <c r="R491" s="16"/>
      <c r="S491" s="16" t="str">
        <f ca="1">IF(
  O491 &lt; YEAR(TODAY()),
  "LULUS",
  IF(
    O491 = YEAR(TODAY()),
    IF(
      MATCH(L491, {"Januari";"Februari";"Maret";"April";"Mei";"Juni";"Juli";"Agustus";"September";"Oktober";"November";"Desember"}, 0)
        &gt;= MONTH(TODAY()),
      "AKTIF (Semester " &amp;
        (INT((12*(YEAR(TODAY())-M491) + MONTH(TODAY()) -
          MATCH(L491, {"Januari";"Februari";"Maret";"April";"Mei";"Juni";"Juli";"Agustus";"September";"Oktober";"November";"Desember"}, 0)) / 6) + 1) &amp; ")",
      "LULUS"
    ),
    "AKTIF (Semester " &amp;
      (INT((12*(YEAR(TODAY())-M491) + MONTH(TODAY()) -
        MATCH(L491, {"Januari";"Februari";"Maret";"April";"Mei";"Juni";"Juli";"Agustus";"September";"Oktober";"November";"Desember"}, 0)) / 6) + 1) &amp; ")"
  )
)</f>
        <v>LULUS</v>
      </c>
      <c r="T491" s="16" t="str">
        <f ca="1">IF(O491 &lt; YEAR(TODAY()), "LULUS",
 IF(O491 = YEAR(TODAY()),
    IF(MATCH(N491, {"Januari";"Februari";"Maret";"April";"Mei";"Juni";"Juli";"Agustus";"September";"Oktober";"November";"Desember"},0)
        &lt;= MONTH(TODAY()),
        "LULUS",
        "AKTIF"),
 "AKTIF"))</f>
        <v>LULUS</v>
      </c>
      <c r="U491" s="16" t="s">
        <v>29</v>
      </c>
      <c r="V491" s="15"/>
      <c r="W491" s="15"/>
      <c r="X491" s="15"/>
      <c r="Y491" s="15"/>
      <c r="Z491" s="15"/>
    </row>
    <row r="492" spans="1:26" ht="29" customHeight="1" x14ac:dyDescent="0.35">
      <c r="A492" s="12">
        <v>491</v>
      </c>
      <c r="B492" s="25" t="s">
        <v>1693</v>
      </c>
      <c r="C492" s="69" t="s">
        <v>1694</v>
      </c>
      <c r="D492" s="24" t="s">
        <v>109</v>
      </c>
      <c r="E492" s="14" t="str">
        <f t="shared" si="8"/>
        <v>Laki-Laki</v>
      </c>
      <c r="F492" s="64" t="s">
        <v>1629</v>
      </c>
      <c r="G492" s="25" t="s">
        <v>1484</v>
      </c>
      <c r="H492" s="19" t="s">
        <v>1536</v>
      </c>
      <c r="I492" s="19" t="s">
        <v>788</v>
      </c>
      <c r="J492" s="19" t="s">
        <v>26</v>
      </c>
      <c r="K492" s="19" t="s">
        <v>407</v>
      </c>
      <c r="L492" s="86" t="s">
        <v>28</v>
      </c>
      <c r="M492" s="15">
        <v>2023</v>
      </c>
      <c r="N492" s="15" t="s">
        <v>28</v>
      </c>
      <c r="O492" s="15">
        <v>2025</v>
      </c>
      <c r="P492" s="15">
        <v>2023</v>
      </c>
      <c r="Q492" s="15"/>
      <c r="R492" s="16"/>
      <c r="S492" s="16" t="str">
        <f ca="1">IF(
  O492 &lt; YEAR(TODAY()),
  "LULUS",
  IF(
    O492 = YEAR(TODAY()),
    IF(
      MATCH(L492, {"Januari";"Februari";"Maret";"April";"Mei";"Juni";"Juli";"Agustus";"September";"Oktober";"November";"Desember"}, 0)
        &gt;= MONTH(TODAY()),
      "AKTIF (Semester " &amp;
        (INT((12*(YEAR(TODAY())-M492) + MONTH(TODAY()) -
          MATCH(L492, {"Januari";"Februari";"Maret";"April";"Mei";"Juni";"Juli";"Agustus";"September";"Oktober";"November";"Desember"}, 0)) / 6) + 1) &amp; ")",
      "LULUS"
    ),
    "AKTIF (Semester " &amp;
      (INT((12*(YEAR(TODAY())-M492) + MONTH(TODAY()) -
        MATCH(L492, {"Januari";"Februari";"Maret";"April";"Mei";"Juni";"Juli";"Agustus";"September";"Oktober";"November";"Desember"}, 0)) / 6) + 1) &amp; ")"
  )
)</f>
        <v>LULUS</v>
      </c>
      <c r="T492" s="16" t="str">
        <f ca="1">IF(O492 &lt; YEAR(TODAY()), "LULUS",
 IF(O492 = YEAR(TODAY()),
    IF(MATCH(N492, {"Januari";"Februari";"Maret";"April";"Mei";"Juni";"Juli";"Agustus";"September";"Oktober";"November";"Desember"},0)
        &lt;= MONTH(TODAY()),
        "LULUS",
        "AKTIF"),
 "AKTIF"))</f>
        <v>LULUS</v>
      </c>
      <c r="U492" s="16" t="s">
        <v>29</v>
      </c>
      <c r="V492" s="15"/>
      <c r="W492" s="15"/>
      <c r="X492" s="15"/>
      <c r="Y492" s="15"/>
      <c r="Z492" s="15"/>
    </row>
    <row r="493" spans="1:26" ht="29" customHeight="1" x14ac:dyDescent="0.35">
      <c r="A493" s="12">
        <v>492</v>
      </c>
      <c r="B493" s="25" t="s">
        <v>1695</v>
      </c>
      <c r="C493" s="69" t="s">
        <v>1696</v>
      </c>
      <c r="D493" s="24" t="s">
        <v>370</v>
      </c>
      <c r="E493" s="14" t="str">
        <f t="shared" si="8"/>
        <v>Laki-Laki</v>
      </c>
      <c r="F493" s="64" t="s">
        <v>1629</v>
      </c>
      <c r="G493" s="25" t="s">
        <v>1484</v>
      </c>
      <c r="H493" s="19" t="s">
        <v>1536</v>
      </c>
      <c r="I493" s="19" t="s">
        <v>1697</v>
      </c>
      <c r="J493" s="19" t="s">
        <v>26</v>
      </c>
      <c r="K493" s="19" t="s">
        <v>728</v>
      </c>
      <c r="L493" s="86" t="s">
        <v>28</v>
      </c>
      <c r="M493" s="15">
        <v>2023</v>
      </c>
      <c r="N493" s="15" t="s">
        <v>28</v>
      </c>
      <c r="O493" s="15">
        <v>2025</v>
      </c>
      <c r="P493" s="15">
        <v>2023</v>
      </c>
      <c r="Q493" s="15"/>
      <c r="R493" s="16"/>
      <c r="S493" s="16" t="str">
        <f ca="1">IF(
  O493 &lt; YEAR(TODAY()),
  "LULUS",
  IF(
    O493 = YEAR(TODAY()),
    IF(
      MATCH(L493, {"Januari";"Februari";"Maret";"April";"Mei";"Juni";"Juli";"Agustus";"September";"Oktober";"November";"Desember"}, 0)
        &gt;= MONTH(TODAY()),
      "AKTIF (Semester " &amp;
        (INT((12*(YEAR(TODAY())-M493) + MONTH(TODAY()) -
          MATCH(L493, {"Januari";"Februari";"Maret";"April";"Mei";"Juni";"Juli";"Agustus";"September";"Oktober";"November";"Desember"}, 0)) / 6) + 1) &amp; ")",
      "LULUS"
    ),
    "AKTIF (Semester " &amp;
      (INT((12*(YEAR(TODAY())-M493) + MONTH(TODAY()) -
        MATCH(L493, {"Januari";"Februari";"Maret";"April";"Mei";"Juni";"Juli";"Agustus";"September";"Oktober";"November";"Desember"}, 0)) / 6) + 1) &amp; ")"
  )
)</f>
        <v>LULUS</v>
      </c>
      <c r="T493" s="16" t="str">
        <f ca="1">IF(O493 &lt; YEAR(TODAY()), "LULUS",
 IF(O493 = YEAR(TODAY()),
    IF(MATCH(N493, {"Januari";"Februari";"Maret";"April";"Mei";"Juni";"Juli";"Agustus";"September";"Oktober";"November";"Desember"},0)
        &lt;= MONTH(TODAY()),
        "LULUS",
        "AKTIF"),
 "AKTIF"))</f>
        <v>LULUS</v>
      </c>
      <c r="U493" s="16" t="s">
        <v>29</v>
      </c>
      <c r="V493" s="15"/>
      <c r="W493" s="15"/>
      <c r="X493" s="15"/>
      <c r="Y493" s="15"/>
      <c r="Z493" s="15"/>
    </row>
    <row r="494" spans="1:26" ht="29" customHeight="1" x14ac:dyDescent="0.35">
      <c r="A494" s="12">
        <v>493</v>
      </c>
      <c r="B494" s="25" t="s">
        <v>1698</v>
      </c>
      <c r="C494" s="69" t="s">
        <v>1699</v>
      </c>
      <c r="D494" s="24" t="s">
        <v>109</v>
      </c>
      <c r="E494" s="14" t="str">
        <f t="shared" si="8"/>
        <v>Laki-Laki</v>
      </c>
      <c r="F494" s="64" t="s">
        <v>1629</v>
      </c>
      <c r="G494" s="25" t="s">
        <v>1484</v>
      </c>
      <c r="H494" s="19" t="s">
        <v>1536</v>
      </c>
      <c r="I494" s="19" t="s">
        <v>1700</v>
      </c>
      <c r="J494" s="19" t="s">
        <v>26</v>
      </c>
      <c r="K494" s="19" t="s">
        <v>1701</v>
      </c>
      <c r="L494" s="86" t="s">
        <v>60</v>
      </c>
      <c r="M494" s="15">
        <v>2023</v>
      </c>
      <c r="N494" s="15" t="s">
        <v>60</v>
      </c>
      <c r="O494" s="15">
        <v>2025</v>
      </c>
      <c r="P494" s="15">
        <v>2023</v>
      </c>
      <c r="Q494" s="15"/>
      <c r="R494" s="16"/>
      <c r="S494" s="16" t="str">
        <f ca="1">IF(
  O494 &lt; YEAR(TODAY()),
  "LULUS",
  IF(
    O494 = YEAR(TODAY()),
    IF(
      MATCH(L494, {"Januari";"Februari";"Maret";"April";"Mei";"Juni";"Juli";"Agustus";"September";"Oktober";"November";"Desember"}, 0)
        &gt;= MONTH(TODAY()),
      "AKTIF (Semester " &amp;
        (INT((12*(YEAR(TODAY())-M494) + MONTH(TODAY()) -
          MATCH(L494, {"Januari";"Februari";"Maret";"April";"Mei";"Juni";"Juli";"Agustus";"September";"Oktober";"November";"Desember"}, 0)) / 6) + 1) &amp; ")",
      "LULUS"
    ),
    "AKTIF (Semester " &amp;
      (INT((12*(YEAR(TODAY())-M494) + MONTH(TODAY()) -
        MATCH(L494, {"Januari";"Februari";"Maret";"April";"Mei";"Juni";"Juli";"Agustus";"September";"Oktober";"November";"Desember"}, 0)) / 6) + 1) &amp; ")"
  )
)</f>
        <v>LULUS</v>
      </c>
      <c r="T494" s="16" t="str">
        <f ca="1">IF(O494 &lt; YEAR(TODAY()), "LULUS",
 IF(O494 = YEAR(TODAY()),
    IF(MATCH(N494, {"Januari";"Februari";"Maret";"April";"Mei";"Juni";"Juli";"Agustus";"September";"Oktober";"November";"Desember"},0)
        &lt;= MONTH(TODAY()),
        "LULUS",
        "AKTIF"),
 "AKTIF"))</f>
        <v>LULUS</v>
      </c>
      <c r="U494" s="16" t="s">
        <v>29</v>
      </c>
      <c r="V494" s="15"/>
      <c r="W494" s="15"/>
      <c r="X494" s="15"/>
      <c r="Y494" s="15"/>
      <c r="Z494" s="15"/>
    </row>
    <row r="495" spans="1:26" ht="29" customHeight="1" x14ac:dyDescent="0.35">
      <c r="A495" s="12">
        <v>494</v>
      </c>
      <c r="B495" s="25" t="s">
        <v>1702</v>
      </c>
      <c r="C495" s="69" t="s">
        <v>1703</v>
      </c>
      <c r="D495" s="24" t="s">
        <v>471</v>
      </c>
      <c r="E495" s="14" t="str">
        <f t="shared" si="8"/>
        <v>Perempuan</v>
      </c>
      <c r="F495" s="64" t="s">
        <v>1673</v>
      </c>
      <c r="G495" s="25" t="s">
        <v>1484</v>
      </c>
      <c r="H495" s="19" t="s">
        <v>1536</v>
      </c>
      <c r="I495" s="19" t="s">
        <v>1700</v>
      </c>
      <c r="J495" s="19" t="s">
        <v>26</v>
      </c>
      <c r="K495" s="19" t="s">
        <v>1701</v>
      </c>
      <c r="L495" s="86" t="s">
        <v>60</v>
      </c>
      <c r="M495" s="15">
        <v>2023</v>
      </c>
      <c r="N495" s="15" t="s">
        <v>60</v>
      </c>
      <c r="O495" s="15">
        <v>2025</v>
      </c>
      <c r="P495" s="15">
        <v>2023</v>
      </c>
      <c r="Q495" s="15"/>
      <c r="R495" s="16"/>
      <c r="S495" s="16" t="str">
        <f ca="1">IF(
  O495 &lt; YEAR(TODAY()),
  "LULUS",
  IF(
    O495 = YEAR(TODAY()),
    IF(
      MATCH(L495, {"Januari";"Februari";"Maret";"April";"Mei";"Juni";"Juli";"Agustus";"September";"Oktober";"November";"Desember"}, 0)
        &gt;= MONTH(TODAY()),
      "AKTIF (Semester " &amp;
        (INT((12*(YEAR(TODAY())-M495) + MONTH(TODAY()) -
          MATCH(L495, {"Januari";"Februari";"Maret";"April";"Mei";"Juni";"Juli";"Agustus";"September";"Oktober";"November";"Desember"}, 0)) / 6) + 1) &amp; ")",
      "LULUS"
    ),
    "AKTIF (Semester " &amp;
      (INT((12*(YEAR(TODAY())-M495) + MONTH(TODAY()) -
        MATCH(L495, {"Januari";"Februari";"Maret";"April";"Mei";"Juni";"Juli";"Agustus";"September";"Oktober";"November";"Desember"}, 0)) / 6) + 1) &amp; ")"
  )
)</f>
        <v>LULUS</v>
      </c>
      <c r="T495" s="16" t="str">
        <f ca="1">IF(O495 &lt; YEAR(TODAY()), "LULUS",
 IF(O495 = YEAR(TODAY()),
    IF(MATCH(N495, {"Januari";"Februari";"Maret";"April";"Mei";"Juni";"Juli";"Agustus";"September";"Oktober";"November";"Desember"},0)
        &lt;= MONTH(TODAY()),
        "LULUS",
        "AKTIF"),
 "AKTIF"))</f>
        <v>LULUS</v>
      </c>
      <c r="U495" s="16" t="s">
        <v>29</v>
      </c>
      <c r="V495" s="15"/>
      <c r="W495" s="15"/>
      <c r="X495" s="15"/>
      <c r="Y495" s="15"/>
      <c r="Z495" s="15"/>
    </row>
    <row r="496" spans="1:26" ht="29" customHeight="1" x14ac:dyDescent="0.35">
      <c r="A496" s="12">
        <v>495</v>
      </c>
      <c r="B496" s="25" t="s">
        <v>1704</v>
      </c>
      <c r="C496" s="69" t="s">
        <v>1705</v>
      </c>
      <c r="D496" s="24" t="s">
        <v>126</v>
      </c>
      <c r="E496" s="14" t="str">
        <f t="shared" si="8"/>
        <v>Laki-Laki</v>
      </c>
      <c r="F496" s="64" t="s">
        <v>1678</v>
      </c>
      <c r="G496" s="25" t="s">
        <v>1484</v>
      </c>
      <c r="H496" s="19" t="s">
        <v>1536</v>
      </c>
      <c r="I496" s="19" t="s">
        <v>1700</v>
      </c>
      <c r="J496" s="19" t="s">
        <v>26</v>
      </c>
      <c r="K496" s="19" t="s">
        <v>1701</v>
      </c>
      <c r="L496" s="86" t="s">
        <v>60</v>
      </c>
      <c r="M496" s="15">
        <v>2023</v>
      </c>
      <c r="N496" s="15" t="s">
        <v>60</v>
      </c>
      <c r="O496" s="15">
        <v>2025</v>
      </c>
      <c r="P496" s="15">
        <v>2023</v>
      </c>
      <c r="Q496" s="15"/>
      <c r="R496" s="16"/>
      <c r="S496" s="16" t="str">
        <f ca="1">IF(
  O496 &lt; YEAR(TODAY()),
  "LULUS",
  IF(
    O496 = YEAR(TODAY()),
    IF(
      MATCH(L496, {"Januari";"Februari";"Maret";"April";"Mei";"Juni";"Juli";"Agustus";"September";"Oktober";"November";"Desember"}, 0)
        &gt;= MONTH(TODAY()),
      "AKTIF (Semester " &amp;
        (INT((12*(YEAR(TODAY())-M496) + MONTH(TODAY()) -
          MATCH(L496, {"Januari";"Februari";"Maret";"April";"Mei";"Juni";"Juli";"Agustus";"September";"Oktober";"November";"Desember"}, 0)) / 6) + 1) &amp; ")",
      "LULUS"
    ),
    "AKTIF (Semester " &amp;
      (INT((12*(YEAR(TODAY())-M496) + MONTH(TODAY()) -
        MATCH(L496, {"Januari";"Februari";"Maret";"April";"Mei";"Juni";"Juli";"Agustus";"September";"Oktober";"November";"Desember"}, 0)) / 6) + 1) &amp; ")"
  )
)</f>
        <v>LULUS</v>
      </c>
      <c r="T496" s="16" t="str">
        <f ca="1">IF(O496 &lt; YEAR(TODAY()), "LULUS",
 IF(O496 = YEAR(TODAY()),
    IF(MATCH(N496, {"Januari";"Februari";"Maret";"April";"Mei";"Juni";"Juli";"Agustus";"September";"Oktober";"November";"Desember"},0)
        &lt;= MONTH(TODAY()),
        "LULUS",
        "AKTIF"),
 "AKTIF"))</f>
        <v>LULUS</v>
      </c>
      <c r="U496" s="16" t="s">
        <v>29</v>
      </c>
      <c r="V496" s="15"/>
      <c r="W496" s="15"/>
      <c r="X496" s="15"/>
      <c r="Y496" s="15"/>
      <c r="Z496" s="15"/>
    </row>
    <row r="497" spans="1:26" ht="29" customHeight="1" x14ac:dyDescent="0.35">
      <c r="A497" s="12">
        <v>496</v>
      </c>
      <c r="B497" s="25" t="s">
        <v>1706</v>
      </c>
      <c r="C497" s="69" t="s">
        <v>1707</v>
      </c>
      <c r="D497" s="24" t="s">
        <v>370</v>
      </c>
      <c r="E497" s="14" t="str">
        <f t="shared" si="8"/>
        <v>Perempuan</v>
      </c>
      <c r="F497" s="64" t="s">
        <v>1629</v>
      </c>
      <c r="G497" s="25" t="s">
        <v>1484</v>
      </c>
      <c r="H497" s="19" t="s">
        <v>1536</v>
      </c>
      <c r="I497" s="19" t="s">
        <v>1700</v>
      </c>
      <c r="J497" s="19" t="s">
        <v>26</v>
      </c>
      <c r="K497" s="19" t="s">
        <v>1701</v>
      </c>
      <c r="L497" s="86" t="s">
        <v>60</v>
      </c>
      <c r="M497" s="15">
        <v>2023</v>
      </c>
      <c r="N497" s="15" t="s">
        <v>60</v>
      </c>
      <c r="O497" s="15">
        <v>2025</v>
      </c>
      <c r="P497" s="15">
        <v>2023</v>
      </c>
      <c r="Q497" s="15"/>
      <c r="R497" s="16"/>
      <c r="S497" s="16" t="str">
        <f ca="1">IF(
  O497 &lt; YEAR(TODAY()),
  "LULUS",
  IF(
    O497 = YEAR(TODAY()),
    IF(
      MATCH(L497, {"Januari";"Februari";"Maret";"April";"Mei";"Juni";"Juli";"Agustus";"September";"Oktober";"November";"Desember"}, 0)
        &gt;= MONTH(TODAY()),
      "AKTIF (Semester " &amp;
        (INT((12*(YEAR(TODAY())-M497) + MONTH(TODAY()) -
          MATCH(L497, {"Januari";"Februari";"Maret";"April";"Mei";"Juni";"Juli";"Agustus";"September";"Oktober";"November";"Desember"}, 0)) / 6) + 1) &amp; ")",
      "LULUS"
    ),
    "AKTIF (Semester " &amp;
      (INT((12*(YEAR(TODAY())-M497) + MONTH(TODAY()) -
        MATCH(L497, {"Januari";"Februari";"Maret";"April";"Mei";"Juni";"Juli";"Agustus";"September";"Oktober";"November";"Desember"}, 0)) / 6) + 1) &amp; ")"
  )
)</f>
        <v>LULUS</v>
      </c>
      <c r="T497" s="16" t="str">
        <f ca="1">IF(O497 &lt; YEAR(TODAY()), "LULUS",
 IF(O497 = YEAR(TODAY()),
    IF(MATCH(N497, {"Januari";"Februari";"Maret";"April";"Mei";"Juni";"Juli";"Agustus";"September";"Oktober";"November";"Desember"},0)
        &lt;= MONTH(TODAY()),
        "LULUS",
        "AKTIF"),
 "AKTIF"))</f>
        <v>LULUS</v>
      </c>
      <c r="U497" s="16" t="s">
        <v>29</v>
      </c>
      <c r="V497" s="15"/>
      <c r="W497" s="15"/>
      <c r="X497" s="15"/>
      <c r="Y497" s="15"/>
      <c r="Z497" s="15"/>
    </row>
    <row r="498" spans="1:26" ht="29" customHeight="1" x14ac:dyDescent="0.35">
      <c r="A498" s="12">
        <v>497</v>
      </c>
      <c r="B498" s="25" t="s">
        <v>1708</v>
      </c>
      <c r="C498" s="69" t="s">
        <v>1709</v>
      </c>
      <c r="D498" s="24" t="s">
        <v>109</v>
      </c>
      <c r="E498" s="14" t="str">
        <f t="shared" si="8"/>
        <v>Laki-Laki</v>
      </c>
      <c r="F498" s="64" t="s">
        <v>1629</v>
      </c>
      <c r="G498" s="25" t="s">
        <v>1484</v>
      </c>
      <c r="H498" s="19" t="s">
        <v>1536</v>
      </c>
      <c r="I498" s="19" t="s">
        <v>1700</v>
      </c>
      <c r="J498" s="19" t="s">
        <v>26</v>
      </c>
      <c r="K498" s="19" t="s">
        <v>1701</v>
      </c>
      <c r="L498" s="86" t="s">
        <v>60</v>
      </c>
      <c r="M498" s="15">
        <v>2023</v>
      </c>
      <c r="N498" s="15" t="s">
        <v>60</v>
      </c>
      <c r="O498" s="15">
        <v>2025</v>
      </c>
      <c r="P498" s="15">
        <v>2023</v>
      </c>
      <c r="Q498" s="15"/>
      <c r="R498" s="16"/>
      <c r="S498" s="16" t="str">
        <f ca="1">IF(
  O498 &lt; YEAR(TODAY()),
  "LULUS",
  IF(
    O498 = YEAR(TODAY()),
    IF(
      MATCH(L498, {"Januari";"Februari";"Maret";"April";"Mei";"Juni";"Juli";"Agustus";"September";"Oktober";"November";"Desember"}, 0)
        &gt;= MONTH(TODAY()),
      "AKTIF (Semester " &amp;
        (INT((12*(YEAR(TODAY())-M498) + MONTH(TODAY()) -
          MATCH(L498, {"Januari";"Februari";"Maret";"April";"Mei";"Juni";"Juli";"Agustus";"September";"Oktober";"November";"Desember"}, 0)) / 6) + 1) &amp; ")",
      "LULUS"
    ),
    "AKTIF (Semester " &amp;
      (INT((12*(YEAR(TODAY())-M498) + MONTH(TODAY()) -
        MATCH(L498, {"Januari";"Februari";"Maret";"April";"Mei";"Juni";"Juli";"Agustus";"September";"Oktober";"November";"Desember"}, 0)) / 6) + 1) &amp; ")"
  )
)</f>
        <v>LULUS</v>
      </c>
      <c r="T498" s="16" t="str">
        <f ca="1">IF(O498 &lt; YEAR(TODAY()), "LULUS",
 IF(O498 = YEAR(TODAY()),
    IF(MATCH(N498, {"Januari";"Februari";"Maret";"April";"Mei";"Juni";"Juli";"Agustus";"September";"Oktober";"November";"Desember"},0)
        &lt;= MONTH(TODAY()),
        "LULUS",
        "AKTIF"),
 "AKTIF"))</f>
        <v>LULUS</v>
      </c>
      <c r="U498" s="16" t="s">
        <v>29</v>
      </c>
      <c r="V498" s="15"/>
      <c r="W498" s="15"/>
      <c r="X498" s="15"/>
      <c r="Y498" s="15"/>
      <c r="Z498" s="15"/>
    </row>
    <row r="499" spans="1:26" ht="29" customHeight="1" x14ac:dyDescent="0.35">
      <c r="A499" s="12">
        <v>498</v>
      </c>
      <c r="B499" s="25" t="s">
        <v>1710</v>
      </c>
      <c r="C499" s="69" t="s">
        <v>1711</v>
      </c>
      <c r="D499" s="24" t="s">
        <v>109</v>
      </c>
      <c r="E499" s="14" t="str">
        <f t="shared" si="8"/>
        <v>Perempuan</v>
      </c>
      <c r="F499" s="64" t="s">
        <v>1629</v>
      </c>
      <c r="G499" s="25" t="s">
        <v>1484</v>
      </c>
      <c r="H499" s="19" t="s">
        <v>1536</v>
      </c>
      <c r="I499" s="19" t="s">
        <v>1700</v>
      </c>
      <c r="J499" s="19" t="s">
        <v>26</v>
      </c>
      <c r="K499" s="19" t="s">
        <v>1701</v>
      </c>
      <c r="L499" s="86" t="s">
        <v>60</v>
      </c>
      <c r="M499" s="15">
        <v>2023</v>
      </c>
      <c r="N499" s="15" t="s">
        <v>60</v>
      </c>
      <c r="O499" s="15">
        <v>2025</v>
      </c>
      <c r="P499" s="15">
        <v>2023</v>
      </c>
      <c r="Q499" s="15"/>
      <c r="R499" s="16"/>
      <c r="S499" s="16" t="str">
        <f ca="1">IF(
  O499 &lt; YEAR(TODAY()),
  "LULUS",
  IF(
    O499 = YEAR(TODAY()),
    IF(
      MATCH(L499, {"Januari";"Februari";"Maret";"April";"Mei";"Juni";"Juli";"Agustus";"September";"Oktober";"November";"Desember"}, 0)
        &gt;= MONTH(TODAY()),
      "AKTIF (Semester " &amp;
        (INT((12*(YEAR(TODAY())-M499) + MONTH(TODAY()) -
          MATCH(L499, {"Januari";"Februari";"Maret";"April";"Mei";"Juni";"Juli";"Agustus";"September";"Oktober";"November";"Desember"}, 0)) / 6) + 1) &amp; ")",
      "LULUS"
    ),
    "AKTIF (Semester " &amp;
      (INT((12*(YEAR(TODAY())-M499) + MONTH(TODAY()) -
        MATCH(L499, {"Januari";"Februari";"Maret";"April";"Mei";"Juni";"Juli";"Agustus";"September";"Oktober";"November";"Desember"}, 0)) / 6) + 1) &amp; ")"
  )
)</f>
        <v>LULUS</v>
      </c>
      <c r="T499" s="16" t="str">
        <f ca="1">IF(O499 &lt; YEAR(TODAY()), "LULUS",
 IF(O499 = YEAR(TODAY()),
    IF(MATCH(N499, {"Januari";"Februari";"Maret";"April";"Mei";"Juni";"Juli";"Agustus";"September";"Oktober";"November";"Desember"},0)
        &lt;= MONTH(TODAY()),
        "LULUS",
        "AKTIF"),
 "AKTIF"))</f>
        <v>LULUS</v>
      </c>
      <c r="U499" s="16" t="s">
        <v>29</v>
      </c>
      <c r="V499" s="15"/>
      <c r="W499" s="15"/>
      <c r="X499" s="15"/>
      <c r="Y499" s="15"/>
      <c r="Z499" s="15"/>
    </row>
    <row r="500" spans="1:26" ht="29" customHeight="1" x14ac:dyDescent="0.35">
      <c r="A500" s="12">
        <v>499</v>
      </c>
      <c r="B500" s="25" t="s">
        <v>1712</v>
      </c>
      <c r="C500" s="69" t="s">
        <v>1713</v>
      </c>
      <c r="D500" s="24" t="s">
        <v>370</v>
      </c>
      <c r="E500" s="14" t="str">
        <f t="shared" si="8"/>
        <v>Perempuan</v>
      </c>
      <c r="F500" s="64" t="s">
        <v>1629</v>
      </c>
      <c r="G500" s="25" t="s">
        <v>1484</v>
      </c>
      <c r="H500" s="19" t="s">
        <v>1536</v>
      </c>
      <c r="I500" s="19" t="s">
        <v>1700</v>
      </c>
      <c r="J500" s="19" t="s">
        <v>26</v>
      </c>
      <c r="K500" s="19" t="s">
        <v>1701</v>
      </c>
      <c r="L500" s="86" t="s">
        <v>60</v>
      </c>
      <c r="M500" s="15">
        <v>2023</v>
      </c>
      <c r="N500" s="15" t="s">
        <v>60</v>
      </c>
      <c r="O500" s="15">
        <v>2025</v>
      </c>
      <c r="P500" s="15">
        <v>2023</v>
      </c>
      <c r="Q500" s="15"/>
      <c r="R500" s="16"/>
      <c r="S500" s="16" t="str">
        <f ca="1">IF(
  O500 &lt; YEAR(TODAY()),
  "LULUS",
  IF(
    O500 = YEAR(TODAY()),
    IF(
      MATCH(L500, {"Januari";"Februari";"Maret";"April";"Mei";"Juni";"Juli";"Agustus";"September";"Oktober";"November";"Desember"}, 0)
        &gt;= MONTH(TODAY()),
      "AKTIF (Semester " &amp;
        (INT((12*(YEAR(TODAY())-M500) + MONTH(TODAY()) -
          MATCH(L500, {"Januari";"Februari";"Maret";"April";"Mei";"Juni";"Juli";"Agustus";"September";"Oktober";"November";"Desember"}, 0)) / 6) + 1) &amp; ")",
      "LULUS"
    ),
    "AKTIF (Semester " &amp;
      (INT((12*(YEAR(TODAY())-M500) + MONTH(TODAY()) -
        MATCH(L500, {"Januari";"Februari";"Maret";"April";"Mei";"Juni";"Juli";"Agustus";"September";"Oktober";"November";"Desember"}, 0)) / 6) + 1) &amp; ")"
  )
)</f>
        <v>LULUS</v>
      </c>
      <c r="T500" s="16" t="str">
        <f ca="1">IF(O500 &lt; YEAR(TODAY()), "LULUS",
 IF(O500 = YEAR(TODAY()),
    IF(MATCH(N500, {"Januari";"Februari";"Maret";"April";"Mei";"Juni";"Juli";"Agustus";"September";"Oktober";"November";"Desember"},0)
        &lt;= MONTH(TODAY()),
        "LULUS",
        "AKTIF"),
 "AKTIF"))</f>
        <v>LULUS</v>
      </c>
      <c r="U500" s="16" t="s">
        <v>29</v>
      </c>
      <c r="V500" s="15"/>
      <c r="W500" s="15"/>
      <c r="X500" s="15"/>
      <c r="Y500" s="15"/>
      <c r="Z500" s="15"/>
    </row>
    <row r="501" spans="1:26" ht="29" customHeight="1" x14ac:dyDescent="0.35">
      <c r="A501" s="12">
        <v>500</v>
      </c>
      <c r="B501" s="25" t="s">
        <v>1714</v>
      </c>
      <c r="C501" s="69" t="s">
        <v>1715</v>
      </c>
      <c r="D501" s="24" t="s">
        <v>116</v>
      </c>
      <c r="E501" s="14" t="str">
        <f t="shared" si="8"/>
        <v>Laki-Laki</v>
      </c>
      <c r="F501" s="72" t="s">
        <v>1716</v>
      </c>
      <c r="G501" s="25" t="s">
        <v>1484</v>
      </c>
      <c r="H501" s="19" t="s">
        <v>1536</v>
      </c>
      <c r="I501" s="19" t="s">
        <v>90</v>
      </c>
      <c r="J501" s="19" t="s">
        <v>45</v>
      </c>
      <c r="K501" s="19" t="s">
        <v>728</v>
      </c>
      <c r="L501" s="86" t="s">
        <v>169</v>
      </c>
      <c r="M501" s="15">
        <v>2023</v>
      </c>
      <c r="N501" s="15" t="s">
        <v>169</v>
      </c>
      <c r="O501" s="15">
        <v>2027</v>
      </c>
      <c r="P501" s="15">
        <v>2023</v>
      </c>
      <c r="Q501" s="15"/>
      <c r="R501" s="16"/>
      <c r="S501" s="16" t="str">
        <f ca="1">IF(
  O501 &lt; YEAR(TODAY()),
  "LULUS",
  IF(
    O501 = YEAR(TODAY()),
    IF(
      MATCH(L501, {"Januari";"Februari";"Maret";"April";"Mei";"Juni";"Juli";"Agustus";"September";"Oktober";"November";"Desember"}, 0)
        &gt;= MONTH(TODAY()),
      "AKTIF (Semester " &amp;
        (INT((12*(YEAR(TODAY())-M501) + MONTH(TODAY()) -
          MATCH(L501, {"Januari";"Februari";"Maret";"April";"Mei";"Juni";"Juli";"Agustus";"September";"Oktober";"November";"Desember"}, 0)) / 6) + 1) &amp; ")",
      "LULUS"
    ),
    "AKTIF (Semester " &amp;
      (INT((12*(YEAR(TODAY())-M501) + MONTH(TODAY()) -
        MATCH(L501, {"Januari";"Februari";"Maret";"April";"Mei";"Juni";"Juli";"Agustus";"September";"Oktober";"November";"Desember"}, 0)) / 6) + 1) &amp; ")"
  )
)</f>
        <v>AKTIF (Semester 5)</v>
      </c>
      <c r="T501" s="16" t="str">
        <f ca="1">IF(O501 &lt; YEAR(TODAY()), "LULUS",
 IF(O501 = YEAR(TODAY()),
    IF(MATCH(N501, {"Januari";"Februari";"Maret";"April";"Mei";"Juni";"Juli";"Agustus";"September";"Oktober";"November";"Desember"},0)
        &lt;= MONTH(TODAY()),
        "LULUS",
        "AKTIF"),
 "AKTIF"))</f>
        <v>AKTIF</v>
      </c>
      <c r="U501" s="16" t="s">
        <v>2941</v>
      </c>
      <c r="V501" s="15"/>
      <c r="W501" s="15"/>
      <c r="X501" s="15"/>
      <c r="Y501" s="15"/>
      <c r="Z501" s="15"/>
    </row>
    <row r="502" spans="1:26" ht="29" customHeight="1" x14ac:dyDescent="0.35">
      <c r="A502" s="12">
        <v>501</v>
      </c>
      <c r="B502" s="25" t="s">
        <v>1717</v>
      </c>
      <c r="C502" s="69" t="s">
        <v>1718</v>
      </c>
      <c r="D502" s="24" t="s">
        <v>104</v>
      </c>
      <c r="E502" s="14" t="str">
        <f t="shared" si="8"/>
        <v>Perempuan</v>
      </c>
      <c r="F502" s="72" t="s">
        <v>1719</v>
      </c>
      <c r="G502" s="25" t="s">
        <v>1484</v>
      </c>
      <c r="H502" s="19" t="s">
        <v>1536</v>
      </c>
      <c r="I502" s="19" t="s">
        <v>90</v>
      </c>
      <c r="J502" s="19" t="s">
        <v>45</v>
      </c>
      <c r="K502" s="19" t="s">
        <v>728</v>
      </c>
      <c r="L502" s="86" t="s">
        <v>169</v>
      </c>
      <c r="M502" s="15">
        <v>2023</v>
      </c>
      <c r="N502" s="15" t="s">
        <v>169</v>
      </c>
      <c r="O502" s="15">
        <v>2027</v>
      </c>
      <c r="P502" s="15">
        <v>2023</v>
      </c>
      <c r="Q502" s="15"/>
      <c r="R502" s="16"/>
      <c r="S502" s="16" t="str">
        <f ca="1">IF(
  O502 &lt; YEAR(TODAY()),
  "LULUS",
  IF(
    O502 = YEAR(TODAY()),
    IF(
      MATCH(L502, {"Januari";"Februari";"Maret";"April";"Mei";"Juni";"Juli";"Agustus";"September";"Oktober";"November";"Desember"}, 0)
        &gt;= MONTH(TODAY()),
      "AKTIF (Semester " &amp;
        (INT((12*(YEAR(TODAY())-M502) + MONTH(TODAY()) -
          MATCH(L502, {"Januari";"Februari";"Maret";"April";"Mei";"Juni";"Juli";"Agustus";"September";"Oktober";"November";"Desember"}, 0)) / 6) + 1) &amp; ")",
      "LULUS"
    ),
    "AKTIF (Semester " &amp;
      (INT((12*(YEAR(TODAY())-M502) + MONTH(TODAY()) -
        MATCH(L502, {"Januari";"Februari";"Maret";"April";"Mei";"Juni";"Juli";"Agustus";"September";"Oktober";"November";"Desember"}, 0)) / 6) + 1) &amp; ")"
  )
)</f>
        <v>AKTIF (Semester 5)</v>
      </c>
      <c r="T502" s="16" t="str">
        <f ca="1">IF(O502 &lt; YEAR(TODAY()), "LULUS",
 IF(O502 = YEAR(TODAY()),
    IF(MATCH(N502, {"Januari";"Februari";"Maret";"April";"Mei";"Juni";"Juli";"Agustus";"September";"Oktober";"November";"Desember"},0)
        &lt;= MONTH(TODAY()),
        "LULUS",
        "AKTIF"),
 "AKTIF"))</f>
        <v>AKTIF</v>
      </c>
      <c r="U502" s="16" t="s">
        <v>2941</v>
      </c>
      <c r="V502" s="15"/>
      <c r="W502" s="15"/>
      <c r="X502" s="15"/>
      <c r="Y502" s="15"/>
      <c r="Z502" s="15"/>
    </row>
    <row r="503" spans="1:26" ht="29" customHeight="1" x14ac:dyDescent="0.35">
      <c r="A503" s="12">
        <v>502</v>
      </c>
      <c r="B503" s="25" t="s">
        <v>1720</v>
      </c>
      <c r="C503" s="69" t="s">
        <v>1721</v>
      </c>
      <c r="D503" s="24" t="s">
        <v>87</v>
      </c>
      <c r="E503" s="14" t="str">
        <f t="shared" si="8"/>
        <v>Laki-Laki</v>
      </c>
      <c r="F503" s="72" t="s">
        <v>1722</v>
      </c>
      <c r="G503" s="25" t="s">
        <v>1484</v>
      </c>
      <c r="H503" s="19" t="s">
        <v>1723</v>
      </c>
      <c r="I503" s="19" t="s">
        <v>90</v>
      </c>
      <c r="J503" s="19" t="s">
        <v>45</v>
      </c>
      <c r="K503" s="19" t="s">
        <v>728</v>
      </c>
      <c r="L503" s="86" t="s">
        <v>60</v>
      </c>
      <c r="M503" s="15">
        <v>2023</v>
      </c>
      <c r="N503" s="15" t="s">
        <v>60</v>
      </c>
      <c r="O503" s="15">
        <v>2027</v>
      </c>
      <c r="P503" s="15">
        <v>2023</v>
      </c>
      <c r="Q503" s="15"/>
      <c r="R503" s="16"/>
      <c r="S503" s="16" t="str">
        <f ca="1">IF(
  O503 &lt; YEAR(TODAY()),
  "LULUS",
  IF(
    O503 = YEAR(TODAY()),
    IF(
      MATCH(L503, {"Januari";"Februari";"Maret";"April";"Mei";"Juni";"Juli";"Agustus";"September";"Oktober";"November";"Desember"}, 0)
        &gt;= MONTH(TODAY()),
      "AKTIF (Semester " &amp;
        (INT((12*(YEAR(TODAY())-M503) + MONTH(TODAY()) -
          MATCH(L503, {"Januari";"Februari";"Maret";"April";"Mei";"Juni";"Juli";"Agustus";"September";"Oktober";"November";"Desember"}, 0)) / 6) + 1) &amp; ")",
      "LULUS"
    ),
    "AKTIF (Semester " &amp;
      (INT((12*(YEAR(TODAY())-M503) + MONTH(TODAY()) -
        MATCH(L503, {"Januari";"Februari";"Maret";"April";"Mei";"Juni";"Juli";"Agustus";"September";"Oktober";"November";"Desember"}, 0)) / 6) + 1) &amp; ")"
  )
)</f>
        <v>AKTIF (Semester 5)</v>
      </c>
      <c r="T503" s="16" t="str">
        <f ca="1">IF(O503 &lt; YEAR(TODAY()), "LULUS",
 IF(O503 = YEAR(TODAY()),
    IF(MATCH(N503, {"Januari";"Februari";"Maret";"April";"Mei";"Juni";"Juli";"Agustus";"September";"Oktober";"November";"Desember"},0)
        &lt;= MONTH(TODAY()),
        "LULUS",
        "AKTIF"),
 "AKTIF"))</f>
        <v>AKTIF</v>
      </c>
      <c r="U503" s="16" t="s">
        <v>2941</v>
      </c>
      <c r="V503" s="15"/>
      <c r="W503" s="15"/>
      <c r="X503" s="15"/>
      <c r="Y503" s="15"/>
      <c r="Z503" s="15"/>
    </row>
    <row r="504" spans="1:26" ht="29" customHeight="1" x14ac:dyDescent="0.35">
      <c r="A504" s="12">
        <v>503</v>
      </c>
      <c r="B504" s="25" t="s">
        <v>1724</v>
      </c>
      <c r="C504" s="69" t="s">
        <v>1725</v>
      </c>
      <c r="D504" s="24" t="s">
        <v>98</v>
      </c>
      <c r="E504" s="14" t="str">
        <f t="shared" si="8"/>
        <v>Laki-Laki</v>
      </c>
      <c r="F504" s="72" t="s">
        <v>1716</v>
      </c>
      <c r="G504" s="25" t="s">
        <v>1484</v>
      </c>
      <c r="H504" s="19" t="s">
        <v>1723</v>
      </c>
      <c r="I504" s="19" t="s">
        <v>90</v>
      </c>
      <c r="J504" s="19" t="s">
        <v>45</v>
      </c>
      <c r="K504" s="19" t="s">
        <v>728</v>
      </c>
      <c r="L504" s="86" t="s">
        <v>60</v>
      </c>
      <c r="M504" s="15">
        <v>2023</v>
      </c>
      <c r="N504" s="15" t="s">
        <v>60</v>
      </c>
      <c r="O504" s="15">
        <v>2027</v>
      </c>
      <c r="P504" s="15">
        <v>2023</v>
      </c>
      <c r="Q504" s="15"/>
      <c r="R504" s="16"/>
      <c r="S504" s="16" t="str">
        <f ca="1">IF(
  O504 &lt; YEAR(TODAY()),
  "LULUS",
  IF(
    O504 = YEAR(TODAY()),
    IF(
      MATCH(L504, {"Januari";"Februari";"Maret";"April";"Mei";"Juni";"Juli";"Agustus";"September";"Oktober";"November";"Desember"}, 0)
        &gt;= MONTH(TODAY()),
      "AKTIF (Semester " &amp;
        (INT((12*(YEAR(TODAY())-M504) + MONTH(TODAY()) -
          MATCH(L504, {"Januari";"Februari";"Maret";"April";"Mei";"Juni";"Juli";"Agustus";"September";"Oktober";"November";"Desember"}, 0)) / 6) + 1) &amp; ")",
      "LULUS"
    ),
    "AKTIF (Semester " &amp;
      (INT((12*(YEAR(TODAY())-M504) + MONTH(TODAY()) -
        MATCH(L504, {"Januari";"Februari";"Maret";"April";"Mei";"Juni";"Juli";"Agustus";"September";"Oktober";"November";"Desember"}, 0)) / 6) + 1) &amp; ")"
  )
)</f>
        <v>AKTIF (Semester 5)</v>
      </c>
      <c r="T504" s="16" t="str">
        <f ca="1">IF(O504 &lt; YEAR(TODAY()), "LULUS",
 IF(O504 = YEAR(TODAY()),
    IF(MATCH(N504, {"Januari";"Februari";"Maret";"April";"Mei";"Juni";"Juli";"Agustus";"September";"Oktober";"November";"Desember"},0)
        &lt;= MONTH(TODAY()),
        "LULUS",
        "AKTIF"),
 "AKTIF"))</f>
        <v>AKTIF</v>
      </c>
      <c r="U504" s="16" t="s">
        <v>2941</v>
      </c>
      <c r="V504" s="15"/>
      <c r="W504" s="15"/>
      <c r="X504" s="15"/>
      <c r="Y504" s="15"/>
      <c r="Z504" s="15"/>
    </row>
    <row r="505" spans="1:26" ht="29" customHeight="1" x14ac:dyDescent="0.35">
      <c r="A505" s="12">
        <v>504</v>
      </c>
      <c r="B505" s="25" t="s">
        <v>1726</v>
      </c>
      <c r="C505" s="69" t="s">
        <v>1727</v>
      </c>
      <c r="D505" s="24" t="s">
        <v>87</v>
      </c>
      <c r="E505" s="14" t="str">
        <f t="shared" si="8"/>
        <v>Perempuan</v>
      </c>
      <c r="F505" s="72" t="s">
        <v>1722</v>
      </c>
      <c r="G505" s="25" t="s">
        <v>1484</v>
      </c>
      <c r="H505" s="19" t="s">
        <v>1723</v>
      </c>
      <c r="I505" s="19" t="s">
        <v>90</v>
      </c>
      <c r="J505" s="19" t="s">
        <v>45</v>
      </c>
      <c r="K505" s="19" t="s">
        <v>728</v>
      </c>
      <c r="L505" s="86" t="s">
        <v>60</v>
      </c>
      <c r="M505" s="15">
        <v>2023</v>
      </c>
      <c r="N505" s="15" t="s">
        <v>60</v>
      </c>
      <c r="O505" s="15">
        <v>2027</v>
      </c>
      <c r="P505" s="15">
        <v>2023</v>
      </c>
      <c r="Q505" s="15"/>
      <c r="R505" s="16"/>
      <c r="S505" s="16" t="str">
        <f ca="1">IF(
  O505 &lt; YEAR(TODAY()),
  "LULUS",
  IF(
    O505 = YEAR(TODAY()),
    IF(
      MATCH(L505, {"Januari";"Februari";"Maret";"April";"Mei";"Juni";"Juli";"Agustus";"September";"Oktober";"November";"Desember"}, 0)
        &gt;= MONTH(TODAY()),
      "AKTIF (Semester " &amp;
        (INT((12*(YEAR(TODAY())-M505) + MONTH(TODAY()) -
          MATCH(L505, {"Januari";"Februari";"Maret";"April";"Mei";"Juni";"Juli";"Agustus";"September";"Oktober";"November";"Desember"}, 0)) / 6) + 1) &amp; ")",
      "LULUS"
    ),
    "AKTIF (Semester " &amp;
      (INT((12*(YEAR(TODAY())-M505) + MONTH(TODAY()) -
        MATCH(L505, {"Januari";"Februari";"Maret";"April";"Mei";"Juni";"Juli";"Agustus";"September";"Oktober";"November";"Desember"}, 0)) / 6) + 1) &amp; ")"
  )
)</f>
        <v>AKTIF (Semester 5)</v>
      </c>
      <c r="T505" s="16" t="str">
        <f ca="1">IF(O505 &lt; YEAR(TODAY()), "LULUS",
 IF(O505 = YEAR(TODAY()),
    IF(MATCH(N505, {"Januari";"Februari";"Maret";"April";"Mei";"Juni";"Juli";"Agustus";"September";"Oktober";"November";"Desember"},0)
        &lt;= MONTH(TODAY()),
        "LULUS",
        "AKTIF"),
 "AKTIF"))</f>
        <v>AKTIF</v>
      </c>
      <c r="U505" s="16" t="s">
        <v>2941</v>
      </c>
      <c r="V505" s="15"/>
      <c r="W505" s="15"/>
      <c r="X505" s="15"/>
      <c r="Y505" s="15"/>
      <c r="Z505" s="15"/>
    </row>
    <row r="506" spans="1:26" ht="29" customHeight="1" x14ac:dyDescent="0.35">
      <c r="A506" s="12">
        <v>505</v>
      </c>
      <c r="B506" s="25" t="s">
        <v>1728</v>
      </c>
      <c r="C506" s="69" t="s">
        <v>1729</v>
      </c>
      <c r="D506" s="24" t="s">
        <v>382</v>
      </c>
      <c r="E506" s="14" t="str">
        <f t="shared" si="8"/>
        <v>Perempuan</v>
      </c>
      <c r="F506" s="72" t="s">
        <v>1730</v>
      </c>
      <c r="G506" s="25" t="s">
        <v>1484</v>
      </c>
      <c r="H506" s="19" t="s">
        <v>1723</v>
      </c>
      <c r="I506" s="19" t="s">
        <v>90</v>
      </c>
      <c r="J506" s="19" t="s">
        <v>45</v>
      </c>
      <c r="K506" s="19" t="s">
        <v>728</v>
      </c>
      <c r="L506" s="86" t="s">
        <v>60</v>
      </c>
      <c r="M506" s="15">
        <v>2023</v>
      </c>
      <c r="N506" s="15" t="s">
        <v>60</v>
      </c>
      <c r="O506" s="15">
        <v>2027</v>
      </c>
      <c r="P506" s="15">
        <v>2023</v>
      </c>
      <c r="Q506" s="15"/>
      <c r="R506" s="16"/>
      <c r="S506" s="16" t="str">
        <f ca="1">IF(
  O506 &lt; YEAR(TODAY()),
  "LULUS",
  IF(
    O506 = YEAR(TODAY()),
    IF(
      MATCH(L506, {"Januari";"Februari";"Maret";"April";"Mei";"Juni";"Juli";"Agustus";"September";"Oktober";"November";"Desember"}, 0)
        &gt;= MONTH(TODAY()),
      "AKTIF (Semester " &amp;
        (INT((12*(YEAR(TODAY())-M506) + MONTH(TODAY()) -
          MATCH(L506, {"Januari";"Februari";"Maret";"April";"Mei";"Juni";"Juli";"Agustus";"September";"Oktober";"November";"Desember"}, 0)) / 6) + 1) &amp; ")",
      "LULUS"
    ),
    "AKTIF (Semester " &amp;
      (INT((12*(YEAR(TODAY())-M506) + MONTH(TODAY()) -
        MATCH(L506, {"Januari";"Februari";"Maret";"April";"Mei";"Juni";"Juli";"Agustus";"September";"Oktober";"November";"Desember"}, 0)) / 6) + 1) &amp; ")"
  )
)</f>
        <v>AKTIF (Semester 5)</v>
      </c>
      <c r="T506" s="16" t="str">
        <f ca="1">IF(O506 &lt; YEAR(TODAY()), "LULUS",
 IF(O506 = YEAR(TODAY()),
    IF(MATCH(N506, {"Januari";"Februari";"Maret";"April";"Mei";"Juni";"Juli";"Agustus";"September";"Oktober";"November";"Desember"},0)
        &lt;= MONTH(TODAY()),
        "LULUS",
        "AKTIF"),
 "AKTIF"))</f>
        <v>AKTIF</v>
      </c>
      <c r="U506" s="16" t="s">
        <v>2941</v>
      </c>
      <c r="V506" s="15"/>
      <c r="W506" s="15"/>
      <c r="X506" s="15"/>
      <c r="Y506" s="15"/>
      <c r="Z506" s="15"/>
    </row>
    <row r="507" spans="1:26" ht="29" customHeight="1" x14ac:dyDescent="0.35">
      <c r="A507" s="12">
        <v>506</v>
      </c>
      <c r="B507" s="25" t="s">
        <v>1731</v>
      </c>
      <c r="C507" s="69" t="s">
        <v>1732</v>
      </c>
      <c r="D507" s="24" t="s">
        <v>87</v>
      </c>
      <c r="E507" s="14" t="str">
        <f t="shared" si="8"/>
        <v>Perempuan</v>
      </c>
      <c r="F507" s="72" t="s">
        <v>1722</v>
      </c>
      <c r="G507" s="25" t="s">
        <v>1484</v>
      </c>
      <c r="H507" s="19" t="s">
        <v>1723</v>
      </c>
      <c r="I507" s="19" t="s">
        <v>90</v>
      </c>
      <c r="J507" s="19" t="s">
        <v>45</v>
      </c>
      <c r="K507" s="19" t="s">
        <v>728</v>
      </c>
      <c r="L507" s="86" t="s">
        <v>60</v>
      </c>
      <c r="M507" s="15">
        <v>2023</v>
      </c>
      <c r="N507" s="15" t="s">
        <v>60</v>
      </c>
      <c r="O507" s="15">
        <v>2027</v>
      </c>
      <c r="P507" s="15">
        <v>2023</v>
      </c>
      <c r="Q507" s="15"/>
      <c r="R507" s="16"/>
      <c r="S507" s="16" t="str">
        <f ca="1">IF(
  O507 &lt; YEAR(TODAY()),
  "LULUS",
  IF(
    O507 = YEAR(TODAY()),
    IF(
      MATCH(L507, {"Januari";"Februari";"Maret";"April";"Mei";"Juni";"Juli";"Agustus";"September";"Oktober";"November";"Desember"}, 0)
        &gt;= MONTH(TODAY()),
      "AKTIF (Semester " &amp;
        (INT((12*(YEAR(TODAY())-M507) + MONTH(TODAY()) -
          MATCH(L507, {"Januari";"Februari";"Maret";"April";"Mei";"Juni";"Juli";"Agustus";"September";"Oktober";"November";"Desember"}, 0)) / 6) + 1) &amp; ")",
      "LULUS"
    ),
    "AKTIF (Semester " &amp;
      (INT((12*(YEAR(TODAY())-M507) + MONTH(TODAY()) -
        MATCH(L507, {"Januari";"Februari";"Maret";"April";"Mei";"Juni";"Juli";"Agustus";"September";"Oktober";"November";"Desember"}, 0)) / 6) + 1) &amp; ")"
  )
)</f>
        <v>AKTIF (Semester 5)</v>
      </c>
      <c r="T507" s="16" t="str">
        <f ca="1">IF(O507 &lt; YEAR(TODAY()), "LULUS",
 IF(O507 = YEAR(TODAY()),
    IF(MATCH(N507, {"Januari";"Februari";"Maret";"April";"Mei";"Juni";"Juli";"Agustus";"September";"Oktober";"November";"Desember"},0)
        &lt;= MONTH(TODAY()),
        "LULUS",
        "AKTIF"),
 "AKTIF"))</f>
        <v>AKTIF</v>
      </c>
      <c r="U507" s="16" t="s">
        <v>2941</v>
      </c>
      <c r="V507" s="15"/>
      <c r="W507" s="15"/>
      <c r="X507" s="15"/>
      <c r="Y507" s="15"/>
      <c r="Z507" s="15"/>
    </row>
    <row r="508" spans="1:26" ht="29" customHeight="1" x14ac:dyDescent="0.35">
      <c r="A508" s="12">
        <v>507</v>
      </c>
      <c r="B508" s="25" t="s">
        <v>1733</v>
      </c>
      <c r="C508" s="69" t="s">
        <v>1734</v>
      </c>
      <c r="D508" s="24" t="s">
        <v>98</v>
      </c>
      <c r="E508" s="14" t="str">
        <f t="shared" si="8"/>
        <v>Perempuan</v>
      </c>
      <c r="F508" s="72" t="s">
        <v>1716</v>
      </c>
      <c r="G508" s="25" t="s">
        <v>1484</v>
      </c>
      <c r="H508" s="19" t="s">
        <v>1723</v>
      </c>
      <c r="I508" s="19" t="s">
        <v>90</v>
      </c>
      <c r="J508" s="19" t="s">
        <v>45</v>
      </c>
      <c r="K508" s="19" t="s">
        <v>728</v>
      </c>
      <c r="L508" s="86" t="s">
        <v>60</v>
      </c>
      <c r="M508" s="15">
        <v>2023</v>
      </c>
      <c r="N508" s="15" t="s">
        <v>60</v>
      </c>
      <c r="O508" s="15">
        <v>2027</v>
      </c>
      <c r="P508" s="15">
        <v>2023</v>
      </c>
      <c r="Q508" s="15"/>
      <c r="R508" s="16"/>
      <c r="S508" s="16" t="str">
        <f ca="1">IF(
  O508 &lt; YEAR(TODAY()),
  "LULUS",
  IF(
    O508 = YEAR(TODAY()),
    IF(
      MATCH(L508, {"Januari";"Februari";"Maret";"April";"Mei";"Juni";"Juli";"Agustus";"September";"Oktober";"November";"Desember"}, 0)
        &gt;= MONTH(TODAY()),
      "AKTIF (Semester " &amp;
        (INT((12*(YEAR(TODAY())-M508) + MONTH(TODAY()) -
          MATCH(L508, {"Januari";"Februari";"Maret";"April";"Mei";"Juni";"Juli";"Agustus";"September";"Oktober";"November";"Desember"}, 0)) / 6) + 1) &amp; ")",
      "LULUS"
    ),
    "AKTIF (Semester " &amp;
      (INT((12*(YEAR(TODAY())-M508) + MONTH(TODAY()) -
        MATCH(L508, {"Januari";"Februari";"Maret";"April";"Mei";"Juni";"Juli";"Agustus";"September";"Oktober";"November";"Desember"}, 0)) / 6) + 1) &amp; ")"
  )
)</f>
        <v>AKTIF (Semester 5)</v>
      </c>
      <c r="T508" s="16" t="str">
        <f ca="1">IF(O508 &lt; YEAR(TODAY()), "LULUS",
 IF(O508 = YEAR(TODAY()),
    IF(MATCH(N508, {"Januari";"Februari";"Maret";"April";"Mei";"Juni";"Juli";"Agustus";"September";"Oktober";"November";"Desember"},0)
        &lt;= MONTH(TODAY()),
        "LULUS",
        "AKTIF"),
 "AKTIF"))</f>
        <v>AKTIF</v>
      </c>
      <c r="U508" s="16" t="s">
        <v>2941</v>
      </c>
      <c r="V508" s="15"/>
      <c r="W508" s="15"/>
      <c r="X508" s="15"/>
      <c r="Y508" s="15"/>
      <c r="Z508" s="15"/>
    </row>
    <row r="509" spans="1:26" ht="29" customHeight="1" x14ac:dyDescent="0.35">
      <c r="A509" s="12">
        <v>508</v>
      </c>
      <c r="B509" s="25" t="s">
        <v>1735</v>
      </c>
      <c r="C509" s="69" t="s">
        <v>1736</v>
      </c>
      <c r="D509" s="24" t="s">
        <v>109</v>
      </c>
      <c r="E509" s="14" t="str">
        <f t="shared" si="8"/>
        <v>Perempuan</v>
      </c>
      <c r="F509" s="72" t="s">
        <v>1629</v>
      </c>
      <c r="G509" s="25" t="s">
        <v>1484</v>
      </c>
      <c r="H509" s="19" t="s">
        <v>1536</v>
      </c>
      <c r="I509" s="19" t="s">
        <v>1700</v>
      </c>
      <c r="J509" s="19" t="s">
        <v>26</v>
      </c>
      <c r="K509" s="19" t="s">
        <v>1701</v>
      </c>
      <c r="L509" s="86" t="s">
        <v>60</v>
      </c>
      <c r="M509" s="15">
        <v>2023</v>
      </c>
      <c r="N509" s="15" t="s">
        <v>60</v>
      </c>
      <c r="O509" s="15">
        <v>2025</v>
      </c>
      <c r="P509" s="15">
        <v>2023</v>
      </c>
      <c r="Q509" s="15"/>
      <c r="R509" s="16"/>
      <c r="S509" s="16" t="str">
        <f ca="1">IF(
  O509 &lt; YEAR(TODAY()),
  "LULUS",
  IF(
    O509 = YEAR(TODAY()),
    IF(
      MATCH(L509, {"Januari";"Februari";"Maret";"April";"Mei";"Juni";"Juli";"Agustus";"September";"Oktober";"November";"Desember"}, 0)
        &gt;= MONTH(TODAY()),
      "AKTIF (Semester " &amp;
        (INT((12*(YEAR(TODAY())-M509) + MONTH(TODAY()) -
          MATCH(L509, {"Januari";"Februari";"Maret";"April";"Mei";"Juni";"Juli";"Agustus";"September";"Oktober";"November";"Desember"}, 0)) / 6) + 1) &amp; ")",
      "LULUS"
    ),
    "AKTIF (Semester " &amp;
      (INT((12*(YEAR(TODAY())-M509) + MONTH(TODAY()) -
        MATCH(L509, {"Januari";"Februari";"Maret";"April";"Mei";"Juni";"Juli";"Agustus";"September";"Oktober";"November";"Desember"}, 0)) / 6) + 1) &amp; ")"
  )
)</f>
        <v>LULUS</v>
      </c>
      <c r="T509" s="16" t="str">
        <f ca="1">IF(O509 &lt; YEAR(TODAY()), "LULUS",
 IF(O509 = YEAR(TODAY()),
    IF(MATCH(N509, {"Januari";"Februari";"Maret";"April";"Mei";"Juni";"Juli";"Agustus";"September";"Oktober";"November";"Desember"},0)
        &lt;= MONTH(TODAY()),
        "LULUS",
        "AKTIF"),
 "AKTIF"))</f>
        <v>LULUS</v>
      </c>
      <c r="U509" s="16" t="s">
        <v>29</v>
      </c>
      <c r="V509" s="15"/>
      <c r="W509" s="15"/>
      <c r="X509" s="15"/>
      <c r="Y509" s="15"/>
      <c r="Z509" s="15"/>
    </row>
    <row r="510" spans="1:26" ht="29" customHeight="1" x14ac:dyDescent="0.35">
      <c r="A510" s="12">
        <v>509</v>
      </c>
      <c r="B510" s="25" t="s">
        <v>1737</v>
      </c>
      <c r="C510" s="69" t="s">
        <v>1738</v>
      </c>
      <c r="D510" s="24" t="s">
        <v>471</v>
      </c>
      <c r="E510" s="14" t="str">
        <f t="shared" si="8"/>
        <v>Perempuan</v>
      </c>
      <c r="F510" s="72" t="s">
        <v>1673</v>
      </c>
      <c r="G510" s="25" t="s">
        <v>1484</v>
      </c>
      <c r="H510" s="19" t="s">
        <v>1536</v>
      </c>
      <c r="I510" s="19" t="s">
        <v>788</v>
      </c>
      <c r="J510" s="19" t="s">
        <v>26</v>
      </c>
      <c r="K510" s="19" t="s">
        <v>407</v>
      </c>
      <c r="L510" s="86" t="s">
        <v>60</v>
      </c>
      <c r="M510" s="15">
        <v>2023</v>
      </c>
      <c r="N510" s="15" t="s">
        <v>60</v>
      </c>
      <c r="O510" s="15">
        <v>2025</v>
      </c>
      <c r="P510" s="15">
        <v>2023</v>
      </c>
      <c r="Q510" s="15"/>
      <c r="R510" s="16"/>
      <c r="S510" s="16" t="str">
        <f ca="1">IF(
  O510 &lt; YEAR(TODAY()),
  "LULUS",
  IF(
    O510 = YEAR(TODAY()),
    IF(
      MATCH(L510, {"Januari";"Februari";"Maret";"April";"Mei";"Juni";"Juli";"Agustus";"September";"Oktober";"November";"Desember"}, 0)
        &gt;= MONTH(TODAY()),
      "AKTIF (Semester " &amp;
        (INT((12*(YEAR(TODAY())-M510) + MONTH(TODAY()) -
          MATCH(L510, {"Januari";"Februari";"Maret";"April";"Mei";"Juni";"Juli";"Agustus";"September";"Oktober";"November";"Desember"}, 0)) / 6) + 1) &amp; ")",
      "LULUS"
    ),
    "AKTIF (Semester " &amp;
      (INT((12*(YEAR(TODAY())-M510) + MONTH(TODAY()) -
        MATCH(L510, {"Januari";"Februari";"Maret";"April";"Mei";"Juni";"Juli";"Agustus";"September";"Oktober";"November";"Desember"}, 0)) / 6) + 1) &amp; ")"
  )
)</f>
        <v>LULUS</v>
      </c>
      <c r="T510" s="16" t="str">
        <f ca="1">IF(O510 &lt; YEAR(TODAY()), "LULUS",
 IF(O510 = YEAR(TODAY()),
    IF(MATCH(N510, {"Januari";"Februari";"Maret";"April";"Mei";"Juni";"Juli";"Agustus";"September";"Oktober";"November";"Desember"},0)
        &lt;= MONTH(TODAY()),
        "LULUS",
        "AKTIF"),
 "AKTIF"))</f>
        <v>LULUS</v>
      </c>
      <c r="U510" s="16" t="s">
        <v>29</v>
      </c>
      <c r="V510" s="15"/>
      <c r="W510" s="15"/>
      <c r="X510" s="15"/>
      <c r="Y510" s="15"/>
      <c r="Z510" s="15"/>
    </row>
    <row r="511" spans="1:26" ht="29" customHeight="1" x14ac:dyDescent="0.35">
      <c r="A511" s="12">
        <v>510</v>
      </c>
      <c r="B511" s="25" t="s">
        <v>1739</v>
      </c>
      <c r="C511" s="69" t="s">
        <v>1740</v>
      </c>
      <c r="D511" s="24" t="s">
        <v>471</v>
      </c>
      <c r="E511" s="14" t="str">
        <f t="shared" si="8"/>
        <v>Laki-Laki</v>
      </c>
      <c r="F511" s="72" t="s">
        <v>1673</v>
      </c>
      <c r="G511" s="25" t="s">
        <v>1484</v>
      </c>
      <c r="H511" s="19" t="s">
        <v>1536</v>
      </c>
      <c r="I511" s="19" t="s">
        <v>788</v>
      </c>
      <c r="J511" s="19" t="s">
        <v>26</v>
      </c>
      <c r="K511" s="19" t="s">
        <v>407</v>
      </c>
      <c r="L511" s="86" t="s">
        <v>60</v>
      </c>
      <c r="M511" s="15">
        <v>2023</v>
      </c>
      <c r="N511" s="15" t="s">
        <v>60</v>
      </c>
      <c r="O511" s="15">
        <v>2025</v>
      </c>
      <c r="P511" s="15">
        <v>2023</v>
      </c>
      <c r="Q511" s="15"/>
      <c r="R511" s="16"/>
      <c r="S511" s="16" t="str">
        <f ca="1">IF(
  O511 &lt; YEAR(TODAY()),
  "LULUS",
  IF(
    O511 = YEAR(TODAY()),
    IF(
      MATCH(L511, {"Januari";"Februari";"Maret";"April";"Mei";"Juni";"Juli";"Agustus";"September";"Oktober";"November";"Desember"}, 0)
        &gt;= MONTH(TODAY()),
      "AKTIF (Semester " &amp;
        (INT((12*(YEAR(TODAY())-M511) + MONTH(TODAY()) -
          MATCH(L511, {"Januari";"Februari";"Maret";"April";"Mei";"Juni";"Juli";"Agustus";"September";"Oktober";"November";"Desember"}, 0)) / 6) + 1) &amp; ")",
      "LULUS"
    ),
    "AKTIF (Semester " &amp;
      (INT((12*(YEAR(TODAY())-M511) + MONTH(TODAY()) -
        MATCH(L511, {"Januari";"Februari";"Maret";"April";"Mei";"Juni";"Juli";"Agustus";"September";"Oktober";"November";"Desember"}, 0)) / 6) + 1) &amp; ")"
  )
)</f>
        <v>LULUS</v>
      </c>
      <c r="T511" s="16" t="str">
        <f ca="1">IF(O511 &lt; YEAR(TODAY()), "LULUS",
 IF(O511 = YEAR(TODAY()),
    IF(MATCH(N511, {"Januari";"Februari";"Maret";"April";"Mei";"Juni";"Juli";"Agustus";"September";"Oktober";"November";"Desember"},0)
        &lt;= MONTH(TODAY()),
        "LULUS",
        "AKTIF"),
 "AKTIF"))</f>
        <v>LULUS</v>
      </c>
      <c r="U511" s="16" t="s">
        <v>29</v>
      </c>
      <c r="V511" s="15"/>
      <c r="W511" s="15"/>
      <c r="X511" s="15"/>
      <c r="Y511" s="15"/>
      <c r="Z511" s="15"/>
    </row>
    <row r="512" spans="1:26" ht="29" customHeight="1" x14ac:dyDescent="0.35">
      <c r="A512" s="12">
        <v>511</v>
      </c>
      <c r="B512" s="25" t="s">
        <v>1741</v>
      </c>
      <c r="C512" s="69" t="s">
        <v>1742</v>
      </c>
      <c r="D512" s="24" t="s">
        <v>471</v>
      </c>
      <c r="E512" s="14" t="str">
        <f t="shared" si="8"/>
        <v>Perempuan</v>
      </c>
      <c r="F512" s="72" t="s">
        <v>1673</v>
      </c>
      <c r="G512" s="25" t="s">
        <v>1484</v>
      </c>
      <c r="H512" s="19" t="s">
        <v>1536</v>
      </c>
      <c r="I512" s="19" t="s">
        <v>788</v>
      </c>
      <c r="J512" s="19" t="s">
        <v>26</v>
      </c>
      <c r="K512" s="19" t="s">
        <v>407</v>
      </c>
      <c r="L512" s="86" t="s">
        <v>60</v>
      </c>
      <c r="M512" s="15">
        <v>2023</v>
      </c>
      <c r="N512" s="15" t="s">
        <v>60</v>
      </c>
      <c r="O512" s="15">
        <v>2025</v>
      </c>
      <c r="P512" s="15">
        <v>2023</v>
      </c>
      <c r="Q512" s="15"/>
      <c r="R512" s="16"/>
      <c r="S512" s="16" t="str">
        <f ca="1">IF(
  O512 &lt; YEAR(TODAY()),
  "LULUS",
  IF(
    O512 = YEAR(TODAY()),
    IF(
      MATCH(L512, {"Januari";"Februari";"Maret";"April";"Mei";"Juni";"Juli";"Agustus";"September";"Oktober";"November";"Desember"}, 0)
        &gt;= MONTH(TODAY()),
      "AKTIF (Semester " &amp;
        (INT((12*(YEAR(TODAY())-M512) + MONTH(TODAY()) -
          MATCH(L512, {"Januari";"Februari";"Maret";"April";"Mei";"Juni";"Juli";"Agustus";"September";"Oktober";"November";"Desember"}, 0)) / 6) + 1) &amp; ")",
      "LULUS"
    ),
    "AKTIF (Semester " &amp;
      (INT((12*(YEAR(TODAY())-M512) + MONTH(TODAY()) -
        MATCH(L512, {"Januari";"Februari";"Maret";"April";"Mei";"Juni";"Juli";"Agustus";"September";"Oktober";"November";"Desember"}, 0)) / 6) + 1) &amp; ")"
  )
)</f>
        <v>LULUS</v>
      </c>
      <c r="T512" s="16" t="str">
        <f ca="1">IF(O512 &lt; YEAR(TODAY()), "LULUS",
 IF(O512 = YEAR(TODAY()),
    IF(MATCH(N512, {"Januari";"Februari";"Maret";"April";"Mei";"Juni";"Juli";"Agustus";"September";"Oktober";"November";"Desember"},0)
        &lt;= MONTH(TODAY()),
        "LULUS",
        "AKTIF"),
 "AKTIF"))</f>
        <v>LULUS</v>
      </c>
      <c r="U512" s="16" t="s">
        <v>29</v>
      </c>
      <c r="V512" s="15"/>
      <c r="W512" s="15"/>
      <c r="X512" s="15"/>
      <c r="Y512" s="15"/>
      <c r="Z512" s="15"/>
    </row>
    <row r="513" spans="1:26" ht="29" customHeight="1" x14ac:dyDescent="0.35">
      <c r="A513" s="12">
        <v>512</v>
      </c>
      <c r="B513" s="25" t="s">
        <v>1743</v>
      </c>
      <c r="C513" s="69" t="s">
        <v>1744</v>
      </c>
      <c r="D513" s="24" t="s">
        <v>471</v>
      </c>
      <c r="E513" s="14" t="str">
        <f t="shared" si="8"/>
        <v>Perempuan</v>
      </c>
      <c r="F513" s="72" t="s">
        <v>1673</v>
      </c>
      <c r="G513" s="25" t="s">
        <v>1484</v>
      </c>
      <c r="H513" s="19" t="s">
        <v>1536</v>
      </c>
      <c r="I513" s="19" t="s">
        <v>788</v>
      </c>
      <c r="J513" s="19" t="s">
        <v>26</v>
      </c>
      <c r="K513" s="19" t="s">
        <v>407</v>
      </c>
      <c r="L513" s="86" t="s">
        <v>60</v>
      </c>
      <c r="M513" s="15">
        <v>2023</v>
      </c>
      <c r="N513" s="15" t="s">
        <v>60</v>
      </c>
      <c r="O513" s="15">
        <v>2025</v>
      </c>
      <c r="P513" s="15">
        <v>2023</v>
      </c>
      <c r="Q513" s="15"/>
      <c r="R513" s="16"/>
      <c r="S513" s="16" t="str">
        <f ca="1">IF(
  O513 &lt; YEAR(TODAY()),
  "LULUS",
  IF(
    O513 = YEAR(TODAY()),
    IF(
      MATCH(L513, {"Januari";"Februari";"Maret";"April";"Mei";"Juni";"Juli";"Agustus";"September";"Oktober";"November";"Desember"}, 0)
        &gt;= MONTH(TODAY()),
      "AKTIF (Semester " &amp;
        (INT((12*(YEAR(TODAY())-M513) + MONTH(TODAY()) -
          MATCH(L513, {"Januari";"Februari";"Maret";"April";"Mei";"Juni";"Juli";"Agustus";"September";"Oktober";"November";"Desember"}, 0)) / 6) + 1) &amp; ")",
      "LULUS"
    ),
    "AKTIF (Semester " &amp;
      (INT((12*(YEAR(TODAY())-M513) + MONTH(TODAY()) -
        MATCH(L513, {"Januari";"Februari";"Maret";"April";"Mei";"Juni";"Juli";"Agustus";"September";"Oktober";"November";"Desember"}, 0)) / 6) + 1) &amp; ")"
  )
)</f>
        <v>LULUS</v>
      </c>
      <c r="T513" s="16" t="str">
        <f ca="1">IF(O513 &lt; YEAR(TODAY()), "LULUS",
 IF(O513 = YEAR(TODAY()),
    IF(MATCH(N513, {"Januari";"Februari";"Maret";"April";"Mei";"Juni";"Juli";"Agustus";"September";"Oktober";"November";"Desember"},0)
        &lt;= MONTH(TODAY()),
        "LULUS",
        "AKTIF"),
 "AKTIF"))</f>
        <v>LULUS</v>
      </c>
      <c r="U513" s="16" t="s">
        <v>29</v>
      </c>
      <c r="V513" s="15"/>
      <c r="W513" s="15"/>
      <c r="X513" s="15"/>
      <c r="Y513" s="15"/>
      <c r="Z513" s="15"/>
    </row>
    <row r="514" spans="1:26" ht="29" customHeight="1" x14ac:dyDescent="0.35">
      <c r="A514" s="12">
        <v>513</v>
      </c>
      <c r="B514" s="25" t="s">
        <v>1745</v>
      </c>
      <c r="C514" s="69" t="s">
        <v>1746</v>
      </c>
      <c r="D514" s="24" t="s">
        <v>471</v>
      </c>
      <c r="E514" s="14" t="str">
        <f t="shared" si="8"/>
        <v>Laki-Laki</v>
      </c>
      <c r="F514" s="72" t="s">
        <v>1673</v>
      </c>
      <c r="G514" s="25" t="s">
        <v>1484</v>
      </c>
      <c r="H514" s="19" t="s">
        <v>1536</v>
      </c>
      <c r="I514" s="19" t="s">
        <v>788</v>
      </c>
      <c r="J514" s="19" t="s">
        <v>26</v>
      </c>
      <c r="K514" s="19" t="s">
        <v>407</v>
      </c>
      <c r="L514" s="86" t="s">
        <v>60</v>
      </c>
      <c r="M514" s="15">
        <v>2023</v>
      </c>
      <c r="N514" s="15" t="s">
        <v>60</v>
      </c>
      <c r="O514" s="15">
        <v>2025</v>
      </c>
      <c r="P514" s="15">
        <v>2023</v>
      </c>
      <c r="Q514" s="15"/>
      <c r="R514" s="16"/>
      <c r="S514" s="16" t="str">
        <f ca="1">IF(
  O514 &lt; YEAR(TODAY()),
  "LULUS",
  IF(
    O514 = YEAR(TODAY()),
    IF(
      MATCH(L514, {"Januari";"Februari";"Maret";"April";"Mei";"Juni";"Juli";"Agustus";"September";"Oktober";"November";"Desember"}, 0)
        &gt;= MONTH(TODAY()),
      "AKTIF (Semester " &amp;
        (INT((12*(YEAR(TODAY())-M514) + MONTH(TODAY()) -
          MATCH(L514, {"Januari";"Februari";"Maret";"April";"Mei";"Juni";"Juli";"Agustus";"September";"Oktober";"November";"Desember"}, 0)) / 6) + 1) &amp; ")",
      "LULUS"
    ),
    "AKTIF (Semester " &amp;
      (INT((12*(YEAR(TODAY())-M514) + MONTH(TODAY()) -
        MATCH(L514, {"Januari";"Februari";"Maret";"April";"Mei";"Juni";"Juli";"Agustus";"September";"Oktober";"November";"Desember"}, 0)) / 6) + 1) &amp; ")"
  )
)</f>
        <v>LULUS</v>
      </c>
      <c r="T514" s="16" t="str">
        <f ca="1">IF(O514 &lt; YEAR(TODAY()), "LULUS",
 IF(O514 = YEAR(TODAY()),
    IF(MATCH(N514, {"Januari";"Februari";"Maret";"April";"Mei";"Juni";"Juli";"Agustus";"September";"Oktober";"November";"Desember"},0)
        &lt;= MONTH(TODAY()),
        "LULUS",
        "AKTIF"),
 "AKTIF"))</f>
        <v>LULUS</v>
      </c>
      <c r="U514" s="16" t="s">
        <v>29</v>
      </c>
      <c r="V514" s="15"/>
      <c r="W514" s="15"/>
      <c r="X514" s="15"/>
      <c r="Y514" s="15"/>
      <c r="Z514" s="15"/>
    </row>
    <row r="515" spans="1:26" ht="29" customHeight="1" x14ac:dyDescent="0.35">
      <c r="A515" s="12">
        <v>514</v>
      </c>
      <c r="B515" s="25" t="s">
        <v>1747</v>
      </c>
      <c r="C515" s="69" t="s">
        <v>1748</v>
      </c>
      <c r="D515" s="24" t="s">
        <v>471</v>
      </c>
      <c r="E515" s="14" t="str">
        <f t="shared" si="8"/>
        <v>Perempuan</v>
      </c>
      <c r="F515" s="72" t="s">
        <v>1749</v>
      </c>
      <c r="G515" s="25" t="s">
        <v>1484</v>
      </c>
      <c r="H515" s="19" t="s">
        <v>1750</v>
      </c>
      <c r="I515" s="19" t="s">
        <v>1751</v>
      </c>
      <c r="J515" s="19" t="s">
        <v>242</v>
      </c>
      <c r="K515" s="19" t="s">
        <v>50</v>
      </c>
      <c r="L515" s="86" t="s">
        <v>60</v>
      </c>
      <c r="M515" s="15">
        <v>2023</v>
      </c>
      <c r="N515" s="15" t="s">
        <v>60</v>
      </c>
      <c r="O515" s="15">
        <v>2026</v>
      </c>
      <c r="P515" s="15">
        <v>2023</v>
      </c>
      <c r="Q515" s="15"/>
      <c r="R515" s="16"/>
      <c r="S515" s="16" t="str">
        <f ca="1">IF(
  O515 &lt; YEAR(TODAY()),
  "LULUS",
  IF(
    O515 = YEAR(TODAY()),
    IF(
      MATCH(L515, {"Januari";"Februari";"Maret";"April";"Mei";"Juni";"Juli";"Agustus";"September";"Oktober";"November";"Desember"}, 0)
        &gt;= MONTH(TODAY()),
      "AKTIF (Semester " &amp;
        (INT((12*(YEAR(TODAY())-M515) + MONTH(TODAY()) -
          MATCH(L515, {"Januari";"Februari";"Maret";"April";"Mei";"Juni";"Juli";"Agustus";"September";"Oktober";"November";"Desember"}, 0)) / 6) + 1) &amp; ")",
      "LULUS"
    ),
    "AKTIF (Semester " &amp;
      (INT((12*(YEAR(TODAY())-M515) + MONTH(TODAY()) -
        MATCH(L515, {"Januari";"Februari";"Maret";"April";"Mei";"Juni";"Juli";"Agustus";"September";"Oktober";"November";"Desember"}, 0)) / 6) + 1) &amp; ")"
  )
)</f>
        <v>AKTIF (Semester 5)</v>
      </c>
      <c r="T515" s="16" t="str">
        <f ca="1">IF(O515 &lt; YEAR(TODAY()), "LULUS",
 IF(O515 = YEAR(TODAY()),
    IF(MATCH(N515, {"Januari";"Februari";"Maret";"April";"Mei";"Juni";"Juli";"Agustus";"September";"Oktober";"November";"Desember"},0)
        &lt;= MONTH(TODAY()),
        "LULUS",
        "AKTIF"),
 "AKTIF"))</f>
        <v>AKTIF</v>
      </c>
      <c r="U515" s="16" t="s">
        <v>2941</v>
      </c>
      <c r="V515" s="15"/>
      <c r="W515" s="15"/>
      <c r="X515" s="15"/>
      <c r="Y515" s="15"/>
      <c r="Z515" s="15"/>
    </row>
    <row r="516" spans="1:26" ht="29" customHeight="1" x14ac:dyDescent="0.35">
      <c r="A516" s="12">
        <v>515</v>
      </c>
      <c r="B516" s="25" t="s">
        <v>1752</v>
      </c>
      <c r="C516" s="69" t="s">
        <v>1753</v>
      </c>
      <c r="D516" s="24" t="s">
        <v>126</v>
      </c>
      <c r="E516" s="14" t="str">
        <f t="shared" si="8"/>
        <v>Perempuan</v>
      </c>
      <c r="F516" s="72" t="s">
        <v>1657</v>
      </c>
      <c r="G516" s="25" t="s">
        <v>1484</v>
      </c>
      <c r="H516" s="19" t="s">
        <v>1754</v>
      </c>
      <c r="I516" s="19" t="s">
        <v>90</v>
      </c>
      <c r="J516" s="19" t="s">
        <v>45</v>
      </c>
      <c r="K516" s="19" t="s">
        <v>728</v>
      </c>
      <c r="L516" s="86" t="s">
        <v>169</v>
      </c>
      <c r="M516" s="15">
        <v>2023</v>
      </c>
      <c r="N516" s="15" t="s">
        <v>169</v>
      </c>
      <c r="O516" s="15">
        <v>2027</v>
      </c>
      <c r="P516" s="15">
        <v>2023</v>
      </c>
      <c r="Q516" s="15"/>
      <c r="R516" s="16"/>
      <c r="S516" s="16" t="str">
        <f ca="1">IF(
  O516 &lt; YEAR(TODAY()),
  "LULUS",
  IF(
    O516 = YEAR(TODAY()),
    IF(
      MATCH(L516, {"Januari";"Februari";"Maret";"April";"Mei";"Juni";"Juli";"Agustus";"September";"Oktober";"November";"Desember"}, 0)
        &gt;= MONTH(TODAY()),
      "AKTIF (Semester " &amp;
        (INT((12*(YEAR(TODAY())-M516) + MONTH(TODAY()) -
          MATCH(L516, {"Januari";"Februari";"Maret";"April";"Mei";"Juni";"Juli";"Agustus";"September";"Oktober";"November";"Desember"}, 0)) / 6) + 1) &amp; ")",
      "LULUS"
    ),
    "AKTIF (Semester " &amp;
      (INT((12*(YEAR(TODAY())-M516) + MONTH(TODAY()) -
        MATCH(L516, {"Januari";"Februari";"Maret";"April";"Mei";"Juni";"Juli";"Agustus";"September";"Oktober";"November";"Desember"}, 0)) / 6) + 1) &amp; ")"
  )
)</f>
        <v>AKTIF (Semester 5)</v>
      </c>
      <c r="T516" s="16" t="str">
        <f ca="1">IF(O516 &lt; YEAR(TODAY()), "LULUS",
 IF(O516 = YEAR(TODAY()),
    IF(MATCH(N516, {"Januari";"Februari";"Maret";"April";"Mei";"Juni";"Juli";"Agustus";"September";"Oktober";"November";"Desember"},0)
        &lt;= MONTH(TODAY()),
        "LULUS",
        "AKTIF"),
 "AKTIF"))</f>
        <v>AKTIF</v>
      </c>
      <c r="U516" s="16" t="s">
        <v>2941</v>
      </c>
      <c r="V516" s="15"/>
      <c r="W516" s="15"/>
      <c r="X516" s="15"/>
      <c r="Y516" s="15"/>
      <c r="Z516" s="15"/>
    </row>
    <row r="517" spans="1:26" ht="29" customHeight="1" x14ac:dyDescent="0.35">
      <c r="A517" s="12">
        <v>516</v>
      </c>
      <c r="B517" s="25" t="s">
        <v>1755</v>
      </c>
      <c r="C517" s="69" t="s">
        <v>1756</v>
      </c>
      <c r="D517" s="24" t="s">
        <v>126</v>
      </c>
      <c r="E517" s="14" t="str">
        <f t="shared" si="8"/>
        <v>Perempuan</v>
      </c>
      <c r="F517" s="72" t="s">
        <v>105</v>
      </c>
      <c r="G517" s="25" t="s">
        <v>1484</v>
      </c>
      <c r="H517" s="19" t="s">
        <v>1757</v>
      </c>
      <c r="I517" s="15" t="s">
        <v>2933</v>
      </c>
      <c r="J517" s="19" t="s">
        <v>45</v>
      </c>
      <c r="K517" s="19" t="s">
        <v>46</v>
      </c>
      <c r="L517" s="86" t="s">
        <v>28</v>
      </c>
      <c r="M517" s="15">
        <v>2023</v>
      </c>
      <c r="N517" s="15" t="s">
        <v>28</v>
      </c>
      <c r="O517" s="15">
        <v>2027</v>
      </c>
      <c r="P517" s="15">
        <v>2023</v>
      </c>
      <c r="Q517" s="15"/>
      <c r="R517" s="16"/>
      <c r="S517" s="16" t="str">
        <f ca="1">IF(
  O517 &lt; YEAR(TODAY()),
  "LULUS",
  IF(
    O517 = YEAR(TODAY()),
    IF(
      MATCH(L517, {"Januari";"Februari";"Maret";"April";"Mei";"Juni";"Juli";"Agustus";"September";"Oktober";"November";"Desember"}, 0)
        &gt;= MONTH(TODAY()),
      "AKTIF (Semester " &amp;
        (INT((12*(YEAR(TODAY())-M517) + MONTH(TODAY()) -
          MATCH(L517, {"Januari";"Februari";"Maret";"April";"Mei";"Juni";"Juli";"Agustus";"September";"Oktober";"November";"Desember"}, 0)) / 6) + 1) &amp; ")",
      "LULUS"
    ),
    "AKTIF (Semester " &amp;
      (INT((12*(YEAR(TODAY())-M517) + MONTH(TODAY()) -
        MATCH(L517, {"Januari";"Februari";"Maret";"April";"Mei";"Juni";"Juli";"Agustus";"September";"Oktober";"November";"Desember"}, 0)) / 6) + 1) &amp; ")"
  )
)</f>
        <v>AKTIF (Semester 5)</v>
      </c>
      <c r="T517" s="16" t="str">
        <f ca="1">IF(O517 &lt; YEAR(TODAY()), "LULUS",
 IF(O517 = YEAR(TODAY()),
    IF(MATCH(N517, {"Januari";"Februari";"Maret";"April";"Mei";"Juni";"Juli";"Agustus";"September";"Oktober";"November";"Desember"},0)
        &lt;= MONTH(TODAY()),
        "LULUS",
        "AKTIF"),
 "AKTIF"))</f>
        <v>AKTIF</v>
      </c>
      <c r="U517" s="16" t="s">
        <v>2941</v>
      </c>
      <c r="V517" s="15"/>
      <c r="W517" s="15"/>
      <c r="X517" s="15"/>
      <c r="Y517" s="15"/>
      <c r="Z517" s="15"/>
    </row>
    <row r="518" spans="1:26" ht="29" customHeight="1" x14ac:dyDescent="0.35">
      <c r="A518" s="12">
        <v>517</v>
      </c>
      <c r="B518" s="25" t="s">
        <v>1759</v>
      </c>
      <c r="C518" s="69" t="s">
        <v>1760</v>
      </c>
      <c r="D518" s="24" t="s">
        <v>104</v>
      </c>
      <c r="E518" s="14" t="str">
        <f t="shared" si="8"/>
        <v>Laki-Laki</v>
      </c>
      <c r="F518" s="72" t="s">
        <v>1657</v>
      </c>
      <c r="G518" s="25" t="s">
        <v>1484</v>
      </c>
      <c r="H518" s="19" t="s">
        <v>1761</v>
      </c>
      <c r="I518" s="19" t="s">
        <v>90</v>
      </c>
      <c r="J518" s="19" t="s">
        <v>45</v>
      </c>
      <c r="K518" s="19" t="s">
        <v>728</v>
      </c>
      <c r="L518" s="86" t="s">
        <v>28</v>
      </c>
      <c r="M518" s="15">
        <v>2023</v>
      </c>
      <c r="N518" s="15" t="s">
        <v>28</v>
      </c>
      <c r="O518" s="15">
        <v>2027</v>
      </c>
      <c r="P518" s="15">
        <v>2023</v>
      </c>
      <c r="Q518" s="15"/>
      <c r="R518" s="16"/>
      <c r="S518" s="16" t="str">
        <f ca="1">IF(
  O518 &lt; YEAR(TODAY()),
  "LULUS",
  IF(
    O518 = YEAR(TODAY()),
    IF(
      MATCH(L518, {"Januari";"Februari";"Maret";"April";"Mei";"Juni";"Juli";"Agustus";"September";"Oktober";"November";"Desember"}, 0)
        &gt;= MONTH(TODAY()),
      "AKTIF (Semester " &amp;
        (INT((12*(YEAR(TODAY())-M518) + MONTH(TODAY()) -
          MATCH(L518, {"Januari";"Februari";"Maret";"April";"Mei";"Juni";"Juli";"Agustus";"September";"Oktober";"November";"Desember"}, 0)) / 6) + 1) &amp; ")",
      "LULUS"
    ),
    "AKTIF (Semester " &amp;
      (INT((12*(YEAR(TODAY())-M518) + MONTH(TODAY()) -
        MATCH(L518, {"Januari";"Februari";"Maret";"April";"Mei";"Juni";"Juli";"Agustus";"September";"Oktober";"November";"Desember"}, 0)) / 6) + 1) &amp; ")"
  )
)</f>
        <v>AKTIF (Semester 5)</v>
      </c>
      <c r="T518" s="16" t="str">
        <f ca="1">IF(O518 &lt; YEAR(TODAY()), "LULUS",
 IF(O518 = YEAR(TODAY()),
    IF(MATCH(N518, {"Januari";"Februari";"Maret";"April";"Mei";"Juni";"Juli";"Agustus";"September";"Oktober";"November";"Desember"},0)
        &lt;= MONTH(TODAY()),
        "LULUS",
        "AKTIF"),
 "AKTIF"))</f>
        <v>AKTIF</v>
      </c>
      <c r="U518" s="16" t="s">
        <v>2941</v>
      </c>
      <c r="V518" s="15"/>
      <c r="W518" s="15"/>
      <c r="X518" s="15"/>
      <c r="Y518" s="15"/>
      <c r="Z518" s="15"/>
    </row>
    <row r="519" spans="1:26" ht="29" customHeight="1" x14ac:dyDescent="0.35">
      <c r="A519" s="12">
        <v>518</v>
      </c>
      <c r="B519" s="25" t="s">
        <v>1762</v>
      </c>
      <c r="C519" s="69" t="s">
        <v>1763</v>
      </c>
      <c r="D519" s="24" t="s">
        <v>98</v>
      </c>
      <c r="E519" s="14" t="str">
        <f t="shared" si="8"/>
        <v>Laki-Laki</v>
      </c>
      <c r="F519" s="72" t="s">
        <v>1716</v>
      </c>
      <c r="G519" s="25" t="s">
        <v>1484</v>
      </c>
      <c r="H519" s="19" t="s">
        <v>1761</v>
      </c>
      <c r="I519" s="19" t="s">
        <v>90</v>
      </c>
      <c r="J519" s="19" t="s">
        <v>45</v>
      </c>
      <c r="K519" s="19" t="s">
        <v>728</v>
      </c>
      <c r="L519" s="86" t="s">
        <v>28</v>
      </c>
      <c r="M519" s="15">
        <v>2023</v>
      </c>
      <c r="N519" s="15" t="s">
        <v>28</v>
      </c>
      <c r="O519" s="15">
        <v>2027</v>
      </c>
      <c r="P519" s="15">
        <v>2023</v>
      </c>
      <c r="Q519" s="15"/>
      <c r="R519" s="16"/>
      <c r="S519" s="16" t="str">
        <f ca="1">IF(
  O519 &lt; YEAR(TODAY()),
  "LULUS",
  IF(
    O519 = YEAR(TODAY()),
    IF(
      MATCH(L519, {"Januari";"Februari";"Maret";"April";"Mei";"Juni";"Juli";"Agustus";"September";"Oktober";"November";"Desember"}, 0)
        &gt;= MONTH(TODAY()),
      "AKTIF (Semester " &amp;
        (INT((12*(YEAR(TODAY())-M519) + MONTH(TODAY()) -
          MATCH(L519, {"Januari";"Februari";"Maret";"April";"Mei";"Juni";"Juli";"Agustus";"September";"Oktober";"November";"Desember"}, 0)) / 6) + 1) &amp; ")",
      "LULUS"
    ),
    "AKTIF (Semester " &amp;
      (INT((12*(YEAR(TODAY())-M519) + MONTH(TODAY()) -
        MATCH(L519, {"Januari";"Februari";"Maret";"April";"Mei";"Juni";"Juli";"Agustus";"September";"Oktober";"November";"Desember"}, 0)) / 6) + 1) &amp; ")"
  )
)</f>
        <v>AKTIF (Semester 5)</v>
      </c>
      <c r="T519" s="16" t="str">
        <f ca="1">IF(O519 &lt; YEAR(TODAY()), "LULUS",
 IF(O519 = YEAR(TODAY()),
    IF(MATCH(N519, {"Januari";"Februari";"Maret";"April";"Mei";"Juni";"Juli";"Agustus";"September";"Oktober";"November";"Desember"},0)
        &lt;= MONTH(TODAY()),
        "LULUS",
        "AKTIF"),
 "AKTIF"))</f>
        <v>AKTIF</v>
      </c>
      <c r="U519" s="16" t="s">
        <v>2941</v>
      </c>
      <c r="V519" s="15"/>
      <c r="W519" s="15"/>
      <c r="X519" s="15"/>
      <c r="Y519" s="15"/>
      <c r="Z519" s="15"/>
    </row>
    <row r="520" spans="1:26" ht="29" customHeight="1" x14ac:dyDescent="0.35">
      <c r="A520" s="12">
        <v>519</v>
      </c>
      <c r="B520" s="25" t="s">
        <v>1764</v>
      </c>
      <c r="C520" s="69" t="s">
        <v>1765</v>
      </c>
      <c r="D520" s="24" t="s">
        <v>382</v>
      </c>
      <c r="E520" s="14" t="str">
        <f t="shared" si="8"/>
        <v>Laki-Laki</v>
      </c>
      <c r="F520" s="72" t="s">
        <v>1716</v>
      </c>
      <c r="G520" s="25" t="s">
        <v>1484</v>
      </c>
      <c r="H520" s="19" t="s">
        <v>1761</v>
      </c>
      <c r="I520" s="19" t="s">
        <v>90</v>
      </c>
      <c r="J520" s="19" t="s">
        <v>45</v>
      </c>
      <c r="K520" s="19" t="s">
        <v>728</v>
      </c>
      <c r="L520" s="86" t="s">
        <v>28</v>
      </c>
      <c r="M520" s="15">
        <v>2023</v>
      </c>
      <c r="N520" s="15" t="s">
        <v>28</v>
      </c>
      <c r="O520" s="15">
        <v>2027</v>
      </c>
      <c r="P520" s="15">
        <v>2023</v>
      </c>
      <c r="Q520" s="15"/>
      <c r="R520" s="16"/>
      <c r="S520" s="16" t="str">
        <f ca="1">IF(
  O520 &lt; YEAR(TODAY()),
  "LULUS",
  IF(
    O520 = YEAR(TODAY()),
    IF(
      MATCH(L520, {"Januari";"Februari";"Maret";"April";"Mei";"Juni";"Juli";"Agustus";"September";"Oktober";"November";"Desember"}, 0)
        &gt;= MONTH(TODAY()),
      "AKTIF (Semester " &amp;
        (INT((12*(YEAR(TODAY())-M520) + MONTH(TODAY()) -
          MATCH(L520, {"Januari";"Februari";"Maret";"April";"Mei";"Juni";"Juli";"Agustus";"September";"Oktober";"November";"Desember"}, 0)) / 6) + 1) &amp; ")",
      "LULUS"
    ),
    "AKTIF (Semester " &amp;
      (INT((12*(YEAR(TODAY())-M520) + MONTH(TODAY()) -
        MATCH(L520, {"Januari";"Februari";"Maret";"April";"Mei";"Juni";"Juli";"Agustus";"September";"Oktober";"November";"Desember"}, 0)) / 6) + 1) &amp; ")"
  )
)</f>
        <v>AKTIF (Semester 5)</v>
      </c>
      <c r="T520" s="16" t="str">
        <f ca="1">IF(O520 &lt; YEAR(TODAY()), "LULUS",
 IF(O520 = YEAR(TODAY()),
    IF(MATCH(N520, {"Januari";"Februari";"Maret";"April";"Mei";"Juni";"Juli";"Agustus";"September";"Oktober";"November";"Desember"},0)
        &lt;= MONTH(TODAY()),
        "LULUS",
        "AKTIF"),
 "AKTIF"))</f>
        <v>AKTIF</v>
      </c>
      <c r="U520" s="16" t="s">
        <v>2941</v>
      </c>
      <c r="V520" s="15"/>
      <c r="W520" s="15"/>
      <c r="X520" s="15"/>
      <c r="Y520" s="15"/>
      <c r="Z520" s="15"/>
    </row>
    <row r="521" spans="1:26" ht="29" customHeight="1" x14ac:dyDescent="0.35">
      <c r="A521" s="12">
        <v>520</v>
      </c>
      <c r="B521" s="25" t="s">
        <v>1766</v>
      </c>
      <c r="C521" s="69" t="s">
        <v>1767</v>
      </c>
      <c r="D521" s="24" t="s">
        <v>98</v>
      </c>
      <c r="E521" s="14" t="str">
        <f t="shared" si="8"/>
        <v>Laki-Laki</v>
      </c>
      <c r="F521" s="72" t="s">
        <v>1716</v>
      </c>
      <c r="G521" s="25" t="s">
        <v>1484</v>
      </c>
      <c r="H521" s="19" t="s">
        <v>1761</v>
      </c>
      <c r="I521" s="19" t="s">
        <v>90</v>
      </c>
      <c r="J521" s="19" t="s">
        <v>45</v>
      </c>
      <c r="K521" s="19" t="s">
        <v>728</v>
      </c>
      <c r="L521" s="86" t="s">
        <v>28</v>
      </c>
      <c r="M521" s="15">
        <v>2023</v>
      </c>
      <c r="N521" s="15" t="s">
        <v>28</v>
      </c>
      <c r="O521" s="15">
        <v>2027</v>
      </c>
      <c r="P521" s="15">
        <v>2023</v>
      </c>
      <c r="Q521" s="15"/>
      <c r="R521" s="16"/>
      <c r="S521" s="16" t="str">
        <f ca="1">IF(
  O521 &lt; YEAR(TODAY()),
  "LULUS",
  IF(
    O521 = YEAR(TODAY()),
    IF(
      MATCH(L521, {"Januari";"Februari";"Maret";"April";"Mei";"Juni";"Juli";"Agustus";"September";"Oktober";"November";"Desember"}, 0)
        &gt;= MONTH(TODAY()),
      "AKTIF (Semester " &amp;
        (INT((12*(YEAR(TODAY())-M521) + MONTH(TODAY()) -
          MATCH(L521, {"Januari";"Februari";"Maret";"April";"Mei";"Juni";"Juli";"Agustus";"September";"Oktober";"November";"Desember"}, 0)) / 6) + 1) &amp; ")",
      "LULUS"
    ),
    "AKTIF (Semester " &amp;
      (INT((12*(YEAR(TODAY())-M521) + MONTH(TODAY()) -
        MATCH(L521, {"Januari";"Februari";"Maret";"April";"Mei";"Juni";"Juli";"Agustus";"September";"Oktober";"November";"Desember"}, 0)) / 6) + 1) &amp; ")"
  )
)</f>
        <v>AKTIF (Semester 5)</v>
      </c>
      <c r="T521" s="16" t="str">
        <f ca="1">IF(O521 &lt; YEAR(TODAY()), "LULUS",
 IF(O521 = YEAR(TODAY()),
    IF(MATCH(N521, {"Januari";"Februari";"Maret";"April";"Mei";"Juni";"Juli";"Agustus";"September";"Oktober";"November";"Desember"},0)
        &lt;= MONTH(TODAY()),
        "LULUS",
        "AKTIF"),
 "AKTIF"))</f>
        <v>AKTIF</v>
      </c>
      <c r="U521" s="16" t="s">
        <v>2941</v>
      </c>
      <c r="V521" s="15"/>
      <c r="W521" s="15"/>
      <c r="X521" s="15"/>
      <c r="Y521" s="15"/>
      <c r="Z521" s="15"/>
    </row>
    <row r="522" spans="1:26" ht="29" customHeight="1" x14ac:dyDescent="0.35">
      <c r="A522" s="12">
        <v>521</v>
      </c>
      <c r="B522" s="25" t="s">
        <v>1768</v>
      </c>
      <c r="C522" s="69" t="s">
        <v>1769</v>
      </c>
      <c r="D522" s="24" t="s">
        <v>87</v>
      </c>
      <c r="E522" s="14" t="str">
        <f t="shared" si="8"/>
        <v>Laki-Laki</v>
      </c>
      <c r="F522" s="72" t="s">
        <v>1722</v>
      </c>
      <c r="G522" s="25" t="s">
        <v>1484</v>
      </c>
      <c r="H522" s="19" t="s">
        <v>1761</v>
      </c>
      <c r="I522" s="19" t="s">
        <v>90</v>
      </c>
      <c r="J522" s="19" t="s">
        <v>45</v>
      </c>
      <c r="K522" s="19" t="s">
        <v>728</v>
      </c>
      <c r="L522" s="86" t="s">
        <v>28</v>
      </c>
      <c r="M522" s="15">
        <v>2023</v>
      </c>
      <c r="N522" s="15" t="s">
        <v>28</v>
      </c>
      <c r="O522" s="15">
        <v>2027</v>
      </c>
      <c r="P522" s="15">
        <v>2023</v>
      </c>
      <c r="Q522" s="15"/>
      <c r="R522" s="16"/>
      <c r="S522" s="16" t="str">
        <f ca="1">IF(
  O522 &lt; YEAR(TODAY()),
  "LULUS",
  IF(
    O522 = YEAR(TODAY()),
    IF(
      MATCH(L522, {"Januari";"Februari";"Maret";"April";"Mei";"Juni";"Juli";"Agustus";"September";"Oktober";"November";"Desember"}, 0)
        &gt;= MONTH(TODAY()),
      "AKTIF (Semester " &amp;
        (INT((12*(YEAR(TODAY())-M522) + MONTH(TODAY()) -
          MATCH(L522, {"Januari";"Februari";"Maret";"April";"Mei";"Juni";"Juli";"Agustus";"September";"Oktober";"November";"Desember"}, 0)) / 6) + 1) &amp; ")",
      "LULUS"
    ),
    "AKTIF (Semester " &amp;
      (INT((12*(YEAR(TODAY())-M522) + MONTH(TODAY()) -
        MATCH(L522, {"Januari";"Februari";"Maret";"April";"Mei";"Juni";"Juli";"Agustus";"September";"Oktober";"November";"Desember"}, 0)) / 6) + 1) &amp; ")"
  )
)</f>
        <v>AKTIF (Semester 5)</v>
      </c>
      <c r="T522" s="16" t="str">
        <f ca="1">IF(O522 &lt; YEAR(TODAY()), "LULUS",
 IF(O522 = YEAR(TODAY()),
    IF(MATCH(N522, {"Januari";"Februari";"Maret";"April";"Mei";"Juni";"Juli";"Agustus";"September";"Oktober";"November";"Desember"},0)
        &lt;= MONTH(TODAY()),
        "LULUS",
        "AKTIF"),
 "AKTIF"))</f>
        <v>AKTIF</v>
      </c>
      <c r="U522" s="16" t="s">
        <v>2941</v>
      </c>
      <c r="V522" s="15"/>
      <c r="W522" s="15"/>
      <c r="X522" s="15"/>
      <c r="Y522" s="15"/>
      <c r="Z522" s="15"/>
    </row>
    <row r="523" spans="1:26" ht="29" customHeight="1" x14ac:dyDescent="0.35">
      <c r="A523" s="12">
        <v>522</v>
      </c>
      <c r="B523" s="25" t="s">
        <v>1770</v>
      </c>
      <c r="C523" s="69" t="s">
        <v>1771</v>
      </c>
      <c r="D523" s="24" t="s">
        <v>126</v>
      </c>
      <c r="E523" s="14" t="str">
        <f t="shared" si="8"/>
        <v>Perempuan</v>
      </c>
      <c r="F523" s="72" t="s">
        <v>1657</v>
      </c>
      <c r="G523" s="25" t="s">
        <v>1484</v>
      </c>
      <c r="H523" s="19" t="s">
        <v>1772</v>
      </c>
      <c r="I523" s="19" t="s">
        <v>90</v>
      </c>
      <c r="J523" s="19" t="s">
        <v>45</v>
      </c>
      <c r="K523" s="19" t="s">
        <v>728</v>
      </c>
      <c r="L523" s="86" t="s">
        <v>28</v>
      </c>
      <c r="M523" s="15">
        <v>2023</v>
      </c>
      <c r="N523" s="15" t="s">
        <v>28</v>
      </c>
      <c r="O523" s="15">
        <v>2027</v>
      </c>
      <c r="P523" s="15">
        <v>2023</v>
      </c>
      <c r="Q523" s="15"/>
      <c r="R523" s="16"/>
      <c r="S523" s="16" t="str">
        <f ca="1">IF(
  O523 &lt; YEAR(TODAY()),
  "LULUS",
  IF(
    O523 = YEAR(TODAY()),
    IF(
      MATCH(L523, {"Januari";"Februari";"Maret";"April";"Mei";"Juni";"Juli";"Agustus";"September";"Oktober";"November";"Desember"}, 0)
        &gt;= MONTH(TODAY()),
      "AKTIF (Semester " &amp;
        (INT((12*(YEAR(TODAY())-M523) + MONTH(TODAY()) -
          MATCH(L523, {"Januari";"Februari";"Maret";"April";"Mei";"Juni";"Juli";"Agustus";"September";"Oktober";"November";"Desember"}, 0)) / 6) + 1) &amp; ")",
      "LULUS"
    ),
    "AKTIF (Semester " &amp;
      (INT((12*(YEAR(TODAY())-M523) + MONTH(TODAY()) -
        MATCH(L523, {"Januari";"Februari";"Maret";"April";"Mei";"Juni";"Juli";"Agustus";"September";"Oktober";"November";"Desember"}, 0)) / 6) + 1) &amp; ")"
  )
)</f>
        <v>AKTIF (Semester 5)</v>
      </c>
      <c r="T523" s="16" t="str">
        <f ca="1">IF(O523 &lt; YEAR(TODAY()), "LULUS",
 IF(O523 = YEAR(TODAY()),
    IF(MATCH(N523, {"Januari";"Februari";"Maret";"April";"Mei";"Juni";"Juli";"Agustus";"September";"Oktober";"November";"Desember"},0)
        &lt;= MONTH(TODAY()),
        "LULUS",
        "AKTIF"),
 "AKTIF"))</f>
        <v>AKTIF</v>
      </c>
      <c r="U523" s="16" t="s">
        <v>2941</v>
      </c>
      <c r="V523" s="15"/>
      <c r="W523" s="15"/>
      <c r="X523" s="15"/>
      <c r="Y523" s="15"/>
      <c r="Z523" s="15"/>
    </row>
    <row r="524" spans="1:26" ht="29" customHeight="1" x14ac:dyDescent="0.35">
      <c r="A524" s="12">
        <v>523</v>
      </c>
      <c r="B524" s="25" t="s">
        <v>1773</v>
      </c>
      <c r="C524" s="69" t="s">
        <v>1774</v>
      </c>
      <c r="D524" s="24" t="s">
        <v>104</v>
      </c>
      <c r="E524" s="14" t="str">
        <f t="shared" si="8"/>
        <v>Laki-Laki</v>
      </c>
      <c r="F524" s="72" t="s">
        <v>1657</v>
      </c>
      <c r="G524" s="25" t="s">
        <v>1484</v>
      </c>
      <c r="H524" s="19" t="s">
        <v>1772</v>
      </c>
      <c r="I524" s="19" t="s">
        <v>90</v>
      </c>
      <c r="J524" s="19" t="s">
        <v>45</v>
      </c>
      <c r="K524" s="19" t="s">
        <v>728</v>
      </c>
      <c r="L524" s="86" t="s">
        <v>28</v>
      </c>
      <c r="M524" s="15">
        <v>2023</v>
      </c>
      <c r="N524" s="15" t="s">
        <v>28</v>
      </c>
      <c r="O524" s="15">
        <v>2027</v>
      </c>
      <c r="P524" s="15">
        <v>2023</v>
      </c>
      <c r="Q524" s="15"/>
      <c r="R524" s="16"/>
      <c r="S524" s="16" t="str">
        <f ca="1">IF(
  O524 &lt; YEAR(TODAY()),
  "LULUS",
  IF(
    O524 = YEAR(TODAY()),
    IF(
      MATCH(L524, {"Januari";"Februari";"Maret";"April";"Mei";"Juni";"Juli";"Agustus";"September";"Oktober";"November";"Desember"}, 0)
        &gt;= MONTH(TODAY()),
      "AKTIF (Semester " &amp;
        (INT((12*(YEAR(TODAY())-M524) + MONTH(TODAY()) -
          MATCH(L524, {"Januari";"Februari";"Maret";"April";"Mei";"Juni";"Juli";"Agustus";"September";"Oktober";"November";"Desember"}, 0)) / 6) + 1) &amp; ")",
      "LULUS"
    ),
    "AKTIF (Semester " &amp;
      (INT((12*(YEAR(TODAY())-M524) + MONTH(TODAY()) -
        MATCH(L524, {"Januari";"Februari";"Maret";"April";"Mei";"Juni";"Juli";"Agustus";"September";"Oktober";"November";"Desember"}, 0)) / 6) + 1) &amp; ")"
  )
)</f>
        <v>AKTIF (Semester 5)</v>
      </c>
      <c r="T524" s="16" t="str">
        <f ca="1">IF(O524 &lt; YEAR(TODAY()), "LULUS",
 IF(O524 = YEAR(TODAY()),
    IF(MATCH(N524, {"Januari";"Februari";"Maret";"April";"Mei";"Juni";"Juli";"Agustus";"September";"Oktober";"November";"Desember"},0)
        &lt;= MONTH(TODAY()),
        "LULUS",
        "AKTIF"),
 "AKTIF"))</f>
        <v>AKTIF</v>
      </c>
      <c r="U524" s="16" t="s">
        <v>2941</v>
      </c>
      <c r="V524" s="15"/>
      <c r="W524" s="15"/>
      <c r="X524" s="15"/>
      <c r="Y524" s="15"/>
      <c r="Z524" s="15"/>
    </row>
    <row r="525" spans="1:26" ht="29" customHeight="1" x14ac:dyDescent="0.35">
      <c r="A525" s="12">
        <v>524</v>
      </c>
      <c r="B525" s="25" t="s">
        <v>1775</v>
      </c>
      <c r="C525" s="69" t="s">
        <v>1776</v>
      </c>
      <c r="D525" s="24" t="s">
        <v>109</v>
      </c>
      <c r="E525" s="14" t="str">
        <f t="shared" si="8"/>
        <v>Perempuan</v>
      </c>
      <c r="F525" s="72" t="s">
        <v>1777</v>
      </c>
      <c r="G525" s="25" t="s">
        <v>1484</v>
      </c>
      <c r="H525" s="19" t="s">
        <v>1772</v>
      </c>
      <c r="I525" s="19" t="s">
        <v>90</v>
      </c>
      <c r="J525" s="19" t="s">
        <v>45</v>
      </c>
      <c r="K525" s="19" t="s">
        <v>728</v>
      </c>
      <c r="L525" s="86" t="s">
        <v>28</v>
      </c>
      <c r="M525" s="15">
        <v>2023</v>
      </c>
      <c r="N525" s="15" t="s">
        <v>28</v>
      </c>
      <c r="O525" s="15">
        <v>2027</v>
      </c>
      <c r="P525" s="15">
        <v>2023</v>
      </c>
      <c r="Q525" s="15"/>
      <c r="R525" s="16"/>
      <c r="S525" s="16" t="str">
        <f ca="1">IF(
  O525 &lt; YEAR(TODAY()),
  "LULUS",
  IF(
    O525 = YEAR(TODAY()),
    IF(
      MATCH(L525, {"Januari";"Februari";"Maret";"April";"Mei";"Juni";"Juli";"Agustus";"September";"Oktober";"November";"Desember"}, 0)
        &gt;= MONTH(TODAY()),
      "AKTIF (Semester " &amp;
        (INT((12*(YEAR(TODAY())-M525) + MONTH(TODAY()) -
          MATCH(L525, {"Januari";"Februari";"Maret";"April";"Mei";"Juni";"Juli";"Agustus";"September";"Oktober";"November";"Desember"}, 0)) / 6) + 1) &amp; ")",
      "LULUS"
    ),
    "AKTIF (Semester " &amp;
      (INT((12*(YEAR(TODAY())-M525) + MONTH(TODAY()) -
        MATCH(L525, {"Januari";"Februari";"Maret";"April";"Mei";"Juni";"Juli";"Agustus";"September";"Oktober";"November";"Desember"}, 0)) / 6) + 1) &amp; ")"
  )
)</f>
        <v>AKTIF (Semester 5)</v>
      </c>
      <c r="T525" s="16" t="str">
        <f ca="1">IF(O525 &lt; YEAR(TODAY()), "LULUS",
 IF(O525 = YEAR(TODAY()),
    IF(MATCH(N525, {"Januari";"Februari";"Maret";"April";"Mei";"Juni";"Juli";"Agustus";"September";"Oktober";"November";"Desember"},0)
        &lt;= MONTH(TODAY()),
        "LULUS",
        "AKTIF"),
 "AKTIF"))</f>
        <v>AKTIF</v>
      </c>
      <c r="U525" s="16" t="s">
        <v>2941</v>
      </c>
      <c r="V525" s="15"/>
      <c r="W525" s="15"/>
      <c r="X525" s="15"/>
      <c r="Y525" s="15"/>
      <c r="Z525" s="15"/>
    </row>
    <row r="526" spans="1:26" ht="29" customHeight="1" x14ac:dyDescent="0.35">
      <c r="A526" s="12">
        <v>525</v>
      </c>
      <c r="B526" s="25" t="s">
        <v>1778</v>
      </c>
      <c r="C526" s="69" t="s">
        <v>1779</v>
      </c>
      <c r="D526" s="24" t="s">
        <v>791</v>
      </c>
      <c r="E526" s="14" t="str">
        <f t="shared" si="8"/>
        <v>Perempuan</v>
      </c>
      <c r="F526" s="72" t="s">
        <v>1780</v>
      </c>
      <c r="G526" s="25" t="s">
        <v>1484</v>
      </c>
      <c r="H526" s="19" t="s">
        <v>1757</v>
      </c>
      <c r="I526" s="19" t="s">
        <v>563</v>
      </c>
      <c r="J526" s="19" t="s">
        <v>242</v>
      </c>
      <c r="K526" s="19" t="s">
        <v>674</v>
      </c>
      <c r="L526" s="86" t="s">
        <v>60</v>
      </c>
      <c r="M526" s="15">
        <v>2023</v>
      </c>
      <c r="N526" s="15" t="s">
        <v>60</v>
      </c>
      <c r="O526" s="15">
        <v>2026</v>
      </c>
      <c r="P526" s="15">
        <v>2023</v>
      </c>
      <c r="Q526" s="15"/>
      <c r="R526" s="16"/>
      <c r="S526" s="16" t="str">
        <f ca="1">IF(
  O526 &lt; YEAR(TODAY()),
  "LULUS",
  IF(
    O526 = YEAR(TODAY()),
    IF(
      MATCH(L526, {"Januari";"Februari";"Maret";"April";"Mei";"Juni";"Juli";"Agustus";"September";"Oktober";"November";"Desember"}, 0)
        &gt;= MONTH(TODAY()),
      "AKTIF (Semester " &amp;
        (INT((12*(YEAR(TODAY())-M526) + MONTH(TODAY()) -
          MATCH(L526, {"Januari";"Februari";"Maret";"April";"Mei";"Juni";"Juli";"Agustus";"September";"Oktober";"November";"Desember"}, 0)) / 6) + 1) &amp; ")",
      "LULUS"
    ),
    "AKTIF (Semester " &amp;
      (INT((12*(YEAR(TODAY())-M526) + MONTH(TODAY()) -
        MATCH(L526, {"Januari";"Februari";"Maret";"April";"Mei";"Juni";"Juli";"Agustus";"September";"Oktober";"November";"Desember"}, 0)) / 6) + 1) &amp; ")"
  )
)</f>
        <v>AKTIF (Semester 5)</v>
      </c>
      <c r="T526" s="16" t="str">
        <f ca="1">IF(O526 &lt; YEAR(TODAY()), "LULUS",
 IF(O526 = YEAR(TODAY()),
    IF(MATCH(N526, {"Januari";"Februari";"Maret";"April";"Mei";"Juni";"Juli";"Agustus";"September";"Oktober";"November";"Desember"},0)
        &lt;= MONTH(TODAY()),
        "LULUS",
        "AKTIF"),
 "AKTIF"))</f>
        <v>AKTIF</v>
      </c>
      <c r="U526" s="16" t="s">
        <v>2941</v>
      </c>
      <c r="V526" s="15"/>
      <c r="W526" s="15"/>
      <c r="X526" s="15"/>
      <c r="Y526" s="15"/>
      <c r="Z526" s="15"/>
    </row>
    <row r="527" spans="1:26" ht="29" customHeight="1" x14ac:dyDescent="0.35">
      <c r="A527" s="12">
        <v>526</v>
      </c>
      <c r="B527" s="25" t="s">
        <v>1781</v>
      </c>
      <c r="C527" s="69" t="s">
        <v>1782</v>
      </c>
      <c r="D527" s="24"/>
      <c r="E527" s="14" t="str">
        <f t="shared" si="8"/>
        <v>Laki-Laki</v>
      </c>
      <c r="F527" s="72"/>
      <c r="G527" s="25" t="s">
        <v>1484</v>
      </c>
      <c r="H527" s="19" t="s">
        <v>1642</v>
      </c>
      <c r="I527" s="19" t="s">
        <v>623</v>
      </c>
      <c r="J527" s="19" t="s">
        <v>26</v>
      </c>
      <c r="K527" s="19" t="s">
        <v>723</v>
      </c>
      <c r="L527" s="19"/>
      <c r="M527" s="15"/>
      <c r="N527" s="15">
        <v>0</v>
      </c>
      <c r="O527" s="15" t="s">
        <v>51</v>
      </c>
      <c r="P527" s="15">
        <v>2023</v>
      </c>
      <c r="Q527" s="15"/>
      <c r="R527" s="16"/>
      <c r="S527" s="16" t="e">
        <f ca="1">IF(
  O527 &lt; YEAR(TODAY()),
  "LULUS",
  IF(
    O527 = YEAR(TODAY()),
    IF(
      MATCH(L527, {"Januari";"Februari";"Maret";"April";"Mei";"Juni";"Juli";"Agustus";"September";"Oktober";"November";"Desember"}, 0)
        &gt;= MONTH(TODAY()),
      "AKTIF (Semester " &amp;
        (INT((12*(YEAR(TODAY())-M527) + MONTH(TODAY()) -
          MATCH(L527, {"Januari";"Februari";"Maret";"April";"Mei";"Juni";"Juli";"Agustus";"September";"Oktober";"November";"Desember"}, 0)) / 6) + 1) &amp; ")",
      "LULUS"
    ),
    "AKTIF (Semester " &amp;
      (INT((12*(YEAR(TODAY())-M527) + MONTH(TODAY()) -
        MATCH(L527, {"Januari";"Februari";"Maret";"April";"Mei";"Juni";"Juli";"Agustus";"September";"Oktober";"November";"Desember"}, 0)) / 6) + 1) &amp; ")"
  )
)</f>
        <v>#N/A</v>
      </c>
      <c r="T527" s="16" t="str">
        <f ca="1">IF(O527 &lt; YEAR(TODAY()), "LULUS",
 IF(O527 = YEAR(TODAY()),
    IF(MATCH(N527, {"Januari";"Februari";"Maret";"April";"Mei";"Juni";"Juli";"Agustus";"September";"Oktober";"November";"Desember"},0)
        &lt;= MONTH(TODAY()),
        "LULUS",
        "AKTIF"),
 "AKTIF"))</f>
        <v>AKTIF</v>
      </c>
      <c r="U527" s="16" t="e">
        <v>#N/A</v>
      </c>
      <c r="V527" s="15"/>
      <c r="W527" s="15"/>
      <c r="X527" s="15"/>
      <c r="Y527" s="15"/>
      <c r="Z527" s="15"/>
    </row>
    <row r="528" spans="1:26" ht="29" customHeight="1" x14ac:dyDescent="0.35">
      <c r="A528" s="12">
        <v>527</v>
      </c>
      <c r="B528" s="25" t="s">
        <v>1783</v>
      </c>
      <c r="C528" s="69" t="s">
        <v>1784</v>
      </c>
      <c r="D528" s="24"/>
      <c r="E528" s="14" t="str">
        <f t="shared" si="8"/>
        <v>Laki-Laki</v>
      </c>
      <c r="F528" s="72"/>
      <c r="G528" s="25" t="s">
        <v>1484</v>
      </c>
      <c r="H528" s="19" t="s">
        <v>1642</v>
      </c>
      <c r="I528" s="19" t="s">
        <v>623</v>
      </c>
      <c r="J528" s="19" t="s">
        <v>26</v>
      </c>
      <c r="K528" s="19" t="s">
        <v>723</v>
      </c>
      <c r="L528" s="19"/>
      <c r="M528" s="15"/>
      <c r="N528" s="15">
        <v>0</v>
      </c>
      <c r="O528" s="15" t="s">
        <v>51</v>
      </c>
      <c r="P528" s="15">
        <v>2023</v>
      </c>
      <c r="Q528" s="15"/>
      <c r="R528" s="16"/>
      <c r="S528" s="16" t="e">
        <f ca="1">IF(
  O528 &lt; YEAR(TODAY()),
  "LULUS",
  IF(
    O528 = YEAR(TODAY()),
    IF(
      MATCH(L528, {"Januari";"Februari";"Maret";"April";"Mei";"Juni";"Juli";"Agustus";"September";"Oktober";"November";"Desember"}, 0)
        &gt;= MONTH(TODAY()),
      "AKTIF (Semester " &amp;
        (INT((12*(YEAR(TODAY())-M528) + MONTH(TODAY()) -
          MATCH(L528, {"Januari";"Februari";"Maret";"April";"Mei";"Juni";"Juli";"Agustus";"September";"Oktober";"November";"Desember"}, 0)) / 6) + 1) &amp; ")",
      "LULUS"
    ),
    "AKTIF (Semester " &amp;
      (INT((12*(YEAR(TODAY())-M528) + MONTH(TODAY()) -
        MATCH(L528, {"Januari";"Februari";"Maret";"April";"Mei";"Juni";"Juli";"Agustus";"September";"Oktober";"November";"Desember"}, 0)) / 6) + 1) &amp; ")"
  )
)</f>
        <v>#N/A</v>
      </c>
      <c r="T528" s="16" t="str">
        <f ca="1">IF(O528 &lt; YEAR(TODAY()), "LULUS",
 IF(O528 = YEAR(TODAY()),
    IF(MATCH(N528, {"Januari";"Februari";"Maret";"April";"Mei";"Juni";"Juli";"Agustus";"September";"Oktober";"November";"Desember"},0)
        &lt;= MONTH(TODAY()),
        "LULUS",
        "AKTIF"),
 "AKTIF"))</f>
        <v>AKTIF</v>
      </c>
      <c r="U528" s="16" t="e">
        <v>#N/A</v>
      </c>
      <c r="V528" s="15"/>
      <c r="W528" s="15"/>
      <c r="X528" s="15"/>
      <c r="Y528" s="15"/>
      <c r="Z528" s="15"/>
    </row>
    <row r="529" spans="1:26" ht="29" customHeight="1" x14ac:dyDescent="0.35">
      <c r="A529" s="12">
        <v>528</v>
      </c>
      <c r="B529" s="25" t="s">
        <v>1785</v>
      </c>
      <c r="C529" s="69" t="s">
        <v>1786</v>
      </c>
      <c r="D529" s="24"/>
      <c r="E529" s="14" t="str">
        <f t="shared" si="8"/>
        <v>Laki-Laki</v>
      </c>
      <c r="F529" s="72"/>
      <c r="G529" s="25" t="s">
        <v>1484</v>
      </c>
      <c r="H529" s="19" t="s">
        <v>1642</v>
      </c>
      <c r="I529" s="19" t="s">
        <v>623</v>
      </c>
      <c r="J529" s="19" t="s">
        <v>26</v>
      </c>
      <c r="K529" s="19" t="s">
        <v>723</v>
      </c>
      <c r="L529" s="19"/>
      <c r="M529" s="15"/>
      <c r="N529" s="15">
        <v>0</v>
      </c>
      <c r="O529" s="15" t="s">
        <v>51</v>
      </c>
      <c r="P529" s="15">
        <v>2023</v>
      </c>
      <c r="Q529" s="15"/>
      <c r="R529" s="16"/>
      <c r="S529" s="16" t="e">
        <f ca="1">IF(
  O529 &lt; YEAR(TODAY()),
  "LULUS",
  IF(
    O529 = YEAR(TODAY()),
    IF(
      MATCH(L529, {"Januari";"Februari";"Maret";"April";"Mei";"Juni";"Juli";"Agustus";"September";"Oktober";"November";"Desember"}, 0)
        &gt;= MONTH(TODAY()),
      "AKTIF (Semester " &amp;
        (INT((12*(YEAR(TODAY())-M529) + MONTH(TODAY()) -
          MATCH(L529, {"Januari";"Februari";"Maret";"April";"Mei";"Juni";"Juli";"Agustus";"September";"Oktober";"November";"Desember"}, 0)) / 6) + 1) &amp; ")",
      "LULUS"
    ),
    "AKTIF (Semester " &amp;
      (INT((12*(YEAR(TODAY())-M529) + MONTH(TODAY()) -
        MATCH(L529, {"Januari";"Februari";"Maret";"April";"Mei";"Juni";"Juli";"Agustus";"September";"Oktober";"November";"Desember"}, 0)) / 6) + 1) &amp; ")"
  )
)</f>
        <v>#N/A</v>
      </c>
      <c r="T529" s="16" t="str">
        <f ca="1">IF(O529 &lt; YEAR(TODAY()), "LULUS",
 IF(O529 = YEAR(TODAY()),
    IF(MATCH(N529, {"Januari";"Februari";"Maret";"April";"Mei";"Juni";"Juli";"Agustus";"September";"Oktober";"November";"Desember"},0)
        &lt;= MONTH(TODAY()),
        "LULUS",
        "AKTIF"),
 "AKTIF"))</f>
        <v>AKTIF</v>
      </c>
      <c r="U529" s="16" t="e">
        <v>#N/A</v>
      </c>
      <c r="V529" s="15"/>
      <c r="W529" s="15"/>
      <c r="X529" s="15"/>
      <c r="Y529" s="15"/>
      <c r="Z529" s="15"/>
    </row>
    <row r="530" spans="1:26" ht="29" customHeight="1" x14ac:dyDescent="0.35">
      <c r="A530" s="12">
        <v>529</v>
      </c>
      <c r="B530" s="25" t="s">
        <v>1787</v>
      </c>
      <c r="C530" s="69" t="s">
        <v>1788</v>
      </c>
      <c r="D530" s="24"/>
      <c r="E530" s="14" t="str">
        <f t="shared" si="8"/>
        <v>Perempuan</v>
      </c>
      <c r="F530" s="72"/>
      <c r="G530" s="25" t="s">
        <v>1484</v>
      </c>
      <c r="H530" s="19" t="s">
        <v>1642</v>
      </c>
      <c r="I530" s="19" t="s">
        <v>623</v>
      </c>
      <c r="J530" s="19" t="s">
        <v>26</v>
      </c>
      <c r="K530" s="19" t="s">
        <v>723</v>
      </c>
      <c r="L530" s="19"/>
      <c r="M530" s="15"/>
      <c r="N530" s="15">
        <v>0</v>
      </c>
      <c r="O530" s="15" t="s">
        <v>51</v>
      </c>
      <c r="P530" s="15">
        <v>2023</v>
      </c>
      <c r="Q530" s="15"/>
      <c r="R530" s="16"/>
      <c r="S530" s="16" t="e">
        <f ca="1">IF(
  O530 &lt; YEAR(TODAY()),
  "LULUS",
  IF(
    O530 = YEAR(TODAY()),
    IF(
      MATCH(L530, {"Januari";"Februari";"Maret";"April";"Mei";"Juni";"Juli";"Agustus";"September";"Oktober";"November";"Desember"}, 0)
        &gt;= MONTH(TODAY()),
      "AKTIF (Semester " &amp;
        (INT((12*(YEAR(TODAY())-M530) + MONTH(TODAY()) -
          MATCH(L530, {"Januari";"Februari";"Maret";"April";"Mei";"Juni";"Juli";"Agustus";"September";"Oktober";"November";"Desember"}, 0)) / 6) + 1) &amp; ")",
      "LULUS"
    ),
    "AKTIF (Semester " &amp;
      (INT((12*(YEAR(TODAY())-M530) + MONTH(TODAY()) -
        MATCH(L530, {"Januari";"Februari";"Maret";"April";"Mei";"Juni";"Juli";"Agustus";"September";"Oktober";"November";"Desember"}, 0)) / 6) + 1) &amp; ")"
  )
)</f>
        <v>#N/A</v>
      </c>
      <c r="T530" s="16" t="str">
        <f ca="1">IF(O530 &lt; YEAR(TODAY()), "LULUS",
 IF(O530 = YEAR(TODAY()),
    IF(MATCH(N530, {"Januari";"Februari";"Maret";"April";"Mei";"Juni";"Juli";"Agustus";"September";"Oktober";"November";"Desember"},0)
        &lt;= MONTH(TODAY()),
        "LULUS",
        "AKTIF"),
 "AKTIF"))</f>
        <v>AKTIF</v>
      </c>
      <c r="U530" s="16" t="e">
        <v>#N/A</v>
      </c>
      <c r="V530" s="15"/>
      <c r="W530" s="15"/>
      <c r="X530" s="15"/>
      <c r="Y530" s="15"/>
      <c r="Z530" s="15"/>
    </row>
    <row r="531" spans="1:26" ht="29" customHeight="1" x14ac:dyDescent="0.35">
      <c r="A531" s="12">
        <v>530</v>
      </c>
      <c r="B531" s="25" t="s">
        <v>1789</v>
      </c>
      <c r="C531" s="69" t="s">
        <v>1790</v>
      </c>
      <c r="D531" s="24" t="s">
        <v>471</v>
      </c>
      <c r="E531" s="14" t="str">
        <f t="shared" si="8"/>
        <v>Perempuan</v>
      </c>
      <c r="F531" s="72" t="s">
        <v>1791</v>
      </c>
      <c r="G531" s="25" t="s">
        <v>1484</v>
      </c>
      <c r="H531" s="19" t="s">
        <v>1642</v>
      </c>
      <c r="I531" s="19" t="s">
        <v>90</v>
      </c>
      <c r="J531" s="19" t="s">
        <v>26</v>
      </c>
      <c r="K531" s="19" t="s">
        <v>1631</v>
      </c>
      <c r="L531" s="86" t="s">
        <v>60</v>
      </c>
      <c r="M531" s="15">
        <v>2023</v>
      </c>
      <c r="N531" s="15" t="s">
        <v>60</v>
      </c>
      <c r="O531" s="15">
        <v>2025</v>
      </c>
      <c r="P531" s="15">
        <v>2023</v>
      </c>
      <c r="Q531" s="15"/>
      <c r="R531" s="16"/>
      <c r="S531" s="16" t="str">
        <f ca="1">IF(
  O531 &lt; YEAR(TODAY()),
  "LULUS",
  IF(
    O531 = YEAR(TODAY()),
    IF(
      MATCH(L531, {"Januari";"Februari";"Maret";"April";"Mei";"Juni";"Juli";"Agustus";"September";"Oktober";"November";"Desember"}, 0)
        &gt;= MONTH(TODAY()),
      "AKTIF (Semester " &amp;
        (INT((12*(YEAR(TODAY())-M531) + MONTH(TODAY()) -
          MATCH(L531, {"Januari";"Februari";"Maret";"April";"Mei";"Juni";"Juli";"Agustus";"September";"Oktober";"November";"Desember"}, 0)) / 6) + 1) &amp; ")",
      "LULUS"
    ),
    "AKTIF (Semester " &amp;
      (INT((12*(YEAR(TODAY())-M531) + MONTH(TODAY()) -
        MATCH(L531, {"Januari";"Februari";"Maret";"April";"Mei";"Juni";"Juli";"Agustus";"September";"Oktober";"November";"Desember"}, 0)) / 6) + 1) &amp; ")"
  )
)</f>
        <v>LULUS</v>
      </c>
      <c r="T531" s="16" t="str">
        <f ca="1">IF(O531 &lt; YEAR(TODAY()), "LULUS",
 IF(O531 = YEAR(TODAY()),
    IF(MATCH(N531, {"Januari";"Februari";"Maret";"April";"Mei";"Juni";"Juli";"Agustus";"September";"Oktober";"November";"Desember"},0)
        &lt;= MONTH(TODAY()),
        "LULUS",
        "AKTIF"),
 "AKTIF"))</f>
        <v>LULUS</v>
      </c>
      <c r="U531" s="16" t="s">
        <v>29</v>
      </c>
      <c r="V531" s="15"/>
      <c r="W531" s="15"/>
      <c r="X531" s="15"/>
      <c r="Y531" s="15"/>
      <c r="Z531" s="15"/>
    </row>
    <row r="532" spans="1:26" ht="29" customHeight="1" x14ac:dyDescent="0.35">
      <c r="A532" s="12">
        <v>531</v>
      </c>
      <c r="B532" s="25" t="s">
        <v>1792</v>
      </c>
      <c r="C532" s="69" t="s">
        <v>1793</v>
      </c>
      <c r="D532" s="24"/>
      <c r="E532" s="14" t="str">
        <f t="shared" si="8"/>
        <v>Laki-Laki</v>
      </c>
      <c r="F532" s="72"/>
      <c r="G532" s="25" t="s">
        <v>1484</v>
      </c>
      <c r="H532" s="19" t="s">
        <v>1642</v>
      </c>
      <c r="I532" s="19" t="s">
        <v>623</v>
      </c>
      <c r="J532" s="19" t="s">
        <v>26</v>
      </c>
      <c r="K532" s="19" t="s">
        <v>723</v>
      </c>
      <c r="L532" s="19"/>
      <c r="M532" s="15"/>
      <c r="N532" s="15">
        <v>0</v>
      </c>
      <c r="O532" s="15" t="s">
        <v>51</v>
      </c>
      <c r="P532" s="15">
        <v>2023</v>
      </c>
      <c r="Q532" s="15"/>
      <c r="R532" s="16"/>
      <c r="S532" s="16" t="e">
        <f ca="1">IF(
  O532 &lt; YEAR(TODAY()),
  "LULUS",
  IF(
    O532 = YEAR(TODAY()),
    IF(
      MATCH(L532, {"Januari";"Februari";"Maret";"April";"Mei";"Juni";"Juli";"Agustus";"September";"Oktober";"November";"Desember"}, 0)
        &gt;= MONTH(TODAY()),
      "AKTIF (Semester " &amp;
        (INT((12*(YEAR(TODAY())-M532) + MONTH(TODAY()) -
          MATCH(L532, {"Januari";"Februari";"Maret";"April";"Mei";"Juni";"Juli";"Agustus";"September";"Oktober";"November";"Desember"}, 0)) / 6) + 1) &amp; ")",
      "LULUS"
    ),
    "AKTIF (Semester " &amp;
      (INT((12*(YEAR(TODAY())-M532) + MONTH(TODAY()) -
        MATCH(L532, {"Januari";"Februari";"Maret";"April";"Mei";"Juni";"Juli";"Agustus";"September";"Oktober";"November";"Desember"}, 0)) / 6) + 1) &amp; ")"
  )
)</f>
        <v>#N/A</v>
      </c>
      <c r="T532" s="16" t="str">
        <f ca="1">IF(O532 &lt; YEAR(TODAY()), "LULUS",
 IF(O532 = YEAR(TODAY()),
    IF(MATCH(N532, {"Januari";"Februari";"Maret";"April";"Mei";"Juni";"Juli";"Agustus";"September";"Oktober";"November";"Desember"},0)
        &lt;= MONTH(TODAY()),
        "LULUS",
        "AKTIF"),
 "AKTIF"))</f>
        <v>AKTIF</v>
      </c>
      <c r="U532" s="16" t="e">
        <v>#N/A</v>
      </c>
      <c r="V532" s="15"/>
      <c r="W532" s="15"/>
      <c r="X532" s="15"/>
      <c r="Y532" s="15"/>
      <c r="Z532" s="15"/>
    </row>
    <row r="533" spans="1:26" ht="29" customHeight="1" x14ac:dyDescent="0.35">
      <c r="A533" s="12">
        <v>532</v>
      </c>
      <c r="B533" s="25" t="s">
        <v>1794</v>
      </c>
      <c r="C533" s="69" t="s">
        <v>1795</v>
      </c>
      <c r="D533" s="24"/>
      <c r="E533" s="14" t="str">
        <f t="shared" si="8"/>
        <v>Perempuan</v>
      </c>
      <c r="F533" s="72"/>
      <c r="G533" s="25" t="s">
        <v>1484</v>
      </c>
      <c r="H533" s="19" t="s">
        <v>1642</v>
      </c>
      <c r="I533" s="19" t="s">
        <v>623</v>
      </c>
      <c r="J533" s="19" t="s">
        <v>26</v>
      </c>
      <c r="K533" s="19" t="s">
        <v>723</v>
      </c>
      <c r="L533" s="19"/>
      <c r="M533" s="15"/>
      <c r="N533" s="15">
        <v>0</v>
      </c>
      <c r="O533" s="15" t="s">
        <v>51</v>
      </c>
      <c r="P533" s="15">
        <v>2023</v>
      </c>
      <c r="Q533" s="15"/>
      <c r="R533" s="16"/>
      <c r="S533" s="16" t="e">
        <f ca="1">IF(
  O533 &lt; YEAR(TODAY()),
  "LULUS",
  IF(
    O533 = YEAR(TODAY()),
    IF(
      MATCH(L533, {"Januari";"Februari";"Maret";"April";"Mei";"Juni";"Juli";"Agustus";"September";"Oktober";"November";"Desember"}, 0)
        &gt;= MONTH(TODAY()),
      "AKTIF (Semester " &amp;
        (INT((12*(YEAR(TODAY())-M533) + MONTH(TODAY()) -
          MATCH(L533, {"Januari";"Februari";"Maret";"April";"Mei";"Juni";"Juli";"Agustus";"September";"Oktober";"November";"Desember"}, 0)) / 6) + 1) &amp; ")",
      "LULUS"
    ),
    "AKTIF (Semester " &amp;
      (INT((12*(YEAR(TODAY())-M533) + MONTH(TODAY()) -
        MATCH(L533, {"Januari";"Februari";"Maret";"April";"Mei";"Juni";"Juli";"Agustus";"September";"Oktober";"November";"Desember"}, 0)) / 6) + 1) &amp; ")"
  )
)</f>
        <v>#N/A</v>
      </c>
      <c r="T533" s="16" t="str">
        <f ca="1">IF(O533 &lt; YEAR(TODAY()), "LULUS",
 IF(O533 = YEAR(TODAY()),
    IF(MATCH(N533, {"Januari";"Februari";"Maret";"April";"Mei";"Juni";"Juli";"Agustus";"September";"Oktober";"November";"Desember"},0)
        &lt;= MONTH(TODAY()),
        "LULUS",
        "AKTIF"),
 "AKTIF"))</f>
        <v>AKTIF</v>
      </c>
      <c r="U533" s="16" t="e">
        <v>#N/A</v>
      </c>
      <c r="V533" s="15"/>
      <c r="W533" s="15"/>
      <c r="X533" s="15"/>
      <c r="Y533" s="15"/>
      <c r="Z533" s="15"/>
    </row>
    <row r="534" spans="1:26" ht="29" customHeight="1" x14ac:dyDescent="0.35">
      <c r="A534" s="12">
        <v>533</v>
      </c>
      <c r="B534" s="25" t="s">
        <v>1796</v>
      </c>
      <c r="C534" s="69" t="s">
        <v>1797</v>
      </c>
      <c r="D534" s="24"/>
      <c r="E534" s="14" t="str">
        <f t="shared" si="8"/>
        <v>Laki-Laki</v>
      </c>
      <c r="F534" s="72"/>
      <c r="G534" s="25" t="s">
        <v>1484</v>
      </c>
      <c r="H534" s="19" t="s">
        <v>1642</v>
      </c>
      <c r="I534" s="19" t="s">
        <v>623</v>
      </c>
      <c r="J534" s="19" t="s">
        <v>26</v>
      </c>
      <c r="K534" s="19" t="s">
        <v>723</v>
      </c>
      <c r="L534" s="19"/>
      <c r="M534" s="15"/>
      <c r="N534" s="15">
        <v>0</v>
      </c>
      <c r="O534" s="15" t="s">
        <v>51</v>
      </c>
      <c r="P534" s="15">
        <v>2023</v>
      </c>
      <c r="Q534" s="15"/>
      <c r="R534" s="16"/>
      <c r="S534" s="16" t="e">
        <f ca="1">IF(
  O534 &lt; YEAR(TODAY()),
  "LULUS",
  IF(
    O534 = YEAR(TODAY()),
    IF(
      MATCH(L534, {"Januari";"Februari";"Maret";"April";"Mei";"Juni";"Juli";"Agustus";"September";"Oktober";"November";"Desember"}, 0)
        &gt;= MONTH(TODAY()),
      "AKTIF (Semester " &amp;
        (INT((12*(YEAR(TODAY())-M534) + MONTH(TODAY()) -
          MATCH(L534, {"Januari";"Februari";"Maret";"April";"Mei";"Juni";"Juli";"Agustus";"September";"Oktober";"November";"Desember"}, 0)) / 6) + 1) &amp; ")",
      "LULUS"
    ),
    "AKTIF (Semester " &amp;
      (INT((12*(YEAR(TODAY())-M534) + MONTH(TODAY()) -
        MATCH(L534, {"Januari";"Februari";"Maret";"April";"Mei";"Juni";"Juli";"Agustus";"September";"Oktober";"November";"Desember"}, 0)) / 6) + 1) &amp; ")"
  )
)</f>
        <v>#N/A</v>
      </c>
      <c r="T534" s="16" t="str">
        <f ca="1">IF(O534 &lt; YEAR(TODAY()), "LULUS",
 IF(O534 = YEAR(TODAY()),
    IF(MATCH(N534, {"Januari";"Februari";"Maret";"April";"Mei";"Juni";"Juli";"Agustus";"September";"Oktober";"November";"Desember"},0)
        &lt;= MONTH(TODAY()),
        "LULUS",
        "AKTIF"),
 "AKTIF"))</f>
        <v>AKTIF</v>
      </c>
      <c r="U534" s="16" t="e">
        <v>#N/A</v>
      </c>
      <c r="V534" s="15"/>
      <c r="W534" s="15"/>
      <c r="X534" s="15"/>
      <c r="Y534" s="15"/>
      <c r="Z534" s="15"/>
    </row>
    <row r="535" spans="1:26" ht="29" customHeight="1" x14ac:dyDescent="0.35">
      <c r="A535" s="12">
        <v>534</v>
      </c>
      <c r="B535" s="25" t="s">
        <v>1798</v>
      </c>
      <c r="C535" s="69" t="s">
        <v>1799</v>
      </c>
      <c r="D535" s="24"/>
      <c r="E535" s="14" t="str">
        <f t="shared" si="8"/>
        <v>Laki-Laki</v>
      </c>
      <c r="F535" s="72"/>
      <c r="G535" s="25" t="s">
        <v>1484</v>
      </c>
      <c r="H535" s="19" t="s">
        <v>1642</v>
      </c>
      <c r="I535" s="19" t="s">
        <v>623</v>
      </c>
      <c r="J535" s="19" t="s">
        <v>26</v>
      </c>
      <c r="K535" s="19" t="s">
        <v>723</v>
      </c>
      <c r="L535" s="19"/>
      <c r="M535" s="15"/>
      <c r="N535" s="15">
        <v>0</v>
      </c>
      <c r="O535" s="15" t="s">
        <v>51</v>
      </c>
      <c r="P535" s="15">
        <v>2023</v>
      </c>
      <c r="Q535" s="15"/>
      <c r="R535" s="16"/>
      <c r="S535" s="16" t="e">
        <f ca="1">IF(
  O535 &lt; YEAR(TODAY()),
  "LULUS",
  IF(
    O535 = YEAR(TODAY()),
    IF(
      MATCH(L535, {"Januari";"Februari";"Maret";"April";"Mei";"Juni";"Juli";"Agustus";"September";"Oktober";"November";"Desember"}, 0)
        &gt;= MONTH(TODAY()),
      "AKTIF (Semester " &amp;
        (INT((12*(YEAR(TODAY())-M535) + MONTH(TODAY()) -
          MATCH(L535, {"Januari";"Februari";"Maret";"April";"Mei";"Juni";"Juli";"Agustus";"September";"Oktober";"November";"Desember"}, 0)) / 6) + 1) &amp; ")",
      "LULUS"
    ),
    "AKTIF (Semester " &amp;
      (INT((12*(YEAR(TODAY())-M535) + MONTH(TODAY()) -
        MATCH(L535, {"Januari";"Februari";"Maret";"April";"Mei";"Juni";"Juli";"Agustus";"September";"Oktober";"November";"Desember"}, 0)) / 6) + 1) &amp; ")"
  )
)</f>
        <v>#N/A</v>
      </c>
      <c r="T535" s="16" t="str">
        <f ca="1">IF(O535 &lt; YEAR(TODAY()), "LULUS",
 IF(O535 = YEAR(TODAY()),
    IF(MATCH(N535, {"Januari";"Februari";"Maret";"April";"Mei";"Juni";"Juli";"Agustus";"September";"Oktober";"November";"Desember"},0)
        &lt;= MONTH(TODAY()),
        "LULUS",
        "AKTIF"),
 "AKTIF"))</f>
        <v>AKTIF</v>
      </c>
      <c r="U535" s="16" t="e">
        <v>#N/A</v>
      </c>
      <c r="V535" s="15"/>
      <c r="W535" s="15"/>
      <c r="X535" s="15"/>
      <c r="Y535" s="15"/>
      <c r="Z535" s="15"/>
    </row>
    <row r="536" spans="1:26" ht="29" customHeight="1" x14ac:dyDescent="0.35">
      <c r="A536" s="12">
        <v>535</v>
      </c>
      <c r="B536" s="25" t="s">
        <v>1800</v>
      </c>
      <c r="C536" s="72">
        <v>1.97605042000032E+17</v>
      </c>
      <c r="D536" s="24" t="s">
        <v>471</v>
      </c>
      <c r="E536" s="14" t="str">
        <f t="shared" si="8"/>
        <v>Perempuan</v>
      </c>
      <c r="F536" s="72" t="s">
        <v>1791</v>
      </c>
      <c r="G536" s="25" t="s">
        <v>1484</v>
      </c>
      <c r="H536" s="19" t="s">
        <v>1642</v>
      </c>
      <c r="I536" s="19" t="s">
        <v>90</v>
      </c>
      <c r="J536" s="19" t="s">
        <v>26</v>
      </c>
      <c r="K536" s="19" t="s">
        <v>1631</v>
      </c>
      <c r="L536" s="86" t="s">
        <v>28</v>
      </c>
      <c r="M536" s="15">
        <v>2023</v>
      </c>
      <c r="N536" s="15" t="s">
        <v>28</v>
      </c>
      <c r="O536" s="15">
        <v>2025</v>
      </c>
      <c r="P536" s="15">
        <v>2023</v>
      </c>
      <c r="Q536" s="15"/>
      <c r="R536" s="16"/>
      <c r="S536" s="16" t="str">
        <f ca="1">IF(
  O536 &lt; YEAR(TODAY()),
  "LULUS",
  IF(
    O536 = YEAR(TODAY()),
    IF(
      MATCH(L536, {"Januari";"Februari";"Maret";"April";"Mei";"Juni";"Juli";"Agustus";"September";"Oktober";"November";"Desember"}, 0)
        &gt;= MONTH(TODAY()),
      "AKTIF (Semester " &amp;
        (INT((12*(YEAR(TODAY())-M536) + MONTH(TODAY()) -
          MATCH(L536, {"Januari";"Februari";"Maret";"April";"Mei";"Juni";"Juli";"Agustus";"September";"Oktober";"November";"Desember"}, 0)) / 6) + 1) &amp; ")",
      "LULUS"
    ),
    "AKTIF (Semester " &amp;
      (INT((12*(YEAR(TODAY())-M536) + MONTH(TODAY()) -
        MATCH(L536, {"Januari";"Februari";"Maret";"April";"Mei";"Juni";"Juli";"Agustus";"September";"Oktober";"November";"Desember"}, 0)) / 6) + 1) &amp; ")"
  )
)</f>
        <v>LULUS</v>
      </c>
      <c r="T536" s="16" t="str">
        <f ca="1">IF(O536 &lt; YEAR(TODAY()), "LULUS",
 IF(O536 = YEAR(TODAY()),
    IF(MATCH(N536, {"Januari";"Februari";"Maret";"April";"Mei";"Juni";"Juli";"Agustus";"September";"Oktober";"November";"Desember"},0)
        &lt;= MONTH(TODAY()),
        "LULUS",
        "AKTIF"),
 "AKTIF"))</f>
        <v>LULUS</v>
      </c>
      <c r="U536" s="16" t="s">
        <v>29</v>
      </c>
      <c r="V536" s="15"/>
      <c r="W536" s="15"/>
      <c r="X536" s="15"/>
      <c r="Y536" s="15"/>
      <c r="Z536" s="15"/>
    </row>
    <row r="537" spans="1:26" ht="29" customHeight="1" x14ac:dyDescent="0.35">
      <c r="A537" s="12">
        <v>536</v>
      </c>
      <c r="B537" s="25" t="s">
        <v>1801</v>
      </c>
      <c r="C537" s="69" t="s">
        <v>1802</v>
      </c>
      <c r="D537" s="24"/>
      <c r="E537" s="14" t="str">
        <f t="shared" si="8"/>
        <v>Laki-Laki</v>
      </c>
      <c r="F537" s="72"/>
      <c r="G537" s="25" t="s">
        <v>1484</v>
      </c>
      <c r="H537" s="19" t="s">
        <v>1642</v>
      </c>
      <c r="I537" s="19" t="s">
        <v>623</v>
      </c>
      <c r="J537" s="19" t="s">
        <v>26</v>
      </c>
      <c r="K537" s="19" t="s">
        <v>723</v>
      </c>
      <c r="L537" s="19"/>
      <c r="M537" s="15"/>
      <c r="N537" s="15">
        <v>0</v>
      </c>
      <c r="O537" s="15" t="s">
        <v>51</v>
      </c>
      <c r="P537" s="15">
        <v>2023</v>
      </c>
      <c r="Q537" s="15"/>
      <c r="R537" s="16"/>
      <c r="S537" s="16" t="e">
        <f ca="1">IF(
  O537 &lt; YEAR(TODAY()),
  "LULUS",
  IF(
    O537 = YEAR(TODAY()),
    IF(
      MATCH(L537, {"Januari";"Februari";"Maret";"April";"Mei";"Juni";"Juli";"Agustus";"September";"Oktober";"November";"Desember"}, 0)
        &gt;= MONTH(TODAY()),
      "AKTIF (Semester " &amp;
        (INT((12*(YEAR(TODAY())-M537) + MONTH(TODAY()) -
          MATCH(L537, {"Januari";"Februari";"Maret";"April";"Mei";"Juni";"Juli";"Agustus";"September";"Oktober";"November";"Desember"}, 0)) / 6) + 1) &amp; ")",
      "LULUS"
    ),
    "AKTIF (Semester " &amp;
      (INT((12*(YEAR(TODAY())-M537) + MONTH(TODAY()) -
        MATCH(L537, {"Januari";"Februari";"Maret";"April";"Mei";"Juni";"Juli";"Agustus";"September";"Oktober";"November";"Desember"}, 0)) / 6) + 1) &amp; ")"
  )
)</f>
        <v>#N/A</v>
      </c>
      <c r="T537" s="16" t="str">
        <f ca="1">IF(O537 &lt; YEAR(TODAY()), "LULUS",
 IF(O537 = YEAR(TODAY()),
    IF(MATCH(N537, {"Januari";"Februari";"Maret";"April";"Mei";"Juni";"Juli";"Agustus";"September";"Oktober";"November";"Desember"},0)
        &lt;= MONTH(TODAY()),
        "LULUS",
        "AKTIF"),
 "AKTIF"))</f>
        <v>AKTIF</v>
      </c>
      <c r="U537" s="16" t="e">
        <v>#N/A</v>
      </c>
      <c r="V537" s="15"/>
      <c r="W537" s="15"/>
      <c r="X537" s="15"/>
      <c r="Y537" s="15"/>
      <c r="Z537" s="15"/>
    </row>
    <row r="538" spans="1:26" ht="29" customHeight="1" x14ac:dyDescent="0.35">
      <c r="A538" s="12">
        <v>537</v>
      </c>
      <c r="B538" s="25" t="s">
        <v>1803</v>
      </c>
      <c r="C538" s="69" t="s">
        <v>1804</v>
      </c>
      <c r="D538" s="24"/>
      <c r="E538" s="14" t="str">
        <f t="shared" si="8"/>
        <v>Perempuan</v>
      </c>
      <c r="F538" s="72"/>
      <c r="G538" s="25" t="s">
        <v>1484</v>
      </c>
      <c r="H538" s="19" t="s">
        <v>1642</v>
      </c>
      <c r="I538" s="19" t="s">
        <v>623</v>
      </c>
      <c r="J538" s="19" t="s">
        <v>26</v>
      </c>
      <c r="K538" s="19" t="s">
        <v>723</v>
      </c>
      <c r="L538" s="19"/>
      <c r="M538" s="15"/>
      <c r="N538" s="15">
        <v>0</v>
      </c>
      <c r="O538" s="15" t="s">
        <v>51</v>
      </c>
      <c r="P538" s="15">
        <v>2023</v>
      </c>
      <c r="Q538" s="15"/>
      <c r="R538" s="16"/>
      <c r="S538" s="16" t="e">
        <f ca="1">IF(
  O538 &lt; YEAR(TODAY()),
  "LULUS",
  IF(
    O538 = YEAR(TODAY()),
    IF(
      MATCH(L538, {"Januari";"Februari";"Maret";"April";"Mei";"Juni";"Juli";"Agustus";"September";"Oktober";"November";"Desember"}, 0)
        &gt;= MONTH(TODAY()),
      "AKTIF (Semester " &amp;
        (INT((12*(YEAR(TODAY())-M538) + MONTH(TODAY()) -
          MATCH(L538, {"Januari";"Februari";"Maret";"April";"Mei";"Juni";"Juli";"Agustus";"September";"Oktober";"November";"Desember"}, 0)) / 6) + 1) &amp; ")",
      "LULUS"
    ),
    "AKTIF (Semester " &amp;
      (INT((12*(YEAR(TODAY())-M538) + MONTH(TODAY()) -
        MATCH(L538, {"Januari";"Februari";"Maret";"April";"Mei";"Juni";"Juli";"Agustus";"September";"Oktober";"November";"Desember"}, 0)) / 6) + 1) &amp; ")"
  )
)</f>
        <v>#N/A</v>
      </c>
      <c r="T538" s="16" t="str">
        <f ca="1">IF(O538 &lt; YEAR(TODAY()), "LULUS",
 IF(O538 = YEAR(TODAY()),
    IF(MATCH(N538, {"Januari";"Februari";"Maret";"April";"Mei";"Juni";"Juli";"Agustus";"September";"Oktober";"November";"Desember"},0)
        &lt;= MONTH(TODAY()),
        "LULUS",
        "AKTIF"),
 "AKTIF"))</f>
        <v>AKTIF</v>
      </c>
      <c r="U538" s="16" t="e">
        <v>#N/A</v>
      </c>
      <c r="V538" s="15"/>
      <c r="W538" s="15"/>
      <c r="X538" s="15"/>
      <c r="Y538" s="15"/>
      <c r="Z538" s="15"/>
    </row>
    <row r="539" spans="1:26" ht="29" customHeight="1" x14ac:dyDescent="0.35">
      <c r="A539" s="12">
        <v>538</v>
      </c>
      <c r="B539" s="25" t="s">
        <v>1805</v>
      </c>
      <c r="C539" s="69" t="s">
        <v>1806</v>
      </c>
      <c r="D539" s="24" t="s">
        <v>109</v>
      </c>
      <c r="E539" s="14" t="str">
        <f t="shared" si="8"/>
        <v>Laki-Laki</v>
      </c>
      <c r="F539" s="72" t="s">
        <v>1807</v>
      </c>
      <c r="G539" s="25" t="s">
        <v>1484</v>
      </c>
      <c r="H539" s="19" t="s">
        <v>1642</v>
      </c>
      <c r="I539" s="19" t="s">
        <v>90</v>
      </c>
      <c r="J539" s="19" t="s">
        <v>26</v>
      </c>
      <c r="K539" s="19" t="s">
        <v>1631</v>
      </c>
      <c r="L539" s="86" t="s">
        <v>28</v>
      </c>
      <c r="M539" s="15">
        <v>2023</v>
      </c>
      <c r="N539" s="15" t="s">
        <v>28</v>
      </c>
      <c r="O539" s="15">
        <v>2025</v>
      </c>
      <c r="P539" s="15">
        <v>2023</v>
      </c>
      <c r="Q539" s="15"/>
      <c r="R539" s="16"/>
      <c r="S539" s="16" t="str">
        <f ca="1">IF(
  O539 &lt; YEAR(TODAY()),
  "LULUS",
  IF(
    O539 = YEAR(TODAY()),
    IF(
      MATCH(L539, {"Januari";"Februari";"Maret";"April";"Mei";"Juni";"Juli";"Agustus";"September";"Oktober";"November";"Desember"}, 0)
        &gt;= MONTH(TODAY()),
      "AKTIF (Semester " &amp;
        (INT((12*(YEAR(TODAY())-M539) + MONTH(TODAY()) -
          MATCH(L539, {"Januari";"Februari";"Maret";"April";"Mei";"Juni";"Juli";"Agustus";"September";"Oktober";"November";"Desember"}, 0)) / 6) + 1) &amp; ")",
      "LULUS"
    ),
    "AKTIF (Semester " &amp;
      (INT((12*(YEAR(TODAY())-M539) + MONTH(TODAY()) -
        MATCH(L539, {"Januari";"Februari";"Maret";"April";"Mei";"Juni";"Juli";"Agustus";"September";"Oktober";"November";"Desember"}, 0)) / 6) + 1) &amp; ")"
  )
)</f>
        <v>LULUS</v>
      </c>
      <c r="T539" s="16" t="str">
        <f ca="1">IF(O539 &lt; YEAR(TODAY()), "LULUS",
 IF(O539 = YEAR(TODAY()),
    IF(MATCH(N539, {"Januari";"Februari";"Maret";"April";"Mei";"Juni";"Juli";"Agustus";"September";"Oktober";"November";"Desember"},0)
        &lt;= MONTH(TODAY()),
        "LULUS",
        "AKTIF"),
 "AKTIF"))</f>
        <v>LULUS</v>
      </c>
      <c r="U539" s="16" t="s">
        <v>29</v>
      </c>
      <c r="V539" s="15"/>
      <c r="W539" s="15"/>
      <c r="X539" s="15"/>
      <c r="Y539" s="15"/>
      <c r="Z539" s="15"/>
    </row>
    <row r="540" spans="1:26" ht="29" customHeight="1" x14ac:dyDescent="0.35">
      <c r="A540" s="12">
        <v>539</v>
      </c>
      <c r="B540" s="25" t="s">
        <v>1808</v>
      </c>
      <c r="C540" s="69" t="s">
        <v>1809</v>
      </c>
      <c r="D540" s="24"/>
      <c r="E540" s="14" t="str">
        <f t="shared" si="8"/>
        <v>Perempuan</v>
      </c>
      <c r="F540" s="72"/>
      <c r="G540" s="25" t="s">
        <v>1484</v>
      </c>
      <c r="H540" s="19" t="s">
        <v>1642</v>
      </c>
      <c r="I540" s="19" t="s">
        <v>623</v>
      </c>
      <c r="J540" s="19" t="s">
        <v>26</v>
      </c>
      <c r="K540" s="19" t="s">
        <v>723</v>
      </c>
      <c r="L540" s="19"/>
      <c r="M540" s="15"/>
      <c r="N540" s="15">
        <v>0</v>
      </c>
      <c r="O540" s="15" t="s">
        <v>51</v>
      </c>
      <c r="P540" s="15">
        <v>2023</v>
      </c>
      <c r="Q540" s="15"/>
      <c r="R540" s="16"/>
      <c r="S540" s="16" t="e">
        <f ca="1">IF(
  O540 &lt; YEAR(TODAY()),
  "LULUS",
  IF(
    O540 = YEAR(TODAY()),
    IF(
      MATCH(L540, {"Januari";"Februari";"Maret";"April";"Mei";"Juni";"Juli";"Agustus";"September";"Oktober";"November";"Desember"}, 0)
        &gt;= MONTH(TODAY()),
      "AKTIF (Semester " &amp;
        (INT((12*(YEAR(TODAY())-M540) + MONTH(TODAY()) -
          MATCH(L540, {"Januari";"Februari";"Maret";"April";"Mei";"Juni";"Juli";"Agustus";"September";"Oktober";"November";"Desember"}, 0)) / 6) + 1) &amp; ")",
      "LULUS"
    ),
    "AKTIF (Semester " &amp;
      (INT((12*(YEAR(TODAY())-M540) + MONTH(TODAY()) -
        MATCH(L540, {"Januari";"Februari";"Maret";"April";"Mei";"Juni";"Juli";"Agustus";"September";"Oktober";"November";"Desember"}, 0)) / 6) + 1) &amp; ")"
  )
)</f>
        <v>#N/A</v>
      </c>
      <c r="T540" s="16" t="str">
        <f ca="1">IF(O540 &lt; YEAR(TODAY()), "LULUS",
 IF(O540 = YEAR(TODAY()),
    IF(MATCH(N540, {"Januari";"Februari";"Maret";"April";"Mei";"Juni";"Juli";"Agustus";"September";"Oktober";"November";"Desember"},0)
        &lt;= MONTH(TODAY()),
        "LULUS",
        "AKTIF"),
 "AKTIF"))</f>
        <v>AKTIF</v>
      </c>
      <c r="U540" s="16" t="e">
        <v>#N/A</v>
      </c>
      <c r="V540" s="15"/>
      <c r="W540" s="15"/>
      <c r="X540" s="15"/>
      <c r="Y540" s="15"/>
      <c r="Z540" s="15"/>
    </row>
    <row r="541" spans="1:26" ht="29" customHeight="1" x14ac:dyDescent="0.35">
      <c r="A541" s="12">
        <v>540</v>
      </c>
      <c r="B541" s="25" t="s">
        <v>1810</v>
      </c>
      <c r="C541" s="69" t="s">
        <v>1811</v>
      </c>
      <c r="D541" s="24" t="s">
        <v>471</v>
      </c>
      <c r="E541" s="14" t="str">
        <f t="shared" ref="E541:E555" si="9">IF(MID(C541,15,1)="1","Laki-Laki","Perempuan")</f>
        <v>Perempuan</v>
      </c>
      <c r="F541" s="72" t="s">
        <v>1791</v>
      </c>
      <c r="G541" s="25" t="s">
        <v>1484</v>
      </c>
      <c r="H541" s="19" t="s">
        <v>1642</v>
      </c>
      <c r="I541" s="19" t="s">
        <v>90</v>
      </c>
      <c r="J541" s="19" t="s">
        <v>26</v>
      </c>
      <c r="K541" s="19" t="s">
        <v>1631</v>
      </c>
      <c r="L541" s="86" t="s">
        <v>28</v>
      </c>
      <c r="M541" s="15">
        <v>2023</v>
      </c>
      <c r="N541" s="15" t="s">
        <v>28</v>
      </c>
      <c r="O541" s="15">
        <v>2025</v>
      </c>
      <c r="P541" s="15">
        <v>2023</v>
      </c>
      <c r="Q541" s="15"/>
      <c r="R541" s="16"/>
      <c r="S541" s="16" t="str">
        <f ca="1">IF(
  O541 &lt; YEAR(TODAY()),
  "LULUS",
  IF(
    O541 = YEAR(TODAY()),
    IF(
      MATCH(L541, {"Januari";"Februari";"Maret";"April";"Mei";"Juni";"Juli";"Agustus";"September";"Oktober";"November";"Desember"}, 0)
        &gt;= MONTH(TODAY()),
      "AKTIF (Semester " &amp;
        (INT((12*(YEAR(TODAY())-M541) + MONTH(TODAY()) -
          MATCH(L541, {"Januari";"Februari";"Maret";"April";"Mei";"Juni";"Juli";"Agustus";"September";"Oktober";"November";"Desember"}, 0)) / 6) + 1) &amp; ")",
      "LULUS"
    ),
    "AKTIF (Semester " &amp;
      (INT((12*(YEAR(TODAY())-M541) + MONTH(TODAY()) -
        MATCH(L541, {"Januari";"Februari";"Maret";"April";"Mei";"Juni";"Juli";"Agustus";"September";"Oktober";"November";"Desember"}, 0)) / 6) + 1) &amp; ")"
  )
)</f>
        <v>LULUS</v>
      </c>
      <c r="T541" s="16" t="str">
        <f ca="1">IF(O541 &lt; YEAR(TODAY()), "LULUS",
 IF(O541 = YEAR(TODAY()),
    IF(MATCH(N541, {"Januari";"Februari";"Maret";"April";"Mei";"Juni";"Juli";"Agustus";"September";"Oktober";"November";"Desember"},0)
        &lt;= MONTH(TODAY()),
        "LULUS",
        "AKTIF"),
 "AKTIF"))</f>
        <v>LULUS</v>
      </c>
      <c r="U541" s="16" t="s">
        <v>29</v>
      </c>
      <c r="V541" s="15"/>
      <c r="W541" s="15"/>
      <c r="X541" s="15"/>
      <c r="Y541" s="15"/>
      <c r="Z541" s="15"/>
    </row>
    <row r="542" spans="1:26" ht="29" customHeight="1" x14ac:dyDescent="0.35">
      <c r="A542" s="12">
        <v>541</v>
      </c>
      <c r="B542" s="25" t="s">
        <v>1812</v>
      </c>
      <c r="C542" s="69" t="s">
        <v>1813</v>
      </c>
      <c r="D542" s="24"/>
      <c r="E542" s="14" t="str">
        <f t="shared" si="9"/>
        <v>Perempuan</v>
      </c>
      <c r="F542" s="72"/>
      <c r="G542" s="25" t="s">
        <v>1484</v>
      </c>
      <c r="H542" s="19" t="s">
        <v>1642</v>
      </c>
      <c r="I542" s="19" t="s">
        <v>623</v>
      </c>
      <c r="J542" s="19" t="s">
        <v>26</v>
      </c>
      <c r="K542" s="19" t="s">
        <v>723</v>
      </c>
      <c r="L542" s="19"/>
      <c r="M542" s="15"/>
      <c r="N542" s="15">
        <v>0</v>
      </c>
      <c r="O542" s="15" t="s">
        <v>51</v>
      </c>
      <c r="P542" s="15">
        <v>2023</v>
      </c>
      <c r="Q542" s="15"/>
      <c r="R542" s="16"/>
      <c r="S542" s="16" t="e">
        <f ca="1">IF(
  O542 &lt; YEAR(TODAY()),
  "LULUS",
  IF(
    O542 = YEAR(TODAY()),
    IF(
      MATCH(L542, {"Januari";"Februari";"Maret";"April";"Mei";"Juni";"Juli";"Agustus";"September";"Oktober";"November";"Desember"}, 0)
        &gt;= MONTH(TODAY()),
      "AKTIF (Semester " &amp;
        (INT((12*(YEAR(TODAY())-M542) + MONTH(TODAY()) -
          MATCH(L542, {"Januari";"Februari";"Maret";"April";"Mei";"Juni";"Juli";"Agustus";"September";"Oktober";"November";"Desember"}, 0)) / 6) + 1) &amp; ")",
      "LULUS"
    ),
    "AKTIF (Semester " &amp;
      (INT((12*(YEAR(TODAY())-M542) + MONTH(TODAY()) -
        MATCH(L542, {"Januari";"Februari";"Maret";"April";"Mei";"Juni";"Juli";"Agustus";"September";"Oktober";"November";"Desember"}, 0)) / 6) + 1) &amp; ")"
  )
)</f>
        <v>#N/A</v>
      </c>
      <c r="T542" s="16" t="str">
        <f ca="1">IF(O542 &lt; YEAR(TODAY()), "LULUS",
 IF(O542 = YEAR(TODAY()),
    IF(MATCH(N542, {"Januari";"Februari";"Maret";"April";"Mei";"Juni";"Juli";"Agustus";"September";"Oktober";"November";"Desember"},0)
        &lt;= MONTH(TODAY()),
        "LULUS",
        "AKTIF"),
 "AKTIF"))</f>
        <v>AKTIF</v>
      </c>
      <c r="U542" s="16" t="e">
        <v>#N/A</v>
      </c>
      <c r="V542" s="15"/>
      <c r="W542" s="15"/>
      <c r="X542" s="15"/>
      <c r="Y542" s="15"/>
      <c r="Z542" s="15"/>
    </row>
    <row r="543" spans="1:26" ht="29" customHeight="1" x14ac:dyDescent="0.35">
      <c r="A543" s="12">
        <v>542</v>
      </c>
      <c r="B543" s="25" t="s">
        <v>1814</v>
      </c>
      <c r="C543" s="69" t="s">
        <v>1815</v>
      </c>
      <c r="D543" s="24"/>
      <c r="E543" s="14" t="str">
        <f t="shared" si="9"/>
        <v>Perempuan</v>
      </c>
      <c r="F543" s="72"/>
      <c r="G543" s="25" t="s">
        <v>1484</v>
      </c>
      <c r="H543" s="19" t="s">
        <v>1642</v>
      </c>
      <c r="I543" s="19" t="s">
        <v>623</v>
      </c>
      <c r="J543" s="19" t="s">
        <v>26</v>
      </c>
      <c r="K543" s="19" t="s">
        <v>723</v>
      </c>
      <c r="L543" s="19"/>
      <c r="M543" s="15"/>
      <c r="N543" s="15">
        <v>0</v>
      </c>
      <c r="O543" s="15" t="s">
        <v>51</v>
      </c>
      <c r="P543" s="15">
        <v>2023</v>
      </c>
      <c r="Q543" s="15"/>
      <c r="R543" s="16"/>
      <c r="S543" s="16" t="e">
        <f ca="1">IF(
  O543 &lt; YEAR(TODAY()),
  "LULUS",
  IF(
    O543 = YEAR(TODAY()),
    IF(
      MATCH(L543, {"Januari";"Februari";"Maret";"April";"Mei";"Juni";"Juli";"Agustus";"September";"Oktober";"November";"Desember"}, 0)
        &gt;= MONTH(TODAY()),
      "AKTIF (Semester " &amp;
        (INT((12*(YEAR(TODAY())-M543) + MONTH(TODAY()) -
          MATCH(L543, {"Januari";"Februari";"Maret";"April";"Mei";"Juni";"Juli";"Agustus";"September";"Oktober";"November";"Desember"}, 0)) / 6) + 1) &amp; ")",
      "LULUS"
    ),
    "AKTIF (Semester " &amp;
      (INT((12*(YEAR(TODAY())-M543) + MONTH(TODAY()) -
        MATCH(L543, {"Januari";"Februari";"Maret";"April";"Mei";"Juni";"Juli";"Agustus";"September";"Oktober";"November";"Desember"}, 0)) / 6) + 1) &amp; ")"
  )
)</f>
        <v>#N/A</v>
      </c>
      <c r="T543" s="16" t="str">
        <f ca="1">IF(O543 &lt; YEAR(TODAY()), "LULUS",
 IF(O543 = YEAR(TODAY()),
    IF(MATCH(N543, {"Januari";"Februari";"Maret";"April";"Mei";"Juni";"Juli";"Agustus";"September";"Oktober";"November";"Desember"},0)
        &lt;= MONTH(TODAY()),
        "LULUS",
        "AKTIF"),
 "AKTIF"))</f>
        <v>AKTIF</v>
      </c>
      <c r="U543" s="16" t="e">
        <v>#N/A</v>
      </c>
      <c r="V543" s="15"/>
      <c r="W543" s="15"/>
      <c r="X543" s="15"/>
      <c r="Y543" s="15"/>
      <c r="Z543" s="15"/>
    </row>
    <row r="544" spans="1:26" ht="29" customHeight="1" x14ac:dyDescent="0.35">
      <c r="A544" s="12">
        <v>543</v>
      </c>
      <c r="B544" s="25" t="s">
        <v>1816</v>
      </c>
      <c r="C544" s="69" t="s">
        <v>1817</v>
      </c>
      <c r="D544" s="24"/>
      <c r="E544" s="14" t="str">
        <f t="shared" si="9"/>
        <v>Laki-Laki</v>
      </c>
      <c r="F544" s="72"/>
      <c r="G544" s="25" t="s">
        <v>1484</v>
      </c>
      <c r="H544" s="19" t="s">
        <v>1642</v>
      </c>
      <c r="I544" s="19" t="s">
        <v>623</v>
      </c>
      <c r="J544" s="19" t="s">
        <v>26</v>
      </c>
      <c r="K544" s="19" t="s">
        <v>723</v>
      </c>
      <c r="L544" s="19"/>
      <c r="M544" s="15"/>
      <c r="N544" s="15">
        <v>0</v>
      </c>
      <c r="O544" s="15" t="s">
        <v>51</v>
      </c>
      <c r="P544" s="15">
        <v>2023</v>
      </c>
      <c r="Q544" s="15"/>
      <c r="R544" s="16"/>
      <c r="S544" s="16" t="e">
        <f ca="1">IF(
  O544 &lt; YEAR(TODAY()),
  "LULUS",
  IF(
    O544 = YEAR(TODAY()),
    IF(
      MATCH(L544, {"Januari";"Februari";"Maret";"April";"Mei";"Juni";"Juli";"Agustus";"September";"Oktober";"November";"Desember"}, 0)
        &gt;= MONTH(TODAY()),
      "AKTIF (Semester " &amp;
        (INT((12*(YEAR(TODAY())-M544) + MONTH(TODAY()) -
          MATCH(L544, {"Januari";"Februari";"Maret";"April";"Mei";"Juni";"Juli";"Agustus";"September";"Oktober";"November";"Desember"}, 0)) / 6) + 1) &amp; ")",
      "LULUS"
    ),
    "AKTIF (Semester " &amp;
      (INT((12*(YEAR(TODAY())-M544) + MONTH(TODAY()) -
        MATCH(L544, {"Januari";"Februari";"Maret";"April";"Mei";"Juni";"Juli";"Agustus";"September";"Oktober";"November";"Desember"}, 0)) / 6) + 1) &amp; ")"
  )
)</f>
        <v>#N/A</v>
      </c>
      <c r="T544" s="16" t="str">
        <f ca="1">IF(O544 &lt; YEAR(TODAY()), "LULUS",
 IF(O544 = YEAR(TODAY()),
    IF(MATCH(N544, {"Januari";"Februari";"Maret";"April";"Mei";"Juni";"Juli";"Agustus";"September";"Oktober";"November";"Desember"},0)
        &lt;= MONTH(TODAY()),
        "LULUS",
        "AKTIF"),
 "AKTIF"))</f>
        <v>AKTIF</v>
      </c>
      <c r="U544" s="16" t="e">
        <v>#N/A</v>
      </c>
      <c r="V544" s="15"/>
      <c r="W544" s="15"/>
      <c r="X544" s="15"/>
      <c r="Y544" s="15"/>
      <c r="Z544" s="15"/>
    </row>
    <row r="545" spans="1:26" ht="29" customHeight="1" x14ac:dyDescent="0.35">
      <c r="A545" s="12">
        <v>544</v>
      </c>
      <c r="B545" s="25" t="s">
        <v>1818</v>
      </c>
      <c r="C545" s="69" t="s">
        <v>1819</v>
      </c>
      <c r="D545" s="24"/>
      <c r="E545" s="14" t="str">
        <f t="shared" si="9"/>
        <v>Laki-Laki</v>
      </c>
      <c r="F545" s="72"/>
      <c r="G545" s="25" t="s">
        <v>1484</v>
      </c>
      <c r="H545" s="19" t="s">
        <v>1642</v>
      </c>
      <c r="I545" s="19" t="s">
        <v>623</v>
      </c>
      <c r="J545" s="19" t="s">
        <v>26</v>
      </c>
      <c r="K545" s="19" t="s">
        <v>723</v>
      </c>
      <c r="L545" s="19"/>
      <c r="M545" s="15"/>
      <c r="N545" s="15">
        <v>0</v>
      </c>
      <c r="O545" s="15" t="s">
        <v>51</v>
      </c>
      <c r="P545" s="15">
        <v>2023</v>
      </c>
      <c r="Q545" s="15"/>
      <c r="R545" s="16"/>
      <c r="S545" s="16" t="e">
        <f ca="1">IF(
  O545 &lt; YEAR(TODAY()),
  "LULUS",
  IF(
    O545 = YEAR(TODAY()),
    IF(
      MATCH(L545, {"Januari";"Februari";"Maret";"April";"Mei";"Juni";"Juli";"Agustus";"September";"Oktober";"November";"Desember"}, 0)
        &gt;= MONTH(TODAY()),
      "AKTIF (Semester " &amp;
        (INT((12*(YEAR(TODAY())-M545) + MONTH(TODAY()) -
          MATCH(L545, {"Januari";"Februari";"Maret";"April";"Mei";"Juni";"Juli";"Agustus";"September";"Oktober";"November";"Desember"}, 0)) / 6) + 1) &amp; ")",
      "LULUS"
    ),
    "AKTIF (Semester " &amp;
      (INT((12*(YEAR(TODAY())-M545) + MONTH(TODAY()) -
        MATCH(L545, {"Januari";"Februari";"Maret";"April";"Mei";"Juni";"Juli";"Agustus";"September";"Oktober";"November";"Desember"}, 0)) / 6) + 1) &amp; ")"
  )
)</f>
        <v>#N/A</v>
      </c>
      <c r="T545" s="16" t="str">
        <f ca="1">IF(O545 &lt; YEAR(TODAY()), "LULUS",
 IF(O545 = YEAR(TODAY()),
    IF(MATCH(N545, {"Januari";"Februari";"Maret";"April";"Mei";"Juni";"Juli";"Agustus";"September";"Oktober";"November";"Desember"},0)
        &lt;= MONTH(TODAY()),
        "LULUS",
        "AKTIF"),
 "AKTIF"))</f>
        <v>AKTIF</v>
      </c>
      <c r="U545" s="16" t="e">
        <v>#N/A</v>
      </c>
      <c r="V545" s="15"/>
      <c r="W545" s="15"/>
      <c r="X545" s="15"/>
      <c r="Y545" s="15"/>
      <c r="Z545" s="15"/>
    </row>
    <row r="546" spans="1:26" ht="29" customHeight="1" x14ac:dyDescent="0.35">
      <c r="A546" s="12">
        <v>545</v>
      </c>
      <c r="B546" s="25" t="s">
        <v>1820</v>
      </c>
      <c r="C546" s="69" t="s">
        <v>1821</v>
      </c>
      <c r="D546" s="24"/>
      <c r="E546" s="14" t="str">
        <f t="shared" si="9"/>
        <v>Laki-Laki</v>
      </c>
      <c r="F546" s="72" t="s">
        <v>1807</v>
      </c>
      <c r="G546" s="25" t="s">
        <v>1484</v>
      </c>
      <c r="H546" s="19" t="s">
        <v>1642</v>
      </c>
      <c r="I546" s="19" t="s">
        <v>623</v>
      </c>
      <c r="J546" s="19" t="s">
        <v>26</v>
      </c>
      <c r="K546" s="19" t="s">
        <v>723</v>
      </c>
      <c r="L546" s="19"/>
      <c r="M546" s="15"/>
      <c r="N546" s="15">
        <v>0</v>
      </c>
      <c r="O546" s="15" t="s">
        <v>51</v>
      </c>
      <c r="P546" s="15">
        <v>2023</v>
      </c>
      <c r="Q546" s="15"/>
      <c r="R546" s="16"/>
      <c r="S546" s="16" t="e">
        <f ca="1">IF(
  O546 &lt; YEAR(TODAY()),
  "LULUS",
  IF(
    O546 = YEAR(TODAY()),
    IF(
      MATCH(L546, {"Januari";"Februari";"Maret";"April";"Mei";"Juni";"Juli";"Agustus";"September";"Oktober";"November";"Desember"}, 0)
        &gt;= MONTH(TODAY()),
      "AKTIF (Semester " &amp;
        (INT((12*(YEAR(TODAY())-M546) + MONTH(TODAY()) -
          MATCH(L546, {"Januari";"Februari";"Maret";"April";"Mei";"Juni";"Juli";"Agustus";"September";"Oktober";"November";"Desember"}, 0)) / 6) + 1) &amp; ")",
      "LULUS"
    ),
    "AKTIF (Semester " &amp;
      (INT((12*(YEAR(TODAY())-M546) + MONTH(TODAY()) -
        MATCH(L546, {"Januari";"Februari";"Maret";"April";"Mei";"Juni";"Juli";"Agustus";"September";"Oktober";"November";"Desember"}, 0)) / 6) + 1) &amp; ")"
  )
)</f>
        <v>#N/A</v>
      </c>
      <c r="T546" s="16" t="str">
        <f ca="1">IF(O546 &lt; YEAR(TODAY()), "LULUS",
 IF(O546 = YEAR(TODAY()),
    IF(MATCH(N546, {"Januari";"Februari";"Maret";"April";"Mei";"Juni";"Juli";"Agustus";"September";"Oktober";"November";"Desember"},0)
        &lt;= MONTH(TODAY()),
        "LULUS",
        "AKTIF"),
 "AKTIF"))</f>
        <v>AKTIF</v>
      </c>
      <c r="U546" s="16" t="e">
        <v>#N/A</v>
      </c>
      <c r="V546" s="15"/>
      <c r="W546" s="15"/>
      <c r="X546" s="15"/>
      <c r="Y546" s="15"/>
      <c r="Z546" s="15"/>
    </row>
    <row r="547" spans="1:26" ht="29" customHeight="1" x14ac:dyDescent="0.35">
      <c r="A547" s="12">
        <v>546</v>
      </c>
      <c r="B547" s="25" t="s">
        <v>1822</v>
      </c>
      <c r="C547" s="69" t="s">
        <v>1823</v>
      </c>
      <c r="D547" s="24"/>
      <c r="E547" s="14" t="str">
        <f t="shared" si="9"/>
        <v>Laki-Laki</v>
      </c>
      <c r="F547" s="72"/>
      <c r="G547" s="25" t="s">
        <v>1484</v>
      </c>
      <c r="H547" s="19" t="s">
        <v>1642</v>
      </c>
      <c r="I547" s="19" t="s">
        <v>623</v>
      </c>
      <c r="J547" s="19" t="s">
        <v>26</v>
      </c>
      <c r="K547" s="19" t="s">
        <v>723</v>
      </c>
      <c r="L547" s="19"/>
      <c r="M547" s="15"/>
      <c r="N547" s="15">
        <v>0</v>
      </c>
      <c r="O547" s="15" t="s">
        <v>51</v>
      </c>
      <c r="P547" s="15">
        <v>2023</v>
      </c>
      <c r="Q547" s="15"/>
      <c r="R547" s="16"/>
      <c r="S547" s="16" t="e">
        <f ca="1">IF(
  O547 &lt; YEAR(TODAY()),
  "LULUS",
  IF(
    O547 = YEAR(TODAY()),
    IF(
      MATCH(L547, {"Januari";"Februari";"Maret";"April";"Mei";"Juni";"Juli";"Agustus";"September";"Oktober";"November";"Desember"}, 0)
        &gt;= MONTH(TODAY()),
      "AKTIF (Semester " &amp;
        (INT((12*(YEAR(TODAY())-M547) + MONTH(TODAY()) -
          MATCH(L547, {"Januari";"Februari";"Maret";"April";"Mei";"Juni";"Juli";"Agustus";"September";"Oktober";"November";"Desember"}, 0)) / 6) + 1) &amp; ")",
      "LULUS"
    ),
    "AKTIF (Semester " &amp;
      (INT((12*(YEAR(TODAY())-M547) + MONTH(TODAY()) -
        MATCH(L547, {"Januari";"Februari";"Maret";"April";"Mei";"Juni";"Juli";"Agustus";"September";"Oktober";"November";"Desember"}, 0)) / 6) + 1) &amp; ")"
  )
)</f>
        <v>#N/A</v>
      </c>
      <c r="T547" s="16" t="str">
        <f ca="1">IF(O547 &lt; YEAR(TODAY()), "LULUS",
 IF(O547 = YEAR(TODAY()),
    IF(MATCH(N547, {"Januari";"Februari";"Maret";"April";"Mei";"Juni";"Juli";"Agustus";"September";"Oktober";"November";"Desember"},0)
        &lt;= MONTH(TODAY()),
        "LULUS",
        "AKTIF"),
 "AKTIF"))</f>
        <v>AKTIF</v>
      </c>
      <c r="U547" s="16" t="e">
        <v>#N/A</v>
      </c>
      <c r="V547" s="15"/>
      <c r="W547" s="15"/>
      <c r="X547" s="15"/>
      <c r="Y547" s="15"/>
      <c r="Z547" s="15"/>
    </row>
    <row r="548" spans="1:26" ht="29" customHeight="1" x14ac:dyDescent="0.35">
      <c r="A548" s="12">
        <v>547</v>
      </c>
      <c r="B548" s="25" t="s">
        <v>1824</v>
      </c>
      <c r="C548" s="69" t="s">
        <v>1825</v>
      </c>
      <c r="D548" s="24" t="s">
        <v>104</v>
      </c>
      <c r="E548" s="14" t="str">
        <f t="shared" si="9"/>
        <v>Perempuan</v>
      </c>
      <c r="F548" s="72" t="s">
        <v>1657</v>
      </c>
      <c r="G548" s="25" t="s">
        <v>1484</v>
      </c>
      <c r="H548" s="19" t="s">
        <v>1761</v>
      </c>
      <c r="I548" s="19" t="s">
        <v>90</v>
      </c>
      <c r="J548" s="19" t="s">
        <v>45</v>
      </c>
      <c r="K548" s="19" t="s">
        <v>905</v>
      </c>
      <c r="L548" s="70" t="s">
        <v>60</v>
      </c>
      <c r="M548" s="15">
        <v>2023</v>
      </c>
      <c r="N548" s="15" t="s">
        <v>145</v>
      </c>
      <c r="O548" s="15">
        <v>2027</v>
      </c>
      <c r="P548" s="15">
        <v>2023</v>
      </c>
      <c r="Q548" s="15"/>
      <c r="R548" s="16"/>
      <c r="S548" s="16" t="str">
        <f ca="1">IF(
  O548 &lt; YEAR(TODAY()),
  "LULUS",
  IF(
    O548 = YEAR(TODAY()),
    IF(
      MATCH(L548, {"Januari";"Februari";"Maret";"April";"Mei";"Juni";"Juli";"Agustus";"September";"Oktober";"November";"Desember"}, 0)
        &gt;= MONTH(TODAY()),
      "AKTIF (Semester " &amp;
        (INT((12*(YEAR(TODAY())-M548) + MONTH(TODAY()) -
          MATCH(L548, {"Januari";"Februari";"Maret";"April";"Mei";"Juni";"Juli";"Agustus";"September";"Oktober";"November";"Desember"}, 0)) / 6) + 1) &amp; ")",
      "LULUS"
    ),
    "AKTIF (Semester " &amp;
      (INT((12*(YEAR(TODAY())-M548) + MONTH(TODAY()) -
        MATCH(L548, {"Januari";"Februari";"Maret";"April";"Mei";"Juni";"Juli";"Agustus";"September";"Oktober";"November";"Desember"}, 0)) / 6) + 1) &amp; ")"
  )
)</f>
        <v>AKTIF (Semester 5)</v>
      </c>
      <c r="T548" s="16" t="str">
        <f ca="1">IF(O548 &lt; YEAR(TODAY()), "LULUS",
 IF(O548 = YEAR(TODAY()),
    IF(MATCH(N548, {"Januari";"Februari";"Maret";"April";"Mei";"Juni";"Juli";"Agustus";"September";"Oktober";"November";"Desember"},0)
        &lt;= MONTH(TODAY()),
        "LULUS",
        "AKTIF"),
 "AKTIF"))</f>
        <v>AKTIF</v>
      </c>
      <c r="U548" s="16" t="s">
        <v>2941</v>
      </c>
      <c r="V548" s="15"/>
      <c r="W548" s="15"/>
      <c r="X548" s="15"/>
      <c r="Y548" s="15"/>
      <c r="Z548" s="15"/>
    </row>
    <row r="549" spans="1:26" ht="29" customHeight="1" x14ac:dyDescent="0.35">
      <c r="A549" s="12">
        <v>548</v>
      </c>
      <c r="B549" s="25" t="s">
        <v>1826</v>
      </c>
      <c r="C549" s="69" t="s">
        <v>1827</v>
      </c>
      <c r="D549" s="24" t="s">
        <v>104</v>
      </c>
      <c r="E549" s="14" t="str">
        <f t="shared" si="9"/>
        <v>Perempuan</v>
      </c>
      <c r="F549" s="72" t="s">
        <v>1657</v>
      </c>
      <c r="G549" s="25" t="s">
        <v>1484</v>
      </c>
      <c r="H549" s="19" t="s">
        <v>1761</v>
      </c>
      <c r="I549" s="19" t="s">
        <v>90</v>
      </c>
      <c r="J549" s="19" t="s">
        <v>45</v>
      </c>
      <c r="K549" s="19" t="s">
        <v>905</v>
      </c>
      <c r="L549" s="86" t="s">
        <v>28</v>
      </c>
      <c r="M549" s="15">
        <v>2023</v>
      </c>
      <c r="N549" s="15" t="s">
        <v>28</v>
      </c>
      <c r="O549" s="15">
        <v>2027</v>
      </c>
      <c r="P549" s="15">
        <v>2023</v>
      </c>
      <c r="Q549" s="15"/>
      <c r="R549" s="16"/>
      <c r="S549" s="16" t="str">
        <f ca="1">IF(
  O549 &lt; YEAR(TODAY()),
  "LULUS",
  IF(
    O549 = YEAR(TODAY()),
    IF(
      MATCH(L549, {"Januari";"Februari";"Maret";"April";"Mei";"Juni";"Juli";"Agustus";"September";"Oktober";"November";"Desember"}, 0)
        &gt;= MONTH(TODAY()),
      "AKTIF (Semester " &amp;
        (INT((12*(YEAR(TODAY())-M549) + MONTH(TODAY()) -
          MATCH(L549, {"Januari";"Februari";"Maret";"April";"Mei";"Juni";"Juli";"Agustus";"September";"Oktober";"November";"Desember"}, 0)) / 6) + 1) &amp; ")",
      "LULUS"
    ),
    "AKTIF (Semester " &amp;
      (INT((12*(YEAR(TODAY())-M549) + MONTH(TODAY()) -
        MATCH(L549, {"Januari";"Februari";"Maret";"April";"Mei";"Juni";"Juli";"Agustus";"September";"Oktober";"November";"Desember"}, 0)) / 6) + 1) &amp; ")"
  )
)</f>
        <v>AKTIF (Semester 5)</v>
      </c>
      <c r="T549" s="16" t="str">
        <f ca="1">IF(O549 &lt; YEAR(TODAY()), "LULUS",
 IF(O549 = YEAR(TODAY()),
    IF(MATCH(N549, {"Januari";"Februari";"Maret";"April";"Mei";"Juni";"Juli";"Agustus";"September";"Oktober";"November";"Desember"},0)
        &lt;= MONTH(TODAY()),
        "LULUS",
        "AKTIF"),
 "AKTIF"))</f>
        <v>AKTIF</v>
      </c>
      <c r="U549" s="16" t="s">
        <v>2941</v>
      </c>
      <c r="V549" s="15"/>
      <c r="W549" s="15"/>
      <c r="X549" s="15"/>
      <c r="Y549" s="15"/>
      <c r="Z549" s="15"/>
    </row>
    <row r="550" spans="1:26" ht="29" customHeight="1" x14ac:dyDescent="0.35">
      <c r="A550" s="12">
        <v>549</v>
      </c>
      <c r="B550" s="25" t="s">
        <v>1828</v>
      </c>
      <c r="C550" s="69" t="s">
        <v>1829</v>
      </c>
      <c r="D550" s="24" t="s">
        <v>104</v>
      </c>
      <c r="E550" s="14" t="str">
        <f t="shared" si="9"/>
        <v>Perempuan</v>
      </c>
      <c r="F550" s="72" t="s">
        <v>1657</v>
      </c>
      <c r="G550" s="25" t="s">
        <v>1484</v>
      </c>
      <c r="H550" s="19" t="s">
        <v>1761</v>
      </c>
      <c r="I550" s="19" t="s">
        <v>90</v>
      </c>
      <c r="J550" s="19" t="s">
        <v>45</v>
      </c>
      <c r="K550" s="19" t="s">
        <v>905</v>
      </c>
      <c r="L550" s="86" t="s">
        <v>28</v>
      </c>
      <c r="M550" s="15">
        <v>2023</v>
      </c>
      <c r="N550" s="15" t="s">
        <v>28</v>
      </c>
      <c r="O550" s="15">
        <v>2027</v>
      </c>
      <c r="P550" s="15">
        <v>2023</v>
      </c>
      <c r="Q550" s="15"/>
      <c r="R550" s="16"/>
      <c r="S550" s="16" t="str">
        <f ca="1">IF(
  O550 &lt; YEAR(TODAY()),
  "LULUS",
  IF(
    O550 = YEAR(TODAY()),
    IF(
      MATCH(L550, {"Januari";"Februari";"Maret";"April";"Mei";"Juni";"Juli";"Agustus";"September";"Oktober";"November";"Desember"}, 0)
        &gt;= MONTH(TODAY()),
      "AKTIF (Semester " &amp;
        (INT((12*(YEAR(TODAY())-M550) + MONTH(TODAY()) -
          MATCH(L550, {"Januari";"Februari";"Maret";"April";"Mei";"Juni";"Juli";"Agustus";"September";"Oktober";"November";"Desember"}, 0)) / 6) + 1) &amp; ")",
      "LULUS"
    ),
    "AKTIF (Semester " &amp;
      (INT((12*(YEAR(TODAY())-M550) + MONTH(TODAY()) -
        MATCH(L550, {"Januari";"Februari";"Maret";"April";"Mei";"Juni";"Juli";"Agustus";"September";"Oktober";"November";"Desember"}, 0)) / 6) + 1) &amp; ")"
  )
)</f>
        <v>AKTIF (Semester 5)</v>
      </c>
      <c r="T550" s="16" t="str">
        <f ca="1">IF(O550 &lt; YEAR(TODAY()), "LULUS",
 IF(O550 = YEAR(TODAY()),
    IF(MATCH(N550, {"Januari";"Februari";"Maret";"April";"Mei";"Juni";"Juli";"Agustus";"September";"Oktober";"November";"Desember"},0)
        &lt;= MONTH(TODAY()),
        "LULUS",
        "AKTIF"),
 "AKTIF"))</f>
        <v>AKTIF</v>
      </c>
      <c r="U550" s="16" t="s">
        <v>2941</v>
      </c>
      <c r="V550" s="15"/>
      <c r="W550" s="15"/>
      <c r="X550" s="15"/>
      <c r="Y550" s="15"/>
      <c r="Z550" s="15"/>
    </row>
    <row r="551" spans="1:26" ht="29" customHeight="1" x14ac:dyDescent="0.35">
      <c r="A551" s="12">
        <v>550</v>
      </c>
      <c r="B551" s="25" t="s">
        <v>1830</v>
      </c>
      <c r="C551" s="69" t="s">
        <v>1831</v>
      </c>
      <c r="D551" s="24" t="s">
        <v>116</v>
      </c>
      <c r="E551" s="14" t="str">
        <f t="shared" si="9"/>
        <v>Laki-Laki</v>
      </c>
      <c r="F551" s="72" t="s">
        <v>1657</v>
      </c>
      <c r="G551" s="25" t="s">
        <v>1484</v>
      </c>
      <c r="H551" s="19" t="s">
        <v>1761</v>
      </c>
      <c r="I551" s="19" t="s">
        <v>90</v>
      </c>
      <c r="J551" s="19" t="s">
        <v>45</v>
      </c>
      <c r="K551" s="19" t="s">
        <v>905</v>
      </c>
      <c r="L551" s="86" t="s">
        <v>28</v>
      </c>
      <c r="M551" s="15">
        <v>2023</v>
      </c>
      <c r="N551" s="15" t="s">
        <v>28</v>
      </c>
      <c r="O551" s="15">
        <v>2027</v>
      </c>
      <c r="P551" s="15">
        <v>2023</v>
      </c>
      <c r="Q551" s="15"/>
      <c r="R551" s="16"/>
      <c r="S551" s="16" t="str">
        <f ca="1">IF(
  O551 &lt; YEAR(TODAY()),
  "LULUS",
  IF(
    O551 = YEAR(TODAY()),
    IF(
      MATCH(L551, {"Januari";"Februari";"Maret";"April";"Mei";"Juni";"Juli";"Agustus";"September";"Oktober";"November";"Desember"}, 0)
        &gt;= MONTH(TODAY()),
      "AKTIF (Semester " &amp;
        (INT((12*(YEAR(TODAY())-M551) + MONTH(TODAY()) -
          MATCH(L551, {"Januari";"Februari";"Maret";"April";"Mei";"Juni";"Juli";"Agustus";"September";"Oktober";"November";"Desember"}, 0)) / 6) + 1) &amp; ")",
      "LULUS"
    ),
    "AKTIF (Semester " &amp;
      (INT((12*(YEAR(TODAY())-M551) + MONTH(TODAY()) -
        MATCH(L551, {"Januari";"Februari";"Maret";"April";"Mei";"Juni";"Juli";"Agustus";"September";"Oktober";"November";"Desember"}, 0)) / 6) + 1) &amp; ")"
  )
)</f>
        <v>AKTIF (Semester 5)</v>
      </c>
      <c r="T551" s="16" t="str">
        <f ca="1">IF(O551 &lt; YEAR(TODAY()), "LULUS",
 IF(O551 = YEAR(TODAY()),
    IF(MATCH(N551, {"Januari";"Februari";"Maret";"April";"Mei";"Juni";"Juli";"Agustus";"September";"Oktober";"November";"Desember"},0)
        &lt;= MONTH(TODAY()),
        "LULUS",
        "AKTIF"),
 "AKTIF"))</f>
        <v>AKTIF</v>
      </c>
      <c r="U551" s="16" t="s">
        <v>2941</v>
      </c>
      <c r="V551" s="15"/>
      <c r="W551" s="15"/>
      <c r="X551" s="15"/>
      <c r="Y551" s="15"/>
      <c r="Z551" s="15"/>
    </row>
    <row r="552" spans="1:26" ht="29" customHeight="1" x14ac:dyDescent="0.35">
      <c r="A552" s="12">
        <v>551</v>
      </c>
      <c r="B552" s="25" t="s">
        <v>1832</v>
      </c>
      <c r="C552" s="69" t="s">
        <v>1833</v>
      </c>
      <c r="D552" s="24" t="s">
        <v>382</v>
      </c>
      <c r="E552" s="14" t="str">
        <f t="shared" si="9"/>
        <v>Perempuan</v>
      </c>
      <c r="F552" s="72" t="s">
        <v>1834</v>
      </c>
      <c r="G552" s="25" t="s">
        <v>1484</v>
      </c>
      <c r="H552" s="19" t="s">
        <v>1761</v>
      </c>
      <c r="I552" s="19" t="s">
        <v>90</v>
      </c>
      <c r="J552" s="19" t="s">
        <v>45</v>
      </c>
      <c r="K552" s="19" t="s">
        <v>905</v>
      </c>
      <c r="L552" s="86" t="s">
        <v>28</v>
      </c>
      <c r="M552" s="15">
        <v>2023</v>
      </c>
      <c r="N552" s="15" t="s">
        <v>28</v>
      </c>
      <c r="O552" s="15">
        <v>2027</v>
      </c>
      <c r="P552" s="15">
        <v>2023</v>
      </c>
      <c r="Q552" s="15"/>
      <c r="R552" s="16"/>
      <c r="S552" s="16" t="str">
        <f ca="1">IF(
  O552 &lt; YEAR(TODAY()),
  "LULUS",
  IF(
    O552 = YEAR(TODAY()),
    IF(
      MATCH(L552, {"Januari";"Februari";"Maret";"April";"Mei";"Juni";"Juli";"Agustus";"September";"Oktober";"November";"Desember"}, 0)
        &gt;= MONTH(TODAY()),
      "AKTIF (Semester " &amp;
        (INT((12*(YEAR(TODAY())-M552) + MONTH(TODAY()) -
          MATCH(L552, {"Januari";"Februari";"Maret";"April";"Mei";"Juni";"Juli";"Agustus";"September";"Oktober";"November";"Desember"}, 0)) / 6) + 1) &amp; ")",
      "LULUS"
    ),
    "AKTIF (Semester " &amp;
      (INT((12*(YEAR(TODAY())-M552) + MONTH(TODAY()) -
        MATCH(L552, {"Januari";"Februari";"Maret";"April";"Mei";"Juni";"Juli";"Agustus";"September";"Oktober";"November";"Desember"}, 0)) / 6) + 1) &amp; ")"
  )
)</f>
        <v>AKTIF (Semester 5)</v>
      </c>
      <c r="T552" s="16" t="str">
        <f ca="1">IF(O552 &lt; YEAR(TODAY()), "LULUS",
 IF(O552 = YEAR(TODAY()),
    IF(MATCH(N552, {"Januari";"Februari";"Maret";"April";"Mei";"Juni";"Juli";"Agustus";"September";"Oktober";"November";"Desember"},0)
        &lt;= MONTH(TODAY()),
        "LULUS",
        "AKTIF"),
 "AKTIF"))</f>
        <v>AKTIF</v>
      </c>
      <c r="U552" s="16" t="s">
        <v>2941</v>
      </c>
      <c r="V552" s="15"/>
      <c r="W552" s="15"/>
      <c r="X552" s="15"/>
      <c r="Y552" s="15"/>
      <c r="Z552" s="15"/>
    </row>
    <row r="553" spans="1:26" ht="29" customHeight="1" x14ac:dyDescent="0.35">
      <c r="A553" s="12">
        <v>552</v>
      </c>
      <c r="B553" s="25" t="s">
        <v>1835</v>
      </c>
      <c r="C553" s="69" t="s">
        <v>1836</v>
      </c>
      <c r="D553" s="24" t="s">
        <v>109</v>
      </c>
      <c r="E553" s="14" t="str">
        <f t="shared" si="9"/>
        <v>Perempuan</v>
      </c>
      <c r="F553" s="72" t="s">
        <v>1837</v>
      </c>
      <c r="G553" s="25" t="s">
        <v>1484</v>
      </c>
      <c r="H553" s="19" t="s">
        <v>1838</v>
      </c>
      <c r="I553" s="19" t="s">
        <v>241</v>
      </c>
      <c r="J553" s="19" t="s">
        <v>242</v>
      </c>
      <c r="K553" s="19" t="s">
        <v>1323</v>
      </c>
      <c r="L553" s="29" t="s">
        <v>160</v>
      </c>
      <c r="M553" s="15">
        <v>2023</v>
      </c>
      <c r="N553" s="15" t="s">
        <v>182</v>
      </c>
      <c r="O553" s="15">
        <v>2026</v>
      </c>
      <c r="P553" s="15">
        <v>2023</v>
      </c>
      <c r="Q553" s="15"/>
      <c r="R553" s="16"/>
      <c r="S553" s="16" t="str">
        <f ca="1">IF(
  O553 &lt; YEAR(TODAY()),
  "LULUS",
  IF(
    O553 = YEAR(TODAY()),
    IF(
      MATCH(L553, {"Januari";"Februari";"Maret";"April";"Mei";"Juni";"Juli";"Agustus";"September";"Oktober";"November";"Desember"}, 0)
        &gt;= MONTH(TODAY()),
      "AKTIF (Semester " &amp;
        (INT((12*(YEAR(TODAY())-M553) + MONTH(TODAY()) -
          MATCH(L553, {"Januari";"Februari";"Maret";"April";"Mei";"Juni";"Juli";"Agustus";"September";"Oktober";"November";"Desember"}, 0)) / 6) + 1) &amp; ")",
      "LULUS"
    ),
    "AKTIF (Semester " &amp;
      (INT((12*(YEAR(TODAY())-M553) + MONTH(TODAY()) -
        MATCH(L553, {"Januari";"Februari";"Maret";"April";"Mei";"Juni";"Juli";"Agustus";"September";"Oktober";"November";"Desember"}, 0)) / 6) + 1) &amp; ")"
  )
)</f>
        <v>AKTIF (Semester 5)</v>
      </c>
      <c r="T553" s="16" t="str">
        <f ca="1">IF(O553 &lt; YEAR(TODAY()), "LULUS",
 IF(O553 = YEAR(TODAY()),
    IF(MATCH(N553, {"Januari";"Februari";"Maret";"April";"Mei";"Juni";"Juli";"Agustus";"September";"Oktober";"November";"Desember"},0)
        &lt;= MONTH(TODAY()),
        "LULUS",
        "AKTIF"),
 "AKTIF"))</f>
        <v>AKTIF</v>
      </c>
      <c r="U553" s="16" t="s">
        <v>2941</v>
      </c>
      <c r="V553" s="15"/>
      <c r="W553" s="15"/>
      <c r="X553" s="15"/>
      <c r="Y553" s="15"/>
      <c r="Z553" s="15"/>
    </row>
    <row r="554" spans="1:26" ht="29" customHeight="1" x14ac:dyDescent="0.35">
      <c r="A554" s="12">
        <v>553</v>
      </c>
      <c r="B554" s="25" t="s">
        <v>1839</v>
      </c>
      <c r="C554" s="69" t="s">
        <v>1840</v>
      </c>
      <c r="D554" s="24" t="s">
        <v>109</v>
      </c>
      <c r="E554" s="14" t="str">
        <f t="shared" si="9"/>
        <v>Laki-Laki</v>
      </c>
      <c r="F554" s="72" t="s">
        <v>1841</v>
      </c>
      <c r="G554" s="25" t="s">
        <v>1484</v>
      </c>
      <c r="H554" s="19" t="s">
        <v>1539</v>
      </c>
      <c r="I554" s="19" t="s">
        <v>1842</v>
      </c>
      <c r="J554" s="19" t="s">
        <v>26</v>
      </c>
      <c r="K554" s="19" t="s">
        <v>1843</v>
      </c>
      <c r="L554" s="86" t="s">
        <v>60</v>
      </c>
      <c r="M554" s="15">
        <v>2021</v>
      </c>
      <c r="N554" s="15" t="s">
        <v>60</v>
      </c>
      <c r="O554" s="15">
        <v>2023</v>
      </c>
      <c r="P554" s="15">
        <v>2023</v>
      </c>
      <c r="Q554" s="15"/>
      <c r="R554" s="16" t="s">
        <v>51</v>
      </c>
      <c r="S554" s="16" t="str">
        <f ca="1">IF(
  O554 &lt; YEAR(TODAY()),
  "LULUS",
  IF(
    O554 = YEAR(TODAY()),
    IF(
      MATCH(L554, {"Januari";"Februari";"Maret";"April";"Mei";"Juni";"Juli";"Agustus";"September";"Oktober";"November";"Desember"}, 0)
        &gt;= MONTH(TODAY()),
      "AKTIF (Semester " &amp;
        (INT((12*(YEAR(TODAY())-M554) + MONTH(TODAY()) -
          MATCH(L554, {"Januari";"Februari";"Maret";"April";"Mei";"Juni";"Juli";"Agustus";"September";"Oktober";"November";"Desember"}, 0)) / 6) + 1) &amp; ")",
      "LULUS"
    ),
    "AKTIF (Semester " &amp;
      (INT((12*(YEAR(TODAY())-M554) + MONTH(TODAY()) -
        MATCH(L554, {"Januari";"Februari";"Maret";"April";"Mei";"Juni";"Juli";"Agustus";"September";"Oktober";"November";"Desember"}, 0)) / 6) + 1) &amp; ")"
  )
)</f>
        <v>LULUS</v>
      </c>
      <c r="T554" s="16" t="str">
        <f ca="1">IF(O554 &lt; YEAR(TODAY()), "LULUS",
 IF(O554 = YEAR(TODAY()),
    IF(MATCH(N554, {"Januari";"Februari";"Maret";"April";"Mei";"Juni";"Juli";"Agustus";"September";"Oktober";"November";"Desember"},0)
        &lt;= MONTH(TODAY()),
        "LULUS",
        "AKTIF"),
 "AKTIF"))</f>
        <v>LULUS</v>
      </c>
      <c r="U554" s="16" t="s">
        <v>29</v>
      </c>
      <c r="V554" s="15"/>
      <c r="W554" s="15"/>
      <c r="X554" s="15"/>
      <c r="Y554" s="15"/>
      <c r="Z554" s="15"/>
    </row>
    <row r="555" spans="1:26" ht="29" customHeight="1" x14ac:dyDescent="0.35">
      <c r="A555" s="12">
        <v>554</v>
      </c>
      <c r="B555" s="76" t="s">
        <v>1844</v>
      </c>
      <c r="C555" s="69" t="s">
        <v>1845</v>
      </c>
      <c r="D555" s="24" t="s">
        <v>104</v>
      </c>
      <c r="E555" s="14" t="str">
        <f t="shared" si="9"/>
        <v>Perempuan</v>
      </c>
      <c r="F555" s="72" t="s">
        <v>1657</v>
      </c>
      <c r="G555" s="25" t="s">
        <v>1484</v>
      </c>
      <c r="H555" s="19" t="s">
        <v>1846</v>
      </c>
      <c r="I555" s="19" t="s">
        <v>90</v>
      </c>
      <c r="J555" s="19" t="s">
        <v>45</v>
      </c>
      <c r="K555" s="19" t="s">
        <v>905</v>
      </c>
      <c r="L555" s="70" t="s">
        <v>35</v>
      </c>
      <c r="M555" s="15">
        <v>2022</v>
      </c>
      <c r="N555" s="15" t="s">
        <v>123</v>
      </c>
      <c r="O555" s="15">
        <v>2026</v>
      </c>
      <c r="P555" s="15">
        <v>2023</v>
      </c>
      <c r="Q555" s="15"/>
      <c r="R555" s="16"/>
      <c r="S555" s="16" t="str">
        <f ca="1">IF(
  O555 &lt; YEAR(TODAY()),
  "LULUS",
  IF(
    O555 = YEAR(TODAY()),
    IF(
      MATCH(L555, {"Januari";"Februari";"Maret";"April";"Mei";"Juni";"Juli";"Agustus";"September";"Oktober";"November";"Desember"}, 0)
        &gt;= MONTH(TODAY()),
      "AKTIF (Semester " &amp;
        (INT((12*(YEAR(TODAY())-M555) + MONTH(TODAY()) -
          MATCH(L555, {"Januari";"Februari";"Maret";"April";"Mei";"Juni";"Juli";"Agustus";"September";"Oktober";"November";"Desember"}, 0)) / 6) + 1) &amp; ")",
      "LULUS"
    ),
    "AKTIF (Semester " &amp;
      (INT((12*(YEAR(TODAY())-M555) + MONTH(TODAY()) -
        MATCH(L555, {"Januari";"Februari";"Maret";"April";"Mei";"Juni";"Juli";"Agustus";"September";"Oktober";"November";"Desember"}, 0)) / 6) + 1) &amp; ")"
  )
)</f>
        <v>AKTIF (Semester 8)</v>
      </c>
      <c r="T555" s="16" t="str">
        <f ca="1">IF(O555 &lt; YEAR(TODAY()), "LULUS",
 IF(O555 = YEAR(TODAY()),
    IF(MATCH(N555, {"Januari";"Februari";"Maret";"April";"Mei";"Juni";"Juli";"Agustus";"September";"Oktober";"November";"Desember"},0)
        &lt;= MONTH(TODAY()),
        "LULUS",
        "AKTIF"),
 "AKTIF"))</f>
        <v>AKTIF</v>
      </c>
      <c r="U555" s="16" t="s">
        <v>2944</v>
      </c>
      <c r="V555" s="15"/>
      <c r="W555" s="15"/>
      <c r="X555" s="15"/>
      <c r="Y555" s="15"/>
      <c r="Z555" s="15"/>
    </row>
    <row r="556" spans="1:26" ht="29" customHeight="1" x14ac:dyDescent="0.35">
      <c r="A556" s="12">
        <v>555</v>
      </c>
      <c r="B556" s="25" t="s">
        <v>1847</v>
      </c>
      <c r="C556" s="72" t="s">
        <v>1848</v>
      </c>
      <c r="D556" s="24" t="s">
        <v>126</v>
      </c>
      <c r="E556" s="14" t="str">
        <f t="shared" ref="E556:E587" si="10">IF(MID(C556,17,1)="1","Laki-Laki","Perempuan")</f>
        <v>Perempuan</v>
      </c>
      <c r="F556" s="72" t="s">
        <v>1657</v>
      </c>
      <c r="G556" s="25" t="s">
        <v>1484</v>
      </c>
      <c r="H556" s="19" t="s">
        <v>1846</v>
      </c>
      <c r="I556" s="19" t="s">
        <v>90</v>
      </c>
      <c r="J556" s="19" t="s">
        <v>45</v>
      </c>
      <c r="K556" s="19" t="s">
        <v>905</v>
      </c>
      <c r="L556" s="70" t="s">
        <v>35</v>
      </c>
      <c r="M556" s="15">
        <v>2022</v>
      </c>
      <c r="N556" s="15" t="s">
        <v>123</v>
      </c>
      <c r="O556" s="15">
        <v>2026</v>
      </c>
      <c r="P556" s="15">
        <v>2023</v>
      </c>
      <c r="Q556" s="15"/>
      <c r="R556" s="16"/>
      <c r="S556" s="16" t="str">
        <f ca="1">IF(
  O556 &lt; YEAR(TODAY()),
  "LULUS",
  IF(
    O556 = YEAR(TODAY()),
    IF(
      MATCH(L556, {"Januari";"Februari";"Maret";"April";"Mei";"Juni";"Juli";"Agustus";"September";"Oktober";"November";"Desember"}, 0)
        &gt;= MONTH(TODAY()),
      "AKTIF (Semester " &amp;
        (INT((12*(YEAR(TODAY())-M556) + MONTH(TODAY()) -
          MATCH(L556, {"Januari";"Februari";"Maret";"April";"Mei";"Juni";"Juli";"Agustus";"September";"Oktober";"November";"Desember"}, 0)) / 6) + 1) &amp; ")",
      "LULUS"
    ),
    "AKTIF (Semester " &amp;
      (INT((12*(YEAR(TODAY())-M556) + MONTH(TODAY()) -
        MATCH(L556, {"Januari";"Februari";"Maret";"April";"Mei";"Juni";"Juli";"Agustus";"September";"Oktober";"November";"Desember"}, 0)) / 6) + 1) &amp; ")"
  )
)</f>
        <v>AKTIF (Semester 8)</v>
      </c>
      <c r="T556" s="16" t="str">
        <f ca="1">IF(O556 &lt; YEAR(TODAY()), "LULUS",
 IF(O556 = YEAR(TODAY()),
    IF(MATCH(N556, {"Januari";"Februari";"Maret";"April";"Mei";"Juni";"Juli";"Agustus";"September";"Oktober";"November";"Desember"},0)
        &lt;= MONTH(TODAY()),
        "LULUS",
        "AKTIF"),
 "AKTIF"))</f>
        <v>AKTIF</v>
      </c>
      <c r="U556" s="16" t="s">
        <v>2944</v>
      </c>
      <c r="V556" s="15"/>
      <c r="W556" s="15"/>
      <c r="X556" s="15"/>
      <c r="Y556" s="15"/>
      <c r="Z556" s="15"/>
    </row>
    <row r="557" spans="1:26" ht="29" customHeight="1" x14ac:dyDescent="0.35">
      <c r="A557" s="12">
        <v>556</v>
      </c>
      <c r="B557" s="25" t="s">
        <v>1849</v>
      </c>
      <c r="C557" s="72" t="s">
        <v>1850</v>
      </c>
      <c r="D557" s="24" t="s">
        <v>98</v>
      </c>
      <c r="E557" s="14" t="str">
        <f t="shared" si="10"/>
        <v>Perempuan</v>
      </c>
      <c r="F557" s="72" t="s">
        <v>1851</v>
      </c>
      <c r="G557" s="25" t="s">
        <v>1484</v>
      </c>
      <c r="H557" s="19" t="s">
        <v>1846</v>
      </c>
      <c r="I557" s="19" t="s">
        <v>90</v>
      </c>
      <c r="J557" s="19" t="s">
        <v>45</v>
      </c>
      <c r="K557" s="19" t="s">
        <v>905</v>
      </c>
      <c r="L557" s="70" t="s">
        <v>35</v>
      </c>
      <c r="M557" s="15">
        <v>2022</v>
      </c>
      <c r="N557" s="15" t="s">
        <v>123</v>
      </c>
      <c r="O557" s="15">
        <v>2026</v>
      </c>
      <c r="P557" s="15">
        <v>2023</v>
      </c>
      <c r="Q557" s="15"/>
      <c r="R557" s="16"/>
      <c r="S557" s="16" t="str">
        <f ca="1">IF(
  O557 &lt; YEAR(TODAY()),
  "LULUS",
  IF(
    O557 = YEAR(TODAY()),
    IF(
      MATCH(L557, {"Januari";"Februari";"Maret";"April";"Mei";"Juni";"Juli";"Agustus";"September";"Oktober";"November";"Desember"}, 0)
        &gt;= MONTH(TODAY()),
      "AKTIF (Semester " &amp;
        (INT((12*(YEAR(TODAY())-M557) + MONTH(TODAY()) -
          MATCH(L557, {"Januari";"Februari";"Maret";"April";"Mei";"Juni";"Juli";"Agustus";"September";"Oktober";"November";"Desember"}, 0)) / 6) + 1) &amp; ")",
      "LULUS"
    ),
    "AKTIF (Semester " &amp;
      (INT((12*(YEAR(TODAY())-M557) + MONTH(TODAY()) -
        MATCH(L557, {"Januari";"Februari";"Maret";"April";"Mei";"Juni";"Juli";"Agustus";"September";"Oktober";"November";"Desember"}, 0)) / 6) + 1) &amp; ")"
  )
)</f>
        <v>AKTIF (Semester 8)</v>
      </c>
      <c r="T557" s="16" t="str">
        <f ca="1">IF(O557 &lt; YEAR(TODAY()), "LULUS",
 IF(O557 = YEAR(TODAY()),
    IF(MATCH(N557, {"Januari";"Februari";"Maret";"April";"Mei";"Juni";"Juli";"Agustus";"September";"Oktober";"November";"Desember"},0)
        &lt;= MONTH(TODAY()),
        "LULUS",
        "AKTIF"),
 "AKTIF"))</f>
        <v>AKTIF</v>
      </c>
      <c r="U557" s="16" t="s">
        <v>2944</v>
      </c>
      <c r="V557" s="15"/>
      <c r="W557" s="15"/>
      <c r="X557" s="15"/>
      <c r="Y557" s="15"/>
      <c r="Z557" s="15"/>
    </row>
    <row r="558" spans="1:26" ht="29" customHeight="1" x14ac:dyDescent="0.35">
      <c r="A558" s="12">
        <v>557</v>
      </c>
      <c r="B558" s="25" t="s">
        <v>1852</v>
      </c>
      <c r="C558" s="72" t="s">
        <v>1853</v>
      </c>
      <c r="D558" s="24" t="s">
        <v>116</v>
      </c>
      <c r="E558" s="14" t="str">
        <f t="shared" si="10"/>
        <v>Perempuan</v>
      </c>
      <c r="F558" s="72" t="s">
        <v>1851</v>
      </c>
      <c r="G558" s="25" t="s">
        <v>1484</v>
      </c>
      <c r="H558" s="19" t="s">
        <v>1846</v>
      </c>
      <c r="I558" s="19" t="s">
        <v>90</v>
      </c>
      <c r="J558" s="19" t="s">
        <v>45</v>
      </c>
      <c r="K558" s="19" t="s">
        <v>905</v>
      </c>
      <c r="L558" s="70" t="s">
        <v>35</v>
      </c>
      <c r="M558" s="15">
        <v>2022</v>
      </c>
      <c r="N558" s="15" t="s">
        <v>123</v>
      </c>
      <c r="O558" s="15">
        <v>2026</v>
      </c>
      <c r="P558" s="15">
        <v>2023</v>
      </c>
      <c r="Q558" s="15"/>
      <c r="R558" s="16"/>
      <c r="S558" s="16" t="str">
        <f ca="1">IF(
  O558 &lt; YEAR(TODAY()),
  "LULUS",
  IF(
    O558 = YEAR(TODAY()),
    IF(
      MATCH(L558, {"Januari";"Februari";"Maret";"April";"Mei";"Juni";"Juli";"Agustus";"September";"Oktober";"November";"Desember"}, 0)
        &gt;= MONTH(TODAY()),
      "AKTIF (Semester " &amp;
        (INT((12*(YEAR(TODAY())-M558) + MONTH(TODAY()) -
          MATCH(L558, {"Januari";"Februari";"Maret";"April";"Mei";"Juni";"Juli";"Agustus";"September";"Oktober";"November";"Desember"}, 0)) / 6) + 1) &amp; ")",
      "LULUS"
    ),
    "AKTIF (Semester " &amp;
      (INT((12*(YEAR(TODAY())-M558) + MONTH(TODAY()) -
        MATCH(L558, {"Januari";"Februari";"Maret";"April";"Mei";"Juni";"Juli";"Agustus";"September";"Oktober";"November";"Desember"}, 0)) / 6) + 1) &amp; ")"
  )
)</f>
        <v>AKTIF (Semester 8)</v>
      </c>
      <c r="T558" s="16" t="str">
        <f ca="1">IF(O558 &lt; YEAR(TODAY()), "LULUS",
 IF(O558 = YEAR(TODAY()),
    IF(MATCH(N558, {"Januari";"Februari";"Maret";"April";"Mei";"Juni";"Juli";"Agustus";"September";"Oktober";"November";"Desember"},0)
        &lt;= MONTH(TODAY()),
        "LULUS",
        "AKTIF"),
 "AKTIF"))</f>
        <v>AKTIF</v>
      </c>
      <c r="U558" s="16" t="s">
        <v>2944</v>
      </c>
      <c r="V558" s="15"/>
      <c r="W558" s="15"/>
      <c r="X558" s="15"/>
      <c r="Y558" s="15"/>
      <c r="Z558" s="15"/>
    </row>
    <row r="559" spans="1:26" ht="29" customHeight="1" x14ac:dyDescent="0.35">
      <c r="A559" s="12">
        <v>558</v>
      </c>
      <c r="B559" s="25" t="s">
        <v>1854</v>
      </c>
      <c r="C559" s="72" t="s">
        <v>1855</v>
      </c>
      <c r="D559" s="24" t="s">
        <v>382</v>
      </c>
      <c r="E559" s="14" t="str">
        <f t="shared" si="10"/>
        <v>Perempuan</v>
      </c>
      <c r="F559" s="72" t="s">
        <v>1851</v>
      </c>
      <c r="G559" s="25" t="s">
        <v>1484</v>
      </c>
      <c r="H559" s="19" t="s">
        <v>1846</v>
      </c>
      <c r="I559" s="19" t="s">
        <v>90</v>
      </c>
      <c r="J559" s="19" t="s">
        <v>45</v>
      </c>
      <c r="K559" s="19" t="s">
        <v>905</v>
      </c>
      <c r="L559" s="70" t="s">
        <v>35</v>
      </c>
      <c r="M559" s="15">
        <v>2022</v>
      </c>
      <c r="N559" s="15" t="s">
        <v>123</v>
      </c>
      <c r="O559" s="15">
        <v>2026</v>
      </c>
      <c r="P559" s="15">
        <v>2023</v>
      </c>
      <c r="Q559" s="15"/>
      <c r="R559" s="16"/>
      <c r="S559" s="16" t="str">
        <f ca="1">IF(
  O559 &lt; YEAR(TODAY()),
  "LULUS",
  IF(
    O559 = YEAR(TODAY()),
    IF(
      MATCH(L559, {"Januari";"Februari";"Maret";"April";"Mei";"Juni";"Juli";"Agustus";"September";"Oktober";"November";"Desember"}, 0)
        &gt;= MONTH(TODAY()),
      "AKTIF (Semester " &amp;
        (INT((12*(YEAR(TODAY())-M559) + MONTH(TODAY()) -
          MATCH(L559, {"Januari";"Februari";"Maret";"April";"Mei";"Juni";"Juli";"Agustus";"September";"Oktober";"November";"Desember"}, 0)) / 6) + 1) &amp; ")",
      "LULUS"
    ),
    "AKTIF (Semester " &amp;
      (INT((12*(YEAR(TODAY())-M559) + MONTH(TODAY()) -
        MATCH(L559, {"Januari";"Februari";"Maret";"April";"Mei";"Juni";"Juli";"Agustus";"September";"Oktober";"November";"Desember"}, 0)) / 6) + 1) &amp; ")"
  )
)</f>
        <v>AKTIF (Semester 8)</v>
      </c>
      <c r="T559" s="16" t="str">
        <f ca="1">IF(O559 &lt; YEAR(TODAY()), "LULUS",
 IF(O559 = YEAR(TODAY()),
    IF(MATCH(N559, {"Januari";"Februari";"Maret";"April";"Mei";"Juni";"Juli";"Agustus";"September";"Oktober";"November";"Desember"},0)
        &lt;= MONTH(TODAY()),
        "LULUS",
        "AKTIF"),
 "AKTIF"))</f>
        <v>AKTIF</v>
      </c>
      <c r="U559" s="16" t="s">
        <v>2944</v>
      </c>
      <c r="V559" s="15"/>
      <c r="W559" s="15"/>
      <c r="X559" s="15"/>
      <c r="Y559" s="15"/>
      <c r="Z559" s="15"/>
    </row>
    <row r="560" spans="1:26" ht="29" customHeight="1" x14ac:dyDescent="0.35">
      <c r="A560" s="12">
        <v>559</v>
      </c>
      <c r="B560" s="25" t="s">
        <v>1856</v>
      </c>
      <c r="C560" s="72" t="s">
        <v>1857</v>
      </c>
      <c r="D560" s="24" t="s">
        <v>98</v>
      </c>
      <c r="E560" s="14" t="str">
        <f t="shared" si="10"/>
        <v>Perempuan</v>
      </c>
      <c r="F560" s="72" t="s">
        <v>1851</v>
      </c>
      <c r="G560" s="25" t="s">
        <v>1484</v>
      </c>
      <c r="H560" s="19" t="s">
        <v>1846</v>
      </c>
      <c r="I560" s="19" t="s">
        <v>90</v>
      </c>
      <c r="J560" s="19" t="s">
        <v>45</v>
      </c>
      <c r="K560" s="19" t="s">
        <v>905</v>
      </c>
      <c r="L560" s="70" t="s">
        <v>35</v>
      </c>
      <c r="M560" s="15">
        <v>2022</v>
      </c>
      <c r="N560" s="15" t="s">
        <v>123</v>
      </c>
      <c r="O560" s="15">
        <v>2026</v>
      </c>
      <c r="P560" s="15">
        <v>2023</v>
      </c>
      <c r="Q560" s="15"/>
      <c r="R560" s="16"/>
      <c r="S560" s="16" t="str">
        <f ca="1">IF(
  O560 &lt; YEAR(TODAY()),
  "LULUS",
  IF(
    O560 = YEAR(TODAY()),
    IF(
      MATCH(L560, {"Januari";"Februari";"Maret";"April";"Mei";"Juni";"Juli";"Agustus";"September";"Oktober";"November";"Desember"}, 0)
        &gt;= MONTH(TODAY()),
      "AKTIF (Semester " &amp;
        (INT((12*(YEAR(TODAY())-M560) + MONTH(TODAY()) -
          MATCH(L560, {"Januari";"Februari";"Maret";"April";"Mei";"Juni";"Juli";"Agustus";"September";"Oktober";"November";"Desember"}, 0)) / 6) + 1) &amp; ")",
      "LULUS"
    ),
    "AKTIF (Semester " &amp;
      (INT((12*(YEAR(TODAY())-M560) + MONTH(TODAY()) -
        MATCH(L560, {"Januari";"Februari";"Maret";"April";"Mei";"Juni";"Juli";"Agustus";"September";"Oktober";"November";"Desember"}, 0)) / 6) + 1) &amp; ")"
  )
)</f>
        <v>AKTIF (Semester 8)</v>
      </c>
      <c r="T560" s="16" t="str">
        <f ca="1">IF(O560 &lt; YEAR(TODAY()), "LULUS",
 IF(O560 = YEAR(TODAY()),
    IF(MATCH(N560, {"Januari";"Februari";"Maret";"April";"Mei";"Juni";"Juli";"Agustus";"September";"Oktober";"November";"Desember"},0)
        &lt;= MONTH(TODAY()),
        "LULUS",
        "AKTIF"),
 "AKTIF"))</f>
        <v>AKTIF</v>
      </c>
      <c r="U560" s="16" t="s">
        <v>2944</v>
      </c>
      <c r="V560" s="15"/>
      <c r="W560" s="15"/>
      <c r="X560" s="15"/>
      <c r="Y560" s="15"/>
      <c r="Z560" s="15"/>
    </row>
    <row r="561" spans="1:26" ht="29" customHeight="1" x14ac:dyDescent="0.35">
      <c r="A561" s="12">
        <v>560</v>
      </c>
      <c r="B561" s="25" t="s">
        <v>1858</v>
      </c>
      <c r="C561" s="72" t="s">
        <v>1859</v>
      </c>
      <c r="D561" s="24" t="s">
        <v>98</v>
      </c>
      <c r="E561" s="14" t="str">
        <f t="shared" si="10"/>
        <v>Laki-Laki</v>
      </c>
      <c r="F561" s="72" t="s">
        <v>1851</v>
      </c>
      <c r="G561" s="25" t="s">
        <v>1484</v>
      </c>
      <c r="H561" s="19" t="s">
        <v>1846</v>
      </c>
      <c r="I561" s="19" t="s">
        <v>90</v>
      </c>
      <c r="J561" s="19" t="s">
        <v>45</v>
      </c>
      <c r="K561" s="19" t="s">
        <v>905</v>
      </c>
      <c r="L561" s="70" t="s">
        <v>35</v>
      </c>
      <c r="M561" s="15">
        <v>2022</v>
      </c>
      <c r="N561" s="15" t="s">
        <v>123</v>
      </c>
      <c r="O561" s="15">
        <v>2026</v>
      </c>
      <c r="P561" s="15">
        <v>2023</v>
      </c>
      <c r="Q561" s="15"/>
      <c r="R561" s="16"/>
      <c r="S561" s="16" t="str">
        <f ca="1">IF(
  O561 &lt; YEAR(TODAY()),
  "LULUS",
  IF(
    O561 = YEAR(TODAY()),
    IF(
      MATCH(L561, {"Januari";"Februari";"Maret";"April";"Mei";"Juni";"Juli";"Agustus";"September";"Oktober";"November";"Desember"}, 0)
        &gt;= MONTH(TODAY()),
      "AKTIF (Semester " &amp;
        (INT((12*(YEAR(TODAY())-M561) + MONTH(TODAY()) -
          MATCH(L561, {"Januari";"Februari";"Maret";"April";"Mei";"Juni";"Juli";"Agustus";"September";"Oktober";"November";"Desember"}, 0)) / 6) + 1) &amp; ")",
      "LULUS"
    ),
    "AKTIF (Semester " &amp;
      (INT((12*(YEAR(TODAY())-M561) + MONTH(TODAY()) -
        MATCH(L561, {"Januari";"Februari";"Maret";"April";"Mei";"Juni";"Juli";"Agustus";"September";"Oktober";"November";"Desember"}, 0)) / 6) + 1) &amp; ")"
  )
)</f>
        <v>AKTIF (Semester 8)</v>
      </c>
      <c r="T561" s="16" t="str">
        <f ca="1">IF(O561 &lt; YEAR(TODAY()), "LULUS",
 IF(O561 = YEAR(TODAY()),
    IF(MATCH(N561, {"Januari";"Februari";"Maret";"April";"Mei";"Juni";"Juli";"Agustus";"September";"Oktober";"November";"Desember"},0)
        &lt;= MONTH(TODAY()),
        "LULUS",
        "AKTIF"),
 "AKTIF"))</f>
        <v>AKTIF</v>
      </c>
      <c r="U561" s="16" t="s">
        <v>2944</v>
      </c>
      <c r="V561" s="15"/>
      <c r="W561" s="15"/>
      <c r="X561" s="15"/>
      <c r="Y561" s="15"/>
      <c r="Z561" s="15"/>
    </row>
    <row r="562" spans="1:26" ht="29" customHeight="1" x14ac:dyDescent="0.35">
      <c r="A562" s="12">
        <v>561</v>
      </c>
      <c r="B562" s="25" t="s">
        <v>1860</v>
      </c>
      <c r="C562" s="72" t="s">
        <v>1861</v>
      </c>
      <c r="D562" s="24" t="s">
        <v>104</v>
      </c>
      <c r="E562" s="14" t="str">
        <f t="shared" si="10"/>
        <v>Laki-Laki</v>
      </c>
      <c r="F562" s="72" t="s">
        <v>1657</v>
      </c>
      <c r="G562" s="25" t="s">
        <v>1484</v>
      </c>
      <c r="H562" s="19" t="s">
        <v>1846</v>
      </c>
      <c r="I562" s="19" t="s">
        <v>90</v>
      </c>
      <c r="J562" s="19" t="s">
        <v>45</v>
      </c>
      <c r="K562" s="19" t="s">
        <v>905</v>
      </c>
      <c r="L562" s="86" t="s">
        <v>28</v>
      </c>
      <c r="M562" s="15">
        <v>2021</v>
      </c>
      <c r="N562" s="15" t="s">
        <v>28</v>
      </c>
      <c r="O562" s="15">
        <v>2026</v>
      </c>
      <c r="P562" s="15">
        <v>2023</v>
      </c>
      <c r="Q562" s="15"/>
      <c r="R562" s="16"/>
      <c r="S562" s="16" t="str">
        <f ca="1">IF(
  O562 &lt; YEAR(TODAY()),
  "LULUS",
  IF(
    O562 = YEAR(TODAY()),
    IF(
      MATCH(L562, {"Januari";"Februari";"Maret";"April";"Mei";"Juni";"Juli";"Agustus";"September";"Oktober";"November";"Desember"}, 0)
        &gt;= MONTH(TODAY()),
      "AKTIF (Semester " &amp;
        (INT((12*(YEAR(TODAY())-M562) + MONTH(TODAY()) -
          MATCH(L562, {"Januari";"Februari";"Maret";"April";"Mei";"Juni";"Juli";"Agustus";"September";"Oktober";"November";"Desember"}, 0)) / 6) + 1) &amp; ")",
      "LULUS"
    ),
    "AKTIF (Semester " &amp;
      (INT((12*(YEAR(TODAY())-M562) + MONTH(TODAY()) -
        MATCH(L562, {"Januari";"Februari";"Maret";"April";"Mei";"Juni";"Juli";"Agustus";"September";"Oktober";"November";"Desember"}, 0)) / 6) + 1) &amp; ")"
  )
)</f>
        <v>AKTIF (Semester 9)</v>
      </c>
      <c r="T562" s="16" t="str">
        <f ca="1">IF(O562 &lt; YEAR(TODAY()), "LULUS",
 IF(O562 = YEAR(TODAY()),
    IF(MATCH(N562, {"Januari";"Februari";"Maret";"April";"Mei";"Juni";"Juli";"Agustus";"September";"Oktober";"November";"Desember"},0)
        &lt;= MONTH(TODAY()),
        "LULUS",
        "AKTIF"),
 "AKTIF"))</f>
        <v>AKTIF</v>
      </c>
      <c r="U562" s="16" t="s">
        <v>2946</v>
      </c>
      <c r="V562" s="15"/>
      <c r="W562" s="15"/>
      <c r="X562" s="15"/>
      <c r="Y562" s="15"/>
      <c r="Z562" s="15"/>
    </row>
    <row r="563" spans="1:26" ht="29" customHeight="1" x14ac:dyDescent="0.35">
      <c r="A563" s="12">
        <v>562</v>
      </c>
      <c r="B563" s="25" t="s">
        <v>1862</v>
      </c>
      <c r="C563" s="72" t="s">
        <v>1863</v>
      </c>
      <c r="D563" s="24" t="s">
        <v>116</v>
      </c>
      <c r="E563" s="14" t="str">
        <f t="shared" si="10"/>
        <v>Laki-Laki</v>
      </c>
      <c r="F563" s="72" t="s">
        <v>1657</v>
      </c>
      <c r="G563" s="25" t="s">
        <v>1484</v>
      </c>
      <c r="H563" s="19" t="s">
        <v>1846</v>
      </c>
      <c r="I563" s="19" t="s">
        <v>90</v>
      </c>
      <c r="J563" s="19" t="s">
        <v>45</v>
      </c>
      <c r="K563" s="19" t="s">
        <v>905</v>
      </c>
      <c r="L563" s="86" t="s">
        <v>28</v>
      </c>
      <c r="M563" s="15">
        <v>2021</v>
      </c>
      <c r="N563" s="15" t="s">
        <v>28</v>
      </c>
      <c r="O563" s="15">
        <v>2026</v>
      </c>
      <c r="P563" s="15">
        <v>2023</v>
      </c>
      <c r="Q563" s="15"/>
      <c r="R563" s="16"/>
      <c r="S563" s="16" t="str">
        <f ca="1">IF(
  O563 &lt; YEAR(TODAY()),
  "LULUS",
  IF(
    O563 = YEAR(TODAY()),
    IF(
      MATCH(L563, {"Januari";"Februari";"Maret";"April";"Mei";"Juni";"Juli";"Agustus";"September";"Oktober";"November";"Desember"}, 0)
        &gt;= MONTH(TODAY()),
      "AKTIF (Semester " &amp;
        (INT((12*(YEAR(TODAY())-M563) + MONTH(TODAY()) -
          MATCH(L563, {"Januari";"Februari";"Maret";"April";"Mei";"Juni";"Juli";"Agustus";"September";"Oktober";"November";"Desember"}, 0)) / 6) + 1) &amp; ")",
      "LULUS"
    ),
    "AKTIF (Semester " &amp;
      (INT((12*(YEAR(TODAY())-M563) + MONTH(TODAY()) -
        MATCH(L563, {"Januari";"Februari";"Maret";"April";"Mei";"Juni";"Juli";"Agustus";"September";"Oktober";"November";"Desember"}, 0)) / 6) + 1) &amp; ")"
  )
)</f>
        <v>AKTIF (Semester 9)</v>
      </c>
      <c r="T563" s="16" t="str">
        <f ca="1">IF(O563 &lt; YEAR(TODAY()), "LULUS",
 IF(O563 = YEAR(TODAY()),
    IF(MATCH(N563, {"Januari";"Februari";"Maret";"April";"Mei";"Juni";"Juli";"Agustus";"September";"Oktober";"November";"Desember"},0)
        &lt;= MONTH(TODAY()),
        "LULUS",
        "AKTIF"),
 "AKTIF"))</f>
        <v>AKTIF</v>
      </c>
      <c r="U563" s="16" t="s">
        <v>2946</v>
      </c>
      <c r="V563" s="15"/>
      <c r="W563" s="15"/>
      <c r="X563" s="15"/>
      <c r="Y563" s="15"/>
      <c r="Z563" s="15"/>
    </row>
    <row r="564" spans="1:26" ht="29" customHeight="1" x14ac:dyDescent="0.35">
      <c r="A564" s="12">
        <v>563</v>
      </c>
      <c r="B564" s="25" t="s">
        <v>1864</v>
      </c>
      <c r="C564" s="72" t="s">
        <v>1865</v>
      </c>
      <c r="D564" s="24" t="s">
        <v>116</v>
      </c>
      <c r="E564" s="14" t="str">
        <f t="shared" si="10"/>
        <v>Laki-Laki</v>
      </c>
      <c r="F564" s="72" t="s">
        <v>99</v>
      </c>
      <c r="G564" s="25" t="s">
        <v>1484</v>
      </c>
      <c r="H564" s="19" t="s">
        <v>1866</v>
      </c>
      <c r="I564" s="19" t="s">
        <v>90</v>
      </c>
      <c r="J564" s="19" t="s">
        <v>45</v>
      </c>
      <c r="K564" s="19" t="s">
        <v>905</v>
      </c>
      <c r="L564" s="86" t="s">
        <v>28</v>
      </c>
      <c r="M564" s="15">
        <v>2022</v>
      </c>
      <c r="N564" s="15" t="s">
        <v>28</v>
      </c>
      <c r="O564" s="15">
        <v>2026</v>
      </c>
      <c r="P564" s="15">
        <v>2023</v>
      </c>
      <c r="Q564" s="15"/>
      <c r="R564" s="16"/>
      <c r="S564" s="16" t="str">
        <f ca="1">IF(
  O564 &lt; YEAR(TODAY()),
  "LULUS",
  IF(
    O564 = YEAR(TODAY()),
    IF(
      MATCH(L564, {"Januari";"Februari";"Maret";"April";"Mei";"Juni";"Juli";"Agustus";"September";"Oktober";"November";"Desember"}, 0)
        &gt;= MONTH(TODAY()),
      "AKTIF (Semester " &amp;
        (INT((12*(YEAR(TODAY())-M564) + MONTH(TODAY()) -
          MATCH(L564, {"Januari";"Februari";"Maret";"April";"Mei";"Juni";"Juli";"Agustus";"September";"Oktober";"November";"Desember"}, 0)) / 6) + 1) &amp; ")",
      "LULUS"
    ),
    "AKTIF (Semester " &amp;
      (INT((12*(YEAR(TODAY())-M564) + MONTH(TODAY()) -
        MATCH(L564, {"Januari";"Februari";"Maret";"April";"Mei";"Juni";"Juli";"Agustus";"September";"Oktober";"November";"Desember"}, 0)) / 6) + 1) &amp; ")"
  )
)</f>
        <v>AKTIF (Semester 7)</v>
      </c>
      <c r="T564" s="16" t="str">
        <f ca="1">IF(O564 &lt; YEAR(TODAY()), "LULUS",
 IF(O564 = YEAR(TODAY()),
    IF(MATCH(N564, {"Januari";"Februari";"Maret";"April";"Mei";"Juni";"Juli";"Agustus";"September";"Oktober";"November";"Desember"},0)
        &lt;= MONTH(TODAY()),
        "LULUS",
        "AKTIF"),
 "AKTIF"))</f>
        <v>AKTIF</v>
      </c>
      <c r="U564" s="16" t="s">
        <v>2939</v>
      </c>
      <c r="V564" s="15"/>
      <c r="W564" s="15"/>
      <c r="X564" s="15"/>
      <c r="Y564" s="15"/>
      <c r="Z564" s="15"/>
    </row>
    <row r="565" spans="1:26" ht="29" customHeight="1" x14ac:dyDescent="0.35">
      <c r="A565" s="12">
        <v>564</v>
      </c>
      <c r="B565" s="25" t="s">
        <v>1867</v>
      </c>
      <c r="C565" s="72" t="s">
        <v>1868</v>
      </c>
      <c r="D565" s="24" t="s">
        <v>116</v>
      </c>
      <c r="E565" s="14" t="str">
        <f t="shared" si="10"/>
        <v>Laki-Laki</v>
      </c>
      <c r="F565" s="72" t="s">
        <v>1869</v>
      </c>
      <c r="G565" s="25" t="s">
        <v>1484</v>
      </c>
      <c r="H565" s="19" t="s">
        <v>1870</v>
      </c>
      <c r="I565" s="19" t="s">
        <v>1871</v>
      </c>
      <c r="J565" s="19" t="s">
        <v>45</v>
      </c>
      <c r="K565" s="19" t="s">
        <v>1577</v>
      </c>
      <c r="L565" s="29" t="s">
        <v>28</v>
      </c>
      <c r="M565" s="15">
        <v>2017</v>
      </c>
      <c r="N565" s="15" t="s">
        <v>205</v>
      </c>
      <c r="O565" s="15">
        <v>2026</v>
      </c>
      <c r="P565" s="15">
        <v>2023</v>
      </c>
      <c r="Q565" s="15"/>
      <c r="R565" s="16"/>
      <c r="S565" s="16" t="str">
        <f ca="1">IF(
  O565 &lt; YEAR(TODAY()),
  "LULUS",
  IF(
    O565 = YEAR(TODAY()),
    IF(
      MATCH(L565, {"Januari";"Februari";"Maret";"April";"Mei";"Juni";"Juli";"Agustus";"September";"Oktober";"November";"Desember"}, 0)
        &gt;= MONTH(TODAY()),
      "AKTIF (Semester " &amp;
        (INT((12*(YEAR(TODAY())-M565) + MONTH(TODAY()) -
          MATCH(L565, {"Januari";"Februari";"Maret";"April";"Mei";"Juni";"Juli";"Agustus";"September";"Oktober";"November";"Desember"}, 0)) / 6) + 1) &amp; ")",
      "LULUS"
    ),
    "AKTIF (Semester " &amp;
      (INT((12*(YEAR(TODAY())-M565) + MONTH(TODAY()) -
        MATCH(L565, {"Januari";"Februari";"Maret";"April";"Mei";"Juni";"Juli";"Agustus";"September";"Oktober";"November";"Desember"}, 0)) / 6) + 1) &amp; ")"
  )
)</f>
        <v>AKTIF (Semester 17)</v>
      </c>
      <c r="T565" s="16" t="str">
        <f ca="1">IF(O565 &lt; YEAR(TODAY()), "LULUS",
 IF(O565 = YEAR(TODAY()),
    IF(MATCH(N565, {"Januari";"Februari";"Maret";"April";"Mei";"Juni";"Juli";"Agustus";"September";"Oktober";"November";"Desember"},0)
        &lt;= MONTH(TODAY()),
        "LULUS",
        "AKTIF"),
 "AKTIF"))</f>
        <v>AKTIF</v>
      </c>
      <c r="U565" s="16" t="s">
        <v>2947</v>
      </c>
      <c r="V565" s="15"/>
      <c r="W565" s="15"/>
      <c r="X565" s="15"/>
      <c r="Y565" s="15"/>
      <c r="Z565" s="15"/>
    </row>
    <row r="566" spans="1:26" ht="29" customHeight="1" x14ac:dyDescent="0.35">
      <c r="A566" s="12">
        <v>565</v>
      </c>
      <c r="B566" s="25" t="s">
        <v>1872</v>
      </c>
      <c r="C566" s="72" t="s">
        <v>1873</v>
      </c>
      <c r="D566" s="24" t="s">
        <v>116</v>
      </c>
      <c r="E566" s="14" t="str">
        <f t="shared" si="10"/>
        <v>Laki-Laki</v>
      </c>
      <c r="F566" s="72" t="s">
        <v>1730</v>
      </c>
      <c r="G566" s="25" t="s">
        <v>1484</v>
      </c>
      <c r="H566" s="19" t="s">
        <v>1723</v>
      </c>
      <c r="I566" s="19" t="s">
        <v>90</v>
      </c>
      <c r="J566" s="19" t="s">
        <v>45</v>
      </c>
      <c r="K566" s="19" t="s">
        <v>905</v>
      </c>
      <c r="L566" s="86" t="s">
        <v>169</v>
      </c>
      <c r="M566" s="15">
        <v>2022</v>
      </c>
      <c r="N566" s="15" t="s">
        <v>169</v>
      </c>
      <c r="O566" s="15">
        <v>2026</v>
      </c>
      <c r="P566" s="15">
        <v>2023</v>
      </c>
      <c r="Q566" s="15"/>
      <c r="R566" s="16"/>
      <c r="S566" s="16" t="str">
        <f ca="1">IF(
  O566 &lt; YEAR(TODAY()),
  "LULUS",
  IF(
    O566 = YEAR(TODAY()),
    IF(
      MATCH(L566, {"Januari";"Februari";"Maret";"April";"Mei";"Juni";"Juli";"Agustus";"September";"Oktober";"November";"Desember"}, 0)
        &gt;= MONTH(TODAY()),
      "AKTIF (Semester " &amp;
        (INT((12*(YEAR(TODAY())-M566) + MONTH(TODAY()) -
          MATCH(L566, {"Januari";"Februari";"Maret";"April";"Mei";"Juni";"Juli";"Agustus";"September";"Oktober";"November";"Desember"}, 0)) / 6) + 1) &amp; ")",
      "LULUS"
    ),
    "AKTIF (Semester " &amp;
      (INT((12*(YEAR(TODAY())-M566) + MONTH(TODAY()) -
        MATCH(L566, {"Januari";"Februari";"Maret";"April";"Mei";"Juni";"Juli";"Agustus";"September";"Oktober";"November";"Desember"}, 0)) / 6) + 1) &amp; ")"
  )
)</f>
        <v>AKTIF (Semester 7)</v>
      </c>
      <c r="T566" s="16" t="str">
        <f ca="1">IF(O566 &lt; YEAR(TODAY()), "LULUS",
 IF(O566 = YEAR(TODAY()),
    IF(MATCH(N566, {"Januari";"Februari";"Maret";"April";"Mei";"Juni";"Juli";"Agustus";"September";"Oktober";"November";"Desember"},0)
        &lt;= MONTH(TODAY()),
        "LULUS",
        "AKTIF"),
 "AKTIF"))</f>
        <v>AKTIF</v>
      </c>
      <c r="U566" s="16" t="s">
        <v>2939</v>
      </c>
      <c r="V566" s="15"/>
      <c r="W566" s="15"/>
      <c r="X566" s="15"/>
      <c r="Y566" s="15"/>
      <c r="Z566" s="15"/>
    </row>
    <row r="567" spans="1:26" ht="29" customHeight="1" x14ac:dyDescent="0.35">
      <c r="A567" s="12">
        <v>566</v>
      </c>
      <c r="B567" s="25" t="s">
        <v>1874</v>
      </c>
      <c r="C567" s="72" t="s">
        <v>1875</v>
      </c>
      <c r="D567" s="24" t="s">
        <v>104</v>
      </c>
      <c r="E567" s="14" t="str">
        <f t="shared" si="10"/>
        <v>Perempuan</v>
      </c>
      <c r="F567" s="72" t="s">
        <v>1876</v>
      </c>
      <c r="G567" s="25" t="s">
        <v>1484</v>
      </c>
      <c r="H567" s="19" t="s">
        <v>1877</v>
      </c>
      <c r="I567" s="19" t="s">
        <v>1636</v>
      </c>
      <c r="J567" s="19" t="s">
        <v>45</v>
      </c>
      <c r="K567" s="19" t="s">
        <v>144</v>
      </c>
      <c r="L567" s="86" t="s">
        <v>28</v>
      </c>
      <c r="M567" s="15">
        <v>2022</v>
      </c>
      <c r="N567" s="15" t="s">
        <v>28</v>
      </c>
      <c r="O567" s="15">
        <v>2026</v>
      </c>
      <c r="P567" s="15">
        <v>2023</v>
      </c>
      <c r="Q567" s="15"/>
      <c r="R567" s="16"/>
      <c r="S567" s="16" t="str">
        <f ca="1">IF(
  O567 &lt; YEAR(TODAY()),
  "LULUS",
  IF(
    O567 = YEAR(TODAY()),
    IF(
      MATCH(L567, {"Januari";"Februari";"Maret";"April";"Mei";"Juni";"Juli";"Agustus";"September";"Oktober";"November";"Desember"}, 0)
        &gt;= MONTH(TODAY()),
      "AKTIF (Semester " &amp;
        (INT((12*(YEAR(TODAY())-M567) + MONTH(TODAY()) -
          MATCH(L567, {"Januari";"Februari";"Maret";"April";"Mei";"Juni";"Juli";"Agustus";"September";"Oktober";"November";"Desember"}, 0)) / 6) + 1) &amp; ")",
      "LULUS"
    ),
    "AKTIF (Semester " &amp;
      (INT((12*(YEAR(TODAY())-M567) + MONTH(TODAY()) -
        MATCH(L567, {"Januari";"Februari";"Maret";"April";"Mei";"Juni";"Juli";"Agustus";"September";"Oktober";"November";"Desember"}, 0)) / 6) + 1) &amp; ")"
  )
)</f>
        <v>AKTIF (Semester 7)</v>
      </c>
      <c r="T567" s="16" t="str">
        <f ca="1">IF(O567 &lt; YEAR(TODAY()), "LULUS",
 IF(O567 = YEAR(TODAY()),
    IF(MATCH(N567, {"Januari";"Februari";"Maret";"April";"Mei";"Juni";"Juli";"Agustus";"September";"Oktober";"November";"Desember"},0)
        &lt;= MONTH(TODAY()),
        "LULUS",
        "AKTIF"),
 "AKTIF"))</f>
        <v>AKTIF</v>
      </c>
      <c r="U567" s="16" t="s">
        <v>2939</v>
      </c>
      <c r="V567" s="15"/>
      <c r="W567" s="15"/>
      <c r="X567" s="15"/>
      <c r="Y567" s="15"/>
      <c r="Z567" s="15"/>
    </row>
    <row r="568" spans="1:26" ht="29" customHeight="1" x14ac:dyDescent="0.35">
      <c r="A568" s="12">
        <v>567</v>
      </c>
      <c r="B568" s="25" t="s">
        <v>1878</v>
      </c>
      <c r="C568" s="72" t="s">
        <v>1879</v>
      </c>
      <c r="D568" s="24" t="s">
        <v>104</v>
      </c>
      <c r="E568" s="14" t="str">
        <f t="shared" si="10"/>
        <v>Laki-Laki</v>
      </c>
      <c r="F568" s="72" t="s">
        <v>1657</v>
      </c>
      <c r="G568" s="25" t="s">
        <v>1484</v>
      </c>
      <c r="H568" s="19" t="s">
        <v>1877</v>
      </c>
      <c r="I568" s="19" t="s">
        <v>90</v>
      </c>
      <c r="J568" s="19" t="s">
        <v>45</v>
      </c>
      <c r="K568" s="19" t="s">
        <v>905</v>
      </c>
      <c r="L568" s="86" t="s">
        <v>169</v>
      </c>
      <c r="M568" s="15">
        <v>2022</v>
      </c>
      <c r="N568" s="15" t="s">
        <v>169</v>
      </c>
      <c r="O568" s="15">
        <v>2026</v>
      </c>
      <c r="P568" s="15">
        <v>2023</v>
      </c>
      <c r="Q568" s="15"/>
      <c r="R568" s="16"/>
      <c r="S568" s="16" t="str">
        <f ca="1">IF(
  O568 &lt; YEAR(TODAY()),
  "LULUS",
  IF(
    O568 = YEAR(TODAY()),
    IF(
      MATCH(L568, {"Januari";"Februari";"Maret";"April";"Mei";"Juni";"Juli";"Agustus";"September";"Oktober";"November";"Desember"}, 0)
        &gt;= MONTH(TODAY()),
      "AKTIF (Semester " &amp;
        (INT((12*(YEAR(TODAY())-M568) + MONTH(TODAY()) -
          MATCH(L568, {"Januari";"Februari";"Maret";"April";"Mei";"Juni";"Juli";"Agustus";"September";"Oktober";"November";"Desember"}, 0)) / 6) + 1) &amp; ")",
      "LULUS"
    ),
    "AKTIF (Semester " &amp;
      (INT((12*(YEAR(TODAY())-M568) + MONTH(TODAY()) -
        MATCH(L568, {"Januari";"Februari";"Maret";"April";"Mei";"Juni";"Juli";"Agustus";"September";"Oktober";"November";"Desember"}, 0)) / 6) + 1) &amp; ")"
  )
)</f>
        <v>AKTIF (Semester 7)</v>
      </c>
      <c r="T568" s="16" t="str">
        <f ca="1">IF(O568 &lt; YEAR(TODAY()), "LULUS",
 IF(O568 = YEAR(TODAY()),
    IF(MATCH(N568, {"Januari";"Februari";"Maret";"April";"Mei";"Juni";"Juli";"Agustus";"September";"Oktober";"November";"Desember"},0)
        &lt;= MONTH(TODAY()),
        "LULUS",
        "AKTIF"),
 "AKTIF"))</f>
        <v>AKTIF</v>
      </c>
      <c r="U568" s="16" t="s">
        <v>2939</v>
      </c>
      <c r="V568" s="15"/>
      <c r="W568" s="15"/>
      <c r="X568" s="15"/>
      <c r="Y568" s="15"/>
      <c r="Z568" s="15"/>
    </row>
    <row r="569" spans="1:26" ht="29" customHeight="1" x14ac:dyDescent="0.35">
      <c r="A569" s="12">
        <v>568</v>
      </c>
      <c r="B569" s="25" t="s">
        <v>1880</v>
      </c>
      <c r="C569" s="72" t="s">
        <v>1881</v>
      </c>
      <c r="D569" s="24" t="s">
        <v>87</v>
      </c>
      <c r="E569" s="14" t="str">
        <f t="shared" si="10"/>
        <v>Perempuan</v>
      </c>
      <c r="F569" s="72" t="s">
        <v>1730</v>
      </c>
      <c r="G569" s="25" t="s">
        <v>1484</v>
      </c>
      <c r="H569" s="19" t="s">
        <v>1877</v>
      </c>
      <c r="I569" s="19" t="s">
        <v>90</v>
      </c>
      <c r="J569" s="19" t="s">
        <v>45</v>
      </c>
      <c r="K569" s="19" t="s">
        <v>905</v>
      </c>
      <c r="L569" s="86" t="s">
        <v>169</v>
      </c>
      <c r="M569" s="15">
        <v>2022</v>
      </c>
      <c r="N569" s="15" t="s">
        <v>169</v>
      </c>
      <c r="O569" s="15">
        <v>2026</v>
      </c>
      <c r="P569" s="15">
        <v>2023</v>
      </c>
      <c r="Q569" s="15"/>
      <c r="R569" s="16"/>
      <c r="S569" s="16" t="str">
        <f ca="1">IF(
  O569 &lt; YEAR(TODAY()),
  "LULUS",
  IF(
    O569 = YEAR(TODAY()),
    IF(
      MATCH(L569, {"Januari";"Februari";"Maret";"April";"Mei";"Juni";"Juli";"Agustus";"September";"Oktober";"November";"Desember"}, 0)
        &gt;= MONTH(TODAY()),
      "AKTIF (Semester " &amp;
        (INT((12*(YEAR(TODAY())-M569) + MONTH(TODAY()) -
          MATCH(L569, {"Januari";"Februari";"Maret";"April";"Mei";"Juni";"Juli";"Agustus";"September";"Oktober";"November";"Desember"}, 0)) / 6) + 1) &amp; ")",
      "LULUS"
    ),
    "AKTIF (Semester " &amp;
      (INT((12*(YEAR(TODAY())-M569) + MONTH(TODAY()) -
        MATCH(L569, {"Januari";"Februari";"Maret";"April";"Mei";"Juni";"Juli";"Agustus";"September";"Oktober";"November";"Desember"}, 0)) / 6) + 1) &amp; ")"
  )
)</f>
        <v>AKTIF (Semester 7)</v>
      </c>
      <c r="T569" s="16" t="str">
        <f ca="1">IF(O569 &lt; YEAR(TODAY()), "LULUS",
 IF(O569 = YEAR(TODAY()),
    IF(MATCH(N569, {"Januari";"Februari";"Maret";"April";"Mei";"Juni";"Juli";"Agustus";"September";"Oktober";"November";"Desember"},0)
        &lt;= MONTH(TODAY()),
        "LULUS",
        "AKTIF"),
 "AKTIF"))</f>
        <v>AKTIF</v>
      </c>
      <c r="U569" s="16" t="s">
        <v>2939</v>
      </c>
      <c r="V569" s="15"/>
      <c r="W569" s="15"/>
      <c r="X569" s="15"/>
      <c r="Y569" s="15"/>
      <c r="Z569" s="15"/>
    </row>
    <row r="570" spans="1:26" ht="29" customHeight="1" x14ac:dyDescent="0.35">
      <c r="A570" s="12">
        <v>569</v>
      </c>
      <c r="B570" s="25" t="s">
        <v>1882</v>
      </c>
      <c r="C570" s="72" t="s">
        <v>1883</v>
      </c>
      <c r="D570" s="24" t="s">
        <v>126</v>
      </c>
      <c r="E570" s="14" t="str">
        <f t="shared" si="10"/>
        <v>Laki-Laki</v>
      </c>
      <c r="F570" s="72" t="s">
        <v>1807</v>
      </c>
      <c r="G570" s="25" t="s">
        <v>1484</v>
      </c>
      <c r="H570" s="19" t="s">
        <v>1525</v>
      </c>
      <c r="I570" s="19" t="s">
        <v>1884</v>
      </c>
      <c r="J570" s="19" t="s">
        <v>26</v>
      </c>
      <c r="K570" s="19" t="s">
        <v>407</v>
      </c>
      <c r="L570" s="86" t="s">
        <v>28</v>
      </c>
      <c r="M570" s="15">
        <v>2022</v>
      </c>
      <c r="N570" s="15" t="s">
        <v>28</v>
      </c>
      <c r="O570" s="15">
        <v>2024</v>
      </c>
      <c r="P570" s="15">
        <v>2023</v>
      </c>
      <c r="Q570" s="15"/>
      <c r="R570" s="16"/>
      <c r="S570" s="16" t="str">
        <f ca="1">IF(
  O570 &lt; YEAR(TODAY()),
  "LULUS",
  IF(
    O570 = YEAR(TODAY()),
    IF(
      MATCH(L570, {"Januari";"Februari";"Maret";"April";"Mei";"Juni";"Juli";"Agustus";"September";"Oktober";"November";"Desember"}, 0)
        &gt;= MONTH(TODAY()),
      "AKTIF (Semester " &amp;
        (INT((12*(YEAR(TODAY())-M570) + MONTH(TODAY()) -
          MATCH(L570, {"Januari";"Februari";"Maret";"April";"Mei";"Juni";"Juli";"Agustus";"September";"Oktober";"November";"Desember"}, 0)) / 6) + 1) &amp; ")",
      "LULUS"
    ),
    "AKTIF (Semester " &amp;
      (INT((12*(YEAR(TODAY())-M570) + MONTH(TODAY()) -
        MATCH(L570, {"Januari";"Februari";"Maret";"April";"Mei";"Juni";"Juli";"Agustus";"September";"Oktober";"November";"Desember"}, 0)) / 6) + 1) &amp; ")"
  )
)</f>
        <v>LULUS</v>
      </c>
      <c r="T570" s="16" t="str">
        <f ca="1">IF(O570 &lt; YEAR(TODAY()), "LULUS",
 IF(O570 = YEAR(TODAY()),
    IF(MATCH(N570, {"Januari";"Februari";"Maret";"April";"Mei";"Juni";"Juli";"Agustus";"September";"Oktober";"November";"Desember"},0)
        &lt;= MONTH(TODAY()),
        "LULUS",
        "AKTIF"),
 "AKTIF"))</f>
        <v>LULUS</v>
      </c>
      <c r="U570" s="16" t="s">
        <v>29</v>
      </c>
      <c r="V570" s="15"/>
      <c r="W570" s="15"/>
      <c r="X570" s="15"/>
      <c r="Y570" s="15"/>
      <c r="Z570" s="15"/>
    </row>
    <row r="571" spans="1:26" ht="29" customHeight="1" x14ac:dyDescent="0.35">
      <c r="A571" s="12">
        <v>570</v>
      </c>
      <c r="B571" s="25" t="s">
        <v>1885</v>
      </c>
      <c r="C571" s="72" t="s">
        <v>1886</v>
      </c>
      <c r="D571" s="24" t="s">
        <v>109</v>
      </c>
      <c r="E571" s="14" t="str">
        <f t="shared" si="10"/>
        <v>Perempuan</v>
      </c>
      <c r="F571" s="72" t="s">
        <v>1807</v>
      </c>
      <c r="G571" s="25" t="s">
        <v>1484</v>
      </c>
      <c r="H571" s="19" t="s">
        <v>1525</v>
      </c>
      <c r="I571" s="19" t="s">
        <v>563</v>
      </c>
      <c r="J571" s="19" t="s">
        <v>26</v>
      </c>
      <c r="K571" s="19" t="s">
        <v>564</v>
      </c>
      <c r="L571" s="86" t="s">
        <v>145</v>
      </c>
      <c r="M571" s="15">
        <v>2022</v>
      </c>
      <c r="N571" s="15" t="s">
        <v>145</v>
      </c>
      <c r="O571" s="15">
        <v>2024</v>
      </c>
      <c r="P571" s="15">
        <v>2023</v>
      </c>
      <c r="Q571" s="15"/>
      <c r="R571" s="16"/>
      <c r="S571" s="16" t="str">
        <f ca="1">IF(
  O571 &lt; YEAR(TODAY()),
  "LULUS",
  IF(
    O571 = YEAR(TODAY()),
    IF(
      MATCH(L571, {"Januari";"Februari";"Maret";"April";"Mei";"Juni";"Juli";"Agustus";"September";"Oktober";"November";"Desember"}, 0)
        &gt;= MONTH(TODAY()),
      "AKTIF (Semester " &amp;
        (INT((12*(YEAR(TODAY())-M571) + MONTH(TODAY()) -
          MATCH(L571, {"Januari";"Februari";"Maret";"April";"Mei";"Juni";"Juli";"Agustus";"September";"Oktober";"November";"Desember"}, 0)) / 6) + 1) &amp; ")",
      "LULUS"
    ),
    "AKTIF (Semester " &amp;
      (INT((12*(YEAR(TODAY())-M571) + MONTH(TODAY()) -
        MATCH(L571, {"Januari";"Februari";"Maret";"April";"Mei";"Juni";"Juli";"Agustus";"September";"Oktober";"November";"Desember"}, 0)) / 6) + 1) &amp; ")"
  )
)</f>
        <v>LULUS</v>
      </c>
      <c r="T571" s="16" t="str">
        <f ca="1">IF(O571 &lt; YEAR(TODAY()), "LULUS",
 IF(O571 = YEAR(TODAY()),
    IF(MATCH(N571, {"Januari";"Februari";"Maret";"April";"Mei";"Juni";"Juli";"Agustus";"September";"Oktober";"November";"Desember"},0)
        &lt;= MONTH(TODAY()),
        "LULUS",
        "AKTIF"),
 "AKTIF"))</f>
        <v>LULUS</v>
      </c>
      <c r="U571" s="16" t="s">
        <v>29</v>
      </c>
      <c r="V571" s="15"/>
      <c r="W571" s="15"/>
      <c r="X571" s="15"/>
      <c r="Y571" s="15"/>
      <c r="Z571" s="15"/>
    </row>
    <row r="572" spans="1:26" ht="29" customHeight="1" x14ac:dyDescent="0.35">
      <c r="A572" s="12">
        <v>571</v>
      </c>
      <c r="B572" s="25" t="s">
        <v>1887</v>
      </c>
      <c r="C572" s="72" t="s">
        <v>1888</v>
      </c>
      <c r="D572" s="24" t="s">
        <v>109</v>
      </c>
      <c r="E572" s="14" t="str">
        <f t="shared" si="10"/>
        <v>Perempuan</v>
      </c>
      <c r="F572" s="72" t="s">
        <v>1791</v>
      </c>
      <c r="G572" s="25" t="s">
        <v>1484</v>
      </c>
      <c r="H572" s="19" t="s">
        <v>1525</v>
      </c>
      <c r="I572" s="19" t="s">
        <v>563</v>
      </c>
      <c r="J572" s="19" t="s">
        <v>26</v>
      </c>
      <c r="K572" s="19" t="s">
        <v>564</v>
      </c>
      <c r="L572" s="86" t="s">
        <v>145</v>
      </c>
      <c r="M572" s="15">
        <v>2022</v>
      </c>
      <c r="N572" s="15" t="s">
        <v>145</v>
      </c>
      <c r="O572" s="15">
        <v>2024</v>
      </c>
      <c r="P572" s="15">
        <v>2023</v>
      </c>
      <c r="Q572" s="15"/>
      <c r="R572" s="16"/>
      <c r="S572" s="16" t="str">
        <f ca="1">IF(
  O572 &lt; YEAR(TODAY()),
  "LULUS",
  IF(
    O572 = YEAR(TODAY()),
    IF(
      MATCH(L572, {"Januari";"Februari";"Maret";"April";"Mei";"Juni";"Juli";"Agustus";"September";"Oktober";"November";"Desember"}, 0)
        &gt;= MONTH(TODAY()),
      "AKTIF (Semester " &amp;
        (INT((12*(YEAR(TODAY())-M572) + MONTH(TODAY()) -
          MATCH(L572, {"Januari";"Februari";"Maret";"April";"Mei";"Juni";"Juli";"Agustus";"September";"Oktober";"November";"Desember"}, 0)) / 6) + 1) &amp; ")",
      "LULUS"
    ),
    "AKTIF (Semester " &amp;
      (INT((12*(YEAR(TODAY())-M572) + MONTH(TODAY()) -
        MATCH(L572, {"Januari";"Februari";"Maret";"April";"Mei";"Juni";"Juli";"Agustus";"September";"Oktober";"November";"Desember"}, 0)) / 6) + 1) &amp; ")"
  )
)</f>
        <v>LULUS</v>
      </c>
      <c r="T572" s="16" t="str">
        <f ca="1">IF(O572 &lt; YEAR(TODAY()), "LULUS",
 IF(O572 = YEAR(TODAY()),
    IF(MATCH(N572, {"Januari";"Februari";"Maret";"April";"Mei";"Juni";"Juli";"Agustus";"September";"Oktober";"November";"Desember"},0)
        &lt;= MONTH(TODAY()),
        "LULUS",
        "AKTIF"),
 "AKTIF"))</f>
        <v>LULUS</v>
      </c>
      <c r="U572" s="16" t="s">
        <v>29</v>
      </c>
      <c r="V572" s="15"/>
      <c r="W572" s="15"/>
      <c r="X572" s="15"/>
      <c r="Y572" s="15"/>
      <c r="Z572" s="15"/>
    </row>
    <row r="573" spans="1:26" ht="29" customHeight="1" x14ac:dyDescent="0.35">
      <c r="A573" s="12">
        <v>572</v>
      </c>
      <c r="B573" s="25" t="s">
        <v>1889</v>
      </c>
      <c r="C573" s="72" t="s">
        <v>1890</v>
      </c>
      <c r="D573" s="24" t="s">
        <v>126</v>
      </c>
      <c r="E573" s="14" t="str">
        <f t="shared" si="10"/>
        <v>Laki-Laki</v>
      </c>
      <c r="F573" s="72" t="s">
        <v>1663</v>
      </c>
      <c r="G573" s="25" t="s">
        <v>1484</v>
      </c>
      <c r="H573" s="19" t="s">
        <v>1525</v>
      </c>
      <c r="I573" s="19" t="s">
        <v>563</v>
      </c>
      <c r="J573" s="19" t="s">
        <v>45</v>
      </c>
      <c r="K573" s="19" t="s">
        <v>591</v>
      </c>
      <c r="L573" s="70" t="s">
        <v>60</v>
      </c>
      <c r="M573" s="15">
        <v>2022</v>
      </c>
      <c r="N573" s="15" t="s">
        <v>145</v>
      </c>
      <c r="O573" s="15">
        <v>2026</v>
      </c>
      <c r="P573" s="15">
        <v>2023</v>
      </c>
      <c r="Q573" s="15"/>
      <c r="R573" s="16"/>
      <c r="S573" s="16" t="str">
        <f ca="1">IF(
  O573 &lt; YEAR(TODAY()),
  "LULUS",
  IF(
    O573 = YEAR(TODAY()),
    IF(
      MATCH(L573, {"Januari";"Februari";"Maret";"April";"Mei";"Juni";"Juli";"Agustus";"September";"Oktober";"November";"Desember"}, 0)
        &gt;= MONTH(TODAY()),
      "AKTIF (Semester " &amp;
        (INT((12*(YEAR(TODAY())-M573) + MONTH(TODAY()) -
          MATCH(L573, {"Januari";"Februari";"Maret";"April";"Mei";"Juni";"Juli";"Agustus";"September";"Oktober";"November";"Desember"}, 0)) / 6) + 1) &amp; ")",
      "LULUS"
    ),
    "AKTIF (Semester " &amp;
      (INT((12*(YEAR(TODAY())-M573) + MONTH(TODAY()) -
        MATCH(L573, {"Januari";"Februari";"Maret";"April";"Mei";"Juni";"Juli";"Agustus";"September";"Oktober";"November";"Desember"}, 0)) / 6) + 1) &amp; ")"
  )
)</f>
        <v>AKTIF (Semester 7)</v>
      </c>
      <c r="T573" s="16" t="str">
        <f ca="1">IF(O573 &lt; YEAR(TODAY()), "LULUS",
 IF(O573 = YEAR(TODAY()),
    IF(MATCH(N573, {"Januari";"Februari";"Maret";"April";"Mei";"Juni";"Juli";"Agustus";"September";"Oktober";"November";"Desember"},0)
        &lt;= MONTH(TODAY()),
        "LULUS",
        "AKTIF"),
 "AKTIF"))</f>
        <v>AKTIF</v>
      </c>
      <c r="U573" s="16" t="s">
        <v>2939</v>
      </c>
      <c r="V573" s="15"/>
      <c r="W573" s="15"/>
      <c r="X573" s="15"/>
      <c r="Y573" s="15"/>
      <c r="Z573" s="15"/>
    </row>
    <row r="574" spans="1:26" ht="29" customHeight="1" x14ac:dyDescent="0.35">
      <c r="A574" s="12">
        <v>573</v>
      </c>
      <c r="B574" s="25" t="s">
        <v>1891</v>
      </c>
      <c r="C574" s="72" t="s">
        <v>1892</v>
      </c>
      <c r="D574" s="24" t="s">
        <v>471</v>
      </c>
      <c r="E574" s="14" t="str">
        <f t="shared" si="10"/>
        <v>Perempuan</v>
      </c>
      <c r="F574" s="72" t="s">
        <v>1791</v>
      </c>
      <c r="G574" s="25" t="s">
        <v>1484</v>
      </c>
      <c r="H574" s="19" t="s">
        <v>1525</v>
      </c>
      <c r="I574" s="19" t="s">
        <v>563</v>
      </c>
      <c r="J574" s="19" t="s">
        <v>26</v>
      </c>
      <c r="K574" s="19" t="s">
        <v>564</v>
      </c>
      <c r="L574" s="86" t="s">
        <v>145</v>
      </c>
      <c r="M574" s="15">
        <v>2022</v>
      </c>
      <c r="N574" s="15" t="s">
        <v>145</v>
      </c>
      <c r="O574" s="15">
        <v>2024</v>
      </c>
      <c r="P574" s="15">
        <v>2023</v>
      </c>
      <c r="Q574" s="15"/>
      <c r="R574" s="16"/>
      <c r="S574" s="16" t="str">
        <f ca="1">IF(
  O574 &lt; YEAR(TODAY()),
  "LULUS",
  IF(
    O574 = YEAR(TODAY()),
    IF(
      MATCH(L574, {"Januari";"Februari";"Maret";"April";"Mei";"Juni";"Juli";"Agustus";"September";"Oktober";"November";"Desember"}, 0)
        &gt;= MONTH(TODAY()),
      "AKTIF (Semester " &amp;
        (INT((12*(YEAR(TODAY())-M574) + MONTH(TODAY()) -
          MATCH(L574, {"Januari";"Februari";"Maret";"April";"Mei";"Juni";"Juli";"Agustus";"September";"Oktober";"November";"Desember"}, 0)) / 6) + 1) &amp; ")",
      "LULUS"
    ),
    "AKTIF (Semester " &amp;
      (INT((12*(YEAR(TODAY())-M574) + MONTH(TODAY()) -
        MATCH(L574, {"Januari";"Februari";"Maret";"April";"Mei";"Juni";"Juli";"Agustus";"September";"Oktober";"November";"Desember"}, 0)) / 6) + 1) &amp; ")"
  )
)</f>
        <v>LULUS</v>
      </c>
      <c r="T574" s="16" t="str">
        <f ca="1">IF(O574 &lt; YEAR(TODAY()), "LULUS",
 IF(O574 = YEAR(TODAY()),
    IF(MATCH(N574, {"Januari";"Februari";"Maret";"April";"Mei";"Juni";"Juli";"Agustus";"September";"Oktober";"November";"Desember"},0)
        &lt;= MONTH(TODAY()),
        "LULUS",
        "AKTIF"),
 "AKTIF"))</f>
        <v>LULUS</v>
      </c>
      <c r="U574" s="16" t="s">
        <v>29</v>
      </c>
      <c r="V574" s="15"/>
      <c r="W574" s="15"/>
      <c r="X574" s="15"/>
      <c r="Y574" s="15"/>
      <c r="Z574" s="15"/>
    </row>
    <row r="575" spans="1:26" ht="29" customHeight="1" x14ac:dyDescent="0.35">
      <c r="A575" s="12">
        <v>574</v>
      </c>
      <c r="B575" s="25" t="s">
        <v>1893</v>
      </c>
      <c r="C575" s="72" t="s">
        <v>1894</v>
      </c>
      <c r="D575" s="24" t="s">
        <v>126</v>
      </c>
      <c r="E575" s="14" t="str">
        <f t="shared" si="10"/>
        <v>Laki-Laki</v>
      </c>
      <c r="F575" s="72" t="s">
        <v>1144</v>
      </c>
      <c r="G575" s="25" t="s">
        <v>1484</v>
      </c>
      <c r="H575" s="19" t="s">
        <v>1525</v>
      </c>
      <c r="I575" s="19" t="s">
        <v>90</v>
      </c>
      <c r="J575" s="19" t="s">
        <v>45</v>
      </c>
      <c r="K575" s="19" t="s">
        <v>905</v>
      </c>
      <c r="L575" s="70" t="s">
        <v>35</v>
      </c>
      <c r="M575" s="15">
        <v>2022</v>
      </c>
      <c r="N575" s="15" t="s">
        <v>123</v>
      </c>
      <c r="O575" s="15">
        <v>2026</v>
      </c>
      <c r="P575" s="15">
        <v>2023</v>
      </c>
      <c r="Q575" s="15"/>
      <c r="R575" s="16"/>
      <c r="S575" s="16" t="str">
        <f ca="1">IF(
  O575 &lt; YEAR(TODAY()),
  "LULUS",
  IF(
    O575 = YEAR(TODAY()),
    IF(
      MATCH(L575, {"Januari";"Februari";"Maret";"April";"Mei";"Juni";"Juli";"Agustus";"September";"Oktober";"November";"Desember"}, 0)
        &gt;= MONTH(TODAY()),
      "AKTIF (Semester " &amp;
        (INT((12*(YEAR(TODAY())-M575) + MONTH(TODAY()) -
          MATCH(L575, {"Januari";"Februari";"Maret";"April";"Mei";"Juni";"Juli";"Agustus";"September";"Oktober";"November";"Desember"}, 0)) / 6) + 1) &amp; ")",
      "LULUS"
    ),
    "AKTIF (Semester " &amp;
      (INT((12*(YEAR(TODAY())-M575) + MONTH(TODAY()) -
        MATCH(L575, {"Januari";"Februari";"Maret";"April";"Mei";"Juni";"Juli";"Agustus";"September";"Oktober";"November";"Desember"}, 0)) / 6) + 1) &amp; ")"
  )
)</f>
        <v>AKTIF (Semester 8)</v>
      </c>
      <c r="T575" s="16" t="str">
        <f ca="1">IF(O575 &lt; YEAR(TODAY()), "LULUS",
 IF(O575 = YEAR(TODAY()),
    IF(MATCH(N575, {"Januari";"Februari";"Maret";"April";"Mei";"Juni";"Juli";"Agustus";"September";"Oktober";"November";"Desember"},0)
        &lt;= MONTH(TODAY()),
        "LULUS",
        "AKTIF"),
 "AKTIF"))</f>
        <v>AKTIF</v>
      </c>
      <c r="U575" s="16" t="s">
        <v>2944</v>
      </c>
      <c r="V575" s="15"/>
      <c r="W575" s="15"/>
      <c r="X575" s="15"/>
      <c r="Y575" s="15"/>
      <c r="Z575" s="15"/>
    </row>
    <row r="576" spans="1:26" ht="29" customHeight="1" x14ac:dyDescent="0.35">
      <c r="A576" s="12">
        <v>575</v>
      </c>
      <c r="B576" s="25" t="s">
        <v>1895</v>
      </c>
      <c r="C576" s="72" t="s">
        <v>1896</v>
      </c>
      <c r="D576" s="24" t="s">
        <v>116</v>
      </c>
      <c r="E576" s="14" t="str">
        <f t="shared" si="10"/>
        <v>Laki-Laki</v>
      </c>
      <c r="F576" s="72" t="s">
        <v>1147</v>
      </c>
      <c r="G576" s="25" t="s">
        <v>1484</v>
      </c>
      <c r="H576" s="19" t="s">
        <v>1525</v>
      </c>
      <c r="I576" s="19" t="s">
        <v>90</v>
      </c>
      <c r="J576" s="19" t="s">
        <v>45</v>
      </c>
      <c r="K576" s="19" t="s">
        <v>46</v>
      </c>
      <c r="L576" s="29" t="s">
        <v>28</v>
      </c>
      <c r="M576" s="15">
        <v>2021</v>
      </c>
      <c r="N576" s="15" t="s">
        <v>205</v>
      </c>
      <c r="O576" s="15">
        <v>2025</v>
      </c>
      <c r="P576" s="15">
        <v>2023</v>
      </c>
      <c r="Q576" s="15"/>
      <c r="R576" s="16"/>
      <c r="S576" s="16" t="str">
        <f ca="1">IF(
  O576 &lt; YEAR(TODAY()),
  "LULUS",
  IF(
    O576 = YEAR(TODAY()),
    IF(
      MATCH(L576, {"Januari";"Februari";"Maret";"April";"Mei";"Juni";"Juli";"Agustus";"September";"Oktober";"November";"Desember"}, 0)
        &gt;= MONTH(TODAY()),
      "AKTIF (Semester " &amp;
        (INT((12*(YEAR(TODAY())-M576) + MONTH(TODAY()) -
          MATCH(L576, {"Januari";"Februari";"Maret";"April";"Mei";"Juni";"Juli";"Agustus";"September";"Oktober";"November";"Desember"}, 0)) / 6) + 1) &amp; ")",
      "LULUS"
    ),
    "AKTIF (Semester " &amp;
      (INT((12*(YEAR(TODAY())-M576) + MONTH(TODAY()) -
        MATCH(L576, {"Januari";"Februari";"Maret";"April";"Mei";"Juni";"Juli";"Agustus";"September";"Oktober";"November";"Desember"}, 0)) / 6) + 1) &amp; ")"
  )
)</f>
        <v>LULUS</v>
      </c>
      <c r="T576" s="16" t="e">
        <f ca="1">IF(O576 &lt; YEAR(TODAY()), "LULUS",
 IF(O576 = YEAR(TODAY()),
    IF(MATCH(N576, {"Januari";"Februari";"Maret";"April";"Mei";"Juni";"Juli";"Agustus";"September";"Oktober";"November";"Desember"},0)
        &lt;= MONTH(TODAY()),
        "LULUS",
        "AKTIF"),
 "AKTIF"))</f>
        <v>#N/A</v>
      </c>
      <c r="U576" s="16" t="s">
        <v>29</v>
      </c>
      <c r="V576" s="15"/>
      <c r="W576" s="15"/>
      <c r="X576" s="15"/>
      <c r="Y576" s="15"/>
      <c r="Z576" s="15"/>
    </row>
    <row r="577" spans="1:26" ht="29" customHeight="1" x14ac:dyDescent="0.35">
      <c r="A577" s="12">
        <v>576</v>
      </c>
      <c r="B577" s="25" t="s">
        <v>1897</v>
      </c>
      <c r="C577" s="72" t="s">
        <v>1898</v>
      </c>
      <c r="D577" s="24" t="s">
        <v>109</v>
      </c>
      <c r="E577" s="14" t="str">
        <f t="shared" si="10"/>
        <v>Laki-Laki</v>
      </c>
      <c r="F577" s="72" t="s">
        <v>1463</v>
      </c>
      <c r="G577" s="25" t="s">
        <v>1484</v>
      </c>
      <c r="H577" s="19" t="s">
        <v>1899</v>
      </c>
      <c r="I577" s="19" t="s">
        <v>2932</v>
      </c>
      <c r="J577" s="19" t="s">
        <v>26</v>
      </c>
      <c r="K577" s="19" t="s">
        <v>46</v>
      </c>
      <c r="L577" s="86" t="s">
        <v>145</v>
      </c>
      <c r="M577" s="15">
        <v>2022</v>
      </c>
      <c r="N577" s="15" t="s">
        <v>145</v>
      </c>
      <c r="O577" s="15">
        <v>2024</v>
      </c>
      <c r="P577" s="15">
        <v>2023</v>
      </c>
      <c r="Q577" s="15"/>
      <c r="R577" s="16"/>
      <c r="S577" s="16" t="str">
        <f ca="1">IF(
  O577 &lt; YEAR(TODAY()),
  "LULUS",
  IF(
    O577 = YEAR(TODAY()),
    IF(
      MATCH(L577, {"Januari";"Februari";"Maret";"April";"Mei";"Juni";"Juli";"Agustus";"September";"Oktober";"November";"Desember"}, 0)
        &gt;= MONTH(TODAY()),
      "AKTIF (Semester " &amp;
        (INT((12*(YEAR(TODAY())-M577) + MONTH(TODAY()) -
          MATCH(L577, {"Januari";"Februari";"Maret";"April";"Mei";"Juni";"Juli";"Agustus";"September";"Oktober";"November";"Desember"}, 0)) / 6) + 1) &amp; ")",
      "LULUS"
    ),
    "AKTIF (Semester " &amp;
      (INT((12*(YEAR(TODAY())-M577) + MONTH(TODAY()) -
        MATCH(L577, {"Januari";"Februari";"Maret";"April";"Mei";"Juni";"Juli";"Agustus";"September";"Oktober";"November";"Desember"}, 0)) / 6) + 1) &amp; ")"
  )
)</f>
        <v>LULUS</v>
      </c>
      <c r="T577" s="16" t="str">
        <f ca="1">IF(O577 &lt; YEAR(TODAY()), "LULUS",
 IF(O577 = YEAR(TODAY()),
    IF(MATCH(N577, {"Januari";"Februari";"Maret";"April";"Mei";"Juni";"Juli";"Agustus";"September";"Oktober";"November";"Desember"},0)
        &lt;= MONTH(TODAY()),
        "LULUS",
        "AKTIF"),
 "AKTIF"))</f>
        <v>LULUS</v>
      </c>
      <c r="U577" s="16" t="s">
        <v>29</v>
      </c>
      <c r="V577" s="15"/>
      <c r="W577" s="15"/>
      <c r="X577" s="15"/>
      <c r="Y577" s="15"/>
      <c r="Z577" s="15"/>
    </row>
    <row r="578" spans="1:26" ht="29" customHeight="1" x14ac:dyDescent="0.35">
      <c r="A578" s="12">
        <v>577</v>
      </c>
      <c r="B578" s="25" t="s">
        <v>1901</v>
      </c>
      <c r="C578" s="72" t="s">
        <v>1902</v>
      </c>
      <c r="D578" s="24" t="s">
        <v>109</v>
      </c>
      <c r="E578" s="14" t="str">
        <f t="shared" si="10"/>
        <v>Perempuan</v>
      </c>
      <c r="F578" s="72" t="s">
        <v>1126</v>
      </c>
      <c r="G578" s="25" t="s">
        <v>1484</v>
      </c>
      <c r="H578" s="19" t="s">
        <v>1846</v>
      </c>
      <c r="I578" s="19" t="s">
        <v>460</v>
      </c>
      <c r="J578" s="19" t="s">
        <v>26</v>
      </c>
      <c r="K578" s="19" t="s">
        <v>46</v>
      </c>
      <c r="L578" s="86" t="s">
        <v>28</v>
      </c>
      <c r="M578" s="15">
        <v>2022</v>
      </c>
      <c r="N578" s="15" t="s">
        <v>28</v>
      </c>
      <c r="O578" s="15">
        <v>2024</v>
      </c>
      <c r="P578" s="15">
        <v>2023</v>
      </c>
      <c r="Q578" s="15"/>
      <c r="R578" s="16"/>
      <c r="S578" s="16" t="str">
        <f ca="1">IF(
  O578 &lt; YEAR(TODAY()),
  "LULUS",
  IF(
    O578 = YEAR(TODAY()),
    IF(
      MATCH(L578, {"Januari";"Februari";"Maret";"April";"Mei";"Juni";"Juli";"Agustus";"September";"Oktober";"November";"Desember"}, 0)
        &gt;= MONTH(TODAY()),
      "AKTIF (Semester " &amp;
        (INT((12*(YEAR(TODAY())-M578) + MONTH(TODAY()) -
          MATCH(L578, {"Januari";"Februari";"Maret";"April";"Mei";"Juni";"Juli";"Agustus";"September";"Oktober";"November";"Desember"}, 0)) / 6) + 1) &amp; ")",
      "LULUS"
    ),
    "AKTIF (Semester " &amp;
      (INT((12*(YEAR(TODAY())-M578) + MONTH(TODAY()) -
        MATCH(L578, {"Januari";"Februari";"Maret";"April";"Mei";"Juni";"Juli";"Agustus";"September";"Oktober";"November";"Desember"}, 0)) / 6) + 1) &amp; ")"
  )
)</f>
        <v>LULUS</v>
      </c>
      <c r="T578" s="16" t="str">
        <f ca="1">IF(O578 &lt; YEAR(TODAY()), "LULUS",
 IF(O578 = YEAR(TODAY()),
    IF(MATCH(N578, {"Januari";"Februari";"Maret";"April";"Mei";"Juni";"Juli";"Agustus";"September";"Oktober";"November";"Desember"},0)
        &lt;= MONTH(TODAY()),
        "LULUS",
        "AKTIF"),
 "AKTIF"))</f>
        <v>LULUS</v>
      </c>
      <c r="U578" s="16" t="s">
        <v>29</v>
      </c>
      <c r="V578" s="15"/>
      <c r="W578" s="15"/>
      <c r="X578" s="15"/>
      <c r="Y578" s="15"/>
      <c r="Z578" s="15"/>
    </row>
    <row r="579" spans="1:26" ht="29" customHeight="1" x14ac:dyDescent="0.35">
      <c r="A579" s="12">
        <v>578</v>
      </c>
      <c r="B579" s="25" t="s">
        <v>1903</v>
      </c>
      <c r="C579" s="72" t="s">
        <v>1904</v>
      </c>
      <c r="D579" s="24" t="s">
        <v>126</v>
      </c>
      <c r="E579" s="14" t="str">
        <f t="shared" si="10"/>
        <v>Perempuan</v>
      </c>
      <c r="F579" s="72" t="s">
        <v>1807</v>
      </c>
      <c r="G579" s="25" t="s">
        <v>1484</v>
      </c>
      <c r="H579" s="19" t="s">
        <v>1846</v>
      </c>
      <c r="I579" s="28" t="s">
        <v>2456</v>
      </c>
      <c r="J579" s="19" t="s">
        <v>26</v>
      </c>
      <c r="K579" s="19" t="s">
        <v>407</v>
      </c>
      <c r="L579" s="86" t="s">
        <v>28</v>
      </c>
      <c r="M579" s="15">
        <v>2022</v>
      </c>
      <c r="N579" s="15" t="s">
        <v>28</v>
      </c>
      <c r="O579" s="15">
        <v>2024</v>
      </c>
      <c r="P579" s="15">
        <v>2023</v>
      </c>
      <c r="Q579" s="15"/>
      <c r="R579" s="16"/>
      <c r="S579" s="16" t="str">
        <f ca="1">IF(
  O579 &lt; YEAR(TODAY()),
  "LULUS",
  IF(
    O579 = YEAR(TODAY()),
    IF(
      MATCH(L579, {"Januari";"Februari";"Maret";"April";"Mei";"Juni";"Juli";"Agustus";"September";"Oktober";"November";"Desember"}, 0)
        &gt;= MONTH(TODAY()),
      "AKTIF (Semester " &amp;
        (INT((12*(YEAR(TODAY())-M579) + MONTH(TODAY()) -
          MATCH(L579, {"Januari";"Februari";"Maret";"April";"Mei";"Juni";"Juli";"Agustus";"September";"Oktober";"November";"Desember"}, 0)) / 6) + 1) &amp; ")",
      "LULUS"
    ),
    "AKTIF (Semester " &amp;
      (INT((12*(YEAR(TODAY())-M579) + MONTH(TODAY()) -
        MATCH(L579, {"Januari";"Februari";"Maret";"April";"Mei";"Juni";"Juli";"Agustus";"September";"Oktober";"November";"Desember"}, 0)) / 6) + 1) &amp; ")"
  )
)</f>
        <v>LULUS</v>
      </c>
      <c r="T579" s="16" t="str">
        <f ca="1">IF(O579 &lt; YEAR(TODAY()), "LULUS",
 IF(O579 = YEAR(TODAY()),
    IF(MATCH(N579, {"Januari";"Februari";"Maret";"April";"Mei";"Juni";"Juli";"Agustus";"September";"Oktober";"November";"Desember"},0)
        &lt;= MONTH(TODAY()),
        "LULUS",
        "AKTIF"),
 "AKTIF"))</f>
        <v>LULUS</v>
      </c>
      <c r="U579" s="16" t="s">
        <v>29</v>
      </c>
      <c r="V579" s="15"/>
      <c r="W579" s="15"/>
      <c r="X579" s="15"/>
      <c r="Y579" s="15"/>
      <c r="Z579" s="15"/>
    </row>
    <row r="580" spans="1:26" ht="29" customHeight="1" x14ac:dyDescent="0.35">
      <c r="A580" s="12">
        <v>579</v>
      </c>
      <c r="B580" s="25" t="s">
        <v>1905</v>
      </c>
      <c r="C580" s="72" t="s">
        <v>1906</v>
      </c>
      <c r="D580" s="24" t="s">
        <v>126</v>
      </c>
      <c r="E580" s="14" t="str">
        <f t="shared" si="10"/>
        <v>Perempuan</v>
      </c>
      <c r="F580" s="72" t="s">
        <v>1907</v>
      </c>
      <c r="G580" s="25" t="s">
        <v>1484</v>
      </c>
      <c r="H580" s="19" t="s">
        <v>1846</v>
      </c>
      <c r="I580" s="28" t="s">
        <v>2456</v>
      </c>
      <c r="J580" s="19" t="s">
        <v>26</v>
      </c>
      <c r="K580" s="19" t="s">
        <v>407</v>
      </c>
      <c r="L580" s="86" t="s">
        <v>28</v>
      </c>
      <c r="M580" s="15">
        <v>2022</v>
      </c>
      <c r="N580" s="15" t="s">
        <v>28</v>
      </c>
      <c r="O580" s="15">
        <v>2024</v>
      </c>
      <c r="P580" s="15">
        <v>2023</v>
      </c>
      <c r="Q580" s="15"/>
      <c r="R580" s="16"/>
      <c r="S580" s="16" t="str">
        <f ca="1">IF(
  O580 &lt; YEAR(TODAY()),
  "LULUS",
  IF(
    O580 = YEAR(TODAY()),
    IF(
      MATCH(L580, {"Januari";"Februari";"Maret";"April";"Mei";"Juni";"Juli";"Agustus";"September";"Oktober";"November";"Desember"}, 0)
        &gt;= MONTH(TODAY()),
      "AKTIF (Semester " &amp;
        (INT((12*(YEAR(TODAY())-M580) + MONTH(TODAY()) -
          MATCH(L580, {"Januari";"Februari";"Maret";"April";"Mei";"Juni";"Juli";"Agustus";"September";"Oktober";"November";"Desember"}, 0)) / 6) + 1) &amp; ")",
      "LULUS"
    ),
    "AKTIF (Semester " &amp;
      (INT((12*(YEAR(TODAY())-M580) + MONTH(TODAY()) -
        MATCH(L580, {"Januari";"Februari";"Maret";"April";"Mei";"Juni";"Juli";"Agustus";"September";"Oktober";"November";"Desember"}, 0)) / 6) + 1) &amp; ")"
  )
)</f>
        <v>LULUS</v>
      </c>
      <c r="T580" s="16" t="str">
        <f ca="1">IF(O580 &lt; YEAR(TODAY()), "LULUS",
 IF(O580 = YEAR(TODAY()),
    IF(MATCH(N580, {"Januari";"Februari";"Maret";"April";"Mei";"Juni";"Juli";"Agustus";"September";"Oktober";"November";"Desember"},0)
        &lt;= MONTH(TODAY()),
        "LULUS",
        "AKTIF"),
 "AKTIF"))</f>
        <v>LULUS</v>
      </c>
      <c r="U580" s="16" t="s">
        <v>29</v>
      </c>
      <c r="V580" s="15"/>
      <c r="W580" s="15"/>
      <c r="X580" s="15"/>
      <c r="Y580" s="15"/>
      <c r="Z580" s="15"/>
    </row>
    <row r="581" spans="1:26" ht="29" customHeight="1" x14ac:dyDescent="0.35">
      <c r="A581" s="12">
        <v>580</v>
      </c>
      <c r="B581" s="25" t="s">
        <v>1908</v>
      </c>
      <c r="C581" s="72" t="s">
        <v>1909</v>
      </c>
      <c r="D581" s="24" t="s">
        <v>109</v>
      </c>
      <c r="E581" s="14" t="str">
        <f t="shared" si="10"/>
        <v>Perempuan</v>
      </c>
      <c r="F581" s="72" t="s">
        <v>1807</v>
      </c>
      <c r="G581" s="25" t="s">
        <v>1484</v>
      </c>
      <c r="H581" s="19" t="s">
        <v>1846</v>
      </c>
      <c r="I581" s="19" t="s">
        <v>590</v>
      </c>
      <c r="J581" s="19" t="s">
        <v>26</v>
      </c>
      <c r="K581" s="19" t="s">
        <v>591</v>
      </c>
      <c r="L581" s="86" t="s">
        <v>28</v>
      </c>
      <c r="M581" s="15">
        <v>2022</v>
      </c>
      <c r="N581" s="15" t="s">
        <v>28</v>
      </c>
      <c r="O581" s="15">
        <v>2024</v>
      </c>
      <c r="P581" s="15">
        <v>2023</v>
      </c>
      <c r="Q581" s="15"/>
      <c r="R581" s="16"/>
      <c r="S581" s="16" t="str">
        <f ca="1">IF(
  O581 &lt; YEAR(TODAY()),
  "LULUS",
  IF(
    O581 = YEAR(TODAY()),
    IF(
      MATCH(L581, {"Januari";"Februari";"Maret";"April";"Mei";"Juni";"Juli";"Agustus";"September";"Oktober";"November";"Desember"}, 0)
        &gt;= MONTH(TODAY()),
      "AKTIF (Semester " &amp;
        (INT((12*(YEAR(TODAY())-M581) + MONTH(TODAY()) -
          MATCH(L581, {"Januari";"Februari";"Maret";"April";"Mei";"Juni";"Juli";"Agustus";"September";"Oktober";"November";"Desember"}, 0)) / 6) + 1) &amp; ")",
      "LULUS"
    ),
    "AKTIF (Semester " &amp;
      (INT((12*(YEAR(TODAY())-M581) + MONTH(TODAY()) -
        MATCH(L581, {"Januari";"Februari";"Maret";"April";"Mei";"Juni";"Juli";"Agustus";"September";"Oktober";"November";"Desember"}, 0)) / 6) + 1) &amp; ")"
  )
)</f>
        <v>LULUS</v>
      </c>
      <c r="T581" s="16" t="str">
        <f ca="1">IF(O581 &lt; YEAR(TODAY()), "LULUS",
 IF(O581 = YEAR(TODAY()),
    IF(MATCH(N581, {"Januari";"Februari";"Maret";"April";"Mei";"Juni";"Juli";"Agustus";"September";"Oktober";"November";"Desember"},0)
        &lt;= MONTH(TODAY()),
        "LULUS",
        "AKTIF"),
 "AKTIF"))</f>
        <v>LULUS</v>
      </c>
      <c r="U581" s="16" t="s">
        <v>29</v>
      </c>
      <c r="V581" s="15"/>
      <c r="W581" s="15"/>
      <c r="X581" s="15"/>
      <c r="Y581" s="15"/>
      <c r="Z581" s="15"/>
    </row>
    <row r="582" spans="1:26" ht="29" customHeight="1" x14ac:dyDescent="0.35">
      <c r="A582" s="12">
        <v>581</v>
      </c>
      <c r="B582" s="25" t="s">
        <v>1910</v>
      </c>
      <c r="C582" s="72" t="s">
        <v>1911</v>
      </c>
      <c r="D582" s="24" t="s">
        <v>109</v>
      </c>
      <c r="E582" s="14" t="str">
        <f t="shared" si="10"/>
        <v>Laki-Laki</v>
      </c>
      <c r="F582" s="72" t="s">
        <v>1807</v>
      </c>
      <c r="G582" s="25" t="s">
        <v>1484</v>
      </c>
      <c r="H582" s="19" t="s">
        <v>1846</v>
      </c>
      <c r="I582" s="19" t="s">
        <v>590</v>
      </c>
      <c r="J582" s="19" t="s">
        <v>26</v>
      </c>
      <c r="K582" s="19" t="s">
        <v>591</v>
      </c>
      <c r="L582" s="86" t="s">
        <v>28</v>
      </c>
      <c r="M582" s="15">
        <v>2022</v>
      </c>
      <c r="N582" s="15" t="s">
        <v>28</v>
      </c>
      <c r="O582" s="15">
        <v>2024</v>
      </c>
      <c r="P582" s="15">
        <v>2023</v>
      </c>
      <c r="Q582" s="15"/>
      <c r="R582" s="16"/>
      <c r="S582" s="16" t="str">
        <f ca="1">IF(
  O582 &lt; YEAR(TODAY()),
  "LULUS",
  IF(
    O582 = YEAR(TODAY()),
    IF(
      MATCH(L582, {"Januari";"Februari";"Maret";"April";"Mei";"Juni";"Juli";"Agustus";"September";"Oktober";"November";"Desember"}, 0)
        &gt;= MONTH(TODAY()),
      "AKTIF (Semester " &amp;
        (INT((12*(YEAR(TODAY())-M582) + MONTH(TODAY()) -
          MATCH(L582, {"Januari";"Februari";"Maret";"April";"Mei";"Juni";"Juli";"Agustus";"September";"Oktober";"November";"Desember"}, 0)) / 6) + 1) &amp; ")",
      "LULUS"
    ),
    "AKTIF (Semester " &amp;
      (INT((12*(YEAR(TODAY())-M582) + MONTH(TODAY()) -
        MATCH(L582, {"Januari";"Februari";"Maret";"April";"Mei";"Juni";"Juli";"Agustus";"September";"Oktober";"November";"Desember"}, 0)) / 6) + 1) &amp; ")"
  )
)</f>
        <v>LULUS</v>
      </c>
      <c r="T582" s="16" t="str">
        <f ca="1">IF(O582 &lt; YEAR(TODAY()), "LULUS",
 IF(O582 = YEAR(TODAY()),
    IF(MATCH(N582, {"Januari";"Februari";"Maret";"April";"Mei";"Juni";"Juli";"Agustus";"September";"Oktober";"November";"Desember"},0)
        &lt;= MONTH(TODAY()),
        "LULUS",
        "AKTIF"),
 "AKTIF"))</f>
        <v>LULUS</v>
      </c>
      <c r="U582" s="16" t="s">
        <v>29</v>
      </c>
      <c r="V582" s="15"/>
      <c r="W582" s="15"/>
      <c r="X582" s="15"/>
      <c r="Y582" s="15"/>
      <c r="Z582" s="15"/>
    </row>
    <row r="583" spans="1:26" ht="29" customHeight="1" x14ac:dyDescent="0.35">
      <c r="A583" s="12">
        <v>582</v>
      </c>
      <c r="B583" s="25" t="s">
        <v>1912</v>
      </c>
      <c r="C583" s="72" t="s">
        <v>1913</v>
      </c>
      <c r="D583" s="24" t="s">
        <v>370</v>
      </c>
      <c r="E583" s="14" t="str">
        <f t="shared" si="10"/>
        <v>Perempuan</v>
      </c>
      <c r="F583" s="72" t="s">
        <v>1807</v>
      </c>
      <c r="G583" s="25" t="s">
        <v>1484</v>
      </c>
      <c r="H583" s="19" t="s">
        <v>1846</v>
      </c>
      <c r="I583" s="19" t="s">
        <v>590</v>
      </c>
      <c r="J583" s="19" t="s">
        <v>26</v>
      </c>
      <c r="K583" s="19" t="s">
        <v>591</v>
      </c>
      <c r="L583" s="86" t="s">
        <v>28</v>
      </c>
      <c r="M583" s="15">
        <v>2022</v>
      </c>
      <c r="N583" s="15" t="s">
        <v>28</v>
      </c>
      <c r="O583" s="15">
        <v>2024</v>
      </c>
      <c r="P583" s="15">
        <v>2023</v>
      </c>
      <c r="Q583" s="15"/>
      <c r="R583" s="16"/>
      <c r="S583" s="16" t="str">
        <f ca="1">IF(
  O583 &lt; YEAR(TODAY()),
  "LULUS",
  IF(
    O583 = YEAR(TODAY()),
    IF(
      MATCH(L583, {"Januari";"Februari";"Maret";"April";"Mei";"Juni";"Juli";"Agustus";"September";"Oktober";"November";"Desember"}, 0)
        &gt;= MONTH(TODAY()),
      "AKTIF (Semester " &amp;
        (INT((12*(YEAR(TODAY())-M583) + MONTH(TODAY()) -
          MATCH(L583, {"Januari";"Februari";"Maret";"April";"Mei";"Juni";"Juli";"Agustus";"September";"Oktober";"November";"Desember"}, 0)) / 6) + 1) &amp; ")",
      "LULUS"
    ),
    "AKTIF (Semester " &amp;
      (INT((12*(YEAR(TODAY())-M583) + MONTH(TODAY()) -
        MATCH(L583, {"Januari";"Februari";"Maret";"April";"Mei";"Juni";"Juli";"Agustus";"September";"Oktober";"November";"Desember"}, 0)) / 6) + 1) &amp; ")"
  )
)</f>
        <v>LULUS</v>
      </c>
      <c r="T583" s="16" t="str">
        <f ca="1">IF(O583 &lt; YEAR(TODAY()), "LULUS",
 IF(O583 = YEAR(TODAY()),
    IF(MATCH(N583, {"Januari";"Februari";"Maret";"April";"Mei";"Juni";"Juli";"Agustus";"September";"Oktober";"November";"Desember"},0)
        &lt;= MONTH(TODAY()),
        "LULUS",
        "AKTIF"),
 "AKTIF"))</f>
        <v>LULUS</v>
      </c>
      <c r="U583" s="16" t="s">
        <v>29</v>
      </c>
      <c r="V583" s="15"/>
      <c r="W583" s="15"/>
      <c r="X583" s="15"/>
      <c r="Y583" s="15"/>
      <c r="Z583" s="15"/>
    </row>
    <row r="584" spans="1:26" ht="29" customHeight="1" x14ac:dyDescent="0.35">
      <c r="A584" s="12">
        <v>583</v>
      </c>
      <c r="B584" s="25" t="s">
        <v>1914</v>
      </c>
      <c r="C584" s="72" t="s">
        <v>1915</v>
      </c>
      <c r="D584" s="24" t="s">
        <v>104</v>
      </c>
      <c r="E584" s="14" t="str">
        <f t="shared" si="10"/>
        <v>Laki-Laki</v>
      </c>
      <c r="F584" s="72" t="s">
        <v>1916</v>
      </c>
      <c r="G584" s="25" t="s">
        <v>1484</v>
      </c>
      <c r="H584" s="19" t="s">
        <v>1846</v>
      </c>
      <c r="I584" s="19" t="s">
        <v>2932</v>
      </c>
      <c r="J584" s="19" t="s">
        <v>45</v>
      </c>
      <c r="K584" s="19" t="s">
        <v>46</v>
      </c>
      <c r="L584" s="86" t="s">
        <v>169</v>
      </c>
      <c r="M584" s="15">
        <v>2022</v>
      </c>
      <c r="N584" s="15" t="s">
        <v>446</v>
      </c>
      <c r="O584" s="15">
        <v>2026</v>
      </c>
      <c r="P584" s="15">
        <v>2023</v>
      </c>
      <c r="Q584" s="15"/>
      <c r="R584" s="16"/>
      <c r="S584" s="16" t="str">
        <f ca="1">IF(
  O584 &lt; YEAR(TODAY()),
  "LULUS",
  IF(
    O584 = YEAR(TODAY()),
    IF(
      MATCH(L584, {"Januari";"Februari";"Maret";"April";"Mei";"Juni";"Juli";"Agustus";"September";"Oktober";"November";"Desember"}, 0)
        &gt;= MONTH(TODAY()),
      "AKTIF (Semester " &amp;
        (INT((12*(YEAR(TODAY())-M584) + MONTH(TODAY()) -
          MATCH(L584, {"Januari";"Februari";"Maret";"April";"Mei";"Juni";"Juli";"Agustus";"September";"Oktober";"November";"Desember"}, 0)) / 6) + 1) &amp; ")",
      "LULUS"
    ),
    "AKTIF (Semester " &amp;
      (INT((12*(YEAR(TODAY())-M584) + MONTH(TODAY()) -
        MATCH(L584, {"Januari";"Februari";"Maret";"April";"Mei";"Juni";"Juli";"Agustus";"September";"Oktober";"November";"Desember"}, 0)) / 6) + 1) &amp; ")"
  )
)</f>
        <v>AKTIF (Semester 7)</v>
      </c>
      <c r="T584" s="16" t="str">
        <f ca="1">IF(O584 &lt; YEAR(TODAY()), "LULUS",
 IF(O584 = YEAR(TODAY()),
    IF(MATCH(N584, {"Januari";"Februari";"Maret";"April";"Mei";"Juni";"Juli";"Agustus";"September";"Oktober";"November";"Desember"},0)
        &lt;= MONTH(TODAY()),
        "LULUS",
        "AKTIF"),
 "AKTIF"))</f>
        <v>AKTIF</v>
      </c>
      <c r="U584" s="16" t="s">
        <v>2939</v>
      </c>
      <c r="V584" s="15"/>
      <c r="W584" s="15"/>
      <c r="X584" s="15"/>
      <c r="Y584" s="15"/>
      <c r="Z584" s="15"/>
    </row>
    <row r="585" spans="1:26" ht="29" customHeight="1" x14ac:dyDescent="0.35">
      <c r="A585" s="12">
        <v>584</v>
      </c>
      <c r="B585" s="25" t="s">
        <v>1918</v>
      </c>
      <c r="C585" s="72" t="s">
        <v>1919</v>
      </c>
      <c r="D585" s="24" t="s">
        <v>382</v>
      </c>
      <c r="E585" s="14" t="str">
        <f t="shared" si="10"/>
        <v>Laki-Laki</v>
      </c>
      <c r="F585" s="72" t="s">
        <v>1920</v>
      </c>
      <c r="G585" s="25" t="s">
        <v>1484</v>
      </c>
      <c r="H585" s="19" t="s">
        <v>1846</v>
      </c>
      <c r="I585" s="19" t="s">
        <v>2932</v>
      </c>
      <c r="J585" s="19" t="s">
        <v>45</v>
      </c>
      <c r="K585" s="19" t="s">
        <v>46</v>
      </c>
      <c r="L585" s="86" t="s">
        <v>28</v>
      </c>
      <c r="M585" s="15">
        <v>2022</v>
      </c>
      <c r="N585" s="15" t="s">
        <v>28</v>
      </c>
      <c r="O585" s="15">
        <v>2026</v>
      </c>
      <c r="P585" s="15">
        <v>2023</v>
      </c>
      <c r="Q585" s="15"/>
      <c r="R585" s="16"/>
      <c r="S585" s="16" t="str">
        <f ca="1">IF(
  O585 &lt; YEAR(TODAY()),
  "LULUS",
  IF(
    O585 = YEAR(TODAY()),
    IF(
      MATCH(L585, {"Januari";"Februari";"Maret";"April";"Mei";"Juni";"Juli";"Agustus";"September";"Oktober";"November";"Desember"}, 0)
        &gt;= MONTH(TODAY()),
      "AKTIF (Semester " &amp;
        (INT((12*(YEAR(TODAY())-M585) + MONTH(TODAY()) -
          MATCH(L585, {"Januari";"Februari";"Maret";"April";"Mei";"Juni";"Juli";"Agustus";"September";"Oktober";"November";"Desember"}, 0)) / 6) + 1) &amp; ")",
      "LULUS"
    ),
    "AKTIF (Semester " &amp;
      (INT((12*(YEAR(TODAY())-M585) + MONTH(TODAY()) -
        MATCH(L585, {"Januari";"Februari";"Maret";"April";"Mei";"Juni";"Juli";"Agustus";"September";"Oktober";"November";"Desember"}, 0)) / 6) + 1) &amp; ")"
  )
)</f>
        <v>AKTIF (Semester 7)</v>
      </c>
      <c r="T585" s="16" t="str">
        <f ca="1">IF(O585 &lt; YEAR(TODAY()), "LULUS",
 IF(O585 = YEAR(TODAY()),
    IF(MATCH(N585, {"Januari";"Februari";"Maret";"April";"Mei";"Juni";"Juli";"Agustus";"September";"Oktober";"November";"Desember"},0)
        &lt;= MONTH(TODAY()),
        "LULUS",
        "AKTIF"),
 "AKTIF"))</f>
        <v>AKTIF</v>
      </c>
      <c r="U585" s="16" t="s">
        <v>2939</v>
      </c>
      <c r="V585" s="15"/>
      <c r="W585" s="15"/>
      <c r="X585" s="15"/>
      <c r="Y585" s="15"/>
      <c r="Z585" s="15"/>
    </row>
    <row r="586" spans="1:26" ht="29" customHeight="1" x14ac:dyDescent="0.35">
      <c r="A586" s="12">
        <v>585</v>
      </c>
      <c r="B586" s="25" t="s">
        <v>1921</v>
      </c>
      <c r="C586" s="72" t="s">
        <v>1922</v>
      </c>
      <c r="D586" s="24" t="s">
        <v>116</v>
      </c>
      <c r="E586" s="14" t="str">
        <f t="shared" si="10"/>
        <v>Laki-Laki</v>
      </c>
      <c r="F586" s="72" t="s">
        <v>1923</v>
      </c>
      <c r="G586" s="25" t="s">
        <v>1484</v>
      </c>
      <c r="H586" s="19" t="s">
        <v>1846</v>
      </c>
      <c r="I586" s="19" t="s">
        <v>2932</v>
      </c>
      <c r="J586" s="19" t="s">
        <v>45</v>
      </c>
      <c r="K586" s="19" t="s">
        <v>46</v>
      </c>
      <c r="L586" s="86" t="s">
        <v>28</v>
      </c>
      <c r="M586" s="15">
        <v>2022</v>
      </c>
      <c r="N586" s="15" t="s">
        <v>28</v>
      </c>
      <c r="O586" s="15">
        <v>2026</v>
      </c>
      <c r="P586" s="15">
        <v>2023</v>
      </c>
      <c r="Q586" s="15"/>
      <c r="R586" s="16"/>
      <c r="S586" s="16" t="str">
        <f ca="1">IF(
  O586 &lt; YEAR(TODAY()),
  "LULUS",
  IF(
    O586 = YEAR(TODAY()),
    IF(
      MATCH(L586, {"Januari";"Februari";"Maret";"April";"Mei";"Juni";"Juli";"Agustus";"September";"Oktober";"November";"Desember"}, 0)
        &gt;= MONTH(TODAY()),
      "AKTIF (Semester " &amp;
        (INT((12*(YEAR(TODAY())-M586) + MONTH(TODAY()) -
          MATCH(L586, {"Januari";"Februari";"Maret";"April";"Mei";"Juni";"Juli";"Agustus";"September";"Oktober";"November";"Desember"}, 0)) / 6) + 1) &amp; ")",
      "LULUS"
    ),
    "AKTIF (Semester " &amp;
      (INT((12*(YEAR(TODAY())-M586) + MONTH(TODAY()) -
        MATCH(L586, {"Januari";"Februari";"Maret";"April";"Mei";"Juni";"Juli";"Agustus";"September";"Oktober";"November";"Desember"}, 0)) / 6) + 1) &amp; ")"
  )
)</f>
        <v>AKTIF (Semester 7)</v>
      </c>
      <c r="T586" s="16" t="str">
        <f ca="1">IF(O586 &lt; YEAR(TODAY()), "LULUS",
 IF(O586 = YEAR(TODAY()),
    IF(MATCH(N586, {"Januari";"Februari";"Maret";"April";"Mei";"Juni";"Juli";"Agustus";"September";"Oktober";"November";"Desember"},0)
        &lt;= MONTH(TODAY()),
        "LULUS",
        "AKTIF"),
 "AKTIF"))</f>
        <v>AKTIF</v>
      </c>
      <c r="U586" s="16" t="s">
        <v>2939</v>
      </c>
      <c r="V586" s="15"/>
      <c r="W586" s="15"/>
      <c r="X586" s="15"/>
      <c r="Y586" s="15"/>
      <c r="Z586" s="15"/>
    </row>
    <row r="587" spans="1:26" ht="29" customHeight="1" x14ac:dyDescent="0.35">
      <c r="A587" s="12">
        <v>586</v>
      </c>
      <c r="B587" s="25" t="s">
        <v>1924</v>
      </c>
      <c r="C587" s="72" t="s">
        <v>1925</v>
      </c>
      <c r="D587" s="24" t="s">
        <v>126</v>
      </c>
      <c r="E587" s="14" t="str">
        <f t="shared" si="10"/>
        <v>Laki-Laki</v>
      </c>
      <c r="F587" s="72" t="s">
        <v>1657</v>
      </c>
      <c r="G587" s="25" t="s">
        <v>1484</v>
      </c>
      <c r="H587" s="19" t="s">
        <v>1846</v>
      </c>
      <c r="I587" s="19" t="s">
        <v>2932</v>
      </c>
      <c r="J587" s="19" t="s">
        <v>45</v>
      </c>
      <c r="K587" s="19" t="s">
        <v>46</v>
      </c>
      <c r="L587" s="86" t="s">
        <v>28</v>
      </c>
      <c r="M587" s="15">
        <v>2022</v>
      </c>
      <c r="N587" s="15" t="s">
        <v>28</v>
      </c>
      <c r="O587" s="15">
        <v>2026</v>
      </c>
      <c r="P587" s="15">
        <v>2023</v>
      </c>
      <c r="Q587" s="15"/>
      <c r="R587" s="16"/>
      <c r="S587" s="16" t="str">
        <f ca="1">IF(
  O587 &lt; YEAR(TODAY()),
  "LULUS",
  IF(
    O587 = YEAR(TODAY()),
    IF(
      MATCH(L587, {"Januari";"Februari";"Maret";"April";"Mei";"Juni";"Juli";"Agustus";"September";"Oktober";"November";"Desember"}, 0)
        &gt;= MONTH(TODAY()),
      "AKTIF (Semester " &amp;
        (INT((12*(YEAR(TODAY())-M587) + MONTH(TODAY()) -
          MATCH(L587, {"Januari";"Februari";"Maret";"April";"Mei";"Juni";"Juli";"Agustus";"September";"Oktober";"November";"Desember"}, 0)) / 6) + 1) &amp; ")",
      "LULUS"
    ),
    "AKTIF (Semester " &amp;
      (INT((12*(YEAR(TODAY())-M587) + MONTH(TODAY()) -
        MATCH(L587, {"Januari";"Februari";"Maret";"April";"Mei";"Juni";"Juli";"Agustus";"September";"Oktober";"November";"Desember"}, 0)) / 6) + 1) &amp; ")"
  )
)</f>
        <v>AKTIF (Semester 7)</v>
      </c>
      <c r="T587" s="16" t="str">
        <f ca="1">IF(O587 &lt; YEAR(TODAY()), "LULUS",
 IF(O587 = YEAR(TODAY()),
    IF(MATCH(N587, {"Januari";"Februari";"Maret";"April";"Mei";"Juni";"Juli";"Agustus";"September";"Oktober";"November";"Desember"},0)
        &lt;= MONTH(TODAY()),
        "LULUS",
        "AKTIF"),
 "AKTIF"))</f>
        <v>AKTIF</v>
      </c>
      <c r="U587" s="16" t="s">
        <v>2939</v>
      </c>
      <c r="V587" s="15"/>
      <c r="W587" s="15"/>
      <c r="X587" s="15"/>
      <c r="Y587" s="15"/>
      <c r="Z587" s="15"/>
    </row>
    <row r="588" spans="1:26" ht="29" customHeight="1" x14ac:dyDescent="0.35">
      <c r="A588" s="12">
        <v>587</v>
      </c>
      <c r="B588" s="25" t="s">
        <v>1926</v>
      </c>
      <c r="C588" s="72" t="s">
        <v>1927</v>
      </c>
      <c r="D588" s="24" t="s">
        <v>370</v>
      </c>
      <c r="E588" s="14" t="str">
        <f t="shared" ref="E588:E619" si="11">IF(MID(C588,17,1)="1","Laki-Laki","Perempuan")</f>
        <v>Perempuan</v>
      </c>
      <c r="F588" s="72" t="s">
        <v>1928</v>
      </c>
      <c r="G588" s="25" t="s">
        <v>1484</v>
      </c>
      <c r="H588" s="19" t="s">
        <v>1642</v>
      </c>
      <c r="I588" s="19" t="s">
        <v>90</v>
      </c>
      <c r="J588" s="19" t="s">
        <v>26</v>
      </c>
      <c r="K588" s="19" t="s">
        <v>394</v>
      </c>
      <c r="L588" s="86" t="s">
        <v>123</v>
      </c>
      <c r="M588" s="15">
        <v>2022</v>
      </c>
      <c r="N588" s="15" t="s">
        <v>123</v>
      </c>
      <c r="O588" s="15">
        <v>2024</v>
      </c>
      <c r="P588" s="15">
        <v>2023</v>
      </c>
      <c r="Q588" s="15"/>
      <c r="R588" s="16"/>
      <c r="S588" s="16" t="str">
        <f ca="1">IF(
  O588 &lt; YEAR(TODAY()),
  "LULUS",
  IF(
    O588 = YEAR(TODAY()),
    IF(
      MATCH(L588, {"Januari";"Februari";"Maret";"April";"Mei";"Juni";"Juli";"Agustus";"September";"Oktober";"November";"Desember"}, 0)
        &gt;= MONTH(TODAY()),
      "AKTIF (Semester " &amp;
        (INT((12*(YEAR(TODAY())-M588) + MONTH(TODAY()) -
          MATCH(L588, {"Januari";"Februari";"Maret";"April";"Mei";"Juni";"Juli";"Agustus";"September";"Oktober";"November";"Desember"}, 0)) / 6) + 1) &amp; ")",
      "LULUS"
    ),
    "AKTIF (Semester " &amp;
      (INT((12*(YEAR(TODAY())-M588) + MONTH(TODAY()) -
        MATCH(L588, {"Januari";"Februari";"Maret";"April";"Mei";"Juni";"Juli";"Agustus";"September";"Oktober";"November";"Desember"}, 0)) / 6) + 1) &amp; ")"
  )
)</f>
        <v>LULUS</v>
      </c>
      <c r="T588" s="16" t="str">
        <f ca="1">IF(O588 &lt; YEAR(TODAY()), "LULUS",
 IF(O588 = YEAR(TODAY()),
    IF(MATCH(N588, {"Januari";"Februari";"Maret";"April";"Mei";"Juni";"Juli";"Agustus";"September";"Oktober";"November";"Desember"},0)
        &lt;= MONTH(TODAY()),
        "LULUS",
        "AKTIF"),
 "AKTIF"))</f>
        <v>LULUS</v>
      </c>
      <c r="U588" s="16" t="s">
        <v>29</v>
      </c>
      <c r="V588" s="15"/>
      <c r="W588" s="15"/>
      <c r="X588" s="15"/>
      <c r="Y588" s="15"/>
      <c r="Z588" s="15"/>
    </row>
    <row r="589" spans="1:26" ht="29" customHeight="1" x14ac:dyDescent="0.35">
      <c r="A589" s="12">
        <v>588</v>
      </c>
      <c r="B589" s="25" t="s">
        <v>1929</v>
      </c>
      <c r="C589" s="72" t="s">
        <v>1930</v>
      </c>
      <c r="D589" s="24" t="s">
        <v>126</v>
      </c>
      <c r="E589" s="14" t="str">
        <f t="shared" si="11"/>
        <v>Laki-Laki</v>
      </c>
      <c r="F589" s="72" t="s">
        <v>1931</v>
      </c>
      <c r="G589" s="25" t="s">
        <v>1484</v>
      </c>
      <c r="H589" s="19" t="s">
        <v>1877</v>
      </c>
      <c r="I589" s="19" t="s">
        <v>1932</v>
      </c>
      <c r="J589" s="19" t="s">
        <v>26</v>
      </c>
      <c r="K589" s="19" t="s">
        <v>407</v>
      </c>
      <c r="L589" s="86" t="s">
        <v>60</v>
      </c>
      <c r="M589" s="15">
        <v>2021</v>
      </c>
      <c r="N589" s="15" t="s">
        <v>60</v>
      </c>
      <c r="O589" s="15">
        <v>2023</v>
      </c>
      <c r="P589" s="15">
        <v>2023</v>
      </c>
      <c r="Q589" s="15"/>
      <c r="R589" s="16"/>
      <c r="S589" s="16" t="str">
        <f ca="1">IF(
  O589 &lt; YEAR(TODAY()),
  "LULUS",
  IF(
    O589 = YEAR(TODAY()),
    IF(
      MATCH(L589, {"Januari";"Februari";"Maret";"April";"Mei";"Juni";"Juli";"Agustus";"September";"Oktober";"November";"Desember"}, 0)
        &gt;= MONTH(TODAY()),
      "AKTIF (Semester " &amp;
        (INT((12*(YEAR(TODAY())-M589) + MONTH(TODAY()) -
          MATCH(L589, {"Januari";"Februari";"Maret";"April";"Mei";"Juni";"Juli";"Agustus";"September";"Oktober";"November";"Desember"}, 0)) / 6) + 1) &amp; ")",
      "LULUS"
    ),
    "AKTIF (Semester " &amp;
      (INT((12*(YEAR(TODAY())-M589) + MONTH(TODAY()) -
        MATCH(L589, {"Januari";"Februari";"Maret";"April";"Mei";"Juni";"Juli";"Agustus";"September";"Oktober";"November";"Desember"}, 0)) / 6) + 1) &amp; ")"
  )
)</f>
        <v>LULUS</v>
      </c>
      <c r="T589" s="16" t="str">
        <f ca="1">IF(O589 &lt; YEAR(TODAY()), "LULUS",
 IF(O589 = YEAR(TODAY()),
    IF(MATCH(N589, {"Januari";"Februari";"Maret";"April";"Mei";"Juni";"Juli";"Agustus";"September";"Oktober";"November";"Desember"},0)
        &lt;= MONTH(TODAY()),
        "LULUS",
        "AKTIF"),
 "AKTIF"))</f>
        <v>LULUS</v>
      </c>
      <c r="U589" s="16" t="s">
        <v>29</v>
      </c>
      <c r="V589" s="15"/>
      <c r="W589" s="15"/>
      <c r="X589" s="15"/>
      <c r="Y589" s="15"/>
      <c r="Z589" s="15"/>
    </row>
    <row r="590" spans="1:26" ht="29" customHeight="1" x14ac:dyDescent="0.35">
      <c r="A590" s="12">
        <v>589</v>
      </c>
      <c r="B590" s="25" t="s">
        <v>1933</v>
      </c>
      <c r="C590" s="72" t="s">
        <v>1934</v>
      </c>
      <c r="D590" s="24" t="s">
        <v>98</v>
      </c>
      <c r="E590" s="14" t="str">
        <f t="shared" si="11"/>
        <v>Perempuan</v>
      </c>
      <c r="F590" s="72" t="s">
        <v>99</v>
      </c>
      <c r="G590" s="25" t="s">
        <v>1484</v>
      </c>
      <c r="H590" s="19" t="s">
        <v>1877</v>
      </c>
      <c r="I590" s="19" t="s">
        <v>1636</v>
      </c>
      <c r="J590" s="19" t="s">
        <v>45</v>
      </c>
      <c r="K590" s="19" t="s">
        <v>144</v>
      </c>
      <c r="L590" s="86" t="s">
        <v>169</v>
      </c>
      <c r="M590" s="15">
        <v>2021</v>
      </c>
      <c r="N590" s="15" t="s">
        <v>169</v>
      </c>
      <c r="O590" s="15">
        <v>2025</v>
      </c>
      <c r="P590" s="15">
        <v>2023</v>
      </c>
      <c r="Q590" s="15"/>
      <c r="R590" s="16"/>
      <c r="S590" s="16" t="str">
        <f ca="1">IF(
  O590 &lt; YEAR(TODAY()),
  "LULUS",
  IF(
    O590 = YEAR(TODAY()),
    IF(
      MATCH(L590, {"Januari";"Februari";"Maret";"April";"Mei";"Juni";"Juli";"Agustus";"September";"Oktober";"November";"Desember"}, 0)
        &gt;= MONTH(TODAY()),
      "AKTIF (Semester " &amp;
        (INT((12*(YEAR(TODAY())-M590) + MONTH(TODAY()) -
          MATCH(L590, {"Januari";"Februari";"Maret";"April";"Mei";"Juni";"Juli";"Agustus";"September";"Oktober";"November";"Desember"}, 0)) / 6) + 1) &amp; ")",
      "LULUS"
    ),
    "AKTIF (Semester " &amp;
      (INT((12*(YEAR(TODAY())-M590) + MONTH(TODAY()) -
        MATCH(L590, {"Januari";"Februari";"Maret";"April";"Mei";"Juni";"Juli";"Agustus";"September";"Oktober";"November";"Desember"}, 0)) / 6) + 1) &amp; ")"
  )
)</f>
        <v>LULUS</v>
      </c>
      <c r="T590" s="16" t="str">
        <f ca="1">IF(O590 &lt; YEAR(TODAY()), "LULUS",
 IF(O590 = YEAR(TODAY()),
    IF(MATCH(N590, {"Januari";"Februari";"Maret";"April";"Mei";"Juni";"Juli";"Agustus";"September";"Oktober";"November";"Desember"},0)
        &lt;= MONTH(TODAY()),
        "LULUS",
        "AKTIF"),
 "AKTIF"))</f>
        <v>LULUS</v>
      </c>
      <c r="U590" s="16" t="s">
        <v>29</v>
      </c>
      <c r="V590" s="15"/>
      <c r="W590" s="15"/>
      <c r="X590" s="15"/>
      <c r="Y590" s="15"/>
      <c r="Z590" s="15"/>
    </row>
    <row r="591" spans="1:26" ht="29" customHeight="1" x14ac:dyDescent="0.35">
      <c r="A591" s="12">
        <v>590</v>
      </c>
      <c r="B591" s="25" t="s">
        <v>1935</v>
      </c>
      <c r="C591" s="72" t="s">
        <v>1936</v>
      </c>
      <c r="D591" s="24" t="s">
        <v>370</v>
      </c>
      <c r="E591" s="14" t="str">
        <f t="shared" si="11"/>
        <v>Perempuan</v>
      </c>
      <c r="F591" s="72" t="s">
        <v>1928</v>
      </c>
      <c r="G591" s="25" t="s">
        <v>1484</v>
      </c>
      <c r="H591" s="19" t="s">
        <v>1877</v>
      </c>
      <c r="I591" s="19" t="s">
        <v>90</v>
      </c>
      <c r="J591" s="19" t="s">
        <v>26</v>
      </c>
      <c r="K591" s="19" t="s">
        <v>394</v>
      </c>
      <c r="L591" s="86" t="s">
        <v>169</v>
      </c>
      <c r="M591" s="15">
        <v>2021</v>
      </c>
      <c r="N591" s="15" t="s">
        <v>169</v>
      </c>
      <c r="O591" s="15">
        <v>2023</v>
      </c>
      <c r="P591" s="15">
        <v>2023</v>
      </c>
      <c r="Q591" s="15"/>
      <c r="R591" s="16"/>
      <c r="S591" s="16" t="str">
        <f ca="1">IF(
  O591 &lt; YEAR(TODAY()),
  "LULUS",
  IF(
    O591 = YEAR(TODAY()),
    IF(
      MATCH(L591, {"Januari";"Februari";"Maret";"April";"Mei";"Juni";"Juli";"Agustus";"September";"Oktober";"November";"Desember"}, 0)
        &gt;= MONTH(TODAY()),
      "AKTIF (Semester " &amp;
        (INT((12*(YEAR(TODAY())-M591) + MONTH(TODAY()) -
          MATCH(L591, {"Januari";"Februari";"Maret";"April";"Mei";"Juni";"Juli";"Agustus";"September";"Oktober";"November";"Desember"}, 0)) / 6) + 1) &amp; ")",
      "LULUS"
    ),
    "AKTIF (Semester " &amp;
      (INT((12*(YEAR(TODAY())-M591) + MONTH(TODAY()) -
        MATCH(L591, {"Januari";"Februari";"Maret";"April";"Mei";"Juni";"Juli";"Agustus";"September";"Oktober";"November";"Desember"}, 0)) / 6) + 1) &amp; ")"
  )
)</f>
        <v>LULUS</v>
      </c>
      <c r="T591" s="16" t="str">
        <f ca="1">IF(O591 &lt; YEAR(TODAY()), "LULUS",
 IF(O591 = YEAR(TODAY()),
    IF(MATCH(N591, {"Januari";"Februari";"Maret";"April";"Mei";"Juni";"Juli";"Agustus";"September";"Oktober";"November";"Desember"},0)
        &lt;= MONTH(TODAY()),
        "LULUS",
        "AKTIF"),
 "AKTIF"))</f>
        <v>LULUS</v>
      </c>
      <c r="U591" s="16" t="s">
        <v>29</v>
      </c>
      <c r="V591" s="15"/>
      <c r="W591" s="15"/>
      <c r="X591" s="15"/>
      <c r="Y591" s="15"/>
      <c r="Z591" s="15"/>
    </row>
    <row r="592" spans="1:26" ht="29" customHeight="1" x14ac:dyDescent="0.35">
      <c r="A592" s="12">
        <v>591</v>
      </c>
      <c r="B592" s="25" t="s">
        <v>1937</v>
      </c>
      <c r="C592" s="72" t="s">
        <v>1938</v>
      </c>
      <c r="D592" s="24" t="s">
        <v>116</v>
      </c>
      <c r="E592" s="14" t="str">
        <f t="shared" si="11"/>
        <v>Perempuan</v>
      </c>
      <c r="F592" s="72" t="s">
        <v>1730</v>
      </c>
      <c r="G592" s="25" t="s">
        <v>1484</v>
      </c>
      <c r="H592" s="19" t="s">
        <v>1877</v>
      </c>
      <c r="I592" s="19" t="s">
        <v>90</v>
      </c>
      <c r="J592" s="19" t="s">
        <v>45</v>
      </c>
      <c r="K592" s="19" t="s">
        <v>905</v>
      </c>
      <c r="L592" s="86" t="s">
        <v>28</v>
      </c>
      <c r="M592" s="15">
        <v>2021</v>
      </c>
      <c r="N592" s="15" t="s">
        <v>28</v>
      </c>
      <c r="O592" s="15">
        <v>2025</v>
      </c>
      <c r="P592" s="15">
        <v>2023</v>
      </c>
      <c r="Q592" s="15"/>
      <c r="R592" s="16"/>
      <c r="S592" s="16" t="str">
        <f ca="1">IF(
  O592 &lt; YEAR(TODAY()),
  "LULUS",
  IF(
    O592 = YEAR(TODAY()),
    IF(
      MATCH(L592, {"Januari";"Februari";"Maret";"April";"Mei";"Juni";"Juli";"Agustus";"September";"Oktober";"November";"Desember"}, 0)
        &gt;= MONTH(TODAY()),
      "AKTIF (Semester " &amp;
        (INT((12*(YEAR(TODAY())-M592) + MONTH(TODAY()) -
          MATCH(L592, {"Januari";"Februari";"Maret";"April";"Mei";"Juni";"Juli";"Agustus";"September";"Oktober";"November";"Desember"}, 0)) / 6) + 1) &amp; ")",
      "LULUS"
    ),
    "AKTIF (Semester " &amp;
      (INT((12*(YEAR(TODAY())-M592) + MONTH(TODAY()) -
        MATCH(L592, {"Januari";"Februari";"Maret";"April";"Mei";"Juni";"Juli";"Agustus";"September";"Oktober";"November";"Desember"}, 0)) / 6) + 1) &amp; ")"
  )
)</f>
        <v>LULUS</v>
      </c>
      <c r="T592" s="16" t="str">
        <f ca="1">IF(O592 &lt; YEAR(TODAY()), "LULUS",
 IF(O592 = YEAR(TODAY()),
    IF(MATCH(N592, {"Januari";"Februari";"Maret";"April";"Mei";"Juni";"Juli";"Agustus";"September";"Oktober";"November";"Desember"},0)
        &lt;= MONTH(TODAY()),
        "LULUS",
        "AKTIF"),
 "AKTIF"))</f>
        <v>LULUS</v>
      </c>
      <c r="U592" s="16" t="s">
        <v>29</v>
      </c>
      <c r="V592" s="15"/>
      <c r="W592" s="15"/>
      <c r="X592" s="15"/>
      <c r="Y592" s="15"/>
      <c r="Z592" s="15"/>
    </row>
    <row r="593" spans="1:26" ht="29" customHeight="1" x14ac:dyDescent="0.35">
      <c r="A593" s="12">
        <v>592</v>
      </c>
      <c r="B593" s="25" t="s">
        <v>1939</v>
      </c>
      <c r="C593" s="72" t="s">
        <v>1940</v>
      </c>
      <c r="D593" s="24" t="s">
        <v>98</v>
      </c>
      <c r="E593" s="14" t="str">
        <f t="shared" si="11"/>
        <v>Laki-Laki</v>
      </c>
      <c r="F593" s="72" t="s">
        <v>1730</v>
      </c>
      <c r="G593" s="25" t="s">
        <v>1484</v>
      </c>
      <c r="H593" s="19" t="s">
        <v>1877</v>
      </c>
      <c r="I593" s="19" t="s">
        <v>1636</v>
      </c>
      <c r="J593" s="19" t="s">
        <v>45</v>
      </c>
      <c r="K593" s="19" t="s">
        <v>591</v>
      </c>
      <c r="L593" s="86" t="s">
        <v>28</v>
      </c>
      <c r="M593" s="15">
        <v>2020</v>
      </c>
      <c r="N593" s="15" t="s">
        <v>28</v>
      </c>
      <c r="O593" s="15">
        <v>2024</v>
      </c>
      <c r="P593" s="15">
        <v>2023</v>
      </c>
      <c r="Q593" s="15"/>
      <c r="R593" s="16"/>
      <c r="S593" s="16" t="str">
        <f ca="1">IF(
  O593 &lt; YEAR(TODAY()),
  "LULUS",
  IF(
    O593 = YEAR(TODAY()),
    IF(
      MATCH(L593, {"Januari";"Februari";"Maret";"April";"Mei";"Juni";"Juli";"Agustus";"September";"Oktober";"November";"Desember"}, 0)
        &gt;= MONTH(TODAY()),
      "AKTIF (Semester " &amp;
        (INT((12*(YEAR(TODAY())-M593) + MONTH(TODAY()) -
          MATCH(L593, {"Januari";"Februari";"Maret";"April";"Mei";"Juni";"Juli";"Agustus";"September";"Oktober";"November";"Desember"}, 0)) / 6) + 1) &amp; ")",
      "LULUS"
    ),
    "AKTIF (Semester " &amp;
      (INT((12*(YEAR(TODAY())-M593) + MONTH(TODAY()) -
        MATCH(L593, {"Januari";"Februari";"Maret";"April";"Mei";"Juni";"Juli";"Agustus";"September";"Oktober";"November";"Desember"}, 0)) / 6) + 1) &amp; ")"
  )
)</f>
        <v>LULUS</v>
      </c>
      <c r="T593" s="16" t="str">
        <f ca="1">IF(O593 &lt; YEAR(TODAY()), "LULUS",
 IF(O593 = YEAR(TODAY()),
    IF(MATCH(N593, {"Januari";"Februari";"Maret";"April";"Mei";"Juni";"Juli";"Agustus";"September";"Oktober";"November";"Desember"},0)
        &lt;= MONTH(TODAY()),
        "LULUS",
        "AKTIF"),
 "AKTIF"))</f>
        <v>LULUS</v>
      </c>
      <c r="U593" s="16" t="s">
        <v>29</v>
      </c>
      <c r="V593" s="15"/>
      <c r="W593" s="15"/>
      <c r="X593" s="15"/>
      <c r="Y593" s="15"/>
      <c r="Z593" s="15"/>
    </row>
    <row r="594" spans="1:26" ht="29" customHeight="1" x14ac:dyDescent="0.35">
      <c r="A594" s="12">
        <v>593</v>
      </c>
      <c r="B594" s="25" t="s">
        <v>1941</v>
      </c>
      <c r="C594" s="72" t="s">
        <v>1942</v>
      </c>
      <c r="D594" s="24" t="s">
        <v>104</v>
      </c>
      <c r="E594" s="14" t="str">
        <f t="shared" si="11"/>
        <v>Laki-Laki</v>
      </c>
      <c r="F594" s="72" t="s">
        <v>1657</v>
      </c>
      <c r="G594" s="25" t="s">
        <v>1484</v>
      </c>
      <c r="H594" s="19" t="s">
        <v>1877</v>
      </c>
      <c r="I594" s="19" t="s">
        <v>90</v>
      </c>
      <c r="J594" s="19" t="s">
        <v>45</v>
      </c>
      <c r="K594" s="19" t="s">
        <v>905</v>
      </c>
      <c r="L594" s="86" t="s">
        <v>160</v>
      </c>
      <c r="M594" s="15">
        <v>2020</v>
      </c>
      <c r="N594" s="15" t="s">
        <v>160</v>
      </c>
      <c r="O594" s="15">
        <v>2024</v>
      </c>
      <c r="P594" s="15">
        <v>2023</v>
      </c>
      <c r="Q594" s="15"/>
      <c r="R594" s="16"/>
      <c r="S594" s="16" t="str">
        <f ca="1">IF(
  O594 &lt; YEAR(TODAY()),
  "LULUS",
  IF(
    O594 = YEAR(TODAY()),
    IF(
      MATCH(L594, {"Januari";"Februari";"Maret";"April";"Mei";"Juni";"Juli";"Agustus";"September";"Oktober";"November";"Desember"}, 0)
        &gt;= MONTH(TODAY()),
      "AKTIF (Semester " &amp;
        (INT((12*(YEAR(TODAY())-M594) + MONTH(TODAY()) -
          MATCH(L594, {"Januari";"Februari";"Maret";"April";"Mei";"Juni";"Juli";"Agustus";"September";"Oktober";"November";"Desember"}, 0)) / 6) + 1) &amp; ")",
      "LULUS"
    ),
    "AKTIF (Semester " &amp;
      (INT((12*(YEAR(TODAY())-M594) + MONTH(TODAY()) -
        MATCH(L594, {"Januari";"Februari";"Maret";"April";"Mei";"Juni";"Juli";"Agustus";"September";"Oktober";"November";"Desember"}, 0)) / 6) + 1) &amp; ")"
  )
)</f>
        <v>LULUS</v>
      </c>
      <c r="T594" s="16" t="str">
        <f ca="1">IF(O594 &lt; YEAR(TODAY()), "LULUS",
 IF(O594 = YEAR(TODAY()),
    IF(MATCH(N594, {"Januari";"Februari";"Maret";"April";"Mei";"Juni";"Juli";"Agustus";"September";"Oktober";"November";"Desember"},0)
        &lt;= MONTH(TODAY()),
        "LULUS",
        "AKTIF"),
 "AKTIF"))</f>
        <v>LULUS</v>
      </c>
      <c r="U594" s="16" t="s">
        <v>29</v>
      </c>
      <c r="V594" s="15"/>
      <c r="W594" s="15"/>
      <c r="X594" s="15"/>
      <c r="Y594" s="15"/>
      <c r="Z594" s="15"/>
    </row>
    <row r="595" spans="1:26" ht="29" customHeight="1" x14ac:dyDescent="0.35">
      <c r="A595" s="12">
        <v>594</v>
      </c>
      <c r="B595" s="25" t="s">
        <v>1943</v>
      </c>
      <c r="C595" s="72" t="s">
        <v>1944</v>
      </c>
      <c r="D595" s="24" t="s">
        <v>370</v>
      </c>
      <c r="E595" s="14" t="str">
        <f t="shared" si="11"/>
        <v>Perempuan</v>
      </c>
      <c r="F595" s="72" t="s">
        <v>1945</v>
      </c>
      <c r="G595" s="25" t="s">
        <v>1484</v>
      </c>
      <c r="H595" s="19" t="s">
        <v>1877</v>
      </c>
      <c r="I595" s="19" t="s">
        <v>90</v>
      </c>
      <c r="J595" s="19" t="s">
        <v>26</v>
      </c>
      <c r="K595" s="19" t="s">
        <v>46</v>
      </c>
      <c r="L595" s="86" t="s">
        <v>60</v>
      </c>
      <c r="M595" s="15">
        <v>2020</v>
      </c>
      <c r="N595" s="15" t="s">
        <v>60</v>
      </c>
      <c r="O595" s="15">
        <v>2022</v>
      </c>
      <c r="P595" s="15">
        <v>2023</v>
      </c>
      <c r="Q595" s="15"/>
      <c r="R595" s="16"/>
      <c r="S595" s="16" t="str">
        <f ca="1">IF(
  O595 &lt; YEAR(TODAY()),
  "LULUS",
  IF(
    O595 = YEAR(TODAY()),
    IF(
      MATCH(L595, {"Januari";"Februari";"Maret";"April";"Mei";"Juni";"Juli";"Agustus";"September";"Oktober";"November";"Desember"}, 0)
        &gt;= MONTH(TODAY()),
      "AKTIF (Semester " &amp;
        (INT((12*(YEAR(TODAY())-M595) + MONTH(TODAY()) -
          MATCH(L595, {"Januari";"Februari";"Maret";"April";"Mei";"Juni";"Juli";"Agustus";"September";"Oktober";"November";"Desember"}, 0)) / 6) + 1) &amp; ")",
      "LULUS"
    ),
    "AKTIF (Semester " &amp;
      (INT((12*(YEAR(TODAY())-M595) + MONTH(TODAY()) -
        MATCH(L595, {"Januari";"Februari";"Maret";"April";"Mei";"Juni";"Juli";"Agustus";"September";"Oktober";"November";"Desember"}, 0)) / 6) + 1) &amp; ")"
  )
)</f>
        <v>LULUS</v>
      </c>
      <c r="T595" s="16" t="str">
        <f ca="1">IF(O595 &lt; YEAR(TODAY()), "LULUS",
 IF(O595 = YEAR(TODAY()),
    IF(MATCH(N595, {"Januari";"Februari";"Maret";"April";"Mei";"Juni";"Juli";"Agustus";"September";"Oktober";"November";"Desember"},0)
        &lt;= MONTH(TODAY()),
        "LULUS",
        "AKTIF"),
 "AKTIF"))</f>
        <v>LULUS</v>
      </c>
      <c r="U595" s="16" t="s">
        <v>29</v>
      </c>
      <c r="V595" s="15"/>
      <c r="W595" s="15"/>
      <c r="X595" s="15"/>
      <c r="Y595" s="15"/>
      <c r="Z595" s="15"/>
    </row>
    <row r="596" spans="1:26" ht="29" customHeight="1" x14ac:dyDescent="0.35">
      <c r="A596" s="12">
        <v>595</v>
      </c>
      <c r="B596" s="25" t="s">
        <v>1946</v>
      </c>
      <c r="C596" s="72" t="s">
        <v>1947</v>
      </c>
      <c r="D596" s="24" t="s">
        <v>126</v>
      </c>
      <c r="E596" s="14" t="str">
        <f t="shared" si="11"/>
        <v>Laki-Laki</v>
      </c>
      <c r="F596" s="72" t="s">
        <v>1657</v>
      </c>
      <c r="G596" s="25" t="s">
        <v>1484</v>
      </c>
      <c r="H596" s="19" t="s">
        <v>1877</v>
      </c>
      <c r="I596" s="19" t="s">
        <v>90</v>
      </c>
      <c r="J596" s="19" t="s">
        <v>45</v>
      </c>
      <c r="K596" s="19" t="s">
        <v>905</v>
      </c>
      <c r="L596" s="86" t="s">
        <v>785</v>
      </c>
      <c r="M596" s="15">
        <v>2020</v>
      </c>
      <c r="N596" s="15" t="s">
        <v>785</v>
      </c>
      <c r="O596" s="15">
        <v>2024</v>
      </c>
      <c r="P596" s="15">
        <v>2023</v>
      </c>
      <c r="Q596" s="15"/>
      <c r="R596" s="16"/>
      <c r="S596" s="16" t="str">
        <f ca="1">IF(
  O596 &lt; YEAR(TODAY()),
  "LULUS",
  IF(
    O596 = YEAR(TODAY()),
    IF(
      MATCH(L596, {"Januari";"Februari";"Maret";"April";"Mei";"Juni";"Juli";"Agustus";"September";"Oktober";"November";"Desember"}, 0)
        &gt;= MONTH(TODAY()),
      "AKTIF (Semester " &amp;
        (INT((12*(YEAR(TODAY())-M596) + MONTH(TODAY()) -
          MATCH(L596, {"Januari";"Februari";"Maret";"April";"Mei";"Juni";"Juli";"Agustus";"September";"Oktober";"November";"Desember"}, 0)) / 6) + 1) &amp; ")",
      "LULUS"
    ),
    "AKTIF (Semester " &amp;
      (INT((12*(YEAR(TODAY())-M596) + MONTH(TODAY()) -
        MATCH(L596, {"Januari";"Februari";"Maret";"April";"Mei";"Juni";"Juli";"Agustus";"September";"Oktober";"November";"Desember"}, 0)) / 6) + 1) &amp; ")"
  )
)</f>
        <v>LULUS</v>
      </c>
      <c r="T596" s="16" t="str">
        <f ca="1">IF(O596 &lt; YEAR(TODAY()), "LULUS",
 IF(O596 = YEAR(TODAY()),
    IF(MATCH(N596, {"Januari";"Februari";"Maret";"April";"Mei";"Juni";"Juli";"Agustus";"September";"Oktober";"November";"Desember"},0)
        &lt;= MONTH(TODAY()),
        "LULUS",
        "AKTIF"),
 "AKTIF"))</f>
        <v>LULUS</v>
      </c>
      <c r="U596" s="16" t="s">
        <v>29</v>
      </c>
      <c r="V596" s="15"/>
      <c r="W596" s="15"/>
      <c r="X596" s="15"/>
      <c r="Y596" s="15"/>
      <c r="Z596" s="15"/>
    </row>
    <row r="597" spans="1:26" ht="29" customHeight="1" x14ac:dyDescent="0.35">
      <c r="A597" s="12">
        <v>596</v>
      </c>
      <c r="B597" s="25" t="s">
        <v>1948</v>
      </c>
      <c r="C597" s="72" t="s">
        <v>1949</v>
      </c>
      <c r="D597" s="24" t="s">
        <v>109</v>
      </c>
      <c r="E597" s="14" t="str">
        <f t="shared" si="11"/>
        <v>Perempuan</v>
      </c>
      <c r="F597" s="72" t="s">
        <v>1928</v>
      </c>
      <c r="G597" s="25" t="s">
        <v>1484</v>
      </c>
      <c r="H597" s="19" t="s">
        <v>1877</v>
      </c>
      <c r="I597" s="28" t="s">
        <v>1242</v>
      </c>
      <c r="J597" s="19" t="s">
        <v>26</v>
      </c>
      <c r="K597" s="19" t="s">
        <v>1951</v>
      </c>
      <c r="L597" s="86" t="s">
        <v>60</v>
      </c>
      <c r="M597" s="15">
        <v>2020</v>
      </c>
      <c r="N597" s="15" t="s">
        <v>60</v>
      </c>
      <c r="O597" s="15">
        <v>2022</v>
      </c>
      <c r="P597" s="15">
        <v>2023</v>
      </c>
      <c r="Q597" s="15"/>
      <c r="R597" s="16"/>
      <c r="S597" s="16" t="str">
        <f ca="1">IF(
  O597 &lt; YEAR(TODAY()),
  "LULUS",
  IF(
    O597 = YEAR(TODAY()),
    IF(
      MATCH(L597, {"Januari";"Februari";"Maret";"April";"Mei";"Juni";"Juli";"Agustus";"September";"Oktober";"November";"Desember"}, 0)
        &gt;= MONTH(TODAY()),
      "AKTIF (Semester " &amp;
        (INT((12*(YEAR(TODAY())-M597) + MONTH(TODAY()) -
          MATCH(L597, {"Januari";"Februari";"Maret";"April";"Mei";"Juni";"Juli";"Agustus";"September";"Oktober";"November";"Desember"}, 0)) / 6) + 1) &amp; ")",
      "LULUS"
    ),
    "AKTIF (Semester " &amp;
      (INT((12*(YEAR(TODAY())-M597) + MONTH(TODAY()) -
        MATCH(L597, {"Januari";"Februari";"Maret";"April";"Mei";"Juni";"Juli";"Agustus";"September";"Oktober";"November";"Desember"}, 0)) / 6) + 1) &amp; ")"
  )
)</f>
        <v>LULUS</v>
      </c>
      <c r="T597" s="16" t="str">
        <f ca="1">IF(O597 &lt; YEAR(TODAY()), "LULUS",
 IF(O597 = YEAR(TODAY()),
    IF(MATCH(N597, {"Januari";"Februari";"Maret";"April";"Mei";"Juni";"Juli";"Agustus";"September";"Oktober";"November";"Desember"},0)
        &lt;= MONTH(TODAY()),
        "LULUS",
        "AKTIF"),
 "AKTIF"))</f>
        <v>LULUS</v>
      </c>
      <c r="U597" s="16" t="s">
        <v>29</v>
      </c>
      <c r="V597" s="15"/>
      <c r="W597" s="15"/>
      <c r="X597" s="15"/>
      <c r="Y597" s="15"/>
      <c r="Z597" s="15"/>
    </row>
    <row r="598" spans="1:26" ht="29" customHeight="1" x14ac:dyDescent="0.35">
      <c r="A598" s="12">
        <v>597</v>
      </c>
      <c r="B598" s="25" t="s">
        <v>1952</v>
      </c>
      <c r="C598" s="72" t="s">
        <v>1953</v>
      </c>
      <c r="D598" s="24" t="s">
        <v>104</v>
      </c>
      <c r="E598" s="14" t="str">
        <f t="shared" si="11"/>
        <v>Perempuan</v>
      </c>
      <c r="F598" s="72" t="s">
        <v>1657</v>
      </c>
      <c r="G598" s="25" t="s">
        <v>1484</v>
      </c>
      <c r="H598" s="19" t="s">
        <v>1877</v>
      </c>
      <c r="I598" s="19" t="s">
        <v>90</v>
      </c>
      <c r="J598" s="19" t="s">
        <v>45</v>
      </c>
      <c r="K598" s="19" t="s">
        <v>905</v>
      </c>
      <c r="L598" s="86" t="s">
        <v>60</v>
      </c>
      <c r="M598" s="15">
        <v>2021</v>
      </c>
      <c r="N598" s="15" t="s">
        <v>60</v>
      </c>
      <c r="O598" s="15">
        <v>2025</v>
      </c>
      <c r="P598" s="15">
        <v>2023</v>
      </c>
      <c r="Q598" s="15"/>
      <c r="R598" s="16"/>
      <c r="S598" s="16" t="str">
        <f ca="1">IF(
  O598 &lt; YEAR(TODAY()),
  "LULUS",
  IF(
    O598 = YEAR(TODAY()),
    IF(
      MATCH(L598, {"Januari";"Februari";"Maret";"April";"Mei";"Juni";"Juli";"Agustus";"September";"Oktober";"November";"Desember"}, 0)
        &gt;= MONTH(TODAY()),
      "AKTIF (Semester " &amp;
        (INT((12*(YEAR(TODAY())-M598) + MONTH(TODAY()) -
          MATCH(L598, {"Januari";"Februari";"Maret";"April";"Mei";"Juni";"Juli";"Agustus";"September";"Oktober";"November";"Desember"}, 0)) / 6) + 1) &amp; ")",
      "LULUS"
    ),
    "AKTIF (Semester " &amp;
      (INT((12*(YEAR(TODAY())-M598) + MONTH(TODAY()) -
        MATCH(L598, {"Januari";"Februari";"Maret";"April";"Mei";"Juni";"Juli";"Agustus";"September";"Oktober";"November";"Desember"}, 0)) / 6) + 1) &amp; ")"
  )
)</f>
        <v>LULUS</v>
      </c>
      <c r="T598" s="16" t="str">
        <f ca="1">IF(O598 &lt; YEAR(TODAY()), "LULUS",
 IF(O598 = YEAR(TODAY()),
    IF(MATCH(N598, {"Januari";"Februari";"Maret";"April";"Mei";"Juni";"Juli";"Agustus";"September";"Oktober";"November";"Desember"},0)
        &lt;= MONTH(TODAY()),
        "LULUS",
        "AKTIF"),
 "AKTIF"))</f>
        <v>LULUS</v>
      </c>
      <c r="U598" s="16" t="s">
        <v>29</v>
      </c>
      <c r="V598" s="15"/>
      <c r="W598" s="15"/>
      <c r="X598" s="15"/>
      <c r="Y598" s="15"/>
      <c r="Z598" s="15"/>
    </row>
    <row r="599" spans="1:26" ht="29" customHeight="1" x14ac:dyDescent="0.35">
      <c r="A599" s="12">
        <v>598</v>
      </c>
      <c r="B599" s="25" t="s">
        <v>1954</v>
      </c>
      <c r="C599" s="72" t="s">
        <v>1955</v>
      </c>
      <c r="D599" s="24" t="s">
        <v>126</v>
      </c>
      <c r="E599" s="14" t="str">
        <f t="shared" si="11"/>
        <v>Perempuan</v>
      </c>
      <c r="F599" s="72" t="s">
        <v>1657</v>
      </c>
      <c r="G599" s="25" t="s">
        <v>1484</v>
      </c>
      <c r="H599" s="19" t="s">
        <v>1877</v>
      </c>
      <c r="I599" s="19" t="s">
        <v>90</v>
      </c>
      <c r="J599" s="19" t="s">
        <v>45</v>
      </c>
      <c r="K599" s="19" t="s">
        <v>905</v>
      </c>
      <c r="L599" s="86" t="s">
        <v>28</v>
      </c>
      <c r="M599" s="15">
        <v>2021</v>
      </c>
      <c r="N599" s="15" t="s">
        <v>28</v>
      </c>
      <c r="O599" s="15">
        <v>2025</v>
      </c>
      <c r="P599" s="15">
        <v>2023</v>
      </c>
      <c r="Q599" s="15"/>
      <c r="R599" s="16"/>
      <c r="S599" s="16" t="str">
        <f ca="1">IF(
  O599 &lt; YEAR(TODAY()),
  "LULUS",
  IF(
    O599 = YEAR(TODAY()),
    IF(
      MATCH(L599, {"Januari";"Februari";"Maret";"April";"Mei";"Juni";"Juli";"Agustus";"September";"Oktober";"November";"Desember"}, 0)
        &gt;= MONTH(TODAY()),
      "AKTIF (Semester " &amp;
        (INT((12*(YEAR(TODAY())-M599) + MONTH(TODAY()) -
          MATCH(L599, {"Januari";"Februari";"Maret";"April";"Mei";"Juni";"Juli";"Agustus";"September";"Oktober";"November";"Desember"}, 0)) / 6) + 1) &amp; ")",
      "LULUS"
    ),
    "AKTIF (Semester " &amp;
      (INT((12*(YEAR(TODAY())-M599) + MONTH(TODAY()) -
        MATCH(L599, {"Januari";"Februari";"Maret";"April";"Mei";"Juni";"Juli";"Agustus";"September";"Oktober";"November";"Desember"}, 0)) / 6) + 1) &amp; ")"
  )
)</f>
        <v>LULUS</v>
      </c>
      <c r="T599" s="16" t="str">
        <f ca="1">IF(O599 &lt; YEAR(TODAY()), "LULUS",
 IF(O599 = YEAR(TODAY()),
    IF(MATCH(N599, {"Januari";"Februari";"Maret";"April";"Mei";"Juni";"Juli";"Agustus";"September";"Oktober";"November";"Desember"},0)
        &lt;= MONTH(TODAY()),
        "LULUS",
        "AKTIF"),
 "AKTIF"))</f>
        <v>LULUS</v>
      </c>
      <c r="U599" s="16" t="s">
        <v>29</v>
      </c>
      <c r="V599" s="15"/>
      <c r="W599" s="15"/>
      <c r="X599" s="15"/>
      <c r="Y599" s="15"/>
      <c r="Z599" s="15"/>
    </row>
    <row r="600" spans="1:26" ht="29" customHeight="1" x14ac:dyDescent="0.35">
      <c r="A600" s="12">
        <v>599</v>
      </c>
      <c r="B600" s="25" t="s">
        <v>1956</v>
      </c>
      <c r="C600" s="72" t="s">
        <v>1957</v>
      </c>
      <c r="D600" s="24" t="s">
        <v>370</v>
      </c>
      <c r="E600" s="14" t="str">
        <f t="shared" si="11"/>
        <v>Perempuan</v>
      </c>
      <c r="F600" s="72" t="s">
        <v>1928</v>
      </c>
      <c r="G600" s="25" t="s">
        <v>1484</v>
      </c>
      <c r="H600" s="19" t="s">
        <v>1877</v>
      </c>
      <c r="I600" s="19" t="s">
        <v>90</v>
      </c>
      <c r="J600" s="19" t="s">
        <v>26</v>
      </c>
      <c r="K600" s="19" t="s">
        <v>394</v>
      </c>
      <c r="L600" s="86" t="s">
        <v>60</v>
      </c>
      <c r="M600" s="15">
        <v>2020</v>
      </c>
      <c r="N600" s="15" t="s">
        <v>60</v>
      </c>
      <c r="O600" s="15">
        <v>2022</v>
      </c>
      <c r="P600" s="15">
        <v>2023</v>
      </c>
      <c r="Q600" s="15"/>
      <c r="R600" s="16"/>
      <c r="S600" s="16" t="str">
        <f ca="1">IF(
  O600 &lt; YEAR(TODAY()),
  "LULUS",
  IF(
    O600 = YEAR(TODAY()),
    IF(
      MATCH(L600, {"Januari";"Februari";"Maret";"April";"Mei";"Juni";"Juli";"Agustus";"September";"Oktober";"November";"Desember"}, 0)
        &gt;= MONTH(TODAY()),
      "AKTIF (Semester " &amp;
        (INT((12*(YEAR(TODAY())-M600) + MONTH(TODAY()) -
          MATCH(L600, {"Januari";"Februari";"Maret";"April";"Mei";"Juni";"Juli";"Agustus";"September";"Oktober";"November";"Desember"}, 0)) / 6) + 1) &amp; ")",
      "LULUS"
    ),
    "AKTIF (Semester " &amp;
      (INT((12*(YEAR(TODAY())-M600) + MONTH(TODAY()) -
        MATCH(L600, {"Januari";"Februari";"Maret";"April";"Mei";"Juni";"Juli";"Agustus";"September";"Oktober";"November";"Desember"}, 0)) / 6) + 1) &amp; ")"
  )
)</f>
        <v>LULUS</v>
      </c>
      <c r="T600" s="16" t="str">
        <f ca="1">IF(O600 &lt; YEAR(TODAY()), "LULUS",
 IF(O600 = YEAR(TODAY()),
    IF(MATCH(N600, {"Januari";"Februari";"Maret";"April";"Mei";"Juni";"Juli";"Agustus";"September";"Oktober";"November";"Desember"},0)
        &lt;= MONTH(TODAY()),
        "LULUS",
        "AKTIF"),
 "AKTIF"))</f>
        <v>LULUS</v>
      </c>
      <c r="U600" s="16" t="s">
        <v>29</v>
      </c>
      <c r="V600" s="15"/>
      <c r="W600" s="15"/>
      <c r="X600" s="15"/>
      <c r="Y600" s="15"/>
      <c r="Z600" s="15"/>
    </row>
    <row r="601" spans="1:26" ht="29" customHeight="1" x14ac:dyDescent="0.35">
      <c r="A601" s="12">
        <v>600</v>
      </c>
      <c r="B601" s="25" t="s">
        <v>1958</v>
      </c>
      <c r="C601" s="72" t="s">
        <v>1959</v>
      </c>
      <c r="D601" s="24" t="s">
        <v>126</v>
      </c>
      <c r="E601" s="14" t="str">
        <f t="shared" si="11"/>
        <v>Laki-Laki</v>
      </c>
      <c r="F601" s="72" t="s">
        <v>1777</v>
      </c>
      <c r="G601" s="25" t="s">
        <v>1484</v>
      </c>
      <c r="H601" s="19" t="s">
        <v>1877</v>
      </c>
      <c r="I601" s="19" t="s">
        <v>90</v>
      </c>
      <c r="J601" s="19" t="s">
        <v>26</v>
      </c>
      <c r="K601" s="19" t="s">
        <v>394</v>
      </c>
      <c r="L601" s="86" t="s">
        <v>60</v>
      </c>
      <c r="M601" s="15">
        <v>2021</v>
      </c>
      <c r="N601" s="15" t="s">
        <v>60</v>
      </c>
      <c r="O601" s="15">
        <v>2023</v>
      </c>
      <c r="P601" s="15">
        <v>2023</v>
      </c>
      <c r="Q601" s="15"/>
      <c r="R601" s="16"/>
      <c r="S601" s="16" t="str">
        <f ca="1">IF(
  O601 &lt; YEAR(TODAY()),
  "LULUS",
  IF(
    O601 = YEAR(TODAY()),
    IF(
      MATCH(L601, {"Januari";"Februari";"Maret";"April";"Mei";"Juni";"Juli";"Agustus";"September";"Oktober";"November";"Desember"}, 0)
        &gt;= MONTH(TODAY()),
      "AKTIF (Semester " &amp;
        (INT((12*(YEAR(TODAY())-M601) + MONTH(TODAY()) -
          MATCH(L601, {"Januari";"Februari";"Maret";"April";"Mei";"Juni";"Juli";"Agustus";"September";"Oktober";"November";"Desember"}, 0)) / 6) + 1) &amp; ")",
      "LULUS"
    ),
    "AKTIF (Semester " &amp;
      (INT((12*(YEAR(TODAY())-M601) + MONTH(TODAY()) -
        MATCH(L601, {"Januari";"Februari";"Maret";"April";"Mei";"Juni";"Juli";"Agustus";"September";"Oktober";"November";"Desember"}, 0)) / 6) + 1) &amp; ")"
  )
)</f>
        <v>LULUS</v>
      </c>
      <c r="T601" s="16" t="str">
        <f ca="1">IF(O601 &lt; YEAR(TODAY()), "LULUS",
 IF(O601 = YEAR(TODAY()),
    IF(MATCH(N601, {"Januari";"Februari";"Maret";"April";"Mei";"Juni";"Juli";"Agustus";"September";"Oktober";"November";"Desember"},0)
        &lt;= MONTH(TODAY()),
        "LULUS",
        "AKTIF"),
 "AKTIF"))</f>
        <v>LULUS</v>
      </c>
      <c r="U601" s="16" t="s">
        <v>29</v>
      </c>
      <c r="V601" s="15"/>
      <c r="W601" s="15"/>
      <c r="X601" s="15"/>
      <c r="Y601" s="15"/>
      <c r="Z601" s="15"/>
    </row>
    <row r="602" spans="1:26" ht="29" customHeight="1" x14ac:dyDescent="0.35">
      <c r="A602" s="12">
        <v>601</v>
      </c>
      <c r="B602" s="25" t="s">
        <v>1960</v>
      </c>
      <c r="C602" s="72" t="s">
        <v>1961</v>
      </c>
      <c r="D602" s="24" t="s">
        <v>370</v>
      </c>
      <c r="E602" s="14" t="str">
        <f t="shared" si="11"/>
        <v>Laki-Laki</v>
      </c>
      <c r="F602" s="72" t="s">
        <v>1777</v>
      </c>
      <c r="G602" s="25" t="s">
        <v>1484</v>
      </c>
      <c r="H602" s="19" t="s">
        <v>1877</v>
      </c>
      <c r="I602" s="19" t="s">
        <v>90</v>
      </c>
      <c r="J602" s="19" t="s">
        <v>45</v>
      </c>
      <c r="K602" s="19" t="s">
        <v>905</v>
      </c>
      <c r="L602" s="86" t="s">
        <v>890</v>
      </c>
      <c r="M602" s="15">
        <v>2020</v>
      </c>
      <c r="N602" s="15" t="s">
        <v>890</v>
      </c>
      <c r="O602" s="15">
        <v>2024</v>
      </c>
      <c r="P602" s="15">
        <v>2023</v>
      </c>
      <c r="Q602" s="15"/>
      <c r="R602" s="16"/>
      <c r="S602" s="16" t="str">
        <f ca="1">IF(
  O602 &lt; YEAR(TODAY()),
  "LULUS",
  IF(
    O602 = YEAR(TODAY()),
    IF(
      MATCH(L602, {"Januari";"Februari";"Maret";"April";"Mei";"Juni";"Juli";"Agustus";"September";"Oktober";"November";"Desember"}, 0)
        &gt;= MONTH(TODAY()),
      "AKTIF (Semester " &amp;
        (INT((12*(YEAR(TODAY())-M602) + MONTH(TODAY()) -
          MATCH(L602, {"Januari";"Februari";"Maret";"April";"Mei";"Juni";"Juli";"Agustus";"September";"Oktober";"November";"Desember"}, 0)) / 6) + 1) &amp; ")",
      "LULUS"
    ),
    "AKTIF (Semester " &amp;
      (INT((12*(YEAR(TODAY())-M602) + MONTH(TODAY()) -
        MATCH(L602, {"Januari";"Februari";"Maret";"April";"Mei";"Juni";"Juli";"Agustus";"September";"Oktober";"November";"Desember"}, 0)) / 6) + 1) &amp; ")"
  )
)</f>
        <v>LULUS</v>
      </c>
      <c r="T602" s="16" t="str">
        <f ca="1">IF(O602 &lt; YEAR(TODAY()), "LULUS",
 IF(O602 = YEAR(TODAY()),
    IF(MATCH(N602, {"Januari";"Februari";"Maret";"April";"Mei";"Juni";"Juli";"Agustus";"September";"Oktober";"November";"Desember"},0)
        &lt;= MONTH(TODAY()),
        "LULUS",
        "AKTIF"),
 "AKTIF"))</f>
        <v>LULUS</v>
      </c>
      <c r="U602" s="16" t="s">
        <v>29</v>
      </c>
      <c r="V602" s="15"/>
      <c r="W602" s="15"/>
      <c r="X602" s="15"/>
      <c r="Y602" s="15"/>
      <c r="Z602" s="15"/>
    </row>
    <row r="603" spans="1:26" ht="29" customHeight="1" x14ac:dyDescent="0.35">
      <c r="A603" s="12">
        <v>602</v>
      </c>
      <c r="B603" s="25" t="s">
        <v>1962</v>
      </c>
      <c r="C603" s="72" t="s">
        <v>1963</v>
      </c>
      <c r="D603" s="24" t="s">
        <v>126</v>
      </c>
      <c r="E603" s="14" t="str">
        <f t="shared" si="11"/>
        <v>Laki-Laki</v>
      </c>
      <c r="F603" s="72" t="s">
        <v>1657</v>
      </c>
      <c r="G603" s="25" t="s">
        <v>1484</v>
      </c>
      <c r="H603" s="19" t="s">
        <v>1877</v>
      </c>
      <c r="I603" s="19" t="s">
        <v>90</v>
      </c>
      <c r="J603" s="19" t="s">
        <v>45</v>
      </c>
      <c r="K603" s="19" t="s">
        <v>905</v>
      </c>
      <c r="L603" s="86" t="s">
        <v>652</v>
      </c>
      <c r="M603" s="15">
        <v>2020</v>
      </c>
      <c r="N603" s="15" t="s">
        <v>652</v>
      </c>
      <c r="O603" s="15">
        <v>2024</v>
      </c>
      <c r="P603" s="15">
        <v>2023</v>
      </c>
      <c r="Q603" s="15"/>
      <c r="R603" s="16"/>
      <c r="S603" s="16" t="str">
        <f ca="1">IF(
  O603 &lt; YEAR(TODAY()),
  "LULUS",
  IF(
    O603 = YEAR(TODAY()),
    IF(
      MATCH(L603, {"Januari";"Februari";"Maret";"April";"Mei";"Juni";"Juli";"Agustus";"September";"Oktober";"November";"Desember"}, 0)
        &gt;= MONTH(TODAY()),
      "AKTIF (Semester " &amp;
        (INT((12*(YEAR(TODAY())-M603) + MONTH(TODAY()) -
          MATCH(L603, {"Januari";"Februari";"Maret";"April";"Mei";"Juni";"Juli";"Agustus";"September";"Oktober";"November";"Desember"}, 0)) / 6) + 1) &amp; ")",
      "LULUS"
    ),
    "AKTIF (Semester " &amp;
      (INT((12*(YEAR(TODAY())-M603) + MONTH(TODAY()) -
        MATCH(L603, {"Januari";"Februari";"Maret";"April";"Mei";"Juni";"Juli";"Agustus";"September";"Oktober";"November";"Desember"}, 0)) / 6) + 1) &amp; ")"
  )
)</f>
        <v>LULUS</v>
      </c>
      <c r="T603" s="16" t="str">
        <f ca="1">IF(O603 &lt; YEAR(TODAY()), "LULUS",
 IF(O603 = YEAR(TODAY()),
    IF(MATCH(N603, {"Januari";"Februari";"Maret";"April";"Mei";"Juni";"Juli";"Agustus";"September";"Oktober";"November";"Desember"},0)
        &lt;= MONTH(TODAY()),
        "LULUS",
        "AKTIF"),
 "AKTIF"))</f>
        <v>LULUS</v>
      </c>
      <c r="U603" s="16" t="s">
        <v>29</v>
      </c>
      <c r="V603" s="15"/>
      <c r="W603" s="15"/>
      <c r="X603" s="15"/>
      <c r="Y603" s="15"/>
      <c r="Z603" s="15"/>
    </row>
    <row r="604" spans="1:26" ht="29" customHeight="1" x14ac:dyDescent="0.35">
      <c r="A604" s="12">
        <v>603</v>
      </c>
      <c r="B604" s="25" t="s">
        <v>1964</v>
      </c>
      <c r="C604" s="72" t="s">
        <v>1965</v>
      </c>
      <c r="D604" s="24" t="s">
        <v>104</v>
      </c>
      <c r="E604" s="14" t="str">
        <f t="shared" si="11"/>
        <v>Perempuan</v>
      </c>
      <c r="F604" s="72" t="s">
        <v>1966</v>
      </c>
      <c r="G604" s="25" t="s">
        <v>1484</v>
      </c>
      <c r="H604" s="19" t="s">
        <v>1877</v>
      </c>
      <c r="I604" s="19" t="s">
        <v>90</v>
      </c>
      <c r="J604" s="19" t="s">
        <v>26</v>
      </c>
      <c r="K604" s="19" t="s">
        <v>1967</v>
      </c>
      <c r="L604" s="86" t="s">
        <v>60</v>
      </c>
      <c r="M604" s="15">
        <v>2020</v>
      </c>
      <c r="N604" s="15" t="s">
        <v>60</v>
      </c>
      <c r="O604" s="15">
        <v>2022</v>
      </c>
      <c r="P604" s="15">
        <v>2023</v>
      </c>
      <c r="Q604" s="15"/>
      <c r="R604" s="16"/>
      <c r="S604" s="16" t="str">
        <f ca="1">IF(
  O604 &lt; YEAR(TODAY()),
  "LULUS",
  IF(
    O604 = YEAR(TODAY()),
    IF(
      MATCH(L604, {"Januari";"Februari";"Maret";"April";"Mei";"Juni";"Juli";"Agustus";"September";"Oktober";"November";"Desember"}, 0)
        &gt;= MONTH(TODAY()),
      "AKTIF (Semester " &amp;
        (INT((12*(YEAR(TODAY())-M604) + MONTH(TODAY()) -
          MATCH(L604, {"Januari";"Februari";"Maret";"April";"Mei";"Juni";"Juli";"Agustus";"September";"Oktober";"November";"Desember"}, 0)) / 6) + 1) &amp; ")",
      "LULUS"
    ),
    "AKTIF (Semester " &amp;
      (INT((12*(YEAR(TODAY())-M604) + MONTH(TODAY()) -
        MATCH(L604, {"Januari";"Februari";"Maret";"April";"Mei";"Juni";"Juli";"Agustus";"September";"Oktober";"November";"Desember"}, 0)) / 6) + 1) &amp; ")"
  )
)</f>
        <v>LULUS</v>
      </c>
      <c r="T604" s="16" t="str">
        <f ca="1">IF(O604 &lt; YEAR(TODAY()), "LULUS",
 IF(O604 = YEAR(TODAY()),
    IF(MATCH(N604, {"Januari";"Februari";"Maret";"April";"Mei";"Juni";"Juli";"Agustus";"September";"Oktober";"November";"Desember"},0)
        &lt;= MONTH(TODAY()),
        "LULUS",
        "AKTIF"),
 "AKTIF"))</f>
        <v>LULUS</v>
      </c>
      <c r="U604" s="16" t="s">
        <v>29</v>
      </c>
      <c r="V604" s="15"/>
      <c r="W604" s="15"/>
      <c r="X604" s="15"/>
      <c r="Y604" s="15"/>
      <c r="Z604" s="15"/>
    </row>
    <row r="605" spans="1:26" ht="29" customHeight="1" x14ac:dyDescent="0.35">
      <c r="A605" s="12">
        <v>604</v>
      </c>
      <c r="B605" s="25" t="s">
        <v>1968</v>
      </c>
      <c r="C605" s="72" t="s">
        <v>1969</v>
      </c>
      <c r="D605" s="24" t="s">
        <v>382</v>
      </c>
      <c r="E605" s="14" t="str">
        <f t="shared" si="11"/>
        <v>Perempuan</v>
      </c>
      <c r="F605" s="72" t="s">
        <v>1730</v>
      </c>
      <c r="G605" s="25" t="s">
        <v>1484</v>
      </c>
      <c r="H605" s="19" t="s">
        <v>1877</v>
      </c>
      <c r="I605" s="52" t="s">
        <v>2485</v>
      </c>
      <c r="J605" s="19" t="s">
        <v>45</v>
      </c>
      <c r="K605" s="19" t="s">
        <v>591</v>
      </c>
      <c r="L605" s="86" t="s">
        <v>28</v>
      </c>
      <c r="M605" s="15">
        <v>2020</v>
      </c>
      <c r="N605" s="15" t="s">
        <v>28</v>
      </c>
      <c r="O605" s="15">
        <v>2024</v>
      </c>
      <c r="P605" s="15">
        <v>2023</v>
      </c>
      <c r="Q605" s="15"/>
      <c r="R605" s="16"/>
      <c r="S605" s="16" t="str">
        <f ca="1">IF(
  O605 &lt; YEAR(TODAY()),
  "LULUS",
  IF(
    O605 = YEAR(TODAY()),
    IF(
      MATCH(L605, {"Januari";"Februari";"Maret";"April";"Mei";"Juni";"Juli";"Agustus";"September";"Oktober";"November";"Desember"}, 0)
        &gt;= MONTH(TODAY()),
      "AKTIF (Semester " &amp;
        (INT((12*(YEAR(TODAY())-M605) + MONTH(TODAY()) -
          MATCH(L605, {"Januari";"Februari";"Maret";"April";"Mei";"Juni";"Juli";"Agustus";"September";"Oktober";"November";"Desember"}, 0)) / 6) + 1) &amp; ")",
      "LULUS"
    ),
    "AKTIF (Semester " &amp;
      (INT((12*(YEAR(TODAY())-M605) + MONTH(TODAY()) -
        MATCH(L605, {"Januari";"Februari";"Maret";"April";"Mei";"Juni";"Juli";"Agustus";"September";"Oktober";"November";"Desember"}, 0)) / 6) + 1) &amp; ")"
  )
)</f>
        <v>LULUS</v>
      </c>
      <c r="T605" s="16" t="str">
        <f ca="1">IF(O605 &lt; YEAR(TODAY()), "LULUS",
 IF(O605 = YEAR(TODAY()),
    IF(MATCH(N605, {"Januari";"Februari";"Maret";"April";"Mei";"Juni";"Juli";"Agustus";"September";"Oktober";"November";"Desember"},0)
        &lt;= MONTH(TODAY()),
        "LULUS",
        "AKTIF"),
 "AKTIF"))</f>
        <v>LULUS</v>
      </c>
      <c r="U605" s="16" t="s">
        <v>29</v>
      </c>
      <c r="V605" s="15"/>
      <c r="W605" s="15"/>
      <c r="X605" s="15"/>
      <c r="Y605" s="15"/>
      <c r="Z605" s="15"/>
    </row>
    <row r="606" spans="1:26" ht="29" customHeight="1" x14ac:dyDescent="0.35">
      <c r="A606" s="12">
        <v>605</v>
      </c>
      <c r="B606" s="25" t="s">
        <v>1971</v>
      </c>
      <c r="C606" s="72" t="s">
        <v>1972</v>
      </c>
      <c r="D606" s="24" t="s">
        <v>382</v>
      </c>
      <c r="E606" s="14" t="str">
        <f t="shared" si="11"/>
        <v>Perempuan</v>
      </c>
      <c r="F606" s="72" t="s">
        <v>1730</v>
      </c>
      <c r="G606" s="25" t="s">
        <v>1484</v>
      </c>
      <c r="H606" s="19" t="s">
        <v>1877</v>
      </c>
      <c r="I606" s="19" t="s">
        <v>90</v>
      </c>
      <c r="J606" s="19" t="s">
        <v>45</v>
      </c>
      <c r="K606" s="19" t="s">
        <v>905</v>
      </c>
      <c r="L606" s="86" t="s">
        <v>160</v>
      </c>
      <c r="M606" s="15">
        <v>2020</v>
      </c>
      <c r="N606" s="15" t="s">
        <v>160</v>
      </c>
      <c r="O606" s="15">
        <v>2024</v>
      </c>
      <c r="P606" s="15">
        <v>2023</v>
      </c>
      <c r="Q606" s="15"/>
      <c r="R606" s="16"/>
      <c r="S606" s="16" t="str">
        <f ca="1">IF(
  O606 &lt; YEAR(TODAY()),
  "LULUS",
  IF(
    O606 = YEAR(TODAY()),
    IF(
      MATCH(L606, {"Januari";"Februari";"Maret";"April";"Mei";"Juni";"Juli";"Agustus";"September";"Oktober";"November";"Desember"}, 0)
        &gt;= MONTH(TODAY()),
      "AKTIF (Semester " &amp;
        (INT((12*(YEAR(TODAY())-M606) + MONTH(TODAY()) -
          MATCH(L606, {"Januari";"Februari";"Maret";"April";"Mei";"Juni";"Juli";"Agustus";"September";"Oktober";"November";"Desember"}, 0)) / 6) + 1) &amp; ")",
      "LULUS"
    ),
    "AKTIF (Semester " &amp;
      (INT((12*(YEAR(TODAY())-M606) + MONTH(TODAY()) -
        MATCH(L606, {"Januari";"Februari";"Maret";"April";"Mei";"Juni";"Juli";"Agustus";"September";"Oktober";"November";"Desember"}, 0)) / 6) + 1) &amp; ")"
  )
)</f>
        <v>LULUS</v>
      </c>
      <c r="T606" s="16" t="str">
        <f ca="1">IF(O606 &lt; YEAR(TODAY()), "LULUS",
 IF(O606 = YEAR(TODAY()),
    IF(MATCH(N606, {"Januari";"Februari";"Maret";"April";"Mei";"Juni";"Juli";"Agustus";"September";"Oktober";"November";"Desember"},0)
        &lt;= MONTH(TODAY()),
        "LULUS",
        "AKTIF"),
 "AKTIF"))</f>
        <v>LULUS</v>
      </c>
      <c r="U606" s="16" t="s">
        <v>29</v>
      </c>
      <c r="V606" s="15"/>
      <c r="W606" s="15"/>
      <c r="X606" s="15"/>
      <c r="Y606" s="15"/>
      <c r="Z606" s="15"/>
    </row>
    <row r="607" spans="1:26" ht="29" customHeight="1" x14ac:dyDescent="0.35">
      <c r="A607" s="12">
        <v>606</v>
      </c>
      <c r="B607" s="25" t="s">
        <v>1973</v>
      </c>
      <c r="C607" s="72" t="s">
        <v>1974</v>
      </c>
      <c r="D607" s="24" t="s">
        <v>126</v>
      </c>
      <c r="E607" s="14" t="str">
        <f t="shared" si="11"/>
        <v>Laki-Laki</v>
      </c>
      <c r="F607" s="72" t="s">
        <v>1657</v>
      </c>
      <c r="G607" s="25" t="s">
        <v>1484</v>
      </c>
      <c r="H607" s="19" t="s">
        <v>1877</v>
      </c>
      <c r="I607" s="19" t="s">
        <v>1636</v>
      </c>
      <c r="J607" s="19" t="s">
        <v>45</v>
      </c>
      <c r="K607" s="19" t="s">
        <v>591</v>
      </c>
      <c r="L607" s="86" t="s">
        <v>60</v>
      </c>
      <c r="M607" s="15">
        <v>2020</v>
      </c>
      <c r="N607" s="15" t="s">
        <v>60</v>
      </c>
      <c r="O607" s="15">
        <v>2024</v>
      </c>
      <c r="P607" s="15">
        <v>2023</v>
      </c>
      <c r="Q607" s="15"/>
      <c r="R607" s="16"/>
      <c r="S607" s="16" t="str">
        <f ca="1">IF(
  O607 &lt; YEAR(TODAY()),
  "LULUS",
  IF(
    O607 = YEAR(TODAY()),
    IF(
      MATCH(L607, {"Januari";"Februari";"Maret";"April";"Mei";"Juni";"Juli";"Agustus";"September";"Oktober";"November";"Desember"}, 0)
        &gt;= MONTH(TODAY()),
      "AKTIF (Semester " &amp;
        (INT((12*(YEAR(TODAY())-M607) + MONTH(TODAY()) -
          MATCH(L607, {"Januari";"Februari";"Maret";"April";"Mei";"Juni";"Juli";"Agustus";"September";"Oktober";"November";"Desember"}, 0)) / 6) + 1) &amp; ")",
      "LULUS"
    ),
    "AKTIF (Semester " &amp;
      (INT((12*(YEAR(TODAY())-M607) + MONTH(TODAY()) -
        MATCH(L607, {"Januari";"Februari";"Maret";"April";"Mei";"Juni";"Juli";"Agustus";"September";"Oktober";"November";"Desember"}, 0)) / 6) + 1) &amp; ")"
  )
)</f>
        <v>LULUS</v>
      </c>
      <c r="T607" s="16" t="str">
        <f ca="1">IF(O607 &lt; YEAR(TODAY()), "LULUS",
 IF(O607 = YEAR(TODAY()),
    IF(MATCH(N607, {"Januari";"Februari";"Maret";"April";"Mei";"Juni";"Juli";"Agustus";"September";"Oktober";"November";"Desember"},0)
        &lt;= MONTH(TODAY()),
        "LULUS",
        "AKTIF"),
 "AKTIF"))</f>
        <v>LULUS</v>
      </c>
      <c r="U607" s="16" t="s">
        <v>29</v>
      </c>
      <c r="V607" s="15"/>
      <c r="W607" s="15"/>
      <c r="X607" s="15"/>
      <c r="Y607" s="15"/>
      <c r="Z607" s="15"/>
    </row>
    <row r="608" spans="1:26" ht="29" customHeight="1" x14ac:dyDescent="0.35">
      <c r="A608" s="12">
        <v>607</v>
      </c>
      <c r="B608" s="25" t="s">
        <v>1975</v>
      </c>
      <c r="C608" s="72" t="s">
        <v>1976</v>
      </c>
      <c r="D608" s="24" t="s">
        <v>126</v>
      </c>
      <c r="E608" s="14" t="str">
        <f t="shared" si="11"/>
        <v>Laki-Laki</v>
      </c>
      <c r="F608" s="72" t="s">
        <v>1657</v>
      </c>
      <c r="G608" s="25" t="s">
        <v>1484</v>
      </c>
      <c r="H608" s="19" t="s">
        <v>1877</v>
      </c>
      <c r="I608" s="19" t="s">
        <v>90</v>
      </c>
      <c r="J608" s="19" t="s">
        <v>45</v>
      </c>
      <c r="K608" s="19" t="s">
        <v>905</v>
      </c>
      <c r="L608" s="86" t="s">
        <v>1003</v>
      </c>
      <c r="M608" s="15">
        <v>2020</v>
      </c>
      <c r="N608" s="15" t="s">
        <v>1003</v>
      </c>
      <c r="O608" s="15">
        <v>2024</v>
      </c>
      <c r="P608" s="15">
        <v>2023</v>
      </c>
      <c r="Q608" s="15"/>
      <c r="R608" s="16"/>
      <c r="S608" s="16" t="str">
        <f ca="1">IF(
  O608 &lt; YEAR(TODAY()),
  "LULUS",
  IF(
    O608 = YEAR(TODAY()),
    IF(
      MATCH(L608, {"Januari";"Februari";"Maret";"April";"Mei";"Juni";"Juli";"Agustus";"September";"Oktober";"November";"Desember"}, 0)
        &gt;= MONTH(TODAY()),
      "AKTIF (Semester " &amp;
        (INT((12*(YEAR(TODAY())-M608) + MONTH(TODAY()) -
          MATCH(L608, {"Januari";"Februari";"Maret";"April";"Mei";"Juni";"Juli";"Agustus";"September";"Oktober";"November";"Desember"}, 0)) / 6) + 1) &amp; ")",
      "LULUS"
    ),
    "AKTIF (Semester " &amp;
      (INT((12*(YEAR(TODAY())-M608) + MONTH(TODAY()) -
        MATCH(L608, {"Januari";"Februari";"Maret";"April";"Mei";"Juni";"Juli";"Agustus";"September";"Oktober";"November";"Desember"}, 0)) / 6) + 1) &amp; ")"
  )
)</f>
        <v>LULUS</v>
      </c>
      <c r="T608" s="16" t="str">
        <f ca="1">IF(O608 &lt; YEAR(TODAY()), "LULUS",
 IF(O608 = YEAR(TODAY()),
    IF(MATCH(N608, {"Januari";"Februari";"Maret";"April";"Mei";"Juni";"Juli";"Agustus";"September";"Oktober";"November";"Desember"},0)
        &lt;= MONTH(TODAY()),
        "LULUS",
        "AKTIF"),
 "AKTIF"))</f>
        <v>LULUS</v>
      </c>
      <c r="U608" s="16" t="s">
        <v>29</v>
      </c>
      <c r="V608" s="15"/>
      <c r="W608" s="15"/>
      <c r="X608" s="15"/>
      <c r="Y608" s="15"/>
      <c r="Z608" s="15"/>
    </row>
    <row r="609" spans="1:26" ht="29" customHeight="1" x14ac:dyDescent="0.35">
      <c r="A609" s="12">
        <v>608</v>
      </c>
      <c r="B609" s="25" t="s">
        <v>1977</v>
      </c>
      <c r="C609" s="72" t="s">
        <v>1978</v>
      </c>
      <c r="D609" s="24" t="s">
        <v>104</v>
      </c>
      <c r="E609" s="14" t="str">
        <f t="shared" si="11"/>
        <v>Laki-Laki</v>
      </c>
      <c r="F609" s="72" t="s">
        <v>1979</v>
      </c>
      <c r="G609" s="25" t="s">
        <v>1484</v>
      </c>
      <c r="H609" s="19" t="s">
        <v>1877</v>
      </c>
      <c r="I609" s="19" t="s">
        <v>1636</v>
      </c>
      <c r="J609" s="19" t="s">
        <v>45</v>
      </c>
      <c r="K609" s="19" t="s">
        <v>295</v>
      </c>
      <c r="L609" s="86" t="s">
        <v>160</v>
      </c>
      <c r="M609" s="15">
        <v>2020</v>
      </c>
      <c r="N609" s="15" t="s">
        <v>160</v>
      </c>
      <c r="O609" s="15">
        <v>2024</v>
      </c>
      <c r="P609" s="15">
        <v>2023</v>
      </c>
      <c r="Q609" s="15"/>
      <c r="R609" s="16"/>
      <c r="S609" s="16" t="str">
        <f ca="1">IF(
  O609 &lt; YEAR(TODAY()),
  "LULUS",
  IF(
    O609 = YEAR(TODAY()),
    IF(
      MATCH(L609, {"Januari";"Februari";"Maret";"April";"Mei";"Juni";"Juli";"Agustus";"September";"Oktober";"November";"Desember"}, 0)
        &gt;= MONTH(TODAY()),
      "AKTIF (Semester " &amp;
        (INT((12*(YEAR(TODAY())-M609) + MONTH(TODAY()) -
          MATCH(L609, {"Januari";"Februari";"Maret";"April";"Mei";"Juni";"Juli";"Agustus";"September";"Oktober";"November";"Desember"}, 0)) / 6) + 1) &amp; ")",
      "LULUS"
    ),
    "AKTIF (Semester " &amp;
      (INT((12*(YEAR(TODAY())-M609) + MONTH(TODAY()) -
        MATCH(L609, {"Januari";"Februari";"Maret";"April";"Mei";"Juni";"Juli";"Agustus";"September";"Oktober";"November";"Desember"}, 0)) / 6) + 1) &amp; ")"
  )
)</f>
        <v>LULUS</v>
      </c>
      <c r="T609" s="16" t="str">
        <f ca="1">IF(O609 &lt; YEAR(TODAY()), "LULUS",
 IF(O609 = YEAR(TODAY()),
    IF(MATCH(N609, {"Januari";"Februari";"Maret";"April";"Mei";"Juni";"Juli";"Agustus";"September";"Oktober";"November";"Desember"},0)
        &lt;= MONTH(TODAY()),
        "LULUS",
        "AKTIF"),
 "AKTIF"))</f>
        <v>LULUS</v>
      </c>
      <c r="U609" s="16" t="s">
        <v>29</v>
      </c>
      <c r="V609" s="15"/>
      <c r="W609" s="15"/>
      <c r="X609" s="15"/>
      <c r="Y609" s="15"/>
      <c r="Z609" s="15"/>
    </row>
    <row r="610" spans="1:26" ht="29" customHeight="1" x14ac:dyDescent="0.35">
      <c r="A610" s="12">
        <v>609</v>
      </c>
      <c r="B610" s="25" t="s">
        <v>1980</v>
      </c>
      <c r="C610" s="72" t="s">
        <v>1981</v>
      </c>
      <c r="D610" s="24" t="s">
        <v>370</v>
      </c>
      <c r="E610" s="14" t="str">
        <f t="shared" si="11"/>
        <v>Perempuan</v>
      </c>
      <c r="F610" s="72" t="s">
        <v>1777</v>
      </c>
      <c r="G610" s="25" t="s">
        <v>1484</v>
      </c>
      <c r="H610" s="19" t="s">
        <v>1877</v>
      </c>
      <c r="I610" s="19" t="s">
        <v>90</v>
      </c>
      <c r="J610" s="19" t="s">
        <v>26</v>
      </c>
      <c r="K610" s="19" t="s">
        <v>394</v>
      </c>
      <c r="L610" s="86" t="s">
        <v>60</v>
      </c>
      <c r="M610" s="15">
        <v>2020</v>
      </c>
      <c r="N610" s="15" t="s">
        <v>60</v>
      </c>
      <c r="O610" s="15">
        <v>2022</v>
      </c>
      <c r="P610" s="15">
        <v>2023</v>
      </c>
      <c r="Q610" s="15"/>
      <c r="R610" s="16"/>
      <c r="S610" s="16" t="str">
        <f ca="1">IF(
  O610 &lt; YEAR(TODAY()),
  "LULUS",
  IF(
    O610 = YEAR(TODAY()),
    IF(
      MATCH(L610, {"Januari";"Februari";"Maret";"April";"Mei";"Juni";"Juli";"Agustus";"September";"Oktober";"November";"Desember"}, 0)
        &gt;= MONTH(TODAY()),
      "AKTIF (Semester " &amp;
        (INT((12*(YEAR(TODAY())-M610) + MONTH(TODAY()) -
          MATCH(L610, {"Januari";"Februari";"Maret";"April";"Mei";"Juni";"Juli";"Agustus";"September";"Oktober";"November";"Desember"}, 0)) / 6) + 1) &amp; ")",
      "LULUS"
    ),
    "AKTIF (Semester " &amp;
      (INT((12*(YEAR(TODAY())-M610) + MONTH(TODAY()) -
        MATCH(L610, {"Januari";"Februari";"Maret";"April";"Mei";"Juni";"Juli";"Agustus";"September";"Oktober";"November";"Desember"}, 0)) / 6) + 1) &amp; ")"
  )
)</f>
        <v>LULUS</v>
      </c>
      <c r="T610" s="16" t="str">
        <f ca="1">IF(O610 &lt; YEAR(TODAY()), "LULUS",
 IF(O610 = YEAR(TODAY()),
    IF(MATCH(N610, {"Januari";"Februari";"Maret";"April";"Mei";"Juni";"Juli";"Agustus";"September";"Oktober";"November";"Desember"},0)
        &lt;= MONTH(TODAY()),
        "LULUS",
        "AKTIF"),
 "AKTIF"))</f>
        <v>LULUS</v>
      </c>
      <c r="U610" s="16" t="s">
        <v>29</v>
      </c>
      <c r="V610" s="15"/>
      <c r="W610" s="15"/>
      <c r="X610" s="15"/>
      <c r="Y610" s="15"/>
      <c r="Z610" s="15"/>
    </row>
    <row r="611" spans="1:26" ht="29" customHeight="1" x14ac:dyDescent="0.35">
      <c r="A611" s="12">
        <v>610</v>
      </c>
      <c r="B611" s="25" t="s">
        <v>1982</v>
      </c>
      <c r="C611" s="72" t="s">
        <v>1983</v>
      </c>
      <c r="D611" s="24" t="s">
        <v>126</v>
      </c>
      <c r="E611" s="14" t="str">
        <f t="shared" si="11"/>
        <v>Laki-Laki</v>
      </c>
      <c r="F611" s="72" t="s">
        <v>1777</v>
      </c>
      <c r="G611" s="25" t="s">
        <v>1484</v>
      </c>
      <c r="H611" s="19" t="s">
        <v>1877</v>
      </c>
      <c r="I611" s="19" t="s">
        <v>90</v>
      </c>
      <c r="J611" s="19" t="s">
        <v>45</v>
      </c>
      <c r="K611" s="19" t="s">
        <v>905</v>
      </c>
      <c r="L611" s="86" t="s">
        <v>652</v>
      </c>
      <c r="M611" s="15">
        <v>2020</v>
      </c>
      <c r="N611" s="15" t="s">
        <v>652</v>
      </c>
      <c r="O611" s="15">
        <v>2024</v>
      </c>
      <c r="P611" s="15">
        <v>2023</v>
      </c>
      <c r="Q611" s="15"/>
      <c r="R611" s="16"/>
      <c r="S611" s="16" t="str">
        <f ca="1">IF(
  O611 &lt; YEAR(TODAY()),
  "LULUS",
  IF(
    O611 = YEAR(TODAY()),
    IF(
      MATCH(L611, {"Januari";"Februari";"Maret";"April";"Mei";"Juni";"Juli";"Agustus";"September";"Oktober";"November";"Desember"}, 0)
        &gt;= MONTH(TODAY()),
      "AKTIF (Semester " &amp;
        (INT((12*(YEAR(TODAY())-M611) + MONTH(TODAY()) -
          MATCH(L611, {"Januari";"Februari";"Maret";"April";"Mei";"Juni";"Juli";"Agustus";"September";"Oktober";"November";"Desember"}, 0)) / 6) + 1) &amp; ")",
      "LULUS"
    ),
    "AKTIF (Semester " &amp;
      (INT((12*(YEAR(TODAY())-M611) + MONTH(TODAY()) -
        MATCH(L611, {"Januari";"Februari";"Maret";"April";"Mei";"Juni";"Juli";"Agustus";"September";"Oktober";"November";"Desember"}, 0)) / 6) + 1) &amp; ")"
  )
)</f>
        <v>LULUS</v>
      </c>
      <c r="T611" s="16" t="str">
        <f ca="1">IF(O611 &lt; YEAR(TODAY()), "LULUS",
 IF(O611 = YEAR(TODAY()),
    IF(MATCH(N611, {"Januari";"Februari";"Maret";"April";"Mei";"Juni";"Juli";"Agustus";"September";"Oktober";"November";"Desember"},0)
        &lt;= MONTH(TODAY()),
        "LULUS",
        "AKTIF"),
 "AKTIF"))</f>
        <v>LULUS</v>
      </c>
      <c r="U611" s="16" t="s">
        <v>29</v>
      </c>
      <c r="V611" s="15"/>
      <c r="W611" s="15"/>
      <c r="X611" s="15"/>
      <c r="Y611" s="15"/>
      <c r="Z611" s="15"/>
    </row>
    <row r="612" spans="1:26" ht="29" customHeight="1" x14ac:dyDescent="0.35">
      <c r="A612" s="12">
        <v>611</v>
      </c>
      <c r="B612" s="25" t="s">
        <v>1984</v>
      </c>
      <c r="C612" s="72" t="s">
        <v>1985</v>
      </c>
      <c r="D612" s="24" t="s">
        <v>370</v>
      </c>
      <c r="E612" s="14" t="str">
        <f t="shared" si="11"/>
        <v>Laki-Laki</v>
      </c>
      <c r="F612" s="72" t="s">
        <v>1663</v>
      </c>
      <c r="G612" s="25" t="s">
        <v>1484</v>
      </c>
      <c r="H612" s="19" t="s">
        <v>1877</v>
      </c>
      <c r="I612" s="19" t="s">
        <v>1636</v>
      </c>
      <c r="J612" s="19" t="s">
        <v>45</v>
      </c>
      <c r="K612" s="19" t="s">
        <v>1577</v>
      </c>
      <c r="L612" s="86" t="s">
        <v>28</v>
      </c>
      <c r="M612" s="15">
        <v>2021</v>
      </c>
      <c r="N612" s="15" t="s">
        <v>28</v>
      </c>
      <c r="O612" s="15">
        <v>2025</v>
      </c>
      <c r="P612" s="15">
        <v>2023</v>
      </c>
      <c r="Q612" s="15"/>
      <c r="R612" s="16"/>
      <c r="S612" s="16" t="str">
        <f ca="1">IF(
  O612 &lt; YEAR(TODAY()),
  "LULUS",
  IF(
    O612 = YEAR(TODAY()),
    IF(
      MATCH(L612, {"Januari";"Februari";"Maret";"April";"Mei";"Juni";"Juli";"Agustus";"September";"Oktober";"November";"Desember"}, 0)
        &gt;= MONTH(TODAY()),
      "AKTIF (Semester " &amp;
        (INT((12*(YEAR(TODAY())-M612) + MONTH(TODAY()) -
          MATCH(L612, {"Januari";"Februari";"Maret";"April";"Mei";"Juni";"Juli";"Agustus";"September";"Oktober";"November";"Desember"}, 0)) / 6) + 1) &amp; ")",
      "LULUS"
    ),
    "AKTIF (Semester " &amp;
      (INT((12*(YEAR(TODAY())-M612) + MONTH(TODAY()) -
        MATCH(L612, {"Januari";"Februari";"Maret";"April";"Mei";"Juni";"Juli";"Agustus";"September";"Oktober";"November";"Desember"}, 0)) / 6) + 1) &amp; ")"
  )
)</f>
        <v>LULUS</v>
      </c>
      <c r="T612" s="16" t="str">
        <f ca="1">IF(O612 &lt; YEAR(TODAY()), "LULUS",
 IF(O612 = YEAR(TODAY()),
    IF(MATCH(N612, {"Januari";"Februari";"Maret";"April";"Mei";"Juni";"Juli";"Agustus";"September";"Oktober";"November";"Desember"},0)
        &lt;= MONTH(TODAY()),
        "LULUS",
        "AKTIF"),
 "AKTIF"))</f>
        <v>LULUS</v>
      </c>
      <c r="U612" s="16" t="s">
        <v>29</v>
      </c>
      <c r="V612" s="15"/>
      <c r="W612" s="15"/>
      <c r="X612" s="15"/>
      <c r="Y612" s="15"/>
      <c r="Z612" s="15"/>
    </row>
    <row r="613" spans="1:26" ht="29" customHeight="1" x14ac:dyDescent="0.35">
      <c r="A613" s="12">
        <v>612</v>
      </c>
      <c r="B613" s="25" t="s">
        <v>1986</v>
      </c>
      <c r="C613" s="72" t="s">
        <v>1987</v>
      </c>
      <c r="D613" s="24" t="s">
        <v>116</v>
      </c>
      <c r="E613" s="14" t="str">
        <f t="shared" si="11"/>
        <v>Laki-Laki</v>
      </c>
      <c r="F613" s="72" t="s">
        <v>783</v>
      </c>
      <c r="G613" s="25" t="s">
        <v>1484</v>
      </c>
      <c r="H613" s="19" t="s">
        <v>1988</v>
      </c>
      <c r="I613" s="19" t="s">
        <v>90</v>
      </c>
      <c r="J613" s="19" t="s">
        <v>45</v>
      </c>
      <c r="K613" s="19" t="s">
        <v>651</v>
      </c>
      <c r="L613" s="86" t="s">
        <v>169</v>
      </c>
      <c r="M613" s="15">
        <v>2022</v>
      </c>
      <c r="N613" s="15" t="s">
        <v>169</v>
      </c>
      <c r="O613" s="15">
        <v>2026</v>
      </c>
      <c r="P613" s="15">
        <v>2022</v>
      </c>
      <c r="Q613" s="15"/>
      <c r="R613" s="16"/>
      <c r="S613" s="16" t="str">
        <f ca="1">IF(
  O613 &lt; YEAR(TODAY()),
  "LULUS",
  IF(
    O613 = YEAR(TODAY()),
    IF(
      MATCH(L613, {"Januari";"Februari";"Maret";"April";"Mei";"Juni";"Juli";"Agustus";"September";"Oktober";"November";"Desember"}, 0)
        &gt;= MONTH(TODAY()),
      "AKTIF (Semester " &amp;
        (INT((12*(YEAR(TODAY())-M613) + MONTH(TODAY()) -
          MATCH(L613, {"Januari";"Februari";"Maret";"April";"Mei";"Juni";"Juli";"Agustus";"September";"Oktober";"November";"Desember"}, 0)) / 6) + 1) &amp; ")",
      "LULUS"
    ),
    "AKTIF (Semester " &amp;
      (INT((12*(YEAR(TODAY())-M613) + MONTH(TODAY()) -
        MATCH(L613, {"Januari";"Februari";"Maret";"April";"Mei";"Juni";"Juli";"Agustus";"September";"Oktober";"November";"Desember"}, 0)) / 6) + 1) &amp; ")"
  )
)</f>
        <v>AKTIF (Semester 7)</v>
      </c>
      <c r="T613" s="16" t="str">
        <f ca="1">IF(O613 &lt; YEAR(TODAY()), "LULUS",
 IF(O613 = YEAR(TODAY()),
    IF(MATCH(N613, {"Januari";"Februari";"Maret";"April";"Mei";"Juni";"Juli";"Agustus";"September";"Oktober";"November";"Desember"},0)
        &lt;= MONTH(TODAY()),
        "LULUS",
        "AKTIF"),
 "AKTIF"))</f>
        <v>AKTIF</v>
      </c>
      <c r="U613" s="16" t="s">
        <v>2939</v>
      </c>
      <c r="V613" s="15"/>
      <c r="W613" s="15"/>
      <c r="X613" s="15"/>
      <c r="Y613" s="15"/>
      <c r="Z613" s="15"/>
    </row>
    <row r="614" spans="1:26" ht="29" customHeight="1" x14ac:dyDescent="0.35">
      <c r="A614" s="12">
        <v>613</v>
      </c>
      <c r="B614" s="25" t="s">
        <v>1989</v>
      </c>
      <c r="C614" s="72" t="s">
        <v>1990</v>
      </c>
      <c r="D614" s="24" t="s">
        <v>116</v>
      </c>
      <c r="E614" s="14" t="str">
        <f t="shared" si="11"/>
        <v>Perempuan</v>
      </c>
      <c r="F614" s="72" t="s">
        <v>579</v>
      </c>
      <c r="G614" s="25" t="s">
        <v>1484</v>
      </c>
      <c r="H614" s="19" t="s">
        <v>1522</v>
      </c>
      <c r="I614" s="19" t="s">
        <v>1991</v>
      </c>
      <c r="J614" s="19" t="s">
        <v>45</v>
      </c>
      <c r="K614" s="19" t="s">
        <v>50</v>
      </c>
      <c r="L614" s="86" t="s">
        <v>60</v>
      </c>
      <c r="M614" s="15">
        <v>2022</v>
      </c>
      <c r="N614" s="15" t="s">
        <v>60</v>
      </c>
      <c r="O614" s="15">
        <v>2026</v>
      </c>
      <c r="P614" s="15">
        <v>2022</v>
      </c>
      <c r="Q614" s="15"/>
      <c r="R614" s="16"/>
      <c r="S614" s="16" t="str">
        <f ca="1">IF(
  O614 &lt; YEAR(TODAY()),
  "LULUS",
  IF(
    O614 = YEAR(TODAY()),
    IF(
      MATCH(L614, {"Januari";"Februari";"Maret";"April";"Mei";"Juni";"Juli";"Agustus";"September";"Oktober";"November";"Desember"}, 0)
        &gt;= MONTH(TODAY()),
      "AKTIF (Semester " &amp;
        (INT((12*(YEAR(TODAY())-M614) + MONTH(TODAY()) -
          MATCH(L614, {"Januari";"Februari";"Maret";"April";"Mei";"Juni";"Juli";"Agustus";"September";"Oktober";"November";"Desember"}, 0)) / 6) + 1) &amp; ")",
      "LULUS"
    ),
    "AKTIF (Semester " &amp;
      (INT((12*(YEAR(TODAY())-M614) + MONTH(TODAY()) -
        MATCH(L614, {"Januari";"Februari";"Maret";"April";"Mei";"Juni";"Juli";"Agustus";"September";"Oktober";"November";"Desember"}, 0)) / 6) + 1) &amp; ")"
  )
)</f>
        <v>AKTIF (Semester 7)</v>
      </c>
      <c r="T614" s="16" t="str">
        <f ca="1">IF(O614 &lt; YEAR(TODAY()), "LULUS",
 IF(O614 = YEAR(TODAY()),
    IF(MATCH(N614, {"Januari";"Februari";"Maret";"April";"Mei";"Juni";"Juli";"Agustus";"September";"Oktober";"November";"Desember"},0)
        &lt;= MONTH(TODAY()),
        "LULUS",
        "AKTIF"),
 "AKTIF"))</f>
        <v>AKTIF</v>
      </c>
      <c r="U614" s="16" t="s">
        <v>2939</v>
      </c>
      <c r="V614" s="15"/>
      <c r="W614" s="15"/>
      <c r="X614" s="15"/>
      <c r="Y614" s="15"/>
      <c r="Z614" s="15"/>
    </row>
    <row r="615" spans="1:26" ht="29" customHeight="1" x14ac:dyDescent="0.35">
      <c r="A615" s="12">
        <v>614</v>
      </c>
      <c r="B615" s="25" t="s">
        <v>1992</v>
      </c>
      <c r="C615" s="72" t="s">
        <v>1993</v>
      </c>
      <c r="D615" s="24" t="s">
        <v>116</v>
      </c>
      <c r="E615" s="14" t="str">
        <f t="shared" si="11"/>
        <v>Perempuan</v>
      </c>
      <c r="F615" s="72" t="s">
        <v>1994</v>
      </c>
      <c r="G615" s="25" t="s">
        <v>1484</v>
      </c>
      <c r="H615" s="19" t="s">
        <v>1522</v>
      </c>
      <c r="I615" s="19" t="s">
        <v>1991</v>
      </c>
      <c r="J615" s="19" t="s">
        <v>45</v>
      </c>
      <c r="K615" s="19" t="s">
        <v>50</v>
      </c>
      <c r="L615" s="86" t="s">
        <v>60</v>
      </c>
      <c r="M615" s="15">
        <v>2022</v>
      </c>
      <c r="N615" s="15" t="s">
        <v>60</v>
      </c>
      <c r="O615" s="15">
        <v>2026</v>
      </c>
      <c r="P615" s="15">
        <v>2022</v>
      </c>
      <c r="Q615" s="15"/>
      <c r="R615" s="16"/>
      <c r="S615" s="16" t="str">
        <f ca="1">IF(
  O615 &lt; YEAR(TODAY()),
  "LULUS",
  IF(
    O615 = YEAR(TODAY()),
    IF(
      MATCH(L615, {"Januari";"Februari";"Maret";"April";"Mei";"Juni";"Juli";"Agustus";"September";"Oktober";"November";"Desember"}, 0)
        &gt;= MONTH(TODAY()),
      "AKTIF (Semester " &amp;
        (INT((12*(YEAR(TODAY())-M615) + MONTH(TODAY()) -
          MATCH(L615, {"Januari";"Februari";"Maret";"April";"Mei";"Juni";"Juli";"Agustus";"September";"Oktober";"November";"Desember"}, 0)) / 6) + 1) &amp; ")",
      "LULUS"
    ),
    "AKTIF (Semester " &amp;
      (INT((12*(YEAR(TODAY())-M615) + MONTH(TODAY()) -
        MATCH(L615, {"Januari";"Februari";"Maret";"April";"Mei";"Juni";"Juli";"Agustus";"September";"Oktober";"November";"Desember"}, 0)) / 6) + 1) &amp; ")"
  )
)</f>
        <v>AKTIF (Semester 7)</v>
      </c>
      <c r="T615" s="16" t="str">
        <f ca="1">IF(O615 &lt; YEAR(TODAY()), "LULUS",
 IF(O615 = YEAR(TODAY()),
    IF(MATCH(N615, {"Januari";"Februari";"Maret";"April";"Mei";"Juni";"Juli";"Agustus";"September";"Oktober";"November";"Desember"},0)
        &lt;= MONTH(TODAY()),
        "LULUS",
        "AKTIF"),
 "AKTIF"))</f>
        <v>AKTIF</v>
      </c>
      <c r="U615" s="16" t="s">
        <v>2939</v>
      </c>
      <c r="V615" s="15"/>
      <c r="W615" s="15"/>
      <c r="X615" s="15"/>
      <c r="Y615" s="15"/>
      <c r="Z615" s="15"/>
    </row>
    <row r="616" spans="1:26" ht="29" customHeight="1" x14ac:dyDescent="0.35">
      <c r="A616" s="12">
        <v>615</v>
      </c>
      <c r="B616" s="25" t="s">
        <v>1995</v>
      </c>
      <c r="C616" s="72" t="s">
        <v>1996</v>
      </c>
      <c r="D616" s="24" t="s">
        <v>116</v>
      </c>
      <c r="E616" s="14" t="str">
        <f t="shared" si="11"/>
        <v>Perempuan</v>
      </c>
      <c r="F616" s="72" t="s">
        <v>1997</v>
      </c>
      <c r="G616" s="25" t="s">
        <v>1484</v>
      </c>
      <c r="H616" s="19" t="s">
        <v>1998</v>
      </c>
      <c r="I616" s="19" t="s">
        <v>90</v>
      </c>
      <c r="J616" s="19" t="s">
        <v>45</v>
      </c>
      <c r="K616" s="19" t="s">
        <v>144</v>
      </c>
      <c r="L616" s="86" t="s">
        <v>28</v>
      </c>
      <c r="M616" s="15">
        <v>2022</v>
      </c>
      <c r="N616" s="15" t="s">
        <v>28</v>
      </c>
      <c r="O616" s="15">
        <v>2026</v>
      </c>
      <c r="P616" s="15">
        <v>2022</v>
      </c>
      <c r="Q616" s="15"/>
      <c r="R616" s="16"/>
      <c r="S616" s="16" t="str">
        <f ca="1">IF(
  O616 &lt; YEAR(TODAY()),
  "LULUS",
  IF(
    O616 = YEAR(TODAY()),
    IF(
      MATCH(L616, {"Januari";"Februari";"Maret";"April";"Mei";"Juni";"Juli";"Agustus";"September";"Oktober";"November";"Desember"}, 0)
        &gt;= MONTH(TODAY()),
      "AKTIF (Semester " &amp;
        (INT((12*(YEAR(TODAY())-M616) + MONTH(TODAY()) -
          MATCH(L616, {"Januari";"Februari";"Maret";"April";"Mei";"Juni";"Juli";"Agustus";"September";"Oktober";"November";"Desember"}, 0)) / 6) + 1) &amp; ")",
      "LULUS"
    ),
    "AKTIF (Semester " &amp;
      (INT((12*(YEAR(TODAY())-M616) + MONTH(TODAY()) -
        MATCH(L616, {"Januari";"Februari";"Maret";"April";"Mei";"Juni";"Juli";"Agustus";"September";"Oktober";"November";"Desember"}, 0)) / 6) + 1) &amp; ")"
  )
)</f>
        <v>AKTIF (Semester 7)</v>
      </c>
      <c r="T616" s="16" t="str">
        <f ca="1">IF(O616 &lt; YEAR(TODAY()), "LULUS",
 IF(O616 = YEAR(TODAY()),
    IF(MATCH(N616, {"Januari";"Februari";"Maret";"April";"Mei";"Juni";"Juli";"Agustus";"September";"Oktober";"November";"Desember"},0)
        &lt;= MONTH(TODAY()),
        "LULUS",
        "AKTIF"),
 "AKTIF"))</f>
        <v>AKTIF</v>
      </c>
      <c r="U616" s="16" t="s">
        <v>2939</v>
      </c>
      <c r="V616" s="15"/>
      <c r="W616" s="15"/>
      <c r="X616" s="15"/>
      <c r="Y616" s="15"/>
      <c r="Z616" s="15"/>
    </row>
    <row r="617" spans="1:26" ht="29" customHeight="1" x14ac:dyDescent="0.35">
      <c r="A617" s="12">
        <v>616</v>
      </c>
      <c r="B617" s="25" t="s">
        <v>1999</v>
      </c>
      <c r="C617" s="72" t="s">
        <v>2000</v>
      </c>
      <c r="D617" s="24" t="s">
        <v>109</v>
      </c>
      <c r="E617" s="14" t="str">
        <f t="shared" si="11"/>
        <v>Laki-Laki</v>
      </c>
      <c r="F617" s="72" t="s">
        <v>1928</v>
      </c>
      <c r="G617" s="25" t="s">
        <v>1484</v>
      </c>
      <c r="H617" s="19" t="s">
        <v>1870</v>
      </c>
      <c r="I617" s="19" t="s">
        <v>90</v>
      </c>
      <c r="J617" s="19" t="s">
        <v>26</v>
      </c>
      <c r="K617" s="19" t="s">
        <v>394</v>
      </c>
      <c r="L617" s="86" t="s">
        <v>28</v>
      </c>
      <c r="M617" s="15">
        <v>2022</v>
      </c>
      <c r="N617" s="15" t="s">
        <v>28</v>
      </c>
      <c r="O617" s="15">
        <v>2024</v>
      </c>
      <c r="P617" s="15">
        <v>2022</v>
      </c>
      <c r="Q617" s="15"/>
      <c r="R617" s="16"/>
      <c r="S617" s="16" t="str">
        <f ca="1">IF(
  O617 &lt; YEAR(TODAY()),
  "LULUS",
  IF(
    O617 = YEAR(TODAY()),
    IF(
      MATCH(L617, {"Januari";"Februari";"Maret";"April";"Mei";"Juni";"Juli";"Agustus";"September";"Oktober";"November";"Desember"}, 0)
        &gt;= MONTH(TODAY()),
      "AKTIF (Semester " &amp;
        (INT((12*(YEAR(TODAY())-M617) + MONTH(TODAY()) -
          MATCH(L617, {"Januari";"Februari";"Maret";"April";"Mei";"Juni";"Juli";"Agustus";"September";"Oktober";"November";"Desember"}, 0)) / 6) + 1) &amp; ")",
      "LULUS"
    ),
    "AKTIF (Semester " &amp;
      (INT((12*(YEAR(TODAY())-M617) + MONTH(TODAY()) -
        MATCH(L617, {"Januari";"Februari";"Maret";"April";"Mei";"Juni";"Juli";"Agustus";"September";"Oktober";"November";"Desember"}, 0)) / 6) + 1) &amp; ")"
  )
)</f>
        <v>LULUS</v>
      </c>
      <c r="T617" s="16" t="str">
        <f ca="1">IF(O617 &lt; YEAR(TODAY()), "LULUS",
 IF(O617 = YEAR(TODAY()),
    IF(MATCH(N617, {"Januari";"Februari";"Maret";"April";"Mei";"Juni";"Juli";"Agustus";"September";"Oktober";"November";"Desember"},0)
        &lt;= MONTH(TODAY()),
        "LULUS",
        "AKTIF"),
 "AKTIF"))</f>
        <v>LULUS</v>
      </c>
      <c r="U617" s="16" t="s">
        <v>29</v>
      </c>
      <c r="V617" s="15"/>
      <c r="W617" s="15"/>
      <c r="X617" s="15"/>
      <c r="Y617" s="15"/>
      <c r="Z617" s="15"/>
    </row>
    <row r="618" spans="1:26" ht="29" customHeight="1" x14ac:dyDescent="0.35">
      <c r="A618" s="12">
        <v>617</v>
      </c>
      <c r="B618" s="25" t="s">
        <v>2001</v>
      </c>
      <c r="C618" s="72" t="s">
        <v>2002</v>
      </c>
      <c r="D618" s="24" t="s">
        <v>116</v>
      </c>
      <c r="E618" s="14" t="str">
        <f t="shared" si="11"/>
        <v>Laki-Laki</v>
      </c>
      <c r="F618" s="72" t="s">
        <v>762</v>
      </c>
      <c r="G618" s="25" t="s">
        <v>1484</v>
      </c>
      <c r="H618" s="19" t="s">
        <v>2003</v>
      </c>
      <c r="I618" s="19" t="s">
        <v>320</v>
      </c>
      <c r="J618" s="19" t="s">
        <v>45</v>
      </c>
      <c r="K618" s="19" t="s">
        <v>2004</v>
      </c>
      <c r="L618" s="86" t="s">
        <v>28</v>
      </c>
      <c r="M618" s="15">
        <v>2022</v>
      </c>
      <c r="N618" s="15" t="s">
        <v>28</v>
      </c>
      <c r="O618" s="15">
        <v>2026</v>
      </c>
      <c r="P618" s="15">
        <v>2022</v>
      </c>
      <c r="Q618" s="15"/>
      <c r="R618" s="16"/>
      <c r="S618" s="16" t="str">
        <f ca="1">IF(
  O618 &lt; YEAR(TODAY()),
  "LULUS",
  IF(
    O618 = YEAR(TODAY()),
    IF(
      MATCH(L618, {"Januari";"Februari";"Maret";"April";"Mei";"Juni";"Juli";"Agustus";"September";"Oktober";"November";"Desember"}, 0)
        &gt;= MONTH(TODAY()),
      "AKTIF (Semester " &amp;
        (INT((12*(YEAR(TODAY())-M618) + MONTH(TODAY()) -
          MATCH(L618, {"Januari";"Februari";"Maret";"April";"Mei";"Juni";"Juli";"Agustus";"September";"Oktober";"November";"Desember"}, 0)) / 6) + 1) &amp; ")",
      "LULUS"
    ),
    "AKTIF (Semester " &amp;
      (INT((12*(YEAR(TODAY())-M618) + MONTH(TODAY()) -
        MATCH(L618, {"Januari";"Februari";"Maret";"April";"Mei";"Juni";"Juli";"Agustus";"September";"Oktober";"November";"Desember"}, 0)) / 6) + 1) &amp; ")"
  )
)</f>
        <v>AKTIF (Semester 7)</v>
      </c>
      <c r="T618" s="16" t="str">
        <f ca="1">IF(O618 &lt; YEAR(TODAY()), "LULUS",
 IF(O618 = YEAR(TODAY()),
    IF(MATCH(N618, {"Januari";"Februari";"Maret";"April";"Mei";"Juni";"Juli";"Agustus";"September";"Oktober";"November";"Desember"},0)
        &lt;= MONTH(TODAY()),
        "LULUS",
        "AKTIF"),
 "AKTIF"))</f>
        <v>AKTIF</v>
      </c>
      <c r="U618" s="16" t="s">
        <v>2939</v>
      </c>
      <c r="V618" s="15"/>
      <c r="W618" s="15"/>
      <c r="X618" s="15"/>
      <c r="Y618" s="15"/>
      <c r="Z618" s="15"/>
    </row>
    <row r="619" spans="1:26" ht="29" customHeight="1" x14ac:dyDescent="0.35">
      <c r="A619" s="12">
        <v>618</v>
      </c>
      <c r="B619" s="73" t="s">
        <v>2839</v>
      </c>
      <c r="C619" s="72" t="s">
        <v>2005</v>
      </c>
      <c r="D619" s="24" t="s">
        <v>370</v>
      </c>
      <c r="E619" s="14" t="str">
        <f t="shared" si="11"/>
        <v>Perempuan</v>
      </c>
      <c r="F619" s="72" t="s">
        <v>1777</v>
      </c>
      <c r="G619" s="25" t="s">
        <v>1484</v>
      </c>
      <c r="H619" s="19" t="s">
        <v>1536</v>
      </c>
      <c r="I619" s="19" t="s">
        <v>90</v>
      </c>
      <c r="J619" s="19" t="s">
        <v>45</v>
      </c>
      <c r="K619" s="19" t="s">
        <v>905</v>
      </c>
      <c r="L619" s="86" t="s">
        <v>28</v>
      </c>
      <c r="M619" s="15">
        <v>2022</v>
      </c>
      <c r="N619" s="15" t="s">
        <v>28</v>
      </c>
      <c r="O619" s="15">
        <v>2026</v>
      </c>
      <c r="P619" s="15">
        <v>2022</v>
      </c>
      <c r="Q619" s="15"/>
      <c r="R619" s="16"/>
      <c r="S619" s="16" t="str">
        <f ca="1">IF(
  O619 &lt; YEAR(TODAY()),
  "LULUS",
  IF(
    O619 = YEAR(TODAY()),
    IF(
      MATCH(L619, {"Januari";"Februari";"Maret";"April";"Mei";"Juni";"Juli";"Agustus";"September";"Oktober";"November";"Desember"}, 0)
        &gt;= MONTH(TODAY()),
      "AKTIF (Semester " &amp;
        (INT((12*(YEAR(TODAY())-M619) + MONTH(TODAY()) -
          MATCH(L619, {"Januari";"Februari";"Maret";"April";"Mei";"Juni";"Juli";"Agustus";"September";"Oktober";"November";"Desember"}, 0)) / 6) + 1) &amp; ")",
      "LULUS"
    ),
    "AKTIF (Semester " &amp;
      (INT((12*(YEAR(TODAY())-M619) + MONTH(TODAY()) -
        MATCH(L619, {"Januari";"Februari";"Maret";"April";"Mei";"Juni";"Juli";"Agustus";"September";"Oktober";"November";"Desember"}, 0)) / 6) + 1) &amp; ")"
  )
)</f>
        <v>AKTIF (Semester 7)</v>
      </c>
      <c r="T619" s="16" t="str">
        <f ca="1">IF(O619 &lt; YEAR(TODAY()), "LULUS",
 IF(O619 = YEAR(TODAY()),
    IF(MATCH(N619, {"Januari";"Februari";"Maret";"April";"Mei";"Juni";"Juli";"Agustus";"September";"Oktober";"November";"Desember"},0)
        &lt;= MONTH(TODAY()),
        "LULUS",
        "AKTIF"),
 "AKTIF"))</f>
        <v>AKTIF</v>
      </c>
      <c r="U619" s="16" t="s">
        <v>2939</v>
      </c>
      <c r="V619" s="15"/>
      <c r="W619" s="15"/>
      <c r="X619" s="15"/>
      <c r="Y619" s="15"/>
      <c r="Z619" s="15"/>
    </row>
    <row r="620" spans="1:26" ht="29" customHeight="1" x14ac:dyDescent="0.35">
      <c r="A620" s="12">
        <v>619</v>
      </c>
      <c r="B620" s="25" t="s">
        <v>2006</v>
      </c>
      <c r="C620" s="72" t="s">
        <v>2007</v>
      </c>
      <c r="D620" s="24" t="s">
        <v>104</v>
      </c>
      <c r="E620" s="14" t="str">
        <f t="shared" ref="E620:E631" si="12">IF(MID(C620,17,1)="1","Laki-Laki","Perempuan")</f>
        <v>Perempuan</v>
      </c>
      <c r="F620" s="72" t="s">
        <v>1437</v>
      </c>
      <c r="G620" s="25" t="s">
        <v>1484</v>
      </c>
      <c r="H620" s="19" t="s">
        <v>1536</v>
      </c>
      <c r="I620" s="19" t="s">
        <v>90</v>
      </c>
      <c r="J620" s="19" t="s">
        <v>45</v>
      </c>
      <c r="K620" s="19" t="s">
        <v>144</v>
      </c>
      <c r="L620" s="86" t="s">
        <v>60</v>
      </c>
      <c r="M620" s="15">
        <v>2022</v>
      </c>
      <c r="N620" s="15" t="s">
        <v>60</v>
      </c>
      <c r="O620" s="15">
        <v>2026</v>
      </c>
      <c r="P620" s="15">
        <v>2022</v>
      </c>
      <c r="Q620" s="15"/>
      <c r="R620" s="16"/>
      <c r="S620" s="16" t="str">
        <f ca="1">IF(
  O620 &lt; YEAR(TODAY()),
  "LULUS",
  IF(
    O620 = YEAR(TODAY()),
    IF(
      MATCH(L620, {"Januari";"Februari";"Maret";"April";"Mei";"Juni";"Juli";"Agustus";"September";"Oktober";"November";"Desember"}, 0)
        &gt;= MONTH(TODAY()),
      "AKTIF (Semester " &amp;
        (INT((12*(YEAR(TODAY())-M620) + MONTH(TODAY()) -
          MATCH(L620, {"Januari";"Februari";"Maret";"April";"Mei";"Juni";"Juli";"Agustus";"September";"Oktober";"November";"Desember"}, 0)) / 6) + 1) &amp; ")",
      "LULUS"
    ),
    "AKTIF (Semester " &amp;
      (INT((12*(YEAR(TODAY())-M620) + MONTH(TODAY()) -
        MATCH(L620, {"Januari";"Februari";"Maret";"April";"Mei";"Juni";"Juli";"Agustus";"September";"Oktober";"November";"Desember"}, 0)) / 6) + 1) &amp; ")"
  )
)</f>
        <v>AKTIF (Semester 7)</v>
      </c>
      <c r="T620" s="16" t="str">
        <f ca="1">IF(O620 &lt; YEAR(TODAY()), "LULUS",
 IF(O620 = YEAR(TODAY()),
    IF(MATCH(N620, {"Januari";"Februari";"Maret";"April";"Mei";"Juni";"Juli";"Agustus";"September";"Oktober";"November";"Desember"},0)
        &lt;= MONTH(TODAY()),
        "LULUS",
        "AKTIF"),
 "AKTIF"))</f>
        <v>AKTIF</v>
      </c>
      <c r="U620" s="16" t="s">
        <v>2939</v>
      </c>
      <c r="V620" s="15"/>
      <c r="W620" s="15"/>
      <c r="X620" s="15"/>
      <c r="Y620" s="15"/>
      <c r="Z620" s="15"/>
    </row>
    <row r="621" spans="1:26" ht="29" customHeight="1" x14ac:dyDescent="0.35">
      <c r="A621" s="12">
        <v>620</v>
      </c>
      <c r="B621" s="25" t="s">
        <v>2008</v>
      </c>
      <c r="C621" s="72" t="s">
        <v>2009</v>
      </c>
      <c r="D621" s="24" t="s">
        <v>109</v>
      </c>
      <c r="E621" s="14" t="str">
        <f t="shared" si="12"/>
        <v>Perempuan</v>
      </c>
      <c r="F621" s="72" t="s">
        <v>1928</v>
      </c>
      <c r="G621" s="25" t="s">
        <v>1484</v>
      </c>
      <c r="H621" s="19" t="s">
        <v>1536</v>
      </c>
      <c r="I621" s="19" t="s">
        <v>788</v>
      </c>
      <c r="J621" s="19" t="s">
        <v>26</v>
      </c>
      <c r="K621" s="19" t="s">
        <v>407</v>
      </c>
      <c r="L621" s="86" t="s">
        <v>60</v>
      </c>
      <c r="M621" s="15">
        <v>2022</v>
      </c>
      <c r="N621" s="15" t="s">
        <v>60</v>
      </c>
      <c r="O621" s="15">
        <v>2024</v>
      </c>
      <c r="P621" s="15">
        <v>2022</v>
      </c>
      <c r="Q621" s="15"/>
      <c r="R621" s="16"/>
      <c r="S621" s="16" t="str">
        <f ca="1">IF(
  O621 &lt; YEAR(TODAY()),
  "LULUS",
  IF(
    O621 = YEAR(TODAY()),
    IF(
      MATCH(L621, {"Januari";"Februari";"Maret";"April";"Mei";"Juni";"Juli";"Agustus";"September";"Oktober";"November";"Desember"}, 0)
        &gt;= MONTH(TODAY()),
      "AKTIF (Semester " &amp;
        (INT((12*(YEAR(TODAY())-M621) + MONTH(TODAY()) -
          MATCH(L621, {"Januari";"Februari";"Maret";"April";"Mei";"Juni";"Juli";"Agustus";"September";"Oktober";"November";"Desember"}, 0)) / 6) + 1) &amp; ")",
      "LULUS"
    ),
    "AKTIF (Semester " &amp;
      (INT((12*(YEAR(TODAY())-M621) + MONTH(TODAY()) -
        MATCH(L621, {"Januari";"Februari";"Maret";"April";"Mei";"Juni";"Juli";"Agustus";"September";"Oktober";"November";"Desember"}, 0)) / 6) + 1) &amp; ")"
  )
)</f>
        <v>LULUS</v>
      </c>
      <c r="T621" s="16" t="str">
        <f ca="1">IF(O621 &lt; YEAR(TODAY()), "LULUS",
 IF(O621 = YEAR(TODAY()),
    IF(MATCH(N621, {"Januari";"Februari";"Maret";"April";"Mei";"Juni";"Juli";"Agustus";"September";"Oktober";"November";"Desember"},0)
        &lt;= MONTH(TODAY()),
        "LULUS",
        "AKTIF"),
 "AKTIF"))</f>
        <v>LULUS</v>
      </c>
      <c r="U621" s="16" t="s">
        <v>29</v>
      </c>
      <c r="V621" s="15"/>
      <c r="W621" s="15"/>
      <c r="X621" s="15"/>
      <c r="Y621" s="15"/>
      <c r="Z621" s="15"/>
    </row>
    <row r="622" spans="1:26" ht="29" customHeight="1" x14ac:dyDescent="0.35">
      <c r="A622" s="12">
        <v>621</v>
      </c>
      <c r="B622" s="25" t="s">
        <v>2010</v>
      </c>
      <c r="C622" s="72" t="s">
        <v>2011</v>
      </c>
      <c r="D622" s="24" t="s">
        <v>98</v>
      </c>
      <c r="E622" s="14" t="str">
        <f t="shared" si="12"/>
        <v>Laki-Laki</v>
      </c>
      <c r="F622" s="72" t="s">
        <v>1730</v>
      </c>
      <c r="G622" s="25" t="s">
        <v>1484</v>
      </c>
      <c r="H622" s="19" t="s">
        <v>1536</v>
      </c>
      <c r="I622" s="19" t="s">
        <v>788</v>
      </c>
      <c r="J622" s="19" t="s">
        <v>45</v>
      </c>
      <c r="K622" s="19" t="s">
        <v>591</v>
      </c>
      <c r="L622" s="86" t="s">
        <v>28</v>
      </c>
      <c r="M622" s="15">
        <v>2022</v>
      </c>
      <c r="N622" s="15" t="s">
        <v>28</v>
      </c>
      <c r="O622" s="15">
        <v>2026</v>
      </c>
      <c r="P622" s="15">
        <v>2022</v>
      </c>
      <c r="Q622" s="15"/>
      <c r="R622" s="16"/>
      <c r="S622" s="16" t="str">
        <f ca="1">IF(
  O622 &lt; YEAR(TODAY()),
  "LULUS",
  IF(
    O622 = YEAR(TODAY()),
    IF(
      MATCH(L622, {"Januari";"Februari";"Maret";"April";"Mei";"Juni";"Juli";"Agustus";"September";"Oktober";"November";"Desember"}, 0)
        &gt;= MONTH(TODAY()),
      "AKTIF (Semester " &amp;
        (INT((12*(YEAR(TODAY())-M622) + MONTH(TODAY()) -
          MATCH(L622, {"Januari";"Februari";"Maret";"April";"Mei";"Juni";"Juli";"Agustus";"September";"Oktober";"November";"Desember"}, 0)) / 6) + 1) &amp; ")",
      "LULUS"
    ),
    "AKTIF (Semester " &amp;
      (INT((12*(YEAR(TODAY())-M622) + MONTH(TODAY()) -
        MATCH(L622, {"Januari";"Februari";"Maret";"April";"Mei";"Juni";"Juli";"Agustus";"September";"Oktober";"November";"Desember"}, 0)) / 6) + 1) &amp; ")"
  )
)</f>
        <v>AKTIF (Semester 7)</v>
      </c>
      <c r="T622" s="16" t="str">
        <f ca="1">IF(O622 &lt; YEAR(TODAY()), "LULUS",
 IF(O622 = YEAR(TODAY()),
    IF(MATCH(N622, {"Januari";"Februari";"Maret";"April";"Mei";"Juni";"Juli";"Agustus";"September";"Oktober";"November";"Desember"},0)
        &lt;= MONTH(TODAY()),
        "LULUS",
        "AKTIF"),
 "AKTIF"))</f>
        <v>AKTIF</v>
      </c>
      <c r="U622" s="16" t="s">
        <v>2939</v>
      </c>
      <c r="V622" s="15"/>
      <c r="W622" s="15"/>
      <c r="X622" s="15"/>
      <c r="Y622" s="15"/>
      <c r="Z622" s="15"/>
    </row>
    <row r="623" spans="1:26" ht="29" customHeight="1" x14ac:dyDescent="0.35">
      <c r="A623" s="12">
        <v>622</v>
      </c>
      <c r="B623" s="25" t="s">
        <v>2012</v>
      </c>
      <c r="C623" s="72" t="s">
        <v>2013</v>
      </c>
      <c r="D623" s="24" t="s">
        <v>104</v>
      </c>
      <c r="E623" s="14" t="str">
        <f t="shared" si="12"/>
        <v>Perempuan</v>
      </c>
      <c r="F623" s="72" t="s">
        <v>1657</v>
      </c>
      <c r="G623" s="25" t="s">
        <v>1484</v>
      </c>
      <c r="H623" s="19" t="s">
        <v>1536</v>
      </c>
      <c r="I623" s="19" t="s">
        <v>788</v>
      </c>
      <c r="J623" s="19" t="s">
        <v>45</v>
      </c>
      <c r="K623" s="19" t="s">
        <v>591</v>
      </c>
      <c r="L623" s="86" t="s">
        <v>28</v>
      </c>
      <c r="M623" s="15">
        <v>2022</v>
      </c>
      <c r="N623" s="15" t="s">
        <v>28</v>
      </c>
      <c r="O623" s="15">
        <v>2026</v>
      </c>
      <c r="P623" s="15">
        <v>2022</v>
      </c>
      <c r="Q623" s="15"/>
      <c r="R623" s="16"/>
      <c r="S623" s="16" t="str">
        <f ca="1">IF(
  O623 &lt; YEAR(TODAY()),
  "LULUS",
  IF(
    O623 = YEAR(TODAY()),
    IF(
      MATCH(L623, {"Januari";"Februari";"Maret";"April";"Mei";"Juni";"Juli";"Agustus";"September";"Oktober";"November";"Desember"}, 0)
        &gt;= MONTH(TODAY()),
      "AKTIF (Semester " &amp;
        (INT((12*(YEAR(TODAY())-M623) + MONTH(TODAY()) -
          MATCH(L623, {"Januari";"Februari";"Maret";"April";"Mei";"Juni";"Juli";"Agustus";"September";"Oktober";"November";"Desember"}, 0)) / 6) + 1) &amp; ")",
      "LULUS"
    ),
    "AKTIF (Semester " &amp;
      (INT((12*(YEAR(TODAY())-M623) + MONTH(TODAY()) -
        MATCH(L623, {"Januari";"Februari";"Maret";"April";"Mei";"Juni";"Juli";"Agustus";"September";"Oktober";"November";"Desember"}, 0)) / 6) + 1) &amp; ")"
  )
)</f>
        <v>AKTIF (Semester 7)</v>
      </c>
      <c r="T623" s="16" t="str">
        <f ca="1">IF(O623 &lt; YEAR(TODAY()), "LULUS",
 IF(O623 = YEAR(TODAY()),
    IF(MATCH(N623, {"Januari";"Februari";"Maret";"April";"Mei";"Juni";"Juli";"Agustus";"September";"Oktober";"November";"Desember"},0)
        &lt;= MONTH(TODAY()),
        "LULUS",
        "AKTIF"),
 "AKTIF"))</f>
        <v>AKTIF</v>
      </c>
      <c r="U623" s="16" t="s">
        <v>2939</v>
      </c>
      <c r="V623" s="15"/>
      <c r="W623" s="15"/>
      <c r="X623" s="15"/>
      <c r="Y623" s="15"/>
      <c r="Z623" s="15"/>
    </row>
    <row r="624" spans="1:26" ht="29" customHeight="1" x14ac:dyDescent="0.35">
      <c r="A624" s="12">
        <v>623</v>
      </c>
      <c r="B624" s="25" t="s">
        <v>2014</v>
      </c>
      <c r="C624" s="72" t="s">
        <v>2015</v>
      </c>
      <c r="D624" s="24" t="s">
        <v>98</v>
      </c>
      <c r="E624" s="14" t="str">
        <f t="shared" si="12"/>
        <v>Laki-Laki</v>
      </c>
      <c r="F624" s="72" t="s">
        <v>1730</v>
      </c>
      <c r="G624" s="25" t="s">
        <v>1484</v>
      </c>
      <c r="H624" s="19" t="s">
        <v>1536</v>
      </c>
      <c r="I624" s="19" t="s">
        <v>90</v>
      </c>
      <c r="J624" s="19" t="s">
        <v>45</v>
      </c>
      <c r="K624" s="19" t="s">
        <v>905</v>
      </c>
      <c r="L624" s="86" t="s">
        <v>28</v>
      </c>
      <c r="M624" s="15">
        <v>2022</v>
      </c>
      <c r="N624" s="15" t="s">
        <v>28</v>
      </c>
      <c r="O624" s="15">
        <v>2026</v>
      </c>
      <c r="P624" s="15">
        <v>2022</v>
      </c>
      <c r="Q624" s="15"/>
      <c r="R624" s="16"/>
      <c r="S624" s="16" t="str">
        <f ca="1">IF(
  O624 &lt; YEAR(TODAY()),
  "LULUS",
  IF(
    O624 = YEAR(TODAY()),
    IF(
      MATCH(L624, {"Januari";"Februari";"Maret";"April";"Mei";"Juni";"Juli";"Agustus";"September";"Oktober";"November";"Desember"}, 0)
        &gt;= MONTH(TODAY()),
      "AKTIF (Semester " &amp;
        (INT((12*(YEAR(TODAY())-M624) + MONTH(TODAY()) -
          MATCH(L624, {"Januari";"Februari";"Maret";"April";"Mei";"Juni";"Juli";"Agustus";"September";"Oktober";"November";"Desember"}, 0)) / 6) + 1) &amp; ")",
      "LULUS"
    ),
    "AKTIF (Semester " &amp;
      (INT((12*(YEAR(TODAY())-M624) + MONTH(TODAY()) -
        MATCH(L624, {"Januari";"Februari";"Maret";"April";"Mei";"Juni";"Juli";"Agustus";"September";"Oktober";"November";"Desember"}, 0)) / 6) + 1) &amp; ")"
  )
)</f>
        <v>AKTIF (Semester 7)</v>
      </c>
      <c r="T624" s="16" t="str">
        <f ca="1">IF(O624 &lt; YEAR(TODAY()), "LULUS",
 IF(O624 = YEAR(TODAY()),
    IF(MATCH(N624, {"Januari";"Februari";"Maret";"April";"Mei";"Juni";"Juli";"Agustus";"September";"Oktober";"November";"Desember"},0)
        &lt;= MONTH(TODAY()),
        "LULUS",
        "AKTIF"),
 "AKTIF"))</f>
        <v>AKTIF</v>
      </c>
      <c r="U624" s="16" t="s">
        <v>2939</v>
      </c>
      <c r="V624" s="15"/>
      <c r="W624" s="15"/>
      <c r="X624" s="15"/>
      <c r="Y624" s="15"/>
      <c r="Z624" s="15"/>
    </row>
    <row r="625" spans="1:26" ht="29" customHeight="1" x14ac:dyDescent="0.35">
      <c r="A625" s="12">
        <v>624</v>
      </c>
      <c r="B625" s="25" t="s">
        <v>2016</v>
      </c>
      <c r="C625" s="72" t="s">
        <v>2017</v>
      </c>
      <c r="D625" s="24" t="s">
        <v>109</v>
      </c>
      <c r="E625" s="14" t="str">
        <f t="shared" si="12"/>
        <v>Laki-Laki</v>
      </c>
      <c r="F625" s="72" t="s">
        <v>1928</v>
      </c>
      <c r="G625" s="25" t="s">
        <v>1484</v>
      </c>
      <c r="H625" s="19" t="s">
        <v>1536</v>
      </c>
      <c r="I625" s="19" t="s">
        <v>1700</v>
      </c>
      <c r="J625" s="19" t="s">
        <v>26</v>
      </c>
      <c r="K625" s="19" t="s">
        <v>1701</v>
      </c>
      <c r="L625" s="86" t="s">
        <v>60</v>
      </c>
      <c r="M625" s="15">
        <v>2022</v>
      </c>
      <c r="N625" s="15" t="s">
        <v>60</v>
      </c>
      <c r="O625" s="15">
        <v>2024</v>
      </c>
      <c r="P625" s="15">
        <v>2022</v>
      </c>
      <c r="Q625" s="15"/>
      <c r="R625" s="16"/>
      <c r="S625" s="16" t="str">
        <f ca="1">IF(
  O625 &lt; YEAR(TODAY()),
  "LULUS",
  IF(
    O625 = YEAR(TODAY()),
    IF(
      MATCH(L625, {"Januari";"Februari";"Maret";"April";"Mei";"Juni";"Juli";"Agustus";"September";"Oktober";"November";"Desember"}, 0)
        &gt;= MONTH(TODAY()),
      "AKTIF (Semester " &amp;
        (INT((12*(YEAR(TODAY())-M625) + MONTH(TODAY()) -
          MATCH(L625, {"Januari";"Februari";"Maret";"April";"Mei";"Juni";"Juli";"Agustus";"September";"Oktober";"November";"Desember"}, 0)) / 6) + 1) &amp; ")",
      "LULUS"
    ),
    "AKTIF (Semester " &amp;
      (INT((12*(YEAR(TODAY())-M625) + MONTH(TODAY()) -
        MATCH(L625, {"Januari";"Februari";"Maret";"April";"Mei";"Juni";"Juli";"Agustus";"September";"Oktober";"November";"Desember"}, 0)) / 6) + 1) &amp; ")"
  )
)</f>
        <v>LULUS</v>
      </c>
      <c r="T625" s="16" t="str">
        <f ca="1">IF(O625 &lt; YEAR(TODAY()), "LULUS",
 IF(O625 = YEAR(TODAY()),
    IF(MATCH(N625, {"Januari";"Februari";"Maret";"April";"Mei";"Juni";"Juli";"Agustus";"September";"Oktober";"November";"Desember"},0)
        &lt;= MONTH(TODAY()),
        "LULUS",
        "AKTIF"),
 "AKTIF"))</f>
        <v>LULUS</v>
      </c>
      <c r="U625" s="16" t="s">
        <v>29</v>
      </c>
      <c r="V625" s="15"/>
      <c r="W625" s="15"/>
      <c r="X625" s="15"/>
      <c r="Y625" s="15"/>
      <c r="Z625" s="15"/>
    </row>
    <row r="626" spans="1:26" ht="29" customHeight="1" x14ac:dyDescent="0.35">
      <c r="A626" s="12">
        <v>625</v>
      </c>
      <c r="B626" s="25" t="s">
        <v>2018</v>
      </c>
      <c r="C626" s="72" t="s">
        <v>2019</v>
      </c>
      <c r="D626" s="24" t="s">
        <v>104</v>
      </c>
      <c r="E626" s="14" t="str">
        <f t="shared" si="12"/>
        <v>Laki-Laki</v>
      </c>
      <c r="F626" s="72" t="s">
        <v>1931</v>
      </c>
      <c r="G626" s="25" t="s">
        <v>1484</v>
      </c>
      <c r="H626" s="19" t="s">
        <v>1536</v>
      </c>
      <c r="I626" s="19" t="s">
        <v>1700</v>
      </c>
      <c r="J626" s="19" t="s">
        <v>26</v>
      </c>
      <c r="K626" s="19" t="s">
        <v>1701</v>
      </c>
      <c r="L626" s="86" t="s">
        <v>60</v>
      </c>
      <c r="M626" s="15">
        <v>2022</v>
      </c>
      <c r="N626" s="15" t="s">
        <v>60</v>
      </c>
      <c r="O626" s="15">
        <v>2024</v>
      </c>
      <c r="P626" s="15">
        <v>2022</v>
      </c>
      <c r="Q626" s="15"/>
      <c r="R626" s="16"/>
      <c r="S626" s="16" t="str">
        <f ca="1">IF(
  O626 &lt; YEAR(TODAY()),
  "LULUS",
  IF(
    O626 = YEAR(TODAY()),
    IF(
      MATCH(L626, {"Januari";"Februari";"Maret";"April";"Mei";"Juni";"Juli";"Agustus";"September";"Oktober";"November";"Desember"}, 0)
        &gt;= MONTH(TODAY()),
      "AKTIF (Semester " &amp;
        (INT((12*(YEAR(TODAY())-M626) + MONTH(TODAY()) -
          MATCH(L626, {"Januari";"Februari";"Maret";"April";"Mei";"Juni";"Juli";"Agustus";"September";"Oktober";"November";"Desember"}, 0)) / 6) + 1) &amp; ")",
      "LULUS"
    ),
    "AKTIF (Semester " &amp;
      (INT((12*(YEAR(TODAY())-M626) + MONTH(TODAY()) -
        MATCH(L626, {"Januari";"Februari";"Maret";"April";"Mei";"Juni";"Juli";"Agustus";"September";"Oktober";"November";"Desember"}, 0)) / 6) + 1) &amp; ")"
  )
)</f>
        <v>LULUS</v>
      </c>
      <c r="T626" s="16" t="str">
        <f ca="1">IF(O626 &lt; YEAR(TODAY()), "LULUS",
 IF(O626 = YEAR(TODAY()),
    IF(MATCH(N626, {"Januari";"Februari";"Maret";"April";"Mei";"Juni";"Juli";"Agustus";"September";"Oktober";"November";"Desember"},0)
        &lt;= MONTH(TODAY()),
        "LULUS",
        "AKTIF"),
 "AKTIF"))</f>
        <v>LULUS</v>
      </c>
      <c r="U626" s="16" t="s">
        <v>29</v>
      </c>
      <c r="V626" s="15"/>
      <c r="W626" s="15"/>
      <c r="X626" s="15"/>
      <c r="Y626" s="15"/>
      <c r="Z626" s="15"/>
    </row>
    <row r="627" spans="1:26" ht="29" customHeight="1" x14ac:dyDescent="0.35">
      <c r="A627" s="12">
        <v>626</v>
      </c>
      <c r="B627" s="25" t="s">
        <v>2020</v>
      </c>
      <c r="C627" s="72" t="s">
        <v>2021</v>
      </c>
      <c r="D627" s="24" t="s">
        <v>98</v>
      </c>
      <c r="E627" s="14" t="str">
        <f t="shared" si="12"/>
        <v>Perempuan</v>
      </c>
      <c r="F627" s="72" t="s">
        <v>1730</v>
      </c>
      <c r="G627" s="25" t="s">
        <v>1484</v>
      </c>
      <c r="H627" s="19" t="s">
        <v>1761</v>
      </c>
      <c r="I627" s="19" t="s">
        <v>485</v>
      </c>
      <c r="J627" s="19" t="s">
        <v>45</v>
      </c>
      <c r="K627" s="19" t="s">
        <v>591</v>
      </c>
      <c r="L627" s="86" t="s">
        <v>60</v>
      </c>
      <c r="M627" s="15">
        <v>2022</v>
      </c>
      <c r="N627" s="15" t="s">
        <v>60</v>
      </c>
      <c r="O627" s="15">
        <v>2026</v>
      </c>
      <c r="P627" s="15">
        <v>2022</v>
      </c>
      <c r="Q627" s="15"/>
      <c r="R627" s="16"/>
      <c r="S627" s="16" t="str">
        <f ca="1">IF(
  O627 &lt; YEAR(TODAY()),
  "LULUS",
  IF(
    O627 = YEAR(TODAY()),
    IF(
      MATCH(L627, {"Januari";"Februari";"Maret";"April";"Mei";"Juni";"Juli";"Agustus";"September";"Oktober";"November";"Desember"}, 0)
        &gt;= MONTH(TODAY()),
      "AKTIF (Semester " &amp;
        (INT((12*(YEAR(TODAY())-M627) + MONTH(TODAY()) -
          MATCH(L627, {"Januari";"Februari";"Maret";"April";"Mei";"Juni";"Juli";"Agustus";"September";"Oktober";"November";"Desember"}, 0)) / 6) + 1) &amp; ")",
      "LULUS"
    ),
    "AKTIF (Semester " &amp;
      (INT((12*(YEAR(TODAY())-M627) + MONTH(TODAY()) -
        MATCH(L627, {"Januari";"Februari";"Maret";"April";"Mei";"Juni";"Juli";"Agustus";"September";"Oktober";"November";"Desember"}, 0)) / 6) + 1) &amp; ")"
  )
)</f>
        <v>AKTIF (Semester 7)</v>
      </c>
      <c r="T627" s="16" t="str">
        <f ca="1">IF(O627 &lt; YEAR(TODAY()), "LULUS",
 IF(O627 = YEAR(TODAY()),
    IF(MATCH(N627, {"Januari";"Februari";"Maret";"April";"Mei";"Juni";"Juli";"Agustus";"September";"Oktober";"November";"Desember"},0)
        &lt;= MONTH(TODAY()),
        "LULUS",
        "AKTIF"),
 "AKTIF"))</f>
        <v>AKTIF</v>
      </c>
      <c r="U627" s="16" t="s">
        <v>2939</v>
      </c>
      <c r="V627" s="15"/>
      <c r="W627" s="15"/>
      <c r="X627" s="15"/>
      <c r="Y627" s="15"/>
      <c r="Z627" s="15"/>
    </row>
    <row r="628" spans="1:26" ht="29" customHeight="1" x14ac:dyDescent="0.35">
      <c r="A628" s="12">
        <v>627</v>
      </c>
      <c r="B628" s="25" t="s">
        <v>2022</v>
      </c>
      <c r="C628" s="72" t="s">
        <v>2023</v>
      </c>
      <c r="D628" s="24" t="s">
        <v>104</v>
      </c>
      <c r="E628" s="14" t="str">
        <f t="shared" si="12"/>
        <v>Perempuan</v>
      </c>
      <c r="F628" s="72" t="s">
        <v>88</v>
      </c>
      <c r="G628" s="25" t="s">
        <v>1484</v>
      </c>
      <c r="H628" s="19" t="s">
        <v>1572</v>
      </c>
      <c r="I628" s="19" t="s">
        <v>2931</v>
      </c>
      <c r="J628" s="19" t="s">
        <v>26</v>
      </c>
      <c r="K628" s="19" t="s">
        <v>204</v>
      </c>
      <c r="L628" s="86" t="s">
        <v>28</v>
      </c>
      <c r="M628" s="15">
        <v>2022</v>
      </c>
      <c r="N628" s="15" t="s">
        <v>28</v>
      </c>
      <c r="O628" s="15">
        <v>2024</v>
      </c>
      <c r="P628" s="15">
        <v>2022</v>
      </c>
      <c r="Q628" s="15"/>
      <c r="R628" s="16"/>
      <c r="S628" s="16" t="str">
        <f ca="1">IF(
  O628 &lt; YEAR(TODAY()),
  "LULUS",
  IF(
    O628 = YEAR(TODAY()),
    IF(
      MATCH(L628, {"Januari";"Februari";"Maret";"April";"Mei";"Juni";"Juli";"Agustus";"September";"Oktober";"November";"Desember"}, 0)
        &gt;= MONTH(TODAY()),
      "AKTIF (Semester " &amp;
        (INT((12*(YEAR(TODAY())-M628) + MONTH(TODAY()) -
          MATCH(L628, {"Januari";"Februari";"Maret";"April";"Mei";"Juni";"Juli";"Agustus";"September";"Oktober";"November";"Desember"}, 0)) / 6) + 1) &amp; ")",
      "LULUS"
    ),
    "AKTIF (Semester " &amp;
      (INT((12*(YEAR(TODAY())-M628) + MONTH(TODAY()) -
        MATCH(L628, {"Januari";"Februari";"Maret";"April";"Mei";"Juni";"Juli";"Agustus";"September";"Oktober";"November";"Desember"}, 0)) / 6) + 1) &amp; ")"
  )
)</f>
        <v>LULUS</v>
      </c>
      <c r="T628" s="16" t="str">
        <f ca="1">IF(O628 &lt; YEAR(TODAY()), "LULUS",
 IF(O628 = YEAR(TODAY()),
    IF(MATCH(N628, {"Januari";"Februari";"Maret";"April";"Mei";"Juni";"Juli";"Agustus";"September";"Oktober";"November";"Desember"},0)
        &lt;= MONTH(TODAY()),
        "LULUS",
        "AKTIF"),
 "AKTIF"))</f>
        <v>LULUS</v>
      </c>
      <c r="U628" s="16" t="s">
        <v>29</v>
      </c>
      <c r="V628" s="15"/>
      <c r="W628" s="15"/>
      <c r="X628" s="15"/>
      <c r="Y628" s="15"/>
      <c r="Z628" s="15"/>
    </row>
    <row r="629" spans="1:26" ht="29" customHeight="1" x14ac:dyDescent="0.35">
      <c r="A629" s="12">
        <v>628</v>
      </c>
      <c r="B629" s="25" t="s">
        <v>2025</v>
      </c>
      <c r="C629" s="72" t="s">
        <v>2026</v>
      </c>
      <c r="D629" s="24" t="s">
        <v>109</v>
      </c>
      <c r="E629" s="14" t="str">
        <f t="shared" si="12"/>
        <v>Perempuan</v>
      </c>
      <c r="F629" s="72" t="s">
        <v>1841</v>
      </c>
      <c r="G629" s="25" t="s">
        <v>1484</v>
      </c>
      <c r="H629" s="19" t="s">
        <v>1572</v>
      </c>
      <c r="I629" s="19" t="s">
        <v>2931</v>
      </c>
      <c r="J629" s="19" t="s">
        <v>26</v>
      </c>
      <c r="K629" s="19" t="s">
        <v>204</v>
      </c>
      <c r="L629" s="86" t="s">
        <v>28</v>
      </c>
      <c r="M629" s="15">
        <v>2022</v>
      </c>
      <c r="N629" s="15" t="s">
        <v>28</v>
      </c>
      <c r="O629" s="15">
        <v>2024</v>
      </c>
      <c r="P629" s="15">
        <v>2022</v>
      </c>
      <c r="Q629" s="15"/>
      <c r="R629" s="16"/>
      <c r="S629" s="16" t="str">
        <f ca="1">IF(
  O629 &lt; YEAR(TODAY()),
  "LULUS",
  IF(
    O629 = YEAR(TODAY()),
    IF(
      MATCH(L629, {"Januari";"Februari";"Maret";"April";"Mei";"Juni";"Juli";"Agustus";"September";"Oktober";"November";"Desember"}, 0)
        &gt;= MONTH(TODAY()),
      "AKTIF (Semester " &amp;
        (INT((12*(YEAR(TODAY())-M629) + MONTH(TODAY()) -
          MATCH(L629, {"Januari";"Februari";"Maret";"April";"Mei";"Juni";"Juli";"Agustus";"September";"Oktober";"November";"Desember"}, 0)) / 6) + 1) &amp; ")",
      "LULUS"
    ),
    "AKTIF (Semester " &amp;
      (INT((12*(YEAR(TODAY())-M629) + MONTH(TODAY()) -
        MATCH(L629, {"Januari";"Februari";"Maret";"April";"Mei";"Juni";"Juli";"Agustus";"September";"Oktober";"November";"Desember"}, 0)) / 6) + 1) &amp; ")"
  )
)</f>
        <v>LULUS</v>
      </c>
      <c r="T629" s="16" t="str">
        <f ca="1">IF(O629 &lt; YEAR(TODAY()), "LULUS",
 IF(O629 = YEAR(TODAY()),
    IF(MATCH(N629, {"Januari";"Februari";"Maret";"April";"Mei";"Juni";"Juli";"Agustus";"September";"Oktober";"November";"Desember"},0)
        &lt;= MONTH(TODAY()),
        "LULUS",
        "AKTIF"),
 "AKTIF"))</f>
        <v>LULUS</v>
      </c>
      <c r="U629" s="16" t="s">
        <v>29</v>
      </c>
      <c r="V629" s="15"/>
      <c r="W629" s="15"/>
      <c r="X629" s="15"/>
      <c r="Y629" s="15"/>
      <c r="Z629" s="15"/>
    </row>
    <row r="630" spans="1:26" ht="29" customHeight="1" x14ac:dyDescent="0.35">
      <c r="A630" s="12">
        <v>629</v>
      </c>
      <c r="B630" s="25" t="s">
        <v>2027</v>
      </c>
      <c r="C630" s="72" t="s">
        <v>2028</v>
      </c>
      <c r="D630" s="24" t="s">
        <v>109</v>
      </c>
      <c r="E630" s="14" t="str">
        <f t="shared" si="12"/>
        <v>Laki-Laki</v>
      </c>
      <c r="F630" s="72" t="s">
        <v>2029</v>
      </c>
      <c r="G630" s="25" t="s">
        <v>1484</v>
      </c>
      <c r="H630" s="19" t="s">
        <v>2030</v>
      </c>
      <c r="I630" s="19" t="s">
        <v>2031</v>
      </c>
      <c r="J630" s="19" t="s">
        <v>26</v>
      </c>
      <c r="K630" s="19" t="s">
        <v>46</v>
      </c>
      <c r="L630" s="86" t="s">
        <v>28</v>
      </c>
      <c r="M630" s="15">
        <v>2022</v>
      </c>
      <c r="N630" s="15" t="s">
        <v>28</v>
      </c>
      <c r="O630" s="15">
        <v>2024</v>
      </c>
      <c r="P630" s="15">
        <v>2022</v>
      </c>
      <c r="Q630" s="15"/>
      <c r="R630" s="16"/>
      <c r="S630" s="16" t="str">
        <f ca="1">IF(
  O630 &lt; YEAR(TODAY()),
  "LULUS",
  IF(
    O630 = YEAR(TODAY()),
    IF(
      MATCH(L630, {"Januari";"Februari";"Maret";"April";"Mei";"Juni";"Juli";"Agustus";"September";"Oktober";"November";"Desember"}, 0)
        &gt;= MONTH(TODAY()),
      "AKTIF (Semester " &amp;
        (INT((12*(YEAR(TODAY())-M630) + MONTH(TODAY()) -
          MATCH(L630, {"Januari";"Februari";"Maret";"April";"Mei";"Juni";"Juli";"Agustus";"September";"Oktober";"November";"Desember"}, 0)) / 6) + 1) &amp; ")",
      "LULUS"
    ),
    "AKTIF (Semester " &amp;
      (INT((12*(YEAR(TODAY())-M630) + MONTH(TODAY()) -
        MATCH(L630, {"Januari";"Februari";"Maret";"April";"Mei";"Juni";"Juli";"Agustus";"September";"Oktober";"November";"Desember"}, 0)) / 6) + 1) &amp; ")"
  )
)</f>
        <v>LULUS</v>
      </c>
      <c r="T630" s="16" t="str">
        <f ca="1">IF(O630 &lt; YEAR(TODAY()), "LULUS",
 IF(O630 = YEAR(TODAY()),
    IF(MATCH(N630, {"Januari";"Februari";"Maret";"April";"Mei";"Juni";"Juli";"Agustus";"September";"Oktober";"November";"Desember"},0)
        &lt;= MONTH(TODAY()),
        "LULUS",
        "AKTIF"),
 "AKTIF"))</f>
        <v>LULUS</v>
      </c>
      <c r="U630" s="16" t="s">
        <v>29</v>
      </c>
      <c r="V630" s="15"/>
      <c r="W630" s="15"/>
      <c r="X630" s="15"/>
      <c r="Y630" s="15"/>
      <c r="Z630" s="15"/>
    </row>
    <row r="631" spans="1:26" ht="29" customHeight="1" x14ac:dyDescent="0.35">
      <c r="A631" s="12">
        <v>630</v>
      </c>
      <c r="B631" s="25" t="s">
        <v>2032</v>
      </c>
      <c r="C631" s="72" t="s">
        <v>2033</v>
      </c>
      <c r="D631" s="24" t="s">
        <v>370</v>
      </c>
      <c r="E631" s="14" t="str">
        <f t="shared" si="12"/>
        <v>Perempuan</v>
      </c>
      <c r="F631" s="72" t="s">
        <v>2034</v>
      </c>
      <c r="G631" s="25" t="s">
        <v>1484</v>
      </c>
      <c r="H631" s="19" t="s">
        <v>2030</v>
      </c>
      <c r="I631" s="19" t="s">
        <v>1751</v>
      </c>
      <c r="J631" s="19" t="s">
        <v>26</v>
      </c>
      <c r="K631" s="19" t="s">
        <v>2035</v>
      </c>
      <c r="L631" s="86" t="s">
        <v>60</v>
      </c>
      <c r="M631" s="15">
        <v>2022</v>
      </c>
      <c r="N631" s="15" t="s">
        <v>60</v>
      </c>
      <c r="O631" s="15">
        <v>2024</v>
      </c>
      <c r="P631" s="15">
        <v>2022</v>
      </c>
      <c r="Q631" s="15"/>
      <c r="R631" s="16"/>
      <c r="S631" s="16" t="str">
        <f ca="1">IF(
  O631 &lt; YEAR(TODAY()),
  "LULUS",
  IF(
    O631 = YEAR(TODAY()),
    IF(
      MATCH(L631, {"Januari";"Februari";"Maret";"April";"Mei";"Juni";"Juli";"Agustus";"September";"Oktober";"November";"Desember"}, 0)
        &gt;= MONTH(TODAY()),
      "AKTIF (Semester " &amp;
        (INT((12*(YEAR(TODAY())-M631) + MONTH(TODAY()) -
          MATCH(L631, {"Januari";"Februari";"Maret";"April";"Mei";"Juni";"Juli";"Agustus";"September";"Oktober";"November";"Desember"}, 0)) / 6) + 1) &amp; ")",
      "LULUS"
    ),
    "AKTIF (Semester " &amp;
      (INT((12*(YEAR(TODAY())-M631) + MONTH(TODAY()) -
        MATCH(L631, {"Januari";"Februari";"Maret";"April";"Mei";"Juni";"Juli";"Agustus";"September";"Oktober";"November";"Desember"}, 0)) / 6) + 1) &amp; ")"
  )
)</f>
        <v>LULUS</v>
      </c>
      <c r="T631" s="16" t="str">
        <f ca="1">IF(O631 &lt; YEAR(TODAY()), "LULUS",
 IF(O631 = YEAR(TODAY()),
    IF(MATCH(N631, {"Januari";"Februari";"Maret";"April";"Mei";"Juni";"Juli";"Agustus";"September";"Oktober";"November";"Desember"},0)
        &lt;= MONTH(TODAY()),
        "LULUS",
        "AKTIF"),
 "AKTIF"))</f>
        <v>LULUS</v>
      </c>
      <c r="U631" s="16" t="s">
        <v>29</v>
      </c>
      <c r="V631" s="15"/>
      <c r="W631" s="15"/>
      <c r="X631" s="15"/>
      <c r="Y631" s="15"/>
      <c r="Z631" s="15"/>
    </row>
    <row r="632" spans="1:26" ht="29" customHeight="1" x14ac:dyDescent="0.35">
      <c r="A632" s="12">
        <v>631</v>
      </c>
      <c r="B632" s="25" t="s">
        <v>2036</v>
      </c>
      <c r="C632" s="69" t="s">
        <v>2037</v>
      </c>
      <c r="D632" s="24" t="s">
        <v>116</v>
      </c>
      <c r="E632" s="14" t="str">
        <f>IF(MID(C632,15,1)="1","Laki-Laki","Perempuan")</f>
        <v>Laki-Laki</v>
      </c>
      <c r="F632" s="72" t="s">
        <v>2038</v>
      </c>
      <c r="G632" s="25" t="s">
        <v>1484</v>
      </c>
      <c r="H632" s="19" t="s">
        <v>1838</v>
      </c>
      <c r="I632" s="19" t="s">
        <v>2039</v>
      </c>
      <c r="J632" s="19" t="s">
        <v>45</v>
      </c>
      <c r="K632" s="19" t="s">
        <v>1577</v>
      </c>
      <c r="L632" s="86" t="s">
        <v>28</v>
      </c>
      <c r="M632" s="15">
        <v>2022</v>
      </c>
      <c r="N632" s="41" t="s">
        <v>28</v>
      </c>
      <c r="O632" s="94">
        <v>2026</v>
      </c>
      <c r="P632" s="95"/>
      <c r="Q632" s="95"/>
      <c r="R632" s="95"/>
      <c r="S632" s="16" t="str">
        <f ca="1">IF(
  O632 &lt; YEAR(TODAY()),
  "LULUS",
  IF(
    O632 = YEAR(TODAY()),
    IF(
      MATCH(L632, {"Januari";"Februari";"Maret";"April";"Mei";"Juni";"Juli";"Agustus";"September";"Oktober";"November";"Desember"}, 0)
        &gt;= MONTH(TODAY()),
      "AKTIF (Semester " &amp;
        (INT((12*(YEAR(TODAY())-M632) + MONTH(TODAY()) -
          MATCH(L632, {"Januari";"Februari";"Maret";"April";"Mei";"Juni";"Juli";"Agustus";"September";"Oktober";"November";"Desember"}, 0)) / 6) + 1) &amp; ")",
      "LULUS"
    ),
    "AKTIF (Semester " &amp;
      (INT((12*(YEAR(TODAY())-M632) + MONTH(TODAY()) -
        MATCH(L632, {"Januari";"Februari";"Maret";"April";"Mei";"Juni";"Juli";"Agustus";"September";"Oktober";"November";"Desember"}, 0)) / 6) + 1) &amp; ")"
  )
)</f>
        <v>AKTIF (Semester 7)</v>
      </c>
      <c r="T632" s="16" t="str">
        <f ca="1">IF(O632 &lt; YEAR(TODAY()), "LULUS",
 IF(O632 = YEAR(TODAY()),
    IF(MATCH(N632, {"Januari";"Februari";"Maret";"April";"Mei";"Juni";"Juli";"Agustus";"September";"Oktober";"November";"Desember"},0)
        &lt;= MONTH(TODAY()),
        "LULUS",
        "AKTIF"),
 "AKTIF"))</f>
        <v>AKTIF</v>
      </c>
      <c r="U632" s="16" t="s">
        <v>2939</v>
      </c>
      <c r="V632" s="96"/>
      <c r="W632" s="96"/>
      <c r="X632" s="96"/>
      <c r="Y632" s="96"/>
      <c r="Z632" s="96"/>
    </row>
    <row r="633" spans="1:26" ht="29" customHeight="1" x14ac:dyDescent="0.35">
      <c r="A633" s="12">
        <v>632</v>
      </c>
      <c r="B633" s="25" t="s">
        <v>2040</v>
      </c>
      <c r="C633" s="69" t="s">
        <v>2041</v>
      </c>
      <c r="D633" s="24" t="s">
        <v>109</v>
      </c>
      <c r="E633" s="14" t="str">
        <f>IF(MID(C633,15,1)="1","Laki-Laki","Perempuan")</f>
        <v>Perempuan</v>
      </c>
      <c r="F633" s="72" t="s">
        <v>1807</v>
      </c>
      <c r="G633" s="25" t="s">
        <v>1484</v>
      </c>
      <c r="H633" s="19" t="s">
        <v>2042</v>
      </c>
      <c r="I633" s="19" t="s">
        <v>1751</v>
      </c>
      <c r="J633" s="19" t="s">
        <v>26</v>
      </c>
      <c r="K633" s="19" t="s">
        <v>905</v>
      </c>
      <c r="L633" s="86" t="s">
        <v>60</v>
      </c>
      <c r="M633" s="15">
        <v>2022</v>
      </c>
      <c r="N633" s="15" t="s">
        <v>60</v>
      </c>
      <c r="O633" s="15">
        <v>2024</v>
      </c>
      <c r="P633" s="15">
        <v>2022</v>
      </c>
      <c r="Q633" s="15"/>
      <c r="R633" s="16" t="s">
        <v>29</v>
      </c>
      <c r="S633" s="16" t="str">
        <f ca="1">IF(
  O633 &lt; YEAR(TODAY()),
  "LULUS",
  IF(
    O633 = YEAR(TODAY()),
    IF(
      MATCH(L633, {"Januari";"Februari";"Maret";"April";"Mei";"Juni";"Juli";"Agustus";"September";"Oktober";"November";"Desember"}, 0)
        &gt;= MONTH(TODAY()),
      "AKTIF (Semester " &amp;
        (INT((12*(YEAR(TODAY())-M633) + MONTH(TODAY()) -
          MATCH(L633, {"Januari";"Februari";"Maret";"April";"Mei";"Juni";"Juli";"Agustus";"September";"Oktober";"November";"Desember"}, 0)) / 6) + 1) &amp; ")",
      "LULUS"
    ),
    "AKTIF (Semester " &amp;
      (INT((12*(YEAR(TODAY())-M633) + MONTH(TODAY()) -
        MATCH(L633, {"Januari";"Februari";"Maret";"April";"Mei";"Juni";"Juli";"Agustus";"September";"Oktober";"November";"Desember"}, 0)) / 6) + 1) &amp; ")"
  )
)</f>
        <v>LULUS</v>
      </c>
      <c r="T633" s="16" t="str">
        <f ca="1">IF(O633 &lt; YEAR(TODAY()), "LULUS",
 IF(O633 = YEAR(TODAY()),
    IF(MATCH(N633, {"Januari";"Februari";"Maret";"April";"Mei";"Juni";"Juli";"Agustus";"September";"Oktober";"November";"Desember"},0)
        &lt;= MONTH(TODAY()),
        "LULUS",
        "AKTIF"),
 "AKTIF"))</f>
        <v>LULUS</v>
      </c>
      <c r="U633" s="16" t="s">
        <v>29</v>
      </c>
      <c r="V633" s="15"/>
      <c r="W633" s="15"/>
      <c r="X633" s="15"/>
      <c r="Y633" s="15"/>
      <c r="Z633" s="15"/>
    </row>
    <row r="634" spans="1:26" ht="29" customHeight="1" x14ac:dyDescent="0.35">
      <c r="A634" s="12">
        <v>633</v>
      </c>
      <c r="B634" s="25" t="s">
        <v>2043</v>
      </c>
      <c r="C634" s="69" t="s">
        <v>2044</v>
      </c>
      <c r="D634" s="24" t="s">
        <v>370</v>
      </c>
      <c r="E634" s="14" t="str">
        <f>IF(MID(C634,15,1)="1","Laki-Laki","Perempuan")</f>
        <v>Perempuan</v>
      </c>
      <c r="F634" s="72" t="s">
        <v>1807</v>
      </c>
      <c r="G634" s="25" t="s">
        <v>1484</v>
      </c>
      <c r="H634" s="19" t="s">
        <v>2042</v>
      </c>
      <c r="I634" s="19" t="s">
        <v>1751</v>
      </c>
      <c r="J634" s="19" t="s">
        <v>26</v>
      </c>
      <c r="K634" s="19" t="s">
        <v>905</v>
      </c>
      <c r="L634" s="86" t="s">
        <v>60</v>
      </c>
      <c r="M634" s="15">
        <v>2022</v>
      </c>
      <c r="N634" s="15" t="s">
        <v>60</v>
      </c>
      <c r="O634" s="15">
        <v>2024</v>
      </c>
      <c r="P634" s="15">
        <v>2022</v>
      </c>
      <c r="Q634" s="15"/>
      <c r="R634" s="16" t="s">
        <v>29</v>
      </c>
      <c r="S634" s="16" t="str">
        <f ca="1">IF(
  O634 &lt; YEAR(TODAY()),
  "LULUS",
  IF(
    O634 = YEAR(TODAY()),
    IF(
      MATCH(L634, {"Januari";"Februari";"Maret";"April";"Mei";"Juni";"Juli";"Agustus";"September";"Oktober";"November";"Desember"}, 0)
        &gt;= MONTH(TODAY()),
      "AKTIF (Semester " &amp;
        (INT((12*(YEAR(TODAY())-M634) + MONTH(TODAY()) -
          MATCH(L634, {"Januari";"Februari";"Maret";"April";"Mei";"Juni";"Juli";"Agustus";"September";"Oktober";"November";"Desember"}, 0)) / 6) + 1) &amp; ")",
      "LULUS"
    ),
    "AKTIF (Semester " &amp;
      (INT((12*(YEAR(TODAY())-M634) + MONTH(TODAY()) -
        MATCH(L634, {"Januari";"Februari";"Maret";"April";"Mei";"Juni";"Juli";"Agustus";"September";"Oktober";"November";"Desember"}, 0)) / 6) + 1) &amp; ")"
  )
)</f>
        <v>LULUS</v>
      </c>
      <c r="T634" s="16" t="str">
        <f ca="1">IF(O634 &lt; YEAR(TODAY()), "LULUS",
 IF(O634 = YEAR(TODAY()),
    IF(MATCH(N634, {"Januari";"Februari";"Maret";"April";"Mei";"Juni";"Juli";"Agustus";"September";"Oktober";"November";"Desember"},0)
        &lt;= MONTH(TODAY()),
        "LULUS",
        "AKTIF"),
 "AKTIF"))</f>
        <v>LULUS</v>
      </c>
      <c r="U634" s="16" t="s">
        <v>29</v>
      </c>
      <c r="V634" s="15"/>
      <c r="W634" s="15"/>
      <c r="X634" s="15"/>
      <c r="Y634" s="15"/>
      <c r="Z634" s="15"/>
    </row>
    <row r="635" spans="1:26" ht="29" customHeight="1" x14ac:dyDescent="0.35">
      <c r="A635" s="12">
        <v>634</v>
      </c>
      <c r="B635" s="25" t="s">
        <v>2045</v>
      </c>
      <c r="C635" s="69" t="s">
        <v>2046</v>
      </c>
      <c r="D635" s="24" t="s">
        <v>104</v>
      </c>
      <c r="E635" s="14" t="str">
        <f>IF(MID(C635,15,1)="1","Laki-Laki","Perempuan")</f>
        <v>Laki-Laki</v>
      </c>
      <c r="F635" s="72" t="s">
        <v>1719</v>
      </c>
      <c r="G635" s="25" t="s">
        <v>1484</v>
      </c>
      <c r="H635" s="19" t="s">
        <v>1761</v>
      </c>
      <c r="I635" s="19" t="s">
        <v>90</v>
      </c>
      <c r="J635" s="19" t="s">
        <v>45</v>
      </c>
      <c r="K635" s="19" t="s">
        <v>905</v>
      </c>
      <c r="L635" s="86" t="s">
        <v>28</v>
      </c>
      <c r="M635" s="15">
        <v>2022</v>
      </c>
      <c r="N635" s="15" t="s">
        <v>28</v>
      </c>
      <c r="O635" s="15">
        <v>2026</v>
      </c>
      <c r="P635" s="15">
        <v>2022</v>
      </c>
      <c r="Q635" s="15"/>
      <c r="R635" s="16"/>
      <c r="S635" s="16" t="str">
        <f ca="1">IF(
  O635 &lt; YEAR(TODAY()),
  "LULUS",
  IF(
    O635 = YEAR(TODAY()),
    IF(
      MATCH(L635, {"Januari";"Februari";"Maret";"April";"Mei";"Juni";"Juli";"Agustus";"September";"Oktober";"November";"Desember"}, 0)
        &gt;= MONTH(TODAY()),
      "AKTIF (Semester " &amp;
        (INT((12*(YEAR(TODAY())-M635) + MONTH(TODAY()) -
          MATCH(L635, {"Januari";"Februari";"Maret";"April";"Mei";"Juni";"Juli";"Agustus";"September";"Oktober";"November";"Desember"}, 0)) / 6) + 1) &amp; ")",
      "LULUS"
    ),
    "AKTIF (Semester " &amp;
      (INT((12*(YEAR(TODAY())-M635) + MONTH(TODAY()) -
        MATCH(L635, {"Januari";"Februari";"Maret";"April";"Mei";"Juni";"Juli";"Agustus";"September";"Oktober";"November";"Desember"}, 0)) / 6) + 1) &amp; ")"
  )
)</f>
        <v>AKTIF (Semester 7)</v>
      </c>
      <c r="T635" s="16" t="str">
        <f ca="1">IF(O635 &lt; YEAR(TODAY()), "LULUS",
 IF(O635 = YEAR(TODAY()),
    IF(MATCH(N635, {"Januari";"Februari";"Maret";"April";"Mei";"Juni";"Juli";"Agustus";"September";"Oktober";"November";"Desember"},0)
        &lt;= MONTH(TODAY()),
        "LULUS",
        "AKTIF"),
 "AKTIF"))</f>
        <v>AKTIF</v>
      </c>
      <c r="U635" s="16" t="s">
        <v>2939</v>
      </c>
      <c r="V635" s="15"/>
      <c r="W635" s="15"/>
      <c r="X635" s="15"/>
      <c r="Y635" s="15"/>
      <c r="Z635" s="15"/>
    </row>
    <row r="636" spans="1:26" ht="29" customHeight="1" x14ac:dyDescent="0.35">
      <c r="A636" s="12">
        <v>635</v>
      </c>
      <c r="B636" s="25" t="s">
        <v>2047</v>
      </c>
      <c r="C636" s="72" t="s">
        <v>2048</v>
      </c>
      <c r="D636" s="24" t="s">
        <v>116</v>
      </c>
      <c r="E636" s="14" t="str">
        <f>IF(MID(C636,17,1)="1","Laki-Laki","Perempuan")</f>
        <v>Laki-Laki</v>
      </c>
      <c r="F636" s="72" t="s">
        <v>1657</v>
      </c>
      <c r="G636" s="25" t="s">
        <v>1484</v>
      </c>
      <c r="H636" s="19" t="s">
        <v>1761</v>
      </c>
      <c r="I636" s="19" t="s">
        <v>90</v>
      </c>
      <c r="J636" s="19" t="s">
        <v>45</v>
      </c>
      <c r="K636" s="19" t="s">
        <v>905</v>
      </c>
      <c r="L636" s="86" t="s">
        <v>28</v>
      </c>
      <c r="M636" s="15">
        <v>2022</v>
      </c>
      <c r="N636" s="15" t="s">
        <v>28</v>
      </c>
      <c r="O636" s="15">
        <v>2026</v>
      </c>
      <c r="P636" s="15">
        <v>2022</v>
      </c>
      <c r="Q636" s="15"/>
      <c r="R636" s="16"/>
      <c r="S636" s="16" t="str">
        <f ca="1">IF(
  O636 &lt; YEAR(TODAY()),
  "LULUS",
  IF(
    O636 = YEAR(TODAY()),
    IF(
      MATCH(L636, {"Januari";"Februari";"Maret";"April";"Mei";"Juni";"Juli";"Agustus";"September";"Oktober";"November";"Desember"}, 0)
        &gt;= MONTH(TODAY()),
      "AKTIF (Semester " &amp;
        (INT((12*(YEAR(TODAY())-M636) + MONTH(TODAY()) -
          MATCH(L636, {"Januari";"Februari";"Maret";"April";"Mei";"Juni";"Juli";"Agustus";"September";"Oktober";"November";"Desember"}, 0)) / 6) + 1) &amp; ")",
      "LULUS"
    ),
    "AKTIF (Semester " &amp;
      (INT((12*(YEAR(TODAY())-M636) + MONTH(TODAY()) -
        MATCH(L636, {"Januari";"Februari";"Maret";"April";"Mei";"Juni";"Juli";"Agustus";"September";"Oktober";"November";"Desember"}, 0)) / 6) + 1) &amp; ")"
  )
)</f>
        <v>AKTIF (Semester 7)</v>
      </c>
      <c r="T636" s="16" t="str">
        <f ca="1">IF(O636 &lt; YEAR(TODAY()), "LULUS",
 IF(O636 = YEAR(TODAY()),
    IF(MATCH(N636, {"Januari";"Februari";"Maret";"April";"Mei";"Juni";"Juli";"Agustus";"September";"Oktober";"November";"Desember"},0)
        &lt;= MONTH(TODAY()),
        "LULUS",
        "AKTIF"),
 "AKTIF"))</f>
        <v>AKTIF</v>
      </c>
      <c r="U636" s="16" t="s">
        <v>2939</v>
      </c>
      <c r="V636" s="15"/>
      <c r="W636" s="15"/>
      <c r="X636" s="15"/>
      <c r="Y636" s="15"/>
      <c r="Z636" s="15"/>
    </row>
    <row r="637" spans="1:26" ht="29" customHeight="1" x14ac:dyDescent="0.35">
      <c r="A637" s="12">
        <v>636</v>
      </c>
      <c r="B637" s="25" t="s">
        <v>2049</v>
      </c>
      <c r="C637" s="69" t="s">
        <v>2050</v>
      </c>
      <c r="D637" s="24" t="s">
        <v>104</v>
      </c>
      <c r="E637" s="14" t="str">
        <f>IF(MID(C637,15,1)="1","Laki-Laki","Perempuan")</f>
        <v>Perempuan</v>
      </c>
      <c r="F637" s="72" t="s">
        <v>1719</v>
      </c>
      <c r="G637" s="25" t="s">
        <v>1484</v>
      </c>
      <c r="H637" s="19" t="s">
        <v>1761</v>
      </c>
      <c r="I637" s="19" t="s">
        <v>485</v>
      </c>
      <c r="J637" s="19" t="s">
        <v>45</v>
      </c>
      <c r="K637" s="19" t="s">
        <v>295</v>
      </c>
      <c r="L637" s="86" t="s">
        <v>60</v>
      </c>
      <c r="M637" s="15">
        <v>2022</v>
      </c>
      <c r="N637" s="15" t="s">
        <v>60</v>
      </c>
      <c r="O637" s="15">
        <v>2026</v>
      </c>
      <c r="P637" s="15">
        <v>2022</v>
      </c>
      <c r="Q637" s="15"/>
      <c r="R637" s="16"/>
      <c r="S637" s="16" t="str">
        <f ca="1">IF(
  O637 &lt; YEAR(TODAY()),
  "LULUS",
  IF(
    O637 = YEAR(TODAY()),
    IF(
      MATCH(L637, {"Januari";"Februari";"Maret";"April";"Mei";"Juni";"Juli";"Agustus";"September";"Oktober";"November";"Desember"}, 0)
        &gt;= MONTH(TODAY()),
      "AKTIF (Semester " &amp;
        (INT((12*(YEAR(TODAY())-M637) + MONTH(TODAY()) -
          MATCH(L637, {"Januari";"Februari";"Maret";"April";"Mei";"Juni";"Juli";"Agustus";"September";"Oktober";"November";"Desember"}, 0)) / 6) + 1) &amp; ")",
      "LULUS"
    ),
    "AKTIF (Semester " &amp;
      (INT((12*(YEAR(TODAY())-M637) + MONTH(TODAY()) -
        MATCH(L637, {"Januari";"Februari";"Maret";"April";"Mei";"Juni";"Juli";"Agustus";"September";"Oktober";"November";"Desember"}, 0)) / 6) + 1) &amp; ")"
  )
)</f>
        <v>AKTIF (Semester 7)</v>
      </c>
      <c r="T637" s="16" t="str">
        <f ca="1">IF(O637 &lt; YEAR(TODAY()), "LULUS",
 IF(O637 = YEAR(TODAY()),
    IF(MATCH(N637, {"Januari";"Februari";"Maret";"April";"Mei";"Juni";"Juli";"Agustus";"September";"Oktober";"November";"Desember"},0)
        &lt;= MONTH(TODAY()),
        "LULUS",
        "AKTIF"),
 "AKTIF"))</f>
        <v>AKTIF</v>
      </c>
      <c r="U637" s="16" t="s">
        <v>2939</v>
      </c>
      <c r="V637" s="15"/>
      <c r="W637" s="15"/>
      <c r="X637" s="15"/>
      <c r="Y637" s="15"/>
      <c r="Z637" s="15"/>
    </row>
    <row r="638" spans="1:26" ht="29" customHeight="1" x14ac:dyDescent="0.35">
      <c r="A638" s="12">
        <v>637</v>
      </c>
      <c r="B638" s="25" t="s">
        <v>2051</v>
      </c>
      <c r="C638" s="69" t="s">
        <v>2052</v>
      </c>
      <c r="D638" s="24" t="s">
        <v>98</v>
      </c>
      <c r="E638" s="14" t="str">
        <f>IF(MID(C638,15,1)="1","Laki-Laki","Perempuan")</f>
        <v>Laki-Laki</v>
      </c>
      <c r="F638" s="72" t="s">
        <v>88</v>
      </c>
      <c r="G638" s="25" t="s">
        <v>1484</v>
      </c>
      <c r="H638" s="19" t="s">
        <v>2053</v>
      </c>
      <c r="I638" s="134" t="s">
        <v>56</v>
      </c>
      <c r="J638" s="32" t="s">
        <v>2474</v>
      </c>
      <c r="K638" s="19" t="s">
        <v>82</v>
      </c>
      <c r="L638" s="86" t="s">
        <v>60</v>
      </c>
      <c r="M638" s="15">
        <v>2022</v>
      </c>
      <c r="N638" s="15" t="s">
        <v>60</v>
      </c>
      <c r="O638" s="15">
        <v>2026</v>
      </c>
      <c r="P638" s="15">
        <v>2022</v>
      </c>
      <c r="Q638" s="15"/>
      <c r="R638" s="16"/>
      <c r="S638" s="16" t="str">
        <f ca="1">IF(
  O638 &lt; YEAR(TODAY()),
  "LULUS",
  IF(
    O638 = YEAR(TODAY()),
    IF(
      MATCH(L638, {"Januari";"Februari";"Maret";"April";"Mei";"Juni";"Juli";"Agustus";"September";"Oktober";"November";"Desember"}, 0)
        &gt;= MONTH(TODAY()),
      "AKTIF (Semester " &amp;
        (INT((12*(YEAR(TODAY())-M638) + MONTH(TODAY()) -
          MATCH(L638, {"Januari";"Februari";"Maret";"April";"Mei";"Juni";"Juli";"Agustus";"September";"Oktober";"November";"Desember"}, 0)) / 6) + 1) &amp; ")",
      "LULUS"
    ),
    "AKTIF (Semester " &amp;
      (INT((12*(YEAR(TODAY())-M638) + MONTH(TODAY()) -
        MATCH(L638, {"Januari";"Februari";"Maret";"April";"Mei";"Juni";"Juli";"Agustus";"September";"Oktober";"November";"Desember"}, 0)) / 6) + 1) &amp; ")"
  )
)</f>
        <v>AKTIF (Semester 7)</v>
      </c>
      <c r="T638" s="16" t="str">
        <f ca="1">IF(O638 &lt; YEAR(TODAY()), "LULUS",
 IF(O638 = YEAR(TODAY()),
    IF(MATCH(N638, {"Januari";"Februari";"Maret";"April";"Mei";"Juni";"Juli";"Agustus";"September";"Oktober";"November";"Desember"},0)
        &lt;= MONTH(TODAY()),
        "LULUS",
        "AKTIF"),
 "AKTIF"))</f>
        <v>AKTIF</v>
      </c>
      <c r="U638" s="16" t="s">
        <v>2939</v>
      </c>
      <c r="V638" s="15"/>
      <c r="W638" s="15"/>
      <c r="X638" s="15"/>
      <c r="Y638" s="15"/>
      <c r="Z638" s="15"/>
    </row>
    <row r="639" spans="1:26" ht="29" customHeight="1" x14ac:dyDescent="0.35">
      <c r="A639" s="12">
        <v>638</v>
      </c>
      <c r="B639" s="25" t="s">
        <v>2054</v>
      </c>
      <c r="C639" s="69" t="s">
        <v>2055</v>
      </c>
      <c r="D639" s="24" t="s">
        <v>126</v>
      </c>
      <c r="E639" s="14" t="str">
        <f>IF(MID(C639,15,1)="1","Laki-Laki","Perempuan")</f>
        <v>Laki-Laki</v>
      </c>
      <c r="F639" s="72" t="s">
        <v>2056</v>
      </c>
      <c r="G639" s="25" t="s">
        <v>1484</v>
      </c>
      <c r="H639" s="19" t="s">
        <v>1870</v>
      </c>
      <c r="I639" s="19" t="s">
        <v>911</v>
      </c>
      <c r="J639" s="19" t="s">
        <v>26</v>
      </c>
      <c r="K639" s="19" t="s">
        <v>221</v>
      </c>
      <c r="L639" s="86" t="s">
        <v>28</v>
      </c>
      <c r="M639" s="15">
        <v>2022</v>
      </c>
      <c r="N639" s="15" t="s">
        <v>28</v>
      </c>
      <c r="O639" s="15">
        <v>2024</v>
      </c>
      <c r="P639" s="15">
        <v>2022</v>
      </c>
      <c r="Q639" s="15"/>
      <c r="R639" s="16"/>
      <c r="S639" s="16" t="str">
        <f ca="1">IF(
  O639 &lt; YEAR(TODAY()),
  "LULUS",
  IF(
    O639 = YEAR(TODAY()),
    IF(
      MATCH(L639, {"Januari";"Februari";"Maret";"April";"Mei";"Juni";"Juli";"Agustus";"September";"Oktober";"November";"Desember"}, 0)
        &gt;= MONTH(TODAY()),
      "AKTIF (Semester " &amp;
        (INT((12*(YEAR(TODAY())-M639) + MONTH(TODAY()) -
          MATCH(L639, {"Januari";"Februari";"Maret";"April";"Mei";"Juni";"Juli";"Agustus";"September";"Oktober";"November";"Desember"}, 0)) / 6) + 1) &amp; ")",
      "LULUS"
    ),
    "AKTIF (Semester " &amp;
      (INT((12*(YEAR(TODAY())-M639) + MONTH(TODAY()) -
        MATCH(L639, {"Januari";"Februari";"Maret";"April";"Mei";"Juni";"Juli";"Agustus";"September";"Oktober";"November";"Desember"}, 0)) / 6) + 1) &amp; ")"
  )
)</f>
        <v>LULUS</v>
      </c>
      <c r="T639" s="16" t="str">
        <f ca="1">IF(O639 &lt; YEAR(TODAY()), "LULUS",
 IF(O639 = YEAR(TODAY()),
    IF(MATCH(N639, {"Januari";"Februari";"Maret";"April";"Mei";"Juni";"Juli";"Agustus";"September";"Oktober";"November";"Desember"},0)
        &lt;= MONTH(TODAY()),
        "LULUS",
        "AKTIF"),
 "AKTIF"))</f>
        <v>LULUS</v>
      </c>
      <c r="U639" s="16" t="s">
        <v>29</v>
      </c>
      <c r="V639" s="15"/>
      <c r="W639" s="15"/>
      <c r="X639" s="15"/>
      <c r="Y639" s="15"/>
      <c r="Z639" s="15"/>
    </row>
    <row r="640" spans="1:26" ht="29" customHeight="1" x14ac:dyDescent="0.35">
      <c r="A640" s="12">
        <v>639</v>
      </c>
      <c r="B640" s="73" t="s">
        <v>2840</v>
      </c>
      <c r="C640" s="72" t="s">
        <v>2057</v>
      </c>
      <c r="D640" s="24" t="s">
        <v>116</v>
      </c>
      <c r="E640" s="14" t="str">
        <f>IF(MID(C640,17,1)="1","Laki-Laki","Perempuan")</f>
        <v>Perempuan</v>
      </c>
      <c r="F640" s="72" t="s">
        <v>142</v>
      </c>
      <c r="G640" s="25" t="s">
        <v>1484</v>
      </c>
      <c r="H640" s="19" t="s">
        <v>1514</v>
      </c>
      <c r="I640" s="19" t="s">
        <v>90</v>
      </c>
      <c r="J640" s="19" t="s">
        <v>45</v>
      </c>
      <c r="K640" s="19" t="s">
        <v>46</v>
      </c>
      <c r="L640" s="86" t="s">
        <v>169</v>
      </c>
      <c r="M640" s="15">
        <v>2022</v>
      </c>
      <c r="N640" s="15" t="s">
        <v>169</v>
      </c>
      <c r="O640" s="15">
        <v>2026</v>
      </c>
      <c r="P640" s="15">
        <v>2022</v>
      </c>
      <c r="Q640" s="15"/>
      <c r="R640" s="16"/>
      <c r="S640" s="16" t="str">
        <f ca="1">IF(
  O640 &lt; YEAR(TODAY()),
  "LULUS",
  IF(
    O640 = YEAR(TODAY()),
    IF(
      MATCH(L640, {"Januari";"Februari";"Maret";"April";"Mei";"Juni";"Juli";"Agustus";"September";"Oktober";"November";"Desember"}, 0)
        &gt;= MONTH(TODAY()),
      "AKTIF (Semester " &amp;
        (INT((12*(YEAR(TODAY())-M640) + MONTH(TODAY()) -
          MATCH(L640, {"Januari";"Februari";"Maret";"April";"Mei";"Juni";"Juli";"Agustus";"September";"Oktober";"November";"Desember"}, 0)) / 6) + 1) &amp; ")",
      "LULUS"
    ),
    "AKTIF (Semester " &amp;
      (INT((12*(YEAR(TODAY())-M640) + MONTH(TODAY()) -
        MATCH(L640, {"Januari";"Februari";"Maret";"April";"Mei";"Juni";"Juli";"Agustus";"September";"Oktober";"November";"Desember"}, 0)) / 6) + 1) &amp; ")"
  )
)</f>
        <v>AKTIF (Semester 7)</v>
      </c>
      <c r="T640" s="16" t="str">
        <f ca="1">IF(O640 &lt; YEAR(TODAY()), "LULUS",
 IF(O640 = YEAR(TODAY()),
    IF(MATCH(N640, {"Januari";"Februari";"Maret";"April";"Mei";"Juni";"Juli";"Agustus";"September";"Oktober";"November";"Desember"},0)
        &lt;= MONTH(TODAY()),
        "LULUS",
        "AKTIF"),
 "AKTIF"))</f>
        <v>AKTIF</v>
      </c>
      <c r="U640" s="16" t="s">
        <v>2939</v>
      </c>
      <c r="V640" s="15"/>
      <c r="W640" s="15"/>
      <c r="X640" s="15"/>
      <c r="Y640" s="15"/>
      <c r="Z640" s="15"/>
    </row>
    <row r="641" spans="1:26" ht="29" customHeight="1" x14ac:dyDescent="0.35">
      <c r="A641" s="12">
        <v>640</v>
      </c>
      <c r="B641" s="25" t="s">
        <v>2058</v>
      </c>
      <c r="C641" s="69" t="s">
        <v>2059</v>
      </c>
      <c r="D641" s="24" t="s">
        <v>471</v>
      </c>
      <c r="E641" s="14" t="str">
        <f t="shared" ref="E641:E704" si="13">IF(MID(C641,15,1)="1","Laki-Laki","Perempuan")</f>
        <v>Laki-Laki</v>
      </c>
      <c r="F641" s="72" t="s">
        <v>1791</v>
      </c>
      <c r="G641" s="25" t="s">
        <v>1484</v>
      </c>
      <c r="H641" s="19" t="s">
        <v>1761</v>
      </c>
      <c r="I641" s="19" t="s">
        <v>466</v>
      </c>
      <c r="J641" s="19" t="s">
        <v>26</v>
      </c>
      <c r="K641" s="19" t="s">
        <v>449</v>
      </c>
      <c r="L641" s="86" t="s">
        <v>28</v>
      </c>
      <c r="M641" s="15">
        <v>2022</v>
      </c>
      <c r="N641" s="15" t="s">
        <v>28</v>
      </c>
      <c r="O641" s="15">
        <v>2023</v>
      </c>
      <c r="P641" s="15">
        <v>2022</v>
      </c>
      <c r="Q641" s="15"/>
      <c r="R641" s="16" t="s">
        <v>29</v>
      </c>
      <c r="S641" s="16" t="str">
        <f ca="1">IF(
  O641 &lt; YEAR(TODAY()),
  "LULUS",
  IF(
    O641 = YEAR(TODAY()),
    IF(
      MATCH(L641, {"Januari";"Februari";"Maret";"April";"Mei";"Juni";"Juli";"Agustus";"September";"Oktober";"November";"Desember"}, 0)
        &gt;= MONTH(TODAY()),
      "AKTIF (Semester " &amp;
        (INT((12*(YEAR(TODAY())-M641) + MONTH(TODAY()) -
          MATCH(L641, {"Januari";"Februari";"Maret";"April";"Mei";"Juni";"Juli";"Agustus";"September";"Oktober";"November";"Desember"}, 0)) / 6) + 1) &amp; ")",
      "LULUS"
    ),
    "AKTIF (Semester " &amp;
      (INT((12*(YEAR(TODAY())-M641) + MONTH(TODAY()) -
        MATCH(L641, {"Januari";"Februari";"Maret";"April";"Mei";"Juni";"Juli";"Agustus";"September";"Oktober";"November";"Desember"}, 0)) / 6) + 1) &amp; ")"
  )
)</f>
        <v>LULUS</v>
      </c>
      <c r="T641" s="16" t="str">
        <f ca="1">IF(O641 &lt; YEAR(TODAY()), "LULUS",
 IF(O641 = YEAR(TODAY()),
    IF(MATCH(N641, {"Januari";"Februari";"Maret";"April";"Mei";"Juni";"Juli";"Agustus";"September";"Oktober";"November";"Desember"},0)
        &lt;= MONTH(TODAY()),
        "LULUS",
        "AKTIF"),
 "AKTIF"))</f>
        <v>LULUS</v>
      </c>
      <c r="U641" s="16" t="s">
        <v>29</v>
      </c>
      <c r="V641" s="15"/>
      <c r="W641" s="15"/>
      <c r="X641" s="15"/>
      <c r="Y641" s="15"/>
      <c r="Z641" s="15"/>
    </row>
    <row r="642" spans="1:26" ht="29" customHeight="1" x14ac:dyDescent="0.35">
      <c r="A642" s="12">
        <v>641</v>
      </c>
      <c r="B642" s="25" t="s">
        <v>2060</v>
      </c>
      <c r="C642" s="69" t="s">
        <v>2061</v>
      </c>
      <c r="D642" s="24" t="s">
        <v>471</v>
      </c>
      <c r="E642" s="14" t="str">
        <f t="shared" si="13"/>
        <v>Perempuan</v>
      </c>
      <c r="F642" s="72" t="s">
        <v>1791</v>
      </c>
      <c r="G642" s="25" t="s">
        <v>1484</v>
      </c>
      <c r="H642" s="19" t="s">
        <v>1761</v>
      </c>
      <c r="I642" s="19" t="s">
        <v>466</v>
      </c>
      <c r="J642" s="19" t="s">
        <v>26</v>
      </c>
      <c r="K642" s="19" t="s">
        <v>449</v>
      </c>
      <c r="L642" s="86" t="s">
        <v>28</v>
      </c>
      <c r="M642" s="15">
        <v>2022</v>
      </c>
      <c r="N642" s="15" t="s">
        <v>28</v>
      </c>
      <c r="O642" s="15">
        <v>2024</v>
      </c>
      <c r="P642" s="15">
        <v>2022</v>
      </c>
      <c r="Q642" s="15"/>
      <c r="R642" s="16" t="s">
        <v>29</v>
      </c>
      <c r="S642" s="16" t="str">
        <f ca="1">IF(
  O642 &lt; YEAR(TODAY()),
  "LULUS",
  IF(
    O642 = YEAR(TODAY()),
    IF(
      MATCH(L642, {"Januari";"Februari";"Maret";"April";"Mei";"Juni";"Juli";"Agustus";"September";"Oktober";"November";"Desember"}, 0)
        &gt;= MONTH(TODAY()),
      "AKTIF (Semester " &amp;
        (INT((12*(YEAR(TODAY())-M642) + MONTH(TODAY()) -
          MATCH(L642, {"Januari";"Februari";"Maret";"April";"Mei";"Juni";"Juli";"Agustus";"September";"Oktober";"November";"Desember"}, 0)) / 6) + 1) &amp; ")",
      "LULUS"
    ),
    "AKTIF (Semester " &amp;
      (INT((12*(YEAR(TODAY())-M642) + MONTH(TODAY()) -
        MATCH(L642, {"Januari";"Februari";"Maret";"April";"Mei";"Juni";"Juli";"Agustus";"September";"Oktober";"November";"Desember"}, 0)) / 6) + 1) &amp; ")"
  )
)</f>
        <v>LULUS</v>
      </c>
      <c r="T642" s="16" t="str">
        <f ca="1">IF(O642 &lt; YEAR(TODAY()), "LULUS",
 IF(O642 = YEAR(TODAY()),
    IF(MATCH(N642, {"Januari";"Februari";"Maret";"April";"Mei";"Juni";"Juli";"Agustus";"September";"Oktober";"November";"Desember"},0)
        &lt;= MONTH(TODAY()),
        "LULUS",
        "AKTIF"),
 "AKTIF"))</f>
        <v>LULUS</v>
      </c>
      <c r="U642" s="16" t="s">
        <v>29</v>
      </c>
      <c r="V642" s="15"/>
      <c r="W642" s="15"/>
      <c r="X642" s="15"/>
      <c r="Y642" s="15"/>
      <c r="Z642" s="15"/>
    </row>
    <row r="643" spans="1:26" ht="29" customHeight="1" x14ac:dyDescent="0.35">
      <c r="A643" s="12">
        <v>642</v>
      </c>
      <c r="B643" s="25" t="s">
        <v>2062</v>
      </c>
      <c r="C643" s="69" t="s">
        <v>2063</v>
      </c>
      <c r="D643" s="24" t="s">
        <v>104</v>
      </c>
      <c r="E643" s="14" t="str">
        <f t="shared" si="13"/>
        <v>Laki-Laki</v>
      </c>
      <c r="F643" s="72" t="s">
        <v>2064</v>
      </c>
      <c r="G643" s="25" t="s">
        <v>1484</v>
      </c>
      <c r="H643" s="19" t="s">
        <v>2065</v>
      </c>
      <c r="I643" s="19" t="s">
        <v>90</v>
      </c>
      <c r="J643" s="19" t="s">
        <v>45</v>
      </c>
      <c r="K643" s="19" t="s">
        <v>2066</v>
      </c>
      <c r="L643" s="86" t="s">
        <v>28</v>
      </c>
      <c r="M643" s="15">
        <v>2022</v>
      </c>
      <c r="N643" s="15" t="s">
        <v>28</v>
      </c>
      <c r="O643" s="15">
        <v>2026</v>
      </c>
      <c r="P643" s="15">
        <v>2022</v>
      </c>
      <c r="Q643" s="15"/>
      <c r="R643" s="16" t="s">
        <v>51</v>
      </c>
      <c r="S643" s="16" t="str">
        <f ca="1">IF(
  O643 &lt; YEAR(TODAY()),
  "LULUS",
  IF(
    O643 = YEAR(TODAY()),
    IF(
      MATCH(L643, {"Januari";"Februari";"Maret";"April";"Mei";"Juni";"Juli";"Agustus";"September";"Oktober";"November";"Desember"}, 0)
        &gt;= MONTH(TODAY()),
      "AKTIF (Semester " &amp;
        (INT((12*(YEAR(TODAY())-M643) + MONTH(TODAY()) -
          MATCH(L643, {"Januari";"Februari";"Maret";"April";"Mei";"Juni";"Juli";"Agustus";"September";"Oktober";"November";"Desember"}, 0)) / 6) + 1) &amp; ")",
      "LULUS"
    ),
    "AKTIF (Semester " &amp;
      (INT((12*(YEAR(TODAY())-M643) + MONTH(TODAY()) -
        MATCH(L643, {"Januari";"Februari";"Maret";"April";"Mei";"Juni";"Juli";"Agustus";"September";"Oktober";"November";"Desember"}, 0)) / 6) + 1) &amp; ")"
  )
)</f>
        <v>AKTIF (Semester 7)</v>
      </c>
      <c r="T643" s="16" t="str">
        <f ca="1">IF(O643 &lt; YEAR(TODAY()), "LULUS",
 IF(O643 = YEAR(TODAY()),
    IF(MATCH(N643, {"Januari";"Februari";"Maret";"April";"Mei";"Juni";"Juli";"Agustus";"September";"Oktober";"November";"Desember"},0)
        &lt;= MONTH(TODAY()),
        "LULUS",
        "AKTIF"),
 "AKTIF"))</f>
        <v>AKTIF</v>
      </c>
      <c r="U643" s="16" t="s">
        <v>2939</v>
      </c>
      <c r="V643" s="15"/>
      <c r="W643" s="15"/>
      <c r="X643" s="15"/>
      <c r="Y643" s="15"/>
      <c r="Z643" s="15"/>
    </row>
    <row r="644" spans="1:26" ht="29" customHeight="1" x14ac:dyDescent="0.35">
      <c r="A644" s="12">
        <v>643</v>
      </c>
      <c r="B644" s="25" t="s">
        <v>2067</v>
      </c>
      <c r="C644" s="69" t="s">
        <v>2068</v>
      </c>
      <c r="D644" s="24" t="s">
        <v>104</v>
      </c>
      <c r="E644" s="14" t="str">
        <f t="shared" si="13"/>
        <v>Laki-Laki</v>
      </c>
      <c r="F644" s="72" t="s">
        <v>88</v>
      </c>
      <c r="G644" s="25" t="s">
        <v>1484</v>
      </c>
      <c r="H644" s="19" t="s">
        <v>2069</v>
      </c>
      <c r="I644" s="19" t="s">
        <v>90</v>
      </c>
      <c r="J644" s="19" t="s">
        <v>45</v>
      </c>
      <c r="K644" s="19" t="s">
        <v>46</v>
      </c>
      <c r="L644" s="86" t="s">
        <v>28</v>
      </c>
      <c r="M644" s="15">
        <v>2022</v>
      </c>
      <c r="N644" s="15" t="s">
        <v>28</v>
      </c>
      <c r="O644" s="15"/>
      <c r="P644" s="15">
        <v>2022</v>
      </c>
      <c r="Q644" s="15"/>
      <c r="R644" s="16"/>
      <c r="S644" s="16" t="str">
        <f ca="1">IF(
  O644 &lt; YEAR(TODAY()),
  "LULUS",
  IF(
    O644 = YEAR(TODAY()),
    IF(
      MATCH(L644, {"Januari";"Februari";"Maret";"April";"Mei";"Juni";"Juli";"Agustus";"September";"Oktober";"November";"Desember"}, 0)
        &gt;= MONTH(TODAY()),
      "AKTIF (Semester " &amp;
        (INT((12*(YEAR(TODAY())-M644) + MONTH(TODAY()) -
          MATCH(L644, {"Januari";"Februari";"Maret";"April";"Mei";"Juni";"Juli";"Agustus";"September";"Oktober";"November";"Desember"}, 0)) / 6) + 1) &amp; ")",
      "LULUS"
    ),
    "AKTIF (Semester " &amp;
      (INT((12*(YEAR(TODAY())-M644) + MONTH(TODAY()) -
        MATCH(L644, {"Januari";"Februari";"Maret";"April";"Mei";"Juni";"Juli";"Agustus";"September";"Oktober";"November";"Desember"}, 0)) / 6) + 1) &amp; ")"
  )
)</f>
        <v>LULUS</v>
      </c>
      <c r="T644" s="16" t="str">
        <f ca="1">IF(O644 &lt; YEAR(TODAY()), "LULUS",
 IF(O644 = YEAR(TODAY()),
    IF(MATCH(N644, {"Januari";"Februari";"Maret";"April";"Mei";"Juni";"Juli";"Agustus";"September";"Oktober";"November";"Desember"},0)
        &lt;= MONTH(TODAY()),
        "LULUS",
        "AKTIF"),
 "AKTIF"))</f>
        <v>LULUS</v>
      </c>
      <c r="U644" s="16" t="s">
        <v>29</v>
      </c>
      <c r="V644" s="15"/>
      <c r="W644" s="15"/>
      <c r="X644" s="15"/>
      <c r="Y644" s="15"/>
      <c r="Z644" s="15"/>
    </row>
    <row r="645" spans="1:26" ht="29" customHeight="1" x14ac:dyDescent="0.35">
      <c r="A645" s="12">
        <v>644</v>
      </c>
      <c r="B645" s="25" t="s">
        <v>2070</v>
      </c>
      <c r="C645" s="69" t="s">
        <v>2071</v>
      </c>
      <c r="D645" s="24" t="s">
        <v>116</v>
      </c>
      <c r="E645" s="14" t="str">
        <f t="shared" si="13"/>
        <v>Laki-Laki</v>
      </c>
      <c r="F645" s="72" t="s">
        <v>1730</v>
      </c>
      <c r="G645" s="25" t="s">
        <v>1484</v>
      </c>
      <c r="H645" s="19" t="s">
        <v>1761</v>
      </c>
      <c r="I645" s="90" t="s">
        <v>1621</v>
      </c>
      <c r="J645" s="19" t="s">
        <v>45</v>
      </c>
      <c r="K645" s="19" t="s">
        <v>2073</v>
      </c>
      <c r="L645" s="86" t="s">
        <v>28</v>
      </c>
      <c r="M645" s="15">
        <v>2022</v>
      </c>
      <c r="N645" s="15" t="s">
        <v>28</v>
      </c>
      <c r="O645" s="15">
        <v>2026</v>
      </c>
      <c r="P645" s="15">
        <v>2022</v>
      </c>
      <c r="Q645" s="15"/>
      <c r="R645" s="16"/>
      <c r="S645" s="16" t="str">
        <f ca="1">IF(
  O645 &lt; YEAR(TODAY()),
  "LULUS",
  IF(
    O645 = YEAR(TODAY()),
    IF(
      MATCH(L645, {"Januari";"Februari";"Maret";"April";"Mei";"Juni";"Juli";"Agustus";"September";"Oktober";"November";"Desember"}, 0)
        &gt;= MONTH(TODAY()),
      "AKTIF (Semester " &amp;
        (INT((12*(YEAR(TODAY())-M645) + MONTH(TODAY()) -
          MATCH(L645, {"Januari";"Februari";"Maret";"April";"Mei";"Juni";"Juli";"Agustus";"September";"Oktober";"November";"Desember"}, 0)) / 6) + 1) &amp; ")",
      "LULUS"
    ),
    "AKTIF (Semester " &amp;
      (INT((12*(YEAR(TODAY())-M645) + MONTH(TODAY()) -
        MATCH(L645, {"Januari";"Februari";"Maret";"April";"Mei";"Juni";"Juli";"Agustus";"September";"Oktober";"November";"Desember"}, 0)) / 6) + 1) &amp; ")"
  )
)</f>
        <v>AKTIF (Semester 7)</v>
      </c>
      <c r="T645" s="16" t="str">
        <f ca="1">IF(O645 &lt; YEAR(TODAY()), "LULUS",
 IF(O645 = YEAR(TODAY()),
    IF(MATCH(N645, {"Januari";"Februari";"Maret";"April";"Mei";"Juni";"Juli";"Agustus";"September";"Oktober";"November";"Desember"},0)
        &lt;= MONTH(TODAY()),
        "LULUS",
        "AKTIF"),
 "AKTIF"))</f>
        <v>AKTIF</v>
      </c>
      <c r="U645" s="16" t="s">
        <v>2939</v>
      </c>
      <c r="V645" s="15"/>
      <c r="W645" s="15"/>
      <c r="X645" s="15"/>
      <c r="Y645" s="15"/>
      <c r="Z645" s="15"/>
    </row>
    <row r="646" spans="1:26" ht="29" customHeight="1" x14ac:dyDescent="0.35">
      <c r="A646" s="12">
        <v>645</v>
      </c>
      <c r="B646" s="25" t="s">
        <v>2074</v>
      </c>
      <c r="C646" s="69" t="s">
        <v>2075</v>
      </c>
      <c r="D646" s="24" t="s">
        <v>116</v>
      </c>
      <c r="E646" s="14" t="str">
        <f t="shared" si="13"/>
        <v>Perempuan</v>
      </c>
      <c r="F646" s="72" t="s">
        <v>1414</v>
      </c>
      <c r="G646" s="25" t="s">
        <v>1484</v>
      </c>
      <c r="H646" s="19" t="s">
        <v>2076</v>
      </c>
      <c r="I646" s="15" t="s">
        <v>2933</v>
      </c>
      <c r="J646" s="19" t="s">
        <v>45</v>
      </c>
      <c r="K646" s="19" t="s">
        <v>46</v>
      </c>
      <c r="L646" s="86" t="s">
        <v>28</v>
      </c>
      <c r="M646" s="15">
        <v>2022</v>
      </c>
      <c r="N646" s="15" t="s">
        <v>28</v>
      </c>
      <c r="O646" s="15">
        <v>2023</v>
      </c>
      <c r="P646" s="15">
        <v>2022</v>
      </c>
      <c r="Q646" s="15"/>
      <c r="R646" s="16" t="s">
        <v>29</v>
      </c>
      <c r="S646" s="16" t="str">
        <f ca="1">IF(
  O646 &lt; YEAR(TODAY()),
  "LULUS",
  IF(
    O646 = YEAR(TODAY()),
    IF(
      MATCH(L646, {"Januari";"Februari";"Maret";"April";"Mei";"Juni";"Juli";"Agustus";"September";"Oktober";"November";"Desember"}, 0)
        &gt;= MONTH(TODAY()),
      "AKTIF (Semester " &amp;
        (INT((12*(YEAR(TODAY())-M646) + MONTH(TODAY()) -
          MATCH(L646, {"Januari";"Februari";"Maret";"April";"Mei";"Juni";"Juli";"Agustus";"September";"Oktober";"November";"Desember"}, 0)) / 6) + 1) &amp; ")",
      "LULUS"
    ),
    "AKTIF (Semester " &amp;
      (INT((12*(YEAR(TODAY())-M646) + MONTH(TODAY()) -
        MATCH(L646, {"Januari";"Februari";"Maret";"April";"Mei";"Juni";"Juli";"Agustus";"September";"Oktober";"November";"Desember"}, 0)) / 6) + 1) &amp; ")"
  )
)</f>
        <v>LULUS</v>
      </c>
      <c r="T646" s="16" t="str">
        <f ca="1">IF(O646 &lt; YEAR(TODAY()), "LULUS",
 IF(O646 = YEAR(TODAY()),
    IF(MATCH(N646, {"Januari";"Februari";"Maret";"April";"Mei";"Juni";"Juli";"Agustus";"September";"Oktober";"November";"Desember"},0)
        &lt;= MONTH(TODAY()),
        "LULUS",
        "AKTIF"),
 "AKTIF"))</f>
        <v>LULUS</v>
      </c>
      <c r="U646" s="16" t="s">
        <v>29</v>
      </c>
      <c r="V646" s="15"/>
      <c r="W646" s="15"/>
      <c r="X646" s="15"/>
      <c r="Y646" s="15"/>
      <c r="Z646" s="15"/>
    </row>
    <row r="647" spans="1:26" ht="29" customHeight="1" x14ac:dyDescent="0.35">
      <c r="A647" s="12">
        <v>646</v>
      </c>
      <c r="B647" s="73" t="s">
        <v>2841</v>
      </c>
      <c r="C647" s="69" t="s">
        <v>2078</v>
      </c>
      <c r="D647" s="24" t="s">
        <v>370</v>
      </c>
      <c r="E647" s="14" t="str">
        <f t="shared" si="13"/>
        <v>Laki-Laki</v>
      </c>
      <c r="F647" s="72" t="s">
        <v>766</v>
      </c>
      <c r="G647" s="25" t="s">
        <v>1484</v>
      </c>
      <c r="H647" s="19" t="s">
        <v>2076</v>
      </c>
      <c r="I647" s="15" t="s">
        <v>2933</v>
      </c>
      <c r="J647" s="19" t="s">
        <v>45</v>
      </c>
      <c r="K647" s="19" t="s">
        <v>46</v>
      </c>
      <c r="L647" s="86" t="s">
        <v>28</v>
      </c>
      <c r="M647" s="15">
        <v>2022</v>
      </c>
      <c r="N647" s="15" t="s">
        <v>28</v>
      </c>
      <c r="O647" s="15">
        <v>2023</v>
      </c>
      <c r="P647" s="15">
        <v>2022</v>
      </c>
      <c r="Q647" s="15"/>
      <c r="R647" s="16" t="s">
        <v>29</v>
      </c>
      <c r="S647" s="16" t="str">
        <f ca="1">IF(
  O647 &lt; YEAR(TODAY()),
  "LULUS",
  IF(
    O647 = YEAR(TODAY()),
    IF(
      MATCH(L647, {"Januari";"Februari";"Maret";"April";"Mei";"Juni";"Juli";"Agustus";"September";"Oktober";"November";"Desember"}, 0)
        &gt;= MONTH(TODAY()),
      "AKTIF (Semester " &amp;
        (INT((12*(YEAR(TODAY())-M647) + MONTH(TODAY()) -
          MATCH(L647, {"Januari";"Februari";"Maret";"April";"Mei";"Juni";"Juli";"Agustus";"September";"Oktober";"November";"Desember"}, 0)) / 6) + 1) &amp; ")",
      "LULUS"
    ),
    "AKTIF (Semester " &amp;
      (INT((12*(YEAR(TODAY())-M647) + MONTH(TODAY()) -
        MATCH(L647, {"Januari";"Februari";"Maret";"April";"Mei";"Juni";"Juli";"Agustus";"September";"Oktober";"November";"Desember"}, 0)) / 6) + 1) &amp; ")"
  )
)</f>
        <v>LULUS</v>
      </c>
      <c r="T647" s="16" t="str">
        <f ca="1">IF(O647 &lt; YEAR(TODAY()), "LULUS",
 IF(O647 = YEAR(TODAY()),
    IF(MATCH(N647, {"Januari";"Februari";"Maret";"April";"Mei";"Juni";"Juli";"Agustus";"September";"Oktober";"November";"Desember"},0)
        &lt;= MONTH(TODAY()),
        "LULUS",
        "AKTIF"),
 "AKTIF"))</f>
        <v>LULUS</v>
      </c>
      <c r="U647" s="16" t="s">
        <v>29</v>
      </c>
      <c r="V647" s="15"/>
      <c r="W647" s="15"/>
      <c r="X647" s="15"/>
      <c r="Y647" s="15"/>
      <c r="Z647" s="15"/>
    </row>
    <row r="648" spans="1:26" ht="29" customHeight="1" x14ac:dyDescent="0.35">
      <c r="A648" s="12">
        <v>647</v>
      </c>
      <c r="B648" s="25" t="s">
        <v>2079</v>
      </c>
      <c r="C648" s="69" t="s">
        <v>2080</v>
      </c>
      <c r="D648" s="24" t="s">
        <v>104</v>
      </c>
      <c r="E648" s="14" t="str">
        <f t="shared" si="13"/>
        <v>Laki-Laki</v>
      </c>
      <c r="F648" s="72" t="s">
        <v>2081</v>
      </c>
      <c r="G648" s="25" t="s">
        <v>1484</v>
      </c>
      <c r="H648" s="19" t="s">
        <v>2076</v>
      </c>
      <c r="I648" s="15" t="s">
        <v>2933</v>
      </c>
      <c r="J648" s="19" t="s">
        <v>45</v>
      </c>
      <c r="K648" s="19" t="s">
        <v>46</v>
      </c>
      <c r="L648" s="86" t="s">
        <v>28</v>
      </c>
      <c r="M648" s="15">
        <v>2022</v>
      </c>
      <c r="N648" s="15" t="s">
        <v>28</v>
      </c>
      <c r="O648" s="15">
        <v>2023</v>
      </c>
      <c r="P648" s="15">
        <v>2022</v>
      </c>
      <c r="Q648" s="15"/>
      <c r="R648" s="16" t="s">
        <v>29</v>
      </c>
      <c r="S648" s="16" t="str">
        <f ca="1">IF(
  O648 &lt; YEAR(TODAY()),
  "LULUS",
  IF(
    O648 = YEAR(TODAY()),
    IF(
      MATCH(L648, {"Januari";"Februari";"Maret";"April";"Mei";"Juni";"Juli";"Agustus";"September";"Oktober";"November";"Desember"}, 0)
        &gt;= MONTH(TODAY()),
      "AKTIF (Semester " &amp;
        (INT((12*(YEAR(TODAY())-M648) + MONTH(TODAY()) -
          MATCH(L648, {"Januari";"Februari";"Maret";"April";"Mei";"Juni";"Juli";"Agustus";"September";"Oktober";"November";"Desember"}, 0)) / 6) + 1) &amp; ")",
      "LULUS"
    ),
    "AKTIF (Semester " &amp;
      (INT((12*(YEAR(TODAY())-M648) + MONTH(TODAY()) -
        MATCH(L648, {"Januari";"Februari";"Maret";"April";"Mei";"Juni";"Juli";"Agustus";"September";"Oktober";"November";"Desember"}, 0)) / 6) + 1) &amp; ")"
  )
)</f>
        <v>LULUS</v>
      </c>
      <c r="T648" s="16" t="str">
        <f ca="1">IF(O648 &lt; YEAR(TODAY()), "LULUS",
 IF(O648 = YEAR(TODAY()),
    IF(MATCH(N648, {"Januari";"Februari";"Maret";"April";"Mei";"Juni";"Juli";"Agustus";"September";"Oktober";"November";"Desember"},0)
        &lt;= MONTH(TODAY()),
        "LULUS",
        "AKTIF"),
 "AKTIF"))</f>
        <v>LULUS</v>
      </c>
      <c r="U648" s="16" t="s">
        <v>29</v>
      </c>
      <c r="V648" s="15"/>
      <c r="W648" s="15"/>
      <c r="X648" s="15"/>
      <c r="Y648" s="15"/>
      <c r="Z648" s="15"/>
    </row>
    <row r="649" spans="1:26" ht="29" customHeight="1" x14ac:dyDescent="0.35">
      <c r="A649" s="12">
        <v>648</v>
      </c>
      <c r="B649" s="25" t="s">
        <v>2082</v>
      </c>
      <c r="C649" s="69" t="s">
        <v>2083</v>
      </c>
      <c r="D649" s="24" t="s">
        <v>109</v>
      </c>
      <c r="E649" s="14" t="str">
        <f t="shared" si="13"/>
        <v>Perempuan</v>
      </c>
      <c r="F649" s="72" t="s">
        <v>2084</v>
      </c>
      <c r="G649" s="25" t="s">
        <v>1484</v>
      </c>
      <c r="H649" s="19" t="s">
        <v>2085</v>
      </c>
      <c r="I649" s="134" t="s">
        <v>56</v>
      </c>
      <c r="J649" s="12" t="s">
        <v>26</v>
      </c>
      <c r="K649" s="19" t="s">
        <v>57</v>
      </c>
      <c r="L649" s="86" t="s">
        <v>60</v>
      </c>
      <c r="M649" s="15">
        <v>2022</v>
      </c>
      <c r="N649" s="15" t="s">
        <v>60</v>
      </c>
      <c r="O649" s="15">
        <v>2024</v>
      </c>
      <c r="P649" s="15">
        <v>2022</v>
      </c>
      <c r="Q649" s="15"/>
      <c r="R649" s="16" t="s">
        <v>29</v>
      </c>
      <c r="S649" s="16" t="str">
        <f ca="1">IF(
  O649 &lt; YEAR(TODAY()),
  "LULUS",
  IF(
    O649 = YEAR(TODAY()),
    IF(
      MATCH(L649, {"Januari";"Februari";"Maret";"April";"Mei";"Juni";"Juli";"Agustus";"September";"Oktober";"November";"Desember"}, 0)
        &gt;= MONTH(TODAY()),
      "AKTIF (Semester " &amp;
        (INT((12*(YEAR(TODAY())-M649) + MONTH(TODAY()) -
          MATCH(L649, {"Januari";"Februari";"Maret";"April";"Mei";"Juni";"Juli";"Agustus";"September";"Oktober";"November";"Desember"}, 0)) / 6) + 1) &amp; ")",
      "LULUS"
    ),
    "AKTIF (Semester " &amp;
      (INT((12*(YEAR(TODAY())-M649) + MONTH(TODAY()) -
        MATCH(L649, {"Januari";"Februari";"Maret";"April";"Mei";"Juni";"Juli";"Agustus";"September";"Oktober";"November";"Desember"}, 0)) / 6) + 1) &amp; ")"
  )
)</f>
        <v>LULUS</v>
      </c>
      <c r="T649" s="16" t="str">
        <f ca="1">IF(O649 &lt; YEAR(TODAY()), "LULUS",
 IF(O649 = YEAR(TODAY()),
    IF(MATCH(N649, {"Januari";"Februari";"Maret";"April";"Mei";"Juni";"Juli";"Agustus";"September";"Oktober";"November";"Desember"},0)
        &lt;= MONTH(TODAY()),
        "LULUS",
        "AKTIF"),
 "AKTIF"))</f>
        <v>LULUS</v>
      </c>
      <c r="U649" s="16" t="s">
        <v>29</v>
      </c>
      <c r="V649" s="15"/>
      <c r="W649" s="15"/>
      <c r="X649" s="15"/>
      <c r="Y649" s="15"/>
      <c r="Z649" s="15"/>
    </row>
    <row r="650" spans="1:26" ht="29" customHeight="1" x14ac:dyDescent="0.35">
      <c r="A650" s="12">
        <v>649</v>
      </c>
      <c r="B650" s="25" t="s">
        <v>2086</v>
      </c>
      <c r="C650" s="69" t="s">
        <v>2087</v>
      </c>
      <c r="D650" s="24" t="s">
        <v>109</v>
      </c>
      <c r="E650" s="14" t="str">
        <f t="shared" si="13"/>
        <v>Laki-Laki</v>
      </c>
      <c r="F650" s="72" t="s">
        <v>558</v>
      </c>
      <c r="G650" s="25" t="s">
        <v>1484</v>
      </c>
      <c r="H650" s="19" t="s">
        <v>2085</v>
      </c>
      <c r="I650" s="134" t="s">
        <v>56</v>
      </c>
      <c r="J650" s="12" t="s">
        <v>26</v>
      </c>
      <c r="K650" s="19" t="s">
        <v>57</v>
      </c>
      <c r="L650" s="86" t="s">
        <v>60</v>
      </c>
      <c r="M650" s="15">
        <v>2022</v>
      </c>
      <c r="N650" s="15" t="s">
        <v>60</v>
      </c>
      <c r="O650" s="15">
        <v>2024</v>
      </c>
      <c r="P650" s="15">
        <v>2022</v>
      </c>
      <c r="Q650" s="15"/>
      <c r="R650" s="16" t="s">
        <v>29</v>
      </c>
      <c r="S650" s="16" t="str">
        <f ca="1">IF(
  O650 &lt; YEAR(TODAY()),
  "LULUS",
  IF(
    O650 = YEAR(TODAY()),
    IF(
      MATCH(L650, {"Januari";"Februari";"Maret";"April";"Mei";"Juni";"Juli";"Agustus";"September";"Oktober";"November";"Desember"}, 0)
        &gt;= MONTH(TODAY()),
      "AKTIF (Semester " &amp;
        (INT((12*(YEAR(TODAY())-M650) + MONTH(TODAY()) -
          MATCH(L650, {"Januari";"Februari";"Maret";"April";"Mei";"Juni";"Juli";"Agustus";"September";"Oktober";"November";"Desember"}, 0)) / 6) + 1) &amp; ")",
      "LULUS"
    ),
    "AKTIF (Semester " &amp;
      (INT((12*(YEAR(TODAY())-M650) + MONTH(TODAY()) -
        MATCH(L650, {"Januari";"Februari";"Maret";"April";"Mei";"Juni";"Juli";"Agustus";"September";"Oktober";"November";"Desember"}, 0)) / 6) + 1) &amp; ")"
  )
)</f>
        <v>LULUS</v>
      </c>
      <c r="T650" s="16" t="str">
        <f ca="1">IF(O650 &lt; YEAR(TODAY()), "LULUS",
 IF(O650 = YEAR(TODAY()),
    IF(MATCH(N650, {"Januari";"Februari";"Maret";"April";"Mei";"Juni";"Juli";"Agustus";"September";"Oktober";"November";"Desember"},0)
        &lt;= MONTH(TODAY()),
        "LULUS",
        "AKTIF"),
 "AKTIF"))</f>
        <v>LULUS</v>
      </c>
      <c r="U650" s="16" t="s">
        <v>29</v>
      </c>
      <c r="V650" s="15"/>
      <c r="W650" s="15"/>
      <c r="X650" s="15"/>
      <c r="Y650" s="15"/>
      <c r="Z650" s="15"/>
    </row>
    <row r="651" spans="1:26" ht="29" customHeight="1" x14ac:dyDescent="0.35">
      <c r="A651" s="12">
        <v>650</v>
      </c>
      <c r="B651" s="73" t="s">
        <v>2842</v>
      </c>
      <c r="C651" s="69" t="s">
        <v>2088</v>
      </c>
      <c r="D651" s="24" t="s">
        <v>116</v>
      </c>
      <c r="E651" s="14" t="str">
        <f t="shared" si="13"/>
        <v>Perempuan</v>
      </c>
      <c r="F651" s="72" t="s">
        <v>2089</v>
      </c>
      <c r="G651" s="25" t="s">
        <v>1484</v>
      </c>
      <c r="H651" s="19" t="s">
        <v>2069</v>
      </c>
      <c r="I651" s="19" t="s">
        <v>90</v>
      </c>
      <c r="J651" s="19" t="s">
        <v>45</v>
      </c>
      <c r="K651" s="19" t="s">
        <v>46</v>
      </c>
      <c r="L651" s="86" t="s">
        <v>160</v>
      </c>
      <c r="M651" s="15">
        <v>2022</v>
      </c>
      <c r="N651" s="15" t="s">
        <v>160</v>
      </c>
      <c r="O651" s="15">
        <v>2026</v>
      </c>
      <c r="P651" s="15">
        <v>2022</v>
      </c>
      <c r="Q651" s="15"/>
      <c r="R651" s="16" t="s">
        <v>51</v>
      </c>
      <c r="S651" s="16" t="str">
        <f ca="1">IF(
  O651 &lt; YEAR(TODAY()),
  "LULUS",
  IF(
    O651 = YEAR(TODAY()),
    IF(
      MATCH(L651, {"Januari";"Februari";"Maret";"April";"Mei";"Juni";"Juli";"Agustus";"September";"Oktober";"November";"Desember"}, 0)
        &gt;= MONTH(TODAY()),
      "AKTIF (Semester " &amp;
        (INT((12*(YEAR(TODAY())-M651) + MONTH(TODAY()) -
          MATCH(L651, {"Januari";"Februari";"Maret";"April";"Mei";"Juni";"Juli";"Agustus";"September";"Oktober";"November";"Desember"}, 0)) / 6) + 1) &amp; ")",
      "LULUS"
    ),
    "AKTIF (Semester " &amp;
      (INT((12*(YEAR(TODAY())-M651) + MONTH(TODAY()) -
        MATCH(L651, {"Januari";"Februari";"Maret";"April";"Mei";"Juni";"Juli";"Agustus";"September";"Oktober";"November";"Desember"}, 0)) / 6) + 1) &amp; ")"
  )
)</f>
        <v>AKTIF (Semester 7)</v>
      </c>
      <c r="T651" s="16" t="str">
        <f ca="1">IF(O651 &lt; YEAR(TODAY()), "LULUS",
 IF(O651 = YEAR(TODAY()),
    IF(MATCH(N651, {"Januari";"Februari";"Maret";"April";"Mei";"Juni";"Juli";"Agustus";"September";"Oktober";"November";"Desember"},0)
        &lt;= MONTH(TODAY()),
        "LULUS",
        "AKTIF"),
 "AKTIF"))</f>
        <v>AKTIF</v>
      </c>
      <c r="U651" s="16" t="s">
        <v>2939</v>
      </c>
      <c r="V651" s="15"/>
      <c r="W651" s="15"/>
      <c r="X651" s="15"/>
      <c r="Y651" s="15"/>
      <c r="Z651" s="15"/>
    </row>
    <row r="652" spans="1:26" ht="29" customHeight="1" x14ac:dyDescent="0.35">
      <c r="A652" s="12">
        <v>651</v>
      </c>
      <c r="B652" s="73" t="s">
        <v>2843</v>
      </c>
      <c r="C652" s="69" t="s">
        <v>2090</v>
      </c>
      <c r="D652" s="24" t="s">
        <v>126</v>
      </c>
      <c r="E652" s="14" t="str">
        <f t="shared" si="13"/>
        <v>Laki-Laki</v>
      </c>
      <c r="F652" s="72"/>
      <c r="G652" s="25" t="s">
        <v>1484</v>
      </c>
      <c r="H652" s="19" t="s">
        <v>2091</v>
      </c>
      <c r="I652" s="19" t="s">
        <v>90</v>
      </c>
      <c r="J652" s="19" t="s">
        <v>45</v>
      </c>
      <c r="K652" s="19" t="s">
        <v>905</v>
      </c>
      <c r="L652" s="86" t="s">
        <v>462</v>
      </c>
      <c r="M652" s="15">
        <v>2020</v>
      </c>
      <c r="N652" s="15" t="s">
        <v>462</v>
      </c>
      <c r="O652" s="15">
        <v>2024</v>
      </c>
      <c r="P652" s="15">
        <v>2022</v>
      </c>
      <c r="Q652" s="15"/>
      <c r="R652" s="16" t="s">
        <v>29</v>
      </c>
      <c r="S652" s="16" t="str">
        <f ca="1">IF(
  O652 &lt; YEAR(TODAY()),
  "LULUS",
  IF(
    O652 = YEAR(TODAY()),
    IF(
      MATCH(L652, {"Januari";"Februari";"Maret";"April";"Mei";"Juni";"Juli";"Agustus";"September";"Oktober";"November";"Desember"}, 0)
        &gt;= MONTH(TODAY()),
      "AKTIF (Semester " &amp;
        (INT((12*(YEAR(TODAY())-M652) + MONTH(TODAY()) -
          MATCH(L652, {"Januari";"Februari";"Maret";"April";"Mei";"Juni";"Juli";"Agustus";"September";"Oktober";"November";"Desember"}, 0)) / 6) + 1) &amp; ")",
      "LULUS"
    ),
    "AKTIF (Semester " &amp;
      (INT((12*(YEAR(TODAY())-M652) + MONTH(TODAY()) -
        MATCH(L652, {"Januari";"Februari";"Maret";"April";"Mei";"Juni";"Juli";"Agustus";"September";"Oktober";"November";"Desember"}, 0)) / 6) + 1) &amp; ")"
  )
)</f>
        <v>LULUS</v>
      </c>
      <c r="T652" s="16" t="str">
        <f ca="1">IF(O652 &lt; YEAR(TODAY()), "LULUS",
 IF(O652 = YEAR(TODAY()),
    IF(MATCH(N652, {"Januari";"Februari";"Maret";"April";"Mei";"Juni";"Juli";"Agustus";"September";"Oktober";"November";"Desember"},0)
        &lt;= MONTH(TODAY()),
        "LULUS",
        "AKTIF"),
 "AKTIF"))</f>
        <v>LULUS</v>
      </c>
      <c r="U652" s="16" t="s">
        <v>29</v>
      </c>
      <c r="V652" s="15"/>
      <c r="W652" s="15"/>
      <c r="X652" s="15"/>
      <c r="Y652" s="15"/>
      <c r="Z652" s="15"/>
    </row>
    <row r="653" spans="1:26" ht="29" customHeight="1" x14ac:dyDescent="0.35">
      <c r="A653" s="12">
        <v>652</v>
      </c>
      <c r="B653" s="72" t="s">
        <v>2092</v>
      </c>
      <c r="C653" s="69" t="s">
        <v>2093</v>
      </c>
      <c r="D653" s="24" t="s">
        <v>98</v>
      </c>
      <c r="E653" s="14" t="str">
        <f t="shared" si="13"/>
        <v>Perempuan</v>
      </c>
      <c r="F653" s="72"/>
      <c r="G653" s="25" t="s">
        <v>1484</v>
      </c>
      <c r="H653" s="19" t="s">
        <v>2094</v>
      </c>
      <c r="I653" s="19" t="s">
        <v>90</v>
      </c>
      <c r="J653" s="32" t="s">
        <v>2474</v>
      </c>
      <c r="K653" s="19" t="s">
        <v>117</v>
      </c>
      <c r="L653" s="70" t="s">
        <v>35</v>
      </c>
      <c r="M653" s="15">
        <v>2021</v>
      </c>
      <c r="N653" s="15" t="s">
        <v>123</v>
      </c>
      <c r="O653" s="15">
        <v>2025</v>
      </c>
      <c r="P653" s="15">
        <v>2022</v>
      </c>
      <c r="Q653" s="15"/>
      <c r="R653" s="16" t="s">
        <v>51</v>
      </c>
      <c r="S653" s="16" t="str">
        <f ca="1">IF(
  O653 &lt; YEAR(TODAY()),
  "LULUS",
  IF(
    O653 = YEAR(TODAY()),
    IF(
      MATCH(L653, {"Januari";"Februari";"Maret";"April";"Mei";"Juni";"Juli";"Agustus";"September";"Oktober";"November";"Desember"}, 0)
        &gt;= MONTH(TODAY()),
      "AKTIF (Semester " &amp;
        (INT((12*(YEAR(TODAY())-M653) + MONTH(TODAY()) -
          MATCH(L653, {"Januari";"Februari";"Maret";"April";"Mei";"Juni";"Juli";"Agustus";"September";"Oktober";"November";"Desember"}, 0)) / 6) + 1) &amp; ")",
      "LULUS"
    ),
    "AKTIF (Semester " &amp;
      (INT((12*(YEAR(TODAY())-M653) + MONTH(TODAY()) -
        MATCH(L653, {"Januari";"Februari";"Maret";"April";"Mei";"Juni";"Juli";"Agustus";"September";"Oktober";"November";"Desember"}, 0)) / 6) + 1) &amp; ")"
  )
)</f>
        <v>LULUS</v>
      </c>
      <c r="T653" s="16" t="e">
        <f ca="1">IF(O653 &lt; YEAR(TODAY()), "LULUS",
 IF(O653 = YEAR(TODAY()),
    IF(MATCH(N653, {"Januari";"Februari";"Maret";"April";"Mei";"Juni";"Juli";"Agustus";"September";"Oktober";"November";"Desember"},0)
        &lt;= MONTH(TODAY()),
        "LULUS",
        "AKTIF"),
 "AKTIF"))</f>
        <v>#N/A</v>
      </c>
      <c r="U653" s="16" t="s">
        <v>29</v>
      </c>
      <c r="V653" s="15"/>
      <c r="W653" s="15"/>
      <c r="X653" s="15"/>
      <c r="Y653" s="15"/>
      <c r="Z653" s="15"/>
    </row>
    <row r="654" spans="1:26" ht="29" customHeight="1" x14ac:dyDescent="0.35">
      <c r="A654" s="12">
        <v>653</v>
      </c>
      <c r="B654" s="25" t="s">
        <v>2095</v>
      </c>
      <c r="C654" s="69" t="s">
        <v>2096</v>
      </c>
      <c r="D654" s="24" t="s">
        <v>98</v>
      </c>
      <c r="E654" s="14" t="str">
        <f t="shared" si="13"/>
        <v>Laki-Laki</v>
      </c>
      <c r="F654" s="72" t="s">
        <v>1730</v>
      </c>
      <c r="G654" s="25" t="s">
        <v>1484</v>
      </c>
      <c r="H654" s="19" t="s">
        <v>1761</v>
      </c>
      <c r="I654" s="19" t="s">
        <v>90</v>
      </c>
      <c r="J654" s="19" t="s">
        <v>45</v>
      </c>
      <c r="K654" s="19" t="s">
        <v>905</v>
      </c>
      <c r="L654" s="86" t="s">
        <v>28</v>
      </c>
      <c r="M654" s="15">
        <v>2023</v>
      </c>
      <c r="N654" s="15" t="s">
        <v>28</v>
      </c>
      <c r="O654" s="15">
        <v>2027</v>
      </c>
      <c r="P654" s="15">
        <v>2024</v>
      </c>
      <c r="Q654" s="15"/>
      <c r="R654" s="16"/>
      <c r="S654" s="16" t="str">
        <f ca="1">IF(
  O654 &lt; YEAR(TODAY()),
  "LULUS",
  IF(
    O654 = YEAR(TODAY()),
    IF(
      MATCH(L654, {"Januari";"Februari";"Maret";"April";"Mei";"Juni";"Juli";"Agustus";"September";"Oktober";"November";"Desember"}, 0)
        &gt;= MONTH(TODAY()),
      "AKTIF (Semester " &amp;
        (INT((12*(YEAR(TODAY())-M654) + MONTH(TODAY()) -
          MATCH(L654, {"Januari";"Februari";"Maret";"April";"Mei";"Juni";"Juli";"Agustus";"September";"Oktober";"November";"Desember"}, 0)) / 6) + 1) &amp; ")",
      "LULUS"
    ),
    "AKTIF (Semester " &amp;
      (INT((12*(YEAR(TODAY())-M654) + MONTH(TODAY()) -
        MATCH(L654, {"Januari";"Februari";"Maret";"April";"Mei";"Juni";"Juli";"Agustus";"September";"Oktober";"November";"Desember"}, 0)) / 6) + 1) &amp; ")"
  )
)</f>
        <v>AKTIF (Semester 5)</v>
      </c>
      <c r="T654" s="16" t="str">
        <f ca="1">IF(O654 &lt; YEAR(TODAY()), "LULUS",
 IF(O654 = YEAR(TODAY()),
    IF(MATCH(N654, {"Januari";"Februari";"Maret";"April";"Mei";"Juni";"Juli";"Agustus";"September";"Oktober";"November";"Desember"},0)
        &lt;= MONTH(TODAY()),
        "LULUS",
        "AKTIF"),
 "AKTIF"))</f>
        <v>AKTIF</v>
      </c>
      <c r="U654" s="16" t="s">
        <v>2941</v>
      </c>
      <c r="V654" s="15"/>
      <c r="W654" s="15"/>
      <c r="X654" s="15"/>
      <c r="Y654" s="15"/>
      <c r="Z654" s="15"/>
    </row>
    <row r="655" spans="1:26" ht="29" customHeight="1" x14ac:dyDescent="0.35">
      <c r="A655" s="12">
        <v>654</v>
      </c>
      <c r="B655" s="25" t="s">
        <v>2097</v>
      </c>
      <c r="C655" s="69" t="s">
        <v>2098</v>
      </c>
      <c r="D655" s="24" t="s">
        <v>87</v>
      </c>
      <c r="E655" s="14" t="str">
        <f t="shared" si="13"/>
        <v>Laki-Laki</v>
      </c>
      <c r="F655" s="72" t="s">
        <v>1722</v>
      </c>
      <c r="G655" s="25" t="s">
        <v>1484</v>
      </c>
      <c r="H655" s="19" t="s">
        <v>1761</v>
      </c>
      <c r="I655" s="19" t="s">
        <v>90</v>
      </c>
      <c r="J655" s="19" t="s">
        <v>45</v>
      </c>
      <c r="K655" s="19" t="s">
        <v>905</v>
      </c>
      <c r="L655" s="86" t="s">
        <v>28</v>
      </c>
      <c r="M655" s="15">
        <v>2023</v>
      </c>
      <c r="N655" s="15" t="s">
        <v>28</v>
      </c>
      <c r="O655" s="15">
        <v>2027</v>
      </c>
      <c r="P655" s="15">
        <v>2024</v>
      </c>
      <c r="Q655" s="15"/>
      <c r="R655" s="16"/>
      <c r="S655" s="16" t="str">
        <f ca="1">IF(
  O655 &lt; YEAR(TODAY()),
  "LULUS",
  IF(
    O655 = YEAR(TODAY()),
    IF(
      MATCH(L655, {"Januari";"Februari";"Maret";"April";"Mei";"Juni";"Juli";"Agustus";"September";"Oktober";"November";"Desember"}, 0)
        &gt;= MONTH(TODAY()),
      "AKTIF (Semester " &amp;
        (INT((12*(YEAR(TODAY())-M655) + MONTH(TODAY()) -
          MATCH(L655, {"Januari";"Februari";"Maret";"April";"Mei";"Juni";"Juli";"Agustus";"September";"Oktober";"November";"Desember"}, 0)) / 6) + 1) &amp; ")",
      "LULUS"
    ),
    "AKTIF (Semester " &amp;
      (INT((12*(YEAR(TODAY())-M655) + MONTH(TODAY()) -
        MATCH(L655, {"Januari";"Februari";"Maret";"April";"Mei";"Juni";"Juli";"Agustus";"September";"Oktober";"November";"Desember"}, 0)) / 6) + 1) &amp; ")"
  )
)</f>
        <v>AKTIF (Semester 5)</v>
      </c>
      <c r="T655" s="16" t="str">
        <f ca="1">IF(O655 &lt; YEAR(TODAY()), "LULUS",
 IF(O655 = YEAR(TODAY()),
    IF(MATCH(N655, {"Januari";"Februari";"Maret";"April";"Mei";"Juni";"Juli";"Agustus";"September";"Oktober";"November";"Desember"},0)
        &lt;= MONTH(TODAY()),
        "LULUS",
        "AKTIF"),
 "AKTIF"))</f>
        <v>AKTIF</v>
      </c>
      <c r="U655" s="16" t="s">
        <v>2941</v>
      </c>
      <c r="V655" s="15"/>
      <c r="W655" s="15"/>
      <c r="X655" s="15"/>
      <c r="Y655" s="15"/>
      <c r="Z655" s="15"/>
    </row>
    <row r="656" spans="1:26" ht="29" customHeight="1" x14ac:dyDescent="0.35">
      <c r="A656" s="12">
        <v>655</v>
      </c>
      <c r="B656" s="25" t="s">
        <v>2099</v>
      </c>
      <c r="C656" s="69" t="s">
        <v>2100</v>
      </c>
      <c r="D656" s="24" t="s">
        <v>104</v>
      </c>
      <c r="E656" s="14" t="str">
        <f t="shared" si="13"/>
        <v>Laki-Laki</v>
      </c>
      <c r="F656" s="72" t="s">
        <v>2101</v>
      </c>
      <c r="G656" s="25" t="s">
        <v>1484</v>
      </c>
      <c r="H656" s="19" t="s">
        <v>1547</v>
      </c>
      <c r="I656" s="19" t="s">
        <v>2102</v>
      </c>
      <c r="J656" s="19" t="s">
        <v>45</v>
      </c>
      <c r="K656" s="19" t="s">
        <v>204</v>
      </c>
      <c r="L656" s="86" t="s">
        <v>169</v>
      </c>
      <c r="M656" s="15">
        <v>2023</v>
      </c>
      <c r="N656" s="15" t="s">
        <v>169</v>
      </c>
      <c r="O656" s="15">
        <v>2027</v>
      </c>
      <c r="P656" s="15">
        <v>2024</v>
      </c>
      <c r="Q656" s="15"/>
      <c r="R656" s="16"/>
      <c r="S656" s="16" t="str">
        <f ca="1">IF(
  O656 &lt; YEAR(TODAY()),
  "LULUS",
  IF(
    O656 = YEAR(TODAY()),
    IF(
      MATCH(L656, {"Januari";"Februari";"Maret";"April";"Mei";"Juni";"Juli";"Agustus";"September";"Oktober";"November";"Desember"}, 0)
        &gt;= MONTH(TODAY()),
      "AKTIF (Semester " &amp;
        (INT((12*(YEAR(TODAY())-M656) + MONTH(TODAY()) -
          MATCH(L656, {"Januari";"Februari";"Maret";"April";"Mei";"Juni";"Juli";"Agustus";"September";"Oktober";"November";"Desember"}, 0)) / 6) + 1) &amp; ")",
      "LULUS"
    ),
    "AKTIF (Semester " &amp;
      (INT((12*(YEAR(TODAY())-M656) + MONTH(TODAY()) -
        MATCH(L656, {"Januari";"Februari";"Maret";"April";"Mei";"Juni";"Juli";"Agustus";"September";"Oktober";"November";"Desember"}, 0)) / 6) + 1) &amp; ")"
  )
)</f>
        <v>AKTIF (Semester 5)</v>
      </c>
      <c r="T656" s="16" t="str">
        <f ca="1">IF(O656 &lt; YEAR(TODAY()), "LULUS",
 IF(O656 = YEAR(TODAY()),
    IF(MATCH(N656, {"Januari";"Februari";"Maret";"April";"Mei";"Juni";"Juli";"Agustus";"September";"Oktober";"November";"Desember"},0)
        &lt;= MONTH(TODAY()),
        "LULUS",
        "AKTIF"),
 "AKTIF"))</f>
        <v>AKTIF</v>
      </c>
      <c r="U656" s="16" t="s">
        <v>2941</v>
      </c>
      <c r="V656" s="15"/>
      <c r="W656" s="15"/>
      <c r="X656" s="15"/>
      <c r="Y656" s="15"/>
      <c r="Z656" s="15"/>
    </row>
    <row r="657" spans="1:26" ht="29" customHeight="1" x14ac:dyDescent="0.35">
      <c r="A657" s="12">
        <v>656</v>
      </c>
      <c r="B657" s="25" t="s">
        <v>2103</v>
      </c>
      <c r="C657" s="69" t="s">
        <v>2104</v>
      </c>
      <c r="D657" s="24" t="s">
        <v>104</v>
      </c>
      <c r="E657" s="14" t="str">
        <f t="shared" si="13"/>
        <v>Laki-Laki</v>
      </c>
      <c r="F657" s="72" t="s">
        <v>1657</v>
      </c>
      <c r="G657" s="25" t="s">
        <v>1484</v>
      </c>
      <c r="H657" s="19" t="s">
        <v>1547</v>
      </c>
      <c r="I657" s="19" t="s">
        <v>90</v>
      </c>
      <c r="J657" s="19" t="s">
        <v>45</v>
      </c>
      <c r="K657" s="19" t="s">
        <v>905</v>
      </c>
      <c r="L657" s="86" t="s">
        <v>169</v>
      </c>
      <c r="M657" s="15">
        <v>2023</v>
      </c>
      <c r="N657" s="15" t="s">
        <v>169</v>
      </c>
      <c r="O657" s="15">
        <v>2027</v>
      </c>
      <c r="P657" s="15">
        <v>2024</v>
      </c>
      <c r="Q657" s="15"/>
      <c r="R657" s="16"/>
      <c r="S657" s="16" t="str">
        <f ca="1">IF(
  O657 &lt; YEAR(TODAY()),
  "LULUS",
  IF(
    O657 = YEAR(TODAY()),
    IF(
      MATCH(L657, {"Januari";"Februari";"Maret";"April";"Mei";"Juni";"Juli";"Agustus";"September";"Oktober";"November";"Desember"}, 0)
        &gt;= MONTH(TODAY()),
      "AKTIF (Semester " &amp;
        (INT((12*(YEAR(TODAY())-M657) + MONTH(TODAY()) -
          MATCH(L657, {"Januari";"Februari";"Maret";"April";"Mei";"Juni";"Juli";"Agustus";"September";"Oktober";"November";"Desember"}, 0)) / 6) + 1) &amp; ")",
      "LULUS"
    ),
    "AKTIF (Semester " &amp;
      (INT((12*(YEAR(TODAY())-M657) + MONTH(TODAY()) -
        MATCH(L657, {"Januari";"Februari";"Maret";"April";"Mei";"Juni";"Juli";"Agustus";"September";"Oktober";"November";"Desember"}, 0)) / 6) + 1) &amp; ")"
  )
)</f>
        <v>AKTIF (Semester 5)</v>
      </c>
      <c r="T657" s="16" t="str">
        <f ca="1">IF(O657 &lt; YEAR(TODAY()), "LULUS",
 IF(O657 = YEAR(TODAY()),
    IF(MATCH(N657, {"Januari";"Februari";"Maret";"April";"Mei";"Juni";"Juli";"Agustus";"September";"Oktober";"November";"Desember"},0)
        &lt;= MONTH(TODAY()),
        "LULUS",
        "AKTIF"),
 "AKTIF"))</f>
        <v>AKTIF</v>
      </c>
      <c r="U657" s="16" t="s">
        <v>2941</v>
      </c>
      <c r="V657" s="15"/>
      <c r="W657" s="15"/>
      <c r="X657" s="15"/>
      <c r="Y657" s="15"/>
      <c r="Z657" s="15"/>
    </row>
    <row r="658" spans="1:26" ht="29" customHeight="1" x14ac:dyDescent="0.35">
      <c r="A658" s="12">
        <v>657</v>
      </c>
      <c r="B658" s="25" t="s">
        <v>2105</v>
      </c>
      <c r="C658" s="69" t="s">
        <v>2106</v>
      </c>
      <c r="D658" s="24" t="s">
        <v>382</v>
      </c>
      <c r="E658" s="14" t="str">
        <f t="shared" si="13"/>
        <v>Laki-Laki</v>
      </c>
      <c r="F658" s="72" t="s">
        <v>2107</v>
      </c>
      <c r="G658" s="25" t="s">
        <v>1484</v>
      </c>
      <c r="H658" s="19" t="s">
        <v>1547</v>
      </c>
      <c r="I658" s="19" t="s">
        <v>90</v>
      </c>
      <c r="J658" s="19" t="s">
        <v>45</v>
      </c>
      <c r="K658" s="19" t="s">
        <v>905</v>
      </c>
      <c r="L658" s="86" t="s">
        <v>169</v>
      </c>
      <c r="M658" s="15">
        <v>2023</v>
      </c>
      <c r="N658" s="15" t="s">
        <v>169</v>
      </c>
      <c r="O658" s="15">
        <v>2027</v>
      </c>
      <c r="P658" s="15">
        <v>2024</v>
      </c>
      <c r="Q658" s="15"/>
      <c r="R658" s="16"/>
      <c r="S658" s="16" t="str">
        <f ca="1">IF(
  O658 &lt; YEAR(TODAY()),
  "LULUS",
  IF(
    O658 = YEAR(TODAY()),
    IF(
      MATCH(L658, {"Januari";"Februari";"Maret";"April";"Mei";"Juni";"Juli";"Agustus";"September";"Oktober";"November";"Desember"}, 0)
        &gt;= MONTH(TODAY()),
      "AKTIF (Semester " &amp;
        (INT((12*(YEAR(TODAY())-M658) + MONTH(TODAY()) -
          MATCH(L658, {"Januari";"Februari";"Maret";"April";"Mei";"Juni";"Juli";"Agustus";"September";"Oktober";"November";"Desember"}, 0)) / 6) + 1) &amp; ")",
      "LULUS"
    ),
    "AKTIF (Semester " &amp;
      (INT((12*(YEAR(TODAY())-M658) + MONTH(TODAY()) -
        MATCH(L658, {"Januari";"Februari";"Maret";"April";"Mei";"Juni";"Juli";"Agustus";"September";"Oktober";"November";"Desember"}, 0)) / 6) + 1) &amp; ")"
  )
)</f>
        <v>AKTIF (Semester 5)</v>
      </c>
      <c r="T658" s="16" t="str">
        <f ca="1">IF(O658 &lt; YEAR(TODAY()), "LULUS",
 IF(O658 = YEAR(TODAY()),
    IF(MATCH(N658, {"Januari";"Februari";"Maret";"April";"Mei";"Juni";"Juli";"Agustus";"September";"Oktober";"November";"Desember"},0)
        &lt;= MONTH(TODAY()),
        "LULUS",
        "AKTIF"),
 "AKTIF"))</f>
        <v>AKTIF</v>
      </c>
      <c r="U658" s="16" t="s">
        <v>2941</v>
      </c>
      <c r="V658" s="15"/>
      <c r="W658" s="15"/>
      <c r="X658" s="15"/>
      <c r="Y658" s="15"/>
      <c r="Z658" s="15"/>
    </row>
    <row r="659" spans="1:26" ht="29" customHeight="1" x14ac:dyDescent="0.35">
      <c r="A659" s="12">
        <v>658</v>
      </c>
      <c r="B659" s="25" t="s">
        <v>2108</v>
      </c>
      <c r="C659" s="69" t="s">
        <v>2109</v>
      </c>
      <c r="D659" s="24" t="s">
        <v>109</v>
      </c>
      <c r="E659" s="14" t="str">
        <f t="shared" si="13"/>
        <v>Perempuan</v>
      </c>
      <c r="F659" s="72" t="s">
        <v>1807</v>
      </c>
      <c r="G659" s="25" t="s">
        <v>2110</v>
      </c>
      <c r="H659" s="19" t="s">
        <v>2111</v>
      </c>
      <c r="I659" s="19" t="s">
        <v>2112</v>
      </c>
      <c r="J659" s="19" t="s">
        <v>26</v>
      </c>
      <c r="K659" s="19" t="s">
        <v>1238</v>
      </c>
      <c r="L659" s="86" t="s">
        <v>28</v>
      </c>
      <c r="M659" s="15">
        <v>2023</v>
      </c>
      <c r="N659" s="15" t="s">
        <v>28</v>
      </c>
      <c r="O659" s="15">
        <v>2025</v>
      </c>
      <c r="P659" s="15">
        <v>2024</v>
      </c>
      <c r="Q659" s="15"/>
      <c r="R659" s="16"/>
      <c r="S659" s="16" t="str">
        <f ca="1">IF(
  O659 &lt; YEAR(TODAY()),
  "LULUS",
  IF(
    O659 = YEAR(TODAY()),
    IF(
      MATCH(L659, {"Januari";"Februari";"Maret";"April";"Mei";"Juni";"Juli";"Agustus";"September";"Oktober";"November";"Desember"}, 0)
        &gt;= MONTH(TODAY()),
      "AKTIF (Semester " &amp;
        (INT((12*(YEAR(TODAY())-M659) + MONTH(TODAY()) -
          MATCH(L659, {"Januari";"Februari";"Maret";"April";"Mei";"Juni";"Juli";"Agustus";"September";"Oktober";"November";"Desember"}, 0)) / 6) + 1) &amp; ")",
      "LULUS"
    ),
    "AKTIF (Semester " &amp;
      (INT((12*(YEAR(TODAY())-M659) + MONTH(TODAY()) -
        MATCH(L659, {"Januari";"Februari";"Maret";"April";"Mei";"Juni";"Juli";"Agustus";"September";"Oktober";"November";"Desember"}, 0)) / 6) + 1) &amp; ")"
  )
)</f>
        <v>LULUS</v>
      </c>
      <c r="T659" s="16" t="str">
        <f ca="1">IF(O659 &lt; YEAR(TODAY()), "LULUS",
 IF(O659 = YEAR(TODAY()),
    IF(MATCH(N659, {"Januari";"Februari";"Maret";"April";"Mei";"Juni";"Juli";"Agustus";"September";"Oktober";"November";"Desember"},0)
        &lt;= MONTH(TODAY()),
        "LULUS",
        "AKTIF"),
 "AKTIF"))</f>
        <v>LULUS</v>
      </c>
      <c r="U659" s="16" t="s">
        <v>29</v>
      </c>
      <c r="V659" s="15"/>
      <c r="W659" s="15"/>
      <c r="X659" s="15"/>
      <c r="Y659" s="15"/>
      <c r="Z659" s="15"/>
    </row>
    <row r="660" spans="1:26" ht="29" customHeight="1" x14ac:dyDescent="0.35">
      <c r="A660" s="12">
        <v>659</v>
      </c>
      <c r="B660" s="25" t="s">
        <v>2113</v>
      </c>
      <c r="C660" s="69" t="s">
        <v>2114</v>
      </c>
      <c r="D660" s="24" t="s">
        <v>109</v>
      </c>
      <c r="E660" s="14" t="str">
        <f t="shared" si="13"/>
        <v>Perempuan</v>
      </c>
      <c r="F660" s="72" t="s">
        <v>1807</v>
      </c>
      <c r="G660" s="25" t="s">
        <v>2110</v>
      </c>
      <c r="H660" s="19" t="s">
        <v>2111</v>
      </c>
      <c r="I660" s="19" t="s">
        <v>2112</v>
      </c>
      <c r="J660" s="19" t="s">
        <v>26</v>
      </c>
      <c r="K660" s="19" t="s">
        <v>1238</v>
      </c>
      <c r="L660" s="86" t="s">
        <v>28</v>
      </c>
      <c r="M660" s="15">
        <v>2023</v>
      </c>
      <c r="N660" s="15" t="s">
        <v>28</v>
      </c>
      <c r="O660" s="15">
        <v>2025</v>
      </c>
      <c r="P660" s="15">
        <v>2024</v>
      </c>
      <c r="Q660" s="15"/>
      <c r="R660" s="16"/>
      <c r="S660" s="16" t="str">
        <f ca="1">IF(
  O660 &lt; YEAR(TODAY()),
  "LULUS",
  IF(
    O660 = YEAR(TODAY()),
    IF(
      MATCH(L660, {"Januari";"Februari";"Maret";"April";"Mei";"Juni";"Juli";"Agustus";"September";"Oktober";"November";"Desember"}, 0)
        &gt;= MONTH(TODAY()),
      "AKTIF (Semester " &amp;
        (INT((12*(YEAR(TODAY())-M660) + MONTH(TODAY()) -
          MATCH(L660, {"Januari";"Februari";"Maret";"April";"Mei";"Juni";"Juli";"Agustus";"September";"Oktober";"November";"Desember"}, 0)) / 6) + 1) &amp; ")",
      "LULUS"
    ),
    "AKTIF (Semester " &amp;
      (INT((12*(YEAR(TODAY())-M660) + MONTH(TODAY()) -
        MATCH(L660, {"Januari";"Februari";"Maret";"April";"Mei";"Juni";"Juli";"Agustus";"September";"Oktober";"November";"Desember"}, 0)) / 6) + 1) &amp; ")"
  )
)</f>
        <v>LULUS</v>
      </c>
      <c r="T660" s="16" t="str">
        <f ca="1">IF(O660 &lt; YEAR(TODAY()), "LULUS",
 IF(O660 = YEAR(TODAY()),
    IF(MATCH(N660, {"Januari";"Februari";"Maret";"April";"Mei";"Juni";"Juli";"Agustus";"September";"Oktober";"November";"Desember"},0)
        &lt;= MONTH(TODAY()),
        "LULUS",
        "AKTIF"),
 "AKTIF"))</f>
        <v>LULUS</v>
      </c>
      <c r="U660" s="16" t="s">
        <v>29</v>
      </c>
      <c r="V660" s="15"/>
      <c r="W660" s="15"/>
      <c r="X660" s="15"/>
      <c r="Y660" s="15"/>
      <c r="Z660" s="15"/>
    </row>
    <row r="661" spans="1:26" ht="29" customHeight="1" x14ac:dyDescent="0.35">
      <c r="A661" s="12">
        <v>660</v>
      </c>
      <c r="B661" s="25" t="s">
        <v>2115</v>
      </c>
      <c r="C661" s="69" t="s">
        <v>2116</v>
      </c>
      <c r="D661" s="24" t="s">
        <v>109</v>
      </c>
      <c r="E661" s="14" t="str">
        <f t="shared" si="13"/>
        <v>Laki-Laki</v>
      </c>
      <c r="F661" s="72" t="s">
        <v>1807</v>
      </c>
      <c r="G661" s="25" t="s">
        <v>2110</v>
      </c>
      <c r="H661" s="19" t="s">
        <v>2111</v>
      </c>
      <c r="I661" s="19" t="s">
        <v>2112</v>
      </c>
      <c r="J661" s="19" t="s">
        <v>26</v>
      </c>
      <c r="K661" s="19" t="s">
        <v>1238</v>
      </c>
      <c r="L661" s="86" t="s">
        <v>28</v>
      </c>
      <c r="M661" s="15">
        <v>2023</v>
      </c>
      <c r="N661" s="15" t="s">
        <v>28</v>
      </c>
      <c r="O661" s="15">
        <v>2025</v>
      </c>
      <c r="P661" s="15">
        <v>2024</v>
      </c>
      <c r="Q661" s="15"/>
      <c r="R661" s="16"/>
      <c r="S661" s="16" t="str">
        <f ca="1">IF(
  O661 &lt; YEAR(TODAY()),
  "LULUS",
  IF(
    O661 = YEAR(TODAY()),
    IF(
      MATCH(L661, {"Januari";"Februari";"Maret";"April";"Mei";"Juni";"Juli";"Agustus";"September";"Oktober";"November";"Desember"}, 0)
        &gt;= MONTH(TODAY()),
      "AKTIF (Semester " &amp;
        (INT((12*(YEAR(TODAY())-M661) + MONTH(TODAY()) -
          MATCH(L661, {"Januari";"Februari";"Maret";"April";"Mei";"Juni";"Juli";"Agustus";"September";"Oktober";"November";"Desember"}, 0)) / 6) + 1) &amp; ")",
      "LULUS"
    ),
    "AKTIF (Semester " &amp;
      (INT((12*(YEAR(TODAY())-M661) + MONTH(TODAY()) -
        MATCH(L661, {"Januari";"Februari";"Maret";"April";"Mei";"Juni";"Juli";"Agustus";"September";"Oktober";"November";"Desember"}, 0)) / 6) + 1) &amp; ")"
  )
)</f>
        <v>LULUS</v>
      </c>
      <c r="T661" s="16" t="str">
        <f ca="1">IF(O661 &lt; YEAR(TODAY()), "LULUS",
 IF(O661 = YEAR(TODAY()),
    IF(MATCH(N661, {"Januari";"Februari";"Maret";"April";"Mei";"Juni";"Juli";"Agustus";"September";"Oktober";"November";"Desember"},0)
        &lt;= MONTH(TODAY()),
        "LULUS",
        "AKTIF"),
 "AKTIF"))</f>
        <v>LULUS</v>
      </c>
      <c r="U661" s="16" t="s">
        <v>29</v>
      </c>
      <c r="V661" s="15"/>
      <c r="W661" s="15"/>
      <c r="X661" s="15"/>
      <c r="Y661" s="15"/>
      <c r="Z661" s="15"/>
    </row>
    <row r="662" spans="1:26" ht="29" customHeight="1" x14ac:dyDescent="0.35">
      <c r="A662" s="12">
        <v>661</v>
      </c>
      <c r="B662" s="25" t="s">
        <v>2117</v>
      </c>
      <c r="C662" s="69" t="s">
        <v>2118</v>
      </c>
      <c r="D662" s="24" t="s">
        <v>109</v>
      </c>
      <c r="E662" s="14" t="str">
        <f t="shared" si="13"/>
        <v>Perempuan</v>
      </c>
      <c r="F662" s="72" t="s">
        <v>1807</v>
      </c>
      <c r="G662" s="25" t="s">
        <v>2110</v>
      </c>
      <c r="H662" s="19" t="s">
        <v>2111</v>
      </c>
      <c r="I662" s="19" t="s">
        <v>2112</v>
      </c>
      <c r="J662" s="19" t="s">
        <v>26</v>
      </c>
      <c r="K662" s="19" t="s">
        <v>1238</v>
      </c>
      <c r="L662" s="86" t="s">
        <v>28</v>
      </c>
      <c r="M662" s="15">
        <v>2023</v>
      </c>
      <c r="N662" s="15" t="s">
        <v>28</v>
      </c>
      <c r="O662" s="15">
        <v>2025</v>
      </c>
      <c r="P662" s="15">
        <v>2024</v>
      </c>
      <c r="Q662" s="15"/>
      <c r="R662" s="16"/>
      <c r="S662" s="16" t="str">
        <f ca="1">IF(
  O662 &lt; YEAR(TODAY()),
  "LULUS",
  IF(
    O662 = YEAR(TODAY()),
    IF(
      MATCH(L662, {"Januari";"Februari";"Maret";"April";"Mei";"Juni";"Juli";"Agustus";"September";"Oktober";"November";"Desember"}, 0)
        &gt;= MONTH(TODAY()),
      "AKTIF (Semester " &amp;
        (INT((12*(YEAR(TODAY())-M662) + MONTH(TODAY()) -
          MATCH(L662, {"Januari";"Februari";"Maret";"April";"Mei";"Juni";"Juli";"Agustus";"September";"Oktober";"November";"Desember"}, 0)) / 6) + 1) &amp; ")",
      "LULUS"
    ),
    "AKTIF (Semester " &amp;
      (INT((12*(YEAR(TODAY())-M662) + MONTH(TODAY()) -
        MATCH(L662, {"Januari";"Februari";"Maret";"April";"Mei";"Juni";"Juli";"Agustus";"September";"Oktober";"November";"Desember"}, 0)) / 6) + 1) &amp; ")"
  )
)</f>
        <v>LULUS</v>
      </c>
      <c r="T662" s="16" t="str">
        <f ca="1">IF(O662 &lt; YEAR(TODAY()), "LULUS",
 IF(O662 = YEAR(TODAY()),
    IF(MATCH(N662, {"Januari";"Februari";"Maret";"April";"Mei";"Juni";"Juli";"Agustus";"September";"Oktober";"November";"Desember"},0)
        &lt;= MONTH(TODAY()),
        "LULUS",
        "AKTIF"),
 "AKTIF"))</f>
        <v>LULUS</v>
      </c>
      <c r="U662" s="16" t="s">
        <v>29</v>
      </c>
      <c r="V662" s="15"/>
      <c r="W662" s="15"/>
      <c r="X662" s="15"/>
      <c r="Y662" s="15"/>
      <c r="Z662" s="15"/>
    </row>
    <row r="663" spans="1:26" ht="29" customHeight="1" x14ac:dyDescent="0.35">
      <c r="A663" s="12">
        <v>662</v>
      </c>
      <c r="B663" s="25" t="s">
        <v>2119</v>
      </c>
      <c r="C663" s="69" t="s">
        <v>2120</v>
      </c>
      <c r="D663" s="24" t="s">
        <v>471</v>
      </c>
      <c r="E663" s="14" t="str">
        <f t="shared" si="13"/>
        <v>Perempuan</v>
      </c>
      <c r="F663" s="72" t="s">
        <v>1807</v>
      </c>
      <c r="G663" s="25" t="s">
        <v>2110</v>
      </c>
      <c r="H663" s="19" t="s">
        <v>2111</v>
      </c>
      <c r="I663" s="19" t="s">
        <v>2112</v>
      </c>
      <c r="J663" s="19" t="s">
        <v>26</v>
      </c>
      <c r="K663" s="19" t="s">
        <v>1238</v>
      </c>
      <c r="L663" s="86" t="s">
        <v>28</v>
      </c>
      <c r="M663" s="15">
        <v>2023</v>
      </c>
      <c r="N663" s="15" t="s">
        <v>28</v>
      </c>
      <c r="O663" s="15">
        <v>2025</v>
      </c>
      <c r="P663" s="15">
        <v>2024</v>
      </c>
      <c r="Q663" s="15"/>
      <c r="R663" s="16"/>
      <c r="S663" s="16" t="str">
        <f ca="1">IF(
  O663 &lt; YEAR(TODAY()),
  "LULUS",
  IF(
    O663 = YEAR(TODAY()),
    IF(
      MATCH(L663, {"Januari";"Februari";"Maret";"April";"Mei";"Juni";"Juli";"Agustus";"September";"Oktober";"November";"Desember"}, 0)
        &gt;= MONTH(TODAY()),
      "AKTIF (Semester " &amp;
        (INT((12*(YEAR(TODAY())-M663) + MONTH(TODAY()) -
          MATCH(L663, {"Januari";"Februari";"Maret";"April";"Mei";"Juni";"Juli";"Agustus";"September";"Oktober";"November";"Desember"}, 0)) / 6) + 1) &amp; ")",
      "LULUS"
    ),
    "AKTIF (Semester " &amp;
      (INT((12*(YEAR(TODAY())-M663) + MONTH(TODAY()) -
        MATCH(L663, {"Januari";"Februari";"Maret";"April";"Mei";"Juni";"Juli";"Agustus";"September";"Oktober";"November";"Desember"}, 0)) / 6) + 1) &amp; ")"
  )
)</f>
        <v>LULUS</v>
      </c>
      <c r="T663" s="16" t="str">
        <f ca="1">IF(O663 &lt; YEAR(TODAY()), "LULUS",
 IF(O663 = YEAR(TODAY()),
    IF(MATCH(N663, {"Januari";"Februari";"Maret";"April";"Mei";"Juni";"Juli";"Agustus";"September";"Oktober";"November";"Desember"},0)
        &lt;= MONTH(TODAY()),
        "LULUS",
        "AKTIF"),
 "AKTIF"))</f>
        <v>LULUS</v>
      </c>
      <c r="U663" s="16" t="s">
        <v>29</v>
      </c>
      <c r="V663" s="15"/>
      <c r="W663" s="15"/>
      <c r="X663" s="15"/>
      <c r="Y663" s="15"/>
      <c r="Z663" s="15"/>
    </row>
    <row r="664" spans="1:26" ht="29" customHeight="1" x14ac:dyDescent="0.35">
      <c r="A664" s="12">
        <v>663</v>
      </c>
      <c r="B664" s="25" t="s">
        <v>2121</v>
      </c>
      <c r="C664" s="69" t="s">
        <v>2122</v>
      </c>
      <c r="D664" s="24" t="s">
        <v>109</v>
      </c>
      <c r="E664" s="14" t="str">
        <f t="shared" si="13"/>
        <v>Perempuan</v>
      </c>
      <c r="F664" s="72" t="s">
        <v>1807</v>
      </c>
      <c r="G664" s="25" t="s">
        <v>2110</v>
      </c>
      <c r="H664" s="19" t="s">
        <v>2111</v>
      </c>
      <c r="I664" s="19" t="s">
        <v>2112</v>
      </c>
      <c r="J664" s="19" t="s">
        <v>26</v>
      </c>
      <c r="K664" s="19" t="s">
        <v>1238</v>
      </c>
      <c r="L664" s="86" t="s">
        <v>28</v>
      </c>
      <c r="M664" s="15">
        <v>2023</v>
      </c>
      <c r="N664" s="15" t="s">
        <v>28</v>
      </c>
      <c r="O664" s="15">
        <v>2025</v>
      </c>
      <c r="P664" s="15">
        <v>2024</v>
      </c>
      <c r="Q664" s="15"/>
      <c r="R664" s="16"/>
      <c r="S664" s="16" t="str">
        <f ca="1">IF(
  O664 &lt; YEAR(TODAY()),
  "LULUS",
  IF(
    O664 = YEAR(TODAY()),
    IF(
      MATCH(L664, {"Januari";"Februari";"Maret";"April";"Mei";"Juni";"Juli";"Agustus";"September";"Oktober";"November";"Desember"}, 0)
        &gt;= MONTH(TODAY()),
      "AKTIF (Semester " &amp;
        (INT((12*(YEAR(TODAY())-M664) + MONTH(TODAY()) -
          MATCH(L664, {"Januari";"Februari";"Maret";"April";"Mei";"Juni";"Juli";"Agustus";"September";"Oktober";"November";"Desember"}, 0)) / 6) + 1) &amp; ")",
      "LULUS"
    ),
    "AKTIF (Semester " &amp;
      (INT((12*(YEAR(TODAY())-M664) + MONTH(TODAY()) -
        MATCH(L664, {"Januari";"Februari";"Maret";"April";"Mei";"Juni";"Juli";"Agustus";"September";"Oktober";"November";"Desember"}, 0)) / 6) + 1) &amp; ")"
  )
)</f>
        <v>LULUS</v>
      </c>
      <c r="T664" s="16" t="str">
        <f ca="1">IF(O664 &lt; YEAR(TODAY()), "LULUS",
 IF(O664 = YEAR(TODAY()),
    IF(MATCH(N664, {"Januari";"Februari";"Maret";"April";"Mei";"Juni";"Juli";"Agustus";"September";"Oktober";"November";"Desember"},0)
        &lt;= MONTH(TODAY()),
        "LULUS",
        "AKTIF"),
 "AKTIF"))</f>
        <v>LULUS</v>
      </c>
      <c r="U664" s="16" t="s">
        <v>29</v>
      </c>
      <c r="V664" s="15"/>
      <c r="W664" s="15"/>
      <c r="X664" s="15"/>
      <c r="Y664" s="15"/>
      <c r="Z664" s="15"/>
    </row>
    <row r="665" spans="1:26" ht="29" customHeight="1" x14ac:dyDescent="0.35">
      <c r="A665" s="12">
        <v>664</v>
      </c>
      <c r="B665" s="25" t="s">
        <v>2123</v>
      </c>
      <c r="C665" s="69" t="s">
        <v>2124</v>
      </c>
      <c r="D665" s="24" t="s">
        <v>109</v>
      </c>
      <c r="E665" s="14" t="str">
        <f t="shared" si="13"/>
        <v>Perempuan</v>
      </c>
      <c r="F665" s="72" t="s">
        <v>1807</v>
      </c>
      <c r="G665" s="25" t="s">
        <v>2110</v>
      </c>
      <c r="H665" s="19" t="s">
        <v>2111</v>
      </c>
      <c r="I665" s="19" t="s">
        <v>1395</v>
      </c>
      <c r="J665" s="19" t="s">
        <v>26</v>
      </c>
      <c r="K665" s="19" t="s">
        <v>407</v>
      </c>
      <c r="L665" s="86" t="s">
        <v>28</v>
      </c>
      <c r="M665" s="15">
        <v>2023</v>
      </c>
      <c r="N665" s="15" t="s">
        <v>28</v>
      </c>
      <c r="O665" s="15">
        <v>2025</v>
      </c>
      <c r="P665" s="15">
        <v>2024</v>
      </c>
      <c r="Q665" s="15"/>
      <c r="R665" s="16"/>
      <c r="S665" s="16" t="str">
        <f ca="1">IF(
  O665 &lt; YEAR(TODAY()),
  "LULUS",
  IF(
    O665 = YEAR(TODAY()),
    IF(
      MATCH(L665, {"Januari";"Februari";"Maret";"April";"Mei";"Juni";"Juli";"Agustus";"September";"Oktober";"November";"Desember"}, 0)
        &gt;= MONTH(TODAY()),
      "AKTIF (Semester " &amp;
        (INT((12*(YEAR(TODAY())-M665) + MONTH(TODAY()) -
          MATCH(L665, {"Januari";"Februari";"Maret";"April";"Mei";"Juni";"Juli";"Agustus";"September";"Oktober";"November";"Desember"}, 0)) / 6) + 1) &amp; ")",
      "LULUS"
    ),
    "AKTIF (Semester " &amp;
      (INT((12*(YEAR(TODAY())-M665) + MONTH(TODAY()) -
        MATCH(L665, {"Januari";"Februari";"Maret";"April";"Mei";"Juni";"Juli";"Agustus";"September";"Oktober";"November";"Desember"}, 0)) / 6) + 1) &amp; ")"
  )
)</f>
        <v>LULUS</v>
      </c>
      <c r="T665" s="16" t="str">
        <f ca="1">IF(O665 &lt; YEAR(TODAY()), "LULUS",
 IF(O665 = YEAR(TODAY()),
    IF(MATCH(N665, {"Januari";"Februari";"Maret";"April";"Mei";"Juni";"Juli";"Agustus";"September";"Oktober";"November";"Desember"},0)
        &lt;= MONTH(TODAY()),
        "LULUS",
        "AKTIF"),
 "AKTIF"))</f>
        <v>LULUS</v>
      </c>
      <c r="U665" s="16" t="s">
        <v>29</v>
      </c>
      <c r="V665" s="15"/>
      <c r="W665" s="15"/>
      <c r="X665" s="15"/>
      <c r="Y665" s="15"/>
      <c r="Z665" s="15"/>
    </row>
    <row r="666" spans="1:26" ht="29" customHeight="1" x14ac:dyDescent="0.35">
      <c r="A666" s="12">
        <v>665</v>
      </c>
      <c r="B666" s="25" t="s">
        <v>2125</v>
      </c>
      <c r="C666" s="69" t="s">
        <v>2126</v>
      </c>
      <c r="D666" s="24" t="s">
        <v>109</v>
      </c>
      <c r="E666" s="14" t="str">
        <f t="shared" si="13"/>
        <v>Perempuan</v>
      </c>
      <c r="F666" s="72" t="s">
        <v>1807</v>
      </c>
      <c r="G666" s="25" t="s">
        <v>2110</v>
      </c>
      <c r="H666" s="19" t="s">
        <v>2111</v>
      </c>
      <c r="I666" s="28" t="s">
        <v>2456</v>
      </c>
      <c r="J666" s="19" t="s">
        <v>26</v>
      </c>
      <c r="K666" s="19" t="s">
        <v>407</v>
      </c>
      <c r="L666" s="86" t="s">
        <v>28</v>
      </c>
      <c r="M666" s="15">
        <v>2023</v>
      </c>
      <c r="N666" s="15" t="s">
        <v>28</v>
      </c>
      <c r="O666" s="15">
        <v>2025</v>
      </c>
      <c r="P666" s="15">
        <v>2024</v>
      </c>
      <c r="Q666" s="15"/>
      <c r="R666" s="16"/>
      <c r="S666" s="16" t="str">
        <f ca="1">IF(
  O666 &lt; YEAR(TODAY()),
  "LULUS",
  IF(
    O666 = YEAR(TODAY()),
    IF(
      MATCH(L666, {"Januari";"Februari";"Maret";"April";"Mei";"Juni";"Juli";"Agustus";"September";"Oktober";"November";"Desember"}, 0)
        &gt;= MONTH(TODAY()),
      "AKTIF (Semester " &amp;
        (INT((12*(YEAR(TODAY())-M666) + MONTH(TODAY()) -
          MATCH(L666, {"Januari";"Februari";"Maret";"April";"Mei";"Juni";"Juli";"Agustus";"September";"Oktober";"November";"Desember"}, 0)) / 6) + 1) &amp; ")",
      "LULUS"
    ),
    "AKTIF (Semester " &amp;
      (INT((12*(YEAR(TODAY())-M666) + MONTH(TODAY()) -
        MATCH(L666, {"Januari";"Februari";"Maret";"April";"Mei";"Juni";"Juli";"Agustus";"September";"Oktober";"November";"Desember"}, 0)) / 6) + 1) &amp; ")"
  )
)</f>
        <v>LULUS</v>
      </c>
      <c r="T666" s="16" t="str">
        <f ca="1">IF(O666 &lt; YEAR(TODAY()), "LULUS",
 IF(O666 = YEAR(TODAY()),
    IF(MATCH(N666, {"Januari";"Februari";"Maret";"April";"Mei";"Juni";"Juli";"Agustus";"September";"Oktober";"November";"Desember"},0)
        &lt;= MONTH(TODAY()),
        "LULUS",
        "AKTIF"),
 "AKTIF"))</f>
        <v>LULUS</v>
      </c>
      <c r="U666" s="16" t="s">
        <v>29</v>
      </c>
      <c r="V666" s="15"/>
      <c r="W666" s="15"/>
      <c r="X666" s="15"/>
      <c r="Y666" s="15"/>
      <c r="Z666" s="15"/>
    </row>
    <row r="667" spans="1:26" ht="29" customHeight="1" x14ac:dyDescent="0.35">
      <c r="A667" s="12">
        <v>666</v>
      </c>
      <c r="B667" s="25" t="s">
        <v>2127</v>
      </c>
      <c r="C667" s="69" t="s">
        <v>2128</v>
      </c>
      <c r="D667" s="24" t="s">
        <v>109</v>
      </c>
      <c r="E667" s="14" t="str">
        <f t="shared" si="13"/>
        <v>Perempuan</v>
      </c>
      <c r="F667" s="72" t="s">
        <v>1807</v>
      </c>
      <c r="G667" s="25" t="s">
        <v>2110</v>
      </c>
      <c r="H667" s="19" t="s">
        <v>2111</v>
      </c>
      <c r="I667" s="28" t="s">
        <v>2456</v>
      </c>
      <c r="J667" s="19" t="s">
        <v>26</v>
      </c>
      <c r="K667" s="19" t="s">
        <v>407</v>
      </c>
      <c r="L667" s="86" t="s">
        <v>28</v>
      </c>
      <c r="M667" s="15">
        <v>2023</v>
      </c>
      <c r="N667" s="15" t="s">
        <v>28</v>
      </c>
      <c r="O667" s="15">
        <v>2025</v>
      </c>
      <c r="P667" s="15">
        <v>2024</v>
      </c>
      <c r="Q667" s="15"/>
      <c r="R667" s="16"/>
      <c r="S667" s="16" t="str">
        <f ca="1">IF(
  O667 &lt; YEAR(TODAY()),
  "LULUS",
  IF(
    O667 = YEAR(TODAY()),
    IF(
      MATCH(L667, {"Januari";"Februari";"Maret";"April";"Mei";"Juni";"Juli";"Agustus";"September";"Oktober";"November";"Desember"}, 0)
        &gt;= MONTH(TODAY()),
      "AKTIF (Semester " &amp;
        (INT((12*(YEAR(TODAY())-M667) + MONTH(TODAY()) -
          MATCH(L667, {"Januari";"Februari";"Maret";"April";"Mei";"Juni";"Juli";"Agustus";"September";"Oktober";"November";"Desember"}, 0)) / 6) + 1) &amp; ")",
      "LULUS"
    ),
    "AKTIF (Semester " &amp;
      (INT((12*(YEAR(TODAY())-M667) + MONTH(TODAY()) -
        MATCH(L667, {"Januari";"Februari";"Maret";"April";"Mei";"Juni";"Juli";"Agustus";"September";"Oktober";"November";"Desember"}, 0)) / 6) + 1) &amp; ")"
  )
)</f>
        <v>LULUS</v>
      </c>
      <c r="T667" s="16" t="str">
        <f ca="1">IF(O667 &lt; YEAR(TODAY()), "LULUS",
 IF(O667 = YEAR(TODAY()),
    IF(MATCH(N667, {"Januari";"Februari";"Maret";"April";"Mei";"Juni";"Juli";"Agustus";"September";"Oktober";"November";"Desember"},0)
        &lt;= MONTH(TODAY()),
        "LULUS",
        "AKTIF"),
 "AKTIF"))</f>
        <v>LULUS</v>
      </c>
      <c r="U667" s="16" t="s">
        <v>29</v>
      </c>
      <c r="V667" s="15"/>
      <c r="W667" s="15"/>
      <c r="X667" s="15"/>
      <c r="Y667" s="15"/>
      <c r="Z667" s="15"/>
    </row>
    <row r="668" spans="1:26" ht="29" customHeight="1" x14ac:dyDescent="0.35">
      <c r="A668" s="12">
        <v>667</v>
      </c>
      <c r="B668" s="25" t="s">
        <v>2129</v>
      </c>
      <c r="C668" s="69" t="s">
        <v>2130</v>
      </c>
      <c r="D668" s="24" t="s">
        <v>109</v>
      </c>
      <c r="E668" s="14" t="str">
        <f t="shared" si="13"/>
        <v>Laki-Laki</v>
      </c>
      <c r="F668" s="72" t="s">
        <v>1807</v>
      </c>
      <c r="G668" s="25" t="s">
        <v>2110</v>
      </c>
      <c r="H668" s="19" t="s">
        <v>2111</v>
      </c>
      <c r="I668" s="19" t="s">
        <v>460</v>
      </c>
      <c r="J668" s="19" t="s">
        <v>26</v>
      </c>
      <c r="K668" s="19" t="s">
        <v>2131</v>
      </c>
      <c r="L668" s="86" t="s">
        <v>28</v>
      </c>
      <c r="M668" s="15">
        <v>2023</v>
      </c>
      <c r="N668" s="15" t="s">
        <v>28</v>
      </c>
      <c r="O668" s="15">
        <v>2025</v>
      </c>
      <c r="P668" s="15">
        <v>2024</v>
      </c>
      <c r="Q668" s="15"/>
      <c r="R668" s="16"/>
      <c r="S668" s="16" t="str">
        <f ca="1">IF(
  O668 &lt; YEAR(TODAY()),
  "LULUS",
  IF(
    O668 = YEAR(TODAY()),
    IF(
      MATCH(L668, {"Januari";"Februari";"Maret";"April";"Mei";"Juni";"Juli";"Agustus";"September";"Oktober";"November";"Desember"}, 0)
        &gt;= MONTH(TODAY()),
      "AKTIF (Semester " &amp;
        (INT((12*(YEAR(TODAY())-M668) + MONTH(TODAY()) -
          MATCH(L668, {"Januari";"Februari";"Maret";"April";"Mei";"Juni";"Juli";"Agustus";"September";"Oktober";"November";"Desember"}, 0)) / 6) + 1) &amp; ")",
      "LULUS"
    ),
    "AKTIF (Semester " &amp;
      (INT((12*(YEAR(TODAY())-M668) + MONTH(TODAY()) -
        MATCH(L668, {"Januari";"Februari";"Maret";"April";"Mei";"Juni";"Juli";"Agustus";"September";"Oktober";"November";"Desember"}, 0)) / 6) + 1) &amp; ")"
  )
)</f>
        <v>LULUS</v>
      </c>
      <c r="T668" s="16" t="str">
        <f ca="1">IF(O668 &lt; YEAR(TODAY()), "LULUS",
 IF(O668 = YEAR(TODAY()),
    IF(MATCH(N668, {"Januari";"Februari";"Maret";"April";"Mei";"Juni";"Juli";"Agustus";"September";"Oktober";"November";"Desember"},0)
        &lt;= MONTH(TODAY()),
        "LULUS",
        "AKTIF"),
 "AKTIF"))</f>
        <v>LULUS</v>
      </c>
      <c r="U668" s="16" t="s">
        <v>29</v>
      </c>
      <c r="V668" s="15"/>
      <c r="W668" s="15"/>
      <c r="X668" s="15"/>
      <c r="Y668" s="15"/>
      <c r="Z668" s="15"/>
    </row>
    <row r="669" spans="1:26" ht="29" customHeight="1" x14ac:dyDescent="0.35">
      <c r="A669" s="12">
        <v>668</v>
      </c>
      <c r="B669" s="25" t="s">
        <v>2132</v>
      </c>
      <c r="C669" s="69" t="s">
        <v>2133</v>
      </c>
      <c r="D669" s="24" t="s">
        <v>116</v>
      </c>
      <c r="E669" s="14" t="str">
        <f t="shared" si="13"/>
        <v>Laki-Laki</v>
      </c>
      <c r="F669" s="72" t="s">
        <v>1730</v>
      </c>
      <c r="G669" s="25" t="s">
        <v>2110</v>
      </c>
      <c r="H669" s="19" t="s">
        <v>2111</v>
      </c>
      <c r="I669" s="19" t="s">
        <v>90</v>
      </c>
      <c r="J669" s="19" t="s">
        <v>45</v>
      </c>
      <c r="K669" s="19" t="s">
        <v>2134</v>
      </c>
      <c r="L669" s="86" t="s">
        <v>28</v>
      </c>
      <c r="M669" s="15">
        <v>2023</v>
      </c>
      <c r="N669" s="15" t="s">
        <v>28</v>
      </c>
      <c r="O669" s="15">
        <v>2027</v>
      </c>
      <c r="P669" s="15">
        <v>2024</v>
      </c>
      <c r="Q669" s="15"/>
      <c r="R669" s="16"/>
      <c r="S669" s="16" t="str">
        <f ca="1">IF(
  O669 &lt; YEAR(TODAY()),
  "LULUS",
  IF(
    O669 = YEAR(TODAY()),
    IF(
      MATCH(L669, {"Januari";"Februari";"Maret";"April";"Mei";"Juni";"Juli";"Agustus";"September";"Oktober";"November";"Desember"}, 0)
        &gt;= MONTH(TODAY()),
      "AKTIF (Semester " &amp;
        (INT((12*(YEAR(TODAY())-M669) + MONTH(TODAY()) -
          MATCH(L669, {"Januari";"Februari";"Maret";"April";"Mei";"Juni";"Juli";"Agustus";"September";"Oktober";"November";"Desember"}, 0)) / 6) + 1) &amp; ")",
      "LULUS"
    ),
    "AKTIF (Semester " &amp;
      (INT((12*(YEAR(TODAY())-M669) + MONTH(TODAY()) -
        MATCH(L669, {"Januari";"Februari";"Maret";"April";"Mei";"Juni";"Juli";"Agustus";"September";"Oktober";"November";"Desember"}, 0)) / 6) + 1) &amp; ")"
  )
)</f>
        <v>AKTIF (Semester 5)</v>
      </c>
      <c r="T669" s="16" t="str">
        <f ca="1">IF(O669 &lt; YEAR(TODAY()), "LULUS",
 IF(O669 = YEAR(TODAY()),
    IF(MATCH(N669, {"Januari";"Februari";"Maret";"April";"Mei";"Juni";"Juli";"Agustus";"September";"Oktober";"November";"Desember"},0)
        &lt;= MONTH(TODAY()),
        "LULUS",
        "AKTIF"),
 "AKTIF"))</f>
        <v>AKTIF</v>
      </c>
      <c r="U669" s="16" t="s">
        <v>2941</v>
      </c>
      <c r="V669" s="15"/>
      <c r="W669" s="15"/>
      <c r="X669" s="15"/>
      <c r="Y669" s="15"/>
      <c r="Z669" s="15"/>
    </row>
    <row r="670" spans="1:26" ht="29" customHeight="1" x14ac:dyDescent="0.35">
      <c r="A670" s="12">
        <v>669</v>
      </c>
      <c r="B670" s="25" t="s">
        <v>2135</v>
      </c>
      <c r="C670" s="69" t="s">
        <v>2136</v>
      </c>
      <c r="D670" s="24" t="s">
        <v>116</v>
      </c>
      <c r="E670" s="14" t="str">
        <f t="shared" si="13"/>
        <v>Laki-Laki</v>
      </c>
      <c r="F670" s="72" t="s">
        <v>1657</v>
      </c>
      <c r="G670" s="25" t="s">
        <v>2110</v>
      </c>
      <c r="H670" s="19" t="s">
        <v>2111</v>
      </c>
      <c r="I670" s="19" t="s">
        <v>460</v>
      </c>
      <c r="J670" s="19" t="s">
        <v>45</v>
      </c>
      <c r="K670" s="19" t="s">
        <v>1238</v>
      </c>
      <c r="L670" s="86" t="s">
        <v>28</v>
      </c>
      <c r="M670" s="15">
        <v>2023</v>
      </c>
      <c r="N670" s="15" t="s">
        <v>28</v>
      </c>
      <c r="O670" s="15">
        <v>2027</v>
      </c>
      <c r="P670" s="15">
        <v>2024</v>
      </c>
      <c r="Q670" s="15"/>
      <c r="R670" s="16"/>
      <c r="S670" s="16" t="str">
        <f ca="1">IF(
  O670 &lt; YEAR(TODAY()),
  "LULUS",
  IF(
    O670 = YEAR(TODAY()),
    IF(
      MATCH(L670, {"Januari";"Februari";"Maret";"April";"Mei";"Juni";"Juli";"Agustus";"September";"Oktober";"November";"Desember"}, 0)
        &gt;= MONTH(TODAY()),
      "AKTIF (Semester " &amp;
        (INT((12*(YEAR(TODAY())-M670) + MONTH(TODAY()) -
          MATCH(L670, {"Januari";"Februari";"Maret";"April";"Mei";"Juni";"Juli";"Agustus";"September";"Oktober";"November";"Desember"}, 0)) / 6) + 1) &amp; ")",
      "LULUS"
    ),
    "AKTIF (Semester " &amp;
      (INT((12*(YEAR(TODAY())-M670) + MONTH(TODAY()) -
        MATCH(L670, {"Januari";"Februari";"Maret";"April";"Mei";"Juni";"Juli";"Agustus";"September";"Oktober";"November";"Desember"}, 0)) / 6) + 1) &amp; ")"
  )
)</f>
        <v>AKTIF (Semester 5)</v>
      </c>
      <c r="T670" s="16" t="str">
        <f ca="1">IF(O670 &lt; YEAR(TODAY()), "LULUS",
 IF(O670 = YEAR(TODAY()),
    IF(MATCH(N670, {"Januari";"Februari";"Maret";"April";"Mei";"Juni";"Juli";"Agustus";"September";"Oktober";"November";"Desember"},0)
        &lt;= MONTH(TODAY()),
        "LULUS",
        "AKTIF"),
 "AKTIF"))</f>
        <v>AKTIF</v>
      </c>
      <c r="U670" s="16" t="s">
        <v>2941</v>
      </c>
      <c r="V670" s="15"/>
      <c r="W670" s="15"/>
      <c r="X670" s="15"/>
      <c r="Y670" s="15"/>
      <c r="Z670" s="15"/>
    </row>
    <row r="671" spans="1:26" ht="29" customHeight="1" x14ac:dyDescent="0.35">
      <c r="A671" s="12">
        <v>670</v>
      </c>
      <c r="B671" s="25" t="s">
        <v>2137</v>
      </c>
      <c r="C671" s="69" t="s">
        <v>2138</v>
      </c>
      <c r="D671" s="24" t="s">
        <v>116</v>
      </c>
      <c r="E671" s="14" t="str">
        <f t="shared" si="13"/>
        <v>Laki-Laki</v>
      </c>
      <c r="F671" s="72" t="s">
        <v>1657</v>
      </c>
      <c r="G671" s="25" t="s">
        <v>2110</v>
      </c>
      <c r="H671" s="19" t="s">
        <v>2111</v>
      </c>
      <c r="I671" s="19" t="s">
        <v>2112</v>
      </c>
      <c r="J671" s="19" t="s">
        <v>45</v>
      </c>
      <c r="K671" s="19" t="s">
        <v>1238</v>
      </c>
      <c r="L671" s="86" t="s">
        <v>28</v>
      </c>
      <c r="M671" s="15">
        <v>2023</v>
      </c>
      <c r="N671" s="15" t="s">
        <v>28</v>
      </c>
      <c r="O671" s="15">
        <v>2027</v>
      </c>
      <c r="P671" s="15">
        <v>2024</v>
      </c>
      <c r="Q671" s="15"/>
      <c r="R671" s="16"/>
      <c r="S671" s="16" t="str">
        <f ca="1">IF(
  O671 &lt; YEAR(TODAY()),
  "LULUS",
  IF(
    O671 = YEAR(TODAY()),
    IF(
      MATCH(L671, {"Januari";"Februari";"Maret";"April";"Mei";"Juni";"Juli";"Agustus";"September";"Oktober";"November";"Desember"}, 0)
        &gt;= MONTH(TODAY()),
      "AKTIF (Semester " &amp;
        (INT((12*(YEAR(TODAY())-M671) + MONTH(TODAY()) -
          MATCH(L671, {"Januari";"Februari";"Maret";"April";"Mei";"Juni";"Juli";"Agustus";"September";"Oktober";"November";"Desember"}, 0)) / 6) + 1) &amp; ")",
      "LULUS"
    ),
    "AKTIF (Semester " &amp;
      (INT((12*(YEAR(TODAY())-M671) + MONTH(TODAY()) -
        MATCH(L671, {"Januari";"Februari";"Maret";"April";"Mei";"Juni";"Juli";"Agustus";"September";"Oktober";"November";"Desember"}, 0)) / 6) + 1) &amp; ")"
  )
)</f>
        <v>AKTIF (Semester 5)</v>
      </c>
      <c r="T671" s="16" t="str">
        <f ca="1">IF(O671 &lt; YEAR(TODAY()), "LULUS",
 IF(O671 = YEAR(TODAY()),
    IF(MATCH(N671, {"Januari";"Februari";"Maret";"April";"Mei";"Juni";"Juli";"Agustus";"September";"Oktober";"November";"Desember"},0)
        &lt;= MONTH(TODAY()),
        "LULUS",
        "AKTIF"),
 "AKTIF"))</f>
        <v>AKTIF</v>
      </c>
      <c r="U671" s="16" t="s">
        <v>2941</v>
      </c>
      <c r="V671" s="15"/>
      <c r="W671" s="15"/>
      <c r="X671" s="15"/>
      <c r="Y671" s="15"/>
      <c r="Z671" s="15"/>
    </row>
    <row r="672" spans="1:26" ht="29" customHeight="1" x14ac:dyDescent="0.35">
      <c r="A672" s="12">
        <v>671</v>
      </c>
      <c r="B672" s="73" t="s">
        <v>2844</v>
      </c>
      <c r="C672" s="69" t="s">
        <v>2139</v>
      </c>
      <c r="D672" s="24" t="s">
        <v>126</v>
      </c>
      <c r="E672" s="14" t="str">
        <f t="shared" si="13"/>
        <v>Perempuan</v>
      </c>
      <c r="F672" s="72" t="s">
        <v>1657</v>
      </c>
      <c r="G672" s="25" t="s">
        <v>2110</v>
      </c>
      <c r="H672" s="19" t="s">
        <v>2111</v>
      </c>
      <c r="I672" s="19" t="s">
        <v>2140</v>
      </c>
      <c r="J672" s="19" t="s">
        <v>45</v>
      </c>
      <c r="K672" s="19" t="s">
        <v>1238</v>
      </c>
      <c r="L672" s="86" t="s">
        <v>28</v>
      </c>
      <c r="M672" s="15">
        <v>2023</v>
      </c>
      <c r="N672" s="15" t="s">
        <v>28</v>
      </c>
      <c r="O672" s="15">
        <v>2027</v>
      </c>
      <c r="P672" s="15">
        <v>2024</v>
      </c>
      <c r="Q672" s="15"/>
      <c r="R672" s="16"/>
      <c r="S672" s="16" t="str">
        <f ca="1">IF(
  O672 &lt; YEAR(TODAY()),
  "LULUS",
  IF(
    O672 = YEAR(TODAY()),
    IF(
      MATCH(L672, {"Januari";"Februari";"Maret";"April";"Mei";"Juni";"Juli";"Agustus";"September";"Oktober";"November";"Desember"}, 0)
        &gt;= MONTH(TODAY()),
      "AKTIF (Semester " &amp;
        (INT((12*(YEAR(TODAY())-M672) + MONTH(TODAY()) -
          MATCH(L672, {"Januari";"Februari";"Maret";"April";"Mei";"Juni";"Juli";"Agustus";"September";"Oktober";"November";"Desember"}, 0)) / 6) + 1) &amp; ")",
      "LULUS"
    ),
    "AKTIF (Semester " &amp;
      (INT((12*(YEAR(TODAY())-M672) + MONTH(TODAY()) -
        MATCH(L672, {"Januari";"Februari";"Maret";"April";"Mei";"Juni";"Juli";"Agustus";"September";"Oktober";"November";"Desember"}, 0)) / 6) + 1) &amp; ")"
  )
)</f>
        <v>AKTIF (Semester 5)</v>
      </c>
      <c r="T672" s="16" t="str">
        <f ca="1">IF(O672 &lt; YEAR(TODAY()), "LULUS",
 IF(O672 = YEAR(TODAY()),
    IF(MATCH(N672, {"Januari";"Februari";"Maret";"April";"Mei";"Juni";"Juli";"Agustus";"September";"Oktober";"November";"Desember"},0)
        &lt;= MONTH(TODAY()),
        "LULUS",
        "AKTIF"),
 "AKTIF"))</f>
        <v>AKTIF</v>
      </c>
      <c r="U672" s="16" t="s">
        <v>2941</v>
      </c>
      <c r="V672" s="15"/>
      <c r="W672" s="15"/>
      <c r="X672" s="15"/>
      <c r="Y672" s="15"/>
      <c r="Z672" s="15"/>
    </row>
    <row r="673" spans="1:26" ht="29" customHeight="1" x14ac:dyDescent="0.35">
      <c r="A673" s="12">
        <v>672</v>
      </c>
      <c r="B673" s="25" t="s">
        <v>2141</v>
      </c>
      <c r="C673" s="69" t="s">
        <v>2142</v>
      </c>
      <c r="D673" s="24" t="s">
        <v>98</v>
      </c>
      <c r="E673" s="14" t="str">
        <f t="shared" si="13"/>
        <v>Laki-Laki</v>
      </c>
      <c r="F673" s="72" t="s">
        <v>1730</v>
      </c>
      <c r="G673" s="25" t="s">
        <v>2110</v>
      </c>
      <c r="H673" s="19" t="s">
        <v>2111</v>
      </c>
      <c r="I673" s="19" t="s">
        <v>2140</v>
      </c>
      <c r="J673" s="19" t="s">
        <v>45</v>
      </c>
      <c r="K673" s="19" t="s">
        <v>1238</v>
      </c>
      <c r="L673" s="86" t="s">
        <v>28</v>
      </c>
      <c r="M673" s="15">
        <v>2023</v>
      </c>
      <c r="N673" s="15" t="s">
        <v>28</v>
      </c>
      <c r="O673" s="15">
        <v>2027</v>
      </c>
      <c r="P673" s="15">
        <v>2024</v>
      </c>
      <c r="Q673" s="15"/>
      <c r="R673" s="16"/>
      <c r="S673" s="16" t="str">
        <f ca="1">IF(
  O673 &lt; YEAR(TODAY()),
  "LULUS",
  IF(
    O673 = YEAR(TODAY()),
    IF(
      MATCH(L673, {"Januari";"Februari";"Maret";"April";"Mei";"Juni";"Juli";"Agustus";"September";"Oktober";"November";"Desember"}, 0)
        &gt;= MONTH(TODAY()),
      "AKTIF (Semester " &amp;
        (INT((12*(YEAR(TODAY())-M673) + MONTH(TODAY()) -
          MATCH(L673, {"Januari";"Februari";"Maret";"April";"Mei";"Juni";"Juli";"Agustus";"September";"Oktober";"November";"Desember"}, 0)) / 6) + 1) &amp; ")",
      "LULUS"
    ),
    "AKTIF (Semester " &amp;
      (INT((12*(YEAR(TODAY())-M673) + MONTH(TODAY()) -
        MATCH(L673, {"Januari";"Februari";"Maret";"April";"Mei";"Juni";"Juli";"Agustus";"September";"Oktober";"November";"Desember"}, 0)) / 6) + 1) &amp; ")"
  )
)</f>
        <v>AKTIF (Semester 5)</v>
      </c>
      <c r="T673" s="16" t="str">
        <f ca="1">IF(O673 &lt; YEAR(TODAY()), "LULUS",
 IF(O673 = YEAR(TODAY()),
    IF(MATCH(N673, {"Januari";"Februari";"Maret";"April";"Mei";"Juni";"Juli";"Agustus";"September";"Oktober";"November";"Desember"},0)
        &lt;= MONTH(TODAY()),
        "LULUS",
        "AKTIF"),
 "AKTIF"))</f>
        <v>AKTIF</v>
      </c>
      <c r="U673" s="16" t="s">
        <v>2941</v>
      </c>
      <c r="V673" s="15"/>
      <c r="W673" s="15"/>
      <c r="X673" s="15"/>
      <c r="Y673" s="15"/>
      <c r="Z673" s="15"/>
    </row>
    <row r="674" spans="1:26" ht="29" customHeight="1" x14ac:dyDescent="0.35">
      <c r="A674" s="12">
        <v>673</v>
      </c>
      <c r="B674" s="25" t="s">
        <v>2143</v>
      </c>
      <c r="C674" s="69" t="s">
        <v>2144</v>
      </c>
      <c r="D674" s="24" t="s">
        <v>116</v>
      </c>
      <c r="E674" s="14" t="str">
        <f t="shared" si="13"/>
        <v>Laki-Laki</v>
      </c>
      <c r="F674" s="72" t="s">
        <v>1716</v>
      </c>
      <c r="G674" s="25" t="s">
        <v>2110</v>
      </c>
      <c r="H674" s="19" t="s">
        <v>2145</v>
      </c>
      <c r="I674" s="19" t="s">
        <v>90</v>
      </c>
      <c r="J674" s="19" t="s">
        <v>45</v>
      </c>
      <c r="K674" s="19" t="s">
        <v>2134</v>
      </c>
      <c r="L674" s="86" t="s">
        <v>28</v>
      </c>
      <c r="M674" s="15">
        <v>2023</v>
      </c>
      <c r="N674" s="15" t="s">
        <v>28</v>
      </c>
      <c r="O674" s="15">
        <v>2027</v>
      </c>
      <c r="P674" s="15">
        <v>2024</v>
      </c>
      <c r="Q674" s="15"/>
      <c r="R674" s="16"/>
      <c r="S674" s="16" t="str">
        <f ca="1">IF(
  O674 &lt; YEAR(TODAY()),
  "LULUS",
  IF(
    O674 = YEAR(TODAY()),
    IF(
      MATCH(L674, {"Januari";"Februari";"Maret";"April";"Mei";"Juni";"Juli";"Agustus";"September";"Oktober";"November";"Desember"}, 0)
        &gt;= MONTH(TODAY()),
      "AKTIF (Semester " &amp;
        (INT((12*(YEAR(TODAY())-M674) + MONTH(TODAY()) -
          MATCH(L674, {"Januari";"Februari";"Maret";"April";"Mei";"Juni";"Juli";"Agustus";"September";"Oktober";"November";"Desember"}, 0)) / 6) + 1) &amp; ")",
      "LULUS"
    ),
    "AKTIF (Semester " &amp;
      (INT((12*(YEAR(TODAY())-M674) + MONTH(TODAY()) -
        MATCH(L674, {"Januari";"Februari";"Maret";"April";"Mei";"Juni";"Juli";"Agustus";"September";"Oktober";"November";"Desember"}, 0)) / 6) + 1) &amp; ")"
  )
)</f>
        <v>AKTIF (Semester 5)</v>
      </c>
      <c r="T674" s="16" t="str">
        <f ca="1">IF(O674 &lt; YEAR(TODAY()), "LULUS",
 IF(O674 = YEAR(TODAY()),
    IF(MATCH(N674, {"Januari";"Februari";"Maret";"April";"Mei";"Juni";"Juli";"Agustus";"September";"Oktober";"November";"Desember"},0)
        &lt;= MONTH(TODAY()),
        "LULUS",
        "AKTIF"),
 "AKTIF"))</f>
        <v>AKTIF</v>
      </c>
      <c r="U674" s="16" t="s">
        <v>2941</v>
      </c>
      <c r="V674" s="15"/>
      <c r="W674" s="15"/>
      <c r="X674" s="15"/>
      <c r="Y674" s="15"/>
      <c r="Z674" s="15"/>
    </row>
    <row r="675" spans="1:26" ht="29" customHeight="1" x14ac:dyDescent="0.35">
      <c r="A675" s="12">
        <v>674</v>
      </c>
      <c r="B675" s="25" t="s">
        <v>2146</v>
      </c>
      <c r="C675" s="69" t="s">
        <v>2147</v>
      </c>
      <c r="D675" s="24" t="s">
        <v>126</v>
      </c>
      <c r="E675" s="14" t="str">
        <f t="shared" si="13"/>
        <v>Laki-Laki</v>
      </c>
      <c r="F675" s="72" t="s">
        <v>2148</v>
      </c>
      <c r="G675" s="25" t="s">
        <v>2110</v>
      </c>
      <c r="H675" s="19" t="s">
        <v>2149</v>
      </c>
      <c r="I675" s="19" t="s">
        <v>90</v>
      </c>
      <c r="J675" s="19" t="s">
        <v>45</v>
      </c>
      <c r="K675" s="19" t="s">
        <v>2134</v>
      </c>
      <c r="L675" s="86" t="s">
        <v>28</v>
      </c>
      <c r="M675" s="15">
        <v>2023</v>
      </c>
      <c r="N675" s="15" t="s">
        <v>28</v>
      </c>
      <c r="O675" s="15">
        <v>2027</v>
      </c>
      <c r="P675" s="15">
        <v>2024</v>
      </c>
      <c r="Q675" s="15"/>
      <c r="R675" s="16"/>
      <c r="S675" s="16" t="str">
        <f ca="1">IF(
  O675 &lt; YEAR(TODAY()),
  "LULUS",
  IF(
    O675 = YEAR(TODAY()),
    IF(
      MATCH(L675, {"Januari";"Februari";"Maret";"April";"Mei";"Juni";"Juli";"Agustus";"September";"Oktober";"November";"Desember"}, 0)
        &gt;= MONTH(TODAY()),
      "AKTIF (Semester " &amp;
        (INT((12*(YEAR(TODAY())-M675) + MONTH(TODAY()) -
          MATCH(L675, {"Januari";"Februari";"Maret";"April";"Mei";"Juni";"Juli";"Agustus";"September";"Oktober";"November";"Desember"}, 0)) / 6) + 1) &amp; ")",
      "LULUS"
    ),
    "AKTIF (Semester " &amp;
      (INT((12*(YEAR(TODAY())-M675) + MONTH(TODAY()) -
        MATCH(L675, {"Januari";"Februari";"Maret";"April";"Mei";"Juni";"Juli";"Agustus";"September";"Oktober";"November";"Desember"}, 0)) / 6) + 1) &amp; ")"
  )
)</f>
        <v>AKTIF (Semester 5)</v>
      </c>
      <c r="T675" s="16" t="str">
        <f ca="1">IF(O675 &lt; YEAR(TODAY()), "LULUS",
 IF(O675 = YEAR(TODAY()),
    IF(MATCH(N675, {"Januari";"Februari";"Maret";"April";"Mei";"Juni";"Juli";"Agustus";"September";"Oktober";"November";"Desember"},0)
        &lt;= MONTH(TODAY()),
        "LULUS",
        "AKTIF"),
 "AKTIF"))</f>
        <v>AKTIF</v>
      </c>
      <c r="U675" s="16" t="s">
        <v>2941</v>
      </c>
      <c r="V675" s="15"/>
      <c r="W675" s="15"/>
      <c r="X675" s="15"/>
      <c r="Y675" s="15"/>
      <c r="Z675" s="15"/>
    </row>
    <row r="676" spans="1:26" ht="29" customHeight="1" x14ac:dyDescent="0.35">
      <c r="A676" s="12">
        <v>675</v>
      </c>
      <c r="B676" s="25" t="s">
        <v>2150</v>
      </c>
      <c r="C676" s="69" t="s">
        <v>2151</v>
      </c>
      <c r="D676" s="24" t="s">
        <v>126</v>
      </c>
      <c r="E676" s="14" t="str">
        <f t="shared" si="13"/>
        <v>Laki-Laki</v>
      </c>
      <c r="F676" s="72" t="s">
        <v>2148</v>
      </c>
      <c r="G676" s="25" t="s">
        <v>2110</v>
      </c>
      <c r="H676" s="19" t="s">
        <v>2149</v>
      </c>
      <c r="I676" s="19" t="s">
        <v>90</v>
      </c>
      <c r="J676" s="19" t="s">
        <v>45</v>
      </c>
      <c r="K676" s="19" t="s">
        <v>2134</v>
      </c>
      <c r="L676" s="86" t="s">
        <v>169</v>
      </c>
      <c r="M676" s="15">
        <v>2023</v>
      </c>
      <c r="N676" s="15" t="s">
        <v>169</v>
      </c>
      <c r="O676" s="15">
        <v>2027</v>
      </c>
      <c r="P676" s="15">
        <v>2024</v>
      </c>
      <c r="Q676" s="15"/>
      <c r="R676" s="16"/>
      <c r="S676" s="16" t="str">
        <f ca="1">IF(
  O676 &lt; YEAR(TODAY()),
  "LULUS",
  IF(
    O676 = YEAR(TODAY()),
    IF(
      MATCH(L676, {"Januari";"Februari";"Maret";"April";"Mei";"Juni";"Juli";"Agustus";"September";"Oktober";"November";"Desember"}, 0)
        &gt;= MONTH(TODAY()),
      "AKTIF (Semester " &amp;
        (INT((12*(YEAR(TODAY())-M676) + MONTH(TODAY()) -
          MATCH(L676, {"Januari";"Februari";"Maret";"April";"Mei";"Juni";"Juli";"Agustus";"September";"Oktober";"November";"Desember"}, 0)) / 6) + 1) &amp; ")",
      "LULUS"
    ),
    "AKTIF (Semester " &amp;
      (INT((12*(YEAR(TODAY())-M676) + MONTH(TODAY()) -
        MATCH(L676, {"Januari";"Februari";"Maret";"April";"Mei";"Juni";"Juli";"Agustus";"September";"Oktober";"November";"Desember"}, 0)) / 6) + 1) &amp; ")"
  )
)</f>
        <v>AKTIF (Semester 5)</v>
      </c>
      <c r="T676" s="16" t="str">
        <f ca="1">IF(O676 &lt; YEAR(TODAY()), "LULUS",
 IF(O676 = YEAR(TODAY()),
    IF(MATCH(N676, {"Januari";"Februari";"Maret";"April";"Mei";"Juni";"Juli";"Agustus";"September";"Oktober";"November";"Desember"},0)
        &lt;= MONTH(TODAY()),
        "LULUS",
        "AKTIF"),
 "AKTIF"))</f>
        <v>AKTIF</v>
      </c>
      <c r="U676" s="16" t="s">
        <v>2941</v>
      </c>
      <c r="V676" s="15"/>
      <c r="W676" s="15"/>
      <c r="X676" s="15"/>
      <c r="Y676" s="15"/>
      <c r="Z676" s="15"/>
    </row>
    <row r="677" spans="1:26" ht="29" customHeight="1" x14ac:dyDescent="0.35">
      <c r="A677" s="12">
        <v>676</v>
      </c>
      <c r="B677" s="25" t="s">
        <v>2152</v>
      </c>
      <c r="C677" s="69" t="s">
        <v>2153</v>
      </c>
      <c r="D677" s="24" t="s">
        <v>109</v>
      </c>
      <c r="E677" s="14" t="str">
        <f t="shared" si="13"/>
        <v>Perempuan</v>
      </c>
      <c r="F677" s="72" t="s">
        <v>1629</v>
      </c>
      <c r="G677" s="25" t="s">
        <v>2110</v>
      </c>
      <c r="H677" s="19" t="s">
        <v>1547</v>
      </c>
      <c r="I677" s="19" t="s">
        <v>90</v>
      </c>
      <c r="J677" s="19" t="s">
        <v>26</v>
      </c>
      <c r="K677" s="19" t="s">
        <v>1631</v>
      </c>
      <c r="L677" s="86" t="s">
        <v>28</v>
      </c>
      <c r="M677" s="15">
        <v>2023</v>
      </c>
      <c r="N677" s="15" t="s">
        <v>28</v>
      </c>
      <c r="O677" s="15">
        <v>2025</v>
      </c>
      <c r="P677" s="15">
        <v>2024</v>
      </c>
      <c r="Q677" s="15"/>
      <c r="R677" s="16"/>
      <c r="S677" s="16" t="str">
        <f ca="1">IF(
  O677 &lt; YEAR(TODAY()),
  "LULUS",
  IF(
    O677 = YEAR(TODAY()),
    IF(
      MATCH(L677, {"Januari";"Februari";"Maret";"April";"Mei";"Juni";"Juli";"Agustus";"September";"Oktober";"November";"Desember"}, 0)
        &gt;= MONTH(TODAY()),
      "AKTIF (Semester " &amp;
        (INT((12*(YEAR(TODAY())-M677) + MONTH(TODAY()) -
          MATCH(L677, {"Januari";"Februari";"Maret";"April";"Mei";"Juni";"Juli";"Agustus";"September";"Oktober";"November";"Desember"}, 0)) / 6) + 1) &amp; ")",
      "LULUS"
    ),
    "AKTIF (Semester " &amp;
      (INT((12*(YEAR(TODAY())-M677) + MONTH(TODAY()) -
        MATCH(L677, {"Januari";"Februari";"Maret";"April";"Mei";"Juni";"Juli";"Agustus";"September";"Oktober";"November";"Desember"}, 0)) / 6) + 1) &amp; ")"
  )
)</f>
        <v>LULUS</v>
      </c>
      <c r="T677" s="16" t="str">
        <f ca="1">IF(O677 &lt; YEAR(TODAY()), "LULUS",
 IF(O677 = YEAR(TODAY()),
    IF(MATCH(N677, {"Januari";"Februari";"Maret";"April";"Mei";"Juni";"Juli";"Agustus";"September";"Oktober";"November";"Desember"},0)
        &lt;= MONTH(TODAY()),
        "LULUS",
        "AKTIF"),
 "AKTIF"))</f>
        <v>LULUS</v>
      </c>
      <c r="U677" s="16" t="s">
        <v>29</v>
      </c>
      <c r="V677" s="15"/>
      <c r="W677" s="15"/>
      <c r="X677" s="15"/>
      <c r="Y677" s="15"/>
      <c r="Z677" s="15"/>
    </row>
    <row r="678" spans="1:26" ht="29" customHeight="1" x14ac:dyDescent="0.35">
      <c r="A678" s="12">
        <v>677</v>
      </c>
      <c r="B678" s="25" t="s">
        <v>2154</v>
      </c>
      <c r="C678" s="69" t="s">
        <v>2155</v>
      </c>
      <c r="D678" s="24"/>
      <c r="E678" s="14" t="str">
        <f t="shared" si="13"/>
        <v>Laki-Laki</v>
      </c>
      <c r="F678" s="72" t="s">
        <v>2156</v>
      </c>
      <c r="G678" s="25" t="s">
        <v>2110</v>
      </c>
      <c r="H678" s="19" t="s">
        <v>2157</v>
      </c>
      <c r="I678" s="19" t="s">
        <v>2158</v>
      </c>
      <c r="J678" s="19" t="s">
        <v>242</v>
      </c>
      <c r="K678" s="19" t="s">
        <v>257</v>
      </c>
      <c r="L678" s="19"/>
      <c r="M678" s="15"/>
      <c r="N678" s="15">
        <v>0</v>
      </c>
      <c r="O678" s="15" t="s">
        <v>51</v>
      </c>
      <c r="P678" s="15">
        <v>2024</v>
      </c>
      <c r="Q678" s="15"/>
      <c r="R678" s="16"/>
      <c r="S678" s="16" t="e">
        <f ca="1">IF(
  O678 &lt; YEAR(TODAY()),
  "LULUS",
  IF(
    O678 = YEAR(TODAY()),
    IF(
      MATCH(L678, {"Januari";"Februari";"Maret";"April";"Mei";"Juni";"Juli";"Agustus";"September";"Oktober";"November";"Desember"}, 0)
        &gt;= MONTH(TODAY()),
      "AKTIF (Semester " &amp;
        (INT((12*(YEAR(TODAY())-M678) + MONTH(TODAY()) -
          MATCH(L678, {"Januari";"Februari";"Maret";"April";"Mei";"Juni";"Juli";"Agustus";"September";"Oktober";"November";"Desember"}, 0)) / 6) + 1) &amp; ")",
      "LULUS"
    ),
    "AKTIF (Semester " &amp;
      (INT((12*(YEAR(TODAY())-M678) + MONTH(TODAY()) -
        MATCH(L678, {"Januari";"Februari";"Maret";"April";"Mei";"Juni";"Juli";"Agustus";"September";"Oktober";"November";"Desember"}, 0)) / 6) + 1) &amp; ")"
  )
)</f>
        <v>#N/A</v>
      </c>
      <c r="T678" s="16" t="str">
        <f ca="1">IF(O678 &lt; YEAR(TODAY()), "LULUS",
 IF(O678 = YEAR(TODAY()),
    IF(MATCH(N678, {"Januari";"Februari";"Maret";"April";"Mei";"Juni";"Juli";"Agustus";"September";"Oktober";"November";"Desember"},0)
        &lt;= MONTH(TODAY()),
        "LULUS",
        "AKTIF"),
 "AKTIF"))</f>
        <v>AKTIF</v>
      </c>
      <c r="U678" s="16" t="e">
        <v>#N/A</v>
      </c>
      <c r="V678" s="15"/>
      <c r="W678" s="15"/>
      <c r="X678" s="15"/>
      <c r="Y678" s="15"/>
      <c r="Z678" s="15"/>
    </row>
    <row r="679" spans="1:26" ht="29" customHeight="1" x14ac:dyDescent="0.35">
      <c r="A679" s="12">
        <v>678</v>
      </c>
      <c r="B679" s="97" t="s">
        <v>2845</v>
      </c>
      <c r="C679" s="69" t="s">
        <v>2159</v>
      </c>
      <c r="D679" s="24"/>
      <c r="E679" s="14" t="str">
        <f t="shared" si="13"/>
        <v>Laki-Laki</v>
      </c>
      <c r="F679" s="72" t="s">
        <v>2160</v>
      </c>
      <c r="G679" s="25" t="s">
        <v>2110</v>
      </c>
      <c r="H679" s="19" t="s">
        <v>2157</v>
      </c>
      <c r="I679" s="19" t="s">
        <v>2158</v>
      </c>
      <c r="J679" s="19" t="s">
        <v>242</v>
      </c>
      <c r="K679" s="19" t="s">
        <v>257</v>
      </c>
      <c r="L679" s="19"/>
      <c r="M679" s="15"/>
      <c r="N679" s="15">
        <v>0</v>
      </c>
      <c r="O679" s="15" t="s">
        <v>51</v>
      </c>
      <c r="P679" s="15">
        <v>2024</v>
      </c>
      <c r="Q679" s="15"/>
      <c r="R679" s="16"/>
      <c r="S679" s="16" t="e">
        <f ca="1">IF(
  O679 &lt; YEAR(TODAY()),
  "LULUS",
  IF(
    O679 = YEAR(TODAY()),
    IF(
      MATCH(L679, {"Januari";"Februari";"Maret";"April";"Mei";"Juni";"Juli";"Agustus";"September";"Oktober";"November";"Desember"}, 0)
        &gt;= MONTH(TODAY()),
      "AKTIF (Semester " &amp;
        (INT((12*(YEAR(TODAY())-M679) + MONTH(TODAY()) -
          MATCH(L679, {"Januari";"Februari";"Maret";"April";"Mei";"Juni";"Juli";"Agustus";"September";"Oktober";"November";"Desember"}, 0)) / 6) + 1) &amp; ")",
      "LULUS"
    ),
    "AKTIF (Semester " &amp;
      (INT((12*(YEAR(TODAY())-M679) + MONTH(TODAY()) -
        MATCH(L679, {"Januari";"Februari";"Maret";"April";"Mei";"Juni";"Juli";"Agustus";"September";"Oktober";"November";"Desember"}, 0)) / 6) + 1) &amp; ")"
  )
)</f>
        <v>#N/A</v>
      </c>
      <c r="T679" s="16" t="str">
        <f ca="1">IF(O679 &lt; YEAR(TODAY()), "LULUS",
 IF(O679 = YEAR(TODAY()),
    IF(MATCH(N679, {"Januari";"Februari";"Maret";"April";"Mei";"Juni";"Juli";"Agustus";"September";"Oktober";"November";"Desember"},0)
        &lt;= MONTH(TODAY()),
        "LULUS",
        "AKTIF"),
 "AKTIF"))</f>
        <v>AKTIF</v>
      </c>
      <c r="U679" s="16" t="e">
        <v>#N/A</v>
      </c>
      <c r="V679" s="15"/>
      <c r="W679" s="15"/>
      <c r="X679" s="15"/>
      <c r="Y679" s="15"/>
      <c r="Z679" s="15"/>
    </row>
    <row r="680" spans="1:26" ht="29" customHeight="1" x14ac:dyDescent="0.35">
      <c r="A680" s="12">
        <v>679</v>
      </c>
      <c r="B680" s="13" t="s">
        <v>2161</v>
      </c>
      <c r="C680" s="14" t="s">
        <v>2162</v>
      </c>
      <c r="D680" s="13" t="s">
        <v>507</v>
      </c>
      <c r="E680" s="14" t="str">
        <f t="shared" si="13"/>
        <v>Laki-Laki</v>
      </c>
      <c r="F680" s="18" t="s">
        <v>2163</v>
      </c>
      <c r="G680" s="25" t="s">
        <v>2110</v>
      </c>
      <c r="H680" s="15" t="s">
        <v>1553</v>
      </c>
      <c r="I680" s="15" t="s">
        <v>485</v>
      </c>
      <c r="J680" s="12" t="s">
        <v>242</v>
      </c>
      <c r="K680" s="15" t="s">
        <v>449</v>
      </c>
      <c r="L680" s="15" t="s">
        <v>28</v>
      </c>
      <c r="M680" s="15">
        <v>2024</v>
      </c>
      <c r="N680" s="15" t="s">
        <v>28</v>
      </c>
      <c r="O680" s="15">
        <v>2027</v>
      </c>
      <c r="P680" s="15">
        <v>2024</v>
      </c>
      <c r="Q680" s="15"/>
      <c r="R680" s="16"/>
      <c r="S680" s="16" t="str">
        <f ca="1">IF(
  O680 &lt; YEAR(TODAY()),
  "LULUS",
  IF(
    O680 = YEAR(TODAY()),
    IF(
      MATCH(L680, {"Januari";"Februari";"Maret";"April";"Mei";"Juni";"Juli";"Agustus";"September";"Oktober";"November";"Desember"}, 0)
        &gt;= MONTH(TODAY()),
      "AKTIF (Semester " &amp;
        (INT((12*(YEAR(TODAY())-M680) + MONTH(TODAY()) -
          MATCH(L680, {"Januari";"Februari";"Maret";"April";"Mei";"Juni";"Juli";"Agustus";"September";"Oktober";"November";"Desember"}, 0)) / 6) + 1) &amp; ")",
      "LULUS"
    ),
    "AKTIF (Semester " &amp;
      (INT((12*(YEAR(TODAY())-M680) + MONTH(TODAY()) -
        MATCH(L680, {"Januari";"Februari";"Maret";"April";"Mei";"Juni";"Juli";"Agustus";"September";"Oktober";"November";"Desember"}, 0)) / 6) + 1) &amp; ")"
  )
)</f>
        <v>AKTIF (Semester 3)</v>
      </c>
      <c r="T680" s="16" t="str">
        <f ca="1">IF(O680 &lt; YEAR(TODAY()), "LULUS",
 IF(O680 = YEAR(TODAY()),
    IF(MATCH(N680, {"Januari";"Februari";"Maret";"April";"Mei";"Juni";"Juli";"Agustus";"September";"Oktober";"November";"Desember"},0)
        &lt;= MONTH(TODAY()),
        "LULUS",
        "AKTIF"),
 "AKTIF"))</f>
        <v>AKTIF</v>
      </c>
      <c r="U680" s="16" t="s">
        <v>2940</v>
      </c>
      <c r="V680" s="15"/>
      <c r="W680" s="15"/>
      <c r="X680" s="15"/>
      <c r="Y680" s="15"/>
      <c r="Z680" s="15"/>
    </row>
    <row r="681" spans="1:26" ht="29" customHeight="1" x14ac:dyDescent="0.35">
      <c r="A681" s="12">
        <v>680</v>
      </c>
      <c r="B681" s="13" t="s">
        <v>2164</v>
      </c>
      <c r="C681" s="14" t="s">
        <v>2165</v>
      </c>
      <c r="D681" s="13" t="s">
        <v>215</v>
      </c>
      <c r="E681" s="14" t="str">
        <f t="shared" si="13"/>
        <v>Perempuan</v>
      </c>
      <c r="F681" s="18"/>
      <c r="G681" s="25" t="s">
        <v>2110</v>
      </c>
      <c r="H681" s="15" t="s">
        <v>2166</v>
      </c>
      <c r="I681" s="19" t="s">
        <v>90</v>
      </c>
      <c r="J681" s="12" t="s">
        <v>45</v>
      </c>
      <c r="K681" s="15" t="s">
        <v>2167</v>
      </c>
      <c r="L681" s="15" t="s">
        <v>160</v>
      </c>
      <c r="M681" s="15">
        <v>2024</v>
      </c>
      <c r="N681" s="15" t="s">
        <v>160</v>
      </c>
      <c r="O681" s="15">
        <v>2028</v>
      </c>
      <c r="P681" s="15">
        <v>2024</v>
      </c>
      <c r="Q681" s="15"/>
      <c r="R681" s="16"/>
      <c r="S681" s="16" t="str">
        <f ca="1">IF(
  O681 &lt; YEAR(TODAY()),
  "LULUS",
  IF(
    O681 = YEAR(TODAY()),
    IF(
      MATCH(L681, {"Januari";"Februari";"Maret";"April";"Mei";"Juni";"Juli";"Agustus";"September";"Oktober";"November";"Desember"}, 0)
        &gt;= MONTH(TODAY()),
      "AKTIF (Semester " &amp;
        (INT((12*(YEAR(TODAY())-M681) + MONTH(TODAY()) -
          MATCH(L681, {"Januari";"Februari";"Maret";"April";"Mei";"Juni";"Juli";"Agustus";"September";"Oktober";"November";"Desember"}, 0)) / 6) + 1) &amp; ")",
      "LULUS"
    ),
    "AKTIF (Semester " &amp;
      (INT((12*(YEAR(TODAY())-M681) + MONTH(TODAY()) -
        MATCH(L681, {"Januari";"Februari";"Maret";"April";"Mei";"Juni";"Juli";"Agustus";"September";"Oktober";"November";"Desember"}, 0)) / 6) + 1) &amp; ")"
  )
)</f>
        <v>AKTIF (Semester 3)</v>
      </c>
      <c r="T681" s="16" t="str">
        <f ca="1">IF(O681 &lt; YEAR(TODAY()), "LULUS",
 IF(O681 = YEAR(TODAY()),
    IF(MATCH(N681, {"Januari";"Februari";"Maret";"April";"Mei";"Juni";"Juli";"Agustus";"September";"Oktober";"November";"Desember"},0)
        &lt;= MONTH(TODAY()),
        "LULUS",
        "AKTIF"),
 "AKTIF"))</f>
        <v>AKTIF</v>
      </c>
      <c r="U681" s="16" t="s">
        <v>2940</v>
      </c>
      <c r="V681" s="15"/>
      <c r="W681" s="15"/>
      <c r="X681" s="15"/>
      <c r="Y681" s="15"/>
      <c r="Z681" s="15"/>
    </row>
    <row r="682" spans="1:26" ht="29" customHeight="1" x14ac:dyDescent="0.35">
      <c r="A682" s="12">
        <v>681</v>
      </c>
      <c r="B682" s="13" t="s">
        <v>2168</v>
      </c>
      <c r="C682" s="14" t="s">
        <v>2169</v>
      </c>
      <c r="D682" s="13" t="s">
        <v>172</v>
      </c>
      <c r="E682" s="14" t="str">
        <f t="shared" si="13"/>
        <v>Laki-Laki</v>
      </c>
      <c r="F682" s="18" t="s">
        <v>2170</v>
      </c>
      <c r="G682" s="25" t="s">
        <v>2110</v>
      </c>
      <c r="H682" s="15" t="s">
        <v>2171</v>
      </c>
      <c r="I682" s="15" t="s">
        <v>2172</v>
      </c>
      <c r="J682" s="19" t="s">
        <v>26</v>
      </c>
      <c r="K682" s="15" t="s">
        <v>2173</v>
      </c>
      <c r="L682" s="15" t="s">
        <v>72</v>
      </c>
      <c r="M682" s="15">
        <v>2024</v>
      </c>
      <c r="N682" s="15" t="s">
        <v>72</v>
      </c>
      <c r="O682" s="15">
        <v>2026</v>
      </c>
      <c r="P682" s="15">
        <v>2024</v>
      </c>
      <c r="Q682" s="15"/>
      <c r="R682" s="16"/>
      <c r="S682" s="16" t="str">
        <f ca="1">IF(
  O682 &lt; YEAR(TODAY()),
  "LULUS",
  IF(
    O682 = YEAR(TODAY()),
    IF(
      MATCH(L682, {"Januari";"Februari";"Maret";"April";"Mei";"Juni";"Juli";"Agustus";"September";"Oktober";"November";"Desember"}, 0)
        &gt;= MONTH(TODAY()),
      "AKTIF (Semester " &amp;
        (INT((12*(YEAR(TODAY())-M682) + MONTH(TODAY()) -
          MATCH(L682, {"Januari";"Februari";"Maret";"April";"Mei";"Juni";"Juli";"Agustus";"September";"Oktober";"November";"Desember"}, 0)) / 6) + 1) &amp; ")",
      "LULUS"
    ),
    "AKTIF (Semester " &amp;
      (INT((12*(YEAR(TODAY())-M682) + MONTH(TODAY()) -
        MATCH(L682, {"Januari";"Februari";"Maret";"April";"Mei";"Juni";"Juli";"Agustus";"September";"Oktober";"November";"Desember"}, 0)) / 6) + 1) &amp; ")"
  )
)</f>
        <v>AKTIF (Semester 4)</v>
      </c>
      <c r="T682" s="16" t="str">
        <f ca="1">IF(O682 &lt; YEAR(TODAY()), "LULUS",
 IF(O682 = YEAR(TODAY()),
    IF(MATCH(N682, {"Januari";"Februari";"Maret";"April";"Mei";"Juni";"Juli";"Agustus";"September";"Oktober";"November";"Desember"},0)
        &lt;= MONTH(TODAY()),
        "LULUS",
        "AKTIF"),
 "AKTIF"))</f>
        <v>AKTIF</v>
      </c>
      <c r="U682" s="16" t="s">
        <v>2942</v>
      </c>
      <c r="V682" s="15"/>
      <c r="W682" s="15"/>
      <c r="X682" s="15"/>
      <c r="Y682" s="15"/>
      <c r="Z682" s="15"/>
    </row>
    <row r="683" spans="1:26" ht="29" customHeight="1" x14ac:dyDescent="0.35">
      <c r="A683" s="12">
        <v>682</v>
      </c>
      <c r="B683" s="13" t="s">
        <v>2175</v>
      </c>
      <c r="C683" s="14" t="s">
        <v>2176</v>
      </c>
      <c r="D683" s="13" t="s">
        <v>507</v>
      </c>
      <c r="E683" s="14" t="str">
        <f t="shared" si="13"/>
        <v>Perempuan</v>
      </c>
      <c r="F683" s="95" t="s">
        <v>1673</v>
      </c>
      <c r="G683" s="25" t="s">
        <v>2110</v>
      </c>
      <c r="H683" s="15" t="s">
        <v>2177</v>
      </c>
      <c r="I683" s="19" t="s">
        <v>90</v>
      </c>
      <c r="J683" s="19" t="s">
        <v>26</v>
      </c>
      <c r="K683" s="15" t="s">
        <v>394</v>
      </c>
      <c r="L683" s="15" t="s">
        <v>35</v>
      </c>
      <c r="M683" s="15">
        <v>2024</v>
      </c>
      <c r="N683" s="15" t="s">
        <v>35</v>
      </c>
      <c r="O683" s="15">
        <v>2026</v>
      </c>
      <c r="P683" s="15">
        <v>2024</v>
      </c>
      <c r="Q683" s="15"/>
      <c r="R683" s="16"/>
      <c r="S683" s="16" t="str">
        <f ca="1">IF(
  O683 &lt; YEAR(TODAY()),
  "LULUS",
  IF(
    O683 = YEAR(TODAY()),
    IF(
      MATCH(L683, {"Januari";"Februari";"Maret";"April";"Mei";"Juni";"Juli";"Agustus";"September";"Oktober";"November";"Desember"}, 0)
        &gt;= MONTH(TODAY()),
      "AKTIF (Semester " &amp;
        (INT((12*(YEAR(TODAY())-M683) + MONTH(TODAY()) -
          MATCH(L683, {"Januari";"Februari";"Maret";"April";"Mei";"Juni";"Juli";"Agustus";"September";"Oktober";"November";"Desember"}, 0)) / 6) + 1) &amp; ")",
      "LULUS"
    ),
    "AKTIF (Semester " &amp;
      (INT((12*(YEAR(TODAY())-M683) + MONTH(TODAY()) -
        MATCH(L683, {"Januari";"Februari";"Maret";"April";"Mei";"Juni";"Juli";"Agustus";"September";"Oktober";"November";"Desember"}, 0)) / 6) + 1) &amp; ")"
  )
)</f>
        <v>AKTIF (Semester 4)</v>
      </c>
      <c r="T683" s="16" t="str">
        <f ca="1">IF(O683 &lt; YEAR(TODAY()), "LULUS",
 IF(O683 = YEAR(TODAY()),
    IF(MATCH(N683, {"Januari";"Februari";"Maret";"April";"Mei";"Juni";"Juli";"Agustus";"September";"Oktober";"November";"Desember"},0)
        &lt;= MONTH(TODAY()),
        "LULUS",
        "AKTIF"),
 "AKTIF"))</f>
        <v>AKTIF</v>
      </c>
      <c r="U683" s="16" t="s">
        <v>2942</v>
      </c>
      <c r="V683" s="15"/>
      <c r="W683" s="15"/>
      <c r="X683" s="15"/>
      <c r="Y683" s="15"/>
      <c r="Z683" s="15"/>
    </row>
    <row r="684" spans="1:26" ht="29" customHeight="1" x14ac:dyDescent="0.35">
      <c r="A684" s="12">
        <v>683</v>
      </c>
      <c r="B684" s="13" t="s">
        <v>2179</v>
      </c>
      <c r="C684" s="14" t="s">
        <v>2180</v>
      </c>
      <c r="D684" s="13" t="s">
        <v>507</v>
      </c>
      <c r="E684" s="14" t="str">
        <f t="shared" si="13"/>
        <v>Laki-Laki</v>
      </c>
      <c r="F684" s="18"/>
      <c r="G684" s="25" t="s">
        <v>2110</v>
      </c>
      <c r="H684" s="15" t="s">
        <v>2181</v>
      </c>
      <c r="I684" s="19" t="s">
        <v>90</v>
      </c>
      <c r="J684" s="19" t="s">
        <v>26</v>
      </c>
      <c r="K684" s="15" t="s">
        <v>394</v>
      </c>
      <c r="L684" s="15" t="s">
        <v>35</v>
      </c>
      <c r="M684" s="15">
        <v>2024</v>
      </c>
      <c r="N684" s="15" t="s">
        <v>35</v>
      </c>
      <c r="O684" s="15">
        <v>2026</v>
      </c>
      <c r="P684" s="15">
        <v>2024</v>
      </c>
      <c r="Q684" s="15"/>
      <c r="R684" s="16"/>
      <c r="S684" s="16" t="str">
        <f ca="1">IF(
  O684 &lt; YEAR(TODAY()),
  "LULUS",
  IF(
    O684 = YEAR(TODAY()),
    IF(
      MATCH(L684, {"Januari";"Februari";"Maret";"April";"Mei";"Juni";"Juli";"Agustus";"September";"Oktober";"November";"Desember"}, 0)
        &gt;= MONTH(TODAY()),
      "AKTIF (Semester " &amp;
        (INT((12*(YEAR(TODAY())-M684) + MONTH(TODAY()) -
          MATCH(L684, {"Januari";"Februari";"Maret";"April";"Mei";"Juni";"Juli";"Agustus";"September";"Oktober";"November";"Desember"}, 0)) / 6) + 1) &amp; ")",
      "LULUS"
    ),
    "AKTIF (Semester " &amp;
      (INT((12*(YEAR(TODAY())-M684) + MONTH(TODAY()) -
        MATCH(L684, {"Januari";"Februari";"Maret";"April";"Mei";"Juni";"Juli";"Agustus";"September";"Oktober";"November";"Desember"}, 0)) / 6) + 1) &amp; ")"
  )
)</f>
        <v>AKTIF (Semester 4)</v>
      </c>
      <c r="T684" s="16" t="str">
        <f ca="1">IF(O684 &lt; YEAR(TODAY()), "LULUS",
 IF(O684 = YEAR(TODAY()),
    IF(MATCH(N684, {"Januari";"Februari";"Maret";"April";"Mei";"Juni";"Juli";"Agustus";"September";"Oktober";"November";"Desember"},0)
        &lt;= MONTH(TODAY()),
        "LULUS",
        "AKTIF"),
 "AKTIF"))</f>
        <v>AKTIF</v>
      </c>
      <c r="U684" s="16" t="s">
        <v>2942</v>
      </c>
      <c r="V684" s="15"/>
      <c r="W684" s="15"/>
      <c r="X684" s="15"/>
      <c r="Y684" s="15"/>
      <c r="Z684" s="15"/>
    </row>
    <row r="685" spans="1:26" ht="29" customHeight="1" x14ac:dyDescent="0.35">
      <c r="A685" s="12">
        <v>684</v>
      </c>
      <c r="B685" s="13" t="s">
        <v>2183</v>
      </c>
      <c r="C685" s="14" t="s">
        <v>2184</v>
      </c>
      <c r="D685" s="13" t="s">
        <v>188</v>
      </c>
      <c r="E685" s="14" t="str">
        <f t="shared" si="13"/>
        <v>Perempuan</v>
      </c>
      <c r="F685" s="18" t="s">
        <v>1807</v>
      </c>
      <c r="G685" s="25" t="s">
        <v>2110</v>
      </c>
      <c r="H685" s="15" t="s">
        <v>1536</v>
      </c>
      <c r="I685" s="19" t="s">
        <v>90</v>
      </c>
      <c r="J685" s="19" t="s">
        <v>26</v>
      </c>
      <c r="K685" s="15" t="s">
        <v>394</v>
      </c>
      <c r="L685" s="15" t="s">
        <v>28</v>
      </c>
      <c r="M685" s="15">
        <v>2024</v>
      </c>
      <c r="N685" s="15" t="s">
        <v>28</v>
      </c>
      <c r="O685" s="15">
        <v>2026</v>
      </c>
      <c r="P685" s="15">
        <v>2024</v>
      </c>
      <c r="Q685" s="15"/>
      <c r="R685" s="16"/>
      <c r="S685" s="16" t="str">
        <f ca="1">IF(
  O685 &lt; YEAR(TODAY()),
  "LULUS",
  IF(
    O685 = YEAR(TODAY()),
    IF(
      MATCH(L685, {"Januari";"Februari";"Maret";"April";"Mei";"Juni";"Juli";"Agustus";"September";"Oktober";"November";"Desember"}, 0)
        &gt;= MONTH(TODAY()),
      "AKTIF (Semester " &amp;
        (INT((12*(YEAR(TODAY())-M685) + MONTH(TODAY()) -
          MATCH(L685, {"Januari";"Februari";"Maret";"April";"Mei";"Juni";"Juli";"Agustus";"September";"Oktober";"November";"Desember"}, 0)) / 6) + 1) &amp; ")",
      "LULUS"
    ),
    "AKTIF (Semester " &amp;
      (INT((12*(YEAR(TODAY())-M685) + MONTH(TODAY()) -
        MATCH(L685, {"Januari";"Februari";"Maret";"April";"Mei";"Juni";"Juli";"Agustus";"September";"Oktober";"November";"Desember"}, 0)) / 6) + 1) &amp; ")"
  )
)</f>
        <v>AKTIF (Semester 3)</v>
      </c>
      <c r="T685" s="16" t="str">
        <f ca="1">IF(O685 &lt; YEAR(TODAY()), "LULUS",
 IF(O685 = YEAR(TODAY()),
    IF(MATCH(N685, {"Januari";"Februari";"Maret";"April";"Mei";"Juni";"Juli";"Agustus";"September";"Oktober";"November";"Desember"},0)
        &lt;= MONTH(TODAY()),
        "LULUS",
        "AKTIF"),
 "AKTIF"))</f>
        <v>AKTIF</v>
      </c>
      <c r="U685" s="16" t="s">
        <v>2940</v>
      </c>
      <c r="V685" s="15"/>
      <c r="W685" s="15"/>
      <c r="X685" s="15"/>
      <c r="Y685" s="15"/>
      <c r="Z685" s="15"/>
    </row>
    <row r="686" spans="1:26" ht="29" customHeight="1" x14ac:dyDescent="0.35">
      <c r="A686" s="12">
        <v>685</v>
      </c>
      <c r="B686" s="95" t="s">
        <v>2185</v>
      </c>
      <c r="C686" s="14" t="s">
        <v>2186</v>
      </c>
      <c r="D686" s="13" t="s">
        <v>211</v>
      </c>
      <c r="E686" s="14" t="str">
        <f t="shared" si="13"/>
        <v>Perempuan</v>
      </c>
      <c r="F686" s="18" t="s">
        <v>1807</v>
      </c>
      <c r="G686" s="25" t="s">
        <v>2110</v>
      </c>
      <c r="H686" s="15" t="s">
        <v>1772</v>
      </c>
      <c r="I686" s="15" t="s">
        <v>2102</v>
      </c>
      <c r="J686" s="19" t="s">
        <v>26</v>
      </c>
      <c r="K686" s="15" t="s">
        <v>905</v>
      </c>
      <c r="L686" s="15"/>
      <c r="M686" s="15">
        <v>2024</v>
      </c>
      <c r="N686" s="15"/>
      <c r="O686" s="15">
        <v>2026</v>
      </c>
      <c r="P686" s="15">
        <v>2024</v>
      </c>
      <c r="Q686" s="15"/>
      <c r="R686" s="16"/>
      <c r="S686" s="16" t="e">
        <f ca="1">IF(
  O686 &lt; YEAR(TODAY()),
  "LULUS",
  IF(
    O686 = YEAR(TODAY()),
    IF(
      MATCH(L686, {"Januari";"Februari";"Maret";"April";"Mei";"Juni";"Juli";"Agustus";"September";"Oktober";"November";"Desember"}, 0)
        &gt;= MONTH(TODAY()),
      "AKTIF (Semester " &amp;
        (INT((12*(YEAR(TODAY())-M686) + MONTH(TODAY()) -
          MATCH(L686, {"Januari";"Februari";"Maret";"April";"Mei";"Juni";"Juli";"Agustus";"September";"Oktober";"November";"Desember"}, 0)) / 6) + 1) &amp; ")",
      "LULUS"
    ),
    "AKTIF (Semester " &amp;
      (INT((12*(YEAR(TODAY())-M686) + MONTH(TODAY()) -
        MATCH(L686, {"Januari";"Februari";"Maret";"April";"Mei";"Juni";"Juli";"Agustus";"September";"Oktober";"November";"Desember"}, 0)) / 6) + 1) &amp; ")"
  )
)</f>
        <v>#N/A</v>
      </c>
      <c r="T686" s="16" t="str">
        <f ca="1">IF(O686 &lt; YEAR(TODAY()), "LULUS",
 IF(O686 = YEAR(TODAY()),
    IF(MATCH(N686, {"Januari";"Februari";"Maret";"April";"Mei";"Juni";"Juli";"Agustus";"September";"Oktober";"November";"Desember"},0)
        &lt;= MONTH(TODAY()),
        "LULUS",
        "AKTIF"),
 "AKTIF"))</f>
        <v>AKTIF</v>
      </c>
      <c r="U686" s="16" t="e">
        <v>#N/A</v>
      </c>
      <c r="V686" s="15"/>
      <c r="W686" s="15"/>
      <c r="X686" s="15"/>
      <c r="Y686" s="15"/>
      <c r="Z686" s="15"/>
    </row>
    <row r="687" spans="1:26" ht="29" customHeight="1" x14ac:dyDescent="0.35">
      <c r="A687" s="12">
        <v>686</v>
      </c>
      <c r="B687" s="13" t="s">
        <v>2187</v>
      </c>
      <c r="C687" s="14" t="s">
        <v>2188</v>
      </c>
      <c r="D687" s="13" t="s">
        <v>188</v>
      </c>
      <c r="E687" s="14" t="str">
        <f t="shared" si="13"/>
        <v>Perempuan</v>
      </c>
      <c r="F687" s="18" t="s">
        <v>1807</v>
      </c>
      <c r="G687" s="25" t="s">
        <v>2110</v>
      </c>
      <c r="H687" s="15" t="s">
        <v>1536</v>
      </c>
      <c r="I687" s="19" t="s">
        <v>90</v>
      </c>
      <c r="J687" s="19" t="s">
        <v>26</v>
      </c>
      <c r="K687" s="15" t="s">
        <v>394</v>
      </c>
      <c r="L687" s="15" t="s">
        <v>28</v>
      </c>
      <c r="M687" s="15">
        <v>2024</v>
      </c>
      <c r="N687" s="15" t="s">
        <v>28</v>
      </c>
      <c r="O687" s="15">
        <v>2026</v>
      </c>
      <c r="P687" s="15">
        <v>2024</v>
      </c>
      <c r="Q687" s="15"/>
      <c r="R687" s="16"/>
      <c r="S687" s="16" t="str">
        <f ca="1">IF(
  O687 &lt; YEAR(TODAY()),
  "LULUS",
  IF(
    O687 = YEAR(TODAY()),
    IF(
      MATCH(L687, {"Januari";"Februari";"Maret";"April";"Mei";"Juni";"Juli";"Agustus";"September";"Oktober";"November";"Desember"}, 0)
        &gt;= MONTH(TODAY()),
      "AKTIF (Semester " &amp;
        (INT((12*(YEAR(TODAY())-M687) + MONTH(TODAY()) -
          MATCH(L687, {"Januari";"Februari";"Maret";"April";"Mei";"Juni";"Juli";"Agustus";"September";"Oktober";"November";"Desember"}, 0)) / 6) + 1) &amp; ")",
      "LULUS"
    ),
    "AKTIF (Semester " &amp;
      (INT((12*(YEAR(TODAY())-M687) + MONTH(TODAY()) -
        MATCH(L687, {"Januari";"Februari";"Maret";"April";"Mei";"Juni";"Juli";"Agustus";"September";"Oktober";"November";"Desember"}, 0)) / 6) + 1) &amp; ")"
  )
)</f>
        <v>AKTIF (Semester 3)</v>
      </c>
      <c r="T687" s="16" t="str">
        <f ca="1">IF(O687 &lt; YEAR(TODAY()), "LULUS",
 IF(O687 = YEAR(TODAY()),
    IF(MATCH(N687, {"Januari";"Februari";"Maret";"April";"Mei";"Juni";"Juli";"Agustus";"September";"Oktober";"November";"Desember"},0)
        &lt;= MONTH(TODAY()),
        "LULUS",
        "AKTIF"),
 "AKTIF"))</f>
        <v>AKTIF</v>
      </c>
      <c r="U687" s="16" t="s">
        <v>2940</v>
      </c>
      <c r="V687" s="15"/>
      <c r="W687" s="15"/>
      <c r="X687" s="15"/>
      <c r="Y687" s="15"/>
      <c r="Z687" s="15"/>
    </row>
    <row r="688" spans="1:26" ht="29" customHeight="1" x14ac:dyDescent="0.35">
      <c r="A688" s="12">
        <v>687</v>
      </c>
      <c r="B688" s="13" t="s">
        <v>2189</v>
      </c>
      <c r="C688" s="14" t="s">
        <v>2190</v>
      </c>
      <c r="D688" s="13" t="s">
        <v>172</v>
      </c>
      <c r="E688" s="14" t="str">
        <f t="shared" si="13"/>
        <v>Laki-Laki</v>
      </c>
      <c r="F688" s="18" t="s">
        <v>2191</v>
      </c>
      <c r="G688" s="25" t="s">
        <v>2110</v>
      </c>
      <c r="H688" s="15" t="s">
        <v>2192</v>
      </c>
      <c r="I688" s="90" t="s">
        <v>1621</v>
      </c>
      <c r="J688" s="12" t="s">
        <v>45</v>
      </c>
      <c r="K688" s="15" t="s">
        <v>2073</v>
      </c>
      <c r="L688" s="15" t="s">
        <v>28</v>
      </c>
      <c r="M688" s="15">
        <v>2024</v>
      </c>
      <c r="N688" s="15" t="s">
        <v>28</v>
      </c>
      <c r="O688" s="15">
        <v>2028</v>
      </c>
      <c r="P688" s="15">
        <v>2024</v>
      </c>
      <c r="Q688" s="15"/>
      <c r="R688" s="16"/>
      <c r="S688" s="16" t="str">
        <f ca="1">IF(
  O688 &lt; YEAR(TODAY()),
  "LULUS",
  IF(
    O688 = YEAR(TODAY()),
    IF(
      MATCH(L688, {"Januari";"Februari";"Maret";"April";"Mei";"Juni";"Juli";"Agustus";"September";"Oktober";"November";"Desember"}, 0)
        &gt;= MONTH(TODAY()),
      "AKTIF (Semester " &amp;
        (INT((12*(YEAR(TODAY())-M688) + MONTH(TODAY()) -
          MATCH(L688, {"Januari";"Februari";"Maret";"April";"Mei";"Juni";"Juli";"Agustus";"September";"Oktober";"November";"Desember"}, 0)) / 6) + 1) &amp; ")",
      "LULUS"
    ),
    "AKTIF (Semester " &amp;
      (INT((12*(YEAR(TODAY())-M688) + MONTH(TODAY()) -
        MATCH(L688, {"Januari";"Februari";"Maret";"April";"Mei";"Juni";"Juli";"Agustus";"September";"Oktober";"November";"Desember"}, 0)) / 6) + 1) &amp; ")"
  )
)</f>
        <v>AKTIF (Semester 3)</v>
      </c>
      <c r="T688" s="16" t="str">
        <f ca="1">IF(O688 &lt; YEAR(TODAY()), "LULUS",
 IF(O688 = YEAR(TODAY()),
    IF(MATCH(N688, {"Januari";"Februari";"Maret";"April";"Mei";"Juni";"Juli";"Agustus";"September";"Oktober";"November";"Desember"},0)
        &lt;= MONTH(TODAY()),
        "LULUS",
        "AKTIF"),
 "AKTIF"))</f>
        <v>AKTIF</v>
      </c>
      <c r="U688" s="16" t="s">
        <v>2940</v>
      </c>
      <c r="V688" s="15"/>
      <c r="W688" s="15"/>
      <c r="X688" s="15"/>
      <c r="Y688" s="15"/>
      <c r="Z688" s="15"/>
    </row>
    <row r="689" spans="1:26" ht="29" customHeight="1" x14ac:dyDescent="0.35">
      <c r="A689" s="12">
        <v>688</v>
      </c>
      <c r="B689" s="13" t="s">
        <v>2194</v>
      </c>
      <c r="C689" s="14" t="s">
        <v>2195</v>
      </c>
      <c r="D689" s="13" t="s">
        <v>215</v>
      </c>
      <c r="E689" s="14" t="str">
        <f t="shared" si="13"/>
        <v>Perempuan</v>
      </c>
      <c r="F689" s="18" t="s">
        <v>2196</v>
      </c>
      <c r="G689" s="25" t="s">
        <v>2110</v>
      </c>
      <c r="H689" s="15" t="s">
        <v>2197</v>
      </c>
      <c r="I689" s="19" t="s">
        <v>90</v>
      </c>
      <c r="J689" s="12" t="s">
        <v>45</v>
      </c>
      <c r="K689" s="15" t="s">
        <v>63</v>
      </c>
      <c r="L689" s="15" t="s">
        <v>28</v>
      </c>
      <c r="M689" s="15">
        <v>2024</v>
      </c>
      <c r="N689" s="15" t="s">
        <v>28</v>
      </c>
      <c r="O689" s="15">
        <v>2028</v>
      </c>
      <c r="P689" s="15">
        <v>2024</v>
      </c>
      <c r="Q689" s="15"/>
      <c r="R689" s="16"/>
      <c r="S689" s="16" t="str">
        <f ca="1">IF(
  O689 &lt; YEAR(TODAY()),
  "LULUS",
  IF(
    O689 = YEAR(TODAY()),
    IF(
      MATCH(L689, {"Januari";"Februari";"Maret";"April";"Mei";"Juni";"Juli";"Agustus";"September";"Oktober";"November";"Desember"}, 0)
        &gt;= MONTH(TODAY()),
      "AKTIF (Semester " &amp;
        (INT((12*(YEAR(TODAY())-M689) + MONTH(TODAY()) -
          MATCH(L689, {"Januari";"Februari";"Maret";"April";"Mei";"Juni";"Juli";"Agustus";"September";"Oktober";"November";"Desember"}, 0)) / 6) + 1) &amp; ")",
      "LULUS"
    ),
    "AKTIF (Semester " &amp;
      (INT((12*(YEAR(TODAY())-M689) + MONTH(TODAY()) -
        MATCH(L689, {"Januari";"Februari";"Maret";"April";"Mei";"Juni";"Juli";"Agustus";"September";"Oktober";"November";"Desember"}, 0)) / 6) + 1) &amp; ")"
  )
)</f>
        <v>AKTIF (Semester 3)</v>
      </c>
      <c r="T689" s="16" t="str">
        <f ca="1">IF(O689 &lt; YEAR(TODAY()), "LULUS",
 IF(O689 = YEAR(TODAY()),
    IF(MATCH(N689, {"Januari";"Februari";"Maret";"April";"Mei";"Juni";"Juli";"Agustus";"September";"Oktober";"November";"Desember"},0)
        &lt;= MONTH(TODAY()),
        "LULUS",
        "AKTIF"),
 "AKTIF"))</f>
        <v>AKTIF</v>
      </c>
      <c r="U689" s="16" t="s">
        <v>2940</v>
      </c>
      <c r="V689" s="15"/>
      <c r="W689" s="15"/>
      <c r="X689" s="15"/>
      <c r="Y689" s="15"/>
      <c r="Z689" s="15"/>
    </row>
    <row r="690" spans="1:26" ht="29" customHeight="1" x14ac:dyDescent="0.35">
      <c r="A690" s="12">
        <v>689</v>
      </c>
      <c r="B690" s="13" t="s">
        <v>2198</v>
      </c>
      <c r="C690" s="14" t="s">
        <v>2199</v>
      </c>
      <c r="D690" s="13" t="s">
        <v>507</v>
      </c>
      <c r="E690" s="14" t="str">
        <f t="shared" si="13"/>
        <v>Laki-Laki</v>
      </c>
      <c r="F690" s="18" t="s">
        <v>1673</v>
      </c>
      <c r="G690" s="25" t="s">
        <v>2110</v>
      </c>
      <c r="H690" s="15" t="s">
        <v>1754</v>
      </c>
      <c r="I690" s="19" t="s">
        <v>90</v>
      </c>
      <c r="J690" s="19" t="s">
        <v>26</v>
      </c>
      <c r="K690" s="15" t="s">
        <v>394</v>
      </c>
      <c r="L690" s="15" t="s">
        <v>35</v>
      </c>
      <c r="M690" s="15">
        <v>2024</v>
      </c>
      <c r="N690" s="15" t="s">
        <v>35</v>
      </c>
      <c r="O690" s="15">
        <v>2026</v>
      </c>
      <c r="P690" s="15">
        <v>2024</v>
      </c>
      <c r="Q690" s="15"/>
      <c r="R690" s="16"/>
      <c r="S690" s="16" t="str">
        <f ca="1">IF(
  O690 &lt; YEAR(TODAY()),
  "LULUS",
  IF(
    O690 = YEAR(TODAY()),
    IF(
      MATCH(L690, {"Januari";"Februari";"Maret";"April";"Mei";"Juni";"Juli";"Agustus";"September";"Oktober";"November";"Desember"}, 0)
        &gt;= MONTH(TODAY()),
      "AKTIF (Semester " &amp;
        (INT((12*(YEAR(TODAY())-M690) + MONTH(TODAY()) -
          MATCH(L690, {"Januari";"Februari";"Maret";"April";"Mei";"Juni";"Juli";"Agustus";"September";"Oktober";"November";"Desember"}, 0)) / 6) + 1) &amp; ")",
      "LULUS"
    ),
    "AKTIF (Semester " &amp;
      (INT((12*(YEAR(TODAY())-M690) + MONTH(TODAY()) -
        MATCH(L690, {"Januari";"Februari";"Maret";"April";"Mei";"Juni";"Juli";"Agustus";"September";"Oktober";"November";"Desember"}, 0)) / 6) + 1) &amp; ")"
  )
)</f>
        <v>AKTIF (Semester 4)</v>
      </c>
      <c r="T690" s="16" t="str">
        <f ca="1">IF(O690 &lt; YEAR(TODAY()), "LULUS",
 IF(O690 = YEAR(TODAY()),
    IF(MATCH(N690, {"Januari";"Februari";"Maret";"April";"Mei";"Juni";"Juli";"Agustus";"September";"Oktober";"November";"Desember"},0)
        &lt;= MONTH(TODAY()),
        "LULUS",
        "AKTIF"),
 "AKTIF"))</f>
        <v>AKTIF</v>
      </c>
      <c r="U690" s="16" t="s">
        <v>2942</v>
      </c>
      <c r="V690" s="15"/>
      <c r="W690" s="15"/>
      <c r="X690" s="15"/>
      <c r="Y690" s="15"/>
      <c r="Z690" s="15"/>
    </row>
    <row r="691" spans="1:26" ht="29" customHeight="1" x14ac:dyDescent="0.35">
      <c r="A691" s="12">
        <v>690</v>
      </c>
      <c r="B691" s="13" t="s">
        <v>2200</v>
      </c>
      <c r="C691" s="14" t="s">
        <v>2201</v>
      </c>
      <c r="D691" s="13" t="s">
        <v>164</v>
      </c>
      <c r="E691" s="14" t="str">
        <f t="shared" si="13"/>
        <v>Perempuan</v>
      </c>
      <c r="F691" s="18" t="s">
        <v>142</v>
      </c>
      <c r="G691" s="25" t="s">
        <v>2110</v>
      </c>
      <c r="H691" s="15" t="s">
        <v>2202</v>
      </c>
      <c r="I691" s="19" t="s">
        <v>90</v>
      </c>
      <c r="J691" s="12" t="s">
        <v>45</v>
      </c>
      <c r="K691" s="15" t="s">
        <v>46</v>
      </c>
      <c r="L691" s="15" t="s">
        <v>169</v>
      </c>
      <c r="M691" s="15">
        <v>2024</v>
      </c>
      <c r="N691" s="15" t="s">
        <v>169</v>
      </c>
      <c r="O691" s="15">
        <v>2028</v>
      </c>
      <c r="P691" s="15">
        <v>2024</v>
      </c>
      <c r="Q691" s="15"/>
      <c r="R691" s="16"/>
      <c r="S691" s="16" t="str">
        <f ca="1">IF(
  O691 &lt; YEAR(TODAY()),
  "LULUS",
  IF(
    O691 = YEAR(TODAY()),
    IF(
      MATCH(L691, {"Januari";"Februari";"Maret";"April";"Mei";"Juni";"Juli";"Agustus";"September";"Oktober";"November";"Desember"}, 0)
        &gt;= MONTH(TODAY()),
      "AKTIF (Semester " &amp;
        (INT((12*(YEAR(TODAY())-M691) + MONTH(TODAY()) -
          MATCH(L691, {"Januari";"Februari";"Maret";"April";"Mei";"Juni";"Juli";"Agustus";"September";"Oktober";"November";"Desember"}, 0)) / 6) + 1) &amp; ")",
      "LULUS"
    ),
    "AKTIF (Semester " &amp;
      (INT((12*(YEAR(TODAY())-M691) + MONTH(TODAY()) -
        MATCH(L691, {"Januari";"Februari";"Maret";"April";"Mei";"Juni";"Juli";"Agustus";"September";"Oktober";"November";"Desember"}, 0)) / 6) + 1) &amp; ")"
  )
)</f>
        <v>AKTIF (Semester 3)</v>
      </c>
      <c r="T691" s="16" t="str">
        <f ca="1">IF(O691 &lt; YEAR(TODAY()), "LULUS",
 IF(O691 = YEAR(TODAY()),
    IF(MATCH(N691, {"Januari";"Februari";"Maret";"April";"Mei";"Juni";"Juli";"Agustus";"September";"Oktober";"November";"Desember"},0)
        &lt;= MONTH(TODAY()),
        "LULUS",
        "AKTIF"),
 "AKTIF"))</f>
        <v>AKTIF</v>
      </c>
      <c r="U691" s="16" t="s">
        <v>2940</v>
      </c>
      <c r="V691" s="15"/>
      <c r="W691" s="15"/>
      <c r="X691" s="15"/>
      <c r="Y691" s="15"/>
      <c r="Z691" s="15"/>
    </row>
    <row r="692" spans="1:26" ht="29" customHeight="1" x14ac:dyDescent="0.35">
      <c r="A692" s="12">
        <v>691</v>
      </c>
      <c r="B692" s="13" t="s">
        <v>2203</v>
      </c>
      <c r="C692" s="14" t="s">
        <v>2204</v>
      </c>
      <c r="D692" s="13" t="s">
        <v>507</v>
      </c>
      <c r="E692" s="14" t="str">
        <f t="shared" si="13"/>
        <v>Laki-Laki</v>
      </c>
      <c r="F692" s="18" t="s">
        <v>1673</v>
      </c>
      <c r="G692" s="25" t="s">
        <v>2110</v>
      </c>
      <c r="H692" s="15" t="s">
        <v>2149</v>
      </c>
      <c r="I692" s="19" t="s">
        <v>90</v>
      </c>
      <c r="J692" s="19" t="s">
        <v>26</v>
      </c>
      <c r="K692" s="15" t="s">
        <v>394</v>
      </c>
      <c r="L692" s="15" t="s">
        <v>72</v>
      </c>
      <c r="M692" s="15">
        <v>2024</v>
      </c>
      <c r="N692" s="15" t="s">
        <v>72</v>
      </c>
      <c r="O692" s="15">
        <v>2026</v>
      </c>
      <c r="P692" s="15">
        <v>2024</v>
      </c>
      <c r="Q692" s="15"/>
      <c r="R692" s="16"/>
      <c r="S692" s="16" t="str">
        <f ca="1">IF(
  O692 &lt; YEAR(TODAY()),
  "LULUS",
  IF(
    O692 = YEAR(TODAY()),
    IF(
      MATCH(L692, {"Januari";"Februari";"Maret";"April";"Mei";"Juni";"Juli";"Agustus";"September";"Oktober";"November";"Desember"}, 0)
        &gt;= MONTH(TODAY()),
      "AKTIF (Semester " &amp;
        (INT((12*(YEAR(TODAY())-M692) + MONTH(TODAY()) -
          MATCH(L692, {"Januari";"Februari";"Maret";"April";"Mei";"Juni";"Juli";"Agustus";"September";"Oktober";"November";"Desember"}, 0)) / 6) + 1) &amp; ")",
      "LULUS"
    ),
    "AKTIF (Semester " &amp;
      (INT((12*(YEAR(TODAY())-M692) + MONTH(TODAY()) -
        MATCH(L692, {"Januari";"Februari";"Maret";"April";"Mei";"Juni";"Juli";"Agustus";"September";"Oktober";"November";"Desember"}, 0)) / 6) + 1) &amp; ")"
  )
)</f>
        <v>AKTIF (Semester 4)</v>
      </c>
      <c r="T692" s="16" t="str">
        <f ca="1">IF(O692 &lt; YEAR(TODAY()), "LULUS",
 IF(O692 = YEAR(TODAY()),
    IF(MATCH(N692, {"Januari";"Februari";"Maret";"April";"Mei";"Juni";"Juli";"Agustus";"September";"Oktober";"November";"Desember"},0)
        &lt;= MONTH(TODAY()),
        "LULUS",
        "AKTIF"),
 "AKTIF"))</f>
        <v>AKTIF</v>
      </c>
      <c r="U692" s="16" t="s">
        <v>2942</v>
      </c>
      <c r="V692" s="15"/>
      <c r="W692" s="15"/>
      <c r="X692" s="15"/>
      <c r="Y692" s="15"/>
      <c r="Z692" s="15"/>
    </row>
    <row r="693" spans="1:26" ht="29" customHeight="1" x14ac:dyDescent="0.35">
      <c r="A693" s="12">
        <v>692</v>
      </c>
      <c r="B693" s="13" t="s">
        <v>2206</v>
      </c>
      <c r="C693" s="14" t="s">
        <v>2207</v>
      </c>
      <c r="D693" s="13" t="s">
        <v>903</v>
      </c>
      <c r="E693" s="14" t="str">
        <f t="shared" si="13"/>
        <v>Laki-Laki</v>
      </c>
      <c r="F693" s="18" t="s">
        <v>526</v>
      </c>
      <c r="G693" s="25" t="s">
        <v>2110</v>
      </c>
      <c r="H693" s="15" t="s">
        <v>2208</v>
      </c>
      <c r="I693" s="19" t="s">
        <v>90</v>
      </c>
      <c r="J693" s="12" t="s">
        <v>45</v>
      </c>
      <c r="K693" s="15" t="s">
        <v>46</v>
      </c>
      <c r="L693" s="15" t="s">
        <v>72</v>
      </c>
      <c r="M693" s="15">
        <v>2024</v>
      </c>
      <c r="N693" s="15" t="s">
        <v>72</v>
      </c>
      <c r="O693" s="15">
        <v>2028</v>
      </c>
      <c r="P693" s="15">
        <v>2024</v>
      </c>
      <c r="Q693" s="15"/>
      <c r="R693" s="16"/>
      <c r="S693" s="16" t="str">
        <f ca="1">IF(
  O693 &lt; YEAR(TODAY()),
  "LULUS",
  IF(
    O693 = YEAR(TODAY()),
    IF(
      MATCH(L693, {"Januari";"Februari";"Maret";"April";"Mei";"Juni";"Juli";"Agustus";"September";"Oktober";"November";"Desember"}, 0)
        &gt;= MONTH(TODAY()),
      "AKTIF (Semester " &amp;
        (INT((12*(YEAR(TODAY())-M693) + MONTH(TODAY()) -
          MATCH(L693, {"Januari";"Februari";"Maret";"April";"Mei";"Juni";"Juli";"Agustus";"September";"Oktober";"November";"Desember"}, 0)) / 6) + 1) &amp; ")",
      "LULUS"
    ),
    "AKTIF (Semester " &amp;
      (INT((12*(YEAR(TODAY())-M693) + MONTH(TODAY()) -
        MATCH(L693, {"Januari";"Februari";"Maret";"April";"Mei";"Juni";"Juli";"Agustus";"September";"Oktober";"November";"Desember"}, 0)) / 6) + 1) &amp; ")"
  )
)</f>
        <v>AKTIF (Semester 4)</v>
      </c>
      <c r="T693" s="16" t="str">
        <f ca="1">IF(O693 &lt; YEAR(TODAY()), "LULUS",
 IF(O693 = YEAR(TODAY()),
    IF(MATCH(N693, {"Januari";"Februari";"Maret";"April";"Mei";"Juni";"Juli";"Agustus";"September";"Oktober";"November";"Desember"},0)
        &lt;= MONTH(TODAY()),
        "LULUS",
        "AKTIF"),
 "AKTIF"))</f>
        <v>AKTIF</v>
      </c>
      <c r="U693" s="16" t="s">
        <v>2942</v>
      </c>
      <c r="V693" s="15"/>
      <c r="W693" s="15"/>
      <c r="X693" s="15"/>
      <c r="Y693" s="15"/>
      <c r="Z693" s="15"/>
    </row>
    <row r="694" spans="1:26" ht="29" customHeight="1" x14ac:dyDescent="0.35">
      <c r="A694" s="12">
        <v>693</v>
      </c>
      <c r="B694" s="13" t="s">
        <v>2209</v>
      </c>
      <c r="C694" s="14" t="s">
        <v>2210</v>
      </c>
      <c r="D694" s="13" t="s">
        <v>188</v>
      </c>
      <c r="E694" s="14" t="str">
        <f t="shared" si="13"/>
        <v>Laki-Laki</v>
      </c>
      <c r="F694" s="18" t="s">
        <v>2211</v>
      </c>
      <c r="G694" s="25" t="s">
        <v>2110</v>
      </c>
      <c r="H694" s="15" t="s">
        <v>1536</v>
      </c>
      <c r="I694" s="19" t="s">
        <v>90</v>
      </c>
      <c r="J694" s="19" t="s">
        <v>26</v>
      </c>
      <c r="K694" s="15" t="s">
        <v>394</v>
      </c>
      <c r="L694" s="15" t="s">
        <v>28</v>
      </c>
      <c r="M694" s="15">
        <v>2024</v>
      </c>
      <c r="N694" s="15" t="s">
        <v>28</v>
      </c>
      <c r="O694" s="15">
        <v>2026</v>
      </c>
      <c r="P694" s="15">
        <v>2024</v>
      </c>
      <c r="Q694" s="15"/>
      <c r="R694" s="16"/>
      <c r="S694" s="16" t="str">
        <f ca="1">IF(
  O694 &lt; YEAR(TODAY()),
  "LULUS",
  IF(
    O694 = YEAR(TODAY()),
    IF(
      MATCH(L694, {"Januari";"Februari";"Maret";"April";"Mei";"Juni";"Juli";"Agustus";"September";"Oktober";"November";"Desember"}, 0)
        &gt;= MONTH(TODAY()),
      "AKTIF (Semester " &amp;
        (INT((12*(YEAR(TODAY())-M694) + MONTH(TODAY()) -
          MATCH(L694, {"Januari";"Februari";"Maret";"April";"Mei";"Juni";"Juli";"Agustus";"September";"Oktober";"November";"Desember"}, 0)) / 6) + 1) &amp; ")",
      "LULUS"
    ),
    "AKTIF (Semester " &amp;
      (INT((12*(YEAR(TODAY())-M694) + MONTH(TODAY()) -
        MATCH(L694, {"Januari";"Februari";"Maret";"April";"Mei";"Juni";"Juli";"Agustus";"September";"Oktober";"November";"Desember"}, 0)) / 6) + 1) &amp; ")"
  )
)</f>
        <v>AKTIF (Semester 3)</v>
      </c>
      <c r="T694" s="16" t="str">
        <f ca="1">IF(O694 &lt; YEAR(TODAY()), "LULUS",
 IF(O694 = YEAR(TODAY()),
    IF(MATCH(N694, {"Januari";"Februari";"Maret";"April";"Mei";"Juni";"Juli";"Agustus";"September";"Oktober";"November";"Desember"},0)
        &lt;= MONTH(TODAY()),
        "LULUS",
        "AKTIF"),
 "AKTIF"))</f>
        <v>AKTIF</v>
      </c>
      <c r="U694" s="16" t="s">
        <v>2940</v>
      </c>
      <c r="V694" s="15"/>
      <c r="W694" s="15"/>
      <c r="X694" s="15"/>
      <c r="Y694" s="15"/>
      <c r="Z694" s="15"/>
    </row>
    <row r="695" spans="1:26" ht="29" customHeight="1" x14ac:dyDescent="0.35">
      <c r="A695" s="12">
        <v>694</v>
      </c>
      <c r="B695" s="13" t="s">
        <v>2212</v>
      </c>
      <c r="C695" s="14" t="s">
        <v>2213</v>
      </c>
      <c r="D695" s="13" t="s">
        <v>2214</v>
      </c>
      <c r="E695" s="14" t="str">
        <f t="shared" si="13"/>
        <v>Laki-Laki</v>
      </c>
      <c r="F695" s="18"/>
      <c r="G695" s="25" t="s">
        <v>2110</v>
      </c>
      <c r="H695" s="15" t="s">
        <v>2215</v>
      </c>
      <c r="I695" s="19" t="s">
        <v>90</v>
      </c>
      <c r="J695" s="19" t="s">
        <v>26</v>
      </c>
      <c r="K695" s="15" t="s">
        <v>394</v>
      </c>
      <c r="L695" s="15" t="s">
        <v>35</v>
      </c>
      <c r="M695" s="15">
        <v>2024</v>
      </c>
      <c r="N695" s="15" t="s">
        <v>35</v>
      </c>
      <c r="O695" s="15">
        <v>2026</v>
      </c>
      <c r="P695" s="15">
        <v>2024</v>
      </c>
      <c r="Q695" s="15"/>
      <c r="R695" s="16"/>
      <c r="S695" s="16" t="str">
        <f ca="1">IF(
  O695 &lt; YEAR(TODAY()),
  "LULUS",
  IF(
    O695 = YEAR(TODAY()),
    IF(
      MATCH(L695, {"Januari";"Februari";"Maret";"April";"Mei";"Juni";"Juli";"Agustus";"September";"Oktober";"November";"Desember"}, 0)
        &gt;= MONTH(TODAY()),
      "AKTIF (Semester " &amp;
        (INT((12*(YEAR(TODAY())-M695) + MONTH(TODAY()) -
          MATCH(L695, {"Januari";"Februari";"Maret";"April";"Mei";"Juni";"Juli";"Agustus";"September";"Oktober";"November";"Desember"}, 0)) / 6) + 1) &amp; ")",
      "LULUS"
    ),
    "AKTIF (Semester " &amp;
      (INT((12*(YEAR(TODAY())-M695) + MONTH(TODAY()) -
        MATCH(L695, {"Januari";"Februari";"Maret";"April";"Mei";"Juni";"Juli";"Agustus";"September";"Oktober";"November";"Desember"}, 0)) / 6) + 1) &amp; ")"
  )
)</f>
        <v>AKTIF (Semester 4)</v>
      </c>
      <c r="T695" s="16" t="str">
        <f ca="1">IF(O695 &lt; YEAR(TODAY()), "LULUS",
 IF(O695 = YEAR(TODAY()),
    IF(MATCH(N695, {"Januari";"Februari";"Maret";"April";"Mei";"Juni";"Juli";"Agustus";"September";"Oktober";"November";"Desember"},0)
        &lt;= MONTH(TODAY()),
        "LULUS",
        "AKTIF"),
 "AKTIF"))</f>
        <v>AKTIF</v>
      </c>
      <c r="U695" s="16" t="s">
        <v>2942</v>
      </c>
      <c r="V695" s="15"/>
      <c r="W695" s="15"/>
      <c r="X695" s="15"/>
      <c r="Y695" s="15"/>
      <c r="Z695" s="15"/>
    </row>
    <row r="696" spans="1:26" ht="29" customHeight="1" x14ac:dyDescent="0.35">
      <c r="A696" s="12">
        <v>695</v>
      </c>
      <c r="B696" s="13" t="s">
        <v>2217</v>
      </c>
      <c r="C696" s="14" t="s">
        <v>2218</v>
      </c>
      <c r="D696" s="13" t="s">
        <v>2214</v>
      </c>
      <c r="E696" s="14" t="str">
        <f t="shared" si="13"/>
        <v>Laki-Laki</v>
      </c>
      <c r="F696" s="18"/>
      <c r="G696" s="25" t="s">
        <v>2110</v>
      </c>
      <c r="H696" s="15" t="s">
        <v>1772</v>
      </c>
      <c r="I696" s="19" t="s">
        <v>90</v>
      </c>
      <c r="J696" s="19" t="s">
        <v>26</v>
      </c>
      <c r="K696" s="15" t="s">
        <v>394</v>
      </c>
      <c r="L696" s="15" t="s">
        <v>35</v>
      </c>
      <c r="M696" s="15">
        <v>2024</v>
      </c>
      <c r="N696" s="15" t="s">
        <v>35</v>
      </c>
      <c r="O696" s="15">
        <v>2026</v>
      </c>
      <c r="P696" s="15">
        <v>2024</v>
      </c>
      <c r="Q696" s="15"/>
      <c r="R696" s="16"/>
      <c r="S696" s="16" t="str">
        <f ca="1">IF(
  O696 &lt; YEAR(TODAY()),
  "LULUS",
  IF(
    O696 = YEAR(TODAY()),
    IF(
      MATCH(L696, {"Januari";"Februari";"Maret";"April";"Mei";"Juni";"Juli";"Agustus";"September";"Oktober";"November";"Desember"}, 0)
        &gt;= MONTH(TODAY()),
      "AKTIF (Semester " &amp;
        (INT((12*(YEAR(TODAY())-M696) + MONTH(TODAY()) -
          MATCH(L696, {"Januari";"Februari";"Maret";"April";"Mei";"Juni";"Juli";"Agustus";"September";"Oktober";"November";"Desember"}, 0)) / 6) + 1) &amp; ")",
      "LULUS"
    ),
    "AKTIF (Semester " &amp;
      (INT((12*(YEAR(TODAY())-M696) + MONTH(TODAY()) -
        MATCH(L696, {"Januari";"Februari";"Maret";"April";"Mei";"Juni";"Juli";"Agustus";"September";"Oktober";"November";"Desember"}, 0)) / 6) + 1) &amp; ")"
  )
)</f>
        <v>AKTIF (Semester 4)</v>
      </c>
      <c r="T696" s="16" t="str">
        <f ca="1">IF(O696 &lt; YEAR(TODAY()), "LULUS",
 IF(O696 = YEAR(TODAY()),
    IF(MATCH(N696, {"Januari";"Februari";"Maret";"April";"Mei";"Juni";"Juli";"Agustus";"September";"Oktober";"November";"Desember"},0)
        &lt;= MONTH(TODAY()),
        "LULUS",
        "AKTIF"),
 "AKTIF"))</f>
        <v>AKTIF</v>
      </c>
      <c r="U696" s="16" t="s">
        <v>2942</v>
      </c>
      <c r="V696" s="15"/>
      <c r="W696" s="15"/>
      <c r="X696" s="15"/>
      <c r="Y696" s="15"/>
      <c r="Z696" s="15"/>
    </row>
    <row r="697" spans="1:26" ht="29" customHeight="1" x14ac:dyDescent="0.35">
      <c r="A697" s="12">
        <v>696</v>
      </c>
      <c r="B697" s="13" t="s">
        <v>2219</v>
      </c>
      <c r="C697" s="14" t="s">
        <v>2220</v>
      </c>
      <c r="D697" s="13" t="s">
        <v>211</v>
      </c>
      <c r="E697" s="14" t="str">
        <f t="shared" si="13"/>
        <v>Laki-Laki</v>
      </c>
      <c r="F697" s="18" t="s">
        <v>1807</v>
      </c>
      <c r="G697" s="25" t="s">
        <v>2110</v>
      </c>
      <c r="H697" s="15" t="s">
        <v>1772</v>
      </c>
      <c r="I697" s="15" t="s">
        <v>2102</v>
      </c>
      <c r="J697" s="19" t="s">
        <v>26</v>
      </c>
      <c r="K697" s="15" t="s">
        <v>905</v>
      </c>
      <c r="L697" s="15" t="s">
        <v>169</v>
      </c>
      <c r="M697" s="15">
        <v>2024</v>
      </c>
      <c r="N697" s="15" t="s">
        <v>169</v>
      </c>
      <c r="O697" s="15">
        <v>2026</v>
      </c>
      <c r="P697" s="15">
        <v>2024</v>
      </c>
      <c r="Q697" s="15"/>
      <c r="R697" s="16"/>
      <c r="S697" s="16" t="str">
        <f ca="1">IF(
  O697 &lt; YEAR(TODAY()),
  "LULUS",
  IF(
    O697 = YEAR(TODAY()),
    IF(
      MATCH(L697, {"Januari";"Februari";"Maret";"April";"Mei";"Juni";"Juli";"Agustus";"September";"Oktober";"November";"Desember"}, 0)
        &gt;= MONTH(TODAY()),
      "AKTIF (Semester " &amp;
        (INT((12*(YEAR(TODAY())-M697) + MONTH(TODAY()) -
          MATCH(L697, {"Januari";"Februari";"Maret";"April";"Mei";"Juni";"Juli";"Agustus";"September";"Oktober";"November";"Desember"}, 0)) / 6) + 1) &amp; ")",
      "LULUS"
    ),
    "AKTIF (Semester " &amp;
      (INT((12*(YEAR(TODAY())-M697) + MONTH(TODAY()) -
        MATCH(L697, {"Januari";"Februari";"Maret";"April";"Mei";"Juni";"Juli";"Agustus";"September";"Oktober";"November";"Desember"}, 0)) / 6) + 1) &amp; ")"
  )
)</f>
        <v>AKTIF (Semester 3)</v>
      </c>
      <c r="T697" s="16" t="str">
        <f ca="1">IF(O697 &lt; YEAR(TODAY()), "LULUS",
 IF(O697 = YEAR(TODAY()),
    IF(MATCH(N697, {"Januari";"Februari";"Maret";"April";"Mei";"Juni";"Juli";"Agustus";"September";"Oktober";"November";"Desember"},0)
        &lt;= MONTH(TODAY()),
        "LULUS",
        "AKTIF"),
 "AKTIF"))</f>
        <v>AKTIF</v>
      </c>
      <c r="U697" s="16" t="s">
        <v>2940</v>
      </c>
      <c r="V697" s="15"/>
      <c r="W697" s="15"/>
      <c r="X697" s="15"/>
      <c r="Y697" s="15"/>
      <c r="Z697" s="15"/>
    </row>
    <row r="698" spans="1:26" ht="29" customHeight="1" x14ac:dyDescent="0.35">
      <c r="A698" s="12">
        <v>697</v>
      </c>
      <c r="B698" s="13" t="s">
        <v>2221</v>
      </c>
      <c r="C698" s="14" t="s">
        <v>2222</v>
      </c>
      <c r="D698" s="13" t="s">
        <v>215</v>
      </c>
      <c r="E698" s="14" t="str">
        <f t="shared" si="13"/>
        <v>Perempuan</v>
      </c>
      <c r="F698" s="18" t="s">
        <v>2223</v>
      </c>
      <c r="G698" s="25" t="s">
        <v>2110</v>
      </c>
      <c r="H698" s="15" t="s">
        <v>1870</v>
      </c>
      <c r="I698" s="19" t="s">
        <v>90</v>
      </c>
      <c r="J698" s="12" t="s">
        <v>45</v>
      </c>
      <c r="K698" s="15" t="s">
        <v>181</v>
      </c>
      <c r="L698" s="15" t="s">
        <v>28</v>
      </c>
      <c r="M698" s="15">
        <v>2024</v>
      </c>
      <c r="N698" s="15" t="s">
        <v>28</v>
      </c>
      <c r="O698" s="15">
        <v>2028</v>
      </c>
      <c r="P698" s="15">
        <v>2024</v>
      </c>
      <c r="Q698" s="15"/>
      <c r="R698" s="16"/>
      <c r="S698" s="16" t="str">
        <f ca="1">IF(
  O698 &lt; YEAR(TODAY()),
  "LULUS",
  IF(
    O698 = YEAR(TODAY()),
    IF(
      MATCH(L698, {"Januari";"Februari";"Maret";"April";"Mei";"Juni";"Juli";"Agustus";"September";"Oktober";"November";"Desember"}, 0)
        &gt;= MONTH(TODAY()),
      "AKTIF (Semester " &amp;
        (INT((12*(YEAR(TODAY())-M698) + MONTH(TODAY()) -
          MATCH(L698, {"Januari";"Februari";"Maret";"April";"Mei";"Juni";"Juli";"Agustus";"September";"Oktober";"November";"Desember"}, 0)) / 6) + 1) &amp; ")",
      "LULUS"
    ),
    "AKTIF (Semester " &amp;
      (INT((12*(YEAR(TODAY())-M698) + MONTH(TODAY()) -
        MATCH(L698, {"Januari";"Februari";"Maret";"April";"Mei";"Juni";"Juli";"Agustus";"September";"Oktober";"November";"Desember"}, 0)) / 6) + 1) &amp; ")"
  )
)</f>
        <v>AKTIF (Semester 3)</v>
      </c>
      <c r="T698" s="16" t="str">
        <f ca="1">IF(O698 &lt; YEAR(TODAY()), "LULUS",
 IF(O698 = YEAR(TODAY()),
    IF(MATCH(N698, {"Januari";"Februari";"Maret";"April";"Mei";"Juni";"Juli";"Agustus";"September";"Oktober";"November";"Desember"},0)
        &lt;= MONTH(TODAY()),
        "LULUS",
        "AKTIF"),
 "AKTIF"))</f>
        <v>AKTIF</v>
      </c>
      <c r="U698" s="16" t="s">
        <v>2940</v>
      </c>
      <c r="V698" s="15"/>
      <c r="W698" s="15"/>
      <c r="X698" s="15"/>
      <c r="Y698" s="15"/>
      <c r="Z698" s="15"/>
    </row>
    <row r="699" spans="1:26" ht="29" customHeight="1" x14ac:dyDescent="0.35">
      <c r="A699" s="12">
        <v>698</v>
      </c>
      <c r="B699" s="13" t="s">
        <v>2224</v>
      </c>
      <c r="C699" s="14" t="s">
        <v>2225</v>
      </c>
      <c r="D699" s="13" t="s">
        <v>188</v>
      </c>
      <c r="E699" s="14" t="str">
        <f t="shared" si="13"/>
        <v>Perempuan</v>
      </c>
      <c r="F699" s="18" t="s">
        <v>1807</v>
      </c>
      <c r="G699" s="25" t="s">
        <v>2110</v>
      </c>
      <c r="H699" s="15" t="s">
        <v>1536</v>
      </c>
      <c r="I699" s="19" t="s">
        <v>90</v>
      </c>
      <c r="J699" s="19" t="s">
        <v>26</v>
      </c>
      <c r="K699" s="15" t="s">
        <v>394</v>
      </c>
      <c r="L699" s="15" t="s">
        <v>28</v>
      </c>
      <c r="M699" s="15">
        <v>2024</v>
      </c>
      <c r="N699" s="15" t="s">
        <v>28</v>
      </c>
      <c r="O699" s="15">
        <v>2026</v>
      </c>
      <c r="P699" s="15">
        <v>2024</v>
      </c>
      <c r="Q699" s="15"/>
      <c r="R699" s="16"/>
      <c r="S699" s="16" t="str">
        <f ca="1">IF(
  O699 &lt; YEAR(TODAY()),
  "LULUS",
  IF(
    O699 = YEAR(TODAY()),
    IF(
      MATCH(L699, {"Januari";"Februari";"Maret";"April";"Mei";"Juni";"Juli";"Agustus";"September";"Oktober";"November";"Desember"}, 0)
        &gt;= MONTH(TODAY()),
      "AKTIF (Semester " &amp;
        (INT((12*(YEAR(TODAY())-M699) + MONTH(TODAY()) -
          MATCH(L699, {"Januari";"Februari";"Maret";"April";"Mei";"Juni";"Juli";"Agustus";"September";"Oktober";"November";"Desember"}, 0)) / 6) + 1) &amp; ")",
      "LULUS"
    ),
    "AKTIF (Semester " &amp;
      (INT((12*(YEAR(TODAY())-M699) + MONTH(TODAY()) -
        MATCH(L699, {"Januari";"Februari";"Maret";"April";"Mei";"Juni";"Juli";"Agustus";"September";"Oktober";"November";"Desember"}, 0)) / 6) + 1) &amp; ")"
  )
)</f>
        <v>AKTIF (Semester 3)</v>
      </c>
      <c r="T699" s="16" t="str">
        <f ca="1">IF(O699 &lt; YEAR(TODAY()), "LULUS",
 IF(O699 = YEAR(TODAY()),
    IF(MATCH(N699, {"Januari";"Februari";"Maret";"April";"Mei";"Juni";"Juli";"Agustus";"September";"Oktober";"November";"Desember"},0)
        &lt;= MONTH(TODAY()),
        "LULUS",
        "AKTIF"),
 "AKTIF"))</f>
        <v>AKTIF</v>
      </c>
      <c r="U699" s="16" t="s">
        <v>2940</v>
      </c>
      <c r="V699" s="15"/>
      <c r="W699" s="15"/>
      <c r="X699" s="15"/>
      <c r="Y699" s="15"/>
      <c r="Z699" s="15"/>
    </row>
    <row r="700" spans="1:26" ht="29" customHeight="1" x14ac:dyDescent="0.35">
      <c r="A700" s="12">
        <v>699</v>
      </c>
      <c r="B700" s="13" t="s">
        <v>2226</v>
      </c>
      <c r="C700" s="14" t="s">
        <v>2227</v>
      </c>
      <c r="D700" s="13" t="s">
        <v>507</v>
      </c>
      <c r="E700" s="14" t="str">
        <f t="shared" si="13"/>
        <v>Perempuan</v>
      </c>
      <c r="F700" s="18" t="s">
        <v>1791</v>
      </c>
      <c r="G700" s="25" t="s">
        <v>2110</v>
      </c>
      <c r="H700" s="15" t="s">
        <v>1870</v>
      </c>
      <c r="I700" s="15" t="s">
        <v>261</v>
      </c>
      <c r="J700" s="19" t="s">
        <v>26</v>
      </c>
      <c r="K700" s="15" t="s">
        <v>262</v>
      </c>
      <c r="L700" s="15" t="s">
        <v>28</v>
      </c>
      <c r="M700" s="15">
        <v>2024</v>
      </c>
      <c r="N700" s="15" t="s">
        <v>28</v>
      </c>
      <c r="O700" s="15">
        <v>2026</v>
      </c>
      <c r="P700" s="15">
        <v>2024</v>
      </c>
      <c r="Q700" s="15"/>
      <c r="R700" s="16"/>
      <c r="S700" s="16" t="str">
        <f ca="1">IF(
  O700 &lt; YEAR(TODAY()),
  "LULUS",
  IF(
    O700 = YEAR(TODAY()),
    IF(
      MATCH(L700, {"Januari";"Februari";"Maret";"April";"Mei";"Juni";"Juli";"Agustus";"September";"Oktober";"November";"Desember"}, 0)
        &gt;= MONTH(TODAY()),
      "AKTIF (Semester " &amp;
        (INT((12*(YEAR(TODAY())-M700) + MONTH(TODAY()) -
          MATCH(L700, {"Januari";"Februari";"Maret";"April";"Mei";"Juni";"Juli";"Agustus";"September";"Oktober";"November";"Desember"}, 0)) / 6) + 1) &amp; ")",
      "LULUS"
    ),
    "AKTIF (Semester " &amp;
      (INT((12*(YEAR(TODAY())-M700) + MONTH(TODAY()) -
        MATCH(L700, {"Januari";"Februari";"Maret";"April";"Mei";"Juni";"Juli";"Agustus";"September";"Oktober";"November";"Desember"}, 0)) / 6) + 1) &amp; ")"
  )
)</f>
        <v>AKTIF (Semester 3)</v>
      </c>
      <c r="T700" s="16" t="str">
        <f ca="1">IF(O700 &lt; YEAR(TODAY()), "LULUS",
 IF(O700 = YEAR(TODAY()),
    IF(MATCH(N700, {"Januari";"Februari";"Maret";"April";"Mei";"Juni";"Juli";"Agustus";"September";"Oktober";"November";"Desember"},0)
        &lt;= MONTH(TODAY()),
        "LULUS",
        "AKTIF"),
 "AKTIF"))</f>
        <v>AKTIF</v>
      </c>
      <c r="U700" s="16" t="s">
        <v>2940</v>
      </c>
      <c r="V700" s="15"/>
      <c r="W700" s="15"/>
      <c r="X700" s="15"/>
      <c r="Y700" s="15"/>
      <c r="Z700" s="15"/>
    </row>
    <row r="701" spans="1:26" ht="29" customHeight="1" x14ac:dyDescent="0.35">
      <c r="A701" s="12">
        <v>700</v>
      </c>
      <c r="B701" s="13" t="s">
        <v>2228</v>
      </c>
      <c r="C701" s="14" t="s">
        <v>2229</v>
      </c>
      <c r="D701" s="13" t="s">
        <v>211</v>
      </c>
      <c r="E701" s="14" t="str">
        <f t="shared" si="13"/>
        <v>Perempuan</v>
      </c>
      <c r="F701" s="18" t="s">
        <v>2230</v>
      </c>
      <c r="G701" s="25" t="s">
        <v>2110</v>
      </c>
      <c r="H701" s="15" t="s">
        <v>1772</v>
      </c>
      <c r="I701" s="15" t="s">
        <v>2102</v>
      </c>
      <c r="J701" s="19" t="s">
        <v>26</v>
      </c>
      <c r="K701" s="15" t="s">
        <v>905</v>
      </c>
      <c r="L701" s="15" t="s">
        <v>169</v>
      </c>
      <c r="M701" s="15">
        <v>2024</v>
      </c>
      <c r="N701" s="15" t="s">
        <v>169</v>
      </c>
      <c r="O701" s="15">
        <v>2026</v>
      </c>
      <c r="P701" s="15">
        <v>2024</v>
      </c>
      <c r="Q701" s="15"/>
      <c r="R701" s="16"/>
      <c r="S701" s="16" t="str">
        <f ca="1">IF(
  O701 &lt; YEAR(TODAY()),
  "LULUS",
  IF(
    O701 = YEAR(TODAY()),
    IF(
      MATCH(L701, {"Januari";"Februari";"Maret";"April";"Mei";"Juni";"Juli";"Agustus";"September";"Oktober";"November";"Desember"}, 0)
        &gt;= MONTH(TODAY()),
      "AKTIF (Semester " &amp;
        (INT((12*(YEAR(TODAY())-M701) + MONTH(TODAY()) -
          MATCH(L701, {"Januari";"Februari";"Maret";"April";"Mei";"Juni";"Juli";"Agustus";"September";"Oktober";"November";"Desember"}, 0)) / 6) + 1) &amp; ")",
      "LULUS"
    ),
    "AKTIF (Semester " &amp;
      (INT((12*(YEAR(TODAY())-M701) + MONTH(TODAY()) -
        MATCH(L701, {"Januari";"Februari";"Maret";"April";"Mei";"Juni";"Juli";"Agustus";"September";"Oktober";"November";"Desember"}, 0)) / 6) + 1) &amp; ")"
  )
)</f>
        <v>AKTIF (Semester 3)</v>
      </c>
      <c r="T701" s="16" t="str">
        <f ca="1">IF(O701 &lt; YEAR(TODAY()), "LULUS",
 IF(O701 = YEAR(TODAY()),
    IF(MATCH(N701, {"Januari";"Februari";"Maret";"April";"Mei";"Juni";"Juli";"Agustus";"September";"Oktober";"November";"Desember"},0)
        &lt;= MONTH(TODAY()),
        "LULUS",
        "AKTIF"),
 "AKTIF"))</f>
        <v>AKTIF</v>
      </c>
      <c r="U701" s="16" t="s">
        <v>2940</v>
      </c>
      <c r="V701" s="15"/>
      <c r="W701" s="15"/>
      <c r="X701" s="15"/>
      <c r="Y701" s="15"/>
      <c r="Z701" s="15"/>
    </row>
    <row r="702" spans="1:26" ht="29" customHeight="1" x14ac:dyDescent="0.35">
      <c r="A702" s="12">
        <v>701</v>
      </c>
      <c r="B702" s="13" t="s">
        <v>2231</v>
      </c>
      <c r="C702" s="14" t="s">
        <v>2232</v>
      </c>
      <c r="D702" s="13" t="s">
        <v>211</v>
      </c>
      <c r="E702" s="14" t="str">
        <f t="shared" si="13"/>
        <v>Laki-Laki</v>
      </c>
      <c r="F702" s="18" t="s">
        <v>397</v>
      </c>
      <c r="G702" s="25" t="s">
        <v>2110</v>
      </c>
      <c r="H702" s="15" t="s">
        <v>1658</v>
      </c>
      <c r="I702" s="15" t="s">
        <v>2233</v>
      </c>
      <c r="J702" s="19" t="s">
        <v>26</v>
      </c>
      <c r="K702" s="15" t="s">
        <v>257</v>
      </c>
      <c r="L702" s="15" t="s">
        <v>28</v>
      </c>
      <c r="M702" s="15">
        <v>2024</v>
      </c>
      <c r="N702" s="15" t="s">
        <v>28</v>
      </c>
      <c r="O702" s="15">
        <v>2026</v>
      </c>
      <c r="P702" s="15">
        <v>2024</v>
      </c>
      <c r="Q702" s="15"/>
      <c r="R702" s="16"/>
      <c r="S702" s="16" t="str">
        <f ca="1">IF(
  O702 &lt; YEAR(TODAY()),
  "LULUS",
  IF(
    O702 = YEAR(TODAY()),
    IF(
      MATCH(L702, {"Januari";"Februari";"Maret";"April";"Mei";"Juni";"Juli";"Agustus";"September";"Oktober";"November";"Desember"}, 0)
        &gt;= MONTH(TODAY()),
      "AKTIF (Semester " &amp;
        (INT((12*(YEAR(TODAY())-M702) + MONTH(TODAY()) -
          MATCH(L702, {"Januari";"Februari";"Maret";"April";"Mei";"Juni";"Juli";"Agustus";"September";"Oktober";"November";"Desember"}, 0)) / 6) + 1) &amp; ")",
      "LULUS"
    ),
    "AKTIF (Semester " &amp;
      (INT((12*(YEAR(TODAY())-M702) + MONTH(TODAY()) -
        MATCH(L702, {"Januari";"Februari";"Maret";"April";"Mei";"Juni";"Juli";"Agustus";"September";"Oktober";"November";"Desember"}, 0)) / 6) + 1) &amp; ")"
  )
)</f>
        <v>AKTIF (Semester 3)</v>
      </c>
      <c r="T702" s="16" t="str">
        <f ca="1">IF(O702 &lt; YEAR(TODAY()), "LULUS",
 IF(O702 = YEAR(TODAY()),
    IF(MATCH(N702, {"Januari";"Februari";"Maret";"April";"Mei";"Juni";"Juli";"Agustus";"September";"Oktober";"November";"Desember"},0)
        &lt;= MONTH(TODAY()),
        "LULUS",
        "AKTIF"),
 "AKTIF"))</f>
        <v>AKTIF</v>
      </c>
      <c r="U702" s="16" t="s">
        <v>2940</v>
      </c>
      <c r="V702" s="15"/>
      <c r="W702" s="15"/>
      <c r="X702" s="15"/>
      <c r="Y702" s="15"/>
      <c r="Z702" s="15"/>
    </row>
    <row r="703" spans="1:26" ht="29" customHeight="1" x14ac:dyDescent="0.35">
      <c r="A703" s="12">
        <v>702</v>
      </c>
      <c r="B703" s="13" t="s">
        <v>2234</v>
      </c>
      <c r="C703" s="14" t="s">
        <v>2235</v>
      </c>
      <c r="D703" s="13" t="s">
        <v>507</v>
      </c>
      <c r="E703" s="14" t="str">
        <f t="shared" si="13"/>
        <v>Laki-Laki</v>
      </c>
      <c r="F703" s="18" t="s">
        <v>1673</v>
      </c>
      <c r="G703" s="25" t="s">
        <v>2110</v>
      </c>
      <c r="H703" s="15" t="s">
        <v>1870</v>
      </c>
      <c r="I703" s="19" t="s">
        <v>90</v>
      </c>
      <c r="J703" s="19" t="s">
        <v>26</v>
      </c>
      <c r="K703" s="15" t="s">
        <v>394</v>
      </c>
      <c r="L703" s="15" t="s">
        <v>35</v>
      </c>
      <c r="M703" s="15">
        <v>2024</v>
      </c>
      <c r="N703" s="15" t="s">
        <v>35</v>
      </c>
      <c r="O703" s="15">
        <v>2026</v>
      </c>
      <c r="P703" s="15">
        <v>2024</v>
      </c>
      <c r="Q703" s="15"/>
      <c r="R703" s="16"/>
      <c r="S703" s="16" t="str">
        <f ca="1">IF(
  O703 &lt; YEAR(TODAY()),
  "LULUS",
  IF(
    O703 = YEAR(TODAY()),
    IF(
      MATCH(L703, {"Januari";"Februari";"Maret";"April";"Mei";"Juni";"Juli";"Agustus";"September";"Oktober";"November";"Desember"}, 0)
        &gt;= MONTH(TODAY()),
      "AKTIF (Semester " &amp;
        (INT((12*(YEAR(TODAY())-M703) + MONTH(TODAY()) -
          MATCH(L703, {"Januari";"Februari";"Maret";"April";"Mei";"Juni";"Juli";"Agustus";"September";"Oktober";"November";"Desember"}, 0)) / 6) + 1) &amp; ")",
      "LULUS"
    ),
    "AKTIF (Semester " &amp;
      (INT((12*(YEAR(TODAY())-M703) + MONTH(TODAY()) -
        MATCH(L703, {"Januari";"Februari";"Maret";"April";"Mei";"Juni";"Juli";"Agustus";"September";"Oktober";"November";"Desember"}, 0)) / 6) + 1) &amp; ")"
  )
)</f>
        <v>AKTIF (Semester 4)</v>
      </c>
      <c r="T703" s="16" t="str">
        <f ca="1">IF(O703 &lt; YEAR(TODAY()), "LULUS",
 IF(O703 = YEAR(TODAY()),
    IF(MATCH(N703, {"Januari";"Februari";"Maret";"April";"Mei";"Juni";"Juli";"Agustus";"September";"Oktober";"November";"Desember"},0)
        &lt;= MONTH(TODAY()),
        "LULUS",
        "AKTIF"),
 "AKTIF"))</f>
        <v>AKTIF</v>
      </c>
      <c r="U703" s="16" t="s">
        <v>2942</v>
      </c>
      <c r="V703" s="15"/>
      <c r="W703" s="15"/>
      <c r="X703" s="15"/>
      <c r="Y703" s="15"/>
      <c r="Z703" s="15"/>
    </row>
    <row r="704" spans="1:26" ht="29" customHeight="1" x14ac:dyDescent="0.35">
      <c r="A704" s="12">
        <v>703</v>
      </c>
      <c r="B704" s="13" t="s">
        <v>2237</v>
      </c>
      <c r="C704" s="14" t="s">
        <v>2238</v>
      </c>
      <c r="D704" s="13" t="s">
        <v>211</v>
      </c>
      <c r="E704" s="14" t="str">
        <f t="shared" si="13"/>
        <v>Laki-Laki</v>
      </c>
      <c r="F704" s="18" t="s">
        <v>2239</v>
      </c>
      <c r="G704" s="25" t="s">
        <v>2110</v>
      </c>
      <c r="H704" s="15" t="s">
        <v>1560</v>
      </c>
      <c r="I704" s="15" t="s">
        <v>1576</v>
      </c>
      <c r="J704" s="19" t="s">
        <v>26</v>
      </c>
      <c r="K704" s="81" t="s">
        <v>2240</v>
      </c>
      <c r="L704" s="15" t="s">
        <v>890</v>
      </c>
      <c r="M704" s="15">
        <v>2025</v>
      </c>
      <c r="N704" s="15" t="s">
        <v>890</v>
      </c>
      <c r="O704" s="15">
        <v>2027</v>
      </c>
      <c r="P704" s="15">
        <v>2024</v>
      </c>
      <c r="Q704" s="15"/>
      <c r="R704" s="16"/>
      <c r="S704" s="16" t="str">
        <f ca="1">IF(
  O704 &lt; YEAR(TODAY()),
  "LULUS",
  IF(
    O704 = YEAR(TODAY()),
    IF(
      MATCH(L704, {"Januari";"Februari";"Maret";"April";"Mei";"Juni";"Juli";"Agustus";"September";"Oktober";"November";"Desember"}, 0)
        &gt;= MONTH(TODAY()),
      "AKTIF (Semester " &amp;
        (INT((12*(YEAR(TODAY())-M704) + MONTH(TODAY()) -
          MATCH(L704, {"Januari";"Februari";"Maret";"April";"Mei";"Juni";"Juli";"Agustus";"September";"Oktober";"November";"Desember"}, 0)) / 6) + 1) &amp; ")",
      "LULUS"
    ),
    "AKTIF (Semester " &amp;
      (INT((12*(YEAR(TODAY())-M704) + MONTH(TODAY()) -
        MATCH(L704, {"Januari";"Februari";"Maret";"April";"Mei";"Juni";"Juli";"Agustus";"September";"Oktober";"November";"Desember"}, 0)) / 6) + 1) &amp; ")"
  )
)</f>
        <v>AKTIF (Semester 2)</v>
      </c>
      <c r="T704" s="16" t="str">
        <f ca="1">IF(O704 &lt; YEAR(TODAY()), "LULUS",
 IF(O704 = YEAR(TODAY()),
    IF(MATCH(N704, {"Januari";"Februari";"Maret";"April";"Mei";"Juni";"Juli";"Agustus";"September";"Oktober";"November";"Desember"},0)
        &lt;= MONTH(TODAY()),
        "LULUS",
        "AKTIF"),
 "AKTIF"))</f>
        <v>AKTIF</v>
      </c>
      <c r="U704" s="16" t="s">
        <v>2945</v>
      </c>
      <c r="V704" s="15"/>
      <c r="W704" s="15"/>
      <c r="X704" s="15"/>
      <c r="Y704" s="15"/>
      <c r="Z704" s="15"/>
    </row>
    <row r="705" spans="1:26" ht="29" customHeight="1" x14ac:dyDescent="0.35">
      <c r="A705" s="12">
        <v>704</v>
      </c>
      <c r="B705" s="13" t="s">
        <v>2241</v>
      </c>
      <c r="C705" s="14" t="s">
        <v>2242</v>
      </c>
      <c r="D705" s="13" t="s">
        <v>188</v>
      </c>
      <c r="E705" s="14" t="str">
        <f t="shared" ref="E705:E768" si="14">IF(MID(C705,15,1)="1","Laki-Laki","Perempuan")</f>
        <v>Laki-Laki</v>
      </c>
      <c r="F705" s="18" t="s">
        <v>2243</v>
      </c>
      <c r="G705" s="25" t="s">
        <v>2110</v>
      </c>
      <c r="H705" s="15" t="s">
        <v>1525</v>
      </c>
      <c r="I705" s="15" t="s">
        <v>563</v>
      </c>
      <c r="J705" s="19" t="s">
        <v>26</v>
      </c>
      <c r="K705" s="15" t="s">
        <v>564</v>
      </c>
      <c r="L705" s="15" t="s">
        <v>60</v>
      </c>
      <c r="M705" s="15">
        <v>2024</v>
      </c>
      <c r="N705" s="15" t="s">
        <v>60</v>
      </c>
      <c r="O705" s="15">
        <v>2026</v>
      </c>
      <c r="P705" s="15">
        <v>2024</v>
      </c>
      <c r="Q705" s="15"/>
      <c r="R705" s="16"/>
      <c r="S705" s="16" t="str">
        <f ca="1">IF(
  O705 &lt; YEAR(TODAY()),
  "LULUS",
  IF(
    O705 = YEAR(TODAY()),
    IF(
      MATCH(L705, {"Januari";"Februari";"Maret";"April";"Mei";"Juni";"Juli";"Agustus";"September";"Oktober";"November";"Desember"}, 0)
        &gt;= MONTH(TODAY()),
      "AKTIF (Semester " &amp;
        (INT((12*(YEAR(TODAY())-M705) + MONTH(TODAY()) -
          MATCH(L705, {"Januari";"Februari";"Maret";"April";"Mei";"Juni";"Juli";"Agustus";"September";"Oktober";"November";"Desember"}, 0)) / 6) + 1) &amp; ")",
      "LULUS"
    ),
    "AKTIF (Semester " &amp;
      (INT((12*(YEAR(TODAY())-M705) + MONTH(TODAY()) -
        MATCH(L705, {"Januari";"Februari";"Maret";"April";"Mei";"Juni";"Juli";"Agustus";"September";"Oktober";"November";"Desember"}, 0)) / 6) + 1) &amp; ")"
  )
)</f>
        <v>AKTIF (Semester 3)</v>
      </c>
      <c r="T705" s="16" t="str">
        <f ca="1">IF(O705 &lt; YEAR(TODAY()), "LULUS",
 IF(O705 = YEAR(TODAY()),
    IF(MATCH(N705, {"Januari";"Februari";"Maret";"April";"Mei";"Juni";"Juli";"Agustus";"September";"Oktober";"November";"Desember"},0)
        &lt;= MONTH(TODAY()),
        "LULUS",
        "AKTIF"),
 "AKTIF"))</f>
        <v>AKTIF</v>
      </c>
      <c r="U705" s="16" t="s">
        <v>2940</v>
      </c>
      <c r="V705" s="15"/>
      <c r="W705" s="15"/>
      <c r="X705" s="15"/>
      <c r="Y705" s="15"/>
      <c r="Z705" s="15"/>
    </row>
    <row r="706" spans="1:26" ht="29" customHeight="1" x14ac:dyDescent="0.35">
      <c r="A706" s="12">
        <v>705</v>
      </c>
      <c r="B706" s="13" t="s">
        <v>2244</v>
      </c>
      <c r="C706" s="14" t="s">
        <v>2245</v>
      </c>
      <c r="D706" s="13" t="s">
        <v>188</v>
      </c>
      <c r="E706" s="14" t="str">
        <f t="shared" si="14"/>
        <v>Laki-Laki</v>
      </c>
      <c r="F706" s="18" t="s">
        <v>1629</v>
      </c>
      <c r="G706" s="25" t="s">
        <v>2110</v>
      </c>
      <c r="H706" s="15" t="s">
        <v>2246</v>
      </c>
      <c r="I706" s="15" t="s">
        <v>563</v>
      </c>
      <c r="J706" s="19" t="s">
        <v>26</v>
      </c>
      <c r="K706" s="15" t="s">
        <v>564</v>
      </c>
      <c r="L706" s="15" t="s">
        <v>60</v>
      </c>
      <c r="M706" s="15">
        <v>2024</v>
      </c>
      <c r="N706" s="15" t="s">
        <v>60</v>
      </c>
      <c r="O706" s="15">
        <v>2026</v>
      </c>
      <c r="P706" s="15">
        <v>2024</v>
      </c>
      <c r="Q706" s="15"/>
      <c r="R706" s="16"/>
      <c r="S706" s="16" t="str">
        <f ca="1">IF(
  O706 &lt; YEAR(TODAY()),
  "LULUS",
  IF(
    O706 = YEAR(TODAY()),
    IF(
      MATCH(L706, {"Januari";"Februari";"Maret";"April";"Mei";"Juni";"Juli";"Agustus";"September";"Oktober";"November";"Desember"}, 0)
        &gt;= MONTH(TODAY()),
      "AKTIF (Semester " &amp;
        (INT((12*(YEAR(TODAY())-M706) + MONTH(TODAY()) -
          MATCH(L706, {"Januari";"Februari";"Maret";"April";"Mei";"Juni";"Juli";"Agustus";"September";"Oktober";"November";"Desember"}, 0)) / 6) + 1) &amp; ")",
      "LULUS"
    ),
    "AKTIF (Semester " &amp;
      (INT((12*(YEAR(TODAY())-M706) + MONTH(TODAY()) -
        MATCH(L706, {"Januari";"Februari";"Maret";"April";"Mei";"Juni";"Juli";"Agustus";"September";"Oktober";"November";"Desember"}, 0)) / 6) + 1) &amp; ")"
  )
)</f>
        <v>AKTIF (Semester 3)</v>
      </c>
      <c r="T706" s="16" t="str">
        <f ca="1">IF(O706 &lt; YEAR(TODAY()), "LULUS",
 IF(O706 = YEAR(TODAY()),
    IF(MATCH(N706, {"Januari";"Februari";"Maret";"April";"Mei";"Juni";"Juli";"Agustus";"September";"Oktober";"November";"Desember"},0)
        &lt;= MONTH(TODAY()),
        "LULUS",
        "AKTIF"),
 "AKTIF"))</f>
        <v>AKTIF</v>
      </c>
      <c r="U706" s="16" t="s">
        <v>2940</v>
      </c>
      <c r="V706" s="15"/>
      <c r="W706" s="15"/>
      <c r="X706" s="15"/>
      <c r="Y706" s="15"/>
      <c r="Z706" s="15"/>
    </row>
    <row r="707" spans="1:26" ht="29" customHeight="1" x14ac:dyDescent="0.35">
      <c r="A707" s="12">
        <v>706</v>
      </c>
      <c r="B707" s="13" t="s">
        <v>2247</v>
      </c>
      <c r="C707" s="14" t="s">
        <v>2248</v>
      </c>
      <c r="D707" s="13" t="s">
        <v>188</v>
      </c>
      <c r="E707" s="14" t="str">
        <f t="shared" si="14"/>
        <v>Laki-Laki</v>
      </c>
      <c r="F707" s="18" t="s">
        <v>2249</v>
      </c>
      <c r="G707" s="25" t="s">
        <v>2110</v>
      </c>
      <c r="H707" s="15" t="s">
        <v>2202</v>
      </c>
      <c r="I707" s="15" t="s">
        <v>2321</v>
      </c>
      <c r="J707" s="12" t="s">
        <v>242</v>
      </c>
      <c r="K707" s="15" t="s">
        <v>2251</v>
      </c>
      <c r="L707" s="15" t="s">
        <v>72</v>
      </c>
      <c r="M707" s="15">
        <v>2024</v>
      </c>
      <c r="N707" s="15" t="s">
        <v>72</v>
      </c>
      <c r="O707" s="15">
        <v>2027</v>
      </c>
      <c r="P707" s="15">
        <v>2024</v>
      </c>
      <c r="Q707" s="15"/>
      <c r="R707" s="16"/>
      <c r="S707" s="16" t="str">
        <f ca="1">IF(
  O707 &lt; YEAR(TODAY()),
  "LULUS",
  IF(
    O707 = YEAR(TODAY()),
    IF(
      MATCH(L707, {"Januari";"Februari";"Maret";"April";"Mei";"Juni";"Juli";"Agustus";"September";"Oktober";"November";"Desember"}, 0)
        &gt;= MONTH(TODAY()),
      "AKTIF (Semester " &amp;
        (INT((12*(YEAR(TODAY())-M707) + MONTH(TODAY()) -
          MATCH(L707, {"Januari";"Februari";"Maret";"April";"Mei";"Juni";"Juli";"Agustus";"September";"Oktober";"November";"Desember"}, 0)) / 6) + 1) &amp; ")",
      "LULUS"
    ),
    "AKTIF (Semester " &amp;
      (INT((12*(YEAR(TODAY())-M707) + MONTH(TODAY()) -
        MATCH(L707, {"Januari";"Februari";"Maret";"April";"Mei";"Juni";"Juli";"Agustus";"September";"Oktober";"November";"Desember"}, 0)) / 6) + 1) &amp; ")"
  )
)</f>
        <v>AKTIF (Semester 4)</v>
      </c>
      <c r="T707" s="16" t="str">
        <f ca="1">IF(O707 &lt; YEAR(TODAY()), "LULUS",
 IF(O707 = YEAR(TODAY()),
    IF(MATCH(N707, {"Januari";"Februari";"Maret";"April";"Mei";"Juni";"Juli";"Agustus";"September";"Oktober";"November";"Desember"},0)
        &lt;= MONTH(TODAY()),
        "LULUS",
        "AKTIF"),
 "AKTIF"))</f>
        <v>AKTIF</v>
      </c>
      <c r="U707" s="16" t="s">
        <v>2942</v>
      </c>
      <c r="V707" s="15"/>
      <c r="W707" s="15"/>
      <c r="X707" s="15"/>
      <c r="Y707" s="15"/>
      <c r="Z707" s="15"/>
    </row>
    <row r="708" spans="1:26" ht="29" customHeight="1" x14ac:dyDescent="0.35">
      <c r="A708" s="12">
        <v>707</v>
      </c>
      <c r="B708" s="13" t="s">
        <v>2252</v>
      </c>
      <c r="C708" s="14" t="s">
        <v>2253</v>
      </c>
      <c r="D708" s="13" t="s">
        <v>2254</v>
      </c>
      <c r="E708" s="14" t="str">
        <f t="shared" si="14"/>
        <v>Laki-Laki</v>
      </c>
      <c r="F708" s="18" t="s">
        <v>1437</v>
      </c>
      <c r="G708" s="25" t="s">
        <v>2110</v>
      </c>
      <c r="H708" s="15" t="s">
        <v>2255</v>
      </c>
      <c r="I708" s="19" t="s">
        <v>90</v>
      </c>
      <c r="J708" s="12" t="s">
        <v>45</v>
      </c>
      <c r="K708" s="15" t="s">
        <v>248</v>
      </c>
      <c r="L708" s="15" t="s">
        <v>169</v>
      </c>
      <c r="M708" s="15">
        <v>2024</v>
      </c>
      <c r="N708" s="15" t="s">
        <v>169</v>
      </c>
      <c r="O708" s="15">
        <v>2028</v>
      </c>
      <c r="P708" s="15">
        <v>2024</v>
      </c>
      <c r="Q708" s="15"/>
      <c r="R708" s="16"/>
      <c r="S708" s="16" t="str">
        <f ca="1">IF(
  O708 &lt; YEAR(TODAY()),
  "LULUS",
  IF(
    O708 = YEAR(TODAY()),
    IF(
      MATCH(L708, {"Januari";"Februari";"Maret";"April";"Mei";"Juni";"Juli";"Agustus";"September";"Oktober";"November";"Desember"}, 0)
        &gt;= MONTH(TODAY()),
      "AKTIF (Semester " &amp;
        (INT((12*(YEAR(TODAY())-M708) + MONTH(TODAY()) -
          MATCH(L708, {"Januari";"Februari";"Maret";"April";"Mei";"Juni";"Juli";"Agustus";"September";"Oktober";"November";"Desember"}, 0)) / 6) + 1) &amp; ")",
      "LULUS"
    ),
    "AKTIF (Semester " &amp;
      (INT((12*(YEAR(TODAY())-M708) + MONTH(TODAY()) -
        MATCH(L708, {"Januari";"Februari";"Maret";"April";"Mei";"Juni";"Juli";"Agustus";"September";"Oktober";"November";"Desember"}, 0)) / 6) + 1) &amp; ")"
  )
)</f>
        <v>AKTIF (Semester 3)</v>
      </c>
      <c r="T708" s="16" t="str">
        <f ca="1">IF(O708 &lt; YEAR(TODAY()), "LULUS",
 IF(O708 = YEAR(TODAY()),
    IF(MATCH(N708, {"Januari";"Februari";"Maret";"April";"Mei";"Juni";"Juli";"Agustus";"September";"Oktober";"November";"Desember"},0)
        &lt;= MONTH(TODAY()),
        "LULUS",
        "AKTIF"),
 "AKTIF"))</f>
        <v>AKTIF</v>
      </c>
      <c r="U708" s="16" t="s">
        <v>2940</v>
      </c>
      <c r="V708" s="15"/>
      <c r="W708" s="15"/>
      <c r="X708" s="15"/>
      <c r="Y708" s="15"/>
      <c r="Z708" s="15"/>
    </row>
    <row r="709" spans="1:26" ht="29" customHeight="1" x14ac:dyDescent="0.35">
      <c r="A709" s="12">
        <v>708</v>
      </c>
      <c r="B709" s="13" t="s">
        <v>2256</v>
      </c>
      <c r="C709" s="14" t="s">
        <v>2257</v>
      </c>
      <c r="D709" s="13" t="s">
        <v>188</v>
      </c>
      <c r="E709" s="14" t="str">
        <f t="shared" si="14"/>
        <v>Laki-Laki</v>
      </c>
      <c r="F709" s="18" t="s">
        <v>1807</v>
      </c>
      <c r="G709" s="25" t="s">
        <v>2110</v>
      </c>
      <c r="H709" s="15" t="s">
        <v>1536</v>
      </c>
      <c r="I709" s="19" t="s">
        <v>788</v>
      </c>
      <c r="J709" s="12" t="s">
        <v>26</v>
      </c>
      <c r="K709" s="15" t="s">
        <v>407</v>
      </c>
      <c r="L709" s="15" t="s">
        <v>28</v>
      </c>
      <c r="M709" s="15">
        <v>2024</v>
      </c>
      <c r="N709" s="15" t="s">
        <v>28</v>
      </c>
      <c r="O709" s="15">
        <v>2026</v>
      </c>
      <c r="P709" s="15">
        <v>2024</v>
      </c>
      <c r="Q709" s="15"/>
      <c r="R709" s="16"/>
      <c r="S709" s="16" t="str">
        <f ca="1">IF(
  O709 &lt; YEAR(TODAY()),
  "LULUS",
  IF(
    O709 = YEAR(TODAY()),
    IF(
      MATCH(L709, {"Januari";"Februari";"Maret";"April";"Mei";"Juni";"Juli";"Agustus";"September";"Oktober";"November";"Desember"}, 0)
        &gt;= MONTH(TODAY()),
      "AKTIF (Semester " &amp;
        (INT((12*(YEAR(TODAY())-M709) + MONTH(TODAY()) -
          MATCH(L709, {"Januari";"Februari";"Maret";"April";"Mei";"Juni";"Juli";"Agustus";"September";"Oktober";"November";"Desember"}, 0)) / 6) + 1) &amp; ")",
      "LULUS"
    ),
    "AKTIF (Semester " &amp;
      (INT((12*(YEAR(TODAY())-M709) + MONTH(TODAY()) -
        MATCH(L709, {"Januari";"Februari";"Maret";"April";"Mei";"Juni";"Juli";"Agustus";"September";"Oktober";"November";"Desember"}, 0)) / 6) + 1) &amp; ")"
  )
)</f>
        <v>AKTIF (Semester 3)</v>
      </c>
      <c r="T709" s="16" t="str">
        <f ca="1">IF(O709 &lt; YEAR(TODAY()), "LULUS",
 IF(O709 = YEAR(TODAY()),
    IF(MATCH(N709, {"Januari";"Februari";"Maret";"April";"Mei";"Juni";"Juli";"Agustus";"September";"Oktober";"November";"Desember"},0)
        &lt;= MONTH(TODAY()),
        "LULUS",
        "AKTIF"),
 "AKTIF"))</f>
        <v>AKTIF</v>
      </c>
      <c r="U709" s="16" t="s">
        <v>2940</v>
      </c>
      <c r="V709" s="15"/>
      <c r="W709" s="15"/>
      <c r="X709" s="15"/>
      <c r="Y709" s="15"/>
      <c r="Z709" s="15"/>
    </row>
    <row r="710" spans="1:26" ht="29" customHeight="1" x14ac:dyDescent="0.35">
      <c r="A710" s="12">
        <v>709</v>
      </c>
      <c r="B710" s="13" t="s">
        <v>2258</v>
      </c>
      <c r="C710" s="14" t="s">
        <v>2259</v>
      </c>
      <c r="D710" s="13" t="s">
        <v>507</v>
      </c>
      <c r="E710" s="14" t="str">
        <f t="shared" si="14"/>
        <v>Perempuan</v>
      </c>
      <c r="F710" s="18"/>
      <c r="G710" s="25" t="s">
        <v>2110</v>
      </c>
      <c r="H710" s="15" t="s">
        <v>1772</v>
      </c>
      <c r="I710" s="19" t="s">
        <v>90</v>
      </c>
      <c r="J710" s="12" t="s">
        <v>26</v>
      </c>
      <c r="K710" s="15" t="s">
        <v>394</v>
      </c>
      <c r="L710" s="15" t="s">
        <v>35</v>
      </c>
      <c r="M710" s="15">
        <v>2024</v>
      </c>
      <c r="N710" s="15" t="s">
        <v>35</v>
      </c>
      <c r="O710" s="15">
        <v>2026</v>
      </c>
      <c r="P710" s="15">
        <v>2024</v>
      </c>
      <c r="Q710" s="15"/>
      <c r="R710" s="16"/>
      <c r="S710" s="16" t="str">
        <f ca="1">IF(
  O710 &lt; YEAR(TODAY()),
  "LULUS",
  IF(
    O710 = YEAR(TODAY()),
    IF(
      MATCH(L710, {"Januari";"Februari";"Maret";"April";"Mei";"Juni";"Juli";"Agustus";"September";"Oktober";"November";"Desember"}, 0)
        &gt;= MONTH(TODAY()),
      "AKTIF (Semester " &amp;
        (INT((12*(YEAR(TODAY())-M710) + MONTH(TODAY()) -
          MATCH(L710, {"Januari";"Februari";"Maret";"April";"Mei";"Juni";"Juli";"Agustus";"September";"Oktober";"November";"Desember"}, 0)) / 6) + 1) &amp; ")",
      "LULUS"
    ),
    "AKTIF (Semester " &amp;
      (INT((12*(YEAR(TODAY())-M710) + MONTH(TODAY()) -
        MATCH(L710, {"Januari";"Februari";"Maret";"April";"Mei";"Juni";"Juli";"Agustus";"September";"Oktober";"November";"Desember"}, 0)) / 6) + 1) &amp; ")"
  )
)</f>
        <v>AKTIF (Semester 4)</v>
      </c>
      <c r="T710" s="16" t="str">
        <f ca="1">IF(O710 &lt; YEAR(TODAY()), "LULUS",
 IF(O710 = YEAR(TODAY()),
    IF(MATCH(N710, {"Januari";"Februari";"Maret";"April";"Mei";"Juni";"Juli";"Agustus";"September";"Oktober";"November";"Desember"},0)
        &lt;= MONTH(TODAY()),
        "LULUS",
        "AKTIF"),
 "AKTIF"))</f>
        <v>AKTIF</v>
      </c>
      <c r="U710" s="16" t="s">
        <v>2942</v>
      </c>
      <c r="V710" s="15"/>
      <c r="W710" s="15"/>
      <c r="X710" s="15"/>
      <c r="Y710" s="15"/>
      <c r="Z710" s="15"/>
    </row>
    <row r="711" spans="1:26" ht="29" customHeight="1" x14ac:dyDescent="0.35">
      <c r="A711" s="12">
        <v>710</v>
      </c>
      <c r="B711" s="13" t="s">
        <v>2260</v>
      </c>
      <c r="C711" s="14" t="s">
        <v>2261</v>
      </c>
      <c r="D711" s="13" t="s">
        <v>2262</v>
      </c>
      <c r="E711" s="14" t="str">
        <f t="shared" si="14"/>
        <v>Laki-Laki</v>
      </c>
      <c r="F711" s="18" t="s">
        <v>2263</v>
      </c>
      <c r="G711" s="25" t="s">
        <v>2110</v>
      </c>
      <c r="H711" s="15" t="s">
        <v>2246</v>
      </c>
      <c r="I711" s="19" t="s">
        <v>90</v>
      </c>
      <c r="J711" s="12" t="s">
        <v>26</v>
      </c>
      <c r="K711" s="15" t="s">
        <v>394</v>
      </c>
      <c r="L711" s="15" t="s">
        <v>35</v>
      </c>
      <c r="M711" s="15">
        <v>2024</v>
      </c>
      <c r="N711" s="15" t="s">
        <v>35</v>
      </c>
      <c r="O711" s="15">
        <v>2026</v>
      </c>
      <c r="P711" s="15">
        <v>2024</v>
      </c>
      <c r="Q711" s="15"/>
      <c r="R711" s="16"/>
      <c r="S711" s="16" t="str">
        <f ca="1">IF(
  O711 &lt; YEAR(TODAY()),
  "LULUS",
  IF(
    O711 = YEAR(TODAY()),
    IF(
      MATCH(L711, {"Januari";"Februari";"Maret";"April";"Mei";"Juni";"Juli";"Agustus";"September";"Oktober";"November";"Desember"}, 0)
        &gt;= MONTH(TODAY()),
      "AKTIF (Semester " &amp;
        (INT((12*(YEAR(TODAY())-M711) + MONTH(TODAY()) -
          MATCH(L711, {"Januari";"Februari";"Maret";"April";"Mei";"Juni";"Juli";"Agustus";"September";"Oktober";"November";"Desember"}, 0)) / 6) + 1) &amp; ")",
      "LULUS"
    ),
    "AKTIF (Semester " &amp;
      (INT((12*(YEAR(TODAY())-M711) + MONTH(TODAY()) -
        MATCH(L711, {"Januari";"Februari";"Maret";"April";"Mei";"Juni";"Juli";"Agustus";"September";"Oktober";"November";"Desember"}, 0)) / 6) + 1) &amp; ")"
  )
)</f>
        <v>AKTIF (Semester 4)</v>
      </c>
      <c r="T711" s="16" t="str">
        <f ca="1">IF(O711 &lt; YEAR(TODAY()), "LULUS",
 IF(O711 = YEAR(TODAY()),
    IF(MATCH(N711, {"Januari";"Februari";"Maret";"April";"Mei";"Juni";"Juli";"Agustus";"September";"Oktober";"November";"Desember"},0)
        &lt;= MONTH(TODAY()),
        "LULUS",
        "AKTIF"),
 "AKTIF"))</f>
        <v>AKTIF</v>
      </c>
      <c r="U711" s="16" t="s">
        <v>2942</v>
      </c>
      <c r="V711" s="15"/>
      <c r="W711" s="15"/>
      <c r="X711" s="15"/>
      <c r="Y711" s="15"/>
      <c r="Z711" s="15"/>
    </row>
    <row r="712" spans="1:26" ht="29" customHeight="1" x14ac:dyDescent="0.35">
      <c r="A712" s="12">
        <v>711</v>
      </c>
      <c r="B712" s="13" t="s">
        <v>2264</v>
      </c>
      <c r="C712" s="14" t="s">
        <v>2265</v>
      </c>
      <c r="D712" s="13" t="s">
        <v>152</v>
      </c>
      <c r="E712" s="14" t="str">
        <f t="shared" si="14"/>
        <v>Laki-Laki</v>
      </c>
      <c r="F712" s="18" t="s">
        <v>99</v>
      </c>
      <c r="G712" s="25" t="s">
        <v>2110</v>
      </c>
      <c r="H712" s="15" t="s">
        <v>2202</v>
      </c>
      <c r="I712" s="19" t="s">
        <v>90</v>
      </c>
      <c r="J712" s="12" t="s">
        <v>45</v>
      </c>
      <c r="K712" s="15" t="s">
        <v>40</v>
      </c>
      <c r="L712" s="15" t="s">
        <v>169</v>
      </c>
      <c r="M712" s="15">
        <v>2024</v>
      </c>
      <c r="N712" s="15" t="s">
        <v>169</v>
      </c>
      <c r="O712" s="15">
        <v>2028</v>
      </c>
      <c r="P712" s="15">
        <v>2024</v>
      </c>
      <c r="Q712" s="15"/>
      <c r="R712" s="16"/>
      <c r="S712" s="16" t="str">
        <f ca="1">IF(
  O712 &lt; YEAR(TODAY()),
  "LULUS",
  IF(
    O712 = YEAR(TODAY()),
    IF(
      MATCH(L712, {"Januari";"Februari";"Maret";"April";"Mei";"Juni";"Juli";"Agustus";"September";"Oktober";"November";"Desember"}, 0)
        &gt;= MONTH(TODAY()),
      "AKTIF (Semester " &amp;
        (INT((12*(YEAR(TODAY())-M712) + MONTH(TODAY()) -
          MATCH(L712, {"Januari";"Februari";"Maret";"April";"Mei";"Juni";"Juli";"Agustus";"September";"Oktober";"November";"Desember"}, 0)) / 6) + 1) &amp; ")",
      "LULUS"
    ),
    "AKTIF (Semester " &amp;
      (INT((12*(YEAR(TODAY())-M712) + MONTH(TODAY()) -
        MATCH(L712, {"Januari";"Februari";"Maret";"April";"Mei";"Juni";"Juli";"Agustus";"September";"Oktober";"November";"Desember"}, 0)) / 6) + 1) &amp; ")"
  )
)</f>
        <v>AKTIF (Semester 3)</v>
      </c>
      <c r="T712" s="16" t="str">
        <f ca="1">IF(O712 &lt; YEAR(TODAY()), "LULUS",
 IF(O712 = YEAR(TODAY()),
    IF(MATCH(N712, {"Januari";"Februari";"Maret";"April";"Mei";"Juni";"Juli";"Agustus";"September";"Oktober";"November";"Desember"},0)
        &lt;= MONTH(TODAY()),
        "LULUS",
        "AKTIF"),
 "AKTIF"))</f>
        <v>AKTIF</v>
      </c>
      <c r="U712" s="16" t="s">
        <v>2940</v>
      </c>
      <c r="V712" s="15"/>
      <c r="W712" s="15"/>
      <c r="X712" s="15"/>
      <c r="Y712" s="15"/>
      <c r="Z712" s="15"/>
    </row>
    <row r="713" spans="1:26" ht="29" customHeight="1" x14ac:dyDescent="0.35">
      <c r="A713" s="12">
        <v>712</v>
      </c>
      <c r="B713" s="13" t="s">
        <v>2266</v>
      </c>
      <c r="C713" s="14" t="s">
        <v>2267</v>
      </c>
      <c r="D713" s="13" t="s">
        <v>188</v>
      </c>
      <c r="E713" s="14" t="str">
        <f t="shared" si="14"/>
        <v>Laki-Laki</v>
      </c>
      <c r="F713" s="18" t="s">
        <v>1629</v>
      </c>
      <c r="G713" s="25" t="s">
        <v>2110</v>
      </c>
      <c r="H713" s="15" t="s">
        <v>1525</v>
      </c>
      <c r="I713" s="15" t="s">
        <v>2268</v>
      </c>
      <c r="J713" s="12" t="s">
        <v>26</v>
      </c>
      <c r="K713" s="15" t="s">
        <v>564</v>
      </c>
      <c r="L713" s="15" t="s">
        <v>60</v>
      </c>
      <c r="M713" s="15">
        <v>2024</v>
      </c>
      <c r="N713" s="15" t="s">
        <v>60</v>
      </c>
      <c r="O713" s="15">
        <v>2026</v>
      </c>
      <c r="P713" s="15">
        <v>2024</v>
      </c>
      <c r="Q713" s="15"/>
      <c r="R713" s="16"/>
      <c r="S713" s="16" t="str">
        <f ca="1">IF(
  O713 &lt; YEAR(TODAY()),
  "LULUS",
  IF(
    O713 = YEAR(TODAY()),
    IF(
      MATCH(L713, {"Januari";"Februari";"Maret";"April";"Mei";"Juni";"Juli";"Agustus";"September";"Oktober";"November";"Desember"}, 0)
        &gt;= MONTH(TODAY()),
      "AKTIF (Semester " &amp;
        (INT((12*(YEAR(TODAY())-M713) + MONTH(TODAY()) -
          MATCH(L713, {"Januari";"Februari";"Maret";"April";"Mei";"Juni";"Juli";"Agustus";"September";"Oktober";"November";"Desember"}, 0)) / 6) + 1) &amp; ")",
      "LULUS"
    ),
    "AKTIF (Semester " &amp;
      (INT((12*(YEAR(TODAY())-M713) + MONTH(TODAY()) -
        MATCH(L713, {"Januari";"Februari";"Maret";"April";"Mei";"Juni";"Juli";"Agustus";"September";"Oktober";"November";"Desember"}, 0)) / 6) + 1) &amp; ")"
  )
)</f>
        <v>AKTIF (Semester 3)</v>
      </c>
      <c r="T713" s="16" t="str">
        <f ca="1">IF(O713 &lt; YEAR(TODAY()), "LULUS",
 IF(O713 = YEAR(TODAY()),
    IF(MATCH(N713, {"Januari";"Februari";"Maret";"April";"Mei";"Juni";"Juli";"Agustus";"September";"Oktober";"November";"Desember"},0)
        &lt;= MONTH(TODAY()),
        "LULUS",
        "AKTIF"),
 "AKTIF"))</f>
        <v>AKTIF</v>
      </c>
      <c r="U713" s="16" t="s">
        <v>2940</v>
      </c>
      <c r="V713" s="15"/>
      <c r="W713" s="15"/>
      <c r="X713" s="15"/>
      <c r="Y713" s="15"/>
      <c r="Z713" s="15"/>
    </row>
    <row r="714" spans="1:26" ht="29" customHeight="1" x14ac:dyDescent="0.35">
      <c r="A714" s="12">
        <v>713</v>
      </c>
      <c r="B714" s="13" t="s">
        <v>2269</v>
      </c>
      <c r="C714" s="14" t="s">
        <v>2270</v>
      </c>
      <c r="D714" s="13" t="s">
        <v>188</v>
      </c>
      <c r="E714" s="14" t="str">
        <f t="shared" si="14"/>
        <v>Perempuan</v>
      </c>
      <c r="F714" s="18" t="s">
        <v>1780</v>
      </c>
      <c r="G714" s="25" t="s">
        <v>2110</v>
      </c>
      <c r="H714" s="15" t="s">
        <v>1838</v>
      </c>
      <c r="I714" s="15" t="s">
        <v>2271</v>
      </c>
      <c r="J714" s="12" t="s">
        <v>242</v>
      </c>
      <c r="K714" s="15" t="s">
        <v>651</v>
      </c>
      <c r="L714" s="15" t="s">
        <v>169</v>
      </c>
      <c r="M714" s="15">
        <v>2024</v>
      </c>
      <c r="N714" s="15" t="s">
        <v>169</v>
      </c>
      <c r="O714" s="15">
        <v>2027</v>
      </c>
      <c r="P714" s="15">
        <v>2024</v>
      </c>
      <c r="Q714" s="15"/>
      <c r="R714" s="16"/>
      <c r="S714" s="16" t="str">
        <f ca="1">IF(
  O714 &lt; YEAR(TODAY()),
  "LULUS",
  IF(
    O714 = YEAR(TODAY()),
    IF(
      MATCH(L714, {"Januari";"Februari";"Maret";"April";"Mei";"Juni";"Juli";"Agustus";"September";"Oktober";"November";"Desember"}, 0)
        &gt;= MONTH(TODAY()),
      "AKTIF (Semester " &amp;
        (INT((12*(YEAR(TODAY())-M714) + MONTH(TODAY()) -
          MATCH(L714, {"Januari";"Februari";"Maret";"April";"Mei";"Juni";"Juli";"Agustus";"September";"Oktober";"November";"Desember"}, 0)) / 6) + 1) &amp; ")",
      "LULUS"
    ),
    "AKTIF (Semester " &amp;
      (INT((12*(YEAR(TODAY())-M714) + MONTH(TODAY()) -
        MATCH(L714, {"Januari";"Februari";"Maret";"April";"Mei";"Juni";"Juli";"Agustus";"September";"Oktober";"November";"Desember"}, 0)) / 6) + 1) &amp; ")"
  )
)</f>
        <v>AKTIF (Semester 3)</v>
      </c>
      <c r="T714" s="16" t="str">
        <f ca="1">IF(O714 &lt; YEAR(TODAY()), "LULUS",
 IF(O714 = YEAR(TODAY()),
    IF(MATCH(N714, {"Januari";"Februari";"Maret";"April";"Mei";"Juni";"Juli";"Agustus";"September";"Oktober";"November";"Desember"},0)
        &lt;= MONTH(TODAY()),
        "LULUS",
        "AKTIF"),
 "AKTIF"))</f>
        <v>AKTIF</v>
      </c>
      <c r="U714" s="16" t="s">
        <v>2940</v>
      </c>
      <c r="V714" s="15"/>
      <c r="W714" s="15"/>
      <c r="X714" s="15"/>
      <c r="Y714" s="15"/>
      <c r="Z714" s="15"/>
    </row>
    <row r="715" spans="1:26" ht="29" customHeight="1" x14ac:dyDescent="0.35">
      <c r="A715" s="12">
        <v>714</v>
      </c>
      <c r="B715" s="13" t="s">
        <v>2272</v>
      </c>
      <c r="C715" s="14" t="s">
        <v>2273</v>
      </c>
      <c r="D715" s="13" t="s">
        <v>215</v>
      </c>
      <c r="E715" s="14" t="str">
        <f t="shared" si="14"/>
        <v>Laki-Laki</v>
      </c>
      <c r="F715" s="18" t="s">
        <v>2239</v>
      </c>
      <c r="G715" s="25" t="s">
        <v>2110</v>
      </c>
      <c r="H715" s="15" t="s">
        <v>1560</v>
      </c>
      <c r="I715" s="15" t="s">
        <v>1576</v>
      </c>
      <c r="J715" s="12" t="s">
        <v>26</v>
      </c>
      <c r="K715" s="15" t="s">
        <v>2240</v>
      </c>
      <c r="L715" s="15" t="s">
        <v>890</v>
      </c>
      <c r="M715" s="15">
        <v>2025</v>
      </c>
      <c r="N715" s="15" t="s">
        <v>890</v>
      </c>
      <c r="O715" s="15">
        <v>2027</v>
      </c>
      <c r="P715" s="15">
        <v>2024</v>
      </c>
      <c r="Q715" s="15"/>
      <c r="R715" s="16"/>
      <c r="S715" s="16" t="str">
        <f ca="1">IF(
  O715 &lt; YEAR(TODAY()),
  "LULUS",
  IF(
    O715 = YEAR(TODAY()),
    IF(
      MATCH(L715, {"Januari";"Februari";"Maret";"April";"Mei";"Juni";"Juli";"Agustus";"September";"Oktober";"November";"Desember"}, 0)
        &gt;= MONTH(TODAY()),
      "AKTIF (Semester " &amp;
        (INT((12*(YEAR(TODAY())-M715) + MONTH(TODAY()) -
          MATCH(L715, {"Januari";"Februari";"Maret";"April";"Mei";"Juni";"Juli";"Agustus";"September";"Oktober";"November";"Desember"}, 0)) / 6) + 1) &amp; ")",
      "LULUS"
    ),
    "AKTIF (Semester " &amp;
      (INT((12*(YEAR(TODAY())-M715) + MONTH(TODAY()) -
        MATCH(L715, {"Januari";"Februari";"Maret";"April";"Mei";"Juni";"Juli";"Agustus";"September";"Oktober";"November";"Desember"}, 0)) / 6) + 1) &amp; ")"
  )
)</f>
        <v>AKTIF (Semester 2)</v>
      </c>
      <c r="T715" s="16" t="str">
        <f ca="1">IF(O715 &lt; YEAR(TODAY()), "LULUS",
 IF(O715 = YEAR(TODAY()),
    IF(MATCH(N715, {"Januari";"Februari";"Maret";"April";"Mei";"Juni";"Juli";"Agustus";"September";"Oktober";"November";"Desember"},0)
        &lt;= MONTH(TODAY()),
        "LULUS",
        "AKTIF"),
 "AKTIF"))</f>
        <v>AKTIF</v>
      </c>
      <c r="U715" s="16" t="s">
        <v>2945</v>
      </c>
      <c r="V715" s="15"/>
      <c r="W715" s="15"/>
      <c r="X715" s="15"/>
      <c r="Y715" s="15"/>
      <c r="Z715" s="15"/>
    </row>
    <row r="716" spans="1:26" ht="29" customHeight="1" x14ac:dyDescent="0.35">
      <c r="A716" s="12">
        <v>715</v>
      </c>
      <c r="B716" s="13" t="s">
        <v>2274</v>
      </c>
      <c r="C716" s="14" t="s">
        <v>2275</v>
      </c>
      <c r="D716" s="13" t="s">
        <v>152</v>
      </c>
      <c r="E716" s="14" t="str">
        <f t="shared" si="14"/>
        <v>Laki-Laki</v>
      </c>
      <c r="F716" s="18" t="s">
        <v>142</v>
      </c>
      <c r="G716" s="25" t="s">
        <v>2110</v>
      </c>
      <c r="H716" s="15" t="s">
        <v>2202</v>
      </c>
      <c r="I716" s="19" t="s">
        <v>90</v>
      </c>
      <c r="J716" s="12" t="s">
        <v>45</v>
      </c>
      <c r="K716" s="15" t="s">
        <v>40</v>
      </c>
      <c r="L716" s="15" t="s">
        <v>169</v>
      </c>
      <c r="M716" s="15">
        <v>2024</v>
      </c>
      <c r="N716" s="15" t="s">
        <v>169</v>
      </c>
      <c r="O716" s="15">
        <v>2028</v>
      </c>
      <c r="P716" s="15">
        <v>2024</v>
      </c>
      <c r="Q716" s="15"/>
      <c r="R716" s="16"/>
      <c r="S716" s="16" t="str">
        <f ca="1">IF(
  O716 &lt; YEAR(TODAY()),
  "LULUS",
  IF(
    O716 = YEAR(TODAY()),
    IF(
      MATCH(L716, {"Januari";"Februari";"Maret";"April";"Mei";"Juni";"Juli";"Agustus";"September";"Oktober";"November";"Desember"}, 0)
        &gt;= MONTH(TODAY()),
      "AKTIF (Semester " &amp;
        (INT((12*(YEAR(TODAY())-M716) + MONTH(TODAY()) -
          MATCH(L716, {"Januari";"Februari";"Maret";"April";"Mei";"Juni";"Juli";"Agustus";"September";"Oktober";"November";"Desember"}, 0)) / 6) + 1) &amp; ")",
      "LULUS"
    ),
    "AKTIF (Semester " &amp;
      (INT((12*(YEAR(TODAY())-M716) + MONTH(TODAY()) -
        MATCH(L716, {"Januari";"Februari";"Maret";"April";"Mei";"Juni";"Juli";"Agustus";"September";"Oktober";"November";"Desember"}, 0)) / 6) + 1) &amp; ")"
  )
)</f>
        <v>AKTIF (Semester 3)</v>
      </c>
      <c r="T716" s="16" t="str">
        <f ca="1">IF(O716 &lt; YEAR(TODAY()), "LULUS",
 IF(O716 = YEAR(TODAY()),
    IF(MATCH(N716, {"Januari";"Februari";"Maret";"April";"Mei";"Juni";"Juli";"Agustus";"September";"Oktober";"November";"Desember"},0)
        &lt;= MONTH(TODAY()),
        "LULUS",
        "AKTIF"),
 "AKTIF"))</f>
        <v>AKTIF</v>
      </c>
      <c r="U716" s="16" t="s">
        <v>2940</v>
      </c>
      <c r="V716" s="15"/>
      <c r="W716" s="15"/>
      <c r="X716" s="15"/>
      <c r="Y716" s="15"/>
      <c r="Z716" s="15"/>
    </row>
    <row r="717" spans="1:26" ht="29" customHeight="1" x14ac:dyDescent="0.35">
      <c r="A717" s="12">
        <v>716</v>
      </c>
      <c r="B717" s="13" t="s">
        <v>2276</v>
      </c>
      <c r="C717" s="14" t="s">
        <v>2277</v>
      </c>
      <c r="D717" s="13" t="s">
        <v>903</v>
      </c>
      <c r="E717" s="14" t="str">
        <f t="shared" si="14"/>
        <v>Laki-Laki</v>
      </c>
      <c r="F717" s="18" t="s">
        <v>2278</v>
      </c>
      <c r="G717" s="25" t="s">
        <v>2110</v>
      </c>
      <c r="H717" s="15" t="s">
        <v>2279</v>
      </c>
      <c r="I717" s="15" t="s">
        <v>2280</v>
      </c>
      <c r="J717" s="12" t="s">
        <v>45</v>
      </c>
      <c r="K717" s="15" t="s">
        <v>2281</v>
      </c>
      <c r="L717" s="15" t="s">
        <v>28</v>
      </c>
      <c r="M717" s="15">
        <v>2024</v>
      </c>
      <c r="N717" s="15" t="s">
        <v>28</v>
      </c>
      <c r="O717" s="15">
        <v>2028</v>
      </c>
      <c r="P717" s="15">
        <v>2024</v>
      </c>
      <c r="Q717" s="15"/>
      <c r="R717" s="16"/>
      <c r="S717" s="16" t="str">
        <f ca="1">IF(
  O717 &lt; YEAR(TODAY()),
  "LULUS",
  IF(
    O717 = YEAR(TODAY()),
    IF(
      MATCH(L717, {"Januari";"Februari";"Maret";"April";"Mei";"Juni";"Juli";"Agustus";"September";"Oktober";"November";"Desember"}, 0)
        &gt;= MONTH(TODAY()),
      "AKTIF (Semester " &amp;
        (INT((12*(YEAR(TODAY())-M717) + MONTH(TODAY()) -
          MATCH(L717, {"Januari";"Februari";"Maret";"April";"Mei";"Juni";"Juli";"Agustus";"September";"Oktober";"November";"Desember"}, 0)) / 6) + 1) &amp; ")",
      "LULUS"
    ),
    "AKTIF (Semester " &amp;
      (INT((12*(YEAR(TODAY())-M717) + MONTH(TODAY()) -
        MATCH(L717, {"Januari";"Februari";"Maret";"April";"Mei";"Juni";"Juli";"Agustus";"September";"Oktober";"November";"Desember"}, 0)) / 6) + 1) &amp; ")"
  )
)</f>
        <v>AKTIF (Semester 3)</v>
      </c>
      <c r="T717" s="16" t="str">
        <f ca="1">IF(O717 &lt; YEAR(TODAY()), "LULUS",
 IF(O717 = YEAR(TODAY()),
    IF(MATCH(N717, {"Januari";"Februari";"Maret";"April";"Mei";"Juni";"Juli";"Agustus";"September";"Oktober";"November";"Desember"},0)
        &lt;= MONTH(TODAY()),
        "LULUS",
        "AKTIF"),
 "AKTIF"))</f>
        <v>AKTIF</v>
      </c>
      <c r="U717" s="16" t="s">
        <v>2940</v>
      </c>
      <c r="V717" s="15"/>
      <c r="W717" s="15"/>
      <c r="X717" s="15"/>
      <c r="Y717" s="15"/>
      <c r="Z717" s="15"/>
    </row>
    <row r="718" spans="1:26" ht="29" customHeight="1" x14ac:dyDescent="0.35">
      <c r="A718" s="12">
        <v>717</v>
      </c>
      <c r="B718" s="13" t="s">
        <v>2282</v>
      </c>
      <c r="C718" s="14" t="s">
        <v>2283</v>
      </c>
      <c r="D718" s="13" t="s">
        <v>507</v>
      </c>
      <c r="E718" s="14" t="str">
        <f t="shared" si="14"/>
        <v>Perempuan</v>
      </c>
      <c r="F718" s="18" t="s">
        <v>1673</v>
      </c>
      <c r="G718" s="25" t="s">
        <v>2110</v>
      </c>
      <c r="H718" s="15" t="s">
        <v>1658</v>
      </c>
      <c r="I718" s="19" t="s">
        <v>90</v>
      </c>
      <c r="J718" s="12" t="s">
        <v>26</v>
      </c>
      <c r="K718" s="15" t="s">
        <v>394</v>
      </c>
      <c r="L718" s="15" t="s">
        <v>72</v>
      </c>
      <c r="M718" s="15">
        <v>2024</v>
      </c>
      <c r="N718" s="15" t="s">
        <v>72</v>
      </c>
      <c r="O718" s="15">
        <v>2026</v>
      </c>
      <c r="P718" s="15">
        <v>2024</v>
      </c>
      <c r="Q718" s="15"/>
      <c r="R718" s="16"/>
      <c r="S718" s="16" t="str">
        <f ca="1">IF(
  O718 &lt; YEAR(TODAY()),
  "LULUS",
  IF(
    O718 = YEAR(TODAY()),
    IF(
      MATCH(L718, {"Januari";"Februari";"Maret";"April";"Mei";"Juni";"Juli";"Agustus";"September";"Oktober";"November";"Desember"}, 0)
        &gt;= MONTH(TODAY()),
      "AKTIF (Semester " &amp;
        (INT((12*(YEAR(TODAY())-M718) + MONTH(TODAY()) -
          MATCH(L718, {"Januari";"Februari";"Maret";"April";"Mei";"Juni";"Juli";"Agustus";"September";"Oktober";"November";"Desember"}, 0)) / 6) + 1) &amp; ")",
      "LULUS"
    ),
    "AKTIF (Semester " &amp;
      (INT((12*(YEAR(TODAY())-M718) + MONTH(TODAY()) -
        MATCH(L718, {"Januari";"Februari";"Maret";"April";"Mei";"Juni";"Juli";"Agustus";"September";"Oktober";"November";"Desember"}, 0)) / 6) + 1) &amp; ")"
  )
)</f>
        <v>AKTIF (Semester 4)</v>
      </c>
      <c r="T718" s="16" t="str">
        <f ca="1">IF(O718 &lt; YEAR(TODAY()), "LULUS",
 IF(O718 = YEAR(TODAY()),
    IF(MATCH(N718, {"Januari";"Februari";"Maret";"April";"Mei";"Juni";"Juli";"Agustus";"September";"Oktober";"November";"Desember"},0)
        &lt;= MONTH(TODAY()),
        "LULUS",
        "AKTIF"),
 "AKTIF"))</f>
        <v>AKTIF</v>
      </c>
      <c r="U718" s="16" t="s">
        <v>2942</v>
      </c>
      <c r="V718" s="15"/>
      <c r="W718" s="15"/>
      <c r="X718" s="15"/>
      <c r="Y718" s="15"/>
      <c r="Z718" s="15"/>
    </row>
    <row r="719" spans="1:26" ht="29" customHeight="1" x14ac:dyDescent="0.35">
      <c r="A719" s="12">
        <v>718</v>
      </c>
      <c r="B719" s="13" t="s">
        <v>2285</v>
      </c>
      <c r="C719" s="14" t="s">
        <v>2286</v>
      </c>
      <c r="D719" s="13" t="s">
        <v>507</v>
      </c>
      <c r="E719" s="14" t="str">
        <f t="shared" si="14"/>
        <v>Perempuan</v>
      </c>
      <c r="F719" s="18" t="s">
        <v>1673</v>
      </c>
      <c r="G719" s="25" t="s">
        <v>2110</v>
      </c>
      <c r="H719" s="15" t="s">
        <v>1658</v>
      </c>
      <c r="I719" s="19" t="s">
        <v>90</v>
      </c>
      <c r="J719" s="12" t="s">
        <v>26</v>
      </c>
      <c r="K719" s="15" t="s">
        <v>394</v>
      </c>
      <c r="L719" s="15" t="s">
        <v>35</v>
      </c>
      <c r="M719" s="15">
        <v>2024</v>
      </c>
      <c r="N719" s="15" t="s">
        <v>35</v>
      </c>
      <c r="O719" s="15">
        <v>2026</v>
      </c>
      <c r="P719" s="15">
        <v>2024</v>
      </c>
      <c r="Q719" s="15"/>
      <c r="R719" s="16"/>
      <c r="S719" s="16" t="str">
        <f ca="1">IF(
  O719 &lt; YEAR(TODAY()),
  "LULUS",
  IF(
    O719 = YEAR(TODAY()),
    IF(
      MATCH(L719, {"Januari";"Februari";"Maret";"April";"Mei";"Juni";"Juli";"Agustus";"September";"Oktober";"November";"Desember"}, 0)
        &gt;= MONTH(TODAY()),
      "AKTIF (Semester " &amp;
        (INT((12*(YEAR(TODAY())-M719) + MONTH(TODAY()) -
          MATCH(L719, {"Januari";"Februari";"Maret";"April";"Mei";"Juni";"Juli";"Agustus";"September";"Oktober";"November";"Desember"}, 0)) / 6) + 1) &amp; ")",
      "LULUS"
    ),
    "AKTIF (Semester " &amp;
      (INT((12*(YEAR(TODAY())-M719) + MONTH(TODAY()) -
        MATCH(L719, {"Januari";"Februari";"Maret";"April";"Mei";"Juni";"Juli";"Agustus";"September";"Oktober";"November";"Desember"}, 0)) / 6) + 1) &amp; ")"
  )
)</f>
        <v>AKTIF (Semester 4)</v>
      </c>
      <c r="T719" s="16" t="str">
        <f ca="1">IF(O719 &lt; YEAR(TODAY()), "LULUS",
 IF(O719 = YEAR(TODAY()),
    IF(MATCH(N719, {"Januari";"Februari";"Maret";"April";"Mei";"Juni";"Juli";"Agustus";"September";"Oktober";"November";"Desember"},0)
        &lt;= MONTH(TODAY()),
        "LULUS",
        "AKTIF"),
 "AKTIF"))</f>
        <v>AKTIF</v>
      </c>
      <c r="U719" s="16" t="s">
        <v>2942</v>
      </c>
      <c r="V719" s="15"/>
      <c r="W719" s="15"/>
      <c r="X719" s="15"/>
      <c r="Y719" s="15"/>
      <c r="Z719" s="15"/>
    </row>
    <row r="720" spans="1:26" ht="29" customHeight="1" x14ac:dyDescent="0.35">
      <c r="A720" s="12">
        <v>719</v>
      </c>
      <c r="B720" s="13" t="s">
        <v>2288</v>
      </c>
      <c r="C720" s="14" t="s">
        <v>2289</v>
      </c>
      <c r="D720" s="13" t="s">
        <v>507</v>
      </c>
      <c r="E720" s="14" t="str">
        <f t="shared" si="14"/>
        <v>Perempuan</v>
      </c>
      <c r="F720" s="18" t="s">
        <v>1791</v>
      </c>
      <c r="G720" s="25" t="s">
        <v>2110</v>
      </c>
      <c r="H720" s="15" t="s">
        <v>1772</v>
      </c>
      <c r="I720" s="15" t="s">
        <v>2102</v>
      </c>
      <c r="J720" s="12" t="s">
        <v>26</v>
      </c>
      <c r="K720" s="15" t="s">
        <v>905</v>
      </c>
      <c r="L720" s="15" t="s">
        <v>169</v>
      </c>
      <c r="M720" s="15">
        <v>2024</v>
      </c>
      <c r="N720" s="15" t="s">
        <v>169</v>
      </c>
      <c r="O720" s="15">
        <v>2026</v>
      </c>
      <c r="P720" s="15">
        <v>2024</v>
      </c>
      <c r="Q720" s="15"/>
      <c r="R720" s="16"/>
      <c r="S720" s="16" t="str">
        <f ca="1">IF(
  O720 &lt; YEAR(TODAY()),
  "LULUS",
  IF(
    O720 = YEAR(TODAY()),
    IF(
      MATCH(L720, {"Januari";"Februari";"Maret";"April";"Mei";"Juni";"Juli";"Agustus";"September";"Oktober";"November";"Desember"}, 0)
        &gt;= MONTH(TODAY()),
      "AKTIF (Semester " &amp;
        (INT((12*(YEAR(TODAY())-M720) + MONTH(TODAY()) -
          MATCH(L720, {"Januari";"Februari";"Maret";"April";"Mei";"Juni";"Juli";"Agustus";"September";"Oktober";"November";"Desember"}, 0)) / 6) + 1) &amp; ")",
      "LULUS"
    ),
    "AKTIF (Semester " &amp;
      (INT((12*(YEAR(TODAY())-M720) + MONTH(TODAY()) -
        MATCH(L720, {"Januari";"Februari";"Maret";"April";"Mei";"Juni";"Juli";"Agustus";"September";"Oktober";"November";"Desember"}, 0)) / 6) + 1) &amp; ")"
  )
)</f>
        <v>AKTIF (Semester 3)</v>
      </c>
      <c r="T720" s="16" t="str">
        <f ca="1">IF(O720 &lt; YEAR(TODAY()), "LULUS",
 IF(O720 = YEAR(TODAY()),
    IF(MATCH(N720, {"Januari";"Februari";"Maret";"April";"Mei";"Juni";"Juli";"Agustus";"September";"Oktober";"November";"Desember"},0)
        &lt;= MONTH(TODAY()),
        "LULUS",
        "AKTIF"),
 "AKTIF"))</f>
        <v>AKTIF</v>
      </c>
      <c r="U720" s="16" t="s">
        <v>2940</v>
      </c>
      <c r="V720" s="15"/>
      <c r="W720" s="15"/>
      <c r="X720" s="15"/>
      <c r="Y720" s="15"/>
      <c r="Z720" s="15"/>
    </row>
    <row r="721" spans="1:26" ht="29" customHeight="1" x14ac:dyDescent="0.35">
      <c r="A721" s="12">
        <v>720</v>
      </c>
      <c r="B721" s="13" t="s">
        <v>2290</v>
      </c>
      <c r="C721" s="14" t="s">
        <v>2291</v>
      </c>
      <c r="D721" s="13" t="s">
        <v>188</v>
      </c>
      <c r="E721" s="14" t="str">
        <f t="shared" si="14"/>
        <v>Perempuan</v>
      </c>
      <c r="F721" s="18" t="s">
        <v>99</v>
      </c>
      <c r="G721" s="25" t="s">
        <v>2110</v>
      </c>
      <c r="H721" s="15" t="s">
        <v>1560</v>
      </c>
      <c r="I721" s="15" t="s">
        <v>1576</v>
      </c>
      <c r="J721" s="12" t="s">
        <v>26</v>
      </c>
      <c r="K721" s="15" t="s">
        <v>2240</v>
      </c>
      <c r="L721" s="15" t="s">
        <v>890</v>
      </c>
      <c r="M721" s="15">
        <v>2025</v>
      </c>
      <c r="N721" s="15" t="s">
        <v>890</v>
      </c>
      <c r="O721" s="15">
        <v>2027</v>
      </c>
      <c r="P721" s="15">
        <v>2024</v>
      </c>
      <c r="Q721" s="15"/>
      <c r="R721" s="16"/>
      <c r="S721" s="16" t="str">
        <f ca="1">IF(
  O721 &lt; YEAR(TODAY()),
  "LULUS",
  IF(
    O721 = YEAR(TODAY()),
    IF(
      MATCH(L721, {"Januari";"Februari";"Maret";"April";"Mei";"Juni";"Juli";"Agustus";"September";"Oktober";"November";"Desember"}, 0)
        &gt;= MONTH(TODAY()),
      "AKTIF (Semester " &amp;
        (INT((12*(YEAR(TODAY())-M721) + MONTH(TODAY()) -
          MATCH(L721, {"Januari";"Februari";"Maret";"April";"Mei";"Juni";"Juli";"Agustus";"September";"Oktober";"November";"Desember"}, 0)) / 6) + 1) &amp; ")",
      "LULUS"
    ),
    "AKTIF (Semester " &amp;
      (INT((12*(YEAR(TODAY())-M721) + MONTH(TODAY()) -
        MATCH(L721, {"Januari";"Februari";"Maret";"April";"Mei";"Juni";"Juli";"Agustus";"September";"Oktober";"November";"Desember"}, 0)) / 6) + 1) &amp; ")"
  )
)</f>
        <v>AKTIF (Semester 2)</v>
      </c>
      <c r="T721" s="16" t="str">
        <f ca="1">IF(O721 &lt; YEAR(TODAY()), "LULUS",
 IF(O721 = YEAR(TODAY()),
    IF(MATCH(N721, {"Januari";"Februari";"Maret";"April";"Mei";"Juni";"Juli";"Agustus";"September";"Oktober";"November";"Desember"},0)
        &lt;= MONTH(TODAY()),
        "LULUS",
        "AKTIF"),
 "AKTIF"))</f>
        <v>AKTIF</v>
      </c>
      <c r="U721" s="16" t="s">
        <v>2945</v>
      </c>
      <c r="V721" s="15"/>
      <c r="W721" s="15"/>
      <c r="X721" s="15"/>
      <c r="Y721" s="15"/>
      <c r="Z721" s="15"/>
    </row>
    <row r="722" spans="1:26" ht="29" customHeight="1" x14ac:dyDescent="0.35">
      <c r="A722" s="12">
        <v>721</v>
      </c>
      <c r="B722" s="13" t="s">
        <v>2292</v>
      </c>
      <c r="C722" s="14" t="s">
        <v>2293</v>
      </c>
      <c r="D722" s="13" t="s">
        <v>188</v>
      </c>
      <c r="E722" s="14" t="str">
        <f t="shared" si="14"/>
        <v>Laki-Laki</v>
      </c>
      <c r="F722" s="18" t="s">
        <v>397</v>
      </c>
      <c r="G722" s="25" t="s">
        <v>2110</v>
      </c>
      <c r="H722" s="15" t="s">
        <v>1838</v>
      </c>
      <c r="I722" s="15" t="s">
        <v>2294</v>
      </c>
      <c r="J722" s="12" t="s">
        <v>26</v>
      </c>
      <c r="K722" s="15" t="s">
        <v>46</v>
      </c>
      <c r="L722" s="15" t="s">
        <v>60</v>
      </c>
      <c r="M722" s="15">
        <v>2024</v>
      </c>
      <c r="N722" s="15" t="s">
        <v>60</v>
      </c>
      <c r="O722" s="15">
        <v>2026</v>
      </c>
      <c r="P722" s="15">
        <v>2024</v>
      </c>
      <c r="Q722" s="15"/>
      <c r="R722" s="16"/>
      <c r="S722" s="16" t="str">
        <f ca="1">IF(
  O722 &lt; YEAR(TODAY()),
  "LULUS",
  IF(
    O722 = YEAR(TODAY()),
    IF(
      MATCH(L722, {"Januari";"Februari";"Maret";"April";"Mei";"Juni";"Juli";"Agustus";"September";"Oktober";"November";"Desember"}, 0)
        &gt;= MONTH(TODAY()),
      "AKTIF (Semester " &amp;
        (INT((12*(YEAR(TODAY())-M722) + MONTH(TODAY()) -
          MATCH(L722, {"Januari";"Februari";"Maret";"April";"Mei";"Juni";"Juli";"Agustus";"September";"Oktober";"November";"Desember"}, 0)) / 6) + 1) &amp; ")",
      "LULUS"
    ),
    "AKTIF (Semester " &amp;
      (INT((12*(YEAR(TODAY())-M722) + MONTH(TODAY()) -
        MATCH(L722, {"Januari";"Februari";"Maret";"April";"Mei";"Juni";"Juli";"Agustus";"September";"Oktober";"November";"Desember"}, 0)) / 6) + 1) &amp; ")"
  )
)</f>
        <v>AKTIF (Semester 3)</v>
      </c>
      <c r="T722" s="16" t="str">
        <f ca="1">IF(O722 &lt; YEAR(TODAY()), "LULUS",
 IF(O722 = YEAR(TODAY()),
    IF(MATCH(N722, {"Januari";"Februari";"Maret";"April";"Mei";"Juni";"Juli";"Agustus";"September";"Oktober";"November";"Desember"},0)
        &lt;= MONTH(TODAY()),
        "LULUS",
        "AKTIF"),
 "AKTIF"))</f>
        <v>AKTIF</v>
      </c>
      <c r="U722" s="16" t="s">
        <v>2940</v>
      </c>
      <c r="V722" s="15"/>
      <c r="W722" s="15"/>
      <c r="X722" s="15"/>
      <c r="Y722" s="15"/>
      <c r="Z722" s="15"/>
    </row>
    <row r="723" spans="1:26" ht="29" customHeight="1" x14ac:dyDescent="0.35">
      <c r="A723" s="12">
        <v>722</v>
      </c>
      <c r="B723" s="13" t="s">
        <v>2295</v>
      </c>
      <c r="C723" s="14" t="s">
        <v>2296</v>
      </c>
      <c r="D723" s="13" t="s">
        <v>152</v>
      </c>
      <c r="E723" s="14" t="str">
        <f t="shared" si="14"/>
        <v>Perempuan</v>
      </c>
      <c r="F723" s="18" t="s">
        <v>153</v>
      </c>
      <c r="G723" s="25" t="s">
        <v>2110</v>
      </c>
      <c r="H723" s="15" t="s">
        <v>2202</v>
      </c>
      <c r="I723" s="15" t="s">
        <v>1471</v>
      </c>
      <c r="J723" s="12" t="s">
        <v>45</v>
      </c>
      <c r="K723" s="15" t="s">
        <v>46</v>
      </c>
      <c r="L723" s="15" t="s">
        <v>60</v>
      </c>
      <c r="M723" s="15">
        <v>2024</v>
      </c>
      <c r="N723" s="15" t="s">
        <v>60</v>
      </c>
      <c r="O723" s="15">
        <v>2026</v>
      </c>
      <c r="P723" s="15">
        <v>2024</v>
      </c>
      <c r="Q723" s="15"/>
      <c r="R723" s="16"/>
      <c r="S723" s="16" t="str">
        <f ca="1">IF(
  O723 &lt; YEAR(TODAY()),
  "LULUS",
  IF(
    O723 = YEAR(TODAY()),
    IF(
      MATCH(L723, {"Januari";"Februari";"Maret";"April";"Mei";"Juni";"Juli";"Agustus";"September";"Oktober";"November";"Desember"}, 0)
        &gt;= MONTH(TODAY()),
      "AKTIF (Semester " &amp;
        (INT((12*(YEAR(TODAY())-M723) + MONTH(TODAY()) -
          MATCH(L723, {"Januari";"Februari";"Maret";"April";"Mei";"Juni";"Juli";"Agustus";"September";"Oktober";"November";"Desember"}, 0)) / 6) + 1) &amp; ")",
      "LULUS"
    ),
    "AKTIF (Semester " &amp;
      (INT((12*(YEAR(TODAY())-M723) + MONTH(TODAY()) -
        MATCH(L723, {"Januari";"Februari";"Maret";"April";"Mei";"Juni";"Juli";"Agustus";"September";"Oktober";"November";"Desember"}, 0)) / 6) + 1) &amp; ")"
  )
)</f>
        <v>AKTIF (Semester 3)</v>
      </c>
      <c r="T723" s="16" t="str">
        <f ca="1">IF(O723 &lt; YEAR(TODAY()), "LULUS",
 IF(O723 = YEAR(TODAY()),
    IF(MATCH(N723, {"Januari";"Februari";"Maret";"April";"Mei";"Juni";"Juli";"Agustus";"September";"Oktober";"November";"Desember"},0)
        &lt;= MONTH(TODAY()),
        "LULUS",
        "AKTIF"),
 "AKTIF"))</f>
        <v>AKTIF</v>
      </c>
      <c r="U723" s="16" t="s">
        <v>2940</v>
      </c>
      <c r="V723" s="15"/>
      <c r="W723" s="15"/>
      <c r="X723" s="15"/>
      <c r="Y723" s="15"/>
      <c r="Z723" s="15"/>
    </row>
    <row r="724" spans="1:26" ht="29" customHeight="1" x14ac:dyDescent="0.35">
      <c r="A724" s="12">
        <v>723</v>
      </c>
      <c r="B724" s="13" t="s">
        <v>2297</v>
      </c>
      <c r="C724" s="14" t="s">
        <v>2298</v>
      </c>
      <c r="D724" s="13" t="s">
        <v>152</v>
      </c>
      <c r="E724" s="14" t="str">
        <f t="shared" si="14"/>
        <v>Perempuan</v>
      </c>
      <c r="F724" s="18" t="s">
        <v>159</v>
      </c>
      <c r="G724" s="25" t="s">
        <v>2110</v>
      </c>
      <c r="H724" s="15" t="s">
        <v>2299</v>
      </c>
      <c r="I724" s="19" t="s">
        <v>90</v>
      </c>
      <c r="J724" s="32" t="s">
        <v>2474</v>
      </c>
      <c r="K724" s="15" t="s">
        <v>117</v>
      </c>
      <c r="L724" s="15" t="s">
        <v>169</v>
      </c>
      <c r="M724" s="15">
        <v>2024</v>
      </c>
      <c r="N724" s="15" t="s">
        <v>169</v>
      </c>
      <c r="O724" s="15">
        <v>2026</v>
      </c>
      <c r="P724" s="15">
        <v>2024</v>
      </c>
      <c r="Q724" s="15"/>
      <c r="R724" s="16"/>
      <c r="S724" s="16" t="str">
        <f ca="1">IF(
  O724 &lt; YEAR(TODAY()),
  "LULUS",
  IF(
    O724 = YEAR(TODAY()),
    IF(
      MATCH(L724, {"Januari";"Februari";"Maret";"April";"Mei";"Juni";"Juli";"Agustus";"September";"Oktober";"November";"Desember"}, 0)
        &gt;= MONTH(TODAY()),
      "AKTIF (Semester " &amp;
        (INT((12*(YEAR(TODAY())-M724) + MONTH(TODAY()) -
          MATCH(L724, {"Januari";"Februari";"Maret";"April";"Mei";"Juni";"Juli";"Agustus";"September";"Oktober";"November";"Desember"}, 0)) / 6) + 1) &amp; ")",
      "LULUS"
    ),
    "AKTIF (Semester " &amp;
      (INT((12*(YEAR(TODAY())-M724) + MONTH(TODAY()) -
        MATCH(L724, {"Januari";"Februari";"Maret";"April";"Mei";"Juni";"Juli";"Agustus";"September";"Oktober";"November";"Desember"}, 0)) / 6) + 1) &amp; ")"
  )
)</f>
        <v>AKTIF (Semester 3)</v>
      </c>
      <c r="T724" s="16" t="str">
        <f ca="1">IF(O724 &lt; YEAR(TODAY()), "LULUS",
 IF(O724 = YEAR(TODAY()),
    IF(MATCH(N724, {"Januari";"Februari";"Maret";"April";"Mei";"Juni";"Juli";"Agustus";"September";"Oktober";"November";"Desember"},0)
        &lt;= MONTH(TODAY()),
        "LULUS",
        "AKTIF"),
 "AKTIF"))</f>
        <v>AKTIF</v>
      </c>
      <c r="U724" s="16" t="s">
        <v>2940</v>
      </c>
      <c r="V724" s="15"/>
      <c r="W724" s="15"/>
      <c r="X724" s="15"/>
      <c r="Y724" s="15"/>
      <c r="Z724" s="15"/>
    </row>
    <row r="725" spans="1:26" ht="29" customHeight="1" x14ac:dyDescent="0.35">
      <c r="A725" s="12">
        <v>724</v>
      </c>
      <c r="B725" s="13" t="s">
        <v>2300</v>
      </c>
      <c r="C725" s="14" t="s">
        <v>2301</v>
      </c>
      <c r="D725" s="13" t="s">
        <v>903</v>
      </c>
      <c r="E725" s="14" t="str">
        <f t="shared" si="14"/>
        <v>Perempuan</v>
      </c>
      <c r="F725" s="18" t="s">
        <v>2239</v>
      </c>
      <c r="G725" s="25" t="s">
        <v>2110</v>
      </c>
      <c r="H725" s="15" t="s">
        <v>2279</v>
      </c>
      <c r="I725" s="15" t="s">
        <v>476</v>
      </c>
      <c r="J725" s="12" t="s">
        <v>26</v>
      </c>
      <c r="K725" s="15" t="s">
        <v>477</v>
      </c>
      <c r="L725" s="15" t="s">
        <v>28</v>
      </c>
      <c r="M725" s="15">
        <v>2024</v>
      </c>
      <c r="N725" s="15" t="s">
        <v>28</v>
      </c>
      <c r="O725" s="15">
        <v>2026</v>
      </c>
      <c r="P725" s="15">
        <v>2024</v>
      </c>
      <c r="Q725" s="15"/>
      <c r="R725" s="16"/>
      <c r="S725" s="16" t="str">
        <f ca="1">IF(
  O725 &lt; YEAR(TODAY()),
  "LULUS",
  IF(
    O725 = YEAR(TODAY()),
    IF(
      MATCH(L725, {"Januari";"Februari";"Maret";"April";"Mei";"Juni";"Juli";"Agustus";"September";"Oktober";"November";"Desember"}, 0)
        &gt;= MONTH(TODAY()),
      "AKTIF (Semester " &amp;
        (INT((12*(YEAR(TODAY())-M725) + MONTH(TODAY()) -
          MATCH(L725, {"Januari";"Februari";"Maret";"April";"Mei";"Juni";"Juli";"Agustus";"September";"Oktober";"November";"Desember"}, 0)) / 6) + 1) &amp; ")",
      "LULUS"
    ),
    "AKTIF (Semester " &amp;
      (INT((12*(YEAR(TODAY())-M725) + MONTH(TODAY()) -
        MATCH(L725, {"Januari";"Februari";"Maret";"April";"Mei";"Juni";"Juli";"Agustus";"September";"Oktober";"November";"Desember"}, 0)) / 6) + 1) &amp; ")"
  )
)</f>
        <v>AKTIF (Semester 3)</v>
      </c>
      <c r="T725" s="16" t="str">
        <f ca="1">IF(O725 &lt; YEAR(TODAY()), "LULUS",
 IF(O725 = YEAR(TODAY()),
    IF(MATCH(N725, {"Januari";"Februari";"Maret";"April";"Mei";"Juni";"Juli";"Agustus";"September";"Oktober";"November";"Desember"},0)
        &lt;= MONTH(TODAY()),
        "LULUS",
        "AKTIF"),
 "AKTIF"))</f>
        <v>AKTIF</v>
      </c>
      <c r="U725" s="16" t="s">
        <v>2940</v>
      </c>
      <c r="V725" s="15"/>
      <c r="W725" s="15"/>
      <c r="X725" s="15"/>
      <c r="Y725" s="15"/>
      <c r="Z725" s="15"/>
    </row>
    <row r="726" spans="1:26" ht="29" customHeight="1" x14ac:dyDescent="0.35">
      <c r="A726" s="12">
        <v>725</v>
      </c>
      <c r="B726" s="13" t="s">
        <v>2302</v>
      </c>
      <c r="C726" s="14" t="s">
        <v>2303</v>
      </c>
      <c r="D726" s="13" t="s">
        <v>188</v>
      </c>
      <c r="E726" s="14" t="str">
        <f t="shared" si="14"/>
        <v>Perempuan</v>
      </c>
      <c r="F726" s="18" t="s">
        <v>1629</v>
      </c>
      <c r="G726" s="25" t="s">
        <v>2110</v>
      </c>
      <c r="H726" s="15" t="s">
        <v>1536</v>
      </c>
      <c r="I726" s="19" t="s">
        <v>90</v>
      </c>
      <c r="J726" s="12" t="s">
        <v>26</v>
      </c>
      <c r="K726" s="94" t="s">
        <v>394</v>
      </c>
      <c r="L726" s="15" t="s">
        <v>35</v>
      </c>
      <c r="M726" s="15">
        <v>2024</v>
      </c>
      <c r="N726" s="15" t="s">
        <v>35</v>
      </c>
      <c r="O726" s="15">
        <v>2026</v>
      </c>
      <c r="P726" s="15">
        <v>2024</v>
      </c>
      <c r="Q726" s="15"/>
      <c r="R726" s="16"/>
      <c r="S726" s="16" t="str">
        <f ca="1">IF(
  O726 &lt; YEAR(TODAY()),
  "LULUS",
  IF(
    O726 = YEAR(TODAY()),
    IF(
      MATCH(L726, {"Januari";"Februari";"Maret";"April";"Mei";"Juni";"Juli";"Agustus";"September";"Oktober";"November";"Desember"}, 0)
        &gt;= MONTH(TODAY()),
      "AKTIF (Semester " &amp;
        (INT((12*(YEAR(TODAY())-M726) + MONTH(TODAY()) -
          MATCH(L726, {"Januari";"Februari";"Maret";"April";"Mei";"Juni";"Juli";"Agustus";"September";"Oktober";"November";"Desember"}, 0)) / 6) + 1) &amp; ")",
      "LULUS"
    ),
    "AKTIF (Semester " &amp;
      (INT((12*(YEAR(TODAY())-M726) + MONTH(TODAY()) -
        MATCH(L726, {"Januari";"Februari";"Maret";"April";"Mei";"Juni";"Juli";"Agustus";"September";"Oktober";"November";"Desember"}, 0)) / 6) + 1) &amp; ")"
  )
)</f>
        <v>AKTIF (Semester 4)</v>
      </c>
      <c r="T726" s="16" t="str">
        <f ca="1">IF(O726 &lt; YEAR(TODAY()), "LULUS",
 IF(O726 = YEAR(TODAY()),
    IF(MATCH(N726, {"Januari";"Februari";"Maret";"April";"Mei";"Juni";"Juli";"Agustus";"September";"Oktober";"November";"Desember"},0)
        &lt;= MONTH(TODAY()),
        "LULUS",
        "AKTIF"),
 "AKTIF"))</f>
        <v>AKTIF</v>
      </c>
      <c r="U726" s="16" t="s">
        <v>2942</v>
      </c>
      <c r="V726" s="15"/>
      <c r="W726" s="15"/>
      <c r="X726" s="15"/>
      <c r="Y726" s="15"/>
      <c r="Z726" s="15"/>
    </row>
    <row r="727" spans="1:26" ht="29" customHeight="1" x14ac:dyDescent="0.35">
      <c r="A727" s="12">
        <v>726</v>
      </c>
      <c r="B727" s="13" t="s">
        <v>2305</v>
      </c>
      <c r="C727" s="14" t="s">
        <v>2306</v>
      </c>
      <c r="D727" s="13" t="s">
        <v>215</v>
      </c>
      <c r="E727" s="14" t="str">
        <f t="shared" si="14"/>
        <v>Laki-Laki</v>
      </c>
      <c r="F727" s="18" t="s">
        <v>689</v>
      </c>
      <c r="G727" s="25" t="s">
        <v>2110</v>
      </c>
      <c r="H727" s="15" t="s">
        <v>2202</v>
      </c>
      <c r="I727" s="15" t="s">
        <v>241</v>
      </c>
      <c r="J727" s="12" t="s">
        <v>26</v>
      </c>
      <c r="K727" s="15" t="s">
        <v>2307</v>
      </c>
      <c r="L727" s="15" t="s">
        <v>169</v>
      </c>
      <c r="M727" s="15">
        <v>2024</v>
      </c>
      <c r="N727" s="15" t="s">
        <v>169</v>
      </c>
      <c r="O727" s="15">
        <v>2026</v>
      </c>
      <c r="P727" s="15">
        <v>2024</v>
      </c>
      <c r="Q727" s="15"/>
      <c r="R727" s="16"/>
      <c r="S727" s="16" t="str">
        <f ca="1">IF(
  O727 &lt; YEAR(TODAY()),
  "LULUS",
  IF(
    O727 = YEAR(TODAY()),
    IF(
      MATCH(L727, {"Januari";"Februari";"Maret";"April";"Mei";"Juni";"Juli";"Agustus";"September";"Oktober";"November";"Desember"}, 0)
        &gt;= MONTH(TODAY()),
      "AKTIF (Semester " &amp;
        (INT((12*(YEAR(TODAY())-M727) + MONTH(TODAY()) -
          MATCH(L727, {"Januari";"Februari";"Maret";"April";"Mei";"Juni";"Juli";"Agustus";"September";"Oktober";"November";"Desember"}, 0)) / 6) + 1) &amp; ")",
      "LULUS"
    ),
    "AKTIF (Semester " &amp;
      (INT((12*(YEAR(TODAY())-M727) + MONTH(TODAY()) -
        MATCH(L727, {"Januari";"Februari";"Maret";"April";"Mei";"Juni";"Juli";"Agustus";"September";"Oktober";"November";"Desember"}, 0)) / 6) + 1) &amp; ")"
  )
)</f>
        <v>AKTIF (Semester 3)</v>
      </c>
      <c r="T727" s="16" t="str">
        <f ca="1">IF(O727 &lt; YEAR(TODAY()), "LULUS",
 IF(O727 = YEAR(TODAY()),
    IF(MATCH(N727, {"Januari";"Februari";"Maret";"April";"Mei";"Juni";"Juli";"Agustus";"September";"Oktober";"November";"Desember"},0)
        &lt;= MONTH(TODAY()),
        "LULUS",
        "AKTIF"),
 "AKTIF"))</f>
        <v>AKTIF</v>
      </c>
      <c r="U727" s="16" t="s">
        <v>2940</v>
      </c>
      <c r="V727" s="15"/>
      <c r="W727" s="15"/>
      <c r="X727" s="15"/>
      <c r="Y727" s="15"/>
      <c r="Z727" s="15"/>
    </row>
    <row r="728" spans="1:26" ht="29" customHeight="1" x14ac:dyDescent="0.35">
      <c r="A728" s="12">
        <v>727</v>
      </c>
      <c r="B728" s="13" t="s">
        <v>2308</v>
      </c>
      <c r="C728" s="14" t="s">
        <v>2306</v>
      </c>
      <c r="D728" s="13" t="s">
        <v>188</v>
      </c>
      <c r="E728" s="14" t="str">
        <f t="shared" si="14"/>
        <v>Laki-Laki</v>
      </c>
      <c r="F728" s="18" t="s">
        <v>548</v>
      </c>
      <c r="G728" s="25" t="s">
        <v>2110</v>
      </c>
      <c r="H728" s="15" t="s">
        <v>2208</v>
      </c>
      <c r="I728" s="19" t="s">
        <v>90</v>
      </c>
      <c r="J728" s="12" t="s">
        <v>26</v>
      </c>
      <c r="K728" s="15" t="s">
        <v>46</v>
      </c>
      <c r="L728" s="15" t="s">
        <v>35</v>
      </c>
      <c r="M728" s="15">
        <v>2024</v>
      </c>
      <c r="N728" s="15" t="s">
        <v>35</v>
      </c>
      <c r="O728" s="15">
        <v>2026</v>
      </c>
      <c r="P728" s="15">
        <v>2024</v>
      </c>
      <c r="Q728" s="15"/>
      <c r="R728" s="16"/>
      <c r="S728" s="16" t="str">
        <f ca="1">IF(
  O728 &lt; YEAR(TODAY()),
  "LULUS",
  IF(
    O728 = YEAR(TODAY()),
    IF(
      MATCH(L728, {"Januari";"Februari";"Maret";"April";"Mei";"Juni";"Juli";"Agustus";"September";"Oktober";"November";"Desember"}, 0)
        &gt;= MONTH(TODAY()),
      "AKTIF (Semester " &amp;
        (INT((12*(YEAR(TODAY())-M728) + MONTH(TODAY()) -
          MATCH(L728, {"Januari";"Februari";"Maret";"April";"Mei";"Juni";"Juli";"Agustus";"September";"Oktober";"November";"Desember"}, 0)) / 6) + 1) &amp; ")",
      "LULUS"
    ),
    "AKTIF (Semester " &amp;
      (INT((12*(YEAR(TODAY())-M728) + MONTH(TODAY()) -
        MATCH(L728, {"Januari";"Februari";"Maret";"April";"Mei";"Juni";"Juli";"Agustus";"September";"Oktober";"November";"Desember"}, 0)) / 6) + 1) &amp; ")"
  )
)</f>
        <v>AKTIF (Semester 4)</v>
      </c>
      <c r="T728" s="16" t="str">
        <f ca="1">IF(O728 &lt; YEAR(TODAY()), "LULUS",
 IF(O728 = YEAR(TODAY()),
    IF(MATCH(N728, {"Januari";"Februari";"Maret";"April";"Mei";"Juni";"Juli";"Agustus";"September";"Oktober";"November";"Desember"},0)
        &lt;= MONTH(TODAY()),
        "LULUS",
        "AKTIF"),
 "AKTIF"))</f>
        <v>AKTIF</v>
      </c>
      <c r="U728" s="16" t="s">
        <v>2942</v>
      </c>
      <c r="V728" s="15"/>
      <c r="W728" s="15"/>
      <c r="X728" s="15"/>
      <c r="Y728" s="15"/>
      <c r="Z728" s="15"/>
    </row>
    <row r="729" spans="1:26" ht="29" customHeight="1" x14ac:dyDescent="0.35">
      <c r="A729" s="12">
        <v>728</v>
      </c>
      <c r="B729" s="13" t="s">
        <v>2309</v>
      </c>
      <c r="C729" s="14" t="s">
        <v>2310</v>
      </c>
      <c r="D729" s="13" t="s">
        <v>903</v>
      </c>
      <c r="E729" s="14" t="str">
        <f t="shared" si="14"/>
        <v>Laki-Laki</v>
      </c>
      <c r="F729" s="18" t="s">
        <v>142</v>
      </c>
      <c r="G729" s="25" t="s">
        <v>2110</v>
      </c>
      <c r="H729" s="15" t="s">
        <v>2208</v>
      </c>
      <c r="I729" s="19" t="s">
        <v>90</v>
      </c>
      <c r="J729" s="12" t="s">
        <v>45</v>
      </c>
      <c r="K729" s="15" t="s">
        <v>2311</v>
      </c>
      <c r="L729" s="15" t="s">
        <v>35</v>
      </c>
      <c r="M729" s="15">
        <v>2024</v>
      </c>
      <c r="N729" s="15" t="s">
        <v>35</v>
      </c>
      <c r="O729" s="15">
        <v>2028</v>
      </c>
      <c r="P729" s="15">
        <v>2024</v>
      </c>
      <c r="Q729" s="15"/>
      <c r="R729" s="16"/>
      <c r="S729" s="16" t="str">
        <f ca="1">IF(
  O729 &lt; YEAR(TODAY()),
  "LULUS",
  IF(
    O729 = YEAR(TODAY()),
    IF(
      MATCH(L729, {"Januari";"Februari";"Maret";"April";"Mei";"Juni";"Juli";"Agustus";"September";"Oktober";"November";"Desember"}, 0)
        &gt;= MONTH(TODAY()),
      "AKTIF (Semester " &amp;
        (INT((12*(YEAR(TODAY())-M729) + MONTH(TODAY()) -
          MATCH(L729, {"Januari";"Februari";"Maret";"April";"Mei";"Juni";"Juli";"Agustus";"September";"Oktober";"November";"Desember"}, 0)) / 6) + 1) &amp; ")",
      "LULUS"
    ),
    "AKTIF (Semester " &amp;
      (INT((12*(YEAR(TODAY())-M729) + MONTH(TODAY()) -
        MATCH(L729, {"Januari";"Februari";"Maret";"April";"Mei";"Juni";"Juli";"Agustus";"September";"Oktober";"November";"Desember"}, 0)) / 6) + 1) &amp; ")"
  )
)</f>
        <v>AKTIF (Semester 4)</v>
      </c>
      <c r="T729" s="16" t="str">
        <f ca="1">IF(O729 &lt; YEAR(TODAY()), "LULUS",
 IF(O729 = YEAR(TODAY()),
    IF(MATCH(N729, {"Januari";"Februari";"Maret";"April";"Mei";"Juni";"Juli";"Agustus";"September";"Oktober";"November";"Desember"},0)
        &lt;= MONTH(TODAY()),
        "LULUS",
        "AKTIF"),
 "AKTIF"))</f>
        <v>AKTIF</v>
      </c>
      <c r="U729" s="16" t="s">
        <v>2942</v>
      </c>
      <c r="V729" s="15"/>
      <c r="W729" s="15"/>
      <c r="X729" s="15"/>
      <c r="Y729" s="15"/>
      <c r="Z729" s="15"/>
    </row>
    <row r="730" spans="1:26" ht="29" customHeight="1" x14ac:dyDescent="0.35">
      <c r="A730" s="12">
        <v>729</v>
      </c>
      <c r="B730" s="13" t="s">
        <v>2312</v>
      </c>
      <c r="C730" s="14" t="s">
        <v>2313</v>
      </c>
      <c r="D730" s="13" t="s">
        <v>152</v>
      </c>
      <c r="E730" s="14" t="str">
        <f t="shared" si="14"/>
        <v>Perempuan</v>
      </c>
      <c r="F730" s="18" t="s">
        <v>1834</v>
      </c>
      <c r="G730" s="25" t="s">
        <v>2110</v>
      </c>
      <c r="H730" s="15" t="s">
        <v>1658</v>
      </c>
      <c r="I730" s="19" t="s">
        <v>90</v>
      </c>
      <c r="J730" s="12" t="s">
        <v>45</v>
      </c>
      <c r="K730" s="15" t="s">
        <v>905</v>
      </c>
      <c r="L730" s="15" t="s">
        <v>35</v>
      </c>
      <c r="M730" s="15">
        <v>2024</v>
      </c>
      <c r="N730" s="15" t="s">
        <v>35</v>
      </c>
      <c r="O730" s="15">
        <v>2028</v>
      </c>
      <c r="P730" s="15">
        <v>2024</v>
      </c>
      <c r="Q730" s="15"/>
      <c r="R730" s="16"/>
      <c r="S730" s="16" t="str">
        <f ca="1">IF(
  O730 &lt; YEAR(TODAY()),
  "LULUS",
  IF(
    O730 = YEAR(TODAY()),
    IF(
      MATCH(L730, {"Januari";"Februari";"Maret";"April";"Mei";"Juni";"Juli";"Agustus";"September";"Oktober";"November";"Desember"}, 0)
        &gt;= MONTH(TODAY()),
      "AKTIF (Semester " &amp;
        (INT((12*(YEAR(TODAY())-M730) + MONTH(TODAY()) -
          MATCH(L730, {"Januari";"Februari";"Maret";"April";"Mei";"Juni";"Juli";"Agustus";"September";"Oktober";"November";"Desember"}, 0)) / 6) + 1) &amp; ")",
      "LULUS"
    ),
    "AKTIF (Semester " &amp;
      (INT((12*(YEAR(TODAY())-M730) + MONTH(TODAY()) -
        MATCH(L730, {"Januari";"Februari";"Maret";"April";"Mei";"Juni";"Juli";"Agustus";"September";"Oktober";"November";"Desember"}, 0)) / 6) + 1) &amp; ")"
  )
)</f>
        <v>AKTIF (Semester 4)</v>
      </c>
      <c r="T730" s="16" t="str">
        <f ca="1">IF(O730 &lt; YEAR(TODAY()), "LULUS",
 IF(O730 = YEAR(TODAY()),
    IF(MATCH(N730, {"Januari";"Februari";"Maret";"April";"Mei";"Juni";"Juli";"Agustus";"September";"Oktober";"November";"Desember"},0)
        &lt;= MONTH(TODAY()),
        "LULUS",
        "AKTIF"),
 "AKTIF"))</f>
        <v>AKTIF</v>
      </c>
      <c r="U730" s="16" t="s">
        <v>2942</v>
      </c>
      <c r="V730" s="15"/>
      <c r="W730" s="15"/>
      <c r="X730" s="15"/>
      <c r="Y730" s="15"/>
      <c r="Z730" s="15"/>
    </row>
    <row r="731" spans="1:26" ht="29" customHeight="1" x14ac:dyDescent="0.35">
      <c r="A731" s="12">
        <v>730</v>
      </c>
      <c r="B731" s="13" t="s">
        <v>2314</v>
      </c>
      <c r="C731" s="14" t="s">
        <v>2315</v>
      </c>
      <c r="D731" s="13" t="s">
        <v>188</v>
      </c>
      <c r="E731" s="14" t="str">
        <f t="shared" si="14"/>
        <v>Perempuan</v>
      </c>
      <c r="F731" s="18" t="s">
        <v>1629</v>
      </c>
      <c r="G731" s="25" t="s">
        <v>2110</v>
      </c>
      <c r="H731" s="15" t="s">
        <v>1525</v>
      </c>
      <c r="I731" s="15" t="s">
        <v>563</v>
      </c>
      <c r="J731" s="12" t="s">
        <v>26</v>
      </c>
      <c r="K731" s="15" t="s">
        <v>564</v>
      </c>
      <c r="L731" s="15" t="s">
        <v>60</v>
      </c>
      <c r="M731" s="15">
        <v>2024</v>
      </c>
      <c r="N731" s="15" t="s">
        <v>60</v>
      </c>
      <c r="O731" s="15">
        <v>2026</v>
      </c>
      <c r="P731" s="15">
        <v>2024</v>
      </c>
      <c r="Q731" s="15"/>
      <c r="R731" s="16"/>
      <c r="S731" s="16" t="str">
        <f ca="1">IF(
  O731 &lt; YEAR(TODAY()),
  "LULUS",
  IF(
    O731 = YEAR(TODAY()),
    IF(
      MATCH(L731, {"Januari";"Februari";"Maret";"April";"Mei";"Juni";"Juli";"Agustus";"September";"Oktober";"November";"Desember"}, 0)
        &gt;= MONTH(TODAY()),
      "AKTIF (Semester " &amp;
        (INT((12*(YEAR(TODAY())-M731) + MONTH(TODAY()) -
          MATCH(L731, {"Januari";"Februari";"Maret";"April";"Mei";"Juni";"Juli";"Agustus";"September";"Oktober";"November";"Desember"}, 0)) / 6) + 1) &amp; ")",
      "LULUS"
    ),
    "AKTIF (Semester " &amp;
      (INT((12*(YEAR(TODAY())-M731) + MONTH(TODAY()) -
        MATCH(L731, {"Januari";"Februari";"Maret";"April";"Mei";"Juni";"Juli";"Agustus";"September";"Oktober";"November";"Desember"}, 0)) / 6) + 1) &amp; ")"
  )
)</f>
        <v>AKTIF (Semester 3)</v>
      </c>
      <c r="T731" s="16" t="str">
        <f ca="1">IF(O731 &lt; YEAR(TODAY()), "LULUS",
 IF(O731 = YEAR(TODAY()),
    IF(MATCH(N731, {"Januari";"Februari";"Maret";"April";"Mei";"Juni";"Juli";"Agustus";"September";"Oktober";"November";"Desember"},0)
        &lt;= MONTH(TODAY()),
        "LULUS",
        "AKTIF"),
 "AKTIF"))</f>
        <v>AKTIF</v>
      </c>
      <c r="U731" s="16" t="s">
        <v>2940</v>
      </c>
      <c r="V731" s="15"/>
      <c r="W731" s="15"/>
      <c r="X731" s="15"/>
      <c r="Y731" s="15"/>
      <c r="Z731" s="15"/>
    </row>
    <row r="732" spans="1:26" ht="29" customHeight="1" x14ac:dyDescent="0.35">
      <c r="A732" s="12">
        <v>731</v>
      </c>
      <c r="B732" s="13" t="s">
        <v>2316</v>
      </c>
      <c r="C732" s="14" t="s">
        <v>2317</v>
      </c>
      <c r="D732" s="13" t="s">
        <v>211</v>
      </c>
      <c r="E732" s="14" t="str">
        <f t="shared" si="14"/>
        <v>Laki-Laki</v>
      </c>
      <c r="F732" s="18" t="s">
        <v>1629</v>
      </c>
      <c r="G732" s="25" t="s">
        <v>2110</v>
      </c>
      <c r="H732" s="15" t="s">
        <v>1536</v>
      </c>
      <c r="I732" s="19" t="s">
        <v>90</v>
      </c>
      <c r="J732" s="12" t="s">
        <v>26</v>
      </c>
      <c r="K732" s="15" t="s">
        <v>394</v>
      </c>
      <c r="L732" s="15" t="s">
        <v>35</v>
      </c>
      <c r="M732" s="15">
        <v>2024</v>
      </c>
      <c r="N732" s="15" t="s">
        <v>35</v>
      </c>
      <c r="O732" s="15">
        <v>2026</v>
      </c>
      <c r="P732" s="15">
        <v>2024</v>
      </c>
      <c r="Q732" s="15"/>
      <c r="R732" s="16"/>
      <c r="S732" s="16" t="str">
        <f ca="1">IF(
  O732 &lt; YEAR(TODAY()),
  "LULUS",
  IF(
    O732 = YEAR(TODAY()),
    IF(
      MATCH(L732, {"Januari";"Februari";"Maret";"April";"Mei";"Juni";"Juli";"Agustus";"September";"Oktober";"November";"Desember"}, 0)
        &gt;= MONTH(TODAY()),
      "AKTIF (Semester " &amp;
        (INT((12*(YEAR(TODAY())-M732) + MONTH(TODAY()) -
          MATCH(L732, {"Januari";"Februari";"Maret";"April";"Mei";"Juni";"Juli";"Agustus";"September";"Oktober";"November";"Desember"}, 0)) / 6) + 1) &amp; ")",
      "LULUS"
    ),
    "AKTIF (Semester " &amp;
      (INT((12*(YEAR(TODAY())-M732) + MONTH(TODAY()) -
        MATCH(L732, {"Januari";"Februari";"Maret";"April";"Mei";"Juni";"Juli";"Agustus";"September";"Oktober";"November";"Desember"}, 0)) / 6) + 1) &amp; ")"
  )
)</f>
        <v>AKTIF (Semester 4)</v>
      </c>
      <c r="T732" s="16" t="str">
        <f ca="1">IF(O732 &lt; YEAR(TODAY()), "LULUS",
 IF(O732 = YEAR(TODAY()),
    IF(MATCH(N732, {"Januari";"Februari";"Maret";"April";"Mei";"Juni";"Juli";"Agustus";"September";"Oktober";"November";"Desember"},0)
        &lt;= MONTH(TODAY()),
        "LULUS",
        "AKTIF"),
 "AKTIF"))</f>
        <v>AKTIF</v>
      </c>
      <c r="U732" s="16" t="s">
        <v>2942</v>
      </c>
      <c r="V732" s="15"/>
      <c r="W732" s="15"/>
      <c r="X732" s="15"/>
      <c r="Y732" s="15"/>
      <c r="Z732" s="15"/>
    </row>
    <row r="733" spans="1:26" ht="29" customHeight="1" x14ac:dyDescent="0.35">
      <c r="A733" s="12">
        <v>732</v>
      </c>
      <c r="B733" s="13" t="s">
        <v>2318</v>
      </c>
      <c r="C733" s="14" t="s">
        <v>2319</v>
      </c>
      <c r="D733" s="13" t="s">
        <v>507</v>
      </c>
      <c r="E733" s="14" t="str">
        <f t="shared" si="14"/>
        <v>Laki-Laki</v>
      </c>
      <c r="F733" s="18" t="s">
        <v>2320</v>
      </c>
      <c r="G733" s="25" t="s">
        <v>2110</v>
      </c>
      <c r="H733" s="15" t="s">
        <v>2208</v>
      </c>
      <c r="I733" s="15" t="s">
        <v>2321</v>
      </c>
      <c r="J733" s="12" t="s">
        <v>242</v>
      </c>
      <c r="K733" s="15" t="s">
        <v>2251</v>
      </c>
      <c r="L733" s="15" t="s">
        <v>72</v>
      </c>
      <c r="M733" s="15">
        <v>2024</v>
      </c>
      <c r="N733" s="15" t="s">
        <v>72</v>
      </c>
      <c r="O733" s="15">
        <v>2027</v>
      </c>
      <c r="P733" s="15">
        <v>2024</v>
      </c>
      <c r="Q733" s="15"/>
      <c r="R733" s="16"/>
      <c r="S733" s="16" t="str">
        <f ca="1">IF(
  O733 &lt; YEAR(TODAY()),
  "LULUS",
  IF(
    O733 = YEAR(TODAY()),
    IF(
      MATCH(L733, {"Januari";"Februari";"Maret";"April";"Mei";"Juni";"Juli";"Agustus";"September";"Oktober";"November";"Desember"}, 0)
        &gt;= MONTH(TODAY()),
      "AKTIF (Semester " &amp;
        (INT((12*(YEAR(TODAY())-M733) + MONTH(TODAY()) -
          MATCH(L733, {"Januari";"Februari";"Maret";"April";"Mei";"Juni";"Juli";"Agustus";"September";"Oktober";"November";"Desember"}, 0)) / 6) + 1) &amp; ")",
      "LULUS"
    ),
    "AKTIF (Semester " &amp;
      (INT((12*(YEAR(TODAY())-M733) + MONTH(TODAY()) -
        MATCH(L733, {"Januari";"Februari";"Maret";"April";"Mei";"Juni";"Juli";"Agustus";"September";"Oktober";"November";"Desember"}, 0)) / 6) + 1) &amp; ")"
  )
)</f>
        <v>AKTIF (Semester 4)</v>
      </c>
      <c r="T733" s="16" t="str">
        <f ca="1">IF(O733 &lt; YEAR(TODAY()), "LULUS",
 IF(O733 = YEAR(TODAY()),
    IF(MATCH(N733, {"Januari";"Februari";"Maret";"April";"Mei";"Juni";"Juli";"Agustus";"September";"Oktober";"November";"Desember"},0)
        &lt;= MONTH(TODAY()),
        "LULUS",
        "AKTIF"),
 "AKTIF"))</f>
        <v>AKTIF</v>
      </c>
      <c r="U733" s="16" t="s">
        <v>2942</v>
      </c>
      <c r="V733" s="15"/>
      <c r="W733" s="15"/>
      <c r="X733" s="15"/>
      <c r="Y733" s="15"/>
      <c r="Z733" s="15"/>
    </row>
    <row r="734" spans="1:26" ht="29" customHeight="1" x14ac:dyDescent="0.35">
      <c r="A734" s="12">
        <v>733</v>
      </c>
      <c r="B734" s="13" t="s">
        <v>2322</v>
      </c>
      <c r="C734" s="14"/>
      <c r="D734" s="13"/>
      <c r="E734" s="14" t="str">
        <f t="shared" si="14"/>
        <v>Perempuan</v>
      </c>
      <c r="F734" s="18"/>
      <c r="G734" s="25" t="s">
        <v>2110</v>
      </c>
      <c r="H734" s="15" t="s">
        <v>2202</v>
      </c>
      <c r="I734" s="15" t="s">
        <v>2321</v>
      </c>
      <c r="J734" s="12" t="s">
        <v>242</v>
      </c>
      <c r="K734" s="15" t="s">
        <v>2251</v>
      </c>
      <c r="L734" s="15" t="s">
        <v>72</v>
      </c>
      <c r="M734" s="15">
        <v>2024</v>
      </c>
      <c r="N734" s="15" t="s">
        <v>72</v>
      </c>
      <c r="O734" s="15">
        <v>2027</v>
      </c>
      <c r="P734" s="15">
        <v>2024</v>
      </c>
      <c r="Q734" s="15"/>
      <c r="R734" s="16"/>
      <c r="S734" s="16" t="str">
        <f ca="1">IF(
  O734 &lt; YEAR(TODAY()),
  "LULUS",
  IF(
    O734 = YEAR(TODAY()),
    IF(
      MATCH(L734, {"Januari";"Februari";"Maret";"April";"Mei";"Juni";"Juli";"Agustus";"September";"Oktober";"November";"Desember"}, 0)
        &gt;= MONTH(TODAY()),
      "AKTIF (Semester " &amp;
        (INT((12*(YEAR(TODAY())-M734) + MONTH(TODAY()) -
          MATCH(L734, {"Januari";"Februari";"Maret";"April";"Mei";"Juni";"Juli";"Agustus";"September";"Oktober";"November";"Desember"}, 0)) / 6) + 1) &amp; ")",
      "LULUS"
    ),
    "AKTIF (Semester " &amp;
      (INT((12*(YEAR(TODAY())-M734) + MONTH(TODAY()) -
        MATCH(L734, {"Januari";"Februari";"Maret";"April";"Mei";"Juni";"Juli";"Agustus";"September";"Oktober";"November";"Desember"}, 0)) / 6) + 1) &amp; ")"
  )
)</f>
        <v>AKTIF (Semester 4)</v>
      </c>
      <c r="T734" s="16" t="str">
        <f ca="1">IF(O734 &lt; YEAR(TODAY()), "LULUS",
 IF(O734 = YEAR(TODAY()),
    IF(MATCH(N734, {"Januari";"Februari";"Maret";"April";"Mei";"Juni";"Juli";"Agustus";"September";"Oktober";"November";"Desember"},0)
        &lt;= MONTH(TODAY()),
        "LULUS",
        "AKTIF"),
 "AKTIF"))</f>
        <v>AKTIF</v>
      </c>
      <c r="U734" s="16" t="s">
        <v>2942</v>
      </c>
      <c r="V734" s="15"/>
      <c r="W734" s="15"/>
      <c r="X734" s="15"/>
      <c r="Y734" s="15"/>
      <c r="Z734" s="15"/>
    </row>
    <row r="735" spans="1:26" ht="29" customHeight="1" x14ac:dyDescent="0.35">
      <c r="A735" s="12">
        <v>734</v>
      </c>
      <c r="B735" s="13" t="s">
        <v>2323</v>
      </c>
      <c r="C735" s="14"/>
      <c r="D735" s="13"/>
      <c r="E735" s="14" t="str">
        <f t="shared" si="14"/>
        <v>Perempuan</v>
      </c>
      <c r="F735" s="18"/>
      <c r="G735" s="25" t="s">
        <v>2110</v>
      </c>
      <c r="H735" s="15" t="s">
        <v>2876</v>
      </c>
      <c r="I735" s="15" t="s">
        <v>2321</v>
      </c>
      <c r="J735" s="12" t="s">
        <v>242</v>
      </c>
      <c r="K735" s="15" t="s">
        <v>2251</v>
      </c>
      <c r="L735" s="15" t="s">
        <v>72</v>
      </c>
      <c r="M735" s="15">
        <v>2024</v>
      </c>
      <c r="N735" s="15" t="s">
        <v>72</v>
      </c>
      <c r="O735" s="15">
        <v>2027</v>
      </c>
      <c r="P735" s="15">
        <v>2024</v>
      </c>
      <c r="Q735" s="15"/>
      <c r="R735" s="16"/>
      <c r="S735" s="16" t="str">
        <f ca="1">IF(
  O735 &lt; YEAR(TODAY()),
  "LULUS",
  IF(
    O735 = YEAR(TODAY()),
    IF(
      MATCH(L735, {"Januari";"Februari";"Maret";"April";"Mei";"Juni";"Juli";"Agustus";"September";"Oktober";"November";"Desember"}, 0)
        &gt;= MONTH(TODAY()),
      "AKTIF (Semester " &amp;
        (INT((12*(YEAR(TODAY())-M735) + MONTH(TODAY()) -
          MATCH(L735, {"Januari";"Februari";"Maret";"April";"Mei";"Juni";"Juli";"Agustus";"September";"Oktober";"November";"Desember"}, 0)) / 6) + 1) &amp; ")",
      "LULUS"
    ),
    "AKTIF (Semester " &amp;
      (INT((12*(YEAR(TODAY())-M735) + MONTH(TODAY()) -
        MATCH(L735, {"Januari";"Februari";"Maret";"April";"Mei";"Juni";"Juli";"Agustus";"September";"Oktober";"November";"Desember"}, 0)) / 6) + 1) &amp; ")"
  )
)</f>
        <v>AKTIF (Semester 4)</v>
      </c>
      <c r="T735" s="16" t="str">
        <f ca="1">IF(O735 &lt; YEAR(TODAY()), "LULUS",
 IF(O735 = YEAR(TODAY()),
    IF(MATCH(N735, {"Januari";"Februari";"Maret";"April";"Mei";"Juni";"Juli";"Agustus";"September";"Oktober";"November";"Desember"},0)
        &lt;= MONTH(TODAY()),
        "LULUS",
        "AKTIF"),
 "AKTIF"))</f>
        <v>AKTIF</v>
      </c>
      <c r="U735" s="16" t="s">
        <v>2942</v>
      </c>
      <c r="V735" s="15"/>
      <c r="W735" s="15"/>
      <c r="X735" s="15"/>
      <c r="Y735" s="15"/>
      <c r="Z735" s="15"/>
    </row>
    <row r="736" spans="1:26" ht="29" customHeight="1" x14ac:dyDescent="0.35">
      <c r="A736" s="12">
        <v>735</v>
      </c>
      <c r="B736" s="13" t="s">
        <v>2324</v>
      </c>
      <c r="C736" s="14" t="s">
        <v>2325</v>
      </c>
      <c r="D736" s="13" t="s">
        <v>188</v>
      </c>
      <c r="E736" s="14" t="str">
        <f t="shared" si="14"/>
        <v>Perempuan</v>
      </c>
      <c r="F736" s="18" t="s">
        <v>1807</v>
      </c>
      <c r="G736" s="25" t="s">
        <v>2110</v>
      </c>
      <c r="H736" s="15" t="s">
        <v>1870</v>
      </c>
      <c r="I736" s="15" t="s">
        <v>261</v>
      </c>
      <c r="J736" s="12" t="s">
        <v>26</v>
      </c>
      <c r="K736" s="15" t="s">
        <v>262</v>
      </c>
      <c r="L736" s="29" t="s">
        <v>28</v>
      </c>
      <c r="M736" s="15">
        <v>2024</v>
      </c>
      <c r="N736" s="15" t="s">
        <v>2326</v>
      </c>
      <c r="O736" s="15">
        <v>2026</v>
      </c>
      <c r="P736" s="15">
        <v>2024</v>
      </c>
      <c r="Q736" s="15"/>
      <c r="R736" s="16"/>
      <c r="S736" s="16" t="str">
        <f ca="1">IF(
  O736 &lt; YEAR(TODAY()),
  "LULUS",
  IF(
    O736 = YEAR(TODAY()),
    IF(
      MATCH(L736, {"Januari";"Februari";"Maret";"April";"Mei";"Juni";"Juli";"Agustus";"September";"Oktober";"November";"Desember"}, 0)
        &gt;= MONTH(TODAY()),
      "AKTIF (Semester " &amp;
        (INT((12*(YEAR(TODAY())-M736) + MONTH(TODAY()) -
          MATCH(L736, {"Januari";"Februari";"Maret";"April";"Mei";"Juni";"Juli";"Agustus";"September";"Oktober";"November";"Desember"}, 0)) / 6) + 1) &amp; ")",
      "LULUS"
    ),
    "AKTIF (Semester " &amp;
      (INT((12*(YEAR(TODAY())-M736) + MONTH(TODAY()) -
        MATCH(L736, {"Januari";"Februari";"Maret";"April";"Mei";"Juni";"Juli";"Agustus";"September";"Oktober";"November";"Desember"}, 0)) / 6) + 1) &amp; ")"
  )
)</f>
        <v>AKTIF (Semester 3)</v>
      </c>
      <c r="T736" s="16" t="str">
        <f ca="1">IF(O736 &lt; YEAR(TODAY()), "LULUS",
 IF(O736 = YEAR(TODAY()),
    IF(MATCH(N736, {"Januari";"Februari";"Maret";"April";"Mei";"Juni";"Juli";"Agustus";"September";"Oktober";"November";"Desember"},0)
        &lt;= MONTH(TODAY()),
        "LULUS",
        "AKTIF"),
 "AKTIF"))</f>
        <v>AKTIF</v>
      </c>
      <c r="U736" s="16" t="s">
        <v>2940</v>
      </c>
      <c r="V736" s="15"/>
      <c r="W736" s="15"/>
      <c r="X736" s="15"/>
      <c r="Y736" s="15"/>
      <c r="Z736" s="15"/>
    </row>
    <row r="737" spans="1:26" ht="29" customHeight="1" x14ac:dyDescent="0.35">
      <c r="A737" s="12">
        <v>736</v>
      </c>
      <c r="B737" s="13" t="s">
        <v>2327</v>
      </c>
      <c r="C737" s="14" t="s">
        <v>2328</v>
      </c>
      <c r="D737" s="13" t="s">
        <v>539</v>
      </c>
      <c r="E737" s="14" t="str">
        <f t="shared" si="14"/>
        <v>Perempuan</v>
      </c>
      <c r="F737" s="18" t="s">
        <v>1966</v>
      </c>
      <c r="G737" s="25" t="s">
        <v>2110</v>
      </c>
      <c r="H737" s="15" t="s">
        <v>2202</v>
      </c>
      <c r="I737" s="15" t="s">
        <v>111</v>
      </c>
      <c r="J737" s="12" t="s">
        <v>26</v>
      </c>
      <c r="K737" s="15" t="s">
        <v>2329</v>
      </c>
      <c r="L737" s="15" t="s">
        <v>35</v>
      </c>
      <c r="M737" s="15">
        <v>2024</v>
      </c>
      <c r="N737" s="15" t="s">
        <v>35</v>
      </c>
      <c r="O737" s="15">
        <v>2026</v>
      </c>
      <c r="P737" s="15">
        <v>2024</v>
      </c>
      <c r="Q737" s="15"/>
      <c r="R737" s="16"/>
      <c r="S737" s="16" t="str">
        <f ca="1">IF(
  O737 &lt; YEAR(TODAY()),
  "LULUS",
  IF(
    O737 = YEAR(TODAY()),
    IF(
      MATCH(L737, {"Januari";"Februari";"Maret";"April";"Mei";"Juni";"Juli";"Agustus";"September";"Oktober";"November";"Desember"}, 0)
        &gt;= MONTH(TODAY()),
      "AKTIF (Semester " &amp;
        (INT((12*(YEAR(TODAY())-M737) + MONTH(TODAY()) -
          MATCH(L737, {"Januari";"Februari";"Maret";"April";"Mei";"Juni";"Juli";"Agustus";"September";"Oktober";"November";"Desember"}, 0)) / 6) + 1) &amp; ")",
      "LULUS"
    ),
    "AKTIF (Semester " &amp;
      (INT((12*(YEAR(TODAY())-M737) + MONTH(TODAY()) -
        MATCH(L737, {"Januari";"Februari";"Maret";"April";"Mei";"Juni";"Juli";"Agustus";"September";"Oktober";"November";"Desember"}, 0)) / 6) + 1) &amp; ")"
  )
)</f>
        <v>AKTIF (Semester 4)</v>
      </c>
      <c r="T737" s="16" t="str">
        <f ca="1">IF(O737 &lt; YEAR(TODAY()), "LULUS",
 IF(O737 = YEAR(TODAY()),
    IF(MATCH(N737, {"Januari";"Februari";"Maret";"April";"Mei";"Juni";"Juli";"Agustus";"September";"Oktober";"November";"Desember"},0)
        &lt;= MONTH(TODAY()),
        "LULUS",
        "AKTIF"),
 "AKTIF"))</f>
        <v>AKTIF</v>
      </c>
      <c r="U737" s="16" t="s">
        <v>2942</v>
      </c>
      <c r="V737" s="15"/>
      <c r="W737" s="15"/>
      <c r="X737" s="15"/>
      <c r="Y737" s="15"/>
      <c r="Z737" s="15"/>
    </row>
    <row r="738" spans="1:26" ht="29" customHeight="1" x14ac:dyDescent="0.35">
      <c r="A738" s="12">
        <v>737</v>
      </c>
      <c r="B738" s="13" t="s">
        <v>2330</v>
      </c>
      <c r="C738" s="14" t="s">
        <v>2331</v>
      </c>
      <c r="D738" s="13" t="s">
        <v>507</v>
      </c>
      <c r="E738" s="14" t="str">
        <f t="shared" si="14"/>
        <v>Perempuan</v>
      </c>
      <c r="F738" s="18" t="s">
        <v>1673</v>
      </c>
      <c r="G738" s="25" t="s">
        <v>2110</v>
      </c>
      <c r="H738" s="15" t="s">
        <v>1525</v>
      </c>
      <c r="I738" s="15" t="s">
        <v>563</v>
      </c>
      <c r="J738" s="12" t="s">
        <v>26</v>
      </c>
      <c r="K738" s="15" t="s">
        <v>564</v>
      </c>
      <c r="L738" s="15" t="s">
        <v>60</v>
      </c>
      <c r="M738" s="15">
        <v>2024</v>
      </c>
      <c r="N738" s="15" t="s">
        <v>60</v>
      </c>
      <c r="O738" s="15">
        <v>2026</v>
      </c>
      <c r="P738" s="15">
        <v>2024</v>
      </c>
      <c r="Q738" s="15"/>
      <c r="R738" s="16"/>
      <c r="S738" s="16" t="str">
        <f ca="1">IF(
  O738 &lt; YEAR(TODAY()),
  "LULUS",
  IF(
    O738 = YEAR(TODAY()),
    IF(
      MATCH(L738, {"Januari";"Februari";"Maret";"April";"Mei";"Juni";"Juli";"Agustus";"September";"Oktober";"November";"Desember"}, 0)
        &gt;= MONTH(TODAY()),
      "AKTIF (Semester " &amp;
        (INT((12*(YEAR(TODAY())-M738) + MONTH(TODAY()) -
          MATCH(L738, {"Januari";"Februari";"Maret";"April";"Mei";"Juni";"Juli";"Agustus";"September";"Oktober";"November";"Desember"}, 0)) / 6) + 1) &amp; ")",
      "LULUS"
    ),
    "AKTIF (Semester " &amp;
      (INT((12*(YEAR(TODAY())-M738) + MONTH(TODAY()) -
        MATCH(L738, {"Januari";"Februari";"Maret";"April";"Mei";"Juni";"Juli";"Agustus";"September";"Oktober";"November";"Desember"}, 0)) / 6) + 1) &amp; ")"
  )
)</f>
        <v>AKTIF (Semester 3)</v>
      </c>
      <c r="T738" s="16" t="str">
        <f ca="1">IF(O738 &lt; YEAR(TODAY()), "LULUS",
 IF(O738 = YEAR(TODAY()),
    IF(MATCH(N738, {"Januari";"Februari";"Maret";"April";"Mei";"Juni";"Juli";"Agustus";"September";"Oktober";"November";"Desember"},0)
        &lt;= MONTH(TODAY()),
        "LULUS",
        "AKTIF"),
 "AKTIF"))</f>
        <v>AKTIF</v>
      </c>
      <c r="U738" s="16" t="s">
        <v>2940</v>
      </c>
      <c r="V738" s="15"/>
      <c r="W738" s="15"/>
      <c r="X738" s="15"/>
      <c r="Y738" s="15"/>
      <c r="Z738" s="15"/>
    </row>
    <row r="739" spans="1:26" ht="29" customHeight="1" x14ac:dyDescent="0.35">
      <c r="A739" s="12">
        <v>738</v>
      </c>
      <c r="B739" s="13" t="s">
        <v>2332</v>
      </c>
      <c r="C739" s="14" t="s">
        <v>2333</v>
      </c>
      <c r="D739" s="13" t="s">
        <v>2214</v>
      </c>
      <c r="E739" s="14" t="str">
        <f t="shared" si="14"/>
        <v>Perempuan</v>
      </c>
      <c r="F739" s="18"/>
      <c r="G739" s="25" t="s">
        <v>2110</v>
      </c>
      <c r="H739" s="15" t="s">
        <v>1772</v>
      </c>
      <c r="I739" s="19" t="s">
        <v>90</v>
      </c>
      <c r="J739" s="12" t="s">
        <v>26</v>
      </c>
      <c r="K739" s="15" t="s">
        <v>394</v>
      </c>
      <c r="L739" s="70" t="s">
        <v>35</v>
      </c>
      <c r="M739" s="15">
        <v>2024</v>
      </c>
      <c r="N739" s="15" t="s">
        <v>123</v>
      </c>
      <c r="O739" s="15">
        <v>2026</v>
      </c>
      <c r="P739" s="15">
        <v>2024</v>
      </c>
      <c r="Q739" s="15"/>
      <c r="R739" s="16"/>
      <c r="S739" s="16" t="str">
        <f ca="1">IF(
  O739 &lt; YEAR(TODAY()),
  "LULUS",
  IF(
    O739 = YEAR(TODAY()),
    IF(
      MATCH(L739, {"Januari";"Februari";"Maret";"April";"Mei";"Juni";"Juli";"Agustus";"September";"Oktober";"November";"Desember"}, 0)
        &gt;= MONTH(TODAY()),
      "AKTIF (Semester " &amp;
        (INT((12*(YEAR(TODAY())-M739) + MONTH(TODAY()) -
          MATCH(L739, {"Januari";"Februari";"Maret";"April";"Mei";"Juni";"Juli";"Agustus";"September";"Oktober";"November";"Desember"}, 0)) / 6) + 1) &amp; ")",
      "LULUS"
    ),
    "AKTIF (Semester " &amp;
      (INT((12*(YEAR(TODAY())-M739) + MONTH(TODAY()) -
        MATCH(L739, {"Januari";"Februari";"Maret";"April";"Mei";"Juni";"Juli";"Agustus";"September";"Oktober";"November";"Desember"}, 0)) / 6) + 1) &amp; ")"
  )
)</f>
        <v>AKTIF (Semester 4)</v>
      </c>
      <c r="T739" s="16" t="str">
        <f ca="1">IF(O739 &lt; YEAR(TODAY()), "LULUS",
 IF(O739 = YEAR(TODAY()),
    IF(MATCH(N739, {"Januari";"Februari";"Maret";"April";"Mei";"Juni";"Juli";"Agustus";"September";"Oktober";"November";"Desember"},0)
        &lt;= MONTH(TODAY()),
        "LULUS",
        "AKTIF"),
 "AKTIF"))</f>
        <v>AKTIF</v>
      </c>
      <c r="U739" s="16" t="s">
        <v>2942</v>
      </c>
      <c r="V739" s="15"/>
      <c r="W739" s="15"/>
      <c r="X739" s="15"/>
      <c r="Y739" s="15"/>
      <c r="Z739" s="15"/>
    </row>
    <row r="740" spans="1:26" ht="29" customHeight="1" x14ac:dyDescent="0.35">
      <c r="A740" s="12">
        <v>739</v>
      </c>
      <c r="B740" s="13" t="s">
        <v>2334</v>
      </c>
      <c r="C740" s="14" t="s">
        <v>2335</v>
      </c>
      <c r="D740" s="13" t="s">
        <v>188</v>
      </c>
      <c r="E740" s="14" t="str">
        <f t="shared" si="14"/>
        <v>Perempuan</v>
      </c>
      <c r="F740" s="18" t="s">
        <v>1807</v>
      </c>
      <c r="G740" s="25" t="s">
        <v>2110</v>
      </c>
      <c r="H740" s="15" t="s">
        <v>1870</v>
      </c>
      <c r="I740" s="15" t="s">
        <v>261</v>
      </c>
      <c r="J740" s="12" t="s">
        <v>26</v>
      </c>
      <c r="K740" s="15" t="s">
        <v>262</v>
      </c>
      <c r="L740" s="15" t="s">
        <v>28</v>
      </c>
      <c r="M740" s="15">
        <v>2024</v>
      </c>
      <c r="N740" s="15" t="s">
        <v>28</v>
      </c>
      <c r="O740" s="15">
        <v>2026</v>
      </c>
      <c r="P740" s="15">
        <v>2024</v>
      </c>
      <c r="Q740" s="15"/>
      <c r="R740" s="16"/>
      <c r="S740" s="16" t="str">
        <f ca="1">IF(
  O740 &lt; YEAR(TODAY()),
  "LULUS",
  IF(
    O740 = YEAR(TODAY()),
    IF(
      MATCH(L740, {"Januari";"Februari";"Maret";"April";"Mei";"Juni";"Juli";"Agustus";"September";"Oktober";"November";"Desember"}, 0)
        &gt;= MONTH(TODAY()),
      "AKTIF (Semester " &amp;
        (INT((12*(YEAR(TODAY())-M740) + MONTH(TODAY()) -
          MATCH(L740, {"Januari";"Februari";"Maret";"April";"Mei";"Juni";"Juli";"Agustus";"September";"Oktober";"November";"Desember"}, 0)) / 6) + 1) &amp; ")",
      "LULUS"
    ),
    "AKTIF (Semester " &amp;
      (INT((12*(YEAR(TODAY())-M740) + MONTH(TODAY()) -
        MATCH(L740, {"Januari";"Februari";"Maret";"April";"Mei";"Juni";"Juli";"Agustus";"September";"Oktober";"November";"Desember"}, 0)) / 6) + 1) &amp; ")"
  )
)</f>
        <v>AKTIF (Semester 3)</v>
      </c>
      <c r="T740" s="16" t="str">
        <f ca="1">IF(O740 &lt; YEAR(TODAY()), "LULUS",
 IF(O740 = YEAR(TODAY()),
    IF(MATCH(N740, {"Januari";"Februari";"Maret";"April";"Mei";"Juni";"Juli";"Agustus";"September";"Oktober";"November";"Desember"},0)
        &lt;= MONTH(TODAY()),
        "LULUS",
        "AKTIF"),
 "AKTIF"))</f>
        <v>AKTIF</v>
      </c>
      <c r="U740" s="16" t="s">
        <v>2940</v>
      </c>
      <c r="V740" s="15"/>
      <c r="W740" s="15"/>
      <c r="X740" s="15"/>
      <c r="Y740" s="15"/>
      <c r="Z740" s="15"/>
    </row>
    <row r="741" spans="1:26" ht="29" customHeight="1" x14ac:dyDescent="0.35">
      <c r="A741" s="12">
        <v>740</v>
      </c>
      <c r="B741" s="13" t="s">
        <v>2336</v>
      </c>
      <c r="C741" s="14" t="s">
        <v>2337</v>
      </c>
      <c r="D741" s="13" t="s">
        <v>188</v>
      </c>
      <c r="E741" s="14" t="str">
        <f t="shared" si="14"/>
        <v>Laki-Laki</v>
      </c>
      <c r="F741" s="18" t="s">
        <v>1807</v>
      </c>
      <c r="G741" s="25" t="s">
        <v>2110</v>
      </c>
      <c r="H741" s="15" t="s">
        <v>1870</v>
      </c>
      <c r="I741" s="15" t="s">
        <v>261</v>
      </c>
      <c r="J741" s="12" t="s">
        <v>26</v>
      </c>
      <c r="K741" s="15" t="s">
        <v>262</v>
      </c>
      <c r="L741" s="15" t="s">
        <v>28</v>
      </c>
      <c r="M741" s="15">
        <v>2024</v>
      </c>
      <c r="N741" s="15" t="s">
        <v>28</v>
      </c>
      <c r="O741" s="15">
        <v>2026</v>
      </c>
      <c r="P741" s="15">
        <v>2024</v>
      </c>
      <c r="Q741" s="15"/>
      <c r="R741" s="16"/>
      <c r="S741" s="16" t="str">
        <f ca="1">IF(
  O741 &lt; YEAR(TODAY()),
  "LULUS",
  IF(
    O741 = YEAR(TODAY()),
    IF(
      MATCH(L741, {"Januari";"Februari";"Maret";"April";"Mei";"Juni";"Juli";"Agustus";"September";"Oktober";"November";"Desember"}, 0)
        &gt;= MONTH(TODAY()),
      "AKTIF (Semester " &amp;
        (INT((12*(YEAR(TODAY())-M741) + MONTH(TODAY()) -
          MATCH(L741, {"Januari";"Februari";"Maret";"April";"Mei";"Juni";"Juli";"Agustus";"September";"Oktober";"November";"Desember"}, 0)) / 6) + 1) &amp; ")",
      "LULUS"
    ),
    "AKTIF (Semester " &amp;
      (INT((12*(YEAR(TODAY())-M741) + MONTH(TODAY()) -
        MATCH(L741, {"Januari";"Februari";"Maret";"April";"Mei";"Juni";"Juli";"Agustus";"September";"Oktober";"November";"Desember"}, 0)) / 6) + 1) &amp; ")"
  )
)</f>
        <v>AKTIF (Semester 3)</v>
      </c>
      <c r="T741" s="16" t="str">
        <f ca="1">IF(O741 &lt; YEAR(TODAY()), "LULUS",
 IF(O741 = YEAR(TODAY()),
    IF(MATCH(N741, {"Januari";"Februari";"Maret";"April";"Mei";"Juni";"Juli";"Agustus";"September";"Oktober";"November";"Desember"},0)
        &lt;= MONTH(TODAY()),
        "LULUS",
        "AKTIF"),
 "AKTIF"))</f>
        <v>AKTIF</v>
      </c>
      <c r="U741" s="16" t="s">
        <v>2940</v>
      </c>
      <c r="V741" s="15"/>
      <c r="W741" s="15"/>
      <c r="X741" s="15"/>
      <c r="Y741" s="15"/>
      <c r="Z741" s="15"/>
    </row>
    <row r="742" spans="1:26" ht="29" customHeight="1" x14ac:dyDescent="0.35">
      <c r="A742" s="12">
        <v>741</v>
      </c>
      <c r="B742" s="13" t="s">
        <v>2338</v>
      </c>
      <c r="C742" s="14" t="s">
        <v>2339</v>
      </c>
      <c r="D742" s="13" t="s">
        <v>507</v>
      </c>
      <c r="E742" s="14" t="str">
        <f t="shared" si="14"/>
        <v>Perempuan</v>
      </c>
      <c r="F742" s="18" t="s">
        <v>1673</v>
      </c>
      <c r="G742" s="25" t="s">
        <v>2110</v>
      </c>
      <c r="H742" s="15" t="s">
        <v>1870</v>
      </c>
      <c r="I742" s="19" t="s">
        <v>90</v>
      </c>
      <c r="J742" s="12" t="s">
        <v>26</v>
      </c>
      <c r="K742" s="15" t="s">
        <v>394</v>
      </c>
      <c r="L742" s="70" t="s">
        <v>35</v>
      </c>
      <c r="M742" s="15">
        <v>2024</v>
      </c>
      <c r="N742" s="15" t="s">
        <v>2341</v>
      </c>
      <c r="O742" s="15">
        <v>2026</v>
      </c>
      <c r="P742" s="15">
        <v>2024</v>
      </c>
      <c r="Q742" s="15"/>
      <c r="R742" s="16"/>
      <c r="S742" s="16" t="str">
        <f ca="1">IF(
  O742 &lt; YEAR(TODAY()),
  "LULUS",
  IF(
    O742 = YEAR(TODAY()),
    IF(
      MATCH(L742, {"Januari";"Februari";"Maret";"April";"Mei";"Juni";"Juli";"Agustus";"September";"Oktober";"November";"Desember"}, 0)
        &gt;= MONTH(TODAY()),
      "AKTIF (Semester " &amp;
        (INT((12*(YEAR(TODAY())-M742) + MONTH(TODAY()) -
          MATCH(L742, {"Januari";"Februari";"Maret";"April";"Mei";"Juni";"Juli";"Agustus";"September";"Oktober";"November";"Desember"}, 0)) / 6) + 1) &amp; ")",
      "LULUS"
    ),
    "AKTIF (Semester " &amp;
      (INT((12*(YEAR(TODAY())-M742) + MONTH(TODAY()) -
        MATCH(L742, {"Januari";"Februari";"Maret";"April";"Mei";"Juni";"Juli";"Agustus";"September";"Oktober";"November";"Desember"}, 0)) / 6) + 1) &amp; ")"
  )
)</f>
        <v>AKTIF (Semester 4)</v>
      </c>
      <c r="T742" s="16" t="str">
        <f ca="1">IF(O742 &lt; YEAR(TODAY()), "LULUS",
 IF(O742 = YEAR(TODAY()),
    IF(MATCH(N742, {"Januari";"Februari";"Maret";"April";"Mei";"Juni";"Juli";"Agustus";"September";"Oktober";"November";"Desember"},0)
        &lt;= MONTH(TODAY()),
        "LULUS",
        "AKTIF"),
 "AKTIF"))</f>
        <v>AKTIF</v>
      </c>
      <c r="U742" s="16" t="s">
        <v>2942</v>
      </c>
      <c r="V742" s="15"/>
      <c r="W742" s="15"/>
      <c r="X742" s="15"/>
      <c r="Y742" s="15"/>
      <c r="Z742" s="15"/>
    </row>
    <row r="743" spans="1:26" ht="29" customHeight="1" x14ac:dyDescent="0.35">
      <c r="A743" s="12">
        <v>742</v>
      </c>
      <c r="B743" s="13" t="s">
        <v>2342</v>
      </c>
      <c r="C743" s="14" t="s">
        <v>2343</v>
      </c>
      <c r="D743" s="13" t="s">
        <v>2344</v>
      </c>
      <c r="E743" s="14" t="str">
        <f t="shared" si="14"/>
        <v>Laki-Laki</v>
      </c>
      <c r="F743" s="18" t="s">
        <v>1134</v>
      </c>
      <c r="G743" s="25" t="s">
        <v>2110</v>
      </c>
      <c r="H743" s="15" t="s">
        <v>2202</v>
      </c>
      <c r="I743" s="134" t="s">
        <v>56</v>
      </c>
      <c r="J743" s="12" t="s">
        <v>26</v>
      </c>
      <c r="K743" s="15" t="s">
        <v>2345</v>
      </c>
      <c r="L743" s="15" t="s">
        <v>60</v>
      </c>
      <c r="M743" s="15">
        <v>2024</v>
      </c>
      <c r="N743" s="15" t="s">
        <v>60</v>
      </c>
      <c r="O743" s="15">
        <v>2026</v>
      </c>
      <c r="P743" s="15">
        <v>2024</v>
      </c>
      <c r="Q743" s="15"/>
      <c r="R743" s="16"/>
      <c r="S743" s="16" t="str">
        <f ca="1">IF(
  O743 &lt; YEAR(TODAY()),
  "LULUS",
  IF(
    O743 = YEAR(TODAY()),
    IF(
      MATCH(L743, {"Januari";"Februari";"Maret";"April";"Mei";"Juni";"Juli";"Agustus";"September";"Oktober";"November";"Desember"}, 0)
        &gt;= MONTH(TODAY()),
      "AKTIF (Semester " &amp;
        (INT((12*(YEAR(TODAY())-M743) + MONTH(TODAY()) -
          MATCH(L743, {"Januari";"Februari";"Maret";"April";"Mei";"Juni";"Juli";"Agustus";"September";"Oktober";"November";"Desember"}, 0)) / 6) + 1) &amp; ")",
      "LULUS"
    ),
    "AKTIF (Semester " &amp;
      (INT((12*(YEAR(TODAY())-M743) + MONTH(TODAY()) -
        MATCH(L743, {"Januari";"Februari";"Maret";"April";"Mei";"Juni";"Juli";"Agustus";"September";"Oktober";"November";"Desember"}, 0)) / 6) + 1) &amp; ")"
  )
)</f>
        <v>AKTIF (Semester 3)</v>
      </c>
      <c r="T743" s="16" t="str">
        <f ca="1">IF(O743 &lt; YEAR(TODAY()), "LULUS",
 IF(O743 = YEAR(TODAY()),
    IF(MATCH(N743, {"Januari";"Februari";"Maret";"April";"Mei";"Juni";"Juli";"Agustus";"September";"Oktober";"November";"Desember"},0)
        &lt;= MONTH(TODAY()),
        "LULUS",
        "AKTIF"),
 "AKTIF"))</f>
        <v>AKTIF</v>
      </c>
      <c r="U743" s="16" t="s">
        <v>2940</v>
      </c>
      <c r="V743" s="15"/>
      <c r="W743" s="15"/>
      <c r="X743" s="15"/>
      <c r="Y743" s="15"/>
      <c r="Z743" s="15"/>
    </row>
    <row r="744" spans="1:26" ht="29" customHeight="1" x14ac:dyDescent="0.35">
      <c r="A744" s="12">
        <v>743</v>
      </c>
      <c r="B744" s="13" t="s">
        <v>2346</v>
      </c>
      <c r="C744" s="14" t="s">
        <v>2347</v>
      </c>
      <c r="D744" s="13" t="s">
        <v>188</v>
      </c>
      <c r="E744" s="14" t="str">
        <f t="shared" si="14"/>
        <v>Perempuan</v>
      </c>
      <c r="F744" s="18" t="s">
        <v>1807</v>
      </c>
      <c r="G744" s="25" t="s">
        <v>2110</v>
      </c>
      <c r="H744" s="15" t="s">
        <v>1536</v>
      </c>
      <c r="I744" s="19" t="s">
        <v>90</v>
      </c>
      <c r="J744" s="12" t="s">
        <v>26</v>
      </c>
      <c r="K744" s="15" t="s">
        <v>394</v>
      </c>
      <c r="L744" s="15" t="s">
        <v>28</v>
      </c>
      <c r="M744" s="15">
        <v>2024</v>
      </c>
      <c r="N744" s="15" t="s">
        <v>28</v>
      </c>
      <c r="O744" s="15">
        <v>2026</v>
      </c>
      <c r="P744" s="15">
        <v>2024</v>
      </c>
      <c r="Q744" s="15"/>
      <c r="R744" s="16"/>
      <c r="S744" s="16" t="str">
        <f ca="1">IF(
  O744 &lt; YEAR(TODAY()),
  "LULUS",
  IF(
    O744 = YEAR(TODAY()),
    IF(
      MATCH(L744, {"Januari";"Februari";"Maret";"April";"Mei";"Juni";"Juli";"Agustus";"September";"Oktober";"November";"Desember"}, 0)
        &gt;= MONTH(TODAY()),
      "AKTIF (Semester " &amp;
        (INT((12*(YEAR(TODAY())-M744) + MONTH(TODAY()) -
          MATCH(L744, {"Januari";"Februari";"Maret";"April";"Mei";"Juni";"Juli";"Agustus";"September";"Oktober";"November";"Desember"}, 0)) / 6) + 1) &amp; ")",
      "LULUS"
    ),
    "AKTIF (Semester " &amp;
      (INT((12*(YEAR(TODAY())-M744) + MONTH(TODAY()) -
        MATCH(L744, {"Januari";"Februari";"Maret";"April";"Mei";"Juni";"Juli";"Agustus";"September";"Oktober";"November";"Desember"}, 0)) / 6) + 1) &amp; ")"
  )
)</f>
        <v>AKTIF (Semester 3)</v>
      </c>
      <c r="T744" s="16" t="str">
        <f ca="1">IF(O744 &lt; YEAR(TODAY()), "LULUS",
 IF(O744 = YEAR(TODAY()),
    IF(MATCH(N744, {"Januari";"Februari";"Maret";"April";"Mei";"Juni";"Juli";"Agustus";"September";"Oktober";"November";"Desember"},0)
        &lt;= MONTH(TODAY()),
        "LULUS",
        "AKTIF"),
 "AKTIF"))</f>
        <v>AKTIF</v>
      </c>
      <c r="U744" s="16" t="s">
        <v>2940</v>
      </c>
      <c r="V744" s="15"/>
      <c r="W744" s="15"/>
      <c r="X744" s="15"/>
      <c r="Y744" s="15"/>
      <c r="Z744" s="15"/>
    </row>
    <row r="745" spans="1:26" ht="29" customHeight="1" x14ac:dyDescent="0.35">
      <c r="A745" s="12">
        <v>744</v>
      </c>
      <c r="B745" s="25" t="s">
        <v>2348</v>
      </c>
      <c r="C745" s="26" t="s">
        <v>2349</v>
      </c>
      <c r="D745" s="25" t="s">
        <v>554</v>
      </c>
      <c r="E745" s="14" t="str">
        <f t="shared" si="14"/>
        <v>Laki-Laki</v>
      </c>
      <c r="F745" s="25" t="s">
        <v>1791</v>
      </c>
      <c r="G745" s="25" t="s">
        <v>2350</v>
      </c>
      <c r="H745" s="19" t="s">
        <v>2351</v>
      </c>
      <c r="I745" s="19" t="s">
        <v>90</v>
      </c>
      <c r="J745" s="12" t="s">
        <v>486</v>
      </c>
      <c r="K745" s="28" t="s">
        <v>394</v>
      </c>
      <c r="L745" s="70" t="s">
        <v>35</v>
      </c>
      <c r="M745" s="15">
        <v>2024</v>
      </c>
      <c r="N745" s="15" t="s">
        <v>123</v>
      </c>
      <c r="O745" s="15">
        <v>2026</v>
      </c>
      <c r="P745" s="15">
        <v>2025</v>
      </c>
      <c r="Q745" s="15"/>
      <c r="R745" s="16"/>
      <c r="S745" s="16" t="str">
        <f ca="1">IF(
  O745 &lt; YEAR(TODAY()),
  "LULUS",
  IF(
    O745 = YEAR(TODAY()),
    IF(
      MATCH(L745, {"Januari";"Februari";"Maret";"April";"Mei";"Juni";"Juli";"Agustus";"September";"Oktober";"November";"Desember"}, 0)
        &gt;= MONTH(TODAY()),
      "AKTIF (Semester " &amp;
        (INT((12*(YEAR(TODAY())-M745) + MONTH(TODAY()) -
          MATCH(L745, {"Januari";"Februari";"Maret";"April";"Mei";"Juni";"Juli";"Agustus";"September";"Oktober";"November";"Desember"}, 0)) / 6) + 1) &amp; ")",
      "LULUS"
    ),
    "AKTIF (Semester " &amp;
      (INT((12*(YEAR(TODAY())-M745) + MONTH(TODAY()) -
        MATCH(L745, {"Januari";"Februari";"Maret";"April";"Mei";"Juni";"Juli";"Agustus";"September";"Oktober";"November";"Desember"}, 0)) / 6) + 1) &amp; ")"
  )
)</f>
        <v>AKTIF (Semester 4)</v>
      </c>
      <c r="T745" s="16" t="str">
        <f ca="1">IF(O745 &lt; YEAR(TODAY()), "LULUS",
 IF(O745 = YEAR(TODAY()),
    IF(MATCH(N745, {"Januari";"Februari";"Maret";"April";"Mei";"Juni";"Juli";"Agustus";"September";"Oktober";"November";"Desember"},0)
        &lt;= MONTH(TODAY()),
        "LULUS",
        "AKTIF"),
 "AKTIF"))</f>
        <v>AKTIF</v>
      </c>
      <c r="U745" s="16" t="s">
        <v>2942</v>
      </c>
      <c r="V745" s="15"/>
      <c r="W745" s="15"/>
      <c r="X745" s="15"/>
      <c r="Y745" s="15"/>
      <c r="Z745" s="15"/>
    </row>
    <row r="746" spans="1:26" ht="29" customHeight="1" x14ac:dyDescent="0.35">
      <c r="A746" s="12">
        <v>745</v>
      </c>
      <c r="B746" s="25" t="s">
        <v>2353</v>
      </c>
      <c r="C746" s="26" t="s">
        <v>2354</v>
      </c>
      <c r="D746" s="25" t="s">
        <v>188</v>
      </c>
      <c r="E746" s="14" t="str">
        <f t="shared" si="14"/>
        <v>Perempuan</v>
      </c>
      <c r="F746" s="25" t="s">
        <v>1807</v>
      </c>
      <c r="G746" s="25" t="s">
        <v>2350</v>
      </c>
      <c r="H746" s="19" t="s">
        <v>2355</v>
      </c>
      <c r="I746" s="28" t="s">
        <v>2356</v>
      </c>
      <c r="J746" s="32" t="s">
        <v>486</v>
      </c>
      <c r="K746" s="28" t="s">
        <v>1243</v>
      </c>
      <c r="L746" s="86" t="s">
        <v>72</v>
      </c>
      <c r="M746" s="15">
        <v>2025</v>
      </c>
      <c r="N746" s="15" t="s">
        <v>462</v>
      </c>
      <c r="O746" s="15">
        <v>2027</v>
      </c>
      <c r="P746" s="15">
        <v>2025</v>
      </c>
      <c r="Q746" s="15"/>
      <c r="R746" s="16"/>
      <c r="S746" s="16" t="str">
        <f ca="1">IF(
  O746 &lt; YEAR(TODAY()),
  "LULUS",
  IF(
    O746 = YEAR(TODAY()),
    IF(
      MATCH(L746, {"Januari";"Februari";"Maret";"April";"Mei";"Juni";"Juli";"Agustus";"September";"Oktober";"November";"Desember"}, 0)
        &gt;= MONTH(TODAY()),
      "AKTIF (Semester " &amp;
        (INT((12*(YEAR(TODAY())-M746) + MONTH(TODAY()) -
          MATCH(L746, {"Januari";"Februari";"Maret";"April";"Mei";"Juni";"Juli";"Agustus";"September";"Oktober";"November";"Desember"}, 0)) / 6) + 1) &amp; ")",
      "LULUS"
    ),
    "AKTIF (Semester " &amp;
      (INT((12*(YEAR(TODAY())-M746) + MONTH(TODAY()) -
        MATCH(L746, {"Januari";"Februari";"Maret";"April";"Mei";"Juni";"Juli";"Agustus";"September";"Oktober";"November";"Desember"}, 0)) / 6) + 1) &amp; ")"
  )
)</f>
        <v>AKTIF (Semester 2)</v>
      </c>
      <c r="T746" s="16" t="str">
        <f ca="1">IF(O746 &lt; YEAR(TODAY()), "LULUS",
 IF(O746 = YEAR(TODAY()),
    IF(MATCH(N746, {"Januari";"Februari";"Maret";"April";"Mei";"Juni";"Juli";"Agustus";"September";"Oktober";"November";"Desember"},0)
        &lt;= MONTH(TODAY()),
        "LULUS",
        "AKTIF"),
 "AKTIF"))</f>
        <v>AKTIF</v>
      </c>
      <c r="U746" s="16" t="s">
        <v>2945</v>
      </c>
      <c r="V746" s="15"/>
      <c r="W746" s="15"/>
      <c r="X746" s="15"/>
      <c r="Y746" s="15"/>
      <c r="Z746" s="15"/>
    </row>
    <row r="747" spans="1:26" ht="29" customHeight="1" x14ac:dyDescent="0.35">
      <c r="A747" s="12">
        <v>746</v>
      </c>
      <c r="B747" s="25" t="s">
        <v>2357</v>
      </c>
      <c r="C747" s="26" t="s">
        <v>2358</v>
      </c>
      <c r="D747" s="25" t="s">
        <v>211</v>
      </c>
      <c r="E747" s="14" t="str">
        <f t="shared" si="14"/>
        <v>Perempuan</v>
      </c>
      <c r="F747" s="25" t="s">
        <v>1807</v>
      </c>
      <c r="G747" s="25" t="s">
        <v>2350</v>
      </c>
      <c r="H747" s="19" t="s">
        <v>2355</v>
      </c>
      <c r="I747" s="28" t="s">
        <v>2356</v>
      </c>
      <c r="J747" s="32" t="s">
        <v>486</v>
      </c>
      <c r="K747" s="28" t="s">
        <v>1243</v>
      </c>
      <c r="L747" s="86" t="s">
        <v>72</v>
      </c>
      <c r="M747" s="15">
        <v>2025</v>
      </c>
      <c r="N747" s="15" t="s">
        <v>462</v>
      </c>
      <c r="O747" s="15">
        <v>2027</v>
      </c>
      <c r="P747" s="15">
        <v>2025</v>
      </c>
      <c r="Q747" s="15"/>
      <c r="R747" s="16"/>
      <c r="S747" s="16" t="str">
        <f ca="1">IF(
  O747 &lt; YEAR(TODAY()),
  "LULUS",
  IF(
    O747 = YEAR(TODAY()),
    IF(
      MATCH(L747, {"Januari";"Februari";"Maret";"April";"Mei";"Juni";"Juli";"Agustus";"September";"Oktober";"November";"Desember"}, 0)
        &gt;= MONTH(TODAY()),
      "AKTIF (Semester " &amp;
        (INT((12*(YEAR(TODAY())-M747) + MONTH(TODAY()) -
          MATCH(L747, {"Januari";"Februari";"Maret";"April";"Mei";"Juni";"Juli";"Agustus";"September";"Oktober";"November";"Desember"}, 0)) / 6) + 1) &amp; ")",
      "LULUS"
    ),
    "AKTIF (Semester " &amp;
      (INT((12*(YEAR(TODAY())-M747) + MONTH(TODAY()) -
        MATCH(L747, {"Januari";"Februari";"Maret";"April";"Mei";"Juni";"Juli";"Agustus";"September";"Oktober";"November";"Desember"}, 0)) / 6) + 1) &amp; ")"
  )
)</f>
        <v>AKTIF (Semester 2)</v>
      </c>
      <c r="T747" s="16" t="str">
        <f ca="1">IF(O747 &lt; YEAR(TODAY()), "LULUS",
 IF(O747 = YEAR(TODAY()),
    IF(MATCH(N747, {"Januari";"Februari";"Maret";"April";"Mei";"Juni";"Juli";"Agustus";"September";"Oktober";"November";"Desember"},0)
        &lt;= MONTH(TODAY()),
        "LULUS",
        "AKTIF"),
 "AKTIF"))</f>
        <v>AKTIF</v>
      </c>
      <c r="U747" s="16" t="s">
        <v>2945</v>
      </c>
      <c r="V747" s="15"/>
      <c r="W747" s="15"/>
      <c r="X747" s="15"/>
      <c r="Y747" s="15"/>
      <c r="Z747" s="15"/>
    </row>
    <row r="748" spans="1:26" ht="29" customHeight="1" x14ac:dyDescent="0.35">
      <c r="A748" s="12">
        <v>747</v>
      </c>
      <c r="B748" s="25" t="s">
        <v>2359</v>
      </c>
      <c r="C748" s="26" t="s">
        <v>2360</v>
      </c>
      <c r="D748" s="25" t="s">
        <v>188</v>
      </c>
      <c r="E748" s="14" t="str">
        <f t="shared" si="14"/>
        <v>Laki-Laki</v>
      </c>
      <c r="F748" s="25" t="s">
        <v>1807</v>
      </c>
      <c r="G748" s="25" t="s">
        <v>2350</v>
      </c>
      <c r="H748" s="19" t="s">
        <v>2355</v>
      </c>
      <c r="I748" s="19" t="s">
        <v>90</v>
      </c>
      <c r="J748" s="32" t="s">
        <v>486</v>
      </c>
      <c r="K748" s="28" t="s">
        <v>394</v>
      </c>
      <c r="L748" s="70" t="s">
        <v>35</v>
      </c>
      <c r="M748" s="15">
        <v>2025</v>
      </c>
      <c r="N748" s="15" t="s">
        <v>123</v>
      </c>
      <c r="O748" s="15">
        <v>2027</v>
      </c>
      <c r="P748" s="15">
        <v>2025</v>
      </c>
      <c r="Q748" s="15"/>
      <c r="R748" s="16"/>
      <c r="S748" s="16" t="str">
        <f ca="1">IF(
  O748 &lt; YEAR(TODAY()),
  "LULUS",
  IF(
    O748 = YEAR(TODAY()),
    IF(
      MATCH(L748, {"Januari";"Februari";"Maret";"April";"Mei";"Juni";"Juli";"Agustus";"September";"Oktober";"November";"Desember"}, 0)
        &gt;= MONTH(TODAY()),
      "AKTIF (Semester " &amp;
        (INT((12*(YEAR(TODAY())-M748) + MONTH(TODAY()) -
          MATCH(L748, {"Januari";"Februari";"Maret";"April";"Mei";"Juni";"Juli";"Agustus";"September";"Oktober";"November";"Desember"}, 0)) / 6) + 1) &amp; ")",
      "LULUS"
    ),
    "AKTIF (Semester " &amp;
      (INT((12*(YEAR(TODAY())-M748) + MONTH(TODAY()) -
        MATCH(L748, {"Januari";"Februari";"Maret";"April";"Mei";"Juni";"Juli";"Agustus";"September";"Oktober";"November";"Desember"}, 0)) / 6) + 1) &amp; ")"
  )
)</f>
        <v>AKTIF (Semester 2)</v>
      </c>
      <c r="T748" s="16" t="str">
        <f ca="1">IF(O748 &lt; YEAR(TODAY()), "LULUS",
 IF(O748 = YEAR(TODAY()),
    IF(MATCH(N748, {"Januari";"Februari";"Maret";"April";"Mei";"Juni";"Juli";"Agustus";"September";"Oktober";"November";"Desember"},0)
        &lt;= MONTH(TODAY()),
        "LULUS",
        "AKTIF"),
 "AKTIF"))</f>
        <v>AKTIF</v>
      </c>
      <c r="U748" s="16" t="s">
        <v>2945</v>
      </c>
      <c r="V748" s="15"/>
      <c r="W748" s="15"/>
      <c r="X748" s="15"/>
      <c r="Y748" s="15"/>
      <c r="Z748" s="15"/>
    </row>
    <row r="749" spans="1:26" ht="29" customHeight="1" x14ac:dyDescent="0.35">
      <c r="A749" s="12">
        <v>748</v>
      </c>
      <c r="B749" s="25" t="s">
        <v>2361</v>
      </c>
      <c r="C749" s="26" t="s">
        <v>2362</v>
      </c>
      <c r="D749" s="25" t="s">
        <v>188</v>
      </c>
      <c r="E749" s="14" t="str">
        <f t="shared" si="14"/>
        <v>Laki-Laki</v>
      </c>
      <c r="F749" s="25" t="s">
        <v>1807</v>
      </c>
      <c r="G749" s="25" t="s">
        <v>2350</v>
      </c>
      <c r="H749" s="19" t="s">
        <v>2355</v>
      </c>
      <c r="I749" s="19" t="s">
        <v>90</v>
      </c>
      <c r="J749" s="32" t="s">
        <v>486</v>
      </c>
      <c r="K749" s="28" t="s">
        <v>394</v>
      </c>
      <c r="L749" s="70" t="s">
        <v>35</v>
      </c>
      <c r="M749" s="15">
        <v>2025</v>
      </c>
      <c r="N749" s="15" t="s">
        <v>123</v>
      </c>
      <c r="O749" s="15">
        <v>2027</v>
      </c>
      <c r="P749" s="15">
        <v>2025</v>
      </c>
      <c r="Q749" s="15"/>
      <c r="R749" s="16"/>
      <c r="S749" s="16" t="str">
        <f ca="1">IF(
  O749 &lt; YEAR(TODAY()),
  "LULUS",
  IF(
    O749 = YEAR(TODAY()),
    IF(
      MATCH(L749, {"Januari";"Februari";"Maret";"April";"Mei";"Juni";"Juli";"Agustus";"September";"Oktober";"November";"Desember"}, 0)
        &gt;= MONTH(TODAY()),
      "AKTIF (Semester " &amp;
        (INT((12*(YEAR(TODAY())-M749) + MONTH(TODAY()) -
          MATCH(L749, {"Januari";"Februari";"Maret";"April";"Mei";"Juni";"Juli";"Agustus";"September";"Oktober";"November";"Desember"}, 0)) / 6) + 1) &amp; ")",
      "LULUS"
    ),
    "AKTIF (Semester " &amp;
      (INT((12*(YEAR(TODAY())-M749) + MONTH(TODAY()) -
        MATCH(L749, {"Januari";"Februari";"Maret";"April";"Mei";"Juni";"Juli";"Agustus";"September";"Oktober";"November";"Desember"}, 0)) / 6) + 1) &amp; ")"
  )
)</f>
        <v>AKTIF (Semester 2)</v>
      </c>
      <c r="T749" s="16" t="str">
        <f ca="1">IF(O749 &lt; YEAR(TODAY()), "LULUS",
 IF(O749 = YEAR(TODAY()),
    IF(MATCH(N749, {"Januari";"Februari";"Maret";"April";"Mei";"Juni";"Juli";"Agustus";"September";"Oktober";"November";"Desember"},0)
        &lt;= MONTH(TODAY()),
        "LULUS",
        "AKTIF"),
 "AKTIF"))</f>
        <v>AKTIF</v>
      </c>
      <c r="U749" s="16" t="s">
        <v>2945</v>
      </c>
      <c r="V749" s="15"/>
      <c r="W749" s="15"/>
      <c r="X749" s="15"/>
      <c r="Y749" s="15"/>
      <c r="Z749" s="15"/>
    </row>
    <row r="750" spans="1:26" ht="29" customHeight="1" x14ac:dyDescent="0.35">
      <c r="A750" s="12">
        <v>749</v>
      </c>
      <c r="B750" s="25" t="s">
        <v>2363</v>
      </c>
      <c r="C750" s="26" t="s">
        <v>2364</v>
      </c>
      <c r="D750" s="25" t="s">
        <v>188</v>
      </c>
      <c r="E750" s="14" t="str">
        <f t="shared" si="14"/>
        <v>Laki-Laki</v>
      </c>
      <c r="F750" s="25" t="s">
        <v>1807</v>
      </c>
      <c r="G750" s="25" t="s">
        <v>2350</v>
      </c>
      <c r="H750" s="19" t="s">
        <v>2355</v>
      </c>
      <c r="I750" s="19" t="s">
        <v>90</v>
      </c>
      <c r="J750" s="32" t="s">
        <v>486</v>
      </c>
      <c r="K750" s="28" t="s">
        <v>394</v>
      </c>
      <c r="L750" s="70" t="s">
        <v>35</v>
      </c>
      <c r="M750" s="15">
        <v>2025</v>
      </c>
      <c r="N750" s="15" t="s">
        <v>123</v>
      </c>
      <c r="O750" s="15">
        <v>2027</v>
      </c>
      <c r="P750" s="15">
        <v>2025</v>
      </c>
      <c r="Q750" s="15"/>
      <c r="R750" s="16"/>
      <c r="S750" s="16" t="str">
        <f ca="1">IF(
  O750 &lt; YEAR(TODAY()),
  "LULUS",
  IF(
    O750 = YEAR(TODAY()),
    IF(
      MATCH(L750, {"Januari";"Februari";"Maret";"April";"Mei";"Juni";"Juli";"Agustus";"September";"Oktober";"November";"Desember"}, 0)
        &gt;= MONTH(TODAY()),
      "AKTIF (Semester " &amp;
        (INT((12*(YEAR(TODAY())-M750) + MONTH(TODAY()) -
          MATCH(L750, {"Januari";"Februari";"Maret";"April";"Mei";"Juni";"Juli";"Agustus";"September";"Oktober";"November";"Desember"}, 0)) / 6) + 1) &amp; ")",
      "LULUS"
    ),
    "AKTIF (Semester " &amp;
      (INT((12*(YEAR(TODAY())-M750) + MONTH(TODAY()) -
        MATCH(L750, {"Januari";"Februari";"Maret";"April";"Mei";"Juni";"Juli";"Agustus";"September";"Oktober";"November";"Desember"}, 0)) / 6) + 1) &amp; ")"
  )
)</f>
        <v>AKTIF (Semester 2)</v>
      </c>
      <c r="T750" s="16" t="str">
        <f ca="1">IF(O750 &lt; YEAR(TODAY()), "LULUS",
 IF(O750 = YEAR(TODAY()),
    IF(MATCH(N750, {"Januari";"Februari";"Maret";"April";"Mei";"Juni";"Juli";"Agustus";"September";"Oktober";"November";"Desember"},0)
        &lt;= MONTH(TODAY()),
        "LULUS",
        "AKTIF"),
 "AKTIF"))</f>
        <v>AKTIF</v>
      </c>
      <c r="U750" s="16" t="s">
        <v>2945</v>
      </c>
      <c r="V750" s="15"/>
      <c r="W750" s="15"/>
      <c r="X750" s="15"/>
      <c r="Y750" s="15"/>
      <c r="Z750" s="15"/>
    </row>
    <row r="751" spans="1:26" ht="29" customHeight="1" x14ac:dyDescent="0.35">
      <c r="A751" s="12">
        <v>750</v>
      </c>
      <c r="B751" s="25" t="s">
        <v>2365</v>
      </c>
      <c r="C751" s="26" t="s">
        <v>2366</v>
      </c>
      <c r="D751" s="25" t="s">
        <v>188</v>
      </c>
      <c r="E751" s="14" t="str">
        <f t="shared" si="14"/>
        <v>Perempuan</v>
      </c>
      <c r="F751" s="25" t="s">
        <v>1807</v>
      </c>
      <c r="G751" s="25" t="s">
        <v>2350</v>
      </c>
      <c r="H751" s="19" t="s">
        <v>2355</v>
      </c>
      <c r="I751" s="19" t="s">
        <v>90</v>
      </c>
      <c r="J751" s="32" t="s">
        <v>486</v>
      </c>
      <c r="K751" s="28" t="s">
        <v>394</v>
      </c>
      <c r="L751" s="70" t="s">
        <v>35</v>
      </c>
      <c r="M751" s="15">
        <v>2025</v>
      </c>
      <c r="N751" s="15" t="s">
        <v>123</v>
      </c>
      <c r="O751" s="15">
        <v>2027</v>
      </c>
      <c r="P751" s="15">
        <v>2025</v>
      </c>
      <c r="Q751" s="15"/>
      <c r="R751" s="16"/>
      <c r="S751" s="16" t="str">
        <f ca="1">IF(
  O751 &lt; YEAR(TODAY()),
  "LULUS",
  IF(
    O751 = YEAR(TODAY()),
    IF(
      MATCH(L751, {"Januari";"Februari";"Maret";"April";"Mei";"Juni";"Juli";"Agustus";"September";"Oktober";"November";"Desember"}, 0)
        &gt;= MONTH(TODAY()),
      "AKTIF (Semester " &amp;
        (INT((12*(YEAR(TODAY())-M751) + MONTH(TODAY()) -
          MATCH(L751, {"Januari";"Februari";"Maret";"April";"Mei";"Juni";"Juli";"Agustus";"September";"Oktober";"November";"Desember"}, 0)) / 6) + 1) &amp; ")",
      "LULUS"
    ),
    "AKTIF (Semester " &amp;
      (INT((12*(YEAR(TODAY())-M751) + MONTH(TODAY()) -
        MATCH(L751, {"Januari";"Februari";"Maret";"April";"Mei";"Juni";"Juli";"Agustus";"September";"Oktober";"November";"Desember"}, 0)) / 6) + 1) &amp; ")"
  )
)</f>
        <v>AKTIF (Semester 2)</v>
      </c>
      <c r="T751" s="16" t="str">
        <f ca="1">IF(O751 &lt; YEAR(TODAY()), "LULUS",
 IF(O751 = YEAR(TODAY()),
    IF(MATCH(N751, {"Januari";"Februari";"Maret";"April";"Mei";"Juni";"Juli";"Agustus";"September";"Oktober";"November";"Desember"},0)
        &lt;= MONTH(TODAY()),
        "LULUS",
        "AKTIF"),
 "AKTIF"))</f>
        <v>AKTIF</v>
      </c>
      <c r="U751" s="16" t="s">
        <v>2945</v>
      </c>
      <c r="V751" s="15"/>
      <c r="W751" s="15"/>
      <c r="X751" s="15"/>
      <c r="Y751" s="15"/>
      <c r="Z751" s="15"/>
    </row>
    <row r="752" spans="1:26" ht="29" customHeight="1" x14ac:dyDescent="0.35">
      <c r="A752" s="12">
        <v>751</v>
      </c>
      <c r="B752" s="25" t="s">
        <v>2367</v>
      </c>
      <c r="C752" s="26" t="s">
        <v>2368</v>
      </c>
      <c r="D752" s="25" t="s">
        <v>188</v>
      </c>
      <c r="E752" s="14" t="str">
        <f t="shared" si="14"/>
        <v>Perempuan</v>
      </c>
      <c r="F752" s="25" t="s">
        <v>1807</v>
      </c>
      <c r="G752" s="25" t="s">
        <v>2350</v>
      </c>
      <c r="H752" s="19" t="s">
        <v>2355</v>
      </c>
      <c r="I752" s="19" t="s">
        <v>90</v>
      </c>
      <c r="J752" s="32" t="s">
        <v>486</v>
      </c>
      <c r="K752" s="28" t="s">
        <v>394</v>
      </c>
      <c r="L752" s="70" t="s">
        <v>35</v>
      </c>
      <c r="M752" s="15">
        <v>2025</v>
      </c>
      <c r="N752" s="15" t="s">
        <v>123</v>
      </c>
      <c r="O752" s="15">
        <v>2027</v>
      </c>
      <c r="P752" s="15">
        <v>2025</v>
      </c>
      <c r="Q752" s="15"/>
      <c r="R752" s="16"/>
      <c r="S752" s="16" t="str">
        <f ca="1">IF(
  O752 &lt; YEAR(TODAY()),
  "LULUS",
  IF(
    O752 = YEAR(TODAY()),
    IF(
      MATCH(L752, {"Januari";"Februari";"Maret";"April";"Mei";"Juni";"Juli";"Agustus";"September";"Oktober";"November";"Desember"}, 0)
        &gt;= MONTH(TODAY()),
      "AKTIF (Semester " &amp;
        (INT((12*(YEAR(TODAY())-M752) + MONTH(TODAY()) -
          MATCH(L752, {"Januari";"Februari";"Maret";"April";"Mei";"Juni";"Juli";"Agustus";"September";"Oktober";"November";"Desember"}, 0)) / 6) + 1) &amp; ")",
      "LULUS"
    ),
    "AKTIF (Semester " &amp;
      (INT((12*(YEAR(TODAY())-M752) + MONTH(TODAY()) -
        MATCH(L752, {"Januari";"Februari";"Maret";"April";"Mei";"Juni";"Juli";"Agustus";"September";"Oktober";"November";"Desember"}, 0)) / 6) + 1) &amp; ")"
  )
)</f>
        <v>AKTIF (Semester 2)</v>
      </c>
      <c r="T752" s="16" t="str">
        <f ca="1">IF(O752 &lt; YEAR(TODAY()), "LULUS",
 IF(O752 = YEAR(TODAY()),
    IF(MATCH(N752, {"Januari";"Februari";"Maret";"April";"Mei";"Juni";"Juli";"Agustus";"September";"Oktober";"November";"Desember"},0)
        &lt;= MONTH(TODAY()),
        "LULUS",
        "AKTIF"),
 "AKTIF"))</f>
        <v>AKTIF</v>
      </c>
      <c r="U752" s="16" t="s">
        <v>2945</v>
      </c>
      <c r="V752" s="15"/>
      <c r="W752" s="15"/>
      <c r="X752" s="15"/>
      <c r="Y752" s="15"/>
      <c r="Z752" s="15"/>
    </row>
    <row r="753" spans="1:26" ht="29" customHeight="1" x14ac:dyDescent="0.35">
      <c r="A753" s="12">
        <v>752</v>
      </c>
      <c r="B753" s="25" t="s">
        <v>2369</v>
      </c>
      <c r="C753" s="26" t="s">
        <v>2370</v>
      </c>
      <c r="D753" s="25" t="s">
        <v>188</v>
      </c>
      <c r="E753" s="14" t="str">
        <f t="shared" si="14"/>
        <v>Perempuan</v>
      </c>
      <c r="F753" s="25" t="s">
        <v>1807</v>
      </c>
      <c r="G753" s="25" t="s">
        <v>2350</v>
      </c>
      <c r="H753" s="19" t="s">
        <v>2355</v>
      </c>
      <c r="I753" s="19" t="s">
        <v>90</v>
      </c>
      <c r="J753" s="32" t="s">
        <v>486</v>
      </c>
      <c r="K753" s="28" t="s">
        <v>394</v>
      </c>
      <c r="L753" s="70" t="s">
        <v>35</v>
      </c>
      <c r="M753" s="15">
        <v>2025</v>
      </c>
      <c r="N753" s="15" t="s">
        <v>123</v>
      </c>
      <c r="O753" s="15">
        <v>2027</v>
      </c>
      <c r="P753" s="15">
        <v>2025</v>
      </c>
      <c r="Q753" s="15"/>
      <c r="R753" s="16"/>
      <c r="S753" s="16" t="str">
        <f ca="1">IF(
  O753 &lt; YEAR(TODAY()),
  "LULUS",
  IF(
    O753 = YEAR(TODAY()),
    IF(
      MATCH(L753, {"Januari";"Februari";"Maret";"April";"Mei";"Juni";"Juli";"Agustus";"September";"Oktober";"November";"Desember"}, 0)
        &gt;= MONTH(TODAY()),
      "AKTIF (Semester " &amp;
        (INT((12*(YEAR(TODAY())-M753) + MONTH(TODAY()) -
          MATCH(L753, {"Januari";"Februari";"Maret";"April";"Mei";"Juni";"Juli";"Agustus";"September";"Oktober";"November";"Desember"}, 0)) / 6) + 1) &amp; ")",
      "LULUS"
    ),
    "AKTIF (Semester " &amp;
      (INT((12*(YEAR(TODAY())-M753) + MONTH(TODAY()) -
        MATCH(L753, {"Januari";"Februari";"Maret";"April";"Mei";"Juni";"Juli";"Agustus";"September";"Oktober";"November";"Desember"}, 0)) / 6) + 1) &amp; ")"
  )
)</f>
        <v>AKTIF (Semester 2)</v>
      </c>
      <c r="T753" s="16" t="str">
        <f ca="1">IF(O753 &lt; YEAR(TODAY()), "LULUS",
 IF(O753 = YEAR(TODAY()),
    IF(MATCH(N753, {"Januari";"Februari";"Maret";"April";"Mei";"Juni";"Juli";"Agustus";"September";"Oktober";"November";"Desember"},0)
        &lt;= MONTH(TODAY()),
        "LULUS",
        "AKTIF"),
 "AKTIF"))</f>
        <v>AKTIF</v>
      </c>
      <c r="U753" s="16" t="s">
        <v>2945</v>
      </c>
      <c r="V753" s="15"/>
      <c r="W753" s="15"/>
      <c r="X753" s="15"/>
      <c r="Y753" s="15"/>
      <c r="Z753" s="15"/>
    </row>
    <row r="754" spans="1:26" ht="29" customHeight="1" x14ac:dyDescent="0.35">
      <c r="A754" s="12">
        <v>753</v>
      </c>
      <c r="B754" s="25" t="s">
        <v>2371</v>
      </c>
      <c r="C754" s="26" t="s">
        <v>2372</v>
      </c>
      <c r="D754" s="25" t="s">
        <v>188</v>
      </c>
      <c r="E754" s="14" t="str">
        <f t="shared" si="14"/>
        <v>Perempuan</v>
      </c>
      <c r="F754" s="25" t="s">
        <v>1807</v>
      </c>
      <c r="G754" s="25" t="s">
        <v>2350</v>
      </c>
      <c r="H754" s="19" t="s">
        <v>2355</v>
      </c>
      <c r="I754" s="19" t="s">
        <v>90</v>
      </c>
      <c r="J754" s="32" t="s">
        <v>486</v>
      </c>
      <c r="K754" s="28" t="s">
        <v>394</v>
      </c>
      <c r="L754" s="70" t="s">
        <v>35</v>
      </c>
      <c r="M754" s="15">
        <v>2025</v>
      </c>
      <c r="N754" s="15" t="s">
        <v>123</v>
      </c>
      <c r="O754" s="15">
        <v>2027</v>
      </c>
      <c r="P754" s="15">
        <v>2025</v>
      </c>
      <c r="Q754" s="15"/>
      <c r="R754" s="16"/>
      <c r="S754" s="16" t="str">
        <f ca="1">IF(
  O754 &lt; YEAR(TODAY()),
  "LULUS",
  IF(
    O754 = YEAR(TODAY()),
    IF(
      MATCH(L754, {"Januari";"Februari";"Maret";"April";"Mei";"Juni";"Juli";"Agustus";"September";"Oktober";"November";"Desember"}, 0)
        &gt;= MONTH(TODAY()),
      "AKTIF (Semester " &amp;
        (INT((12*(YEAR(TODAY())-M754) + MONTH(TODAY()) -
          MATCH(L754, {"Januari";"Februari";"Maret";"April";"Mei";"Juni";"Juli";"Agustus";"September";"Oktober";"November";"Desember"}, 0)) / 6) + 1) &amp; ")",
      "LULUS"
    ),
    "AKTIF (Semester " &amp;
      (INT((12*(YEAR(TODAY())-M754) + MONTH(TODAY()) -
        MATCH(L754, {"Januari";"Februari";"Maret";"April";"Mei";"Juni";"Juli";"Agustus";"September";"Oktober";"November";"Desember"}, 0)) / 6) + 1) &amp; ")"
  )
)</f>
        <v>AKTIF (Semester 2)</v>
      </c>
      <c r="T754" s="16" t="str">
        <f ca="1">IF(O754 &lt; YEAR(TODAY()), "LULUS",
 IF(O754 = YEAR(TODAY()),
    IF(MATCH(N754, {"Januari";"Februari";"Maret";"April";"Mei";"Juni";"Juli";"Agustus";"September";"Oktober";"November";"Desember"},0)
        &lt;= MONTH(TODAY()),
        "LULUS",
        "AKTIF"),
 "AKTIF"))</f>
        <v>AKTIF</v>
      </c>
      <c r="U754" s="16" t="s">
        <v>2945</v>
      </c>
      <c r="V754" s="15"/>
      <c r="W754" s="15"/>
      <c r="X754" s="15"/>
      <c r="Y754" s="15"/>
      <c r="Z754" s="15"/>
    </row>
    <row r="755" spans="1:26" ht="29" customHeight="1" x14ac:dyDescent="0.35">
      <c r="A755" s="12">
        <v>754</v>
      </c>
      <c r="B755" s="25" t="s">
        <v>2373</v>
      </c>
      <c r="C755" s="26" t="s">
        <v>2374</v>
      </c>
      <c r="D755" s="25" t="s">
        <v>188</v>
      </c>
      <c r="E755" s="14" t="str">
        <f t="shared" si="14"/>
        <v>Laki-Laki</v>
      </c>
      <c r="F755" s="25" t="s">
        <v>1807</v>
      </c>
      <c r="G755" s="25" t="s">
        <v>2350</v>
      </c>
      <c r="H755" s="19" t="s">
        <v>2355</v>
      </c>
      <c r="I755" s="19" t="s">
        <v>90</v>
      </c>
      <c r="J755" s="32" t="s">
        <v>486</v>
      </c>
      <c r="K755" s="28" t="s">
        <v>394</v>
      </c>
      <c r="L755" s="86" t="s">
        <v>169</v>
      </c>
      <c r="M755" s="15">
        <v>2024</v>
      </c>
      <c r="N755" s="15" t="s">
        <v>446</v>
      </c>
      <c r="O755" s="15">
        <v>2027</v>
      </c>
      <c r="P755" s="15">
        <v>2025</v>
      </c>
      <c r="Q755" s="15"/>
      <c r="R755" s="16"/>
      <c r="S755" s="16" t="str">
        <f ca="1">IF(
  O755 &lt; YEAR(TODAY()),
  "LULUS",
  IF(
    O755 = YEAR(TODAY()),
    IF(
      MATCH(L755, {"Januari";"Februari";"Maret";"April";"Mei";"Juni";"Juli";"Agustus";"September";"Oktober";"November";"Desember"}, 0)
        &gt;= MONTH(TODAY()),
      "AKTIF (Semester " &amp;
        (INT((12*(YEAR(TODAY())-M755) + MONTH(TODAY()) -
          MATCH(L755, {"Januari";"Februari";"Maret";"April";"Mei";"Juni";"Juli";"Agustus";"September";"Oktober";"November";"Desember"}, 0)) / 6) + 1) &amp; ")",
      "LULUS"
    ),
    "AKTIF (Semester " &amp;
      (INT((12*(YEAR(TODAY())-M755) + MONTH(TODAY()) -
        MATCH(L755, {"Januari";"Februari";"Maret";"April";"Mei";"Juni";"Juli";"Agustus";"September";"Oktober";"November";"Desember"}, 0)) / 6) + 1) &amp; ")"
  )
)</f>
        <v>AKTIF (Semester 3)</v>
      </c>
      <c r="T755" s="16" t="str">
        <f ca="1">IF(O755 &lt; YEAR(TODAY()), "LULUS",
 IF(O755 = YEAR(TODAY()),
    IF(MATCH(N755, {"Januari";"Februari";"Maret";"April";"Mei";"Juni";"Juli";"Agustus";"September";"Oktober";"November";"Desember"},0)
        &lt;= MONTH(TODAY()),
        "LULUS",
        "AKTIF"),
 "AKTIF"))</f>
        <v>AKTIF</v>
      </c>
      <c r="U755" s="16" t="s">
        <v>2940</v>
      </c>
      <c r="V755" s="15"/>
      <c r="W755" s="15"/>
      <c r="X755" s="15"/>
      <c r="Y755" s="15"/>
      <c r="Z755" s="15"/>
    </row>
    <row r="756" spans="1:26" ht="29" customHeight="1" x14ac:dyDescent="0.35">
      <c r="A756" s="12">
        <v>755</v>
      </c>
      <c r="B756" s="25" t="s">
        <v>2375</v>
      </c>
      <c r="C756" s="26" t="s">
        <v>2376</v>
      </c>
      <c r="D756" s="25" t="s">
        <v>188</v>
      </c>
      <c r="E756" s="14" t="str">
        <f t="shared" si="14"/>
        <v>Laki-Laki</v>
      </c>
      <c r="F756" s="33" t="s">
        <v>2377</v>
      </c>
      <c r="G756" s="25" t="s">
        <v>2350</v>
      </c>
      <c r="H756" s="19" t="s">
        <v>2149</v>
      </c>
      <c r="I756" s="19" t="s">
        <v>90</v>
      </c>
      <c r="J756" s="32" t="s">
        <v>486</v>
      </c>
      <c r="K756" s="28" t="s">
        <v>394</v>
      </c>
      <c r="L756" s="70" t="s">
        <v>35</v>
      </c>
      <c r="M756" s="15">
        <v>2025</v>
      </c>
      <c r="N756" s="15" t="s">
        <v>123</v>
      </c>
      <c r="O756" s="15">
        <v>2027</v>
      </c>
      <c r="P756" s="15">
        <v>2025</v>
      </c>
      <c r="Q756" s="15"/>
      <c r="R756" s="16"/>
      <c r="S756" s="16" t="str">
        <f ca="1">IF(
  O756 &lt; YEAR(TODAY()),
  "LULUS",
  IF(
    O756 = YEAR(TODAY()),
    IF(
      MATCH(L756, {"Januari";"Februari";"Maret";"April";"Mei";"Juni";"Juli";"Agustus";"September";"Oktober";"November";"Desember"}, 0)
        &gt;= MONTH(TODAY()),
      "AKTIF (Semester " &amp;
        (INT((12*(YEAR(TODAY())-M756) + MONTH(TODAY()) -
          MATCH(L756, {"Januari";"Februari";"Maret";"April";"Mei";"Juni";"Juli";"Agustus";"September";"Oktober";"November";"Desember"}, 0)) / 6) + 1) &amp; ")",
      "LULUS"
    ),
    "AKTIF (Semester " &amp;
      (INT((12*(YEAR(TODAY())-M756) + MONTH(TODAY()) -
        MATCH(L756, {"Januari";"Februari";"Maret";"April";"Mei";"Juni";"Juli";"Agustus";"September";"Oktober";"November";"Desember"}, 0)) / 6) + 1) &amp; ")"
  )
)</f>
        <v>AKTIF (Semester 2)</v>
      </c>
      <c r="T756" s="16" t="str">
        <f ca="1">IF(O756 &lt; YEAR(TODAY()), "LULUS",
 IF(O756 = YEAR(TODAY()),
    IF(MATCH(N756, {"Januari";"Februari";"Maret";"April";"Mei";"Juni";"Juli";"Agustus";"September";"Oktober";"November";"Desember"},0)
        &lt;= MONTH(TODAY()),
        "LULUS",
        "AKTIF"),
 "AKTIF"))</f>
        <v>AKTIF</v>
      </c>
      <c r="U756" s="16" t="s">
        <v>2945</v>
      </c>
      <c r="V756" s="15"/>
      <c r="W756" s="15"/>
      <c r="X756" s="15"/>
      <c r="Y756" s="15"/>
      <c r="Z756" s="15"/>
    </row>
    <row r="757" spans="1:26" ht="29" customHeight="1" x14ac:dyDescent="0.35">
      <c r="A757" s="12">
        <v>756</v>
      </c>
      <c r="B757" s="25" t="s">
        <v>2378</v>
      </c>
      <c r="C757" s="26" t="s">
        <v>2379</v>
      </c>
      <c r="D757" s="25" t="s">
        <v>188</v>
      </c>
      <c r="E757" s="14" t="str">
        <f t="shared" si="14"/>
        <v>Laki-Laki</v>
      </c>
      <c r="F757" s="33" t="s">
        <v>2377</v>
      </c>
      <c r="G757" s="25" t="s">
        <v>2350</v>
      </c>
      <c r="H757" s="19" t="s">
        <v>2149</v>
      </c>
      <c r="I757" s="19" t="s">
        <v>90</v>
      </c>
      <c r="J757" s="32" t="s">
        <v>486</v>
      </c>
      <c r="K757" s="28" t="s">
        <v>394</v>
      </c>
      <c r="L757" s="70" t="s">
        <v>35</v>
      </c>
      <c r="M757" s="15">
        <v>2025</v>
      </c>
      <c r="N757" s="15" t="s">
        <v>123</v>
      </c>
      <c r="O757" s="15">
        <v>2027</v>
      </c>
      <c r="P757" s="15">
        <v>2025</v>
      </c>
      <c r="Q757" s="15"/>
      <c r="R757" s="16"/>
      <c r="S757" s="16" t="str">
        <f ca="1">IF(
  O757 &lt; YEAR(TODAY()),
  "LULUS",
  IF(
    O757 = YEAR(TODAY()),
    IF(
      MATCH(L757, {"Januari";"Februari";"Maret";"April";"Mei";"Juni";"Juli";"Agustus";"September";"Oktober";"November";"Desember"}, 0)
        &gt;= MONTH(TODAY()),
      "AKTIF (Semester " &amp;
        (INT((12*(YEAR(TODAY())-M757) + MONTH(TODAY()) -
          MATCH(L757, {"Januari";"Februari";"Maret";"April";"Mei";"Juni";"Juli";"Agustus";"September";"Oktober";"November";"Desember"}, 0)) / 6) + 1) &amp; ")",
      "LULUS"
    ),
    "AKTIF (Semester " &amp;
      (INT((12*(YEAR(TODAY())-M757) + MONTH(TODAY()) -
        MATCH(L757, {"Januari";"Februari";"Maret";"April";"Mei";"Juni";"Juli";"Agustus";"September";"Oktober";"November";"Desember"}, 0)) / 6) + 1) &amp; ")"
  )
)</f>
        <v>AKTIF (Semester 2)</v>
      </c>
      <c r="T757" s="16" t="str">
        <f ca="1">IF(O757 &lt; YEAR(TODAY()), "LULUS",
 IF(O757 = YEAR(TODAY()),
    IF(MATCH(N757, {"Januari";"Februari";"Maret";"April";"Mei";"Juni";"Juli";"Agustus";"September";"Oktober";"November";"Desember"},0)
        &lt;= MONTH(TODAY()),
        "LULUS",
        "AKTIF"),
 "AKTIF"))</f>
        <v>AKTIF</v>
      </c>
      <c r="U757" s="16" t="s">
        <v>2945</v>
      </c>
      <c r="V757" s="15"/>
      <c r="W757" s="15"/>
      <c r="X757" s="15"/>
      <c r="Y757" s="15"/>
      <c r="Z757" s="15"/>
    </row>
    <row r="758" spans="1:26" ht="29" customHeight="1" x14ac:dyDescent="0.35">
      <c r="A758" s="12">
        <v>757</v>
      </c>
      <c r="B758" s="25" t="s">
        <v>2380</v>
      </c>
      <c r="C758" s="26" t="s">
        <v>2381</v>
      </c>
      <c r="D758" s="25" t="s">
        <v>211</v>
      </c>
      <c r="E758" s="14" t="str">
        <f t="shared" si="14"/>
        <v>Perempuan</v>
      </c>
      <c r="F758" s="33" t="s">
        <v>2377</v>
      </c>
      <c r="G758" s="25" t="s">
        <v>2350</v>
      </c>
      <c r="H758" s="19" t="s">
        <v>2149</v>
      </c>
      <c r="I758" s="19" t="s">
        <v>90</v>
      </c>
      <c r="J758" s="32" t="s">
        <v>486</v>
      </c>
      <c r="K758" s="28" t="s">
        <v>394</v>
      </c>
      <c r="L758" s="70" t="s">
        <v>890</v>
      </c>
      <c r="M758" s="15">
        <v>2025</v>
      </c>
      <c r="N758" s="15" t="s">
        <v>118</v>
      </c>
      <c r="O758" s="15">
        <v>2027</v>
      </c>
      <c r="P758" s="15">
        <v>2025</v>
      </c>
      <c r="Q758" s="15"/>
      <c r="R758" s="16"/>
      <c r="S758" s="16" t="str">
        <f ca="1">IF(
  O758 &lt; YEAR(TODAY()),
  "LULUS",
  IF(
    O758 = YEAR(TODAY()),
    IF(
      MATCH(L758, {"Januari";"Februari";"Maret";"April";"Mei";"Juni";"Juli";"Agustus";"September";"Oktober";"November";"Desember"}, 0)
        &gt;= MONTH(TODAY()),
      "AKTIF (Semester " &amp;
        (INT((12*(YEAR(TODAY())-M758) + MONTH(TODAY()) -
          MATCH(L758, {"Januari";"Februari";"Maret";"April";"Mei";"Juni";"Juli";"Agustus";"September";"Oktober";"November";"Desember"}, 0)) / 6) + 1) &amp; ")",
      "LULUS"
    ),
    "AKTIF (Semester " &amp;
      (INT((12*(YEAR(TODAY())-M758) + MONTH(TODAY()) -
        MATCH(L758, {"Januari";"Februari";"Maret";"April";"Mei";"Juni";"Juli";"Agustus";"September";"Oktober";"November";"Desember"}, 0)) / 6) + 1) &amp; ")"
  )
)</f>
        <v>AKTIF (Semester 2)</v>
      </c>
      <c r="T758" s="16" t="str">
        <f ca="1">IF(O758 &lt; YEAR(TODAY()), "LULUS",
 IF(O758 = YEAR(TODAY()),
    IF(MATCH(N758, {"Januari";"Februari";"Maret";"April";"Mei";"Juni";"Juli";"Agustus";"September";"Oktober";"November";"Desember"},0)
        &lt;= MONTH(TODAY()),
        "LULUS",
        "AKTIF"),
 "AKTIF"))</f>
        <v>AKTIF</v>
      </c>
      <c r="U758" s="16" t="s">
        <v>2945</v>
      </c>
      <c r="V758" s="15"/>
      <c r="W758" s="15"/>
      <c r="X758" s="15"/>
      <c r="Y758" s="15"/>
      <c r="Z758" s="15"/>
    </row>
    <row r="759" spans="1:26" ht="29" customHeight="1" x14ac:dyDescent="0.35">
      <c r="A759" s="12">
        <v>758</v>
      </c>
      <c r="B759" s="25" t="s">
        <v>2382</v>
      </c>
      <c r="C759" s="26" t="s">
        <v>2383</v>
      </c>
      <c r="D759" s="25" t="s">
        <v>211</v>
      </c>
      <c r="E759" s="14" t="str">
        <f t="shared" si="14"/>
        <v>Laki-Laki</v>
      </c>
      <c r="F759" s="33" t="s">
        <v>2377</v>
      </c>
      <c r="G759" s="25" t="s">
        <v>2350</v>
      </c>
      <c r="H759" s="19" t="s">
        <v>2149</v>
      </c>
      <c r="I759" s="19" t="s">
        <v>90</v>
      </c>
      <c r="J759" s="32" t="s">
        <v>486</v>
      </c>
      <c r="K759" s="28" t="s">
        <v>394</v>
      </c>
      <c r="L759" s="70" t="s">
        <v>35</v>
      </c>
      <c r="M759" s="15">
        <v>2025</v>
      </c>
      <c r="N759" s="15" t="s">
        <v>123</v>
      </c>
      <c r="O759" s="15">
        <v>2027</v>
      </c>
      <c r="P759" s="15">
        <v>2025</v>
      </c>
      <c r="Q759" s="15"/>
      <c r="R759" s="16"/>
      <c r="S759" s="16" t="str">
        <f ca="1">IF(
  O759 &lt; YEAR(TODAY()),
  "LULUS",
  IF(
    O759 = YEAR(TODAY()),
    IF(
      MATCH(L759, {"Januari";"Februari";"Maret";"April";"Mei";"Juni";"Juli";"Agustus";"September";"Oktober";"November";"Desember"}, 0)
        &gt;= MONTH(TODAY()),
      "AKTIF (Semester " &amp;
        (INT((12*(YEAR(TODAY())-M759) + MONTH(TODAY()) -
          MATCH(L759, {"Januari";"Februari";"Maret";"April";"Mei";"Juni";"Juli";"Agustus";"September";"Oktober";"November";"Desember"}, 0)) / 6) + 1) &amp; ")",
      "LULUS"
    ),
    "AKTIF (Semester " &amp;
      (INT((12*(YEAR(TODAY())-M759) + MONTH(TODAY()) -
        MATCH(L759, {"Januari";"Februari";"Maret";"April";"Mei";"Juni";"Juli";"Agustus";"September";"Oktober";"November";"Desember"}, 0)) / 6) + 1) &amp; ")"
  )
)</f>
        <v>AKTIF (Semester 2)</v>
      </c>
      <c r="T759" s="16" t="str">
        <f ca="1">IF(O759 &lt; YEAR(TODAY()), "LULUS",
 IF(O759 = YEAR(TODAY()),
    IF(MATCH(N759, {"Januari";"Februari";"Maret";"April";"Mei";"Juni";"Juli";"Agustus";"September";"Oktober";"November";"Desember"},0)
        &lt;= MONTH(TODAY()),
        "LULUS",
        "AKTIF"),
 "AKTIF"))</f>
        <v>AKTIF</v>
      </c>
      <c r="U759" s="16" t="s">
        <v>2945</v>
      </c>
      <c r="V759" s="15"/>
      <c r="W759" s="15"/>
      <c r="X759" s="15"/>
      <c r="Y759" s="15"/>
      <c r="Z759" s="15"/>
    </row>
    <row r="760" spans="1:26" ht="29" customHeight="1" x14ac:dyDescent="0.35">
      <c r="A760" s="12">
        <v>759</v>
      </c>
      <c r="B760" s="25" t="s">
        <v>2384</v>
      </c>
      <c r="C760" s="26" t="s">
        <v>2385</v>
      </c>
      <c r="D760" s="25" t="s">
        <v>188</v>
      </c>
      <c r="E760" s="14" t="str">
        <f t="shared" si="14"/>
        <v>Perempuan</v>
      </c>
      <c r="F760" s="33" t="s">
        <v>2377</v>
      </c>
      <c r="G760" s="25" t="s">
        <v>2350</v>
      </c>
      <c r="H760" s="19" t="s">
        <v>2149</v>
      </c>
      <c r="I760" s="19" t="s">
        <v>90</v>
      </c>
      <c r="J760" s="32" t="s">
        <v>486</v>
      </c>
      <c r="K760" s="28" t="s">
        <v>394</v>
      </c>
      <c r="L760" s="70" t="s">
        <v>35</v>
      </c>
      <c r="M760" s="15">
        <v>2025</v>
      </c>
      <c r="N760" s="15" t="s">
        <v>123</v>
      </c>
      <c r="O760" s="15">
        <v>2027</v>
      </c>
      <c r="P760" s="15">
        <v>2025</v>
      </c>
      <c r="Q760" s="15"/>
      <c r="R760" s="16"/>
      <c r="S760" s="16" t="str">
        <f ca="1">IF(
  O760 &lt; YEAR(TODAY()),
  "LULUS",
  IF(
    O760 = YEAR(TODAY()),
    IF(
      MATCH(L760, {"Januari";"Februari";"Maret";"April";"Mei";"Juni";"Juli";"Agustus";"September";"Oktober";"November";"Desember"}, 0)
        &gt;= MONTH(TODAY()),
      "AKTIF (Semester " &amp;
        (INT((12*(YEAR(TODAY())-M760) + MONTH(TODAY()) -
          MATCH(L760, {"Januari";"Februari";"Maret";"April";"Mei";"Juni";"Juli";"Agustus";"September";"Oktober";"November";"Desember"}, 0)) / 6) + 1) &amp; ")",
      "LULUS"
    ),
    "AKTIF (Semester " &amp;
      (INT((12*(YEAR(TODAY())-M760) + MONTH(TODAY()) -
        MATCH(L760, {"Januari";"Februari";"Maret";"April";"Mei";"Juni";"Juli";"Agustus";"September";"Oktober";"November";"Desember"}, 0)) / 6) + 1) &amp; ")"
  )
)</f>
        <v>AKTIF (Semester 2)</v>
      </c>
      <c r="T760" s="16" t="str">
        <f ca="1">IF(O760 &lt; YEAR(TODAY()), "LULUS",
 IF(O760 = YEAR(TODAY()),
    IF(MATCH(N760, {"Januari";"Februari";"Maret";"April";"Mei";"Juni";"Juli";"Agustus";"September";"Oktober";"November";"Desember"},0)
        &lt;= MONTH(TODAY()),
        "LULUS",
        "AKTIF"),
 "AKTIF"))</f>
        <v>AKTIF</v>
      </c>
      <c r="U760" s="16" t="s">
        <v>2945</v>
      </c>
      <c r="V760" s="15"/>
      <c r="W760" s="15"/>
      <c r="X760" s="15"/>
      <c r="Y760" s="15"/>
      <c r="Z760" s="15"/>
    </row>
    <row r="761" spans="1:26" ht="29" customHeight="1" x14ac:dyDescent="0.35">
      <c r="A761" s="12">
        <v>760</v>
      </c>
      <c r="B761" s="25" t="s">
        <v>2386</v>
      </c>
      <c r="C761" s="26" t="s">
        <v>2387</v>
      </c>
      <c r="D761" s="25" t="s">
        <v>188</v>
      </c>
      <c r="E761" s="14" t="str">
        <f t="shared" si="14"/>
        <v>Perempuan</v>
      </c>
      <c r="F761" s="33" t="s">
        <v>2377</v>
      </c>
      <c r="G761" s="25" t="s">
        <v>2350</v>
      </c>
      <c r="H761" s="19" t="s">
        <v>2149</v>
      </c>
      <c r="I761" s="19" t="s">
        <v>90</v>
      </c>
      <c r="J761" s="32" t="s">
        <v>486</v>
      </c>
      <c r="K761" s="28" t="s">
        <v>394</v>
      </c>
      <c r="L761" s="70" t="s">
        <v>890</v>
      </c>
      <c r="M761" s="15">
        <v>2025</v>
      </c>
      <c r="N761" s="15" t="s">
        <v>118</v>
      </c>
      <c r="O761" s="15">
        <v>2027</v>
      </c>
      <c r="P761" s="15">
        <v>2025</v>
      </c>
      <c r="Q761" s="15"/>
      <c r="R761" s="16"/>
      <c r="S761" s="16" t="str">
        <f ca="1">IF(
  O761 &lt; YEAR(TODAY()),
  "LULUS",
  IF(
    O761 = YEAR(TODAY()),
    IF(
      MATCH(L761, {"Januari";"Februari";"Maret";"April";"Mei";"Juni";"Juli";"Agustus";"September";"Oktober";"November";"Desember"}, 0)
        &gt;= MONTH(TODAY()),
      "AKTIF (Semester " &amp;
        (INT((12*(YEAR(TODAY())-M761) + MONTH(TODAY()) -
          MATCH(L761, {"Januari";"Februari";"Maret";"April";"Mei";"Juni";"Juli";"Agustus";"September";"Oktober";"November";"Desember"}, 0)) / 6) + 1) &amp; ")",
      "LULUS"
    ),
    "AKTIF (Semester " &amp;
      (INT((12*(YEAR(TODAY())-M761) + MONTH(TODAY()) -
        MATCH(L761, {"Januari";"Februari";"Maret";"April";"Mei";"Juni";"Juli";"Agustus";"September";"Oktober";"November";"Desember"}, 0)) / 6) + 1) &amp; ")"
  )
)</f>
        <v>AKTIF (Semester 2)</v>
      </c>
      <c r="T761" s="16" t="str">
        <f ca="1">IF(O761 &lt; YEAR(TODAY()), "LULUS",
 IF(O761 = YEAR(TODAY()),
    IF(MATCH(N761, {"Januari";"Februari";"Maret";"April";"Mei";"Juni";"Juli";"Agustus";"September";"Oktober";"November";"Desember"},0)
        &lt;= MONTH(TODAY()),
        "LULUS",
        "AKTIF"),
 "AKTIF"))</f>
        <v>AKTIF</v>
      </c>
      <c r="U761" s="16" t="s">
        <v>2945</v>
      </c>
      <c r="V761" s="15"/>
      <c r="W761" s="15"/>
      <c r="X761" s="15"/>
      <c r="Y761" s="15"/>
      <c r="Z761" s="15"/>
    </row>
    <row r="762" spans="1:26" ht="29" customHeight="1" x14ac:dyDescent="0.35">
      <c r="A762" s="12">
        <v>761</v>
      </c>
      <c r="B762" s="25" t="s">
        <v>2388</v>
      </c>
      <c r="C762" s="26" t="s">
        <v>2389</v>
      </c>
      <c r="D762" s="25" t="s">
        <v>188</v>
      </c>
      <c r="E762" s="14" t="str">
        <f t="shared" si="14"/>
        <v>Perempuan</v>
      </c>
      <c r="F762" s="33" t="s">
        <v>2377</v>
      </c>
      <c r="G762" s="25" t="s">
        <v>2350</v>
      </c>
      <c r="H762" s="19" t="s">
        <v>2149</v>
      </c>
      <c r="I762" s="19" t="s">
        <v>90</v>
      </c>
      <c r="J762" s="32" t="s">
        <v>486</v>
      </c>
      <c r="K762" s="28" t="s">
        <v>394</v>
      </c>
      <c r="L762" s="70" t="s">
        <v>35</v>
      </c>
      <c r="M762" s="15">
        <v>2025</v>
      </c>
      <c r="N762" s="15" t="s">
        <v>123</v>
      </c>
      <c r="O762" s="15">
        <v>2027</v>
      </c>
      <c r="P762" s="15">
        <v>2025</v>
      </c>
      <c r="Q762" s="15"/>
      <c r="R762" s="16"/>
      <c r="S762" s="16" t="str">
        <f ca="1">IF(
  O762 &lt; YEAR(TODAY()),
  "LULUS",
  IF(
    O762 = YEAR(TODAY()),
    IF(
      MATCH(L762, {"Januari";"Februari";"Maret";"April";"Mei";"Juni";"Juli";"Agustus";"September";"Oktober";"November";"Desember"}, 0)
        &gt;= MONTH(TODAY()),
      "AKTIF (Semester " &amp;
        (INT((12*(YEAR(TODAY())-M762) + MONTH(TODAY()) -
          MATCH(L762, {"Januari";"Februari";"Maret";"April";"Mei";"Juni";"Juli";"Agustus";"September";"Oktober";"November";"Desember"}, 0)) / 6) + 1) &amp; ")",
      "LULUS"
    ),
    "AKTIF (Semester " &amp;
      (INT((12*(YEAR(TODAY())-M762) + MONTH(TODAY()) -
        MATCH(L762, {"Januari";"Februari";"Maret";"April";"Mei";"Juni";"Juli";"Agustus";"September";"Oktober";"November";"Desember"}, 0)) / 6) + 1) &amp; ")"
  )
)</f>
        <v>AKTIF (Semester 2)</v>
      </c>
      <c r="T762" s="16" t="str">
        <f ca="1">IF(O762 &lt; YEAR(TODAY()), "LULUS",
 IF(O762 = YEAR(TODAY()),
    IF(MATCH(N762, {"Januari";"Februari";"Maret";"April";"Mei";"Juni";"Juli";"Agustus";"September";"Oktober";"November";"Desember"},0)
        &lt;= MONTH(TODAY()),
        "LULUS",
        "AKTIF"),
 "AKTIF"))</f>
        <v>AKTIF</v>
      </c>
      <c r="U762" s="16" t="s">
        <v>2945</v>
      </c>
      <c r="V762" s="15"/>
      <c r="W762" s="15"/>
      <c r="X762" s="15"/>
      <c r="Y762" s="15"/>
      <c r="Z762" s="15"/>
    </row>
    <row r="763" spans="1:26" ht="29" customHeight="1" x14ac:dyDescent="0.35">
      <c r="A763" s="12">
        <v>762</v>
      </c>
      <c r="B763" s="25" t="s">
        <v>2390</v>
      </c>
      <c r="C763" s="26" t="s">
        <v>2391</v>
      </c>
      <c r="D763" s="25" t="s">
        <v>507</v>
      </c>
      <c r="E763" s="14" t="str">
        <f t="shared" si="14"/>
        <v>Laki-Laki</v>
      </c>
      <c r="F763" s="33" t="s">
        <v>1791</v>
      </c>
      <c r="G763" s="25" t="s">
        <v>2350</v>
      </c>
      <c r="H763" s="19" t="s">
        <v>2149</v>
      </c>
      <c r="I763" s="19" t="s">
        <v>90</v>
      </c>
      <c r="J763" s="32" t="s">
        <v>486</v>
      </c>
      <c r="K763" s="28" t="s">
        <v>394</v>
      </c>
      <c r="L763" s="70" t="s">
        <v>890</v>
      </c>
      <c r="M763" s="15">
        <v>2025</v>
      </c>
      <c r="N763" s="15" t="s">
        <v>118</v>
      </c>
      <c r="O763" s="15">
        <v>2027</v>
      </c>
      <c r="P763" s="15">
        <v>2025</v>
      </c>
      <c r="Q763" s="15"/>
      <c r="R763" s="16"/>
      <c r="S763" s="16" t="str">
        <f ca="1">IF(
  O763 &lt; YEAR(TODAY()),
  "LULUS",
  IF(
    O763 = YEAR(TODAY()),
    IF(
      MATCH(L763, {"Januari";"Februari";"Maret";"April";"Mei";"Juni";"Juli";"Agustus";"September";"Oktober";"November";"Desember"}, 0)
        &gt;= MONTH(TODAY()),
      "AKTIF (Semester " &amp;
        (INT((12*(YEAR(TODAY())-M763) + MONTH(TODAY()) -
          MATCH(L763, {"Januari";"Februari";"Maret";"April";"Mei";"Juni";"Juli";"Agustus";"September";"Oktober";"November";"Desember"}, 0)) / 6) + 1) &amp; ")",
      "LULUS"
    ),
    "AKTIF (Semester " &amp;
      (INT((12*(YEAR(TODAY())-M763) + MONTH(TODAY()) -
        MATCH(L763, {"Januari";"Februari";"Maret";"April";"Mei";"Juni";"Juli";"Agustus";"September";"Oktober";"November";"Desember"}, 0)) / 6) + 1) &amp; ")"
  )
)</f>
        <v>AKTIF (Semester 2)</v>
      </c>
      <c r="T763" s="16" t="str">
        <f ca="1">IF(O763 &lt; YEAR(TODAY()), "LULUS",
 IF(O763 = YEAR(TODAY()),
    IF(MATCH(N763, {"Januari";"Februari";"Maret";"April";"Mei";"Juni";"Juli";"Agustus";"September";"Oktober";"November";"Desember"},0)
        &lt;= MONTH(TODAY()),
        "LULUS",
        "AKTIF"),
 "AKTIF"))</f>
        <v>AKTIF</v>
      </c>
      <c r="U763" s="16" t="s">
        <v>2945</v>
      </c>
      <c r="V763" s="15"/>
      <c r="W763" s="15"/>
      <c r="X763" s="15"/>
      <c r="Y763" s="15"/>
      <c r="Z763" s="15"/>
    </row>
    <row r="764" spans="1:26" ht="29" customHeight="1" x14ac:dyDescent="0.35">
      <c r="A764" s="12">
        <v>763</v>
      </c>
      <c r="B764" s="25" t="s">
        <v>2392</v>
      </c>
      <c r="C764" s="26" t="s">
        <v>2393</v>
      </c>
      <c r="D764" s="25" t="s">
        <v>211</v>
      </c>
      <c r="E764" s="14" t="str">
        <f t="shared" si="14"/>
        <v>Perempuan</v>
      </c>
      <c r="F764" s="33" t="s">
        <v>2394</v>
      </c>
      <c r="G764" s="25" t="s">
        <v>2350</v>
      </c>
      <c r="H764" s="19" t="s">
        <v>2149</v>
      </c>
      <c r="I764" s="19" t="s">
        <v>90</v>
      </c>
      <c r="J764" s="32" t="s">
        <v>486</v>
      </c>
      <c r="K764" s="28" t="s">
        <v>50</v>
      </c>
      <c r="L764" s="70" t="s">
        <v>35</v>
      </c>
      <c r="M764" s="15">
        <v>2025</v>
      </c>
      <c r="N764" s="15" t="s">
        <v>123</v>
      </c>
      <c r="O764" s="15">
        <v>2027</v>
      </c>
      <c r="P764" s="15">
        <v>2025</v>
      </c>
      <c r="Q764" s="15"/>
      <c r="R764" s="16"/>
      <c r="S764" s="16" t="str">
        <f ca="1">IF(
  O764 &lt; YEAR(TODAY()),
  "LULUS",
  IF(
    O764 = YEAR(TODAY()),
    IF(
      MATCH(L764, {"Januari";"Februari";"Maret";"April";"Mei";"Juni";"Juli";"Agustus";"September";"Oktober";"November";"Desember"}, 0)
        &gt;= MONTH(TODAY()),
      "AKTIF (Semester " &amp;
        (INT((12*(YEAR(TODAY())-M764) + MONTH(TODAY()) -
          MATCH(L764, {"Januari";"Februari";"Maret";"April";"Mei";"Juni";"Juli";"Agustus";"September";"Oktober";"November";"Desember"}, 0)) / 6) + 1) &amp; ")",
      "LULUS"
    ),
    "AKTIF (Semester " &amp;
      (INT((12*(YEAR(TODAY())-M764) + MONTH(TODAY()) -
        MATCH(L764, {"Januari";"Februari";"Maret";"April";"Mei";"Juni";"Juli";"Agustus";"September";"Oktober";"November";"Desember"}, 0)) / 6) + 1) &amp; ")"
  )
)</f>
        <v>AKTIF (Semester 2)</v>
      </c>
      <c r="T764" s="16" t="str">
        <f ca="1">IF(O764 &lt; YEAR(TODAY()), "LULUS",
 IF(O764 = YEAR(TODAY()),
    IF(MATCH(N764, {"Januari";"Februari";"Maret";"April";"Mei";"Juni";"Juli";"Agustus";"September";"Oktober";"November";"Desember"},0)
        &lt;= MONTH(TODAY()),
        "LULUS",
        "AKTIF"),
 "AKTIF"))</f>
        <v>AKTIF</v>
      </c>
      <c r="U764" s="16" t="s">
        <v>2945</v>
      </c>
      <c r="V764" s="15"/>
      <c r="W764" s="15"/>
      <c r="X764" s="15"/>
      <c r="Y764" s="15"/>
      <c r="Z764" s="15"/>
    </row>
    <row r="765" spans="1:26" ht="29" customHeight="1" x14ac:dyDescent="0.35">
      <c r="A765" s="12">
        <v>764</v>
      </c>
      <c r="B765" s="25" t="s">
        <v>2395</v>
      </c>
      <c r="C765" s="26" t="s">
        <v>2396</v>
      </c>
      <c r="D765" s="25" t="s">
        <v>188</v>
      </c>
      <c r="E765" s="14" t="str">
        <f t="shared" si="14"/>
        <v>Perempuan</v>
      </c>
      <c r="F765" s="33" t="s">
        <v>2377</v>
      </c>
      <c r="G765" s="25" t="s">
        <v>2350</v>
      </c>
      <c r="H765" s="19" t="s">
        <v>1754</v>
      </c>
      <c r="I765" s="19" t="s">
        <v>90</v>
      </c>
      <c r="J765" s="32" t="s">
        <v>486</v>
      </c>
      <c r="K765" s="28" t="s">
        <v>394</v>
      </c>
      <c r="L765" s="70" t="s">
        <v>35</v>
      </c>
      <c r="M765" s="15">
        <v>2025</v>
      </c>
      <c r="N765" s="15" t="s">
        <v>123</v>
      </c>
      <c r="O765" s="15">
        <v>2027</v>
      </c>
      <c r="P765" s="15">
        <v>2025</v>
      </c>
      <c r="Q765" s="15"/>
      <c r="R765" s="16"/>
      <c r="S765" s="16" t="str">
        <f ca="1">IF(
  O765 &lt; YEAR(TODAY()),
  "LULUS",
  IF(
    O765 = YEAR(TODAY()),
    IF(
      MATCH(L765, {"Januari";"Februari";"Maret";"April";"Mei";"Juni";"Juli";"Agustus";"September";"Oktober";"November";"Desember"}, 0)
        &gt;= MONTH(TODAY()),
      "AKTIF (Semester " &amp;
        (INT((12*(YEAR(TODAY())-M765) + MONTH(TODAY()) -
          MATCH(L765, {"Januari";"Februari";"Maret";"April";"Mei";"Juni";"Juli";"Agustus";"September";"Oktober";"November";"Desember"}, 0)) / 6) + 1) &amp; ")",
      "LULUS"
    ),
    "AKTIF (Semester " &amp;
      (INT((12*(YEAR(TODAY())-M765) + MONTH(TODAY()) -
        MATCH(L765, {"Januari";"Februari";"Maret";"April";"Mei";"Juni";"Juli";"Agustus";"September";"Oktober";"November";"Desember"}, 0)) / 6) + 1) &amp; ")"
  )
)</f>
        <v>AKTIF (Semester 2)</v>
      </c>
      <c r="T765" s="16" t="str">
        <f ca="1">IF(O765 &lt; YEAR(TODAY()), "LULUS",
 IF(O765 = YEAR(TODAY()),
    IF(MATCH(N765, {"Januari";"Februari";"Maret";"April";"Mei";"Juni";"Juli";"Agustus";"September";"Oktober";"November";"Desember"},0)
        &lt;= MONTH(TODAY()),
        "LULUS",
        "AKTIF"),
 "AKTIF"))</f>
        <v>AKTIF</v>
      </c>
      <c r="U765" s="16" t="s">
        <v>2945</v>
      </c>
      <c r="V765" s="15"/>
      <c r="W765" s="15"/>
      <c r="X765" s="15"/>
      <c r="Y765" s="15"/>
      <c r="Z765" s="15"/>
    </row>
    <row r="766" spans="1:26" ht="29" customHeight="1" x14ac:dyDescent="0.35">
      <c r="A766" s="12">
        <v>765</v>
      </c>
      <c r="B766" s="25" t="s">
        <v>2397</v>
      </c>
      <c r="C766" s="26" t="s">
        <v>2398</v>
      </c>
      <c r="D766" s="25" t="s">
        <v>188</v>
      </c>
      <c r="E766" s="14" t="str">
        <f t="shared" si="14"/>
        <v>Perempuan</v>
      </c>
      <c r="F766" s="33" t="s">
        <v>2377</v>
      </c>
      <c r="G766" s="25" t="s">
        <v>2350</v>
      </c>
      <c r="H766" s="19" t="s">
        <v>1754</v>
      </c>
      <c r="I766" s="19" t="s">
        <v>90</v>
      </c>
      <c r="J766" s="32" t="s">
        <v>486</v>
      </c>
      <c r="K766" s="28" t="s">
        <v>394</v>
      </c>
      <c r="L766" s="70" t="s">
        <v>35</v>
      </c>
      <c r="M766" s="15">
        <v>2025</v>
      </c>
      <c r="N766" s="15" t="s">
        <v>123</v>
      </c>
      <c r="O766" s="15">
        <v>2027</v>
      </c>
      <c r="P766" s="15">
        <v>2025</v>
      </c>
      <c r="Q766" s="15"/>
      <c r="R766" s="16"/>
      <c r="S766" s="16" t="str">
        <f ca="1">IF(
  O766 &lt; YEAR(TODAY()),
  "LULUS",
  IF(
    O766 = YEAR(TODAY()),
    IF(
      MATCH(L766, {"Januari";"Februari";"Maret";"April";"Mei";"Juni";"Juli";"Agustus";"September";"Oktober";"November";"Desember"}, 0)
        &gt;= MONTH(TODAY()),
      "AKTIF (Semester " &amp;
        (INT((12*(YEAR(TODAY())-M766) + MONTH(TODAY()) -
          MATCH(L766, {"Januari";"Februari";"Maret";"April";"Mei";"Juni";"Juli";"Agustus";"September";"Oktober";"November";"Desember"}, 0)) / 6) + 1) &amp; ")",
      "LULUS"
    ),
    "AKTIF (Semester " &amp;
      (INT((12*(YEAR(TODAY())-M766) + MONTH(TODAY()) -
        MATCH(L766, {"Januari";"Februari";"Maret";"April";"Mei";"Juni";"Juli";"Agustus";"September";"Oktober";"November";"Desember"}, 0)) / 6) + 1) &amp; ")"
  )
)</f>
        <v>AKTIF (Semester 2)</v>
      </c>
      <c r="T766" s="16" t="str">
        <f ca="1">IF(O766 &lt; YEAR(TODAY()), "LULUS",
 IF(O766 = YEAR(TODAY()),
    IF(MATCH(N766, {"Januari";"Februari";"Maret";"April";"Mei";"Juni";"Juli";"Agustus";"September";"Oktober";"November";"Desember"},0)
        &lt;= MONTH(TODAY()),
        "LULUS",
        "AKTIF"),
 "AKTIF"))</f>
        <v>AKTIF</v>
      </c>
      <c r="U766" s="16" t="s">
        <v>2945</v>
      </c>
      <c r="V766" s="15"/>
      <c r="W766" s="15"/>
      <c r="X766" s="15"/>
      <c r="Y766" s="15"/>
      <c r="Z766" s="15"/>
    </row>
    <row r="767" spans="1:26" ht="29" customHeight="1" x14ac:dyDescent="0.35">
      <c r="A767" s="12">
        <v>766</v>
      </c>
      <c r="B767" s="25" t="s">
        <v>2399</v>
      </c>
      <c r="C767" s="26" t="s">
        <v>2400</v>
      </c>
      <c r="D767" s="25" t="s">
        <v>188</v>
      </c>
      <c r="E767" s="14" t="str">
        <f t="shared" si="14"/>
        <v>Perempuan</v>
      </c>
      <c r="F767" s="33" t="s">
        <v>2377</v>
      </c>
      <c r="G767" s="25" t="s">
        <v>2350</v>
      </c>
      <c r="H767" s="19" t="s">
        <v>1754</v>
      </c>
      <c r="I767" s="19" t="s">
        <v>90</v>
      </c>
      <c r="J767" s="32" t="s">
        <v>486</v>
      </c>
      <c r="K767" s="28" t="s">
        <v>394</v>
      </c>
      <c r="L767" s="70" t="s">
        <v>35</v>
      </c>
      <c r="M767" s="15">
        <v>2025</v>
      </c>
      <c r="N767" s="15" t="s">
        <v>123</v>
      </c>
      <c r="O767" s="15">
        <v>2027</v>
      </c>
      <c r="P767" s="15">
        <v>2025</v>
      </c>
      <c r="Q767" s="15"/>
      <c r="R767" s="16"/>
      <c r="S767" s="16" t="str">
        <f ca="1">IF(
  O767 &lt; YEAR(TODAY()),
  "LULUS",
  IF(
    O767 = YEAR(TODAY()),
    IF(
      MATCH(L767, {"Januari";"Februari";"Maret";"April";"Mei";"Juni";"Juli";"Agustus";"September";"Oktober";"November";"Desember"}, 0)
        &gt;= MONTH(TODAY()),
      "AKTIF (Semester " &amp;
        (INT((12*(YEAR(TODAY())-M767) + MONTH(TODAY()) -
          MATCH(L767, {"Januari";"Februari";"Maret";"April";"Mei";"Juni";"Juli";"Agustus";"September";"Oktober";"November";"Desember"}, 0)) / 6) + 1) &amp; ")",
      "LULUS"
    ),
    "AKTIF (Semester " &amp;
      (INT((12*(YEAR(TODAY())-M767) + MONTH(TODAY()) -
        MATCH(L767, {"Januari";"Februari";"Maret";"April";"Mei";"Juni";"Juli";"Agustus";"September";"Oktober";"November";"Desember"}, 0)) / 6) + 1) &amp; ")"
  )
)</f>
        <v>AKTIF (Semester 2)</v>
      </c>
      <c r="T767" s="16" t="str">
        <f ca="1">IF(O767 &lt; YEAR(TODAY()), "LULUS",
 IF(O767 = YEAR(TODAY()),
    IF(MATCH(N767, {"Januari";"Februari";"Maret";"April";"Mei";"Juni";"Juli";"Agustus";"September";"Oktober";"November";"Desember"},0)
        &lt;= MONTH(TODAY()),
        "LULUS",
        "AKTIF"),
 "AKTIF"))</f>
        <v>AKTIF</v>
      </c>
      <c r="U767" s="16" t="s">
        <v>2945</v>
      </c>
      <c r="V767" s="15"/>
      <c r="W767" s="15"/>
      <c r="X767" s="15"/>
      <c r="Y767" s="15"/>
      <c r="Z767" s="15"/>
    </row>
    <row r="768" spans="1:26" ht="29" customHeight="1" x14ac:dyDescent="0.35">
      <c r="A768" s="12">
        <v>767</v>
      </c>
      <c r="B768" s="25" t="s">
        <v>2401</v>
      </c>
      <c r="C768" s="26" t="s">
        <v>2402</v>
      </c>
      <c r="D768" s="25" t="s">
        <v>211</v>
      </c>
      <c r="E768" s="14" t="str">
        <f t="shared" si="14"/>
        <v>Laki-Laki</v>
      </c>
      <c r="F768" s="33" t="s">
        <v>2377</v>
      </c>
      <c r="G768" s="25" t="s">
        <v>2350</v>
      </c>
      <c r="H768" s="19" t="s">
        <v>1754</v>
      </c>
      <c r="I768" s="19" t="s">
        <v>90</v>
      </c>
      <c r="J768" s="32" t="s">
        <v>486</v>
      </c>
      <c r="K768" s="28" t="s">
        <v>394</v>
      </c>
      <c r="L768" s="70" t="s">
        <v>35</v>
      </c>
      <c r="M768" s="15">
        <v>2025</v>
      </c>
      <c r="N768" s="15" t="s">
        <v>123</v>
      </c>
      <c r="O768" s="15">
        <v>2027</v>
      </c>
      <c r="P768" s="15">
        <v>2025</v>
      </c>
      <c r="Q768" s="15"/>
      <c r="R768" s="16"/>
      <c r="S768" s="16" t="str">
        <f ca="1">IF(
  O768 &lt; YEAR(TODAY()),
  "LULUS",
  IF(
    O768 = YEAR(TODAY()),
    IF(
      MATCH(L768, {"Januari";"Februari";"Maret";"April";"Mei";"Juni";"Juli";"Agustus";"September";"Oktober";"November";"Desember"}, 0)
        &gt;= MONTH(TODAY()),
      "AKTIF (Semester " &amp;
        (INT((12*(YEAR(TODAY())-M768) + MONTH(TODAY()) -
          MATCH(L768, {"Januari";"Februari";"Maret";"April";"Mei";"Juni";"Juli";"Agustus";"September";"Oktober";"November";"Desember"}, 0)) / 6) + 1) &amp; ")",
      "LULUS"
    ),
    "AKTIF (Semester " &amp;
      (INT((12*(YEAR(TODAY())-M768) + MONTH(TODAY()) -
        MATCH(L768, {"Januari";"Februari";"Maret";"April";"Mei";"Juni";"Juli";"Agustus";"September";"Oktober";"November";"Desember"}, 0)) / 6) + 1) &amp; ")"
  )
)</f>
        <v>AKTIF (Semester 2)</v>
      </c>
      <c r="T768" s="16" t="str">
        <f ca="1">IF(O768 &lt; YEAR(TODAY()), "LULUS",
 IF(O768 = YEAR(TODAY()),
    IF(MATCH(N768, {"Januari";"Februari";"Maret";"April";"Mei";"Juni";"Juli";"Agustus";"September";"Oktober";"November";"Desember"},0)
        &lt;= MONTH(TODAY()),
        "LULUS",
        "AKTIF"),
 "AKTIF"))</f>
        <v>AKTIF</v>
      </c>
      <c r="U768" s="16" t="s">
        <v>2945</v>
      </c>
      <c r="V768" s="15"/>
      <c r="W768" s="15"/>
      <c r="X768" s="15"/>
      <c r="Y768" s="15"/>
      <c r="Z768" s="15"/>
    </row>
    <row r="769" spans="1:26" ht="29" customHeight="1" x14ac:dyDescent="0.35">
      <c r="A769" s="12">
        <v>768</v>
      </c>
      <c r="B769" s="25" t="s">
        <v>2403</v>
      </c>
      <c r="C769" s="26" t="s">
        <v>2404</v>
      </c>
      <c r="D769" s="25" t="s">
        <v>211</v>
      </c>
      <c r="E769" s="14" t="str">
        <f t="shared" ref="E769:E832" si="15">IF(MID(C769,15,1)="1","Laki-Laki","Perempuan")</f>
        <v>Perempuan</v>
      </c>
      <c r="F769" s="33" t="s">
        <v>2377</v>
      </c>
      <c r="G769" s="25" t="s">
        <v>2350</v>
      </c>
      <c r="H769" s="19" t="s">
        <v>1754</v>
      </c>
      <c r="I769" s="19" t="s">
        <v>90</v>
      </c>
      <c r="J769" s="32" t="s">
        <v>486</v>
      </c>
      <c r="K769" s="28" t="s">
        <v>394</v>
      </c>
      <c r="L769" s="70" t="s">
        <v>35</v>
      </c>
      <c r="M769" s="15">
        <v>2025</v>
      </c>
      <c r="N769" s="15" t="s">
        <v>123</v>
      </c>
      <c r="O769" s="15">
        <v>2027</v>
      </c>
      <c r="P769" s="15">
        <v>2025</v>
      </c>
      <c r="Q769" s="15"/>
      <c r="R769" s="16"/>
      <c r="S769" s="16" t="str">
        <f ca="1">IF(
  O769 &lt; YEAR(TODAY()),
  "LULUS",
  IF(
    O769 = YEAR(TODAY()),
    IF(
      MATCH(L769, {"Januari";"Februari";"Maret";"April";"Mei";"Juni";"Juli";"Agustus";"September";"Oktober";"November";"Desember"}, 0)
        &gt;= MONTH(TODAY()),
      "AKTIF (Semester " &amp;
        (INT((12*(YEAR(TODAY())-M769) + MONTH(TODAY()) -
          MATCH(L769, {"Januari";"Februari";"Maret";"April";"Mei";"Juni";"Juli";"Agustus";"September";"Oktober";"November";"Desember"}, 0)) / 6) + 1) &amp; ")",
      "LULUS"
    ),
    "AKTIF (Semester " &amp;
      (INT((12*(YEAR(TODAY())-M769) + MONTH(TODAY()) -
        MATCH(L769, {"Januari";"Februari";"Maret";"April";"Mei";"Juni";"Juli";"Agustus";"September";"Oktober";"November";"Desember"}, 0)) / 6) + 1) &amp; ")"
  )
)</f>
        <v>AKTIF (Semester 2)</v>
      </c>
      <c r="T769" s="16" t="str">
        <f ca="1">IF(O769 &lt; YEAR(TODAY()), "LULUS",
 IF(O769 = YEAR(TODAY()),
    IF(MATCH(N769, {"Januari";"Februari";"Maret";"April";"Mei";"Juni";"Juli";"Agustus";"September";"Oktober";"November";"Desember"},0)
        &lt;= MONTH(TODAY()),
        "LULUS",
        "AKTIF"),
 "AKTIF"))</f>
        <v>AKTIF</v>
      </c>
      <c r="U769" s="16" t="s">
        <v>2945</v>
      </c>
      <c r="V769" s="15"/>
      <c r="W769" s="15"/>
      <c r="X769" s="15"/>
      <c r="Y769" s="15"/>
      <c r="Z769" s="15"/>
    </row>
    <row r="770" spans="1:26" ht="29" customHeight="1" x14ac:dyDescent="0.35">
      <c r="A770" s="12">
        <v>769</v>
      </c>
      <c r="B770" s="25" t="s">
        <v>2405</v>
      </c>
      <c r="C770" s="26" t="s">
        <v>2406</v>
      </c>
      <c r="D770" s="25" t="s">
        <v>554</v>
      </c>
      <c r="E770" s="14" t="str">
        <f t="shared" si="15"/>
        <v>Perempuan</v>
      </c>
      <c r="F770" s="33" t="s">
        <v>1791</v>
      </c>
      <c r="G770" s="25" t="s">
        <v>2350</v>
      </c>
      <c r="H770" s="19" t="s">
        <v>1658</v>
      </c>
      <c r="I770" s="19" t="s">
        <v>90</v>
      </c>
      <c r="J770" s="32" t="s">
        <v>486</v>
      </c>
      <c r="K770" s="28" t="s">
        <v>394</v>
      </c>
      <c r="L770" s="70" t="s">
        <v>35</v>
      </c>
      <c r="M770" s="15">
        <v>2025</v>
      </c>
      <c r="N770" s="15" t="s">
        <v>123</v>
      </c>
      <c r="O770" s="15">
        <v>2027</v>
      </c>
      <c r="P770" s="15">
        <v>2025</v>
      </c>
      <c r="Q770" s="15"/>
      <c r="R770" s="16"/>
      <c r="S770" s="16" t="str">
        <f ca="1">IF(
  O770 &lt; YEAR(TODAY()),
  "LULUS",
  IF(
    O770 = YEAR(TODAY()),
    IF(
      MATCH(L770, {"Januari";"Februari";"Maret";"April";"Mei";"Juni";"Juli";"Agustus";"September";"Oktober";"November";"Desember"}, 0)
        &gt;= MONTH(TODAY()),
      "AKTIF (Semester " &amp;
        (INT((12*(YEAR(TODAY())-M770) + MONTH(TODAY()) -
          MATCH(L770, {"Januari";"Februari";"Maret";"April";"Mei";"Juni";"Juli";"Agustus";"September";"Oktober";"November";"Desember"}, 0)) / 6) + 1) &amp; ")",
      "LULUS"
    ),
    "AKTIF (Semester " &amp;
      (INT((12*(YEAR(TODAY())-M770) + MONTH(TODAY()) -
        MATCH(L770, {"Januari";"Februari";"Maret";"April";"Mei";"Juni";"Juli";"Agustus";"September";"Oktober";"November";"Desember"}, 0)) / 6) + 1) &amp; ")"
  )
)</f>
        <v>AKTIF (Semester 2)</v>
      </c>
      <c r="T770" s="16" t="str">
        <f ca="1">IF(O770 &lt; YEAR(TODAY()), "LULUS",
 IF(O770 = YEAR(TODAY()),
    IF(MATCH(N770, {"Januari";"Februari";"Maret";"April";"Mei";"Juni";"Juli";"Agustus";"September";"Oktober";"November";"Desember"},0)
        &lt;= MONTH(TODAY()),
        "LULUS",
        "AKTIF"),
 "AKTIF"))</f>
        <v>AKTIF</v>
      </c>
      <c r="U770" s="16" t="s">
        <v>2945</v>
      </c>
      <c r="V770" s="15"/>
      <c r="W770" s="15"/>
      <c r="X770" s="15"/>
      <c r="Y770" s="15"/>
      <c r="Z770" s="15"/>
    </row>
    <row r="771" spans="1:26" ht="29" customHeight="1" x14ac:dyDescent="0.35">
      <c r="A771" s="12">
        <v>770</v>
      </c>
      <c r="B771" s="25" t="s">
        <v>2407</v>
      </c>
      <c r="C771" s="26" t="s">
        <v>2408</v>
      </c>
      <c r="D771" s="25" t="s">
        <v>188</v>
      </c>
      <c r="E771" s="14" t="str">
        <f t="shared" si="15"/>
        <v>Perempuan</v>
      </c>
      <c r="F771" s="33" t="s">
        <v>2377</v>
      </c>
      <c r="G771" s="25" t="s">
        <v>2350</v>
      </c>
      <c r="H771" s="19" t="s">
        <v>1658</v>
      </c>
      <c r="I771" s="19" t="s">
        <v>90</v>
      </c>
      <c r="J771" s="32" t="s">
        <v>486</v>
      </c>
      <c r="K771" s="28" t="s">
        <v>394</v>
      </c>
      <c r="L771" s="70" t="s">
        <v>35</v>
      </c>
      <c r="M771" s="15">
        <v>2025</v>
      </c>
      <c r="N771" s="15" t="s">
        <v>123</v>
      </c>
      <c r="O771" s="15">
        <v>2027</v>
      </c>
      <c r="P771" s="15">
        <v>2025</v>
      </c>
      <c r="Q771" s="15"/>
      <c r="R771" s="16"/>
      <c r="S771" s="16" t="str">
        <f ca="1">IF(
  O771 &lt; YEAR(TODAY()),
  "LULUS",
  IF(
    O771 = YEAR(TODAY()),
    IF(
      MATCH(L771, {"Januari";"Februari";"Maret";"April";"Mei";"Juni";"Juli";"Agustus";"September";"Oktober";"November";"Desember"}, 0)
        &gt;= MONTH(TODAY()),
      "AKTIF (Semester " &amp;
        (INT((12*(YEAR(TODAY())-M771) + MONTH(TODAY()) -
          MATCH(L771, {"Januari";"Februari";"Maret";"April";"Mei";"Juni";"Juli";"Agustus";"September";"Oktober";"November";"Desember"}, 0)) / 6) + 1) &amp; ")",
      "LULUS"
    ),
    "AKTIF (Semester " &amp;
      (INT((12*(YEAR(TODAY())-M771) + MONTH(TODAY()) -
        MATCH(L771, {"Januari";"Februari";"Maret";"April";"Mei";"Juni";"Juli";"Agustus";"September";"Oktober";"November";"Desember"}, 0)) / 6) + 1) &amp; ")"
  )
)</f>
        <v>AKTIF (Semester 2)</v>
      </c>
      <c r="T771" s="16" t="str">
        <f ca="1">IF(O771 &lt; YEAR(TODAY()), "LULUS",
 IF(O771 = YEAR(TODAY()),
    IF(MATCH(N771, {"Januari";"Februari";"Maret";"April";"Mei";"Juni";"Juli";"Agustus";"September";"Oktober";"November";"Desember"},0)
        &lt;= MONTH(TODAY()),
        "LULUS",
        "AKTIF"),
 "AKTIF"))</f>
        <v>AKTIF</v>
      </c>
      <c r="U771" s="16" t="s">
        <v>2945</v>
      </c>
      <c r="V771" s="15"/>
      <c r="W771" s="15"/>
      <c r="X771" s="15"/>
      <c r="Y771" s="15"/>
      <c r="Z771" s="15"/>
    </row>
    <row r="772" spans="1:26" ht="29" customHeight="1" x14ac:dyDescent="0.35">
      <c r="A772" s="12">
        <v>771</v>
      </c>
      <c r="B772" s="25" t="s">
        <v>2409</v>
      </c>
      <c r="C772" s="26" t="s">
        <v>2410</v>
      </c>
      <c r="D772" s="25" t="s">
        <v>211</v>
      </c>
      <c r="E772" s="14" t="str">
        <f t="shared" si="15"/>
        <v>Perempuan</v>
      </c>
      <c r="F772" s="33" t="s">
        <v>2377</v>
      </c>
      <c r="G772" s="25" t="s">
        <v>2350</v>
      </c>
      <c r="H772" s="19" t="s">
        <v>1658</v>
      </c>
      <c r="I772" s="19" t="s">
        <v>90</v>
      </c>
      <c r="J772" s="32" t="s">
        <v>486</v>
      </c>
      <c r="K772" s="28" t="s">
        <v>394</v>
      </c>
      <c r="L772" s="70" t="s">
        <v>35</v>
      </c>
      <c r="M772" s="15">
        <v>2025</v>
      </c>
      <c r="N772" s="15" t="s">
        <v>123</v>
      </c>
      <c r="O772" s="15">
        <v>2027</v>
      </c>
      <c r="P772" s="15">
        <v>2025</v>
      </c>
      <c r="Q772" s="15"/>
      <c r="R772" s="16"/>
      <c r="S772" s="16" t="str">
        <f ca="1">IF(
  O772 &lt; YEAR(TODAY()),
  "LULUS",
  IF(
    O772 = YEAR(TODAY()),
    IF(
      MATCH(L772, {"Januari";"Februari";"Maret";"April";"Mei";"Juni";"Juli";"Agustus";"September";"Oktober";"November";"Desember"}, 0)
        &gt;= MONTH(TODAY()),
      "AKTIF (Semester " &amp;
        (INT((12*(YEAR(TODAY())-M772) + MONTH(TODAY()) -
          MATCH(L772, {"Januari";"Februari";"Maret";"April";"Mei";"Juni";"Juli";"Agustus";"September";"Oktober";"November";"Desember"}, 0)) / 6) + 1) &amp; ")",
      "LULUS"
    ),
    "AKTIF (Semester " &amp;
      (INT((12*(YEAR(TODAY())-M772) + MONTH(TODAY()) -
        MATCH(L772, {"Januari";"Februari";"Maret";"April";"Mei";"Juni";"Juli";"Agustus";"September";"Oktober";"November";"Desember"}, 0)) / 6) + 1) &amp; ")"
  )
)</f>
        <v>AKTIF (Semester 2)</v>
      </c>
      <c r="T772" s="16" t="str">
        <f ca="1">IF(O772 &lt; YEAR(TODAY()), "LULUS",
 IF(O772 = YEAR(TODAY()),
    IF(MATCH(N772, {"Januari";"Februari";"Maret";"April";"Mei";"Juni";"Juli";"Agustus";"September";"Oktober";"November";"Desember"},0)
        &lt;= MONTH(TODAY()),
        "LULUS",
        "AKTIF"),
 "AKTIF"))</f>
        <v>AKTIF</v>
      </c>
      <c r="U772" s="16" t="s">
        <v>2945</v>
      </c>
      <c r="V772" s="15"/>
      <c r="W772" s="15"/>
      <c r="X772" s="15"/>
      <c r="Y772" s="15"/>
      <c r="Z772" s="15"/>
    </row>
    <row r="773" spans="1:26" ht="29" customHeight="1" x14ac:dyDescent="0.35">
      <c r="A773" s="12">
        <v>772</v>
      </c>
      <c r="B773" s="25" t="s">
        <v>2411</v>
      </c>
      <c r="C773" s="26" t="s">
        <v>2412</v>
      </c>
      <c r="D773" s="25" t="s">
        <v>507</v>
      </c>
      <c r="E773" s="14" t="str">
        <f t="shared" si="15"/>
        <v>Perempuan</v>
      </c>
      <c r="F773" s="33" t="s">
        <v>1791</v>
      </c>
      <c r="G773" s="25" t="s">
        <v>2350</v>
      </c>
      <c r="H773" s="19" t="s">
        <v>1772</v>
      </c>
      <c r="I773" s="19" t="s">
        <v>90</v>
      </c>
      <c r="J773" s="32" t="s">
        <v>486</v>
      </c>
      <c r="K773" s="28" t="s">
        <v>394</v>
      </c>
      <c r="L773" s="70" t="s">
        <v>35</v>
      </c>
      <c r="M773" s="15">
        <v>2025</v>
      </c>
      <c r="N773" s="15" t="s">
        <v>123</v>
      </c>
      <c r="O773" s="15">
        <v>2027</v>
      </c>
      <c r="P773" s="15">
        <v>2025</v>
      </c>
      <c r="Q773" s="15"/>
      <c r="R773" s="16"/>
      <c r="S773" s="16" t="str">
        <f ca="1">IF(
  O773 &lt; YEAR(TODAY()),
  "LULUS",
  IF(
    O773 = YEAR(TODAY()),
    IF(
      MATCH(L773, {"Januari";"Februari";"Maret";"April";"Mei";"Juni";"Juli";"Agustus";"September";"Oktober";"November";"Desember"}, 0)
        &gt;= MONTH(TODAY()),
      "AKTIF (Semester " &amp;
        (INT((12*(YEAR(TODAY())-M773) + MONTH(TODAY()) -
          MATCH(L773, {"Januari";"Februari";"Maret";"April";"Mei";"Juni";"Juli";"Agustus";"September";"Oktober";"November";"Desember"}, 0)) / 6) + 1) &amp; ")",
      "LULUS"
    ),
    "AKTIF (Semester " &amp;
      (INT((12*(YEAR(TODAY())-M773) + MONTH(TODAY()) -
        MATCH(L773, {"Januari";"Februari";"Maret";"April";"Mei";"Juni";"Juli";"Agustus";"September";"Oktober";"November";"Desember"}, 0)) / 6) + 1) &amp; ")"
  )
)</f>
        <v>AKTIF (Semester 2)</v>
      </c>
      <c r="T773" s="16" t="str">
        <f ca="1">IF(O773 &lt; YEAR(TODAY()), "LULUS",
 IF(O773 = YEAR(TODAY()),
    IF(MATCH(N773, {"Januari";"Februari";"Maret";"April";"Mei";"Juni";"Juli";"Agustus";"September";"Oktober";"November";"Desember"},0)
        &lt;= MONTH(TODAY()),
        "LULUS",
        "AKTIF"),
 "AKTIF"))</f>
        <v>AKTIF</v>
      </c>
      <c r="U773" s="16" t="s">
        <v>2945</v>
      </c>
      <c r="V773" s="15"/>
      <c r="W773" s="15"/>
      <c r="X773" s="15"/>
      <c r="Y773" s="15"/>
      <c r="Z773" s="15"/>
    </row>
    <row r="774" spans="1:26" ht="29" customHeight="1" x14ac:dyDescent="0.35">
      <c r="A774" s="12">
        <v>773</v>
      </c>
      <c r="B774" s="25" t="s">
        <v>2413</v>
      </c>
      <c r="C774" s="26" t="s">
        <v>2414</v>
      </c>
      <c r="D774" s="25" t="s">
        <v>188</v>
      </c>
      <c r="E774" s="14" t="str">
        <f t="shared" si="15"/>
        <v>Perempuan</v>
      </c>
      <c r="F774" s="33" t="s">
        <v>2377</v>
      </c>
      <c r="G774" s="25" t="s">
        <v>2350</v>
      </c>
      <c r="H774" s="19" t="s">
        <v>1772</v>
      </c>
      <c r="I774" s="19" t="s">
        <v>90</v>
      </c>
      <c r="J774" s="32" t="s">
        <v>486</v>
      </c>
      <c r="K774" s="28" t="s">
        <v>394</v>
      </c>
      <c r="L774" s="70" t="s">
        <v>890</v>
      </c>
      <c r="M774" s="15">
        <v>2025</v>
      </c>
      <c r="N774" s="15" t="s">
        <v>118</v>
      </c>
      <c r="O774" s="15">
        <v>2027</v>
      </c>
      <c r="P774" s="15">
        <v>2025</v>
      </c>
      <c r="Q774" s="15"/>
      <c r="R774" s="16"/>
      <c r="S774" s="16" t="str">
        <f ca="1">IF(
  O774 &lt; YEAR(TODAY()),
  "LULUS",
  IF(
    O774 = YEAR(TODAY()),
    IF(
      MATCH(L774, {"Januari";"Februari";"Maret";"April";"Mei";"Juni";"Juli";"Agustus";"September";"Oktober";"November";"Desember"}, 0)
        &gt;= MONTH(TODAY()),
      "AKTIF (Semester " &amp;
        (INT((12*(YEAR(TODAY())-M774) + MONTH(TODAY()) -
          MATCH(L774, {"Januari";"Februari";"Maret";"April";"Mei";"Juni";"Juli";"Agustus";"September";"Oktober";"November";"Desember"}, 0)) / 6) + 1) &amp; ")",
      "LULUS"
    ),
    "AKTIF (Semester " &amp;
      (INT((12*(YEAR(TODAY())-M774) + MONTH(TODAY()) -
        MATCH(L774, {"Januari";"Februari";"Maret";"April";"Mei";"Juni";"Juli";"Agustus";"September";"Oktober";"November";"Desember"}, 0)) / 6) + 1) &amp; ")"
  )
)</f>
        <v>AKTIF (Semester 2)</v>
      </c>
      <c r="T774" s="16" t="str">
        <f ca="1">IF(O774 &lt; YEAR(TODAY()), "LULUS",
 IF(O774 = YEAR(TODAY()),
    IF(MATCH(N774, {"Januari";"Februari";"Maret";"April";"Mei";"Juni";"Juli";"Agustus";"September";"Oktober";"November";"Desember"},0)
        &lt;= MONTH(TODAY()),
        "LULUS",
        "AKTIF"),
 "AKTIF"))</f>
        <v>AKTIF</v>
      </c>
      <c r="U774" s="16" t="s">
        <v>2945</v>
      </c>
      <c r="V774" s="15"/>
      <c r="W774" s="15"/>
      <c r="X774" s="15"/>
      <c r="Y774" s="15"/>
      <c r="Z774" s="15"/>
    </row>
    <row r="775" spans="1:26" ht="29" customHeight="1" x14ac:dyDescent="0.35">
      <c r="A775" s="12">
        <v>774</v>
      </c>
      <c r="B775" s="25" t="s">
        <v>2415</v>
      </c>
      <c r="C775" s="26" t="s">
        <v>2416</v>
      </c>
      <c r="D775" s="25" t="s">
        <v>188</v>
      </c>
      <c r="E775" s="14" t="str">
        <f t="shared" si="15"/>
        <v>Laki-Laki</v>
      </c>
      <c r="F775" s="33" t="s">
        <v>2377</v>
      </c>
      <c r="G775" s="25" t="s">
        <v>2350</v>
      </c>
      <c r="H775" s="19" t="s">
        <v>1772</v>
      </c>
      <c r="I775" s="19" t="s">
        <v>90</v>
      </c>
      <c r="J775" s="32" t="s">
        <v>486</v>
      </c>
      <c r="K775" s="28" t="s">
        <v>394</v>
      </c>
      <c r="L775" s="70" t="s">
        <v>35</v>
      </c>
      <c r="M775" s="15">
        <v>2025</v>
      </c>
      <c r="N775" s="15" t="s">
        <v>123</v>
      </c>
      <c r="O775" s="15">
        <v>2027</v>
      </c>
      <c r="P775" s="15">
        <v>2025</v>
      </c>
      <c r="Q775" s="15"/>
      <c r="R775" s="16"/>
      <c r="S775" s="16" t="str">
        <f ca="1">IF(
  O775 &lt; YEAR(TODAY()),
  "LULUS",
  IF(
    O775 = YEAR(TODAY()),
    IF(
      MATCH(L775, {"Januari";"Februari";"Maret";"April";"Mei";"Juni";"Juli";"Agustus";"September";"Oktober";"November";"Desember"}, 0)
        &gt;= MONTH(TODAY()),
      "AKTIF (Semester " &amp;
        (INT((12*(YEAR(TODAY())-M775) + MONTH(TODAY()) -
          MATCH(L775, {"Januari";"Februari";"Maret";"April";"Mei";"Juni";"Juli";"Agustus";"September";"Oktober";"November";"Desember"}, 0)) / 6) + 1) &amp; ")",
      "LULUS"
    ),
    "AKTIF (Semester " &amp;
      (INT((12*(YEAR(TODAY())-M775) + MONTH(TODAY()) -
        MATCH(L775, {"Januari";"Februari";"Maret";"April";"Mei";"Juni";"Juli";"Agustus";"September";"Oktober";"November";"Desember"}, 0)) / 6) + 1) &amp; ")"
  )
)</f>
        <v>AKTIF (Semester 2)</v>
      </c>
      <c r="T775" s="16" t="str">
        <f ca="1">IF(O775 &lt; YEAR(TODAY()), "LULUS",
 IF(O775 = YEAR(TODAY()),
    IF(MATCH(N775, {"Januari";"Februari";"Maret";"April";"Mei";"Juni";"Juli";"Agustus";"September";"Oktober";"November";"Desember"},0)
        &lt;= MONTH(TODAY()),
        "LULUS",
        "AKTIF"),
 "AKTIF"))</f>
        <v>AKTIF</v>
      </c>
      <c r="U775" s="16" t="s">
        <v>2945</v>
      </c>
      <c r="V775" s="15"/>
      <c r="W775" s="15"/>
      <c r="X775" s="15"/>
      <c r="Y775" s="15"/>
      <c r="Z775" s="15"/>
    </row>
    <row r="776" spans="1:26" ht="29" customHeight="1" x14ac:dyDescent="0.35">
      <c r="A776" s="12">
        <v>775</v>
      </c>
      <c r="B776" s="25" t="s">
        <v>2417</v>
      </c>
      <c r="C776" s="26" t="s">
        <v>2418</v>
      </c>
      <c r="D776" s="25" t="s">
        <v>211</v>
      </c>
      <c r="E776" s="14" t="str">
        <f t="shared" si="15"/>
        <v>Laki-Laki</v>
      </c>
      <c r="F776" s="33" t="s">
        <v>2377</v>
      </c>
      <c r="G776" s="25" t="s">
        <v>2350</v>
      </c>
      <c r="H776" s="19" t="s">
        <v>1772</v>
      </c>
      <c r="I776" s="19" t="s">
        <v>90</v>
      </c>
      <c r="J776" s="32" t="s">
        <v>486</v>
      </c>
      <c r="K776" s="28" t="s">
        <v>394</v>
      </c>
      <c r="L776" s="86" t="s">
        <v>72</v>
      </c>
      <c r="M776" s="15">
        <v>2025</v>
      </c>
      <c r="N776" s="15" t="s">
        <v>462</v>
      </c>
      <c r="O776" s="15">
        <v>2027</v>
      </c>
      <c r="P776" s="15">
        <v>2025</v>
      </c>
      <c r="Q776" s="15"/>
      <c r="R776" s="16"/>
      <c r="S776" s="16" t="str">
        <f ca="1">IF(
  O776 &lt; YEAR(TODAY()),
  "LULUS",
  IF(
    O776 = YEAR(TODAY()),
    IF(
      MATCH(L776, {"Januari";"Februari";"Maret";"April";"Mei";"Juni";"Juli";"Agustus";"September";"Oktober";"November";"Desember"}, 0)
        &gt;= MONTH(TODAY()),
      "AKTIF (Semester " &amp;
        (INT((12*(YEAR(TODAY())-M776) + MONTH(TODAY()) -
          MATCH(L776, {"Januari";"Februari";"Maret";"April";"Mei";"Juni";"Juli";"Agustus";"September";"Oktober";"November";"Desember"}, 0)) / 6) + 1) &amp; ")",
      "LULUS"
    ),
    "AKTIF (Semester " &amp;
      (INT((12*(YEAR(TODAY())-M776) + MONTH(TODAY()) -
        MATCH(L776, {"Januari";"Februari";"Maret";"April";"Mei";"Juni";"Juli";"Agustus";"September";"Oktober";"November";"Desember"}, 0)) / 6) + 1) &amp; ")"
  )
)</f>
        <v>AKTIF (Semester 2)</v>
      </c>
      <c r="T776" s="16" t="str">
        <f ca="1">IF(O776 &lt; YEAR(TODAY()), "LULUS",
 IF(O776 = YEAR(TODAY()),
    IF(MATCH(N776, {"Januari";"Februari";"Maret";"April";"Mei";"Juni";"Juli";"Agustus";"September";"Oktober";"November";"Desember"},0)
        &lt;= MONTH(TODAY()),
        "LULUS",
        "AKTIF"),
 "AKTIF"))</f>
        <v>AKTIF</v>
      </c>
      <c r="U776" s="16" t="s">
        <v>2945</v>
      </c>
      <c r="V776" s="15"/>
      <c r="W776" s="15"/>
      <c r="X776" s="15"/>
      <c r="Y776" s="15"/>
      <c r="Z776" s="15"/>
    </row>
    <row r="777" spans="1:26" ht="29" customHeight="1" x14ac:dyDescent="0.35">
      <c r="A777" s="12">
        <v>776</v>
      </c>
      <c r="B777" s="25" t="s">
        <v>2419</v>
      </c>
      <c r="C777" s="26" t="s">
        <v>2420</v>
      </c>
      <c r="D777" s="25" t="s">
        <v>188</v>
      </c>
      <c r="E777" s="14" t="str">
        <f t="shared" si="15"/>
        <v>Laki-Laki</v>
      </c>
      <c r="F777" s="33" t="s">
        <v>2377</v>
      </c>
      <c r="G777" s="25" t="s">
        <v>2350</v>
      </c>
      <c r="H777" s="19" t="s">
        <v>1772</v>
      </c>
      <c r="I777" s="19" t="s">
        <v>90</v>
      </c>
      <c r="J777" s="32" t="s">
        <v>486</v>
      </c>
      <c r="K777" s="28" t="s">
        <v>394</v>
      </c>
      <c r="L777" s="70" t="s">
        <v>35</v>
      </c>
      <c r="M777" s="15">
        <v>2025</v>
      </c>
      <c r="N777" s="15" t="s">
        <v>123</v>
      </c>
      <c r="O777" s="15">
        <v>2027</v>
      </c>
      <c r="P777" s="15">
        <v>2025</v>
      </c>
      <c r="Q777" s="15"/>
      <c r="R777" s="16"/>
      <c r="S777" s="16" t="str">
        <f ca="1">IF(
  O777 &lt; YEAR(TODAY()),
  "LULUS",
  IF(
    O777 = YEAR(TODAY()),
    IF(
      MATCH(L777, {"Januari";"Februari";"Maret";"April";"Mei";"Juni";"Juli";"Agustus";"September";"Oktober";"November";"Desember"}, 0)
        &gt;= MONTH(TODAY()),
      "AKTIF (Semester " &amp;
        (INT((12*(YEAR(TODAY())-M777) + MONTH(TODAY()) -
          MATCH(L777, {"Januari";"Februari";"Maret";"April";"Mei";"Juni";"Juli";"Agustus";"September";"Oktober";"November";"Desember"}, 0)) / 6) + 1) &amp; ")",
      "LULUS"
    ),
    "AKTIF (Semester " &amp;
      (INT((12*(YEAR(TODAY())-M777) + MONTH(TODAY()) -
        MATCH(L777, {"Januari";"Februari";"Maret";"April";"Mei";"Juni";"Juli";"Agustus";"September";"Oktober";"November";"Desember"}, 0)) / 6) + 1) &amp; ")"
  )
)</f>
        <v>AKTIF (Semester 2)</v>
      </c>
      <c r="T777" s="16" t="str">
        <f ca="1">IF(O777 &lt; YEAR(TODAY()), "LULUS",
 IF(O777 = YEAR(TODAY()),
    IF(MATCH(N777, {"Januari";"Februari";"Maret";"April";"Mei";"Juni";"Juli";"Agustus";"September";"Oktober";"November";"Desember"},0)
        &lt;= MONTH(TODAY()),
        "LULUS",
        "AKTIF"),
 "AKTIF"))</f>
        <v>AKTIF</v>
      </c>
      <c r="U777" s="16" t="s">
        <v>2945</v>
      </c>
      <c r="V777" s="15"/>
      <c r="W777" s="15"/>
      <c r="X777" s="15"/>
      <c r="Y777" s="15"/>
      <c r="Z777" s="15"/>
    </row>
    <row r="778" spans="1:26" ht="29" customHeight="1" x14ac:dyDescent="0.35">
      <c r="A778" s="12">
        <v>777</v>
      </c>
      <c r="B778" s="25" t="s">
        <v>2421</v>
      </c>
      <c r="C778" s="26" t="s">
        <v>2422</v>
      </c>
      <c r="D778" s="25" t="s">
        <v>188</v>
      </c>
      <c r="E778" s="14" t="str">
        <f t="shared" si="15"/>
        <v>Perempuan</v>
      </c>
      <c r="F778" s="33" t="s">
        <v>2377</v>
      </c>
      <c r="G778" s="25" t="s">
        <v>2350</v>
      </c>
      <c r="H778" s="19" t="s">
        <v>1772</v>
      </c>
      <c r="I778" s="19" t="s">
        <v>90</v>
      </c>
      <c r="J778" s="32" t="s">
        <v>486</v>
      </c>
      <c r="K778" s="28" t="s">
        <v>394</v>
      </c>
      <c r="L778" s="70" t="s">
        <v>35</v>
      </c>
      <c r="M778" s="15">
        <v>2025</v>
      </c>
      <c r="N778" s="15" t="s">
        <v>123</v>
      </c>
      <c r="O778" s="15">
        <v>2027</v>
      </c>
      <c r="P778" s="15">
        <v>2025</v>
      </c>
      <c r="Q778" s="15"/>
      <c r="R778" s="16"/>
      <c r="S778" s="16" t="str">
        <f ca="1">IF(
  O778 &lt; YEAR(TODAY()),
  "LULUS",
  IF(
    O778 = YEAR(TODAY()),
    IF(
      MATCH(L778, {"Januari";"Februari";"Maret";"April";"Mei";"Juni";"Juli";"Agustus";"September";"Oktober";"November";"Desember"}, 0)
        &gt;= MONTH(TODAY()),
      "AKTIF (Semester " &amp;
        (INT((12*(YEAR(TODAY())-M778) + MONTH(TODAY()) -
          MATCH(L778, {"Januari";"Februari";"Maret";"April";"Mei";"Juni";"Juli";"Agustus";"September";"Oktober";"November";"Desember"}, 0)) / 6) + 1) &amp; ")",
      "LULUS"
    ),
    "AKTIF (Semester " &amp;
      (INT((12*(YEAR(TODAY())-M778) + MONTH(TODAY()) -
        MATCH(L778, {"Januari";"Februari";"Maret";"April";"Mei";"Juni";"Juli";"Agustus";"September";"Oktober";"November";"Desember"}, 0)) / 6) + 1) &amp; ")"
  )
)</f>
        <v>AKTIF (Semester 2)</v>
      </c>
      <c r="T778" s="16" t="str">
        <f ca="1">IF(O778 &lt; YEAR(TODAY()), "LULUS",
 IF(O778 = YEAR(TODAY()),
    IF(MATCH(N778, {"Januari";"Februari";"Maret";"April";"Mei";"Juni";"Juli";"Agustus";"September";"Oktober";"November";"Desember"},0)
        &lt;= MONTH(TODAY()),
        "LULUS",
        "AKTIF"),
 "AKTIF"))</f>
        <v>AKTIF</v>
      </c>
      <c r="U778" s="16" t="s">
        <v>2945</v>
      </c>
      <c r="V778" s="15"/>
      <c r="W778" s="15"/>
      <c r="X778" s="15"/>
      <c r="Y778" s="15"/>
      <c r="Z778" s="15"/>
    </row>
    <row r="779" spans="1:26" ht="29" customHeight="1" x14ac:dyDescent="0.35">
      <c r="A779" s="12">
        <v>778</v>
      </c>
      <c r="B779" s="25" t="s">
        <v>2423</v>
      </c>
      <c r="C779" s="26" t="s">
        <v>2424</v>
      </c>
      <c r="D779" s="25" t="s">
        <v>188</v>
      </c>
      <c r="E779" s="14" t="str">
        <f t="shared" si="15"/>
        <v>Perempuan</v>
      </c>
      <c r="F779" s="33" t="s">
        <v>2377</v>
      </c>
      <c r="G779" s="25" t="s">
        <v>2350</v>
      </c>
      <c r="H779" s="19" t="s">
        <v>1772</v>
      </c>
      <c r="I779" s="19" t="s">
        <v>90</v>
      </c>
      <c r="J779" s="32" t="s">
        <v>486</v>
      </c>
      <c r="K779" s="28" t="s">
        <v>394</v>
      </c>
      <c r="L779" s="70" t="s">
        <v>35</v>
      </c>
      <c r="M779" s="15">
        <v>2025</v>
      </c>
      <c r="N779" s="15" t="s">
        <v>123</v>
      </c>
      <c r="O779" s="15">
        <v>2027</v>
      </c>
      <c r="P779" s="15">
        <v>2025</v>
      </c>
      <c r="Q779" s="15"/>
      <c r="R779" s="16"/>
      <c r="S779" s="16" t="str">
        <f ca="1">IF(
  O779 &lt; YEAR(TODAY()),
  "LULUS",
  IF(
    O779 = YEAR(TODAY()),
    IF(
      MATCH(L779, {"Januari";"Februari";"Maret";"April";"Mei";"Juni";"Juli";"Agustus";"September";"Oktober";"November";"Desember"}, 0)
        &gt;= MONTH(TODAY()),
      "AKTIF (Semester " &amp;
        (INT((12*(YEAR(TODAY())-M779) + MONTH(TODAY()) -
          MATCH(L779, {"Januari";"Februari";"Maret";"April";"Mei";"Juni";"Juli";"Agustus";"September";"Oktober";"November";"Desember"}, 0)) / 6) + 1) &amp; ")",
      "LULUS"
    ),
    "AKTIF (Semester " &amp;
      (INT((12*(YEAR(TODAY())-M779) + MONTH(TODAY()) -
        MATCH(L779, {"Januari";"Februari";"Maret";"April";"Mei";"Juni";"Juli";"Agustus";"September";"Oktober";"November";"Desember"}, 0)) / 6) + 1) &amp; ")"
  )
)</f>
        <v>AKTIF (Semester 2)</v>
      </c>
      <c r="T779" s="16" t="str">
        <f ca="1">IF(O779 &lt; YEAR(TODAY()), "LULUS",
 IF(O779 = YEAR(TODAY()),
    IF(MATCH(N779, {"Januari";"Februari";"Maret";"April";"Mei";"Juni";"Juli";"Agustus";"September";"Oktober";"November";"Desember"},0)
        &lt;= MONTH(TODAY()),
        "LULUS",
        "AKTIF"),
 "AKTIF"))</f>
        <v>AKTIF</v>
      </c>
      <c r="U779" s="16" t="s">
        <v>2945</v>
      </c>
      <c r="V779" s="15"/>
      <c r="W779" s="15"/>
      <c r="X779" s="15"/>
      <c r="Y779" s="15"/>
      <c r="Z779" s="15"/>
    </row>
    <row r="780" spans="1:26" ht="29" customHeight="1" x14ac:dyDescent="0.35">
      <c r="A780" s="12">
        <v>779</v>
      </c>
      <c r="B780" s="25" t="s">
        <v>2425</v>
      </c>
      <c r="C780" s="26" t="s">
        <v>2426</v>
      </c>
      <c r="D780" s="25" t="s">
        <v>188</v>
      </c>
      <c r="E780" s="14" t="str">
        <f t="shared" si="15"/>
        <v>Perempuan</v>
      </c>
      <c r="F780" s="33" t="s">
        <v>2377</v>
      </c>
      <c r="G780" s="25" t="s">
        <v>2350</v>
      </c>
      <c r="H780" s="19" t="s">
        <v>1772</v>
      </c>
      <c r="I780" s="19" t="s">
        <v>90</v>
      </c>
      <c r="J780" s="32" t="s">
        <v>486</v>
      </c>
      <c r="K780" s="28" t="s">
        <v>394</v>
      </c>
      <c r="L780" s="70" t="s">
        <v>35</v>
      </c>
      <c r="M780" s="15">
        <v>2025</v>
      </c>
      <c r="N780" s="15" t="s">
        <v>123</v>
      </c>
      <c r="O780" s="15">
        <v>2027</v>
      </c>
      <c r="P780" s="15">
        <v>2025</v>
      </c>
      <c r="Q780" s="15"/>
      <c r="R780" s="16"/>
      <c r="S780" s="16" t="str">
        <f ca="1">IF(
  O780 &lt; YEAR(TODAY()),
  "LULUS",
  IF(
    O780 = YEAR(TODAY()),
    IF(
      MATCH(L780, {"Januari";"Februari";"Maret";"April";"Mei";"Juni";"Juli";"Agustus";"September";"Oktober";"November";"Desember"}, 0)
        &gt;= MONTH(TODAY()),
      "AKTIF (Semester " &amp;
        (INT((12*(YEAR(TODAY())-M780) + MONTH(TODAY()) -
          MATCH(L780, {"Januari";"Februari";"Maret";"April";"Mei";"Juni";"Juli";"Agustus";"September";"Oktober";"November";"Desember"}, 0)) / 6) + 1) &amp; ")",
      "LULUS"
    ),
    "AKTIF (Semester " &amp;
      (INT((12*(YEAR(TODAY())-M780) + MONTH(TODAY()) -
        MATCH(L780, {"Januari";"Februari";"Maret";"April";"Mei";"Juni";"Juli";"Agustus";"September";"Oktober";"November";"Desember"}, 0)) / 6) + 1) &amp; ")"
  )
)</f>
        <v>AKTIF (Semester 2)</v>
      </c>
      <c r="T780" s="16" t="str">
        <f ca="1">IF(O780 &lt; YEAR(TODAY()), "LULUS",
 IF(O780 = YEAR(TODAY()),
    IF(MATCH(N780, {"Januari";"Februari";"Maret";"April";"Mei";"Juni";"Juli";"Agustus";"September";"Oktober";"November";"Desember"},0)
        &lt;= MONTH(TODAY()),
        "LULUS",
        "AKTIF"),
 "AKTIF"))</f>
        <v>AKTIF</v>
      </c>
      <c r="U780" s="16" t="s">
        <v>2945</v>
      </c>
      <c r="V780" s="15"/>
      <c r="W780" s="15"/>
      <c r="X780" s="15"/>
      <c r="Y780" s="15"/>
      <c r="Z780" s="15"/>
    </row>
    <row r="781" spans="1:26" ht="29" customHeight="1" x14ac:dyDescent="0.35">
      <c r="A781" s="12">
        <v>780</v>
      </c>
      <c r="B781" s="25" t="s">
        <v>2427</v>
      </c>
      <c r="C781" s="26" t="s">
        <v>2428</v>
      </c>
      <c r="D781" s="25" t="s">
        <v>188</v>
      </c>
      <c r="E781" s="14" t="str">
        <f t="shared" si="15"/>
        <v>Perempuan</v>
      </c>
      <c r="F781" s="33" t="s">
        <v>2377</v>
      </c>
      <c r="G781" s="25" t="s">
        <v>2350</v>
      </c>
      <c r="H781" s="19" t="s">
        <v>1772</v>
      </c>
      <c r="I781" s="19" t="s">
        <v>90</v>
      </c>
      <c r="J781" s="32" t="s">
        <v>486</v>
      </c>
      <c r="K781" s="28" t="s">
        <v>394</v>
      </c>
      <c r="L781" s="86" t="s">
        <v>72</v>
      </c>
      <c r="M781" s="15">
        <v>2025</v>
      </c>
      <c r="N781" s="15" t="s">
        <v>462</v>
      </c>
      <c r="O781" s="15">
        <v>2027</v>
      </c>
      <c r="P781" s="15">
        <v>2025</v>
      </c>
      <c r="Q781" s="15"/>
      <c r="R781" s="16"/>
      <c r="S781" s="16" t="str">
        <f ca="1">IF(
  O781 &lt; YEAR(TODAY()),
  "LULUS",
  IF(
    O781 = YEAR(TODAY()),
    IF(
      MATCH(L781, {"Januari";"Februari";"Maret";"April";"Mei";"Juni";"Juli";"Agustus";"September";"Oktober";"November";"Desember"}, 0)
        &gt;= MONTH(TODAY()),
      "AKTIF (Semester " &amp;
        (INT((12*(YEAR(TODAY())-M781) + MONTH(TODAY()) -
          MATCH(L781, {"Januari";"Februari";"Maret";"April";"Mei";"Juni";"Juli";"Agustus";"September";"Oktober";"November";"Desember"}, 0)) / 6) + 1) &amp; ")",
      "LULUS"
    ),
    "AKTIF (Semester " &amp;
      (INT((12*(YEAR(TODAY())-M781) + MONTH(TODAY()) -
        MATCH(L781, {"Januari";"Februari";"Maret";"April";"Mei";"Juni";"Juli";"Agustus";"September";"Oktober";"November";"Desember"}, 0)) / 6) + 1) &amp; ")"
  )
)</f>
        <v>AKTIF (Semester 2)</v>
      </c>
      <c r="T781" s="16" t="str">
        <f ca="1">IF(O781 &lt; YEAR(TODAY()), "LULUS",
 IF(O781 = YEAR(TODAY()),
    IF(MATCH(N781, {"Januari";"Februari";"Maret";"April";"Mei";"Juni";"Juli";"Agustus";"September";"Oktober";"November";"Desember"},0)
        &lt;= MONTH(TODAY()),
        "LULUS",
        "AKTIF"),
 "AKTIF"))</f>
        <v>AKTIF</v>
      </c>
      <c r="U781" s="16" t="s">
        <v>2945</v>
      </c>
      <c r="V781" s="15"/>
      <c r="W781" s="15"/>
      <c r="X781" s="15"/>
      <c r="Y781" s="15"/>
      <c r="Z781" s="15"/>
    </row>
    <row r="782" spans="1:26" ht="29" customHeight="1" x14ac:dyDescent="0.35">
      <c r="A782" s="12">
        <v>781</v>
      </c>
      <c r="B782" s="25" t="s">
        <v>2429</v>
      </c>
      <c r="C782" s="26" t="s">
        <v>2430</v>
      </c>
      <c r="D782" s="25" t="s">
        <v>188</v>
      </c>
      <c r="E782" s="14" t="str">
        <f t="shared" si="15"/>
        <v>Perempuan</v>
      </c>
      <c r="F782" s="33" t="s">
        <v>2377</v>
      </c>
      <c r="G782" s="25" t="s">
        <v>2350</v>
      </c>
      <c r="H782" s="19" t="s">
        <v>1772</v>
      </c>
      <c r="I782" s="19" t="s">
        <v>90</v>
      </c>
      <c r="J782" s="32" t="s">
        <v>486</v>
      </c>
      <c r="K782" s="28" t="s">
        <v>394</v>
      </c>
      <c r="L782" s="70" t="s">
        <v>35</v>
      </c>
      <c r="M782" s="15">
        <v>2025</v>
      </c>
      <c r="N782" s="15" t="s">
        <v>123</v>
      </c>
      <c r="O782" s="15">
        <v>2027</v>
      </c>
      <c r="P782" s="15">
        <v>2025</v>
      </c>
      <c r="Q782" s="15"/>
      <c r="R782" s="16"/>
      <c r="S782" s="16" t="str">
        <f ca="1">IF(
  O782 &lt; YEAR(TODAY()),
  "LULUS",
  IF(
    O782 = YEAR(TODAY()),
    IF(
      MATCH(L782, {"Januari";"Februari";"Maret";"April";"Mei";"Juni";"Juli";"Agustus";"September";"Oktober";"November";"Desember"}, 0)
        &gt;= MONTH(TODAY()),
      "AKTIF (Semester " &amp;
        (INT((12*(YEAR(TODAY())-M782) + MONTH(TODAY()) -
          MATCH(L782, {"Januari";"Februari";"Maret";"April";"Mei";"Juni";"Juli";"Agustus";"September";"Oktober";"November";"Desember"}, 0)) / 6) + 1) &amp; ")",
      "LULUS"
    ),
    "AKTIF (Semester " &amp;
      (INT((12*(YEAR(TODAY())-M782) + MONTH(TODAY()) -
        MATCH(L782, {"Januari";"Februari";"Maret";"April";"Mei";"Juni";"Juli";"Agustus";"September";"Oktober";"November";"Desember"}, 0)) / 6) + 1) &amp; ")"
  )
)</f>
        <v>AKTIF (Semester 2)</v>
      </c>
      <c r="T782" s="16" t="str">
        <f ca="1">IF(O782 &lt; YEAR(TODAY()), "LULUS",
 IF(O782 = YEAR(TODAY()),
    IF(MATCH(N782, {"Januari";"Februari";"Maret";"April";"Mei";"Juni";"Juli";"Agustus";"September";"Oktober";"November";"Desember"},0)
        &lt;= MONTH(TODAY()),
        "LULUS",
        "AKTIF"),
 "AKTIF"))</f>
        <v>AKTIF</v>
      </c>
      <c r="U782" s="16" t="s">
        <v>2945</v>
      </c>
      <c r="V782" s="15"/>
      <c r="W782" s="15"/>
      <c r="X782" s="15"/>
      <c r="Y782" s="15"/>
      <c r="Z782" s="15"/>
    </row>
    <row r="783" spans="1:26" ht="29" customHeight="1" x14ac:dyDescent="0.35">
      <c r="A783" s="12">
        <v>782</v>
      </c>
      <c r="B783" s="25" t="s">
        <v>2431</v>
      </c>
      <c r="C783" s="26" t="s">
        <v>2432</v>
      </c>
      <c r="D783" s="25" t="s">
        <v>211</v>
      </c>
      <c r="E783" s="14" t="str">
        <f t="shared" si="15"/>
        <v>Perempuan</v>
      </c>
      <c r="F783" s="33" t="s">
        <v>2377</v>
      </c>
      <c r="G783" s="25" t="s">
        <v>2350</v>
      </c>
      <c r="H783" s="19" t="s">
        <v>1772</v>
      </c>
      <c r="I783" s="19" t="s">
        <v>90</v>
      </c>
      <c r="J783" s="32" t="s">
        <v>486</v>
      </c>
      <c r="K783" s="28" t="s">
        <v>394</v>
      </c>
      <c r="L783" s="70" t="s">
        <v>35</v>
      </c>
      <c r="M783" s="15">
        <v>2025</v>
      </c>
      <c r="N783" s="15" t="s">
        <v>123</v>
      </c>
      <c r="O783" s="15">
        <v>2027</v>
      </c>
      <c r="P783" s="15">
        <v>2025</v>
      </c>
      <c r="Q783" s="15"/>
      <c r="R783" s="16"/>
      <c r="S783" s="16" t="str">
        <f ca="1">IF(
  O783 &lt; YEAR(TODAY()),
  "LULUS",
  IF(
    O783 = YEAR(TODAY()),
    IF(
      MATCH(L783, {"Januari";"Februari";"Maret";"April";"Mei";"Juni";"Juli";"Agustus";"September";"Oktober";"November";"Desember"}, 0)
        &gt;= MONTH(TODAY()),
      "AKTIF (Semester " &amp;
        (INT((12*(YEAR(TODAY())-M783) + MONTH(TODAY()) -
          MATCH(L783, {"Januari";"Februari";"Maret";"April";"Mei";"Juni";"Juli";"Agustus";"September";"Oktober";"November";"Desember"}, 0)) / 6) + 1) &amp; ")",
      "LULUS"
    ),
    "AKTIF (Semester " &amp;
      (INT((12*(YEAR(TODAY())-M783) + MONTH(TODAY()) -
        MATCH(L783, {"Januari";"Februari";"Maret";"April";"Mei";"Juni";"Juli";"Agustus";"September";"Oktober";"November";"Desember"}, 0)) / 6) + 1) &amp; ")"
  )
)</f>
        <v>AKTIF (Semester 2)</v>
      </c>
      <c r="T783" s="16" t="str">
        <f ca="1">IF(O783 &lt; YEAR(TODAY()), "LULUS",
 IF(O783 = YEAR(TODAY()),
    IF(MATCH(N783, {"Januari";"Februari";"Maret";"April";"Mei";"Juni";"Juli";"Agustus";"September";"Oktober";"November";"Desember"},0)
        &lt;= MONTH(TODAY()),
        "LULUS",
        "AKTIF"),
 "AKTIF"))</f>
        <v>AKTIF</v>
      </c>
      <c r="U783" s="16" t="s">
        <v>2945</v>
      </c>
      <c r="V783" s="15"/>
      <c r="W783" s="15"/>
      <c r="X783" s="15"/>
      <c r="Y783" s="15"/>
      <c r="Z783" s="15"/>
    </row>
    <row r="784" spans="1:26" ht="29" customHeight="1" x14ac:dyDescent="0.35">
      <c r="A784" s="12">
        <v>783</v>
      </c>
      <c r="B784" s="25" t="s">
        <v>2433</v>
      </c>
      <c r="C784" s="26" t="s">
        <v>2434</v>
      </c>
      <c r="D784" s="25" t="s">
        <v>188</v>
      </c>
      <c r="E784" s="14" t="str">
        <f t="shared" si="15"/>
        <v>Laki-Laki</v>
      </c>
      <c r="F784" s="33" t="s">
        <v>2377</v>
      </c>
      <c r="G784" s="25" t="s">
        <v>2350</v>
      </c>
      <c r="H784" s="19" t="s">
        <v>1536</v>
      </c>
      <c r="I784" s="19" t="s">
        <v>788</v>
      </c>
      <c r="J784" s="32" t="s">
        <v>486</v>
      </c>
      <c r="K784" s="28" t="s">
        <v>407</v>
      </c>
      <c r="L784" s="70" t="s">
        <v>60</v>
      </c>
      <c r="M784" s="15">
        <v>2024</v>
      </c>
      <c r="N784" s="15" t="s">
        <v>145</v>
      </c>
      <c r="O784" s="15">
        <v>2026</v>
      </c>
      <c r="P784" s="15">
        <v>2025</v>
      </c>
      <c r="Q784" s="15"/>
      <c r="R784" s="16"/>
      <c r="S784" s="16" t="str">
        <f ca="1">IF(
  O784 &lt; YEAR(TODAY()),
  "LULUS",
  IF(
    O784 = YEAR(TODAY()),
    IF(
      MATCH(L784, {"Januari";"Februari";"Maret";"April";"Mei";"Juni";"Juli";"Agustus";"September";"Oktober";"November";"Desember"}, 0)
        &gt;= MONTH(TODAY()),
      "AKTIF (Semester " &amp;
        (INT((12*(YEAR(TODAY())-M784) + MONTH(TODAY()) -
          MATCH(L784, {"Januari";"Februari";"Maret";"April";"Mei";"Juni";"Juli";"Agustus";"September";"Oktober";"November";"Desember"}, 0)) / 6) + 1) &amp; ")",
      "LULUS"
    ),
    "AKTIF (Semester " &amp;
      (INT((12*(YEAR(TODAY())-M784) + MONTH(TODAY()) -
        MATCH(L784, {"Januari";"Februari";"Maret";"April";"Mei";"Juni";"Juli";"Agustus";"September";"Oktober";"November";"Desember"}, 0)) / 6) + 1) &amp; ")"
  )
)</f>
        <v>AKTIF (Semester 3)</v>
      </c>
      <c r="T784" s="16" t="str">
        <f ca="1">IF(O784 &lt; YEAR(TODAY()), "LULUS",
 IF(O784 = YEAR(TODAY()),
    IF(MATCH(N784, {"Januari";"Februari";"Maret";"April";"Mei";"Juni";"Juli";"Agustus";"September";"Oktober";"November";"Desember"},0)
        &lt;= MONTH(TODAY()),
        "LULUS",
        "AKTIF"),
 "AKTIF"))</f>
        <v>AKTIF</v>
      </c>
      <c r="U784" s="16" t="s">
        <v>2940</v>
      </c>
      <c r="V784" s="15"/>
      <c r="W784" s="15"/>
      <c r="X784" s="15"/>
      <c r="Y784" s="15"/>
      <c r="Z784" s="15"/>
    </row>
    <row r="785" spans="1:26" ht="29" customHeight="1" x14ac:dyDescent="0.35">
      <c r="A785" s="12">
        <v>784</v>
      </c>
      <c r="B785" s="25" t="s">
        <v>2435</v>
      </c>
      <c r="C785" s="26" t="s">
        <v>2436</v>
      </c>
      <c r="D785" s="25" t="s">
        <v>188</v>
      </c>
      <c r="E785" s="14" t="str">
        <f t="shared" si="15"/>
        <v>Laki-Laki</v>
      </c>
      <c r="F785" s="33" t="s">
        <v>2437</v>
      </c>
      <c r="G785" s="25" t="s">
        <v>2350</v>
      </c>
      <c r="H785" s="19" t="s">
        <v>1998</v>
      </c>
      <c r="I785" s="28" t="s">
        <v>2438</v>
      </c>
      <c r="J785" s="32" t="s">
        <v>486</v>
      </c>
      <c r="K785" s="28" t="s">
        <v>46</v>
      </c>
      <c r="L785" s="29" t="s">
        <v>28</v>
      </c>
      <c r="M785" s="21">
        <v>2024</v>
      </c>
      <c r="N785" s="15" t="s">
        <v>205</v>
      </c>
      <c r="O785" s="15">
        <v>2026</v>
      </c>
      <c r="P785" s="15">
        <v>2025</v>
      </c>
      <c r="Q785" s="15"/>
      <c r="R785" s="16"/>
      <c r="S785" s="16" t="str">
        <f ca="1">IF(
  O785 &lt; YEAR(TODAY()),
  "LULUS",
  IF(
    O785 = YEAR(TODAY()),
    IF(
      MATCH(L785, {"Januari";"Februari";"Maret";"April";"Mei";"Juni";"Juli";"Agustus";"September";"Oktober";"November";"Desember"}, 0)
        &gt;= MONTH(TODAY()),
      "AKTIF (Semester " &amp;
        (INT((12*(YEAR(TODAY())-M785) + MONTH(TODAY()) -
          MATCH(L785, {"Januari";"Februari";"Maret";"April";"Mei";"Juni";"Juli";"Agustus";"September";"Oktober";"November";"Desember"}, 0)) / 6) + 1) &amp; ")",
      "LULUS"
    ),
    "AKTIF (Semester " &amp;
      (INT((12*(YEAR(TODAY())-M785) + MONTH(TODAY()) -
        MATCH(L785, {"Januari";"Februari";"Maret";"April";"Mei";"Juni";"Juli";"Agustus";"September";"Oktober";"November";"Desember"}, 0)) / 6) + 1) &amp; ")"
  )
)</f>
        <v>AKTIF (Semester 3)</v>
      </c>
      <c r="T785" s="16" t="str">
        <f ca="1">IF(O785 &lt; YEAR(TODAY()), "LULUS",
 IF(O785 = YEAR(TODAY()),
    IF(MATCH(N785, {"Januari";"Februari";"Maret";"April";"Mei";"Juni";"Juli";"Agustus";"September";"Oktober";"November";"Desember"},0)
        &lt;= MONTH(TODAY()),
        "LULUS",
        "AKTIF"),
 "AKTIF"))</f>
        <v>AKTIF</v>
      </c>
      <c r="U785" s="16" t="s">
        <v>2940</v>
      </c>
      <c r="V785" s="15"/>
      <c r="W785" s="15"/>
      <c r="X785" s="15"/>
      <c r="Y785" s="15"/>
      <c r="Z785" s="15"/>
    </row>
    <row r="786" spans="1:26" ht="29" customHeight="1" x14ac:dyDescent="0.35">
      <c r="A786" s="12">
        <v>785</v>
      </c>
      <c r="B786" s="25" t="s">
        <v>2440</v>
      </c>
      <c r="C786" s="26" t="s">
        <v>2441</v>
      </c>
      <c r="D786" s="25" t="s">
        <v>539</v>
      </c>
      <c r="E786" s="14" t="str">
        <f t="shared" si="15"/>
        <v>Perempuan</v>
      </c>
      <c r="F786" s="33" t="s">
        <v>1807</v>
      </c>
      <c r="G786" s="25" t="s">
        <v>2350</v>
      </c>
      <c r="H786" s="19" t="s">
        <v>2442</v>
      </c>
      <c r="I786" s="28" t="s">
        <v>1395</v>
      </c>
      <c r="J786" s="32" t="s">
        <v>486</v>
      </c>
      <c r="K786" s="28" t="s">
        <v>777</v>
      </c>
      <c r="L786" s="29" t="s">
        <v>28</v>
      </c>
      <c r="M786" s="21">
        <v>2024</v>
      </c>
      <c r="N786" s="15" t="s">
        <v>504</v>
      </c>
      <c r="O786" s="15">
        <v>2026</v>
      </c>
      <c r="P786" s="15">
        <v>2025</v>
      </c>
      <c r="Q786" s="15"/>
      <c r="R786" s="16"/>
      <c r="S786" s="16" t="str">
        <f ca="1">IF(
  O786 &lt; YEAR(TODAY()),
  "LULUS",
  IF(
    O786 = YEAR(TODAY()),
    IF(
      MATCH(L786, {"Januari";"Februari";"Maret";"April";"Mei";"Juni";"Juli";"Agustus";"September";"Oktober";"November";"Desember"}, 0)
        &gt;= MONTH(TODAY()),
      "AKTIF (Semester " &amp;
        (INT((12*(YEAR(TODAY())-M786) + MONTH(TODAY()) -
          MATCH(L786, {"Januari";"Februari";"Maret";"April";"Mei";"Juni";"Juli";"Agustus";"September";"Oktober";"November";"Desember"}, 0)) / 6) + 1) &amp; ")",
      "LULUS"
    ),
    "AKTIF (Semester " &amp;
      (INT((12*(YEAR(TODAY())-M786) + MONTH(TODAY()) -
        MATCH(L786, {"Januari";"Februari";"Maret";"April";"Mei";"Juni";"Juli";"Agustus";"September";"Oktober";"November";"Desember"}, 0)) / 6) + 1) &amp; ")"
  )
)</f>
        <v>AKTIF (Semester 3)</v>
      </c>
      <c r="T786" s="16" t="str">
        <f ca="1">IF(O786 &lt; YEAR(TODAY()), "LULUS",
 IF(O786 = YEAR(TODAY()),
    IF(MATCH(N786, {"Januari";"Februari";"Maret";"April";"Mei";"Juni";"Juli";"Agustus";"September";"Oktober";"November";"Desember"},0)
        &lt;= MONTH(TODAY()),
        "LULUS",
        "AKTIF"),
 "AKTIF"))</f>
        <v>AKTIF</v>
      </c>
      <c r="U786" s="16" t="s">
        <v>2940</v>
      </c>
      <c r="V786" s="15"/>
      <c r="W786" s="15"/>
      <c r="X786" s="15"/>
      <c r="Y786" s="15"/>
      <c r="Z786" s="15"/>
    </row>
    <row r="787" spans="1:26" ht="29" customHeight="1" x14ac:dyDescent="0.35">
      <c r="A787" s="12">
        <v>786</v>
      </c>
      <c r="B787" s="25" t="s">
        <v>2443</v>
      </c>
      <c r="C787" s="26" t="s">
        <v>2444</v>
      </c>
      <c r="D787" s="25" t="s">
        <v>211</v>
      </c>
      <c r="E787" s="14" t="str">
        <f t="shared" si="15"/>
        <v>Laki-Laki</v>
      </c>
      <c r="F787" s="33" t="s">
        <v>1807</v>
      </c>
      <c r="G787" s="25" t="s">
        <v>2350</v>
      </c>
      <c r="H787" s="19" t="s">
        <v>1772</v>
      </c>
      <c r="I787" s="19" t="s">
        <v>90</v>
      </c>
      <c r="J787" s="32" t="s">
        <v>486</v>
      </c>
      <c r="K787" s="28" t="s">
        <v>394</v>
      </c>
      <c r="L787" s="86" t="s">
        <v>72</v>
      </c>
      <c r="M787" s="21">
        <v>2025</v>
      </c>
      <c r="N787" s="15" t="s">
        <v>462</v>
      </c>
      <c r="O787" s="15">
        <v>2027</v>
      </c>
      <c r="P787" s="15">
        <v>2025</v>
      </c>
      <c r="Q787" s="15"/>
      <c r="R787" s="16"/>
      <c r="S787" s="16" t="str">
        <f ca="1">IF(
  O787 &lt; YEAR(TODAY()),
  "LULUS",
  IF(
    O787 = YEAR(TODAY()),
    IF(
      MATCH(L787, {"Januari";"Februari";"Maret";"April";"Mei";"Juni";"Juli";"Agustus";"September";"Oktober";"November";"Desember"}, 0)
        &gt;= MONTH(TODAY()),
      "AKTIF (Semester " &amp;
        (INT((12*(YEAR(TODAY())-M787) + MONTH(TODAY()) -
          MATCH(L787, {"Januari";"Februari";"Maret";"April";"Mei";"Juni";"Juli";"Agustus";"September";"Oktober";"November";"Desember"}, 0)) / 6) + 1) &amp; ")",
      "LULUS"
    ),
    "AKTIF (Semester " &amp;
      (INT((12*(YEAR(TODAY())-M787) + MONTH(TODAY()) -
        MATCH(L787, {"Januari";"Februari";"Maret";"April";"Mei";"Juni";"Juli";"Agustus";"September";"Oktober";"November";"Desember"}, 0)) / 6) + 1) &amp; ")"
  )
)</f>
        <v>AKTIF (Semester 2)</v>
      </c>
      <c r="T787" s="16" t="str">
        <f ca="1">IF(O787 &lt; YEAR(TODAY()), "LULUS",
 IF(O787 = YEAR(TODAY()),
    IF(MATCH(N787, {"Januari";"Februari";"Maret";"April";"Mei";"Juni";"Juli";"Agustus";"September";"Oktober";"November";"Desember"},0)
        &lt;= MONTH(TODAY()),
        "LULUS",
        "AKTIF"),
 "AKTIF"))</f>
        <v>AKTIF</v>
      </c>
      <c r="U787" s="16" t="s">
        <v>2945</v>
      </c>
      <c r="V787" s="15"/>
      <c r="W787" s="15"/>
      <c r="X787" s="15"/>
      <c r="Y787" s="15"/>
      <c r="Z787" s="15"/>
    </row>
    <row r="788" spans="1:26" ht="29" customHeight="1" x14ac:dyDescent="0.35">
      <c r="A788" s="12">
        <v>787</v>
      </c>
      <c r="B788" s="25" t="s">
        <v>2445</v>
      </c>
      <c r="C788" s="26" t="s">
        <v>2446</v>
      </c>
      <c r="D788" s="25" t="s">
        <v>2447</v>
      </c>
      <c r="E788" s="14" t="str">
        <f t="shared" si="15"/>
        <v>Perempuan</v>
      </c>
      <c r="F788" s="33" t="s">
        <v>762</v>
      </c>
      <c r="G788" s="25" t="s">
        <v>2350</v>
      </c>
      <c r="H788" s="19" t="s">
        <v>2448</v>
      </c>
      <c r="I788" s="19" t="s">
        <v>90</v>
      </c>
      <c r="J788" s="32" t="s">
        <v>180</v>
      </c>
      <c r="K788" s="28" t="s">
        <v>2449</v>
      </c>
      <c r="L788" s="51" t="s">
        <v>169</v>
      </c>
      <c r="M788" s="21">
        <v>2024</v>
      </c>
      <c r="N788" s="15" t="s">
        <v>169</v>
      </c>
      <c r="O788" s="15">
        <v>2028</v>
      </c>
      <c r="P788" s="15">
        <v>2025</v>
      </c>
      <c r="Q788" s="15">
        <v>3</v>
      </c>
      <c r="R788" s="16" t="s">
        <v>2848</v>
      </c>
      <c r="S788" s="16" t="str">
        <f ca="1">IF(
  O788 &lt; YEAR(TODAY()),
  "LULUS",
  IF(
    O788 = YEAR(TODAY()),
    IF(
      MATCH(L788, {"Januari";"Februari";"Maret";"April";"Mei";"Juni";"Juli";"Agustus";"September";"Oktober";"November";"Desember"}, 0)
        &gt;= MONTH(TODAY()),
      "AKTIF (Semester " &amp;
        (INT((12*(YEAR(TODAY())-M788) + MONTH(TODAY()) -
          MATCH(L788, {"Januari";"Februari";"Maret";"April";"Mei";"Juni";"Juli";"Agustus";"September";"Oktober";"November";"Desember"}, 0)) / 6) + 1) &amp; ")",
      "LULUS"
    ),
    "AKTIF (Semester " &amp;
      (INT((12*(YEAR(TODAY())-M788) + MONTH(TODAY()) -
        MATCH(L788, {"Januari";"Februari";"Maret";"April";"Mei";"Juni";"Juli";"Agustus";"September";"Oktober";"November";"Desember"}, 0)) / 6) + 1) &amp; ")"
  )
)</f>
        <v>AKTIF (Semester 3)</v>
      </c>
      <c r="T788" s="16" t="str">
        <f ca="1">IF(O788 &lt; YEAR(TODAY()), "LULUS",
 IF(O788 = YEAR(TODAY()),
    IF(MATCH(N788, {"Januari";"Februari";"Maret";"April";"Mei";"Juni";"Juli";"Agustus";"September";"Oktober";"November";"Desember"},0)
        &lt;= MONTH(TODAY()),
        "LULUS",
        "AKTIF"),
 "AKTIF"))</f>
        <v>AKTIF</v>
      </c>
      <c r="U788" s="16" t="s">
        <v>2940</v>
      </c>
      <c r="V788" s="46" t="s">
        <v>2849</v>
      </c>
      <c r="W788" s="15"/>
      <c r="X788" s="46"/>
      <c r="Y788" s="15"/>
      <c r="Z788" s="15"/>
    </row>
    <row r="789" spans="1:26" ht="29" customHeight="1" x14ac:dyDescent="0.35">
      <c r="A789" s="12">
        <v>788</v>
      </c>
      <c r="B789" s="25" t="s">
        <v>2450</v>
      </c>
      <c r="C789" s="26" t="s">
        <v>2451</v>
      </c>
      <c r="D789" s="25" t="s">
        <v>211</v>
      </c>
      <c r="E789" s="14" t="str">
        <f t="shared" si="15"/>
        <v>Perempuan</v>
      </c>
      <c r="F789" s="33" t="s">
        <v>1807</v>
      </c>
      <c r="G789" s="25" t="s">
        <v>2350</v>
      </c>
      <c r="H789" s="19" t="s">
        <v>2452</v>
      </c>
      <c r="I789" s="28" t="s">
        <v>590</v>
      </c>
      <c r="J789" s="32" t="s">
        <v>190</v>
      </c>
      <c r="K789" s="28" t="s">
        <v>1622</v>
      </c>
      <c r="L789" s="51" t="s">
        <v>28</v>
      </c>
      <c r="M789" s="21">
        <v>2024</v>
      </c>
      <c r="N789" s="15" t="s">
        <v>28</v>
      </c>
      <c r="O789" s="15">
        <v>2026</v>
      </c>
      <c r="P789" s="15">
        <v>2025</v>
      </c>
      <c r="Q789" s="15"/>
      <c r="R789" s="16"/>
      <c r="S789" s="16" t="str">
        <f ca="1">IF(
  O789 &lt; YEAR(TODAY()),
  "LULUS",
  IF(
    O789 = YEAR(TODAY()),
    IF(
      MATCH(L789, {"Januari";"Februari";"Maret";"April";"Mei";"Juni";"Juli";"Agustus";"September";"Oktober";"November";"Desember"}, 0)
        &gt;= MONTH(TODAY()),
      "AKTIF (Semester " &amp;
        (INT((12*(YEAR(TODAY())-M789) + MONTH(TODAY()) -
          MATCH(L789, {"Januari";"Februari";"Maret";"April";"Mei";"Juni";"Juli";"Agustus";"September";"Oktober";"November";"Desember"}, 0)) / 6) + 1) &amp; ")",
      "LULUS"
    ),
    "AKTIF (Semester " &amp;
      (INT((12*(YEAR(TODAY())-M789) + MONTH(TODAY()) -
        MATCH(L789, {"Januari";"Februari";"Maret";"April";"Mei";"Juni";"Juli";"Agustus";"September";"Oktober";"November";"Desember"}, 0)) / 6) + 1) &amp; ")"
  )
)</f>
        <v>AKTIF (Semester 3)</v>
      </c>
      <c r="T789" s="16" t="str">
        <f ca="1">IF(O789 &lt; YEAR(TODAY()), "LULUS",
 IF(O789 = YEAR(TODAY()),
    IF(MATCH(N789, {"Januari";"Februari";"Maret";"April";"Mei";"Juni";"Juli";"Agustus";"September";"Oktober";"November";"Desember"},0)
        &lt;= MONTH(TODAY()),
        "LULUS",
        "AKTIF"),
 "AKTIF"))</f>
        <v>AKTIF</v>
      </c>
      <c r="U789" s="16" t="s">
        <v>2940</v>
      </c>
      <c r="V789" s="15"/>
      <c r="W789" s="15"/>
      <c r="X789" s="15"/>
      <c r="Y789" s="15"/>
      <c r="Z789" s="15"/>
    </row>
    <row r="790" spans="1:26" ht="29" customHeight="1" x14ac:dyDescent="0.35">
      <c r="A790" s="12">
        <v>789</v>
      </c>
      <c r="B790" s="25" t="s">
        <v>2453</v>
      </c>
      <c r="C790" s="26" t="s">
        <v>2454</v>
      </c>
      <c r="D790" s="25" t="s">
        <v>188</v>
      </c>
      <c r="E790" s="14" t="str">
        <f t="shared" si="15"/>
        <v>Laki-Laki</v>
      </c>
      <c r="F790" s="33" t="s">
        <v>1807</v>
      </c>
      <c r="G790" s="25" t="s">
        <v>2350</v>
      </c>
      <c r="H790" s="19" t="s">
        <v>2455</v>
      </c>
      <c r="I790" s="28" t="s">
        <v>2456</v>
      </c>
      <c r="J790" s="32" t="s">
        <v>190</v>
      </c>
      <c r="K790" s="28" t="s">
        <v>777</v>
      </c>
      <c r="L790" s="51" t="s">
        <v>28</v>
      </c>
      <c r="M790" s="21">
        <v>2024</v>
      </c>
      <c r="N790" s="15" t="s">
        <v>28</v>
      </c>
      <c r="O790" s="15">
        <v>2026</v>
      </c>
      <c r="P790" s="15">
        <v>2025</v>
      </c>
      <c r="Q790" s="15"/>
      <c r="R790" s="16"/>
      <c r="S790" s="16" t="str">
        <f ca="1">IF(
  O790 &lt; YEAR(TODAY()),
  "LULUS",
  IF(
    O790 = YEAR(TODAY()),
    IF(
      MATCH(L790, {"Januari";"Februari";"Maret";"April";"Mei";"Juni";"Juli";"Agustus";"September";"Oktober";"November";"Desember"}, 0)
        &gt;= MONTH(TODAY()),
      "AKTIF (Semester " &amp;
        (INT((12*(YEAR(TODAY())-M790) + MONTH(TODAY()) -
          MATCH(L790, {"Januari";"Februari";"Maret";"April";"Mei";"Juni";"Juli";"Agustus";"September";"Oktober";"November";"Desember"}, 0)) / 6) + 1) &amp; ")",
      "LULUS"
    ),
    "AKTIF (Semester " &amp;
      (INT((12*(YEAR(TODAY())-M790) + MONTH(TODAY()) -
        MATCH(L790, {"Januari";"Februari";"Maret";"April";"Mei";"Juni";"Juli";"Agustus";"September";"Oktober";"November";"Desember"}, 0)) / 6) + 1) &amp; ")"
  )
)</f>
        <v>AKTIF (Semester 3)</v>
      </c>
      <c r="T790" s="16" t="str">
        <f ca="1">IF(O790 &lt; YEAR(TODAY()), "LULUS",
 IF(O790 = YEAR(TODAY()),
    IF(MATCH(N790, {"Januari";"Februari";"Maret";"April";"Mei";"Juni";"Juli";"Agustus";"September";"Oktober";"November";"Desember"},0)
        &lt;= MONTH(TODAY()),
        "LULUS",
        "AKTIF"),
 "AKTIF"))</f>
        <v>AKTIF</v>
      </c>
      <c r="U790" s="16" t="s">
        <v>2940</v>
      </c>
      <c r="V790" s="15"/>
      <c r="W790" s="15"/>
      <c r="X790" s="15"/>
      <c r="Y790" s="15"/>
      <c r="Z790" s="15"/>
    </row>
    <row r="791" spans="1:26" ht="29" customHeight="1" x14ac:dyDescent="0.35">
      <c r="A791" s="12">
        <v>790</v>
      </c>
      <c r="B791" s="25" t="s">
        <v>2457</v>
      </c>
      <c r="C791" s="26" t="s">
        <v>2458</v>
      </c>
      <c r="D791" s="25" t="s">
        <v>188</v>
      </c>
      <c r="E791" s="14" t="str">
        <f t="shared" si="15"/>
        <v>Laki-Laki</v>
      </c>
      <c r="F791" s="33" t="s">
        <v>1807</v>
      </c>
      <c r="G791" s="25" t="s">
        <v>2350</v>
      </c>
      <c r="H791" s="19" t="s">
        <v>2111</v>
      </c>
      <c r="I791" s="19" t="s">
        <v>90</v>
      </c>
      <c r="J791" s="32" t="s">
        <v>190</v>
      </c>
      <c r="K791" s="28" t="s">
        <v>394</v>
      </c>
      <c r="L791" s="51" t="s">
        <v>28</v>
      </c>
      <c r="M791" s="21">
        <v>2024</v>
      </c>
      <c r="N791" s="15" t="s">
        <v>28</v>
      </c>
      <c r="O791" s="15">
        <v>2026</v>
      </c>
      <c r="P791" s="15">
        <v>2025</v>
      </c>
      <c r="Q791" s="15"/>
      <c r="R791" s="16"/>
      <c r="S791" s="16" t="str">
        <f ca="1">IF(
  O791 &lt; YEAR(TODAY()),
  "LULUS",
  IF(
    O791 = YEAR(TODAY()),
    IF(
      MATCH(L791, {"Januari";"Februari";"Maret";"April";"Mei";"Juni";"Juli";"Agustus";"September";"Oktober";"November";"Desember"}, 0)
        &gt;= MONTH(TODAY()),
      "AKTIF (Semester " &amp;
        (INT((12*(YEAR(TODAY())-M791) + MONTH(TODAY()) -
          MATCH(L791, {"Januari";"Februari";"Maret";"April";"Mei";"Juni";"Juli";"Agustus";"September";"Oktober";"November";"Desember"}, 0)) / 6) + 1) &amp; ")",
      "LULUS"
    ),
    "AKTIF (Semester " &amp;
      (INT((12*(YEAR(TODAY())-M791) + MONTH(TODAY()) -
        MATCH(L791, {"Januari";"Februari";"Maret";"April";"Mei";"Juni";"Juli";"Agustus";"September";"Oktober";"November";"Desember"}, 0)) / 6) + 1) &amp; ")"
  )
)</f>
        <v>AKTIF (Semester 3)</v>
      </c>
      <c r="T791" s="16" t="str">
        <f ca="1">IF(O791 &lt; YEAR(TODAY()), "LULUS",
 IF(O791 = YEAR(TODAY()),
    IF(MATCH(N791, {"Januari";"Februari";"Maret";"April";"Mei";"Juni";"Juli";"Agustus";"September";"Oktober";"November";"Desember"},0)
        &lt;= MONTH(TODAY()),
        "LULUS",
        "AKTIF"),
 "AKTIF"))</f>
        <v>AKTIF</v>
      </c>
      <c r="U791" s="16" t="s">
        <v>2940</v>
      </c>
      <c r="V791" s="15"/>
      <c r="W791" s="15"/>
      <c r="X791" s="15"/>
      <c r="Y791" s="15"/>
      <c r="Z791" s="15"/>
    </row>
    <row r="792" spans="1:26" ht="29" customHeight="1" x14ac:dyDescent="0.35">
      <c r="A792" s="12">
        <v>791</v>
      </c>
      <c r="B792" s="25" t="s">
        <v>2459</v>
      </c>
      <c r="C792" s="26" t="s">
        <v>2460</v>
      </c>
      <c r="D792" s="25" t="s">
        <v>188</v>
      </c>
      <c r="E792" s="14" t="str">
        <f t="shared" si="15"/>
        <v>Laki-Laki</v>
      </c>
      <c r="F792" s="33" t="s">
        <v>1807</v>
      </c>
      <c r="G792" s="25" t="s">
        <v>2350</v>
      </c>
      <c r="H792" s="19" t="s">
        <v>2461</v>
      </c>
      <c r="I792" s="28" t="s">
        <v>460</v>
      </c>
      <c r="J792" s="32" t="s">
        <v>190</v>
      </c>
      <c r="K792" s="28" t="s">
        <v>2462</v>
      </c>
      <c r="L792" s="51" t="s">
        <v>28</v>
      </c>
      <c r="M792" s="21">
        <v>2024</v>
      </c>
      <c r="N792" s="15" t="s">
        <v>28</v>
      </c>
      <c r="O792" s="15">
        <v>2026</v>
      </c>
      <c r="P792" s="15">
        <v>2025</v>
      </c>
      <c r="Q792" s="15"/>
      <c r="R792" s="16"/>
      <c r="S792" s="16" t="str">
        <f ca="1">IF(
  O792 &lt; YEAR(TODAY()),
  "LULUS",
  IF(
    O792 = YEAR(TODAY()),
    IF(
      MATCH(L792, {"Januari";"Februari";"Maret";"April";"Mei";"Juni";"Juli";"Agustus";"September";"Oktober";"November";"Desember"}, 0)
        &gt;= MONTH(TODAY()),
      "AKTIF (Semester " &amp;
        (INT((12*(YEAR(TODAY())-M792) + MONTH(TODAY()) -
          MATCH(L792, {"Januari";"Februari";"Maret";"April";"Mei";"Juni";"Juli";"Agustus";"September";"Oktober";"November";"Desember"}, 0)) / 6) + 1) &amp; ")",
      "LULUS"
    ),
    "AKTIF (Semester " &amp;
      (INT((12*(YEAR(TODAY())-M792) + MONTH(TODAY()) -
        MATCH(L792, {"Januari";"Februari";"Maret";"April";"Mei";"Juni";"Juli";"Agustus";"September";"Oktober";"November";"Desember"}, 0)) / 6) + 1) &amp; ")"
  )
)</f>
        <v>AKTIF (Semester 3)</v>
      </c>
      <c r="T792" s="16" t="str">
        <f ca="1">IF(O792 &lt; YEAR(TODAY()), "LULUS",
 IF(O792 = YEAR(TODAY()),
    IF(MATCH(N792, {"Januari";"Februari";"Maret";"April";"Mei";"Juni";"Juli";"Agustus";"September";"Oktober";"November";"Desember"},0)
        &lt;= MONTH(TODAY()),
        "LULUS",
        "AKTIF"),
 "AKTIF"))</f>
        <v>AKTIF</v>
      </c>
      <c r="U792" s="16" t="s">
        <v>2940</v>
      </c>
      <c r="V792" s="15"/>
      <c r="W792" s="15"/>
      <c r="X792" s="15"/>
      <c r="Y792" s="15"/>
      <c r="Z792" s="15"/>
    </row>
    <row r="793" spans="1:26" ht="29" customHeight="1" x14ac:dyDescent="0.35">
      <c r="A793" s="12">
        <v>792</v>
      </c>
      <c r="B793" s="25" t="s">
        <v>2463</v>
      </c>
      <c r="C793" s="26" t="s">
        <v>2464</v>
      </c>
      <c r="D793" s="25" t="s">
        <v>554</v>
      </c>
      <c r="E793" s="14" t="str">
        <f t="shared" si="15"/>
        <v>Perempuan</v>
      </c>
      <c r="F793" s="33" t="s">
        <v>1791</v>
      </c>
      <c r="G793" s="25" t="s">
        <v>2350</v>
      </c>
      <c r="H793" s="19" t="s">
        <v>2111</v>
      </c>
      <c r="I793" s="19" t="s">
        <v>90</v>
      </c>
      <c r="J793" s="32" t="s">
        <v>190</v>
      </c>
      <c r="K793" s="28" t="s">
        <v>394</v>
      </c>
      <c r="L793" s="51" t="s">
        <v>28</v>
      </c>
      <c r="M793" s="21">
        <v>2024</v>
      </c>
      <c r="N793" s="15" t="s">
        <v>28</v>
      </c>
      <c r="O793" s="15">
        <v>2026</v>
      </c>
      <c r="P793" s="15">
        <v>2025</v>
      </c>
      <c r="Q793" s="15"/>
      <c r="R793" s="16"/>
      <c r="S793" s="16" t="str">
        <f ca="1">IF(
  O793 &lt; YEAR(TODAY()),
  "LULUS",
  IF(
    O793 = YEAR(TODAY()),
    IF(
      MATCH(L793, {"Januari";"Februari";"Maret";"April";"Mei";"Juni";"Juli";"Agustus";"September";"Oktober";"November";"Desember"}, 0)
        &gt;= MONTH(TODAY()),
      "AKTIF (Semester " &amp;
        (INT((12*(YEAR(TODAY())-M793) + MONTH(TODAY()) -
          MATCH(L793, {"Januari";"Februari";"Maret";"April";"Mei";"Juni";"Juli";"Agustus";"September";"Oktober";"November";"Desember"}, 0)) / 6) + 1) &amp; ")",
      "LULUS"
    ),
    "AKTIF (Semester " &amp;
      (INT((12*(YEAR(TODAY())-M793) + MONTH(TODAY()) -
        MATCH(L793, {"Januari";"Februari";"Maret";"April";"Mei";"Juni";"Juli";"Agustus";"September";"Oktober";"November";"Desember"}, 0)) / 6) + 1) &amp; ")"
  )
)</f>
        <v>AKTIF (Semester 3)</v>
      </c>
      <c r="T793" s="16" t="str">
        <f ca="1">IF(O793 &lt; YEAR(TODAY()), "LULUS",
 IF(O793 = YEAR(TODAY()),
    IF(MATCH(N793, {"Januari";"Februari";"Maret";"April";"Mei";"Juni";"Juli";"Agustus";"September";"Oktober";"November";"Desember"},0)
        &lt;= MONTH(TODAY()),
        "LULUS",
        "AKTIF"),
 "AKTIF"))</f>
        <v>AKTIF</v>
      </c>
      <c r="U793" s="16" t="s">
        <v>2940</v>
      </c>
      <c r="V793" s="15"/>
      <c r="W793" s="15"/>
      <c r="X793" s="15"/>
      <c r="Y793" s="15"/>
      <c r="Z793" s="15"/>
    </row>
    <row r="794" spans="1:26" ht="29" customHeight="1" x14ac:dyDescent="0.35">
      <c r="A794" s="12">
        <v>793</v>
      </c>
      <c r="B794" s="25" t="s">
        <v>2465</v>
      </c>
      <c r="C794" s="26" t="s">
        <v>2466</v>
      </c>
      <c r="D794" s="25" t="s">
        <v>211</v>
      </c>
      <c r="E794" s="14" t="str">
        <f t="shared" si="15"/>
        <v>Perempuan</v>
      </c>
      <c r="F794" s="33" t="s">
        <v>1777</v>
      </c>
      <c r="G794" s="25" t="s">
        <v>2350</v>
      </c>
      <c r="H794" s="19" t="s">
        <v>2467</v>
      </c>
      <c r="I794" s="28" t="s">
        <v>460</v>
      </c>
      <c r="J794" s="32" t="s">
        <v>190</v>
      </c>
      <c r="K794" s="28" t="s">
        <v>2462</v>
      </c>
      <c r="L794" s="51" t="s">
        <v>28</v>
      </c>
      <c r="M794" s="21">
        <v>2024</v>
      </c>
      <c r="N794" s="15" t="s">
        <v>28</v>
      </c>
      <c r="O794" s="15">
        <v>2026</v>
      </c>
      <c r="P794" s="15">
        <v>2025</v>
      </c>
      <c r="Q794" s="15"/>
      <c r="R794" s="16"/>
      <c r="S794" s="16" t="str">
        <f ca="1">IF(
  O794 &lt; YEAR(TODAY()),
  "LULUS",
  IF(
    O794 = YEAR(TODAY()),
    IF(
      MATCH(L794, {"Januari";"Februari";"Maret";"April";"Mei";"Juni";"Juli";"Agustus";"September";"Oktober";"November";"Desember"}, 0)
        &gt;= MONTH(TODAY()),
      "AKTIF (Semester " &amp;
        (INT((12*(YEAR(TODAY())-M794) + MONTH(TODAY()) -
          MATCH(L794, {"Januari";"Februari";"Maret";"April";"Mei";"Juni";"Juli";"Agustus";"September";"Oktober";"November";"Desember"}, 0)) / 6) + 1) &amp; ")",
      "LULUS"
    ),
    "AKTIF (Semester " &amp;
      (INT((12*(YEAR(TODAY())-M794) + MONTH(TODAY()) -
        MATCH(L794, {"Januari";"Februari";"Maret";"April";"Mei";"Juni";"Juli";"Agustus";"September";"Oktober";"November";"Desember"}, 0)) / 6) + 1) &amp; ")"
  )
)</f>
        <v>AKTIF (Semester 3)</v>
      </c>
      <c r="T794" s="16" t="str">
        <f ca="1">IF(O794 &lt; YEAR(TODAY()), "LULUS",
 IF(O794 = YEAR(TODAY()),
    IF(MATCH(N794, {"Januari";"Februari";"Maret";"April";"Mei";"Juni";"Juli";"Agustus";"September";"Oktober";"November";"Desember"},0)
        &lt;= MONTH(TODAY()),
        "LULUS",
        "AKTIF"),
 "AKTIF"))</f>
        <v>AKTIF</v>
      </c>
      <c r="U794" s="16" t="s">
        <v>2940</v>
      </c>
      <c r="V794" s="15"/>
      <c r="W794" s="15"/>
      <c r="X794" s="15"/>
      <c r="Y794" s="15"/>
      <c r="Z794" s="15"/>
    </row>
    <row r="795" spans="1:26" ht="29" customHeight="1" x14ac:dyDescent="0.35">
      <c r="A795" s="12">
        <v>794</v>
      </c>
      <c r="B795" s="25" t="s">
        <v>2468</v>
      </c>
      <c r="C795" s="26" t="s">
        <v>2469</v>
      </c>
      <c r="D795" s="25" t="s">
        <v>188</v>
      </c>
      <c r="E795" s="14" t="str">
        <f t="shared" si="15"/>
        <v>Perempuan</v>
      </c>
      <c r="F795" s="33" t="s">
        <v>1807</v>
      </c>
      <c r="G795" s="25" t="s">
        <v>2350</v>
      </c>
      <c r="H795" s="19" t="s">
        <v>2111</v>
      </c>
      <c r="I795" s="19" t="s">
        <v>90</v>
      </c>
      <c r="J795" s="32" t="s">
        <v>190</v>
      </c>
      <c r="K795" s="28" t="s">
        <v>394</v>
      </c>
      <c r="L795" s="51" t="s">
        <v>28</v>
      </c>
      <c r="M795" s="21">
        <v>2024</v>
      </c>
      <c r="N795" s="15" t="s">
        <v>28</v>
      </c>
      <c r="O795" s="15">
        <v>2026</v>
      </c>
      <c r="P795" s="15">
        <v>2025</v>
      </c>
      <c r="Q795" s="15"/>
      <c r="R795" s="16"/>
      <c r="S795" s="16" t="str">
        <f ca="1">IF(
  O795 &lt; YEAR(TODAY()),
  "LULUS",
  IF(
    O795 = YEAR(TODAY()),
    IF(
      MATCH(L795, {"Januari";"Februari";"Maret";"April";"Mei";"Juni";"Juli";"Agustus";"September";"Oktober";"November";"Desember"}, 0)
        &gt;= MONTH(TODAY()),
      "AKTIF (Semester " &amp;
        (INT((12*(YEAR(TODAY())-M795) + MONTH(TODAY()) -
          MATCH(L795, {"Januari";"Februari";"Maret";"April";"Mei";"Juni";"Juli";"Agustus";"September";"Oktober";"November";"Desember"}, 0)) / 6) + 1) &amp; ")",
      "LULUS"
    ),
    "AKTIF (Semester " &amp;
      (INT((12*(YEAR(TODAY())-M795) + MONTH(TODAY()) -
        MATCH(L795, {"Januari";"Februari";"Maret";"April";"Mei";"Juni";"Juli";"Agustus";"September";"Oktober";"November";"Desember"}, 0)) / 6) + 1) &amp; ")"
  )
)</f>
        <v>AKTIF (Semester 3)</v>
      </c>
      <c r="T795" s="16" t="str">
        <f ca="1">IF(O795 &lt; YEAR(TODAY()), "LULUS",
 IF(O795 = YEAR(TODAY()),
    IF(MATCH(N795, {"Januari";"Februari";"Maret";"April";"Mei";"Juni";"Juli";"Agustus";"September";"Oktober";"November";"Desember"},0)
        &lt;= MONTH(TODAY()),
        "LULUS",
        "AKTIF"),
 "AKTIF"))</f>
        <v>AKTIF</v>
      </c>
      <c r="U795" s="16" t="s">
        <v>2940</v>
      </c>
      <c r="V795" s="15"/>
      <c r="W795" s="15"/>
      <c r="X795" s="15"/>
      <c r="Y795" s="15"/>
      <c r="Z795" s="15"/>
    </row>
    <row r="796" spans="1:26" ht="29" customHeight="1" x14ac:dyDescent="0.35">
      <c r="A796" s="12">
        <v>795</v>
      </c>
      <c r="B796" s="25" t="s">
        <v>2470</v>
      </c>
      <c r="C796" s="26" t="s">
        <v>2471</v>
      </c>
      <c r="D796" s="25" t="s">
        <v>188</v>
      </c>
      <c r="E796" s="14" t="str">
        <f t="shared" si="15"/>
        <v>Perempuan</v>
      </c>
      <c r="F796" s="33" t="s">
        <v>1807</v>
      </c>
      <c r="G796" s="25" t="s">
        <v>2350</v>
      </c>
      <c r="H796" s="19" t="s">
        <v>2111</v>
      </c>
      <c r="I796" s="19" t="s">
        <v>90</v>
      </c>
      <c r="J796" s="32" t="s">
        <v>190</v>
      </c>
      <c r="K796" s="28" t="s">
        <v>394</v>
      </c>
      <c r="L796" s="51" t="s">
        <v>28</v>
      </c>
      <c r="M796" s="21">
        <v>2024</v>
      </c>
      <c r="N796" s="15" t="s">
        <v>28</v>
      </c>
      <c r="O796" s="15">
        <v>2026</v>
      </c>
      <c r="P796" s="15">
        <v>2025</v>
      </c>
      <c r="Q796" s="15"/>
      <c r="R796" s="16"/>
      <c r="S796" s="16" t="str">
        <f ca="1">IF(
  O796 &lt; YEAR(TODAY()),
  "LULUS",
  IF(
    O796 = YEAR(TODAY()),
    IF(
      MATCH(L796, {"Januari";"Februari";"Maret";"April";"Mei";"Juni";"Juli";"Agustus";"September";"Oktober";"November";"Desember"}, 0)
        &gt;= MONTH(TODAY()),
      "AKTIF (Semester " &amp;
        (INT((12*(YEAR(TODAY())-M796) + MONTH(TODAY()) -
          MATCH(L796, {"Januari";"Februari";"Maret";"April";"Mei";"Juni";"Juli";"Agustus";"September";"Oktober";"November";"Desember"}, 0)) / 6) + 1) &amp; ")",
      "LULUS"
    ),
    "AKTIF (Semester " &amp;
      (INT((12*(YEAR(TODAY())-M796) + MONTH(TODAY()) -
        MATCH(L796, {"Januari";"Februari";"Maret";"April";"Mei";"Juni";"Juli";"Agustus";"September";"Oktober";"November";"Desember"}, 0)) / 6) + 1) &amp; ")"
  )
)</f>
        <v>AKTIF (Semester 3)</v>
      </c>
      <c r="T796" s="16" t="str">
        <f ca="1">IF(O796 &lt; YEAR(TODAY()), "LULUS",
 IF(O796 = YEAR(TODAY()),
    IF(MATCH(N796, {"Januari";"Februari";"Maret";"April";"Mei";"Juni";"Juli";"Agustus";"September";"Oktober";"November";"Desember"},0)
        &lt;= MONTH(TODAY()),
        "LULUS",
        "AKTIF"),
 "AKTIF"))</f>
        <v>AKTIF</v>
      </c>
      <c r="U796" s="16" t="s">
        <v>2940</v>
      </c>
      <c r="V796" s="15"/>
      <c r="W796" s="15"/>
      <c r="X796" s="15"/>
      <c r="Y796" s="15"/>
      <c r="Z796" s="15"/>
    </row>
    <row r="797" spans="1:26" ht="29" customHeight="1" x14ac:dyDescent="0.35">
      <c r="A797" s="12">
        <v>796</v>
      </c>
      <c r="B797" s="25" t="s">
        <v>2472</v>
      </c>
      <c r="C797" s="26" t="s">
        <v>2473</v>
      </c>
      <c r="D797" s="25" t="s">
        <v>172</v>
      </c>
      <c r="E797" s="14" t="str">
        <f t="shared" si="15"/>
        <v>Perempuan</v>
      </c>
      <c r="F797" s="33" t="s">
        <v>105</v>
      </c>
      <c r="G797" s="25" t="s">
        <v>2350</v>
      </c>
      <c r="H797" s="19" t="s">
        <v>1485</v>
      </c>
      <c r="I797" s="134" t="s">
        <v>56</v>
      </c>
      <c r="J797" s="32" t="s">
        <v>2474</v>
      </c>
      <c r="K797" s="28" t="s">
        <v>57</v>
      </c>
      <c r="L797" s="51" t="s">
        <v>60</v>
      </c>
      <c r="M797" s="21">
        <v>2024</v>
      </c>
      <c r="N797" s="15" t="s">
        <v>60</v>
      </c>
      <c r="O797" s="15">
        <v>2026</v>
      </c>
      <c r="P797" s="15">
        <v>2025</v>
      </c>
      <c r="Q797" s="15">
        <v>3</v>
      </c>
      <c r="R797" s="16" t="s">
        <v>2848</v>
      </c>
      <c r="S797" s="16" t="str">
        <f ca="1">IF(
  O797 &lt; YEAR(TODAY()),
  "LULUS",
  IF(
    O797 = YEAR(TODAY()),
    IF(
      MATCH(L797, {"Januari";"Februari";"Maret";"April";"Mei";"Juni";"Juli";"Agustus";"September";"Oktober";"November";"Desember"}, 0)
        &gt;= MONTH(TODAY()),
      "AKTIF (Semester " &amp;
        (INT((12*(YEAR(TODAY())-M797) + MONTH(TODAY()) -
          MATCH(L797, {"Januari";"Februari";"Maret";"April";"Mei";"Juni";"Juli";"Agustus";"September";"Oktober";"November";"Desember"}, 0)) / 6) + 1) &amp; ")",
      "LULUS"
    ),
    "AKTIF (Semester " &amp;
      (INT((12*(YEAR(TODAY())-M797) + MONTH(TODAY()) -
        MATCH(L797, {"Januari";"Februari";"Maret";"April";"Mei";"Juni";"Juli";"Agustus";"September";"Oktober";"November";"Desember"}, 0)) / 6) + 1) &amp; ")"
  )
)</f>
        <v>AKTIF (Semester 3)</v>
      </c>
      <c r="T797" s="16" t="str">
        <f ca="1">IF(O797 &lt; YEAR(TODAY()), "LULUS",
 IF(O797 = YEAR(TODAY()),
    IF(MATCH(N797, {"Januari";"Februari";"Maret";"April";"Mei";"Juni";"Juli";"Agustus";"September";"Oktober";"November";"Desember"},0)
        &lt;= MONTH(TODAY()),
        "LULUS",
        "AKTIF"),
 "AKTIF"))</f>
        <v>AKTIF</v>
      </c>
      <c r="U797" s="16" t="s">
        <v>2940</v>
      </c>
      <c r="V797" s="46" t="s">
        <v>2847</v>
      </c>
      <c r="W797" s="15"/>
      <c r="X797" s="46"/>
      <c r="Y797" s="15"/>
      <c r="Z797" s="15"/>
    </row>
    <row r="798" spans="1:26" ht="29" customHeight="1" x14ac:dyDescent="0.35">
      <c r="A798" s="12">
        <v>797</v>
      </c>
      <c r="B798" s="25" t="s">
        <v>2475</v>
      </c>
      <c r="C798" s="26" t="s">
        <v>2476</v>
      </c>
      <c r="D798" s="25" t="s">
        <v>172</v>
      </c>
      <c r="E798" s="14" t="str">
        <f t="shared" si="15"/>
        <v>Laki-Laki</v>
      </c>
      <c r="F798" s="33" t="s">
        <v>1147</v>
      </c>
      <c r="G798" s="25" t="s">
        <v>2350</v>
      </c>
      <c r="H798" s="19" t="s">
        <v>1649</v>
      </c>
      <c r="I798" s="28" t="s">
        <v>2477</v>
      </c>
      <c r="J798" s="32" t="s">
        <v>180</v>
      </c>
      <c r="K798" s="28" t="s">
        <v>1577</v>
      </c>
      <c r="L798" s="29" t="s">
        <v>28</v>
      </c>
      <c r="M798" s="21">
        <v>2024</v>
      </c>
      <c r="N798" s="15" t="s">
        <v>205</v>
      </c>
      <c r="O798" s="15">
        <v>2028</v>
      </c>
      <c r="P798" s="15">
        <v>2025</v>
      </c>
      <c r="Q798" s="15"/>
      <c r="R798" s="16"/>
      <c r="S798" s="16" t="str">
        <f ca="1">IF(
  O798 &lt; YEAR(TODAY()),
  "LULUS",
  IF(
    O798 = YEAR(TODAY()),
    IF(
      MATCH(L798, {"Januari";"Februari";"Maret";"April";"Mei";"Juni";"Juli";"Agustus";"September";"Oktober";"November";"Desember"}, 0)
        &gt;= MONTH(TODAY()),
      "AKTIF (Semester " &amp;
        (INT((12*(YEAR(TODAY())-M798) + MONTH(TODAY()) -
          MATCH(L798, {"Januari";"Februari";"Maret";"April";"Mei";"Juni";"Juli";"Agustus";"September";"Oktober";"November";"Desember"}, 0)) / 6) + 1) &amp; ")",
      "LULUS"
    ),
    "AKTIF (Semester " &amp;
      (INT((12*(YEAR(TODAY())-M798) + MONTH(TODAY()) -
        MATCH(L798, {"Januari";"Februari";"Maret";"April";"Mei";"Juni";"Juli";"Agustus";"September";"Oktober";"November";"Desember"}, 0)) / 6) + 1) &amp; ")"
  )
)</f>
        <v>AKTIF (Semester 3)</v>
      </c>
      <c r="T798" s="16" t="str">
        <f ca="1">IF(O798 &lt; YEAR(TODAY()), "LULUS",
 IF(O798 = YEAR(TODAY()),
    IF(MATCH(N798, {"Januari";"Februari";"Maret";"April";"Mei";"Juni";"Juli";"Agustus";"September";"Oktober";"November";"Desember"},0)
        &lt;= MONTH(TODAY()),
        "LULUS",
        "AKTIF"),
 "AKTIF"))</f>
        <v>AKTIF</v>
      </c>
      <c r="U798" s="16" t="s">
        <v>2940</v>
      </c>
      <c r="V798" s="15"/>
      <c r="W798" s="15"/>
      <c r="X798" s="15"/>
      <c r="Y798" s="15"/>
      <c r="Z798" s="15"/>
    </row>
    <row r="799" spans="1:26" ht="29" customHeight="1" x14ac:dyDescent="0.35">
      <c r="A799" s="12">
        <v>798</v>
      </c>
      <c r="B799" s="111" t="s">
        <v>2850</v>
      </c>
      <c r="C799" s="100" t="s">
        <v>2851</v>
      </c>
      <c r="D799" s="101" t="s">
        <v>172</v>
      </c>
      <c r="E799" s="14" t="str">
        <f t="shared" si="15"/>
        <v>Perempuan</v>
      </c>
      <c r="F799" s="102" t="s">
        <v>99</v>
      </c>
      <c r="G799" s="103" t="s">
        <v>2350</v>
      </c>
      <c r="H799" s="104" t="s">
        <v>1649</v>
      </c>
      <c r="I799" s="19" t="s">
        <v>2931</v>
      </c>
      <c r="J799" s="106" t="s">
        <v>180</v>
      </c>
      <c r="K799" s="105" t="s">
        <v>196</v>
      </c>
      <c r="L799" s="29" t="s">
        <v>28</v>
      </c>
      <c r="M799" s="108">
        <v>2025</v>
      </c>
      <c r="N799" s="15" t="s">
        <v>205</v>
      </c>
      <c r="O799" s="15">
        <v>2029</v>
      </c>
      <c r="P799" s="15">
        <v>2025</v>
      </c>
      <c r="Q799" s="110"/>
      <c r="R799" s="109"/>
      <c r="S799" s="16" t="str">
        <f ca="1">IF(
  O799 &lt; YEAR(TODAY()),
  "LULUS",
  IF(
    O799 = YEAR(TODAY()),
    IF(
      MATCH(L799, {"Januari";"Februari";"Maret";"April";"Mei";"Juni";"Juli";"Agustus";"September";"Oktober";"November";"Desember"}, 0)
        &gt;= MONTH(TODAY()),
      "AKTIF (Semester " &amp;
        (INT((12*(YEAR(TODAY())-M799) + MONTH(TODAY()) -
          MATCH(L799, {"Januari";"Februari";"Maret";"April";"Mei";"Juni";"Juli";"Agustus";"September";"Oktober";"November";"Desember"}, 0)) / 6) + 1) &amp; ")",
      "LULUS"
    ),
    "AKTIF (Semester " &amp;
      (INT((12*(YEAR(TODAY())-M799) + MONTH(TODAY()) -
        MATCH(L799, {"Januari";"Februari";"Maret";"April";"Mei";"Juni";"Juli";"Agustus";"September";"Oktober";"November";"Desember"}, 0)) / 6) + 1) &amp; ")"
  )
)</f>
        <v>AKTIF (Semester 1)</v>
      </c>
      <c r="T799" s="16" t="str">
        <f ca="1">IF(O799 &lt; YEAR(TODAY()), "LULUS",
 IF(O799 = YEAR(TODAY()),
    IF(MATCH(N799, {"Januari";"Februari";"Maret";"April";"Mei";"Juni";"Juli";"Agustus";"September";"Oktober";"November";"Desember"},0)
        &lt;= MONTH(TODAY()),
        "LULUS",
        "AKTIF"),
 "AKTIF"))</f>
        <v>AKTIF</v>
      </c>
      <c r="U799" s="16" t="s">
        <v>2943</v>
      </c>
      <c r="V799" s="109"/>
      <c r="W799" s="109"/>
      <c r="X799" s="109"/>
      <c r="Y799" s="109"/>
      <c r="Z799" s="109"/>
    </row>
    <row r="800" spans="1:26" ht="29" customHeight="1" x14ac:dyDescent="0.35">
      <c r="A800" s="12">
        <v>799</v>
      </c>
      <c r="B800" s="111" t="s">
        <v>2853</v>
      </c>
      <c r="C800" s="100" t="s">
        <v>2854</v>
      </c>
      <c r="D800" s="101" t="s">
        <v>2855</v>
      </c>
      <c r="E800" s="14" t="str">
        <f t="shared" si="15"/>
        <v>Perempuan</v>
      </c>
      <c r="F800" s="102" t="s">
        <v>1807</v>
      </c>
      <c r="G800" s="103" t="s">
        <v>2350</v>
      </c>
      <c r="H800" s="104" t="s">
        <v>1658</v>
      </c>
      <c r="I800" s="19" t="s">
        <v>90</v>
      </c>
      <c r="J800" s="106" t="s">
        <v>190</v>
      </c>
      <c r="K800" s="105" t="s">
        <v>2857</v>
      </c>
      <c r="L800" s="107" t="s">
        <v>28</v>
      </c>
      <c r="M800" s="108">
        <v>2025</v>
      </c>
      <c r="N800" s="15" t="s">
        <v>28</v>
      </c>
      <c r="O800" s="15">
        <v>2027</v>
      </c>
      <c r="P800" s="15">
        <v>2025</v>
      </c>
      <c r="Q800" s="110"/>
      <c r="R800" s="109"/>
      <c r="S800" s="16" t="str">
        <f ca="1">IF(
  O800 &lt; YEAR(TODAY()),
  "LULUS",
  IF(
    O800 = YEAR(TODAY()),
    IF(
      MATCH(L800, {"Januari";"Februari";"Maret";"April";"Mei";"Juni";"Juli";"Agustus";"September";"Oktober";"November";"Desember"}, 0)
        &gt;= MONTH(TODAY()),
      "AKTIF (Semester " &amp;
        (INT((12*(YEAR(TODAY())-M800) + MONTH(TODAY()) -
          MATCH(L800, {"Januari";"Februari";"Maret";"April";"Mei";"Juni";"Juli";"Agustus";"September";"Oktober";"November";"Desember"}, 0)) / 6) + 1) &amp; ")",
      "LULUS"
    ),
    "AKTIF (Semester " &amp;
      (INT((12*(YEAR(TODAY())-M800) + MONTH(TODAY()) -
        MATCH(L800, {"Januari";"Februari";"Maret";"April";"Mei";"Juni";"Juli";"Agustus";"September";"Oktober";"November";"Desember"}, 0)) / 6) + 1) &amp; ")"
  )
)</f>
        <v>AKTIF (Semester 1)</v>
      </c>
      <c r="T800" s="16" t="str">
        <f ca="1">IF(O800 &lt; YEAR(TODAY()), "LULUS",
 IF(O800 = YEAR(TODAY()),
    IF(MATCH(N800, {"Januari";"Februari";"Maret";"April";"Mei";"Juni";"Juli";"Agustus";"September";"Oktober";"November";"Desember"},0)
        &lt;= MONTH(TODAY()),
        "LULUS",
        "AKTIF"),
 "AKTIF"))</f>
        <v>AKTIF</v>
      </c>
      <c r="U800" s="16" t="s">
        <v>2943</v>
      </c>
      <c r="V800" s="109"/>
      <c r="W800" s="109"/>
      <c r="X800" s="109"/>
      <c r="Y800" s="109"/>
      <c r="Z800" s="109"/>
    </row>
    <row r="801" spans="1:26" ht="29" customHeight="1" x14ac:dyDescent="0.35">
      <c r="A801" s="12">
        <v>800</v>
      </c>
      <c r="B801" s="111" t="s">
        <v>2859</v>
      </c>
      <c r="C801" s="100" t="s">
        <v>2860</v>
      </c>
      <c r="D801" s="101" t="s">
        <v>2855</v>
      </c>
      <c r="E801" s="14" t="str">
        <f t="shared" si="15"/>
        <v>Laki-Laki</v>
      </c>
      <c r="F801" s="102" t="s">
        <v>1807</v>
      </c>
      <c r="G801" s="103" t="s">
        <v>2350</v>
      </c>
      <c r="H801" s="104" t="s">
        <v>1658</v>
      </c>
      <c r="I801" s="19" t="s">
        <v>90</v>
      </c>
      <c r="J801" s="106" t="s">
        <v>190</v>
      </c>
      <c r="K801" s="105" t="s">
        <v>2857</v>
      </c>
      <c r="L801" s="107" t="s">
        <v>28</v>
      </c>
      <c r="M801" s="108">
        <v>2025</v>
      </c>
      <c r="N801" s="15" t="s">
        <v>28</v>
      </c>
      <c r="O801" s="15">
        <v>2027</v>
      </c>
      <c r="P801" s="15">
        <v>2025</v>
      </c>
      <c r="Q801" s="110"/>
      <c r="R801" s="109"/>
      <c r="S801" s="16" t="str">
        <f ca="1">IF(
  O801 &lt; YEAR(TODAY()),
  "LULUS",
  IF(
    O801 = YEAR(TODAY()),
    IF(
      MATCH(L801, {"Januari";"Februari";"Maret";"April";"Mei";"Juni";"Juli";"Agustus";"September";"Oktober";"November";"Desember"}, 0)
        &gt;= MONTH(TODAY()),
      "AKTIF (Semester " &amp;
        (INT((12*(YEAR(TODAY())-M801) + MONTH(TODAY()) -
          MATCH(L801, {"Januari";"Februari";"Maret";"April";"Mei";"Juni";"Juli";"Agustus";"September";"Oktober";"November";"Desember"}, 0)) / 6) + 1) &amp; ")",
      "LULUS"
    ),
    "AKTIF (Semester " &amp;
      (INT((12*(YEAR(TODAY())-M801) + MONTH(TODAY()) -
        MATCH(L801, {"Januari";"Februari";"Maret";"April";"Mei";"Juni";"Juli";"Agustus";"September";"Oktober";"November";"Desember"}, 0)) / 6) + 1) &amp; ")"
  )
)</f>
        <v>AKTIF (Semester 1)</v>
      </c>
      <c r="T801" s="16" t="str">
        <f ca="1">IF(O801 &lt; YEAR(TODAY()), "LULUS",
 IF(O801 = YEAR(TODAY()),
    IF(MATCH(N801, {"Januari";"Februari";"Maret";"April";"Mei";"Juni";"Juli";"Agustus";"September";"Oktober";"November";"Desember"},0)
        &lt;= MONTH(TODAY()),
        "LULUS",
        "AKTIF"),
 "AKTIF"))</f>
        <v>AKTIF</v>
      </c>
      <c r="U801" s="16" t="s">
        <v>2943</v>
      </c>
      <c r="V801" s="109"/>
      <c r="W801" s="109"/>
      <c r="X801" s="109"/>
      <c r="Y801" s="109"/>
      <c r="Z801" s="109"/>
    </row>
    <row r="802" spans="1:26" ht="29" customHeight="1" x14ac:dyDescent="0.35">
      <c r="A802" s="12">
        <v>801</v>
      </c>
      <c r="B802" s="111" t="s">
        <v>2861</v>
      </c>
      <c r="C802" s="100" t="s">
        <v>2862</v>
      </c>
      <c r="D802" s="101" t="s">
        <v>2855</v>
      </c>
      <c r="E802" s="14" t="str">
        <f t="shared" si="15"/>
        <v>Laki-Laki</v>
      </c>
      <c r="F802" s="102" t="s">
        <v>1807</v>
      </c>
      <c r="G802" s="103" t="s">
        <v>2350</v>
      </c>
      <c r="H802" s="104" t="s">
        <v>1658</v>
      </c>
      <c r="I802" s="19" t="s">
        <v>90</v>
      </c>
      <c r="J802" s="106" t="s">
        <v>190</v>
      </c>
      <c r="K802" s="105" t="s">
        <v>2857</v>
      </c>
      <c r="L802" s="107" t="s">
        <v>28</v>
      </c>
      <c r="M802" s="108">
        <v>2025</v>
      </c>
      <c r="N802" s="15" t="s">
        <v>28</v>
      </c>
      <c r="O802" s="15">
        <v>2027</v>
      </c>
      <c r="P802" s="15">
        <v>2025</v>
      </c>
      <c r="Q802" s="110"/>
      <c r="R802" s="109"/>
      <c r="S802" s="16" t="str">
        <f ca="1">IF(
  O802 &lt; YEAR(TODAY()),
  "LULUS",
  IF(
    O802 = YEAR(TODAY()),
    IF(
      MATCH(L802, {"Januari";"Februari";"Maret";"April";"Mei";"Juni";"Juli";"Agustus";"September";"Oktober";"November";"Desember"}, 0)
        &gt;= MONTH(TODAY()),
      "AKTIF (Semester " &amp;
        (INT((12*(YEAR(TODAY())-M802) + MONTH(TODAY()) -
          MATCH(L802, {"Januari";"Februari";"Maret";"April";"Mei";"Juni";"Juli";"Agustus";"September";"Oktober";"November";"Desember"}, 0)) / 6) + 1) &amp; ")",
      "LULUS"
    ),
    "AKTIF (Semester " &amp;
      (INT((12*(YEAR(TODAY())-M802) + MONTH(TODAY()) -
        MATCH(L802, {"Januari";"Februari";"Maret";"April";"Mei";"Juni";"Juli";"Agustus";"September";"Oktober";"November";"Desember"}, 0)) / 6) + 1) &amp; ")"
  )
)</f>
        <v>AKTIF (Semester 1)</v>
      </c>
      <c r="T802" s="16" t="str">
        <f ca="1">IF(O802 &lt; YEAR(TODAY()), "LULUS",
 IF(O802 = YEAR(TODAY()),
    IF(MATCH(N802, {"Januari";"Februari";"Maret";"April";"Mei";"Juni";"Juli";"Agustus";"September";"Oktober";"November";"Desember"},0)
        &lt;= MONTH(TODAY()),
        "LULUS",
        "AKTIF"),
 "AKTIF"))</f>
        <v>AKTIF</v>
      </c>
      <c r="U802" s="16" t="s">
        <v>2943</v>
      </c>
      <c r="V802" s="109"/>
      <c r="W802" s="109"/>
      <c r="X802" s="109"/>
      <c r="Y802" s="109"/>
      <c r="Z802" s="109"/>
    </row>
    <row r="803" spans="1:26" ht="29" customHeight="1" x14ac:dyDescent="0.35">
      <c r="A803" s="12">
        <v>802</v>
      </c>
      <c r="B803" s="111" t="s">
        <v>2864</v>
      </c>
      <c r="C803" s="100" t="s">
        <v>2865</v>
      </c>
      <c r="D803" s="101" t="s">
        <v>2866</v>
      </c>
      <c r="E803" s="14" t="str">
        <f t="shared" si="15"/>
        <v>Perempuan</v>
      </c>
      <c r="F803" s="102" t="s">
        <v>1791</v>
      </c>
      <c r="G803" s="103" t="s">
        <v>2350</v>
      </c>
      <c r="H803" s="104" t="s">
        <v>1658</v>
      </c>
      <c r="I803" s="19" t="s">
        <v>90</v>
      </c>
      <c r="J803" s="106" t="s">
        <v>190</v>
      </c>
      <c r="K803" s="105" t="s">
        <v>2857</v>
      </c>
      <c r="L803" s="107" t="s">
        <v>28</v>
      </c>
      <c r="M803" s="108">
        <v>2025</v>
      </c>
      <c r="N803" s="15" t="s">
        <v>28</v>
      </c>
      <c r="O803" s="15">
        <v>2027</v>
      </c>
      <c r="P803" s="15">
        <v>2025</v>
      </c>
      <c r="Q803" s="110"/>
      <c r="R803" s="109"/>
      <c r="S803" s="16" t="str">
        <f ca="1">IF(
  O803 &lt; YEAR(TODAY()),
  "LULUS",
  IF(
    O803 = YEAR(TODAY()),
    IF(
      MATCH(L803, {"Januari";"Februari";"Maret";"April";"Mei";"Juni";"Juli";"Agustus";"September";"Oktober";"November";"Desember"}, 0)
        &gt;= MONTH(TODAY()),
      "AKTIF (Semester " &amp;
        (INT((12*(YEAR(TODAY())-M803) + MONTH(TODAY()) -
          MATCH(L803, {"Januari";"Februari";"Maret";"April";"Mei";"Juni";"Juli";"Agustus";"September";"Oktober";"November";"Desember"}, 0)) / 6) + 1) &amp; ")",
      "LULUS"
    ),
    "AKTIF (Semester " &amp;
      (INT((12*(YEAR(TODAY())-M803) + MONTH(TODAY()) -
        MATCH(L803, {"Januari";"Februari";"Maret";"April";"Mei";"Juni";"Juli";"Agustus";"September";"Oktober";"November";"Desember"}, 0)) / 6) + 1) &amp; ")"
  )
)</f>
        <v>AKTIF (Semester 1)</v>
      </c>
      <c r="T803" s="16" t="str">
        <f ca="1">IF(O803 &lt; YEAR(TODAY()), "LULUS",
 IF(O803 = YEAR(TODAY()),
    IF(MATCH(N803, {"Januari";"Februari";"Maret";"April";"Mei";"Juni";"Juli";"Agustus";"September";"Oktober";"November";"Desember"},0)
        &lt;= MONTH(TODAY()),
        "LULUS",
        "AKTIF"),
 "AKTIF"))</f>
        <v>AKTIF</v>
      </c>
      <c r="U803" s="16" t="s">
        <v>2943</v>
      </c>
      <c r="V803" s="109"/>
      <c r="W803" s="109"/>
      <c r="X803" s="109"/>
      <c r="Y803" s="109"/>
      <c r="Z803" s="109"/>
    </row>
    <row r="804" spans="1:26" ht="29" customHeight="1" x14ac:dyDescent="0.35">
      <c r="A804" s="12">
        <v>803</v>
      </c>
      <c r="B804" s="111" t="s">
        <v>2867</v>
      </c>
      <c r="C804" s="100" t="s">
        <v>2868</v>
      </c>
      <c r="D804" s="101" t="s">
        <v>2866</v>
      </c>
      <c r="E804" s="14" t="str">
        <f t="shared" si="15"/>
        <v>Perempuan</v>
      </c>
      <c r="F804" s="102" t="s">
        <v>1791</v>
      </c>
      <c r="G804" s="103" t="s">
        <v>2350</v>
      </c>
      <c r="H804" s="104" t="s">
        <v>1658</v>
      </c>
      <c r="I804" s="19" t="s">
        <v>90</v>
      </c>
      <c r="J804" s="106" t="s">
        <v>190</v>
      </c>
      <c r="K804" s="105" t="s">
        <v>2857</v>
      </c>
      <c r="L804" s="107" t="s">
        <v>28</v>
      </c>
      <c r="M804" s="108">
        <v>2025</v>
      </c>
      <c r="N804" s="15" t="s">
        <v>28</v>
      </c>
      <c r="O804" s="15">
        <v>2027</v>
      </c>
      <c r="P804" s="15">
        <v>2025</v>
      </c>
      <c r="Q804" s="110"/>
      <c r="R804" s="109"/>
      <c r="S804" s="16" t="str">
        <f ca="1">IF(
  O804 &lt; YEAR(TODAY()),
  "LULUS",
  IF(
    O804 = YEAR(TODAY()),
    IF(
      MATCH(L804, {"Januari";"Februari";"Maret";"April";"Mei";"Juni";"Juli";"Agustus";"September";"Oktober";"November";"Desember"}, 0)
        &gt;= MONTH(TODAY()),
      "AKTIF (Semester " &amp;
        (INT((12*(YEAR(TODAY())-M804) + MONTH(TODAY()) -
          MATCH(L804, {"Januari";"Februari";"Maret";"April";"Mei";"Juni";"Juli";"Agustus";"September";"Oktober";"November";"Desember"}, 0)) / 6) + 1) &amp; ")",
      "LULUS"
    ),
    "AKTIF (Semester " &amp;
      (INT((12*(YEAR(TODAY())-M804) + MONTH(TODAY()) -
        MATCH(L804, {"Januari";"Februari";"Maret";"April";"Mei";"Juni";"Juli";"Agustus";"September";"Oktober";"November";"Desember"}, 0)) / 6) + 1) &amp; ")"
  )
)</f>
        <v>AKTIF (Semester 1)</v>
      </c>
      <c r="T804" s="16" t="str">
        <f ca="1">IF(O804 &lt; YEAR(TODAY()), "LULUS",
 IF(O804 = YEAR(TODAY()),
    IF(MATCH(N804, {"Januari";"Februari";"Maret";"April";"Mei";"Juni";"Juli";"Agustus";"September";"Oktober";"November";"Desember"},0)
        &lt;= MONTH(TODAY()),
        "LULUS",
        "AKTIF"),
 "AKTIF"))</f>
        <v>AKTIF</v>
      </c>
      <c r="U804" s="16" t="s">
        <v>2943</v>
      </c>
      <c r="V804" s="109"/>
      <c r="W804" s="109"/>
      <c r="X804" s="109"/>
      <c r="Y804" s="109"/>
      <c r="Z804" s="109"/>
    </row>
    <row r="805" spans="1:26" ht="29" customHeight="1" x14ac:dyDescent="0.35">
      <c r="A805" s="12">
        <v>804</v>
      </c>
      <c r="B805" s="111" t="s">
        <v>2870</v>
      </c>
      <c r="C805" s="100" t="s">
        <v>2871</v>
      </c>
      <c r="D805" s="101" t="s">
        <v>2866</v>
      </c>
      <c r="E805" s="14" t="str">
        <f t="shared" si="15"/>
        <v>Perempuan</v>
      </c>
      <c r="F805" s="102" t="s">
        <v>1791</v>
      </c>
      <c r="G805" s="103" t="s">
        <v>2350</v>
      </c>
      <c r="H805" s="104" t="s">
        <v>1658</v>
      </c>
      <c r="I805" s="19" t="s">
        <v>90</v>
      </c>
      <c r="J805" s="106" t="s">
        <v>190</v>
      </c>
      <c r="K805" s="105" t="s">
        <v>2857</v>
      </c>
      <c r="L805" s="107" t="s">
        <v>28</v>
      </c>
      <c r="M805" s="108">
        <v>2025</v>
      </c>
      <c r="N805" s="15" t="s">
        <v>28</v>
      </c>
      <c r="O805" s="15">
        <v>2027</v>
      </c>
      <c r="P805" s="15">
        <v>2025</v>
      </c>
      <c r="Q805" s="110"/>
      <c r="R805" s="109"/>
      <c r="S805" s="16" t="str">
        <f ca="1">IF(
  O805 &lt; YEAR(TODAY()),
  "LULUS",
  IF(
    O805 = YEAR(TODAY()),
    IF(
      MATCH(L805, {"Januari";"Februari";"Maret";"April";"Mei";"Juni";"Juli";"Agustus";"September";"Oktober";"November";"Desember"}, 0)
        &gt;= MONTH(TODAY()),
      "AKTIF (Semester " &amp;
        (INT((12*(YEAR(TODAY())-M805) + MONTH(TODAY()) -
          MATCH(L805, {"Januari";"Februari";"Maret";"April";"Mei";"Juni";"Juli";"Agustus";"September";"Oktober";"November";"Desember"}, 0)) / 6) + 1) &amp; ")",
      "LULUS"
    ),
    "AKTIF (Semester " &amp;
      (INT((12*(YEAR(TODAY())-M805) + MONTH(TODAY()) -
        MATCH(L805, {"Januari";"Februari";"Maret";"April";"Mei";"Juni";"Juli";"Agustus";"September";"Oktober";"November";"Desember"}, 0)) / 6) + 1) &amp; ")"
  )
)</f>
        <v>AKTIF (Semester 1)</v>
      </c>
      <c r="T805" s="16" t="str">
        <f ca="1">IF(O805 &lt; YEAR(TODAY()), "LULUS",
 IF(O805 = YEAR(TODAY()),
    IF(MATCH(N805, {"Januari";"Februari";"Maret";"April";"Mei";"Juni";"Juli";"Agustus";"September";"Oktober";"November";"Desember"},0)
        &lt;= MONTH(TODAY()),
        "LULUS",
        "AKTIF"),
 "AKTIF"))</f>
        <v>AKTIF</v>
      </c>
      <c r="U805" s="16" t="s">
        <v>2943</v>
      </c>
      <c r="V805" s="109"/>
      <c r="W805" s="109"/>
      <c r="X805" s="109"/>
      <c r="Y805" s="109"/>
      <c r="Z805" s="109"/>
    </row>
    <row r="806" spans="1:26" ht="29" customHeight="1" x14ac:dyDescent="0.35">
      <c r="A806" s="12">
        <v>805</v>
      </c>
      <c r="B806" s="111" t="s">
        <v>2872</v>
      </c>
      <c r="C806" s="100" t="s">
        <v>2873</v>
      </c>
      <c r="D806" s="101" t="s">
        <v>188</v>
      </c>
      <c r="E806" s="14" t="str">
        <f t="shared" si="15"/>
        <v>Laki-Laki</v>
      </c>
      <c r="F806" s="102" t="s">
        <v>2874</v>
      </c>
      <c r="G806" s="103" t="s">
        <v>2350</v>
      </c>
      <c r="H806" s="104" t="s">
        <v>1497</v>
      </c>
      <c r="I806" s="105" t="s">
        <v>1395</v>
      </c>
      <c r="J806" s="106" t="s">
        <v>509</v>
      </c>
      <c r="K806" s="105" t="s">
        <v>2875</v>
      </c>
      <c r="L806" s="107" t="s">
        <v>60</v>
      </c>
      <c r="M806" s="108">
        <v>2025</v>
      </c>
      <c r="N806" s="15" t="s">
        <v>60</v>
      </c>
      <c r="O806" s="15">
        <v>2028</v>
      </c>
      <c r="P806" s="15">
        <v>2025</v>
      </c>
      <c r="Q806" s="110"/>
      <c r="R806" s="109"/>
      <c r="S806" s="16" t="str">
        <f ca="1">IF(
  O806 &lt; YEAR(TODAY()),
  "LULUS",
  IF(
    O806 = YEAR(TODAY()),
    IF(
      MATCH(L806, {"Januari";"Februari";"Maret";"April";"Mei";"Juni";"Juli";"Agustus";"September";"Oktober";"November";"Desember"}, 0)
        &gt;= MONTH(TODAY()),
      "AKTIF (Semester " &amp;
        (INT((12*(YEAR(TODAY())-M806) + MONTH(TODAY()) -
          MATCH(L806, {"Januari";"Februari";"Maret";"April";"Mei";"Juni";"Juli";"Agustus";"September";"Oktober";"November";"Desember"}, 0)) / 6) + 1) &amp; ")",
      "LULUS"
    ),
    "AKTIF (Semester " &amp;
      (INT((12*(YEAR(TODAY())-M806) + MONTH(TODAY()) -
        MATCH(L806, {"Januari";"Februari";"Maret";"April";"Mei";"Juni";"Juli";"Agustus";"September";"Oktober";"November";"Desember"}, 0)) / 6) + 1) &amp; ")"
  )
)</f>
        <v>AKTIF (Semester 1)</v>
      </c>
      <c r="T806" s="16" t="str">
        <f ca="1">IF(O806 &lt; YEAR(TODAY()), "LULUS",
 IF(O806 = YEAR(TODAY()),
    IF(MATCH(N806, {"Januari";"Februari";"Maret";"April";"Mei";"Juni";"Juli";"Agustus";"September";"Oktober";"November";"Desember"},0)
        &lt;= MONTH(TODAY()),
        "LULUS",
        "AKTIF"),
 "AKTIF"))</f>
        <v>AKTIF</v>
      </c>
      <c r="U806" s="16" t="s">
        <v>2943</v>
      </c>
      <c r="V806" s="109"/>
      <c r="W806" s="109"/>
      <c r="X806" s="109"/>
      <c r="Y806" s="109"/>
      <c r="Z806" s="109"/>
    </row>
    <row r="807" spans="1:26" ht="29" customHeight="1" x14ac:dyDescent="0.35">
      <c r="A807" s="12">
        <v>806</v>
      </c>
      <c r="B807" s="112" t="s">
        <v>2877</v>
      </c>
      <c r="C807" s="113" t="s">
        <v>2878</v>
      </c>
      <c r="D807" s="114" t="s">
        <v>554</v>
      </c>
      <c r="E807" s="14" t="str">
        <f t="shared" si="15"/>
        <v>Laki-Laki</v>
      </c>
      <c r="F807" s="102" t="s">
        <v>2879</v>
      </c>
      <c r="G807" s="103" t="s">
        <v>2350</v>
      </c>
      <c r="H807" s="104" t="s">
        <v>2157</v>
      </c>
      <c r="I807" s="105" t="s">
        <v>256</v>
      </c>
      <c r="J807" s="106" t="s">
        <v>509</v>
      </c>
      <c r="K807" s="105" t="s">
        <v>2880</v>
      </c>
      <c r="L807" s="107" t="s">
        <v>28</v>
      </c>
      <c r="M807" s="108">
        <v>2024</v>
      </c>
      <c r="N807" s="130" t="s">
        <v>28</v>
      </c>
      <c r="O807" s="15">
        <v>2027</v>
      </c>
      <c r="P807" s="110">
        <v>2025</v>
      </c>
      <c r="Q807" s="110"/>
      <c r="R807" s="109"/>
      <c r="S807" s="16" t="str">
        <f ca="1">IF(
  O807 &lt; YEAR(TODAY()),
  "LULUS",
  IF(
    O807 = YEAR(TODAY()),
    IF(
      MATCH(L807, {"Januari";"Februari";"Maret";"April";"Mei";"Juni";"Juli";"Agustus";"September";"Oktober";"November";"Desember"}, 0)
        &gt;= MONTH(TODAY()),
      "AKTIF (Semester " &amp;
        (INT((12*(YEAR(TODAY())-M807) + MONTH(TODAY()) -
          MATCH(L807, {"Januari";"Februari";"Maret";"April";"Mei";"Juni";"Juli";"Agustus";"September";"Oktober";"November";"Desember"}, 0)) / 6) + 1) &amp; ")",
      "LULUS"
    ),
    "AKTIF (Semester " &amp;
      (INT((12*(YEAR(TODAY())-M807) + MONTH(TODAY()) -
        MATCH(L807, {"Januari";"Februari";"Maret";"April";"Mei";"Juni";"Juli";"Agustus";"September";"Oktober";"November";"Desember"}, 0)) / 6) + 1) &amp; ")"
  )
)</f>
        <v>AKTIF (Semester 3)</v>
      </c>
      <c r="T807" s="16" t="str">
        <f ca="1">IF(O807 &lt; YEAR(TODAY()), "LULUS",
 IF(O807 = YEAR(TODAY()),
    IF(MATCH(N807, {"Januari";"Februari";"Maret";"April";"Mei";"Juni";"Juli";"Agustus";"September";"Oktober";"November";"Desember"},0)
        &lt;= MONTH(TODAY()),
        "LULUS",
        "AKTIF"),
 "AKTIF"))</f>
        <v>AKTIF</v>
      </c>
      <c r="U807" s="16" t="s">
        <v>2940</v>
      </c>
      <c r="V807" s="109"/>
      <c r="W807" s="109"/>
      <c r="X807" s="109"/>
      <c r="Y807" s="109"/>
      <c r="Z807" s="109"/>
    </row>
    <row r="808" spans="1:26" ht="29" customHeight="1" x14ac:dyDescent="0.35">
      <c r="A808" s="12">
        <v>807</v>
      </c>
      <c r="B808" s="112" t="s">
        <v>2881</v>
      </c>
      <c r="C808" s="100" t="s">
        <v>2882</v>
      </c>
      <c r="D808" s="115" t="s">
        <v>583</v>
      </c>
      <c r="E808" s="14" t="str">
        <f t="shared" si="15"/>
        <v>Perempuan</v>
      </c>
      <c r="F808" s="116" t="s">
        <v>2156</v>
      </c>
      <c r="G808" s="103" t="s">
        <v>2350</v>
      </c>
      <c r="H808" s="104" t="s">
        <v>2883</v>
      </c>
      <c r="I808" s="105" t="s">
        <v>256</v>
      </c>
      <c r="J808" s="106" t="s">
        <v>509</v>
      </c>
      <c r="K808" s="105" t="s">
        <v>2880</v>
      </c>
      <c r="L808" s="107" t="s">
        <v>28</v>
      </c>
      <c r="M808" s="108">
        <v>2024</v>
      </c>
      <c r="N808" s="130" t="s">
        <v>28</v>
      </c>
      <c r="O808" s="15">
        <v>2027</v>
      </c>
      <c r="P808" s="110">
        <v>2025</v>
      </c>
      <c r="Q808" s="110"/>
      <c r="R808" s="109"/>
      <c r="S808" s="16" t="str">
        <f ca="1">IF(
  O808 &lt; YEAR(TODAY()),
  "LULUS",
  IF(
    O808 = YEAR(TODAY()),
    IF(
      MATCH(L808, {"Januari";"Februari";"Maret";"April";"Mei";"Juni";"Juli";"Agustus";"September";"Oktober";"November";"Desember"}, 0)
        &gt;= MONTH(TODAY()),
      "AKTIF (Semester " &amp;
        (INT((12*(YEAR(TODAY())-M808) + MONTH(TODAY()) -
          MATCH(L808, {"Januari";"Februari";"Maret";"April";"Mei";"Juni";"Juli";"Agustus";"September";"Oktober";"November";"Desember"}, 0)) / 6) + 1) &amp; ")",
      "LULUS"
    ),
    "AKTIF (Semester " &amp;
      (INT((12*(YEAR(TODAY())-M808) + MONTH(TODAY()) -
        MATCH(L808, {"Januari";"Februari";"Maret";"April";"Mei";"Juni";"Juli";"Agustus";"September";"Oktober";"November";"Desember"}, 0)) / 6) + 1) &amp; ")"
  )
)</f>
        <v>AKTIF (Semester 3)</v>
      </c>
      <c r="T808" s="16" t="str">
        <f ca="1">IF(O808 &lt; YEAR(TODAY()), "LULUS",
 IF(O808 = YEAR(TODAY()),
    IF(MATCH(N808, {"Januari";"Februari";"Maret";"April";"Mei";"Juni";"Juli";"Agustus";"September";"Oktober";"November";"Desember"},0)
        &lt;= MONTH(TODAY()),
        "LULUS",
        "AKTIF"),
 "AKTIF"))</f>
        <v>AKTIF</v>
      </c>
      <c r="U808" s="16" t="s">
        <v>2940</v>
      </c>
      <c r="V808" s="109"/>
      <c r="W808" s="109"/>
      <c r="X808" s="109"/>
      <c r="Y808" s="109"/>
      <c r="Z808" s="109"/>
    </row>
    <row r="809" spans="1:26" ht="29" customHeight="1" x14ac:dyDescent="0.35">
      <c r="A809" s="12">
        <v>808</v>
      </c>
      <c r="B809" s="112" t="s">
        <v>2884</v>
      </c>
      <c r="C809" s="100" t="s">
        <v>2885</v>
      </c>
      <c r="D809" s="115" t="s">
        <v>2886</v>
      </c>
      <c r="E809" s="14" t="str">
        <f t="shared" si="15"/>
        <v>Laki-Laki</v>
      </c>
      <c r="F809" s="116" t="s">
        <v>2887</v>
      </c>
      <c r="G809" s="103" t="s">
        <v>2350</v>
      </c>
      <c r="H809" s="104" t="s">
        <v>2157</v>
      </c>
      <c r="I809" s="105" t="s">
        <v>256</v>
      </c>
      <c r="J809" s="106" t="s">
        <v>509</v>
      </c>
      <c r="K809" s="105" t="s">
        <v>2880</v>
      </c>
      <c r="L809" s="107" t="s">
        <v>28</v>
      </c>
      <c r="M809" s="108">
        <v>2024</v>
      </c>
      <c r="N809" s="130" t="s">
        <v>28</v>
      </c>
      <c r="O809" s="15">
        <v>2027</v>
      </c>
      <c r="P809" s="110">
        <v>2025</v>
      </c>
      <c r="Q809" s="110"/>
      <c r="R809" s="109"/>
      <c r="S809" s="16" t="str">
        <f ca="1">IF(
  O809 &lt; YEAR(TODAY()),
  "LULUS",
  IF(
    O809 = YEAR(TODAY()),
    IF(
      MATCH(L809, {"Januari";"Februari";"Maret";"April";"Mei";"Juni";"Juli";"Agustus";"September";"Oktober";"November";"Desember"}, 0)
        &gt;= MONTH(TODAY()),
      "AKTIF (Semester " &amp;
        (INT((12*(YEAR(TODAY())-M809) + MONTH(TODAY()) -
          MATCH(L809, {"Januari";"Februari";"Maret";"April";"Mei";"Juni";"Juli";"Agustus";"September";"Oktober";"November";"Desember"}, 0)) / 6) + 1) &amp; ")",
      "LULUS"
    ),
    "AKTIF (Semester " &amp;
      (INT((12*(YEAR(TODAY())-M809) + MONTH(TODAY()) -
        MATCH(L809, {"Januari";"Februari";"Maret";"April";"Mei";"Juni";"Juli";"Agustus";"September";"Oktober";"November";"Desember"}, 0)) / 6) + 1) &amp; ")"
  )
)</f>
        <v>AKTIF (Semester 3)</v>
      </c>
      <c r="T809" s="16" t="str">
        <f ca="1">IF(O809 &lt; YEAR(TODAY()), "LULUS",
 IF(O809 = YEAR(TODAY()),
    IF(MATCH(N809, {"Januari";"Februari";"Maret";"April";"Mei";"Juni";"Juli";"Agustus";"September";"Oktober";"November";"Desember"},0)
        &lt;= MONTH(TODAY()),
        "LULUS",
        "AKTIF"),
 "AKTIF"))</f>
        <v>AKTIF</v>
      </c>
      <c r="U809" s="16" t="s">
        <v>2940</v>
      </c>
      <c r="V809" s="109"/>
      <c r="W809" s="109"/>
      <c r="X809" s="109"/>
      <c r="Y809" s="109"/>
      <c r="Z809" s="109"/>
    </row>
    <row r="810" spans="1:26" ht="29" customHeight="1" x14ac:dyDescent="0.35">
      <c r="A810" s="12">
        <v>809</v>
      </c>
      <c r="B810" s="112" t="s">
        <v>2888</v>
      </c>
      <c r="C810" s="100" t="s">
        <v>2889</v>
      </c>
      <c r="D810" s="115" t="s">
        <v>188</v>
      </c>
      <c r="E810" s="14" t="str">
        <f t="shared" si="15"/>
        <v>Laki-Laki</v>
      </c>
      <c r="F810" s="116" t="s">
        <v>2160</v>
      </c>
      <c r="G810" s="103" t="s">
        <v>2350</v>
      </c>
      <c r="H810" s="104" t="s">
        <v>2157</v>
      </c>
      <c r="I810" s="105" t="s">
        <v>256</v>
      </c>
      <c r="J810" s="106" t="s">
        <v>509</v>
      </c>
      <c r="K810" s="105" t="s">
        <v>2880</v>
      </c>
      <c r="L810" s="107" t="s">
        <v>28</v>
      </c>
      <c r="M810" s="108">
        <v>2024</v>
      </c>
      <c r="N810" s="130" t="s">
        <v>28</v>
      </c>
      <c r="O810" s="15">
        <v>2027</v>
      </c>
      <c r="P810" s="110">
        <v>2025</v>
      </c>
      <c r="Q810" s="110"/>
      <c r="R810" s="109"/>
      <c r="S810" s="16" t="str">
        <f ca="1">IF(
  O810 &lt; YEAR(TODAY()),
  "LULUS",
  IF(
    O810 = YEAR(TODAY()),
    IF(
      MATCH(L810, {"Januari";"Februari";"Maret";"April";"Mei";"Juni";"Juli";"Agustus";"September";"Oktober";"November";"Desember"}, 0)
        &gt;= MONTH(TODAY()),
      "AKTIF (Semester " &amp;
        (INT((12*(YEAR(TODAY())-M810) + MONTH(TODAY()) -
          MATCH(L810, {"Januari";"Februari";"Maret";"April";"Mei";"Juni";"Juli";"Agustus";"September";"Oktober";"November";"Desember"}, 0)) / 6) + 1) &amp; ")",
      "LULUS"
    ),
    "AKTIF (Semester " &amp;
      (INT((12*(YEAR(TODAY())-M810) + MONTH(TODAY()) -
        MATCH(L810, {"Januari";"Februari";"Maret";"April";"Mei";"Juni";"Juli";"Agustus";"September";"Oktober";"November";"Desember"}, 0)) / 6) + 1) &amp; ")"
  )
)</f>
        <v>AKTIF (Semester 3)</v>
      </c>
      <c r="T810" s="16" t="str">
        <f ca="1">IF(O810 &lt; YEAR(TODAY()), "LULUS",
 IF(O810 = YEAR(TODAY()),
    IF(MATCH(N810, {"Januari";"Februari";"Maret";"April";"Mei";"Juni";"Juli";"Agustus";"September";"Oktober";"November";"Desember"},0)
        &lt;= MONTH(TODAY()),
        "LULUS",
        "AKTIF"),
 "AKTIF"))</f>
        <v>AKTIF</v>
      </c>
      <c r="U810" s="16" t="s">
        <v>2940</v>
      </c>
      <c r="V810" s="109"/>
      <c r="W810" s="109"/>
      <c r="X810" s="109"/>
      <c r="Y810" s="109"/>
      <c r="Z810" s="109"/>
    </row>
    <row r="811" spans="1:26" ht="29" customHeight="1" x14ac:dyDescent="0.35">
      <c r="A811" s="12">
        <v>810</v>
      </c>
      <c r="B811" s="112" t="s">
        <v>2890</v>
      </c>
      <c r="C811" s="100" t="s">
        <v>2891</v>
      </c>
      <c r="D811" s="115" t="s">
        <v>507</v>
      </c>
      <c r="E811" s="14" t="str">
        <f t="shared" si="15"/>
        <v>Laki-Laki</v>
      </c>
      <c r="F811" s="116" t="s">
        <v>397</v>
      </c>
      <c r="G811" s="103" t="s">
        <v>2350</v>
      </c>
      <c r="H811" s="104" t="s">
        <v>2157</v>
      </c>
      <c r="I811" s="105" t="s">
        <v>256</v>
      </c>
      <c r="J811" s="106" t="s">
        <v>509</v>
      </c>
      <c r="K811" s="105" t="s">
        <v>2880</v>
      </c>
      <c r="L811" s="107" t="s">
        <v>28</v>
      </c>
      <c r="M811" s="108">
        <v>2024</v>
      </c>
      <c r="N811" s="130" t="s">
        <v>28</v>
      </c>
      <c r="O811" s="15">
        <v>2027</v>
      </c>
      <c r="P811" s="110">
        <v>2025</v>
      </c>
      <c r="Q811" s="110"/>
      <c r="R811" s="109"/>
      <c r="S811" s="16" t="str">
        <f ca="1">IF(
  O811 &lt; YEAR(TODAY()),
  "LULUS",
  IF(
    O811 = YEAR(TODAY()),
    IF(
      MATCH(L811, {"Januari";"Februari";"Maret";"April";"Mei";"Juni";"Juli";"Agustus";"September";"Oktober";"November";"Desember"}, 0)
        &gt;= MONTH(TODAY()),
      "AKTIF (Semester " &amp;
        (INT((12*(YEAR(TODAY())-M811) + MONTH(TODAY()) -
          MATCH(L811, {"Januari";"Februari";"Maret";"April";"Mei";"Juni";"Juli";"Agustus";"September";"Oktober";"November";"Desember"}, 0)) / 6) + 1) &amp; ")",
      "LULUS"
    ),
    "AKTIF (Semester " &amp;
      (INT((12*(YEAR(TODAY())-M811) + MONTH(TODAY()) -
        MATCH(L811, {"Januari";"Februari";"Maret";"April";"Mei";"Juni";"Juli";"Agustus";"September";"Oktober";"November";"Desember"}, 0)) / 6) + 1) &amp; ")"
  )
)</f>
        <v>AKTIF (Semester 3)</v>
      </c>
      <c r="T811" s="16" t="str">
        <f ca="1">IF(O811 &lt; YEAR(TODAY()), "LULUS",
 IF(O811 = YEAR(TODAY()),
    IF(MATCH(N811, {"Januari";"Februari";"Maret";"April";"Mei";"Juni";"Juli";"Agustus";"September";"Oktober";"November";"Desember"},0)
        &lt;= MONTH(TODAY()),
        "LULUS",
        "AKTIF"),
 "AKTIF"))</f>
        <v>AKTIF</v>
      </c>
      <c r="U811" s="16" t="s">
        <v>2940</v>
      </c>
      <c r="V811" s="109"/>
      <c r="W811" s="109"/>
      <c r="X811" s="109"/>
      <c r="Y811" s="109"/>
      <c r="Z811" s="109"/>
    </row>
    <row r="812" spans="1:26" ht="29" customHeight="1" x14ac:dyDescent="0.35">
      <c r="A812" s="12">
        <v>811</v>
      </c>
      <c r="B812" s="112" t="s">
        <v>2892</v>
      </c>
      <c r="C812" s="100" t="s">
        <v>2893</v>
      </c>
      <c r="D812" s="115" t="s">
        <v>539</v>
      </c>
      <c r="E812" s="14" t="str">
        <f t="shared" si="15"/>
        <v>Laki-Laki</v>
      </c>
      <c r="F812" s="116" t="s">
        <v>2894</v>
      </c>
      <c r="G812" s="103" t="s">
        <v>2350</v>
      </c>
      <c r="H812" s="104" t="s">
        <v>2157</v>
      </c>
      <c r="I812" s="105" t="s">
        <v>256</v>
      </c>
      <c r="J812" s="106" t="s">
        <v>509</v>
      </c>
      <c r="K812" s="105" t="s">
        <v>2880</v>
      </c>
      <c r="L812" s="107" t="s">
        <v>28</v>
      </c>
      <c r="M812" s="108">
        <v>2024</v>
      </c>
      <c r="N812" s="130" t="s">
        <v>28</v>
      </c>
      <c r="O812" s="15">
        <v>2027</v>
      </c>
      <c r="P812" s="110">
        <v>2025</v>
      </c>
      <c r="Q812" s="110"/>
      <c r="R812" s="109"/>
      <c r="S812" s="16" t="str">
        <f ca="1">IF(
  O812 &lt; YEAR(TODAY()),
  "LULUS",
  IF(
    O812 = YEAR(TODAY()),
    IF(
      MATCH(L812, {"Januari";"Februari";"Maret";"April";"Mei";"Juni";"Juli";"Agustus";"September";"Oktober";"November";"Desember"}, 0)
        &gt;= MONTH(TODAY()),
      "AKTIF (Semester " &amp;
        (INT((12*(YEAR(TODAY())-M812) + MONTH(TODAY()) -
          MATCH(L812, {"Januari";"Februari";"Maret";"April";"Mei";"Juni";"Juli";"Agustus";"September";"Oktober";"November";"Desember"}, 0)) / 6) + 1) &amp; ")",
      "LULUS"
    ),
    "AKTIF (Semester " &amp;
      (INT((12*(YEAR(TODAY())-M812) + MONTH(TODAY()) -
        MATCH(L812, {"Januari";"Februari";"Maret";"April";"Mei";"Juni";"Juli";"Agustus";"September";"Oktober";"November";"Desember"}, 0)) / 6) + 1) &amp; ")"
  )
)</f>
        <v>AKTIF (Semester 3)</v>
      </c>
      <c r="T812" s="16" t="str">
        <f ca="1">IF(O812 &lt; YEAR(TODAY()), "LULUS",
 IF(O812 = YEAR(TODAY()),
    IF(MATCH(N812, {"Januari";"Februari";"Maret";"April";"Mei";"Juni";"Juli";"Agustus";"September";"Oktober";"November";"Desember"},0)
        &lt;= MONTH(TODAY()),
        "LULUS",
        "AKTIF"),
 "AKTIF"))</f>
        <v>AKTIF</v>
      </c>
      <c r="U812" s="16" t="s">
        <v>2940</v>
      </c>
      <c r="V812" s="109"/>
      <c r="W812" s="109"/>
      <c r="X812" s="109"/>
      <c r="Y812" s="109"/>
      <c r="Z812" s="109"/>
    </row>
    <row r="813" spans="1:26" ht="29" customHeight="1" x14ac:dyDescent="0.35">
      <c r="A813" s="12">
        <v>812</v>
      </c>
      <c r="B813" s="112" t="s">
        <v>2895</v>
      </c>
      <c r="C813" s="100" t="s">
        <v>2896</v>
      </c>
      <c r="D813" s="115" t="s">
        <v>539</v>
      </c>
      <c r="E813" s="14" t="str">
        <f t="shared" si="15"/>
        <v>Laki-Laki</v>
      </c>
      <c r="F813" s="116" t="s">
        <v>2894</v>
      </c>
      <c r="G813" s="103" t="s">
        <v>2350</v>
      </c>
      <c r="H813" s="104" t="s">
        <v>2157</v>
      </c>
      <c r="I813" s="105" t="s">
        <v>256</v>
      </c>
      <c r="J813" s="106" t="s">
        <v>509</v>
      </c>
      <c r="K813" s="105" t="s">
        <v>2880</v>
      </c>
      <c r="L813" s="107" t="s">
        <v>28</v>
      </c>
      <c r="M813" s="108">
        <v>2024</v>
      </c>
      <c r="N813" s="130" t="s">
        <v>28</v>
      </c>
      <c r="O813" s="15">
        <v>2027</v>
      </c>
      <c r="P813" s="110">
        <v>2025</v>
      </c>
      <c r="Q813" s="110"/>
      <c r="R813" s="109"/>
      <c r="S813" s="16" t="str">
        <f ca="1">IF(
  O813 &lt; YEAR(TODAY()),
  "LULUS",
  IF(
    O813 = YEAR(TODAY()),
    IF(
      MATCH(L813, {"Januari";"Februari";"Maret";"April";"Mei";"Juni";"Juli";"Agustus";"September";"Oktober";"November";"Desember"}, 0)
        &gt;= MONTH(TODAY()),
      "AKTIF (Semester " &amp;
        (INT((12*(YEAR(TODAY())-M813) + MONTH(TODAY()) -
          MATCH(L813, {"Januari";"Februari";"Maret";"April";"Mei";"Juni";"Juli";"Agustus";"September";"Oktober";"November";"Desember"}, 0)) / 6) + 1) &amp; ")",
      "LULUS"
    ),
    "AKTIF (Semester " &amp;
      (INT((12*(YEAR(TODAY())-M813) + MONTH(TODAY()) -
        MATCH(L813, {"Januari";"Februari";"Maret";"April";"Mei";"Juni";"Juli";"Agustus";"September";"Oktober";"November";"Desember"}, 0)) / 6) + 1) &amp; ")"
  )
)</f>
        <v>AKTIF (Semester 3)</v>
      </c>
      <c r="T813" s="16" t="str">
        <f ca="1">IF(O813 &lt; YEAR(TODAY()), "LULUS",
 IF(O813 = YEAR(TODAY()),
    IF(MATCH(N813, {"Januari";"Februari";"Maret";"April";"Mei";"Juni";"Juli";"Agustus";"September";"Oktober";"November";"Desember"},0)
        &lt;= MONTH(TODAY()),
        "LULUS",
        "AKTIF"),
 "AKTIF"))</f>
        <v>AKTIF</v>
      </c>
      <c r="U813" s="16" t="s">
        <v>2940</v>
      </c>
      <c r="V813" s="109"/>
      <c r="W813" s="109"/>
      <c r="X813" s="109"/>
      <c r="Y813" s="109"/>
      <c r="Z813" s="109"/>
    </row>
    <row r="814" spans="1:26" ht="29" customHeight="1" x14ac:dyDescent="0.35">
      <c r="A814" s="12">
        <v>813</v>
      </c>
      <c r="B814" s="117" t="s">
        <v>2897</v>
      </c>
      <c r="C814" s="113" t="s">
        <v>2155</v>
      </c>
      <c r="D814" s="118" t="s">
        <v>583</v>
      </c>
      <c r="E814" s="14" t="str">
        <f t="shared" si="15"/>
        <v>Laki-Laki</v>
      </c>
      <c r="F814" s="119" t="s">
        <v>2156</v>
      </c>
      <c r="G814" s="120" t="s">
        <v>2350</v>
      </c>
      <c r="H814" s="121" t="s">
        <v>2157</v>
      </c>
      <c r="I814" s="122" t="s">
        <v>256</v>
      </c>
      <c r="J814" s="123" t="s">
        <v>509</v>
      </c>
      <c r="K814" s="122" t="s">
        <v>2880</v>
      </c>
      <c r="L814" s="124" t="s">
        <v>28</v>
      </c>
      <c r="M814" s="125">
        <v>2024</v>
      </c>
      <c r="N814" s="130" t="s">
        <v>28</v>
      </c>
      <c r="O814" s="15">
        <v>2027</v>
      </c>
      <c r="P814" s="110">
        <v>2025</v>
      </c>
      <c r="Q814" s="110"/>
      <c r="R814" s="109"/>
      <c r="S814" s="16" t="str">
        <f ca="1">IF(
  O814 &lt; YEAR(TODAY()),
  "LULUS",
  IF(
    O814 = YEAR(TODAY()),
    IF(
      MATCH(L814, {"Januari";"Februari";"Maret";"April";"Mei";"Juni";"Juli";"Agustus";"September";"Oktober";"November";"Desember"}, 0)
        &gt;= MONTH(TODAY()),
      "AKTIF (Semester " &amp;
        (INT((12*(YEAR(TODAY())-M814) + MONTH(TODAY()) -
          MATCH(L814, {"Januari";"Februari";"Maret";"April";"Mei";"Juni";"Juli";"Agustus";"September";"Oktober";"November";"Desember"}, 0)) / 6) + 1) &amp; ")",
      "LULUS"
    ),
    "AKTIF (Semester " &amp;
      (INT((12*(YEAR(TODAY())-M814) + MONTH(TODAY()) -
        MATCH(L814, {"Januari";"Februari";"Maret";"April";"Mei";"Juni";"Juli";"Agustus";"September";"Oktober";"November";"Desember"}, 0)) / 6) + 1) &amp; ")"
  )
)</f>
        <v>AKTIF (Semester 3)</v>
      </c>
      <c r="T814" s="16" t="str">
        <f ca="1">IF(O814 &lt; YEAR(TODAY()), "LULUS",
 IF(O814 = YEAR(TODAY()),
    IF(MATCH(N814, {"Januari";"Februari";"Maret";"April";"Mei";"Juni";"Juli";"Agustus";"September";"Oktober";"November";"Desember"},0)
        &lt;= MONTH(TODAY()),
        "LULUS",
        "AKTIF"),
 "AKTIF"))</f>
        <v>AKTIF</v>
      </c>
      <c r="U814" s="16" t="s">
        <v>2940</v>
      </c>
      <c r="V814" s="109"/>
      <c r="W814" s="109"/>
      <c r="X814" s="109"/>
      <c r="Y814" s="109"/>
      <c r="Z814" s="109"/>
    </row>
    <row r="815" spans="1:26" ht="29" customHeight="1" x14ac:dyDescent="0.35">
      <c r="A815" s="12">
        <v>814</v>
      </c>
      <c r="B815" s="127" t="s">
        <v>2898</v>
      </c>
      <c r="C815" s="100" t="s">
        <v>2899</v>
      </c>
      <c r="D815" s="115" t="s">
        <v>188</v>
      </c>
      <c r="E815" s="14" t="str">
        <f t="shared" si="15"/>
        <v>Laki-Laki</v>
      </c>
      <c r="F815" s="127" t="s">
        <v>1807</v>
      </c>
      <c r="G815" s="115" t="s">
        <v>2350</v>
      </c>
      <c r="H815" s="128" t="s">
        <v>1772</v>
      </c>
      <c r="I815" s="128" t="s">
        <v>623</v>
      </c>
      <c r="J815" s="126" t="s">
        <v>190</v>
      </c>
      <c r="K815" s="128" t="s">
        <v>723</v>
      </c>
      <c r="L815" s="129" t="s">
        <v>60</v>
      </c>
      <c r="M815" s="108">
        <v>2025</v>
      </c>
      <c r="N815" s="130" t="s">
        <v>60</v>
      </c>
      <c r="O815" s="15">
        <v>2027</v>
      </c>
      <c r="P815" s="110">
        <v>2025</v>
      </c>
      <c r="Q815" s="110"/>
      <c r="R815" s="109"/>
      <c r="S815" s="16" t="str">
        <f ca="1">IF(
  O815 &lt; YEAR(TODAY()),
  "LULUS",
  IF(
    O815 = YEAR(TODAY()),
    IF(
      MATCH(L815, {"Januari";"Februari";"Maret";"April";"Mei";"Juni";"Juli";"Agustus";"September";"Oktober";"November";"Desember"}, 0)
        &gt;= MONTH(TODAY()),
      "AKTIF (Semester " &amp;
        (INT((12*(YEAR(TODAY())-M815) + MONTH(TODAY()) -
          MATCH(L815, {"Januari";"Februari";"Maret";"April";"Mei";"Juni";"Juli";"Agustus";"September";"Oktober";"November";"Desember"}, 0)) / 6) + 1) &amp; ")",
      "LULUS"
    ),
    "AKTIF (Semester " &amp;
      (INT((12*(YEAR(TODAY())-M815) + MONTH(TODAY()) -
        MATCH(L815, {"Januari";"Februari";"Maret";"April";"Mei";"Juni";"Juli";"Agustus";"September";"Oktober";"November";"Desember"}, 0)) / 6) + 1) &amp; ")"
  )
)</f>
        <v>AKTIF (Semester 1)</v>
      </c>
      <c r="T815" s="16" t="str">
        <f ca="1">IF(O815 &lt; YEAR(TODAY()), "LULUS",
 IF(O815 = YEAR(TODAY()),
    IF(MATCH(N815, {"Januari";"Februari";"Maret";"April";"Mei";"Juni";"Juli";"Agustus";"September";"Oktober";"November";"Desember"},0)
        &lt;= MONTH(TODAY()),
        "LULUS",
        "AKTIF"),
 "AKTIF"))</f>
        <v>AKTIF</v>
      </c>
      <c r="U815" s="16" t="s">
        <v>2943</v>
      </c>
      <c r="V815" s="109"/>
      <c r="W815" s="109"/>
      <c r="X815" s="109"/>
      <c r="Y815" s="109"/>
      <c r="Z815" s="109"/>
    </row>
    <row r="816" spans="1:26" ht="29" customHeight="1" x14ac:dyDescent="0.35">
      <c r="A816" s="12">
        <v>815</v>
      </c>
      <c r="B816" s="127" t="s">
        <v>2915</v>
      </c>
      <c r="C816" s="100" t="s">
        <v>2916</v>
      </c>
      <c r="D816" s="127" t="s">
        <v>172</v>
      </c>
      <c r="E816" s="14" t="str">
        <f t="shared" si="15"/>
        <v>Laki-Laki</v>
      </c>
      <c r="F816" s="127" t="s">
        <v>1907</v>
      </c>
      <c r="G816" s="115" t="s">
        <v>2350</v>
      </c>
      <c r="H816" s="128" t="s">
        <v>2111</v>
      </c>
      <c r="I816" s="19" t="s">
        <v>90</v>
      </c>
      <c r="J816" s="126" t="s">
        <v>190</v>
      </c>
      <c r="K816" s="128" t="s">
        <v>394</v>
      </c>
      <c r="L816" s="70" t="s">
        <v>35</v>
      </c>
      <c r="M816" s="108">
        <v>2025</v>
      </c>
      <c r="N816" s="130" t="s">
        <v>123</v>
      </c>
      <c r="O816" s="15">
        <v>2027</v>
      </c>
      <c r="P816" s="110">
        <v>2025</v>
      </c>
      <c r="Q816" s="110"/>
      <c r="R816" s="109"/>
      <c r="S816" s="16" t="str">
        <f ca="1">IF(
  O816 &lt; YEAR(TODAY()),
  "LULUS",
  IF(
    O816 = YEAR(TODAY()),
    IF(
      MATCH(L816, {"Januari";"Februari";"Maret";"April";"Mei";"Juni";"Juli";"Agustus";"September";"Oktober";"November";"Desember"}, 0)
        &gt;= MONTH(TODAY()),
      "AKTIF (Semester " &amp;
        (INT((12*(YEAR(TODAY())-M816) + MONTH(TODAY()) -
          MATCH(L816, {"Januari";"Februari";"Maret";"April";"Mei";"Juni";"Juli";"Agustus";"September";"Oktober";"November";"Desember"}, 0)) / 6) + 1) &amp; ")",
      "LULUS"
    ),
    "AKTIF (Semester " &amp;
      (INT((12*(YEAR(TODAY())-M816) + MONTH(TODAY()) -
        MATCH(L816, {"Januari";"Februari";"Maret";"April";"Mei";"Juni";"Juli";"Agustus";"September";"Oktober";"November";"Desember"}, 0)) / 6) + 1) &amp; ")"
  )
)</f>
        <v>AKTIF (Semester 2)</v>
      </c>
      <c r="T816" s="16" t="str">
        <f ca="1">IF(O816 &lt; YEAR(TODAY()), "LULUS",
 IF(O816 = YEAR(TODAY()),
    IF(MATCH(N816, {"Januari";"Februari";"Maret";"April";"Mei";"Juni";"Juli";"Agustus";"September";"Oktober";"November";"Desember"},0)
        &lt;= MONTH(TODAY()),
        "LULUS",
        "AKTIF"),
 "AKTIF"))</f>
        <v>AKTIF</v>
      </c>
      <c r="U816" s="16" t="s">
        <v>2945</v>
      </c>
      <c r="V816" s="109"/>
      <c r="W816" s="109"/>
      <c r="X816" s="109"/>
      <c r="Y816" s="109"/>
      <c r="Z816" s="109"/>
    </row>
    <row r="817" spans="1:26" ht="29" customHeight="1" x14ac:dyDescent="0.35">
      <c r="A817" s="12">
        <v>816</v>
      </c>
      <c r="B817" s="127" t="s">
        <v>2918</v>
      </c>
      <c r="C817" s="100" t="s">
        <v>2919</v>
      </c>
      <c r="D817" s="115" t="s">
        <v>211</v>
      </c>
      <c r="E817" s="14" t="str">
        <f t="shared" si="15"/>
        <v>Perempuan</v>
      </c>
      <c r="F817" s="127" t="s">
        <v>1807</v>
      </c>
      <c r="G817" s="115" t="s">
        <v>2350</v>
      </c>
      <c r="H817" s="128" t="s">
        <v>2111</v>
      </c>
      <c r="I817" s="19" t="s">
        <v>90</v>
      </c>
      <c r="J817" s="126" t="s">
        <v>190</v>
      </c>
      <c r="K817" s="128" t="s">
        <v>394</v>
      </c>
      <c r="L817" s="70" t="s">
        <v>35</v>
      </c>
      <c r="M817" s="108">
        <v>2025</v>
      </c>
      <c r="N817" s="130" t="s">
        <v>123</v>
      </c>
      <c r="O817" s="15">
        <v>2027</v>
      </c>
      <c r="P817" s="110">
        <v>2025</v>
      </c>
      <c r="Q817" s="110"/>
      <c r="R817" s="109"/>
      <c r="S817" s="16" t="str">
        <f ca="1">IF(
  O817 &lt; YEAR(TODAY()),
  "LULUS",
  IF(
    O817 = YEAR(TODAY()),
    IF(
      MATCH(L817, {"Januari";"Februari";"Maret";"April";"Mei";"Juni";"Juli";"Agustus";"September";"Oktober";"November";"Desember"}, 0)
        &gt;= MONTH(TODAY()),
      "AKTIF (Semester " &amp;
        (INT((12*(YEAR(TODAY())-M817) + MONTH(TODAY()) -
          MATCH(L817, {"Januari";"Februari";"Maret";"April";"Mei";"Juni";"Juli";"Agustus";"September";"Oktober";"November";"Desember"}, 0)) / 6) + 1) &amp; ")",
      "LULUS"
    ),
    "AKTIF (Semester " &amp;
      (INT((12*(YEAR(TODAY())-M817) + MONTH(TODAY()) -
        MATCH(L817, {"Januari";"Februari";"Maret";"April";"Mei";"Juni";"Juli";"Agustus";"September";"Oktober";"November";"Desember"}, 0)) / 6) + 1) &amp; ")"
  )
)</f>
        <v>AKTIF (Semester 2)</v>
      </c>
      <c r="T817" s="16" t="str">
        <f ca="1">IF(O817 &lt; YEAR(TODAY()), "LULUS",
 IF(O817 = YEAR(TODAY()),
    IF(MATCH(N817, {"Januari";"Februari";"Maret";"April";"Mei";"Juni";"Juli";"Agustus";"September";"Oktober";"November";"Desember"},0)
        &lt;= MONTH(TODAY()),
        "LULUS",
        "AKTIF"),
 "AKTIF"))</f>
        <v>AKTIF</v>
      </c>
      <c r="U817" s="16" t="s">
        <v>2945</v>
      </c>
      <c r="V817" s="109"/>
      <c r="W817" s="109"/>
      <c r="X817" s="109"/>
      <c r="Y817" s="109"/>
      <c r="Z817" s="109"/>
    </row>
    <row r="818" spans="1:26" ht="29" customHeight="1" x14ac:dyDescent="0.35">
      <c r="A818" s="12">
        <v>817</v>
      </c>
      <c r="B818" s="127" t="s">
        <v>2920</v>
      </c>
      <c r="C818" s="100" t="s">
        <v>2921</v>
      </c>
      <c r="D818" s="115" t="s">
        <v>2922</v>
      </c>
      <c r="E818" s="14" t="str">
        <f t="shared" si="15"/>
        <v>Laki-Laki</v>
      </c>
      <c r="F818" s="127" t="s">
        <v>1807</v>
      </c>
      <c r="G818" s="115" t="s">
        <v>2350</v>
      </c>
      <c r="H818" s="128" t="s">
        <v>2111</v>
      </c>
      <c r="I818" s="19" t="s">
        <v>90</v>
      </c>
      <c r="J818" s="126" t="s">
        <v>190</v>
      </c>
      <c r="K818" s="128" t="s">
        <v>394</v>
      </c>
      <c r="L818" s="129" t="s">
        <v>35</v>
      </c>
      <c r="M818" s="108">
        <v>2025</v>
      </c>
      <c r="N818" s="130" t="s">
        <v>35</v>
      </c>
      <c r="O818" s="15">
        <v>2027</v>
      </c>
      <c r="P818" s="110">
        <v>2025</v>
      </c>
      <c r="Q818" s="110"/>
      <c r="R818" s="109"/>
      <c r="S818" s="16" t="str">
        <f ca="1">IF(
  O818 &lt; YEAR(TODAY()),
  "LULUS",
  IF(
    O818 = YEAR(TODAY()),
    IF(
      MATCH(L818, {"Januari";"Februari";"Maret";"April";"Mei";"Juni";"Juli";"Agustus";"September";"Oktober";"November";"Desember"}, 0)
        &gt;= MONTH(TODAY()),
      "AKTIF (Semester " &amp;
        (INT((12*(YEAR(TODAY())-M818) + MONTH(TODAY()) -
          MATCH(L818, {"Januari";"Februari";"Maret";"April";"Mei";"Juni";"Juli";"Agustus";"September";"Oktober";"November";"Desember"}, 0)) / 6) + 1) &amp; ")",
      "LULUS"
    ),
    "AKTIF (Semester " &amp;
      (INT((12*(YEAR(TODAY())-M818) + MONTH(TODAY()) -
        MATCH(L818, {"Januari";"Februari";"Maret";"April";"Mei";"Juni";"Juli";"Agustus";"September";"Oktober";"November";"Desember"}, 0)) / 6) + 1) &amp; ")"
  )
)</f>
        <v>AKTIF (Semester 2)</v>
      </c>
      <c r="T818" s="16" t="str">
        <f ca="1">IF(O818 &lt; YEAR(TODAY()), "LULUS",
 IF(O818 = YEAR(TODAY()),
    IF(MATCH(N818, {"Januari";"Februari";"Maret";"April";"Mei";"Juni";"Juli";"Agustus";"September";"Oktober";"November";"Desember"},0)
        &lt;= MONTH(TODAY()),
        "LULUS",
        "AKTIF"),
 "AKTIF"))</f>
        <v>AKTIF</v>
      </c>
      <c r="U818" s="16" t="s">
        <v>2945</v>
      </c>
      <c r="V818" s="109"/>
      <c r="W818" s="109"/>
      <c r="X818" s="109"/>
      <c r="Y818" s="109"/>
      <c r="Z818" s="109"/>
    </row>
    <row r="819" spans="1:26" ht="29" customHeight="1" x14ac:dyDescent="0.35">
      <c r="A819" s="12">
        <v>818</v>
      </c>
      <c r="B819" s="148" t="s">
        <v>2923</v>
      </c>
      <c r="C819" s="113" t="s">
        <v>2924</v>
      </c>
      <c r="D819" s="118" t="s">
        <v>215</v>
      </c>
      <c r="E819" s="14" t="str">
        <f t="shared" si="15"/>
        <v>Perempuan</v>
      </c>
      <c r="F819" s="148" t="s">
        <v>1657</v>
      </c>
      <c r="G819" s="118" t="s">
        <v>2350</v>
      </c>
      <c r="H819" s="149" t="s">
        <v>1658</v>
      </c>
      <c r="I819" s="19" t="s">
        <v>90</v>
      </c>
      <c r="J819" s="150" t="s">
        <v>180</v>
      </c>
      <c r="K819" s="149" t="s">
        <v>905</v>
      </c>
      <c r="L819" s="151" t="s">
        <v>169</v>
      </c>
      <c r="M819" s="125">
        <v>2025</v>
      </c>
      <c r="N819" s="130" t="s">
        <v>169</v>
      </c>
      <c r="O819" s="15">
        <v>2027</v>
      </c>
      <c r="P819" s="110">
        <v>2025</v>
      </c>
      <c r="Q819" s="110"/>
      <c r="R819" s="109"/>
      <c r="S819" s="16" t="str">
        <f ca="1">IF(
  O819 &lt; YEAR(TODAY()),
  "LULUS",
  IF(
    O819 = YEAR(TODAY()),
    IF(
      MATCH(L819, {"Januari";"Februari";"Maret";"April";"Mei";"Juni";"Juli";"Agustus";"September";"Oktober";"November";"Desember"}, 0)
        &gt;= MONTH(TODAY()),
      "AKTIF (Semester " &amp;
        (INT((12*(YEAR(TODAY())-M819) + MONTH(TODAY()) -
          MATCH(L819, {"Januari";"Februari";"Maret";"April";"Mei";"Juni";"Juli";"Agustus";"September";"Oktober";"November";"Desember"}, 0)) / 6) + 1) &amp; ")",
      "LULUS"
    ),
    "AKTIF (Semester " &amp;
      (INT((12*(YEAR(TODAY())-M819) + MONTH(TODAY()) -
        MATCH(L819, {"Januari";"Februari";"Maret";"April";"Mei";"Juni";"Juli";"Agustus";"September";"Oktober";"November";"Desember"}, 0)) / 6) + 1) &amp; ")"
  )
)</f>
        <v>AKTIF (Semester 1)</v>
      </c>
      <c r="T819" s="16" t="str">
        <f ca="1">IF(O819 &lt; YEAR(TODAY()), "LULUS",
 IF(O819 = YEAR(TODAY()),
    IF(MATCH(N819, {"Januari";"Februari";"Maret";"April";"Mei";"Juni";"Juli";"Agustus";"September";"Oktober";"November";"Desember"},0)
        &lt;= MONTH(TODAY()),
        "LULUS",
        "AKTIF"),
 "AKTIF"))</f>
        <v>AKTIF</v>
      </c>
      <c r="U819" s="16" t="s">
        <v>2943</v>
      </c>
      <c r="V819" s="109"/>
      <c r="W819" s="109"/>
      <c r="X819" s="109"/>
      <c r="Y819" s="109"/>
      <c r="Z819" s="109"/>
    </row>
    <row r="820" spans="1:26" ht="29" customHeight="1" x14ac:dyDescent="0.35">
      <c r="A820" s="12">
        <v>819</v>
      </c>
      <c r="B820" s="127" t="s">
        <v>2925</v>
      </c>
      <c r="C820" s="100" t="s">
        <v>2926</v>
      </c>
      <c r="D820" s="115" t="s">
        <v>188</v>
      </c>
      <c r="E820" s="14" t="str">
        <f t="shared" si="15"/>
        <v>Laki-Laki</v>
      </c>
      <c r="F820" s="127" t="s">
        <v>1807</v>
      </c>
      <c r="G820" s="115" t="s">
        <v>2350</v>
      </c>
      <c r="H820" s="128" t="s">
        <v>1754</v>
      </c>
      <c r="I820" s="19" t="s">
        <v>90</v>
      </c>
      <c r="J820" s="126" t="s">
        <v>190</v>
      </c>
      <c r="K820" s="128" t="s">
        <v>394</v>
      </c>
      <c r="L820" s="129" t="s">
        <v>614</v>
      </c>
      <c r="M820" s="108">
        <v>2025</v>
      </c>
      <c r="N820" s="130" t="s">
        <v>614</v>
      </c>
      <c r="O820" s="15">
        <v>2027</v>
      </c>
      <c r="P820" s="110">
        <v>2025</v>
      </c>
      <c r="Q820" s="110"/>
      <c r="R820" s="109"/>
      <c r="S820" s="16" t="str">
        <f ca="1">IF(
  O820 &lt; YEAR(TODAY()),
  "LULUS",
  IF(
    O820 = YEAR(TODAY()),
    IF(
      MATCH(L820, {"Januari";"Februari";"Maret";"April";"Mei";"Juni";"Juli";"Agustus";"September";"Oktober";"November";"Desember"}, 0)
        &gt;= MONTH(TODAY()),
      "AKTIF (Semester " &amp;
        (INT((12*(YEAR(TODAY())-M820) + MONTH(TODAY()) -
          MATCH(L820, {"Januari";"Februari";"Maret";"April";"Mei";"Juni";"Juli";"Agustus";"September";"Oktober";"November";"Desember"}, 0)) / 6) + 1) &amp; ")",
      "LULUS"
    ),
    "AKTIF (Semester " &amp;
      (INT((12*(YEAR(TODAY())-M820) + MONTH(TODAY()) -
        MATCH(L820, {"Januari";"Februari";"Maret";"April";"Mei";"Juni";"Juli";"Agustus";"September";"Oktober";"November";"Desember"}, 0)) / 6) + 1) &amp; ")"
  )
)</f>
        <v>AKTIF (Semester 2)</v>
      </c>
      <c r="T820" s="16" t="str">
        <f ca="1">IF(O820 &lt; YEAR(TODAY()), "LULUS",
 IF(O820 = YEAR(TODAY()),
    IF(MATCH(N820, {"Januari";"Februari";"Maret";"April";"Mei";"Juni";"Juli";"Agustus";"September";"Oktober";"November";"Desember"},0)
        &lt;= MONTH(TODAY()),
        "LULUS",
        "AKTIF"),
 "AKTIF"))</f>
        <v>AKTIF</v>
      </c>
      <c r="U820" s="16" t="s">
        <v>2945</v>
      </c>
      <c r="V820" s="109"/>
      <c r="W820" s="109"/>
      <c r="X820" s="109"/>
      <c r="Y820" s="109"/>
      <c r="Z820" s="109"/>
    </row>
    <row r="821" spans="1:26" ht="29" customHeight="1" x14ac:dyDescent="0.35">
      <c r="A821" s="12">
        <v>820</v>
      </c>
      <c r="B821" s="127" t="s">
        <v>2927</v>
      </c>
      <c r="C821" s="100" t="s">
        <v>2928</v>
      </c>
      <c r="D821" s="115" t="s">
        <v>211</v>
      </c>
      <c r="E821" s="14" t="str">
        <f t="shared" si="15"/>
        <v>Laki-Laki</v>
      </c>
      <c r="F821" s="127" t="s">
        <v>1777</v>
      </c>
      <c r="G821" s="115" t="s">
        <v>2350</v>
      </c>
      <c r="H821" s="128" t="s">
        <v>1754</v>
      </c>
      <c r="I821" s="15" t="s">
        <v>2933</v>
      </c>
      <c r="J821" s="126" t="s">
        <v>180</v>
      </c>
      <c r="K821" s="128" t="s">
        <v>46</v>
      </c>
      <c r="L821" s="129" t="s">
        <v>28</v>
      </c>
      <c r="M821" s="108">
        <v>2025</v>
      </c>
      <c r="N821" s="130" t="s">
        <v>28</v>
      </c>
      <c r="O821" s="15">
        <v>2027</v>
      </c>
      <c r="P821" s="110">
        <v>2025</v>
      </c>
      <c r="Q821" s="110"/>
      <c r="R821" s="109"/>
      <c r="S821" s="16" t="str">
        <f ca="1">IF(
  O821 &lt; YEAR(TODAY()),
  "LULUS",
  IF(
    O821 = YEAR(TODAY()),
    IF(
      MATCH(L821, {"Januari";"Februari";"Maret";"April";"Mei";"Juni";"Juli";"Agustus";"September";"Oktober";"November";"Desember"}, 0)
        &gt;= MONTH(TODAY()),
      "AKTIF (Semester " &amp;
        (INT((12*(YEAR(TODAY())-M821) + MONTH(TODAY()) -
          MATCH(L821, {"Januari";"Februari";"Maret";"April";"Mei";"Juni";"Juli";"Agustus";"September";"Oktober";"November";"Desember"}, 0)) / 6) + 1) &amp; ")",
      "LULUS"
    ),
    "AKTIF (Semester " &amp;
      (INT((12*(YEAR(TODAY())-M821) + MONTH(TODAY()) -
        MATCH(L821, {"Januari";"Februari";"Maret";"April";"Mei";"Juni";"Juli";"Agustus";"September";"Oktober";"November";"Desember"}, 0)) / 6) + 1) &amp; ")"
  )
)</f>
        <v>AKTIF (Semester 1)</v>
      </c>
      <c r="T821" s="16" t="str">
        <f ca="1">IF(O821 &lt; YEAR(TODAY()), "LULUS",
 IF(O821 = YEAR(TODAY()),
    IF(MATCH(N821, {"Januari";"Februari";"Maret";"April";"Mei";"Juni";"Juli";"Agustus";"September";"Oktober";"November";"Desember"},0)
        &lt;= MONTH(TODAY()),
        "LULUS",
        "AKTIF"),
 "AKTIF"))</f>
        <v>AKTIF</v>
      </c>
      <c r="U821" s="16" t="s">
        <v>2943</v>
      </c>
      <c r="V821" s="109"/>
      <c r="W821" s="109"/>
      <c r="X821" s="109"/>
      <c r="Y821" s="109"/>
      <c r="Z821" s="109"/>
    </row>
    <row r="822" spans="1:26" ht="29" customHeight="1" x14ac:dyDescent="0.35">
      <c r="A822" s="12">
        <v>821</v>
      </c>
      <c r="B822" s="13" t="s">
        <v>2478</v>
      </c>
      <c r="C822" s="14" t="s">
        <v>2479</v>
      </c>
      <c r="D822" s="13"/>
      <c r="E822" s="14" t="str">
        <f t="shared" si="15"/>
        <v>Perempuan</v>
      </c>
      <c r="F822" s="18"/>
      <c r="G822" s="13" t="s">
        <v>2480</v>
      </c>
      <c r="H822" s="15" t="s">
        <v>2481</v>
      </c>
      <c r="I822" s="19" t="s">
        <v>90</v>
      </c>
      <c r="J822" s="12" t="s">
        <v>26</v>
      </c>
      <c r="K822" s="15" t="s">
        <v>651</v>
      </c>
      <c r="L822" s="15" t="s">
        <v>60</v>
      </c>
      <c r="M822" s="15">
        <v>2019</v>
      </c>
      <c r="N822" s="15" t="s">
        <v>60</v>
      </c>
      <c r="O822" s="15">
        <v>2021</v>
      </c>
      <c r="P822" s="15">
        <v>2020</v>
      </c>
      <c r="Q822" s="15"/>
      <c r="R822" s="16" t="s">
        <v>51</v>
      </c>
      <c r="S822" s="16" t="str">
        <f ca="1">IF(
  O822 &lt; YEAR(TODAY()),
  "LULUS",
  IF(
    O822 = YEAR(TODAY()),
    IF(
      MATCH(L822, {"Januari";"Februari";"Maret";"April";"Mei";"Juni";"Juli";"Agustus";"September";"Oktober";"November";"Desember"}, 0)
        &gt;= MONTH(TODAY()),
      "AKTIF (Semester " &amp;
        (INT((12*(YEAR(TODAY())-M822) + MONTH(TODAY()) -
          MATCH(L822, {"Januari";"Februari";"Maret";"April";"Mei";"Juni";"Juli";"Agustus";"September";"Oktober";"November";"Desember"}, 0)) / 6) + 1) &amp; ")",
      "LULUS"
    ),
    "AKTIF (Semester " &amp;
      (INT((12*(YEAR(TODAY())-M822) + MONTH(TODAY()) -
        MATCH(L822, {"Januari";"Februari";"Maret";"April";"Mei";"Juni";"Juli";"Agustus";"September";"Oktober";"November";"Desember"}, 0)) / 6) + 1) &amp; ")"
  )
)</f>
        <v>LULUS</v>
      </c>
      <c r="T822" s="16" t="str">
        <f ca="1">IF(O822 &lt; YEAR(TODAY()), "LULUS",
 IF(O822 = YEAR(TODAY()),
    IF(MATCH(N822, {"Januari";"Februari";"Maret";"April";"Mei";"Juni";"Juli";"Agustus";"September";"Oktober";"November";"Desember"},0)
        &lt;= MONTH(TODAY()),
        "LULUS",
        "AKTIF"),
 "AKTIF"))</f>
        <v>LULUS</v>
      </c>
      <c r="U822" s="16" t="s">
        <v>29</v>
      </c>
      <c r="V822" s="15"/>
      <c r="W822" s="15"/>
      <c r="X822" s="15"/>
      <c r="Y822" s="15"/>
      <c r="Z822" s="15"/>
    </row>
    <row r="823" spans="1:26" ht="29" customHeight="1" x14ac:dyDescent="0.35">
      <c r="A823" s="12">
        <v>822</v>
      </c>
      <c r="B823" s="13" t="s">
        <v>2482</v>
      </c>
      <c r="C823" s="14" t="s">
        <v>2483</v>
      </c>
      <c r="D823" s="13"/>
      <c r="E823" s="14" t="str">
        <f t="shared" si="15"/>
        <v>Laki-Laki</v>
      </c>
      <c r="F823" s="18"/>
      <c r="G823" s="13" t="s">
        <v>2480</v>
      </c>
      <c r="H823" s="15" t="s">
        <v>2484</v>
      </c>
      <c r="I823" s="52" t="s">
        <v>2485</v>
      </c>
      <c r="J823" s="12" t="s">
        <v>45</v>
      </c>
      <c r="K823" s="15" t="s">
        <v>591</v>
      </c>
      <c r="L823" s="15" t="s">
        <v>28</v>
      </c>
      <c r="M823" s="15">
        <v>2019</v>
      </c>
      <c r="N823" s="15" t="s">
        <v>28</v>
      </c>
      <c r="O823" s="15">
        <v>2023</v>
      </c>
      <c r="P823" s="15">
        <v>2020</v>
      </c>
      <c r="Q823" s="15"/>
      <c r="R823" s="16" t="s">
        <v>51</v>
      </c>
      <c r="S823" s="16" t="str">
        <f ca="1">IF(
  O823 &lt; YEAR(TODAY()),
  "LULUS",
  IF(
    O823 = YEAR(TODAY()),
    IF(
      MATCH(L823, {"Januari";"Februari";"Maret";"April";"Mei";"Juni";"Juli";"Agustus";"September";"Oktober";"November";"Desember"}, 0)
        &gt;= MONTH(TODAY()),
      "AKTIF (Semester " &amp;
        (INT((12*(YEAR(TODAY())-M823) + MONTH(TODAY()) -
          MATCH(L823, {"Januari";"Februari";"Maret";"April";"Mei";"Juni";"Juli";"Agustus";"September";"Oktober";"November";"Desember"}, 0)) / 6) + 1) &amp; ")",
      "LULUS"
    ),
    "AKTIF (Semester " &amp;
      (INT((12*(YEAR(TODAY())-M823) + MONTH(TODAY()) -
        MATCH(L823, {"Januari";"Februari";"Maret";"April";"Mei";"Juni";"Juli";"Agustus";"September";"Oktober";"November";"Desember"}, 0)) / 6) + 1) &amp; ")"
  )
)</f>
        <v>LULUS</v>
      </c>
      <c r="T823" s="16" t="str">
        <f ca="1">IF(O823 &lt; YEAR(TODAY()), "LULUS",
 IF(O823 = YEAR(TODAY()),
    IF(MATCH(N823, {"Januari";"Februari";"Maret";"April";"Mei";"Juni";"Juli";"Agustus";"September";"Oktober";"November";"Desember"},0)
        &lt;= MONTH(TODAY()),
        "LULUS",
        "AKTIF"),
 "AKTIF"))</f>
        <v>LULUS</v>
      </c>
      <c r="U823" s="16" t="s">
        <v>29</v>
      </c>
      <c r="V823" s="15"/>
      <c r="W823" s="15"/>
      <c r="X823" s="15"/>
      <c r="Y823" s="15"/>
      <c r="Z823" s="15"/>
    </row>
    <row r="824" spans="1:26" ht="29" customHeight="1" x14ac:dyDescent="0.35">
      <c r="A824" s="12">
        <v>823</v>
      </c>
      <c r="B824" s="13" t="s">
        <v>2486</v>
      </c>
      <c r="C824" s="14" t="s">
        <v>2487</v>
      </c>
      <c r="D824" s="13"/>
      <c r="E824" s="14" t="str">
        <f t="shared" si="15"/>
        <v>Perempuan</v>
      </c>
      <c r="F824" s="18"/>
      <c r="G824" s="13" t="s">
        <v>2480</v>
      </c>
      <c r="H824" s="15" t="s">
        <v>2488</v>
      </c>
      <c r="I824" s="19" t="s">
        <v>90</v>
      </c>
      <c r="J824" s="12" t="s">
        <v>45</v>
      </c>
      <c r="K824" s="15" t="s">
        <v>651</v>
      </c>
      <c r="L824" s="15" t="s">
        <v>652</v>
      </c>
      <c r="M824" s="15">
        <v>2019</v>
      </c>
      <c r="N824" s="15" t="s">
        <v>652</v>
      </c>
      <c r="O824" s="15">
        <v>2023</v>
      </c>
      <c r="P824" s="15">
        <v>2020</v>
      </c>
      <c r="Q824" s="15"/>
      <c r="R824" s="16" t="s">
        <v>51</v>
      </c>
      <c r="S824" s="16" t="str">
        <f ca="1">IF(
  O824 &lt; YEAR(TODAY()),
  "LULUS",
  IF(
    O824 = YEAR(TODAY()),
    IF(
      MATCH(L824, {"Januari";"Februari";"Maret";"April";"Mei";"Juni";"Juli";"Agustus";"September";"Oktober";"November";"Desember"}, 0)
        &gt;= MONTH(TODAY()),
      "AKTIF (Semester " &amp;
        (INT((12*(YEAR(TODAY())-M824) + MONTH(TODAY()) -
          MATCH(L824, {"Januari";"Februari";"Maret";"April";"Mei";"Juni";"Juli";"Agustus";"September";"Oktober";"November";"Desember"}, 0)) / 6) + 1) &amp; ")",
      "LULUS"
    ),
    "AKTIF (Semester " &amp;
      (INT((12*(YEAR(TODAY())-M824) + MONTH(TODAY()) -
        MATCH(L824, {"Januari";"Februari";"Maret";"April";"Mei";"Juni";"Juli";"Agustus";"September";"Oktober";"November";"Desember"}, 0)) / 6) + 1) &amp; ")"
  )
)</f>
        <v>LULUS</v>
      </c>
      <c r="T824" s="16" t="str">
        <f ca="1">IF(O824 &lt; YEAR(TODAY()), "LULUS",
 IF(O824 = YEAR(TODAY()),
    IF(MATCH(N824, {"Januari";"Februari";"Maret";"April";"Mei";"Juni";"Juli";"Agustus";"September";"Oktober";"November";"Desember"},0)
        &lt;= MONTH(TODAY()),
        "LULUS",
        "AKTIF"),
 "AKTIF"))</f>
        <v>LULUS</v>
      </c>
      <c r="U824" s="16" t="s">
        <v>29</v>
      </c>
      <c r="V824" s="15"/>
      <c r="W824" s="15"/>
      <c r="X824" s="15"/>
      <c r="Y824" s="15"/>
      <c r="Z824" s="15"/>
    </row>
    <row r="825" spans="1:26" ht="29" customHeight="1" x14ac:dyDescent="0.35">
      <c r="A825" s="12">
        <v>824</v>
      </c>
      <c r="B825" s="13" t="s">
        <v>2489</v>
      </c>
      <c r="C825" s="14" t="s">
        <v>2490</v>
      </c>
      <c r="D825" s="13"/>
      <c r="E825" s="14" t="str">
        <f t="shared" si="15"/>
        <v>Perempuan</v>
      </c>
      <c r="F825" s="18"/>
      <c r="G825" s="13" t="s">
        <v>2480</v>
      </c>
      <c r="H825" s="15" t="s">
        <v>2491</v>
      </c>
      <c r="I825" s="15" t="s">
        <v>2492</v>
      </c>
      <c r="J825" s="12" t="s">
        <v>45</v>
      </c>
      <c r="K825" s="53" t="s">
        <v>2493</v>
      </c>
      <c r="L825" s="30" t="s">
        <v>28</v>
      </c>
      <c r="M825" s="15">
        <v>2019</v>
      </c>
      <c r="N825" s="15" t="s">
        <v>28</v>
      </c>
      <c r="O825" s="15">
        <v>2023</v>
      </c>
      <c r="P825" s="15">
        <v>2020</v>
      </c>
      <c r="Q825" s="15"/>
      <c r="R825" s="16" t="s">
        <v>51</v>
      </c>
      <c r="S825" s="16" t="str">
        <f ca="1">IF(
  O825 &lt; YEAR(TODAY()),
  "LULUS",
  IF(
    O825 = YEAR(TODAY()),
    IF(
      MATCH(L825, {"Januari";"Februari";"Maret";"April";"Mei";"Juni";"Juli";"Agustus";"September";"Oktober";"November";"Desember"}, 0)
        &gt;= MONTH(TODAY()),
      "AKTIF (Semester " &amp;
        (INT((12*(YEAR(TODAY())-M825) + MONTH(TODAY()) -
          MATCH(L825, {"Januari";"Februari";"Maret";"April";"Mei";"Juni";"Juli";"Agustus";"September";"Oktober";"November";"Desember"}, 0)) / 6) + 1) &amp; ")",
      "LULUS"
    ),
    "AKTIF (Semester " &amp;
      (INT((12*(YEAR(TODAY())-M825) + MONTH(TODAY()) -
        MATCH(L825, {"Januari";"Februari";"Maret";"April";"Mei";"Juni";"Juli";"Agustus";"September";"Oktober";"November";"Desember"}, 0)) / 6) + 1) &amp; ")"
  )
)</f>
        <v>LULUS</v>
      </c>
      <c r="T825" s="16" t="str">
        <f ca="1">IF(O825 &lt; YEAR(TODAY()), "LULUS",
 IF(O825 = YEAR(TODAY()),
    IF(MATCH(N825, {"Januari";"Februari";"Maret";"April";"Mei";"Juni";"Juli";"Agustus";"September";"Oktober";"November";"Desember"},0)
        &lt;= MONTH(TODAY()),
        "LULUS",
        "AKTIF"),
 "AKTIF"))</f>
        <v>LULUS</v>
      </c>
      <c r="U825" s="16" t="s">
        <v>29</v>
      </c>
      <c r="V825" s="15"/>
      <c r="W825" s="15"/>
      <c r="X825" s="15"/>
      <c r="Y825" s="15"/>
      <c r="Z825" s="15"/>
    </row>
    <row r="826" spans="1:26" ht="29" customHeight="1" x14ac:dyDescent="0.35">
      <c r="A826" s="12">
        <v>825</v>
      </c>
      <c r="B826" s="13" t="s">
        <v>2494</v>
      </c>
      <c r="C826" s="14" t="s">
        <v>2495</v>
      </c>
      <c r="D826" s="13"/>
      <c r="E826" s="14" t="str">
        <f t="shared" si="15"/>
        <v>Laki-Laki</v>
      </c>
      <c r="F826" s="18"/>
      <c r="G826" s="13" t="s">
        <v>2480</v>
      </c>
      <c r="H826" s="15" t="s">
        <v>2496</v>
      </c>
      <c r="I826" s="19" t="s">
        <v>90</v>
      </c>
      <c r="J826" s="12" t="s">
        <v>45</v>
      </c>
      <c r="K826" s="15" t="s">
        <v>651</v>
      </c>
      <c r="L826" s="30" t="s">
        <v>28</v>
      </c>
      <c r="M826" s="15">
        <v>2019</v>
      </c>
      <c r="N826" s="15" t="s">
        <v>28</v>
      </c>
      <c r="O826" s="15">
        <v>2023</v>
      </c>
      <c r="P826" s="15">
        <v>2020</v>
      </c>
      <c r="Q826" s="15"/>
      <c r="R826" s="16" t="s">
        <v>51</v>
      </c>
      <c r="S826" s="16" t="str">
        <f ca="1">IF(
  O826 &lt; YEAR(TODAY()),
  "LULUS",
  IF(
    O826 = YEAR(TODAY()),
    IF(
      MATCH(L826, {"Januari";"Februari";"Maret";"April";"Mei";"Juni";"Juli";"Agustus";"September";"Oktober";"November";"Desember"}, 0)
        &gt;= MONTH(TODAY()),
      "AKTIF (Semester " &amp;
        (INT((12*(YEAR(TODAY())-M826) + MONTH(TODAY()) -
          MATCH(L826, {"Januari";"Februari";"Maret";"April";"Mei";"Juni";"Juli";"Agustus";"September";"Oktober";"November";"Desember"}, 0)) / 6) + 1) &amp; ")",
      "LULUS"
    ),
    "AKTIF (Semester " &amp;
      (INT((12*(YEAR(TODAY())-M826) + MONTH(TODAY()) -
        MATCH(L826, {"Januari";"Februari";"Maret";"April";"Mei";"Juni";"Juli";"Agustus";"September";"Oktober";"November";"Desember"}, 0)) / 6) + 1) &amp; ")"
  )
)</f>
        <v>LULUS</v>
      </c>
      <c r="T826" s="16" t="str">
        <f ca="1">IF(O826 &lt; YEAR(TODAY()), "LULUS",
 IF(O826 = YEAR(TODAY()),
    IF(MATCH(N826, {"Januari";"Februari";"Maret";"April";"Mei";"Juni";"Juli";"Agustus";"September";"Oktober";"November";"Desember"},0)
        &lt;= MONTH(TODAY()),
        "LULUS",
        "AKTIF"),
 "AKTIF"))</f>
        <v>LULUS</v>
      </c>
      <c r="U826" s="16" t="s">
        <v>29</v>
      </c>
      <c r="V826" s="15"/>
      <c r="W826" s="15"/>
      <c r="X826" s="15"/>
      <c r="Y826" s="15"/>
      <c r="Z826" s="15"/>
    </row>
    <row r="827" spans="1:26" ht="29" customHeight="1" x14ac:dyDescent="0.35">
      <c r="A827" s="12">
        <v>826</v>
      </c>
      <c r="B827" s="13" t="s">
        <v>2497</v>
      </c>
      <c r="C827" s="14" t="s">
        <v>2498</v>
      </c>
      <c r="D827" s="13"/>
      <c r="E827" s="14" t="str">
        <f t="shared" si="15"/>
        <v>Laki-Laki</v>
      </c>
      <c r="F827" s="18"/>
      <c r="G827" s="13" t="s">
        <v>2480</v>
      </c>
      <c r="H827" s="15" t="s">
        <v>2499</v>
      </c>
      <c r="I827" s="53" t="s">
        <v>2500</v>
      </c>
      <c r="J827" s="12" t="s">
        <v>45</v>
      </c>
      <c r="K827" s="15" t="s">
        <v>2501</v>
      </c>
      <c r="L827" s="15" t="s">
        <v>60</v>
      </c>
      <c r="M827" s="15">
        <v>2019</v>
      </c>
      <c r="N827" s="15" t="s">
        <v>60</v>
      </c>
      <c r="O827" s="15">
        <v>2023</v>
      </c>
      <c r="P827" s="15">
        <v>2020</v>
      </c>
      <c r="Q827" s="15"/>
      <c r="R827" s="16" t="s">
        <v>51</v>
      </c>
      <c r="S827" s="16" t="str">
        <f ca="1">IF(
  O827 &lt; YEAR(TODAY()),
  "LULUS",
  IF(
    O827 = YEAR(TODAY()),
    IF(
      MATCH(L827, {"Januari";"Februari";"Maret";"April";"Mei";"Juni";"Juli";"Agustus";"September";"Oktober";"November";"Desember"}, 0)
        &gt;= MONTH(TODAY()),
      "AKTIF (Semester " &amp;
        (INT((12*(YEAR(TODAY())-M827) + MONTH(TODAY()) -
          MATCH(L827, {"Januari";"Februari";"Maret";"April";"Mei";"Juni";"Juli";"Agustus";"September";"Oktober";"November";"Desember"}, 0)) / 6) + 1) &amp; ")",
      "LULUS"
    ),
    "AKTIF (Semester " &amp;
      (INT((12*(YEAR(TODAY())-M827) + MONTH(TODAY()) -
        MATCH(L827, {"Januari";"Februari";"Maret";"April";"Mei";"Juni";"Juli";"Agustus";"September";"Oktober";"November";"Desember"}, 0)) / 6) + 1) &amp; ")"
  )
)</f>
        <v>LULUS</v>
      </c>
      <c r="T827" s="16" t="str">
        <f ca="1">IF(O827 &lt; YEAR(TODAY()), "LULUS",
 IF(O827 = YEAR(TODAY()),
    IF(MATCH(N827, {"Januari";"Februari";"Maret";"April";"Mei";"Juni";"Juli";"Agustus";"September";"Oktober";"November";"Desember"},0)
        &lt;= MONTH(TODAY()),
        "LULUS",
        "AKTIF"),
 "AKTIF"))</f>
        <v>LULUS</v>
      </c>
      <c r="U827" s="16" t="s">
        <v>29</v>
      </c>
      <c r="V827" s="15"/>
      <c r="W827" s="15"/>
      <c r="X827" s="15"/>
      <c r="Y827" s="15"/>
      <c r="Z827" s="15"/>
    </row>
    <row r="828" spans="1:26" ht="29" customHeight="1" x14ac:dyDescent="0.35">
      <c r="A828" s="12">
        <v>827</v>
      </c>
      <c r="B828" s="13" t="s">
        <v>2502</v>
      </c>
      <c r="C828" s="14" t="s">
        <v>2503</v>
      </c>
      <c r="D828" s="13"/>
      <c r="E828" s="14" t="str">
        <f t="shared" si="15"/>
        <v>Laki-Laki</v>
      </c>
      <c r="F828" s="18"/>
      <c r="G828" s="13" t="s">
        <v>2480</v>
      </c>
      <c r="H828" s="15" t="s">
        <v>2499</v>
      </c>
      <c r="I828" s="15" t="s">
        <v>2504</v>
      </c>
      <c r="J828" s="12" t="s">
        <v>45</v>
      </c>
      <c r="K828" s="15" t="s">
        <v>221</v>
      </c>
      <c r="L828" s="30" t="s">
        <v>28</v>
      </c>
      <c r="M828" s="15">
        <v>2019</v>
      </c>
      <c r="N828" s="15" t="s">
        <v>28</v>
      </c>
      <c r="O828" s="15">
        <v>2023</v>
      </c>
      <c r="P828" s="15">
        <v>2020</v>
      </c>
      <c r="Q828" s="15"/>
      <c r="R828" s="16" t="s">
        <v>51</v>
      </c>
      <c r="S828" s="16" t="str">
        <f ca="1">IF(
  O828 &lt; YEAR(TODAY()),
  "LULUS",
  IF(
    O828 = YEAR(TODAY()),
    IF(
      MATCH(L828, {"Januari";"Februari";"Maret";"April";"Mei";"Juni";"Juli";"Agustus";"September";"Oktober";"November";"Desember"}, 0)
        &gt;= MONTH(TODAY()),
      "AKTIF (Semester " &amp;
        (INT((12*(YEAR(TODAY())-M828) + MONTH(TODAY()) -
          MATCH(L828, {"Januari";"Februari";"Maret";"April";"Mei";"Juni";"Juli";"Agustus";"September";"Oktober";"November";"Desember"}, 0)) / 6) + 1) &amp; ")",
      "LULUS"
    ),
    "AKTIF (Semester " &amp;
      (INT((12*(YEAR(TODAY())-M828) + MONTH(TODAY()) -
        MATCH(L828, {"Januari";"Februari";"Maret";"April";"Mei";"Juni";"Juli";"Agustus";"September";"Oktober";"November";"Desember"}, 0)) / 6) + 1) &amp; ")"
  )
)</f>
        <v>LULUS</v>
      </c>
      <c r="T828" s="16" t="str">
        <f ca="1">IF(O828 &lt; YEAR(TODAY()), "LULUS",
 IF(O828 = YEAR(TODAY()),
    IF(MATCH(N828, {"Januari";"Februari";"Maret";"April";"Mei";"Juni";"Juli";"Agustus";"September";"Oktober";"November";"Desember"},0)
        &lt;= MONTH(TODAY()),
        "LULUS",
        "AKTIF"),
 "AKTIF"))</f>
        <v>LULUS</v>
      </c>
      <c r="U828" s="16" t="s">
        <v>29</v>
      </c>
      <c r="V828" s="15"/>
      <c r="W828" s="15"/>
      <c r="X828" s="15"/>
      <c r="Y828" s="15"/>
      <c r="Z828" s="15"/>
    </row>
    <row r="829" spans="1:26" ht="29" customHeight="1" x14ac:dyDescent="0.35">
      <c r="A829" s="12">
        <v>828</v>
      </c>
      <c r="B829" s="13" t="s">
        <v>2505</v>
      </c>
      <c r="C829" s="14" t="s">
        <v>2506</v>
      </c>
      <c r="D829" s="13"/>
      <c r="E829" s="14" t="str">
        <f t="shared" si="15"/>
        <v>Laki-Laki</v>
      </c>
      <c r="F829" s="18"/>
      <c r="G829" s="13" t="s">
        <v>2480</v>
      </c>
      <c r="H829" s="15" t="s">
        <v>2507</v>
      </c>
      <c r="I829" s="15" t="s">
        <v>1884</v>
      </c>
      <c r="J829" s="12" t="s">
        <v>26</v>
      </c>
      <c r="K829" s="15" t="s">
        <v>407</v>
      </c>
      <c r="L829" s="30" t="s">
        <v>28</v>
      </c>
      <c r="M829" s="15">
        <v>2019</v>
      </c>
      <c r="N829" s="15" t="s">
        <v>28</v>
      </c>
      <c r="O829" s="15">
        <v>2021</v>
      </c>
      <c r="P829" s="15">
        <v>2020</v>
      </c>
      <c r="Q829" s="15"/>
      <c r="R829" s="16" t="s">
        <v>51</v>
      </c>
      <c r="S829" s="16" t="str">
        <f ca="1">IF(
  O829 &lt; YEAR(TODAY()),
  "LULUS",
  IF(
    O829 = YEAR(TODAY()),
    IF(
      MATCH(L829, {"Januari";"Februari";"Maret";"April";"Mei";"Juni";"Juli";"Agustus";"September";"Oktober";"November";"Desember"}, 0)
        &gt;= MONTH(TODAY()),
      "AKTIF (Semester " &amp;
        (INT((12*(YEAR(TODAY())-M829) + MONTH(TODAY()) -
          MATCH(L829, {"Januari";"Februari";"Maret";"April";"Mei";"Juni";"Juli";"Agustus";"September";"Oktober";"November";"Desember"}, 0)) / 6) + 1) &amp; ")",
      "LULUS"
    ),
    "AKTIF (Semester " &amp;
      (INT((12*(YEAR(TODAY())-M829) + MONTH(TODAY()) -
        MATCH(L829, {"Januari";"Februari";"Maret";"April";"Mei";"Juni";"Juli";"Agustus";"September";"Oktober";"November";"Desember"}, 0)) / 6) + 1) &amp; ")"
  )
)</f>
        <v>LULUS</v>
      </c>
      <c r="T829" s="16" t="str">
        <f ca="1">IF(O829 &lt; YEAR(TODAY()), "LULUS",
 IF(O829 = YEAR(TODAY()),
    IF(MATCH(N829, {"Januari";"Februari";"Maret";"April";"Mei";"Juni";"Juli";"Agustus";"September";"Oktober";"November";"Desember"},0)
        &lt;= MONTH(TODAY()),
        "LULUS",
        "AKTIF"),
 "AKTIF"))</f>
        <v>LULUS</v>
      </c>
      <c r="U829" s="16" t="s">
        <v>29</v>
      </c>
      <c r="V829" s="15"/>
      <c r="W829" s="15"/>
      <c r="X829" s="15"/>
      <c r="Y829" s="15"/>
      <c r="Z829" s="15"/>
    </row>
    <row r="830" spans="1:26" ht="29" customHeight="1" x14ac:dyDescent="0.35">
      <c r="A830" s="12">
        <v>829</v>
      </c>
      <c r="B830" s="13" t="s">
        <v>2508</v>
      </c>
      <c r="C830" s="14" t="s">
        <v>2509</v>
      </c>
      <c r="D830" s="13"/>
      <c r="E830" s="14" t="str">
        <f t="shared" si="15"/>
        <v>Laki-Laki</v>
      </c>
      <c r="F830" s="18"/>
      <c r="G830" s="13" t="s">
        <v>2480</v>
      </c>
      <c r="H830" s="15" t="s">
        <v>2510</v>
      </c>
      <c r="I830" s="19" t="s">
        <v>390</v>
      </c>
      <c r="J830" s="12" t="s">
        <v>45</v>
      </c>
      <c r="K830" s="15" t="s">
        <v>858</v>
      </c>
      <c r="L830" s="54" t="s">
        <v>156</v>
      </c>
      <c r="M830" s="21">
        <v>2019</v>
      </c>
      <c r="N830" s="15" t="s">
        <v>156</v>
      </c>
      <c r="O830" s="15">
        <v>2023</v>
      </c>
      <c r="P830" s="15">
        <v>2020</v>
      </c>
      <c r="Q830" s="15"/>
      <c r="R830" s="34" t="s">
        <v>29</v>
      </c>
      <c r="S830" s="16" t="str">
        <f ca="1">IF(
  O830 &lt; YEAR(TODAY()),
  "LULUS",
  IF(
    O830 = YEAR(TODAY()),
    IF(
      MATCH(L830, {"Januari";"Februari";"Maret";"April";"Mei";"Juni";"Juli";"Agustus";"September";"Oktober";"November";"Desember"}, 0)
        &gt;= MONTH(TODAY()),
      "AKTIF (Semester " &amp;
        (INT((12*(YEAR(TODAY())-M830) + MONTH(TODAY()) -
          MATCH(L830, {"Januari";"Februari";"Maret";"April";"Mei";"Juni";"Juli";"Agustus";"September";"Oktober";"November";"Desember"}, 0)) / 6) + 1) &amp; ")",
      "LULUS"
    ),
    "AKTIF (Semester " &amp;
      (INT((12*(YEAR(TODAY())-M830) + MONTH(TODAY()) -
        MATCH(L830, {"Januari";"Februari";"Maret";"April";"Mei";"Juni";"Juli";"Agustus";"September";"Oktober";"November";"Desember"}, 0)) / 6) + 1) &amp; ")"
  )
)</f>
        <v>LULUS</v>
      </c>
      <c r="T830" s="16" t="str">
        <f ca="1">IF(O830 &lt; YEAR(TODAY()), "LULUS",
 IF(O830 = YEAR(TODAY()),
    IF(MATCH(N830, {"Januari";"Februari";"Maret";"April";"Mei";"Juni";"Juli";"Agustus";"September";"Oktober";"November";"Desember"},0)
        &lt;= MONTH(TODAY()),
        "LULUS",
        "AKTIF"),
 "AKTIF"))</f>
        <v>LULUS</v>
      </c>
      <c r="U830" s="16" t="s">
        <v>29</v>
      </c>
      <c r="V830" s="21"/>
      <c r="W830" s="21"/>
      <c r="X830" s="21"/>
      <c r="Y830" s="21"/>
      <c r="Z830" s="21"/>
    </row>
    <row r="831" spans="1:26" ht="29" customHeight="1" x14ac:dyDescent="0.35">
      <c r="A831" s="12">
        <v>830</v>
      </c>
      <c r="B831" s="13" t="s">
        <v>2512</v>
      </c>
      <c r="C831" s="14" t="s">
        <v>2513</v>
      </c>
      <c r="D831" s="13"/>
      <c r="E831" s="14" t="str">
        <f t="shared" si="15"/>
        <v>Laki-Laki</v>
      </c>
      <c r="F831" s="18"/>
      <c r="G831" s="13" t="s">
        <v>2480</v>
      </c>
      <c r="H831" s="15" t="s">
        <v>2514</v>
      </c>
      <c r="I831" s="19" t="s">
        <v>320</v>
      </c>
      <c r="J831" s="12" t="s">
        <v>45</v>
      </c>
      <c r="K831" s="15" t="s">
        <v>46</v>
      </c>
      <c r="L831" s="54" t="s">
        <v>35</v>
      </c>
      <c r="M831" s="21">
        <v>2020</v>
      </c>
      <c r="N831" s="15" t="s">
        <v>35</v>
      </c>
      <c r="O831" s="15">
        <v>2024</v>
      </c>
      <c r="P831" s="15">
        <v>2020</v>
      </c>
      <c r="Q831" s="15"/>
      <c r="R831" s="34" t="s">
        <v>51</v>
      </c>
      <c r="S831" s="16" t="str">
        <f ca="1">IF(
  O831 &lt; YEAR(TODAY()),
  "LULUS",
  IF(
    O831 = YEAR(TODAY()),
    IF(
      MATCH(L831, {"Januari";"Februari";"Maret";"April";"Mei";"Juni";"Juli";"Agustus";"September";"Oktober";"November";"Desember"}, 0)
        &gt;= MONTH(TODAY()),
      "AKTIF (Semester " &amp;
        (INT((12*(YEAR(TODAY())-M831) + MONTH(TODAY()) -
          MATCH(L831, {"Januari";"Februari";"Maret";"April";"Mei";"Juni";"Juli";"Agustus";"September";"Oktober";"November";"Desember"}, 0)) / 6) + 1) &amp; ")",
      "LULUS"
    ),
    "AKTIF (Semester " &amp;
      (INT((12*(YEAR(TODAY())-M831) + MONTH(TODAY()) -
        MATCH(L831, {"Januari";"Februari";"Maret";"April";"Mei";"Juni";"Juli";"Agustus";"September";"Oktober";"November";"Desember"}, 0)) / 6) + 1) &amp; ")"
  )
)</f>
        <v>LULUS</v>
      </c>
      <c r="T831" s="16" t="str">
        <f ca="1">IF(O831 &lt; YEAR(TODAY()), "LULUS",
 IF(O831 = YEAR(TODAY()),
    IF(MATCH(N831, {"Januari";"Februari";"Maret";"April";"Mei";"Juni";"Juli";"Agustus";"September";"Oktober";"November";"Desember"},0)
        &lt;= MONTH(TODAY()),
        "LULUS",
        "AKTIF"),
 "AKTIF"))</f>
        <v>LULUS</v>
      </c>
      <c r="U831" s="16" t="s">
        <v>29</v>
      </c>
      <c r="V831" s="21"/>
      <c r="W831" s="21"/>
      <c r="X831" s="21"/>
      <c r="Y831" s="21"/>
      <c r="Z831" s="21"/>
    </row>
    <row r="832" spans="1:26" ht="29" customHeight="1" x14ac:dyDescent="0.35">
      <c r="A832" s="12">
        <v>831</v>
      </c>
      <c r="B832" s="13" t="s">
        <v>2516</v>
      </c>
      <c r="C832" s="14" t="s">
        <v>2517</v>
      </c>
      <c r="D832" s="13"/>
      <c r="E832" s="14" t="str">
        <f t="shared" si="15"/>
        <v>Laki-Laki</v>
      </c>
      <c r="F832" s="18"/>
      <c r="G832" s="13" t="s">
        <v>2480</v>
      </c>
      <c r="H832" s="15" t="s">
        <v>2518</v>
      </c>
      <c r="I832" s="15" t="s">
        <v>2519</v>
      </c>
      <c r="J832" s="12" t="s">
        <v>45</v>
      </c>
      <c r="K832" s="15" t="s">
        <v>174</v>
      </c>
      <c r="L832" s="54" t="s">
        <v>35</v>
      </c>
      <c r="M832" s="21">
        <v>2020</v>
      </c>
      <c r="N832" s="15" t="s">
        <v>35</v>
      </c>
      <c r="O832" s="15">
        <v>2022</v>
      </c>
      <c r="P832" s="15">
        <v>2020</v>
      </c>
      <c r="Q832" s="15"/>
      <c r="R832" s="34" t="s">
        <v>29</v>
      </c>
      <c r="S832" s="16" t="str">
        <f ca="1">IF(
  O832 &lt; YEAR(TODAY()),
  "LULUS",
  IF(
    O832 = YEAR(TODAY()),
    IF(
      MATCH(L832, {"Januari";"Februari";"Maret";"April";"Mei";"Juni";"Juli";"Agustus";"September";"Oktober";"November";"Desember"}, 0)
        &gt;= MONTH(TODAY()),
      "AKTIF (Semester " &amp;
        (INT((12*(YEAR(TODAY())-M832) + MONTH(TODAY()) -
          MATCH(L832, {"Januari";"Februari";"Maret";"April";"Mei";"Juni";"Juli";"Agustus";"September";"Oktober";"November";"Desember"}, 0)) / 6) + 1) &amp; ")",
      "LULUS"
    ),
    "AKTIF (Semester " &amp;
      (INT((12*(YEAR(TODAY())-M832) + MONTH(TODAY()) -
        MATCH(L832, {"Januari";"Februari";"Maret";"April";"Mei";"Juni";"Juli";"Agustus";"September";"Oktober";"November";"Desember"}, 0)) / 6) + 1) &amp; ")"
  )
)</f>
        <v>LULUS</v>
      </c>
      <c r="T832" s="16" t="str">
        <f ca="1">IF(O832 &lt; YEAR(TODAY()), "LULUS",
 IF(O832 = YEAR(TODAY()),
    IF(MATCH(N832, {"Januari";"Februari";"Maret";"April";"Mei";"Juni";"Juli";"Agustus";"September";"Oktober";"November";"Desember"},0)
        &lt;= MONTH(TODAY()),
        "LULUS",
        "AKTIF"),
 "AKTIF"))</f>
        <v>LULUS</v>
      </c>
      <c r="U832" s="16" t="s">
        <v>29</v>
      </c>
      <c r="V832" s="21"/>
      <c r="W832" s="21"/>
      <c r="X832" s="21"/>
      <c r="Y832" s="21"/>
      <c r="Z832" s="21"/>
    </row>
    <row r="833" spans="1:26" ht="29" customHeight="1" x14ac:dyDescent="0.35">
      <c r="A833" s="12">
        <v>832</v>
      </c>
      <c r="B833" s="13" t="s">
        <v>2520</v>
      </c>
      <c r="C833" s="14" t="s">
        <v>2521</v>
      </c>
      <c r="D833" s="13"/>
      <c r="E833" s="14" t="str">
        <f t="shared" ref="E833:E896" si="16">IF(MID(C833,15,1)="1","Laki-Laki","Perempuan")</f>
        <v>Laki-Laki</v>
      </c>
      <c r="F833" s="18"/>
      <c r="G833" s="13" t="s">
        <v>2480</v>
      </c>
      <c r="H833" s="15" t="s">
        <v>2522</v>
      </c>
      <c r="I833" s="15" t="s">
        <v>2933</v>
      </c>
      <c r="J833" s="12" t="s">
        <v>26</v>
      </c>
      <c r="K833" s="15" t="s">
        <v>40</v>
      </c>
      <c r="L833" s="54" t="s">
        <v>35</v>
      </c>
      <c r="M833" s="21">
        <v>2020</v>
      </c>
      <c r="N833" s="15" t="s">
        <v>35</v>
      </c>
      <c r="O833" s="15">
        <v>2022</v>
      </c>
      <c r="P833" s="15">
        <v>2020</v>
      </c>
      <c r="Q833" s="15"/>
      <c r="R833" s="34" t="s">
        <v>51</v>
      </c>
      <c r="S833" s="16" t="str">
        <f ca="1">IF(
  O833 &lt; YEAR(TODAY()),
  "LULUS",
  IF(
    O833 = YEAR(TODAY()),
    IF(
      MATCH(L833, {"Januari";"Februari";"Maret";"April";"Mei";"Juni";"Juli";"Agustus";"September";"Oktober";"November";"Desember"}, 0)
        &gt;= MONTH(TODAY()),
      "AKTIF (Semester " &amp;
        (INT((12*(YEAR(TODAY())-M833) + MONTH(TODAY()) -
          MATCH(L833, {"Januari";"Februari";"Maret";"April";"Mei";"Juni";"Juli";"Agustus";"September";"Oktober";"November";"Desember"}, 0)) / 6) + 1) &amp; ")",
      "LULUS"
    ),
    "AKTIF (Semester " &amp;
      (INT((12*(YEAR(TODAY())-M833) + MONTH(TODAY()) -
        MATCH(L833, {"Januari";"Februari";"Maret";"April";"Mei";"Juni";"Juli";"Agustus";"September";"Oktober";"November";"Desember"}, 0)) / 6) + 1) &amp; ")"
  )
)</f>
        <v>LULUS</v>
      </c>
      <c r="T833" s="16" t="str">
        <f ca="1">IF(O833 &lt; YEAR(TODAY()), "LULUS",
 IF(O833 = YEAR(TODAY()),
    IF(MATCH(N833, {"Januari";"Februari";"Maret";"April";"Mei";"Juni";"Juli";"Agustus";"September";"Oktober";"November";"Desember"},0)
        &lt;= MONTH(TODAY()),
        "LULUS",
        "AKTIF"),
 "AKTIF"))</f>
        <v>LULUS</v>
      </c>
      <c r="U833" s="16" t="s">
        <v>29</v>
      </c>
      <c r="V833" s="21"/>
      <c r="W833" s="21"/>
      <c r="X833" s="21"/>
      <c r="Y833" s="21"/>
      <c r="Z833" s="21"/>
    </row>
    <row r="834" spans="1:26" ht="29" customHeight="1" x14ac:dyDescent="0.35">
      <c r="A834" s="12">
        <v>833</v>
      </c>
      <c r="B834" s="13" t="s">
        <v>2524</v>
      </c>
      <c r="C834" s="14" t="s">
        <v>2525</v>
      </c>
      <c r="D834" s="13"/>
      <c r="E834" s="14" t="str">
        <f t="shared" si="16"/>
        <v>Perempuan</v>
      </c>
      <c r="F834" s="18"/>
      <c r="G834" s="13" t="s">
        <v>2480</v>
      </c>
      <c r="H834" s="15" t="s">
        <v>2526</v>
      </c>
      <c r="I834" s="15" t="s">
        <v>2527</v>
      </c>
      <c r="J834" s="12" t="s">
        <v>45</v>
      </c>
      <c r="K834" s="15" t="s">
        <v>2501</v>
      </c>
      <c r="L834" s="54" t="s">
        <v>28</v>
      </c>
      <c r="M834" s="21">
        <v>2020</v>
      </c>
      <c r="N834" s="15" t="s">
        <v>28</v>
      </c>
      <c r="O834" s="15">
        <v>2024</v>
      </c>
      <c r="P834" s="15">
        <v>2020</v>
      </c>
      <c r="Q834" s="15"/>
      <c r="R834" s="34" t="s">
        <v>29</v>
      </c>
      <c r="S834" s="16" t="str">
        <f ca="1">IF(
  O834 &lt; YEAR(TODAY()),
  "LULUS",
  IF(
    O834 = YEAR(TODAY()),
    IF(
      MATCH(L834, {"Januari";"Februari";"Maret";"April";"Mei";"Juni";"Juli";"Agustus";"September";"Oktober";"November";"Desember"}, 0)
        &gt;= MONTH(TODAY()),
      "AKTIF (Semester " &amp;
        (INT((12*(YEAR(TODAY())-M834) + MONTH(TODAY()) -
          MATCH(L834, {"Januari";"Februari";"Maret";"April";"Mei";"Juni";"Juli";"Agustus";"September";"Oktober";"November";"Desember"}, 0)) / 6) + 1) &amp; ")",
      "LULUS"
    ),
    "AKTIF (Semester " &amp;
      (INT((12*(YEAR(TODAY())-M834) + MONTH(TODAY()) -
        MATCH(L834, {"Januari";"Februari";"Maret";"April";"Mei";"Juni";"Juli";"Agustus";"September";"Oktober";"November";"Desember"}, 0)) / 6) + 1) &amp; ")"
  )
)</f>
        <v>LULUS</v>
      </c>
      <c r="T834" s="16" t="str">
        <f ca="1">IF(O834 &lt; YEAR(TODAY()), "LULUS",
 IF(O834 = YEAR(TODAY()),
    IF(MATCH(N834, {"Januari";"Februari";"Maret";"April";"Mei";"Juni";"Juli";"Agustus";"September";"Oktober";"November";"Desember"},0)
        &lt;= MONTH(TODAY()),
        "LULUS",
        "AKTIF"),
 "AKTIF"))</f>
        <v>LULUS</v>
      </c>
      <c r="U834" s="16" t="s">
        <v>29</v>
      </c>
      <c r="V834" s="21"/>
      <c r="W834" s="21"/>
      <c r="X834" s="21"/>
      <c r="Y834" s="21"/>
      <c r="Z834" s="21"/>
    </row>
    <row r="835" spans="1:26" ht="29" customHeight="1" x14ac:dyDescent="0.35">
      <c r="A835" s="12">
        <v>834</v>
      </c>
      <c r="B835" s="13" t="s">
        <v>2528</v>
      </c>
      <c r="C835" s="14" t="s">
        <v>2529</v>
      </c>
      <c r="D835" s="13"/>
      <c r="E835" s="14" t="str">
        <f t="shared" si="16"/>
        <v>Laki-Laki</v>
      </c>
      <c r="F835" s="18"/>
      <c r="G835" s="13" t="s">
        <v>2480</v>
      </c>
      <c r="H835" s="15" t="s">
        <v>2530</v>
      </c>
      <c r="I835" s="52" t="s">
        <v>2485</v>
      </c>
      <c r="J835" s="12" t="s">
        <v>45</v>
      </c>
      <c r="K835" s="15" t="s">
        <v>2532</v>
      </c>
      <c r="L835" s="54" t="s">
        <v>446</v>
      </c>
      <c r="M835" s="21">
        <v>2019</v>
      </c>
      <c r="N835" s="15" t="s">
        <v>446</v>
      </c>
      <c r="O835" s="15">
        <v>2023</v>
      </c>
      <c r="P835" s="15">
        <v>2020</v>
      </c>
      <c r="Q835" s="15"/>
      <c r="R835" s="34" t="s">
        <v>51</v>
      </c>
      <c r="S835" s="16" t="str">
        <f ca="1">IF(
  O835 &lt; YEAR(TODAY()),
  "LULUS",
  IF(
    O835 = YEAR(TODAY()),
    IF(
      MATCH(L835, {"Januari";"Februari";"Maret";"April";"Mei";"Juni";"Juli";"Agustus";"September";"Oktober";"November";"Desember"}, 0)
        &gt;= MONTH(TODAY()),
      "AKTIF (Semester " &amp;
        (INT((12*(YEAR(TODAY())-M835) + MONTH(TODAY()) -
          MATCH(L835, {"Januari";"Februari";"Maret";"April";"Mei";"Juni";"Juli";"Agustus";"September";"Oktober";"November";"Desember"}, 0)) / 6) + 1) &amp; ")",
      "LULUS"
    ),
    "AKTIF (Semester " &amp;
      (INT((12*(YEAR(TODAY())-M835) + MONTH(TODAY()) -
        MATCH(L835, {"Januari";"Februari";"Maret";"April";"Mei";"Juni";"Juli";"Agustus";"September";"Oktober";"November";"Desember"}, 0)) / 6) + 1) &amp; ")"
  )
)</f>
        <v>LULUS</v>
      </c>
      <c r="T835" s="16" t="str">
        <f ca="1">IF(O835 &lt; YEAR(TODAY()), "LULUS",
 IF(O835 = YEAR(TODAY()),
    IF(MATCH(N835, {"Januari";"Februari";"Maret";"April";"Mei";"Juni";"Juli";"Agustus";"September";"Oktober";"November";"Desember"},0)
        &lt;= MONTH(TODAY()),
        "LULUS",
        "AKTIF"),
 "AKTIF"))</f>
        <v>LULUS</v>
      </c>
      <c r="U835" s="16" t="s">
        <v>29</v>
      </c>
      <c r="V835" s="21"/>
      <c r="W835" s="21"/>
      <c r="X835" s="21"/>
      <c r="Y835" s="21"/>
      <c r="Z835" s="21"/>
    </row>
    <row r="836" spans="1:26" ht="29" customHeight="1" x14ac:dyDescent="0.35">
      <c r="A836" s="12">
        <v>835</v>
      </c>
      <c r="B836" s="13" t="s">
        <v>2533</v>
      </c>
      <c r="C836" s="14" t="s">
        <v>2534</v>
      </c>
      <c r="D836" s="13"/>
      <c r="E836" s="14" t="str">
        <f t="shared" si="16"/>
        <v>Perempuan</v>
      </c>
      <c r="F836" s="18"/>
      <c r="G836" s="13" t="s">
        <v>2480</v>
      </c>
      <c r="H836" s="15" t="s">
        <v>2535</v>
      </c>
      <c r="I836" s="15" t="s">
        <v>2536</v>
      </c>
      <c r="J836" s="12" t="s">
        <v>26</v>
      </c>
      <c r="K836" s="15" t="s">
        <v>2537</v>
      </c>
      <c r="L836" s="54" t="s">
        <v>60</v>
      </c>
      <c r="M836" s="21">
        <v>2020</v>
      </c>
      <c r="N836" s="15" t="s">
        <v>60</v>
      </c>
      <c r="O836" s="15">
        <v>2023</v>
      </c>
      <c r="P836" s="15">
        <v>2020</v>
      </c>
      <c r="Q836" s="15"/>
      <c r="R836" s="34" t="s">
        <v>29</v>
      </c>
      <c r="S836" s="16" t="str">
        <f ca="1">IF(
  O836 &lt; YEAR(TODAY()),
  "LULUS",
  IF(
    O836 = YEAR(TODAY()),
    IF(
      MATCH(L836, {"Januari";"Februari";"Maret";"April";"Mei";"Juni";"Juli";"Agustus";"September";"Oktober";"November";"Desember"}, 0)
        &gt;= MONTH(TODAY()),
      "AKTIF (Semester " &amp;
        (INT((12*(YEAR(TODAY())-M836) + MONTH(TODAY()) -
          MATCH(L836, {"Januari";"Februari";"Maret";"April";"Mei";"Juni";"Juli";"Agustus";"September";"Oktober";"November";"Desember"}, 0)) / 6) + 1) &amp; ")",
      "LULUS"
    ),
    "AKTIF (Semester " &amp;
      (INT((12*(YEAR(TODAY())-M836) + MONTH(TODAY()) -
        MATCH(L836, {"Januari";"Februari";"Maret";"April";"Mei";"Juni";"Juli";"Agustus";"September";"Oktober";"November";"Desember"}, 0)) / 6) + 1) &amp; ")"
  )
)</f>
        <v>LULUS</v>
      </c>
      <c r="T836" s="16" t="str">
        <f ca="1">IF(O836 &lt; YEAR(TODAY()), "LULUS",
 IF(O836 = YEAR(TODAY()),
    IF(MATCH(N836, {"Januari";"Februari";"Maret";"April";"Mei";"Juni";"Juli";"Agustus";"September";"Oktober";"November";"Desember"},0)
        &lt;= MONTH(TODAY()),
        "LULUS",
        "AKTIF"),
 "AKTIF"))</f>
        <v>LULUS</v>
      </c>
      <c r="U836" s="16" t="s">
        <v>29</v>
      </c>
      <c r="V836" s="21"/>
      <c r="W836" s="21"/>
      <c r="X836" s="21"/>
      <c r="Y836" s="21"/>
      <c r="Z836" s="21"/>
    </row>
    <row r="837" spans="1:26" ht="29" customHeight="1" x14ac:dyDescent="0.35">
      <c r="A837" s="12">
        <v>836</v>
      </c>
      <c r="B837" s="13" t="s">
        <v>2538</v>
      </c>
      <c r="C837" s="14" t="s">
        <v>2539</v>
      </c>
      <c r="D837" s="13"/>
      <c r="E837" s="14" t="str">
        <f t="shared" si="16"/>
        <v>Laki-Laki</v>
      </c>
      <c r="F837" s="18"/>
      <c r="G837" s="13" t="s">
        <v>2480</v>
      </c>
      <c r="H837" s="15" t="s">
        <v>2540</v>
      </c>
      <c r="I837" s="15" t="s">
        <v>1314</v>
      </c>
      <c r="J837" s="12" t="s">
        <v>45</v>
      </c>
      <c r="K837" s="15" t="s">
        <v>858</v>
      </c>
      <c r="L837" s="54" t="s">
        <v>60</v>
      </c>
      <c r="M837" s="21">
        <v>2020</v>
      </c>
      <c r="N837" s="15" t="s">
        <v>60</v>
      </c>
      <c r="O837" s="15">
        <v>2024</v>
      </c>
      <c r="P837" s="15">
        <v>2020</v>
      </c>
      <c r="Q837" s="15"/>
      <c r="R837" s="34" t="s">
        <v>51</v>
      </c>
      <c r="S837" s="16" t="str">
        <f ca="1">IF(
  O837 &lt; YEAR(TODAY()),
  "LULUS",
  IF(
    O837 = YEAR(TODAY()),
    IF(
      MATCH(L837, {"Januari";"Februari";"Maret";"April";"Mei";"Juni";"Juli";"Agustus";"September";"Oktober";"November";"Desember"}, 0)
        &gt;= MONTH(TODAY()),
      "AKTIF (Semester " &amp;
        (INT((12*(YEAR(TODAY())-M837) + MONTH(TODAY()) -
          MATCH(L837, {"Januari";"Februari";"Maret";"April";"Mei";"Juni";"Juli";"Agustus";"September";"Oktober";"November";"Desember"}, 0)) / 6) + 1) &amp; ")",
      "LULUS"
    ),
    "AKTIF (Semester " &amp;
      (INT((12*(YEAR(TODAY())-M837) + MONTH(TODAY()) -
        MATCH(L837, {"Januari";"Februari";"Maret";"April";"Mei";"Juni";"Juli";"Agustus";"September";"Oktober";"November";"Desember"}, 0)) / 6) + 1) &amp; ")"
  )
)</f>
        <v>LULUS</v>
      </c>
      <c r="T837" s="16" t="str">
        <f ca="1">IF(O837 &lt; YEAR(TODAY()), "LULUS",
 IF(O837 = YEAR(TODAY()),
    IF(MATCH(N837, {"Januari";"Februari";"Maret";"April";"Mei";"Juni";"Juli";"Agustus";"September";"Oktober";"November";"Desember"},0)
        &lt;= MONTH(TODAY()),
        "LULUS",
        "AKTIF"),
 "AKTIF"))</f>
        <v>LULUS</v>
      </c>
      <c r="U837" s="16" t="s">
        <v>29</v>
      </c>
      <c r="V837" s="21"/>
      <c r="W837" s="21"/>
      <c r="X837" s="21"/>
      <c r="Y837" s="21"/>
      <c r="Z837" s="21"/>
    </row>
    <row r="838" spans="1:26" ht="29" customHeight="1" x14ac:dyDescent="0.35">
      <c r="A838" s="12">
        <v>837</v>
      </c>
      <c r="B838" s="13" t="s">
        <v>2541</v>
      </c>
      <c r="C838" s="14" t="s">
        <v>2542</v>
      </c>
      <c r="D838" s="13"/>
      <c r="E838" s="14" t="str">
        <f t="shared" si="16"/>
        <v>Laki-Laki</v>
      </c>
      <c r="F838" s="18"/>
      <c r="G838" s="13" t="s">
        <v>2480</v>
      </c>
      <c r="H838" s="15" t="s">
        <v>2543</v>
      </c>
      <c r="I838" s="19" t="s">
        <v>90</v>
      </c>
      <c r="J838" s="12" t="s">
        <v>26</v>
      </c>
      <c r="K838" s="15" t="s">
        <v>68</v>
      </c>
      <c r="L838" s="54" t="s">
        <v>60</v>
      </c>
      <c r="M838" s="21">
        <v>2020</v>
      </c>
      <c r="N838" s="15" t="s">
        <v>60</v>
      </c>
      <c r="O838" s="15">
        <v>2022</v>
      </c>
      <c r="P838" s="15">
        <v>2020</v>
      </c>
      <c r="Q838" s="15"/>
      <c r="R838" s="34" t="s">
        <v>51</v>
      </c>
      <c r="S838" s="16" t="str">
        <f ca="1">IF(
  O838 &lt; YEAR(TODAY()),
  "LULUS",
  IF(
    O838 = YEAR(TODAY()),
    IF(
      MATCH(L838, {"Januari";"Februari";"Maret";"April";"Mei";"Juni";"Juli";"Agustus";"September";"Oktober";"November";"Desember"}, 0)
        &gt;= MONTH(TODAY()),
      "AKTIF (Semester " &amp;
        (INT((12*(YEAR(TODAY())-M838) + MONTH(TODAY()) -
          MATCH(L838, {"Januari";"Februari";"Maret";"April";"Mei";"Juni";"Juli";"Agustus";"September";"Oktober";"November";"Desember"}, 0)) / 6) + 1) &amp; ")",
      "LULUS"
    ),
    "AKTIF (Semester " &amp;
      (INT((12*(YEAR(TODAY())-M838) + MONTH(TODAY()) -
        MATCH(L838, {"Januari";"Februari";"Maret";"April";"Mei";"Juni";"Juli";"Agustus";"September";"Oktober";"November";"Desember"}, 0)) / 6) + 1) &amp; ")"
  )
)</f>
        <v>LULUS</v>
      </c>
      <c r="T838" s="16" t="str">
        <f ca="1">IF(O838 &lt; YEAR(TODAY()), "LULUS",
 IF(O838 = YEAR(TODAY()),
    IF(MATCH(N838, {"Januari";"Februari";"Maret";"April";"Mei";"Juni";"Juli";"Agustus";"September";"Oktober";"November";"Desember"},0)
        &lt;= MONTH(TODAY()),
        "LULUS",
        "AKTIF"),
 "AKTIF"))</f>
        <v>LULUS</v>
      </c>
      <c r="U838" s="16" t="s">
        <v>29</v>
      </c>
      <c r="V838" s="21"/>
      <c r="W838" s="21"/>
      <c r="X838" s="21"/>
      <c r="Y838" s="21"/>
      <c r="Z838" s="21"/>
    </row>
    <row r="839" spans="1:26" ht="29" customHeight="1" x14ac:dyDescent="0.35">
      <c r="A839" s="12">
        <v>838</v>
      </c>
      <c r="B839" s="13" t="s">
        <v>2544</v>
      </c>
      <c r="C839" s="14" t="s">
        <v>2545</v>
      </c>
      <c r="D839" s="13"/>
      <c r="E839" s="14" t="str">
        <f t="shared" si="16"/>
        <v>Perempuan</v>
      </c>
      <c r="F839" s="18"/>
      <c r="G839" s="13" t="s">
        <v>2480</v>
      </c>
      <c r="H839" s="15" t="s">
        <v>2546</v>
      </c>
      <c r="I839" s="19" t="s">
        <v>788</v>
      </c>
      <c r="J839" s="12" t="s">
        <v>45</v>
      </c>
      <c r="K839" s="15" t="s">
        <v>269</v>
      </c>
      <c r="L839" s="54" t="s">
        <v>28</v>
      </c>
      <c r="M839" s="21">
        <v>2020</v>
      </c>
      <c r="N839" s="15" t="s">
        <v>28</v>
      </c>
      <c r="O839" s="15">
        <v>2024</v>
      </c>
      <c r="P839" s="15">
        <v>2020</v>
      </c>
      <c r="Q839" s="15"/>
      <c r="R839" s="34" t="s">
        <v>51</v>
      </c>
      <c r="S839" s="16" t="str">
        <f ca="1">IF(
  O839 &lt; YEAR(TODAY()),
  "LULUS",
  IF(
    O839 = YEAR(TODAY()),
    IF(
      MATCH(L839, {"Januari";"Februari";"Maret";"April";"Mei";"Juni";"Juli";"Agustus";"September";"Oktober";"November";"Desember"}, 0)
        &gt;= MONTH(TODAY()),
      "AKTIF (Semester " &amp;
        (INT((12*(YEAR(TODAY())-M839) + MONTH(TODAY()) -
          MATCH(L839, {"Januari";"Februari";"Maret";"April";"Mei";"Juni";"Juli";"Agustus";"September";"Oktober";"November";"Desember"}, 0)) / 6) + 1) &amp; ")",
      "LULUS"
    ),
    "AKTIF (Semester " &amp;
      (INT((12*(YEAR(TODAY())-M839) + MONTH(TODAY()) -
        MATCH(L839, {"Januari";"Februari";"Maret";"April";"Mei";"Juni";"Juli";"Agustus";"September";"Oktober";"November";"Desember"}, 0)) / 6) + 1) &amp; ")"
  )
)</f>
        <v>LULUS</v>
      </c>
      <c r="T839" s="16" t="str">
        <f ca="1">IF(O839 &lt; YEAR(TODAY()), "LULUS",
 IF(O839 = YEAR(TODAY()),
    IF(MATCH(N839, {"Januari";"Februari";"Maret";"April";"Mei";"Juni";"Juli";"Agustus";"September";"Oktober";"November";"Desember"},0)
        &lt;= MONTH(TODAY()),
        "LULUS",
        "AKTIF"),
 "AKTIF"))</f>
        <v>LULUS</v>
      </c>
      <c r="U839" s="16" t="s">
        <v>29</v>
      </c>
      <c r="V839" s="21"/>
      <c r="W839" s="21"/>
      <c r="X839" s="21"/>
      <c r="Y839" s="21"/>
      <c r="Z839" s="21"/>
    </row>
    <row r="840" spans="1:26" ht="29" customHeight="1" x14ac:dyDescent="0.35">
      <c r="A840" s="12">
        <v>839</v>
      </c>
      <c r="B840" s="13" t="s">
        <v>2548</v>
      </c>
      <c r="C840" s="14" t="s">
        <v>2549</v>
      </c>
      <c r="D840" s="13"/>
      <c r="E840" s="14" t="str">
        <f t="shared" si="16"/>
        <v>Perempuan</v>
      </c>
      <c r="F840" s="18"/>
      <c r="G840" s="13" t="s">
        <v>2480</v>
      </c>
      <c r="H840" s="15" t="s">
        <v>2550</v>
      </c>
      <c r="I840" s="19" t="s">
        <v>90</v>
      </c>
      <c r="J840" s="12" t="s">
        <v>45</v>
      </c>
      <c r="K840" s="15" t="s">
        <v>40</v>
      </c>
      <c r="L840" s="54" t="s">
        <v>1562</v>
      </c>
      <c r="M840" s="21">
        <v>2020</v>
      </c>
      <c r="N840" s="15" t="s">
        <v>1562</v>
      </c>
      <c r="O840" s="15">
        <v>2024</v>
      </c>
      <c r="P840" s="15">
        <v>2020</v>
      </c>
      <c r="Q840" s="15"/>
      <c r="R840" s="34" t="s">
        <v>29</v>
      </c>
      <c r="S840" s="16" t="str">
        <f ca="1">IF(
  O840 &lt; YEAR(TODAY()),
  "LULUS",
  IF(
    O840 = YEAR(TODAY()),
    IF(
      MATCH(L840, {"Januari";"Februari";"Maret";"April";"Mei";"Juni";"Juli";"Agustus";"September";"Oktober";"November";"Desember"}, 0)
        &gt;= MONTH(TODAY()),
      "AKTIF (Semester " &amp;
        (INT((12*(YEAR(TODAY())-M840) + MONTH(TODAY()) -
          MATCH(L840, {"Januari";"Februari";"Maret";"April";"Mei";"Juni";"Juli";"Agustus";"September";"Oktober";"November";"Desember"}, 0)) / 6) + 1) &amp; ")",
      "LULUS"
    ),
    "AKTIF (Semester " &amp;
      (INT((12*(YEAR(TODAY())-M840) + MONTH(TODAY()) -
        MATCH(L840, {"Januari";"Februari";"Maret";"April";"Mei";"Juni";"Juli";"Agustus";"September";"Oktober";"November";"Desember"}, 0)) / 6) + 1) &amp; ")"
  )
)</f>
        <v>LULUS</v>
      </c>
      <c r="T840" s="16" t="str">
        <f ca="1">IF(O840 &lt; YEAR(TODAY()), "LULUS",
 IF(O840 = YEAR(TODAY()),
    IF(MATCH(N840, {"Januari";"Februari";"Maret";"April";"Mei";"Juni";"Juli";"Agustus";"September";"Oktober";"November";"Desember"},0)
        &lt;= MONTH(TODAY()),
        "LULUS",
        "AKTIF"),
 "AKTIF"))</f>
        <v>LULUS</v>
      </c>
      <c r="U840" s="16" t="s">
        <v>29</v>
      </c>
      <c r="V840" s="21"/>
      <c r="W840" s="21"/>
      <c r="X840" s="21"/>
      <c r="Y840" s="21"/>
      <c r="Z840" s="21"/>
    </row>
    <row r="841" spans="1:26" ht="29" customHeight="1" x14ac:dyDescent="0.35">
      <c r="A841" s="12">
        <v>840</v>
      </c>
      <c r="B841" s="13" t="s">
        <v>2551</v>
      </c>
      <c r="C841" s="14" t="s">
        <v>2552</v>
      </c>
      <c r="D841" s="13"/>
      <c r="E841" s="14" t="str">
        <f t="shared" si="16"/>
        <v>Laki-Laki</v>
      </c>
      <c r="F841" s="18"/>
      <c r="G841" s="13" t="s">
        <v>2480</v>
      </c>
      <c r="H841" s="15" t="s">
        <v>2553</v>
      </c>
      <c r="I841" s="15" t="s">
        <v>2554</v>
      </c>
      <c r="J841" s="12" t="s">
        <v>45</v>
      </c>
      <c r="K841" s="15" t="s">
        <v>477</v>
      </c>
      <c r="L841" s="54" t="s">
        <v>28</v>
      </c>
      <c r="M841" s="21">
        <v>2020</v>
      </c>
      <c r="N841" s="15" t="s">
        <v>28</v>
      </c>
      <c r="O841" s="15">
        <v>2024</v>
      </c>
      <c r="P841" s="15">
        <v>2020</v>
      </c>
      <c r="Q841" s="15"/>
      <c r="R841" s="34" t="s">
        <v>51</v>
      </c>
      <c r="S841" s="16" t="str">
        <f ca="1">IF(
  O841 &lt; YEAR(TODAY()),
  "LULUS",
  IF(
    O841 = YEAR(TODAY()),
    IF(
      MATCH(L841, {"Januari";"Februari";"Maret";"April";"Mei";"Juni";"Juli";"Agustus";"September";"Oktober";"November";"Desember"}, 0)
        &gt;= MONTH(TODAY()),
      "AKTIF (Semester " &amp;
        (INT((12*(YEAR(TODAY())-M841) + MONTH(TODAY()) -
          MATCH(L841, {"Januari";"Februari";"Maret";"April";"Mei";"Juni";"Juli";"Agustus";"September";"Oktober";"November";"Desember"}, 0)) / 6) + 1) &amp; ")",
      "LULUS"
    ),
    "AKTIF (Semester " &amp;
      (INT((12*(YEAR(TODAY())-M841) + MONTH(TODAY()) -
        MATCH(L841, {"Januari";"Februari";"Maret";"April";"Mei";"Juni";"Juli";"Agustus";"September";"Oktober";"November";"Desember"}, 0)) / 6) + 1) &amp; ")"
  )
)</f>
        <v>LULUS</v>
      </c>
      <c r="T841" s="16" t="str">
        <f ca="1">IF(O841 &lt; YEAR(TODAY()), "LULUS",
 IF(O841 = YEAR(TODAY()),
    IF(MATCH(N841, {"Januari";"Februari";"Maret";"April";"Mei";"Juni";"Juli";"Agustus";"September";"Oktober";"November";"Desember"},0)
        &lt;= MONTH(TODAY()),
        "LULUS",
        "AKTIF"),
 "AKTIF"))</f>
        <v>LULUS</v>
      </c>
      <c r="U841" s="16" t="s">
        <v>29</v>
      </c>
      <c r="V841" s="21"/>
      <c r="W841" s="21"/>
      <c r="X841" s="21"/>
      <c r="Y841" s="21"/>
      <c r="Z841" s="21"/>
    </row>
    <row r="842" spans="1:26" ht="29" customHeight="1" x14ac:dyDescent="0.35">
      <c r="A842" s="12">
        <v>841</v>
      </c>
      <c r="B842" s="13" t="s">
        <v>2555</v>
      </c>
      <c r="C842" s="14" t="s">
        <v>2556</v>
      </c>
      <c r="D842" s="13"/>
      <c r="E842" s="14" t="str">
        <f t="shared" si="16"/>
        <v>Laki-Laki</v>
      </c>
      <c r="F842" s="13"/>
      <c r="G842" s="13" t="s">
        <v>2480</v>
      </c>
      <c r="H842" s="15" t="s">
        <v>2557</v>
      </c>
      <c r="I842" s="15" t="s">
        <v>926</v>
      </c>
      <c r="J842" s="12" t="s">
        <v>26</v>
      </c>
      <c r="K842" s="15" t="s">
        <v>221</v>
      </c>
      <c r="L842" s="54" t="s">
        <v>28</v>
      </c>
      <c r="M842" s="21">
        <v>2020</v>
      </c>
      <c r="N842" s="15" t="s">
        <v>28</v>
      </c>
      <c r="O842" s="15">
        <v>2022</v>
      </c>
      <c r="P842" s="15">
        <v>2020</v>
      </c>
      <c r="Q842" s="15"/>
      <c r="R842" s="16" t="s">
        <v>29</v>
      </c>
      <c r="S842" s="16" t="str">
        <f ca="1">IF(
  O842 &lt; YEAR(TODAY()),
  "LULUS",
  IF(
    O842 = YEAR(TODAY()),
    IF(
      MATCH(L842, {"Januari";"Februari";"Maret";"April";"Mei";"Juni";"Juli";"Agustus";"September";"Oktober";"November";"Desember"}, 0)
        &gt;= MONTH(TODAY()),
      "AKTIF (Semester " &amp;
        (INT((12*(YEAR(TODAY())-M842) + MONTH(TODAY()) -
          MATCH(L842, {"Januari";"Februari";"Maret";"April";"Mei";"Juni";"Juli";"Agustus";"September";"Oktober";"November";"Desember"}, 0)) / 6) + 1) &amp; ")",
      "LULUS"
    ),
    "AKTIF (Semester " &amp;
      (INT((12*(YEAR(TODAY())-M842) + MONTH(TODAY()) -
        MATCH(L842, {"Januari";"Februari";"Maret";"April";"Mei";"Juni";"Juli";"Agustus";"September";"Oktober";"November";"Desember"}, 0)) / 6) + 1) &amp; ")"
  )
)</f>
        <v>LULUS</v>
      </c>
      <c r="T842" s="16" t="str">
        <f ca="1">IF(O842 &lt; YEAR(TODAY()), "LULUS",
 IF(O842 = YEAR(TODAY()),
    IF(MATCH(N842, {"Januari";"Februari";"Maret";"April";"Mei";"Juni";"Juli";"Agustus";"September";"Oktober";"November";"Desember"},0)
        &lt;= MONTH(TODAY()),
        "LULUS",
        "AKTIF"),
 "AKTIF"))</f>
        <v>LULUS</v>
      </c>
      <c r="U842" s="16" t="s">
        <v>29</v>
      </c>
      <c r="V842" s="15"/>
      <c r="W842" s="15"/>
      <c r="X842" s="15"/>
      <c r="Y842" s="15"/>
      <c r="Z842" s="15"/>
    </row>
    <row r="843" spans="1:26" ht="29" customHeight="1" x14ac:dyDescent="0.35">
      <c r="A843" s="12">
        <v>842</v>
      </c>
      <c r="B843" s="13" t="s">
        <v>2558</v>
      </c>
      <c r="C843" s="14" t="s">
        <v>2559</v>
      </c>
      <c r="D843" s="13"/>
      <c r="E843" s="14" t="str">
        <f t="shared" si="16"/>
        <v>Laki-Laki</v>
      </c>
      <c r="F843" s="13"/>
      <c r="G843" s="13" t="s">
        <v>2480</v>
      </c>
      <c r="H843" s="15" t="s">
        <v>2510</v>
      </c>
      <c r="I843" s="19" t="s">
        <v>90</v>
      </c>
      <c r="J843" s="12" t="s">
        <v>26</v>
      </c>
      <c r="K843" s="15" t="s">
        <v>394</v>
      </c>
      <c r="L843" s="12" t="s">
        <v>60</v>
      </c>
      <c r="M843" s="12">
        <v>2020</v>
      </c>
      <c r="N843" s="15" t="s">
        <v>60</v>
      </c>
      <c r="O843" s="15">
        <v>2022</v>
      </c>
      <c r="P843" s="15">
        <v>2020</v>
      </c>
      <c r="Q843" s="15"/>
      <c r="R843" s="34" t="s">
        <v>51</v>
      </c>
      <c r="S843" s="16" t="str">
        <f ca="1">IF(
  O843 &lt; YEAR(TODAY()),
  "LULUS",
  IF(
    O843 = YEAR(TODAY()),
    IF(
      MATCH(L843, {"Januari";"Februari";"Maret";"April";"Mei";"Juni";"Juli";"Agustus";"September";"Oktober";"November";"Desember"}, 0)
        &gt;= MONTH(TODAY()),
      "AKTIF (Semester " &amp;
        (INT((12*(YEAR(TODAY())-M843) + MONTH(TODAY()) -
          MATCH(L843, {"Januari";"Februari";"Maret";"April";"Mei";"Juni";"Juli";"Agustus";"September";"Oktober";"November";"Desember"}, 0)) / 6) + 1) &amp; ")",
      "LULUS"
    ),
    "AKTIF (Semester " &amp;
      (INT((12*(YEAR(TODAY())-M843) + MONTH(TODAY()) -
        MATCH(L843, {"Januari";"Februari";"Maret";"April";"Mei";"Juni";"Juli";"Agustus";"September";"Oktober";"November";"Desember"}, 0)) / 6) + 1) &amp; ")"
  )
)</f>
        <v>LULUS</v>
      </c>
      <c r="T843" s="16" t="str">
        <f ca="1">IF(O843 &lt; YEAR(TODAY()), "LULUS",
 IF(O843 = YEAR(TODAY()),
    IF(MATCH(N843, {"Januari";"Februari";"Maret";"April";"Mei";"Juni";"Juli";"Agustus";"September";"Oktober";"November";"Desember"},0)
        &lt;= MONTH(TODAY()),
        "LULUS",
        "AKTIF"),
 "AKTIF"))</f>
        <v>LULUS</v>
      </c>
      <c r="U843" s="16" t="s">
        <v>29</v>
      </c>
      <c r="V843" s="21"/>
      <c r="W843" s="21"/>
      <c r="X843" s="21"/>
      <c r="Y843" s="21"/>
      <c r="Z843" s="21"/>
    </row>
    <row r="844" spans="1:26" ht="29" customHeight="1" x14ac:dyDescent="0.35">
      <c r="A844" s="12">
        <v>843</v>
      </c>
      <c r="B844" s="13" t="s">
        <v>2560</v>
      </c>
      <c r="C844" s="14" t="s">
        <v>2561</v>
      </c>
      <c r="D844" s="13"/>
      <c r="E844" s="14" t="str">
        <f t="shared" si="16"/>
        <v>Laki-Laki</v>
      </c>
      <c r="F844" s="13"/>
      <c r="G844" s="13" t="s">
        <v>2480</v>
      </c>
      <c r="H844" s="15" t="s">
        <v>2488</v>
      </c>
      <c r="I844" s="19" t="s">
        <v>90</v>
      </c>
      <c r="J844" s="12" t="s">
        <v>45</v>
      </c>
      <c r="K844" s="15" t="s">
        <v>196</v>
      </c>
      <c r="L844" s="21" t="s">
        <v>60</v>
      </c>
      <c r="M844" s="21">
        <v>2019</v>
      </c>
      <c r="N844" s="15" t="s">
        <v>60</v>
      </c>
      <c r="O844" s="15">
        <v>2023</v>
      </c>
      <c r="P844" s="15">
        <v>2021</v>
      </c>
      <c r="Q844" s="15"/>
      <c r="R844" s="16" t="s">
        <v>29</v>
      </c>
      <c r="S844" s="16" t="str">
        <f ca="1">IF(
  O844 &lt; YEAR(TODAY()),
  "LULUS",
  IF(
    O844 = YEAR(TODAY()),
    IF(
      MATCH(L844, {"Januari";"Februari";"Maret";"April";"Mei";"Juni";"Juli";"Agustus";"September";"Oktober";"November";"Desember"}, 0)
        &gt;= MONTH(TODAY()),
      "AKTIF (Semester " &amp;
        (INT((12*(YEAR(TODAY())-M844) + MONTH(TODAY()) -
          MATCH(L844, {"Januari";"Februari";"Maret";"April";"Mei";"Juni";"Juli";"Agustus";"September";"Oktober";"November";"Desember"}, 0)) / 6) + 1) &amp; ")",
      "LULUS"
    ),
    "AKTIF (Semester " &amp;
      (INT((12*(YEAR(TODAY())-M844) + MONTH(TODAY()) -
        MATCH(L844, {"Januari";"Februari";"Maret";"April";"Mei";"Juni";"Juli";"Agustus";"September";"Oktober";"November";"Desember"}, 0)) / 6) + 1) &amp; ")"
  )
)</f>
        <v>LULUS</v>
      </c>
      <c r="T844" s="16" t="str">
        <f ca="1">IF(O844 &lt; YEAR(TODAY()), "LULUS",
 IF(O844 = YEAR(TODAY()),
    IF(MATCH(N844, {"Januari";"Februari";"Maret";"April";"Mei";"Juni";"Juli";"Agustus";"September";"Oktober";"November";"Desember"},0)
        &lt;= MONTH(TODAY()),
        "LULUS",
        "AKTIF"),
 "AKTIF"))</f>
        <v>LULUS</v>
      </c>
      <c r="U844" s="16" t="s">
        <v>29</v>
      </c>
      <c r="V844" s="15"/>
      <c r="W844" s="15"/>
      <c r="X844" s="15"/>
      <c r="Y844" s="15"/>
      <c r="Z844" s="15"/>
    </row>
    <row r="845" spans="1:26" ht="29" customHeight="1" x14ac:dyDescent="0.35">
      <c r="A845" s="12">
        <v>844</v>
      </c>
      <c r="B845" s="13" t="s">
        <v>2562</v>
      </c>
      <c r="C845" s="14" t="s">
        <v>2563</v>
      </c>
      <c r="D845" s="13"/>
      <c r="E845" s="14" t="str">
        <f t="shared" si="16"/>
        <v>Laki-Laki</v>
      </c>
      <c r="F845" s="13"/>
      <c r="G845" s="13" t="s">
        <v>2480</v>
      </c>
      <c r="H845" s="15" t="s">
        <v>2564</v>
      </c>
      <c r="I845" s="15" t="s">
        <v>2933</v>
      </c>
      <c r="J845" s="12" t="s">
        <v>45</v>
      </c>
      <c r="K845" s="15" t="s">
        <v>95</v>
      </c>
      <c r="L845" s="21" t="s">
        <v>35</v>
      </c>
      <c r="M845" s="21">
        <v>2021</v>
      </c>
      <c r="N845" s="15" t="s">
        <v>35</v>
      </c>
      <c r="O845" s="15">
        <v>2025</v>
      </c>
      <c r="P845" s="15">
        <v>2021</v>
      </c>
      <c r="Q845" s="15"/>
      <c r="R845" s="22" t="s">
        <v>51</v>
      </c>
      <c r="S845" s="16" t="str">
        <f ca="1">IF(
  O845 &lt; YEAR(TODAY()),
  "LULUS",
  IF(
    O845 = YEAR(TODAY()),
    IF(
      MATCH(L845, {"Januari";"Februari";"Maret";"April";"Mei";"Juni";"Juli";"Agustus";"September";"Oktober";"November";"Desember"}, 0)
        &gt;= MONTH(TODAY()),
      "AKTIF (Semester " &amp;
        (INT((12*(YEAR(TODAY())-M845) + MONTH(TODAY()) -
          MATCH(L845, {"Januari";"Februari";"Maret";"April";"Mei";"Juni";"Juli";"Agustus";"September";"Oktober";"November";"Desember"}, 0)) / 6) + 1) &amp; ")",
      "LULUS"
    ),
    "AKTIF (Semester " &amp;
      (INT((12*(YEAR(TODAY())-M845) + MONTH(TODAY()) -
        MATCH(L845, {"Januari";"Februari";"Maret";"April";"Mei";"Juni";"Juli";"Agustus";"September";"Oktober";"November";"Desember"}, 0)) / 6) + 1) &amp; ")"
  )
)</f>
        <v>LULUS</v>
      </c>
      <c r="T845" s="16" t="str">
        <f ca="1">IF(O845 &lt; YEAR(TODAY()), "LULUS",
 IF(O845 = YEAR(TODAY()),
    IF(MATCH(N845, {"Januari";"Februari";"Maret";"April";"Mei";"Juni";"Juli";"Agustus";"September";"Oktober";"November";"Desember"},0)
        &lt;= MONTH(TODAY()),
        "LULUS",
        "AKTIF"),
 "AKTIF"))</f>
        <v>LULUS</v>
      </c>
      <c r="U845" s="16" t="s">
        <v>29</v>
      </c>
      <c r="V845" s="23"/>
      <c r="W845" s="23"/>
      <c r="X845" s="23"/>
      <c r="Y845" s="23"/>
      <c r="Z845" s="23"/>
    </row>
    <row r="846" spans="1:26" ht="29" customHeight="1" x14ac:dyDescent="0.35">
      <c r="A846" s="12">
        <v>845</v>
      </c>
      <c r="B846" s="13" t="s">
        <v>2566</v>
      </c>
      <c r="C846" s="14" t="s">
        <v>2567</v>
      </c>
      <c r="D846" s="13"/>
      <c r="E846" s="14" t="str">
        <f t="shared" si="16"/>
        <v>Perempuan</v>
      </c>
      <c r="F846" s="13"/>
      <c r="G846" s="13" t="s">
        <v>2480</v>
      </c>
      <c r="H846" s="15" t="s">
        <v>2484</v>
      </c>
      <c r="I846" s="19" t="s">
        <v>90</v>
      </c>
      <c r="J846" s="12" t="s">
        <v>45</v>
      </c>
      <c r="K846" s="15" t="s">
        <v>1182</v>
      </c>
      <c r="L846" s="21" t="s">
        <v>890</v>
      </c>
      <c r="M846" s="21">
        <v>2021</v>
      </c>
      <c r="N846" s="15" t="s">
        <v>890</v>
      </c>
      <c r="O846" s="15">
        <v>2025</v>
      </c>
      <c r="P846" s="15">
        <v>2021</v>
      </c>
      <c r="Q846" s="15"/>
      <c r="R846" s="22" t="s">
        <v>51</v>
      </c>
      <c r="S846" s="16" t="str">
        <f ca="1">IF(
  O846 &lt; YEAR(TODAY()),
  "LULUS",
  IF(
    O846 = YEAR(TODAY()),
    IF(
      MATCH(L846, {"Januari";"Februari";"Maret";"April";"Mei";"Juni";"Juli";"Agustus";"September";"Oktober";"November";"Desember"}, 0)
        &gt;= MONTH(TODAY()),
      "AKTIF (Semester " &amp;
        (INT((12*(YEAR(TODAY())-M846) + MONTH(TODAY()) -
          MATCH(L846, {"Januari";"Februari";"Maret";"April";"Mei";"Juni";"Juli";"Agustus";"September";"Oktober";"November";"Desember"}, 0)) / 6) + 1) &amp; ")",
      "LULUS"
    ),
    "AKTIF (Semester " &amp;
      (INT((12*(YEAR(TODAY())-M846) + MONTH(TODAY()) -
        MATCH(L846, {"Januari";"Februari";"Maret";"April";"Mei";"Juni";"Juli";"Agustus";"September";"Oktober";"November";"Desember"}, 0)) / 6) + 1) &amp; ")"
  )
)</f>
        <v>LULUS</v>
      </c>
      <c r="T846" s="16" t="str">
        <f ca="1">IF(O846 &lt; YEAR(TODAY()), "LULUS",
 IF(O846 = YEAR(TODAY()),
    IF(MATCH(N846, {"Januari";"Februari";"Maret";"April";"Mei";"Juni";"Juli";"Agustus";"September";"Oktober";"November";"Desember"},0)
        &lt;= MONTH(TODAY()),
        "LULUS",
        "AKTIF"),
 "AKTIF"))</f>
        <v>LULUS</v>
      </c>
      <c r="U846" s="16" t="s">
        <v>29</v>
      </c>
      <c r="V846" s="23"/>
      <c r="W846" s="23"/>
      <c r="X846" s="23"/>
      <c r="Y846" s="23"/>
      <c r="Z846" s="23"/>
    </row>
    <row r="847" spans="1:26" ht="29" customHeight="1" x14ac:dyDescent="0.35">
      <c r="A847" s="12">
        <v>846</v>
      </c>
      <c r="B847" s="13" t="s">
        <v>2568</v>
      </c>
      <c r="C847" s="14" t="s">
        <v>2569</v>
      </c>
      <c r="D847" s="13"/>
      <c r="E847" s="14" t="str">
        <f t="shared" si="16"/>
        <v>Perempuan</v>
      </c>
      <c r="F847" s="13"/>
      <c r="G847" s="13" t="s">
        <v>2480</v>
      </c>
      <c r="H847" s="15" t="s">
        <v>2570</v>
      </c>
      <c r="I847" s="15" t="s">
        <v>320</v>
      </c>
      <c r="J847" s="12" t="s">
        <v>45</v>
      </c>
      <c r="K847" s="15" t="s">
        <v>2571</v>
      </c>
      <c r="L847" s="21" t="s">
        <v>35</v>
      </c>
      <c r="M847" s="21">
        <v>2021</v>
      </c>
      <c r="N847" s="15" t="s">
        <v>35</v>
      </c>
      <c r="O847" s="15">
        <v>2025</v>
      </c>
      <c r="P847" s="15">
        <v>2021</v>
      </c>
      <c r="Q847" s="15"/>
      <c r="R847" s="22" t="s">
        <v>51</v>
      </c>
      <c r="S847" s="16" t="str">
        <f ca="1">IF(
  O847 &lt; YEAR(TODAY()),
  "LULUS",
  IF(
    O847 = YEAR(TODAY()),
    IF(
      MATCH(L847, {"Januari";"Februari";"Maret";"April";"Mei";"Juni";"Juli";"Agustus";"September";"Oktober";"November";"Desember"}, 0)
        &gt;= MONTH(TODAY()),
      "AKTIF (Semester " &amp;
        (INT((12*(YEAR(TODAY())-M847) + MONTH(TODAY()) -
          MATCH(L847, {"Januari";"Februari";"Maret";"April";"Mei";"Juni";"Juli";"Agustus";"September";"Oktober";"November";"Desember"}, 0)) / 6) + 1) &amp; ")",
      "LULUS"
    ),
    "AKTIF (Semester " &amp;
      (INT((12*(YEAR(TODAY())-M847) + MONTH(TODAY()) -
        MATCH(L847, {"Januari";"Februari";"Maret";"April";"Mei";"Juni";"Juli";"Agustus";"September";"Oktober";"November";"Desember"}, 0)) / 6) + 1) &amp; ")"
  )
)</f>
        <v>LULUS</v>
      </c>
      <c r="T847" s="16" t="str">
        <f ca="1">IF(O847 &lt; YEAR(TODAY()), "LULUS",
 IF(O847 = YEAR(TODAY()),
    IF(MATCH(N847, {"Januari";"Februari";"Maret";"April";"Mei";"Juni";"Juli";"Agustus";"September";"Oktober";"November";"Desember"},0)
        &lt;= MONTH(TODAY()),
        "LULUS",
        "AKTIF"),
 "AKTIF"))</f>
        <v>LULUS</v>
      </c>
      <c r="U847" s="16" t="s">
        <v>29</v>
      </c>
      <c r="V847" s="23"/>
      <c r="W847" s="23"/>
      <c r="X847" s="23"/>
      <c r="Y847" s="23"/>
      <c r="Z847" s="23"/>
    </row>
    <row r="848" spans="1:26" ht="29" customHeight="1" x14ac:dyDescent="0.35">
      <c r="A848" s="12">
        <v>847</v>
      </c>
      <c r="B848" s="13" t="s">
        <v>2572</v>
      </c>
      <c r="C848" s="14" t="s">
        <v>2573</v>
      </c>
      <c r="D848" s="13"/>
      <c r="E848" s="14" t="str">
        <f t="shared" si="16"/>
        <v>Laki-Laki</v>
      </c>
      <c r="F848" s="13"/>
      <c r="G848" s="13" t="s">
        <v>2480</v>
      </c>
      <c r="H848" s="15" t="s">
        <v>2518</v>
      </c>
      <c r="I848" s="15" t="s">
        <v>2574</v>
      </c>
      <c r="J848" s="12" t="s">
        <v>45</v>
      </c>
      <c r="K848" s="15" t="s">
        <v>295</v>
      </c>
      <c r="L848" s="21" t="s">
        <v>60</v>
      </c>
      <c r="M848" s="21">
        <v>2021</v>
      </c>
      <c r="N848" s="15" t="s">
        <v>60</v>
      </c>
      <c r="O848" s="15">
        <v>2025</v>
      </c>
      <c r="P848" s="15">
        <v>2021</v>
      </c>
      <c r="Q848" s="15"/>
      <c r="R848" s="22" t="s">
        <v>51</v>
      </c>
      <c r="S848" s="16" t="str">
        <f ca="1">IF(
  O848 &lt; YEAR(TODAY()),
  "LULUS",
  IF(
    O848 = YEAR(TODAY()),
    IF(
      MATCH(L848, {"Januari";"Februari";"Maret";"April";"Mei";"Juni";"Juli";"Agustus";"September";"Oktober";"November";"Desember"}, 0)
        &gt;= MONTH(TODAY()),
      "AKTIF (Semester " &amp;
        (INT((12*(YEAR(TODAY())-M848) + MONTH(TODAY()) -
          MATCH(L848, {"Januari";"Februari";"Maret";"April";"Mei";"Juni";"Juli";"Agustus";"September";"Oktober";"November";"Desember"}, 0)) / 6) + 1) &amp; ")",
      "LULUS"
    ),
    "AKTIF (Semester " &amp;
      (INT((12*(YEAR(TODAY())-M848) + MONTH(TODAY()) -
        MATCH(L848, {"Januari";"Februari";"Maret";"April";"Mei";"Juni";"Juli";"Agustus";"September";"Oktober";"November";"Desember"}, 0)) / 6) + 1) &amp; ")"
  )
)</f>
        <v>LULUS</v>
      </c>
      <c r="T848" s="16" t="str">
        <f ca="1">IF(O848 &lt; YEAR(TODAY()), "LULUS",
 IF(O848 = YEAR(TODAY()),
    IF(MATCH(N848, {"Januari";"Februari";"Maret";"April";"Mei";"Juni";"Juli";"Agustus";"September";"Oktober";"November";"Desember"},0)
        &lt;= MONTH(TODAY()),
        "LULUS",
        "AKTIF"),
 "AKTIF"))</f>
        <v>LULUS</v>
      </c>
      <c r="U848" s="16" t="s">
        <v>29</v>
      </c>
      <c r="V848" s="23"/>
      <c r="W848" s="23"/>
      <c r="X848" s="23"/>
      <c r="Y848" s="23"/>
      <c r="Z848" s="23"/>
    </row>
    <row r="849" spans="1:26" ht="29" customHeight="1" x14ac:dyDescent="0.35">
      <c r="A849" s="12">
        <v>848</v>
      </c>
      <c r="B849" s="13" t="s">
        <v>2575</v>
      </c>
      <c r="C849" s="14" t="s">
        <v>2576</v>
      </c>
      <c r="D849" s="13"/>
      <c r="E849" s="14" t="str">
        <f t="shared" si="16"/>
        <v>Perempuan</v>
      </c>
      <c r="F849" s="13"/>
      <c r="G849" s="13" t="s">
        <v>2480</v>
      </c>
      <c r="H849" s="15" t="s">
        <v>2570</v>
      </c>
      <c r="I849" s="52" t="s">
        <v>2485</v>
      </c>
      <c r="J849" s="12" t="s">
        <v>45</v>
      </c>
      <c r="K849" s="15" t="s">
        <v>2578</v>
      </c>
      <c r="L849" s="21" t="s">
        <v>28</v>
      </c>
      <c r="M849" s="21">
        <v>2021</v>
      </c>
      <c r="N849" s="15" t="s">
        <v>28</v>
      </c>
      <c r="O849" s="15">
        <v>2025</v>
      </c>
      <c r="P849" s="15">
        <v>2021</v>
      </c>
      <c r="Q849" s="15"/>
      <c r="R849" s="22" t="s">
        <v>51</v>
      </c>
      <c r="S849" s="16" t="str">
        <f ca="1">IF(
  O849 &lt; YEAR(TODAY()),
  "LULUS",
  IF(
    O849 = YEAR(TODAY()),
    IF(
      MATCH(L849, {"Januari";"Februari";"Maret";"April";"Mei";"Juni";"Juli";"Agustus";"September";"Oktober";"November";"Desember"}, 0)
        &gt;= MONTH(TODAY()),
      "AKTIF (Semester " &amp;
        (INT((12*(YEAR(TODAY())-M849) + MONTH(TODAY()) -
          MATCH(L849, {"Januari";"Februari";"Maret";"April";"Mei";"Juni";"Juli";"Agustus";"September";"Oktober";"November";"Desember"}, 0)) / 6) + 1) &amp; ")",
      "LULUS"
    ),
    "AKTIF (Semester " &amp;
      (INT((12*(YEAR(TODAY())-M849) + MONTH(TODAY()) -
        MATCH(L849, {"Januari";"Februari";"Maret";"April";"Mei";"Juni";"Juli";"Agustus";"September";"Oktober";"November";"Desember"}, 0)) / 6) + 1) &amp; ")"
  )
)</f>
        <v>LULUS</v>
      </c>
      <c r="T849" s="16" t="str">
        <f ca="1">IF(O849 &lt; YEAR(TODAY()), "LULUS",
 IF(O849 = YEAR(TODAY()),
    IF(MATCH(N849, {"Januari";"Februari";"Maret";"April";"Mei";"Juni";"Juli";"Agustus";"September";"Oktober";"November";"Desember"},0)
        &lt;= MONTH(TODAY()),
        "LULUS",
        "AKTIF"),
 "AKTIF"))</f>
        <v>LULUS</v>
      </c>
      <c r="U849" s="16" t="s">
        <v>29</v>
      </c>
      <c r="V849" s="23"/>
      <c r="W849" s="23"/>
      <c r="X849" s="23"/>
      <c r="Y849" s="23"/>
      <c r="Z849" s="23"/>
    </row>
    <row r="850" spans="1:26" ht="29" customHeight="1" x14ac:dyDescent="0.35">
      <c r="A850" s="12">
        <v>849</v>
      </c>
      <c r="B850" s="13" t="s">
        <v>2579</v>
      </c>
      <c r="C850" s="14" t="s">
        <v>2580</v>
      </c>
      <c r="D850" s="13"/>
      <c r="E850" s="14" t="str">
        <f t="shared" si="16"/>
        <v>Perempuan</v>
      </c>
      <c r="F850" s="13"/>
      <c r="G850" s="13" t="s">
        <v>2480</v>
      </c>
      <c r="H850" s="15" t="s">
        <v>2581</v>
      </c>
      <c r="I850" s="19" t="s">
        <v>90</v>
      </c>
      <c r="J850" s="91" t="s">
        <v>45</v>
      </c>
      <c r="K850" s="92" t="s">
        <v>40</v>
      </c>
      <c r="L850" s="21" t="s">
        <v>890</v>
      </c>
      <c r="M850" s="21">
        <v>2022</v>
      </c>
      <c r="N850" s="15" t="s">
        <v>890</v>
      </c>
      <c r="O850" s="15">
        <v>2024</v>
      </c>
      <c r="P850" s="15">
        <v>2022</v>
      </c>
      <c r="Q850" s="15"/>
      <c r="R850" s="16" t="s">
        <v>29</v>
      </c>
      <c r="S850" s="16" t="str">
        <f ca="1">IF(
  O850 &lt; YEAR(TODAY()),
  "LULUS",
  IF(
    O850 = YEAR(TODAY()),
    IF(
      MATCH(L850, {"Januari";"Februari";"Maret";"April";"Mei";"Juni";"Juli";"Agustus";"September";"Oktober";"November";"Desember"}, 0)
        &gt;= MONTH(TODAY()),
      "AKTIF (Semester " &amp;
        (INT((12*(YEAR(TODAY())-M850) + MONTH(TODAY()) -
          MATCH(L850, {"Januari";"Februari";"Maret";"April";"Mei";"Juni";"Juli";"Agustus";"September";"Oktober";"November";"Desember"}, 0)) / 6) + 1) &amp; ")",
      "LULUS"
    ),
    "AKTIF (Semester " &amp;
      (INT((12*(YEAR(TODAY())-M850) + MONTH(TODAY()) -
        MATCH(L850, {"Januari";"Februari";"Maret";"April";"Mei";"Juni";"Juli";"Agustus";"September";"Oktober";"November";"Desember"}, 0)) / 6) + 1) &amp; ")"
  )
)</f>
        <v>LULUS</v>
      </c>
      <c r="T850" s="16" t="str">
        <f ca="1">IF(O850 &lt; YEAR(TODAY()), "LULUS",
 IF(O850 = YEAR(TODAY()),
    IF(MATCH(N850, {"Januari";"Februari";"Maret";"April";"Mei";"Juni";"Juli";"Agustus";"September";"Oktober";"November";"Desember"},0)
        &lt;= MONTH(TODAY()),
        "LULUS",
        "AKTIF"),
 "AKTIF"))</f>
        <v>LULUS</v>
      </c>
      <c r="U850" s="16" t="s">
        <v>29</v>
      </c>
      <c r="V850" s="15"/>
      <c r="W850" s="15"/>
      <c r="X850" s="15"/>
      <c r="Y850" s="15"/>
      <c r="Z850" s="15"/>
    </row>
    <row r="851" spans="1:26" ht="29" customHeight="1" x14ac:dyDescent="0.35">
      <c r="A851" s="12">
        <v>850</v>
      </c>
      <c r="B851" s="13" t="s">
        <v>2582</v>
      </c>
      <c r="C851" s="14" t="s">
        <v>2583</v>
      </c>
      <c r="D851" s="13"/>
      <c r="E851" s="14" t="str">
        <f t="shared" si="16"/>
        <v>Perempuan</v>
      </c>
      <c r="F851" s="13"/>
      <c r="G851" s="13" t="s">
        <v>2480</v>
      </c>
      <c r="H851" s="15" t="s">
        <v>2584</v>
      </c>
      <c r="I851" s="19" t="s">
        <v>90</v>
      </c>
      <c r="J851" s="91" t="s">
        <v>26</v>
      </c>
      <c r="K851" s="92" t="s">
        <v>394</v>
      </c>
      <c r="L851" s="21" t="s">
        <v>28</v>
      </c>
      <c r="M851" s="21">
        <v>2022</v>
      </c>
      <c r="N851" s="15" t="s">
        <v>28</v>
      </c>
      <c r="O851" s="15">
        <v>2024</v>
      </c>
      <c r="P851" s="15">
        <v>2022</v>
      </c>
      <c r="Q851" s="15"/>
      <c r="R851" s="16" t="s">
        <v>51</v>
      </c>
      <c r="S851" s="16" t="str">
        <f ca="1">IF(
  O851 &lt; YEAR(TODAY()),
  "LULUS",
  IF(
    O851 = YEAR(TODAY()),
    IF(
      MATCH(L851, {"Januari";"Februari";"Maret";"April";"Mei";"Juni";"Juli";"Agustus";"September";"Oktober";"November";"Desember"}, 0)
        &gt;= MONTH(TODAY()),
      "AKTIF (Semester " &amp;
        (INT((12*(YEAR(TODAY())-M851) + MONTH(TODAY()) -
          MATCH(L851, {"Januari";"Februari";"Maret";"April";"Mei";"Juni";"Juli";"Agustus";"September";"Oktober";"November";"Desember"}, 0)) / 6) + 1) &amp; ")",
      "LULUS"
    ),
    "AKTIF (Semester " &amp;
      (INT((12*(YEAR(TODAY())-M851) + MONTH(TODAY()) -
        MATCH(L851, {"Januari";"Februari";"Maret";"April";"Mei";"Juni";"Juli";"Agustus";"September";"Oktober";"November";"Desember"}, 0)) / 6) + 1) &amp; ")"
  )
)</f>
        <v>LULUS</v>
      </c>
      <c r="T851" s="16" t="str">
        <f ca="1">IF(O851 &lt; YEAR(TODAY()), "LULUS",
 IF(O851 = YEAR(TODAY()),
    IF(MATCH(N851, {"Januari";"Februari";"Maret";"April";"Mei";"Juni";"Juli";"Agustus";"September";"Oktober";"November";"Desember"},0)
        &lt;= MONTH(TODAY()),
        "LULUS",
        "AKTIF"),
 "AKTIF"))</f>
        <v>LULUS</v>
      </c>
      <c r="U851" s="16" t="s">
        <v>29</v>
      </c>
      <c r="V851" s="15"/>
      <c r="W851" s="15"/>
      <c r="X851" s="15"/>
      <c r="Y851" s="15"/>
      <c r="Z851" s="15"/>
    </row>
    <row r="852" spans="1:26" ht="29" customHeight="1" x14ac:dyDescent="0.35">
      <c r="A852" s="12">
        <v>851</v>
      </c>
      <c r="B852" s="13" t="s">
        <v>2585</v>
      </c>
      <c r="C852" s="14" t="s">
        <v>2586</v>
      </c>
      <c r="D852" s="13"/>
      <c r="E852" s="14" t="str">
        <f t="shared" si="16"/>
        <v>Perempuan</v>
      </c>
      <c r="F852" s="13"/>
      <c r="G852" s="13" t="s">
        <v>2480</v>
      </c>
      <c r="H852" s="15" t="s">
        <v>2587</v>
      </c>
      <c r="I852" s="15" t="s">
        <v>911</v>
      </c>
      <c r="J852" s="12" t="s">
        <v>26</v>
      </c>
      <c r="K852" s="15" t="s">
        <v>2588</v>
      </c>
      <c r="L852" s="21" t="s">
        <v>205</v>
      </c>
      <c r="M852" s="21">
        <v>2022</v>
      </c>
      <c r="N852" s="15" t="s">
        <v>205</v>
      </c>
      <c r="O852" s="15">
        <v>2024</v>
      </c>
      <c r="P852" s="15">
        <v>2022</v>
      </c>
      <c r="Q852" s="15"/>
      <c r="R852" s="16" t="s">
        <v>29</v>
      </c>
      <c r="S852" s="16" t="str">
        <f ca="1">IF(
  O852 &lt; YEAR(TODAY()),
  "LULUS",
  IF(
    O852 = YEAR(TODAY()),
    IF(
      MATCH(L852, {"Januari";"Februari";"Maret";"April";"Mei";"Juni";"Juli";"Agustus";"September";"Oktober";"November";"Desember"}, 0)
        &gt;= MONTH(TODAY()),
      "AKTIF (Semester " &amp;
        (INT((12*(YEAR(TODAY())-M852) + MONTH(TODAY()) -
          MATCH(L852, {"Januari";"Februari";"Maret";"April";"Mei";"Juni";"Juli";"Agustus";"September";"Oktober";"November";"Desember"}, 0)) / 6) + 1) &amp; ")",
      "LULUS"
    ),
    "AKTIF (Semester " &amp;
      (INT((12*(YEAR(TODAY())-M852) + MONTH(TODAY()) -
        MATCH(L852, {"Januari";"Februari";"Maret";"April";"Mei";"Juni";"Juli";"Agustus";"September";"Oktober";"November";"Desember"}, 0)) / 6) + 1) &amp; ")"
  )
)</f>
        <v>LULUS</v>
      </c>
      <c r="T852" s="16" t="str">
        <f ca="1">IF(O852 &lt; YEAR(TODAY()), "LULUS",
 IF(O852 = YEAR(TODAY()),
    IF(MATCH(N852, {"Januari";"Februari";"Maret";"April";"Mei";"Juni";"Juli";"Agustus";"September";"Oktober";"November";"Desember"},0)
        &lt;= MONTH(TODAY()),
        "LULUS",
        "AKTIF"),
 "AKTIF"))</f>
        <v>LULUS</v>
      </c>
      <c r="U852" s="16" t="s">
        <v>29</v>
      </c>
      <c r="V852" s="15"/>
      <c r="W852" s="15"/>
      <c r="X852" s="15"/>
      <c r="Y852" s="15"/>
      <c r="Z852" s="15"/>
    </row>
    <row r="853" spans="1:26" ht="29" customHeight="1" x14ac:dyDescent="0.35">
      <c r="A853" s="12">
        <v>852</v>
      </c>
      <c r="B853" s="13" t="s">
        <v>2589</v>
      </c>
      <c r="C853" s="14" t="s">
        <v>2590</v>
      </c>
      <c r="D853" s="13"/>
      <c r="E853" s="14" t="str">
        <f t="shared" si="16"/>
        <v>Laki-Laki</v>
      </c>
      <c r="F853" s="13"/>
      <c r="G853" s="13" t="s">
        <v>2480</v>
      </c>
      <c r="H853" s="15"/>
      <c r="I853" s="19" t="s">
        <v>90</v>
      </c>
      <c r="J853" s="91" t="s">
        <v>45</v>
      </c>
      <c r="K853" s="92" t="s">
        <v>2591</v>
      </c>
      <c r="L853" s="21" t="s">
        <v>72</v>
      </c>
      <c r="M853" s="21">
        <v>2022</v>
      </c>
      <c r="N853" s="15" t="s">
        <v>72</v>
      </c>
      <c r="O853" s="15">
        <v>2026</v>
      </c>
      <c r="P853" s="15">
        <v>2022</v>
      </c>
      <c r="Q853" s="15"/>
      <c r="R853" s="16" t="s">
        <v>51</v>
      </c>
      <c r="S853" s="16" t="str">
        <f ca="1">IF(
  O853 &lt; YEAR(TODAY()),
  "LULUS",
  IF(
    O853 = YEAR(TODAY()),
    IF(
      MATCH(L853, {"Januari";"Februari";"Maret";"April";"Mei";"Juni";"Juli";"Agustus";"September";"Oktober";"November";"Desember"}, 0)
        &gt;= MONTH(TODAY()),
      "AKTIF (Semester " &amp;
        (INT((12*(YEAR(TODAY())-M853) + MONTH(TODAY()) -
          MATCH(L853, {"Januari";"Februari";"Maret";"April";"Mei";"Juni";"Juli";"Agustus";"September";"Oktober";"November";"Desember"}, 0)) / 6) + 1) &amp; ")",
      "LULUS"
    ),
    "AKTIF (Semester " &amp;
      (INT((12*(YEAR(TODAY())-M853) + MONTH(TODAY()) -
        MATCH(L853, {"Januari";"Februari";"Maret";"April";"Mei";"Juni";"Juli";"Agustus";"September";"Oktober";"November";"Desember"}, 0)) / 6) + 1) &amp; ")"
  )
)</f>
        <v>AKTIF (Semester 8)</v>
      </c>
      <c r="T853" s="16" t="str">
        <f ca="1">IF(O853 &lt; YEAR(TODAY()), "LULUS",
 IF(O853 = YEAR(TODAY()),
    IF(MATCH(N853, {"Januari";"Februari";"Maret";"April";"Mei";"Juni";"Juli";"Agustus";"September";"Oktober";"November";"Desember"},0)
        &lt;= MONTH(TODAY()),
        "LULUS",
        "AKTIF"),
 "AKTIF"))</f>
        <v>AKTIF</v>
      </c>
      <c r="U853" s="16" t="s">
        <v>2944</v>
      </c>
      <c r="V853" s="15"/>
      <c r="W853" s="15"/>
      <c r="X853" s="15"/>
      <c r="Y853" s="15"/>
      <c r="Z853" s="15"/>
    </row>
    <row r="854" spans="1:26" ht="29" customHeight="1" x14ac:dyDescent="0.35">
      <c r="A854" s="12">
        <v>853</v>
      </c>
      <c r="B854" s="13" t="s">
        <v>2592</v>
      </c>
      <c r="C854" s="14"/>
      <c r="D854" s="13"/>
      <c r="E854" s="14" t="str">
        <f t="shared" si="16"/>
        <v>Perempuan</v>
      </c>
      <c r="F854" s="13"/>
      <c r="G854" s="13" t="s">
        <v>2480</v>
      </c>
      <c r="H854" s="15"/>
      <c r="I854" s="19" t="s">
        <v>90</v>
      </c>
      <c r="J854" s="91" t="s">
        <v>45</v>
      </c>
      <c r="K854" s="92" t="s">
        <v>2593</v>
      </c>
      <c r="L854" s="21"/>
      <c r="M854" s="21"/>
      <c r="N854" s="15">
        <v>0</v>
      </c>
      <c r="O854" s="15"/>
      <c r="P854" s="15">
        <v>2022</v>
      </c>
      <c r="Q854" s="15"/>
      <c r="R854" s="16" t="s">
        <v>51</v>
      </c>
      <c r="S854" s="16" t="str">
        <f ca="1">IF(
  O854 &lt; YEAR(TODAY()),
  "LULUS",
  IF(
    O854 = YEAR(TODAY()),
    IF(
      MATCH(L854, {"Januari";"Februari";"Maret";"April";"Mei";"Juni";"Juli";"Agustus";"September";"Oktober";"November";"Desember"}, 0)
        &gt;= MONTH(TODAY()),
      "AKTIF (Semester " &amp;
        (INT((12*(YEAR(TODAY())-M854) + MONTH(TODAY()) -
          MATCH(L854, {"Januari";"Februari";"Maret";"April";"Mei";"Juni";"Juli";"Agustus";"September";"Oktober";"November";"Desember"}, 0)) / 6) + 1) &amp; ")",
      "LULUS"
    ),
    "AKTIF (Semester " &amp;
      (INT((12*(YEAR(TODAY())-M854) + MONTH(TODAY()) -
        MATCH(L854, {"Januari";"Februari";"Maret";"April";"Mei";"Juni";"Juli";"Agustus";"September";"Oktober";"November";"Desember"}, 0)) / 6) + 1) &amp; ")"
  )
)</f>
        <v>LULUS</v>
      </c>
      <c r="T854" s="16" t="str">
        <f ca="1">IF(O854 &lt; YEAR(TODAY()), "LULUS",
 IF(O854 = YEAR(TODAY()),
    IF(MATCH(N854, {"Januari";"Februari";"Maret";"April";"Mei";"Juni";"Juli";"Agustus";"September";"Oktober";"November";"Desember"},0)
        &lt;= MONTH(TODAY()),
        "LULUS",
        "AKTIF"),
 "AKTIF"))</f>
        <v>LULUS</v>
      </c>
      <c r="U854" s="16" t="s">
        <v>29</v>
      </c>
      <c r="V854" s="15"/>
      <c r="W854" s="15"/>
      <c r="X854" s="15"/>
      <c r="Y854" s="15"/>
      <c r="Z854" s="15"/>
    </row>
    <row r="855" spans="1:26" ht="29" customHeight="1" x14ac:dyDescent="0.35">
      <c r="A855" s="12">
        <v>854</v>
      </c>
      <c r="B855" s="13" t="s">
        <v>2594</v>
      </c>
      <c r="C855" s="14" t="s">
        <v>2595</v>
      </c>
      <c r="D855" s="13"/>
      <c r="E855" s="14" t="str">
        <f t="shared" si="16"/>
        <v>Perempuan</v>
      </c>
      <c r="F855" s="13"/>
      <c r="G855" s="13" t="s">
        <v>2480</v>
      </c>
      <c r="H855" s="15" t="s">
        <v>2596</v>
      </c>
      <c r="I855" s="19" t="s">
        <v>90</v>
      </c>
      <c r="J855" s="91" t="s">
        <v>45</v>
      </c>
      <c r="K855" s="92" t="s">
        <v>95</v>
      </c>
      <c r="L855" s="21" t="s">
        <v>2597</v>
      </c>
      <c r="M855" s="21">
        <v>2022</v>
      </c>
      <c r="N855" s="15"/>
      <c r="O855" s="15">
        <v>2026</v>
      </c>
      <c r="P855" s="15">
        <v>2022</v>
      </c>
      <c r="Q855" s="15"/>
      <c r="R855" s="16" t="s">
        <v>51</v>
      </c>
      <c r="S855" s="16" t="str">
        <f ca="1">IF(
  O855 &lt; YEAR(TODAY()),
  "LULUS",
  IF(
    O855 = YEAR(TODAY()),
    IF(
      MATCH(L855, {"Januari";"Februari";"Maret";"April";"Mei";"Juni";"Juli";"Agustus";"September";"Oktober";"November";"Desember"}, 0)
        &gt;= MONTH(TODAY()),
      "AKTIF (Semester " &amp;
        (INT((12*(YEAR(TODAY())-M855) + MONTH(TODAY()) -
          MATCH(L855, {"Januari";"Februari";"Maret";"April";"Mei";"Juni";"Juli";"Agustus";"September";"Oktober";"November";"Desember"}, 0)) / 6) + 1) &amp; ")",
      "LULUS"
    ),
    "AKTIF (Semester " &amp;
      (INT((12*(YEAR(TODAY())-M855) + MONTH(TODAY()) -
        MATCH(L855, {"Januari";"Februari";"Maret";"April";"Mei";"Juni";"Juli";"Agustus";"September";"Oktober";"November";"Desember"}, 0)) / 6) + 1) &amp; ")"
  )
)</f>
        <v>AKTIF (Semester 8)</v>
      </c>
      <c r="T855" s="16" t="str">
        <f ca="1">IF(O855 &lt; YEAR(TODAY()), "LULUS",
 IF(O855 = YEAR(TODAY()),
    IF(MATCH(N855, {"Januari";"Februari";"Maret";"April";"Mei";"Juni";"Juli";"Agustus";"September";"Oktober";"November";"Desember"},0)
        &lt;= MONTH(TODAY()),
        "LULUS",
        "AKTIF"),
 "AKTIF"))</f>
        <v>AKTIF</v>
      </c>
      <c r="U855" s="16" t="s">
        <v>2944</v>
      </c>
      <c r="V855" s="15"/>
      <c r="W855" s="15"/>
      <c r="X855" s="15"/>
      <c r="Y855" s="15"/>
      <c r="Z855" s="15"/>
    </row>
    <row r="856" spans="1:26" ht="29" customHeight="1" x14ac:dyDescent="0.35">
      <c r="A856" s="12">
        <v>855</v>
      </c>
      <c r="B856" s="13" t="s">
        <v>2598</v>
      </c>
      <c r="C856" s="14"/>
      <c r="D856" s="13"/>
      <c r="E856" s="14" t="str">
        <f t="shared" si="16"/>
        <v>Perempuan</v>
      </c>
      <c r="F856" s="13"/>
      <c r="G856" s="13" t="s">
        <v>2480</v>
      </c>
      <c r="H856" s="15"/>
      <c r="I856" s="92" t="s">
        <v>2599</v>
      </c>
      <c r="J856" s="91" t="s">
        <v>45</v>
      </c>
      <c r="K856" s="92" t="s">
        <v>2501</v>
      </c>
      <c r="L856" s="21" t="s">
        <v>60</v>
      </c>
      <c r="M856" s="21">
        <v>2022</v>
      </c>
      <c r="N856" s="15" t="s">
        <v>60</v>
      </c>
      <c r="O856" s="15">
        <v>2026</v>
      </c>
      <c r="P856" s="15">
        <v>2022</v>
      </c>
      <c r="Q856" s="15"/>
      <c r="R856" s="16" t="s">
        <v>51</v>
      </c>
      <c r="S856" s="16" t="str">
        <f ca="1">IF(
  O856 &lt; YEAR(TODAY()),
  "LULUS",
  IF(
    O856 = YEAR(TODAY()),
    IF(
      MATCH(L856, {"Januari";"Februari";"Maret";"April";"Mei";"Juni";"Juli";"Agustus";"September";"Oktober";"November";"Desember"}, 0)
        &gt;= MONTH(TODAY()),
      "AKTIF (Semester " &amp;
        (INT((12*(YEAR(TODAY())-M856) + MONTH(TODAY()) -
          MATCH(L856, {"Januari";"Februari";"Maret";"April";"Mei";"Juni";"Juli";"Agustus";"September";"Oktober";"November";"Desember"}, 0)) / 6) + 1) &amp; ")",
      "LULUS"
    ),
    "AKTIF (Semester " &amp;
      (INT((12*(YEAR(TODAY())-M856) + MONTH(TODAY()) -
        MATCH(L856, {"Januari";"Februari";"Maret";"April";"Mei";"Juni";"Juli";"Agustus";"September";"Oktober";"November";"Desember"}, 0)) / 6) + 1) &amp; ")"
  )
)</f>
        <v>AKTIF (Semester 7)</v>
      </c>
      <c r="T856" s="16" t="str">
        <f ca="1">IF(O856 &lt; YEAR(TODAY()), "LULUS",
 IF(O856 = YEAR(TODAY()),
    IF(MATCH(N856, {"Januari";"Februari";"Maret";"April";"Mei";"Juni";"Juli";"Agustus";"September";"Oktober";"November";"Desember"},0)
        &lt;= MONTH(TODAY()),
        "LULUS",
        "AKTIF"),
 "AKTIF"))</f>
        <v>AKTIF</v>
      </c>
      <c r="U856" s="16" t="s">
        <v>2939</v>
      </c>
      <c r="V856" s="15"/>
      <c r="W856" s="15"/>
      <c r="X856" s="15"/>
      <c r="Y856" s="15"/>
      <c r="Z856" s="15"/>
    </row>
    <row r="857" spans="1:26" ht="29" customHeight="1" x14ac:dyDescent="0.35">
      <c r="A857" s="12">
        <v>856</v>
      </c>
      <c r="B857" s="13" t="s">
        <v>2600</v>
      </c>
      <c r="C857" s="14"/>
      <c r="D857" s="13"/>
      <c r="E857" s="14" t="str">
        <f t="shared" si="16"/>
        <v>Perempuan</v>
      </c>
      <c r="F857" s="13"/>
      <c r="G857" s="13" t="s">
        <v>2480</v>
      </c>
      <c r="H857" s="15"/>
      <c r="I857" s="19" t="s">
        <v>2932</v>
      </c>
      <c r="J857" s="91" t="s">
        <v>26</v>
      </c>
      <c r="K857" s="92" t="s">
        <v>2601</v>
      </c>
      <c r="L857" s="21"/>
      <c r="M857" s="21"/>
      <c r="N857" s="15">
        <v>0</v>
      </c>
      <c r="O857" s="15"/>
      <c r="P857" s="15">
        <v>2022</v>
      </c>
      <c r="Q857" s="15"/>
      <c r="R857" s="16" t="s">
        <v>51</v>
      </c>
      <c r="S857" s="16" t="str">
        <f ca="1">IF(
  O857 &lt; YEAR(TODAY()),
  "LULUS",
  IF(
    O857 = YEAR(TODAY()),
    IF(
      MATCH(L857, {"Januari";"Februari";"Maret";"April";"Mei";"Juni";"Juli";"Agustus";"September";"Oktober";"November";"Desember"}, 0)
        &gt;= MONTH(TODAY()),
      "AKTIF (Semester " &amp;
        (INT((12*(YEAR(TODAY())-M857) + MONTH(TODAY()) -
          MATCH(L857, {"Januari";"Februari";"Maret";"April";"Mei";"Juni";"Juli";"Agustus";"September";"Oktober";"November";"Desember"}, 0)) / 6) + 1) &amp; ")",
      "LULUS"
    ),
    "AKTIF (Semester " &amp;
      (INT((12*(YEAR(TODAY())-M857) + MONTH(TODAY()) -
        MATCH(L857, {"Januari";"Februari";"Maret";"April";"Mei";"Juni";"Juli";"Agustus";"September";"Oktober";"November";"Desember"}, 0)) / 6) + 1) &amp; ")"
  )
)</f>
        <v>LULUS</v>
      </c>
      <c r="T857" s="16" t="str">
        <f ca="1">IF(O857 &lt; YEAR(TODAY()), "LULUS",
 IF(O857 = YEAR(TODAY()),
    IF(MATCH(N857, {"Januari";"Februari";"Maret";"April";"Mei";"Juni";"Juli";"Agustus";"September";"Oktober";"November";"Desember"},0)
        &lt;= MONTH(TODAY()),
        "LULUS",
        "AKTIF"),
 "AKTIF"))</f>
        <v>LULUS</v>
      </c>
      <c r="U857" s="16" t="s">
        <v>29</v>
      </c>
      <c r="V857" s="15"/>
      <c r="W857" s="15"/>
      <c r="X857" s="15"/>
      <c r="Y857" s="15"/>
      <c r="Z857" s="15"/>
    </row>
    <row r="858" spans="1:26" ht="29" customHeight="1" x14ac:dyDescent="0.35">
      <c r="A858" s="12">
        <v>857</v>
      </c>
      <c r="B858" s="13" t="s">
        <v>2602</v>
      </c>
      <c r="C858" s="14"/>
      <c r="D858" s="13"/>
      <c r="E858" s="14" t="str">
        <f t="shared" si="16"/>
        <v>Perempuan</v>
      </c>
      <c r="F858" s="13"/>
      <c r="G858" s="13" t="s">
        <v>2480</v>
      </c>
      <c r="H858" s="15"/>
      <c r="I858" s="19" t="s">
        <v>90</v>
      </c>
      <c r="J858" s="91" t="s">
        <v>26</v>
      </c>
      <c r="K858" s="92" t="s">
        <v>394</v>
      </c>
      <c r="L858" s="21"/>
      <c r="M858" s="21"/>
      <c r="N858" s="15">
        <v>0</v>
      </c>
      <c r="O858" s="15"/>
      <c r="P858" s="15">
        <v>2022</v>
      </c>
      <c r="Q858" s="15"/>
      <c r="R858" s="16" t="s">
        <v>51</v>
      </c>
      <c r="S858" s="16" t="str">
        <f ca="1">IF(
  O858 &lt; YEAR(TODAY()),
  "LULUS",
  IF(
    O858 = YEAR(TODAY()),
    IF(
      MATCH(L858, {"Januari";"Februari";"Maret";"April";"Mei";"Juni";"Juli";"Agustus";"September";"Oktober";"November";"Desember"}, 0)
        &gt;= MONTH(TODAY()),
      "AKTIF (Semester " &amp;
        (INT((12*(YEAR(TODAY())-M858) + MONTH(TODAY()) -
          MATCH(L858, {"Januari";"Februari";"Maret";"April";"Mei";"Juni";"Juli";"Agustus";"September";"Oktober";"November";"Desember"}, 0)) / 6) + 1) &amp; ")",
      "LULUS"
    ),
    "AKTIF (Semester " &amp;
      (INT((12*(YEAR(TODAY())-M858) + MONTH(TODAY()) -
        MATCH(L858, {"Januari";"Februari";"Maret";"April";"Mei";"Juni";"Juli";"Agustus";"September";"Oktober";"November";"Desember"}, 0)) / 6) + 1) &amp; ")"
  )
)</f>
        <v>LULUS</v>
      </c>
      <c r="T858" s="16" t="str">
        <f ca="1">IF(O858 &lt; YEAR(TODAY()), "LULUS",
 IF(O858 = YEAR(TODAY()),
    IF(MATCH(N858, {"Januari";"Februari";"Maret";"April";"Mei";"Juni";"Juli";"Agustus";"September";"Oktober";"November";"Desember"},0)
        &lt;= MONTH(TODAY()),
        "LULUS",
        "AKTIF"),
 "AKTIF"))</f>
        <v>LULUS</v>
      </c>
      <c r="U858" s="16" t="s">
        <v>29</v>
      </c>
      <c r="V858" s="15"/>
      <c r="W858" s="15"/>
      <c r="X858" s="15"/>
      <c r="Y858" s="15"/>
      <c r="Z858" s="15"/>
    </row>
    <row r="859" spans="1:26" ht="29" customHeight="1" x14ac:dyDescent="0.35">
      <c r="A859" s="12">
        <v>858</v>
      </c>
      <c r="B859" s="13" t="s">
        <v>2603</v>
      </c>
      <c r="C859" s="14" t="s">
        <v>2604</v>
      </c>
      <c r="D859" s="13"/>
      <c r="E859" s="14" t="str">
        <f t="shared" si="16"/>
        <v>Laki-Laki</v>
      </c>
      <c r="F859" s="13"/>
      <c r="G859" s="13" t="s">
        <v>2480</v>
      </c>
      <c r="H859" s="15"/>
      <c r="I859" s="19" t="s">
        <v>90</v>
      </c>
      <c r="J859" s="91" t="s">
        <v>26</v>
      </c>
      <c r="K859" s="92" t="s">
        <v>394</v>
      </c>
      <c r="L859" s="21"/>
      <c r="M859" s="21"/>
      <c r="N859" s="15">
        <v>0</v>
      </c>
      <c r="O859" s="15"/>
      <c r="P859" s="15">
        <v>2022</v>
      </c>
      <c r="Q859" s="15"/>
      <c r="R859" s="16" t="s">
        <v>51</v>
      </c>
      <c r="S859" s="16" t="str">
        <f ca="1">IF(
  O859 &lt; YEAR(TODAY()),
  "LULUS",
  IF(
    O859 = YEAR(TODAY()),
    IF(
      MATCH(L859, {"Januari";"Februari";"Maret";"April";"Mei";"Juni";"Juli";"Agustus";"September";"Oktober";"November";"Desember"}, 0)
        &gt;= MONTH(TODAY()),
      "AKTIF (Semester " &amp;
        (INT((12*(YEAR(TODAY())-M859) + MONTH(TODAY()) -
          MATCH(L859, {"Januari";"Februari";"Maret";"April";"Mei";"Juni";"Juli";"Agustus";"September";"Oktober";"November";"Desember"}, 0)) / 6) + 1) &amp; ")",
      "LULUS"
    ),
    "AKTIF (Semester " &amp;
      (INT((12*(YEAR(TODAY())-M859) + MONTH(TODAY()) -
        MATCH(L859, {"Januari";"Februari";"Maret";"April";"Mei";"Juni";"Juli";"Agustus";"September";"Oktober";"November";"Desember"}, 0)) / 6) + 1) &amp; ")"
  )
)</f>
        <v>LULUS</v>
      </c>
      <c r="T859" s="16" t="str">
        <f ca="1">IF(O859 &lt; YEAR(TODAY()), "LULUS",
 IF(O859 = YEAR(TODAY()),
    IF(MATCH(N859, {"Januari";"Februari";"Maret";"April";"Mei";"Juni";"Juli";"Agustus";"September";"Oktober";"November";"Desember"},0)
        &lt;= MONTH(TODAY()),
        "LULUS",
        "AKTIF"),
 "AKTIF"))</f>
        <v>LULUS</v>
      </c>
      <c r="U859" s="16" t="s">
        <v>29</v>
      </c>
      <c r="V859" s="15"/>
      <c r="W859" s="15"/>
      <c r="X859" s="15"/>
      <c r="Y859" s="15"/>
      <c r="Z859" s="15"/>
    </row>
    <row r="860" spans="1:26" ht="29" customHeight="1" x14ac:dyDescent="0.35">
      <c r="A860" s="12">
        <v>859</v>
      </c>
      <c r="B860" s="13" t="s">
        <v>2605</v>
      </c>
      <c r="C860" s="14"/>
      <c r="D860" s="13"/>
      <c r="E860" s="14" t="str">
        <f t="shared" si="16"/>
        <v>Perempuan</v>
      </c>
      <c r="F860" s="13"/>
      <c r="G860" s="13" t="s">
        <v>2480</v>
      </c>
      <c r="H860" s="15"/>
      <c r="I860" s="91" t="s">
        <v>2606</v>
      </c>
      <c r="J860" s="91" t="s">
        <v>26</v>
      </c>
      <c r="K860" s="92" t="s">
        <v>2607</v>
      </c>
      <c r="L860" s="21"/>
      <c r="M860" s="21"/>
      <c r="N860" s="15">
        <v>0</v>
      </c>
      <c r="O860" s="15"/>
      <c r="P860" s="15">
        <v>2022</v>
      </c>
      <c r="Q860" s="15"/>
      <c r="R860" s="16" t="s">
        <v>51</v>
      </c>
      <c r="S860" s="16" t="str">
        <f ca="1">IF(
  O860 &lt; YEAR(TODAY()),
  "LULUS",
  IF(
    O860 = YEAR(TODAY()),
    IF(
      MATCH(L860, {"Januari";"Februari";"Maret";"April";"Mei";"Juni";"Juli";"Agustus";"September";"Oktober";"November";"Desember"}, 0)
        &gt;= MONTH(TODAY()),
      "AKTIF (Semester " &amp;
        (INT((12*(YEAR(TODAY())-M860) + MONTH(TODAY()) -
          MATCH(L860, {"Januari";"Februari";"Maret";"April";"Mei";"Juni";"Juli";"Agustus";"September";"Oktober";"November";"Desember"}, 0)) / 6) + 1) &amp; ")",
      "LULUS"
    ),
    "AKTIF (Semester " &amp;
      (INT((12*(YEAR(TODAY())-M860) + MONTH(TODAY()) -
        MATCH(L860, {"Januari";"Februari";"Maret";"April";"Mei";"Juni";"Juli";"Agustus";"September";"Oktober";"November";"Desember"}, 0)) / 6) + 1) &amp; ")"
  )
)</f>
        <v>LULUS</v>
      </c>
      <c r="T860" s="16" t="str">
        <f ca="1">IF(O860 &lt; YEAR(TODAY()), "LULUS",
 IF(O860 = YEAR(TODAY()),
    IF(MATCH(N860, {"Januari";"Februari";"Maret";"April";"Mei";"Juni";"Juli";"Agustus";"September";"Oktober";"November";"Desember"},0)
        &lt;= MONTH(TODAY()),
        "LULUS",
        "AKTIF"),
 "AKTIF"))</f>
        <v>LULUS</v>
      </c>
      <c r="U860" s="16" t="s">
        <v>29</v>
      </c>
      <c r="V860" s="15"/>
      <c r="W860" s="15"/>
      <c r="X860" s="15"/>
      <c r="Y860" s="15"/>
      <c r="Z860" s="15"/>
    </row>
    <row r="861" spans="1:26" ht="29" customHeight="1" x14ac:dyDescent="0.35">
      <c r="A861" s="12">
        <v>860</v>
      </c>
      <c r="B861" s="13" t="s">
        <v>2608</v>
      </c>
      <c r="C861" s="14"/>
      <c r="D861" s="13"/>
      <c r="E861" s="14" t="str">
        <f t="shared" si="16"/>
        <v>Perempuan</v>
      </c>
      <c r="F861" s="13"/>
      <c r="G861" s="13" t="s">
        <v>2480</v>
      </c>
      <c r="H861" s="15"/>
      <c r="I861" s="52" t="s">
        <v>2485</v>
      </c>
      <c r="J861" s="91" t="s">
        <v>45</v>
      </c>
      <c r="K861" s="92" t="s">
        <v>386</v>
      </c>
      <c r="L861" s="21"/>
      <c r="M861" s="21"/>
      <c r="N861" s="15">
        <v>0</v>
      </c>
      <c r="O861" s="15"/>
      <c r="P861" s="15">
        <v>2022</v>
      </c>
      <c r="Q861" s="15"/>
      <c r="R861" s="16" t="s">
        <v>51</v>
      </c>
      <c r="S861" s="16" t="str">
        <f ca="1">IF(
  O861 &lt; YEAR(TODAY()),
  "LULUS",
  IF(
    O861 = YEAR(TODAY()),
    IF(
      MATCH(L861, {"Januari";"Februari";"Maret";"April";"Mei";"Juni";"Juli";"Agustus";"September";"Oktober";"November";"Desember"}, 0)
        &gt;= MONTH(TODAY()),
      "AKTIF (Semester " &amp;
        (INT((12*(YEAR(TODAY())-M861) + MONTH(TODAY()) -
          MATCH(L861, {"Januari";"Februari";"Maret";"April";"Mei";"Juni";"Juli";"Agustus";"September";"Oktober";"November";"Desember"}, 0)) / 6) + 1) &amp; ")",
      "LULUS"
    ),
    "AKTIF (Semester " &amp;
      (INT((12*(YEAR(TODAY())-M861) + MONTH(TODAY()) -
        MATCH(L861, {"Januari";"Februari";"Maret";"April";"Mei";"Juni";"Juli";"Agustus";"September";"Oktober";"November";"Desember"}, 0)) / 6) + 1) &amp; ")"
  )
)</f>
        <v>LULUS</v>
      </c>
      <c r="T861" s="16" t="str">
        <f ca="1">IF(O861 &lt; YEAR(TODAY()), "LULUS",
 IF(O861 = YEAR(TODAY()),
    IF(MATCH(N861, {"Januari";"Februari";"Maret";"April";"Mei";"Juni";"Juli";"Agustus";"September";"Oktober";"November";"Desember"},0)
        &lt;= MONTH(TODAY()),
        "LULUS",
        "AKTIF"),
 "AKTIF"))</f>
        <v>LULUS</v>
      </c>
      <c r="U861" s="16" t="s">
        <v>29</v>
      </c>
      <c r="V861" s="15"/>
      <c r="W861" s="15"/>
      <c r="X861" s="15"/>
      <c r="Y861" s="15"/>
      <c r="Z861" s="15"/>
    </row>
    <row r="862" spans="1:26" ht="29" customHeight="1" x14ac:dyDescent="0.35">
      <c r="A862" s="12">
        <v>861</v>
      </c>
      <c r="B862" s="13" t="s">
        <v>2610</v>
      </c>
      <c r="C862" s="14" t="s">
        <v>2611</v>
      </c>
      <c r="D862" s="13"/>
      <c r="E862" s="14" t="str">
        <f t="shared" si="16"/>
        <v>Perempuan</v>
      </c>
      <c r="F862" s="13"/>
      <c r="G862" s="13" t="s">
        <v>2480</v>
      </c>
      <c r="H862" s="15" t="s">
        <v>2612</v>
      </c>
      <c r="I862" s="19" t="s">
        <v>788</v>
      </c>
      <c r="J862" s="91" t="s">
        <v>26</v>
      </c>
      <c r="K862" s="98" t="s">
        <v>2614</v>
      </c>
      <c r="L862" s="21"/>
      <c r="M862" s="21"/>
      <c r="N862" s="15">
        <v>0</v>
      </c>
      <c r="O862" s="15"/>
      <c r="P862" s="15">
        <v>2022</v>
      </c>
      <c r="Q862" s="15"/>
      <c r="R862" s="16" t="s">
        <v>29</v>
      </c>
      <c r="S862" s="16" t="str">
        <f ca="1">IF(
  O862 &lt; YEAR(TODAY()),
  "LULUS",
  IF(
    O862 = YEAR(TODAY()),
    IF(
      MATCH(L862, {"Januari";"Februari";"Maret";"April";"Mei";"Juni";"Juli";"Agustus";"September";"Oktober";"November";"Desember"}, 0)
        &gt;= MONTH(TODAY()),
      "AKTIF (Semester " &amp;
        (INT((12*(YEAR(TODAY())-M862) + MONTH(TODAY()) -
          MATCH(L862, {"Januari";"Februari";"Maret";"April";"Mei";"Juni";"Juli";"Agustus";"September";"Oktober";"November";"Desember"}, 0)) / 6) + 1) &amp; ")",
      "LULUS"
    ),
    "AKTIF (Semester " &amp;
      (INT((12*(YEAR(TODAY())-M862) + MONTH(TODAY()) -
        MATCH(L862, {"Januari";"Februari";"Maret";"April";"Mei";"Juni";"Juli";"Agustus";"September";"Oktober";"November";"Desember"}, 0)) / 6) + 1) &amp; ")"
  )
)</f>
        <v>LULUS</v>
      </c>
      <c r="T862" s="16" t="str">
        <f ca="1">IF(O862 &lt; YEAR(TODAY()), "LULUS",
 IF(O862 = YEAR(TODAY()),
    IF(MATCH(N862, {"Januari";"Februari";"Maret";"April";"Mei";"Juni";"Juli";"Agustus";"September";"Oktober";"November";"Desember"},0)
        &lt;= MONTH(TODAY()),
        "LULUS",
        "AKTIF"),
 "AKTIF"))</f>
        <v>LULUS</v>
      </c>
      <c r="U862" s="16" t="s">
        <v>29</v>
      </c>
      <c r="V862" s="15"/>
      <c r="W862" s="15"/>
      <c r="X862" s="15"/>
      <c r="Y862" s="15"/>
      <c r="Z862" s="15"/>
    </row>
    <row r="863" spans="1:26" ht="29" customHeight="1" x14ac:dyDescent="0.35">
      <c r="A863" s="12">
        <v>862</v>
      </c>
      <c r="B863" s="13" t="s">
        <v>2615</v>
      </c>
      <c r="C863" s="14" t="s">
        <v>2616</v>
      </c>
      <c r="D863" s="95" t="s">
        <v>188</v>
      </c>
      <c r="E863" s="14" t="str">
        <f t="shared" si="16"/>
        <v>Laki-Laki</v>
      </c>
      <c r="F863" s="18" t="s">
        <v>2617</v>
      </c>
      <c r="G863" s="13" t="s">
        <v>2618</v>
      </c>
      <c r="H863" s="15" t="s">
        <v>2619</v>
      </c>
      <c r="I863" s="15" t="s">
        <v>2620</v>
      </c>
      <c r="J863" s="12" t="s">
        <v>26</v>
      </c>
      <c r="K863" s="15" t="s">
        <v>449</v>
      </c>
      <c r="L863" s="94" t="s">
        <v>60</v>
      </c>
      <c r="M863" s="15">
        <v>2024</v>
      </c>
      <c r="N863" s="15" t="s">
        <v>60</v>
      </c>
      <c r="O863" s="15">
        <v>2026</v>
      </c>
      <c r="P863" s="15">
        <v>2024</v>
      </c>
      <c r="Q863" s="15"/>
      <c r="R863" s="16"/>
      <c r="S863" s="16" t="str">
        <f ca="1">IF(
  O863 &lt; YEAR(TODAY()),
  "LULUS",
  IF(
    O863 = YEAR(TODAY()),
    IF(
      MATCH(L863, {"Januari";"Februari";"Maret";"April";"Mei";"Juni";"Juli";"Agustus";"September";"Oktober";"November";"Desember"}, 0)
        &gt;= MONTH(TODAY()),
      "AKTIF (Semester " &amp;
        (INT((12*(YEAR(TODAY())-M863) + MONTH(TODAY()) -
          MATCH(L863, {"Januari";"Februari";"Maret";"April";"Mei";"Juni";"Juli";"Agustus";"September";"Oktober";"November";"Desember"}, 0)) / 6) + 1) &amp; ")",
      "LULUS"
    ),
    "AKTIF (Semester " &amp;
      (INT((12*(YEAR(TODAY())-M863) + MONTH(TODAY()) -
        MATCH(L863, {"Januari";"Februari";"Maret";"April";"Mei";"Juni";"Juli";"Agustus";"September";"Oktober";"November";"Desember"}, 0)) / 6) + 1) &amp; ")"
  )
)</f>
        <v>AKTIF (Semester 3)</v>
      </c>
      <c r="T863" s="16" t="str">
        <f ca="1">IF(O863 &lt; YEAR(TODAY()), "LULUS",
 IF(O863 = YEAR(TODAY()),
    IF(MATCH(N863, {"Januari";"Februari";"Maret";"April";"Mei";"Juni";"Juli";"Agustus";"September";"Oktober";"November";"Desember"},0)
        &lt;= MONTH(TODAY()),
        "LULUS",
        "AKTIF"),
 "AKTIF"))</f>
        <v>AKTIF</v>
      </c>
      <c r="U863" s="16" t="s">
        <v>2940</v>
      </c>
      <c r="V863" s="15"/>
      <c r="W863" s="15"/>
      <c r="X863" s="15"/>
      <c r="Y863" s="15"/>
      <c r="Z863" s="15"/>
    </row>
    <row r="864" spans="1:26" ht="29" customHeight="1" x14ac:dyDescent="0.35">
      <c r="A864" s="12">
        <v>863</v>
      </c>
      <c r="B864" s="13" t="s">
        <v>2621</v>
      </c>
      <c r="C864" s="14" t="s">
        <v>2622</v>
      </c>
      <c r="D864" s="13" t="s">
        <v>188</v>
      </c>
      <c r="E864" s="14" t="str">
        <f t="shared" si="16"/>
        <v>Perempuan</v>
      </c>
      <c r="F864" s="18" t="s">
        <v>2623</v>
      </c>
      <c r="G864" s="13" t="s">
        <v>2618</v>
      </c>
      <c r="H864" s="15" t="s">
        <v>2624</v>
      </c>
      <c r="I864" s="19" t="s">
        <v>90</v>
      </c>
      <c r="J864" s="12" t="s">
        <v>26</v>
      </c>
      <c r="K864" s="15" t="s">
        <v>569</v>
      </c>
      <c r="L864" s="15" t="s">
        <v>169</v>
      </c>
      <c r="M864" s="15">
        <v>2024</v>
      </c>
      <c r="N864" s="15" t="s">
        <v>169</v>
      </c>
      <c r="O864" s="15">
        <v>2026</v>
      </c>
      <c r="P864" s="15">
        <v>2024</v>
      </c>
      <c r="Q864" s="15"/>
      <c r="R864" s="16"/>
      <c r="S864" s="16" t="str">
        <f ca="1">IF(
  O864 &lt; YEAR(TODAY()),
  "LULUS",
  IF(
    O864 = YEAR(TODAY()),
    IF(
      MATCH(L864, {"Januari";"Februari";"Maret";"April";"Mei";"Juni";"Juli";"Agustus";"September";"Oktober";"November";"Desember"}, 0)
        &gt;= MONTH(TODAY()),
      "AKTIF (Semester " &amp;
        (INT((12*(YEAR(TODAY())-M864) + MONTH(TODAY()) -
          MATCH(L864, {"Januari";"Februari";"Maret";"April";"Mei";"Juni";"Juli";"Agustus";"September";"Oktober";"November";"Desember"}, 0)) / 6) + 1) &amp; ")",
      "LULUS"
    ),
    "AKTIF (Semester " &amp;
      (INT((12*(YEAR(TODAY())-M864) + MONTH(TODAY()) -
        MATCH(L864, {"Januari";"Februari";"Maret";"April";"Mei";"Juni";"Juli";"Agustus";"September";"Oktober";"November";"Desember"}, 0)) / 6) + 1) &amp; ")"
  )
)</f>
        <v>AKTIF (Semester 3)</v>
      </c>
      <c r="T864" s="16" t="str">
        <f ca="1">IF(O864 &lt; YEAR(TODAY()), "LULUS",
 IF(O864 = YEAR(TODAY()),
    IF(MATCH(N864, {"Januari";"Februari";"Maret";"April";"Mei";"Juni";"Juli";"Agustus";"September";"Oktober";"November";"Desember"},0)
        &lt;= MONTH(TODAY()),
        "LULUS",
        "AKTIF"),
 "AKTIF"))</f>
        <v>AKTIF</v>
      </c>
      <c r="U864" s="16" t="s">
        <v>2940</v>
      </c>
      <c r="V864" s="15"/>
      <c r="W864" s="15"/>
      <c r="X864" s="15"/>
      <c r="Y864" s="15"/>
      <c r="Z864" s="15"/>
    </row>
    <row r="865" spans="1:26" ht="29" customHeight="1" x14ac:dyDescent="0.35">
      <c r="A865" s="12">
        <v>864</v>
      </c>
      <c r="B865" s="13" t="s">
        <v>2626</v>
      </c>
      <c r="C865" s="14" t="s">
        <v>2627</v>
      </c>
      <c r="D865" s="13" t="s">
        <v>215</v>
      </c>
      <c r="E865" s="14" t="str">
        <f t="shared" si="16"/>
        <v>Laki-Laki</v>
      </c>
      <c r="F865" s="18" t="s">
        <v>2628</v>
      </c>
      <c r="G865" s="13" t="s">
        <v>2618</v>
      </c>
      <c r="H865" s="15" t="s">
        <v>2629</v>
      </c>
      <c r="I865" s="19" t="s">
        <v>90</v>
      </c>
      <c r="J865" s="12" t="s">
        <v>45</v>
      </c>
      <c r="K865" s="15" t="s">
        <v>569</v>
      </c>
      <c r="L865" s="15" t="s">
        <v>28</v>
      </c>
      <c r="M865" s="15">
        <v>2024</v>
      </c>
      <c r="N865" s="15" t="s">
        <v>28</v>
      </c>
      <c r="O865" s="15">
        <v>2028</v>
      </c>
      <c r="P865" s="15">
        <v>2024</v>
      </c>
      <c r="Q865" s="15"/>
      <c r="R865" s="16"/>
      <c r="S865" s="16" t="str">
        <f ca="1">IF(
  O865 &lt; YEAR(TODAY()),
  "LULUS",
  IF(
    O865 = YEAR(TODAY()),
    IF(
      MATCH(L865, {"Januari";"Februari";"Maret";"April";"Mei";"Juni";"Juli";"Agustus";"September";"Oktober";"November";"Desember"}, 0)
        &gt;= MONTH(TODAY()),
      "AKTIF (Semester " &amp;
        (INT((12*(YEAR(TODAY())-M865) + MONTH(TODAY()) -
          MATCH(L865, {"Januari";"Februari";"Maret";"April";"Mei";"Juni";"Juli";"Agustus";"September";"Oktober";"November";"Desember"}, 0)) / 6) + 1) &amp; ")",
      "LULUS"
    ),
    "AKTIF (Semester " &amp;
      (INT((12*(YEAR(TODAY())-M865) + MONTH(TODAY()) -
        MATCH(L865, {"Januari";"Februari";"Maret";"April";"Mei";"Juni";"Juli";"Agustus";"September";"Oktober";"November";"Desember"}, 0)) / 6) + 1) &amp; ")"
  )
)</f>
        <v>AKTIF (Semester 3)</v>
      </c>
      <c r="T865" s="16" t="str">
        <f ca="1">IF(O865 &lt; YEAR(TODAY()), "LULUS",
 IF(O865 = YEAR(TODAY()),
    IF(MATCH(N865, {"Januari";"Februari";"Maret";"April";"Mei";"Juni";"Juli";"Agustus";"September";"Oktober";"November";"Desember"},0)
        &lt;= MONTH(TODAY()),
        "LULUS",
        "AKTIF"),
 "AKTIF"))</f>
        <v>AKTIF</v>
      </c>
      <c r="U865" s="16" t="s">
        <v>2940</v>
      </c>
      <c r="V865" s="15"/>
      <c r="W865" s="15"/>
      <c r="X865" s="15"/>
      <c r="Y865" s="15"/>
      <c r="Z865" s="15"/>
    </row>
    <row r="866" spans="1:26" ht="29" customHeight="1" x14ac:dyDescent="0.35">
      <c r="A866" s="12">
        <v>865</v>
      </c>
      <c r="B866" s="13" t="s">
        <v>2630</v>
      </c>
      <c r="C866" s="14" t="s">
        <v>2631</v>
      </c>
      <c r="D866" s="13" t="s">
        <v>215</v>
      </c>
      <c r="E866" s="14" t="str">
        <f t="shared" si="16"/>
        <v>Laki-Laki</v>
      </c>
      <c r="F866" s="18" t="s">
        <v>2239</v>
      </c>
      <c r="G866" s="13" t="s">
        <v>2618</v>
      </c>
      <c r="H866" s="15" t="s">
        <v>2632</v>
      </c>
      <c r="I866" s="19" t="s">
        <v>90</v>
      </c>
      <c r="J866" s="12" t="s">
        <v>45</v>
      </c>
      <c r="K866" s="15" t="s">
        <v>46</v>
      </c>
      <c r="L866" s="15" t="s">
        <v>28</v>
      </c>
      <c r="M866" s="15">
        <v>2024</v>
      </c>
      <c r="N866" s="15" t="s">
        <v>28</v>
      </c>
      <c r="O866" s="15">
        <v>2028</v>
      </c>
      <c r="P866" s="15">
        <v>2024</v>
      </c>
      <c r="Q866" s="15"/>
      <c r="R866" s="16"/>
      <c r="S866" s="16" t="str">
        <f ca="1">IF(
  O866 &lt; YEAR(TODAY()),
  "LULUS",
  IF(
    O866 = YEAR(TODAY()),
    IF(
      MATCH(L866, {"Januari";"Februari";"Maret";"April";"Mei";"Juni";"Juli";"Agustus";"September";"Oktober";"November";"Desember"}, 0)
        &gt;= MONTH(TODAY()),
      "AKTIF (Semester " &amp;
        (INT((12*(YEAR(TODAY())-M866) + MONTH(TODAY()) -
          MATCH(L866, {"Januari";"Februari";"Maret";"April";"Mei";"Juni";"Juli";"Agustus";"September";"Oktober";"November";"Desember"}, 0)) / 6) + 1) &amp; ")",
      "LULUS"
    ),
    "AKTIF (Semester " &amp;
      (INT((12*(YEAR(TODAY())-M866) + MONTH(TODAY()) -
        MATCH(L866, {"Januari";"Februari";"Maret";"April";"Mei";"Juni";"Juli";"Agustus";"September";"Oktober";"November";"Desember"}, 0)) / 6) + 1) &amp; ")"
  )
)</f>
        <v>AKTIF (Semester 3)</v>
      </c>
      <c r="T866" s="16" t="str">
        <f ca="1">IF(O866 &lt; YEAR(TODAY()), "LULUS",
 IF(O866 = YEAR(TODAY()),
    IF(MATCH(N866, {"Januari";"Februari";"Maret";"April";"Mei";"Juni";"Juli";"Agustus";"September";"Oktober";"November";"Desember"},0)
        &lt;= MONTH(TODAY()),
        "LULUS",
        "AKTIF"),
 "AKTIF"))</f>
        <v>AKTIF</v>
      </c>
      <c r="U866" s="16" t="s">
        <v>2940</v>
      </c>
      <c r="V866" s="15"/>
      <c r="W866" s="15"/>
      <c r="X866" s="15"/>
      <c r="Y866" s="15"/>
      <c r="Z866" s="15"/>
    </row>
    <row r="867" spans="1:26" ht="29" customHeight="1" x14ac:dyDescent="0.35">
      <c r="A867" s="12">
        <v>866</v>
      </c>
      <c r="B867" s="13" t="s">
        <v>2634</v>
      </c>
      <c r="C867" s="14" t="s">
        <v>2635</v>
      </c>
      <c r="D867" s="13" t="s">
        <v>903</v>
      </c>
      <c r="E867" s="14" t="str">
        <f t="shared" si="16"/>
        <v>Laki-Laki</v>
      </c>
      <c r="F867" s="18" t="s">
        <v>2636</v>
      </c>
      <c r="G867" s="13" t="s">
        <v>2618</v>
      </c>
      <c r="H867" s="15" t="s">
        <v>2637</v>
      </c>
      <c r="I867" s="19" t="s">
        <v>90</v>
      </c>
      <c r="J867" s="12" t="s">
        <v>45</v>
      </c>
      <c r="K867" s="15" t="s">
        <v>569</v>
      </c>
      <c r="L867" s="86" t="s">
        <v>72</v>
      </c>
      <c r="M867" s="15">
        <v>2025</v>
      </c>
      <c r="N867" s="15" t="s">
        <v>2638</v>
      </c>
      <c r="O867" s="15">
        <v>2029</v>
      </c>
      <c r="P867" s="15">
        <v>2024</v>
      </c>
      <c r="Q867" s="15"/>
      <c r="R867" s="16"/>
      <c r="S867" s="16" t="str">
        <f ca="1">IF(
  O867 &lt; YEAR(TODAY()),
  "LULUS",
  IF(
    O867 = YEAR(TODAY()),
    IF(
      MATCH(L867, {"Januari";"Februari";"Maret";"April";"Mei";"Juni";"Juli";"Agustus";"September";"Oktober";"November";"Desember"}, 0)
        &gt;= MONTH(TODAY()),
      "AKTIF (Semester " &amp;
        (INT((12*(YEAR(TODAY())-M867) + MONTH(TODAY()) -
          MATCH(L867, {"Januari";"Februari";"Maret";"April";"Mei";"Juni";"Juli";"Agustus";"September";"Oktober";"November";"Desember"}, 0)) / 6) + 1) &amp; ")",
      "LULUS"
    ),
    "AKTIF (Semester " &amp;
      (INT((12*(YEAR(TODAY())-M867) + MONTH(TODAY()) -
        MATCH(L867, {"Januari";"Februari";"Maret";"April";"Mei";"Juni";"Juli";"Agustus";"September";"Oktober";"November";"Desember"}, 0)) / 6) + 1) &amp; ")"
  )
)</f>
        <v>AKTIF (Semester 2)</v>
      </c>
      <c r="T867" s="16" t="str">
        <f ca="1">IF(O867 &lt; YEAR(TODAY()), "LULUS",
 IF(O867 = YEAR(TODAY()),
    IF(MATCH(N867, {"Januari";"Februari";"Maret";"April";"Mei";"Juni";"Juli";"Agustus";"September";"Oktober";"November";"Desember"},0)
        &lt;= MONTH(TODAY()),
        "LULUS",
        "AKTIF"),
 "AKTIF"))</f>
        <v>AKTIF</v>
      </c>
      <c r="U867" s="16" t="s">
        <v>2945</v>
      </c>
      <c r="V867" s="15"/>
      <c r="W867" s="15"/>
      <c r="X867" s="15"/>
      <c r="Y867" s="15"/>
      <c r="Z867" s="15"/>
    </row>
    <row r="868" spans="1:26" ht="29" customHeight="1" x14ac:dyDescent="0.35">
      <c r="A868" s="12">
        <v>867</v>
      </c>
      <c r="B868" s="13" t="s">
        <v>2639</v>
      </c>
      <c r="C868" s="14" t="s">
        <v>2640</v>
      </c>
      <c r="D868" s="13" t="s">
        <v>2641</v>
      </c>
      <c r="E868" s="14" t="str">
        <f t="shared" si="16"/>
        <v>Laki-Laki</v>
      </c>
      <c r="F868" s="18" t="s">
        <v>579</v>
      </c>
      <c r="G868" s="13" t="s">
        <v>2618</v>
      </c>
      <c r="H868" s="15" t="s">
        <v>2642</v>
      </c>
      <c r="I868" s="19" t="s">
        <v>90</v>
      </c>
      <c r="J868" s="12" t="s">
        <v>45</v>
      </c>
      <c r="K868" s="15" t="s">
        <v>40</v>
      </c>
      <c r="L868" s="15" t="s">
        <v>28</v>
      </c>
      <c r="M868" s="15">
        <v>2024</v>
      </c>
      <c r="N868" s="15" t="s">
        <v>28</v>
      </c>
      <c r="O868" s="15">
        <v>2028</v>
      </c>
      <c r="P868" s="15">
        <v>2024</v>
      </c>
      <c r="Q868" s="15"/>
      <c r="R868" s="16"/>
      <c r="S868" s="16" t="str">
        <f ca="1">IF(
  O868 &lt; YEAR(TODAY()),
  "LULUS",
  IF(
    O868 = YEAR(TODAY()),
    IF(
      MATCH(L868, {"Januari";"Februari";"Maret";"April";"Mei";"Juni";"Juli";"Agustus";"September";"Oktober";"November";"Desember"}, 0)
        &gt;= MONTH(TODAY()),
      "AKTIF (Semester " &amp;
        (INT((12*(YEAR(TODAY())-M868) + MONTH(TODAY()) -
          MATCH(L868, {"Januari";"Februari";"Maret";"April";"Mei";"Juni";"Juli";"Agustus";"September";"Oktober";"November";"Desember"}, 0)) / 6) + 1) &amp; ")",
      "LULUS"
    ),
    "AKTIF (Semester " &amp;
      (INT((12*(YEAR(TODAY())-M868) + MONTH(TODAY()) -
        MATCH(L868, {"Januari";"Februari";"Maret";"April";"Mei";"Juni";"Juli";"Agustus";"September";"Oktober";"November";"Desember"}, 0)) / 6) + 1) &amp; ")"
  )
)</f>
        <v>AKTIF (Semester 3)</v>
      </c>
      <c r="T868" s="16" t="str">
        <f ca="1">IF(O868 &lt; YEAR(TODAY()), "LULUS",
 IF(O868 = YEAR(TODAY()),
    IF(MATCH(N868, {"Januari";"Februari";"Maret";"April";"Mei";"Juni";"Juli";"Agustus";"September";"Oktober";"November";"Desember"},0)
        &lt;= MONTH(TODAY()),
        "LULUS",
        "AKTIF"),
 "AKTIF"))</f>
        <v>AKTIF</v>
      </c>
      <c r="U868" s="16" t="s">
        <v>2940</v>
      </c>
      <c r="V868" s="15"/>
      <c r="W868" s="15"/>
      <c r="X868" s="15"/>
      <c r="Y868" s="15"/>
      <c r="Z868" s="15"/>
    </row>
    <row r="869" spans="1:26" ht="29" customHeight="1" x14ac:dyDescent="0.35">
      <c r="A869" s="12">
        <v>868</v>
      </c>
      <c r="B869" s="13" t="s">
        <v>2643</v>
      </c>
      <c r="C869" s="14" t="s">
        <v>2644</v>
      </c>
      <c r="D869" s="13" t="s">
        <v>903</v>
      </c>
      <c r="E869" s="14" t="str">
        <f t="shared" si="16"/>
        <v>Laki-Laki</v>
      </c>
      <c r="F869" s="18" t="s">
        <v>2636</v>
      </c>
      <c r="G869" s="13" t="s">
        <v>2618</v>
      </c>
      <c r="H869" s="15" t="s">
        <v>2645</v>
      </c>
      <c r="I869" s="52" t="s">
        <v>2485</v>
      </c>
      <c r="J869" s="12" t="s">
        <v>45</v>
      </c>
      <c r="K869" s="15" t="s">
        <v>2532</v>
      </c>
      <c r="L869" s="15"/>
      <c r="M869" s="15">
        <v>2024</v>
      </c>
      <c r="N869" s="15">
        <v>0</v>
      </c>
      <c r="O869" s="15">
        <v>2028</v>
      </c>
      <c r="P869" s="15">
        <v>2024</v>
      </c>
      <c r="Q869" s="15"/>
      <c r="R869" s="16"/>
      <c r="S869" s="16" t="e">
        <f ca="1">IF(
  O869 &lt; YEAR(TODAY()),
  "LULUS",
  IF(
    O869 = YEAR(TODAY()),
    IF(
      MATCH(L869, {"Januari";"Februari";"Maret";"April";"Mei";"Juni";"Juli";"Agustus";"September";"Oktober";"November";"Desember"}, 0)
        &gt;= MONTH(TODAY()),
      "AKTIF (Semester " &amp;
        (INT((12*(YEAR(TODAY())-M869) + MONTH(TODAY()) -
          MATCH(L869, {"Januari";"Februari";"Maret";"April";"Mei";"Juni";"Juli";"Agustus";"September";"Oktober";"November";"Desember"}, 0)) / 6) + 1) &amp; ")",
      "LULUS"
    ),
    "AKTIF (Semester " &amp;
      (INT((12*(YEAR(TODAY())-M869) + MONTH(TODAY()) -
        MATCH(L869, {"Januari";"Februari";"Maret";"April";"Mei";"Juni";"Juli";"Agustus";"September";"Oktober";"November";"Desember"}, 0)) / 6) + 1) &amp; ")"
  )
)</f>
        <v>#N/A</v>
      </c>
      <c r="T869" s="16" t="str">
        <f ca="1">IF(O869 &lt; YEAR(TODAY()), "LULUS",
 IF(O869 = YEAR(TODAY()),
    IF(MATCH(N869, {"Januari";"Februari";"Maret";"April";"Mei";"Juni";"Juli";"Agustus";"September";"Oktober";"November";"Desember"},0)
        &lt;= MONTH(TODAY()),
        "LULUS",
        "AKTIF"),
 "AKTIF"))</f>
        <v>AKTIF</v>
      </c>
      <c r="U869" s="16" t="e">
        <v>#N/A</v>
      </c>
      <c r="V869" s="15"/>
      <c r="W869" s="15"/>
      <c r="X869" s="15"/>
      <c r="Y869" s="15"/>
      <c r="Z869" s="15"/>
    </row>
    <row r="870" spans="1:26" ht="29" customHeight="1" x14ac:dyDescent="0.35">
      <c r="A870" s="12">
        <v>869</v>
      </c>
      <c r="B870" s="13" t="s">
        <v>2647</v>
      </c>
      <c r="C870" s="14" t="s">
        <v>2648</v>
      </c>
      <c r="D870" s="13" t="s">
        <v>215</v>
      </c>
      <c r="E870" s="14" t="str">
        <f t="shared" si="16"/>
        <v>Perempuan</v>
      </c>
      <c r="F870" s="18" t="s">
        <v>2649</v>
      </c>
      <c r="G870" s="13" t="s">
        <v>2618</v>
      </c>
      <c r="H870" s="15" t="s">
        <v>2650</v>
      </c>
      <c r="I870" s="15" t="s">
        <v>2651</v>
      </c>
      <c r="J870" s="12" t="s">
        <v>45</v>
      </c>
      <c r="K870" s="15" t="s">
        <v>591</v>
      </c>
      <c r="L870" s="15" t="s">
        <v>28</v>
      </c>
      <c r="M870" s="15">
        <v>2024</v>
      </c>
      <c r="N870" s="15" t="s">
        <v>28</v>
      </c>
      <c r="O870" s="15">
        <v>2028</v>
      </c>
      <c r="P870" s="15">
        <v>2024</v>
      </c>
      <c r="Q870" s="15"/>
      <c r="R870" s="16"/>
      <c r="S870" s="16" t="str">
        <f ca="1">IF(
  O870 &lt; YEAR(TODAY()),
  "LULUS",
  IF(
    O870 = YEAR(TODAY()),
    IF(
      MATCH(L870, {"Januari";"Februari";"Maret";"April";"Mei";"Juni";"Juli";"Agustus";"September";"Oktober";"November";"Desember"}, 0)
        &gt;= MONTH(TODAY()),
      "AKTIF (Semester " &amp;
        (INT((12*(YEAR(TODAY())-M870) + MONTH(TODAY()) -
          MATCH(L870, {"Januari";"Februari";"Maret";"April";"Mei";"Juni";"Juli";"Agustus";"September";"Oktober";"November";"Desember"}, 0)) / 6) + 1) &amp; ")",
      "LULUS"
    ),
    "AKTIF (Semester " &amp;
      (INT((12*(YEAR(TODAY())-M870) + MONTH(TODAY()) -
        MATCH(L870, {"Januari";"Februari";"Maret";"April";"Mei";"Juni";"Juli";"Agustus";"September";"Oktober";"November";"Desember"}, 0)) / 6) + 1) &amp; ")"
  )
)</f>
        <v>AKTIF (Semester 3)</v>
      </c>
      <c r="T870" s="16" t="str">
        <f ca="1">IF(O870 &lt; YEAR(TODAY()), "LULUS",
 IF(O870 = YEAR(TODAY()),
    IF(MATCH(N870, {"Januari";"Februari";"Maret";"April";"Mei";"Juni";"Juli";"Agustus";"September";"Oktober";"November";"Desember"},0)
        &lt;= MONTH(TODAY()),
        "LULUS",
        "AKTIF"),
 "AKTIF"))</f>
        <v>AKTIF</v>
      </c>
      <c r="U870" s="16" t="s">
        <v>2940</v>
      </c>
      <c r="V870" s="15"/>
      <c r="W870" s="15"/>
      <c r="X870" s="15"/>
      <c r="Y870" s="15"/>
      <c r="Z870" s="15"/>
    </row>
    <row r="871" spans="1:26" ht="29" customHeight="1" x14ac:dyDescent="0.35">
      <c r="A871" s="12">
        <v>870</v>
      </c>
      <c r="B871" s="13" t="s">
        <v>2652</v>
      </c>
      <c r="C871" s="14" t="s">
        <v>2653</v>
      </c>
      <c r="D871" s="13" t="s">
        <v>215</v>
      </c>
      <c r="E871" s="14" t="str">
        <f t="shared" si="16"/>
        <v>Perempuan</v>
      </c>
      <c r="F871" s="18" t="s">
        <v>2649</v>
      </c>
      <c r="G871" s="13" t="s">
        <v>2618</v>
      </c>
      <c r="H871" s="15" t="s">
        <v>2654</v>
      </c>
      <c r="I871" s="19" t="s">
        <v>90</v>
      </c>
      <c r="J871" s="12" t="s">
        <v>45</v>
      </c>
      <c r="K871" s="15" t="s">
        <v>2655</v>
      </c>
      <c r="L871" s="70" t="s">
        <v>614</v>
      </c>
      <c r="M871" s="15">
        <v>2024</v>
      </c>
      <c r="N871" s="15" t="s">
        <v>2656</v>
      </c>
      <c r="O871" s="15">
        <v>2028</v>
      </c>
      <c r="P871" s="15">
        <v>2024</v>
      </c>
      <c r="Q871" s="15"/>
      <c r="R871" s="16"/>
      <c r="S871" s="16" t="str">
        <f ca="1">IF(
  O871 &lt; YEAR(TODAY()),
  "LULUS",
  IF(
    O871 = YEAR(TODAY()),
    IF(
      MATCH(L871, {"Januari";"Februari";"Maret";"April";"Mei";"Juni";"Juli";"Agustus";"September";"Oktober";"November";"Desember"}, 0)
        &gt;= MONTH(TODAY()),
      "AKTIF (Semester " &amp;
        (INT((12*(YEAR(TODAY())-M871) + MONTH(TODAY()) -
          MATCH(L871, {"Januari";"Februari";"Maret";"April";"Mei";"Juni";"Juli";"Agustus";"September";"Oktober";"November";"Desember"}, 0)) / 6) + 1) &amp; ")",
      "LULUS"
    ),
    "AKTIF (Semester " &amp;
      (INT((12*(YEAR(TODAY())-M871) + MONTH(TODAY()) -
        MATCH(L871, {"Januari";"Februari";"Maret";"April";"Mei";"Juni";"Juli";"Agustus";"September";"Oktober";"November";"Desember"}, 0)) / 6) + 1) &amp; ")"
  )
)</f>
        <v>AKTIF (Semester 4)</v>
      </c>
      <c r="T871" s="16" t="str">
        <f ca="1">IF(O871 &lt; YEAR(TODAY()), "LULUS",
 IF(O871 = YEAR(TODAY()),
    IF(MATCH(N871, {"Januari";"Februari";"Maret";"April";"Mei";"Juni";"Juli";"Agustus";"September";"Oktober";"November";"Desember"},0)
        &lt;= MONTH(TODAY()),
        "LULUS",
        "AKTIF"),
 "AKTIF"))</f>
        <v>AKTIF</v>
      </c>
      <c r="U871" s="16" t="s">
        <v>2942</v>
      </c>
      <c r="V871" s="15"/>
      <c r="W871" s="15"/>
      <c r="X871" s="15"/>
      <c r="Y871" s="15"/>
      <c r="Z871" s="15"/>
    </row>
    <row r="872" spans="1:26" ht="29" customHeight="1" x14ac:dyDescent="0.35">
      <c r="A872" s="12">
        <v>871</v>
      </c>
      <c r="B872" s="13" t="s">
        <v>2657</v>
      </c>
      <c r="C872" s="14" t="s">
        <v>2658</v>
      </c>
      <c r="D872" s="13" t="s">
        <v>215</v>
      </c>
      <c r="E872" s="14" t="str">
        <f t="shared" si="16"/>
        <v>Perempuan</v>
      </c>
      <c r="F872" s="18" t="s">
        <v>105</v>
      </c>
      <c r="G872" s="13" t="s">
        <v>2618</v>
      </c>
      <c r="H872" s="15" t="s">
        <v>2659</v>
      </c>
      <c r="I872" s="15" t="s">
        <v>2659</v>
      </c>
      <c r="J872" s="12" t="s">
        <v>45</v>
      </c>
      <c r="K872" s="15" t="s">
        <v>651</v>
      </c>
      <c r="L872" s="15"/>
      <c r="M872" s="15">
        <v>2024</v>
      </c>
      <c r="N872" s="15">
        <v>0</v>
      </c>
      <c r="O872" s="15">
        <v>2028</v>
      </c>
      <c r="P872" s="15">
        <v>2024</v>
      </c>
      <c r="Q872" s="15"/>
      <c r="R872" s="16"/>
      <c r="S872" s="16" t="e">
        <f ca="1">IF(
  O872 &lt; YEAR(TODAY()),
  "LULUS",
  IF(
    O872 = YEAR(TODAY()),
    IF(
      MATCH(L872, {"Januari";"Februari";"Maret";"April";"Mei";"Juni";"Juli";"Agustus";"September";"Oktober";"November";"Desember"}, 0)
        &gt;= MONTH(TODAY()),
      "AKTIF (Semester " &amp;
        (INT((12*(YEAR(TODAY())-M872) + MONTH(TODAY()) -
          MATCH(L872, {"Januari";"Februari";"Maret";"April";"Mei";"Juni";"Juli";"Agustus";"September";"Oktober";"November";"Desember"}, 0)) / 6) + 1) &amp; ")",
      "LULUS"
    ),
    "AKTIF (Semester " &amp;
      (INT((12*(YEAR(TODAY())-M872) + MONTH(TODAY()) -
        MATCH(L872, {"Januari";"Februari";"Maret";"April";"Mei";"Juni";"Juli";"Agustus";"September";"Oktober";"November";"Desember"}, 0)) / 6) + 1) &amp; ")"
  )
)</f>
        <v>#N/A</v>
      </c>
      <c r="T872" s="16" t="str">
        <f ca="1">IF(O872 &lt; YEAR(TODAY()), "LULUS",
 IF(O872 = YEAR(TODAY()),
    IF(MATCH(N872, {"Januari";"Februari";"Maret";"April";"Mei";"Juni";"Juli";"Agustus";"September";"Oktober";"November";"Desember"},0)
        &lt;= MONTH(TODAY()),
        "LULUS",
        "AKTIF"),
 "AKTIF"))</f>
        <v>AKTIF</v>
      </c>
      <c r="U872" s="16" t="e">
        <v>#N/A</v>
      </c>
      <c r="V872" s="15"/>
      <c r="W872" s="15"/>
      <c r="X872" s="15"/>
      <c r="Y872" s="15"/>
      <c r="Z872" s="15"/>
    </row>
    <row r="873" spans="1:26" ht="29" customHeight="1" x14ac:dyDescent="0.35">
      <c r="A873" s="12">
        <v>872</v>
      </c>
      <c r="B873" s="13" t="s">
        <v>2660</v>
      </c>
      <c r="C873" s="14" t="s">
        <v>2661</v>
      </c>
      <c r="D873" s="13" t="s">
        <v>188</v>
      </c>
      <c r="E873" s="14" t="str">
        <f t="shared" si="16"/>
        <v>Perempuan</v>
      </c>
      <c r="F873" s="18" t="s">
        <v>2623</v>
      </c>
      <c r="G873" s="13" t="s">
        <v>2618</v>
      </c>
      <c r="H873" s="15" t="s">
        <v>2662</v>
      </c>
      <c r="I873" s="15" t="s">
        <v>2663</v>
      </c>
      <c r="J873" s="12" t="s">
        <v>45</v>
      </c>
      <c r="K873" s="15" t="s">
        <v>407</v>
      </c>
      <c r="L873" s="15" t="s">
        <v>28</v>
      </c>
      <c r="M873" s="15">
        <v>2024</v>
      </c>
      <c r="N873" s="15" t="s">
        <v>28</v>
      </c>
      <c r="O873" s="15">
        <v>2028</v>
      </c>
      <c r="P873" s="15">
        <v>2024</v>
      </c>
      <c r="Q873" s="15"/>
      <c r="R873" s="16"/>
      <c r="S873" s="16" t="str">
        <f ca="1">IF(
  O873 &lt; YEAR(TODAY()),
  "LULUS",
  IF(
    O873 = YEAR(TODAY()),
    IF(
      MATCH(L873, {"Januari";"Februari";"Maret";"April";"Mei";"Juni";"Juli";"Agustus";"September";"Oktober";"November";"Desember"}, 0)
        &gt;= MONTH(TODAY()),
      "AKTIF (Semester " &amp;
        (INT((12*(YEAR(TODAY())-M873) + MONTH(TODAY()) -
          MATCH(L873, {"Januari";"Februari";"Maret";"April";"Mei";"Juni";"Juli";"Agustus";"September";"Oktober";"November";"Desember"}, 0)) / 6) + 1) &amp; ")",
      "LULUS"
    ),
    "AKTIF (Semester " &amp;
      (INT((12*(YEAR(TODAY())-M873) + MONTH(TODAY()) -
        MATCH(L873, {"Januari";"Februari";"Maret";"April";"Mei";"Juni";"Juli";"Agustus";"September";"Oktober";"November";"Desember"}, 0)) / 6) + 1) &amp; ")"
  )
)</f>
        <v>AKTIF (Semester 3)</v>
      </c>
      <c r="T873" s="16" t="str">
        <f ca="1">IF(O873 &lt; YEAR(TODAY()), "LULUS",
 IF(O873 = YEAR(TODAY()),
    IF(MATCH(N873, {"Januari";"Februari";"Maret";"April";"Mei";"Juni";"Juli";"Agustus";"September";"Oktober";"November";"Desember"},0)
        &lt;= MONTH(TODAY()),
        "LULUS",
        "AKTIF"),
 "AKTIF"))</f>
        <v>AKTIF</v>
      </c>
      <c r="U873" s="16" t="s">
        <v>2940</v>
      </c>
      <c r="V873" s="15"/>
      <c r="W873" s="15"/>
      <c r="X873" s="15"/>
      <c r="Y873" s="15"/>
      <c r="Z873" s="15"/>
    </row>
    <row r="874" spans="1:26" ht="29" customHeight="1" x14ac:dyDescent="0.35">
      <c r="A874" s="12">
        <v>873</v>
      </c>
      <c r="B874" s="13" t="s">
        <v>2664</v>
      </c>
      <c r="C874" s="14" t="s">
        <v>2665</v>
      </c>
      <c r="D874" s="13" t="s">
        <v>903</v>
      </c>
      <c r="E874" s="14" t="str">
        <f t="shared" si="16"/>
        <v>Perempuan</v>
      </c>
      <c r="F874" s="18" t="s">
        <v>2636</v>
      </c>
      <c r="G874" s="13" t="s">
        <v>2618</v>
      </c>
      <c r="H874" s="15" t="s">
        <v>2666</v>
      </c>
      <c r="I874" s="19" t="s">
        <v>90</v>
      </c>
      <c r="J874" s="12" t="s">
        <v>45</v>
      </c>
      <c r="K874" s="15" t="s">
        <v>569</v>
      </c>
      <c r="L874" s="15" t="s">
        <v>1562</v>
      </c>
      <c r="M874" s="15">
        <v>2024</v>
      </c>
      <c r="N874" s="15" t="s">
        <v>1562</v>
      </c>
      <c r="O874" s="15">
        <v>2028</v>
      </c>
      <c r="P874" s="15">
        <v>2024</v>
      </c>
      <c r="Q874" s="15"/>
      <c r="R874" s="16"/>
      <c r="S874" s="16" t="str">
        <f ca="1">IF(
  O874 &lt; YEAR(TODAY()),
  "LULUS",
  IF(
    O874 = YEAR(TODAY()),
    IF(
      MATCH(L874, {"Januari";"Februari";"Maret";"April";"Mei";"Juni";"Juli";"Agustus";"September";"Oktober";"November";"Desember"}, 0)
        &gt;= MONTH(TODAY()),
      "AKTIF (Semester " &amp;
        (INT((12*(YEAR(TODAY())-M874) + MONTH(TODAY()) -
          MATCH(L874, {"Januari";"Februari";"Maret";"April";"Mei";"Juni";"Juli";"Agustus";"September";"Oktober";"November";"Desember"}, 0)) / 6) + 1) &amp; ")",
      "LULUS"
    ),
    "AKTIF (Semester " &amp;
      (INT((12*(YEAR(TODAY())-M874) + MONTH(TODAY()) -
        MATCH(L874, {"Januari";"Februari";"Maret";"April";"Mei";"Juni";"Juli";"Agustus";"September";"Oktober";"November";"Desember"}, 0)) / 6) + 1) &amp; ")"
  )
)</f>
        <v>AKTIF (Semester 3)</v>
      </c>
      <c r="T874" s="16" t="str">
        <f ca="1">IF(O874 &lt; YEAR(TODAY()), "LULUS",
 IF(O874 = YEAR(TODAY()),
    IF(MATCH(N874, {"Januari";"Februari";"Maret";"April";"Mei";"Juni";"Juli";"Agustus";"September";"Oktober";"November";"Desember"},0)
        &lt;= MONTH(TODAY()),
        "LULUS",
        "AKTIF"),
 "AKTIF"))</f>
        <v>AKTIF</v>
      </c>
      <c r="U874" s="16" t="s">
        <v>2940</v>
      </c>
      <c r="V874" s="15"/>
      <c r="W874" s="15"/>
      <c r="X874" s="15"/>
      <c r="Y874" s="15"/>
      <c r="Z874" s="15"/>
    </row>
    <row r="875" spans="1:26" ht="29" customHeight="1" x14ac:dyDescent="0.35">
      <c r="A875" s="12">
        <v>874</v>
      </c>
      <c r="B875" s="13" t="s">
        <v>2667</v>
      </c>
      <c r="C875" s="14" t="s">
        <v>2668</v>
      </c>
      <c r="D875" s="13" t="s">
        <v>215</v>
      </c>
      <c r="E875" s="14" t="str">
        <f t="shared" si="16"/>
        <v>Perempuan</v>
      </c>
      <c r="F875" s="18" t="s">
        <v>2649</v>
      </c>
      <c r="G875" s="13" t="s">
        <v>2618</v>
      </c>
      <c r="H875" s="15" t="s">
        <v>2669</v>
      </c>
      <c r="I875" s="19" t="s">
        <v>90</v>
      </c>
      <c r="J875" s="12" t="s">
        <v>45</v>
      </c>
      <c r="K875" s="15" t="s">
        <v>2671</v>
      </c>
      <c r="L875" s="15" t="s">
        <v>113</v>
      </c>
      <c r="M875" s="15">
        <v>2024</v>
      </c>
      <c r="N875" s="15" t="s">
        <v>113</v>
      </c>
      <c r="O875" s="15">
        <v>2028</v>
      </c>
      <c r="P875" s="15">
        <v>2024</v>
      </c>
      <c r="Q875" s="15"/>
      <c r="R875" s="16"/>
      <c r="S875" s="16" t="str">
        <f ca="1">IF(
  O875 &lt; YEAR(TODAY()),
  "LULUS",
  IF(
    O875 = YEAR(TODAY()),
    IF(
      MATCH(L875, {"Januari";"Februari";"Maret";"April";"Mei";"Juni";"Juli";"Agustus";"September";"Oktober";"November";"Desember"}, 0)
        &gt;= MONTH(TODAY()),
      "AKTIF (Semester " &amp;
        (INT((12*(YEAR(TODAY())-M875) + MONTH(TODAY()) -
          MATCH(L875, {"Januari";"Februari";"Maret";"April";"Mei";"Juni";"Juli";"Agustus";"September";"Oktober";"November";"Desember"}, 0)) / 6) + 1) &amp; ")",
      "LULUS"
    ),
    "AKTIF (Semester " &amp;
      (INT((12*(YEAR(TODAY())-M875) + MONTH(TODAY()) -
        MATCH(L875, {"Januari";"Februari";"Maret";"April";"Mei";"Juni";"Juli";"Agustus";"September";"Oktober";"November";"Desember"}, 0)) / 6) + 1) &amp; ")"
  )
)</f>
        <v>AKTIF (Semester 4)</v>
      </c>
      <c r="T875" s="16" t="str">
        <f ca="1">IF(O875 &lt; YEAR(TODAY()), "LULUS",
 IF(O875 = YEAR(TODAY()),
    IF(MATCH(N875, {"Januari";"Februari";"Maret";"April";"Mei";"Juni";"Juli";"Agustus";"September";"Oktober";"November";"Desember"},0)
        &lt;= MONTH(TODAY()),
        "LULUS",
        "AKTIF"),
 "AKTIF"))</f>
        <v>AKTIF</v>
      </c>
      <c r="U875" s="16" t="s">
        <v>2942</v>
      </c>
      <c r="V875" s="15"/>
      <c r="W875" s="15"/>
      <c r="X875" s="15"/>
      <c r="Y875" s="15"/>
      <c r="Z875" s="15"/>
    </row>
    <row r="876" spans="1:26" ht="29" customHeight="1" x14ac:dyDescent="0.35">
      <c r="A876" s="12">
        <v>875</v>
      </c>
      <c r="B876" s="13" t="s">
        <v>2672</v>
      </c>
      <c r="C876" s="14" t="s">
        <v>2673</v>
      </c>
      <c r="D876" s="13" t="s">
        <v>215</v>
      </c>
      <c r="E876" s="14" t="str">
        <f t="shared" si="16"/>
        <v>Laki-Laki</v>
      </c>
      <c r="F876" s="18" t="s">
        <v>2649</v>
      </c>
      <c r="G876" s="13" t="s">
        <v>2618</v>
      </c>
      <c r="H876" s="15" t="s">
        <v>2637</v>
      </c>
      <c r="I876" s="19" t="s">
        <v>90</v>
      </c>
      <c r="J876" s="12" t="s">
        <v>45</v>
      </c>
      <c r="K876" s="15" t="s">
        <v>569</v>
      </c>
      <c r="L876" s="15" t="s">
        <v>60</v>
      </c>
      <c r="M876" s="15">
        <v>2024</v>
      </c>
      <c r="N876" s="15" t="s">
        <v>60</v>
      </c>
      <c r="O876" s="15">
        <v>2028</v>
      </c>
      <c r="P876" s="15">
        <v>2024</v>
      </c>
      <c r="Q876" s="15"/>
      <c r="R876" s="16"/>
      <c r="S876" s="16" t="str">
        <f ca="1">IF(
  O876 &lt; YEAR(TODAY()),
  "LULUS",
  IF(
    O876 = YEAR(TODAY()),
    IF(
      MATCH(L876, {"Januari";"Februari";"Maret";"April";"Mei";"Juni";"Juli";"Agustus";"September";"Oktober";"November";"Desember"}, 0)
        &gt;= MONTH(TODAY()),
      "AKTIF (Semester " &amp;
        (INT((12*(YEAR(TODAY())-M876) + MONTH(TODAY()) -
          MATCH(L876, {"Januari";"Februari";"Maret";"April";"Mei";"Juni";"Juli";"Agustus";"September";"Oktober";"November";"Desember"}, 0)) / 6) + 1) &amp; ")",
      "LULUS"
    ),
    "AKTIF (Semester " &amp;
      (INT((12*(YEAR(TODAY())-M876) + MONTH(TODAY()) -
        MATCH(L876, {"Januari";"Februari";"Maret";"April";"Mei";"Juni";"Juli";"Agustus";"September";"Oktober";"November";"Desember"}, 0)) / 6) + 1) &amp; ")"
  )
)</f>
        <v>AKTIF (Semester 3)</v>
      </c>
      <c r="T876" s="16" t="str">
        <f ca="1">IF(O876 &lt; YEAR(TODAY()), "LULUS",
 IF(O876 = YEAR(TODAY()),
    IF(MATCH(N876, {"Januari";"Februari";"Maret";"April";"Mei";"Juni";"Juli";"Agustus";"September";"Oktober";"November";"Desember"},0)
        &lt;= MONTH(TODAY()),
        "LULUS",
        "AKTIF"),
 "AKTIF"))</f>
        <v>AKTIF</v>
      </c>
      <c r="U876" s="16" t="s">
        <v>2940</v>
      </c>
      <c r="V876" s="15"/>
      <c r="W876" s="15"/>
      <c r="X876" s="15"/>
      <c r="Y876" s="15"/>
      <c r="Z876" s="15"/>
    </row>
    <row r="877" spans="1:26" ht="29" customHeight="1" x14ac:dyDescent="0.35">
      <c r="A877" s="12">
        <v>876</v>
      </c>
      <c r="B877" s="13" t="s">
        <v>2674</v>
      </c>
      <c r="C877" s="14" t="s">
        <v>2675</v>
      </c>
      <c r="D877" s="13" t="s">
        <v>2641</v>
      </c>
      <c r="E877" s="14" t="str">
        <f t="shared" si="16"/>
        <v>Perempuan</v>
      </c>
      <c r="F877" s="18" t="s">
        <v>2676</v>
      </c>
      <c r="G877" s="13" t="s">
        <v>2618</v>
      </c>
      <c r="H877" s="15" t="s">
        <v>2677</v>
      </c>
      <c r="I877" s="15" t="s">
        <v>2933</v>
      </c>
      <c r="J877" s="12" t="s">
        <v>26</v>
      </c>
      <c r="K877" s="15" t="s">
        <v>46</v>
      </c>
      <c r="L877" s="15" t="s">
        <v>60</v>
      </c>
      <c r="M877" s="15">
        <v>2024</v>
      </c>
      <c r="N877" s="15" t="s">
        <v>60</v>
      </c>
      <c r="O877" s="15">
        <v>2026</v>
      </c>
      <c r="P877" s="15">
        <v>2024</v>
      </c>
      <c r="Q877" s="15"/>
      <c r="R877" s="16"/>
      <c r="S877" s="16" t="str">
        <f ca="1">IF(
  O877 &lt; YEAR(TODAY()),
  "LULUS",
  IF(
    O877 = YEAR(TODAY()),
    IF(
      MATCH(L877, {"Januari";"Februari";"Maret";"April";"Mei";"Juni";"Juli";"Agustus";"September";"Oktober";"November";"Desember"}, 0)
        &gt;= MONTH(TODAY()),
      "AKTIF (Semester " &amp;
        (INT((12*(YEAR(TODAY())-M877) + MONTH(TODAY()) -
          MATCH(L877, {"Januari";"Februari";"Maret";"April";"Mei";"Juni";"Juli";"Agustus";"September";"Oktober";"November";"Desember"}, 0)) / 6) + 1) &amp; ")",
      "LULUS"
    ),
    "AKTIF (Semester " &amp;
      (INT((12*(YEAR(TODAY())-M877) + MONTH(TODAY()) -
        MATCH(L877, {"Januari";"Februari";"Maret";"April";"Mei";"Juni";"Juli";"Agustus";"September";"Oktober";"November";"Desember"}, 0)) / 6) + 1) &amp; ")"
  )
)</f>
        <v>AKTIF (Semester 3)</v>
      </c>
      <c r="T877" s="16" t="str">
        <f ca="1">IF(O877 &lt; YEAR(TODAY()), "LULUS",
 IF(O877 = YEAR(TODAY()),
    IF(MATCH(N877, {"Januari";"Februari";"Maret";"April";"Mei";"Juni";"Juli";"Agustus";"September";"Oktober";"November";"Desember"},0)
        &lt;= MONTH(TODAY()),
        "LULUS",
        "AKTIF"),
 "AKTIF"))</f>
        <v>AKTIF</v>
      </c>
      <c r="U877" s="16" t="s">
        <v>2940</v>
      </c>
      <c r="V877" s="15"/>
      <c r="W877" s="15"/>
      <c r="X877" s="15"/>
      <c r="Y877" s="15"/>
      <c r="Z877" s="15"/>
    </row>
    <row r="878" spans="1:26" ht="29" customHeight="1" x14ac:dyDescent="0.35">
      <c r="A878" s="12">
        <v>877</v>
      </c>
      <c r="B878" s="13" t="s">
        <v>2679</v>
      </c>
      <c r="C878" s="14" t="s">
        <v>2680</v>
      </c>
      <c r="D878" s="13" t="s">
        <v>152</v>
      </c>
      <c r="E878" s="14" t="str">
        <f t="shared" si="16"/>
        <v>Perempuan</v>
      </c>
      <c r="F878" s="18" t="s">
        <v>159</v>
      </c>
      <c r="G878" s="13" t="s">
        <v>2618</v>
      </c>
      <c r="H878" s="15" t="s">
        <v>2681</v>
      </c>
      <c r="I878" s="19" t="s">
        <v>90</v>
      </c>
      <c r="J878" s="12" t="s">
        <v>45</v>
      </c>
      <c r="K878" s="15" t="s">
        <v>50</v>
      </c>
      <c r="L878" s="15" t="s">
        <v>169</v>
      </c>
      <c r="M878" s="15">
        <v>2024</v>
      </c>
      <c r="N878" s="15" t="s">
        <v>169</v>
      </c>
      <c r="O878" s="15">
        <v>2028</v>
      </c>
      <c r="P878" s="15">
        <v>2024</v>
      </c>
      <c r="Q878" s="15"/>
      <c r="R878" s="16"/>
      <c r="S878" s="16" t="str">
        <f ca="1">IF(
  O878 &lt; YEAR(TODAY()),
  "LULUS",
  IF(
    O878 = YEAR(TODAY()),
    IF(
      MATCH(L878, {"Januari";"Februari";"Maret";"April";"Mei";"Juni";"Juli";"Agustus";"September";"Oktober";"November";"Desember"}, 0)
        &gt;= MONTH(TODAY()),
      "AKTIF (Semester " &amp;
        (INT((12*(YEAR(TODAY())-M878) + MONTH(TODAY()) -
          MATCH(L878, {"Januari";"Februari";"Maret";"April";"Mei";"Juni";"Juli";"Agustus";"September";"Oktober";"November";"Desember"}, 0)) / 6) + 1) &amp; ")",
      "LULUS"
    ),
    "AKTIF (Semester " &amp;
      (INT((12*(YEAR(TODAY())-M878) + MONTH(TODAY()) -
        MATCH(L878, {"Januari";"Februari";"Maret";"April";"Mei";"Juni";"Juli";"Agustus";"September";"Oktober";"November";"Desember"}, 0)) / 6) + 1) &amp; ")"
  )
)</f>
        <v>AKTIF (Semester 3)</v>
      </c>
      <c r="T878" s="16" t="str">
        <f ca="1">IF(O878 &lt; YEAR(TODAY()), "LULUS",
 IF(O878 = YEAR(TODAY()),
    IF(MATCH(N878, {"Januari";"Februari";"Maret";"April";"Mei";"Juni";"Juli";"Agustus";"September";"Oktober";"November";"Desember"},0)
        &lt;= MONTH(TODAY()),
        "LULUS",
        "AKTIF"),
 "AKTIF"))</f>
        <v>AKTIF</v>
      </c>
      <c r="U878" s="16" t="s">
        <v>2940</v>
      </c>
      <c r="V878" s="15"/>
      <c r="W878" s="15"/>
      <c r="X878" s="15"/>
      <c r="Y878" s="15"/>
      <c r="Z878" s="15"/>
    </row>
    <row r="879" spans="1:26" ht="29" customHeight="1" x14ac:dyDescent="0.35">
      <c r="A879" s="12">
        <v>878</v>
      </c>
      <c r="B879" s="13" t="s">
        <v>2682</v>
      </c>
      <c r="C879" s="14" t="s">
        <v>2683</v>
      </c>
      <c r="D879" s="13" t="s">
        <v>188</v>
      </c>
      <c r="E879" s="14" t="str">
        <f t="shared" si="16"/>
        <v>Laki-Laki</v>
      </c>
      <c r="F879" s="18" t="s">
        <v>2684</v>
      </c>
      <c r="G879" s="13" t="s">
        <v>2618</v>
      </c>
      <c r="H879" s="15" t="s">
        <v>2685</v>
      </c>
      <c r="I879" s="19" t="s">
        <v>90</v>
      </c>
      <c r="J879" s="12" t="s">
        <v>26</v>
      </c>
      <c r="K879" s="15" t="s">
        <v>394</v>
      </c>
      <c r="L879" s="29" t="s">
        <v>28</v>
      </c>
      <c r="M879" s="15">
        <v>2024</v>
      </c>
      <c r="N879" s="15" t="s">
        <v>205</v>
      </c>
      <c r="O879" s="15">
        <v>2026</v>
      </c>
      <c r="P879" s="15">
        <v>2024</v>
      </c>
      <c r="Q879" s="15"/>
      <c r="R879" s="16"/>
      <c r="S879" s="16" t="str">
        <f ca="1">IF(
  O879 &lt; YEAR(TODAY()),
  "LULUS",
  IF(
    O879 = YEAR(TODAY()),
    IF(
      MATCH(L879, {"Januari";"Februari";"Maret";"April";"Mei";"Juni";"Juli";"Agustus";"September";"Oktober";"November";"Desember"}, 0)
        &gt;= MONTH(TODAY()),
      "AKTIF (Semester " &amp;
        (INT((12*(YEAR(TODAY())-M879) + MONTH(TODAY()) -
          MATCH(L879, {"Januari";"Februari";"Maret";"April";"Mei";"Juni";"Juli";"Agustus";"September";"Oktober";"November";"Desember"}, 0)) / 6) + 1) &amp; ")",
      "LULUS"
    ),
    "AKTIF (Semester " &amp;
      (INT((12*(YEAR(TODAY())-M879) + MONTH(TODAY()) -
        MATCH(L879, {"Januari";"Februari";"Maret";"April";"Mei";"Juni";"Juli";"Agustus";"September";"Oktober";"November";"Desember"}, 0)) / 6) + 1) &amp; ")"
  )
)</f>
        <v>AKTIF (Semester 3)</v>
      </c>
      <c r="T879" s="16" t="str">
        <f ca="1">IF(O879 &lt; YEAR(TODAY()), "LULUS",
 IF(O879 = YEAR(TODAY()),
    IF(MATCH(N879, {"Januari";"Februari";"Maret";"April";"Mei";"Juni";"Juli";"Agustus";"September";"Oktober";"November";"Desember"},0)
        &lt;= MONTH(TODAY()),
        "LULUS",
        "AKTIF"),
 "AKTIF"))</f>
        <v>AKTIF</v>
      </c>
      <c r="U879" s="16" t="s">
        <v>2940</v>
      </c>
      <c r="V879" s="15"/>
      <c r="W879" s="15"/>
      <c r="X879" s="15"/>
      <c r="Y879" s="15"/>
      <c r="Z879" s="15"/>
    </row>
    <row r="880" spans="1:26" ht="29" customHeight="1" x14ac:dyDescent="0.35">
      <c r="A880" s="12">
        <v>879</v>
      </c>
      <c r="B880" s="13" t="s">
        <v>2686</v>
      </c>
      <c r="C880" s="14" t="s">
        <v>2687</v>
      </c>
      <c r="D880" s="13" t="s">
        <v>215</v>
      </c>
      <c r="E880" s="14" t="str">
        <f t="shared" si="16"/>
        <v>Laki-Laki</v>
      </c>
      <c r="F880" s="18" t="s">
        <v>2688</v>
      </c>
      <c r="G880" s="13" t="s">
        <v>2618</v>
      </c>
      <c r="H880" s="15" t="s">
        <v>2689</v>
      </c>
      <c r="I880" s="15" t="s">
        <v>2690</v>
      </c>
      <c r="J880" s="12" t="s">
        <v>45</v>
      </c>
      <c r="K880" s="15" t="s">
        <v>2691</v>
      </c>
      <c r="L880" s="15" t="s">
        <v>28</v>
      </c>
      <c r="M880" s="15">
        <v>2024</v>
      </c>
      <c r="N880" s="15" t="s">
        <v>28</v>
      </c>
      <c r="O880" s="15">
        <v>2028</v>
      </c>
      <c r="P880" s="15">
        <v>2024</v>
      </c>
      <c r="Q880" s="15"/>
      <c r="R880" s="16"/>
      <c r="S880" s="16" t="str">
        <f ca="1">IF(
  O880 &lt; YEAR(TODAY()),
  "LULUS",
  IF(
    O880 = YEAR(TODAY()),
    IF(
      MATCH(L880, {"Januari";"Februari";"Maret";"April";"Mei";"Juni";"Juli";"Agustus";"September";"Oktober";"November";"Desember"}, 0)
        &gt;= MONTH(TODAY()),
      "AKTIF (Semester " &amp;
        (INT((12*(YEAR(TODAY())-M880) + MONTH(TODAY()) -
          MATCH(L880, {"Januari";"Februari";"Maret";"April";"Mei";"Juni";"Juli";"Agustus";"September";"Oktober";"November";"Desember"}, 0)) / 6) + 1) &amp; ")",
      "LULUS"
    ),
    "AKTIF (Semester " &amp;
      (INT((12*(YEAR(TODAY())-M880) + MONTH(TODAY()) -
        MATCH(L880, {"Januari";"Februari";"Maret";"April";"Mei";"Juni";"Juli";"Agustus";"September";"Oktober";"November";"Desember"}, 0)) / 6) + 1) &amp; ")"
  )
)</f>
        <v>AKTIF (Semester 3)</v>
      </c>
      <c r="T880" s="16" t="str">
        <f ca="1">IF(O880 &lt; YEAR(TODAY()), "LULUS",
 IF(O880 = YEAR(TODAY()),
    IF(MATCH(N880, {"Januari";"Februari";"Maret";"April";"Mei";"Juni";"Juli";"Agustus";"September";"Oktober";"November";"Desember"},0)
        &lt;= MONTH(TODAY()),
        "LULUS",
        "AKTIF"),
 "AKTIF"))</f>
        <v>AKTIF</v>
      </c>
      <c r="U880" s="16" t="s">
        <v>2940</v>
      </c>
      <c r="V880" s="15"/>
      <c r="W880" s="15"/>
      <c r="X880" s="15"/>
      <c r="Y880" s="15"/>
      <c r="Z880" s="15"/>
    </row>
    <row r="881" spans="1:26" ht="29" customHeight="1" x14ac:dyDescent="0.35">
      <c r="A881" s="12">
        <v>880</v>
      </c>
      <c r="B881" s="13" t="s">
        <v>2692</v>
      </c>
      <c r="C881" s="14" t="s">
        <v>2693</v>
      </c>
      <c r="D881" s="13" t="s">
        <v>188</v>
      </c>
      <c r="E881" s="14" t="str">
        <f t="shared" si="16"/>
        <v>Laki-Laki</v>
      </c>
      <c r="F881" s="18" t="s">
        <v>2694</v>
      </c>
      <c r="G881" s="13" t="s">
        <v>2618</v>
      </c>
      <c r="H881" s="15" t="s">
        <v>2624</v>
      </c>
      <c r="I881" s="19" t="s">
        <v>90</v>
      </c>
      <c r="J881" s="12" t="s">
        <v>26</v>
      </c>
      <c r="K881" s="94" t="s">
        <v>394</v>
      </c>
      <c r="L881" s="15" t="s">
        <v>169</v>
      </c>
      <c r="M881" s="15">
        <v>2024</v>
      </c>
      <c r="N881" s="15" t="s">
        <v>169</v>
      </c>
      <c r="O881" s="15">
        <v>2026</v>
      </c>
      <c r="P881" s="15">
        <v>2024</v>
      </c>
      <c r="Q881" s="15"/>
      <c r="R881" s="16"/>
      <c r="S881" s="16" t="str">
        <f ca="1">IF(
  O881 &lt; YEAR(TODAY()),
  "LULUS",
  IF(
    O881 = YEAR(TODAY()),
    IF(
      MATCH(L881, {"Januari";"Februari";"Maret";"April";"Mei";"Juni";"Juli";"Agustus";"September";"Oktober";"November";"Desember"}, 0)
        &gt;= MONTH(TODAY()),
      "AKTIF (Semester " &amp;
        (INT((12*(YEAR(TODAY())-M881) + MONTH(TODAY()) -
          MATCH(L881, {"Januari";"Februari";"Maret";"April";"Mei";"Juni";"Juli";"Agustus";"September";"Oktober";"November";"Desember"}, 0)) / 6) + 1) &amp; ")",
      "LULUS"
    ),
    "AKTIF (Semester " &amp;
      (INT((12*(YEAR(TODAY())-M881) + MONTH(TODAY()) -
        MATCH(L881, {"Januari";"Februari";"Maret";"April";"Mei";"Juni";"Juli";"Agustus";"September";"Oktober";"November";"Desember"}, 0)) / 6) + 1) &amp; ")"
  )
)</f>
        <v>AKTIF (Semester 3)</v>
      </c>
      <c r="T881" s="16" t="str">
        <f ca="1">IF(O881 &lt; YEAR(TODAY()), "LULUS",
 IF(O881 = YEAR(TODAY()),
    IF(MATCH(N881, {"Januari";"Februari";"Maret";"April";"Mei";"Juni";"Juli";"Agustus";"September";"Oktober";"November";"Desember"},0)
        &lt;= MONTH(TODAY()),
        "LULUS",
        "AKTIF"),
 "AKTIF"))</f>
        <v>AKTIF</v>
      </c>
      <c r="U881" s="16" t="s">
        <v>2940</v>
      </c>
      <c r="V881" s="15"/>
      <c r="W881" s="15"/>
      <c r="X881" s="15"/>
      <c r="Y881" s="15"/>
      <c r="Z881" s="15"/>
    </row>
    <row r="882" spans="1:26" ht="29" customHeight="1" x14ac:dyDescent="0.35">
      <c r="A882" s="12">
        <v>881</v>
      </c>
      <c r="B882" s="13" t="s">
        <v>2695</v>
      </c>
      <c r="C882" s="14" t="s">
        <v>2696</v>
      </c>
      <c r="D882" s="13" t="s">
        <v>188</v>
      </c>
      <c r="E882" s="14" t="str">
        <f t="shared" si="16"/>
        <v>Laki-Laki</v>
      </c>
      <c r="F882" s="18" t="s">
        <v>2697</v>
      </c>
      <c r="G882" s="13" t="s">
        <v>2618</v>
      </c>
      <c r="H882" s="15" t="s">
        <v>2637</v>
      </c>
      <c r="I882" s="19" t="s">
        <v>90</v>
      </c>
      <c r="J882" s="12" t="s">
        <v>26</v>
      </c>
      <c r="K882" s="15" t="s">
        <v>394</v>
      </c>
      <c r="L882" s="70" t="s">
        <v>890</v>
      </c>
      <c r="M882" s="15">
        <v>2025</v>
      </c>
      <c r="N882" s="15" t="s">
        <v>2698</v>
      </c>
      <c r="O882" s="15">
        <v>2027</v>
      </c>
      <c r="P882" s="15">
        <v>2024</v>
      </c>
      <c r="Q882" s="15"/>
      <c r="R882" s="16"/>
      <c r="S882" s="16" t="str">
        <f ca="1">IF(
  O882 &lt; YEAR(TODAY()),
  "LULUS",
  IF(
    O882 = YEAR(TODAY()),
    IF(
      MATCH(L882, {"Januari";"Februari";"Maret";"April";"Mei";"Juni";"Juli";"Agustus";"September";"Oktober";"November";"Desember"}, 0)
        &gt;= MONTH(TODAY()),
      "AKTIF (Semester " &amp;
        (INT((12*(YEAR(TODAY())-M882) + MONTH(TODAY()) -
          MATCH(L882, {"Januari";"Februari";"Maret";"April";"Mei";"Juni";"Juli";"Agustus";"September";"Oktober";"November";"Desember"}, 0)) / 6) + 1) &amp; ")",
      "LULUS"
    ),
    "AKTIF (Semester " &amp;
      (INT((12*(YEAR(TODAY())-M882) + MONTH(TODAY()) -
        MATCH(L882, {"Januari";"Februari";"Maret";"April";"Mei";"Juni";"Juli";"Agustus";"September";"Oktober";"November";"Desember"}, 0)) / 6) + 1) &amp; ")"
  )
)</f>
        <v>AKTIF (Semester 2)</v>
      </c>
      <c r="T882" s="16" t="str">
        <f ca="1">IF(O882 &lt; YEAR(TODAY()), "LULUS",
 IF(O882 = YEAR(TODAY()),
    IF(MATCH(N882, {"Januari";"Februari";"Maret";"April";"Mei";"Juni";"Juli";"Agustus";"September";"Oktober";"November";"Desember"},0)
        &lt;= MONTH(TODAY()),
        "LULUS",
        "AKTIF"),
 "AKTIF"))</f>
        <v>AKTIF</v>
      </c>
      <c r="U882" s="16" t="s">
        <v>2945</v>
      </c>
      <c r="V882" s="15"/>
      <c r="W882" s="15"/>
      <c r="X882" s="15"/>
      <c r="Y882" s="15"/>
      <c r="Z882" s="15"/>
    </row>
    <row r="883" spans="1:26" ht="29" customHeight="1" x14ac:dyDescent="0.35">
      <c r="A883" s="12">
        <v>882</v>
      </c>
      <c r="B883" s="13" t="s">
        <v>2699</v>
      </c>
      <c r="C883" s="14" t="s">
        <v>2700</v>
      </c>
      <c r="D883" s="13" t="s">
        <v>215</v>
      </c>
      <c r="E883" s="14" t="str">
        <f t="shared" si="16"/>
        <v>Perempuan</v>
      </c>
      <c r="F883" s="18" t="s">
        <v>224</v>
      </c>
      <c r="G883" s="13" t="s">
        <v>2618</v>
      </c>
      <c r="H883" s="15" t="s">
        <v>2701</v>
      </c>
      <c r="I883" s="19" t="s">
        <v>1871</v>
      </c>
      <c r="J883" s="12" t="s">
        <v>45</v>
      </c>
      <c r="K883" s="15" t="s">
        <v>46</v>
      </c>
      <c r="L883" s="15" t="s">
        <v>28</v>
      </c>
      <c r="M883" s="15">
        <v>2024</v>
      </c>
      <c r="N883" s="15" t="s">
        <v>28</v>
      </c>
      <c r="O883" s="15">
        <v>2028</v>
      </c>
      <c r="P883" s="15">
        <v>2024</v>
      </c>
      <c r="Q883" s="15"/>
      <c r="R883" s="16"/>
      <c r="S883" s="16" t="str">
        <f ca="1">IF(
  O883 &lt; YEAR(TODAY()),
  "LULUS",
  IF(
    O883 = YEAR(TODAY()),
    IF(
      MATCH(L883, {"Januari";"Februari";"Maret";"April";"Mei";"Juni";"Juli";"Agustus";"September";"Oktober";"November";"Desember"}, 0)
        &gt;= MONTH(TODAY()),
      "AKTIF (Semester " &amp;
        (INT((12*(YEAR(TODAY())-M883) + MONTH(TODAY()) -
          MATCH(L883, {"Januari";"Februari";"Maret";"April";"Mei";"Juni";"Juli";"Agustus";"September";"Oktober";"November";"Desember"}, 0)) / 6) + 1) &amp; ")",
      "LULUS"
    ),
    "AKTIF (Semester " &amp;
      (INT((12*(YEAR(TODAY())-M883) + MONTH(TODAY()) -
        MATCH(L883, {"Januari";"Februari";"Maret";"April";"Mei";"Juni";"Juli";"Agustus";"September";"Oktober";"November";"Desember"}, 0)) / 6) + 1) &amp; ")"
  )
)</f>
        <v>AKTIF (Semester 3)</v>
      </c>
      <c r="T883" s="16" t="str">
        <f ca="1">IF(O883 &lt; YEAR(TODAY()), "LULUS",
 IF(O883 = YEAR(TODAY()),
    IF(MATCH(N883, {"Januari";"Februari";"Maret";"April";"Mei";"Juni";"Juli";"Agustus";"September";"Oktober";"November";"Desember"},0)
        &lt;= MONTH(TODAY()),
        "LULUS",
        "AKTIF"),
 "AKTIF"))</f>
        <v>AKTIF</v>
      </c>
      <c r="U883" s="16" t="s">
        <v>2940</v>
      </c>
      <c r="V883" s="15"/>
      <c r="W883" s="15"/>
      <c r="X883" s="15"/>
      <c r="Y883" s="15"/>
      <c r="Z883" s="15"/>
    </row>
    <row r="884" spans="1:26" ht="29" customHeight="1" x14ac:dyDescent="0.35">
      <c r="A884" s="12">
        <v>883</v>
      </c>
      <c r="B884" s="99" t="s">
        <v>2703</v>
      </c>
      <c r="C884" s="14" t="s">
        <v>2704</v>
      </c>
      <c r="D884" s="13" t="s">
        <v>215</v>
      </c>
      <c r="E884" s="14" t="str">
        <f t="shared" si="16"/>
        <v>Laki-Laki</v>
      </c>
      <c r="F884" s="18" t="s">
        <v>2705</v>
      </c>
      <c r="G884" s="13" t="s">
        <v>2618</v>
      </c>
      <c r="H884" s="15" t="s">
        <v>2645</v>
      </c>
      <c r="I884" s="19" t="s">
        <v>466</v>
      </c>
      <c r="J884" s="12" t="s">
        <v>26</v>
      </c>
      <c r="K884" s="15" t="s">
        <v>449</v>
      </c>
      <c r="L884" s="15"/>
      <c r="M884" s="15">
        <v>2024</v>
      </c>
      <c r="N884" s="15">
        <v>0</v>
      </c>
      <c r="O884" s="15">
        <v>2026</v>
      </c>
      <c r="P884" s="15">
        <v>2024</v>
      </c>
      <c r="Q884" s="15"/>
      <c r="R884" s="16"/>
      <c r="S884" s="16" t="e">
        <f ca="1">IF(
  O884 &lt; YEAR(TODAY()),
  "LULUS",
  IF(
    O884 = YEAR(TODAY()),
    IF(
      MATCH(L884, {"Januari";"Februari";"Maret";"April";"Mei";"Juni";"Juli";"Agustus";"September";"Oktober";"November";"Desember"}, 0)
        &gt;= MONTH(TODAY()),
      "AKTIF (Semester " &amp;
        (INT((12*(YEAR(TODAY())-M884) + MONTH(TODAY()) -
          MATCH(L884, {"Januari";"Februari";"Maret";"April";"Mei";"Juni";"Juli";"Agustus";"September";"Oktober";"November";"Desember"}, 0)) / 6) + 1) &amp; ")",
      "LULUS"
    ),
    "AKTIF (Semester " &amp;
      (INT((12*(YEAR(TODAY())-M884) + MONTH(TODAY()) -
        MATCH(L884, {"Januari";"Februari";"Maret";"April";"Mei";"Juni";"Juli";"Agustus";"September";"Oktober";"November";"Desember"}, 0)) / 6) + 1) &amp; ")"
  )
)</f>
        <v>#N/A</v>
      </c>
      <c r="T884" s="16" t="str">
        <f ca="1">IF(O884 &lt; YEAR(TODAY()), "LULUS",
 IF(O884 = YEAR(TODAY()),
    IF(MATCH(N884, {"Januari";"Februari";"Maret";"April";"Mei";"Juni";"Juli";"Agustus";"September";"Oktober";"November";"Desember"},0)
        &lt;= MONTH(TODAY()),
        "LULUS",
        "AKTIF"),
 "AKTIF"))</f>
        <v>AKTIF</v>
      </c>
      <c r="U884" s="16" t="e">
        <v>#N/A</v>
      </c>
      <c r="V884" s="15"/>
      <c r="W884" s="15"/>
      <c r="X884" s="15"/>
      <c r="Y884" s="15"/>
      <c r="Z884" s="15"/>
    </row>
    <row r="885" spans="1:26" ht="29" customHeight="1" x14ac:dyDescent="0.35">
      <c r="A885" s="12">
        <v>884</v>
      </c>
      <c r="B885" s="13" t="s">
        <v>2707</v>
      </c>
      <c r="C885" s="14" t="s">
        <v>2708</v>
      </c>
      <c r="D885" s="13" t="s">
        <v>188</v>
      </c>
      <c r="E885" s="14" t="str">
        <f t="shared" si="16"/>
        <v>Laki-Laki</v>
      </c>
      <c r="F885" s="18" t="s">
        <v>2709</v>
      </c>
      <c r="G885" s="13" t="s">
        <v>2618</v>
      </c>
      <c r="H885" s="15" t="s">
        <v>2659</v>
      </c>
      <c r="I885" s="19" t="s">
        <v>90</v>
      </c>
      <c r="J885" s="12" t="s">
        <v>26</v>
      </c>
      <c r="K885" s="15" t="s">
        <v>394</v>
      </c>
      <c r="L885" s="70" t="s">
        <v>890</v>
      </c>
      <c r="M885" s="15">
        <v>2025</v>
      </c>
      <c r="N885" s="15" t="s">
        <v>118</v>
      </c>
      <c r="O885" s="15">
        <v>2027</v>
      </c>
      <c r="P885" s="15">
        <v>2024</v>
      </c>
      <c r="Q885" s="15"/>
      <c r="R885" s="16"/>
      <c r="S885" s="16" t="str">
        <f ca="1">IF(
  O885 &lt; YEAR(TODAY()),
  "LULUS",
  IF(
    O885 = YEAR(TODAY()),
    IF(
      MATCH(L885, {"Januari";"Februari";"Maret";"April";"Mei";"Juni";"Juli";"Agustus";"September";"Oktober";"November";"Desember"}, 0)
        &gt;= MONTH(TODAY()),
      "AKTIF (Semester " &amp;
        (INT((12*(YEAR(TODAY())-M885) + MONTH(TODAY()) -
          MATCH(L885, {"Januari";"Februari";"Maret";"April";"Mei";"Juni";"Juli";"Agustus";"September";"Oktober";"November";"Desember"}, 0)) / 6) + 1) &amp; ")",
      "LULUS"
    ),
    "AKTIF (Semester " &amp;
      (INT((12*(YEAR(TODAY())-M885) + MONTH(TODAY()) -
        MATCH(L885, {"Januari";"Februari";"Maret";"April";"Mei";"Juni";"Juli";"Agustus";"September";"Oktober";"November";"Desember"}, 0)) / 6) + 1) &amp; ")"
  )
)</f>
        <v>AKTIF (Semester 2)</v>
      </c>
      <c r="T885" s="16" t="str">
        <f ca="1">IF(O885 &lt; YEAR(TODAY()), "LULUS",
 IF(O885 = YEAR(TODAY()),
    IF(MATCH(N885, {"Januari";"Februari";"Maret";"April";"Mei";"Juni";"Juli";"Agustus";"September";"Oktober";"November";"Desember"},0)
        &lt;= MONTH(TODAY()),
        "LULUS",
        "AKTIF"),
 "AKTIF"))</f>
        <v>AKTIF</v>
      </c>
      <c r="U885" s="16" t="s">
        <v>2945</v>
      </c>
      <c r="V885" s="15"/>
      <c r="W885" s="15"/>
      <c r="X885" s="15"/>
      <c r="Y885" s="15"/>
      <c r="Z885" s="15"/>
    </row>
    <row r="886" spans="1:26" ht="29" customHeight="1" x14ac:dyDescent="0.35">
      <c r="A886" s="12">
        <v>885</v>
      </c>
      <c r="B886" s="13" t="s">
        <v>2711</v>
      </c>
      <c r="C886" s="14" t="s">
        <v>2712</v>
      </c>
      <c r="D886" s="13" t="s">
        <v>494</v>
      </c>
      <c r="E886" s="14" t="str">
        <f t="shared" si="16"/>
        <v>Perempuan</v>
      </c>
      <c r="F886" s="18" t="s">
        <v>2713</v>
      </c>
      <c r="G886" s="13" t="s">
        <v>2618</v>
      </c>
      <c r="H886" s="15" t="s">
        <v>2662</v>
      </c>
      <c r="I886" s="15" t="s">
        <v>2714</v>
      </c>
      <c r="J886" s="12" t="s">
        <v>45</v>
      </c>
      <c r="K886" s="15" t="s">
        <v>407</v>
      </c>
      <c r="L886" s="15" t="s">
        <v>28</v>
      </c>
      <c r="M886" s="15">
        <v>2024</v>
      </c>
      <c r="N886" s="15" t="s">
        <v>28</v>
      </c>
      <c r="O886" s="15">
        <v>2028</v>
      </c>
      <c r="P886" s="15">
        <v>2024</v>
      </c>
      <c r="Q886" s="15"/>
      <c r="R886" s="16"/>
      <c r="S886" s="16" t="str">
        <f ca="1">IF(
  O886 &lt; YEAR(TODAY()),
  "LULUS",
  IF(
    O886 = YEAR(TODAY()),
    IF(
      MATCH(L886, {"Januari";"Februari";"Maret";"April";"Mei";"Juni";"Juli";"Agustus";"September";"Oktober";"November";"Desember"}, 0)
        &gt;= MONTH(TODAY()),
      "AKTIF (Semester " &amp;
        (INT((12*(YEAR(TODAY())-M886) + MONTH(TODAY()) -
          MATCH(L886, {"Januari";"Februari";"Maret";"April";"Mei";"Juni";"Juli";"Agustus";"September";"Oktober";"November";"Desember"}, 0)) / 6) + 1) &amp; ")",
      "LULUS"
    ),
    "AKTIF (Semester " &amp;
      (INT((12*(YEAR(TODAY())-M886) + MONTH(TODAY()) -
        MATCH(L886, {"Januari";"Februari";"Maret";"April";"Mei";"Juni";"Juli";"Agustus";"September";"Oktober";"November";"Desember"}, 0)) / 6) + 1) &amp; ")"
  )
)</f>
        <v>AKTIF (Semester 3)</v>
      </c>
      <c r="T886" s="16" t="str">
        <f ca="1">IF(O886 &lt; YEAR(TODAY()), "LULUS",
 IF(O886 = YEAR(TODAY()),
    IF(MATCH(N886, {"Januari";"Februari";"Maret";"April";"Mei";"Juni";"Juli";"Agustus";"September";"Oktober";"November";"Desember"},0)
        &lt;= MONTH(TODAY()),
        "LULUS",
        "AKTIF"),
 "AKTIF"))</f>
        <v>AKTIF</v>
      </c>
      <c r="U886" s="16" t="s">
        <v>2940</v>
      </c>
      <c r="V886" s="15"/>
      <c r="W886" s="15"/>
      <c r="X886" s="15"/>
      <c r="Y886" s="15"/>
      <c r="Z886" s="15"/>
    </row>
    <row r="887" spans="1:26" ht="29" customHeight="1" x14ac:dyDescent="0.35">
      <c r="A887" s="12">
        <v>886</v>
      </c>
      <c r="B887" s="13" t="s">
        <v>2715</v>
      </c>
      <c r="C887" s="14" t="s">
        <v>2716</v>
      </c>
      <c r="D887" s="13" t="s">
        <v>903</v>
      </c>
      <c r="E887" s="14" t="str">
        <f t="shared" si="16"/>
        <v>Laki-Laki</v>
      </c>
      <c r="F887" s="18" t="s">
        <v>2717</v>
      </c>
      <c r="G887" s="13" t="s">
        <v>2618</v>
      </c>
      <c r="H887" s="15" t="s">
        <v>2645</v>
      </c>
      <c r="I887" s="52" t="s">
        <v>2485</v>
      </c>
      <c r="J887" s="12" t="s">
        <v>45</v>
      </c>
      <c r="K887" s="15" t="s">
        <v>2532</v>
      </c>
      <c r="L887" s="15"/>
      <c r="M887" s="15">
        <v>2024</v>
      </c>
      <c r="N887" s="15">
        <v>0</v>
      </c>
      <c r="O887" s="15">
        <v>2028</v>
      </c>
      <c r="P887" s="15">
        <v>2024</v>
      </c>
      <c r="Q887" s="15"/>
      <c r="R887" s="16"/>
      <c r="S887" s="16" t="e">
        <f ca="1">IF(
  O887 &lt; YEAR(TODAY()),
  "LULUS",
  IF(
    O887 = YEAR(TODAY()),
    IF(
      MATCH(L887, {"Januari";"Februari";"Maret";"April";"Mei";"Juni";"Juli";"Agustus";"September";"Oktober";"November";"Desember"}, 0)
        &gt;= MONTH(TODAY()),
      "AKTIF (Semester " &amp;
        (INT((12*(YEAR(TODAY())-M887) + MONTH(TODAY()) -
          MATCH(L887, {"Januari";"Februari";"Maret";"April";"Mei";"Juni";"Juli";"Agustus";"September";"Oktober";"November";"Desember"}, 0)) / 6) + 1) &amp; ")",
      "LULUS"
    ),
    "AKTIF (Semester " &amp;
      (INT((12*(YEAR(TODAY())-M887) + MONTH(TODAY()) -
        MATCH(L887, {"Januari";"Februari";"Maret";"April";"Mei";"Juni";"Juli";"Agustus";"September";"Oktober";"November";"Desember"}, 0)) / 6) + 1) &amp; ")"
  )
)</f>
        <v>#N/A</v>
      </c>
      <c r="T887" s="16" t="str">
        <f ca="1">IF(O887 &lt; YEAR(TODAY()), "LULUS",
 IF(O887 = YEAR(TODAY()),
    IF(MATCH(N887, {"Januari";"Februari";"Maret";"April";"Mei";"Juni";"Juli";"Agustus";"September";"Oktober";"November";"Desember"},0)
        &lt;= MONTH(TODAY()),
        "LULUS",
        "AKTIF"),
 "AKTIF"))</f>
        <v>AKTIF</v>
      </c>
      <c r="U887" s="16" t="e">
        <v>#N/A</v>
      </c>
      <c r="V887" s="15"/>
      <c r="W887" s="15"/>
      <c r="X887" s="15"/>
      <c r="Y887" s="15"/>
      <c r="Z887" s="15"/>
    </row>
    <row r="888" spans="1:26" ht="29" customHeight="1" x14ac:dyDescent="0.35">
      <c r="A888" s="12">
        <v>887</v>
      </c>
      <c r="B888" s="13" t="s">
        <v>2718</v>
      </c>
      <c r="C888" s="14" t="s">
        <v>2719</v>
      </c>
      <c r="D888" s="13" t="s">
        <v>2720</v>
      </c>
      <c r="E888" s="14" t="str">
        <f t="shared" si="16"/>
        <v>Perempuan</v>
      </c>
      <c r="F888" s="18" t="s">
        <v>500</v>
      </c>
      <c r="G888" s="13" t="s">
        <v>2618</v>
      </c>
      <c r="H888" s="15" t="s">
        <v>2721</v>
      </c>
      <c r="I888" s="19" t="s">
        <v>90</v>
      </c>
      <c r="J888" s="12" t="s">
        <v>45</v>
      </c>
      <c r="K888" s="15" t="s">
        <v>117</v>
      </c>
      <c r="L888" s="15" t="s">
        <v>28</v>
      </c>
      <c r="M888" s="15">
        <v>2024</v>
      </c>
      <c r="N888" s="15" t="s">
        <v>28</v>
      </c>
      <c r="O888" s="15">
        <v>2028</v>
      </c>
      <c r="P888" s="15">
        <v>2024</v>
      </c>
      <c r="Q888" s="15"/>
      <c r="R888" s="16"/>
      <c r="S888" s="16" t="str">
        <f ca="1">IF(
  O888 &lt; YEAR(TODAY()),
  "LULUS",
  IF(
    O888 = YEAR(TODAY()),
    IF(
      MATCH(L888, {"Januari";"Februari";"Maret";"April";"Mei";"Juni";"Juli";"Agustus";"September";"Oktober";"November";"Desember"}, 0)
        &gt;= MONTH(TODAY()),
      "AKTIF (Semester " &amp;
        (INT((12*(YEAR(TODAY())-M888) + MONTH(TODAY()) -
          MATCH(L888, {"Januari";"Februari";"Maret";"April";"Mei";"Juni";"Juli";"Agustus";"September";"Oktober";"November";"Desember"}, 0)) / 6) + 1) &amp; ")",
      "LULUS"
    ),
    "AKTIF (Semester " &amp;
      (INT((12*(YEAR(TODAY())-M888) + MONTH(TODAY()) -
        MATCH(L888, {"Januari";"Februari";"Maret";"April";"Mei";"Juni";"Juli";"Agustus";"September";"Oktober";"November";"Desember"}, 0)) / 6) + 1) &amp; ")"
  )
)</f>
        <v>AKTIF (Semester 3)</v>
      </c>
      <c r="T888" s="16" t="str">
        <f ca="1">IF(O888 &lt; YEAR(TODAY()), "LULUS",
 IF(O888 = YEAR(TODAY()),
    IF(MATCH(N888, {"Januari";"Februari";"Maret";"April";"Mei";"Juni";"Juli";"Agustus";"September";"Oktober";"November";"Desember"},0)
        &lt;= MONTH(TODAY()),
        "LULUS",
        "AKTIF"),
 "AKTIF"))</f>
        <v>AKTIF</v>
      </c>
      <c r="U888" s="16" t="s">
        <v>2940</v>
      </c>
      <c r="V888" s="15"/>
      <c r="W888" s="15"/>
      <c r="X888" s="15"/>
      <c r="Y888" s="15"/>
      <c r="Z888" s="15"/>
    </row>
    <row r="889" spans="1:26" ht="29" customHeight="1" x14ac:dyDescent="0.35">
      <c r="A889" s="12">
        <v>888</v>
      </c>
      <c r="B889" s="13" t="s">
        <v>2723</v>
      </c>
      <c r="C889" s="14" t="s">
        <v>2724</v>
      </c>
      <c r="D889" s="13" t="s">
        <v>519</v>
      </c>
      <c r="E889" s="14" t="str">
        <f t="shared" si="16"/>
        <v>Laki-Laki</v>
      </c>
      <c r="F889" s="18" t="s">
        <v>2725</v>
      </c>
      <c r="G889" s="13" t="s">
        <v>2618</v>
      </c>
      <c r="H889" s="15" t="s">
        <v>2726</v>
      </c>
      <c r="I889" s="19" t="s">
        <v>90</v>
      </c>
      <c r="J889" s="12" t="s">
        <v>45</v>
      </c>
      <c r="K889" s="15" t="s">
        <v>569</v>
      </c>
      <c r="L889" s="15"/>
      <c r="M889" s="15">
        <v>2024</v>
      </c>
      <c r="N889" s="15">
        <v>0</v>
      </c>
      <c r="O889" s="15">
        <v>2028</v>
      </c>
      <c r="P889" s="15">
        <v>2024</v>
      </c>
      <c r="Q889" s="15"/>
      <c r="R889" s="16"/>
      <c r="S889" s="16" t="e">
        <f ca="1">IF(
  O889 &lt; YEAR(TODAY()),
  "LULUS",
  IF(
    O889 = YEAR(TODAY()),
    IF(
      MATCH(L889, {"Januari";"Februari";"Maret";"April";"Mei";"Juni";"Juli";"Agustus";"September";"Oktober";"November";"Desember"}, 0)
        &gt;= MONTH(TODAY()),
      "AKTIF (Semester " &amp;
        (INT((12*(YEAR(TODAY())-M889) + MONTH(TODAY()) -
          MATCH(L889, {"Januari";"Februari";"Maret";"April";"Mei";"Juni";"Juli";"Agustus";"September";"Oktober";"November";"Desember"}, 0)) / 6) + 1) &amp; ")",
      "LULUS"
    ),
    "AKTIF (Semester " &amp;
      (INT((12*(YEAR(TODAY())-M889) + MONTH(TODAY()) -
        MATCH(L889, {"Januari";"Februari";"Maret";"April";"Mei";"Juni";"Juli";"Agustus";"September";"Oktober";"November";"Desember"}, 0)) / 6) + 1) &amp; ")"
  )
)</f>
        <v>#N/A</v>
      </c>
      <c r="T889" s="16" t="str">
        <f ca="1">IF(O889 &lt; YEAR(TODAY()), "LULUS",
 IF(O889 = YEAR(TODAY()),
    IF(MATCH(N889, {"Januari";"Februari";"Maret";"April";"Mei";"Juni";"Juli";"Agustus";"September";"Oktober";"November";"Desember"},0)
        &lt;= MONTH(TODAY()),
        "LULUS",
        "AKTIF"),
 "AKTIF"))</f>
        <v>AKTIF</v>
      </c>
      <c r="U889" s="16" t="e">
        <v>#N/A</v>
      </c>
      <c r="V889" s="15"/>
      <c r="W889" s="15"/>
      <c r="X889" s="15"/>
      <c r="Y889" s="15"/>
      <c r="Z889" s="15"/>
    </row>
    <row r="890" spans="1:26" ht="29" customHeight="1" x14ac:dyDescent="0.35">
      <c r="A890" s="12">
        <v>889</v>
      </c>
      <c r="B890" s="13" t="s">
        <v>2728</v>
      </c>
      <c r="C890" s="14" t="s">
        <v>2729</v>
      </c>
      <c r="D890" s="13" t="s">
        <v>2730</v>
      </c>
      <c r="E890" s="14" t="str">
        <f t="shared" si="16"/>
        <v>Laki-Laki</v>
      </c>
      <c r="F890" s="18" t="s">
        <v>2731</v>
      </c>
      <c r="G890" s="13" t="s">
        <v>2618</v>
      </c>
      <c r="H890" s="15" t="s">
        <v>2677</v>
      </c>
      <c r="I890" s="52" t="s">
        <v>2485</v>
      </c>
      <c r="J890" s="12" t="s">
        <v>45</v>
      </c>
      <c r="K890" s="15" t="s">
        <v>46</v>
      </c>
      <c r="L890" s="70" t="s">
        <v>60</v>
      </c>
      <c r="M890" s="15">
        <v>2024</v>
      </c>
      <c r="N890" s="15" t="s">
        <v>145</v>
      </c>
      <c r="O890" s="15">
        <v>2028</v>
      </c>
      <c r="P890" s="15">
        <v>2024</v>
      </c>
      <c r="Q890" s="15"/>
      <c r="R890" s="16"/>
      <c r="S890" s="16" t="str">
        <f ca="1">IF(
  O890 &lt; YEAR(TODAY()),
  "LULUS",
  IF(
    O890 = YEAR(TODAY()),
    IF(
      MATCH(L890, {"Januari";"Februari";"Maret";"April";"Mei";"Juni";"Juli";"Agustus";"September";"Oktober";"November";"Desember"}, 0)
        &gt;= MONTH(TODAY()),
      "AKTIF (Semester " &amp;
        (INT((12*(YEAR(TODAY())-M890) + MONTH(TODAY()) -
          MATCH(L890, {"Januari";"Februari";"Maret";"April";"Mei";"Juni";"Juli";"Agustus";"September";"Oktober";"November";"Desember"}, 0)) / 6) + 1) &amp; ")",
      "LULUS"
    ),
    "AKTIF (Semester " &amp;
      (INT((12*(YEAR(TODAY())-M890) + MONTH(TODAY()) -
        MATCH(L890, {"Januari";"Februari";"Maret";"April";"Mei";"Juni";"Juli";"Agustus";"September";"Oktober";"November";"Desember"}, 0)) / 6) + 1) &amp; ")"
  )
)</f>
        <v>AKTIF (Semester 3)</v>
      </c>
      <c r="T890" s="16" t="str">
        <f ca="1">IF(O890 &lt; YEAR(TODAY()), "LULUS",
 IF(O890 = YEAR(TODAY()),
    IF(MATCH(N890, {"Januari";"Februari";"Maret";"April";"Mei";"Juni";"Juli";"Agustus";"September";"Oktober";"November";"Desember"},0)
        &lt;= MONTH(TODAY()),
        "LULUS",
        "AKTIF"),
 "AKTIF"))</f>
        <v>AKTIF</v>
      </c>
      <c r="U890" s="16" t="s">
        <v>2940</v>
      </c>
      <c r="V890" s="15"/>
      <c r="W890" s="15"/>
      <c r="X890" s="15"/>
      <c r="Y890" s="15"/>
      <c r="Z890" s="15"/>
    </row>
    <row r="891" spans="1:26" ht="29" customHeight="1" x14ac:dyDescent="0.35">
      <c r="A891" s="12">
        <v>890</v>
      </c>
      <c r="B891" s="13" t="s">
        <v>2733</v>
      </c>
      <c r="C891" s="14" t="s">
        <v>2734</v>
      </c>
      <c r="D891" s="13" t="s">
        <v>903</v>
      </c>
      <c r="E891" s="14" t="str">
        <f t="shared" si="16"/>
        <v>Laki-Laki</v>
      </c>
      <c r="F891" s="18" t="s">
        <v>2636</v>
      </c>
      <c r="G891" s="13" t="s">
        <v>2618</v>
      </c>
      <c r="H891" s="15" t="s">
        <v>2637</v>
      </c>
      <c r="I891" s="19" t="s">
        <v>90</v>
      </c>
      <c r="J891" s="12" t="s">
        <v>45</v>
      </c>
      <c r="K891" s="15" t="s">
        <v>569</v>
      </c>
      <c r="L891" s="15"/>
      <c r="M891" s="15">
        <v>2024</v>
      </c>
      <c r="N891" s="15">
        <v>0</v>
      </c>
      <c r="O891" s="15">
        <v>2028</v>
      </c>
      <c r="P891" s="15">
        <v>2024</v>
      </c>
      <c r="Q891" s="15"/>
      <c r="R891" s="16"/>
      <c r="S891" s="16" t="e">
        <f ca="1">IF(
  O891 &lt; YEAR(TODAY()),
  "LULUS",
  IF(
    O891 = YEAR(TODAY()),
    IF(
      MATCH(L891, {"Januari";"Februari";"Maret";"April";"Mei";"Juni";"Juli";"Agustus";"September";"Oktober";"November";"Desember"}, 0)
        &gt;= MONTH(TODAY()),
      "AKTIF (Semester " &amp;
        (INT((12*(YEAR(TODAY())-M891) + MONTH(TODAY()) -
          MATCH(L891, {"Januari";"Februari";"Maret";"April";"Mei";"Juni";"Juli";"Agustus";"September";"Oktober";"November";"Desember"}, 0)) / 6) + 1) &amp; ")",
      "LULUS"
    ),
    "AKTIF (Semester " &amp;
      (INT((12*(YEAR(TODAY())-M891) + MONTH(TODAY()) -
        MATCH(L891, {"Januari";"Februari";"Maret";"April";"Mei";"Juni";"Juli";"Agustus";"September";"Oktober";"November";"Desember"}, 0)) / 6) + 1) &amp; ")"
  )
)</f>
        <v>#N/A</v>
      </c>
      <c r="T891" s="16" t="str">
        <f ca="1">IF(O891 &lt; YEAR(TODAY()), "LULUS",
 IF(O891 = YEAR(TODAY()),
    IF(MATCH(N891, {"Januari";"Februari";"Maret";"April";"Mei";"Juni";"Juli";"Agustus";"September";"Oktober";"November";"Desember"},0)
        &lt;= MONTH(TODAY()),
        "LULUS",
        "AKTIF"),
 "AKTIF"))</f>
        <v>AKTIF</v>
      </c>
      <c r="U891" s="16" t="e">
        <v>#N/A</v>
      </c>
      <c r="V891" s="15"/>
      <c r="W891" s="15"/>
      <c r="X891" s="15"/>
      <c r="Y891" s="15"/>
      <c r="Z891" s="15"/>
    </row>
    <row r="892" spans="1:26" ht="29" customHeight="1" x14ac:dyDescent="0.35">
      <c r="A892" s="12">
        <v>891</v>
      </c>
      <c r="B892" s="13" t="s">
        <v>2735</v>
      </c>
      <c r="C892" s="14" t="s">
        <v>2736</v>
      </c>
      <c r="D892" s="13" t="s">
        <v>903</v>
      </c>
      <c r="E892" s="14" t="str">
        <f t="shared" si="16"/>
        <v>Perempuan</v>
      </c>
      <c r="F892" s="18" t="s">
        <v>2737</v>
      </c>
      <c r="G892" s="13" t="s">
        <v>2618</v>
      </c>
      <c r="H892" s="15" t="s">
        <v>2738</v>
      </c>
      <c r="I892" s="19" t="s">
        <v>90</v>
      </c>
      <c r="J892" s="12" t="s">
        <v>45</v>
      </c>
      <c r="K892" s="15" t="s">
        <v>651</v>
      </c>
      <c r="L892" s="15" t="s">
        <v>28</v>
      </c>
      <c r="M892" s="15">
        <v>2024</v>
      </c>
      <c r="N892" s="15" t="s">
        <v>28</v>
      </c>
      <c r="O892" s="15">
        <v>2028</v>
      </c>
      <c r="P892" s="15">
        <v>2024</v>
      </c>
      <c r="Q892" s="15"/>
      <c r="R892" s="16"/>
      <c r="S892" s="16" t="str">
        <f ca="1">IF(
  O892 &lt; YEAR(TODAY()),
  "LULUS",
  IF(
    O892 = YEAR(TODAY()),
    IF(
      MATCH(L892, {"Januari";"Februari";"Maret";"April";"Mei";"Juni";"Juli";"Agustus";"September";"Oktober";"November";"Desember"}, 0)
        &gt;= MONTH(TODAY()),
      "AKTIF (Semester " &amp;
        (INT((12*(YEAR(TODAY())-M892) + MONTH(TODAY()) -
          MATCH(L892, {"Januari";"Februari";"Maret";"April";"Mei";"Juni";"Juli";"Agustus";"September";"Oktober";"November";"Desember"}, 0)) / 6) + 1) &amp; ")",
      "LULUS"
    ),
    "AKTIF (Semester " &amp;
      (INT((12*(YEAR(TODAY())-M892) + MONTH(TODAY()) -
        MATCH(L892, {"Januari";"Februari";"Maret";"April";"Mei";"Juni";"Juli";"Agustus";"September";"Oktober";"November";"Desember"}, 0)) / 6) + 1) &amp; ")"
  )
)</f>
        <v>AKTIF (Semester 3)</v>
      </c>
      <c r="T892" s="16" t="str">
        <f ca="1">IF(O892 &lt; YEAR(TODAY()), "LULUS",
 IF(O892 = YEAR(TODAY()),
    IF(MATCH(N892, {"Januari";"Februari";"Maret";"April";"Mei";"Juni";"Juli";"Agustus";"September";"Oktober";"November";"Desember"},0)
        &lt;= MONTH(TODAY()),
        "LULUS",
        "AKTIF"),
 "AKTIF"))</f>
        <v>AKTIF</v>
      </c>
      <c r="U892" s="16" t="s">
        <v>2940</v>
      </c>
      <c r="V892" s="15"/>
      <c r="W892" s="15"/>
      <c r="X892" s="15"/>
      <c r="Y892" s="15"/>
      <c r="Z892" s="15"/>
    </row>
    <row r="893" spans="1:26" ht="29" customHeight="1" x14ac:dyDescent="0.35">
      <c r="A893" s="12">
        <v>892</v>
      </c>
      <c r="B893" s="13" t="s">
        <v>2739</v>
      </c>
      <c r="C893" s="14" t="s">
        <v>2740</v>
      </c>
      <c r="D893" s="13" t="s">
        <v>188</v>
      </c>
      <c r="E893" s="14" t="str">
        <f t="shared" si="16"/>
        <v>Perempuan</v>
      </c>
      <c r="F893" s="18" t="s">
        <v>2684</v>
      </c>
      <c r="G893" s="13" t="s">
        <v>2618</v>
      </c>
      <c r="H893" s="15" t="s">
        <v>2642</v>
      </c>
      <c r="I893" s="19" t="s">
        <v>90</v>
      </c>
      <c r="J893" s="12" t="s">
        <v>26</v>
      </c>
      <c r="K893" s="15" t="s">
        <v>394</v>
      </c>
      <c r="L893" s="15" t="s">
        <v>28</v>
      </c>
      <c r="M893" s="15">
        <v>2024</v>
      </c>
      <c r="N893" s="15" t="s">
        <v>28</v>
      </c>
      <c r="O893" s="15">
        <v>2026</v>
      </c>
      <c r="P893" s="15">
        <v>2024</v>
      </c>
      <c r="Q893" s="15"/>
      <c r="R893" s="16"/>
      <c r="S893" s="16" t="str">
        <f ca="1">IF(
  O893 &lt; YEAR(TODAY()),
  "LULUS",
  IF(
    O893 = YEAR(TODAY()),
    IF(
      MATCH(L893, {"Januari";"Februari";"Maret";"April";"Mei";"Juni";"Juli";"Agustus";"September";"Oktober";"November";"Desember"}, 0)
        &gt;= MONTH(TODAY()),
      "AKTIF (Semester " &amp;
        (INT((12*(YEAR(TODAY())-M893) + MONTH(TODAY()) -
          MATCH(L893, {"Januari";"Februari";"Maret";"April";"Mei";"Juni";"Juli";"Agustus";"September";"Oktober";"November";"Desember"}, 0)) / 6) + 1) &amp; ")",
      "LULUS"
    ),
    "AKTIF (Semester " &amp;
      (INT((12*(YEAR(TODAY())-M893) + MONTH(TODAY()) -
        MATCH(L893, {"Januari";"Februari";"Maret";"April";"Mei";"Juni";"Juli";"Agustus";"September";"Oktober";"November";"Desember"}, 0)) / 6) + 1) &amp; ")"
  )
)</f>
        <v>AKTIF (Semester 3)</v>
      </c>
      <c r="T893" s="16" t="str">
        <f ca="1">IF(O893 &lt; YEAR(TODAY()), "LULUS",
 IF(O893 = YEAR(TODAY()),
    IF(MATCH(N893, {"Januari";"Februari";"Maret";"April";"Mei";"Juni";"Juli";"Agustus";"September";"Oktober";"November";"Desember"},0)
        &lt;= MONTH(TODAY()),
        "LULUS",
        "AKTIF"),
 "AKTIF"))</f>
        <v>AKTIF</v>
      </c>
      <c r="U893" s="16" t="s">
        <v>2940</v>
      </c>
      <c r="V893" s="15"/>
      <c r="W893" s="15"/>
      <c r="X893" s="15"/>
      <c r="Y893" s="15"/>
      <c r="Z893" s="15"/>
    </row>
    <row r="894" spans="1:26" ht="29" customHeight="1" x14ac:dyDescent="0.35">
      <c r="A894" s="12">
        <v>893</v>
      </c>
      <c r="B894" s="13" t="s">
        <v>2741</v>
      </c>
      <c r="C894" s="14" t="s">
        <v>2742</v>
      </c>
      <c r="D894" s="13" t="s">
        <v>215</v>
      </c>
      <c r="E894" s="14" t="str">
        <f t="shared" si="16"/>
        <v>Perempuan</v>
      </c>
      <c r="F894" s="18" t="s">
        <v>579</v>
      </c>
      <c r="G894" s="13" t="s">
        <v>2618</v>
      </c>
      <c r="H894" s="15" t="s">
        <v>2743</v>
      </c>
      <c r="I894" s="19" t="s">
        <v>90</v>
      </c>
      <c r="J894" s="12" t="s">
        <v>45</v>
      </c>
      <c r="K894" s="15" t="s">
        <v>2744</v>
      </c>
      <c r="L894" s="15" t="s">
        <v>28</v>
      </c>
      <c r="M894" s="15">
        <v>2024</v>
      </c>
      <c r="N894" s="15" t="s">
        <v>28</v>
      </c>
      <c r="O894" s="15">
        <v>2028</v>
      </c>
      <c r="P894" s="15">
        <v>2024</v>
      </c>
      <c r="Q894" s="15"/>
      <c r="R894" s="16"/>
      <c r="S894" s="16" t="str">
        <f ca="1">IF(
  O894 &lt; YEAR(TODAY()),
  "LULUS",
  IF(
    O894 = YEAR(TODAY()),
    IF(
      MATCH(L894, {"Januari";"Februari";"Maret";"April";"Mei";"Juni";"Juli";"Agustus";"September";"Oktober";"November";"Desember"}, 0)
        &gt;= MONTH(TODAY()),
      "AKTIF (Semester " &amp;
        (INT((12*(YEAR(TODAY())-M894) + MONTH(TODAY()) -
          MATCH(L894, {"Januari";"Februari";"Maret";"April";"Mei";"Juni";"Juli";"Agustus";"September";"Oktober";"November";"Desember"}, 0)) / 6) + 1) &amp; ")",
      "LULUS"
    ),
    "AKTIF (Semester " &amp;
      (INT((12*(YEAR(TODAY())-M894) + MONTH(TODAY()) -
        MATCH(L894, {"Januari";"Februari";"Maret";"April";"Mei";"Juni";"Juli";"Agustus";"September";"Oktober";"November";"Desember"}, 0)) / 6) + 1) &amp; ")"
  )
)</f>
        <v>AKTIF (Semester 3)</v>
      </c>
      <c r="T894" s="16" t="str">
        <f ca="1">IF(O894 &lt; YEAR(TODAY()), "LULUS",
 IF(O894 = YEAR(TODAY()),
    IF(MATCH(N894, {"Januari";"Februari";"Maret";"April";"Mei";"Juni";"Juli";"Agustus";"September";"Oktober";"November";"Desember"},0)
        &lt;= MONTH(TODAY()),
        "LULUS",
        "AKTIF"),
 "AKTIF"))</f>
        <v>AKTIF</v>
      </c>
      <c r="U894" s="16" t="s">
        <v>2940</v>
      </c>
      <c r="V894" s="15"/>
      <c r="W894" s="15"/>
      <c r="X894" s="15"/>
      <c r="Y894" s="15"/>
      <c r="Z894" s="15"/>
    </row>
    <row r="895" spans="1:26" ht="29" customHeight="1" x14ac:dyDescent="0.35">
      <c r="A895" s="12">
        <v>894</v>
      </c>
      <c r="B895" s="13" t="s">
        <v>2746</v>
      </c>
      <c r="C895" s="14" t="s">
        <v>2747</v>
      </c>
      <c r="D895" s="13" t="s">
        <v>2748</v>
      </c>
      <c r="E895" s="14" t="str">
        <f t="shared" si="16"/>
        <v>Laki-Laki</v>
      </c>
      <c r="F895" s="18" t="s">
        <v>2749</v>
      </c>
      <c r="G895" s="13" t="s">
        <v>2618</v>
      </c>
      <c r="H895" s="15" t="s">
        <v>2750</v>
      </c>
      <c r="I895" s="19" t="s">
        <v>90</v>
      </c>
      <c r="J895" s="12" t="s">
        <v>242</v>
      </c>
      <c r="K895" s="15" t="s">
        <v>257</v>
      </c>
      <c r="L895" s="15"/>
      <c r="M895" s="15">
        <v>2024</v>
      </c>
      <c r="N895" s="15">
        <v>0</v>
      </c>
      <c r="O895" s="15">
        <v>2027</v>
      </c>
      <c r="P895" s="15">
        <v>2024</v>
      </c>
      <c r="Q895" s="15"/>
      <c r="R895" s="16"/>
      <c r="S895" s="16" t="e">
        <f ca="1">IF(
  O895 &lt; YEAR(TODAY()),
  "LULUS",
  IF(
    O895 = YEAR(TODAY()),
    IF(
      MATCH(L895, {"Januari";"Februari";"Maret";"April";"Mei";"Juni";"Juli";"Agustus";"September";"Oktober";"November";"Desember"}, 0)
        &gt;= MONTH(TODAY()),
      "AKTIF (Semester " &amp;
        (INT((12*(YEAR(TODAY())-M895) + MONTH(TODAY()) -
          MATCH(L895, {"Januari";"Februari";"Maret";"April";"Mei";"Juni";"Juli";"Agustus";"September";"Oktober";"November";"Desember"}, 0)) / 6) + 1) &amp; ")",
      "LULUS"
    ),
    "AKTIF (Semester " &amp;
      (INT((12*(YEAR(TODAY())-M895) + MONTH(TODAY()) -
        MATCH(L895, {"Januari";"Februari";"Maret";"April";"Mei";"Juni";"Juli";"Agustus";"September";"Oktober";"November";"Desember"}, 0)) / 6) + 1) &amp; ")"
  )
)</f>
        <v>#N/A</v>
      </c>
      <c r="T895" s="16" t="str">
        <f ca="1">IF(O895 &lt; YEAR(TODAY()), "LULUS",
 IF(O895 = YEAR(TODAY()),
    IF(MATCH(N895, {"Januari";"Februari";"Maret";"April";"Mei";"Juni";"Juli";"Agustus";"September";"Oktober";"November";"Desember"},0)
        &lt;= MONTH(TODAY()),
        "LULUS",
        "AKTIF"),
 "AKTIF"))</f>
        <v>AKTIF</v>
      </c>
      <c r="U895" s="16" t="e">
        <v>#N/A</v>
      </c>
      <c r="V895" s="15"/>
      <c r="W895" s="15"/>
      <c r="X895" s="15"/>
      <c r="Y895" s="15"/>
      <c r="Z895" s="15"/>
    </row>
    <row r="896" spans="1:26" ht="29" customHeight="1" x14ac:dyDescent="0.35">
      <c r="A896" s="12">
        <v>895</v>
      </c>
      <c r="B896" s="13" t="s">
        <v>2751</v>
      </c>
      <c r="C896" s="14" t="s">
        <v>2752</v>
      </c>
      <c r="D896" s="13" t="s">
        <v>2753</v>
      </c>
      <c r="E896" s="14" t="str">
        <f t="shared" si="16"/>
        <v>Laki-Laki</v>
      </c>
      <c r="F896" s="18" t="s">
        <v>2636</v>
      </c>
      <c r="G896" s="13" t="s">
        <v>2618</v>
      </c>
      <c r="H896" s="15" t="s">
        <v>2754</v>
      </c>
      <c r="I896" s="19" t="s">
        <v>90</v>
      </c>
      <c r="J896" s="12" t="s">
        <v>45</v>
      </c>
      <c r="K896" s="15" t="s">
        <v>569</v>
      </c>
      <c r="L896" s="29" t="s">
        <v>28</v>
      </c>
      <c r="M896" s="15">
        <v>2024</v>
      </c>
      <c r="N896" s="15" t="s">
        <v>2326</v>
      </c>
      <c r="O896" s="15">
        <v>2028</v>
      </c>
      <c r="P896" s="15">
        <v>2024</v>
      </c>
      <c r="Q896" s="15"/>
      <c r="R896" s="16"/>
      <c r="S896" s="16" t="str">
        <f ca="1">IF(
  O896 &lt; YEAR(TODAY()),
  "LULUS",
  IF(
    O896 = YEAR(TODAY()),
    IF(
      MATCH(L896, {"Januari";"Februari";"Maret";"April";"Mei";"Juni";"Juli";"Agustus";"September";"Oktober";"November";"Desember"}, 0)
        &gt;= MONTH(TODAY()),
      "AKTIF (Semester " &amp;
        (INT((12*(YEAR(TODAY())-M896) + MONTH(TODAY()) -
          MATCH(L896, {"Januari";"Februari";"Maret";"April";"Mei";"Juni";"Juli";"Agustus";"September";"Oktober";"November";"Desember"}, 0)) / 6) + 1) &amp; ")",
      "LULUS"
    ),
    "AKTIF (Semester " &amp;
      (INT((12*(YEAR(TODAY())-M896) + MONTH(TODAY()) -
        MATCH(L896, {"Januari";"Februari";"Maret";"April";"Mei";"Juni";"Juli";"Agustus";"September";"Oktober";"November";"Desember"}, 0)) / 6) + 1) &amp; ")"
  )
)</f>
        <v>AKTIF (Semester 3)</v>
      </c>
      <c r="T896" s="16" t="str">
        <f ca="1">IF(O896 &lt; YEAR(TODAY()), "LULUS",
 IF(O896 = YEAR(TODAY()),
    IF(MATCH(N896, {"Januari";"Februari";"Maret";"April";"Mei";"Juni";"Juli";"Agustus";"September";"Oktober";"November";"Desember"},0)
        &lt;= MONTH(TODAY()),
        "LULUS",
        "AKTIF"),
 "AKTIF"))</f>
        <v>AKTIF</v>
      </c>
      <c r="U896" s="16" t="s">
        <v>2940</v>
      </c>
      <c r="V896" s="15"/>
      <c r="W896" s="15"/>
      <c r="X896" s="15"/>
      <c r="Y896" s="15"/>
      <c r="Z896" s="15"/>
    </row>
    <row r="897" spans="1:26" ht="29" customHeight="1" x14ac:dyDescent="0.35">
      <c r="A897" s="12">
        <v>896</v>
      </c>
      <c r="B897" s="13" t="s">
        <v>2756</v>
      </c>
      <c r="C897" s="14" t="s">
        <v>2757</v>
      </c>
      <c r="D897" s="13" t="s">
        <v>215</v>
      </c>
      <c r="E897" s="14" t="str">
        <f t="shared" ref="E897:E923" si="17">IF(MID(C897,15,1)="1","Laki-Laki","Perempuan")</f>
        <v>Laki-Laki</v>
      </c>
      <c r="F897" s="18" t="s">
        <v>2758</v>
      </c>
      <c r="G897" s="13" t="s">
        <v>2618</v>
      </c>
      <c r="H897" s="15" t="s">
        <v>2624</v>
      </c>
      <c r="I897" s="19" t="s">
        <v>90</v>
      </c>
      <c r="J897" s="12" t="s">
        <v>45</v>
      </c>
      <c r="K897" s="15" t="s">
        <v>2759</v>
      </c>
      <c r="L897" s="15" t="s">
        <v>169</v>
      </c>
      <c r="M897" s="15">
        <v>2024</v>
      </c>
      <c r="N897" s="15" t="s">
        <v>169</v>
      </c>
      <c r="O897" s="15">
        <v>2028</v>
      </c>
      <c r="P897" s="15">
        <v>2024</v>
      </c>
      <c r="Q897" s="15"/>
      <c r="R897" s="16"/>
      <c r="S897" s="16" t="str">
        <f ca="1">IF(
  O897 &lt; YEAR(TODAY()),
  "LULUS",
  IF(
    O897 = YEAR(TODAY()),
    IF(
      MATCH(L897, {"Januari";"Februari";"Maret";"April";"Mei";"Juni";"Juli";"Agustus";"September";"Oktober";"November";"Desember"}, 0)
        &gt;= MONTH(TODAY()),
      "AKTIF (Semester " &amp;
        (INT((12*(YEAR(TODAY())-M897) + MONTH(TODAY()) -
          MATCH(L897, {"Januari";"Februari";"Maret";"April";"Mei";"Juni";"Juli";"Agustus";"September";"Oktober";"November";"Desember"}, 0)) / 6) + 1) &amp; ")",
      "LULUS"
    ),
    "AKTIF (Semester " &amp;
      (INT((12*(YEAR(TODAY())-M897) + MONTH(TODAY()) -
        MATCH(L897, {"Januari";"Februari";"Maret";"April";"Mei";"Juni";"Juli";"Agustus";"September";"Oktober";"November";"Desember"}, 0)) / 6) + 1) &amp; ")"
  )
)</f>
        <v>AKTIF (Semester 3)</v>
      </c>
      <c r="T897" s="16" t="str">
        <f ca="1">IF(O897 &lt; YEAR(TODAY()), "LULUS",
 IF(O897 = YEAR(TODAY()),
    IF(MATCH(N897, {"Januari";"Februari";"Maret";"April";"Mei";"Juni";"Juli";"Agustus";"September";"Oktober";"November";"Desember"},0)
        &lt;= MONTH(TODAY()),
        "LULUS",
        "AKTIF"),
 "AKTIF"))</f>
        <v>AKTIF</v>
      </c>
      <c r="U897" s="16" t="s">
        <v>2940</v>
      </c>
      <c r="V897" s="15"/>
      <c r="W897" s="15"/>
      <c r="X897" s="15"/>
      <c r="Y897" s="15"/>
      <c r="Z897" s="15"/>
    </row>
    <row r="898" spans="1:26" ht="29" customHeight="1" x14ac:dyDescent="0.35">
      <c r="A898" s="12">
        <v>897</v>
      </c>
      <c r="B898" s="13" t="s">
        <v>2760</v>
      </c>
      <c r="C898" s="14"/>
      <c r="D898" s="13"/>
      <c r="E898" s="14" t="str">
        <f t="shared" si="17"/>
        <v>Perempuan</v>
      </c>
      <c r="F898" s="18"/>
      <c r="G898" s="13" t="s">
        <v>2618</v>
      </c>
      <c r="H898" s="15"/>
      <c r="I898" s="19" t="s">
        <v>90</v>
      </c>
      <c r="J898" s="12" t="s">
        <v>45</v>
      </c>
      <c r="K898" s="15" t="s">
        <v>651</v>
      </c>
      <c r="L898" s="15"/>
      <c r="M898" s="15"/>
      <c r="N898" s="15">
        <v>0</v>
      </c>
      <c r="O898" s="15"/>
      <c r="P898" s="15">
        <v>2024</v>
      </c>
      <c r="Q898" s="15"/>
      <c r="R898" s="16"/>
      <c r="S898" s="16" t="str">
        <f ca="1">IF(
  O898 &lt; YEAR(TODAY()),
  "LULUS",
  IF(
    O898 = YEAR(TODAY()),
    IF(
      MATCH(L898, {"Januari";"Februari";"Maret";"April";"Mei";"Juni";"Juli";"Agustus";"September";"Oktober";"November";"Desember"}, 0)
        &gt;= MONTH(TODAY()),
      "AKTIF (Semester " &amp;
        (INT((12*(YEAR(TODAY())-M898) + MONTH(TODAY()) -
          MATCH(L898, {"Januari";"Februari";"Maret";"April";"Mei";"Juni";"Juli";"Agustus";"September";"Oktober";"November";"Desember"}, 0)) / 6) + 1) &amp; ")",
      "LULUS"
    ),
    "AKTIF (Semester " &amp;
      (INT((12*(YEAR(TODAY())-M898) + MONTH(TODAY()) -
        MATCH(L898, {"Januari";"Februari";"Maret";"April";"Mei";"Juni";"Juli";"Agustus";"September";"Oktober";"November";"Desember"}, 0)) / 6) + 1) &amp; ")"
  )
)</f>
        <v>LULUS</v>
      </c>
      <c r="T898" s="16" t="str">
        <f ca="1">IF(O898 &lt; YEAR(TODAY()), "LULUS",
 IF(O898 = YEAR(TODAY()),
    IF(MATCH(N898, {"Januari";"Februari";"Maret";"April";"Mei";"Juni";"Juli";"Agustus";"September";"Oktober";"November";"Desember"},0)
        &lt;= MONTH(TODAY()),
        "LULUS",
        "AKTIF"),
 "AKTIF"))</f>
        <v>LULUS</v>
      </c>
      <c r="U898" s="16" t="s">
        <v>29</v>
      </c>
      <c r="V898" s="15"/>
      <c r="W898" s="15"/>
      <c r="X898" s="15"/>
      <c r="Y898" s="15"/>
      <c r="Z898" s="15"/>
    </row>
    <row r="899" spans="1:26" ht="29" customHeight="1" x14ac:dyDescent="0.35">
      <c r="A899" s="12">
        <v>898</v>
      </c>
      <c r="B899" s="13" t="s">
        <v>2761</v>
      </c>
      <c r="C899" s="14" t="s">
        <v>2762</v>
      </c>
      <c r="D899" s="13" t="s">
        <v>188</v>
      </c>
      <c r="E899" s="14" t="str">
        <f t="shared" si="17"/>
        <v>Perempuan</v>
      </c>
      <c r="F899" s="18" t="s">
        <v>2636</v>
      </c>
      <c r="G899" s="13" t="s">
        <v>2618</v>
      </c>
      <c r="H899" s="15" t="s">
        <v>2619</v>
      </c>
      <c r="I899" s="19" t="s">
        <v>90</v>
      </c>
      <c r="J899" s="12" t="s">
        <v>45</v>
      </c>
      <c r="K899" s="15" t="s">
        <v>569</v>
      </c>
      <c r="L899" s="15"/>
      <c r="M899" s="15">
        <v>2024</v>
      </c>
      <c r="N899" s="15">
        <v>0</v>
      </c>
      <c r="O899" s="15">
        <v>2028</v>
      </c>
      <c r="P899" s="15">
        <v>2024</v>
      </c>
      <c r="Q899" s="15"/>
      <c r="R899" s="16"/>
      <c r="S899" s="16" t="e">
        <f ca="1">IF(
  O899 &lt; YEAR(TODAY()),
  "LULUS",
  IF(
    O899 = YEAR(TODAY()),
    IF(
      MATCH(L899, {"Januari";"Februari";"Maret";"April";"Mei";"Juni";"Juli";"Agustus";"September";"Oktober";"November";"Desember"}, 0)
        &gt;= MONTH(TODAY()),
      "AKTIF (Semester " &amp;
        (INT((12*(YEAR(TODAY())-M899) + MONTH(TODAY()) -
          MATCH(L899, {"Januari";"Februari";"Maret";"April";"Mei";"Juni";"Juli";"Agustus";"September";"Oktober";"November";"Desember"}, 0)) / 6) + 1) &amp; ")",
      "LULUS"
    ),
    "AKTIF (Semester " &amp;
      (INT((12*(YEAR(TODAY())-M899) + MONTH(TODAY()) -
        MATCH(L899, {"Januari";"Februari";"Maret";"April";"Mei";"Juni";"Juli";"Agustus";"September";"Oktober";"November";"Desember"}, 0)) / 6) + 1) &amp; ")"
  )
)</f>
        <v>#N/A</v>
      </c>
      <c r="T899" s="16" t="str">
        <f ca="1">IF(O899 &lt; YEAR(TODAY()), "LULUS",
 IF(O899 = YEAR(TODAY()),
    IF(MATCH(N899, {"Januari";"Februari";"Maret";"April";"Mei";"Juni";"Juli";"Agustus";"September";"Oktober";"November";"Desember"},0)
        &lt;= MONTH(TODAY()),
        "LULUS",
        "AKTIF"),
 "AKTIF"))</f>
        <v>AKTIF</v>
      </c>
      <c r="U899" s="16" t="e">
        <v>#N/A</v>
      </c>
      <c r="V899" s="15"/>
      <c r="W899" s="15"/>
      <c r="X899" s="15"/>
      <c r="Y899" s="15"/>
      <c r="Z899" s="15"/>
    </row>
    <row r="900" spans="1:26" ht="29" customHeight="1" x14ac:dyDescent="0.35">
      <c r="A900" s="12">
        <v>899</v>
      </c>
      <c r="B900" s="95" t="s">
        <v>2764</v>
      </c>
      <c r="C900" s="14" t="s">
        <v>2765</v>
      </c>
      <c r="D900" s="13" t="s">
        <v>2766</v>
      </c>
      <c r="E900" s="14" t="str">
        <f t="shared" si="17"/>
        <v>Perempuan</v>
      </c>
      <c r="F900" s="18" t="s">
        <v>2737</v>
      </c>
      <c r="G900" s="13" t="s">
        <v>2618</v>
      </c>
      <c r="H900" s="15" t="s">
        <v>2767</v>
      </c>
      <c r="I900" s="19" t="s">
        <v>90</v>
      </c>
      <c r="J900" s="12" t="s">
        <v>45</v>
      </c>
      <c r="K900" s="15" t="s">
        <v>569</v>
      </c>
      <c r="L900" s="15"/>
      <c r="M900" s="15">
        <v>2024</v>
      </c>
      <c r="N900" s="15">
        <v>0</v>
      </c>
      <c r="O900" s="15">
        <v>2028</v>
      </c>
      <c r="P900" s="15">
        <v>2024</v>
      </c>
      <c r="Q900" s="15"/>
      <c r="R900" s="16"/>
      <c r="S900" s="16" t="e">
        <f ca="1">IF(
  O900 &lt; YEAR(TODAY()),
  "LULUS",
  IF(
    O900 = YEAR(TODAY()),
    IF(
      MATCH(L900, {"Januari";"Februari";"Maret";"April";"Mei";"Juni";"Juli";"Agustus";"September";"Oktober";"November";"Desember"}, 0)
        &gt;= MONTH(TODAY()),
      "AKTIF (Semester " &amp;
        (INT((12*(YEAR(TODAY())-M900) + MONTH(TODAY()) -
          MATCH(L900, {"Januari";"Februari";"Maret";"April";"Mei";"Juni";"Juli";"Agustus";"September";"Oktober";"November";"Desember"}, 0)) / 6) + 1) &amp; ")",
      "LULUS"
    ),
    "AKTIF (Semester " &amp;
      (INT((12*(YEAR(TODAY())-M900) + MONTH(TODAY()) -
        MATCH(L900, {"Januari";"Februari";"Maret";"April";"Mei";"Juni";"Juli";"Agustus";"September";"Oktober";"November";"Desember"}, 0)) / 6) + 1) &amp; ")"
  )
)</f>
        <v>#N/A</v>
      </c>
      <c r="T900" s="16" t="str">
        <f ca="1">IF(O900 &lt; YEAR(TODAY()), "LULUS",
 IF(O900 = YEAR(TODAY()),
    IF(MATCH(N900, {"Januari";"Februari";"Maret";"April";"Mei";"Juni";"Juli";"Agustus";"September";"Oktober";"November";"Desember"},0)
        &lt;= MONTH(TODAY()),
        "LULUS",
        "AKTIF"),
 "AKTIF"))</f>
        <v>AKTIF</v>
      </c>
      <c r="U900" s="16" t="e">
        <v>#N/A</v>
      </c>
      <c r="V900" s="15"/>
      <c r="W900" s="15"/>
      <c r="X900" s="15"/>
      <c r="Y900" s="15"/>
      <c r="Z900" s="15"/>
    </row>
    <row r="901" spans="1:26" ht="29" customHeight="1" x14ac:dyDescent="0.35">
      <c r="A901" s="12">
        <v>900</v>
      </c>
      <c r="B901" s="13" t="s">
        <v>2562</v>
      </c>
      <c r="C901" s="14" t="s">
        <v>2563</v>
      </c>
      <c r="D901" s="13" t="s">
        <v>211</v>
      </c>
      <c r="E901" s="14" t="str">
        <f t="shared" si="17"/>
        <v>Laki-Laki</v>
      </c>
      <c r="F901" s="18" t="s">
        <v>1034</v>
      </c>
      <c r="G901" s="13" t="s">
        <v>2618</v>
      </c>
      <c r="H901" s="15" t="s">
        <v>2624</v>
      </c>
      <c r="I901" s="15" t="s">
        <v>2768</v>
      </c>
      <c r="J901" s="12" t="s">
        <v>45</v>
      </c>
      <c r="K901" s="15" t="s">
        <v>40</v>
      </c>
      <c r="L901" s="15" t="s">
        <v>169</v>
      </c>
      <c r="M901" s="15">
        <v>2024</v>
      </c>
      <c r="N901" s="15" t="s">
        <v>169</v>
      </c>
      <c r="O901" s="15">
        <v>2028</v>
      </c>
      <c r="P901" s="15">
        <v>2024</v>
      </c>
      <c r="Q901" s="15"/>
      <c r="R901" s="16"/>
      <c r="S901" s="16" t="str">
        <f ca="1">IF(
  O901 &lt; YEAR(TODAY()),
  "LULUS",
  IF(
    O901 = YEAR(TODAY()),
    IF(
      MATCH(L901, {"Januari";"Februari";"Maret";"April";"Mei";"Juni";"Juli";"Agustus";"September";"Oktober";"November";"Desember"}, 0)
        &gt;= MONTH(TODAY()),
      "AKTIF (Semester " &amp;
        (INT((12*(YEAR(TODAY())-M901) + MONTH(TODAY()) -
          MATCH(L901, {"Januari";"Februari";"Maret";"April";"Mei";"Juni";"Juli";"Agustus";"September";"Oktober";"November";"Desember"}, 0)) / 6) + 1) &amp; ")",
      "LULUS"
    ),
    "AKTIF (Semester " &amp;
      (INT((12*(YEAR(TODAY())-M901) + MONTH(TODAY()) -
        MATCH(L901, {"Januari";"Februari";"Maret";"April";"Mei";"Juni";"Juli";"Agustus";"September";"Oktober";"November";"Desember"}, 0)) / 6) + 1) &amp; ")"
  )
)</f>
        <v>AKTIF (Semester 3)</v>
      </c>
      <c r="T901" s="16" t="str">
        <f ca="1">IF(O901 &lt; YEAR(TODAY()), "LULUS",
 IF(O901 = YEAR(TODAY()),
    IF(MATCH(N901, {"Januari";"Februari";"Maret";"April";"Mei";"Juni";"Juli";"Agustus";"September";"Oktober";"November";"Desember"},0)
        &lt;= MONTH(TODAY()),
        "LULUS",
        "AKTIF"),
 "AKTIF"))</f>
        <v>AKTIF</v>
      </c>
      <c r="U901" s="16" t="s">
        <v>2940</v>
      </c>
      <c r="V901" s="15"/>
      <c r="W901" s="15"/>
      <c r="X901" s="15"/>
      <c r="Y901" s="15"/>
      <c r="Z901" s="15"/>
    </row>
    <row r="902" spans="1:26" ht="29" customHeight="1" x14ac:dyDescent="0.35">
      <c r="A902" s="12">
        <v>901</v>
      </c>
      <c r="B902" s="25" t="s">
        <v>2769</v>
      </c>
      <c r="C902" s="26" t="s">
        <v>2770</v>
      </c>
      <c r="D902" s="25" t="s">
        <v>188</v>
      </c>
      <c r="E902" s="14" t="str">
        <f t="shared" si="17"/>
        <v>Laki-Laki</v>
      </c>
      <c r="F902" s="25" t="s">
        <v>2684</v>
      </c>
      <c r="G902" s="25" t="s">
        <v>2618</v>
      </c>
      <c r="H902" s="19" t="s">
        <v>2771</v>
      </c>
      <c r="I902" s="19" t="s">
        <v>90</v>
      </c>
      <c r="J902" s="47" t="s">
        <v>190</v>
      </c>
      <c r="K902" s="32" t="s">
        <v>394</v>
      </c>
      <c r="L902" s="27" t="s">
        <v>123</v>
      </c>
      <c r="M902" s="15">
        <v>2025</v>
      </c>
      <c r="N902" s="15" t="s">
        <v>123</v>
      </c>
      <c r="O902" s="15"/>
      <c r="P902" s="15"/>
      <c r="Q902" s="15"/>
      <c r="R902" s="16"/>
      <c r="S902" s="16" t="str">
        <f ca="1">IF(
  O902 &lt; YEAR(TODAY()),
  "LULUS",
  IF(
    O902 = YEAR(TODAY()),
    IF(
      MATCH(L902, {"Januari";"Februari";"Maret";"April";"Mei";"Juni";"Juli";"Agustus";"September";"Oktober";"November";"Desember"}, 0)
        &gt;= MONTH(TODAY()),
      "AKTIF (Semester " &amp;
        (INT((12*(YEAR(TODAY())-M902) + MONTH(TODAY()) -
          MATCH(L902, {"Januari";"Februari";"Maret";"April";"Mei";"Juni";"Juli";"Agustus";"September";"Oktober";"November";"Desember"}, 0)) / 6) + 1) &amp; ")",
      "LULUS"
    ),
    "AKTIF (Semester " &amp;
      (INT((12*(YEAR(TODAY())-M902) + MONTH(TODAY()) -
        MATCH(L902, {"Januari";"Februari";"Maret";"April";"Mei";"Juni";"Juli";"Agustus";"September";"Oktober";"November";"Desember"}, 0)) / 6) + 1) &amp; ")"
  )
)</f>
        <v>LULUS</v>
      </c>
      <c r="T902" s="16" t="str">
        <f ca="1">IF(O902 &lt; YEAR(TODAY()), "LULUS",
 IF(O902 = YEAR(TODAY()),
    IF(MATCH(N902, {"Januari";"Februari";"Maret";"April";"Mei";"Juni";"Juli";"Agustus";"September";"Oktober";"November";"Desember"},0)
        &lt;= MONTH(TODAY()),
        "LULUS",
        "AKTIF"),
 "AKTIF"))</f>
        <v>LULUS</v>
      </c>
      <c r="U902" s="16" t="s">
        <v>29</v>
      </c>
      <c r="V902" s="15"/>
      <c r="W902" s="15"/>
      <c r="X902" s="15"/>
      <c r="Y902" s="15"/>
      <c r="Z902" s="15"/>
    </row>
    <row r="903" spans="1:26" ht="29" customHeight="1" x14ac:dyDescent="0.35">
      <c r="A903" s="12">
        <v>902</v>
      </c>
      <c r="B903" s="25" t="s">
        <v>2772</v>
      </c>
      <c r="C903" s="26" t="s">
        <v>2773</v>
      </c>
      <c r="D903" s="25" t="s">
        <v>903</v>
      </c>
      <c r="E903" s="14" t="str">
        <f t="shared" si="17"/>
        <v>Laki-Laki</v>
      </c>
      <c r="F903" s="25" t="s">
        <v>2774</v>
      </c>
      <c r="G903" s="25" t="s">
        <v>2618</v>
      </c>
      <c r="H903" s="19" t="s">
        <v>2726</v>
      </c>
      <c r="I903" s="19" t="s">
        <v>90</v>
      </c>
      <c r="J903" s="47" t="s">
        <v>180</v>
      </c>
      <c r="K903" s="32" t="s">
        <v>569</v>
      </c>
      <c r="L903" s="27"/>
      <c r="M903" s="15">
        <v>2024</v>
      </c>
      <c r="N903" s="15">
        <v>0</v>
      </c>
      <c r="O903" s="15"/>
      <c r="P903" s="15"/>
      <c r="Q903" s="15"/>
      <c r="R903" s="16"/>
      <c r="S903" s="16" t="str">
        <f ca="1">IF(
  O903 &lt; YEAR(TODAY()),
  "LULUS",
  IF(
    O903 = YEAR(TODAY()),
    IF(
      MATCH(L903, {"Januari";"Februari";"Maret";"April";"Mei";"Juni";"Juli";"Agustus";"September";"Oktober";"November";"Desember"}, 0)
        &gt;= MONTH(TODAY()),
      "AKTIF (Semester " &amp;
        (INT((12*(YEAR(TODAY())-M903) + MONTH(TODAY()) -
          MATCH(L903, {"Januari";"Februari";"Maret";"April";"Mei";"Juni";"Juli";"Agustus";"September";"Oktober";"November";"Desember"}, 0)) / 6) + 1) &amp; ")",
      "LULUS"
    ),
    "AKTIF (Semester " &amp;
      (INT((12*(YEAR(TODAY())-M903) + MONTH(TODAY()) -
        MATCH(L903, {"Januari";"Februari";"Maret";"April";"Mei";"Juni";"Juli";"Agustus";"September";"Oktober";"November";"Desember"}, 0)) / 6) + 1) &amp; ")"
  )
)</f>
        <v>LULUS</v>
      </c>
      <c r="T903" s="16" t="str">
        <f ca="1">IF(O903 &lt; YEAR(TODAY()), "LULUS",
 IF(O903 = YEAR(TODAY()),
    IF(MATCH(N903, {"Januari";"Februari";"Maret";"April";"Mei";"Juni";"Juli";"Agustus";"September";"Oktober";"November";"Desember"},0)
        &lt;= MONTH(TODAY()),
        "LULUS",
        "AKTIF"),
 "AKTIF"))</f>
        <v>LULUS</v>
      </c>
      <c r="U903" s="16" t="s">
        <v>29</v>
      </c>
      <c r="V903" s="15"/>
      <c r="W903" s="15"/>
      <c r="X903" s="15"/>
      <c r="Y903" s="15"/>
      <c r="Z903" s="15"/>
    </row>
    <row r="904" spans="1:26" ht="29" customHeight="1" x14ac:dyDescent="0.35">
      <c r="A904" s="12">
        <v>903</v>
      </c>
      <c r="B904" s="25" t="s">
        <v>2775</v>
      </c>
      <c r="C904" s="26" t="s">
        <v>2776</v>
      </c>
      <c r="D904" s="25" t="s">
        <v>903</v>
      </c>
      <c r="E904" s="14" t="str">
        <f t="shared" si="17"/>
        <v>Perempuan</v>
      </c>
      <c r="F904" s="25" t="s">
        <v>2737</v>
      </c>
      <c r="G904" s="25" t="s">
        <v>2618</v>
      </c>
      <c r="H904" s="19" t="s">
        <v>2777</v>
      </c>
      <c r="I904" s="19" t="s">
        <v>90</v>
      </c>
      <c r="J904" s="47" t="s">
        <v>180</v>
      </c>
      <c r="K904" s="32" t="s">
        <v>569</v>
      </c>
      <c r="L904" s="27" t="s">
        <v>28</v>
      </c>
      <c r="M904" s="15">
        <v>2024</v>
      </c>
      <c r="N904" s="15" t="s">
        <v>28</v>
      </c>
      <c r="O904" s="15"/>
      <c r="P904" s="15"/>
      <c r="Q904" s="15"/>
      <c r="R904" s="16"/>
      <c r="S904" s="16" t="str">
        <f ca="1">IF(
  O904 &lt; YEAR(TODAY()),
  "LULUS",
  IF(
    O904 = YEAR(TODAY()),
    IF(
      MATCH(L904, {"Januari";"Februari";"Maret";"April";"Mei";"Juni";"Juli";"Agustus";"September";"Oktober";"November";"Desember"}, 0)
        &gt;= MONTH(TODAY()),
      "AKTIF (Semester " &amp;
        (INT((12*(YEAR(TODAY())-M904) + MONTH(TODAY()) -
          MATCH(L904, {"Januari";"Februari";"Maret";"April";"Mei";"Juni";"Juli";"Agustus";"September";"Oktober";"November";"Desember"}, 0)) / 6) + 1) &amp; ")",
      "LULUS"
    ),
    "AKTIF (Semester " &amp;
      (INT((12*(YEAR(TODAY())-M904) + MONTH(TODAY()) -
        MATCH(L904, {"Januari";"Februari";"Maret";"April";"Mei";"Juni";"Juli";"Agustus";"September";"Oktober";"November";"Desember"}, 0)) / 6) + 1) &amp; ")"
  )
)</f>
        <v>LULUS</v>
      </c>
      <c r="T904" s="16" t="str">
        <f ca="1">IF(O904 &lt; YEAR(TODAY()), "LULUS",
 IF(O904 = YEAR(TODAY()),
    IF(MATCH(N904, {"Januari";"Februari";"Maret";"April";"Mei";"Juni";"Juli";"Agustus";"September";"Oktober";"November";"Desember"},0)
        &lt;= MONTH(TODAY()),
        "LULUS",
        "AKTIF"),
 "AKTIF"))</f>
        <v>LULUS</v>
      </c>
      <c r="U904" s="16" t="s">
        <v>29</v>
      </c>
      <c r="V904" s="15"/>
      <c r="W904" s="15"/>
      <c r="X904" s="15"/>
      <c r="Y904" s="15"/>
      <c r="Z904" s="15"/>
    </row>
    <row r="905" spans="1:26" ht="29" customHeight="1" x14ac:dyDescent="0.35">
      <c r="A905" s="12">
        <v>904</v>
      </c>
      <c r="B905" s="25" t="s">
        <v>2778</v>
      </c>
      <c r="C905" s="26" t="s">
        <v>2779</v>
      </c>
      <c r="D905" s="25" t="s">
        <v>188</v>
      </c>
      <c r="E905" s="14" t="str">
        <f t="shared" si="17"/>
        <v>Laki-Laki</v>
      </c>
      <c r="F905" s="25" t="s">
        <v>2684</v>
      </c>
      <c r="G905" s="25" t="s">
        <v>2618</v>
      </c>
      <c r="H905" s="19" t="s">
        <v>2780</v>
      </c>
      <c r="I905" s="19" t="s">
        <v>90</v>
      </c>
      <c r="J905" s="47" t="s">
        <v>190</v>
      </c>
      <c r="K905" s="32" t="s">
        <v>394</v>
      </c>
      <c r="L905" s="27" t="s">
        <v>890</v>
      </c>
      <c r="M905" s="15">
        <v>2025</v>
      </c>
      <c r="N905" s="15" t="s">
        <v>890</v>
      </c>
      <c r="O905" s="15"/>
      <c r="P905" s="15"/>
      <c r="Q905" s="15"/>
      <c r="R905" s="16"/>
      <c r="S905" s="16" t="str">
        <f ca="1">IF(
  O905 &lt; YEAR(TODAY()),
  "LULUS",
  IF(
    O905 = YEAR(TODAY()),
    IF(
      MATCH(L905, {"Januari";"Februari";"Maret";"April";"Mei";"Juni";"Juli";"Agustus";"September";"Oktober";"November";"Desember"}, 0)
        &gt;= MONTH(TODAY()),
      "AKTIF (Semester " &amp;
        (INT((12*(YEAR(TODAY())-M905) + MONTH(TODAY()) -
          MATCH(L905, {"Januari";"Februari";"Maret";"April";"Mei";"Juni";"Juli";"Agustus";"September";"Oktober";"November";"Desember"}, 0)) / 6) + 1) &amp; ")",
      "LULUS"
    ),
    "AKTIF (Semester " &amp;
      (INT((12*(YEAR(TODAY())-M905) + MONTH(TODAY()) -
        MATCH(L905, {"Januari";"Februari";"Maret";"April";"Mei";"Juni";"Juli";"Agustus";"September";"Oktober";"November";"Desember"}, 0)) / 6) + 1) &amp; ")"
  )
)</f>
        <v>LULUS</v>
      </c>
      <c r="T905" s="16" t="str">
        <f ca="1">IF(O905 &lt; YEAR(TODAY()), "LULUS",
 IF(O905 = YEAR(TODAY()),
    IF(MATCH(N905, {"Januari";"Februari";"Maret";"April";"Mei";"Juni";"Juli";"Agustus";"September";"Oktober";"November";"Desember"},0)
        &lt;= MONTH(TODAY()),
        "LULUS",
        "AKTIF"),
 "AKTIF"))</f>
        <v>LULUS</v>
      </c>
      <c r="U905" s="16" t="s">
        <v>29</v>
      </c>
      <c r="V905" s="15"/>
      <c r="W905" s="15"/>
      <c r="X905" s="15"/>
      <c r="Y905" s="15"/>
      <c r="Z905" s="15"/>
    </row>
    <row r="906" spans="1:26" ht="29" customHeight="1" x14ac:dyDescent="0.35">
      <c r="A906" s="12">
        <v>905</v>
      </c>
      <c r="B906" s="25" t="s">
        <v>2781</v>
      </c>
      <c r="C906" s="26" t="s">
        <v>2782</v>
      </c>
      <c r="D906" s="25" t="s">
        <v>215</v>
      </c>
      <c r="E906" s="14" t="str">
        <f t="shared" si="17"/>
        <v>Laki-Laki</v>
      </c>
      <c r="F906" s="25" t="s">
        <v>1876</v>
      </c>
      <c r="G906" s="25" t="s">
        <v>2618</v>
      </c>
      <c r="H906" s="19" t="s">
        <v>2783</v>
      </c>
      <c r="I906" s="19" t="s">
        <v>90</v>
      </c>
      <c r="J906" s="47" t="s">
        <v>180</v>
      </c>
      <c r="K906" s="32" t="s">
        <v>46</v>
      </c>
      <c r="L906" s="27" t="s">
        <v>72</v>
      </c>
      <c r="M906" s="15">
        <v>2024</v>
      </c>
      <c r="N906" s="15" t="s">
        <v>72</v>
      </c>
      <c r="O906" s="15"/>
      <c r="P906" s="15"/>
      <c r="Q906" s="15"/>
      <c r="R906" s="16"/>
      <c r="S906" s="16" t="str">
        <f ca="1">IF(
  O906 &lt; YEAR(TODAY()),
  "LULUS",
  IF(
    O906 = YEAR(TODAY()),
    IF(
      MATCH(L906, {"Januari";"Februari";"Maret";"April";"Mei";"Juni";"Juli";"Agustus";"September";"Oktober";"November";"Desember"}, 0)
        &gt;= MONTH(TODAY()),
      "AKTIF (Semester " &amp;
        (INT((12*(YEAR(TODAY())-M906) + MONTH(TODAY()) -
          MATCH(L906, {"Januari";"Februari";"Maret";"April";"Mei";"Juni";"Juli";"Agustus";"September";"Oktober";"November";"Desember"}, 0)) / 6) + 1) &amp; ")",
      "LULUS"
    ),
    "AKTIF (Semester " &amp;
      (INT((12*(YEAR(TODAY())-M906) + MONTH(TODAY()) -
        MATCH(L906, {"Januari";"Februari";"Maret";"April";"Mei";"Juni";"Juli";"Agustus";"September";"Oktober";"November";"Desember"}, 0)) / 6) + 1) &amp; ")"
  )
)</f>
        <v>LULUS</v>
      </c>
      <c r="T906" s="16" t="str">
        <f ca="1">IF(O906 &lt; YEAR(TODAY()), "LULUS",
 IF(O906 = YEAR(TODAY()),
    IF(MATCH(N906, {"Januari";"Februari";"Maret";"April";"Mei";"Juni";"Juli";"Agustus";"September";"Oktober";"November";"Desember"},0)
        &lt;= MONTH(TODAY()),
        "LULUS",
        "AKTIF"),
 "AKTIF"))</f>
        <v>LULUS</v>
      </c>
      <c r="U906" s="16" t="s">
        <v>29</v>
      </c>
      <c r="V906" s="15"/>
      <c r="W906" s="15"/>
      <c r="X906" s="15"/>
      <c r="Y906" s="15"/>
      <c r="Z906" s="15"/>
    </row>
    <row r="907" spans="1:26" ht="29" customHeight="1" x14ac:dyDescent="0.35">
      <c r="A907" s="12">
        <v>906</v>
      </c>
      <c r="B907" s="25" t="s">
        <v>2784</v>
      </c>
      <c r="C907" s="26" t="s">
        <v>2785</v>
      </c>
      <c r="D907" s="25" t="s">
        <v>903</v>
      </c>
      <c r="E907" s="14" t="str">
        <f t="shared" si="17"/>
        <v>Perempuan</v>
      </c>
      <c r="F907" s="33" t="s">
        <v>2636</v>
      </c>
      <c r="G907" s="25" t="s">
        <v>2618</v>
      </c>
      <c r="H907" s="19" t="s">
        <v>2786</v>
      </c>
      <c r="I907" s="19" t="s">
        <v>90</v>
      </c>
      <c r="J907" s="47" t="s">
        <v>180</v>
      </c>
      <c r="K907" s="32" t="s">
        <v>569</v>
      </c>
      <c r="L907" s="29" t="s">
        <v>205</v>
      </c>
      <c r="M907" s="21">
        <v>2024</v>
      </c>
      <c r="N907" s="15" t="s">
        <v>205</v>
      </c>
      <c r="O907" s="15"/>
      <c r="P907" s="15"/>
      <c r="Q907" s="15"/>
      <c r="R907" s="16"/>
      <c r="S907" s="16" t="str">
        <f ca="1">IF(
  O907 &lt; YEAR(TODAY()),
  "LULUS",
  IF(
    O907 = YEAR(TODAY()),
    IF(
      MATCH(L907, {"Januari";"Februari";"Maret";"April";"Mei";"Juni";"Juli";"Agustus";"September";"Oktober";"November";"Desember"}, 0)
        &gt;= MONTH(TODAY()),
      "AKTIF (Semester " &amp;
        (INT((12*(YEAR(TODAY())-M907) + MONTH(TODAY()) -
          MATCH(L907, {"Januari";"Februari";"Maret";"April";"Mei";"Juni";"Juli";"Agustus";"September";"Oktober";"November";"Desember"}, 0)) / 6) + 1) &amp; ")",
      "LULUS"
    ),
    "AKTIF (Semester " &amp;
      (INT((12*(YEAR(TODAY())-M907) + MONTH(TODAY()) -
        MATCH(L907, {"Januari";"Februari";"Maret";"April";"Mei";"Juni";"Juli";"Agustus";"September";"Oktober";"November";"Desember"}, 0)) / 6) + 1) &amp; ")"
  )
)</f>
        <v>LULUS</v>
      </c>
      <c r="T907" s="16" t="str">
        <f ca="1">IF(O907 &lt; YEAR(TODAY()), "LULUS",
 IF(O907 = YEAR(TODAY()),
    IF(MATCH(N907, {"Januari";"Februari";"Maret";"April";"Mei";"Juni";"Juli";"Agustus";"September";"Oktober";"November";"Desember"},0)
        &lt;= MONTH(TODAY()),
        "LULUS",
        "AKTIF"),
 "AKTIF"))</f>
        <v>LULUS</v>
      </c>
      <c r="U907" s="16" t="s">
        <v>29</v>
      </c>
      <c r="V907" s="15"/>
      <c r="W907" s="15"/>
      <c r="X907" s="15"/>
      <c r="Y907" s="15"/>
      <c r="Z907" s="15"/>
    </row>
    <row r="908" spans="1:26" ht="29" customHeight="1" x14ac:dyDescent="0.35">
      <c r="A908" s="12">
        <v>907</v>
      </c>
      <c r="B908" s="25" t="s">
        <v>2787</v>
      </c>
      <c r="C908" s="26" t="s">
        <v>2788</v>
      </c>
      <c r="D908" s="25" t="s">
        <v>215</v>
      </c>
      <c r="E908" s="14" t="str">
        <f t="shared" si="17"/>
        <v>Laki-Laki</v>
      </c>
      <c r="F908" s="25" t="s">
        <v>2649</v>
      </c>
      <c r="G908" s="25" t="s">
        <v>2618</v>
      </c>
      <c r="H908" s="19" t="s">
        <v>2557</v>
      </c>
      <c r="I908" s="19" t="s">
        <v>90</v>
      </c>
      <c r="J908" s="47" t="s">
        <v>180</v>
      </c>
      <c r="K908" s="32" t="s">
        <v>569</v>
      </c>
      <c r="L908" s="29" t="s">
        <v>205</v>
      </c>
      <c r="M908" s="21">
        <v>2024</v>
      </c>
      <c r="N908" s="15" t="s">
        <v>205</v>
      </c>
      <c r="O908" s="15"/>
      <c r="P908" s="15"/>
      <c r="Q908" s="15"/>
      <c r="R908" s="16"/>
      <c r="S908" s="16" t="str">
        <f ca="1">IF(
  O908 &lt; YEAR(TODAY()),
  "LULUS",
  IF(
    O908 = YEAR(TODAY()),
    IF(
      MATCH(L908, {"Januari";"Februari";"Maret";"April";"Mei";"Juni";"Juli";"Agustus";"September";"Oktober";"November";"Desember"}, 0)
        &gt;= MONTH(TODAY()),
      "AKTIF (Semester " &amp;
        (INT((12*(YEAR(TODAY())-M908) + MONTH(TODAY()) -
          MATCH(L908, {"Januari";"Februari";"Maret";"April";"Mei";"Juni";"Juli";"Agustus";"September";"Oktober";"November";"Desember"}, 0)) / 6) + 1) &amp; ")",
      "LULUS"
    ),
    "AKTIF (Semester " &amp;
      (INT((12*(YEAR(TODAY())-M908) + MONTH(TODAY()) -
        MATCH(L908, {"Januari";"Februari";"Maret";"April";"Mei";"Juni";"Juli";"Agustus";"September";"Oktober";"November";"Desember"}, 0)) / 6) + 1) &amp; ")"
  )
)</f>
        <v>LULUS</v>
      </c>
      <c r="T908" s="16" t="str">
        <f ca="1">IF(O908 &lt; YEAR(TODAY()), "LULUS",
 IF(O908 = YEAR(TODAY()),
    IF(MATCH(N908, {"Januari";"Februari";"Maret";"April";"Mei";"Juni";"Juli";"Agustus";"September";"Oktober";"November";"Desember"},0)
        &lt;= MONTH(TODAY()),
        "LULUS",
        "AKTIF"),
 "AKTIF"))</f>
        <v>LULUS</v>
      </c>
      <c r="U908" s="16" t="s">
        <v>29</v>
      </c>
      <c r="V908" s="15"/>
      <c r="W908" s="15"/>
      <c r="X908" s="15"/>
      <c r="Y908" s="15"/>
      <c r="Z908" s="15"/>
    </row>
    <row r="909" spans="1:26" ht="29" customHeight="1" x14ac:dyDescent="0.35">
      <c r="A909" s="12">
        <v>908</v>
      </c>
      <c r="B909" s="25" t="s">
        <v>2789</v>
      </c>
      <c r="C909" s="26" t="s">
        <v>2790</v>
      </c>
      <c r="D909" s="25" t="s">
        <v>188</v>
      </c>
      <c r="E909" s="14" t="str">
        <f t="shared" si="17"/>
        <v>Laki-Laki</v>
      </c>
      <c r="F909" s="25" t="s">
        <v>2791</v>
      </c>
      <c r="G909" s="25" t="s">
        <v>2618</v>
      </c>
      <c r="H909" s="19" t="s">
        <v>2792</v>
      </c>
      <c r="I909" s="19" t="s">
        <v>90</v>
      </c>
      <c r="J909" s="32" t="s">
        <v>190</v>
      </c>
      <c r="K909" s="32" t="s">
        <v>394</v>
      </c>
      <c r="L909" s="29" t="s">
        <v>92</v>
      </c>
      <c r="M909" s="21">
        <v>2025</v>
      </c>
      <c r="N909" s="15" t="s">
        <v>92</v>
      </c>
      <c r="O909" s="15"/>
      <c r="P909" s="15"/>
      <c r="Q909" s="15"/>
      <c r="R909" s="16"/>
      <c r="S909" s="16" t="str">
        <f ca="1">IF(
  O909 &lt; YEAR(TODAY()),
  "LULUS",
  IF(
    O909 = YEAR(TODAY()),
    IF(
      MATCH(L909, {"Januari";"Februari";"Maret";"April";"Mei";"Juni";"Juli";"Agustus";"September";"Oktober";"November";"Desember"}, 0)
        &gt;= MONTH(TODAY()),
      "AKTIF (Semester " &amp;
        (INT((12*(YEAR(TODAY())-M909) + MONTH(TODAY()) -
          MATCH(L909, {"Januari";"Februari";"Maret";"April";"Mei";"Juni";"Juli";"Agustus";"September";"Oktober";"November";"Desember"}, 0)) / 6) + 1) &amp; ")",
      "LULUS"
    ),
    "AKTIF (Semester " &amp;
      (INT((12*(YEAR(TODAY())-M909) + MONTH(TODAY()) -
        MATCH(L909, {"Januari";"Februari";"Maret";"April";"Mei";"Juni";"Juli";"Agustus";"September";"Oktober";"November";"Desember"}, 0)) / 6) + 1) &amp; ")"
  )
)</f>
        <v>LULUS</v>
      </c>
      <c r="T909" s="16" t="str">
        <f ca="1">IF(O909 &lt; YEAR(TODAY()), "LULUS",
 IF(O909 = YEAR(TODAY()),
    IF(MATCH(N909, {"Januari";"Februari";"Maret";"April";"Mei";"Juni";"Juli";"Agustus";"September";"Oktober";"November";"Desember"},0)
        &lt;= MONTH(TODAY()),
        "LULUS",
        "AKTIF"),
 "AKTIF"))</f>
        <v>LULUS</v>
      </c>
      <c r="U909" s="16" t="s">
        <v>29</v>
      </c>
      <c r="V909" s="15"/>
      <c r="W909" s="15"/>
      <c r="X909" s="15"/>
      <c r="Y909" s="15"/>
      <c r="Z909" s="15"/>
    </row>
    <row r="910" spans="1:26" ht="29" customHeight="1" x14ac:dyDescent="0.35">
      <c r="A910" s="12">
        <v>909</v>
      </c>
      <c r="B910" s="25" t="s">
        <v>2793</v>
      </c>
      <c r="C910" s="26" t="s">
        <v>2794</v>
      </c>
      <c r="D910" s="25" t="s">
        <v>215</v>
      </c>
      <c r="E910" s="14" t="str">
        <f t="shared" si="17"/>
        <v>Perempuan</v>
      </c>
      <c r="F910" s="25" t="s">
        <v>2649</v>
      </c>
      <c r="G910" s="25" t="s">
        <v>2618</v>
      </c>
      <c r="H910" s="19" t="s">
        <v>2510</v>
      </c>
      <c r="I910" s="28" t="s">
        <v>2795</v>
      </c>
      <c r="J910" s="47" t="s">
        <v>180</v>
      </c>
      <c r="K910" s="32" t="s">
        <v>2501</v>
      </c>
      <c r="L910" s="35" t="s">
        <v>205</v>
      </c>
      <c r="M910" s="21">
        <v>2024</v>
      </c>
      <c r="N910" s="15" t="s">
        <v>205</v>
      </c>
      <c r="O910" s="15"/>
      <c r="P910" s="15"/>
      <c r="Q910" s="15"/>
      <c r="R910" s="16"/>
      <c r="S910" s="16" t="str">
        <f ca="1">IF(
  O910 &lt; YEAR(TODAY()),
  "LULUS",
  IF(
    O910 = YEAR(TODAY()),
    IF(
      MATCH(L910, {"Januari";"Februari";"Maret";"April";"Mei";"Juni";"Juli";"Agustus";"September";"Oktober";"November";"Desember"}, 0)
        &gt;= MONTH(TODAY()),
      "AKTIF (Semester " &amp;
        (INT((12*(YEAR(TODAY())-M910) + MONTH(TODAY()) -
          MATCH(L910, {"Januari";"Februari";"Maret";"April";"Mei";"Juni";"Juli";"Agustus";"September";"Oktober";"November";"Desember"}, 0)) / 6) + 1) &amp; ")",
      "LULUS"
    ),
    "AKTIF (Semester " &amp;
      (INT((12*(YEAR(TODAY())-M910) + MONTH(TODAY()) -
        MATCH(L910, {"Januari";"Februari";"Maret";"April";"Mei";"Juni";"Juli";"Agustus";"September";"Oktober";"November";"Desember"}, 0)) / 6) + 1) &amp; ")"
  )
)</f>
        <v>LULUS</v>
      </c>
      <c r="T910" s="16" t="str">
        <f ca="1">IF(O910 &lt; YEAR(TODAY()), "LULUS",
 IF(O910 = YEAR(TODAY()),
    IF(MATCH(N910, {"Januari";"Februari";"Maret";"April";"Mei";"Juni";"Juli";"Agustus";"September";"Oktober";"November";"Desember"},0)
        &lt;= MONTH(TODAY()),
        "LULUS",
        "AKTIF"),
 "AKTIF"))</f>
        <v>LULUS</v>
      </c>
      <c r="U910" s="16" t="s">
        <v>29</v>
      </c>
      <c r="V910" s="15"/>
      <c r="W910" s="15"/>
      <c r="X910" s="15"/>
      <c r="Y910" s="15"/>
      <c r="Z910" s="15"/>
    </row>
    <row r="911" spans="1:26" ht="29" customHeight="1" x14ac:dyDescent="0.35">
      <c r="A911" s="12">
        <v>910</v>
      </c>
      <c r="B911" s="25" t="s">
        <v>2796</v>
      </c>
      <c r="C911" s="26" t="s">
        <v>2509</v>
      </c>
      <c r="D911" s="25" t="s">
        <v>172</v>
      </c>
      <c r="E911" s="14" t="str">
        <f t="shared" si="17"/>
        <v>Laki-Laki</v>
      </c>
      <c r="F911" s="25" t="s">
        <v>2649</v>
      </c>
      <c r="G911" s="25" t="s">
        <v>2618</v>
      </c>
      <c r="H911" s="19" t="s">
        <v>2510</v>
      </c>
      <c r="I911" s="28" t="s">
        <v>911</v>
      </c>
      <c r="J911" s="32" t="s">
        <v>190</v>
      </c>
      <c r="K911" s="28" t="s">
        <v>1300</v>
      </c>
      <c r="L911" s="27" t="s">
        <v>462</v>
      </c>
      <c r="M911" s="15">
        <v>2025</v>
      </c>
      <c r="N911" s="15" t="s">
        <v>462</v>
      </c>
      <c r="O911" s="15"/>
      <c r="P911" s="15"/>
      <c r="Q911" s="15"/>
      <c r="R911" s="16"/>
      <c r="S911" s="16" t="str">
        <f ca="1">IF(
  O911 &lt; YEAR(TODAY()),
  "LULUS",
  IF(
    O911 = YEAR(TODAY()),
    IF(
      MATCH(L911, {"Januari";"Februari";"Maret";"April";"Mei";"Juni";"Juli";"Agustus";"September";"Oktober";"November";"Desember"}, 0)
        &gt;= MONTH(TODAY()),
      "AKTIF (Semester " &amp;
        (INT((12*(YEAR(TODAY())-M911) + MONTH(TODAY()) -
          MATCH(L911, {"Januari";"Februari";"Maret";"April";"Mei";"Juni";"Juli";"Agustus";"September";"Oktober";"November";"Desember"}, 0)) / 6) + 1) &amp; ")",
      "LULUS"
    ),
    "AKTIF (Semester " &amp;
      (INT((12*(YEAR(TODAY())-M911) + MONTH(TODAY()) -
        MATCH(L911, {"Januari";"Februari";"Maret";"April";"Mei";"Juni";"Juli";"Agustus";"September";"Oktober";"November";"Desember"}, 0)) / 6) + 1) &amp; ")"
  )
)</f>
        <v>LULUS</v>
      </c>
      <c r="T911" s="16" t="str">
        <f ca="1">IF(O911 &lt; YEAR(TODAY()), "LULUS",
 IF(O911 = YEAR(TODAY()),
    IF(MATCH(N911, {"Januari";"Februari";"Maret";"April";"Mei";"Juni";"Juli";"Agustus";"September";"Oktober";"November";"Desember"},0)
        &lt;= MONTH(TODAY()),
        "LULUS",
        "AKTIF"),
 "AKTIF"))</f>
        <v>LULUS</v>
      </c>
      <c r="U911" s="16" t="s">
        <v>29</v>
      </c>
      <c r="V911" s="15"/>
      <c r="W911" s="15"/>
      <c r="X911" s="15"/>
      <c r="Y911" s="15"/>
      <c r="Z911" s="15"/>
    </row>
    <row r="912" spans="1:26" ht="29" customHeight="1" x14ac:dyDescent="0.35">
      <c r="A912" s="12">
        <v>911</v>
      </c>
      <c r="B912" s="25" t="s">
        <v>2797</v>
      </c>
      <c r="C912" s="26" t="s">
        <v>2798</v>
      </c>
      <c r="D912" s="25" t="s">
        <v>903</v>
      </c>
      <c r="E912" s="14" t="str">
        <f t="shared" si="17"/>
        <v>Perempuan</v>
      </c>
      <c r="F912" s="25" t="s">
        <v>2636</v>
      </c>
      <c r="G912" s="25" t="s">
        <v>2618</v>
      </c>
      <c r="H912" s="19" t="s">
        <v>2526</v>
      </c>
      <c r="I912" s="19" t="s">
        <v>90</v>
      </c>
      <c r="J912" s="32" t="s">
        <v>180</v>
      </c>
      <c r="K912" s="32" t="s">
        <v>569</v>
      </c>
      <c r="L912" s="29" t="s">
        <v>205</v>
      </c>
      <c r="M912" s="21">
        <v>2024</v>
      </c>
      <c r="N912" s="15" t="s">
        <v>205</v>
      </c>
      <c r="O912" s="15"/>
      <c r="P912" s="15"/>
      <c r="Q912" s="15"/>
      <c r="R912" s="16"/>
      <c r="S912" s="16" t="str">
        <f ca="1">IF(
  O912 &lt; YEAR(TODAY()),
  "LULUS",
  IF(
    O912 = YEAR(TODAY()),
    IF(
      MATCH(L912, {"Januari";"Februari";"Maret";"April";"Mei";"Juni";"Juli";"Agustus";"September";"Oktober";"November";"Desember"}, 0)
        &gt;= MONTH(TODAY()),
      "AKTIF (Semester " &amp;
        (INT((12*(YEAR(TODAY())-M912) + MONTH(TODAY()) -
          MATCH(L912, {"Januari";"Februari";"Maret";"April";"Mei";"Juni";"Juli";"Agustus";"September";"Oktober";"November";"Desember"}, 0)) / 6) + 1) &amp; ")",
      "LULUS"
    ),
    "AKTIF (Semester " &amp;
      (INT((12*(YEAR(TODAY())-M912) + MONTH(TODAY()) -
        MATCH(L912, {"Januari";"Februari";"Maret";"April";"Mei";"Juni";"Juli";"Agustus";"September";"Oktober";"November";"Desember"}, 0)) / 6) + 1) &amp; ")"
  )
)</f>
        <v>LULUS</v>
      </c>
      <c r="T912" s="16" t="str">
        <f ca="1">IF(O912 &lt; YEAR(TODAY()), "LULUS",
 IF(O912 = YEAR(TODAY()),
    IF(MATCH(N912, {"Januari";"Februari";"Maret";"April";"Mei";"Juni";"Juli";"Agustus";"September";"Oktober";"November";"Desember"},0)
        &lt;= MONTH(TODAY()),
        "LULUS",
        "AKTIF"),
 "AKTIF"))</f>
        <v>LULUS</v>
      </c>
      <c r="U912" s="16" t="s">
        <v>29</v>
      </c>
      <c r="V912" s="15"/>
      <c r="W912" s="15"/>
      <c r="X912" s="15"/>
      <c r="Y912" s="15"/>
      <c r="Z912" s="15"/>
    </row>
    <row r="913" spans="1:26" ht="29" customHeight="1" x14ac:dyDescent="0.35">
      <c r="A913" s="12">
        <v>912</v>
      </c>
      <c r="B913" s="25" t="s">
        <v>2799</v>
      </c>
      <c r="C913" s="26" t="s">
        <v>2800</v>
      </c>
      <c r="D913" s="25" t="s">
        <v>554</v>
      </c>
      <c r="E913" s="14" t="str">
        <f t="shared" si="17"/>
        <v>Perempuan</v>
      </c>
      <c r="F913" s="25" t="s">
        <v>2801</v>
      </c>
      <c r="G913" s="25" t="s">
        <v>2618</v>
      </c>
      <c r="H913" s="19" t="s">
        <v>2546</v>
      </c>
      <c r="I913" s="19" t="s">
        <v>788</v>
      </c>
      <c r="J913" s="32" t="s">
        <v>190</v>
      </c>
      <c r="K913" s="32" t="s">
        <v>407</v>
      </c>
      <c r="L913" s="27" t="s">
        <v>145</v>
      </c>
      <c r="M913" s="15">
        <v>2024</v>
      </c>
      <c r="N913" s="15" t="s">
        <v>145</v>
      </c>
      <c r="O913" s="15"/>
      <c r="P913" s="15"/>
      <c r="Q913" s="15"/>
      <c r="R913" s="16"/>
      <c r="S913" s="16" t="str">
        <f ca="1">IF(
  O913 &lt; YEAR(TODAY()),
  "LULUS",
  IF(
    O913 = YEAR(TODAY()),
    IF(
      MATCH(L913, {"Januari";"Februari";"Maret";"April";"Mei";"Juni";"Juli";"Agustus";"September";"Oktober";"November";"Desember"}, 0)
        &gt;= MONTH(TODAY()),
      "AKTIF (Semester " &amp;
        (INT((12*(YEAR(TODAY())-M913) + MONTH(TODAY()) -
          MATCH(L913, {"Januari";"Februari";"Maret";"April";"Mei";"Juni";"Juli";"Agustus";"September";"Oktober";"November";"Desember"}, 0)) / 6) + 1) &amp; ")",
      "LULUS"
    ),
    "AKTIF (Semester " &amp;
      (INT((12*(YEAR(TODAY())-M913) + MONTH(TODAY()) -
        MATCH(L913, {"Januari";"Februari";"Maret";"April";"Mei";"Juni";"Juli";"Agustus";"September";"Oktober";"November";"Desember"}, 0)) / 6) + 1) &amp; ")"
  )
)</f>
        <v>LULUS</v>
      </c>
      <c r="T913" s="16" t="str">
        <f ca="1">IF(O913 &lt; YEAR(TODAY()), "LULUS",
 IF(O913 = YEAR(TODAY()),
    IF(MATCH(N913, {"Januari";"Februari";"Maret";"April";"Mei";"Juni";"Juli";"Agustus";"September";"Oktober";"November";"Desember"},0)
        &lt;= MONTH(TODAY()),
        "LULUS",
        "AKTIF"),
 "AKTIF"))</f>
        <v>LULUS</v>
      </c>
      <c r="U913" s="16" t="s">
        <v>29</v>
      </c>
      <c r="V913" s="15"/>
      <c r="W913" s="15"/>
      <c r="X913" s="15"/>
      <c r="Y913" s="15"/>
      <c r="Z913" s="15"/>
    </row>
    <row r="914" spans="1:26" ht="29" customHeight="1" x14ac:dyDescent="0.35">
      <c r="A914" s="12">
        <v>913</v>
      </c>
      <c r="B914" s="25" t="s">
        <v>2802</v>
      </c>
      <c r="C914" s="26" t="s">
        <v>2803</v>
      </c>
      <c r="D914" s="25" t="s">
        <v>903</v>
      </c>
      <c r="E914" s="14" t="str">
        <f t="shared" si="17"/>
        <v>Laki-Laki</v>
      </c>
      <c r="F914" s="25" t="s">
        <v>142</v>
      </c>
      <c r="G914" s="25" t="s">
        <v>2618</v>
      </c>
      <c r="H914" s="19" t="s">
        <v>2540</v>
      </c>
      <c r="I914" s="28" t="s">
        <v>2804</v>
      </c>
      <c r="J914" s="32" t="s">
        <v>180</v>
      </c>
      <c r="K914" s="32" t="s">
        <v>46</v>
      </c>
      <c r="L914" s="29" t="s">
        <v>205</v>
      </c>
      <c r="M914" s="21">
        <v>2024</v>
      </c>
      <c r="N914" s="15" t="s">
        <v>205</v>
      </c>
      <c r="O914" s="15"/>
      <c r="P914" s="15"/>
      <c r="Q914" s="15"/>
      <c r="R914" s="16"/>
      <c r="S914" s="16" t="str">
        <f ca="1">IF(
  O914 &lt; YEAR(TODAY()),
  "LULUS",
  IF(
    O914 = YEAR(TODAY()),
    IF(
      MATCH(L914, {"Januari";"Februari";"Maret";"April";"Mei";"Juni";"Juli";"Agustus";"September";"Oktober";"November";"Desember"}, 0)
        &gt;= MONTH(TODAY()),
      "AKTIF (Semester " &amp;
        (INT((12*(YEAR(TODAY())-M914) + MONTH(TODAY()) -
          MATCH(L914, {"Januari";"Februari";"Maret";"April";"Mei";"Juni";"Juli";"Agustus";"September";"Oktober";"November";"Desember"}, 0)) / 6) + 1) &amp; ")",
      "LULUS"
    ),
    "AKTIF (Semester " &amp;
      (INT((12*(YEAR(TODAY())-M914) + MONTH(TODAY()) -
        MATCH(L914, {"Januari";"Februari";"Maret";"April";"Mei";"Juni";"Juli";"Agustus";"September";"Oktober";"November";"Desember"}, 0)) / 6) + 1) &amp; ")"
  )
)</f>
        <v>LULUS</v>
      </c>
      <c r="T914" s="16" t="str">
        <f ca="1">IF(O914 &lt; YEAR(TODAY()), "LULUS",
 IF(O914 = YEAR(TODAY()),
    IF(MATCH(N914, {"Januari";"Februari";"Maret";"April";"Mei";"Juni";"Juli";"Agustus";"September";"Oktober";"November";"Desember"},0)
        &lt;= MONTH(TODAY()),
        "LULUS",
        "AKTIF"),
 "AKTIF"))</f>
        <v>LULUS</v>
      </c>
      <c r="U914" s="16" t="s">
        <v>29</v>
      </c>
      <c r="V914" s="15"/>
      <c r="W914" s="15"/>
      <c r="X914" s="15"/>
      <c r="Y914" s="15"/>
      <c r="Z914" s="15"/>
    </row>
    <row r="915" spans="1:26" ht="29" customHeight="1" x14ac:dyDescent="0.35">
      <c r="A915" s="12">
        <v>914</v>
      </c>
      <c r="B915" s="25" t="s">
        <v>2805</v>
      </c>
      <c r="C915" s="26" t="s">
        <v>2806</v>
      </c>
      <c r="D915" s="25" t="s">
        <v>188</v>
      </c>
      <c r="E915" s="14" t="str">
        <f t="shared" si="17"/>
        <v>Perempuan</v>
      </c>
      <c r="F915" s="25" t="s">
        <v>2684</v>
      </c>
      <c r="G915" s="25" t="s">
        <v>2618</v>
      </c>
      <c r="H915" s="19" t="s">
        <v>2654</v>
      </c>
      <c r="I915" s="19" t="s">
        <v>90</v>
      </c>
      <c r="J915" s="32" t="s">
        <v>486</v>
      </c>
      <c r="K915" s="32" t="s">
        <v>394</v>
      </c>
      <c r="L915" s="35" t="s">
        <v>205</v>
      </c>
      <c r="M915" s="21">
        <v>2025</v>
      </c>
      <c r="N915" s="15" t="s">
        <v>205</v>
      </c>
      <c r="O915" s="15"/>
      <c r="P915" s="15"/>
      <c r="Q915" s="15"/>
      <c r="R915" s="16"/>
      <c r="S915" s="16" t="str">
        <f ca="1">IF(
  O915 &lt; YEAR(TODAY()),
  "LULUS",
  IF(
    O915 = YEAR(TODAY()),
    IF(
      MATCH(L915, {"Januari";"Februari";"Maret";"April";"Mei";"Juni";"Juli";"Agustus";"September";"Oktober";"November";"Desember"}, 0)
        &gt;= MONTH(TODAY()),
      "AKTIF (Semester " &amp;
        (INT((12*(YEAR(TODAY())-M915) + MONTH(TODAY()) -
          MATCH(L915, {"Januari";"Februari";"Maret";"April";"Mei";"Juni";"Juli";"Agustus";"September";"Oktober";"November";"Desember"}, 0)) / 6) + 1) &amp; ")",
      "LULUS"
    ),
    "AKTIF (Semester " &amp;
      (INT((12*(YEAR(TODAY())-M915) + MONTH(TODAY()) -
        MATCH(L915, {"Januari";"Februari";"Maret";"April";"Mei";"Juni";"Juli";"Agustus";"September";"Oktober";"November";"Desember"}, 0)) / 6) + 1) &amp; ")"
  )
)</f>
        <v>LULUS</v>
      </c>
      <c r="T915" s="16" t="str">
        <f ca="1">IF(O915 &lt; YEAR(TODAY()), "LULUS",
 IF(O915 = YEAR(TODAY()),
    IF(MATCH(N915, {"Januari";"Februari";"Maret";"April";"Mei";"Juni";"Juli";"Agustus";"September";"Oktober";"November";"Desember"},0)
        &lt;= MONTH(TODAY()),
        "LULUS",
        "AKTIF"),
 "AKTIF"))</f>
        <v>LULUS</v>
      </c>
      <c r="U915" s="16" t="s">
        <v>29</v>
      </c>
      <c r="V915" s="15"/>
      <c r="W915" s="15"/>
      <c r="X915" s="15"/>
      <c r="Y915" s="15"/>
      <c r="Z915" s="15"/>
    </row>
    <row r="916" spans="1:26" ht="29" customHeight="1" x14ac:dyDescent="0.35">
      <c r="A916" s="12">
        <v>915</v>
      </c>
      <c r="B916" s="25" t="s">
        <v>2807</v>
      </c>
      <c r="C916" s="26" t="s">
        <v>2808</v>
      </c>
      <c r="D916" s="25" t="s">
        <v>172</v>
      </c>
      <c r="E916" s="14" t="str">
        <f t="shared" si="17"/>
        <v>Laki-Laki</v>
      </c>
      <c r="F916" s="57" t="s">
        <v>1388</v>
      </c>
      <c r="G916" s="25" t="s">
        <v>2618</v>
      </c>
      <c r="H916" s="19" t="s">
        <v>2518</v>
      </c>
      <c r="I916" s="15" t="s">
        <v>2933</v>
      </c>
      <c r="J916" s="32" t="s">
        <v>180</v>
      </c>
      <c r="K916" s="32" t="s">
        <v>46</v>
      </c>
      <c r="L916" s="29" t="s">
        <v>205</v>
      </c>
      <c r="M916" s="21">
        <v>2024</v>
      </c>
      <c r="N916" s="15" t="s">
        <v>205</v>
      </c>
      <c r="O916" s="15"/>
      <c r="P916" s="15"/>
      <c r="Q916" s="15"/>
      <c r="R916" s="16"/>
      <c r="S916" s="16" t="str">
        <f ca="1">IF(
  O916 &lt; YEAR(TODAY()),
  "LULUS",
  IF(
    O916 = YEAR(TODAY()),
    IF(
      MATCH(L916, {"Januari";"Februari";"Maret";"April";"Mei";"Juni";"Juli";"Agustus";"September";"Oktober";"November";"Desember"}, 0)
        &gt;= MONTH(TODAY()),
      "AKTIF (Semester " &amp;
        (INT((12*(YEAR(TODAY())-M916) + MONTH(TODAY()) -
          MATCH(L916, {"Januari";"Februari";"Maret";"April";"Mei";"Juni";"Juli";"Agustus";"September";"Oktober";"November";"Desember"}, 0)) / 6) + 1) &amp; ")",
      "LULUS"
    ),
    "AKTIF (Semester " &amp;
      (INT((12*(YEAR(TODAY())-M916) + MONTH(TODAY()) -
        MATCH(L916, {"Januari";"Februari";"Maret";"April";"Mei";"Juni";"Juli";"Agustus";"September";"Oktober";"November";"Desember"}, 0)) / 6) + 1) &amp; ")"
  )
)</f>
        <v>LULUS</v>
      </c>
      <c r="T916" s="16" t="str">
        <f ca="1">IF(O916 &lt; YEAR(TODAY()), "LULUS",
 IF(O916 = YEAR(TODAY()),
    IF(MATCH(N916, {"Januari";"Februari";"Maret";"April";"Mei";"Juni";"Juli";"Agustus";"September";"Oktober";"November";"Desember"},0)
        &lt;= MONTH(TODAY()),
        "LULUS",
        "AKTIF"),
 "AKTIF"))</f>
        <v>LULUS</v>
      </c>
      <c r="U916" s="16" t="s">
        <v>29</v>
      </c>
      <c r="V916" s="15"/>
      <c r="W916" s="15"/>
      <c r="X916" s="15"/>
      <c r="Y916" s="15"/>
      <c r="Z916" s="15"/>
    </row>
    <row r="917" spans="1:26" ht="29" customHeight="1" x14ac:dyDescent="0.35">
      <c r="A917" s="12">
        <v>916</v>
      </c>
      <c r="B917" s="25" t="s">
        <v>2810</v>
      </c>
      <c r="C917" s="26" t="s">
        <v>2811</v>
      </c>
      <c r="D917" s="25" t="s">
        <v>215</v>
      </c>
      <c r="E917" s="14" t="str">
        <f t="shared" si="17"/>
        <v>Perempuan</v>
      </c>
      <c r="F917" s="25" t="s">
        <v>579</v>
      </c>
      <c r="G917" s="25" t="s">
        <v>2618</v>
      </c>
      <c r="H917" s="19" t="s">
        <v>2812</v>
      </c>
      <c r="I917" s="19" t="s">
        <v>90</v>
      </c>
      <c r="J917" s="32" t="s">
        <v>180</v>
      </c>
      <c r="K917" s="32" t="s">
        <v>40</v>
      </c>
      <c r="L917" s="29" t="s">
        <v>205</v>
      </c>
      <c r="M917" s="21">
        <v>2024</v>
      </c>
      <c r="N917" s="15" t="s">
        <v>205</v>
      </c>
      <c r="O917" s="15"/>
      <c r="P917" s="15"/>
      <c r="Q917" s="15"/>
      <c r="R917" s="16"/>
      <c r="S917" s="16" t="str">
        <f ca="1">IF(
  O917 &lt; YEAR(TODAY()),
  "LULUS",
  IF(
    O917 = YEAR(TODAY()),
    IF(
      MATCH(L917, {"Januari";"Februari";"Maret";"April";"Mei";"Juni";"Juli";"Agustus";"September";"Oktober";"November";"Desember"}, 0)
        &gt;= MONTH(TODAY()),
      "AKTIF (Semester " &amp;
        (INT((12*(YEAR(TODAY())-M917) + MONTH(TODAY()) -
          MATCH(L917, {"Januari";"Februari";"Maret";"April";"Mei";"Juni";"Juli";"Agustus";"September";"Oktober";"November";"Desember"}, 0)) / 6) + 1) &amp; ")",
      "LULUS"
    ),
    "AKTIF (Semester " &amp;
      (INT((12*(YEAR(TODAY())-M917) + MONTH(TODAY()) -
        MATCH(L917, {"Januari";"Februari";"Maret";"April";"Mei";"Juni";"Juli";"Agustus";"September";"Oktober";"November";"Desember"}, 0)) / 6) + 1) &amp; ")"
  )
)</f>
        <v>LULUS</v>
      </c>
      <c r="T917" s="16" t="str">
        <f ca="1">IF(O917 &lt; YEAR(TODAY()), "LULUS",
 IF(O917 = YEAR(TODAY()),
    IF(MATCH(N917, {"Januari";"Februari";"Maret";"April";"Mei";"Juni";"Juli";"Agustus";"September";"Oktober";"November";"Desember"},0)
        &lt;= MONTH(TODAY()),
        "LULUS",
        "AKTIF"),
 "AKTIF"))</f>
        <v>LULUS</v>
      </c>
      <c r="U917" s="16" t="s">
        <v>29</v>
      </c>
      <c r="V917" s="15"/>
      <c r="W917" s="15"/>
      <c r="X917" s="15"/>
      <c r="Y917" s="15"/>
      <c r="Z917" s="15"/>
    </row>
    <row r="918" spans="1:26" ht="29" customHeight="1" x14ac:dyDescent="0.35">
      <c r="A918" s="12">
        <v>917</v>
      </c>
      <c r="B918" s="25" t="s">
        <v>2813</v>
      </c>
      <c r="C918" s="26" t="s">
        <v>2814</v>
      </c>
      <c r="D918" s="25" t="s">
        <v>215</v>
      </c>
      <c r="E918" s="14" t="str">
        <f t="shared" si="17"/>
        <v>Perempuan</v>
      </c>
      <c r="F918" s="25" t="s">
        <v>2815</v>
      </c>
      <c r="G918" s="25" t="s">
        <v>2618</v>
      </c>
      <c r="H918" s="19" t="s">
        <v>2816</v>
      </c>
      <c r="I918" s="19" t="s">
        <v>90</v>
      </c>
      <c r="J918" s="48" t="s">
        <v>486</v>
      </c>
      <c r="K918" s="32" t="s">
        <v>46</v>
      </c>
      <c r="L918" s="29" t="s">
        <v>118</v>
      </c>
      <c r="M918" s="21">
        <v>2025</v>
      </c>
      <c r="N918" s="15" t="s">
        <v>118</v>
      </c>
      <c r="O918" s="15"/>
      <c r="P918" s="15"/>
      <c r="Q918" s="15"/>
      <c r="R918" s="16"/>
      <c r="S918" s="16" t="str">
        <f ca="1">IF(
  O918 &lt; YEAR(TODAY()),
  "LULUS",
  IF(
    O918 = YEAR(TODAY()),
    IF(
      MATCH(L918, {"Januari";"Februari";"Maret";"April";"Mei";"Juni";"Juli";"Agustus";"September";"Oktober";"November";"Desember"}, 0)
        &gt;= MONTH(TODAY()),
      "AKTIF (Semester " &amp;
        (INT((12*(YEAR(TODAY())-M918) + MONTH(TODAY()) -
          MATCH(L918, {"Januari";"Februari";"Maret";"April";"Mei";"Juni";"Juli";"Agustus";"September";"Oktober";"November";"Desember"}, 0)) / 6) + 1) &amp; ")",
      "LULUS"
    ),
    "AKTIF (Semester " &amp;
      (INT((12*(YEAR(TODAY())-M918) + MONTH(TODAY()) -
        MATCH(L918, {"Januari";"Februari";"Maret";"April";"Mei";"Juni";"Juli";"Agustus";"September";"Oktober";"November";"Desember"}, 0)) / 6) + 1) &amp; ")"
  )
)</f>
        <v>LULUS</v>
      </c>
      <c r="T918" s="16" t="str">
        <f ca="1">IF(O918 &lt; YEAR(TODAY()), "LULUS",
 IF(O918 = YEAR(TODAY()),
    IF(MATCH(N918, {"Januari";"Februari";"Maret";"April";"Mei";"Juni";"Juli";"Agustus";"September";"Oktober";"November";"Desember"},0)
        &lt;= MONTH(TODAY()),
        "LULUS",
        "AKTIF"),
 "AKTIF"))</f>
        <v>LULUS</v>
      </c>
      <c r="U918" s="16" t="s">
        <v>29</v>
      </c>
      <c r="V918" s="15"/>
      <c r="W918" s="15"/>
      <c r="X918" s="15"/>
      <c r="Y918" s="15"/>
      <c r="Z918" s="15"/>
    </row>
    <row r="919" spans="1:26" ht="29" customHeight="1" x14ac:dyDescent="0.35">
      <c r="A919" s="12">
        <v>918</v>
      </c>
      <c r="B919" s="25" t="s">
        <v>2817</v>
      </c>
      <c r="C919" s="26" t="s">
        <v>2818</v>
      </c>
      <c r="D919" s="25" t="s">
        <v>188</v>
      </c>
      <c r="E919" s="14" t="str">
        <f t="shared" si="17"/>
        <v>Laki-Laki</v>
      </c>
      <c r="F919" s="25" t="s">
        <v>2684</v>
      </c>
      <c r="G919" s="25" t="s">
        <v>2618</v>
      </c>
      <c r="H919" s="19" t="s">
        <v>2816</v>
      </c>
      <c r="I919" s="19" t="s">
        <v>90</v>
      </c>
      <c r="J919" s="12" t="s">
        <v>486</v>
      </c>
      <c r="K919" s="32" t="s">
        <v>394</v>
      </c>
      <c r="L919" s="29" t="s">
        <v>118</v>
      </c>
      <c r="M919" s="21">
        <v>2025</v>
      </c>
      <c r="N919" s="15" t="s">
        <v>118</v>
      </c>
      <c r="O919" s="15"/>
      <c r="P919" s="15"/>
      <c r="Q919" s="15"/>
      <c r="R919" s="16"/>
      <c r="S919" s="16" t="str">
        <f ca="1">IF(
  O919 &lt; YEAR(TODAY()),
  "LULUS",
  IF(
    O919 = YEAR(TODAY()),
    IF(
      MATCH(L919, {"Januari";"Februari";"Maret";"April";"Mei";"Juni";"Juli";"Agustus";"September";"Oktober";"November";"Desember"}, 0)
        &gt;= MONTH(TODAY()),
      "AKTIF (Semester " &amp;
        (INT((12*(YEAR(TODAY())-M919) + MONTH(TODAY()) -
          MATCH(L919, {"Januari";"Februari";"Maret";"April";"Mei";"Juni";"Juli";"Agustus";"September";"Oktober";"November";"Desember"}, 0)) / 6) + 1) &amp; ")",
      "LULUS"
    ),
    "AKTIF (Semester " &amp;
      (INT((12*(YEAR(TODAY())-M919) + MONTH(TODAY()) -
        MATCH(L919, {"Januari";"Februari";"Maret";"April";"Mei";"Juni";"Juli";"Agustus";"September";"Oktober";"November";"Desember"}, 0)) / 6) + 1) &amp; ")"
  )
)</f>
        <v>LULUS</v>
      </c>
      <c r="T919" s="16" t="str">
        <f ca="1">IF(O919 &lt; YEAR(TODAY()), "LULUS",
 IF(O919 = YEAR(TODAY()),
    IF(MATCH(N919, {"Januari";"Februari";"Maret";"April";"Mei";"Juni";"Juli";"Agustus";"September";"Oktober";"November";"Desember"},0)
        &lt;= MONTH(TODAY()),
        "LULUS",
        "AKTIF"),
 "AKTIF"))</f>
        <v>LULUS</v>
      </c>
      <c r="U919" s="16" t="s">
        <v>29</v>
      </c>
      <c r="V919" s="15"/>
      <c r="W919" s="15"/>
      <c r="X919" s="15"/>
      <c r="Y919" s="15"/>
      <c r="Z919" s="15"/>
    </row>
    <row r="920" spans="1:26" ht="29" customHeight="1" x14ac:dyDescent="0.35">
      <c r="A920" s="12">
        <v>919</v>
      </c>
      <c r="B920" s="25" t="s">
        <v>2819</v>
      </c>
      <c r="C920" s="26" t="s">
        <v>2820</v>
      </c>
      <c r="D920" s="25" t="s">
        <v>903</v>
      </c>
      <c r="E920" s="14" t="str">
        <f t="shared" si="17"/>
        <v>Laki-Laki</v>
      </c>
      <c r="F920" s="25" t="s">
        <v>2636</v>
      </c>
      <c r="G920" s="25" t="s">
        <v>2618</v>
      </c>
      <c r="H920" s="19" t="s">
        <v>2821</v>
      </c>
      <c r="I920" s="19" t="s">
        <v>90</v>
      </c>
      <c r="J920" s="48" t="s">
        <v>180</v>
      </c>
      <c r="K920" s="32" t="s">
        <v>569</v>
      </c>
      <c r="L920" s="29" t="s">
        <v>446</v>
      </c>
      <c r="M920" s="21">
        <v>2024</v>
      </c>
      <c r="N920" s="15" t="s">
        <v>446</v>
      </c>
      <c r="O920" s="15"/>
      <c r="P920" s="15"/>
      <c r="Q920" s="15"/>
      <c r="R920" s="16"/>
      <c r="S920" s="16" t="str">
        <f ca="1">IF(
  O920 &lt; YEAR(TODAY()),
  "LULUS",
  IF(
    O920 = YEAR(TODAY()),
    IF(
      MATCH(L920, {"Januari";"Februari";"Maret";"April";"Mei";"Juni";"Juli";"Agustus";"September";"Oktober";"November";"Desember"}, 0)
        &gt;= MONTH(TODAY()),
      "AKTIF (Semester " &amp;
        (INT((12*(YEAR(TODAY())-M920) + MONTH(TODAY()) -
          MATCH(L920, {"Januari";"Februari";"Maret";"April";"Mei";"Juni";"Juli";"Agustus";"September";"Oktober";"November";"Desember"}, 0)) / 6) + 1) &amp; ")",
      "LULUS"
    ),
    "AKTIF (Semester " &amp;
      (INT((12*(YEAR(TODAY())-M920) + MONTH(TODAY()) -
        MATCH(L920, {"Januari";"Februari";"Maret";"April";"Mei";"Juni";"Juli";"Agustus";"September";"Oktober";"November";"Desember"}, 0)) / 6) + 1) &amp; ")"
  )
)</f>
        <v>LULUS</v>
      </c>
      <c r="T920" s="16" t="str">
        <f ca="1">IF(O920 &lt; YEAR(TODAY()), "LULUS",
 IF(O920 = YEAR(TODAY()),
    IF(MATCH(N920, {"Januari";"Februari";"Maret";"April";"Mei";"Juni";"Juli";"Agustus";"September";"Oktober";"November";"Desember"},0)
        &lt;= MONTH(TODAY()),
        "LULUS",
        "AKTIF"),
 "AKTIF"))</f>
        <v>LULUS</v>
      </c>
      <c r="U920" s="16" t="s">
        <v>29</v>
      </c>
      <c r="V920" s="15"/>
      <c r="W920" s="15"/>
      <c r="X920" s="15"/>
      <c r="Y920" s="15"/>
      <c r="Z920" s="15"/>
    </row>
    <row r="921" spans="1:26" ht="29" customHeight="1" x14ac:dyDescent="0.35">
      <c r="A921" s="12">
        <v>920</v>
      </c>
      <c r="B921" s="25" t="s">
        <v>2822</v>
      </c>
      <c r="C921" s="26" t="s">
        <v>2747</v>
      </c>
      <c r="D921" s="25" t="s">
        <v>507</v>
      </c>
      <c r="E921" s="14" t="str">
        <f t="shared" si="17"/>
        <v>Laki-Laki</v>
      </c>
      <c r="F921" s="25" t="s">
        <v>2749</v>
      </c>
      <c r="G921" s="25" t="s">
        <v>2618</v>
      </c>
      <c r="H921" s="19" t="s">
        <v>2750</v>
      </c>
      <c r="I921" s="19" t="s">
        <v>90</v>
      </c>
      <c r="J921" s="12" t="s">
        <v>509</v>
      </c>
      <c r="K921" s="32" t="s">
        <v>2823</v>
      </c>
      <c r="L921" s="29" t="s">
        <v>462</v>
      </c>
      <c r="M921" s="21">
        <v>2025</v>
      </c>
      <c r="N921" s="15" t="s">
        <v>462</v>
      </c>
      <c r="O921" s="15"/>
      <c r="P921" s="15"/>
      <c r="Q921" s="15"/>
      <c r="R921" s="16"/>
      <c r="S921" s="16" t="str">
        <f ca="1">IF(
  O921 &lt; YEAR(TODAY()),
  "LULUS",
  IF(
    O921 = YEAR(TODAY()),
    IF(
      MATCH(L921, {"Januari";"Februari";"Maret";"April";"Mei";"Juni";"Juli";"Agustus";"September";"Oktober";"November";"Desember"}, 0)
        &gt;= MONTH(TODAY()),
      "AKTIF (Semester " &amp;
        (INT((12*(YEAR(TODAY())-M921) + MONTH(TODAY()) -
          MATCH(L921, {"Januari";"Februari";"Maret";"April";"Mei";"Juni";"Juli";"Agustus";"September";"Oktober";"November";"Desember"}, 0)) / 6) + 1) &amp; ")",
      "LULUS"
    ),
    "AKTIF (Semester " &amp;
      (INT((12*(YEAR(TODAY())-M921) + MONTH(TODAY()) -
        MATCH(L921, {"Januari";"Februari";"Maret";"April";"Mei";"Juni";"Juli";"Agustus";"September";"Oktober";"November";"Desember"}, 0)) / 6) + 1) &amp; ")"
  )
)</f>
        <v>LULUS</v>
      </c>
      <c r="T921" s="16" t="str">
        <f ca="1">IF(O921 &lt; YEAR(TODAY()), "LULUS",
 IF(O921 = YEAR(TODAY()),
    IF(MATCH(N921, {"Januari";"Februari";"Maret";"April";"Mei";"Juni";"Juli";"Agustus";"September";"Oktober";"November";"Desember"},0)
        &lt;= MONTH(TODAY()),
        "LULUS",
        "AKTIF"),
 "AKTIF"))</f>
        <v>LULUS</v>
      </c>
      <c r="U921" s="16" t="s">
        <v>29</v>
      </c>
      <c r="V921" s="15"/>
      <c r="W921" s="15"/>
      <c r="X921" s="15"/>
      <c r="Y921" s="15"/>
      <c r="Z921" s="15"/>
    </row>
    <row r="922" spans="1:26" ht="29" customHeight="1" x14ac:dyDescent="0.35">
      <c r="A922" s="12">
        <v>921</v>
      </c>
      <c r="B922" s="25" t="s">
        <v>2824</v>
      </c>
      <c r="C922" s="26" t="s">
        <v>2825</v>
      </c>
      <c r="D922" s="25" t="s">
        <v>211</v>
      </c>
      <c r="E922" s="14" t="str">
        <f t="shared" si="17"/>
        <v>Laki-Laki</v>
      </c>
      <c r="F922" s="25" t="s">
        <v>2826</v>
      </c>
      <c r="G922" s="25" t="s">
        <v>2618</v>
      </c>
      <c r="H922" s="19" t="s">
        <v>2518</v>
      </c>
      <c r="I922" s="27" t="s">
        <v>2827</v>
      </c>
      <c r="J922" s="12" t="s">
        <v>180</v>
      </c>
      <c r="K922" s="28" t="s">
        <v>2828</v>
      </c>
      <c r="L922" s="29" t="s">
        <v>446</v>
      </c>
      <c r="M922" s="21">
        <v>2024</v>
      </c>
      <c r="N922" s="15" t="s">
        <v>446</v>
      </c>
      <c r="O922" s="15"/>
      <c r="P922" s="15"/>
      <c r="Q922" s="15"/>
      <c r="R922" s="16"/>
      <c r="S922" s="16" t="str">
        <f ca="1">IF(
  O922 &lt; YEAR(TODAY()),
  "LULUS",
  IF(
    O922 = YEAR(TODAY()),
    IF(
      MATCH(L922, {"Januari";"Februari";"Maret";"April";"Mei";"Juni";"Juli";"Agustus";"September";"Oktober";"November";"Desember"}, 0)
        &gt;= MONTH(TODAY()),
      "AKTIF (Semester " &amp;
        (INT((12*(YEAR(TODAY())-M922) + MONTH(TODAY()) -
          MATCH(L922, {"Januari";"Februari";"Maret";"April";"Mei";"Juni";"Juli";"Agustus";"September";"Oktober";"November";"Desember"}, 0)) / 6) + 1) &amp; ")",
      "LULUS"
    ),
    "AKTIF (Semester " &amp;
      (INT((12*(YEAR(TODAY())-M922) + MONTH(TODAY()) -
        MATCH(L922, {"Januari";"Februari";"Maret";"April";"Mei";"Juni";"Juli";"Agustus";"September";"Oktober";"November";"Desember"}, 0)) / 6) + 1) &amp; ")"
  )
)</f>
        <v>LULUS</v>
      </c>
      <c r="T922" s="16" t="str">
        <f ca="1">IF(O922 &lt; YEAR(TODAY()), "LULUS",
 IF(O922 = YEAR(TODAY()),
    IF(MATCH(N922, {"Januari";"Februari";"Maret";"April";"Mei";"Juni";"Juli";"Agustus";"September";"Oktober";"November";"Desember"},0)
        &lt;= MONTH(TODAY()),
        "LULUS",
        "AKTIF"),
 "AKTIF"))</f>
        <v>LULUS</v>
      </c>
      <c r="U922" s="16" t="s">
        <v>29</v>
      </c>
      <c r="V922" s="15"/>
      <c r="W922" s="15"/>
      <c r="X922" s="15"/>
      <c r="Y922" s="15"/>
      <c r="Z922" s="15"/>
    </row>
    <row r="923" spans="1:26" ht="29" customHeight="1" x14ac:dyDescent="0.35">
      <c r="A923" s="12">
        <v>922</v>
      </c>
      <c r="B923" s="25" t="s">
        <v>2829</v>
      </c>
      <c r="C923" s="26" t="s">
        <v>2830</v>
      </c>
      <c r="D923" s="25" t="s">
        <v>215</v>
      </c>
      <c r="E923" s="14" t="str">
        <f t="shared" si="17"/>
        <v>Laki-Laki</v>
      </c>
      <c r="F923" s="25" t="s">
        <v>2831</v>
      </c>
      <c r="G923" s="25" t="s">
        <v>2618</v>
      </c>
      <c r="H923" s="19" t="s">
        <v>2540</v>
      </c>
      <c r="I923" s="19" t="s">
        <v>90</v>
      </c>
      <c r="J923" s="12" t="s">
        <v>2474</v>
      </c>
      <c r="K923" s="32" t="s">
        <v>117</v>
      </c>
      <c r="L923" s="29" t="s">
        <v>462</v>
      </c>
      <c r="M923" s="21">
        <v>2025</v>
      </c>
      <c r="N923" s="15" t="s">
        <v>462</v>
      </c>
      <c r="O923" s="15"/>
      <c r="P923" s="15"/>
      <c r="Q923" s="15"/>
      <c r="R923" s="16"/>
      <c r="S923" s="16" t="str">
        <f ca="1">IF(
  O923 &lt; YEAR(TODAY()),
  "LULUS",
  IF(
    O923 = YEAR(TODAY()),
    IF(
      MATCH(L923, {"Januari";"Februari";"Maret";"April";"Mei";"Juni";"Juli";"Agustus";"September";"Oktober";"November";"Desember"}, 0)
        &gt;= MONTH(TODAY()),
      "AKTIF (Semester " &amp;
        (INT((12*(YEAR(TODAY())-M923) + MONTH(TODAY()) -
          MATCH(L923, {"Januari";"Februari";"Maret";"April";"Mei";"Juni";"Juli";"Agustus";"September";"Oktober";"November";"Desember"}, 0)) / 6) + 1) &amp; ")",
      "LULUS"
    ),
    "AKTIF (Semester " &amp;
      (INT((12*(YEAR(TODAY())-M923) + MONTH(TODAY()) -
        MATCH(L923, {"Januari";"Februari";"Maret";"April";"Mei";"Juni";"Juli";"Agustus";"September";"Oktober";"November";"Desember"}, 0)) / 6) + 1) &amp; ")"
  )
)</f>
        <v>LULUS</v>
      </c>
      <c r="T923" s="16" t="str">
        <f ca="1">IF(O923 &lt; YEAR(TODAY()), "LULUS",
 IF(O923 = YEAR(TODAY()),
    IF(MATCH(N923, {"Januari";"Februari";"Maret";"April";"Mei";"Juni";"Juli";"Agustus";"September";"Oktober";"November";"Desember"},0)
        &lt;= MONTH(TODAY()),
        "LULUS",
        "AKTIF"),
 "AKTIF"))</f>
        <v>LULUS</v>
      </c>
      <c r="U923" s="16" t="s">
        <v>29</v>
      </c>
      <c r="V923" s="15"/>
      <c r="W923" s="15"/>
      <c r="X923" s="15"/>
      <c r="Y923" s="15"/>
      <c r="Z923" s="15"/>
    </row>
  </sheetData>
  <autoFilter ref="A1:Z923" xr:uid="{DFD857A3-69BB-4B9C-82DA-BF7DE0B1C4A5}"/>
  <conditionalFormatting sqref="B1:B35">
    <cfRule type="duplicateValues" dxfId="292" priority="160"/>
    <cfRule type="duplicateValues" dxfId="291" priority="161"/>
  </conditionalFormatting>
  <conditionalFormatting sqref="B36:B47">
    <cfRule type="duplicateValues" dxfId="290" priority="152"/>
    <cfRule type="duplicateValues" dxfId="289" priority="153"/>
  </conditionalFormatting>
  <conditionalFormatting sqref="B48">
    <cfRule type="duplicateValues" dxfId="288" priority="147"/>
    <cfRule type="duplicateValues" dxfId="287" priority="148"/>
  </conditionalFormatting>
  <conditionalFormatting sqref="B49:B50">
    <cfRule type="duplicateValues" dxfId="286" priority="142"/>
    <cfRule type="duplicateValues" dxfId="285" priority="143"/>
  </conditionalFormatting>
  <conditionalFormatting sqref="B51:B55">
    <cfRule type="duplicateValues" dxfId="284" priority="137"/>
    <cfRule type="duplicateValues" dxfId="283" priority="138"/>
  </conditionalFormatting>
  <conditionalFormatting sqref="B56:B117">
    <cfRule type="duplicateValues" dxfId="282" priority="129"/>
    <cfRule type="duplicateValues" dxfId="281" priority="130"/>
  </conditionalFormatting>
  <conditionalFormatting sqref="B118:B144">
    <cfRule type="duplicateValues" dxfId="280" priority="121"/>
    <cfRule type="duplicateValues" dxfId="279" priority="122"/>
  </conditionalFormatting>
  <conditionalFormatting sqref="B145">
    <cfRule type="duplicateValues" dxfId="278" priority="116"/>
    <cfRule type="duplicateValues" dxfId="277" priority="117"/>
  </conditionalFormatting>
  <conditionalFormatting sqref="B146:B220">
    <cfRule type="duplicateValues" dxfId="276" priority="13"/>
    <cfRule type="duplicateValues" dxfId="275" priority="162"/>
  </conditionalFormatting>
  <conditionalFormatting sqref="B221:B235">
    <cfRule type="duplicateValues" dxfId="274" priority="12"/>
  </conditionalFormatting>
  <conditionalFormatting sqref="B236:B305">
    <cfRule type="duplicateValues" dxfId="273" priority="98"/>
    <cfRule type="duplicateValues" dxfId="272" priority="99"/>
  </conditionalFormatting>
  <conditionalFormatting sqref="B306:B357">
    <cfRule type="duplicateValues" dxfId="271" priority="90"/>
    <cfRule type="duplicateValues" dxfId="270" priority="91"/>
  </conditionalFormatting>
  <conditionalFormatting sqref="B358">
    <cfRule type="duplicateValues" dxfId="269" priority="85"/>
    <cfRule type="duplicateValues" dxfId="268" priority="86"/>
  </conditionalFormatting>
  <conditionalFormatting sqref="B359:B392">
    <cfRule type="duplicateValues" dxfId="267" priority="80"/>
    <cfRule type="duplicateValues" dxfId="266" priority="81"/>
  </conditionalFormatting>
  <conditionalFormatting sqref="B393:B395">
    <cfRule type="duplicateValues" dxfId="265" priority="72"/>
    <cfRule type="duplicateValues" dxfId="264" priority="73"/>
  </conditionalFormatting>
  <conditionalFormatting sqref="B396:B410">
    <cfRule type="duplicateValues" dxfId="263" priority="67"/>
    <cfRule type="duplicateValues" dxfId="262" priority="68"/>
  </conditionalFormatting>
  <conditionalFormatting sqref="B411:B412">
    <cfRule type="duplicateValues" dxfId="261" priority="59"/>
    <cfRule type="duplicateValues" dxfId="260" priority="60"/>
  </conditionalFormatting>
  <conditionalFormatting sqref="B413:B685 B687:B744">
    <cfRule type="duplicateValues" dxfId="259" priority="54"/>
    <cfRule type="duplicateValues" dxfId="258" priority="55"/>
  </conditionalFormatting>
  <conditionalFormatting sqref="B745:B798">
    <cfRule type="duplicateValues" dxfId="257" priority="46"/>
    <cfRule type="duplicateValues" dxfId="256" priority="47"/>
  </conditionalFormatting>
  <conditionalFormatting sqref="B799:B806">
    <cfRule type="duplicateValues" dxfId="255" priority="41"/>
    <cfRule type="duplicateValues" dxfId="254" priority="42"/>
  </conditionalFormatting>
  <conditionalFormatting sqref="B807:B815">
    <cfRule type="duplicateValues" dxfId="253" priority="36"/>
    <cfRule type="duplicateValues" dxfId="252" priority="37"/>
  </conditionalFormatting>
  <conditionalFormatting sqref="B816:B821">
    <cfRule type="duplicateValues" dxfId="251" priority="31"/>
    <cfRule type="duplicateValues" dxfId="250" priority="32"/>
  </conditionalFormatting>
  <conditionalFormatting sqref="B822:B883 B885:B899 B901">
    <cfRule type="duplicateValues" dxfId="249" priority="25"/>
    <cfRule type="duplicateValues" dxfId="248" priority="26"/>
  </conditionalFormatting>
  <conditionalFormatting sqref="B902:B923">
    <cfRule type="duplicateValues" dxfId="247" priority="17"/>
    <cfRule type="duplicateValues" dxfId="246" priority="18"/>
  </conditionalFormatting>
  <conditionalFormatting sqref="B1:C35">
    <cfRule type="duplicateValues" dxfId="245" priority="159"/>
  </conditionalFormatting>
  <conditionalFormatting sqref="B1:C47">
    <cfRule type="duplicateValues" dxfId="244" priority="154"/>
  </conditionalFormatting>
  <conditionalFormatting sqref="C1:C35">
    <cfRule type="duplicateValues" dxfId="243" priority="155"/>
    <cfRule type="duplicateValues" dxfId="242" priority="156"/>
    <cfRule type="duplicateValues" dxfId="241" priority="157"/>
    <cfRule type="duplicateValues" dxfId="240" priority="158"/>
  </conditionalFormatting>
  <conditionalFormatting sqref="C36:C47">
    <cfRule type="duplicateValues" dxfId="239" priority="149"/>
    <cfRule type="duplicateValues" dxfId="238" priority="150"/>
    <cfRule type="duplicateValues" dxfId="237" priority="151"/>
  </conditionalFormatting>
  <conditionalFormatting sqref="C48">
    <cfRule type="duplicateValues" dxfId="236" priority="144"/>
    <cfRule type="duplicateValues" dxfId="235" priority="145"/>
    <cfRule type="duplicateValues" dxfId="234" priority="146"/>
  </conditionalFormatting>
  <conditionalFormatting sqref="C49:C50">
    <cfRule type="duplicateValues" dxfId="233" priority="139"/>
    <cfRule type="duplicateValues" dxfId="232" priority="140"/>
    <cfRule type="duplicateValues" dxfId="231" priority="141"/>
  </conditionalFormatting>
  <conditionalFormatting sqref="C358">
    <cfRule type="duplicateValues" dxfId="230" priority="82"/>
    <cfRule type="duplicateValues" dxfId="229" priority="83"/>
    <cfRule type="duplicateValues" dxfId="228" priority="84"/>
  </conditionalFormatting>
  <conditionalFormatting sqref="C745:C798">
    <cfRule type="duplicateValues" dxfId="227" priority="43"/>
    <cfRule type="duplicateValues" dxfId="226" priority="44"/>
    <cfRule type="duplicateValues" dxfId="225" priority="45"/>
  </conditionalFormatting>
  <conditionalFormatting sqref="C799:C806">
    <cfRule type="duplicateValues" dxfId="224" priority="38"/>
    <cfRule type="duplicateValues" dxfId="223" priority="39"/>
    <cfRule type="duplicateValues" dxfId="222" priority="40"/>
  </conditionalFormatting>
  <conditionalFormatting sqref="C807:C815">
    <cfRule type="duplicateValues" dxfId="221" priority="33"/>
    <cfRule type="duplicateValues" dxfId="220" priority="34"/>
    <cfRule type="duplicateValues" dxfId="219" priority="35"/>
  </conditionalFormatting>
  <conditionalFormatting sqref="C816:C821">
    <cfRule type="duplicateValues" dxfId="218" priority="28"/>
    <cfRule type="duplicateValues" dxfId="217" priority="29"/>
    <cfRule type="duplicateValues" dxfId="216" priority="30"/>
  </conditionalFormatting>
  <conditionalFormatting sqref="C902:C923">
    <cfRule type="duplicateValues" dxfId="215" priority="14"/>
    <cfRule type="duplicateValues" dxfId="214" priority="15"/>
    <cfRule type="duplicateValues" dxfId="213" priority="16"/>
  </conditionalFormatting>
  <conditionalFormatting sqref="E51:E55 B51:C55">
    <cfRule type="duplicateValues" dxfId="212" priority="246"/>
    <cfRule type="duplicateValues" dxfId="211" priority="247"/>
  </conditionalFormatting>
  <conditionalFormatting sqref="E51:E55 C51:C55">
    <cfRule type="duplicateValues" dxfId="210" priority="250"/>
    <cfRule type="duplicateValues" dxfId="209" priority="251"/>
    <cfRule type="duplicateValues" dxfId="208" priority="252"/>
    <cfRule type="duplicateValues" dxfId="207" priority="253"/>
  </conditionalFormatting>
  <conditionalFormatting sqref="E56:E145 B56:C117">
    <cfRule type="duplicateValues" dxfId="206" priority="128"/>
  </conditionalFormatting>
  <conditionalFormatting sqref="E56:E145 B56:C145">
    <cfRule type="duplicateValues" dxfId="205" priority="258"/>
  </conditionalFormatting>
  <conditionalFormatting sqref="E56:E145 C56:C117">
    <cfRule type="duplicateValues" dxfId="204" priority="124"/>
    <cfRule type="duplicateValues" dxfId="203" priority="125"/>
    <cfRule type="duplicateValues" dxfId="202" priority="126"/>
    <cfRule type="duplicateValues" dxfId="201" priority="127"/>
  </conditionalFormatting>
  <conditionalFormatting sqref="E118:E144 C118:C144">
    <cfRule type="duplicateValues" dxfId="200" priority="262"/>
    <cfRule type="duplicateValues" dxfId="199" priority="263"/>
    <cfRule type="duplicateValues" dxfId="198" priority="264"/>
  </conditionalFormatting>
  <conditionalFormatting sqref="E145 C145">
    <cfRule type="duplicateValues" dxfId="197" priority="268"/>
    <cfRule type="duplicateValues" dxfId="196" priority="269"/>
    <cfRule type="duplicateValues" dxfId="195" priority="270"/>
  </conditionalFormatting>
  <conditionalFormatting sqref="E146:E235 B146:C220">
    <cfRule type="duplicateValues" dxfId="194" priority="11"/>
  </conditionalFormatting>
  <conditionalFormatting sqref="E146:E235 B146:C235">
    <cfRule type="duplicateValues" dxfId="193" priority="408"/>
  </conditionalFormatting>
  <conditionalFormatting sqref="E146:E235 C146:C220">
    <cfRule type="duplicateValues" dxfId="192" priority="7"/>
    <cfRule type="duplicateValues" dxfId="191" priority="8"/>
    <cfRule type="duplicateValues" dxfId="190" priority="9"/>
    <cfRule type="duplicateValues" dxfId="189" priority="10"/>
  </conditionalFormatting>
  <conditionalFormatting sqref="E146:E235 C221:C235">
    <cfRule type="duplicateValues" dxfId="188" priority="5"/>
  </conditionalFormatting>
  <conditionalFormatting sqref="E236:E305 B236:C305">
    <cfRule type="duplicateValues" dxfId="187" priority="282"/>
  </conditionalFormatting>
  <conditionalFormatting sqref="E236:E305 C236:C305">
    <cfRule type="duplicateValues" dxfId="186" priority="299"/>
    <cfRule type="duplicateValues" dxfId="185" priority="300"/>
    <cfRule type="duplicateValues" dxfId="184" priority="301"/>
    <cfRule type="duplicateValues" dxfId="183" priority="302"/>
  </conditionalFormatting>
  <conditionalFormatting sqref="E236:E358 B236:C357">
    <cfRule type="duplicateValues" dxfId="182" priority="92"/>
  </conditionalFormatting>
  <conditionalFormatting sqref="E236:E358 C306:C357">
    <cfRule type="duplicateValues" dxfId="181" priority="87"/>
    <cfRule type="duplicateValues" dxfId="180" priority="88"/>
    <cfRule type="duplicateValues" dxfId="179" priority="89"/>
  </conditionalFormatting>
  <conditionalFormatting sqref="E359:E395 B359:C392">
    <cfRule type="duplicateValues" dxfId="178" priority="79"/>
  </conditionalFormatting>
  <conditionalFormatting sqref="E359:E395 B359:C395">
    <cfRule type="duplicateValues" dxfId="177" priority="307"/>
  </conditionalFormatting>
  <conditionalFormatting sqref="E359:E395 C359:C373 C375:C392">
    <cfRule type="duplicateValues" dxfId="176" priority="75"/>
    <cfRule type="duplicateValues" dxfId="175" priority="76"/>
    <cfRule type="duplicateValues" dxfId="174" priority="77"/>
    <cfRule type="duplicateValues" dxfId="173" priority="78"/>
  </conditionalFormatting>
  <conditionalFormatting sqref="E393:E395 C393:C395">
    <cfRule type="duplicateValues" dxfId="172" priority="311"/>
    <cfRule type="duplicateValues" dxfId="171" priority="312"/>
    <cfRule type="duplicateValues" dxfId="170" priority="313"/>
  </conditionalFormatting>
  <conditionalFormatting sqref="E396:E412 B396:C410">
    <cfRule type="duplicateValues" dxfId="169" priority="66"/>
  </conditionalFormatting>
  <conditionalFormatting sqref="E396:E412 B396:C412">
    <cfRule type="duplicateValues" dxfId="168" priority="337"/>
  </conditionalFormatting>
  <conditionalFormatting sqref="E396:E412 C396:C410">
    <cfRule type="duplicateValues" dxfId="167" priority="62"/>
    <cfRule type="duplicateValues" dxfId="166" priority="63"/>
    <cfRule type="duplicateValues" dxfId="165" priority="64"/>
    <cfRule type="duplicateValues" dxfId="164" priority="65"/>
  </conditionalFormatting>
  <conditionalFormatting sqref="E411:E412 C411:C412">
    <cfRule type="duplicateValues" dxfId="163" priority="341"/>
    <cfRule type="duplicateValues" dxfId="162" priority="342"/>
    <cfRule type="duplicateValues" dxfId="161" priority="343"/>
  </conditionalFormatting>
  <conditionalFormatting sqref="E413:E821 B413:C798">
    <cfRule type="duplicateValues" dxfId="160" priority="48"/>
  </conditionalFormatting>
  <conditionalFormatting sqref="E413:E821 B687:C744 C686 B413:C685">
    <cfRule type="duplicateValues" dxfId="159" priority="53"/>
  </conditionalFormatting>
  <conditionalFormatting sqref="E413:E821 C413:C744">
    <cfRule type="duplicateValues" dxfId="158" priority="49"/>
    <cfRule type="duplicateValues" dxfId="157" priority="50"/>
    <cfRule type="duplicateValues" dxfId="156" priority="51"/>
    <cfRule type="duplicateValues" dxfId="155" priority="52"/>
  </conditionalFormatting>
  <conditionalFormatting sqref="E822:E923 B885:C899 C884 B901:C901 C900 B822:C883">
    <cfRule type="duplicateValues" dxfId="154" priority="19"/>
    <cfRule type="duplicateValues" dxfId="153" priority="24"/>
    <cfRule type="duplicateValues" dxfId="152" priority="27"/>
  </conditionalFormatting>
  <conditionalFormatting sqref="E822:E923 C822:C901">
    <cfRule type="duplicateValues" dxfId="151" priority="20"/>
    <cfRule type="duplicateValues" dxfId="150" priority="21"/>
    <cfRule type="duplicateValues" dxfId="149" priority="22"/>
    <cfRule type="duplicateValues" dxfId="148" priority="23"/>
  </conditionalFormatting>
  <dataValidations count="2">
    <dataValidation type="list" allowBlank="1" showErrorMessage="1" sqref="D16:D29 D167:E207 D467:E679 D398:E406 D380:E390 D262:E291 D85:E117 D53:E53" xr:uid="{17A708C9-FFDF-4D23-8DF6-C7AF27E9B63F}">
      <formula1>"II/a,II/b,II/c,II/d,III/a,III/b,III/c,III/d,IV/a,IV/b,IV/c"</formula1>
    </dataValidation>
    <dataValidation allowBlank="1" showDropDown="1" sqref="B30:B47" xr:uid="{8A303B86-E810-4551-A66E-92AAC3D9F5AD}"/>
  </dataValidations>
  <hyperlinks>
    <hyperlink ref="B283" r:id="rId1" xr:uid="{A342A0CF-C531-43D4-A696-2CB4620ECCA3}"/>
    <hyperlink ref="B402" r:id="rId2" xr:uid="{F628B775-807C-4D42-AD01-6421581CDA0A}"/>
    <hyperlink ref="B619" r:id="rId3" xr:uid="{49D1DD43-A1B6-412A-9B4C-F2031A080511}"/>
    <hyperlink ref="B640" r:id="rId4" xr:uid="{E8B8E2E5-B21F-4486-88BF-0DF2769D495F}"/>
    <hyperlink ref="B647" r:id="rId5" xr:uid="{05D88C19-F50E-43A0-8C4B-2A8A84BB8A54}"/>
    <hyperlink ref="B651" r:id="rId6" xr:uid="{0B69C828-6B77-4F1C-97B4-1B3C3A81F88A}"/>
    <hyperlink ref="B652" r:id="rId7" xr:uid="{E0D40292-48D9-4C02-BB12-CAB4D0CDA6F2}"/>
    <hyperlink ref="B672" r:id="rId8" xr:uid="{8E302B26-DD7A-420F-94BB-83B1211DD319}"/>
    <hyperlink ref="B679" r:id="rId9" xr:uid="{0B24E26B-9E7A-45E4-8567-DD3E1BD7D2BF}"/>
    <hyperlink ref="B185" r:id="rId10" xr:uid="{E5284C9E-1AB1-467A-AB7B-EFE44FB76AC7}"/>
    <hyperlink ref="B194" r:id="rId11" xr:uid="{00C84562-77BE-4145-A288-4E31D42877FF}"/>
    <hyperlink ref="B195" r:id="rId12" xr:uid="{65CFBC29-89C2-4B4E-88B0-F7FFE34322F9}"/>
    <hyperlink ref="B201" r:id="rId13" xr:uid="{13BD3FB4-2F4A-4435-BE19-DA995C6B0C3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5322-57EC-47E9-B562-83E3FCCE768E}">
  <dimension ref="B1:D18"/>
  <sheetViews>
    <sheetView workbookViewId="0">
      <selection activeCell="B1" sqref="B1"/>
    </sheetView>
  </sheetViews>
  <sheetFormatPr defaultRowHeight="14.5" x14ac:dyDescent="0.35"/>
  <sheetData>
    <row r="1" spans="2:4" x14ac:dyDescent="0.35">
      <c r="B1" s="154"/>
      <c r="C1" s="155"/>
      <c r="D1" s="156"/>
    </row>
    <row r="2" spans="2:4" x14ac:dyDescent="0.35">
      <c r="B2" s="157"/>
      <c r="C2" s="158"/>
      <c r="D2" s="159"/>
    </row>
    <row r="3" spans="2:4" x14ac:dyDescent="0.35">
      <c r="B3" s="157"/>
      <c r="C3" s="158"/>
      <c r="D3" s="159"/>
    </row>
    <row r="4" spans="2:4" x14ac:dyDescent="0.35">
      <c r="B4" s="157"/>
      <c r="C4" s="158"/>
      <c r="D4" s="159"/>
    </row>
    <row r="5" spans="2:4" x14ac:dyDescent="0.35">
      <c r="B5" s="157"/>
      <c r="C5" s="158"/>
      <c r="D5" s="159"/>
    </row>
    <row r="6" spans="2:4" x14ac:dyDescent="0.35">
      <c r="B6" s="157"/>
      <c r="C6" s="158"/>
      <c r="D6" s="159"/>
    </row>
    <row r="7" spans="2:4" x14ac:dyDescent="0.35">
      <c r="B7" s="157"/>
      <c r="C7" s="158"/>
      <c r="D7" s="159"/>
    </row>
    <row r="8" spans="2:4" x14ac:dyDescent="0.35">
      <c r="B8" s="157"/>
      <c r="C8" s="158"/>
      <c r="D8" s="159"/>
    </row>
    <row r="9" spans="2:4" x14ac:dyDescent="0.35">
      <c r="B9" s="157"/>
      <c r="C9" s="158"/>
      <c r="D9" s="159"/>
    </row>
    <row r="10" spans="2:4" x14ac:dyDescent="0.35">
      <c r="B10" s="157"/>
      <c r="C10" s="158"/>
      <c r="D10" s="159"/>
    </row>
    <row r="11" spans="2:4" x14ac:dyDescent="0.35">
      <c r="B11" s="157"/>
      <c r="C11" s="158"/>
      <c r="D11" s="159"/>
    </row>
    <row r="12" spans="2:4" x14ac:dyDescent="0.35">
      <c r="B12" s="157"/>
      <c r="C12" s="158"/>
      <c r="D12" s="159"/>
    </row>
    <row r="13" spans="2:4" x14ac:dyDescent="0.35">
      <c r="B13" s="157"/>
      <c r="C13" s="158"/>
      <c r="D13" s="159"/>
    </row>
    <row r="14" spans="2:4" x14ac:dyDescent="0.35">
      <c r="B14" s="157"/>
      <c r="C14" s="158"/>
      <c r="D14" s="159"/>
    </row>
    <row r="15" spans="2:4" x14ac:dyDescent="0.35">
      <c r="B15" s="157"/>
      <c r="C15" s="158"/>
      <c r="D15" s="159"/>
    </row>
    <row r="16" spans="2:4" x14ac:dyDescent="0.35">
      <c r="B16" s="157"/>
      <c r="C16" s="158"/>
      <c r="D16" s="159"/>
    </row>
    <row r="17" spans="2:4" x14ac:dyDescent="0.35">
      <c r="B17" s="157"/>
      <c r="C17" s="158"/>
      <c r="D17" s="159"/>
    </row>
    <row r="18" spans="2:4" x14ac:dyDescent="0.35">
      <c r="B18" s="160"/>
      <c r="C18" s="161"/>
      <c r="D18" s="1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D305-03E9-4D96-B818-60D3BDF691A4}">
  <sheetPr>
    <outlinePr summaryBelow="0" summaryRight="0"/>
  </sheetPr>
  <dimension ref="A1:X933"/>
  <sheetViews>
    <sheetView zoomScale="60" zoomScaleNormal="6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D57" sqref="D57"/>
    </sheetView>
  </sheetViews>
  <sheetFormatPr defaultColWidth="12.6328125" defaultRowHeight="15.75" customHeight="1" x14ac:dyDescent="0.3"/>
  <cols>
    <col min="1" max="1" width="5.26953125" style="11" customWidth="1"/>
    <col min="2" max="2" width="39" style="11" customWidth="1"/>
    <col min="3" max="3" width="24.7265625" style="11" customWidth="1"/>
    <col min="4" max="5" width="25.6328125" style="11" customWidth="1"/>
    <col min="6" max="6" width="44.90625" style="11" customWidth="1"/>
    <col min="7" max="7" width="12.90625" style="11" customWidth="1"/>
    <col min="8" max="9" width="33.26953125" style="61" customWidth="1"/>
    <col min="10" max="10" width="17.7265625" style="56" customWidth="1"/>
    <col min="11" max="11" width="31.81640625" style="61" customWidth="1"/>
    <col min="12" max="12" width="19.54296875" style="56" customWidth="1"/>
    <col min="13" max="14" width="18.7265625" style="11" customWidth="1"/>
    <col min="15" max="15" width="16.6328125" style="11" customWidth="1"/>
    <col min="16" max="17" width="20.90625" style="56" customWidth="1"/>
    <col min="18" max="19" width="20.26953125" style="11" customWidth="1"/>
    <col min="20" max="20" width="37.26953125" style="11" customWidth="1"/>
    <col min="21" max="22" width="36.54296875" style="11" customWidth="1"/>
    <col min="23" max="23" width="31.7265625" style="11" customWidth="1"/>
    <col min="24" max="16384" width="12.6328125" style="11"/>
  </cols>
  <sheetData>
    <row r="1" spans="1:24" ht="112.5" customHeight="1" x14ac:dyDescent="0.3">
      <c r="A1" s="1"/>
      <c r="B1" s="2" t="s">
        <v>0</v>
      </c>
      <c r="C1" s="2" t="s">
        <v>1</v>
      </c>
      <c r="D1" s="2" t="s">
        <v>2930</v>
      </c>
      <c r="E1" s="2" t="s">
        <v>2</v>
      </c>
      <c r="F1" s="2" t="s">
        <v>3</v>
      </c>
      <c r="G1" s="2" t="s">
        <v>4</v>
      </c>
      <c r="H1" s="1" t="s">
        <v>5</v>
      </c>
      <c r="I1" s="3" t="s">
        <v>6</v>
      </c>
      <c r="J1" s="4" t="s">
        <v>7</v>
      </c>
      <c r="K1" s="4" t="s">
        <v>8</v>
      </c>
      <c r="L1" s="5" t="s">
        <v>9</v>
      </c>
      <c r="M1" s="5" t="s">
        <v>10</v>
      </c>
      <c r="N1" s="6" t="s">
        <v>11</v>
      </c>
      <c r="O1" s="6" t="s">
        <v>12</v>
      </c>
      <c r="P1" s="7" t="s">
        <v>13</v>
      </c>
      <c r="Q1" s="7" t="s">
        <v>14</v>
      </c>
      <c r="R1" s="8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10" t="s">
        <v>20</v>
      </c>
    </row>
    <row r="2" spans="1:24" s="17" customFormat="1" ht="14.5" x14ac:dyDescent="0.35">
      <c r="A2" s="12">
        <v>1</v>
      </c>
      <c r="B2" s="13" t="s">
        <v>21</v>
      </c>
      <c r="C2" s="14" t="s">
        <v>22</v>
      </c>
      <c r="D2" s="13" t="str">
        <f t="shared" ref="D2:D27" si="0">IF(MID(C2,15,1)="1","Laki-Laki","Perempuan")</f>
        <v>Perempuan</v>
      </c>
      <c r="E2" s="13"/>
      <c r="F2" s="13"/>
      <c r="G2" s="13" t="s">
        <v>23</v>
      </c>
      <c r="H2" s="15" t="s">
        <v>24</v>
      </c>
      <c r="I2" s="15" t="s">
        <v>25</v>
      </c>
      <c r="J2" s="12" t="s">
        <v>26</v>
      </c>
      <c r="K2" s="15" t="s">
        <v>27</v>
      </c>
      <c r="L2" s="15" t="s">
        <v>28</v>
      </c>
      <c r="M2" s="15">
        <v>2018</v>
      </c>
      <c r="N2" s="15" t="str">
        <f t="shared" ref="N2:N29" si="1">L2</f>
        <v>September</v>
      </c>
      <c r="O2" s="15"/>
      <c r="P2" s="15">
        <v>2020</v>
      </c>
      <c r="Q2" s="15"/>
      <c r="R2" s="16" t="s">
        <v>29</v>
      </c>
      <c r="S2" s="15"/>
      <c r="T2" s="15"/>
      <c r="U2" s="15"/>
      <c r="V2" s="15"/>
      <c r="W2" s="15"/>
    </row>
    <row r="3" spans="1:24" s="17" customFormat="1" ht="14.5" x14ac:dyDescent="0.35">
      <c r="A3" s="12">
        <v>2</v>
      </c>
      <c r="B3" s="13" t="s">
        <v>30</v>
      </c>
      <c r="C3" s="14" t="s">
        <v>31</v>
      </c>
      <c r="D3" s="13" t="str">
        <f t="shared" si="0"/>
        <v>Laki-Laki</v>
      </c>
      <c r="E3" s="13"/>
      <c r="F3" s="13"/>
      <c r="G3" s="13" t="s">
        <v>23</v>
      </c>
      <c r="H3" s="15" t="s">
        <v>32</v>
      </c>
      <c r="I3" s="15" t="s">
        <v>33</v>
      </c>
      <c r="J3" s="12" t="s">
        <v>26</v>
      </c>
      <c r="K3" s="15" t="s">
        <v>34</v>
      </c>
      <c r="L3" s="15" t="s">
        <v>35</v>
      </c>
      <c r="M3" s="15">
        <v>2020</v>
      </c>
      <c r="N3" s="15" t="str">
        <f t="shared" si="1"/>
        <v>Maret</v>
      </c>
      <c r="O3" s="15">
        <v>2022</v>
      </c>
      <c r="P3" s="15">
        <v>2020</v>
      </c>
      <c r="Q3" s="15"/>
      <c r="R3" s="16" t="s">
        <v>29</v>
      </c>
      <c r="S3" s="15"/>
      <c r="T3" s="15"/>
      <c r="U3" s="15"/>
      <c r="V3" s="15"/>
      <c r="W3" s="15"/>
    </row>
    <row r="4" spans="1:24" s="17" customFormat="1" ht="14.5" x14ac:dyDescent="0.35">
      <c r="A4" s="12">
        <v>3</v>
      </c>
      <c r="B4" s="13" t="s">
        <v>36</v>
      </c>
      <c r="C4" s="14" t="s">
        <v>37</v>
      </c>
      <c r="D4" s="13" t="str">
        <f t="shared" si="0"/>
        <v>Perempuan</v>
      </c>
      <c r="E4" s="13"/>
      <c r="F4" s="18"/>
      <c r="G4" s="13" t="s">
        <v>23</v>
      </c>
      <c r="H4" s="15" t="s">
        <v>38</v>
      </c>
      <c r="I4" s="15" t="s">
        <v>39</v>
      </c>
      <c r="J4" s="12" t="s">
        <v>26</v>
      </c>
      <c r="K4" s="15" t="s">
        <v>40</v>
      </c>
      <c r="L4" s="15" t="s">
        <v>35</v>
      </c>
      <c r="M4" s="15">
        <v>2020</v>
      </c>
      <c r="N4" s="15" t="str">
        <f t="shared" si="1"/>
        <v>Maret</v>
      </c>
      <c r="O4" s="15">
        <v>2023</v>
      </c>
      <c r="P4" s="15">
        <v>2020</v>
      </c>
      <c r="Q4" s="15"/>
      <c r="R4" s="16" t="s">
        <v>29</v>
      </c>
      <c r="S4" s="15"/>
      <c r="T4" s="15"/>
      <c r="U4" s="15"/>
      <c r="V4" s="15"/>
      <c r="W4" s="15"/>
    </row>
    <row r="5" spans="1:24" s="17" customFormat="1" ht="28" x14ac:dyDescent="0.35">
      <c r="A5" s="12">
        <v>4</v>
      </c>
      <c r="B5" s="13" t="s">
        <v>41</v>
      </c>
      <c r="C5" s="14" t="s">
        <v>42</v>
      </c>
      <c r="D5" s="13" t="str">
        <f t="shared" si="0"/>
        <v>Laki-Laki</v>
      </c>
      <c r="E5" s="13"/>
      <c r="F5" s="13"/>
      <c r="G5" s="13" t="s">
        <v>23</v>
      </c>
      <c r="H5" s="15" t="s">
        <v>43</v>
      </c>
      <c r="I5" s="15" t="s">
        <v>44</v>
      </c>
      <c r="J5" s="12" t="s">
        <v>45</v>
      </c>
      <c r="K5" s="15" t="s">
        <v>46</v>
      </c>
      <c r="L5" s="15" t="s">
        <v>28</v>
      </c>
      <c r="M5" s="15">
        <v>2020</v>
      </c>
      <c r="N5" s="15" t="str">
        <f t="shared" si="1"/>
        <v>September</v>
      </c>
      <c r="O5" s="15">
        <v>2022</v>
      </c>
      <c r="P5" s="15">
        <v>2021</v>
      </c>
      <c r="Q5" s="15"/>
      <c r="R5" s="16" t="s">
        <v>29</v>
      </c>
      <c r="S5" s="15"/>
      <c r="T5" s="15"/>
      <c r="U5" s="15"/>
      <c r="V5" s="15"/>
      <c r="W5" s="15"/>
    </row>
    <row r="6" spans="1:24" s="17" customFormat="1" ht="28" x14ac:dyDescent="0.35">
      <c r="A6" s="12">
        <v>5</v>
      </c>
      <c r="B6" s="13" t="s">
        <v>47</v>
      </c>
      <c r="C6" s="14" t="s">
        <v>48</v>
      </c>
      <c r="D6" s="13" t="str">
        <f t="shared" si="0"/>
        <v>Perempuan</v>
      </c>
      <c r="E6" s="13"/>
      <c r="F6" s="13"/>
      <c r="G6" s="13" t="s">
        <v>23</v>
      </c>
      <c r="H6" s="15" t="s">
        <v>32</v>
      </c>
      <c r="I6" s="15" t="s">
        <v>49</v>
      </c>
      <c r="J6" s="12" t="s">
        <v>26</v>
      </c>
      <c r="K6" s="15" t="s">
        <v>50</v>
      </c>
      <c r="L6" s="15" t="s">
        <v>35</v>
      </c>
      <c r="M6" s="15">
        <v>2021</v>
      </c>
      <c r="N6" s="15" t="str">
        <f t="shared" si="1"/>
        <v>Maret</v>
      </c>
      <c r="O6" s="15">
        <v>2023</v>
      </c>
      <c r="P6" s="15">
        <v>2021</v>
      </c>
      <c r="Q6" s="15"/>
      <c r="R6" s="16" t="s">
        <v>51</v>
      </c>
      <c r="S6" s="15"/>
      <c r="T6" s="15"/>
      <c r="U6" s="15"/>
      <c r="V6" s="15"/>
      <c r="W6" s="15"/>
      <c r="X6" s="17" t="s">
        <v>52</v>
      </c>
    </row>
    <row r="7" spans="1:24" s="17" customFormat="1" ht="28" x14ac:dyDescent="0.35">
      <c r="A7" s="12">
        <v>6</v>
      </c>
      <c r="B7" s="13" t="s">
        <v>53</v>
      </c>
      <c r="C7" s="14" t="s">
        <v>54</v>
      </c>
      <c r="D7" s="13" t="str">
        <f t="shared" si="0"/>
        <v>Laki-Laki</v>
      </c>
      <c r="E7" s="13"/>
      <c r="F7" s="13"/>
      <c r="G7" s="13" t="s">
        <v>23</v>
      </c>
      <c r="H7" s="15" t="s">
        <v>55</v>
      </c>
      <c r="I7" s="15" t="s">
        <v>56</v>
      </c>
      <c r="J7" s="12" t="s">
        <v>26</v>
      </c>
      <c r="K7" s="15" t="s">
        <v>57</v>
      </c>
      <c r="L7" s="15" t="s">
        <v>28</v>
      </c>
      <c r="M7" s="15">
        <v>2021</v>
      </c>
      <c r="N7" s="15" t="str">
        <f t="shared" si="1"/>
        <v>September</v>
      </c>
      <c r="O7" s="15">
        <v>2023</v>
      </c>
      <c r="P7" s="15">
        <v>2021</v>
      </c>
      <c r="Q7" s="15"/>
      <c r="R7" s="16" t="s">
        <v>29</v>
      </c>
      <c r="S7" s="15"/>
      <c r="T7" s="15"/>
      <c r="U7" s="15"/>
      <c r="V7" s="15"/>
      <c r="W7" s="15"/>
    </row>
    <row r="8" spans="1:24" s="17" customFormat="1" ht="28" x14ac:dyDescent="0.35">
      <c r="A8" s="12">
        <v>7</v>
      </c>
      <c r="B8" s="13" t="s">
        <v>58</v>
      </c>
      <c r="C8" s="14" t="s">
        <v>59</v>
      </c>
      <c r="D8" s="13" t="str">
        <f t="shared" si="0"/>
        <v>Laki-Laki</v>
      </c>
      <c r="E8" s="13"/>
      <c r="F8" s="13"/>
      <c r="G8" s="13" t="s">
        <v>23</v>
      </c>
      <c r="H8" s="15" t="s">
        <v>55</v>
      </c>
      <c r="I8" s="19" t="s">
        <v>56</v>
      </c>
      <c r="J8" s="20" t="s">
        <v>26</v>
      </c>
      <c r="K8" s="19" t="s">
        <v>57</v>
      </c>
      <c r="L8" s="15" t="s">
        <v>60</v>
      </c>
      <c r="M8" s="15">
        <v>2021</v>
      </c>
      <c r="N8" s="15" t="str">
        <f t="shared" si="1"/>
        <v>Agustus</v>
      </c>
      <c r="O8" s="15">
        <v>2023</v>
      </c>
      <c r="P8" s="15">
        <v>2021</v>
      </c>
      <c r="Q8" s="15"/>
      <c r="R8" s="16" t="s">
        <v>51</v>
      </c>
      <c r="S8" s="15"/>
      <c r="T8" s="15"/>
      <c r="U8" s="15"/>
      <c r="V8" s="15"/>
      <c r="W8" s="15"/>
    </row>
    <row r="9" spans="1:24" s="17" customFormat="1" ht="28" x14ac:dyDescent="0.35">
      <c r="A9" s="12">
        <v>8</v>
      </c>
      <c r="B9" s="13" t="s">
        <v>61</v>
      </c>
      <c r="C9" s="14" t="s">
        <v>62</v>
      </c>
      <c r="D9" s="13" t="str">
        <f t="shared" si="0"/>
        <v>Perempuan</v>
      </c>
      <c r="E9" s="13"/>
      <c r="F9" s="13"/>
      <c r="G9" s="13" t="s">
        <v>23</v>
      </c>
      <c r="H9" s="15" t="s">
        <v>43</v>
      </c>
      <c r="I9" s="15" t="s">
        <v>39</v>
      </c>
      <c r="J9" s="12" t="s">
        <v>26</v>
      </c>
      <c r="K9" s="15" t="s">
        <v>63</v>
      </c>
      <c r="L9" s="21" t="s">
        <v>60</v>
      </c>
      <c r="M9" s="21">
        <v>2021</v>
      </c>
      <c r="N9" s="15" t="str">
        <f t="shared" si="1"/>
        <v>Agustus</v>
      </c>
      <c r="O9" s="15">
        <v>2023</v>
      </c>
      <c r="P9" s="15">
        <v>2021</v>
      </c>
      <c r="Q9" s="15"/>
      <c r="R9" s="22" t="s">
        <v>51</v>
      </c>
      <c r="S9" s="23"/>
      <c r="T9" s="23"/>
      <c r="U9" s="23"/>
      <c r="V9" s="23"/>
      <c r="W9" s="23"/>
    </row>
    <row r="10" spans="1:24" s="17" customFormat="1" ht="14.5" x14ac:dyDescent="0.35">
      <c r="A10" s="12">
        <v>9</v>
      </c>
      <c r="B10" s="13" t="s">
        <v>64</v>
      </c>
      <c r="C10" s="14" t="s">
        <v>65</v>
      </c>
      <c r="D10" s="13" t="str">
        <f t="shared" si="0"/>
        <v>Perempuan</v>
      </c>
      <c r="E10" s="13"/>
      <c r="F10" s="13"/>
      <c r="G10" s="13" t="s">
        <v>23</v>
      </c>
      <c r="H10" s="15" t="s">
        <v>66</v>
      </c>
      <c r="I10" s="15" t="s">
        <v>67</v>
      </c>
      <c r="J10" s="12" t="s">
        <v>26</v>
      </c>
      <c r="K10" s="15" t="s">
        <v>68</v>
      </c>
      <c r="L10" s="21" t="s">
        <v>35</v>
      </c>
      <c r="M10" s="21">
        <v>2022</v>
      </c>
      <c r="N10" s="15" t="str">
        <f t="shared" si="1"/>
        <v>Maret</v>
      </c>
      <c r="O10" s="15">
        <v>2024</v>
      </c>
      <c r="P10" s="15">
        <v>2022</v>
      </c>
      <c r="Q10" s="15"/>
      <c r="R10" s="22" t="s">
        <v>29</v>
      </c>
      <c r="S10" s="23"/>
      <c r="T10" s="23"/>
      <c r="U10" s="23"/>
      <c r="V10" s="23"/>
      <c r="W10" s="23"/>
    </row>
    <row r="11" spans="1:24" s="17" customFormat="1" ht="14.5" x14ac:dyDescent="0.35">
      <c r="A11" s="12">
        <v>10</v>
      </c>
      <c r="B11" s="13" t="s">
        <v>69</v>
      </c>
      <c r="C11" s="14" t="s">
        <v>70</v>
      </c>
      <c r="D11" s="13" t="str">
        <f t="shared" si="0"/>
        <v>Perempuan</v>
      </c>
      <c r="E11" s="13"/>
      <c r="F11" s="13"/>
      <c r="G11" s="13" t="s">
        <v>23</v>
      </c>
      <c r="H11" s="15" t="s">
        <v>71</v>
      </c>
      <c r="I11" s="15" t="s">
        <v>39</v>
      </c>
      <c r="J11" s="12" t="s">
        <v>26</v>
      </c>
      <c r="K11" s="15" t="s">
        <v>40</v>
      </c>
      <c r="L11" s="21" t="s">
        <v>72</v>
      </c>
      <c r="M11" s="21">
        <v>2022</v>
      </c>
      <c r="N11" s="15" t="str">
        <f t="shared" si="1"/>
        <v>Februari</v>
      </c>
      <c r="O11" s="15">
        <v>2025</v>
      </c>
      <c r="P11" s="15">
        <v>2022</v>
      </c>
      <c r="Q11" s="15"/>
      <c r="R11" s="22" t="s">
        <v>29</v>
      </c>
      <c r="S11" s="23"/>
      <c r="T11" s="23"/>
      <c r="U11" s="23"/>
      <c r="V11" s="23"/>
      <c r="W11" s="23"/>
    </row>
    <row r="12" spans="1:24" s="17" customFormat="1" ht="14.5" x14ac:dyDescent="0.35">
      <c r="A12" s="12">
        <v>11</v>
      </c>
      <c r="B12" s="18" t="s">
        <v>73</v>
      </c>
      <c r="C12" s="14" t="s">
        <v>74</v>
      </c>
      <c r="D12" s="13" t="str">
        <f t="shared" si="0"/>
        <v>Perempuan</v>
      </c>
      <c r="E12" s="13"/>
      <c r="F12" s="13"/>
      <c r="G12" s="13" t="s">
        <v>23</v>
      </c>
      <c r="H12" s="15" t="s">
        <v>24</v>
      </c>
      <c r="I12" s="15" t="s">
        <v>75</v>
      </c>
      <c r="J12" s="12" t="s">
        <v>26</v>
      </c>
      <c r="K12" s="15" t="s">
        <v>46</v>
      </c>
      <c r="L12" s="21" t="s">
        <v>28</v>
      </c>
      <c r="M12" s="21">
        <v>2022</v>
      </c>
      <c r="N12" s="15" t="str">
        <f t="shared" si="1"/>
        <v>September</v>
      </c>
      <c r="O12" s="15">
        <v>2024</v>
      </c>
      <c r="P12" s="15">
        <v>2022</v>
      </c>
      <c r="Q12" s="15"/>
      <c r="R12" s="22" t="s">
        <v>51</v>
      </c>
      <c r="S12" s="23"/>
      <c r="T12" s="23"/>
      <c r="U12" s="23"/>
      <c r="V12" s="23"/>
      <c r="W12" s="23"/>
    </row>
    <row r="13" spans="1:24" s="17" customFormat="1" ht="14.5" x14ac:dyDescent="0.35">
      <c r="A13" s="12">
        <v>12</v>
      </c>
      <c r="B13" s="13" t="s">
        <v>76</v>
      </c>
      <c r="C13" s="14" t="s">
        <v>77</v>
      </c>
      <c r="D13" s="13" t="str">
        <f t="shared" si="0"/>
        <v>Perempuan</v>
      </c>
      <c r="E13" s="13"/>
      <c r="F13" s="13"/>
      <c r="G13" s="13" t="s">
        <v>23</v>
      </c>
      <c r="H13" s="15" t="s">
        <v>24</v>
      </c>
      <c r="I13" s="15" t="s">
        <v>78</v>
      </c>
      <c r="J13" s="12" t="s">
        <v>26</v>
      </c>
      <c r="K13" s="15" t="s">
        <v>40</v>
      </c>
      <c r="L13" s="21" t="s">
        <v>28</v>
      </c>
      <c r="M13" s="21">
        <v>2022</v>
      </c>
      <c r="N13" s="15" t="str">
        <f t="shared" si="1"/>
        <v>September</v>
      </c>
      <c r="O13" s="15">
        <v>2024</v>
      </c>
      <c r="P13" s="15">
        <v>2022</v>
      </c>
      <c r="Q13" s="15"/>
      <c r="R13" s="22" t="s">
        <v>51</v>
      </c>
      <c r="S13" s="23"/>
      <c r="T13" s="23"/>
      <c r="U13" s="23"/>
      <c r="V13" s="23"/>
      <c r="W13" s="23"/>
    </row>
    <row r="14" spans="1:24" s="17" customFormat="1" ht="14.5" x14ac:dyDescent="0.35">
      <c r="A14" s="12">
        <v>13</v>
      </c>
      <c r="B14" s="13" t="s">
        <v>79</v>
      </c>
      <c r="C14" s="14" t="s">
        <v>80</v>
      </c>
      <c r="D14" s="13" t="str">
        <f t="shared" si="0"/>
        <v>Perempuan</v>
      </c>
      <c r="E14" s="13"/>
      <c r="F14" s="13"/>
      <c r="G14" s="13" t="s">
        <v>23</v>
      </c>
      <c r="H14" s="15" t="s">
        <v>24</v>
      </c>
      <c r="I14" s="15" t="s">
        <v>56</v>
      </c>
      <c r="J14" s="12" t="s">
        <v>81</v>
      </c>
      <c r="K14" s="15" t="s">
        <v>82</v>
      </c>
      <c r="L14" s="21" t="s">
        <v>60</v>
      </c>
      <c r="M14" s="21">
        <v>2022</v>
      </c>
      <c r="N14" s="15" t="str">
        <f t="shared" si="1"/>
        <v>Agustus</v>
      </c>
      <c r="O14" s="15">
        <v>2024</v>
      </c>
      <c r="P14" s="15">
        <v>2022</v>
      </c>
      <c r="Q14" s="15"/>
      <c r="R14" s="22" t="s">
        <v>51</v>
      </c>
      <c r="S14" s="23"/>
      <c r="T14" s="23"/>
      <c r="U14" s="23"/>
      <c r="V14" s="23"/>
      <c r="W14" s="23"/>
    </row>
    <row r="15" spans="1:24" s="17" customFormat="1" ht="28" x14ac:dyDescent="0.35">
      <c r="A15" s="12">
        <v>14</v>
      </c>
      <c r="B15" s="13" t="s">
        <v>83</v>
      </c>
      <c r="C15" s="14" t="s">
        <v>84</v>
      </c>
      <c r="D15" s="13" t="str">
        <f t="shared" si="0"/>
        <v>Perempuan</v>
      </c>
      <c r="E15" s="13"/>
      <c r="F15" s="18"/>
      <c r="G15" s="13" t="s">
        <v>23</v>
      </c>
      <c r="H15" s="15" t="s">
        <v>24</v>
      </c>
      <c r="I15" s="19" t="s">
        <v>56</v>
      </c>
      <c r="J15" s="20" t="s">
        <v>26</v>
      </c>
      <c r="K15" s="19" t="s">
        <v>57</v>
      </c>
      <c r="L15" s="15" t="s">
        <v>60</v>
      </c>
      <c r="M15" s="15">
        <v>2022</v>
      </c>
      <c r="N15" s="15" t="str">
        <f t="shared" si="1"/>
        <v>Agustus</v>
      </c>
      <c r="O15" s="15">
        <v>2024</v>
      </c>
      <c r="P15" s="15">
        <v>2022</v>
      </c>
      <c r="Q15" s="15"/>
      <c r="R15" s="16" t="s">
        <v>51</v>
      </c>
      <c r="S15" s="15"/>
      <c r="T15" s="15"/>
      <c r="U15" s="15"/>
      <c r="V15" s="15"/>
      <c r="W15" s="15"/>
    </row>
    <row r="16" spans="1:24" s="17" customFormat="1" ht="14.5" x14ac:dyDescent="0.35">
      <c r="A16" s="12">
        <v>15</v>
      </c>
      <c r="B16" s="66" t="s">
        <v>85</v>
      </c>
      <c r="C16" s="63" t="s">
        <v>86</v>
      </c>
      <c r="D16" s="13" t="str">
        <f t="shared" si="0"/>
        <v>Perempuan</v>
      </c>
      <c r="E16" s="24" t="s">
        <v>87</v>
      </c>
      <c r="F16" s="64" t="s">
        <v>88</v>
      </c>
      <c r="G16" s="13" t="s">
        <v>23</v>
      </c>
      <c r="H16" s="19" t="s">
        <v>89</v>
      </c>
      <c r="I16" s="44" t="s">
        <v>90</v>
      </c>
      <c r="J16" s="75" t="s">
        <v>45</v>
      </c>
      <c r="K16" s="19" t="s">
        <v>91</v>
      </c>
      <c r="L16" s="65" t="s">
        <v>92</v>
      </c>
      <c r="M16" s="15">
        <v>2023</v>
      </c>
      <c r="N16" s="15" t="str">
        <f t="shared" si="1"/>
        <v xml:space="preserve">April </v>
      </c>
      <c r="O16" s="15">
        <v>2027</v>
      </c>
      <c r="P16" s="15">
        <v>2023</v>
      </c>
      <c r="Q16" s="15"/>
      <c r="R16" s="16" t="s">
        <v>51</v>
      </c>
      <c r="S16" s="15"/>
      <c r="T16" s="15"/>
      <c r="U16" s="15"/>
      <c r="V16" s="15"/>
      <c r="W16" s="15"/>
    </row>
    <row r="17" spans="1:23" s="17" customFormat="1" ht="14.5" x14ac:dyDescent="0.35">
      <c r="A17" s="12">
        <v>16</v>
      </c>
      <c r="B17" s="66" t="s">
        <v>93</v>
      </c>
      <c r="C17" s="63" t="s">
        <v>94</v>
      </c>
      <c r="D17" s="13" t="str">
        <f t="shared" si="0"/>
        <v>Laki-Laki</v>
      </c>
      <c r="E17" s="24" t="s">
        <v>87</v>
      </c>
      <c r="F17" s="64" t="s">
        <v>88</v>
      </c>
      <c r="G17" s="13" t="s">
        <v>23</v>
      </c>
      <c r="H17" s="19" t="s">
        <v>89</v>
      </c>
      <c r="I17" s="19" t="s">
        <v>90</v>
      </c>
      <c r="J17" s="75" t="s">
        <v>45</v>
      </c>
      <c r="K17" s="19" t="s">
        <v>95</v>
      </c>
      <c r="L17" s="65" t="s">
        <v>92</v>
      </c>
      <c r="M17" s="15">
        <v>2023</v>
      </c>
      <c r="N17" s="15" t="str">
        <f t="shared" si="1"/>
        <v xml:space="preserve">April </v>
      </c>
      <c r="O17" s="15">
        <v>2027</v>
      </c>
      <c r="P17" s="15">
        <v>2023</v>
      </c>
      <c r="Q17" s="15"/>
      <c r="R17" s="16" t="s">
        <v>51</v>
      </c>
      <c r="S17" s="15"/>
      <c r="T17" s="15"/>
      <c r="U17" s="15"/>
      <c r="V17" s="15"/>
      <c r="W17" s="15"/>
    </row>
    <row r="18" spans="1:23" s="17" customFormat="1" ht="14.5" x14ac:dyDescent="0.35">
      <c r="A18" s="12">
        <v>17</v>
      </c>
      <c r="B18" s="66" t="s">
        <v>96</v>
      </c>
      <c r="C18" s="63" t="s">
        <v>97</v>
      </c>
      <c r="D18" s="13" t="str">
        <f t="shared" si="0"/>
        <v>Perempuan</v>
      </c>
      <c r="E18" s="24" t="s">
        <v>98</v>
      </c>
      <c r="F18" s="64" t="s">
        <v>99</v>
      </c>
      <c r="G18" s="13" t="s">
        <v>23</v>
      </c>
      <c r="H18" s="19" t="s">
        <v>89</v>
      </c>
      <c r="I18" s="19" t="s">
        <v>90</v>
      </c>
      <c r="J18" s="75" t="s">
        <v>45</v>
      </c>
      <c r="K18" s="19" t="s">
        <v>95</v>
      </c>
      <c r="L18" s="65" t="s">
        <v>92</v>
      </c>
      <c r="M18" s="15">
        <v>2023</v>
      </c>
      <c r="N18" s="15" t="str">
        <f t="shared" si="1"/>
        <v xml:space="preserve">April </v>
      </c>
      <c r="O18" s="15">
        <v>2027</v>
      </c>
      <c r="P18" s="15">
        <v>2023</v>
      </c>
      <c r="Q18" s="15"/>
      <c r="R18" s="16" t="s">
        <v>51</v>
      </c>
      <c r="S18" s="15"/>
      <c r="T18" s="15"/>
      <c r="U18" s="15"/>
      <c r="V18" s="15"/>
      <c r="W18" s="15"/>
    </row>
    <row r="19" spans="1:23" s="17" customFormat="1" ht="14.5" x14ac:dyDescent="0.35">
      <c r="A19" s="12">
        <v>18</v>
      </c>
      <c r="B19" s="66" t="s">
        <v>100</v>
      </c>
      <c r="C19" s="63" t="s">
        <v>101</v>
      </c>
      <c r="D19" s="13" t="str">
        <f t="shared" si="0"/>
        <v>Laki-Laki</v>
      </c>
      <c r="E19" s="24" t="s">
        <v>98</v>
      </c>
      <c r="F19" s="64" t="s">
        <v>88</v>
      </c>
      <c r="G19" s="13" t="s">
        <v>23</v>
      </c>
      <c r="H19" s="19" t="s">
        <v>89</v>
      </c>
      <c r="I19" s="19" t="s">
        <v>90</v>
      </c>
      <c r="J19" s="75" t="s">
        <v>45</v>
      </c>
      <c r="K19" s="19" t="s">
        <v>95</v>
      </c>
      <c r="L19" s="65" t="s">
        <v>92</v>
      </c>
      <c r="M19" s="15">
        <v>2023</v>
      </c>
      <c r="N19" s="15" t="str">
        <f t="shared" si="1"/>
        <v xml:space="preserve">April </v>
      </c>
      <c r="O19" s="15">
        <v>2027</v>
      </c>
      <c r="P19" s="15">
        <v>2023</v>
      </c>
      <c r="Q19" s="15"/>
      <c r="R19" s="16" t="s">
        <v>51</v>
      </c>
      <c r="S19" s="15"/>
      <c r="T19" s="15"/>
      <c r="U19" s="15"/>
      <c r="V19" s="15"/>
      <c r="W19" s="15"/>
    </row>
    <row r="20" spans="1:23" s="17" customFormat="1" ht="14.5" x14ac:dyDescent="0.35">
      <c r="A20" s="12">
        <v>19</v>
      </c>
      <c r="B20" s="76" t="s">
        <v>102</v>
      </c>
      <c r="C20" s="69" t="s">
        <v>103</v>
      </c>
      <c r="D20" s="13" t="str">
        <f t="shared" si="0"/>
        <v>Perempuan</v>
      </c>
      <c r="E20" s="24" t="s">
        <v>104</v>
      </c>
      <c r="F20" s="64" t="s">
        <v>105</v>
      </c>
      <c r="G20" s="13" t="s">
        <v>23</v>
      </c>
      <c r="H20" s="19" t="s">
        <v>24</v>
      </c>
      <c r="I20" s="19" t="s">
        <v>90</v>
      </c>
      <c r="J20" s="75" t="s">
        <v>45</v>
      </c>
      <c r="K20" s="19" t="s">
        <v>46</v>
      </c>
      <c r="L20" s="65" t="s">
        <v>106</v>
      </c>
      <c r="M20" s="15">
        <v>2022</v>
      </c>
      <c r="N20" s="15" t="str">
        <f t="shared" si="1"/>
        <v xml:space="preserve">Desember </v>
      </c>
      <c r="O20" s="15">
        <v>2026</v>
      </c>
      <c r="P20" s="15">
        <v>2023</v>
      </c>
      <c r="Q20" s="15"/>
      <c r="R20" s="16" t="s">
        <v>51</v>
      </c>
      <c r="S20" s="15"/>
      <c r="T20" s="15"/>
      <c r="U20" s="15"/>
      <c r="V20" s="15"/>
      <c r="W20" s="15"/>
    </row>
    <row r="21" spans="1:23" s="17" customFormat="1" ht="14.5" x14ac:dyDescent="0.35">
      <c r="A21" s="12">
        <v>20</v>
      </c>
      <c r="B21" s="25" t="s">
        <v>107</v>
      </c>
      <c r="C21" s="69" t="s">
        <v>108</v>
      </c>
      <c r="D21" s="13" t="str">
        <f t="shared" si="0"/>
        <v>Laki-Laki</v>
      </c>
      <c r="E21" s="24" t="s">
        <v>109</v>
      </c>
      <c r="F21" s="72" t="s">
        <v>110</v>
      </c>
      <c r="G21" s="13" t="s">
        <v>23</v>
      </c>
      <c r="H21" s="19" t="s">
        <v>71</v>
      </c>
      <c r="I21" s="19" t="s">
        <v>111</v>
      </c>
      <c r="J21" s="20" t="s">
        <v>26</v>
      </c>
      <c r="K21" s="19" t="s">
        <v>112</v>
      </c>
      <c r="L21" s="70" t="s">
        <v>113</v>
      </c>
      <c r="M21" s="15">
        <v>2020</v>
      </c>
      <c r="N21" s="15" t="str">
        <f t="shared" si="1"/>
        <v>April</v>
      </c>
      <c r="O21" s="15">
        <v>2022</v>
      </c>
      <c r="P21" s="15">
        <v>2023</v>
      </c>
      <c r="Q21" s="15"/>
      <c r="R21" s="16" t="s">
        <v>51</v>
      </c>
      <c r="S21" s="15"/>
      <c r="T21" s="15"/>
      <c r="U21" s="15"/>
      <c r="V21" s="15"/>
      <c r="W21" s="15"/>
    </row>
    <row r="22" spans="1:23" s="17" customFormat="1" ht="14.5" x14ac:dyDescent="0.35">
      <c r="A22" s="12">
        <v>21</v>
      </c>
      <c r="B22" s="25" t="s">
        <v>114</v>
      </c>
      <c r="C22" s="69" t="s">
        <v>115</v>
      </c>
      <c r="D22" s="13" t="str">
        <f t="shared" si="0"/>
        <v>Perempuan</v>
      </c>
      <c r="E22" s="24" t="s">
        <v>116</v>
      </c>
      <c r="F22" s="72" t="s">
        <v>105</v>
      </c>
      <c r="G22" s="13" t="s">
        <v>23</v>
      </c>
      <c r="H22" s="19" t="s">
        <v>71</v>
      </c>
      <c r="I22" s="19" t="s">
        <v>90</v>
      </c>
      <c r="J22" s="20" t="s">
        <v>81</v>
      </c>
      <c r="K22" s="19" t="s">
        <v>117</v>
      </c>
      <c r="L22" s="70" t="s">
        <v>118</v>
      </c>
      <c r="M22" s="15">
        <v>2021</v>
      </c>
      <c r="N22" s="15" t="str">
        <f t="shared" si="1"/>
        <v xml:space="preserve">Januari </v>
      </c>
      <c r="O22" s="15">
        <v>2025</v>
      </c>
      <c r="P22" s="15">
        <v>2023</v>
      </c>
      <c r="Q22" s="15"/>
      <c r="R22" s="16" t="s">
        <v>51</v>
      </c>
      <c r="S22" s="15"/>
      <c r="T22" s="15"/>
      <c r="U22" s="15"/>
      <c r="V22" s="15"/>
      <c r="W22" s="15"/>
    </row>
    <row r="23" spans="1:23" s="17" customFormat="1" ht="14.5" x14ac:dyDescent="0.35">
      <c r="A23" s="12">
        <v>22</v>
      </c>
      <c r="B23" s="25" t="s">
        <v>119</v>
      </c>
      <c r="C23" s="69" t="s">
        <v>120</v>
      </c>
      <c r="D23" s="13" t="str">
        <f t="shared" si="0"/>
        <v>Laki-Laki</v>
      </c>
      <c r="E23" s="24" t="s">
        <v>109</v>
      </c>
      <c r="F23" s="72" t="s">
        <v>110</v>
      </c>
      <c r="G23" s="13" t="s">
        <v>23</v>
      </c>
      <c r="H23" s="19" t="s">
        <v>71</v>
      </c>
      <c r="I23" s="19" t="s">
        <v>121</v>
      </c>
      <c r="J23" s="20" t="s">
        <v>26</v>
      </c>
      <c r="K23" s="19" t="s">
        <v>122</v>
      </c>
      <c r="L23" s="70" t="s">
        <v>123</v>
      </c>
      <c r="M23" s="15">
        <v>2021</v>
      </c>
      <c r="N23" s="15" t="str">
        <f t="shared" si="1"/>
        <v xml:space="preserve">Maret </v>
      </c>
      <c r="O23" s="15">
        <v>2023</v>
      </c>
      <c r="P23" s="15">
        <v>2023</v>
      </c>
      <c r="Q23" s="15"/>
      <c r="R23" s="16" t="s">
        <v>51</v>
      </c>
      <c r="S23" s="15"/>
      <c r="T23" s="15"/>
      <c r="U23" s="15"/>
      <c r="V23" s="15"/>
      <c r="W23" s="15"/>
    </row>
    <row r="24" spans="1:23" s="17" customFormat="1" ht="28" x14ac:dyDescent="0.35">
      <c r="A24" s="12">
        <v>23</v>
      </c>
      <c r="B24" s="25" t="s">
        <v>124</v>
      </c>
      <c r="C24" s="69" t="s">
        <v>125</v>
      </c>
      <c r="D24" s="13" t="str">
        <f t="shared" si="0"/>
        <v>Perempuan</v>
      </c>
      <c r="E24" s="24" t="s">
        <v>126</v>
      </c>
      <c r="F24" s="72" t="s">
        <v>127</v>
      </c>
      <c r="G24" s="13" t="s">
        <v>23</v>
      </c>
      <c r="H24" s="19" t="s">
        <v>128</v>
      </c>
      <c r="I24" s="19" t="s">
        <v>90</v>
      </c>
      <c r="J24" s="20" t="s">
        <v>81</v>
      </c>
      <c r="K24" s="19" t="s">
        <v>117</v>
      </c>
      <c r="L24" s="70" t="s">
        <v>123</v>
      </c>
      <c r="M24" s="15">
        <v>2021</v>
      </c>
      <c r="N24" s="15" t="str">
        <f t="shared" si="1"/>
        <v xml:space="preserve">Maret </v>
      </c>
      <c r="O24" s="15">
        <v>2025</v>
      </c>
      <c r="P24" s="15">
        <v>2023</v>
      </c>
      <c r="Q24" s="15"/>
      <c r="R24" s="16" t="s">
        <v>51</v>
      </c>
      <c r="S24" s="15"/>
      <c r="T24" s="15"/>
      <c r="U24" s="15"/>
      <c r="V24" s="15"/>
      <c r="W24" s="15"/>
    </row>
    <row r="25" spans="1:23" s="17" customFormat="1" ht="28" x14ac:dyDescent="0.35">
      <c r="A25" s="12">
        <v>24</v>
      </c>
      <c r="B25" s="25" t="s">
        <v>129</v>
      </c>
      <c r="C25" s="69" t="s">
        <v>130</v>
      </c>
      <c r="D25" s="13" t="str">
        <f t="shared" si="0"/>
        <v>Perempuan</v>
      </c>
      <c r="E25" s="24" t="s">
        <v>87</v>
      </c>
      <c r="F25" s="72" t="s">
        <v>131</v>
      </c>
      <c r="G25" s="13" t="s">
        <v>23</v>
      </c>
      <c r="H25" s="19" t="s">
        <v>132</v>
      </c>
      <c r="I25" s="19" t="s">
        <v>90</v>
      </c>
      <c r="J25" s="20" t="s">
        <v>45</v>
      </c>
      <c r="K25" s="19" t="s">
        <v>46</v>
      </c>
      <c r="L25" s="70" t="s">
        <v>92</v>
      </c>
      <c r="M25" s="15">
        <v>2023</v>
      </c>
      <c r="N25" s="15" t="str">
        <f t="shared" si="1"/>
        <v xml:space="preserve">April </v>
      </c>
      <c r="O25" s="15">
        <v>2027</v>
      </c>
      <c r="P25" s="15">
        <v>2023</v>
      </c>
      <c r="Q25" s="15"/>
      <c r="R25" s="16" t="s">
        <v>51</v>
      </c>
      <c r="S25" s="15"/>
      <c r="T25" s="15"/>
      <c r="U25" s="15"/>
      <c r="V25" s="15"/>
      <c r="W25" s="15"/>
    </row>
    <row r="26" spans="1:23" s="17" customFormat="1" ht="14.5" x14ac:dyDescent="0.35">
      <c r="A26" s="12">
        <v>25</v>
      </c>
      <c r="B26" s="25" t="s">
        <v>133</v>
      </c>
      <c r="C26" s="69" t="s">
        <v>134</v>
      </c>
      <c r="D26" s="13" t="str">
        <f t="shared" si="0"/>
        <v>Perempuan</v>
      </c>
      <c r="E26" s="24" t="s">
        <v>126</v>
      </c>
      <c r="F26" s="72" t="s">
        <v>135</v>
      </c>
      <c r="G26" s="13" t="s">
        <v>23</v>
      </c>
      <c r="H26" s="19" t="s">
        <v>55</v>
      </c>
      <c r="I26" s="19" t="s">
        <v>90</v>
      </c>
      <c r="J26" s="20" t="s">
        <v>45</v>
      </c>
      <c r="K26" s="19" t="s">
        <v>136</v>
      </c>
      <c r="L26" s="70" t="s">
        <v>123</v>
      </c>
      <c r="M26" s="15">
        <v>2023</v>
      </c>
      <c r="N26" s="15" t="str">
        <f t="shared" si="1"/>
        <v xml:space="preserve">Maret </v>
      </c>
      <c r="O26" s="15">
        <v>2027</v>
      </c>
      <c r="P26" s="15">
        <v>2023</v>
      </c>
      <c r="Q26" s="15"/>
      <c r="R26" s="16" t="s">
        <v>51</v>
      </c>
      <c r="S26" s="15"/>
      <c r="T26" s="15"/>
      <c r="U26" s="15"/>
      <c r="V26" s="15"/>
      <c r="W26" s="15"/>
    </row>
    <row r="27" spans="1:23" s="17" customFormat="1" ht="14.5" x14ac:dyDescent="0.35">
      <c r="A27" s="12">
        <v>26</v>
      </c>
      <c r="B27" s="25" t="s">
        <v>137</v>
      </c>
      <c r="C27" s="69" t="s">
        <v>138</v>
      </c>
      <c r="D27" s="13" t="str">
        <f t="shared" si="0"/>
        <v>Perempuan</v>
      </c>
      <c r="E27" s="24" t="s">
        <v>116</v>
      </c>
      <c r="F27" s="72" t="s">
        <v>139</v>
      </c>
      <c r="G27" s="13" t="s">
        <v>23</v>
      </c>
      <c r="H27" s="19" t="s">
        <v>24</v>
      </c>
      <c r="I27" s="19" t="s">
        <v>90</v>
      </c>
      <c r="J27" s="20" t="s">
        <v>45</v>
      </c>
      <c r="K27" s="19" t="s">
        <v>46</v>
      </c>
      <c r="L27" s="70" t="s">
        <v>106</v>
      </c>
      <c r="M27" s="15">
        <v>2022</v>
      </c>
      <c r="N27" s="15" t="str">
        <f t="shared" si="1"/>
        <v xml:space="preserve">Desember </v>
      </c>
      <c r="O27" s="15">
        <v>2026</v>
      </c>
      <c r="P27" s="15">
        <v>2023</v>
      </c>
      <c r="Q27" s="15"/>
      <c r="R27" s="16" t="s">
        <v>51</v>
      </c>
      <c r="S27" s="15"/>
      <c r="T27" s="15"/>
      <c r="U27" s="15"/>
      <c r="V27" s="15"/>
      <c r="W27" s="15"/>
    </row>
    <row r="28" spans="1:23" s="17" customFormat="1" ht="14.5" x14ac:dyDescent="0.35">
      <c r="A28" s="12">
        <v>27</v>
      </c>
      <c r="B28" s="25" t="s">
        <v>140</v>
      </c>
      <c r="C28" s="69" t="s">
        <v>141</v>
      </c>
      <c r="D28" s="13" t="str">
        <f>IF(MID(C28,16,1)="1","Laki-Laki","Perempuan")</f>
        <v>Perempuan</v>
      </c>
      <c r="E28" s="24" t="s">
        <v>116</v>
      </c>
      <c r="F28" s="72" t="s">
        <v>142</v>
      </c>
      <c r="G28" s="13" t="s">
        <v>23</v>
      </c>
      <c r="H28" s="19" t="s">
        <v>143</v>
      </c>
      <c r="I28" s="19" t="s">
        <v>90</v>
      </c>
      <c r="J28" s="20" t="s">
        <v>45</v>
      </c>
      <c r="K28" s="19" t="s">
        <v>144</v>
      </c>
      <c r="L28" s="70" t="s">
        <v>145</v>
      </c>
      <c r="M28" s="15">
        <v>2022</v>
      </c>
      <c r="N28" s="15" t="str">
        <f t="shared" si="1"/>
        <v xml:space="preserve">Agustus </v>
      </c>
      <c r="O28" s="15">
        <v>2026</v>
      </c>
      <c r="P28" s="15">
        <v>2023</v>
      </c>
      <c r="Q28" s="15"/>
      <c r="R28" s="16" t="s">
        <v>51</v>
      </c>
      <c r="S28" s="15"/>
      <c r="T28" s="15"/>
      <c r="U28" s="15"/>
      <c r="V28" s="15"/>
      <c r="W28" s="15"/>
    </row>
    <row r="29" spans="1:23" s="17" customFormat="1" ht="28" x14ac:dyDescent="0.35">
      <c r="A29" s="12">
        <v>28</v>
      </c>
      <c r="B29" s="25" t="s">
        <v>146</v>
      </c>
      <c r="C29" s="69" t="s">
        <v>147</v>
      </c>
      <c r="D29" s="13" t="str">
        <f t="shared" ref="D29:D50" si="2">IF(MID(C29,15,1)="1","Laki-Laki","Perempuan")</f>
        <v>Perempuan</v>
      </c>
      <c r="E29" s="24" t="s">
        <v>126</v>
      </c>
      <c r="F29" s="72" t="s">
        <v>148</v>
      </c>
      <c r="G29" s="13" t="s">
        <v>23</v>
      </c>
      <c r="H29" s="19" t="s">
        <v>71</v>
      </c>
      <c r="I29" s="19" t="s">
        <v>149</v>
      </c>
      <c r="J29" s="20" t="s">
        <v>45</v>
      </c>
      <c r="K29" s="19" t="s">
        <v>144</v>
      </c>
      <c r="L29" s="15"/>
      <c r="M29" s="15"/>
      <c r="N29" s="15">
        <f t="shared" si="1"/>
        <v>0</v>
      </c>
      <c r="O29" s="15"/>
      <c r="P29" s="15">
        <v>2024</v>
      </c>
      <c r="Q29" s="15"/>
      <c r="R29" s="16" t="s">
        <v>51</v>
      </c>
      <c r="S29" s="15"/>
      <c r="T29" s="15"/>
      <c r="U29" s="15"/>
      <c r="V29" s="15"/>
      <c r="W29" s="15"/>
    </row>
    <row r="30" spans="1:23" s="17" customFormat="1" ht="14.5" x14ac:dyDescent="0.35">
      <c r="A30" s="12">
        <v>29</v>
      </c>
      <c r="B30" s="80" t="s">
        <v>150</v>
      </c>
      <c r="C30" s="14" t="s">
        <v>151</v>
      </c>
      <c r="D30" s="13" t="str">
        <f t="shared" si="2"/>
        <v>Laki-Laki</v>
      </c>
      <c r="E30" s="13" t="s">
        <v>152</v>
      </c>
      <c r="F30" s="18" t="s">
        <v>153</v>
      </c>
      <c r="G30" s="13" t="s">
        <v>23</v>
      </c>
      <c r="H30" s="15" t="s">
        <v>154</v>
      </c>
      <c r="I30" s="77" t="s">
        <v>155</v>
      </c>
      <c r="J30" s="20" t="s">
        <v>45</v>
      </c>
      <c r="K30" s="77" t="s">
        <v>46</v>
      </c>
      <c r="L30" s="15" t="s">
        <v>156</v>
      </c>
      <c r="M30" s="15">
        <v>2024</v>
      </c>
      <c r="N30" s="15" t="str">
        <f>L30</f>
        <v>November</v>
      </c>
      <c r="O30" s="15">
        <v>2026</v>
      </c>
      <c r="P30" s="15">
        <v>2024</v>
      </c>
      <c r="Q30" s="15"/>
      <c r="R30" s="16"/>
      <c r="S30" s="15"/>
      <c r="T30" s="15"/>
      <c r="U30" s="15"/>
      <c r="V30" s="15"/>
      <c r="W30" s="15"/>
    </row>
    <row r="31" spans="1:23" s="17" customFormat="1" ht="14.5" x14ac:dyDescent="0.35">
      <c r="A31" s="12">
        <v>30</v>
      </c>
      <c r="B31" s="78" t="s">
        <v>157</v>
      </c>
      <c r="C31" s="14" t="s">
        <v>158</v>
      </c>
      <c r="D31" s="13" t="str">
        <f t="shared" si="2"/>
        <v>Perempuan</v>
      </c>
      <c r="E31" s="13" t="s">
        <v>152</v>
      </c>
      <c r="F31" s="18" t="s">
        <v>159</v>
      </c>
      <c r="G31" s="13" t="s">
        <v>23</v>
      </c>
      <c r="H31" s="15" t="s">
        <v>143</v>
      </c>
      <c r="I31" s="77" t="s">
        <v>155</v>
      </c>
      <c r="J31" s="20" t="s">
        <v>45</v>
      </c>
      <c r="K31" s="77" t="s">
        <v>46</v>
      </c>
      <c r="L31" s="15" t="s">
        <v>160</v>
      </c>
      <c r="M31" s="15">
        <v>2024</v>
      </c>
      <c r="N31" s="15" t="str">
        <f t="shared" ref="N31:N35" si="3">L31</f>
        <v>Juli</v>
      </c>
      <c r="O31" s="15">
        <v>2026</v>
      </c>
      <c r="P31" s="15">
        <v>2024</v>
      </c>
      <c r="Q31" s="15"/>
      <c r="R31" s="16"/>
      <c r="S31" s="15"/>
      <c r="T31" s="15"/>
      <c r="U31" s="15"/>
      <c r="V31" s="15"/>
      <c r="W31" s="15"/>
    </row>
    <row r="32" spans="1:23" s="17" customFormat="1" ht="14.5" x14ac:dyDescent="0.35">
      <c r="A32" s="12">
        <v>31</v>
      </c>
      <c r="B32" s="78" t="s">
        <v>161</v>
      </c>
      <c r="C32" s="14"/>
      <c r="D32" s="13" t="str">
        <f t="shared" si="2"/>
        <v>Perempuan</v>
      </c>
      <c r="E32" s="13"/>
      <c r="F32" s="18"/>
      <c r="G32" s="13" t="s">
        <v>23</v>
      </c>
      <c r="H32" s="15"/>
      <c r="I32" s="77" t="s">
        <v>155</v>
      </c>
      <c r="J32" s="20" t="s">
        <v>45</v>
      </c>
      <c r="K32" s="77" t="s">
        <v>46</v>
      </c>
      <c r="L32" s="15"/>
      <c r="M32" s="15"/>
      <c r="N32" s="15">
        <f t="shared" si="3"/>
        <v>0</v>
      </c>
      <c r="O32" s="15"/>
      <c r="P32" s="15">
        <v>2024</v>
      </c>
      <c r="Q32" s="15"/>
      <c r="R32" s="16"/>
      <c r="S32" s="15"/>
      <c r="T32" s="15"/>
      <c r="U32" s="15"/>
      <c r="V32" s="15"/>
      <c r="W32" s="15"/>
    </row>
    <row r="33" spans="1:23" s="17" customFormat="1" ht="14.5" x14ac:dyDescent="0.35">
      <c r="A33" s="12">
        <v>32</v>
      </c>
      <c r="B33" s="78" t="s">
        <v>162</v>
      </c>
      <c r="C33" s="14" t="s">
        <v>163</v>
      </c>
      <c r="D33" s="13" t="str">
        <f t="shared" si="2"/>
        <v>Perempuan</v>
      </c>
      <c r="E33" s="13" t="s">
        <v>164</v>
      </c>
      <c r="F33" s="18" t="s">
        <v>99</v>
      </c>
      <c r="G33" s="13" t="s">
        <v>23</v>
      </c>
      <c r="H33" s="15" t="s">
        <v>143</v>
      </c>
      <c r="I33" s="79" t="s">
        <v>155</v>
      </c>
      <c r="J33" s="20" t="s">
        <v>45</v>
      </c>
      <c r="K33" s="79" t="s">
        <v>46</v>
      </c>
      <c r="L33" s="15" t="s">
        <v>160</v>
      </c>
      <c r="M33" s="15">
        <v>2024</v>
      </c>
      <c r="N33" s="15" t="str">
        <f t="shared" si="3"/>
        <v>Juli</v>
      </c>
      <c r="O33" s="15">
        <v>2026</v>
      </c>
      <c r="P33" s="15">
        <v>2024</v>
      </c>
      <c r="Q33" s="15"/>
      <c r="R33" s="16"/>
      <c r="S33" s="15"/>
      <c r="T33" s="15"/>
      <c r="U33" s="15"/>
      <c r="V33" s="15"/>
      <c r="W33" s="15"/>
    </row>
    <row r="34" spans="1:23" s="17" customFormat="1" ht="14.5" x14ac:dyDescent="0.35">
      <c r="A34" s="12">
        <v>33</v>
      </c>
      <c r="B34" s="78" t="s">
        <v>165</v>
      </c>
      <c r="C34" s="14" t="s">
        <v>166</v>
      </c>
      <c r="D34" s="13" t="str">
        <f t="shared" si="2"/>
        <v>Laki-Laki</v>
      </c>
      <c r="E34" s="13" t="s">
        <v>152</v>
      </c>
      <c r="F34" s="18" t="s">
        <v>99</v>
      </c>
      <c r="G34" s="13" t="s">
        <v>23</v>
      </c>
      <c r="H34" s="15" t="s">
        <v>167</v>
      </c>
      <c r="I34" s="77" t="s">
        <v>168</v>
      </c>
      <c r="J34" s="20" t="s">
        <v>45</v>
      </c>
      <c r="K34" s="77" t="s">
        <v>40</v>
      </c>
      <c r="L34" s="15" t="s">
        <v>169</v>
      </c>
      <c r="M34" s="15">
        <v>2024</v>
      </c>
      <c r="N34" s="15" t="str">
        <f t="shared" si="3"/>
        <v>Oktober</v>
      </c>
      <c r="O34" s="15">
        <v>2026</v>
      </c>
      <c r="P34" s="15">
        <v>2024</v>
      </c>
      <c r="Q34" s="15"/>
      <c r="R34" s="16"/>
      <c r="S34" s="15"/>
      <c r="T34" s="15"/>
      <c r="U34" s="15"/>
      <c r="V34" s="15"/>
      <c r="W34" s="15"/>
    </row>
    <row r="35" spans="1:23" s="17" customFormat="1" ht="14.5" x14ac:dyDescent="0.35">
      <c r="A35" s="12">
        <v>34</v>
      </c>
      <c r="B35" s="78" t="s">
        <v>170</v>
      </c>
      <c r="C35" s="14" t="s">
        <v>171</v>
      </c>
      <c r="D35" s="13" t="str">
        <f t="shared" si="2"/>
        <v>Perempuan</v>
      </c>
      <c r="E35" s="13" t="s">
        <v>172</v>
      </c>
      <c r="F35" s="18" t="s">
        <v>99</v>
      </c>
      <c r="G35" s="13" t="s">
        <v>23</v>
      </c>
      <c r="H35" s="15" t="s">
        <v>143</v>
      </c>
      <c r="I35" s="77" t="s">
        <v>173</v>
      </c>
      <c r="J35" s="20" t="s">
        <v>45</v>
      </c>
      <c r="K35" s="77" t="s">
        <v>174</v>
      </c>
      <c r="L35" s="15" t="s">
        <v>28</v>
      </c>
      <c r="M35" s="15">
        <v>2024</v>
      </c>
      <c r="N35" s="15" t="str">
        <f t="shared" si="3"/>
        <v>September</v>
      </c>
      <c r="O35" s="15">
        <v>2026</v>
      </c>
      <c r="P35" s="15">
        <v>2024</v>
      </c>
      <c r="Q35" s="15"/>
      <c r="R35" s="16"/>
      <c r="S35" s="15"/>
      <c r="T35" s="15"/>
      <c r="U35" s="15"/>
      <c r="V35" s="15"/>
      <c r="W35" s="15"/>
    </row>
    <row r="36" spans="1:23" s="17" customFormat="1" ht="14.5" x14ac:dyDescent="0.35">
      <c r="A36" s="12">
        <v>35</v>
      </c>
      <c r="B36" s="25" t="s">
        <v>175</v>
      </c>
      <c r="C36" s="26" t="s">
        <v>176</v>
      </c>
      <c r="D36" s="13" t="str">
        <f t="shared" si="2"/>
        <v>Perempuan</v>
      </c>
      <c r="E36" s="25" t="s">
        <v>177</v>
      </c>
      <c r="F36" s="25" t="s">
        <v>178</v>
      </c>
      <c r="G36" s="25" t="s">
        <v>23</v>
      </c>
      <c r="H36" s="19" t="s">
        <v>179</v>
      </c>
      <c r="I36" s="27" t="s">
        <v>121</v>
      </c>
      <c r="J36" s="12" t="s">
        <v>180</v>
      </c>
      <c r="K36" s="28" t="s">
        <v>181</v>
      </c>
      <c r="L36" s="29" t="s">
        <v>182</v>
      </c>
      <c r="M36" s="21">
        <v>2023</v>
      </c>
      <c r="N36" s="30" t="str">
        <f>L36</f>
        <v xml:space="preserve">Juli </v>
      </c>
      <c r="O36" s="15">
        <v>2027</v>
      </c>
      <c r="P36" s="15">
        <v>2025</v>
      </c>
      <c r="Q36" s="15"/>
      <c r="R36" s="16"/>
      <c r="S36" s="15"/>
      <c r="T36" s="15"/>
      <c r="U36" s="15"/>
      <c r="V36" s="15"/>
      <c r="W36" s="15"/>
    </row>
    <row r="37" spans="1:23" s="17" customFormat="1" ht="14.5" x14ac:dyDescent="0.35">
      <c r="A37" s="12">
        <v>36</v>
      </c>
      <c r="B37" s="25" t="s">
        <v>183</v>
      </c>
      <c r="C37" s="26" t="s">
        <v>184</v>
      </c>
      <c r="D37" s="13" t="str">
        <f t="shared" si="2"/>
        <v>Laki-Laki</v>
      </c>
      <c r="E37" s="25" t="s">
        <v>185</v>
      </c>
      <c r="F37" s="25" t="s">
        <v>88</v>
      </c>
      <c r="G37" s="25" t="s">
        <v>23</v>
      </c>
      <c r="H37" s="19" t="s">
        <v>179</v>
      </c>
      <c r="I37" s="27" t="s">
        <v>90</v>
      </c>
      <c r="J37" s="12" t="s">
        <v>180</v>
      </c>
      <c r="K37" s="28" t="s">
        <v>40</v>
      </c>
      <c r="L37" s="29" t="s">
        <v>92</v>
      </c>
      <c r="M37" s="21">
        <v>2023</v>
      </c>
      <c r="N37" s="30" t="str">
        <f t="shared" ref="N37:N47" si="4">L37</f>
        <v xml:space="preserve">April </v>
      </c>
      <c r="O37" s="15">
        <v>2027</v>
      </c>
      <c r="P37" s="15">
        <v>2025</v>
      </c>
      <c r="Q37" s="15"/>
      <c r="R37" s="16"/>
      <c r="S37" s="15"/>
      <c r="T37" s="15"/>
      <c r="U37" s="15"/>
      <c r="V37" s="15"/>
      <c r="W37" s="15"/>
    </row>
    <row r="38" spans="1:23" s="17" customFormat="1" ht="14.5" x14ac:dyDescent="0.35">
      <c r="A38" s="12">
        <v>37</v>
      </c>
      <c r="B38" s="25" t="s">
        <v>186</v>
      </c>
      <c r="C38" s="26" t="s">
        <v>187</v>
      </c>
      <c r="D38" s="13" t="str">
        <f t="shared" si="2"/>
        <v>Laki-Laki</v>
      </c>
      <c r="E38" s="25" t="s">
        <v>188</v>
      </c>
      <c r="F38" s="25" t="s">
        <v>189</v>
      </c>
      <c r="G38" s="25" t="s">
        <v>23</v>
      </c>
      <c r="H38" s="19" t="s">
        <v>55</v>
      </c>
      <c r="I38" s="27" t="s">
        <v>111</v>
      </c>
      <c r="J38" s="31" t="s">
        <v>190</v>
      </c>
      <c r="K38" s="28" t="s">
        <v>112</v>
      </c>
      <c r="L38" s="29" t="s">
        <v>35</v>
      </c>
      <c r="M38" s="21">
        <v>2024</v>
      </c>
      <c r="N38" s="30" t="str">
        <f t="shared" si="4"/>
        <v>Maret</v>
      </c>
      <c r="O38" s="15">
        <v>2026</v>
      </c>
      <c r="P38" s="15">
        <v>2025</v>
      </c>
      <c r="Q38" s="15"/>
      <c r="R38" s="16"/>
      <c r="S38" s="15"/>
      <c r="T38" s="15"/>
      <c r="U38" s="15"/>
      <c r="V38" s="15"/>
      <c r="W38" s="15"/>
    </row>
    <row r="39" spans="1:23" s="17" customFormat="1" ht="28" x14ac:dyDescent="0.35">
      <c r="A39" s="12">
        <v>38</v>
      </c>
      <c r="B39" s="25" t="s">
        <v>191</v>
      </c>
      <c r="C39" s="26" t="s">
        <v>192</v>
      </c>
      <c r="D39" s="13" t="str">
        <f t="shared" si="2"/>
        <v>Perempuan</v>
      </c>
      <c r="E39" s="25" t="s">
        <v>193</v>
      </c>
      <c r="F39" s="25" t="s">
        <v>194</v>
      </c>
      <c r="G39" s="25" t="s">
        <v>23</v>
      </c>
      <c r="H39" s="19" t="s">
        <v>195</v>
      </c>
      <c r="I39" s="27" t="s">
        <v>90</v>
      </c>
      <c r="J39" s="31" t="s">
        <v>180</v>
      </c>
      <c r="K39" s="28" t="s">
        <v>196</v>
      </c>
      <c r="L39" s="29" t="s">
        <v>28</v>
      </c>
      <c r="M39" s="21">
        <v>2024</v>
      </c>
      <c r="N39" s="30" t="str">
        <f t="shared" si="4"/>
        <v>September</v>
      </c>
      <c r="O39" s="15">
        <v>2028</v>
      </c>
      <c r="P39" s="15">
        <v>2025</v>
      </c>
      <c r="Q39" s="15"/>
      <c r="R39" s="16"/>
      <c r="S39" s="15"/>
      <c r="T39" s="15"/>
      <c r="U39" s="15"/>
      <c r="V39" s="15"/>
      <c r="W39" s="15"/>
    </row>
    <row r="40" spans="1:23" s="17" customFormat="1" ht="28" x14ac:dyDescent="0.35">
      <c r="A40" s="12">
        <v>39</v>
      </c>
      <c r="B40" s="25" t="s">
        <v>197</v>
      </c>
      <c r="C40" s="26" t="s">
        <v>198</v>
      </c>
      <c r="D40" s="13" t="str">
        <f t="shared" si="2"/>
        <v>Laki-Laki</v>
      </c>
      <c r="E40" s="25" t="s">
        <v>164</v>
      </c>
      <c r="F40" s="25" t="s">
        <v>178</v>
      </c>
      <c r="G40" s="25" t="s">
        <v>23</v>
      </c>
      <c r="H40" s="19" t="s">
        <v>195</v>
      </c>
      <c r="I40" s="27" t="s">
        <v>90</v>
      </c>
      <c r="J40" s="31" t="s">
        <v>180</v>
      </c>
      <c r="K40" s="28" t="s">
        <v>181</v>
      </c>
      <c r="L40" s="29" t="s">
        <v>199</v>
      </c>
      <c r="M40" s="21">
        <v>2024</v>
      </c>
      <c r="N40" s="30" t="str">
        <f t="shared" si="4"/>
        <v xml:space="preserve"> September </v>
      </c>
      <c r="O40" s="15">
        <v>2028</v>
      </c>
      <c r="P40" s="15">
        <v>2025</v>
      </c>
      <c r="Q40" s="15"/>
      <c r="R40" s="16"/>
      <c r="S40" s="15"/>
      <c r="T40" s="15"/>
      <c r="U40" s="15"/>
      <c r="V40" s="15"/>
      <c r="W40" s="15"/>
    </row>
    <row r="41" spans="1:23" s="17" customFormat="1" ht="28" x14ac:dyDescent="0.35">
      <c r="A41" s="12">
        <v>40</v>
      </c>
      <c r="B41" s="25" t="s">
        <v>200</v>
      </c>
      <c r="C41" s="26" t="s">
        <v>201</v>
      </c>
      <c r="D41" s="13" t="str">
        <f t="shared" si="2"/>
        <v>Laki-Laki</v>
      </c>
      <c r="E41" s="25" t="s">
        <v>188</v>
      </c>
      <c r="F41" s="25" t="s">
        <v>202</v>
      </c>
      <c r="G41" s="25" t="s">
        <v>23</v>
      </c>
      <c r="H41" s="19" t="s">
        <v>195</v>
      </c>
      <c r="I41" s="28" t="s">
        <v>203</v>
      </c>
      <c r="J41" s="32" t="s">
        <v>190</v>
      </c>
      <c r="K41" s="28" t="s">
        <v>204</v>
      </c>
      <c r="L41" s="29" t="s">
        <v>205</v>
      </c>
      <c r="M41" s="21">
        <v>2024</v>
      </c>
      <c r="N41" s="30" t="str">
        <f t="shared" si="4"/>
        <v xml:space="preserve">September </v>
      </c>
      <c r="O41" s="15">
        <v>2026</v>
      </c>
      <c r="P41" s="15">
        <v>2025</v>
      </c>
      <c r="Q41" s="15"/>
      <c r="R41" s="16"/>
      <c r="S41" s="15"/>
      <c r="T41" s="15"/>
      <c r="U41" s="15"/>
      <c r="V41" s="15"/>
      <c r="W41" s="15"/>
    </row>
    <row r="42" spans="1:23" s="17" customFormat="1" ht="28" x14ac:dyDescent="0.35">
      <c r="A42" s="12">
        <v>41</v>
      </c>
      <c r="B42" s="25" t="s">
        <v>206</v>
      </c>
      <c r="C42" s="26" t="s">
        <v>207</v>
      </c>
      <c r="D42" s="13" t="str">
        <f t="shared" si="2"/>
        <v>Perempuan</v>
      </c>
      <c r="E42" s="25" t="s">
        <v>188</v>
      </c>
      <c r="F42" s="25" t="s">
        <v>208</v>
      </c>
      <c r="G42" s="25" t="s">
        <v>23</v>
      </c>
      <c r="H42" s="19" t="s">
        <v>195</v>
      </c>
      <c r="I42" s="28" t="s">
        <v>203</v>
      </c>
      <c r="J42" s="32" t="s">
        <v>190</v>
      </c>
      <c r="K42" s="28" t="s">
        <v>204</v>
      </c>
      <c r="L42" s="29" t="s">
        <v>205</v>
      </c>
      <c r="M42" s="21">
        <v>2024</v>
      </c>
      <c r="N42" s="30" t="str">
        <f t="shared" si="4"/>
        <v xml:space="preserve">September </v>
      </c>
      <c r="O42" s="15">
        <v>2026</v>
      </c>
      <c r="P42" s="15">
        <v>2025</v>
      </c>
      <c r="Q42" s="15"/>
      <c r="R42" s="16"/>
      <c r="S42" s="15"/>
      <c r="T42" s="15"/>
      <c r="U42" s="15"/>
      <c r="V42" s="15"/>
      <c r="W42" s="15"/>
    </row>
    <row r="43" spans="1:23" s="17" customFormat="1" ht="28" x14ac:dyDescent="0.35">
      <c r="A43" s="12">
        <v>42</v>
      </c>
      <c r="B43" s="25" t="s">
        <v>209</v>
      </c>
      <c r="C43" s="26" t="s">
        <v>210</v>
      </c>
      <c r="D43" s="13" t="str">
        <f t="shared" si="2"/>
        <v>Perempuan</v>
      </c>
      <c r="E43" s="25" t="s">
        <v>211</v>
      </c>
      <c r="F43" s="25" t="s">
        <v>212</v>
      </c>
      <c r="G43" s="25" t="s">
        <v>23</v>
      </c>
      <c r="H43" s="19" t="s">
        <v>195</v>
      </c>
      <c r="I43" s="28" t="s">
        <v>90</v>
      </c>
      <c r="J43" s="32" t="s">
        <v>180</v>
      </c>
      <c r="K43" s="28" t="s">
        <v>196</v>
      </c>
      <c r="L43" s="29" t="s">
        <v>28</v>
      </c>
      <c r="M43" s="21">
        <v>2024</v>
      </c>
      <c r="N43" s="30" t="str">
        <f t="shared" si="4"/>
        <v>September</v>
      </c>
      <c r="O43" s="15">
        <v>2028</v>
      </c>
      <c r="P43" s="15">
        <v>2025</v>
      </c>
      <c r="Q43" s="15"/>
      <c r="R43" s="16"/>
      <c r="S43" s="15"/>
      <c r="T43" s="15"/>
      <c r="U43" s="15"/>
      <c r="V43" s="15"/>
      <c r="W43" s="15"/>
    </row>
    <row r="44" spans="1:23" s="17" customFormat="1" ht="28" x14ac:dyDescent="0.35">
      <c r="A44" s="12">
        <v>43</v>
      </c>
      <c r="B44" s="25" t="s">
        <v>213</v>
      </c>
      <c r="C44" s="26" t="s">
        <v>214</v>
      </c>
      <c r="D44" s="13" t="str">
        <f t="shared" si="2"/>
        <v>Perempuan</v>
      </c>
      <c r="E44" s="25" t="s">
        <v>215</v>
      </c>
      <c r="F44" s="25" t="s">
        <v>212</v>
      </c>
      <c r="G44" s="25" t="s">
        <v>23</v>
      </c>
      <c r="H44" s="19" t="s">
        <v>195</v>
      </c>
      <c r="I44" s="28" t="s">
        <v>90</v>
      </c>
      <c r="J44" s="32" t="s">
        <v>180</v>
      </c>
      <c r="K44" s="28" t="s">
        <v>196</v>
      </c>
      <c r="L44" s="27" t="s">
        <v>123</v>
      </c>
      <c r="M44" s="15">
        <v>2023</v>
      </c>
      <c r="N44" s="30" t="str">
        <f t="shared" si="4"/>
        <v xml:space="preserve">Maret </v>
      </c>
      <c r="O44" s="15">
        <v>2027</v>
      </c>
      <c r="P44" s="15">
        <v>2025</v>
      </c>
      <c r="Q44" s="15"/>
      <c r="R44" s="16"/>
      <c r="S44" s="15"/>
      <c r="T44" s="15"/>
      <c r="U44" s="15"/>
      <c r="V44" s="15"/>
      <c r="W44" s="15"/>
    </row>
    <row r="45" spans="1:23" s="17" customFormat="1" ht="28" x14ac:dyDescent="0.35">
      <c r="A45" s="12">
        <v>44</v>
      </c>
      <c r="B45" s="25" t="s">
        <v>216</v>
      </c>
      <c r="C45" s="26" t="s">
        <v>217</v>
      </c>
      <c r="D45" s="13" t="str">
        <f t="shared" si="2"/>
        <v>Laki-Laki</v>
      </c>
      <c r="E45" s="25" t="s">
        <v>215</v>
      </c>
      <c r="F45" s="33" t="s">
        <v>218</v>
      </c>
      <c r="G45" s="25" t="s">
        <v>23</v>
      </c>
      <c r="H45" s="19" t="s">
        <v>219</v>
      </c>
      <c r="I45" s="28" t="s">
        <v>220</v>
      </c>
      <c r="J45" s="32" t="s">
        <v>190</v>
      </c>
      <c r="K45" s="28" t="s">
        <v>221</v>
      </c>
      <c r="L45" s="29" t="s">
        <v>205</v>
      </c>
      <c r="M45" s="21">
        <v>2024</v>
      </c>
      <c r="N45" s="30" t="str">
        <f t="shared" si="4"/>
        <v xml:space="preserve">September </v>
      </c>
      <c r="O45" s="15">
        <v>2026</v>
      </c>
      <c r="P45" s="15">
        <v>2025</v>
      </c>
      <c r="Q45" s="15"/>
      <c r="R45" s="16"/>
      <c r="S45" s="15"/>
      <c r="T45" s="15"/>
      <c r="U45" s="15"/>
      <c r="V45" s="15"/>
      <c r="W45" s="15"/>
    </row>
    <row r="46" spans="1:23" s="17" customFormat="1" ht="14.5" x14ac:dyDescent="0.35">
      <c r="A46" s="12">
        <v>45</v>
      </c>
      <c r="B46" s="25" t="s">
        <v>222</v>
      </c>
      <c r="C46" s="26" t="s">
        <v>223</v>
      </c>
      <c r="D46" s="13" t="str">
        <f t="shared" si="2"/>
        <v>Perempuan</v>
      </c>
      <c r="E46" s="25" t="s">
        <v>152</v>
      </c>
      <c r="F46" s="25" t="s">
        <v>224</v>
      </c>
      <c r="G46" s="25" t="s">
        <v>23</v>
      </c>
      <c r="H46" s="19" t="s">
        <v>219</v>
      </c>
      <c r="I46" s="28" t="s">
        <v>225</v>
      </c>
      <c r="J46" s="32" t="s">
        <v>180</v>
      </c>
      <c r="K46" s="28" t="s">
        <v>40</v>
      </c>
      <c r="L46" s="29" t="s">
        <v>226</v>
      </c>
      <c r="M46" s="21">
        <v>2024</v>
      </c>
      <c r="N46" s="30" t="str">
        <f t="shared" si="4"/>
        <v xml:space="preserve">November </v>
      </c>
      <c r="O46" s="15">
        <v>2028</v>
      </c>
      <c r="P46" s="15">
        <v>2025</v>
      </c>
      <c r="Q46" s="15"/>
      <c r="R46" s="16"/>
      <c r="S46" s="15"/>
      <c r="T46" s="15"/>
      <c r="U46" s="15"/>
      <c r="V46" s="15"/>
      <c r="W46" s="15"/>
    </row>
    <row r="47" spans="1:23" s="17" customFormat="1" ht="14.5" x14ac:dyDescent="0.35">
      <c r="A47" s="12">
        <v>46</v>
      </c>
      <c r="B47" s="25" t="s">
        <v>227</v>
      </c>
      <c r="C47" s="26" t="s">
        <v>228</v>
      </c>
      <c r="D47" s="13" t="str">
        <f t="shared" si="2"/>
        <v>Laki-Laki</v>
      </c>
      <c r="E47" s="25" t="s">
        <v>152</v>
      </c>
      <c r="F47" s="25" t="s">
        <v>224</v>
      </c>
      <c r="G47" s="25" t="s">
        <v>23</v>
      </c>
      <c r="H47" s="19" t="s">
        <v>219</v>
      </c>
      <c r="I47" s="28" t="s">
        <v>225</v>
      </c>
      <c r="J47" s="32" t="s">
        <v>180</v>
      </c>
      <c r="K47" s="28" t="s">
        <v>46</v>
      </c>
      <c r="L47" s="29" t="s">
        <v>226</v>
      </c>
      <c r="M47" s="21">
        <v>2024</v>
      </c>
      <c r="N47" s="30" t="str">
        <f t="shared" si="4"/>
        <v xml:space="preserve">November </v>
      </c>
      <c r="O47" s="15">
        <v>2028</v>
      </c>
      <c r="P47" s="15">
        <v>2025</v>
      </c>
      <c r="Q47" s="15"/>
      <c r="R47" s="16"/>
      <c r="S47" s="15"/>
      <c r="T47" s="15"/>
      <c r="U47" s="15"/>
      <c r="V47" s="15"/>
      <c r="W47" s="15"/>
    </row>
    <row r="48" spans="1:23" ht="28" x14ac:dyDescent="0.3">
      <c r="A48" s="12">
        <v>47</v>
      </c>
      <c r="B48" s="147" t="s">
        <v>2900</v>
      </c>
      <c r="C48" s="132" t="s">
        <v>2901</v>
      </c>
      <c r="D48" s="13" t="str">
        <f t="shared" si="2"/>
        <v>Laki-Laki</v>
      </c>
      <c r="E48" s="131" t="s">
        <v>554</v>
      </c>
      <c r="F48" s="131" t="s">
        <v>2902</v>
      </c>
      <c r="G48" s="131" t="s">
        <v>23</v>
      </c>
      <c r="H48" s="133" t="s">
        <v>2903</v>
      </c>
      <c r="I48" s="134" t="s">
        <v>56</v>
      </c>
      <c r="J48" s="135" t="s">
        <v>509</v>
      </c>
      <c r="K48" s="134" t="s">
        <v>57</v>
      </c>
      <c r="L48" s="140" t="s">
        <v>2904</v>
      </c>
      <c r="M48" s="141">
        <v>2025</v>
      </c>
      <c r="N48" s="141" t="s">
        <v>2905</v>
      </c>
      <c r="O48" s="142">
        <v>2025</v>
      </c>
      <c r="P48" s="143">
        <v>2025</v>
      </c>
      <c r="Q48" s="144"/>
      <c r="R48" s="145"/>
      <c r="S48" s="145"/>
      <c r="T48" s="145"/>
      <c r="U48" s="145"/>
      <c r="V48" s="145"/>
      <c r="W48" s="145"/>
    </row>
    <row r="49" spans="1:23" ht="28" x14ac:dyDescent="0.3">
      <c r="A49" s="12">
        <v>48</v>
      </c>
      <c r="B49" s="147" t="s">
        <v>2906</v>
      </c>
      <c r="C49" s="132" t="s">
        <v>2907</v>
      </c>
      <c r="D49" s="13" t="str">
        <f t="shared" si="2"/>
        <v>Laki-Laki</v>
      </c>
      <c r="E49" s="131" t="s">
        <v>2866</v>
      </c>
      <c r="F49" s="137" t="s">
        <v>2908</v>
      </c>
      <c r="G49" s="131" t="s">
        <v>23</v>
      </c>
      <c r="H49" s="133" t="s">
        <v>55</v>
      </c>
      <c r="I49" s="134" t="s">
        <v>2909</v>
      </c>
      <c r="J49" s="135" t="s">
        <v>180</v>
      </c>
      <c r="K49" s="139" t="s">
        <v>348</v>
      </c>
      <c r="L49" s="146" t="s">
        <v>28</v>
      </c>
      <c r="M49" s="136">
        <v>2025</v>
      </c>
      <c r="N49" s="136" t="s">
        <v>35</v>
      </c>
      <c r="O49" s="136">
        <v>2028</v>
      </c>
      <c r="P49" s="15">
        <v>2025</v>
      </c>
      <c r="Q49" s="15"/>
      <c r="R49" s="18"/>
      <c r="S49" s="18"/>
      <c r="T49" s="18"/>
      <c r="U49" s="18"/>
      <c r="V49" s="18"/>
      <c r="W49" s="18"/>
    </row>
    <row r="50" spans="1:23" ht="28" x14ac:dyDescent="0.3">
      <c r="A50" s="12">
        <v>49</v>
      </c>
      <c r="B50" s="147" t="s">
        <v>2910</v>
      </c>
      <c r="C50" s="138" t="s">
        <v>2911</v>
      </c>
      <c r="D50" s="13" t="str">
        <f t="shared" si="2"/>
        <v>Laki-Laki</v>
      </c>
      <c r="E50" s="131" t="s">
        <v>188</v>
      </c>
      <c r="F50" s="137" t="s">
        <v>2912</v>
      </c>
      <c r="G50" s="131" t="s">
        <v>23</v>
      </c>
      <c r="H50" s="133" t="s">
        <v>55</v>
      </c>
      <c r="I50" s="134" t="s">
        <v>2909</v>
      </c>
      <c r="J50" s="135" t="s">
        <v>190</v>
      </c>
      <c r="K50" s="139" t="s">
        <v>46</v>
      </c>
      <c r="L50" s="146" t="s">
        <v>2913</v>
      </c>
      <c r="M50" s="136">
        <v>2025</v>
      </c>
      <c r="N50" s="136" t="s">
        <v>2914</v>
      </c>
      <c r="O50" s="136">
        <v>2027</v>
      </c>
      <c r="P50" s="15">
        <v>2025</v>
      </c>
      <c r="Q50" s="15"/>
      <c r="R50" s="18"/>
      <c r="S50" s="18"/>
      <c r="T50" s="18"/>
      <c r="U50" s="18"/>
      <c r="V50" s="18"/>
      <c r="W50" s="18"/>
    </row>
    <row r="51" spans="1:23" ht="13" x14ac:dyDescent="0.3">
      <c r="A51" s="58"/>
      <c r="B51" s="58"/>
      <c r="C51" s="58"/>
      <c r="D51" s="58"/>
      <c r="E51" s="58"/>
      <c r="F51" s="58"/>
      <c r="G51" s="58"/>
      <c r="H51" s="59"/>
      <c r="I51" s="59"/>
      <c r="J51" s="59"/>
      <c r="K51" s="59"/>
      <c r="L51" s="59"/>
      <c r="M51" s="60"/>
      <c r="N51" s="60"/>
      <c r="O51" s="60"/>
      <c r="P51" s="59"/>
      <c r="Q51" s="59"/>
      <c r="R51" s="60"/>
      <c r="S51" s="60"/>
      <c r="T51" s="60"/>
      <c r="U51" s="60"/>
      <c r="V51" s="60"/>
      <c r="W51" s="60"/>
    </row>
    <row r="52" spans="1:23" ht="13" x14ac:dyDescent="0.3">
      <c r="A52" s="58"/>
      <c r="B52" s="58"/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  <c r="N52" s="60"/>
      <c r="O52" s="60"/>
      <c r="P52" s="59"/>
      <c r="Q52" s="59"/>
      <c r="R52" s="60"/>
      <c r="S52" s="60"/>
      <c r="T52" s="60"/>
      <c r="U52" s="60"/>
      <c r="V52" s="60"/>
      <c r="W52" s="60"/>
    </row>
    <row r="53" spans="1:23" ht="13" x14ac:dyDescent="0.3">
      <c r="A53" s="58"/>
      <c r="B53" s="58"/>
      <c r="C53" s="58"/>
      <c r="D53" s="58"/>
      <c r="E53" s="58"/>
      <c r="F53" s="58"/>
      <c r="G53" s="58"/>
      <c r="H53" s="59"/>
      <c r="I53" s="59"/>
      <c r="J53" s="59"/>
      <c r="K53" s="59"/>
      <c r="L53" s="59"/>
      <c r="M53" s="60"/>
      <c r="N53" s="60"/>
      <c r="O53" s="60"/>
      <c r="P53" s="59"/>
      <c r="Q53" s="59"/>
      <c r="R53" s="60"/>
      <c r="S53" s="60"/>
      <c r="T53" s="60"/>
      <c r="U53" s="60"/>
      <c r="V53" s="60"/>
      <c r="W53" s="60"/>
    </row>
    <row r="54" spans="1:23" ht="13" x14ac:dyDescent="0.3">
      <c r="A54" s="58"/>
      <c r="B54" s="58"/>
      <c r="C54" s="58"/>
      <c r="D54" s="58"/>
      <c r="E54" s="58"/>
      <c r="F54" s="58"/>
      <c r="G54" s="58"/>
      <c r="H54" s="59"/>
      <c r="I54" s="59"/>
      <c r="J54" s="59"/>
      <c r="K54" s="59"/>
      <c r="L54" s="59"/>
      <c r="M54" s="60"/>
      <c r="N54" s="60"/>
      <c r="O54" s="60"/>
      <c r="P54" s="59"/>
      <c r="Q54" s="59"/>
      <c r="R54" s="60"/>
      <c r="S54" s="60"/>
      <c r="T54" s="60"/>
      <c r="U54" s="60"/>
      <c r="V54" s="60"/>
      <c r="W54" s="60"/>
    </row>
    <row r="55" spans="1:23" ht="13" x14ac:dyDescent="0.3">
      <c r="A55" s="58"/>
      <c r="B55" s="58"/>
      <c r="C55" s="58"/>
      <c r="D55" s="58"/>
      <c r="E55" s="58"/>
      <c r="F55" s="58"/>
      <c r="G55" s="58"/>
      <c r="H55" s="59"/>
      <c r="I55" s="59"/>
      <c r="J55" s="59"/>
      <c r="K55" s="59"/>
      <c r="L55" s="59"/>
      <c r="M55" s="60"/>
      <c r="N55" s="60"/>
      <c r="O55" s="60"/>
      <c r="P55" s="59"/>
      <c r="Q55" s="59"/>
      <c r="R55" s="60"/>
      <c r="S55" s="60"/>
      <c r="T55" s="60"/>
      <c r="U55" s="60"/>
      <c r="V55" s="60"/>
      <c r="W55" s="60"/>
    </row>
    <row r="56" spans="1:23" ht="13" x14ac:dyDescent="0.3">
      <c r="A56" s="58"/>
      <c r="B56" s="58"/>
      <c r="C56" s="58"/>
      <c r="D56" s="58"/>
      <c r="E56" s="58"/>
      <c r="F56" s="58"/>
      <c r="G56" s="58"/>
      <c r="H56" s="59"/>
      <c r="I56" s="59"/>
      <c r="J56" s="59"/>
      <c r="K56" s="59"/>
      <c r="L56" s="59"/>
      <c r="M56" s="60"/>
      <c r="N56" s="60"/>
      <c r="O56" s="60"/>
      <c r="P56" s="59"/>
      <c r="Q56" s="59"/>
      <c r="R56" s="60"/>
      <c r="S56" s="60"/>
      <c r="T56" s="60"/>
      <c r="U56" s="60"/>
      <c r="V56" s="60"/>
      <c r="W56" s="60"/>
    </row>
    <row r="57" spans="1:23" ht="13" x14ac:dyDescent="0.3">
      <c r="A57" s="58"/>
      <c r="B57" s="58"/>
      <c r="C57" s="58"/>
      <c r="D57" s="58"/>
      <c r="E57" s="58"/>
      <c r="F57" s="58"/>
      <c r="G57" s="58"/>
      <c r="H57" s="59"/>
      <c r="I57" s="59"/>
      <c r="J57" s="59"/>
      <c r="K57" s="59"/>
      <c r="L57" s="59"/>
      <c r="M57" s="60"/>
      <c r="N57" s="60"/>
      <c r="O57" s="60"/>
      <c r="P57" s="59"/>
      <c r="Q57" s="59"/>
      <c r="R57" s="60"/>
      <c r="S57" s="60"/>
      <c r="T57" s="60"/>
      <c r="U57" s="60"/>
      <c r="V57" s="60"/>
      <c r="W57" s="60"/>
    </row>
    <row r="58" spans="1:23" ht="13" x14ac:dyDescent="0.3">
      <c r="A58" s="58"/>
      <c r="B58" s="58"/>
      <c r="C58" s="58"/>
      <c r="D58" s="58"/>
      <c r="E58" s="58"/>
      <c r="F58" s="58"/>
      <c r="G58" s="58"/>
      <c r="H58" s="59"/>
      <c r="I58" s="59"/>
      <c r="J58" s="59"/>
      <c r="K58" s="59"/>
      <c r="L58" s="59"/>
      <c r="M58" s="60"/>
      <c r="N58" s="60"/>
      <c r="O58" s="60"/>
      <c r="P58" s="59"/>
      <c r="Q58" s="59"/>
      <c r="R58" s="60"/>
      <c r="S58" s="60"/>
      <c r="T58" s="60"/>
      <c r="U58" s="60"/>
      <c r="V58" s="60"/>
      <c r="W58" s="60"/>
    </row>
    <row r="59" spans="1:23" ht="13" x14ac:dyDescent="0.3">
      <c r="A59" s="58"/>
      <c r="B59" s="58"/>
      <c r="C59" s="58"/>
      <c r="D59" s="58"/>
      <c r="E59" s="58"/>
      <c r="F59" s="58"/>
      <c r="G59" s="58"/>
      <c r="H59" s="59"/>
      <c r="I59" s="59"/>
      <c r="J59" s="59"/>
      <c r="K59" s="59"/>
      <c r="L59" s="59"/>
      <c r="M59" s="60"/>
      <c r="N59" s="60"/>
      <c r="O59" s="60"/>
      <c r="P59" s="59"/>
      <c r="Q59" s="59"/>
      <c r="R59" s="60"/>
      <c r="S59" s="60"/>
      <c r="T59" s="60"/>
      <c r="U59" s="60"/>
      <c r="V59" s="60"/>
      <c r="W59" s="60"/>
    </row>
    <row r="60" spans="1:23" ht="13" x14ac:dyDescent="0.3">
      <c r="A60" s="58"/>
      <c r="B60" s="58"/>
      <c r="C60" s="58"/>
      <c r="D60" s="58"/>
      <c r="E60" s="58"/>
      <c r="F60" s="58"/>
      <c r="G60" s="58"/>
      <c r="H60" s="59"/>
      <c r="I60" s="59"/>
      <c r="J60" s="59"/>
      <c r="K60" s="59"/>
      <c r="L60" s="59"/>
      <c r="M60" s="60"/>
      <c r="N60" s="60"/>
      <c r="O60" s="60"/>
      <c r="P60" s="59"/>
      <c r="Q60" s="59"/>
      <c r="R60" s="60"/>
      <c r="S60" s="60"/>
      <c r="T60" s="60"/>
      <c r="U60" s="60"/>
      <c r="V60" s="60"/>
      <c r="W60" s="60"/>
    </row>
    <row r="61" spans="1:23" ht="13" x14ac:dyDescent="0.3">
      <c r="A61" s="58"/>
      <c r="B61" s="58"/>
      <c r="C61" s="58"/>
      <c r="D61" s="58"/>
      <c r="E61" s="58"/>
      <c r="F61" s="58"/>
      <c r="G61" s="58"/>
      <c r="H61" s="59"/>
      <c r="I61" s="59"/>
      <c r="J61" s="59"/>
      <c r="K61" s="59"/>
      <c r="L61" s="59"/>
      <c r="M61" s="60"/>
      <c r="N61" s="60"/>
      <c r="O61" s="60"/>
      <c r="P61" s="59"/>
      <c r="Q61" s="59"/>
      <c r="R61" s="60"/>
      <c r="S61" s="60"/>
      <c r="T61" s="60"/>
      <c r="U61" s="60"/>
      <c r="V61" s="60"/>
      <c r="W61" s="60"/>
    </row>
    <row r="62" spans="1:23" ht="13" x14ac:dyDescent="0.3">
      <c r="A62" s="58"/>
      <c r="B62" s="58"/>
      <c r="C62" s="58"/>
      <c r="D62" s="58"/>
      <c r="E62" s="58"/>
      <c r="F62" s="58"/>
      <c r="G62" s="58"/>
      <c r="H62" s="59"/>
      <c r="I62" s="59"/>
      <c r="J62" s="59"/>
      <c r="K62" s="59"/>
      <c r="L62" s="59"/>
      <c r="M62" s="60"/>
      <c r="N62" s="60"/>
      <c r="O62" s="60"/>
      <c r="P62" s="59"/>
      <c r="Q62" s="59"/>
      <c r="R62" s="60"/>
      <c r="S62" s="60"/>
      <c r="T62" s="60"/>
      <c r="U62" s="60"/>
      <c r="V62" s="60"/>
      <c r="W62" s="60"/>
    </row>
    <row r="63" spans="1:23" ht="13" x14ac:dyDescent="0.3">
      <c r="A63" s="58"/>
      <c r="B63" s="58"/>
      <c r="C63" s="58"/>
      <c r="D63" s="58"/>
      <c r="E63" s="58"/>
      <c r="F63" s="58"/>
      <c r="G63" s="58"/>
      <c r="H63" s="59"/>
      <c r="I63" s="59"/>
      <c r="J63" s="59"/>
      <c r="K63" s="59"/>
      <c r="L63" s="59"/>
      <c r="M63" s="60"/>
      <c r="N63" s="60"/>
      <c r="O63" s="60"/>
      <c r="P63" s="59"/>
      <c r="Q63" s="59"/>
      <c r="R63" s="60"/>
      <c r="S63" s="60"/>
      <c r="T63" s="60"/>
      <c r="U63" s="60"/>
      <c r="V63" s="60"/>
      <c r="W63" s="60"/>
    </row>
    <row r="64" spans="1:23" ht="13" x14ac:dyDescent="0.3">
      <c r="A64" s="58"/>
      <c r="B64" s="58"/>
      <c r="C64" s="58"/>
      <c r="D64" s="58"/>
      <c r="E64" s="58"/>
      <c r="F64" s="58"/>
      <c r="G64" s="58"/>
      <c r="H64" s="59"/>
      <c r="I64" s="59"/>
      <c r="J64" s="59"/>
      <c r="K64" s="59"/>
      <c r="L64" s="59"/>
      <c r="M64" s="60"/>
      <c r="N64" s="60"/>
      <c r="O64" s="60"/>
      <c r="P64" s="59"/>
      <c r="Q64" s="59"/>
      <c r="R64" s="60"/>
      <c r="S64" s="60"/>
      <c r="T64" s="60"/>
      <c r="U64" s="60"/>
      <c r="V64" s="60"/>
      <c r="W64" s="60"/>
    </row>
    <row r="65" spans="1:23" ht="13" x14ac:dyDescent="0.3">
      <c r="A65" s="58"/>
      <c r="B65" s="58"/>
      <c r="C65" s="58"/>
      <c r="D65" s="58"/>
      <c r="E65" s="58"/>
      <c r="F65" s="58"/>
      <c r="G65" s="58"/>
      <c r="H65" s="59"/>
      <c r="I65" s="59"/>
      <c r="J65" s="59"/>
      <c r="K65" s="59"/>
      <c r="L65" s="59"/>
      <c r="M65" s="60"/>
      <c r="N65" s="60"/>
      <c r="O65" s="60"/>
      <c r="P65" s="59"/>
      <c r="Q65" s="59"/>
      <c r="R65" s="60"/>
      <c r="S65" s="60"/>
      <c r="T65" s="60"/>
      <c r="U65" s="60"/>
      <c r="V65" s="60"/>
      <c r="W65" s="60"/>
    </row>
    <row r="66" spans="1:23" ht="13" x14ac:dyDescent="0.3">
      <c r="A66" s="58"/>
      <c r="B66" s="58"/>
      <c r="C66" s="58"/>
      <c r="D66" s="58"/>
      <c r="E66" s="58"/>
      <c r="F66" s="58"/>
      <c r="G66" s="58"/>
      <c r="H66" s="59"/>
      <c r="I66" s="59"/>
      <c r="J66" s="59"/>
      <c r="K66" s="59"/>
      <c r="L66" s="59"/>
      <c r="M66" s="60"/>
      <c r="N66" s="60"/>
      <c r="O66" s="60"/>
      <c r="P66" s="59"/>
      <c r="Q66" s="59"/>
      <c r="R66" s="60"/>
      <c r="S66" s="60"/>
      <c r="T66" s="60"/>
      <c r="U66" s="60"/>
      <c r="V66" s="60"/>
      <c r="W66" s="60"/>
    </row>
    <row r="67" spans="1:23" ht="13" x14ac:dyDescent="0.3">
      <c r="A67" s="58"/>
      <c r="B67" s="58"/>
      <c r="C67" s="58"/>
      <c r="D67" s="58"/>
      <c r="E67" s="58"/>
      <c r="F67" s="58"/>
      <c r="G67" s="58"/>
      <c r="H67" s="59"/>
      <c r="I67" s="59"/>
      <c r="J67" s="59"/>
      <c r="K67" s="59"/>
      <c r="L67" s="59"/>
      <c r="M67" s="60"/>
      <c r="N67" s="60"/>
      <c r="O67" s="60"/>
      <c r="P67" s="59"/>
      <c r="Q67" s="59"/>
      <c r="R67" s="60"/>
      <c r="S67" s="60"/>
      <c r="T67" s="60"/>
      <c r="U67" s="60"/>
      <c r="V67" s="60"/>
      <c r="W67" s="60"/>
    </row>
    <row r="68" spans="1:23" ht="13" x14ac:dyDescent="0.3">
      <c r="A68" s="58"/>
      <c r="B68" s="58"/>
      <c r="C68" s="58"/>
      <c r="D68" s="58"/>
      <c r="E68" s="58"/>
      <c r="F68" s="58"/>
      <c r="G68" s="58"/>
      <c r="H68" s="59"/>
      <c r="I68" s="59"/>
      <c r="J68" s="59"/>
      <c r="K68" s="59"/>
      <c r="L68" s="59"/>
      <c r="M68" s="60"/>
      <c r="N68" s="60"/>
      <c r="O68" s="60"/>
      <c r="P68" s="59"/>
      <c r="Q68" s="59"/>
      <c r="R68" s="60"/>
      <c r="S68" s="60"/>
      <c r="T68" s="60"/>
      <c r="U68" s="60"/>
      <c r="V68" s="60"/>
      <c r="W68" s="60"/>
    </row>
    <row r="69" spans="1:23" ht="13" x14ac:dyDescent="0.3">
      <c r="A69" s="58"/>
      <c r="B69" s="58"/>
      <c r="C69" s="58"/>
      <c r="D69" s="58"/>
      <c r="E69" s="58"/>
      <c r="F69" s="58"/>
      <c r="G69" s="58"/>
      <c r="H69" s="59"/>
      <c r="I69" s="59"/>
      <c r="J69" s="59"/>
      <c r="K69" s="59"/>
      <c r="L69" s="59"/>
      <c r="M69" s="60"/>
      <c r="N69" s="60"/>
      <c r="O69" s="60"/>
      <c r="P69" s="59"/>
      <c r="Q69" s="59"/>
      <c r="R69" s="60"/>
      <c r="S69" s="60"/>
      <c r="T69" s="60"/>
      <c r="U69" s="60"/>
      <c r="V69" s="60"/>
      <c r="W69" s="60"/>
    </row>
    <row r="70" spans="1:23" ht="13" x14ac:dyDescent="0.3">
      <c r="A70" s="58"/>
      <c r="B70" s="58"/>
      <c r="C70" s="58"/>
      <c r="D70" s="58"/>
      <c r="E70" s="58"/>
      <c r="F70" s="58"/>
      <c r="G70" s="58"/>
      <c r="H70" s="59"/>
      <c r="I70" s="59"/>
      <c r="J70" s="59"/>
      <c r="K70" s="59"/>
      <c r="L70" s="59"/>
      <c r="M70" s="60"/>
      <c r="N70" s="60"/>
      <c r="O70" s="60"/>
      <c r="P70" s="59"/>
      <c r="Q70" s="59"/>
      <c r="R70" s="60"/>
      <c r="S70" s="60"/>
      <c r="T70" s="60"/>
      <c r="U70" s="60"/>
      <c r="V70" s="60"/>
      <c r="W70" s="60"/>
    </row>
    <row r="71" spans="1:23" ht="13" x14ac:dyDescent="0.3">
      <c r="A71" s="58"/>
      <c r="B71" s="58"/>
      <c r="C71" s="58"/>
      <c r="D71" s="58"/>
      <c r="E71" s="58"/>
      <c r="F71" s="58"/>
      <c r="G71" s="58"/>
      <c r="H71" s="59"/>
      <c r="I71" s="59"/>
      <c r="J71" s="59"/>
      <c r="K71" s="59"/>
      <c r="L71" s="59"/>
      <c r="M71" s="60"/>
      <c r="N71" s="60"/>
      <c r="O71" s="60"/>
      <c r="P71" s="59"/>
      <c r="Q71" s="59"/>
      <c r="R71" s="60"/>
      <c r="S71" s="60"/>
      <c r="T71" s="60"/>
      <c r="U71" s="60"/>
      <c r="V71" s="60"/>
      <c r="W71" s="60"/>
    </row>
    <row r="72" spans="1:23" ht="13" x14ac:dyDescent="0.3">
      <c r="A72" s="58"/>
      <c r="B72" s="58"/>
      <c r="C72" s="58"/>
      <c r="D72" s="58"/>
      <c r="E72" s="58"/>
      <c r="F72" s="58"/>
      <c r="G72" s="58"/>
      <c r="H72" s="59"/>
      <c r="I72" s="59"/>
      <c r="J72" s="59"/>
      <c r="K72" s="59"/>
      <c r="L72" s="59"/>
      <c r="M72" s="60"/>
      <c r="N72" s="60"/>
      <c r="O72" s="60"/>
      <c r="P72" s="59"/>
      <c r="Q72" s="59"/>
      <c r="R72" s="60"/>
      <c r="S72" s="60"/>
      <c r="T72" s="60"/>
      <c r="U72" s="60"/>
      <c r="V72" s="60"/>
      <c r="W72" s="60"/>
    </row>
    <row r="73" spans="1:23" ht="13" x14ac:dyDescent="0.3">
      <c r="A73" s="58"/>
      <c r="B73" s="58"/>
      <c r="C73" s="58"/>
      <c r="D73" s="58"/>
      <c r="E73" s="58"/>
      <c r="F73" s="58"/>
      <c r="G73" s="58"/>
      <c r="H73" s="59"/>
      <c r="I73" s="59"/>
      <c r="J73" s="59"/>
      <c r="K73" s="59"/>
      <c r="L73" s="59"/>
      <c r="M73" s="60"/>
      <c r="N73" s="60"/>
      <c r="O73" s="60"/>
      <c r="P73" s="59"/>
      <c r="Q73" s="59"/>
      <c r="R73" s="60"/>
      <c r="S73" s="60"/>
      <c r="T73" s="60"/>
      <c r="U73" s="60"/>
      <c r="V73" s="60"/>
      <c r="W73" s="60"/>
    </row>
    <row r="74" spans="1:23" ht="13" x14ac:dyDescent="0.3">
      <c r="A74" s="58"/>
      <c r="B74" s="58"/>
      <c r="C74" s="58"/>
      <c r="D74" s="58"/>
      <c r="E74" s="58"/>
      <c r="F74" s="58"/>
      <c r="G74" s="58"/>
      <c r="H74" s="59"/>
      <c r="I74" s="59"/>
      <c r="J74" s="59"/>
      <c r="K74" s="59"/>
      <c r="L74" s="59"/>
      <c r="M74" s="60"/>
      <c r="N74" s="60"/>
      <c r="O74" s="60"/>
      <c r="P74" s="59"/>
      <c r="Q74" s="59"/>
      <c r="R74" s="60"/>
      <c r="S74" s="60"/>
      <c r="T74" s="60"/>
      <c r="U74" s="60"/>
      <c r="V74" s="60"/>
      <c r="W74" s="60"/>
    </row>
    <row r="75" spans="1:23" ht="13" x14ac:dyDescent="0.3">
      <c r="A75" s="58"/>
      <c r="B75" s="58"/>
      <c r="C75" s="58"/>
      <c r="D75" s="58"/>
      <c r="E75" s="58"/>
      <c r="F75" s="58"/>
      <c r="G75" s="58"/>
      <c r="H75" s="59"/>
      <c r="I75" s="59"/>
      <c r="J75" s="59"/>
      <c r="K75" s="59"/>
      <c r="L75" s="59"/>
      <c r="M75" s="60"/>
      <c r="N75" s="60"/>
      <c r="O75" s="60"/>
      <c r="P75" s="59"/>
      <c r="Q75" s="59"/>
      <c r="R75" s="60"/>
      <c r="S75" s="60"/>
      <c r="T75" s="60"/>
      <c r="U75" s="60"/>
      <c r="V75" s="60"/>
      <c r="W75" s="60"/>
    </row>
    <row r="76" spans="1:23" ht="13" x14ac:dyDescent="0.3">
      <c r="A76" s="58"/>
      <c r="B76" s="58"/>
      <c r="C76" s="58"/>
      <c r="D76" s="58"/>
      <c r="E76" s="58"/>
      <c r="F76" s="58"/>
      <c r="G76" s="58"/>
      <c r="H76" s="59"/>
      <c r="I76" s="59"/>
      <c r="J76" s="59"/>
      <c r="K76" s="59"/>
      <c r="L76" s="59"/>
      <c r="M76" s="60"/>
      <c r="N76" s="60"/>
      <c r="O76" s="60"/>
      <c r="P76" s="59"/>
      <c r="Q76" s="59"/>
      <c r="R76" s="60"/>
      <c r="S76" s="60"/>
      <c r="T76" s="60"/>
      <c r="U76" s="60"/>
      <c r="V76" s="60"/>
      <c r="W76" s="60"/>
    </row>
    <row r="77" spans="1:23" ht="13" x14ac:dyDescent="0.3">
      <c r="A77" s="58"/>
      <c r="B77" s="58"/>
      <c r="C77" s="58"/>
      <c r="D77" s="58"/>
      <c r="E77" s="58"/>
      <c r="F77" s="58"/>
      <c r="G77" s="58"/>
      <c r="H77" s="59"/>
      <c r="I77" s="59"/>
      <c r="J77" s="59"/>
      <c r="K77" s="59"/>
      <c r="L77" s="59"/>
      <c r="M77" s="60"/>
      <c r="N77" s="60"/>
      <c r="O77" s="60"/>
      <c r="P77" s="59"/>
      <c r="Q77" s="59"/>
      <c r="R77" s="60"/>
      <c r="S77" s="60"/>
      <c r="T77" s="60"/>
      <c r="U77" s="60"/>
      <c r="V77" s="60"/>
      <c r="W77" s="60"/>
    </row>
    <row r="78" spans="1:23" ht="13" x14ac:dyDescent="0.3">
      <c r="A78" s="58"/>
      <c r="B78" s="58"/>
      <c r="C78" s="58"/>
      <c r="D78" s="58"/>
      <c r="E78" s="58"/>
      <c r="F78" s="58"/>
      <c r="G78" s="58"/>
      <c r="H78" s="59"/>
      <c r="I78" s="59"/>
      <c r="J78" s="59"/>
      <c r="K78" s="59"/>
      <c r="L78" s="59"/>
      <c r="M78" s="60"/>
      <c r="N78" s="60"/>
      <c r="O78" s="60"/>
      <c r="P78" s="59"/>
      <c r="Q78" s="59"/>
      <c r="R78" s="60"/>
      <c r="S78" s="60"/>
      <c r="T78" s="60"/>
      <c r="U78" s="60"/>
      <c r="V78" s="60"/>
      <c r="W78" s="60"/>
    </row>
    <row r="79" spans="1:23" ht="13" x14ac:dyDescent="0.3">
      <c r="A79" s="58"/>
      <c r="B79" s="58"/>
      <c r="C79" s="58"/>
      <c r="D79" s="58"/>
      <c r="E79" s="58"/>
      <c r="F79" s="58"/>
      <c r="G79" s="58"/>
      <c r="H79" s="59"/>
      <c r="I79" s="59"/>
      <c r="J79" s="59"/>
      <c r="K79" s="59"/>
      <c r="L79" s="59"/>
      <c r="M79" s="60"/>
      <c r="N79" s="60"/>
      <c r="O79" s="60"/>
      <c r="P79" s="59"/>
      <c r="Q79" s="59"/>
      <c r="R79" s="60"/>
      <c r="S79" s="60"/>
      <c r="T79" s="60"/>
      <c r="U79" s="60"/>
      <c r="V79" s="60"/>
      <c r="W79" s="60"/>
    </row>
    <row r="80" spans="1:23" ht="13" x14ac:dyDescent="0.3">
      <c r="A80" s="58"/>
      <c r="B80" s="58"/>
      <c r="C80" s="58"/>
      <c r="D80" s="58"/>
      <c r="E80" s="58"/>
      <c r="F80" s="58"/>
      <c r="G80" s="58"/>
      <c r="H80" s="59"/>
      <c r="I80" s="59"/>
      <c r="J80" s="59"/>
      <c r="K80" s="59"/>
      <c r="L80" s="59"/>
      <c r="M80" s="60"/>
      <c r="N80" s="60"/>
      <c r="O80" s="60"/>
      <c r="P80" s="59"/>
      <c r="Q80" s="59"/>
      <c r="R80" s="60"/>
      <c r="S80" s="60"/>
      <c r="T80" s="60"/>
      <c r="U80" s="60"/>
      <c r="V80" s="60"/>
      <c r="W80" s="60"/>
    </row>
    <row r="81" spans="1:23" ht="13" x14ac:dyDescent="0.3">
      <c r="A81" s="58"/>
      <c r="B81" s="58"/>
      <c r="C81" s="58"/>
      <c r="D81" s="58"/>
      <c r="E81" s="58"/>
      <c r="F81" s="58"/>
      <c r="G81" s="58"/>
      <c r="H81" s="59"/>
      <c r="I81" s="59"/>
      <c r="J81" s="59"/>
      <c r="K81" s="59"/>
      <c r="L81" s="59"/>
      <c r="M81" s="60"/>
      <c r="N81" s="60"/>
      <c r="O81" s="60"/>
      <c r="P81" s="59"/>
      <c r="Q81" s="59"/>
      <c r="R81" s="60"/>
      <c r="S81" s="60"/>
      <c r="T81" s="60"/>
      <c r="U81" s="60"/>
      <c r="V81" s="60"/>
      <c r="W81" s="60"/>
    </row>
    <row r="82" spans="1:23" ht="13" x14ac:dyDescent="0.3">
      <c r="A82" s="58"/>
      <c r="B82" s="58"/>
      <c r="C82" s="58"/>
      <c r="D82" s="58"/>
      <c r="E82" s="58"/>
      <c r="F82" s="58"/>
      <c r="G82" s="58"/>
      <c r="H82" s="59"/>
      <c r="I82" s="59"/>
      <c r="J82" s="59"/>
      <c r="K82" s="59"/>
      <c r="L82" s="59"/>
      <c r="M82" s="60"/>
      <c r="N82" s="60"/>
      <c r="O82" s="60"/>
      <c r="P82" s="59"/>
      <c r="Q82" s="59"/>
      <c r="R82" s="60"/>
      <c r="S82" s="60"/>
      <c r="T82" s="60"/>
      <c r="U82" s="60"/>
      <c r="V82" s="60"/>
      <c r="W82" s="60"/>
    </row>
    <row r="83" spans="1:23" ht="13" x14ac:dyDescent="0.3">
      <c r="A83" s="58"/>
      <c r="B83" s="58"/>
      <c r="C83" s="58"/>
      <c r="D83" s="58"/>
      <c r="E83" s="58"/>
      <c r="F83" s="58"/>
      <c r="G83" s="58"/>
      <c r="H83" s="59"/>
      <c r="I83" s="59"/>
      <c r="J83" s="59"/>
      <c r="K83" s="59"/>
      <c r="L83" s="59"/>
      <c r="M83" s="60"/>
      <c r="N83" s="60"/>
      <c r="O83" s="60"/>
      <c r="P83" s="59"/>
      <c r="Q83" s="59"/>
      <c r="R83" s="60"/>
      <c r="S83" s="60"/>
      <c r="T83" s="60"/>
      <c r="U83" s="60"/>
      <c r="V83" s="60"/>
      <c r="W83" s="60"/>
    </row>
    <row r="84" spans="1:23" ht="13" x14ac:dyDescent="0.3">
      <c r="A84" s="58"/>
      <c r="B84" s="58"/>
      <c r="C84" s="58"/>
      <c r="D84" s="58"/>
      <c r="E84" s="58"/>
      <c r="F84" s="58"/>
      <c r="G84" s="58"/>
      <c r="H84" s="59"/>
      <c r="I84" s="59"/>
      <c r="J84" s="59"/>
      <c r="K84" s="59"/>
      <c r="L84" s="59"/>
      <c r="M84" s="60"/>
      <c r="N84" s="60"/>
      <c r="O84" s="60"/>
      <c r="P84" s="59"/>
      <c r="Q84" s="59"/>
      <c r="R84" s="60"/>
      <c r="S84" s="60"/>
      <c r="T84" s="60"/>
      <c r="U84" s="60"/>
      <c r="V84" s="60"/>
      <c r="W84" s="60"/>
    </row>
    <row r="85" spans="1:23" ht="13" x14ac:dyDescent="0.3">
      <c r="A85" s="58"/>
      <c r="B85" s="58"/>
      <c r="C85" s="58"/>
      <c r="D85" s="58"/>
      <c r="E85" s="58"/>
      <c r="F85" s="58"/>
      <c r="G85" s="58"/>
      <c r="H85" s="59"/>
      <c r="I85" s="59"/>
      <c r="J85" s="59"/>
      <c r="K85" s="59"/>
      <c r="L85" s="59"/>
      <c r="M85" s="60"/>
      <c r="N85" s="60"/>
      <c r="O85" s="60"/>
      <c r="P85" s="59"/>
      <c r="Q85" s="59"/>
      <c r="R85" s="60"/>
      <c r="S85" s="60"/>
      <c r="T85" s="60"/>
      <c r="U85" s="60"/>
      <c r="V85" s="60"/>
      <c r="W85" s="60"/>
    </row>
    <row r="86" spans="1:23" ht="13" x14ac:dyDescent="0.3">
      <c r="A86" s="58"/>
      <c r="B86" s="58"/>
      <c r="C86" s="58"/>
      <c r="D86" s="58"/>
      <c r="E86" s="58"/>
      <c r="F86" s="58"/>
      <c r="G86" s="58"/>
      <c r="H86" s="59"/>
      <c r="I86" s="59"/>
      <c r="J86" s="59"/>
      <c r="K86" s="59"/>
      <c r="L86" s="59"/>
      <c r="M86" s="60"/>
      <c r="N86" s="60"/>
      <c r="O86" s="60"/>
      <c r="P86" s="59"/>
      <c r="Q86" s="59"/>
      <c r="R86" s="60"/>
      <c r="S86" s="60"/>
      <c r="T86" s="60"/>
      <c r="U86" s="60"/>
      <c r="V86" s="60"/>
      <c r="W86" s="60"/>
    </row>
    <row r="87" spans="1:23" ht="13" x14ac:dyDescent="0.3">
      <c r="A87" s="58"/>
      <c r="B87" s="58"/>
      <c r="C87" s="58"/>
      <c r="D87" s="58"/>
      <c r="E87" s="58"/>
      <c r="F87" s="58"/>
      <c r="G87" s="58"/>
      <c r="H87" s="59"/>
      <c r="I87" s="59"/>
      <c r="J87" s="59"/>
      <c r="K87" s="59"/>
      <c r="L87" s="59"/>
      <c r="M87" s="60"/>
      <c r="N87" s="60"/>
      <c r="O87" s="60"/>
      <c r="P87" s="59"/>
      <c r="Q87" s="59"/>
      <c r="R87" s="60"/>
      <c r="S87" s="60"/>
      <c r="T87" s="60"/>
      <c r="U87" s="60"/>
      <c r="V87" s="60"/>
      <c r="W87" s="60"/>
    </row>
    <row r="88" spans="1:23" ht="13" x14ac:dyDescent="0.3">
      <c r="A88" s="58"/>
      <c r="B88" s="58"/>
      <c r="C88" s="58"/>
      <c r="D88" s="58"/>
      <c r="E88" s="58"/>
      <c r="F88" s="58"/>
      <c r="G88" s="58"/>
      <c r="H88" s="59"/>
      <c r="I88" s="59"/>
      <c r="J88" s="59"/>
      <c r="K88" s="59"/>
      <c r="L88" s="59"/>
      <c r="M88" s="60"/>
      <c r="N88" s="60"/>
      <c r="O88" s="60"/>
      <c r="P88" s="59"/>
      <c r="Q88" s="59"/>
      <c r="R88" s="60"/>
      <c r="S88" s="60"/>
      <c r="T88" s="60"/>
      <c r="U88" s="60"/>
      <c r="V88" s="60"/>
      <c r="W88" s="60"/>
    </row>
    <row r="89" spans="1:23" ht="13" x14ac:dyDescent="0.3">
      <c r="A89" s="58"/>
      <c r="B89" s="58"/>
      <c r="C89" s="58"/>
      <c r="D89" s="58"/>
      <c r="E89" s="58"/>
      <c r="F89" s="58"/>
      <c r="G89" s="58"/>
      <c r="H89" s="59"/>
      <c r="I89" s="59"/>
      <c r="J89" s="59"/>
      <c r="K89" s="59"/>
      <c r="L89" s="59"/>
      <c r="M89" s="60"/>
      <c r="N89" s="60"/>
      <c r="O89" s="60"/>
      <c r="P89" s="59"/>
      <c r="Q89" s="59"/>
      <c r="R89" s="60"/>
      <c r="S89" s="60"/>
      <c r="T89" s="60"/>
      <c r="U89" s="60"/>
      <c r="V89" s="60"/>
      <c r="W89" s="60"/>
    </row>
    <row r="90" spans="1:23" ht="13" x14ac:dyDescent="0.3">
      <c r="A90" s="58"/>
      <c r="B90" s="58"/>
      <c r="C90" s="58"/>
      <c r="D90" s="58"/>
      <c r="E90" s="58"/>
      <c r="F90" s="58"/>
      <c r="G90" s="58"/>
      <c r="H90" s="59"/>
      <c r="I90" s="59"/>
      <c r="J90" s="59"/>
      <c r="K90" s="59"/>
      <c r="L90" s="59"/>
      <c r="M90" s="60"/>
      <c r="N90" s="60"/>
      <c r="O90" s="60"/>
      <c r="P90" s="59"/>
      <c r="Q90" s="59"/>
      <c r="R90" s="60"/>
      <c r="S90" s="60"/>
      <c r="T90" s="60"/>
      <c r="U90" s="60"/>
      <c r="V90" s="60"/>
      <c r="W90" s="60"/>
    </row>
    <row r="91" spans="1:23" ht="13" x14ac:dyDescent="0.3">
      <c r="A91" s="58"/>
      <c r="B91" s="58"/>
      <c r="C91" s="58"/>
      <c r="D91" s="58"/>
      <c r="E91" s="58"/>
      <c r="F91" s="58"/>
      <c r="G91" s="58"/>
      <c r="H91" s="59"/>
      <c r="I91" s="59"/>
      <c r="J91" s="59"/>
      <c r="K91" s="59"/>
      <c r="L91" s="59"/>
      <c r="M91" s="60"/>
      <c r="N91" s="60"/>
      <c r="O91" s="60"/>
      <c r="P91" s="59"/>
      <c r="Q91" s="59"/>
      <c r="R91" s="60"/>
      <c r="S91" s="60"/>
      <c r="T91" s="60"/>
      <c r="U91" s="60"/>
      <c r="V91" s="60"/>
      <c r="W91" s="60"/>
    </row>
    <row r="92" spans="1:23" ht="13" x14ac:dyDescent="0.3">
      <c r="A92" s="58"/>
      <c r="B92" s="58"/>
      <c r="C92" s="58"/>
      <c r="D92" s="58"/>
      <c r="E92" s="58"/>
      <c r="F92" s="58"/>
      <c r="G92" s="58"/>
      <c r="H92" s="59"/>
      <c r="I92" s="59"/>
      <c r="J92" s="59"/>
      <c r="K92" s="59"/>
      <c r="L92" s="59"/>
      <c r="M92" s="60"/>
      <c r="N92" s="60"/>
      <c r="O92" s="60"/>
      <c r="P92" s="59"/>
      <c r="Q92" s="59"/>
      <c r="R92" s="60"/>
      <c r="S92" s="60"/>
      <c r="T92" s="60"/>
      <c r="U92" s="60"/>
      <c r="V92" s="60"/>
      <c r="W92" s="60"/>
    </row>
    <row r="93" spans="1:23" ht="13" x14ac:dyDescent="0.3">
      <c r="A93" s="58"/>
      <c r="B93" s="58"/>
      <c r="C93" s="58"/>
      <c r="D93" s="58"/>
      <c r="E93" s="58"/>
      <c r="F93" s="58"/>
      <c r="G93" s="58"/>
      <c r="H93" s="59"/>
      <c r="I93" s="59"/>
      <c r="J93" s="59"/>
      <c r="K93" s="59"/>
      <c r="L93" s="59"/>
      <c r="M93" s="60"/>
      <c r="N93" s="60"/>
      <c r="O93" s="60"/>
      <c r="P93" s="59"/>
      <c r="Q93" s="59"/>
      <c r="R93" s="60"/>
      <c r="S93" s="60"/>
      <c r="T93" s="60"/>
      <c r="U93" s="60"/>
      <c r="V93" s="60"/>
      <c r="W93" s="60"/>
    </row>
    <row r="94" spans="1:23" ht="13" x14ac:dyDescent="0.3">
      <c r="A94" s="58"/>
      <c r="B94" s="58"/>
      <c r="C94" s="58"/>
      <c r="D94" s="58"/>
      <c r="E94" s="58"/>
      <c r="F94" s="58"/>
      <c r="G94" s="58"/>
      <c r="H94" s="59"/>
      <c r="I94" s="59"/>
      <c r="J94" s="59"/>
      <c r="K94" s="59"/>
      <c r="L94" s="59"/>
      <c r="M94" s="60"/>
      <c r="N94" s="60"/>
      <c r="O94" s="60"/>
      <c r="P94" s="59"/>
      <c r="Q94" s="59"/>
      <c r="R94" s="60"/>
      <c r="S94" s="60"/>
      <c r="T94" s="60"/>
      <c r="U94" s="60"/>
      <c r="V94" s="60"/>
      <c r="W94" s="60"/>
    </row>
    <row r="95" spans="1:23" ht="13" x14ac:dyDescent="0.3">
      <c r="A95" s="58"/>
      <c r="B95" s="58"/>
      <c r="C95" s="58"/>
      <c r="D95" s="58"/>
      <c r="E95" s="58"/>
      <c r="F95" s="58"/>
      <c r="G95" s="58"/>
      <c r="H95" s="59"/>
      <c r="I95" s="59"/>
      <c r="J95" s="59"/>
      <c r="K95" s="59"/>
      <c r="L95" s="59"/>
      <c r="M95" s="60"/>
      <c r="N95" s="60"/>
      <c r="O95" s="60"/>
      <c r="P95" s="59"/>
      <c r="Q95" s="59"/>
      <c r="R95" s="60"/>
      <c r="S95" s="60"/>
      <c r="T95" s="60"/>
      <c r="U95" s="60"/>
      <c r="V95" s="60"/>
      <c r="W95" s="60"/>
    </row>
    <row r="96" spans="1:23" ht="13" x14ac:dyDescent="0.3">
      <c r="A96" s="58"/>
      <c r="B96" s="58"/>
      <c r="C96" s="58"/>
      <c r="D96" s="58"/>
      <c r="E96" s="58"/>
      <c r="F96" s="58"/>
      <c r="G96" s="58"/>
      <c r="H96" s="59"/>
      <c r="I96" s="59"/>
      <c r="J96" s="59"/>
      <c r="K96" s="59"/>
      <c r="L96" s="59"/>
      <c r="M96" s="60"/>
      <c r="N96" s="60"/>
      <c r="O96" s="60"/>
      <c r="P96" s="59"/>
      <c r="Q96" s="59"/>
      <c r="R96" s="60"/>
      <c r="S96" s="60"/>
      <c r="T96" s="60"/>
      <c r="U96" s="60"/>
      <c r="V96" s="60"/>
      <c r="W96" s="60"/>
    </row>
    <row r="97" spans="1:23" ht="13" x14ac:dyDescent="0.3">
      <c r="A97" s="58"/>
      <c r="B97" s="58"/>
      <c r="C97" s="58"/>
      <c r="D97" s="58"/>
      <c r="E97" s="58"/>
      <c r="F97" s="58"/>
      <c r="G97" s="58"/>
      <c r="H97" s="59"/>
      <c r="I97" s="59"/>
      <c r="J97" s="59"/>
      <c r="K97" s="59"/>
      <c r="L97" s="59"/>
      <c r="M97" s="60"/>
      <c r="N97" s="60"/>
      <c r="O97" s="60"/>
      <c r="P97" s="59"/>
      <c r="Q97" s="59"/>
      <c r="R97" s="60"/>
      <c r="S97" s="60"/>
      <c r="T97" s="60"/>
      <c r="U97" s="60"/>
      <c r="V97" s="60"/>
      <c r="W97" s="60"/>
    </row>
    <row r="98" spans="1:23" ht="13" x14ac:dyDescent="0.3">
      <c r="A98" s="58"/>
      <c r="B98" s="58"/>
      <c r="C98" s="58"/>
      <c r="D98" s="58"/>
      <c r="E98" s="58"/>
      <c r="F98" s="58"/>
      <c r="G98" s="58"/>
      <c r="H98" s="59"/>
      <c r="I98" s="59"/>
      <c r="J98" s="59"/>
      <c r="K98" s="59"/>
      <c r="L98" s="59"/>
      <c r="M98" s="60"/>
      <c r="N98" s="60"/>
      <c r="O98" s="60"/>
      <c r="P98" s="59"/>
      <c r="Q98" s="59"/>
      <c r="R98" s="60"/>
      <c r="S98" s="60"/>
      <c r="T98" s="60"/>
      <c r="U98" s="60"/>
      <c r="V98" s="60"/>
      <c r="W98" s="60"/>
    </row>
    <row r="99" spans="1:23" ht="13" x14ac:dyDescent="0.3">
      <c r="A99" s="58"/>
      <c r="B99" s="58"/>
      <c r="C99" s="58"/>
      <c r="D99" s="58"/>
      <c r="E99" s="58"/>
      <c r="F99" s="58"/>
      <c r="G99" s="58"/>
      <c r="H99" s="59"/>
      <c r="I99" s="59"/>
      <c r="J99" s="59"/>
      <c r="K99" s="59"/>
      <c r="L99" s="59"/>
      <c r="M99" s="60"/>
      <c r="N99" s="60"/>
      <c r="O99" s="60"/>
      <c r="P99" s="59"/>
      <c r="Q99" s="59"/>
      <c r="R99" s="60"/>
      <c r="S99" s="60"/>
      <c r="T99" s="60"/>
      <c r="U99" s="60"/>
      <c r="V99" s="60"/>
      <c r="W99" s="60"/>
    </row>
    <row r="100" spans="1:23" ht="13" x14ac:dyDescent="0.3">
      <c r="A100" s="58"/>
      <c r="B100" s="58"/>
      <c r="C100" s="58"/>
      <c r="D100" s="58"/>
      <c r="E100" s="58"/>
      <c r="F100" s="58"/>
      <c r="G100" s="58"/>
      <c r="H100" s="59"/>
      <c r="I100" s="59"/>
      <c r="J100" s="59"/>
      <c r="K100" s="59"/>
      <c r="L100" s="59"/>
      <c r="M100" s="60"/>
      <c r="N100" s="60"/>
      <c r="O100" s="60"/>
      <c r="P100" s="59"/>
      <c r="Q100" s="59"/>
      <c r="R100" s="60"/>
      <c r="S100" s="60"/>
      <c r="T100" s="60"/>
      <c r="U100" s="60"/>
      <c r="V100" s="60"/>
      <c r="W100" s="60"/>
    </row>
    <row r="101" spans="1:23" ht="13" x14ac:dyDescent="0.3">
      <c r="A101" s="58"/>
      <c r="B101" s="58"/>
      <c r="C101" s="58"/>
      <c r="D101" s="58"/>
      <c r="E101" s="58"/>
      <c r="F101" s="58"/>
      <c r="G101" s="58"/>
      <c r="H101" s="59"/>
      <c r="I101" s="59"/>
      <c r="J101" s="59"/>
      <c r="K101" s="59"/>
      <c r="L101" s="59"/>
      <c r="M101" s="60"/>
      <c r="N101" s="60"/>
      <c r="O101" s="60"/>
      <c r="P101" s="59"/>
      <c r="Q101" s="59"/>
      <c r="R101" s="60"/>
      <c r="S101" s="60"/>
      <c r="T101" s="60"/>
      <c r="U101" s="60"/>
      <c r="V101" s="60"/>
      <c r="W101" s="60"/>
    </row>
    <row r="102" spans="1:23" ht="13" x14ac:dyDescent="0.3">
      <c r="A102" s="58"/>
      <c r="B102" s="58"/>
      <c r="C102" s="58"/>
      <c r="D102" s="58"/>
      <c r="E102" s="58"/>
      <c r="F102" s="58"/>
      <c r="G102" s="58"/>
      <c r="H102" s="59"/>
      <c r="I102" s="59"/>
      <c r="J102" s="59"/>
      <c r="K102" s="59"/>
      <c r="L102" s="59"/>
      <c r="M102" s="60"/>
      <c r="N102" s="60"/>
      <c r="O102" s="60"/>
      <c r="P102" s="59"/>
      <c r="Q102" s="59"/>
      <c r="R102" s="60"/>
      <c r="S102" s="60"/>
      <c r="T102" s="60"/>
      <c r="U102" s="60"/>
      <c r="V102" s="60"/>
      <c r="W102" s="60"/>
    </row>
    <row r="103" spans="1:23" ht="13" x14ac:dyDescent="0.3">
      <c r="A103" s="58"/>
      <c r="B103" s="58"/>
      <c r="C103" s="58"/>
      <c r="D103" s="58"/>
      <c r="E103" s="58"/>
      <c r="F103" s="58"/>
      <c r="G103" s="58"/>
      <c r="H103" s="59"/>
      <c r="I103" s="59"/>
      <c r="J103" s="59"/>
      <c r="K103" s="59"/>
      <c r="L103" s="59"/>
      <c r="M103" s="60"/>
      <c r="N103" s="60"/>
      <c r="O103" s="60"/>
      <c r="P103" s="59"/>
      <c r="Q103" s="59"/>
      <c r="R103" s="60"/>
      <c r="S103" s="60"/>
      <c r="T103" s="60"/>
      <c r="U103" s="60"/>
      <c r="V103" s="60"/>
      <c r="W103" s="60"/>
    </row>
    <row r="104" spans="1:23" ht="13" x14ac:dyDescent="0.3">
      <c r="A104" s="58"/>
      <c r="B104" s="58"/>
      <c r="C104" s="58"/>
      <c r="D104" s="58"/>
      <c r="E104" s="58"/>
      <c r="F104" s="58"/>
      <c r="G104" s="58"/>
      <c r="H104" s="59"/>
      <c r="I104" s="59"/>
      <c r="J104" s="59"/>
      <c r="K104" s="59"/>
      <c r="L104" s="59"/>
      <c r="M104" s="60"/>
      <c r="N104" s="60"/>
      <c r="O104" s="60"/>
      <c r="P104" s="59"/>
      <c r="Q104" s="59"/>
      <c r="R104" s="60"/>
      <c r="S104" s="60"/>
      <c r="T104" s="60"/>
      <c r="U104" s="60"/>
      <c r="V104" s="60"/>
      <c r="W104" s="60"/>
    </row>
    <row r="105" spans="1:23" ht="13" x14ac:dyDescent="0.3">
      <c r="A105" s="58"/>
      <c r="B105" s="58"/>
      <c r="C105" s="58"/>
      <c r="D105" s="58"/>
      <c r="E105" s="58"/>
      <c r="F105" s="58"/>
      <c r="G105" s="58"/>
      <c r="H105" s="59"/>
      <c r="I105" s="59"/>
      <c r="J105" s="59"/>
      <c r="K105" s="59"/>
      <c r="L105" s="59"/>
      <c r="M105" s="60"/>
      <c r="N105" s="60"/>
      <c r="O105" s="60"/>
      <c r="P105" s="59"/>
      <c r="Q105" s="59"/>
      <c r="R105" s="60"/>
      <c r="S105" s="60"/>
      <c r="T105" s="60"/>
      <c r="U105" s="60"/>
      <c r="V105" s="60"/>
      <c r="W105" s="60"/>
    </row>
    <row r="106" spans="1:23" ht="13" x14ac:dyDescent="0.3">
      <c r="A106" s="58"/>
      <c r="B106" s="58"/>
      <c r="C106" s="58"/>
      <c r="D106" s="58"/>
      <c r="E106" s="58"/>
      <c r="F106" s="58"/>
      <c r="G106" s="58"/>
      <c r="H106" s="59"/>
      <c r="I106" s="59"/>
      <c r="J106" s="59"/>
      <c r="K106" s="59"/>
      <c r="L106" s="59"/>
      <c r="M106" s="60"/>
      <c r="N106" s="60"/>
      <c r="O106" s="60"/>
      <c r="P106" s="59"/>
      <c r="Q106" s="59"/>
      <c r="R106" s="60"/>
      <c r="S106" s="60"/>
      <c r="T106" s="60"/>
      <c r="U106" s="60"/>
      <c r="V106" s="60"/>
      <c r="W106" s="60"/>
    </row>
    <row r="107" spans="1:23" ht="13" x14ac:dyDescent="0.3">
      <c r="A107" s="58"/>
      <c r="B107" s="58"/>
      <c r="C107" s="58"/>
      <c r="D107" s="58"/>
      <c r="E107" s="58"/>
      <c r="F107" s="58"/>
      <c r="G107" s="58"/>
      <c r="H107" s="59"/>
      <c r="I107" s="59"/>
      <c r="J107" s="59"/>
      <c r="K107" s="59"/>
      <c r="L107" s="59"/>
      <c r="M107" s="60"/>
      <c r="N107" s="60"/>
      <c r="O107" s="60"/>
      <c r="P107" s="59"/>
      <c r="Q107" s="59"/>
      <c r="R107" s="60"/>
      <c r="S107" s="60"/>
      <c r="T107" s="60"/>
      <c r="U107" s="60"/>
      <c r="V107" s="60"/>
      <c r="W107" s="60"/>
    </row>
    <row r="108" spans="1:23" ht="13" x14ac:dyDescent="0.3">
      <c r="A108" s="58"/>
      <c r="B108" s="58"/>
      <c r="C108" s="58"/>
      <c r="D108" s="58"/>
      <c r="E108" s="58"/>
      <c r="F108" s="58"/>
      <c r="G108" s="58"/>
      <c r="H108" s="59"/>
      <c r="I108" s="59"/>
      <c r="J108" s="59"/>
      <c r="K108" s="59"/>
      <c r="L108" s="59"/>
      <c r="M108" s="60"/>
      <c r="N108" s="60"/>
      <c r="O108" s="60"/>
      <c r="P108" s="59"/>
      <c r="Q108" s="59"/>
      <c r="R108" s="60"/>
      <c r="S108" s="60"/>
      <c r="T108" s="60"/>
      <c r="U108" s="60"/>
      <c r="V108" s="60"/>
      <c r="W108" s="60"/>
    </row>
    <row r="109" spans="1:23" ht="13" x14ac:dyDescent="0.3">
      <c r="A109" s="58"/>
      <c r="B109" s="58"/>
      <c r="C109" s="58"/>
      <c r="D109" s="58"/>
      <c r="E109" s="58"/>
      <c r="F109" s="58"/>
      <c r="G109" s="58"/>
      <c r="H109" s="59"/>
      <c r="I109" s="59"/>
      <c r="J109" s="59"/>
      <c r="K109" s="59"/>
      <c r="L109" s="59"/>
      <c r="M109" s="60"/>
      <c r="N109" s="60"/>
      <c r="O109" s="60"/>
      <c r="P109" s="59"/>
      <c r="Q109" s="59"/>
      <c r="R109" s="60"/>
      <c r="S109" s="60"/>
      <c r="T109" s="60"/>
      <c r="U109" s="60"/>
      <c r="V109" s="60"/>
      <c r="W109" s="60"/>
    </row>
    <row r="110" spans="1:23" ht="13" x14ac:dyDescent="0.3">
      <c r="A110" s="58"/>
      <c r="B110" s="58"/>
      <c r="C110" s="58"/>
      <c r="D110" s="58"/>
      <c r="E110" s="58"/>
      <c r="F110" s="58"/>
      <c r="G110" s="58"/>
      <c r="H110" s="59"/>
      <c r="I110" s="59"/>
      <c r="J110" s="59"/>
      <c r="K110" s="59"/>
      <c r="L110" s="59"/>
      <c r="M110" s="60"/>
      <c r="N110" s="60"/>
      <c r="O110" s="60"/>
      <c r="P110" s="59"/>
      <c r="Q110" s="59"/>
      <c r="R110" s="60"/>
      <c r="S110" s="60"/>
      <c r="T110" s="60"/>
      <c r="U110" s="60"/>
      <c r="V110" s="60"/>
      <c r="W110" s="60"/>
    </row>
    <row r="111" spans="1:23" ht="13" x14ac:dyDescent="0.3">
      <c r="A111" s="58"/>
      <c r="B111" s="58"/>
      <c r="C111" s="58"/>
      <c r="D111" s="58"/>
      <c r="E111" s="58"/>
      <c r="F111" s="58"/>
      <c r="G111" s="58"/>
      <c r="H111" s="59"/>
      <c r="I111" s="59"/>
      <c r="J111" s="59"/>
      <c r="K111" s="59"/>
      <c r="L111" s="59"/>
      <c r="M111" s="60"/>
      <c r="N111" s="60"/>
      <c r="O111" s="60"/>
      <c r="P111" s="59"/>
      <c r="Q111" s="59"/>
      <c r="R111" s="60"/>
      <c r="S111" s="60"/>
      <c r="T111" s="60"/>
      <c r="U111" s="60"/>
      <c r="V111" s="60"/>
      <c r="W111" s="60"/>
    </row>
    <row r="112" spans="1:23" ht="13" x14ac:dyDescent="0.3">
      <c r="A112" s="58"/>
      <c r="B112" s="58"/>
      <c r="C112" s="58"/>
      <c r="D112" s="58"/>
      <c r="E112" s="58"/>
      <c r="F112" s="58"/>
      <c r="G112" s="58"/>
      <c r="H112" s="59"/>
      <c r="I112" s="59"/>
      <c r="J112" s="59"/>
      <c r="K112" s="59"/>
      <c r="L112" s="59"/>
      <c r="M112" s="60"/>
      <c r="N112" s="60"/>
      <c r="O112" s="60"/>
      <c r="P112" s="59"/>
      <c r="Q112" s="59"/>
      <c r="R112" s="60"/>
      <c r="S112" s="60"/>
      <c r="T112" s="60"/>
      <c r="U112" s="60"/>
      <c r="V112" s="60"/>
      <c r="W112" s="60"/>
    </row>
    <row r="113" spans="1:23" ht="13" x14ac:dyDescent="0.3">
      <c r="A113" s="58"/>
      <c r="B113" s="58"/>
      <c r="C113" s="58"/>
      <c r="D113" s="58"/>
      <c r="E113" s="58"/>
      <c r="F113" s="58"/>
      <c r="G113" s="58"/>
      <c r="H113" s="59"/>
      <c r="I113" s="59"/>
      <c r="J113" s="59"/>
      <c r="K113" s="59"/>
      <c r="L113" s="59"/>
      <c r="M113" s="60"/>
      <c r="N113" s="60"/>
      <c r="O113" s="60"/>
      <c r="P113" s="59"/>
      <c r="Q113" s="59"/>
      <c r="R113" s="60"/>
      <c r="S113" s="60"/>
      <c r="T113" s="60"/>
      <c r="U113" s="60"/>
      <c r="V113" s="60"/>
      <c r="W113" s="60"/>
    </row>
    <row r="114" spans="1:23" ht="13" x14ac:dyDescent="0.3">
      <c r="A114" s="58"/>
      <c r="B114" s="58"/>
      <c r="C114" s="58"/>
      <c r="D114" s="58"/>
      <c r="E114" s="58"/>
      <c r="F114" s="58"/>
      <c r="G114" s="58"/>
      <c r="H114" s="59"/>
      <c r="I114" s="59"/>
      <c r="J114" s="59"/>
      <c r="K114" s="59"/>
      <c r="L114" s="59"/>
      <c r="M114" s="60"/>
      <c r="N114" s="60"/>
      <c r="O114" s="60"/>
      <c r="P114" s="59"/>
      <c r="Q114" s="59"/>
      <c r="R114" s="60"/>
      <c r="S114" s="60"/>
      <c r="T114" s="60"/>
      <c r="U114" s="60"/>
      <c r="V114" s="60"/>
      <c r="W114" s="60"/>
    </row>
    <row r="115" spans="1:23" ht="13" x14ac:dyDescent="0.3">
      <c r="A115" s="58"/>
      <c r="B115" s="58"/>
      <c r="C115" s="58"/>
      <c r="D115" s="58"/>
      <c r="E115" s="58"/>
      <c r="F115" s="58"/>
      <c r="G115" s="58"/>
      <c r="H115" s="59"/>
      <c r="I115" s="59"/>
      <c r="J115" s="59"/>
      <c r="K115" s="59"/>
      <c r="L115" s="59"/>
      <c r="M115" s="60"/>
      <c r="N115" s="60"/>
      <c r="O115" s="60"/>
      <c r="P115" s="59"/>
      <c r="Q115" s="59"/>
      <c r="R115" s="60"/>
      <c r="S115" s="60"/>
      <c r="T115" s="60"/>
      <c r="U115" s="60"/>
      <c r="V115" s="60"/>
      <c r="W115" s="60"/>
    </row>
    <row r="116" spans="1:23" ht="13" x14ac:dyDescent="0.3">
      <c r="A116" s="58"/>
      <c r="B116" s="58"/>
      <c r="C116" s="58"/>
      <c r="D116" s="58"/>
      <c r="E116" s="58"/>
      <c r="F116" s="58"/>
      <c r="G116" s="58"/>
      <c r="H116" s="59"/>
      <c r="I116" s="59"/>
      <c r="J116" s="59"/>
      <c r="K116" s="59"/>
      <c r="L116" s="59"/>
      <c r="M116" s="60"/>
      <c r="N116" s="60"/>
      <c r="O116" s="60"/>
      <c r="P116" s="59"/>
      <c r="Q116" s="59"/>
      <c r="R116" s="60"/>
      <c r="S116" s="60"/>
      <c r="T116" s="60"/>
      <c r="U116" s="60"/>
      <c r="V116" s="60"/>
      <c r="W116" s="60"/>
    </row>
    <row r="117" spans="1:23" ht="13" x14ac:dyDescent="0.3">
      <c r="A117" s="58"/>
      <c r="B117" s="58"/>
      <c r="C117" s="58"/>
      <c r="D117" s="58"/>
      <c r="E117" s="58"/>
      <c r="F117" s="58"/>
      <c r="G117" s="58"/>
      <c r="H117" s="59"/>
      <c r="I117" s="59"/>
      <c r="J117" s="59"/>
      <c r="K117" s="59"/>
      <c r="L117" s="59"/>
      <c r="M117" s="60"/>
      <c r="N117" s="60"/>
      <c r="O117" s="60"/>
      <c r="P117" s="59"/>
      <c r="Q117" s="59"/>
      <c r="R117" s="60"/>
      <c r="S117" s="60"/>
      <c r="T117" s="60"/>
      <c r="U117" s="60"/>
      <c r="V117" s="60"/>
      <c r="W117" s="60"/>
    </row>
    <row r="118" spans="1:23" ht="13" x14ac:dyDescent="0.3">
      <c r="A118" s="58"/>
      <c r="B118" s="58"/>
      <c r="C118" s="58"/>
      <c r="D118" s="58"/>
      <c r="E118" s="58"/>
      <c r="F118" s="58"/>
      <c r="G118" s="58"/>
      <c r="H118" s="59"/>
      <c r="I118" s="59"/>
      <c r="J118" s="59"/>
      <c r="K118" s="59"/>
      <c r="L118" s="59"/>
      <c r="M118" s="60"/>
      <c r="N118" s="60"/>
      <c r="O118" s="60"/>
      <c r="P118" s="59"/>
      <c r="Q118" s="59"/>
      <c r="R118" s="60"/>
      <c r="S118" s="60"/>
      <c r="T118" s="60"/>
      <c r="U118" s="60"/>
      <c r="V118" s="60"/>
      <c r="W118" s="60"/>
    </row>
    <row r="119" spans="1:23" ht="13" x14ac:dyDescent="0.3">
      <c r="A119" s="58"/>
      <c r="B119" s="58"/>
      <c r="C119" s="58"/>
      <c r="D119" s="58"/>
      <c r="E119" s="58"/>
      <c r="F119" s="58"/>
      <c r="G119" s="58"/>
      <c r="H119" s="59"/>
      <c r="I119" s="59"/>
      <c r="J119" s="59"/>
      <c r="K119" s="59"/>
      <c r="L119" s="59"/>
      <c r="M119" s="60"/>
      <c r="N119" s="60"/>
      <c r="O119" s="60"/>
      <c r="P119" s="59"/>
      <c r="Q119" s="59"/>
      <c r="R119" s="60"/>
      <c r="S119" s="60"/>
      <c r="T119" s="60"/>
      <c r="U119" s="60"/>
      <c r="V119" s="60"/>
      <c r="W119" s="60"/>
    </row>
    <row r="120" spans="1:23" ht="13" x14ac:dyDescent="0.3">
      <c r="A120" s="58"/>
      <c r="B120" s="58"/>
      <c r="C120" s="58"/>
      <c r="D120" s="58"/>
      <c r="E120" s="58"/>
      <c r="F120" s="58"/>
      <c r="G120" s="58"/>
      <c r="H120" s="59"/>
      <c r="I120" s="59"/>
      <c r="J120" s="59"/>
      <c r="K120" s="59"/>
      <c r="L120" s="59"/>
      <c r="M120" s="60"/>
      <c r="N120" s="60"/>
      <c r="O120" s="60"/>
      <c r="P120" s="59"/>
      <c r="Q120" s="59"/>
      <c r="R120" s="60"/>
      <c r="S120" s="60"/>
      <c r="T120" s="60"/>
      <c r="U120" s="60"/>
      <c r="V120" s="60"/>
      <c r="W120" s="60"/>
    </row>
    <row r="121" spans="1:23" ht="13" x14ac:dyDescent="0.3">
      <c r="A121" s="58"/>
      <c r="B121" s="58"/>
      <c r="C121" s="58"/>
      <c r="D121" s="58"/>
      <c r="E121" s="58"/>
      <c r="F121" s="58"/>
      <c r="G121" s="58"/>
      <c r="H121" s="59"/>
      <c r="I121" s="59"/>
      <c r="J121" s="59"/>
      <c r="K121" s="59"/>
      <c r="L121" s="59"/>
      <c r="M121" s="60"/>
      <c r="N121" s="60"/>
      <c r="O121" s="60"/>
      <c r="P121" s="59"/>
      <c r="Q121" s="59"/>
      <c r="R121" s="60"/>
      <c r="S121" s="60"/>
      <c r="T121" s="60"/>
      <c r="U121" s="60"/>
      <c r="V121" s="60"/>
      <c r="W121" s="60"/>
    </row>
    <row r="122" spans="1:23" ht="13" x14ac:dyDescent="0.3">
      <c r="A122" s="58"/>
      <c r="B122" s="58"/>
      <c r="C122" s="58"/>
      <c r="D122" s="58"/>
      <c r="E122" s="58"/>
      <c r="F122" s="58"/>
      <c r="G122" s="58"/>
      <c r="H122" s="59"/>
      <c r="I122" s="59"/>
      <c r="J122" s="59"/>
      <c r="K122" s="59"/>
      <c r="L122" s="59"/>
      <c r="M122" s="60"/>
      <c r="N122" s="60"/>
      <c r="O122" s="60"/>
      <c r="P122" s="59"/>
      <c r="Q122" s="59"/>
      <c r="R122" s="60"/>
      <c r="S122" s="60"/>
      <c r="T122" s="60"/>
      <c r="U122" s="60"/>
      <c r="V122" s="60"/>
      <c r="W122" s="60"/>
    </row>
    <row r="123" spans="1:23" ht="13" x14ac:dyDescent="0.3">
      <c r="A123" s="58"/>
      <c r="B123" s="58"/>
      <c r="C123" s="58"/>
      <c r="D123" s="58"/>
      <c r="E123" s="58"/>
      <c r="F123" s="58"/>
      <c r="G123" s="58"/>
      <c r="H123" s="59"/>
      <c r="I123" s="59"/>
      <c r="J123" s="59"/>
      <c r="K123" s="59"/>
      <c r="L123" s="59"/>
      <c r="M123" s="60"/>
      <c r="N123" s="60"/>
      <c r="O123" s="60"/>
      <c r="P123" s="59"/>
      <c r="Q123" s="59"/>
      <c r="R123" s="60"/>
      <c r="S123" s="60"/>
      <c r="T123" s="60"/>
      <c r="U123" s="60"/>
      <c r="V123" s="60"/>
      <c r="W123" s="60"/>
    </row>
    <row r="124" spans="1:23" ht="13" x14ac:dyDescent="0.3">
      <c r="A124" s="58"/>
      <c r="B124" s="58"/>
      <c r="C124" s="58"/>
      <c r="D124" s="58"/>
      <c r="E124" s="58"/>
      <c r="F124" s="58"/>
      <c r="G124" s="58"/>
      <c r="H124" s="59"/>
      <c r="I124" s="59"/>
      <c r="J124" s="59"/>
      <c r="K124" s="59"/>
      <c r="L124" s="59"/>
      <c r="M124" s="60"/>
      <c r="N124" s="60"/>
      <c r="O124" s="60"/>
      <c r="P124" s="59"/>
      <c r="Q124" s="59"/>
      <c r="R124" s="60"/>
      <c r="S124" s="60"/>
      <c r="T124" s="60"/>
      <c r="U124" s="60"/>
      <c r="V124" s="60"/>
      <c r="W124" s="60"/>
    </row>
    <row r="125" spans="1:23" ht="13" x14ac:dyDescent="0.3">
      <c r="A125" s="58"/>
      <c r="B125" s="58"/>
      <c r="C125" s="58"/>
      <c r="D125" s="58"/>
      <c r="E125" s="58"/>
      <c r="F125" s="58"/>
      <c r="G125" s="58"/>
      <c r="H125" s="59"/>
      <c r="I125" s="59"/>
      <c r="J125" s="59"/>
      <c r="K125" s="59"/>
      <c r="L125" s="59"/>
      <c r="M125" s="60"/>
      <c r="N125" s="60"/>
      <c r="O125" s="60"/>
      <c r="P125" s="59"/>
      <c r="Q125" s="59"/>
      <c r="R125" s="60"/>
      <c r="S125" s="60"/>
      <c r="T125" s="60"/>
      <c r="U125" s="60"/>
      <c r="V125" s="60"/>
      <c r="W125" s="60"/>
    </row>
    <row r="126" spans="1:23" ht="13" x14ac:dyDescent="0.3">
      <c r="A126" s="58"/>
      <c r="B126" s="58"/>
      <c r="C126" s="58"/>
      <c r="D126" s="58"/>
      <c r="E126" s="58"/>
      <c r="F126" s="58"/>
      <c r="G126" s="58"/>
      <c r="H126" s="59"/>
      <c r="I126" s="59"/>
      <c r="J126" s="59"/>
      <c r="K126" s="59"/>
      <c r="L126" s="59"/>
      <c r="M126" s="60"/>
      <c r="N126" s="60"/>
      <c r="O126" s="60"/>
      <c r="P126" s="59"/>
      <c r="Q126" s="59"/>
      <c r="R126" s="60"/>
      <c r="S126" s="60"/>
      <c r="T126" s="60"/>
      <c r="U126" s="60"/>
      <c r="V126" s="60"/>
      <c r="W126" s="60"/>
    </row>
    <row r="127" spans="1:23" ht="13" x14ac:dyDescent="0.3">
      <c r="A127" s="58"/>
      <c r="B127" s="58"/>
      <c r="C127" s="58"/>
      <c r="D127" s="58"/>
      <c r="E127" s="58"/>
      <c r="F127" s="58"/>
      <c r="G127" s="58"/>
      <c r="H127" s="59"/>
      <c r="I127" s="59"/>
      <c r="J127" s="59"/>
      <c r="K127" s="59"/>
      <c r="L127" s="59"/>
      <c r="M127" s="60"/>
      <c r="N127" s="60"/>
      <c r="O127" s="60"/>
      <c r="P127" s="59"/>
      <c r="Q127" s="59"/>
      <c r="R127" s="60"/>
      <c r="S127" s="60"/>
      <c r="T127" s="60"/>
      <c r="U127" s="60"/>
      <c r="V127" s="60"/>
      <c r="W127" s="60"/>
    </row>
    <row r="128" spans="1:23" ht="13" x14ac:dyDescent="0.3">
      <c r="A128" s="58"/>
      <c r="B128" s="58"/>
      <c r="C128" s="58"/>
      <c r="D128" s="58"/>
      <c r="E128" s="58"/>
      <c r="F128" s="58"/>
      <c r="G128" s="58"/>
      <c r="H128" s="59"/>
      <c r="I128" s="59"/>
      <c r="J128" s="59"/>
      <c r="K128" s="59"/>
      <c r="L128" s="59"/>
      <c r="M128" s="60"/>
      <c r="N128" s="60"/>
      <c r="O128" s="60"/>
      <c r="P128" s="59"/>
      <c r="Q128" s="59"/>
      <c r="R128" s="60"/>
      <c r="S128" s="60"/>
      <c r="T128" s="60"/>
      <c r="U128" s="60"/>
      <c r="V128" s="60"/>
      <c r="W128" s="60"/>
    </row>
    <row r="129" spans="1:23" ht="13" x14ac:dyDescent="0.3">
      <c r="A129" s="58"/>
      <c r="B129" s="58"/>
      <c r="C129" s="58"/>
      <c r="D129" s="58"/>
      <c r="E129" s="58"/>
      <c r="F129" s="58"/>
      <c r="G129" s="58"/>
      <c r="H129" s="59"/>
      <c r="I129" s="59"/>
      <c r="J129" s="59"/>
      <c r="K129" s="59"/>
      <c r="L129" s="59"/>
      <c r="M129" s="60"/>
      <c r="N129" s="60"/>
      <c r="O129" s="60"/>
      <c r="P129" s="59"/>
      <c r="Q129" s="59"/>
      <c r="R129" s="60"/>
      <c r="S129" s="60"/>
      <c r="T129" s="60"/>
      <c r="U129" s="60"/>
      <c r="V129" s="60"/>
      <c r="W129" s="60"/>
    </row>
    <row r="130" spans="1:23" ht="13" x14ac:dyDescent="0.3">
      <c r="A130" s="58"/>
      <c r="B130" s="58"/>
      <c r="C130" s="58"/>
      <c r="D130" s="58"/>
      <c r="E130" s="58"/>
      <c r="F130" s="58"/>
      <c r="G130" s="58"/>
      <c r="H130" s="59"/>
      <c r="I130" s="59"/>
      <c r="J130" s="59"/>
      <c r="K130" s="59"/>
      <c r="L130" s="59"/>
      <c r="M130" s="60"/>
      <c r="N130" s="60"/>
      <c r="O130" s="60"/>
      <c r="P130" s="59"/>
      <c r="Q130" s="59"/>
      <c r="R130" s="60"/>
      <c r="S130" s="60"/>
      <c r="T130" s="60"/>
      <c r="U130" s="60"/>
      <c r="V130" s="60"/>
      <c r="W130" s="60"/>
    </row>
    <row r="131" spans="1:23" ht="13" x14ac:dyDescent="0.3">
      <c r="A131" s="58"/>
      <c r="B131" s="58"/>
      <c r="C131" s="58"/>
      <c r="D131" s="58"/>
      <c r="E131" s="58"/>
      <c r="F131" s="58"/>
      <c r="G131" s="58"/>
      <c r="H131" s="59"/>
      <c r="I131" s="59"/>
      <c r="J131" s="59"/>
      <c r="K131" s="59"/>
      <c r="L131" s="59"/>
      <c r="M131" s="60"/>
      <c r="N131" s="60"/>
      <c r="O131" s="60"/>
      <c r="P131" s="59"/>
      <c r="Q131" s="59"/>
      <c r="R131" s="60"/>
      <c r="S131" s="60"/>
      <c r="T131" s="60"/>
      <c r="U131" s="60"/>
      <c r="V131" s="60"/>
      <c r="W131" s="60"/>
    </row>
    <row r="132" spans="1:23" ht="13" x14ac:dyDescent="0.3">
      <c r="A132" s="58"/>
      <c r="B132" s="58"/>
      <c r="C132" s="58"/>
      <c r="D132" s="58"/>
      <c r="E132" s="58"/>
      <c r="F132" s="58"/>
      <c r="G132" s="58"/>
      <c r="H132" s="59"/>
      <c r="I132" s="59"/>
      <c r="J132" s="59"/>
      <c r="K132" s="59"/>
      <c r="L132" s="59"/>
      <c r="M132" s="60"/>
      <c r="N132" s="60"/>
      <c r="O132" s="60"/>
      <c r="P132" s="59"/>
      <c r="Q132" s="59"/>
      <c r="R132" s="60"/>
      <c r="S132" s="60"/>
      <c r="T132" s="60"/>
      <c r="U132" s="60"/>
      <c r="V132" s="60"/>
      <c r="W132" s="60"/>
    </row>
    <row r="133" spans="1:23" ht="13" x14ac:dyDescent="0.3">
      <c r="A133" s="58"/>
      <c r="B133" s="58"/>
      <c r="C133" s="58"/>
      <c r="D133" s="58"/>
      <c r="E133" s="58"/>
      <c r="F133" s="58"/>
      <c r="G133" s="58"/>
      <c r="H133" s="59"/>
      <c r="I133" s="59"/>
      <c r="J133" s="59"/>
      <c r="K133" s="59"/>
      <c r="L133" s="59"/>
      <c r="M133" s="60"/>
      <c r="N133" s="60"/>
      <c r="O133" s="60"/>
      <c r="P133" s="59"/>
      <c r="Q133" s="59"/>
      <c r="R133" s="60"/>
      <c r="S133" s="60"/>
      <c r="T133" s="60"/>
      <c r="U133" s="60"/>
      <c r="V133" s="60"/>
      <c r="W133" s="60"/>
    </row>
    <row r="134" spans="1:23" ht="13" x14ac:dyDescent="0.3">
      <c r="A134" s="58"/>
      <c r="B134" s="58"/>
      <c r="C134" s="58"/>
      <c r="D134" s="58"/>
      <c r="E134" s="58"/>
      <c r="F134" s="58"/>
      <c r="G134" s="58"/>
      <c r="H134" s="59"/>
      <c r="I134" s="59"/>
      <c r="J134" s="59"/>
      <c r="K134" s="59"/>
      <c r="L134" s="59"/>
      <c r="M134" s="60"/>
      <c r="N134" s="60"/>
      <c r="O134" s="60"/>
      <c r="P134" s="59"/>
      <c r="Q134" s="59"/>
      <c r="R134" s="60"/>
      <c r="S134" s="60"/>
      <c r="T134" s="60"/>
      <c r="U134" s="60"/>
      <c r="V134" s="60"/>
      <c r="W134" s="60"/>
    </row>
    <row r="135" spans="1:23" ht="13" x14ac:dyDescent="0.3">
      <c r="A135" s="58"/>
      <c r="B135" s="58"/>
      <c r="C135" s="58"/>
      <c r="D135" s="58"/>
      <c r="E135" s="58"/>
      <c r="F135" s="58"/>
      <c r="G135" s="58"/>
      <c r="H135" s="59"/>
      <c r="I135" s="59"/>
      <c r="J135" s="59"/>
      <c r="K135" s="59"/>
      <c r="L135" s="59"/>
      <c r="M135" s="60"/>
      <c r="N135" s="60"/>
      <c r="O135" s="60"/>
      <c r="P135" s="59"/>
      <c r="Q135" s="59"/>
      <c r="R135" s="60"/>
      <c r="S135" s="60"/>
      <c r="T135" s="60"/>
      <c r="U135" s="60"/>
      <c r="V135" s="60"/>
      <c r="W135" s="60"/>
    </row>
    <row r="136" spans="1:23" ht="13" x14ac:dyDescent="0.3">
      <c r="A136" s="58"/>
      <c r="B136" s="58"/>
      <c r="C136" s="58"/>
      <c r="D136" s="58"/>
      <c r="E136" s="58"/>
      <c r="F136" s="58"/>
      <c r="G136" s="58"/>
      <c r="H136" s="59"/>
      <c r="I136" s="59"/>
      <c r="J136" s="59"/>
      <c r="K136" s="59"/>
      <c r="L136" s="59"/>
      <c r="M136" s="60"/>
      <c r="N136" s="60"/>
      <c r="O136" s="60"/>
      <c r="P136" s="59"/>
      <c r="Q136" s="59"/>
      <c r="R136" s="60"/>
      <c r="S136" s="60"/>
      <c r="T136" s="60"/>
      <c r="U136" s="60"/>
      <c r="V136" s="60"/>
      <c r="W136" s="60"/>
    </row>
    <row r="137" spans="1:23" ht="13" x14ac:dyDescent="0.3">
      <c r="A137" s="58"/>
      <c r="B137" s="58"/>
      <c r="C137" s="58"/>
      <c r="D137" s="58"/>
      <c r="E137" s="58"/>
      <c r="F137" s="58"/>
      <c r="G137" s="58"/>
      <c r="H137" s="59"/>
      <c r="I137" s="59"/>
      <c r="J137" s="59"/>
      <c r="K137" s="59"/>
      <c r="L137" s="59"/>
      <c r="M137" s="60"/>
      <c r="N137" s="60"/>
      <c r="O137" s="60"/>
      <c r="P137" s="59"/>
      <c r="Q137" s="59"/>
      <c r="R137" s="60"/>
      <c r="S137" s="60"/>
      <c r="T137" s="60"/>
      <c r="U137" s="60"/>
      <c r="V137" s="60"/>
      <c r="W137" s="60"/>
    </row>
    <row r="138" spans="1:23" ht="13" x14ac:dyDescent="0.3">
      <c r="A138" s="58"/>
      <c r="B138" s="58"/>
      <c r="C138" s="58"/>
      <c r="D138" s="58"/>
      <c r="E138" s="58"/>
      <c r="F138" s="58"/>
      <c r="G138" s="58"/>
      <c r="H138" s="59"/>
      <c r="I138" s="59"/>
      <c r="J138" s="59"/>
      <c r="K138" s="59"/>
      <c r="L138" s="59"/>
      <c r="M138" s="60"/>
      <c r="N138" s="60"/>
      <c r="O138" s="60"/>
      <c r="P138" s="59"/>
      <c r="Q138" s="59"/>
      <c r="R138" s="60"/>
      <c r="S138" s="60"/>
      <c r="T138" s="60"/>
      <c r="U138" s="60"/>
      <c r="V138" s="60"/>
      <c r="W138" s="60"/>
    </row>
    <row r="139" spans="1:23" ht="13" x14ac:dyDescent="0.3">
      <c r="A139" s="58"/>
      <c r="B139" s="58"/>
      <c r="C139" s="58"/>
      <c r="D139" s="58"/>
      <c r="E139" s="58"/>
      <c r="F139" s="58"/>
      <c r="G139" s="58"/>
      <c r="H139" s="59"/>
      <c r="I139" s="59"/>
      <c r="J139" s="59"/>
      <c r="K139" s="59"/>
      <c r="L139" s="59"/>
      <c r="M139" s="60"/>
      <c r="N139" s="60"/>
      <c r="O139" s="60"/>
      <c r="P139" s="59"/>
      <c r="Q139" s="59"/>
      <c r="R139" s="60"/>
      <c r="S139" s="60"/>
      <c r="T139" s="60"/>
      <c r="U139" s="60"/>
      <c r="V139" s="60"/>
      <c r="W139" s="60"/>
    </row>
    <row r="140" spans="1:23" ht="13" x14ac:dyDescent="0.3">
      <c r="A140" s="58"/>
      <c r="B140" s="58"/>
      <c r="C140" s="58"/>
      <c r="D140" s="58"/>
      <c r="E140" s="58"/>
      <c r="F140" s="58"/>
      <c r="G140" s="58"/>
      <c r="H140" s="59"/>
      <c r="I140" s="59"/>
      <c r="J140" s="59"/>
      <c r="K140" s="59"/>
      <c r="L140" s="59"/>
      <c r="M140" s="60"/>
      <c r="N140" s="60"/>
      <c r="O140" s="60"/>
      <c r="P140" s="59"/>
      <c r="Q140" s="59"/>
      <c r="R140" s="60"/>
      <c r="S140" s="60"/>
      <c r="T140" s="60"/>
      <c r="U140" s="60"/>
      <c r="V140" s="60"/>
      <c r="W140" s="60"/>
    </row>
    <row r="141" spans="1:23" ht="13" x14ac:dyDescent="0.3">
      <c r="A141" s="58"/>
      <c r="B141" s="58"/>
      <c r="C141" s="58"/>
      <c r="D141" s="58"/>
      <c r="E141" s="58"/>
      <c r="F141" s="58"/>
      <c r="G141" s="58"/>
      <c r="H141" s="59"/>
      <c r="I141" s="59"/>
      <c r="J141" s="59"/>
      <c r="K141" s="59"/>
      <c r="L141" s="59"/>
      <c r="M141" s="60"/>
      <c r="N141" s="60"/>
      <c r="O141" s="60"/>
      <c r="P141" s="59"/>
      <c r="Q141" s="59"/>
      <c r="R141" s="60"/>
      <c r="S141" s="60"/>
      <c r="T141" s="60"/>
      <c r="U141" s="60"/>
      <c r="V141" s="60"/>
      <c r="W141" s="60"/>
    </row>
    <row r="142" spans="1:23" ht="13" x14ac:dyDescent="0.3">
      <c r="A142" s="58"/>
      <c r="B142" s="58"/>
      <c r="C142" s="58"/>
      <c r="D142" s="58"/>
      <c r="E142" s="58"/>
      <c r="F142" s="58"/>
      <c r="G142" s="58"/>
      <c r="H142" s="59"/>
      <c r="I142" s="59"/>
      <c r="J142" s="59"/>
      <c r="K142" s="59"/>
      <c r="L142" s="59"/>
      <c r="M142" s="60"/>
      <c r="N142" s="60"/>
      <c r="O142" s="60"/>
      <c r="P142" s="59"/>
      <c r="Q142" s="59"/>
      <c r="R142" s="60"/>
      <c r="S142" s="60"/>
      <c r="T142" s="60"/>
      <c r="U142" s="60"/>
      <c r="V142" s="60"/>
      <c r="W142" s="60"/>
    </row>
    <row r="143" spans="1:23" ht="13" x14ac:dyDescent="0.3">
      <c r="A143" s="58"/>
      <c r="B143" s="58"/>
      <c r="C143" s="58"/>
      <c r="D143" s="58"/>
      <c r="E143" s="58"/>
      <c r="F143" s="58"/>
      <c r="G143" s="58"/>
      <c r="H143" s="59"/>
      <c r="I143" s="59"/>
      <c r="J143" s="59"/>
      <c r="K143" s="59"/>
      <c r="L143" s="59"/>
      <c r="M143" s="60"/>
      <c r="N143" s="60"/>
      <c r="O143" s="60"/>
      <c r="P143" s="59"/>
      <c r="Q143" s="59"/>
      <c r="R143" s="60"/>
      <c r="S143" s="60"/>
      <c r="T143" s="60"/>
      <c r="U143" s="60"/>
      <c r="V143" s="60"/>
      <c r="W143" s="60"/>
    </row>
    <row r="144" spans="1:23" ht="13" x14ac:dyDescent="0.3">
      <c r="A144" s="58"/>
      <c r="B144" s="58"/>
      <c r="C144" s="58"/>
      <c r="D144" s="58"/>
      <c r="E144" s="58"/>
      <c r="F144" s="58"/>
      <c r="G144" s="58"/>
      <c r="H144" s="59"/>
      <c r="I144" s="59"/>
      <c r="J144" s="59"/>
      <c r="K144" s="59"/>
      <c r="L144" s="59"/>
      <c r="M144" s="60"/>
      <c r="N144" s="60"/>
      <c r="O144" s="60"/>
      <c r="P144" s="59"/>
      <c r="Q144" s="59"/>
      <c r="R144" s="60"/>
      <c r="S144" s="60"/>
      <c r="T144" s="60"/>
      <c r="U144" s="60"/>
      <c r="V144" s="60"/>
      <c r="W144" s="60"/>
    </row>
    <row r="145" spans="1:23" ht="13" x14ac:dyDescent="0.3">
      <c r="A145" s="58"/>
      <c r="B145" s="58"/>
      <c r="C145" s="58"/>
      <c r="D145" s="58"/>
      <c r="E145" s="58"/>
      <c r="F145" s="58"/>
      <c r="G145" s="58"/>
      <c r="H145" s="59"/>
      <c r="I145" s="59"/>
      <c r="J145" s="59"/>
      <c r="K145" s="59"/>
      <c r="L145" s="59"/>
      <c r="M145" s="60"/>
      <c r="N145" s="60"/>
      <c r="O145" s="60"/>
      <c r="P145" s="59"/>
      <c r="Q145" s="59"/>
      <c r="R145" s="60"/>
      <c r="S145" s="60"/>
      <c r="T145" s="60"/>
      <c r="U145" s="60"/>
      <c r="V145" s="60"/>
      <c r="W145" s="60"/>
    </row>
    <row r="146" spans="1:23" ht="13" x14ac:dyDescent="0.3">
      <c r="A146" s="58"/>
      <c r="B146" s="58"/>
      <c r="C146" s="58"/>
      <c r="D146" s="58"/>
      <c r="E146" s="58"/>
      <c r="F146" s="58"/>
      <c r="G146" s="58"/>
      <c r="H146" s="59"/>
      <c r="I146" s="59"/>
      <c r="J146" s="59"/>
      <c r="K146" s="59"/>
      <c r="L146" s="59"/>
      <c r="M146" s="60"/>
      <c r="N146" s="60"/>
      <c r="O146" s="60"/>
      <c r="P146" s="59"/>
      <c r="Q146" s="59"/>
      <c r="R146" s="60"/>
      <c r="S146" s="60"/>
      <c r="T146" s="60"/>
      <c r="U146" s="60"/>
      <c r="V146" s="60"/>
      <c r="W146" s="60"/>
    </row>
    <row r="147" spans="1:23" ht="13" x14ac:dyDescent="0.3">
      <c r="A147" s="58"/>
      <c r="B147" s="58"/>
      <c r="C147" s="58"/>
      <c r="D147" s="58"/>
      <c r="E147" s="58"/>
      <c r="F147" s="58"/>
      <c r="G147" s="58"/>
      <c r="H147" s="59"/>
      <c r="I147" s="59"/>
      <c r="J147" s="59"/>
      <c r="K147" s="59"/>
      <c r="L147" s="59"/>
      <c r="M147" s="60"/>
      <c r="N147" s="60"/>
      <c r="O147" s="60"/>
      <c r="P147" s="59"/>
      <c r="Q147" s="59"/>
      <c r="R147" s="60"/>
      <c r="S147" s="60"/>
      <c r="T147" s="60"/>
      <c r="U147" s="60"/>
      <c r="V147" s="60"/>
      <c r="W147" s="60"/>
    </row>
    <row r="148" spans="1:23" ht="13" x14ac:dyDescent="0.3">
      <c r="A148" s="58"/>
      <c r="B148" s="58"/>
      <c r="C148" s="58"/>
      <c r="D148" s="58"/>
      <c r="E148" s="58"/>
      <c r="F148" s="58"/>
      <c r="G148" s="58"/>
      <c r="H148" s="59"/>
      <c r="I148" s="59"/>
      <c r="J148" s="59"/>
      <c r="K148" s="59"/>
      <c r="L148" s="59"/>
      <c r="M148" s="60"/>
      <c r="N148" s="60"/>
      <c r="O148" s="60"/>
      <c r="P148" s="59"/>
      <c r="Q148" s="59"/>
      <c r="R148" s="60"/>
      <c r="S148" s="60"/>
      <c r="T148" s="60"/>
      <c r="U148" s="60"/>
      <c r="V148" s="60"/>
      <c r="W148" s="60"/>
    </row>
    <row r="149" spans="1:23" ht="13" x14ac:dyDescent="0.3">
      <c r="A149" s="58"/>
      <c r="B149" s="58"/>
      <c r="C149" s="58"/>
      <c r="D149" s="58"/>
      <c r="E149" s="58"/>
      <c r="F149" s="58"/>
      <c r="G149" s="58"/>
      <c r="H149" s="59"/>
      <c r="I149" s="59"/>
      <c r="J149" s="59"/>
      <c r="K149" s="59"/>
      <c r="L149" s="59"/>
      <c r="M149" s="60"/>
      <c r="N149" s="60"/>
      <c r="O149" s="60"/>
      <c r="P149" s="59"/>
      <c r="Q149" s="59"/>
      <c r="R149" s="60"/>
      <c r="S149" s="60"/>
      <c r="T149" s="60"/>
      <c r="U149" s="60"/>
      <c r="V149" s="60"/>
      <c r="W149" s="60"/>
    </row>
    <row r="150" spans="1:23" ht="13" x14ac:dyDescent="0.3">
      <c r="A150" s="58"/>
      <c r="B150" s="58"/>
      <c r="C150" s="58"/>
      <c r="D150" s="58"/>
      <c r="E150" s="58"/>
      <c r="F150" s="58"/>
      <c r="G150" s="58"/>
      <c r="H150" s="59"/>
      <c r="I150" s="59"/>
      <c r="J150" s="59"/>
      <c r="K150" s="59"/>
      <c r="L150" s="59"/>
      <c r="M150" s="60"/>
      <c r="N150" s="60"/>
      <c r="O150" s="60"/>
      <c r="P150" s="59"/>
      <c r="Q150" s="59"/>
      <c r="R150" s="60"/>
      <c r="S150" s="60"/>
      <c r="T150" s="60"/>
      <c r="U150" s="60"/>
      <c r="V150" s="60"/>
      <c r="W150" s="60"/>
    </row>
    <row r="151" spans="1:23" ht="13" x14ac:dyDescent="0.3">
      <c r="A151" s="58"/>
      <c r="B151" s="58"/>
      <c r="C151" s="58"/>
      <c r="D151" s="58"/>
      <c r="E151" s="58"/>
      <c r="F151" s="58"/>
      <c r="G151" s="58"/>
      <c r="H151" s="59"/>
      <c r="I151" s="59"/>
      <c r="J151" s="59"/>
      <c r="K151" s="59"/>
      <c r="L151" s="59"/>
      <c r="M151" s="60"/>
      <c r="N151" s="60"/>
      <c r="O151" s="60"/>
      <c r="P151" s="59"/>
      <c r="Q151" s="59"/>
      <c r="R151" s="60"/>
      <c r="S151" s="60"/>
      <c r="T151" s="60"/>
      <c r="U151" s="60"/>
      <c r="V151" s="60"/>
      <c r="W151" s="60"/>
    </row>
    <row r="152" spans="1:23" ht="13" x14ac:dyDescent="0.3">
      <c r="A152" s="58"/>
      <c r="B152" s="58"/>
      <c r="C152" s="58"/>
      <c r="D152" s="58"/>
      <c r="E152" s="58"/>
      <c r="F152" s="58"/>
      <c r="G152" s="58"/>
      <c r="H152" s="59"/>
      <c r="I152" s="59"/>
      <c r="J152" s="59"/>
      <c r="K152" s="59"/>
      <c r="L152" s="59"/>
      <c r="M152" s="60"/>
      <c r="N152" s="60"/>
      <c r="O152" s="60"/>
      <c r="P152" s="59"/>
      <c r="Q152" s="59"/>
      <c r="R152" s="60"/>
      <c r="S152" s="60"/>
      <c r="T152" s="60"/>
      <c r="U152" s="60"/>
      <c r="V152" s="60"/>
      <c r="W152" s="60"/>
    </row>
    <row r="153" spans="1:23" ht="13" x14ac:dyDescent="0.3">
      <c r="A153" s="58"/>
      <c r="B153" s="58"/>
      <c r="C153" s="58"/>
      <c r="D153" s="58"/>
      <c r="E153" s="58"/>
      <c r="F153" s="58"/>
      <c r="G153" s="58"/>
      <c r="H153" s="59"/>
      <c r="I153" s="59"/>
      <c r="J153" s="59"/>
      <c r="K153" s="59"/>
      <c r="L153" s="59"/>
      <c r="M153" s="60"/>
      <c r="N153" s="60"/>
      <c r="O153" s="60"/>
      <c r="P153" s="59"/>
      <c r="Q153" s="59"/>
      <c r="R153" s="60"/>
      <c r="S153" s="60"/>
      <c r="T153" s="60"/>
      <c r="U153" s="60"/>
      <c r="V153" s="60"/>
      <c r="W153" s="60"/>
    </row>
    <row r="154" spans="1:23" ht="13" x14ac:dyDescent="0.3">
      <c r="A154" s="58"/>
      <c r="B154" s="58"/>
      <c r="C154" s="58"/>
      <c r="D154" s="58"/>
      <c r="E154" s="58"/>
      <c r="F154" s="58"/>
      <c r="G154" s="58"/>
      <c r="H154" s="59"/>
      <c r="I154" s="59"/>
      <c r="J154" s="59"/>
      <c r="K154" s="59"/>
      <c r="L154" s="59"/>
      <c r="M154" s="60"/>
      <c r="N154" s="60"/>
      <c r="O154" s="60"/>
      <c r="P154" s="59"/>
      <c r="Q154" s="59"/>
      <c r="R154" s="60"/>
      <c r="S154" s="60"/>
      <c r="T154" s="60"/>
      <c r="U154" s="60"/>
      <c r="V154" s="60"/>
      <c r="W154" s="60"/>
    </row>
    <row r="155" spans="1:23" ht="13" x14ac:dyDescent="0.3">
      <c r="A155" s="58"/>
      <c r="B155" s="58"/>
      <c r="C155" s="58"/>
      <c r="D155" s="58"/>
      <c r="E155" s="58"/>
      <c r="F155" s="58"/>
      <c r="G155" s="58"/>
      <c r="H155" s="59"/>
      <c r="I155" s="59"/>
      <c r="J155" s="59"/>
      <c r="K155" s="59"/>
      <c r="L155" s="59"/>
      <c r="M155" s="60"/>
      <c r="N155" s="60"/>
      <c r="O155" s="60"/>
      <c r="P155" s="59"/>
      <c r="Q155" s="59"/>
      <c r="R155" s="60"/>
      <c r="S155" s="60"/>
      <c r="T155" s="60"/>
      <c r="U155" s="60"/>
      <c r="V155" s="60"/>
      <c r="W155" s="60"/>
    </row>
    <row r="156" spans="1:23" ht="13" x14ac:dyDescent="0.3">
      <c r="A156" s="58"/>
      <c r="B156" s="58"/>
      <c r="C156" s="58"/>
      <c r="D156" s="58"/>
      <c r="E156" s="58"/>
      <c r="F156" s="58"/>
      <c r="G156" s="58"/>
      <c r="H156" s="59"/>
      <c r="I156" s="59"/>
      <c r="J156" s="59"/>
      <c r="K156" s="59"/>
      <c r="L156" s="59"/>
      <c r="M156" s="60"/>
      <c r="N156" s="60"/>
      <c r="O156" s="60"/>
      <c r="P156" s="59"/>
      <c r="Q156" s="59"/>
      <c r="R156" s="60"/>
      <c r="S156" s="60"/>
      <c r="T156" s="60"/>
      <c r="U156" s="60"/>
      <c r="V156" s="60"/>
      <c r="W156" s="60"/>
    </row>
    <row r="157" spans="1:23" ht="13" x14ac:dyDescent="0.3">
      <c r="A157" s="58"/>
      <c r="B157" s="58"/>
      <c r="C157" s="58"/>
      <c r="D157" s="58"/>
      <c r="E157" s="58"/>
      <c r="F157" s="58"/>
      <c r="G157" s="58"/>
      <c r="H157" s="59"/>
      <c r="I157" s="59"/>
      <c r="J157" s="59"/>
      <c r="K157" s="59"/>
      <c r="L157" s="59"/>
      <c r="M157" s="60"/>
      <c r="N157" s="60"/>
      <c r="O157" s="60"/>
      <c r="P157" s="59"/>
      <c r="Q157" s="59"/>
      <c r="R157" s="60"/>
      <c r="S157" s="60"/>
      <c r="T157" s="60"/>
      <c r="U157" s="60"/>
      <c r="V157" s="60"/>
      <c r="W157" s="60"/>
    </row>
    <row r="158" spans="1:23" ht="13" x14ac:dyDescent="0.3">
      <c r="A158" s="58"/>
      <c r="B158" s="58"/>
      <c r="C158" s="58"/>
      <c r="D158" s="58"/>
      <c r="E158" s="58"/>
      <c r="F158" s="58"/>
      <c r="G158" s="58"/>
      <c r="H158" s="59"/>
      <c r="I158" s="59"/>
      <c r="J158" s="59"/>
      <c r="K158" s="59"/>
      <c r="L158" s="59"/>
      <c r="M158" s="60"/>
      <c r="N158" s="60"/>
      <c r="O158" s="60"/>
      <c r="P158" s="59"/>
      <c r="Q158" s="59"/>
      <c r="R158" s="60"/>
      <c r="S158" s="60"/>
      <c r="T158" s="60"/>
      <c r="U158" s="60"/>
      <c r="V158" s="60"/>
      <c r="W158" s="60"/>
    </row>
    <row r="159" spans="1:23" ht="13" x14ac:dyDescent="0.3">
      <c r="A159" s="58"/>
      <c r="B159" s="58"/>
      <c r="C159" s="58"/>
      <c r="D159" s="58"/>
      <c r="E159" s="58"/>
      <c r="F159" s="58"/>
      <c r="G159" s="58"/>
      <c r="H159" s="59"/>
      <c r="I159" s="59"/>
      <c r="J159" s="59"/>
      <c r="K159" s="59"/>
      <c r="L159" s="59"/>
      <c r="M159" s="60"/>
      <c r="N159" s="60"/>
      <c r="O159" s="60"/>
      <c r="P159" s="59"/>
      <c r="Q159" s="59"/>
      <c r="R159" s="60"/>
      <c r="S159" s="60"/>
      <c r="T159" s="60"/>
      <c r="U159" s="60"/>
      <c r="V159" s="60"/>
      <c r="W159" s="60"/>
    </row>
    <row r="160" spans="1:23" ht="13" x14ac:dyDescent="0.3">
      <c r="A160" s="58"/>
      <c r="B160" s="58"/>
      <c r="C160" s="58"/>
      <c r="D160" s="58"/>
      <c r="E160" s="58"/>
      <c r="F160" s="58"/>
      <c r="G160" s="58"/>
      <c r="H160" s="59"/>
      <c r="I160" s="59"/>
      <c r="J160" s="59"/>
      <c r="K160" s="59"/>
      <c r="L160" s="59"/>
      <c r="M160" s="60"/>
      <c r="N160" s="60"/>
      <c r="O160" s="60"/>
      <c r="P160" s="59"/>
      <c r="Q160" s="59"/>
      <c r="R160" s="60"/>
      <c r="S160" s="60"/>
      <c r="T160" s="60"/>
      <c r="U160" s="60"/>
      <c r="V160" s="60"/>
      <c r="W160" s="60"/>
    </row>
    <row r="161" spans="1:23" ht="13" x14ac:dyDescent="0.3">
      <c r="A161" s="58"/>
      <c r="B161" s="58"/>
      <c r="C161" s="58"/>
      <c r="D161" s="58"/>
      <c r="E161" s="58"/>
      <c r="F161" s="58"/>
      <c r="G161" s="58"/>
      <c r="H161" s="59"/>
      <c r="I161" s="59"/>
      <c r="J161" s="59"/>
      <c r="K161" s="59"/>
      <c r="L161" s="59"/>
      <c r="M161" s="60"/>
      <c r="N161" s="60"/>
      <c r="O161" s="60"/>
      <c r="P161" s="59"/>
      <c r="Q161" s="59"/>
      <c r="R161" s="60"/>
      <c r="S161" s="60"/>
      <c r="T161" s="60"/>
      <c r="U161" s="60"/>
      <c r="V161" s="60"/>
      <c r="W161" s="60"/>
    </row>
    <row r="162" spans="1:23" ht="13" x14ac:dyDescent="0.3">
      <c r="A162" s="58"/>
      <c r="B162" s="58"/>
      <c r="C162" s="58"/>
      <c r="D162" s="58"/>
      <c r="E162" s="58"/>
      <c r="F162" s="58"/>
      <c r="G162" s="58"/>
      <c r="H162" s="59"/>
      <c r="I162" s="59"/>
      <c r="J162" s="59"/>
      <c r="K162" s="59"/>
      <c r="L162" s="59"/>
      <c r="M162" s="60"/>
      <c r="N162" s="60"/>
      <c r="O162" s="60"/>
      <c r="P162" s="59"/>
      <c r="Q162" s="59"/>
      <c r="R162" s="60"/>
      <c r="S162" s="60"/>
      <c r="T162" s="60"/>
      <c r="U162" s="60"/>
      <c r="V162" s="60"/>
      <c r="W162" s="60"/>
    </row>
    <row r="163" spans="1:23" ht="13" x14ac:dyDescent="0.3">
      <c r="A163" s="58"/>
      <c r="B163" s="58"/>
      <c r="C163" s="58"/>
      <c r="D163" s="58"/>
      <c r="E163" s="58"/>
      <c r="F163" s="58"/>
      <c r="G163" s="58"/>
      <c r="H163" s="59"/>
      <c r="I163" s="59"/>
      <c r="J163" s="59"/>
      <c r="K163" s="59"/>
      <c r="L163" s="59"/>
      <c r="M163" s="60"/>
      <c r="N163" s="60"/>
      <c r="O163" s="60"/>
      <c r="P163" s="59"/>
      <c r="Q163" s="59"/>
      <c r="R163" s="60"/>
      <c r="S163" s="60"/>
      <c r="T163" s="60"/>
      <c r="U163" s="60"/>
      <c r="V163" s="60"/>
      <c r="W163" s="60"/>
    </row>
    <row r="164" spans="1:23" ht="13" x14ac:dyDescent="0.3">
      <c r="A164" s="58"/>
      <c r="B164" s="58"/>
      <c r="C164" s="58"/>
      <c r="D164" s="58"/>
      <c r="E164" s="58"/>
      <c r="F164" s="58"/>
      <c r="G164" s="58"/>
      <c r="H164" s="59"/>
      <c r="I164" s="59"/>
      <c r="J164" s="59"/>
      <c r="K164" s="59"/>
      <c r="L164" s="59"/>
      <c r="M164" s="60"/>
      <c r="N164" s="60"/>
      <c r="O164" s="60"/>
      <c r="P164" s="59"/>
      <c r="Q164" s="59"/>
      <c r="R164" s="60"/>
      <c r="S164" s="60"/>
      <c r="T164" s="60"/>
      <c r="U164" s="60"/>
      <c r="V164" s="60"/>
      <c r="W164" s="60"/>
    </row>
    <row r="165" spans="1:23" ht="13" x14ac:dyDescent="0.3">
      <c r="A165" s="58"/>
      <c r="B165" s="58"/>
      <c r="C165" s="58"/>
      <c r="D165" s="58"/>
      <c r="E165" s="58"/>
      <c r="F165" s="58"/>
      <c r="G165" s="58"/>
      <c r="H165" s="59"/>
      <c r="I165" s="59"/>
      <c r="J165" s="59"/>
      <c r="K165" s="59"/>
      <c r="L165" s="59"/>
      <c r="M165" s="60"/>
      <c r="N165" s="60"/>
      <c r="O165" s="60"/>
      <c r="P165" s="59"/>
      <c r="Q165" s="59"/>
      <c r="R165" s="60"/>
      <c r="S165" s="60"/>
      <c r="T165" s="60"/>
      <c r="U165" s="60"/>
      <c r="V165" s="60"/>
      <c r="W165" s="60"/>
    </row>
    <row r="166" spans="1:23" ht="13" x14ac:dyDescent="0.3">
      <c r="A166" s="58"/>
      <c r="B166" s="58"/>
      <c r="C166" s="58"/>
      <c r="D166" s="58"/>
      <c r="E166" s="58"/>
      <c r="F166" s="58"/>
      <c r="G166" s="58"/>
      <c r="H166" s="59"/>
      <c r="I166" s="59"/>
      <c r="J166" s="59"/>
      <c r="K166" s="59"/>
      <c r="L166" s="59"/>
      <c r="M166" s="60"/>
      <c r="N166" s="60"/>
      <c r="O166" s="60"/>
      <c r="P166" s="59"/>
      <c r="Q166" s="59"/>
      <c r="R166" s="60"/>
      <c r="S166" s="60"/>
      <c r="T166" s="60"/>
      <c r="U166" s="60"/>
      <c r="V166" s="60"/>
      <c r="W166" s="60"/>
    </row>
    <row r="167" spans="1:23" ht="13" x14ac:dyDescent="0.3">
      <c r="A167" s="58"/>
      <c r="B167" s="58"/>
      <c r="C167" s="58"/>
      <c r="D167" s="58"/>
      <c r="E167" s="58"/>
      <c r="F167" s="58"/>
      <c r="G167" s="58"/>
      <c r="H167" s="59"/>
      <c r="I167" s="59"/>
      <c r="J167" s="59"/>
      <c r="K167" s="59"/>
      <c r="L167" s="59"/>
      <c r="M167" s="60"/>
      <c r="N167" s="60"/>
      <c r="O167" s="60"/>
      <c r="P167" s="59"/>
      <c r="Q167" s="59"/>
      <c r="R167" s="60"/>
      <c r="S167" s="60"/>
      <c r="T167" s="60"/>
      <c r="U167" s="60"/>
      <c r="V167" s="60"/>
      <c r="W167" s="60"/>
    </row>
    <row r="168" spans="1:23" ht="13" x14ac:dyDescent="0.3">
      <c r="A168" s="58"/>
      <c r="B168" s="58"/>
      <c r="C168" s="58"/>
      <c r="D168" s="58"/>
      <c r="E168" s="58"/>
      <c r="F168" s="58"/>
      <c r="G168" s="58"/>
      <c r="H168" s="59"/>
      <c r="I168" s="59"/>
      <c r="J168" s="59"/>
      <c r="K168" s="59"/>
      <c r="L168" s="59"/>
      <c r="M168" s="60"/>
      <c r="N168" s="60"/>
      <c r="O168" s="60"/>
      <c r="P168" s="59"/>
      <c r="Q168" s="59"/>
      <c r="R168" s="60"/>
      <c r="S168" s="60"/>
      <c r="T168" s="60"/>
      <c r="U168" s="60"/>
      <c r="V168" s="60"/>
      <c r="W168" s="60"/>
    </row>
    <row r="169" spans="1:23" ht="13" x14ac:dyDescent="0.3">
      <c r="A169" s="58"/>
      <c r="B169" s="58"/>
      <c r="C169" s="58"/>
      <c r="D169" s="58"/>
      <c r="E169" s="58"/>
      <c r="F169" s="58"/>
      <c r="G169" s="58"/>
      <c r="H169" s="59"/>
      <c r="I169" s="59"/>
      <c r="J169" s="59"/>
      <c r="K169" s="59"/>
      <c r="L169" s="59"/>
      <c r="M169" s="60"/>
      <c r="N169" s="60"/>
      <c r="O169" s="60"/>
      <c r="P169" s="59"/>
      <c r="Q169" s="59"/>
      <c r="R169" s="60"/>
      <c r="S169" s="60"/>
      <c r="T169" s="60"/>
      <c r="U169" s="60"/>
      <c r="V169" s="60"/>
      <c r="W169" s="60"/>
    </row>
    <row r="170" spans="1:23" ht="13" x14ac:dyDescent="0.3">
      <c r="A170" s="58"/>
      <c r="B170" s="58"/>
      <c r="C170" s="58"/>
      <c r="D170" s="58"/>
      <c r="E170" s="58"/>
      <c r="F170" s="58"/>
      <c r="G170" s="58"/>
      <c r="H170" s="59"/>
      <c r="I170" s="59"/>
      <c r="J170" s="59"/>
      <c r="K170" s="59"/>
      <c r="L170" s="59"/>
      <c r="M170" s="60"/>
      <c r="N170" s="60"/>
      <c r="O170" s="60"/>
      <c r="P170" s="59"/>
      <c r="Q170" s="59"/>
      <c r="R170" s="60"/>
      <c r="S170" s="60"/>
      <c r="T170" s="60"/>
      <c r="U170" s="60"/>
      <c r="V170" s="60"/>
      <c r="W170" s="60"/>
    </row>
    <row r="171" spans="1:23" ht="13" x14ac:dyDescent="0.3">
      <c r="A171" s="58"/>
      <c r="B171" s="58"/>
      <c r="C171" s="58"/>
      <c r="D171" s="58"/>
      <c r="E171" s="58"/>
      <c r="F171" s="58"/>
      <c r="G171" s="58"/>
      <c r="H171" s="59"/>
      <c r="I171" s="59"/>
      <c r="J171" s="59"/>
      <c r="K171" s="59"/>
      <c r="L171" s="59"/>
      <c r="M171" s="60"/>
      <c r="N171" s="60"/>
      <c r="O171" s="60"/>
      <c r="P171" s="59"/>
      <c r="Q171" s="59"/>
      <c r="R171" s="60"/>
      <c r="S171" s="60"/>
      <c r="T171" s="60"/>
      <c r="U171" s="60"/>
      <c r="V171" s="60"/>
      <c r="W171" s="60"/>
    </row>
    <row r="172" spans="1:23" ht="13" x14ac:dyDescent="0.3">
      <c r="A172" s="58"/>
      <c r="B172" s="58"/>
      <c r="C172" s="58"/>
      <c r="D172" s="58"/>
      <c r="E172" s="58"/>
      <c r="F172" s="58"/>
      <c r="G172" s="58"/>
      <c r="H172" s="59"/>
      <c r="I172" s="59"/>
      <c r="J172" s="59"/>
      <c r="K172" s="59"/>
      <c r="L172" s="59"/>
      <c r="M172" s="60"/>
      <c r="N172" s="60"/>
      <c r="O172" s="60"/>
      <c r="P172" s="59"/>
      <c r="Q172" s="59"/>
      <c r="R172" s="60"/>
      <c r="S172" s="60"/>
      <c r="T172" s="60"/>
      <c r="U172" s="60"/>
      <c r="V172" s="60"/>
      <c r="W172" s="60"/>
    </row>
    <row r="173" spans="1:23" ht="13" x14ac:dyDescent="0.3">
      <c r="A173" s="58"/>
      <c r="B173" s="58"/>
      <c r="C173" s="58"/>
      <c r="D173" s="58"/>
      <c r="E173" s="58"/>
      <c r="F173" s="58"/>
      <c r="G173" s="58"/>
      <c r="H173" s="59"/>
      <c r="I173" s="59"/>
      <c r="J173" s="59"/>
      <c r="K173" s="59"/>
      <c r="L173" s="59"/>
      <c r="M173" s="60"/>
      <c r="N173" s="60"/>
      <c r="O173" s="60"/>
      <c r="P173" s="59"/>
      <c r="Q173" s="59"/>
      <c r="R173" s="60"/>
      <c r="S173" s="60"/>
      <c r="T173" s="60"/>
      <c r="U173" s="60"/>
      <c r="V173" s="60"/>
      <c r="W173" s="60"/>
    </row>
    <row r="174" spans="1:23" ht="13" x14ac:dyDescent="0.3">
      <c r="A174" s="58"/>
      <c r="B174" s="58"/>
      <c r="C174" s="58"/>
      <c r="D174" s="58"/>
      <c r="E174" s="58"/>
      <c r="F174" s="58"/>
      <c r="G174" s="58"/>
      <c r="H174" s="59"/>
      <c r="I174" s="59"/>
      <c r="J174" s="59"/>
      <c r="K174" s="59"/>
      <c r="L174" s="59"/>
      <c r="M174" s="60"/>
      <c r="N174" s="60"/>
      <c r="O174" s="60"/>
      <c r="P174" s="59"/>
      <c r="Q174" s="59"/>
      <c r="R174" s="60"/>
      <c r="S174" s="60"/>
      <c r="T174" s="60"/>
      <c r="U174" s="60"/>
      <c r="V174" s="60"/>
      <c r="W174" s="60"/>
    </row>
    <row r="175" spans="1:23" ht="13" x14ac:dyDescent="0.3">
      <c r="A175" s="58"/>
      <c r="B175" s="58"/>
      <c r="C175" s="58"/>
      <c r="D175" s="58"/>
      <c r="E175" s="58"/>
      <c r="F175" s="58"/>
      <c r="G175" s="58"/>
      <c r="H175" s="59"/>
      <c r="I175" s="59"/>
      <c r="J175" s="59"/>
      <c r="K175" s="59"/>
      <c r="L175" s="59"/>
      <c r="M175" s="60"/>
      <c r="N175" s="60"/>
      <c r="O175" s="60"/>
      <c r="P175" s="59"/>
      <c r="Q175" s="59"/>
      <c r="R175" s="60"/>
      <c r="S175" s="60"/>
      <c r="T175" s="60"/>
      <c r="U175" s="60"/>
      <c r="V175" s="60"/>
      <c r="W175" s="60"/>
    </row>
    <row r="176" spans="1:23" ht="13" x14ac:dyDescent="0.3">
      <c r="A176" s="58"/>
      <c r="B176" s="58"/>
      <c r="C176" s="58"/>
      <c r="D176" s="58"/>
      <c r="E176" s="58"/>
      <c r="F176" s="58"/>
      <c r="G176" s="58"/>
      <c r="H176" s="59"/>
      <c r="I176" s="59"/>
      <c r="J176" s="59"/>
      <c r="K176" s="59"/>
      <c r="L176" s="59"/>
      <c r="M176" s="60"/>
      <c r="N176" s="60"/>
      <c r="O176" s="60"/>
      <c r="P176" s="59"/>
      <c r="Q176" s="59"/>
      <c r="R176" s="60"/>
      <c r="S176" s="60"/>
      <c r="T176" s="60"/>
      <c r="U176" s="60"/>
      <c r="V176" s="60"/>
      <c r="W176" s="60"/>
    </row>
    <row r="177" spans="1:23" ht="13" x14ac:dyDescent="0.3">
      <c r="A177" s="58"/>
      <c r="B177" s="58"/>
      <c r="C177" s="58"/>
      <c r="D177" s="58"/>
      <c r="E177" s="58"/>
      <c r="F177" s="58"/>
      <c r="G177" s="58"/>
      <c r="H177" s="59"/>
      <c r="I177" s="59"/>
      <c r="J177" s="59"/>
      <c r="K177" s="59"/>
      <c r="L177" s="59"/>
      <c r="M177" s="60"/>
      <c r="N177" s="60"/>
      <c r="O177" s="60"/>
      <c r="P177" s="59"/>
      <c r="Q177" s="59"/>
      <c r="R177" s="60"/>
      <c r="S177" s="60"/>
      <c r="T177" s="60"/>
      <c r="U177" s="60"/>
      <c r="V177" s="60"/>
      <c r="W177" s="60"/>
    </row>
    <row r="178" spans="1:23" ht="13" x14ac:dyDescent="0.3">
      <c r="A178" s="58"/>
      <c r="B178" s="58"/>
      <c r="C178" s="58"/>
      <c r="D178" s="58"/>
      <c r="E178" s="58"/>
      <c r="F178" s="58"/>
      <c r="G178" s="58"/>
      <c r="H178" s="59"/>
      <c r="I178" s="59"/>
      <c r="J178" s="59"/>
      <c r="K178" s="59"/>
      <c r="L178" s="59"/>
      <c r="M178" s="60"/>
      <c r="N178" s="60"/>
      <c r="O178" s="60"/>
      <c r="P178" s="59"/>
      <c r="Q178" s="59"/>
      <c r="R178" s="60"/>
      <c r="S178" s="60"/>
      <c r="T178" s="60"/>
      <c r="U178" s="60"/>
      <c r="V178" s="60"/>
      <c r="W178" s="60"/>
    </row>
    <row r="179" spans="1:23" ht="13" x14ac:dyDescent="0.3">
      <c r="A179" s="58"/>
      <c r="B179" s="58"/>
      <c r="C179" s="58"/>
      <c r="D179" s="58"/>
      <c r="E179" s="58"/>
      <c r="F179" s="58"/>
      <c r="G179" s="58"/>
      <c r="H179" s="59"/>
      <c r="I179" s="59"/>
      <c r="J179" s="59"/>
      <c r="K179" s="59"/>
      <c r="L179" s="59"/>
      <c r="M179" s="60"/>
      <c r="N179" s="60"/>
      <c r="O179" s="60"/>
      <c r="P179" s="59"/>
      <c r="Q179" s="59"/>
      <c r="R179" s="60"/>
      <c r="S179" s="60"/>
      <c r="T179" s="60"/>
      <c r="U179" s="60"/>
      <c r="V179" s="60"/>
      <c r="W179" s="60"/>
    </row>
    <row r="180" spans="1:23" ht="13" x14ac:dyDescent="0.3">
      <c r="A180" s="58"/>
      <c r="B180" s="58"/>
      <c r="C180" s="58"/>
      <c r="D180" s="58"/>
      <c r="E180" s="58"/>
      <c r="F180" s="58"/>
      <c r="G180" s="58"/>
      <c r="H180" s="59"/>
      <c r="I180" s="59"/>
      <c r="J180" s="59"/>
      <c r="K180" s="59"/>
      <c r="L180" s="59"/>
      <c r="M180" s="60"/>
      <c r="N180" s="60"/>
      <c r="O180" s="60"/>
      <c r="P180" s="59"/>
      <c r="Q180" s="59"/>
      <c r="R180" s="60"/>
      <c r="S180" s="60"/>
      <c r="T180" s="60"/>
      <c r="U180" s="60"/>
      <c r="V180" s="60"/>
      <c r="W180" s="60"/>
    </row>
    <row r="181" spans="1:23" ht="13" x14ac:dyDescent="0.3">
      <c r="A181" s="58"/>
      <c r="B181" s="58"/>
      <c r="C181" s="58"/>
      <c r="D181" s="58"/>
      <c r="E181" s="58"/>
      <c r="F181" s="58"/>
      <c r="G181" s="58"/>
      <c r="H181" s="59"/>
      <c r="I181" s="59"/>
      <c r="J181" s="59"/>
      <c r="K181" s="59"/>
      <c r="L181" s="59"/>
      <c r="M181" s="60"/>
      <c r="N181" s="60"/>
      <c r="O181" s="60"/>
      <c r="P181" s="59"/>
      <c r="Q181" s="59"/>
      <c r="R181" s="60"/>
      <c r="S181" s="60"/>
      <c r="T181" s="60"/>
      <c r="U181" s="60"/>
      <c r="V181" s="60"/>
      <c r="W181" s="60"/>
    </row>
    <row r="182" spans="1:23" ht="13" x14ac:dyDescent="0.3">
      <c r="A182" s="58"/>
      <c r="B182" s="58"/>
      <c r="C182" s="58"/>
      <c r="D182" s="58"/>
      <c r="E182" s="58"/>
      <c r="F182" s="58"/>
      <c r="G182" s="58"/>
      <c r="H182" s="59"/>
      <c r="I182" s="59"/>
      <c r="J182" s="59"/>
      <c r="K182" s="59"/>
      <c r="L182" s="59"/>
      <c r="M182" s="60"/>
      <c r="N182" s="60"/>
      <c r="O182" s="60"/>
      <c r="P182" s="59"/>
      <c r="Q182" s="59"/>
      <c r="R182" s="60"/>
      <c r="S182" s="60"/>
      <c r="T182" s="60"/>
      <c r="U182" s="60"/>
      <c r="V182" s="60"/>
      <c r="W182" s="60"/>
    </row>
    <row r="183" spans="1:23" ht="13" x14ac:dyDescent="0.3">
      <c r="A183" s="58"/>
      <c r="B183" s="58"/>
      <c r="C183" s="58"/>
      <c r="D183" s="58"/>
      <c r="E183" s="58"/>
      <c r="F183" s="58"/>
      <c r="G183" s="58"/>
      <c r="H183" s="59"/>
      <c r="I183" s="59"/>
      <c r="J183" s="59"/>
      <c r="K183" s="59"/>
      <c r="L183" s="59"/>
      <c r="M183" s="60"/>
      <c r="N183" s="60"/>
      <c r="O183" s="60"/>
      <c r="P183" s="59"/>
      <c r="Q183" s="59"/>
      <c r="R183" s="60"/>
      <c r="S183" s="60"/>
      <c r="T183" s="60"/>
      <c r="U183" s="60"/>
      <c r="V183" s="60"/>
      <c r="W183" s="60"/>
    </row>
    <row r="184" spans="1:23" ht="13" x14ac:dyDescent="0.3">
      <c r="A184" s="58"/>
      <c r="B184" s="58"/>
      <c r="C184" s="58"/>
      <c r="D184" s="58"/>
      <c r="E184" s="58"/>
      <c r="F184" s="58"/>
      <c r="G184" s="58"/>
      <c r="H184" s="59"/>
      <c r="I184" s="59"/>
      <c r="J184" s="59"/>
      <c r="K184" s="59"/>
      <c r="L184" s="59"/>
      <c r="M184" s="60"/>
      <c r="N184" s="60"/>
      <c r="O184" s="60"/>
      <c r="P184" s="59"/>
      <c r="Q184" s="59"/>
      <c r="R184" s="60"/>
      <c r="S184" s="60"/>
      <c r="T184" s="60"/>
      <c r="U184" s="60"/>
      <c r="V184" s="60"/>
      <c r="W184" s="60"/>
    </row>
    <row r="185" spans="1:23" ht="13" x14ac:dyDescent="0.3">
      <c r="A185" s="58"/>
      <c r="B185" s="58"/>
      <c r="C185" s="58"/>
      <c r="D185" s="58"/>
      <c r="E185" s="58"/>
      <c r="F185" s="58"/>
      <c r="G185" s="58"/>
      <c r="H185" s="59"/>
      <c r="I185" s="59"/>
      <c r="J185" s="59"/>
      <c r="K185" s="59"/>
      <c r="L185" s="59"/>
      <c r="M185" s="60"/>
      <c r="N185" s="60"/>
      <c r="O185" s="60"/>
      <c r="P185" s="59"/>
      <c r="Q185" s="59"/>
      <c r="R185" s="60"/>
      <c r="S185" s="60"/>
      <c r="T185" s="60"/>
      <c r="U185" s="60"/>
      <c r="V185" s="60"/>
      <c r="W185" s="60"/>
    </row>
    <row r="186" spans="1:23" ht="13" x14ac:dyDescent="0.3">
      <c r="A186" s="58"/>
      <c r="B186" s="58"/>
      <c r="C186" s="58"/>
      <c r="D186" s="58"/>
      <c r="E186" s="58"/>
      <c r="F186" s="58"/>
      <c r="G186" s="58"/>
      <c r="H186" s="59"/>
      <c r="I186" s="59"/>
      <c r="J186" s="59"/>
      <c r="K186" s="59"/>
      <c r="L186" s="59"/>
      <c r="M186" s="60"/>
      <c r="N186" s="60"/>
      <c r="O186" s="60"/>
      <c r="P186" s="59"/>
      <c r="Q186" s="59"/>
      <c r="R186" s="60"/>
      <c r="S186" s="60"/>
      <c r="T186" s="60"/>
      <c r="U186" s="60"/>
      <c r="V186" s="60"/>
      <c r="W186" s="60"/>
    </row>
    <row r="187" spans="1:23" ht="13" x14ac:dyDescent="0.3">
      <c r="A187" s="58"/>
      <c r="B187" s="58"/>
      <c r="C187" s="58"/>
      <c r="D187" s="58"/>
      <c r="E187" s="58"/>
      <c r="F187" s="58"/>
      <c r="G187" s="58"/>
      <c r="H187" s="59"/>
      <c r="I187" s="59"/>
      <c r="J187" s="59"/>
      <c r="K187" s="59"/>
      <c r="L187" s="59"/>
      <c r="M187" s="60"/>
      <c r="N187" s="60"/>
      <c r="O187" s="60"/>
      <c r="P187" s="59"/>
      <c r="Q187" s="59"/>
      <c r="R187" s="60"/>
      <c r="S187" s="60"/>
      <c r="T187" s="60"/>
      <c r="U187" s="60"/>
      <c r="V187" s="60"/>
      <c r="W187" s="60"/>
    </row>
    <row r="188" spans="1:23" ht="13" x14ac:dyDescent="0.3">
      <c r="A188" s="58"/>
      <c r="B188" s="58"/>
      <c r="C188" s="58"/>
      <c r="D188" s="58"/>
      <c r="E188" s="58"/>
      <c r="F188" s="58"/>
      <c r="G188" s="58"/>
      <c r="H188" s="59"/>
      <c r="I188" s="59"/>
      <c r="J188" s="59"/>
      <c r="K188" s="59"/>
      <c r="L188" s="59"/>
      <c r="M188" s="60"/>
      <c r="N188" s="60"/>
      <c r="O188" s="60"/>
      <c r="P188" s="59"/>
      <c r="Q188" s="59"/>
      <c r="R188" s="60"/>
      <c r="S188" s="60"/>
      <c r="T188" s="60"/>
      <c r="U188" s="60"/>
      <c r="V188" s="60"/>
      <c r="W188" s="60"/>
    </row>
    <row r="189" spans="1:23" ht="13" x14ac:dyDescent="0.3">
      <c r="A189" s="58"/>
      <c r="B189" s="58"/>
      <c r="C189" s="58"/>
      <c r="D189" s="58"/>
      <c r="E189" s="58"/>
      <c r="F189" s="58"/>
      <c r="G189" s="58"/>
      <c r="H189" s="59"/>
      <c r="I189" s="59"/>
      <c r="J189" s="59"/>
      <c r="K189" s="59"/>
      <c r="L189" s="59"/>
      <c r="M189" s="60"/>
      <c r="N189" s="60"/>
      <c r="O189" s="60"/>
      <c r="P189" s="59"/>
      <c r="Q189" s="59"/>
      <c r="R189" s="60"/>
      <c r="S189" s="60"/>
      <c r="T189" s="60"/>
      <c r="U189" s="60"/>
      <c r="V189" s="60"/>
      <c r="W189" s="60"/>
    </row>
    <row r="190" spans="1:23" ht="13" x14ac:dyDescent="0.3">
      <c r="A190" s="58"/>
      <c r="B190" s="58"/>
      <c r="C190" s="58"/>
      <c r="D190" s="58"/>
      <c r="E190" s="58"/>
      <c r="F190" s="58"/>
      <c r="G190" s="58"/>
      <c r="H190" s="59"/>
      <c r="I190" s="59"/>
      <c r="J190" s="59"/>
      <c r="K190" s="59"/>
      <c r="L190" s="59"/>
      <c r="M190" s="60"/>
      <c r="N190" s="60"/>
      <c r="O190" s="60"/>
      <c r="P190" s="59"/>
      <c r="Q190" s="59"/>
      <c r="R190" s="60"/>
      <c r="S190" s="60"/>
      <c r="T190" s="60"/>
      <c r="U190" s="60"/>
      <c r="V190" s="60"/>
      <c r="W190" s="60"/>
    </row>
    <row r="191" spans="1:23" ht="13" x14ac:dyDescent="0.3">
      <c r="A191" s="58"/>
      <c r="B191" s="58"/>
      <c r="C191" s="58"/>
      <c r="D191" s="58"/>
      <c r="E191" s="58"/>
      <c r="F191" s="58"/>
      <c r="G191" s="58"/>
      <c r="H191" s="59"/>
      <c r="I191" s="59"/>
      <c r="J191" s="59"/>
      <c r="K191" s="59"/>
      <c r="L191" s="59"/>
      <c r="M191" s="60"/>
      <c r="N191" s="60"/>
      <c r="O191" s="60"/>
      <c r="P191" s="59"/>
      <c r="Q191" s="59"/>
      <c r="R191" s="60"/>
      <c r="S191" s="60"/>
      <c r="T191" s="60"/>
      <c r="U191" s="60"/>
      <c r="V191" s="60"/>
      <c r="W191" s="60"/>
    </row>
    <row r="192" spans="1:23" ht="13" x14ac:dyDescent="0.3">
      <c r="A192" s="58"/>
      <c r="B192" s="58"/>
      <c r="C192" s="58"/>
      <c r="D192" s="58"/>
      <c r="E192" s="58"/>
      <c r="F192" s="58"/>
      <c r="G192" s="58"/>
      <c r="H192" s="59"/>
      <c r="I192" s="59"/>
      <c r="J192" s="59"/>
      <c r="K192" s="59"/>
      <c r="L192" s="59"/>
      <c r="M192" s="60"/>
      <c r="N192" s="60"/>
      <c r="O192" s="60"/>
      <c r="P192" s="59"/>
      <c r="Q192" s="59"/>
      <c r="R192" s="60"/>
      <c r="S192" s="60"/>
      <c r="T192" s="60"/>
      <c r="U192" s="60"/>
      <c r="V192" s="60"/>
      <c r="W192" s="60"/>
    </row>
    <row r="193" spans="1:23" ht="13" x14ac:dyDescent="0.3">
      <c r="A193" s="58"/>
      <c r="B193" s="58"/>
      <c r="C193" s="58"/>
      <c r="D193" s="58"/>
      <c r="E193" s="58"/>
      <c r="F193" s="58"/>
      <c r="G193" s="58"/>
      <c r="H193" s="59"/>
      <c r="I193" s="59"/>
      <c r="J193" s="59"/>
      <c r="K193" s="59"/>
      <c r="L193" s="59"/>
      <c r="M193" s="60"/>
      <c r="N193" s="60"/>
      <c r="O193" s="60"/>
      <c r="P193" s="59"/>
      <c r="Q193" s="59"/>
      <c r="R193" s="60"/>
      <c r="S193" s="60"/>
      <c r="T193" s="60"/>
      <c r="U193" s="60"/>
      <c r="V193" s="60"/>
      <c r="W193" s="60"/>
    </row>
    <row r="194" spans="1:23" ht="13" x14ac:dyDescent="0.3">
      <c r="A194" s="58"/>
      <c r="B194" s="58"/>
      <c r="C194" s="58"/>
      <c r="D194" s="58"/>
      <c r="E194" s="58"/>
      <c r="F194" s="58"/>
      <c r="G194" s="58"/>
      <c r="H194" s="59"/>
      <c r="I194" s="59"/>
      <c r="J194" s="59"/>
      <c r="K194" s="59"/>
      <c r="L194" s="59"/>
      <c r="M194" s="60"/>
      <c r="N194" s="60"/>
      <c r="O194" s="60"/>
      <c r="P194" s="59"/>
      <c r="Q194" s="59"/>
      <c r="R194" s="60"/>
      <c r="S194" s="60"/>
      <c r="T194" s="60"/>
      <c r="U194" s="60"/>
      <c r="V194" s="60"/>
      <c r="W194" s="60"/>
    </row>
    <row r="195" spans="1:23" ht="13" x14ac:dyDescent="0.3">
      <c r="A195" s="58"/>
      <c r="B195" s="58"/>
      <c r="C195" s="58"/>
      <c r="D195" s="58"/>
      <c r="E195" s="58"/>
      <c r="F195" s="58"/>
      <c r="G195" s="58"/>
      <c r="H195" s="59"/>
      <c r="I195" s="59"/>
      <c r="J195" s="59"/>
      <c r="K195" s="59"/>
      <c r="L195" s="59"/>
      <c r="M195" s="60"/>
      <c r="N195" s="60"/>
      <c r="O195" s="60"/>
      <c r="P195" s="59"/>
      <c r="Q195" s="59"/>
      <c r="R195" s="60"/>
      <c r="S195" s="60"/>
      <c r="T195" s="60"/>
      <c r="U195" s="60"/>
      <c r="V195" s="60"/>
      <c r="W195" s="60"/>
    </row>
    <row r="196" spans="1:23" ht="13" x14ac:dyDescent="0.3">
      <c r="A196" s="58"/>
      <c r="B196" s="58"/>
      <c r="C196" s="58"/>
      <c r="D196" s="58"/>
      <c r="E196" s="58"/>
      <c r="F196" s="58"/>
      <c r="G196" s="58"/>
      <c r="H196" s="59"/>
      <c r="I196" s="59"/>
      <c r="J196" s="59"/>
      <c r="K196" s="59"/>
      <c r="L196" s="59"/>
      <c r="M196" s="60"/>
      <c r="N196" s="60"/>
      <c r="O196" s="60"/>
      <c r="P196" s="59"/>
      <c r="Q196" s="59"/>
      <c r="R196" s="60"/>
      <c r="S196" s="60"/>
      <c r="T196" s="60"/>
      <c r="U196" s="60"/>
      <c r="V196" s="60"/>
      <c r="W196" s="60"/>
    </row>
    <row r="197" spans="1:23" ht="13" x14ac:dyDescent="0.3">
      <c r="A197" s="58"/>
      <c r="B197" s="58"/>
      <c r="C197" s="58"/>
      <c r="D197" s="58"/>
      <c r="E197" s="58"/>
      <c r="F197" s="58"/>
      <c r="G197" s="58"/>
      <c r="H197" s="59"/>
      <c r="I197" s="59"/>
      <c r="J197" s="59"/>
      <c r="K197" s="59"/>
      <c r="L197" s="59"/>
      <c r="M197" s="60"/>
      <c r="N197" s="60"/>
      <c r="O197" s="60"/>
      <c r="P197" s="59"/>
      <c r="Q197" s="59"/>
      <c r="R197" s="60"/>
      <c r="S197" s="60"/>
      <c r="T197" s="60"/>
      <c r="U197" s="60"/>
      <c r="V197" s="60"/>
      <c r="W197" s="60"/>
    </row>
    <row r="198" spans="1:23" ht="13" x14ac:dyDescent="0.3">
      <c r="A198" s="58"/>
      <c r="B198" s="58"/>
      <c r="C198" s="58"/>
      <c r="D198" s="58"/>
      <c r="E198" s="58"/>
      <c r="F198" s="58"/>
      <c r="G198" s="58"/>
      <c r="H198" s="59"/>
      <c r="I198" s="59"/>
      <c r="J198" s="59"/>
      <c r="K198" s="59"/>
      <c r="L198" s="59"/>
      <c r="M198" s="60"/>
      <c r="N198" s="60"/>
      <c r="O198" s="60"/>
      <c r="P198" s="59"/>
      <c r="Q198" s="59"/>
      <c r="R198" s="60"/>
      <c r="S198" s="60"/>
      <c r="T198" s="60"/>
      <c r="U198" s="60"/>
      <c r="V198" s="60"/>
      <c r="W198" s="60"/>
    </row>
    <row r="199" spans="1:23" ht="13" x14ac:dyDescent="0.3">
      <c r="A199" s="58"/>
      <c r="B199" s="58"/>
      <c r="C199" s="58"/>
      <c r="D199" s="58"/>
      <c r="E199" s="58"/>
      <c r="F199" s="58"/>
      <c r="G199" s="58"/>
      <c r="H199" s="59"/>
      <c r="I199" s="59"/>
      <c r="J199" s="59"/>
      <c r="K199" s="59"/>
      <c r="L199" s="59"/>
      <c r="M199" s="60"/>
      <c r="N199" s="60"/>
      <c r="O199" s="60"/>
      <c r="P199" s="59"/>
      <c r="Q199" s="59"/>
      <c r="R199" s="60"/>
      <c r="S199" s="60"/>
      <c r="T199" s="60"/>
      <c r="U199" s="60"/>
      <c r="V199" s="60"/>
      <c r="W199" s="60"/>
    </row>
    <row r="200" spans="1:23" ht="13" x14ac:dyDescent="0.3">
      <c r="A200" s="58"/>
      <c r="B200" s="58"/>
      <c r="C200" s="58"/>
      <c r="D200" s="58"/>
      <c r="E200" s="58"/>
      <c r="F200" s="58"/>
      <c r="G200" s="58"/>
      <c r="H200" s="59"/>
      <c r="I200" s="59"/>
      <c r="J200" s="59"/>
      <c r="K200" s="59"/>
      <c r="L200" s="59"/>
      <c r="M200" s="60"/>
      <c r="N200" s="60"/>
      <c r="O200" s="60"/>
      <c r="P200" s="59"/>
      <c r="Q200" s="59"/>
      <c r="R200" s="60"/>
      <c r="S200" s="60"/>
      <c r="T200" s="60"/>
      <c r="U200" s="60"/>
      <c r="V200" s="60"/>
      <c r="W200" s="60"/>
    </row>
    <row r="201" spans="1:23" ht="13" x14ac:dyDescent="0.3">
      <c r="A201" s="58"/>
      <c r="B201" s="58"/>
      <c r="C201" s="58"/>
      <c r="D201" s="58"/>
      <c r="E201" s="58"/>
      <c r="F201" s="58"/>
      <c r="G201" s="58"/>
      <c r="H201" s="59"/>
      <c r="I201" s="59"/>
      <c r="J201" s="59"/>
      <c r="K201" s="59"/>
      <c r="L201" s="59"/>
      <c r="M201" s="60"/>
      <c r="N201" s="60"/>
      <c r="O201" s="60"/>
      <c r="P201" s="59"/>
      <c r="Q201" s="59"/>
      <c r="R201" s="60"/>
      <c r="S201" s="60"/>
      <c r="T201" s="60"/>
      <c r="U201" s="60"/>
      <c r="V201" s="60"/>
      <c r="W201" s="60"/>
    </row>
    <row r="202" spans="1:23" ht="13" x14ac:dyDescent="0.3">
      <c r="A202" s="58"/>
      <c r="B202" s="58"/>
      <c r="C202" s="58"/>
      <c r="D202" s="58"/>
      <c r="E202" s="58"/>
      <c r="F202" s="58"/>
      <c r="G202" s="58"/>
      <c r="H202" s="59"/>
      <c r="I202" s="59"/>
      <c r="J202" s="59"/>
      <c r="K202" s="59"/>
      <c r="L202" s="59"/>
      <c r="M202" s="60"/>
      <c r="N202" s="60"/>
      <c r="O202" s="60"/>
      <c r="P202" s="59"/>
      <c r="Q202" s="59"/>
      <c r="R202" s="60"/>
      <c r="S202" s="60"/>
      <c r="T202" s="60"/>
      <c r="U202" s="60"/>
      <c r="V202" s="60"/>
      <c r="W202" s="60"/>
    </row>
    <row r="203" spans="1:23" ht="13" x14ac:dyDescent="0.3">
      <c r="A203" s="58"/>
      <c r="B203" s="58"/>
      <c r="C203" s="58"/>
      <c r="D203" s="58"/>
      <c r="E203" s="58"/>
      <c r="F203" s="58"/>
      <c r="G203" s="58"/>
      <c r="H203" s="59"/>
      <c r="I203" s="59"/>
      <c r="J203" s="59"/>
      <c r="K203" s="59"/>
      <c r="L203" s="59"/>
      <c r="M203" s="60"/>
      <c r="N203" s="60"/>
      <c r="O203" s="60"/>
      <c r="P203" s="59"/>
      <c r="Q203" s="59"/>
      <c r="R203" s="60"/>
      <c r="S203" s="60"/>
      <c r="T203" s="60"/>
      <c r="U203" s="60"/>
      <c r="V203" s="60"/>
      <c r="W203" s="60"/>
    </row>
    <row r="204" spans="1:23" ht="13" x14ac:dyDescent="0.3">
      <c r="A204" s="58"/>
      <c r="B204" s="58"/>
      <c r="C204" s="58"/>
      <c r="D204" s="58"/>
      <c r="E204" s="58"/>
      <c r="F204" s="58"/>
      <c r="G204" s="58"/>
      <c r="H204" s="59"/>
      <c r="I204" s="59"/>
      <c r="J204" s="59"/>
      <c r="K204" s="59"/>
      <c r="L204" s="59"/>
      <c r="M204" s="60"/>
      <c r="N204" s="60"/>
      <c r="O204" s="60"/>
      <c r="P204" s="59"/>
      <c r="Q204" s="59"/>
      <c r="R204" s="60"/>
      <c r="S204" s="60"/>
      <c r="T204" s="60"/>
      <c r="U204" s="60"/>
      <c r="V204" s="60"/>
      <c r="W204" s="60"/>
    </row>
    <row r="205" spans="1:23" ht="13" x14ac:dyDescent="0.3">
      <c r="A205" s="58"/>
      <c r="B205" s="58"/>
      <c r="C205" s="58"/>
      <c r="D205" s="58"/>
      <c r="E205" s="58"/>
      <c r="F205" s="58"/>
      <c r="G205" s="58"/>
      <c r="H205" s="59"/>
      <c r="I205" s="59"/>
      <c r="J205" s="59"/>
      <c r="K205" s="59"/>
      <c r="L205" s="59"/>
      <c r="M205" s="60"/>
      <c r="N205" s="60"/>
      <c r="O205" s="60"/>
      <c r="P205" s="59"/>
      <c r="Q205" s="59"/>
      <c r="R205" s="60"/>
      <c r="S205" s="60"/>
      <c r="T205" s="60"/>
      <c r="U205" s="60"/>
      <c r="V205" s="60"/>
      <c r="W205" s="60"/>
    </row>
    <row r="206" spans="1:23" ht="13" x14ac:dyDescent="0.3">
      <c r="A206" s="58"/>
      <c r="B206" s="58"/>
      <c r="C206" s="58"/>
      <c r="D206" s="58"/>
      <c r="E206" s="58"/>
      <c r="F206" s="58"/>
      <c r="G206" s="58"/>
      <c r="H206" s="59"/>
      <c r="I206" s="59"/>
      <c r="J206" s="59"/>
      <c r="K206" s="59"/>
      <c r="L206" s="59"/>
      <c r="M206" s="60"/>
      <c r="N206" s="60"/>
      <c r="O206" s="60"/>
      <c r="P206" s="59"/>
      <c r="Q206" s="59"/>
      <c r="R206" s="60"/>
      <c r="S206" s="60"/>
      <c r="T206" s="60"/>
      <c r="U206" s="60"/>
      <c r="V206" s="60"/>
      <c r="W206" s="60"/>
    </row>
    <row r="207" spans="1:23" ht="13" x14ac:dyDescent="0.3">
      <c r="A207" s="58"/>
      <c r="B207" s="58"/>
      <c r="C207" s="58"/>
      <c r="D207" s="58"/>
      <c r="E207" s="58"/>
      <c r="F207" s="58"/>
      <c r="G207" s="58"/>
      <c r="H207" s="59"/>
      <c r="I207" s="59"/>
      <c r="J207" s="59"/>
      <c r="K207" s="59"/>
      <c r="L207" s="59"/>
      <c r="M207" s="60"/>
      <c r="N207" s="60"/>
      <c r="O207" s="60"/>
      <c r="P207" s="59"/>
      <c r="Q207" s="59"/>
      <c r="R207" s="60"/>
      <c r="S207" s="60"/>
      <c r="T207" s="60"/>
      <c r="U207" s="60"/>
      <c r="V207" s="60"/>
      <c r="W207" s="60"/>
    </row>
    <row r="208" spans="1:23" ht="13" x14ac:dyDescent="0.3">
      <c r="A208" s="58"/>
      <c r="B208" s="58"/>
      <c r="C208" s="58"/>
      <c r="D208" s="58"/>
      <c r="E208" s="58"/>
      <c r="F208" s="58"/>
      <c r="G208" s="58"/>
      <c r="H208" s="59"/>
      <c r="I208" s="59"/>
      <c r="J208" s="59"/>
      <c r="K208" s="59"/>
      <c r="L208" s="59"/>
      <c r="M208" s="60"/>
      <c r="N208" s="60"/>
      <c r="O208" s="60"/>
      <c r="P208" s="59"/>
      <c r="Q208" s="59"/>
      <c r="R208" s="60"/>
      <c r="S208" s="60"/>
      <c r="T208" s="60"/>
      <c r="U208" s="60"/>
      <c r="V208" s="60"/>
      <c r="W208" s="60"/>
    </row>
    <row r="209" spans="1:23" ht="13" x14ac:dyDescent="0.3">
      <c r="A209" s="58"/>
      <c r="B209" s="58"/>
      <c r="C209" s="58"/>
      <c r="D209" s="58"/>
      <c r="E209" s="58"/>
      <c r="F209" s="58"/>
      <c r="G209" s="58"/>
      <c r="H209" s="59"/>
      <c r="I209" s="59"/>
      <c r="J209" s="59"/>
      <c r="K209" s="59"/>
      <c r="L209" s="59"/>
      <c r="M209" s="60"/>
      <c r="N209" s="60"/>
      <c r="O209" s="60"/>
      <c r="P209" s="59"/>
      <c r="Q209" s="59"/>
      <c r="R209" s="60"/>
      <c r="S209" s="60"/>
      <c r="T209" s="60"/>
      <c r="U209" s="60"/>
      <c r="V209" s="60"/>
      <c r="W209" s="60"/>
    </row>
    <row r="210" spans="1:23" ht="13" x14ac:dyDescent="0.3">
      <c r="A210" s="58"/>
      <c r="B210" s="58"/>
      <c r="C210" s="58"/>
      <c r="D210" s="58"/>
      <c r="E210" s="58"/>
      <c r="F210" s="58"/>
      <c r="G210" s="58"/>
      <c r="H210" s="59"/>
      <c r="I210" s="59"/>
      <c r="J210" s="59"/>
      <c r="K210" s="59"/>
      <c r="L210" s="59"/>
      <c r="M210" s="60"/>
      <c r="N210" s="60"/>
      <c r="O210" s="60"/>
      <c r="P210" s="59"/>
      <c r="Q210" s="59"/>
      <c r="R210" s="60"/>
      <c r="S210" s="60"/>
      <c r="T210" s="60"/>
      <c r="U210" s="60"/>
      <c r="V210" s="60"/>
      <c r="W210" s="60"/>
    </row>
    <row r="211" spans="1:23" ht="13" x14ac:dyDescent="0.3">
      <c r="A211" s="58"/>
      <c r="B211" s="58"/>
      <c r="C211" s="58"/>
      <c r="D211" s="58"/>
      <c r="E211" s="58"/>
      <c r="F211" s="58"/>
      <c r="G211" s="58"/>
      <c r="H211" s="59"/>
      <c r="I211" s="59"/>
      <c r="J211" s="59"/>
      <c r="K211" s="59"/>
      <c r="L211" s="59"/>
      <c r="M211" s="60"/>
      <c r="N211" s="60"/>
      <c r="O211" s="60"/>
      <c r="P211" s="59"/>
      <c r="Q211" s="59"/>
      <c r="R211" s="60"/>
      <c r="S211" s="60"/>
      <c r="T211" s="60"/>
      <c r="U211" s="60"/>
      <c r="V211" s="60"/>
      <c r="W211" s="60"/>
    </row>
    <row r="212" spans="1:23" ht="13" x14ac:dyDescent="0.3">
      <c r="A212" s="58"/>
      <c r="B212" s="58"/>
      <c r="C212" s="58"/>
      <c r="D212" s="58"/>
      <c r="E212" s="58"/>
      <c r="F212" s="58"/>
      <c r="G212" s="58"/>
      <c r="H212" s="59"/>
      <c r="I212" s="59"/>
      <c r="J212" s="59"/>
      <c r="K212" s="59"/>
      <c r="L212" s="59"/>
      <c r="M212" s="60"/>
      <c r="N212" s="60"/>
      <c r="O212" s="60"/>
      <c r="P212" s="59"/>
      <c r="Q212" s="59"/>
      <c r="R212" s="60"/>
      <c r="S212" s="60"/>
      <c r="T212" s="60"/>
      <c r="U212" s="60"/>
      <c r="V212" s="60"/>
      <c r="W212" s="60"/>
    </row>
    <row r="213" spans="1:23" ht="13" x14ac:dyDescent="0.3">
      <c r="A213" s="58"/>
      <c r="B213" s="58"/>
      <c r="C213" s="58"/>
      <c r="D213" s="58"/>
      <c r="E213" s="58"/>
      <c r="F213" s="58"/>
      <c r="G213" s="58"/>
      <c r="H213" s="59"/>
      <c r="I213" s="59"/>
      <c r="J213" s="59"/>
      <c r="K213" s="59"/>
      <c r="L213" s="59"/>
      <c r="M213" s="60"/>
      <c r="N213" s="60"/>
      <c r="O213" s="60"/>
      <c r="P213" s="59"/>
      <c r="Q213" s="59"/>
      <c r="R213" s="60"/>
      <c r="S213" s="60"/>
      <c r="T213" s="60"/>
      <c r="U213" s="60"/>
      <c r="V213" s="60"/>
      <c r="W213" s="60"/>
    </row>
    <row r="214" spans="1:23" ht="13" x14ac:dyDescent="0.3">
      <c r="A214" s="58"/>
      <c r="B214" s="58"/>
      <c r="C214" s="58"/>
      <c r="D214" s="58"/>
      <c r="E214" s="58"/>
      <c r="F214" s="58"/>
      <c r="G214" s="58"/>
      <c r="H214" s="59"/>
      <c r="I214" s="59"/>
      <c r="J214" s="59"/>
      <c r="K214" s="59"/>
      <c r="L214" s="59"/>
      <c r="M214" s="60"/>
      <c r="N214" s="60"/>
      <c r="O214" s="60"/>
      <c r="P214" s="59"/>
      <c r="Q214" s="59"/>
      <c r="R214" s="60"/>
      <c r="S214" s="60"/>
      <c r="T214" s="60"/>
      <c r="U214" s="60"/>
      <c r="V214" s="60"/>
      <c r="W214" s="60"/>
    </row>
    <row r="215" spans="1:23" ht="13" x14ac:dyDescent="0.3">
      <c r="A215" s="58"/>
      <c r="B215" s="58"/>
      <c r="C215" s="58"/>
      <c r="D215" s="58"/>
      <c r="E215" s="58"/>
      <c r="F215" s="58"/>
      <c r="G215" s="58"/>
      <c r="H215" s="59"/>
      <c r="I215" s="59"/>
      <c r="J215" s="59"/>
      <c r="K215" s="59"/>
      <c r="L215" s="59"/>
      <c r="M215" s="60"/>
      <c r="N215" s="60"/>
      <c r="O215" s="60"/>
      <c r="P215" s="59"/>
      <c r="Q215" s="59"/>
      <c r="R215" s="60"/>
      <c r="S215" s="60"/>
      <c r="T215" s="60"/>
      <c r="U215" s="60"/>
      <c r="V215" s="60"/>
      <c r="W215" s="60"/>
    </row>
    <row r="216" spans="1:23" ht="13" x14ac:dyDescent="0.3">
      <c r="A216" s="58"/>
      <c r="B216" s="58"/>
      <c r="C216" s="58"/>
      <c r="D216" s="58"/>
      <c r="E216" s="58"/>
      <c r="F216" s="58"/>
      <c r="G216" s="58"/>
      <c r="H216" s="59"/>
      <c r="I216" s="59"/>
      <c r="J216" s="59"/>
      <c r="K216" s="59"/>
      <c r="L216" s="59"/>
      <c r="M216" s="60"/>
      <c r="N216" s="60"/>
      <c r="O216" s="60"/>
      <c r="P216" s="59"/>
      <c r="Q216" s="59"/>
      <c r="R216" s="60"/>
      <c r="S216" s="60"/>
      <c r="T216" s="60"/>
      <c r="U216" s="60"/>
      <c r="V216" s="60"/>
      <c r="W216" s="60"/>
    </row>
    <row r="217" spans="1:23" ht="13" x14ac:dyDescent="0.3">
      <c r="A217" s="58"/>
      <c r="B217" s="58"/>
      <c r="C217" s="58"/>
      <c r="D217" s="58"/>
      <c r="E217" s="58"/>
      <c r="F217" s="58"/>
      <c r="G217" s="58"/>
      <c r="H217" s="59"/>
      <c r="I217" s="59"/>
      <c r="J217" s="59"/>
      <c r="K217" s="59"/>
      <c r="L217" s="59"/>
      <c r="M217" s="60"/>
      <c r="N217" s="60"/>
      <c r="O217" s="60"/>
      <c r="P217" s="59"/>
      <c r="Q217" s="59"/>
      <c r="R217" s="60"/>
      <c r="S217" s="60"/>
      <c r="T217" s="60"/>
      <c r="U217" s="60"/>
      <c r="V217" s="60"/>
      <c r="W217" s="60"/>
    </row>
    <row r="218" spans="1:23" ht="13" x14ac:dyDescent="0.3">
      <c r="A218" s="58"/>
      <c r="B218" s="58"/>
      <c r="C218" s="58"/>
      <c r="D218" s="58"/>
      <c r="E218" s="58"/>
      <c r="F218" s="58"/>
      <c r="G218" s="58"/>
      <c r="H218" s="59"/>
      <c r="I218" s="59"/>
      <c r="J218" s="59"/>
      <c r="K218" s="59"/>
      <c r="L218" s="59"/>
      <c r="M218" s="60"/>
      <c r="N218" s="60"/>
      <c r="O218" s="60"/>
      <c r="P218" s="59"/>
      <c r="Q218" s="59"/>
      <c r="R218" s="60"/>
      <c r="S218" s="60"/>
      <c r="T218" s="60"/>
      <c r="U218" s="60"/>
      <c r="V218" s="60"/>
      <c r="W218" s="60"/>
    </row>
    <row r="219" spans="1:23" ht="13" x14ac:dyDescent="0.3">
      <c r="A219" s="58"/>
      <c r="B219" s="58"/>
      <c r="C219" s="58"/>
      <c r="D219" s="58"/>
      <c r="E219" s="58"/>
      <c r="F219" s="58"/>
      <c r="G219" s="58"/>
      <c r="H219" s="59"/>
      <c r="I219" s="59"/>
      <c r="J219" s="59"/>
      <c r="K219" s="59"/>
      <c r="L219" s="59"/>
      <c r="M219" s="60"/>
      <c r="N219" s="60"/>
      <c r="O219" s="60"/>
      <c r="P219" s="59"/>
      <c r="Q219" s="59"/>
      <c r="R219" s="60"/>
      <c r="S219" s="60"/>
      <c r="T219" s="60"/>
      <c r="U219" s="60"/>
      <c r="V219" s="60"/>
      <c r="W219" s="60"/>
    </row>
    <row r="220" spans="1:23" ht="13" x14ac:dyDescent="0.3">
      <c r="A220" s="58"/>
      <c r="B220" s="58"/>
      <c r="C220" s="58"/>
      <c r="D220" s="58"/>
      <c r="E220" s="58"/>
      <c r="F220" s="58"/>
      <c r="G220" s="58"/>
      <c r="H220" s="59"/>
      <c r="I220" s="59"/>
      <c r="J220" s="59"/>
      <c r="K220" s="59"/>
      <c r="L220" s="59"/>
      <c r="M220" s="60"/>
      <c r="N220" s="60"/>
      <c r="O220" s="60"/>
      <c r="P220" s="59"/>
      <c r="Q220" s="59"/>
      <c r="R220" s="60"/>
      <c r="S220" s="60"/>
      <c r="T220" s="60"/>
      <c r="U220" s="60"/>
      <c r="V220" s="60"/>
      <c r="W220" s="60"/>
    </row>
    <row r="221" spans="1:23" ht="13" x14ac:dyDescent="0.3">
      <c r="A221" s="58"/>
      <c r="B221" s="58"/>
      <c r="C221" s="58"/>
      <c r="D221" s="58"/>
      <c r="E221" s="58"/>
      <c r="F221" s="58"/>
      <c r="G221" s="58"/>
      <c r="H221" s="59"/>
      <c r="I221" s="59"/>
      <c r="J221" s="59"/>
      <c r="K221" s="59"/>
      <c r="L221" s="59"/>
      <c r="M221" s="60"/>
      <c r="N221" s="60"/>
      <c r="O221" s="60"/>
      <c r="P221" s="59"/>
      <c r="Q221" s="59"/>
      <c r="R221" s="60"/>
      <c r="S221" s="60"/>
      <c r="T221" s="60"/>
      <c r="U221" s="60"/>
      <c r="V221" s="60"/>
      <c r="W221" s="60"/>
    </row>
    <row r="222" spans="1:23" ht="13" x14ac:dyDescent="0.3">
      <c r="A222" s="58"/>
      <c r="B222" s="58"/>
      <c r="C222" s="58"/>
      <c r="D222" s="58"/>
      <c r="E222" s="58"/>
      <c r="F222" s="58"/>
      <c r="G222" s="58"/>
      <c r="H222" s="59"/>
      <c r="I222" s="59"/>
      <c r="J222" s="59"/>
      <c r="K222" s="59"/>
      <c r="L222" s="59"/>
      <c r="M222" s="60"/>
      <c r="N222" s="60"/>
      <c r="O222" s="60"/>
      <c r="P222" s="59"/>
      <c r="Q222" s="59"/>
      <c r="R222" s="60"/>
      <c r="S222" s="60"/>
      <c r="T222" s="60"/>
      <c r="U222" s="60"/>
      <c r="V222" s="60"/>
      <c r="W222" s="60"/>
    </row>
    <row r="223" spans="1:23" ht="13" x14ac:dyDescent="0.3">
      <c r="A223" s="58"/>
      <c r="B223" s="58"/>
      <c r="C223" s="58"/>
      <c r="D223" s="58"/>
      <c r="E223" s="58"/>
      <c r="F223" s="58"/>
      <c r="G223" s="58"/>
      <c r="H223" s="59"/>
      <c r="I223" s="59"/>
      <c r="J223" s="59"/>
      <c r="K223" s="59"/>
      <c r="L223" s="59"/>
      <c r="M223" s="60"/>
      <c r="N223" s="60"/>
      <c r="O223" s="60"/>
      <c r="P223" s="59"/>
      <c r="Q223" s="59"/>
      <c r="R223" s="60"/>
      <c r="S223" s="60"/>
      <c r="T223" s="60"/>
      <c r="U223" s="60"/>
      <c r="V223" s="60"/>
      <c r="W223" s="60"/>
    </row>
    <row r="224" spans="1:23" ht="13" x14ac:dyDescent="0.3">
      <c r="A224" s="58"/>
      <c r="B224" s="58"/>
      <c r="C224" s="58"/>
      <c r="D224" s="58"/>
      <c r="E224" s="58"/>
      <c r="F224" s="58"/>
      <c r="G224" s="58"/>
      <c r="H224" s="59"/>
      <c r="I224" s="59"/>
      <c r="J224" s="59"/>
      <c r="K224" s="59"/>
      <c r="L224" s="59"/>
      <c r="M224" s="60"/>
      <c r="N224" s="60"/>
      <c r="O224" s="60"/>
      <c r="P224" s="59"/>
      <c r="Q224" s="59"/>
      <c r="R224" s="60"/>
      <c r="S224" s="60"/>
      <c r="T224" s="60"/>
      <c r="U224" s="60"/>
      <c r="V224" s="60"/>
      <c r="W224" s="60"/>
    </row>
    <row r="225" spans="1:23" ht="13" x14ac:dyDescent="0.3">
      <c r="A225" s="58"/>
      <c r="B225" s="58"/>
      <c r="C225" s="58"/>
      <c r="D225" s="58"/>
      <c r="E225" s="58"/>
      <c r="F225" s="58"/>
      <c r="G225" s="58"/>
      <c r="H225" s="59"/>
      <c r="I225" s="59"/>
      <c r="J225" s="59"/>
      <c r="K225" s="59"/>
      <c r="L225" s="59"/>
      <c r="M225" s="60"/>
      <c r="N225" s="60"/>
      <c r="O225" s="60"/>
      <c r="P225" s="59"/>
      <c r="Q225" s="59"/>
      <c r="R225" s="60"/>
      <c r="S225" s="60"/>
      <c r="T225" s="60"/>
      <c r="U225" s="60"/>
      <c r="V225" s="60"/>
      <c r="W225" s="60"/>
    </row>
    <row r="226" spans="1:23" ht="13" x14ac:dyDescent="0.3">
      <c r="A226" s="58"/>
      <c r="B226" s="58"/>
      <c r="C226" s="58"/>
      <c r="D226" s="58"/>
      <c r="E226" s="58"/>
      <c r="F226" s="58"/>
      <c r="G226" s="58"/>
      <c r="H226" s="59"/>
      <c r="I226" s="59"/>
      <c r="J226" s="59"/>
      <c r="K226" s="59"/>
      <c r="L226" s="59"/>
      <c r="M226" s="60"/>
      <c r="N226" s="60"/>
      <c r="O226" s="60"/>
      <c r="P226" s="59"/>
      <c r="Q226" s="59"/>
      <c r="R226" s="60"/>
      <c r="S226" s="60"/>
      <c r="T226" s="60"/>
      <c r="U226" s="60"/>
      <c r="V226" s="60"/>
      <c r="W226" s="60"/>
    </row>
    <row r="227" spans="1:23" ht="13" x14ac:dyDescent="0.3">
      <c r="A227" s="58"/>
      <c r="B227" s="58"/>
      <c r="C227" s="58"/>
      <c r="D227" s="58"/>
      <c r="E227" s="58"/>
      <c r="F227" s="58"/>
      <c r="G227" s="58"/>
      <c r="H227" s="59"/>
      <c r="I227" s="59"/>
      <c r="J227" s="59"/>
      <c r="K227" s="59"/>
      <c r="L227" s="59"/>
      <c r="M227" s="60"/>
      <c r="N227" s="60"/>
      <c r="O227" s="60"/>
      <c r="P227" s="59"/>
      <c r="Q227" s="59"/>
      <c r="R227" s="60"/>
      <c r="S227" s="60"/>
      <c r="T227" s="60"/>
      <c r="U227" s="60"/>
      <c r="V227" s="60"/>
      <c r="W227" s="60"/>
    </row>
    <row r="228" spans="1:23" ht="13" x14ac:dyDescent="0.3">
      <c r="A228" s="58"/>
      <c r="B228" s="58"/>
      <c r="C228" s="58"/>
      <c r="D228" s="58"/>
      <c r="E228" s="58"/>
      <c r="F228" s="58"/>
      <c r="G228" s="58"/>
      <c r="H228" s="59"/>
      <c r="I228" s="59"/>
      <c r="J228" s="59"/>
      <c r="K228" s="59"/>
      <c r="L228" s="59"/>
      <c r="M228" s="60"/>
      <c r="N228" s="60"/>
      <c r="O228" s="60"/>
      <c r="P228" s="59"/>
      <c r="Q228" s="59"/>
      <c r="R228" s="60"/>
      <c r="S228" s="60"/>
      <c r="T228" s="60"/>
      <c r="U228" s="60"/>
      <c r="V228" s="60"/>
      <c r="W228" s="60"/>
    </row>
    <row r="229" spans="1:23" ht="13" x14ac:dyDescent="0.3">
      <c r="A229" s="58"/>
      <c r="B229" s="58"/>
      <c r="C229" s="58"/>
      <c r="D229" s="58"/>
      <c r="E229" s="58"/>
      <c r="F229" s="58"/>
      <c r="G229" s="58"/>
      <c r="H229" s="59"/>
      <c r="I229" s="59"/>
      <c r="J229" s="59"/>
      <c r="K229" s="59"/>
      <c r="L229" s="59"/>
      <c r="M229" s="60"/>
      <c r="N229" s="60"/>
      <c r="O229" s="60"/>
      <c r="P229" s="59"/>
      <c r="Q229" s="59"/>
      <c r="R229" s="60"/>
      <c r="S229" s="60"/>
      <c r="T229" s="60"/>
      <c r="U229" s="60"/>
      <c r="V229" s="60"/>
      <c r="W229" s="60"/>
    </row>
    <row r="230" spans="1:23" ht="13" x14ac:dyDescent="0.3">
      <c r="A230" s="58"/>
      <c r="B230" s="58"/>
      <c r="C230" s="58"/>
      <c r="D230" s="58"/>
      <c r="E230" s="58"/>
      <c r="F230" s="58"/>
      <c r="G230" s="58"/>
      <c r="H230" s="59"/>
      <c r="I230" s="59"/>
      <c r="J230" s="59"/>
      <c r="K230" s="59"/>
      <c r="L230" s="59"/>
      <c r="M230" s="60"/>
      <c r="N230" s="60"/>
      <c r="O230" s="60"/>
      <c r="P230" s="59"/>
      <c r="Q230" s="59"/>
      <c r="R230" s="60"/>
      <c r="S230" s="60"/>
      <c r="T230" s="60"/>
      <c r="U230" s="60"/>
      <c r="V230" s="60"/>
      <c r="W230" s="60"/>
    </row>
    <row r="231" spans="1:23" ht="13" x14ac:dyDescent="0.3">
      <c r="A231" s="58"/>
      <c r="B231" s="58"/>
      <c r="C231" s="58"/>
      <c r="D231" s="58"/>
      <c r="E231" s="58"/>
      <c r="F231" s="58"/>
      <c r="G231" s="58"/>
      <c r="H231" s="59"/>
      <c r="I231" s="59"/>
      <c r="J231" s="59"/>
      <c r="K231" s="59"/>
      <c r="L231" s="59"/>
      <c r="M231" s="60"/>
      <c r="N231" s="60"/>
      <c r="O231" s="60"/>
      <c r="P231" s="59"/>
      <c r="Q231" s="59"/>
      <c r="R231" s="60"/>
      <c r="S231" s="60"/>
      <c r="T231" s="60"/>
      <c r="U231" s="60"/>
      <c r="V231" s="60"/>
      <c r="W231" s="60"/>
    </row>
    <row r="232" spans="1:23" ht="13" x14ac:dyDescent="0.3">
      <c r="A232" s="58"/>
      <c r="B232" s="58"/>
      <c r="C232" s="58"/>
      <c r="D232" s="58"/>
      <c r="E232" s="58"/>
      <c r="F232" s="58"/>
      <c r="G232" s="58"/>
      <c r="H232" s="59"/>
      <c r="I232" s="59"/>
      <c r="J232" s="59"/>
      <c r="K232" s="59"/>
      <c r="L232" s="59"/>
      <c r="M232" s="60"/>
      <c r="N232" s="60"/>
      <c r="O232" s="60"/>
      <c r="P232" s="59"/>
      <c r="Q232" s="59"/>
      <c r="R232" s="60"/>
      <c r="S232" s="60"/>
      <c r="T232" s="60"/>
      <c r="U232" s="60"/>
      <c r="V232" s="60"/>
      <c r="W232" s="60"/>
    </row>
    <row r="233" spans="1:23" ht="13" x14ac:dyDescent="0.3">
      <c r="A233" s="58"/>
      <c r="B233" s="58"/>
      <c r="C233" s="58"/>
      <c r="D233" s="58"/>
      <c r="E233" s="58"/>
      <c r="F233" s="58"/>
      <c r="G233" s="58"/>
      <c r="H233" s="59"/>
      <c r="I233" s="59"/>
      <c r="J233" s="59"/>
      <c r="K233" s="59"/>
      <c r="L233" s="59"/>
      <c r="M233" s="60"/>
      <c r="N233" s="60"/>
      <c r="O233" s="60"/>
      <c r="P233" s="59"/>
      <c r="Q233" s="59"/>
      <c r="R233" s="60"/>
      <c r="S233" s="60"/>
      <c r="T233" s="60"/>
      <c r="U233" s="60"/>
      <c r="V233" s="60"/>
      <c r="W233" s="60"/>
    </row>
    <row r="234" spans="1:23" ht="13" x14ac:dyDescent="0.3">
      <c r="A234" s="58"/>
      <c r="B234" s="58"/>
      <c r="C234" s="58"/>
      <c r="D234" s="58"/>
      <c r="E234" s="58"/>
      <c r="F234" s="58"/>
      <c r="G234" s="58"/>
      <c r="H234" s="59"/>
      <c r="I234" s="59"/>
      <c r="J234" s="59"/>
      <c r="K234" s="59"/>
      <c r="L234" s="59"/>
      <c r="M234" s="60"/>
      <c r="N234" s="60"/>
      <c r="O234" s="60"/>
      <c r="P234" s="59"/>
      <c r="Q234" s="59"/>
      <c r="R234" s="60"/>
      <c r="S234" s="60"/>
      <c r="T234" s="60"/>
      <c r="U234" s="60"/>
      <c r="V234" s="60"/>
      <c r="W234" s="60"/>
    </row>
    <row r="235" spans="1:23" ht="13" x14ac:dyDescent="0.3">
      <c r="A235" s="58"/>
      <c r="B235" s="58"/>
      <c r="C235" s="58"/>
      <c r="D235" s="58"/>
      <c r="E235" s="58"/>
      <c r="F235" s="58"/>
      <c r="G235" s="58"/>
      <c r="H235" s="59"/>
      <c r="I235" s="59"/>
      <c r="J235" s="59"/>
      <c r="K235" s="59"/>
      <c r="L235" s="59"/>
      <c r="M235" s="60"/>
      <c r="N235" s="60"/>
      <c r="O235" s="60"/>
      <c r="P235" s="59"/>
      <c r="Q235" s="59"/>
      <c r="R235" s="60"/>
      <c r="S235" s="60"/>
      <c r="T235" s="60"/>
      <c r="U235" s="60"/>
      <c r="V235" s="60"/>
      <c r="W235" s="60"/>
    </row>
    <row r="236" spans="1:23" ht="13" x14ac:dyDescent="0.3">
      <c r="A236" s="58"/>
      <c r="B236" s="58"/>
      <c r="C236" s="58"/>
      <c r="D236" s="58"/>
      <c r="E236" s="58"/>
      <c r="F236" s="58"/>
      <c r="G236" s="58"/>
      <c r="H236" s="59"/>
      <c r="I236" s="59"/>
      <c r="J236" s="59"/>
      <c r="K236" s="59"/>
      <c r="L236" s="59"/>
      <c r="M236" s="60"/>
      <c r="N236" s="60"/>
      <c r="O236" s="60"/>
      <c r="P236" s="59"/>
      <c r="Q236" s="59"/>
      <c r="R236" s="60"/>
      <c r="S236" s="60"/>
      <c r="T236" s="60"/>
      <c r="U236" s="60"/>
      <c r="V236" s="60"/>
      <c r="W236" s="60"/>
    </row>
    <row r="237" spans="1:23" ht="13" x14ac:dyDescent="0.3">
      <c r="A237" s="58"/>
      <c r="B237" s="58"/>
      <c r="C237" s="58"/>
      <c r="D237" s="58"/>
      <c r="E237" s="58"/>
      <c r="F237" s="58"/>
      <c r="G237" s="58"/>
      <c r="H237" s="59"/>
      <c r="I237" s="59"/>
      <c r="J237" s="59"/>
      <c r="K237" s="59"/>
      <c r="L237" s="59"/>
      <c r="M237" s="60"/>
      <c r="N237" s="60"/>
      <c r="O237" s="60"/>
      <c r="P237" s="59"/>
      <c r="Q237" s="59"/>
      <c r="R237" s="60"/>
      <c r="S237" s="60"/>
      <c r="T237" s="60"/>
      <c r="U237" s="60"/>
      <c r="V237" s="60"/>
      <c r="W237" s="60"/>
    </row>
    <row r="238" spans="1:23" ht="13" x14ac:dyDescent="0.3">
      <c r="A238" s="58"/>
      <c r="B238" s="58"/>
      <c r="C238" s="58"/>
      <c r="D238" s="58"/>
      <c r="E238" s="58"/>
      <c r="F238" s="58"/>
      <c r="G238" s="58"/>
      <c r="H238" s="59"/>
      <c r="I238" s="59"/>
      <c r="J238" s="59"/>
      <c r="K238" s="59"/>
      <c r="L238" s="59"/>
      <c r="M238" s="60"/>
      <c r="N238" s="60"/>
      <c r="O238" s="60"/>
      <c r="P238" s="59"/>
      <c r="Q238" s="59"/>
      <c r="R238" s="60"/>
      <c r="S238" s="60"/>
      <c r="T238" s="60"/>
      <c r="U238" s="60"/>
      <c r="V238" s="60"/>
      <c r="W238" s="60"/>
    </row>
    <row r="239" spans="1:23" ht="13" x14ac:dyDescent="0.3">
      <c r="A239" s="58"/>
      <c r="B239" s="58"/>
      <c r="C239" s="58"/>
      <c r="D239" s="58"/>
      <c r="E239" s="58"/>
      <c r="F239" s="58"/>
      <c r="G239" s="58"/>
      <c r="H239" s="59"/>
      <c r="I239" s="59"/>
      <c r="J239" s="59"/>
      <c r="K239" s="59"/>
      <c r="L239" s="59"/>
      <c r="M239" s="60"/>
      <c r="N239" s="60"/>
      <c r="O239" s="60"/>
      <c r="P239" s="59"/>
      <c r="Q239" s="59"/>
      <c r="R239" s="60"/>
      <c r="S239" s="60"/>
      <c r="T239" s="60"/>
      <c r="U239" s="60"/>
      <c r="V239" s="60"/>
      <c r="W239" s="60"/>
    </row>
    <row r="240" spans="1:23" ht="13" x14ac:dyDescent="0.3">
      <c r="A240" s="58"/>
      <c r="B240" s="58"/>
      <c r="C240" s="58"/>
      <c r="D240" s="58"/>
      <c r="E240" s="58"/>
      <c r="F240" s="58"/>
      <c r="G240" s="58"/>
      <c r="H240" s="59"/>
      <c r="I240" s="59"/>
      <c r="J240" s="59"/>
      <c r="K240" s="59"/>
      <c r="L240" s="59"/>
      <c r="M240" s="60"/>
      <c r="N240" s="60"/>
      <c r="O240" s="60"/>
      <c r="P240" s="59"/>
      <c r="Q240" s="59"/>
      <c r="R240" s="60"/>
      <c r="S240" s="60"/>
      <c r="T240" s="60"/>
      <c r="U240" s="60"/>
      <c r="V240" s="60"/>
      <c r="W240" s="60"/>
    </row>
    <row r="241" spans="1:23" ht="13" x14ac:dyDescent="0.3">
      <c r="A241" s="58"/>
      <c r="B241" s="58"/>
      <c r="C241" s="58"/>
      <c r="D241" s="58"/>
      <c r="E241" s="58"/>
      <c r="F241" s="58"/>
      <c r="G241" s="58"/>
      <c r="H241" s="59"/>
      <c r="I241" s="59"/>
      <c r="J241" s="59"/>
      <c r="K241" s="59"/>
      <c r="L241" s="59"/>
      <c r="M241" s="60"/>
      <c r="N241" s="60"/>
      <c r="O241" s="60"/>
      <c r="P241" s="59"/>
      <c r="Q241" s="59"/>
      <c r="R241" s="60"/>
      <c r="S241" s="60"/>
      <c r="T241" s="60"/>
      <c r="U241" s="60"/>
      <c r="V241" s="60"/>
      <c r="W241" s="60"/>
    </row>
    <row r="242" spans="1:23" ht="13" x14ac:dyDescent="0.3">
      <c r="A242" s="58"/>
      <c r="B242" s="58"/>
      <c r="C242" s="58"/>
      <c r="D242" s="58"/>
      <c r="E242" s="58"/>
      <c r="F242" s="58"/>
      <c r="G242" s="58"/>
      <c r="H242" s="59"/>
      <c r="I242" s="59"/>
      <c r="J242" s="59"/>
      <c r="K242" s="59"/>
      <c r="L242" s="59"/>
      <c r="M242" s="60"/>
      <c r="N242" s="60"/>
      <c r="O242" s="60"/>
      <c r="P242" s="59"/>
      <c r="Q242" s="59"/>
      <c r="R242" s="60"/>
      <c r="S242" s="60"/>
      <c r="T242" s="60"/>
      <c r="U242" s="60"/>
      <c r="V242" s="60"/>
      <c r="W242" s="60"/>
    </row>
    <row r="243" spans="1:23" ht="13" x14ac:dyDescent="0.3">
      <c r="A243" s="58"/>
      <c r="B243" s="58"/>
      <c r="C243" s="58"/>
      <c r="D243" s="58"/>
      <c r="E243" s="58"/>
      <c r="F243" s="58"/>
      <c r="G243" s="58"/>
      <c r="H243" s="59"/>
      <c r="I243" s="59"/>
      <c r="J243" s="59"/>
      <c r="K243" s="59"/>
      <c r="L243" s="59"/>
      <c r="M243" s="60"/>
      <c r="N243" s="60"/>
      <c r="O243" s="60"/>
      <c r="P243" s="59"/>
      <c r="Q243" s="59"/>
      <c r="R243" s="60"/>
      <c r="S243" s="60"/>
      <c r="T243" s="60"/>
      <c r="U243" s="60"/>
      <c r="V243" s="60"/>
      <c r="W243" s="60"/>
    </row>
    <row r="244" spans="1:23" ht="13" x14ac:dyDescent="0.3">
      <c r="A244" s="58"/>
      <c r="B244" s="58"/>
      <c r="C244" s="58"/>
      <c r="D244" s="58"/>
      <c r="E244" s="58"/>
      <c r="F244" s="58"/>
      <c r="G244" s="58"/>
      <c r="H244" s="59"/>
      <c r="I244" s="59"/>
      <c r="J244" s="59"/>
      <c r="K244" s="59"/>
      <c r="L244" s="59"/>
      <c r="M244" s="60"/>
      <c r="N244" s="60"/>
      <c r="O244" s="60"/>
      <c r="P244" s="59"/>
      <c r="Q244" s="59"/>
      <c r="R244" s="60"/>
      <c r="S244" s="60"/>
      <c r="T244" s="60"/>
      <c r="U244" s="60"/>
      <c r="V244" s="60"/>
      <c r="W244" s="60"/>
    </row>
    <row r="245" spans="1:23" ht="13" x14ac:dyDescent="0.3">
      <c r="A245" s="58"/>
      <c r="B245" s="58"/>
      <c r="C245" s="58"/>
      <c r="D245" s="58"/>
      <c r="E245" s="58"/>
      <c r="F245" s="58"/>
      <c r="G245" s="58"/>
      <c r="H245" s="59"/>
      <c r="I245" s="59"/>
      <c r="J245" s="59"/>
      <c r="K245" s="59"/>
      <c r="L245" s="59"/>
      <c r="M245" s="60"/>
      <c r="N245" s="60"/>
      <c r="O245" s="60"/>
      <c r="P245" s="59"/>
      <c r="Q245" s="59"/>
      <c r="R245" s="60"/>
      <c r="S245" s="60"/>
      <c r="T245" s="60"/>
      <c r="U245" s="60"/>
      <c r="V245" s="60"/>
      <c r="W245" s="60"/>
    </row>
    <row r="246" spans="1:23" ht="13" x14ac:dyDescent="0.3">
      <c r="A246" s="58"/>
      <c r="B246" s="58"/>
      <c r="C246" s="58"/>
      <c r="D246" s="58"/>
      <c r="E246" s="58"/>
      <c r="F246" s="58"/>
      <c r="G246" s="58"/>
      <c r="H246" s="59"/>
      <c r="I246" s="59"/>
      <c r="J246" s="59"/>
      <c r="K246" s="59"/>
      <c r="L246" s="59"/>
      <c r="M246" s="60"/>
      <c r="N246" s="60"/>
      <c r="O246" s="60"/>
      <c r="P246" s="59"/>
      <c r="Q246" s="59"/>
      <c r="R246" s="60"/>
      <c r="S246" s="60"/>
      <c r="T246" s="60"/>
      <c r="U246" s="60"/>
      <c r="V246" s="60"/>
      <c r="W246" s="60"/>
    </row>
    <row r="247" spans="1:23" ht="13" x14ac:dyDescent="0.3">
      <c r="A247" s="58"/>
      <c r="B247" s="58"/>
      <c r="C247" s="58"/>
      <c r="D247" s="58"/>
      <c r="E247" s="58"/>
      <c r="F247" s="58"/>
      <c r="G247" s="58"/>
      <c r="H247" s="59"/>
      <c r="I247" s="59"/>
      <c r="J247" s="59"/>
      <c r="K247" s="59"/>
      <c r="L247" s="59"/>
      <c r="M247" s="60"/>
      <c r="N247" s="60"/>
      <c r="O247" s="60"/>
      <c r="P247" s="59"/>
      <c r="Q247" s="59"/>
      <c r="R247" s="60"/>
      <c r="S247" s="60"/>
      <c r="T247" s="60"/>
      <c r="U247" s="60"/>
      <c r="V247" s="60"/>
      <c r="W247" s="60"/>
    </row>
    <row r="248" spans="1:23" ht="13" x14ac:dyDescent="0.3">
      <c r="A248" s="58"/>
      <c r="B248" s="58"/>
      <c r="C248" s="58"/>
      <c r="D248" s="58"/>
      <c r="E248" s="58"/>
      <c r="F248" s="58"/>
      <c r="G248" s="58"/>
      <c r="H248" s="59"/>
      <c r="I248" s="59"/>
      <c r="J248" s="59"/>
      <c r="K248" s="59"/>
      <c r="L248" s="59"/>
      <c r="M248" s="60"/>
      <c r="N248" s="60"/>
      <c r="O248" s="60"/>
      <c r="P248" s="59"/>
      <c r="Q248" s="59"/>
      <c r="R248" s="60"/>
      <c r="S248" s="60"/>
      <c r="T248" s="60"/>
      <c r="U248" s="60"/>
      <c r="V248" s="60"/>
      <c r="W248" s="60"/>
    </row>
    <row r="249" spans="1:23" ht="13" x14ac:dyDescent="0.3">
      <c r="A249" s="58"/>
      <c r="B249" s="58"/>
      <c r="C249" s="58"/>
      <c r="D249" s="58"/>
      <c r="E249" s="58"/>
      <c r="F249" s="58"/>
      <c r="G249" s="58"/>
      <c r="H249" s="59"/>
      <c r="I249" s="59"/>
      <c r="J249" s="59"/>
      <c r="K249" s="59"/>
      <c r="L249" s="59"/>
      <c r="M249" s="60"/>
      <c r="N249" s="60"/>
      <c r="O249" s="60"/>
      <c r="P249" s="59"/>
      <c r="Q249" s="59"/>
      <c r="R249" s="60"/>
      <c r="S249" s="60"/>
      <c r="T249" s="60"/>
      <c r="U249" s="60"/>
      <c r="V249" s="60"/>
      <c r="W249" s="60"/>
    </row>
    <row r="250" spans="1:23" ht="13" x14ac:dyDescent="0.3">
      <c r="A250" s="58"/>
      <c r="B250" s="58"/>
      <c r="C250" s="58"/>
      <c r="D250" s="58"/>
      <c r="E250" s="58"/>
      <c r="F250" s="58"/>
      <c r="G250" s="58"/>
      <c r="H250" s="59"/>
      <c r="I250" s="59"/>
      <c r="J250" s="59"/>
      <c r="K250" s="59"/>
      <c r="L250" s="59"/>
      <c r="M250" s="60"/>
      <c r="N250" s="60"/>
      <c r="O250" s="60"/>
      <c r="P250" s="59"/>
      <c r="Q250" s="59"/>
      <c r="R250" s="60"/>
      <c r="S250" s="60"/>
      <c r="T250" s="60"/>
      <c r="U250" s="60"/>
      <c r="V250" s="60"/>
      <c r="W250" s="60"/>
    </row>
    <row r="251" spans="1:23" ht="13" x14ac:dyDescent="0.3">
      <c r="A251" s="58"/>
      <c r="B251" s="58"/>
      <c r="C251" s="58"/>
      <c r="D251" s="58"/>
      <c r="E251" s="58"/>
      <c r="F251" s="58"/>
      <c r="G251" s="58"/>
      <c r="H251" s="59"/>
      <c r="I251" s="59"/>
      <c r="J251" s="59"/>
      <c r="K251" s="59"/>
      <c r="L251" s="59"/>
      <c r="M251" s="60"/>
      <c r="N251" s="60"/>
      <c r="O251" s="60"/>
      <c r="P251" s="59"/>
      <c r="Q251" s="59"/>
      <c r="R251" s="60"/>
      <c r="S251" s="60"/>
      <c r="T251" s="60"/>
      <c r="U251" s="60"/>
      <c r="V251" s="60"/>
      <c r="W251" s="60"/>
    </row>
    <row r="252" spans="1:23" ht="13" x14ac:dyDescent="0.3">
      <c r="A252" s="58"/>
      <c r="B252" s="58"/>
      <c r="C252" s="58"/>
      <c r="D252" s="58"/>
      <c r="E252" s="58"/>
      <c r="F252" s="58"/>
      <c r="G252" s="58"/>
      <c r="H252" s="59"/>
      <c r="I252" s="59"/>
      <c r="J252" s="59"/>
      <c r="K252" s="59"/>
      <c r="L252" s="59"/>
      <c r="M252" s="60"/>
      <c r="N252" s="60"/>
      <c r="O252" s="60"/>
      <c r="P252" s="59"/>
      <c r="Q252" s="59"/>
      <c r="R252" s="60"/>
      <c r="S252" s="60"/>
      <c r="T252" s="60"/>
      <c r="U252" s="60"/>
      <c r="V252" s="60"/>
      <c r="W252" s="60"/>
    </row>
    <row r="253" spans="1:23" ht="13" x14ac:dyDescent="0.3">
      <c r="A253" s="58"/>
      <c r="B253" s="58"/>
      <c r="C253" s="58"/>
      <c r="D253" s="58"/>
      <c r="E253" s="58"/>
      <c r="F253" s="58"/>
      <c r="G253" s="58"/>
      <c r="H253" s="59"/>
      <c r="I253" s="59"/>
      <c r="J253" s="59"/>
      <c r="K253" s="59"/>
      <c r="L253" s="59"/>
      <c r="M253" s="60"/>
      <c r="N253" s="60"/>
      <c r="O253" s="60"/>
      <c r="P253" s="59"/>
      <c r="Q253" s="59"/>
      <c r="R253" s="60"/>
      <c r="S253" s="60"/>
      <c r="T253" s="60"/>
      <c r="U253" s="60"/>
      <c r="V253" s="60"/>
      <c r="W253" s="60"/>
    </row>
    <row r="254" spans="1:23" ht="13" x14ac:dyDescent="0.3">
      <c r="A254" s="58"/>
      <c r="B254" s="58"/>
      <c r="C254" s="58"/>
      <c r="D254" s="58"/>
      <c r="E254" s="58"/>
      <c r="F254" s="58"/>
      <c r="G254" s="58"/>
      <c r="H254" s="59"/>
      <c r="I254" s="59"/>
      <c r="J254" s="59"/>
      <c r="K254" s="59"/>
      <c r="L254" s="59"/>
      <c r="M254" s="60"/>
      <c r="N254" s="60"/>
      <c r="O254" s="60"/>
      <c r="P254" s="59"/>
      <c r="Q254" s="59"/>
      <c r="R254" s="60"/>
      <c r="S254" s="60"/>
      <c r="T254" s="60"/>
      <c r="U254" s="60"/>
      <c r="V254" s="60"/>
      <c r="W254" s="60"/>
    </row>
    <row r="255" spans="1:23" ht="13" x14ac:dyDescent="0.3">
      <c r="A255" s="58"/>
      <c r="B255" s="58"/>
      <c r="C255" s="58"/>
      <c r="D255" s="58"/>
      <c r="E255" s="58"/>
      <c r="F255" s="58"/>
      <c r="G255" s="58"/>
      <c r="H255" s="59"/>
      <c r="I255" s="59"/>
      <c r="J255" s="59"/>
      <c r="K255" s="59"/>
      <c r="L255" s="59"/>
      <c r="M255" s="60"/>
      <c r="N255" s="60"/>
      <c r="O255" s="60"/>
      <c r="P255" s="59"/>
      <c r="Q255" s="59"/>
      <c r="R255" s="60"/>
      <c r="S255" s="60"/>
      <c r="T255" s="60"/>
      <c r="U255" s="60"/>
      <c r="V255" s="60"/>
      <c r="W255" s="60"/>
    </row>
    <row r="256" spans="1:23" ht="13" x14ac:dyDescent="0.3">
      <c r="A256" s="58"/>
      <c r="B256" s="58"/>
      <c r="C256" s="58"/>
      <c r="D256" s="58"/>
      <c r="E256" s="58"/>
      <c r="F256" s="58"/>
      <c r="G256" s="58"/>
      <c r="H256" s="59"/>
      <c r="I256" s="59"/>
      <c r="J256" s="59"/>
      <c r="K256" s="59"/>
      <c r="L256" s="59"/>
      <c r="M256" s="60"/>
      <c r="N256" s="60"/>
      <c r="O256" s="60"/>
      <c r="P256" s="59"/>
      <c r="Q256" s="59"/>
      <c r="R256" s="60"/>
      <c r="S256" s="60"/>
      <c r="T256" s="60"/>
      <c r="U256" s="60"/>
      <c r="V256" s="60"/>
      <c r="W256" s="60"/>
    </row>
    <row r="257" spans="1:23" ht="13" x14ac:dyDescent="0.3">
      <c r="A257" s="58"/>
      <c r="B257" s="58"/>
      <c r="C257" s="58"/>
      <c r="D257" s="58"/>
      <c r="E257" s="58"/>
      <c r="F257" s="58"/>
      <c r="G257" s="58"/>
      <c r="H257" s="59"/>
      <c r="I257" s="59"/>
      <c r="J257" s="59"/>
      <c r="K257" s="59"/>
      <c r="L257" s="59"/>
      <c r="M257" s="60"/>
      <c r="N257" s="60"/>
      <c r="O257" s="60"/>
      <c r="P257" s="59"/>
      <c r="Q257" s="59"/>
      <c r="R257" s="60"/>
      <c r="S257" s="60"/>
      <c r="T257" s="60"/>
      <c r="U257" s="60"/>
      <c r="V257" s="60"/>
      <c r="W257" s="60"/>
    </row>
    <row r="258" spans="1:23" ht="13" x14ac:dyDescent="0.3">
      <c r="A258" s="58"/>
      <c r="B258" s="58"/>
      <c r="C258" s="58"/>
      <c r="D258" s="58"/>
      <c r="E258" s="58"/>
      <c r="F258" s="58"/>
      <c r="G258" s="58"/>
      <c r="H258" s="59"/>
      <c r="I258" s="59"/>
      <c r="J258" s="59"/>
      <c r="K258" s="59"/>
      <c r="L258" s="59"/>
      <c r="M258" s="60"/>
      <c r="N258" s="60"/>
      <c r="O258" s="60"/>
      <c r="P258" s="59"/>
      <c r="Q258" s="59"/>
      <c r="R258" s="60"/>
      <c r="S258" s="60"/>
      <c r="T258" s="60"/>
      <c r="U258" s="60"/>
      <c r="V258" s="60"/>
      <c r="W258" s="60"/>
    </row>
    <row r="259" spans="1:23" ht="13" x14ac:dyDescent="0.3">
      <c r="A259" s="58"/>
      <c r="B259" s="58"/>
      <c r="C259" s="58"/>
      <c r="D259" s="58"/>
      <c r="E259" s="58"/>
      <c r="F259" s="58"/>
      <c r="G259" s="58"/>
      <c r="H259" s="59"/>
      <c r="I259" s="59"/>
      <c r="J259" s="59"/>
      <c r="K259" s="59"/>
      <c r="L259" s="59"/>
      <c r="M259" s="60"/>
      <c r="N259" s="60"/>
      <c r="O259" s="60"/>
      <c r="P259" s="59"/>
      <c r="Q259" s="59"/>
      <c r="R259" s="60"/>
      <c r="S259" s="60"/>
      <c r="T259" s="60"/>
      <c r="U259" s="60"/>
      <c r="V259" s="60"/>
      <c r="W259" s="60"/>
    </row>
    <row r="260" spans="1:23" ht="13" x14ac:dyDescent="0.3">
      <c r="A260" s="58"/>
      <c r="B260" s="58"/>
      <c r="C260" s="58"/>
      <c r="D260" s="58"/>
      <c r="E260" s="58"/>
      <c r="F260" s="58"/>
      <c r="G260" s="58"/>
      <c r="H260" s="59"/>
      <c r="I260" s="59"/>
      <c r="J260" s="59"/>
      <c r="K260" s="59"/>
      <c r="L260" s="59"/>
      <c r="M260" s="60"/>
      <c r="N260" s="60"/>
      <c r="O260" s="60"/>
      <c r="P260" s="59"/>
      <c r="Q260" s="59"/>
      <c r="R260" s="60"/>
      <c r="S260" s="60"/>
      <c r="T260" s="60"/>
      <c r="U260" s="60"/>
      <c r="V260" s="60"/>
      <c r="W260" s="60"/>
    </row>
    <row r="261" spans="1:23" ht="13" x14ac:dyDescent="0.3">
      <c r="A261" s="58"/>
      <c r="B261" s="58"/>
      <c r="C261" s="58"/>
      <c r="D261" s="58"/>
      <c r="E261" s="58"/>
      <c r="F261" s="58"/>
      <c r="G261" s="58"/>
      <c r="H261" s="59"/>
      <c r="I261" s="59"/>
      <c r="J261" s="59"/>
      <c r="K261" s="59"/>
      <c r="L261" s="59"/>
      <c r="M261" s="60"/>
      <c r="N261" s="60"/>
      <c r="O261" s="60"/>
      <c r="P261" s="59"/>
      <c r="Q261" s="59"/>
      <c r="R261" s="60"/>
      <c r="S261" s="60"/>
      <c r="T261" s="60"/>
      <c r="U261" s="60"/>
      <c r="V261" s="60"/>
      <c r="W261" s="60"/>
    </row>
    <row r="262" spans="1:23" ht="13" x14ac:dyDescent="0.3">
      <c r="A262" s="58"/>
      <c r="B262" s="58"/>
      <c r="C262" s="58"/>
      <c r="D262" s="58"/>
      <c r="E262" s="58"/>
      <c r="F262" s="58"/>
      <c r="G262" s="58"/>
      <c r="H262" s="59"/>
      <c r="I262" s="59"/>
      <c r="J262" s="59"/>
      <c r="K262" s="59"/>
      <c r="L262" s="59"/>
      <c r="M262" s="60"/>
      <c r="N262" s="60"/>
      <c r="O262" s="60"/>
      <c r="P262" s="59"/>
      <c r="Q262" s="59"/>
      <c r="R262" s="60"/>
      <c r="S262" s="60"/>
      <c r="T262" s="60"/>
      <c r="U262" s="60"/>
      <c r="V262" s="60"/>
      <c r="W262" s="60"/>
    </row>
    <row r="263" spans="1:23" ht="13" x14ac:dyDescent="0.3">
      <c r="A263" s="58"/>
      <c r="B263" s="58"/>
      <c r="C263" s="58"/>
      <c r="D263" s="58"/>
      <c r="E263" s="58"/>
      <c r="F263" s="58"/>
      <c r="G263" s="58"/>
      <c r="H263" s="59"/>
      <c r="I263" s="59"/>
      <c r="J263" s="59"/>
      <c r="K263" s="59"/>
      <c r="L263" s="59"/>
      <c r="M263" s="60"/>
      <c r="N263" s="60"/>
      <c r="O263" s="60"/>
      <c r="P263" s="59"/>
      <c r="Q263" s="59"/>
      <c r="R263" s="60"/>
      <c r="S263" s="60"/>
      <c r="T263" s="60"/>
      <c r="U263" s="60"/>
      <c r="V263" s="60"/>
      <c r="W263" s="60"/>
    </row>
    <row r="264" spans="1:23" ht="13" x14ac:dyDescent="0.3">
      <c r="A264" s="58"/>
      <c r="B264" s="58"/>
      <c r="C264" s="58"/>
      <c r="D264" s="58"/>
      <c r="E264" s="58"/>
      <c r="F264" s="58"/>
      <c r="G264" s="58"/>
      <c r="H264" s="59"/>
      <c r="I264" s="59"/>
      <c r="J264" s="59"/>
      <c r="K264" s="59"/>
      <c r="L264" s="59"/>
      <c r="M264" s="60"/>
      <c r="N264" s="60"/>
      <c r="O264" s="60"/>
      <c r="P264" s="59"/>
      <c r="Q264" s="59"/>
      <c r="R264" s="60"/>
      <c r="S264" s="60"/>
      <c r="T264" s="60"/>
      <c r="U264" s="60"/>
      <c r="V264" s="60"/>
      <c r="W264" s="60"/>
    </row>
    <row r="265" spans="1:23" ht="13" x14ac:dyDescent="0.3">
      <c r="A265" s="58"/>
      <c r="B265" s="58"/>
      <c r="C265" s="58"/>
      <c r="D265" s="58"/>
      <c r="E265" s="58"/>
      <c r="F265" s="58"/>
      <c r="G265" s="58"/>
      <c r="H265" s="59"/>
      <c r="I265" s="59"/>
      <c r="J265" s="59"/>
      <c r="K265" s="59"/>
      <c r="L265" s="59"/>
      <c r="M265" s="60"/>
      <c r="N265" s="60"/>
      <c r="O265" s="60"/>
      <c r="P265" s="59"/>
      <c r="Q265" s="59"/>
      <c r="R265" s="60"/>
      <c r="S265" s="60"/>
      <c r="T265" s="60"/>
      <c r="U265" s="60"/>
      <c r="V265" s="60"/>
      <c r="W265" s="60"/>
    </row>
    <row r="266" spans="1:23" ht="13" x14ac:dyDescent="0.3">
      <c r="A266" s="58"/>
      <c r="B266" s="58"/>
      <c r="C266" s="58"/>
      <c r="D266" s="58"/>
      <c r="E266" s="58"/>
      <c r="F266" s="58"/>
      <c r="G266" s="58"/>
      <c r="H266" s="59"/>
      <c r="I266" s="59"/>
      <c r="J266" s="59"/>
      <c r="K266" s="59"/>
      <c r="L266" s="59"/>
      <c r="M266" s="60"/>
      <c r="N266" s="60"/>
      <c r="O266" s="60"/>
      <c r="P266" s="59"/>
      <c r="Q266" s="59"/>
      <c r="R266" s="60"/>
      <c r="S266" s="60"/>
      <c r="T266" s="60"/>
      <c r="U266" s="60"/>
      <c r="V266" s="60"/>
      <c r="W266" s="60"/>
    </row>
    <row r="267" spans="1:23" ht="13" x14ac:dyDescent="0.3">
      <c r="A267" s="58"/>
      <c r="B267" s="58"/>
      <c r="C267" s="58"/>
      <c r="D267" s="58"/>
      <c r="E267" s="58"/>
      <c r="F267" s="58"/>
      <c r="G267" s="58"/>
      <c r="H267" s="59"/>
      <c r="I267" s="59"/>
      <c r="J267" s="59"/>
      <c r="K267" s="59"/>
      <c r="L267" s="59"/>
      <c r="M267" s="60"/>
      <c r="N267" s="60"/>
      <c r="O267" s="60"/>
      <c r="P267" s="59"/>
      <c r="Q267" s="59"/>
      <c r="R267" s="60"/>
      <c r="S267" s="60"/>
      <c r="T267" s="60"/>
      <c r="U267" s="60"/>
      <c r="V267" s="60"/>
      <c r="W267" s="60"/>
    </row>
    <row r="268" spans="1:23" ht="13" x14ac:dyDescent="0.3">
      <c r="A268" s="58"/>
      <c r="B268" s="58"/>
      <c r="C268" s="58"/>
      <c r="D268" s="58"/>
      <c r="E268" s="58"/>
      <c r="F268" s="58"/>
      <c r="G268" s="58"/>
      <c r="H268" s="59"/>
      <c r="I268" s="59"/>
      <c r="J268" s="59"/>
      <c r="K268" s="59"/>
      <c r="L268" s="59"/>
      <c r="M268" s="60"/>
      <c r="N268" s="60"/>
      <c r="O268" s="60"/>
      <c r="P268" s="59"/>
      <c r="Q268" s="59"/>
      <c r="R268" s="60"/>
      <c r="S268" s="60"/>
      <c r="T268" s="60"/>
      <c r="U268" s="60"/>
      <c r="V268" s="60"/>
      <c r="W268" s="60"/>
    </row>
    <row r="269" spans="1:23" ht="13" x14ac:dyDescent="0.3">
      <c r="A269" s="58"/>
      <c r="B269" s="58"/>
      <c r="C269" s="58"/>
      <c r="D269" s="58"/>
      <c r="E269" s="58"/>
      <c r="F269" s="58"/>
      <c r="G269" s="58"/>
      <c r="H269" s="59"/>
      <c r="I269" s="59"/>
      <c r="J269" s="59"/>
      <c r="K269" s="59"/>
      <c r="L269" s="59"/>
      <c r="M269" s="60"/>
      <c r="N269" s="60"/>
      <c r="O269" s="60"/>
      <c r="P269" s="59"/>
      <c r="Q269" s="59"/>
      <c r="R269" s="60"/>
      <c r="S269" s="60"/>
      <c r="T269" s="60"/>
      <c r="U269" s="60"/>
      <c r="V269" s="60"/>
      <c r="W269" s="60"/>
    </row>
    <row r="270" spans="1:23" ht="13" x14ac:dyDescent="0.3">
      <c r="A270" s="58"/>
      <c r="B270" s="58"/>
      <c r="C270" s="58"/>
      <c r="D270" s="58"/>
      <c r="E270" s="58"/>
      <c r="F270" s="58"/>
      <c r="G270" s="58"/>
      <c r="H270" s="59"/>
      <c r="I270" s="59"/>
      <c r="J270" s="59"/>
      <c r="K270" s="59"/>
      <c r="L270" s="59"/>
      <c r="M270" s="60"/>
      <c r="N270" s="60"/>
      <c r="O270" s="60"/>
      <c r="P270" s="59"/>
      <c r="Q270" s="59"/>
      <c r="R270" s="60"/>
      <c r="S270" s="60"/>
      <c r="T270" s="60"/>
      <c r="U270" s="60"/>
      <c r="V270" s="60"/>
      <c r="W270" s="60"/>
    </row>
    <row r="271" spans="1:23" ht="13" x14ac:dyDescent="0.3">
      <c r="A271" s="58"/>
      <c r="B271" s="58"/>
      <c r="C271" s="58"/>
      <c r="D271" s="58"/>
      <c r="E271" s="58"/>
      <c r="F271" s="58"/>
      <c r="G271" s="58"/>
      <c r="H271" s="59"/>
      <c r="I271" s="59"/>
      <c r="J271" s="59"/>
      <c r="K271" s="59"/>
      <c r="L271" s="59"/>
      <c r="M271" s="60"/>
      <c r="N271" s="60"/>
      <c r="O271" s="60"/>
      <c r="P271" s="59"/>
      <c r="Q271" s="59"/>
      <c r="R271" s="60"/>
      <c r="S271" s="60"/>
      <c r="T271" s="60"/>
      <c r="U271" s="60"/>
      <c r="V271" s="60"/>
      <c r="W271" s="60"/>
    </row>
    <row r="272" spans="1:23" ht="13" x14ac:dyDescent="0.3">
      <c r="A272" s="58"/>
      <c r="B272" s="58"/>
      <c r="C272" s="58"/>
      <c r="D272" s="58"/>
      <c r="E272" s="58"/>
      <c r="F272" s="58"/>
      <c r="G272" s="58"/>
      <c r="H272" s="59"/>
      <c r="I272" s="59"/>
      <c r="J272" s="59"/>
      <c r="K272" s="59"/>
      <c r="L272" s="59"/>
      <c r="M272" s="60"/>
      <c r="N272" s="60"/>
      <c r="O272" s="60"/>
      <c r="P272" s="59"/>
      <c r="Q272" s="59"/>
      <c r="R272" s="60"/>
      <c r="S272" s="60"/>
      <c r="T272" s="60"/>
      <c r="U272" s="60"/>
      <c r="V272" s="60"/>
      <c r="W272" s="60"/>
    </row>
    <row r="273" spans="1:23" ht="13" x14ac:dyDescent="0.3">
      <c r="A273" s="58"/>
      <c r="B273" s="58"/>
      <c r="C273" s="58"/>
      <c r="D273" s="58"/>
      <c r="E273" s="58"/>
      <c r="F273" s="58"/>
      <c r="G273" s="58"/>
      <c r="H273" s="59"/>
      <c r="I273" s="59"/>
      <c r="J273" s="59"/>
      <c r="K273" s="59"/>
      <c r="L273" s="59"/>
      <c r="M273" s="60"/>
      <c r="N273" s="60"/>
      <c r="O273" s="60"/>
      <c r="P273" s="59"/>
      <c r="Q273" s="59"/>
      <c r="R273" s="60"/>
      <c r="S273" s="60"/>
      <c r="T273" s="60"/>
      <c r="U273" s="60"/>
      <c r="V273" s="60"/>
      <c r="W273" s="60"/>
    </row>
    <row r="274" spans="1:23" ht="13" x14ac:dyDescent="0.3">
      <c r="A274" s="58"/>
      <c r="B274" s="58"/>
      <c r="C274" s="58"/>
      <c r="D274" s="58"/>
      <c r="E274" s="58"/>
      <c r="F274" s="58"/>
      <c r="G274" s="58"/>
      <c r="H274" s="59"/>
      <c r="I274" s="59"/>
      <c r="J274" s="59"/>
      <c r="K274" s="59"/>
      <c r="L274" s="59"/>
      <c r="M274" s="60"/>
      <c r="N274" s="60"/>
      <c r="O274" s="60"/>
      <c r="P274" s="59"/>
      <c r="Q274" s="59"/>
      <c r="R274" s="60"/>
      <c r="S274" s="60"/>
      <c r="T274" s="60"/>
      <c r="U274" s="60"/>
      <c r="V274" s="60"/>
      <c r="W274" s="60"/>
    </row>
    <row r="275" spans="1:23" ht="13" x14ac:dyDescent="0.3">
      <c r="A275" s="58"/>
      <c r="B275" s="58"/>
      <c r="C275" s="58"/>
      <c r="D275" s="58"/>
      <c r="E275" s="58"/>
      <c r="F275" s="58"/>
      <c r="G275" s="58"/>
      <c r="H275" s="59"/>
      <c r="I275" s="59"/>
      <c r="J275" s="59"/>
      <c r="K275" s="59"/>
      <c r="L275" s="59"/>
      <c r="M275" s="60"/>
      <c r="N275" s="60"/>
      <c r="O275" s="60"/>
      <c r="P275" s="59"/>
      <c r="Q275" s="59"/>
      <c r="R275" s="60"/>
      <c r="S275" s="60"/>
      <c r="T275" s="60"/>
      <c r="U275" s="60"/>
      <c r="V275" s="60"/>
      <c r="W275" s="60"/>
    </row>
    <row r="276" spans="1:23" ht="13" x14ac:dyDescent="0.3">
      <c r="A276" s="58"/>
      <c r="B276" s="58"/>
      <c r="C276" s="58"/>
      <c r="D276" s="58"/>
      <c r="E276" s="58"/>
      <c r="F276" s="58"/>
      <c r="G276" s="58"/>
      <c r="H276" s="59"/>
      <c r="I276" s="59"/>
      <c r="J276" s="59"/>
      <c r="K276" s="59"/>
      <c r="L276" s="59"/>
      <c r="M276" s="60"/>
      <c r="N276" s="60"/>
      <c r="O276" s="60"/>
      <c r="P276" s="59"/>
      <c r="Q276" s="59"/>
      <c r="R276" s="60"/>
      <c r="S276" s="60"/>
      <c r="T276" s="60"/>
      <c r="U276" s="60"/>
      <c r="V276" s="60"/>
      <c r="W276" s="60"/>
    </row>
    <row r="277" spans="1:23" ht="13" x14ac:dyDescent="0.3">
      <c r="A277" s="58"/>
      <c r="B277" s="58"/>
      <c r="C277" s="58"/>
      <c r="D277" s="58"/>
      <c r="E277" s="58"/>
      <c r="F277" s="58"/>
      <c r="G277" s="58"/>
      <c r="H277" s="59"/>
      <c r="I277" s="59"/>
      <c r="J277" s="59"/>
      <c r="K277" s="59"/>
      <c r="L277" s="59"/>
      <c r="M277" s="60"/>
      <c r="N277" s="60"/>
      <c r="O277" s="60"/>
      <c r="P277" s="59"/>
      <c r="Q277" s="59"/>
      <c r="R277" s="60"/>
      <c r="S277" s="60"/>
      <c r="T277" s="60"/>
      <c r="U277" s="60"/>
      <c r="V277" s="60"/>
      <c r="W277" s="60"/>
    </row>
    <row r="278" spans="1:23" ht="13" x14ac:dyDescent="0.3">
      <c r="A278" s="58"/>
      <c r="B278" s="58"/>
      <c r="C278" s="58"/>
      <c r="D278" s="58"/>
      <c r="E278" s="58"/>
      <c r="F278" s="58"/>
      <c r="G278" s="58"/>
      <c r="H278" s="59"/>
      <c r="I278" s="59"/>
      <c r="J278" s="59"/>
      <c r="K278" s="59"/>
      <c r="L278" s="59"/>
      <c r="M278" s="60"/>
      <c r="N278" s="60"/>
      <c r="O278" s="60"/>
      <c r="P278" s="59"/>
      <c r="Q278" s="59"/>
      <c r="R278" s="60"/>
      <c r="S278" s="60"/>
      <c r="T278" s="60"/>
      <c r="U278" s="60"/>
      <c r="V278" s="60"/>
      <c r="W278" s="60"/>
    </row>
    <row r="279" spans="1:23" ht="13" x14ac:dyDescent="0.3">
      <c r="A279" s="58"/>
      <c r="B279" s="58"/>
      <c r="C279" s="58"/>
      <c r="D279" s="58"/>
      <c r="E279" s="58"/>
      <c r="F279" s="58"/>
      <c r="G279" s="58"/>
      <c r="H279" s="59"/>
      <c r="I279" s="59"/>
      <c r="J279" s="59"/>
      <c r="K279" s="59"/>
      <c r="L279" s="59"/>
      <c r="M279" s="60"/>
      <c r="N279" s="60"/>
      <c r="O279" s="60"/>
      <c r="P279" s="59"/>
      <c r="Q279" s="59"/>
      <c r="R279" s="60"/>
      <c r="S279" s="60"/>
      <c r="T279" s="60"/>
      <c r="U279" s="60"/>
      <c r="V279" s="60"/>
      <c r="W279" s="60"/>
    </row>
    <row r="280" spans="1:23" ht="13" x14ac:dyDescent="0.3">
      <c r="A280" s="58"/>
      <c r="B280" s="58"/>
      <c r="C280" s="58"/>
      <c r="D280" s="58"/>
      <c r="E280" s="58"/>
      <c r="F280" s="58"/>
      <c r="G280" s="58"/>
      <c r="H280" s="59"/>
      <c r="I280" s="59"/>
      <c r="J280" s="59"/>
      <c r="K280" s="59"/>
      <c r="L280" s="59"/>
      <c r="M280" s="60"/>
      <c r="N280" s="60"/>
      <c r="O280" s="60"/>
      <c r="P280" s="59"/>
      <c r="Q280" s="59"/>
      <c r="R280" s="60"/>
      <c r="S280" s="60"/>
      <c r="T280" s="60"/>
      <c r="U280" s="60"/>
      <c r="V280" s="60"/>
      <c r="W280" s="60"/>
    </row>
    <row r="281" spans="1:23" ht="13" x14ac:dyDescent="0.3">
      <c r="A281" s="58"/>
      <c r="B281" s="58"/>
      <c r="C281" s="58"/>
      <c r="D281" s="58"/>
      <c r="E281" s="58"/>
      <c r="F281" s="58"/>
      <c r="G281" s="58"/>
      <c r="H281" s="59"/>
      <c r="I281" s="59"/>
      <c r="J281" s="59"/>
      <c r="K281" s="59"/>
      <c r="L281" s="59"/>
      <c r="M281" s="60"/>
      <c r="N281" s="60"/>
      <c r="O281" s="60"/>
      <c r="P281" s="59"/>
      <c r="Q281" s="59"/>
      <c r="R281" s="60"/>
      <c r="S281" s="60"/>
      <c r="T281" s="60"/>
      <c r="U281" s="60"/>
      <c r="V281" s="60"/>
      <c r="W281" s="60"/>
    </row>
    <row r="282" spans="1:23" ht="13" x14ac:dyDescent="0.3">
      <c r="A282" s="58"/>
      <c r="B282" s="58"/>
      <c r="C282" s="58"/>
      <c r="D282" s="58"/>
      <c r="E282" s="58"/>
      <c r="F282" s="58"/>
      <c r="G282" s="58"/>
      <c r="H282" s="59"/>
      <c r="I282" s="59"/>
      <c r="J282" s="59"/>
      <c r="K282" s="59"/>
      <c r="L282" s="59"/>
      <c r="M282" s="60"/>
      <c r="N282" s="60"/>
      <c r="O282" s="60"/>
      <c r="P282" s="59"/>
      <c r="Q282" s="59"/>
      <c r="R282" s="60"/>
      <c r="S282" s="60"/>
      <c r="T282" s="60"/>
      <c r="U282" s="60"/>
      <c r="V282" s="60"/>
      <c r="W282" s="60"/>
    </row>
    <row r="283" spans="1:23" ht="13" x14ac:dyDescent="0.3">
      <c r="A283" s="58"/>
      <c r="B283" s="58"/>
      <c r="C283" s="58"/>
      <c r="D283" s="58"/>
      <c r="E283" s="58"/>
      <c r="F283" s="58"/>
      <c r="G283" s="58"/>
      <c r="H283" s="59"/>
      <c r="I283" s="59"/>
      <c r="J283" s="59"/>
      <c r="K283" s="59"/>
      <c r="L283" s="59"/>
      <c r="M283" s="60"/>
      <c r="N283" s="60"/>
      <c r="O283" s="60"/>
      <c r="P283" s="59"/>
      <c r="Q283" s="59"/>
      <c r="R283" s="60"/>
      <c r="S283" s="60"/>
      <c r="T283" s="60"/>
      <c r="U283" s="60"/>
      <c r="V283" s="60"/>
      <c r="W283" s="60"/>
    </row>
    <row r="284" spans="1:23" ht="13" x14ac:dyDescent="0.3">
      <c r="A284" s="58"/>
      <c r="B284" s="58"/>
      <c r="C284" s="58"/>
      <c r="D284" s="58"/>
      <c r="E284" s="58"/>
      <c r="F284" s="58"/>
      <c r="G284" s="58"/>
      <c r="H284" s="59"/>
      <c r="I284" s="59"/>
      <c r="J284" s="59"/>
      <c r="K284" s="59"/>
      <c r="L284" s="59"/>
      <c r="M284" s="60"/>
      <c r="N284" s="60"/>
      <c r="O284" s="60"/>
      <c r="P284" s="59"/>
      <c r="Q284" s="59"/>
      <c r="R284" s="60"/>
      <c r="S284" s="60"/>
      <c r="T284" s="60"/>
      <c r="U284" s="60"/>
      <c r="V284" s="60"/>
      <c r="W284" s="60"/>
    </row>
    <row r="285" spans="1:23" ht="13" x14ac:dyDescent="0.3">
      <c r="A285" s="58"/>
      <c r="B285" s="58"/>
      <c r="C285" s="58"/>
      <c r="D285" s="58"/>
      <c r="E285" s="58"/>
      <c r="F285" s="58"/>
      <c r="G285" s="58"/>
      <c r="H285" s="59"/>
      <c r="I285" s="59"/>
      <c r="J285" s="59"/>
      <c r="K285" s="59"/>
      <c r="L285" s="59"/>
      <c r="M285" s="60"/>
      <c r="N285" s="60"/>
      <c r="O285" s="60"/>
      <c r="P285" s="59"/>
      <c r="Q285" s="59"/>
      <c r="R285" s="60"/>
      <c r="S285" s="60"/>
      <c r="T285" s="60"/>
      <c r="U285" s="60"/>
      <c r="V285" s="60"/>
      <c r="W285" s="60"/>
    </row>
    <row r="286" spans="1:23" ht="13" x14ac:dyDescent="0.3">
      <c r="A286" s="58"/>
      <c r="B286" s="58"/>
      <c r="C286" s="58"/>
      <c r="D286" s="58"/>
      <c r="E286" s="58"/>
      <c r="F286" s="58"/>
      <c r="G286" s="58"/>
      <c r="H286" s="59"/>
      <c r="I286" s="59"/>
      <c r="J286" s="59"/>
      <c r="K286" s="59"/>
      <c r="L286" s="59"/>
      <c r="M286" s="60"/>
      <c r="N286" s="60"/>
      <c r="O286" s="60"/>
      <c r="P286" s="59"/>
      <c r="Q286" s="59"/>
      <c r="R286" s="60"/>
      <c r="S286" s="60"/>
      <c r="T286" s="60"/>
      <c r="U286" s="60"/>
      <c r="V286" s="60"/>
      <c r="W286" s="60"/>
    </row>
    <row r="287" spans="1:23" ht="13" x14ac:dyDescent="0.3">
      <c r="A287" s="58"/>
      <c r="B287" s="58"/>
      <c r="C287" s="58"/>
      <c r="D287" s="58"/>
      <c r="E287" s="58"/>
      <c r="F287" s="58"/>
      <c r="G287" s="58"/>
      <c r="H287" s="59"/>
      <c r="I287" s="59"/>
      <c r="J287" s="59"/>
      <c r="K287" s="59"/>
      <c r="L287" s="59"/>
      <c r="M287" s="60"/>
      <c r="N287" s="60"/>
      <c r="O287" s="60"/>
      <c r="P287" s="59"/>
      <c r="Q287" s="59"/>
      <c r="R287" s="60"/>
      <c r="S287" s="60"/>
      <c r="T287" s="60"/>
      <c r="U287" s="60"/>
      <c r="V287" s="60"/>
      <c r="W287" s="60"/>
    </row>
    <row r="288" spans="1:23" ht="13" x14ac:dyDescent="0.3">
      <c r="A288" s="58"/>
      <c r="B288" s="58"/>
      <c r="C288" s="58"/>
      <c r="D288" s="58"/>
      <c r="E288" s="58"/>
      <c r="F288" s="58"/>
      <c r="G288" s="58"/>
      <c r="H288" s="59"/>
      <c r="I288" s="59"/>
      <c r="J288" s="59"/>
      <c r="K288" s="59"/>
      <c r="L288" s="59"/>
      <c r="M288" s="60"/>
      <c r="N288" s="60"/>
      <c r="O288" s="60"/>
      <c r="P288" s="59"/>
      <c r="Q288" s="59"/>
      <c r="R288" s="60"/>
      <c r="S288" s="60"/>
      <c r="T288" s="60"/>
      <c r="U288" s="60"/>
      <c r="V288" s="60"/>
      <c r="W288" s="60"/>
    </row>
    <row r="289" spans="1:23" ht="13" x14ac:dyDescent="0.3">
      <c r="A289" s="58"/>
      <c r="B289" s="58"/>
      <c r="C289" s="58"/>
      <c r="D289" s="58"/>
      <c r="E289" s="58"/>
      <c r="F289" s="58"/>
      <c r="G289" s="58"/>
      <c r="H289" s="59"/>
      <c r="I289" s="59"/>
      <c r="J289" s="59"/>
      <c r="K289" s="59"/>
      <c r="L289" s="59"/>
      <c r="M289" s="60"/>
      <c r="N289" s="60"/>
      <c r="O289" s="60"/>
      <c r="P289" s="59"/>
      <c r="Q289" s="59"/>
      <c r="R289" s="60"/>
      <c r="S289" s="60"/>
      <c r="T289" s="60"/>
      <c r="U289" s="60"/>
      <c r="V289" s="60"/>
      <c r="W289" s="60"/>
    </row>
    <row r="290" spans="1:23" ht="13" x14ac:dyDescent="0.3">
      <c r="A290" s="58"/>
      <c r="B290" s="58"/>
      <c r="C290" s="58"/>
      <c r="D290" s="58"/>
      <c r="E290" s="58"/>
      <c r="F290" s="58"/>
      <c r="G290" s="58"/>
      <c r="H290" s="59"/>
      <c r="I290" s="59"/>
      <c r="J290" s="59"/>
      <c r="K290" s="59"/>
      <c r="L290" s="59"/>
      <c r="M290" s="60"/>
      <c r="N290" s="60"/>
      <c r="O290" s="60"/>
      <c r="P290" s="59"/>
      <c r="Q290" s="59"/>
      <c r="R290" s="60"/>
      <c r="S290" s="60"/>
      <c r="T290" s="60"/>
      <c r="U290" s="60"/>
      <c r="V290" s="60"/>
      <c r="W290" s="60"/>
    </row>
    <row r="291" spans="1:23" ht="13" x14ac:dyDescent="0.3">
      <c r="A291" s="58"/>
      <c r="B291" s="58"/>
      <c r="C291" s="58"/>
      <c r="D291" s="58"/>
      <c r="E291" s="58"/>
      <c r="F291" s="58"/>
      <c r="G291" s="58"/>
      <c r="H291" s="59"/>
      <c r="I291" s="59"/>
      <c r="J291" s="59"/>
      <c r="K291" s="59"/>
      <c r="L291" s="59"/>
      <c r="M291" s="60"/>
      <c r="N291" s="60"/>
      <c r="O291" s="60"/>
      <c r="P291" s="59"/>
      <c r="Q291" s="59"/>
      <c r="R291" s="60"/>
      <c r="S291" s="60"/>
      <c r="T291" s="60"/>
      <c r="U291" s="60"/>
      <c r="V291" s="60"/>
      <c r="W291" s="60"/>
    </row>
    <row r="292" spans="1:23" ht="13" x14ac:dyDescent="0.3">
      <c r="A292" s="58"/>
      <c r="B292" s="58"/>
      <c r="C292" s="58"/>
      <c r="D292" s="58"/>
      <c r="E292" s="58"/>
      <c r="F292" s="58"/>
      <c r="G292" s="58"/>
      <c r="H292" s="59"/>
      <c r="I292" s="59"/>
      <c r="J292" s="59"/>
      <c r="K292" s="59"/>
      <c r="L292" s="59"/>
      <c r="M292" s="60"/>
      <c r="N292" s="60"/>
      <c r="O292" s="60"/>
      <c r="P292" s="59"/>
      <c r="Q292" s="59"/>
      <c r="R292" s="60"/>
      <c r="S292" s="60"/>
      <c r="T292" s="60"/>
      <c r="U292" s="60"/>
      <c r="V292" s="60"/>
      <c r="W292" s="60"/>
    </row>
    <row r="293" spans="1:23" ht="13" x14ac:dyDescent="0.3">
      <c r="A293" s="58"/>
      <c r="B293" s="58"/>
      <c r="C293" s="58"/>
      <c r="D293" s="58"/>
      <c r="E293" s="58"/>
      <c r="F293" s="58"/>
      <c r="G293" s="58"/>
      <c r="H293" s="59"/>
      <c r="I293" s="59"/>
      <c r="J293" s="59"/>
      <c r="K293" s="59"/>
      <c r="L293" s="59"/>
      <c r="M293" s="60"/>
      <c r="N293" s="60"/>
      <c r="O293" s="60"/>
      <c r="P293" s="59"/>
      <c r="Q293" s="59"/>
      <c r="R293" s="60"/>
      <c r="S293" s="60"/>
      <c r="T293" s="60"/>
      <c r="U293" s="60"/>
      <c r="V293" s="60"/>
      <c r="W293" s="60"/>
    </row>
    <row r="294" spans="1:23" ht="13" x14ac:dyDescent="0.3">
      <c r="A294" s="58"/>
      <c r="B294" s="58"/>
      <c r="C294" s="58"/>
      <c r="D294" s="58"/>
      <c r="E294" s="58"/>
      <c r="F294" s="58"/>
      <c r="G294" s="58"/>
      <c r="H294" s="59"/>
      <c r="I294" s="59"/>
      <c r="J294" s="59"/>
      <c r="K294" s="59"/>
      <c r="L294" s="59"/>
      <c r="M294" s="60"/>
      <c r="N294" s="60"/>
      <c r="O294" s="60"/>
      <c r="P294" s="59"/>
      <c r="Q294" s="59"/>
      <c r="R294" s="60"/>
      <c r="S294" s="60"/>
      <c r="T294" s="60"/>
      <c r="U294" s="60"/>
      <c r="V294" s="60"/>
      <c r="W294" s="60"/>
    </row>
    <row r="295" spans="1:23" ht="13" x14ac:dyDescent="0.3">
      <c r="A295" s="58"/>
      <c r="B295" s="58"/>
      <c r="C295" s="58"/>
      <c r="D295" s="58"/>
      <c r="E295" s="58"/>
      <c r="F295" s="58"/>
      <c r="G295" s="58"/>
      <c r="H295" s="59"/>
      <c r="I295" s="59"/>
      <c r="J295" s="59"/>
      <c r="K295" s="59"/>
      <c r="L295" s="59"/>
      <c r="M295" s="60"/>
      <c r="N295" s="60"/>
      <c r="O295" s="60"/>
      <c r="P295" s="59"/>
      <c r="Q295" s="59"/>
      <c r="R295" s="60"/>
      <c r="S295" s="60"/>
      <c r="T295" s="60"/>
      <c r="U295" s="60"/>
      <c r="V295" s="60"/>
      <c r="W295" s="60"/>
    </row>
    <row r="296" spans="1:23" ht="13" x14ac:dyDescent="0.3">
      <c r="A296" s="58"/>
      <c r="B296" s="58"/>
      <c r="C296" s="58"/>
      <c r="D296" s="58"/>
      <c r="E296" s="58"/>
      <c r="F296" s="58"/>
      <c r="G296" s="58"/>
      <c r="H296" s="59"/>
      <c r="I296" s="59"/>
      <c r="J296" s="59"/>
      <c r="K296" s="59"/>
      <c r="L296" s="59"/>
      <c r="M296" s="60"/>
      <c r="N296" s="60"/>
      <c r="O296" s="60"/>
      <c r="P296" s="59"/>
      <c r="Q296" s="59"/>
      <c r="R296" s="60"/>
      <c r="S296" s="60"/>
      <c r="T296" s="60"/>
      <c r="U296" s="60"/>
      <c r="V296" s="60"/>
      <c r="W296" s="60"/>
    </row>
    <row r="297" spans="1:23" ht="13" x14ac:dyDescent="0.3">
      <c r="A297" s="58"/>
      <c r="B297" s="58"/>
      <c r="C297" s="58"/>
      <c r="D297" s="58"/>
      <c r="E297" s="58"/>
      <c r="F297" s="58"/>
      <c r="G297" s="58"/>
      <c r="H297" s="59"/>
      <c r="I297" s="59"/>
      <c r="J297" s="59"/>
      <c r="K297" s="59"/>
      <c r="L297" s="59"/>
      <c r="M297" s="60"/>
      <c r="N297" s="60"/>
      <c r="O297" s="60"/>
      <c r="P297" s="59"/>
      <c r="Q297" s="59"/>
      <c r="R297" s="60"/>
      <c r="S297" s="60"/>
      <c r="T297" s="60"/>
      <c r="U297" s="60"/>
      <c r="V297" s="60"/>
      <c r="W297" s="60"/>
    </row>
    <row r="298" spans="1:23" ht="13" x14ac:dyDescent="0.3">
      <c r="A298" s="58"/>
      <c r="B298" s="58"/>
      <c r="C298" s="58"/>
      <c r="D298" s="58"/>
      <c r="E298" s="58"/>
      <c r="F298" s="58"/>
      <c r="G298" s="58"/>
      <c r="H298" s="59"/>
      <c r="I298" s="59"/>
      <c r="J298" s="59"/>
      <c r="K298" s="59"/>
      <c r="L298" s="59"/>
      <c r="M298" s="60"/>
      <c r="N298" s="60"/>
      <c r="O298" s="60"/>
      <c r="P298" s="59"/>
      <c r="Q298" s="59"/>
      <c r="R298" s="60"/>
      <c r="S298" s="60"/>
      <c r="T298" s="60"/>
      <c r="U298" s="60"/>
      <c r="V298" s="60"/>
      <c r="W298" s="60"/>
    </row>
    <row r="299" spans="1:23" ht="13" x14ac:dyDescent="0.3">
      <c r="A299" s="58"/>
      <c r="B299" s="58"/>
      <c r="C299" s="58"/>
      <c r="D299" s="58"/>
      <c r="E299" s="58"/>
      <c r="F299" s="58"/>
      <c r="G299" s="58"/>
      <c r="H299" s="59"/>
      <c r="I299" s="59"/>
      <c r="J299" s="59"/>
      <c r="K299" s="59"/>
      <c r="L299" s="59"/>
      <c r="M299" s="60"/>
      <c r="N299" s="60"/>
      <c r="O299" s="60"/>
      <c r="P299" s="59"/>
      <c r="Q299" s="59"/>
      <c r="R299" s="60"/>
      <c r="S299" s="60"/>
      <c r="T299" s="60"/>
      <c r="U299" s="60"/>
      <c r="V299" s="60"/>
      <c r="W299" s="60"/>
    </row>
    <row r="300" spans="1:23" ht="13" x14ac:dyDescent="0.3">
      <c r="A300" s="58"/>
      <c r="B300" s="58"/>
      <c r="C300" s="58"/>
      <c r="D300" s="58"/>
      <c r="E300" s="58"/>
      <c r="F300" s="58"/>
      <c r="G300" s="58"/>
      <c r="H300" s="59"/>
      <c r="I300" s="59"/>
      <c r="J300" s="59"/>
      <c r="K300" s="59"/>
      <c r="L300" s="59"/>
      <c r="M300" s="60"/>
      <c r="N300" s="60"/>
      <c r="O300" s="60"/>
      <c r="P300" s="59"/>
      <c r="Q300" s="59"/>
      <c r="R300" s="60"/>
      <c r="S300" s="60"/>
      <c r="T300" s="60"/>
      <c r="U300" s="60"/>
      <c r="V300" s="60"/>
      <c r="W300" s="60"/>
    </row>
    <row r="301" spans="1:23" ht="13" x14ac:dyDescent="0.3">
      <c r="A301" s="58"/>
      <c r="B301" s="58"/>
      <c r="C301" s="58"/>
      <c r="D301" s="58"/>
      <c r="E301" s="58"/>
      <c r="F301" s="58"/>
      <c r="G301" s="58"/>
      <c r="H301" s="59"/>
      <c r="I301" s="59"/>
      <c r="J301" s="59"/>
      <c r="K301" s="59"/>
      <c r="L301" s="59"/>
      <c r="M301" s="60"/>
      <c r="N301" s="60"/>
      <c r="O301" s="60"/>
      <c r="P301" s="59"/>
      <c r="Q301" s="59"/>
      <c r="R301" s="60"/>
      <c r="S301" s="60"/>
      <c r="T301" s="60"/>
      <c r="U301" s="60"/>
      <c r="V301" s="60"/>
      <c r="W301" s="60"/>
    </row>
    <row r="302" spans="1:23" ht="13" x14ac:dyDescent="0.3">
      <c r="A302" s="58"/>
      <c r="B302" s="58"/>
      <c r="C302" s="58"/>
      <c r="D302" s="58"/>
      <c r="E302" s="58"/>
      <c r="F302" s="58"/>
      <c r="G302" s="58"/>
      <c r="H302" s="59"/>
      <c r="I302" s="59"/>
      <c r="J302" s="59"/>
      <c r="K302" s="59"/>
      <c r="L302" s="59"/>
      <c r="M302" s="60"/>
      <c r="N302" s="60"/>
      <c r="O302" s="60"/>
      <c r="P302" s="59"/>
      <c r="Q302" s="59"/>
      <c r="R302" s="60"/>
      <c r="S302" s="60"/>
      <c r="T302" s="60"/>
      <c r="U302" s="60"/>
      <c r="V302" s="60"/>
      <c r="W302" s="60"/>
    </row>
    <row r="303" spans="1:23" ht="13" x14ac:dyDescent="0.3">
      <c r="A303" s="58"/>
      <c r="B303" s="58"/>
      <c r="C303" s="58"/>
      <c r="D303" s="58"/>
      <c r="E303" s="58"/>
      <c r="F303" s="58"/>
      <c r="G303" s="58"/>
      <c r="H303" s="59"/>
      <c r="I303" s="59"/>
      <c r="J303" s="59"/>
      <c r="K303" s="59"/>
      <c r="L303" s="59"/>
      <c r="M303" s="60"/>
      <c r="N303" s="60"/>
      <c r="O303" s="60"/>
      <c r="P303" s="59"/>
      <c r="Q303" s="59"/>
      <c r="R303" s="60"/>
      <c r="S303" s="60"/>
      <c r="T303" s="60"/>
      <c r="U303" s="60"/>
      <c r="V303" s="60"/>
      <c r="W303" s="60"/>
    </row>
    <row r="304" spans="1:23" ht="13" x14ac:dyDescent="0.3">
      <c r="A304" s="58"/>
      <c r="B304" s="58"/>
      <c r="C304" s="58"/>
      <c r="D304" s="58"/>
      <c r="E304" s="58"/>
      <c r="F304" s="58"/>
      <c r="G304" s="58"/>
      <c r="H304" s="59"/>
      <c r="I304" s="59"/>
      <c r="J304" s="59"/>
      <c r="K304" s="59"/>
      <c r="L304" s="59"/>
      <c r="M304" s="60"/>
      <c r="N304" s="60"/>
      <c r="O304" s="60"/>
      <c r="P304" s="59"/>
      <c r="Q304" s="59"/>
      <c r="R304" s="60"/>
      <c r="S304" s="60"/>
      <c r="T304" s="60"/>
      <c r="U304" s="60"/>
      <c r="V304" s="60"/>
      <c r="W304" s="60"/>
    </row>
    <row r="305" spans="1:23" ht="13" x14ac:dyDescent="0.3">
      <c r="A305" s="58"/>
      <c r="B305" s="58"/>
      <c r="C305" s="58"/>
      <c r="D305" s="58"/>
      <c r="E305" s="58"/>
      <c r="F305" s="58"/>
      <c r="G305" s="58"/>
      <c r="H305" s="59"/>
      <c r="I305" s="59"/>
      <c r="J305" s="59"/>
      <c r="K305" s="59"/>
      <c r="L305" s="59"/>
      <c r="M305" s="60"/>
      <c r="N305" s="60"/>
      <c r="O305" s="60"/>
      <c r="P305" s="59"/>
      <c r="Q305" s="59"/>
      <c r="R305" s="60"/>
      <c r="S305" s="60"/>
      <c r="T305" s="60"/>
      <c r="U305" s="60"/>
      <c r="V305" s="60"/>
      <c r="W305" s="60"/>
    </row>
    <row r="306" spans="1:23" ht="13" x14ac:dyDescent="0.3">
      <c r="A306" s="58"/>
      <c r="B306" s="58"/>
      <c r="C306" s="58"/>
      <c r="D306" s="58"/>
      <c r="E306" s="58"/>
      <c r="F306" s="58"/>
      <c r="G306" s="58"/>
      <c r="H306" s="59"/>
      <c r="I306" s="59"/>
      <c r="J306" s="59"/>
      <c r="K306" s="59"/>
      <c r="L306" s="59"/>
      <c r="M306" s="60"/>
      <c r="N306" s="60"/>
      <c r="O306" s="60"/>
      <c r="P306" s="59"/>
      <c r="Q306" s="59"/>
      <c r="R306" s="60"/>
      <c r="S306" s="60"/>
      <c r="T306" s="60"/>
      <c r="U306" s="60"/>
      <c r="V306" s="60"/>
      <c r="W306" s="60"/>
    </row>
    <row r="307" spans="1:23" ht="13" x14ac:dyDescent="0.3">
      <c r="A307" s="58"/>
      <c r="B307" s="58"/>
      <c r="C307" s="58"/>
      <c r="D307" s="58"/>
      <c r="E307" s="58"/>
      <c r="F307" s="58"/>
      <c r="G307" s="58"/>
      <c r="H307" s="59"/>
      <c r="I307" s="59"/>
      <c r="J307" s="59"/>
      <c r="K307" s="59"/>
      <c r="L307" s="59"/>
      <c r="M307" s="60"/>
      <c r="N307" s="60"/>
      <c r="O307" s="60"/>
      <c r="P307" s="59"/>
      <c r="Q307" s="59"/>
      <c r="R307" s="60"/>
      <c r="S307" s="60"/>
      <c r="T307" s="60"/>
      <c r="U307" s="60"/>
      <c r="V307" s="60"/>
      <c r="W307" s="60"/>
    </row>
    <row r="308" spans="1:23" ht="13" x14ac:dyDescent="0.3">
      <c r="A308" s="58"/>
      <c r="B308" s="58"/>
      <c r="C308" s="58"/>
      <c r="D308" s="58"/>
      <c r="E308" s="58"/>
      <c r="F308" s="58"/>
      <c r="G308" s="58"/>
      <c r="H308" s="59"/>
      <c r="I308" s="59"/>
      <c r="J308" s="59"/>
      <c r="K308" s="59"/>
      <c r="L308" s="59"/>
      <c r="M308" s="60"/>
      <c r="N308" s="60"/>
      <c r="O308" s="60"/>
      <c r="P308" s="59"/>
      <c r="Q308" s="59"/>
      <c r="R308" s="60"/>
      <c r="S308" s="60"/>
      <c r="T308" s="60"/>
      <c r="U308" s="60"/>
      <c r="V308" s="60"/>
      <c r="W308" s="60"/>
    </row>
    <row r="309" spans="1:23" ht="13" x14ac:dyDescent="0.3">
      <c r="A309" s="58"/>
      <c r="B309" s="58"/>
      <c r="C309" s="58"/>
      <c r="D309" s="58"/>
      <c r="E309" s="58"/>
      <c r="F309" s="58"/>
      <c r="G309" s="58"/>
      <c r="H309" s="59"/>
      <c r="I309" s="59"/>
      <c r="J309" s="59"/>
      <c r="K309" s="59"/>
      <c r="L309" s="59"/>
      <c r="M309" s="60"/>
      <c r="N309" s="60"/>
      <c r="O309" s="60"/>
      <c r="P309" s="59"/>
      <c r="Q309" s="59"/>
      <c r="R309" s="60"/>
      <c r="S309" s="60"/>
      <c r="T309" s="60"/>
      <c r="U309" s="60"/>
      <c r="V309" s="60"/>
      <c r="W309" s="60"/>
    </row>
    <row r="310" spans="1:23" ht="13" x14ac:dyDescent="0.3">
      <c r="A310" s="58"/>
      <c r="B310" s="58"/>
      <c r="C310" s="58"/>
      <c r="D310" s="58"/>
      <c r="E310" s="58"/>
      <c r="F310" s="58"/>
      <c r="G310" s="58"/>
      <c r="H310" s="59"/>
      <c r="I310" s="59"/>
      <c r="J310" s="59"/>
      <c r="K310" s="59"/>
      <c r="L310" s="59"/>
      <c r="M310" s="60"/>
      <c r="N310" s="60"/>
      <c r="O310" s="60"/>
      <c r="P310" s="59"/>
      <c r="Q310" s="59"/>
      <c r="R310" s="60"/>
      <c r="S310" s="60"/>
      <c r="T310" s="60"/>
      <c r="U310" s="60"/>
      <c r="V310" s="60"/>
      <c r="W310" s="60"/>
    </row>
    <row r="311" spans="1:23" ht="13" x14ac:dyDescent="0.3">
      <c r="A311" s="58"/>
      <c r="B311" s="58"/>
      <c r="C311" s="58"/>
      <c r="D311" s="58"/>
      <c r="E311" s="58"/>
      <c r="F311" s="58"/>
      <c r="G311" s="58"/>
      <c r="H311" s="59"/>
      <c r="I311" s="59"/>
      <c r="J311" s="59"/>
      <c r="K311" s="59"/>
      <c r="L311" s="59"/>
      <c r="M311" s="60"/>
      <c r="N311" s="60"/>
      <c r="O311" s="60"/>
      <c r="P311" s="59"/>
      <c r="Q311" s="59"/>
      <c r="R311" s="60"/>
      <c r="S311" s="60"/>
      <c r="T311" s="60"/>
      <c r="U311" s="60"/>
      <c r="V311" s="60"/>
      <c r="W311" s="60"/>
    </row>
    <row r="312" spans="1:23" ht="13" x14ac:dyDescent="0.3">
      <c r="A312" s="58"/>
      <c r="B312" s="58"/>
      <c r="C312" s="58"/>
      <c r="D312" s="58"/>
      <c r="E312" s="58"/>
      <c r="F312" s="58"/>
      <c r="G312" s="58"/>
      <c r="H312" s="59"/>
      <c r="I312" s="59"/>
      <c r="J312" s="59"/>
      <c r="K312" s="59"/>
      <c r="L312" s="59"/>
      <c r="M312" s="60"/>
      <c r="N312" s="60"/>
      <c r="O312" s="60"/>
      <c r="P312" s="59"/>
      <c r="Q312" s="59"/>
      <c r="R312" s="60"/>
      <c r="S312" s="60"/>
      <c r="T312" s="60"/>
      <c r="U312" s="60"/>
      <c r="V312" s="60"/>
      <c r="W312" s="60"/>
    </row>
    <row r="313" spans="1:23" ht="13" x14ac:dyDescent="0.3">
      <c r="A313" s="58"/>
      <c r="B313" s="58"/>
      <c r="C313" s="58"/>
      <c r="D313" s="58"/>
      <c r="E313" s="58"/>
      <c r="F313" s="58"/>
      <c r="G313" s="58"/>
      <c r="H313" s="59"/>
      <c r="I313" s="59"/>
      <c r="J313" s="59"/>
      <c r="K313" s="59"/>
      <c r="L313" s="59"/>
      <c r="M313" s="60"/>
      <c r="N313" s="60"/>
      <c r="O313" s="60"/>
      <c r="P313" s="59"/>
      <c r="Q313" s="59"/>
      <c r="R313" s="60"/>
      <c r="S313" s="60"/>
      <c r="T313" s="60"/>
      <c r="U313" s="60"/>
      <c r="V313" s="60"/>
      <c r="W313" s="60"/>
    </row>
    <row r="314" spans="1:23" ht="13" x14ac:dyDescent="0.3">
      <c r="A314" s="58"/>
      <c r="B314" s="58"/>
      <c r="C314" s="58"/>
      <c r="D314" s="58"/>
      <c r="E314" s="58"/>
      <c r="F314" s="58"/>
      <c r="G314" s="58"/>
      <c r="H314" s="59"/>
      <c r="I314" s="59"/>
      <c r="J314" s="59"/>
      <c r="K314" s="59"/>
      <c r="L314" s="59"/>
      <c r="M314" s="60"/>
      <c r="N314" s="60"/>
      <c r="O314" s="60"/>
      <c r="P314" s="59"/>
      <c r="Q314" s="59"/>
      <c r="R314" s="60"/>
      <c r="S314" s="60"/>
      <c r="T314" s="60"/>
      <c r="U314" s="60"/>
      <c r="V314" s="60"/>
      <c r="W314" s="60"/>
    </row>
    <row r="315" spans="1:23" ht="13" x14ac:dyDescent="0.3">
      <c r="A315" s="58"/>
      <c r="B315" s="58"/>
      <c r="C315" s="58"/>
      <c r="D315" s="58"/>
      <c r="E315" s="58"/>
      <c r="F315" s="58"/>
      <c r="G315" s="58"/>
      <c r="H315" s="59"/>
      <c r="I315" s="59"/>
      <c r="J315" s="59"/>
      <c r="K315" s="59"/>
      <c r="L315" s="59"/>
      <c r="M315" s="60"/>
      <c r="N315" s="60"/>
      <c r="O315" s="60"/>
      <c r="P315" s="59"/>
      <c r="Q315" s="59"/>
      <c r="R315" s="60"/>
      <c r="S315" s="60"/>
      <c r="T315" s="60"/>
      <c r="U315" s="60"/>
      <c r="V315" s="60"/>
      <c r="W315" s="60"/>
    </row>
    <row r="316" spans="1:23" ht="13" x14ac:dyDescent="0.3">
      <c r="A316" s="58"/>
      <c r="B316" s="58"/>
      <c r="C316" s="58"/>
      <c r="D316" s="58"/>
      <c r="E316" s="58"/>
      <c r="F316" s="58"/>
      <c r="G316" s="58"/>
      <c r="H316" s="59"/>
      <c r="I316" s="59"/>
      <c r="J316" s="59"/>
      <c r="K316" s="59"/>
      <c r="L316" s="59"/>
      <c r="M316" s="60"/>
      <c r="N316" s="60"/>
      <c r="O316" s="60"/>
      <c r="P316" s="59"/>
      <c r="Q316" s="59"/>
      <c r="R316" s="60"/>
      <c r="S316" s="60"/>
      <c r="T316" s="60"/>
      <c r="U316" s="60"/>
      <c r="V316" s="60"/>
      <c r="W316" s="60"/>
    </row>
    <row r="317" spans="1:23" ht="13" x14ac:dyDescent="0.3">
      <c r="A317" s="58"/>
      <c r="B317" s="58"/>
      <c r="C317" s="58"/>
      <c r="D317" s="58"/>
      <c r="E317" s="58"/>
      <c r="F317" s="58"/>
      <c r="G317" s="58"/>
      <c r="H317" s="59"/>
      <c r="I317" s="59"/>
      <c r="J317" s="59"/>
      <c r="K317" s="59"/>
      <c r="L317" s="59"/>
      <c r="M317" s="60"/>
      <c r="N317" s="60"/>
      <c r="O317" s="60"/>
      <c r="P317" s="59"/>
      <c r="Q317" s="59"/>
      <c r="R317" s="60"/>
      <c r="S317" s="60"/>
      <c r="T317" s="60"/>
      <c r="U317" s="60"/>
      <c r="V317" s="60"/>
      <c r="W317" s="60"/>
    </row>
    <row r="318" spans="1:23" ht="13" x14ac:dyDescent="0.3">
      <c r="A318" s="58"/>
      <c r="B318" s="58"/>
      <c r="C318" s="58"/>
      <c r="D318" s="58"/>
      <c r="E318" s="58"/>
      <c r="F318" s="58"/>
      <c r="G318" s="58"/>
      <c r="H318" s="59"/>
      <c r="I318" s="59"/>
      <c r="J318" s="59"/>
      <c r="K318" s="59"/>
      <c r="L318" s="59"/>
      <c r="M318" s="60"/>
      <c r="N318" s="60"/>
      <c r="O318" s="60"/>
      <c r="P318" s="59"/>
      <c r="Q318" s="59"/>
      <c r="R318" s="60"/>
      <c r="S318" s="60"/>
      <c r="T318" s="60"/>
      <c r="U318" s="60"/>
      <c r="V318" s="60"/>
      <c r="W318" s="60"/>
    </row>
    <row r="319" spans="1:23" ht="13" x14ac:dyDescent="0.3">
      <c r="A319" s="58"/>
      <c r="B319" s="58"/>
      <c r="C319" s="58"/>
      <c r="D319" s="58"/>
      <c r="E319" s="58"/>
      <c r="F319" s="58"/>
      <c r="G319" s="58"/>
      <c r="H319" s="59"/>
      <c r="I319" s="59"/>
      <c r="J319" s="59"/>
      <c r="K319" s="59"/>
      <c r="L319" s="59"/>
      <c r="M319" s="60"/>
      <c r="N319" s="60"/>
      <c r="O319" s="60"/>
      <c r="P319" s="59"/>
      <c r="Q319" s="59"/>
      <c r="R319" s="60"/>
      <c r="S319" s="60"/>
      <c r="T319" s="60"/>
      <c r="U319" s="60"/>
      <c r="V319" s="60"/>
      <c r="W319" s="60"/>
    </row>
    <row r="320" spans="1:23" ht="13" x14ac:dyDescent="0.3">
      <c r="A320" s="58"/>
      <c r="B320" s="58"/>
      <c r="C320" s="58"/>
      <c r="D320" s="58"/>
      <c r="E320" s="58"/>
      <c r="F320" s="58"/>
      <c r="G320" s="58"/>
      <c r="H320" s="59"/>
      <c r="I320" s="59"/>
      <c r="J320" s="59"/>
      <c r="K320" s="59"/>
      <c r="L320" s="59"/>
      <c r="M320" s="60"/>
      <c r="N320" s="60"/>
      <c r="O320" s="60"/>
      <c r="P320" s="59"/>
      <c r="Q320" s="59"/>
      <c r="R320" s="60"/>
      <c r="S320" s="60"/>
      <c r="T320" s="60"/>
      <c r="U320" s="60"/>
      <c r="V320" s="60"/>
      <c r="W320" s="60"/>
    </row>
    <row r="321" spans="1:23" ht="13" x14ac:dyDescent="0.3">
      <c r="A321" s="58"/>
      <c r="B321" s="58"/>
      <c r="C321" s="58"/>
      <c r="D321" s="58"/>
      <c r="E321" s="58"/>
      <c r="F321" s="58"/>
      <c r="G321" s="58"/>
      <c r="H321" s="59"/>
      <c r="I321" s="59"/>
      <c r="J321" s="59"/>
      <c r="K321" s="59"/>
      <c r="L321" s="59"/>
      <c r="M321" s="60"/>
      <c r="N321" s="60"/>
      <c r="O321" s="60"/>
      <c r="P321" s="59"/>
      <c r="Q321" s="59"/>
      <c r="R321" s="60"/>
      <c r="S321" s="60"/>
      <c r="T321" s="60"/>
      <c r="U321" s="60"/>
      <c r="V321" s="60"/>
      <c r="W321" s="60"/>
    </row>
    <row r="322" spans="1:23" ht="13" x14ac:dyDescent="0.3">
      <c r="A322" s="58"/>
      <c r="B322" s="58"/>
      <c r="C322" s="58"/>
      <c r="D322" s="58"/>
      <c r="E322" s="58"/>
      <c r="F322" s="58"/>
      <c r="G322" s="58"/>
      <c r="H322" s="59"/>
      <c r="I322" s="59"/>
      <c r="J322" s="59"/>
      <c r="K322" s="59"/>
      <c r="L322" s="59"/>
      <c r="M322" s="60"/>
      <c r="N322" s="60"/>
      <c r="O322" s="60"/>
      <c r="P322" s="59"/>
      <c r="Q322" s="59"/>
      <c r="R322" s="60"/>
      <c r="S322" s="60"/>
      <c r="T322" s="60"/>
      <c r="U322" s="60"/>
      <c r="V322" s="60"/>
      <c r="W322" s="60"/>
    </row>
    <row r="323" spans="1:23" ht="13" x14ac:dyDescent="0.3">
      <c r="A323" s="58"/>
      <c r="B323" s="58"/>
      <c r="C323" s="58"/>
      <c r="D323" s="58"/>
      <c r="E323" s="58"/>
      <c r="F323" s="58"/>
      <c r="G323" s="58"/>
      <c r="H323" s="59"/>
      <c r="I323" s="59"/>
      <c r="J323" s="59"/>
      <c r="K323" s="59"/>
      <c r="L323" s="59"/>
      <c r="M323" s="60"/>
      <c r="N323" s="60"/>
      <c r="O323" s="60"/>
      <c r="P323" s="59"/>
      <c r="Q323" s="59"/>
      <c r="R323" s="60"/>
      <c r="S323" s="60"/>
      <c r="T323" s="60"/>
      <c r="U323" s="60"/>
      <c r="V323" s="60"/>
      <c r="W323" s="60"/>
    </row>
    <row r="324" spans="1:23" ht="13" x14ac:dyDescent="0.3">
      <c r="A324" s="58"/>
      <c r="B324" s="58"/>
      <c r="C324" s="58"/>
      <c r="D324" s="58"/>
      <c r="E324" s="58"/>
      <c r="F324" s="58"/>
      <c r="G324" s="58"/>
      <c r="H324" s="59"/>
      <c r="I324" s="59"/>
      <c r="J324" s="59"/>
      <c r="K324" s="59"/>
      <c r="L324" s="59"/>
      <c r="M324" s="60"/>
      <c r="N324" s="60"/>
      <c r="O324" s="60"/>
      <c r="P324" s="59"/>
      <c r="Q324" s="59"/>
      <c r="R324" s="60"/>
      <c r="S324" s="60"/>
      <c r="T324" s="60"/>
      <c r="U324" s="60"/>
      <c r="V324" s="60"/>
      <c r="W324" s="60"/>
    </row>
    <row r="325" spans="1:23" ht="13" x14ac:dyDescent="0.3">
      <c r="A325" s="58"/>
      <c r="B325" s="58"/>
      <c r="C325" s="58"/>
      <c r="D325" s="58"/>
      <c r="E325" s="58"/>
      <c r="F325" s="58"/>
      <c r="G325" s="58"/>
      <c r="H325" s="59"/>
      <c r="I325" s="59"/>
      <c r="J325" s="59"/>
      <c r="K325" s="59"/>
      <c r="L325" s="59"/>
      <c r="M325" s="60"/>
      <c r="N325" s="60"/>
      <c r="O325" s="60"/>
      <c r="P325" s="59"/>
      <c r="Q325" s="59"/>
      <c r="R325" s="60"/>
      <c r="S325" s="60"/>
      <c r="T325" s="60"/>
      <c r="U325" s="60"/>
      <c r="V325" s="60"/>
      <c r="W325" s="60"/>
    </row>
    <row r="326" spans="1:23" ht="13" x14ac:dyDescent="0.3">
      <c r="A326" s="58"/>
      <c r="B326" s="58"/>
      <c r="C326" s="58"/>
      <c r="D326" s="58"/>
      <c r="E326" s="58"/>
      <c r="F326" s="58"/>
      <c r="G326" s="58"/>
      <c r="H326" s="59"/>
      <c r="I326" s="59"/>
      <c r="J326" s="59"/>
      <c r="K326" s="59"/>
      <c r="L326" s="59"/>
      <c r="M326" s="60"/>
      <c r="N326" s="60"/>
      <c r="O326" s="60"/>
      <c r="P326" s="59"/>
      <c r="Q326" s="59"/>
      <c r="R326" s="60"/>
      <c r="S326" s="60"/>
      <c r="T326" s="60"/>
      <c r="U326" s="60"/>
      <c r="V326" s="60"/>
      <c r="W326" s="60"/>
    </row>
    <row r="327" spans="1:23" ht="13" x14ac:dyDescent="0.3">
      <c r="A327" s="58"/>
      <c r="B327" s="58"/>
      <c r="C327" s="58"/>
      <c r="D327" s="58"/>
      <c r="E327" s="58"/>
      <c r="F327" s="58"/>
      <c r="G327" s="58"/>
      <c r="H327" s="59"/>
      <c r="I327" s="59"/>
      <c r="J327" s="59"/>
      <c r="K327" s="59"/>
      <c r="L327" s="59"/>
      <c r="M327" s="60"/>
      <c r="N327" s="60"/>
      <c r="O327" s="60"/>
      <c r="P327" s="59"/>
      <c r="Q327" s="59"/>
      <c r="R327" s="60"/>
      <c r="S327" s="60"/>
      <c r="T327" s="60"/>
      <c r="U327" s="60"/>
      <c r="V327" s="60"/>
      <c r="W327" s="60"/>
    </row>
    <row r="328" spans="1:23" ht="13" x14ac:dyDescent="0.3">
      <c r="A328" s="58"/>
      <c r="B328" s="58"/>
      <c r="C328" s="58"/>
      <c r="D328" s="58"/>
      <c r="E328" s="58"/>
      <c r="F328" s="58"/>
      <c r="G328" s="58"/>
      <c r="H328" s="59"/>
      <c r="I328" s="59"/>
      <c r="J328" s="59"/>
      <c r="K328" s="59"/>
      <c r="L328" s="59"/>
      <c r="M328" s="60"/>
      <c r="N328" s="60"/>
      <c r="O328" s="60"/>
      <c r="P328" s="59"/>
      <c r="Q328" s="59"/>
      <c r="R328" s="60"/>
      <c r="S328" s="60"/>
      <c r="T328" s="60"/>
      <c r="U328" s="60"/>
      <c r="V328" s="60"/>
      <c r="W328" s="60"/>
    </row>
    <row r="329" spans="1:23" ht="13" x14ac:dyDescent="0.3">
      <c r="A329" s="58"/>
      <c r="B329" s="58"/>
      <c r="C329" s="58"/>
      <c r="D329" s="58"/>
      <c r="E329" s="58"/>
      <c r="F329" s="58"/>
      <c r="G329" s="58"/>
      <c r="H329" s="59"/>
      <c r="I329" s="59"/>
      <c r="J329" s="59"/>
      <c r="K329" s="59"/>
      <c r="L329" s="59"/>
      <c r="M329" s="60"/>
      <c r="N329" s="60"/>
      <c r="O329" s="60"/>
      <c r="P329" s="59"/>
      <c r="Q329" s="59"/>
      <c r="R329" s="60"/>
      <c r="S329" s="60"/>
      <c r="T329" s="60"/>
      <c r="U329" s="60"/>
      <c r="V329" s="60"/>
      <c r="W329" s="60"/>
    </row>
    <row r="330" spans="1:23" ht="13" x14ac:dyDescent="0.3">
      <c r="A330" s="58"/>
      <c r="B330" s="58"/>
      <c r="C330" s="58"/>
      <c r="D330" s="58"/>
      <c r="E330" s="58"/>
      <c r="F330" s="58"/>
      <c r="G330" s="58"/>
      <c r="H330" s="59"/>
      <c r="I330" s="59"/>
      <c r="J330" s="59"/>
      <c r="K330" s="59"/>
      <c r="L330" s="59"/>
      <c r="M330" s="60"/>
      <c r="N330" s="60"/>
      <c r="O330" s="60"/>
      <c r="P330" s="59"/>
      <c r="Q330" s="59"/>
      <c r="R330" s="60"/>
      <c r="S330" s="60"/>
      <c r="T330" s="60"/>
      <c r="U330" s="60"/>
      <c r="V330" s="60"/>
      <c r="W330" s="60"/>
    </row>
    <row r="331" spans="1:23" ht="13" x14ac:dyDescent="0.3">
      <c r="A331" s="58"/>
      <c r="B331" s="58"/>
      <c r="C331" s="58"/>
      <c r="D331" s="58"/>
      <c r="E331" s="58"/>
      <c r="F331" s="58"/>
      <c r="G331" s="58"/>
      <c r="H331" s="59"/>
      <c r="I331" s="59"/>
      <c r="J331" s="59"/>
      <c r="K331" s="59"/>
      <c r="L331" s="59"/>
      <c r="M331" s="60"/>
      <c r="N331" s="60"/>
      <c r="O331" s="60"/>
      <c r="P331" s="59"/>
      <c r="Q331" s="59"/>
      <c r="R331" s="60"/>
      <c r="S331" s="60"/>
      <c r="T331" s="60"/>
      <c r="U331" s="60"/>
      <c r="V331" s="60"/>
      <c r="W331" s="60"/>
    </row>
    <row r="332" spans="1:23" ht="13" x14ac:dyDescent="0.3">
      <c r="A332" s="58"/>
      <c r="B332" s="58"/>
      <c r="C332" s="58"/>
      <c r="D332" s="58"/>
      <c r="E332" s="58"/>
      <c r="F332" s="58"/>
      <c r="G332" s="58"/>
      <c r="H332" s="59"/>
      <c r="I332" s="59"/>
      <c r="J332" s="59"/>
      <c r="K332" s="59"/>
      <c r="L332" s="59"/>
      <c r="M332" s="60"/>
      <c r="N332" s="60"/>
      <c r="O332" s="60"/>
      <c r="P332" s="59"/>
      <c r="Q332" s="59"/>
      <c r="R332" s="60"/>
      <c r="S332" s="60"/>
      <c r="T332" s="60"/>
      <c r="U332" s="60"/>
      <c r="V332" s="60"/>
      <c r="W332" s="60"/>
    </row>
    <row r="333" spans="1:23" ht="13" x14ac:dyDescent="0.3">
      <c r="A333" s="58"/>
      <c r="B333" s="58"/>
      <c r="C333" s="58"/>
      <c r="D333" s="58"/>
      <c r="E333" s="58"/>
      <c r="F333" s="58"/>
      <c r="G333" s="58"/>
      <c r="H333" s="59"/>
      <c r="I333" s="59"/>
      <c r="J333" s="59"/>
      <c r="K333" s="59"/>
      <c r="L333" s="59"/>
      <c r="M333" s="60"/>
      <c r="N333" s="60"/>
      <c r="O333" s="60"/>
      <c r="P333" s="59"/>
      <c r="Q333" s="59"/>
      <c r="R333" s="60"/>
      <c r="S333" s="60"/>
      <c r="T333" s="60"/>
      <c r="U333" s="60"/>
      <c r="V333" s="60"/>
      <c r="W333" s="60"/>
    </row>
    <row r="334" spans="1:23" ht="13" x14ac:dyDescent="0.3">
      <c r="A334" s="58"/>
      <c r="B334" s="58"/>
      <c r="C334" s="58"/>
      <c r="D334" s="58"/>
      <c r="E334" s="58"/>
      <c r="F334" s="58"/>
      <c r="G334" s="58"/>
      <c r="H334" s="59"/>
      <c r="I334" s="59"/>
      <c r="J334" s="59"/>
      <c r="K334" s="59"/>
      <c r="L334" s="59"/>
      <c r="M334" s="60"/>
      <c r="N334" s="60"/>
      <c r="O334" s="60"/>
      <c r="P334" s="59"/>
      <c r="Q334" s="59"/>
      <c r="R334" s="60"/>
      <c r="S334" s="60"/>
      <c r="T334" s="60"/>
      <c r="U334" s="60"/>
      <c r="V334" s="60"/>
      <c r="W334" s="60"/>
    </row>
    <row r="335" spans="1:23" ht="13" x14ac:dyDescent="0.3">
      <c r="A335" s="58"/>
      <c r="B335" s="58"/>
      <c r="C335" s="58"/>
      <c r="D335" s="58"/>
      <c r="E335" s="58"/>
      <c r="F335" s="58"/>
      <c r="G335" s="58"/>
      <c r="H335" s="59"/>
      <c r="I335" s="59"/>
      <c r="J335" s="59"/>
      <c r="K335" s="59"/>
      <c r="L335" s="59"/>
      <c r="M335" s="60"/>
      <c r="N335" s="60"/>
      <c r="O335" s="60"/>
      <c r="P335" s="59"/>
      <c r="Q335" s="59"/>
      <c r="R335" s="60"/>
      <c r="S335" s="60"/>
      <c r="T335" s="60"/>
      <c r="U335" s="60"/>
      <c r="V335" s="60"/>
      <c r="W335" s="60"/>
    </row>
    <row r="336" spans="1:23" ht="13" x14ac:dyDescent="0.3">
      <c r="A336" s="58"/>
      <c r="B336" s="58"/>
      <c r="C336" s="58"/>
      <c r="D336" s="58"/>
      <c r="E336" s="58"/>
      <c r="F336" s="58"/>
      <c r="G336" s="58"/>
      <c r="H336" s="59"/>
      <c r="I336" s="59"/>
      <c r="J336" s="59"/>
      <c r="K336" s="59"/>
      <c r="L336" s="59"/>
      <c r="M336" s="60"/>
      <c r="N336" s="60"/>
      <c r="O336" s="60"/>
      <c r="P336" s="59"/>
      <c r="Q336" s="59"/>
      <c r="R336" s="60"/>
      <c r="S336" s="60"/>
      <c r="T336" s="60"/>
      <c r="U336" s="60"/>
      <c r="V336" s="60"/>
      <c r="W336" s="60"/>
    </row>
    <row r="337" spans="1:23" ht="13" x14ac:dyDescent="0.3">
      <c r="A337" s="58"/>
      <c r="B337" s="58"/>
      <c r="C337" s="58"/>
      <c r="D337" s="58"/>
      <c r="E337" s="58"/>
      <c r="F337" s="58"/>
      <c r="G337" s="58"/>
      <c r="H337" s="59"/>
      <c r="I337" s="59"/>
      <c r="J337" s="59"/>
      <c r="K337" s="59"/>
      <c r="L337" s="59"/>
      <c r="M337" s="60"/>
      <c r="N337" s="60"/>
      <c r="O337" s="60"/>
      <c r="P337" s="59"/>
      <c r="Q337" s="59"/>
      <c r="R337" s="60"/>
      <c r="S337" s="60"/>
      <c r="T337" s="60"/>
      <c r="U337" s="60"/>
      <c r="V337" s="60"/>
      <c r="W337" s="60"/>
    </row>
    <row r="338" spans="1:23" ht="13" x14ac:dyDescent="0.3">
      <c r="A338" s="58"/>
      <c r="B338" s="58"/>
      <c r="C338" s="58"/>
      <c r="D338" s="58"/>
      <c r="E338" s="58"/>
      <c r="F338" s="58"/>
      <c r="G338" s="58"/>
      <c r="H338" s="59"/>
      <c r="I338" s="59"/>
      <c r="J338" s="59"/>
      <c r="K338" s="59"/>
      <c r="L338" s="59"/>
      <c r="M338" s="60"/>
      <c r="N338" s="60"/>
      <c r="O338" s="60"/>
      <c r="P338" s="59"/>
      <c r="Q338" s="59"/>
      <c r="R338" s="60"/>
      <c r="S338" s="60"/>
      <c r="T338" s="60"/>
      <c r="U338" s="60"/>
      <c r="V338" s="60"/>
      <c r="W338" s="60"/>
    </row>
    <row r="339" spans="1:23" ht="13" x14ac:dyDescent="0.3">
      <c r="A339" s="58"/>
      <c r="B339" s="58"/>
      <c r="C339" s="58"/>
      <c r="D339" s="58"/>
      <c r="E339" s="58"/>
      <c r="F339" s="58"/>
      <c r="G339" s="58"/>
      <c r="H339" s="59"/>
      <c r="I339" s="59"/>
      <c r="J339" s="59"/>
      <c r="K339" s="59"/>
      <c r="L339" s="59"/>
      <c r="M339" s="60"/>
      <c r="N339" s="60"/>
      <c r="O339" s="60"/>
      <c r="P339" s="59"/>
      <c r="Q339" s="59"/>
      <c r="R339" s="60"/>
      <c r="S339" s="60"/>
      <c r="T339" s="60"/>
      <c r="U339" s="60"/>
      <c r="V339" s="60"/>
      <c r="W339" s="60"/>
    </row>
    <row r="340" spans="1:23" ht="13" x14ac:dyDescent="0.3">
      <c r="A340" s="58"/>
      <c r="B340" s="58"/>
      <c r="C340" s="58"/>
      <c r="D340" s="58"/>
      <c r="E340" s="58"/>
      <c r="F340" s="58"/>
      <c r="G340" s="58"/>
      <c r="H340" s="59"/>
      <c r="I340" s="59"/>
      <c r="J340" s="59"/>
      <c r="K340" s="59"/>
      <c r="L340" s="59"/>
      <c r="M340" s="60"/>
      <c r="N340" s="60"/>
      <c r="O340" s="60"/>
      <c r="P340" s="59"/>
      <c r="Q340" s="59"/>
      <c r="R340" s="60"/>
      <c r="S340" s="60"/>
      <c r="T340" s="60"/>
      <c r="U340" s="60"/>
      <c r="V340" s="60"/>
      <c r="W340" s="60"/>
    </row>
    <row r="341" spans="1:23" ht="13" x14ac:dyDescent="0.3">
      <c r="A341" s="58"/>
      <c r="B341" s="58"/>
      <c r="C341" s="58"/>
      <c r="D341" s="58"/>
      <c r="E341" s="58"/>
      <c r="F341" s="58"/>
      <c r="G341" s="58"/>
      <c r="H341" s="59"/>
      <c r="I341" s="59"/>
      <c r="J341" s="59"/>
      <c r="K341" s="59"/>
      <c r="L341" s="59"/>
      <c r="M341" s="60"/>
      <c r="N341" s="60"/>
      <c r="O341" s="60"/>
      <c r="P341" s="59"/>
      <c r="Q341" s="59"/>
      <c r="R341" s="60"/>
      <c r="S341" s="60"/>
      <c r="T341" s="60"/>
      <c r="U341" s="60"/>
      <c r="V341" s="60"/>
      <c r="W341" s="60"/>
    </row>
    <row r="342" spans="1:23" ht="13" x14ac:dyDescent="0.3">
      <c r="A342" s="58"/>
      <c r="B342" s="58"/>
      <c r="C342" s="58"/>
      <c r="D342" s="58"/>
      <c r="E342" s="58"/>
      <c r="F342" s="58"/>
      <c r="G342" s="58"/>
      <c r="H342" s="59"/>
      <c r="I342" s="59"/>
      <c r="J342" s="59"/>
      <c r="K342" s="59"/>
      <c r="L342" s="59"/>
      <c r="M342" s="60"/>
      <c r="N342" s="60"/>
      <c r="O342" s="60"/>
      <c r="P342" s="59"/>
      <c r="Q342" s="59"/>
      <c r="R342" s="60"/>
      <c r="S342" s="60"/>
      <c r="T342" s="60"/>
      <c r="U342" s="60"/>
      <c r="V342" s="60"/>
      <c r="W342" s="60"/>
    </row>
    <row r="343" spans="1:23" ht="13" x14ac:dyDescent="0.3">
      <c r="A343" s="58"/>
      <c r="B343" s="58"/>
      <c r="C343" s="58"/>
      <c r="D343" s="58"/>
      <c r="E343" s="58"/>
      <c r="F343" s="58"/>
      <c r="G343" s="58"/>
      <c r="H343" s="59"/>
      <c r="I343" s="59"/>
      <c r="J343" s="59"/>
      <c r="K343" s="59"/>
      <c r="L343" s="59"/>
      <c r="M343" s="60"/>
      <c r="N343" s="60"/>
      <c r="O343" s="60"/>
      <c r="P343" s="59"/>
      <c r="Q343" s="59"/>
      <c r="R343" s="60"/>
      <c r="S343" s="60"/>
      <c r="T343" s="60"/>
      <c r="U343" s="60"/>
      <c r="V343" s="60"/>
      <c r="W343" s="60"/>
    </row>
    <row r="344" spans="1:23" ht="13" x14ac:dyDescent="0.3">
      <c r="A344" s="58"/>
      <c r="B344" s="58"/>
      <c r="C344" s="58"/>
      <c r="D344" s="58"/>
      <c r="E344" s="58"/>
      <c r="F344" s="58"/>
      <c r="G344" s="58"/>
      <c r="H344" s="59"/>
      <c r="I344" s="59"/>
      <c r="J344" s="59"/>
      <c r="K344" s="59"/>
      <c r="L344" s="59"/>
      <c r="M344" s="60"/>
      <c r="N344" s="60"/>
      <c r="O344" s="60"/>
      <c r="P344" s="59"/>
      <c r="Q344" s="59"/>
      <c r="R344" s="60"/>
      <c r="S344" s="60"/>
      <c r="T344" s="60"/>
      <c r="U344" s="60"/>
      <c r="V344" s="60"/>
      <c r="W344" s="60"/>
    </row>
    <row r="345" spans="1:23" ht="13" x14ac:dyDescent="0.3">
      <c r="A345" s="58"/>
      <c r="B345" s="58"/>
      <c r="C345" s="58"/>
      <c r="D345" s="58"/>
      <c r="E345" s="58"/>
      <c r="F345" s="58"/>
      <c r="G345" s="58"/>
      <c r="H345" s="59"/>
      <c r="I345" s="59"/>
      <c r="J345" s="59"/>
      <c r="K345" s="59"/>
      <c r="L345" s="59"/>
      <c r="M345" s="60"/>
      <c r="N345" s="60"/>
      <c r="O345" s="60"/>
      <c r="P345" s="59"/>
      <c r="Q345" s="59"/>
      <c r="R345" s="60"/>
      <c r="S345" s="60"/>
      <c r="T345" s="60"/>
      <c r="U345" s="60"/>
      <c r="V345" s="60"/>
      <c r="W345" s="60"/>
    </row>
    <row r="346" spans="1:23" ht="13" x14ac:dyDescent="0.3">
      <c r="A346" s="58"/>
      <c r="B346" s="58"/>
      <c r="C346" s="58"/>
      <c r="D346" s="58"/>
      <c r="E346" s="58"/>
      <c r="F346" s="58"/>
      <c r="G346" s="58"/>
      <c r="H346" s="59"/>
      <c r="I346" s="59"/>
      <c r="J346" s="59"/>
      <c r="K346" s="59"/>
      <c r="L346" s="59"/>
      <c r="M346" s="60"/>
      <c r="N346" s="60"/>
      <c r="O346" s="60"/>
      <c r="P346" s="59"/>
      <c r="Q346" s="59"/>
      <c r="R346" s="60"/>
      <c r="S346" s="60"/>
      <c r="T346" s="60"/>
      <c r="U346" s="60"/>
      <c r="V346" s="60"/>
      <c r="W346" s="60"/>
    </row>
    <row r="347" spans="1:23" ht="13" x14ac:dyDescent="0.3">
      <c r="A347" s="58"/>
      <c r="B347" s="58"/>
      <c r="C347" s="58"/>
      <c r="D347" s="58"/>
      <c r="E347" s="58"/>
      <c r="F347" s="58"/>
      <c r="G347" s="58"/>
      <c r="H347" s="59"/>
      <c r="I347" s="59"/>
      <c r="J347" s="59"/>
      <c r="K347" s="59"/>
      <c r="L347" s="59"/>
      <c r="M347" s="60"/>
      <c r="N347" s="60"/>
      <c r="O347" s="60"/>
      <c r="P347" s="59"/>
      <c r="Q347" s="59"/>
      <c r="R347" s="60"/>
      <c r="S347" s="60"/>
      <c r="T347" s="60"/>
      <c r="U347" s="60"/>
      <c r="V347" s="60"/>
      <c r="W347" s="60"/>
    </row>
    <row r="348" spans="1:23" ht="13" x14ac:dyDescent="0.3">
      <c r="A348" s="58"/>
      <c r="B348" s="58"/>
      <c r="C348" s="58"/>
      <c r="D348" s="58"/>
      <c r="E348" s="58"/>
      <c r="F348" s="58"/>
      <c r="G348" s="58"/>
      <c r="H348" s="59"/>
      <c r="I348" s="59"/>
      <c r="J348" s="59"/>
      <c r="K348" s="59"/>
      <c r="L348" s="59"/>
      <c r="M348" s="60"/>
      <c r="N348" s="60"/>
      <c r="O348" s="60"/>
      <c r="P348" s="59"/>
      <c r="Q348" s="59"/>
      <c r="R348" s="60"/>
      <c r="S348" s="60"/>
      <c r="T348" s="60"/>
      <c r="U348" s="60"/>
      <c r="V348" s="60"/>
      <c r="W348" s="60"/>
    </row>
    <row r="349" spans="1:23" ht="13" x14ac:dyDescent="0.3">
      <c r="A349" s="58"/>
      <c r="B349" s="58"/>
      <c r="C349" s="58"/>
      <c r="D349" s="58"/>
      <c r="E349" s="58"/>
      <c r="F349" s="58"/>
      <c r="G349" s="58"/>
      <c r="H349" s="59"/>
      <c r="I349" s="59"/>
      <c r="J349" s="59"/>
      <c r="K349" s="59"/>
      <c r="L349" s="59"/>
      <c r="M349" s="60"/>
      <c r="N349" s="60"/>
      <c r="O349" s="60"/>
      <c r="P349" s="59"/>
      <c r="Q349" s="59"/>
      <c r="R349" s="60"/>
      <c r="S349" s="60"/>
      <c r="T349" s="60"/>
      <c r="U349" s="60"/>
      <c r="V349" s="60"/>
      <c r="W349" s="60"/>
    </row>
    <row r="350" spans="1:23" ht="13" x14ac:dyDescent="0.3">
      <c r="A350" s="58"/>
      <c r="B350" s="58"/>
      <c r="C350" s="58"/>
      <c r="D350" s="58"/>
      <c r="E350" s="58"/>
      <c r="F350" s="58"/>
      <c r="G350" s="58"/>
      <c r="H350" s="59"/>
      <c r="I350" s="59"/>
      <c r="J350" s="59"/>
      <c r="K350" s="59"/>
      <c r="L350" s="59"/>
      <c r="M350" s="60"/>
      <c r="N350" s="60"/>
      <c r="O350" s="60"/>
      <c r="P350" s="59"/>
      <c r="Q350" s="59"/>
      <c r="R350" s="60"/>
      <c r="S350" s="60"/>
      <c r="T350" s="60"/>
      <c r="U350" s="60"/>
      <c r="V350" s="60"/>
      <c r="W350" s="60"/>
    </row>
    <row r="351" spans="1:23" ht="13" x14ac:dyDescent="0.3">
      <c r="A351" s="58"/>
      <c r="B351" s="58"/>
      <c r="C351" s="58"/>
      <c r="D351" s="58"/>
      <c r="E351" s="58"/>
      <c r="F351" s="58"/>
      <c r="G351" s="58"/>
      <c r="H351" s="59"/>
      <c r="I351" s="59"/>
      <c r="J351" s="59"/>
      <c r="K351" s="59"/>
      <c r="L351" s="59"/>
      <c r="M351" s="60"/>
      <c r="N351" s="60"/>
      <c r="O351" s="60"/>
      <c r="P351" s="59"/>
      <c r="Q351" s="59"/>
      <c r="R351" s="60"/>
      <c r="S351" s="60"/>
      <c r="T351" s="60"/>
      <c r="U351" s="60"/>
      <c r="V351" s="60"/>
      <c r="W351" s="60"/>
    </row>
    <row r="352" spans="1:23" ht="13" x14ac:dyDescent="0.3">
      <c r="A352" s="58"/>
      <c r="B352" s="58"/>
      <c r="C352" s="58"/>
      <c r="D352" s="58"/>
      <c r="E352" s="58"/>
      <c r="F352" s="58"/>
      <c r="G352" s="58"/>
      <c r="H352" s="59"/>
      <c r="I352" s="59"/>
      <c r="J352" s="59"/>
      <c r="K352" s="59"/>
      <c r="L352" s="59"/>
      <c r="M352" s="60"/>
      <c r="N352" s="60"/>
      <c r="O352" s="60"/>
      <c r="P352" s="59"/>
      <c r="Q352" s="59"/>
      <c r="R352" s="60"/>
      <c r="S352" s="60"/>
      <c r="T352" s="60"/>
      <c r="U352" s="60"/>
      <c r="V352" s="60"/>
      <c r="W352" s="60"/>
    </row>
    <row r="353" spans="1:23" ht="13" x14ac:dyDescent="0.3">
      <c r="A353" s="58"/>
      <c r="B353" s="58"/>
      <c r="C353" s="58"/>
      <c r="D353" s="58"/>
      <c r="E353" s="58"/>
      <c r="F353" s="58"/>
      <c r="G353" s="58"/>
      <c r="H353" s="59"/>
      <c r="I353" s="59"/>
      <c r="J353" s="59"/>
      <c r="K353" s="59"/>
      <c r="L353" s="59"/>
      <c r="M353" s="60"/>
      <c r="N353" s="60"/>
      <c r="O353" s="60"/>
      <c r="P353" s="59"/>
      <c r="Q353" s="59"/>
      <c r="R353" s="60"/>
      <c r="S353" s="60"/>
      <c r="T353" s="60"/>
      <c r="U353" s="60"/>
      <c r="V353" s="60"/>
      <c r="W353" s="60"/>
    </row>
    <row r="354" spans="1:23" ht="13" x14ac:dyDescent="0.3">
      <c r="A354" s="58"/>
      <c r="B354" s="58"/>
      <c r="C354" s="58"/>
      <c r="D354" s="58"/>
      <c r="E354" s="58"/>
      <c r="F354" s="58"/>
      <c r="G354" s="58"/>
      <c r="H354" s="59"/>
      <c r="I354" s="59"/>
      <c r="J354" s="59"/>
      <c r="K354" s="59"/>
      <c r="L354" s="59"/>
      <c r="M354" s="60"/>
      <c r="N354" s="60"/>
      <c r="O354" s="60"/>
      <c r="P354" s="59"/>
      <c r="Q354" s="59"/>
      <c r="R354" s="60"/>
      <c r="S354" s="60"/>
      <c r="T354" s="60"/>
      <c r="U354" s="60"/>
      <c r="V354" s="60"/>
      <c r="W354" s="60"/>
    </row>
    <row r="355" spans="1:23" ht="13" x14ac:dyDescent="0.3">
      <c r="A355" s="58"/>
      <c r="B355" s="58"/>
      <c r="C355" s="58"/>
      <c r="D355" s="58"/>
      <c r="E355" s="58"/>
      <c r="F355" s="58"/>
      <c r="G355" s="58"/>
      <c r="H355" s="59"/>
      <c r="I355" s="59"/>
      <c r="J355" s="59"/>
      <c r="K355" s="59"/>
      <c r="L355" s="59"/>
      <c r="M355" s="60"/>
      <c r="N355" s="60"/>
      <c r="O355" s="60"/>
      <c r="P355" s="59"/>
      <c r="Q355" s="59"/>
      <c r="R355" s="60"/>
      <c r="S355" s="60"/>
      <c r="T355" s="60"/>
      <c r="U355" s="60"/>
      <c r="V355" s="60"/>
      <c r="W355" s="60"/>
    </row>
    <row r="356" spans="1:23" ht="13" x14ac:dyDescent="0.3">
      <c r="A356" s="58"/>
      <c r="B356" s="58"/>
      <c r="C356" s="58"/>
      <c r="D356" s="58"/>
      <c r="E356" s="58"/>
      <c r="F356" s="58"/>
      <c r="G356" s="58"/>
      <c r="H356" s="59"/>
      <c r="I356" s="59"/>
      <c r="J356" s="59"/>
      <c r="K356" s="59"/>
      <c r="L356" s="59"/>
      <c r="M356" s="60"/>
      <c r="N356" s="60"/>
      <c r="O356" s="60"/>
      <c r="P356" s="59"/>
      <c r="Q356" s="59"/>
      <c r="R356" s="60"/>
      <c r="S356" s="60"/>
      <c r="T356" s="60"/>
      <c r="U356" s="60"/>
      <c r="V356" s="60"/>
      <c r="W356" s="60"/>
    </row>
    <row r="357" spans="1:23" ht="13" x14ac:dyDescent="0.3">
      <c r="A357" s="58"/>
      <c r="B357" s="58"/>
      <c r="C357" s="58"/>
      <c r="D357" s="58"/>
      <c r="E357" s="58"/>
      <c r="F357" s="58"/>
      <c r="G357" s="58"/>
      <c r="H357" s="59"/>
      <c r="I357" s="59"/>
      <c r="J357" s="59"/>
      <c r="K357" s="59"/>
      <c r="L357" s="59"/>
      <c r="M357" s="60"/>
      <c r="N357" s="60"/>
      <c r="O357" s="60"/>
      <c r="P357" s="59"/>
      <c r="Q357" s="59"/>
      <c r="R357" s="60"/>
      <c r="S357" s="60"/>
      <c r="T357" s="60"/>
      <c r="U357" s="60"/>
      <c r="V357" s="60"/>
      <c r="W357" s="60"/>
    </row>
    <row r="358" spans="1:23" ht="13" x14ac:dyDescent="0.3">
      <c r="A358" s="58"/>
      <c r="B358" s="58"/>
      <c r="C358" s="58"/>
      <c r="D358" s="58"/>
      <c r="E358" s="58"/>
      <c r="F358" s="58"/>
      <c r="G358" s="58"/>
      <c r="H358" s="59"/>
      <c r="I358" s="59"/>
      <c r="J358" s="59"/>
      <c r="K358" s="59"/>
      <c r="L358" s="59"/>
      <c r="M358" s="60"/>
      <c r="N358" s="60"/>
      <c r="O358" s="60"/>
      <c r="P358" s="59"/>
      <c r="Q358" s="59"/>
      <c r="R358" s="60"/>
      <c r="S358" s="60"/>
      <c r="T358" s="60"/>
      <c r="U358" s="60"/>
      <c r="V358" s="60"/>
      <c r="W358" s="60"/>
    </row>
    <row r="359" spans="1:23" ht="13" x14ac:dyDescent="0.3">
      <c r="A359" s="58"/>
      <c r="B359" s="58"/>
      <c r="C359" s="58"/>
      <c r="D359" s="58"/>
      <c r="E359" s="58"/>
      <c r="F359" s="58"/>
      <c r="G359" s="58"/>
      <c r="H359" s="59"/>
      <c r="I359" s="59"/>
      <c r="J359" s="59"/>
      <c r="K359" s="59"/>
      <c r="L359" s="59"/>
      <c r="M359" s="60"/>
      <c r="N359" s="60"/>
      <c r="O359" s="60"/>
      <c r="P359" s="59"/>
      <c r="Q359" s="59"/>
      <c r="R359" s="60"/>
      <c r="S359" s="60"/>
      <c r="T359" s="60"/>
      <c r="U359" s="60"/>
      <c r="V359" s="60"/>
      <c r="W359" s="60"/>
    </row>
    <row r="360" spans="1:23" ht="13" x14ac:dyDescent="0.3">
      <c r="A360" s="58"/>
      <c r="B360" s="58"/>
      <c r="C360" s="58"/>
      <c r="D360" s="58"/>
      <c r="E360" s="58"/>
      <c r="F360" s="58"/>
      <c r="G360" s="58"/>
      <c r="H360" s="59"/>
      <c r="I360" s="59"/>
      <c r="J360" s="59"/>
      <c r="K360" s="59"/>
      <c r="L360" s="59"/>
      <c r="M360" s="60"/>
      <c r="N360" s="60"/>
      <c r="O360" s="60"/>
      <c r="P360" s="59"/>
      <c r="Q360" s="59"/>
      <c r="R360" s="60"/>
      <c r="S360" s="60"/>
      <c r="T360" s="60"/>
      <c r="U360" s="60"/>
      <c r="V360" s="60"/>
      <c r="W360" s="60"/>
    </row>
    <row r="361" spans="1:23" ht="13" x14ac:dyDescent="0.3">
      <c r="A361" s="58"/>
      <c r="B361" s="58"/>
      <c r="C361" s="58"/>
      <c r="D361" s="58"/>
      <c r="E361" s="58"/>
      <c r="F361" s="58"/>
      <c r="G361" s="58"/>
      <c r="H361" s="59"/>
      <c r="I361" s="59"/>
      <c r="J361" s="59"/>
      <c r="K361" s="59"/>
      <c r="L361" s="59"/>
      <c r="M361" s="60"/>
      <c r="N361" s="60"/>
      <c r="O361" s="60"/>
      <c r="P361" s="59"/>
      <c r="Q361" s="59"/>
      <c r="R361" s="60"/>
      <c r="S361" s="60"/>
      <c r="T361" s="60"/>
      <c r="U361" s="60"/>
      <c r="V361" s="60"/>
      <c r="W361" s="60"/>
    </row>
    <row r="362" spans="1:23" ht="13" x14ac:dyDescent="0.3">
      <c r="A362" s="58"/>
      <c r="B362" s="58"/>
      <c r="C362" s="58"/>
      <c r="D362" s="58"/>
      <c r="E362" s="58"/>
      <c r="F362" s="58"/>
      <c r="G362" s="58"/>
      <c r="H362" s="59"/>
      <c r="I362" s="59"/>
      <c r="J362" s="59"/>
      <c r="K362" s="59"/>
      <c r="L362" s="59"/>
      <c r="M362" s="60"/>
      <c r="N362" s="60"/>
      <c r="O362" s="60"/>
      <c r="P362" s="59"/>
      <c r="Q362" s="59"/>
      <c r="R362" s="60"/>
      <c r="S362" s="60"/>
      <c r="T362" s="60"/>
      <c r="U362" s="60"/>
      <c r="V362" s="60"/>
      <c r="W362" s="60"/>
    </row>
    <row r="363" spans="1:23" ht="13" x14ac:dyDescent="0.3">
      <c r="A363" s="58"/>
      <c r="B363" s="58"/>
      <c r="C363" s="58"/>
      <c r="D363" s="58"/>
      <c r="E363" s="58"/>
      <c r="F363" s="58"/>
      <c r="G363" s="58"/>
      <c r="H363" s="59"/>
      <c r="I363" s="59"/>
      <c r="J363" s="59"/>
      <c r="K363" s="59"/>
      <c r="L363" s="59"/>
      <c r="M363" s="60"/>
      <c r="N363" s="60"/>
      <c r="O363" s="60"/>
      <c r="P363" s="59"/>
      <c r="Q363" s="59"/>
      <c r="R363" s="60"/>
      <c r="S363" s="60"/>
      <c r="T363" s="60"/>
      <c r="U363" s="60"/>
      <c r="V363" s="60"/>
      <c r="W363" s="60"/>
    </row>
    <row r="364" spans="1:23" ht="13" x14ac:dyDescent="0.3">
      <c r="A364" s="58"/>
      <c r="B364" s="58"/>
      <c r="C364" s="58"/>
      <c r="D364" s="58"/>
      <c r="E364" s="58"/>
      <c r="F364" s="58"/>
      <c r="G364" s="58"/>
      <c r="H364" s="59"/>
      <c r="I364" s="59"/>
      <c r="J364" s="59"/>
      <c r="K364" s="59"/>
      <c r="L364" s="59"/>
      <c r="M364" s="60"/>
      <c r="N364" s="60"/>
      <c r="O364" s="60"/>
      <c r="P364" s="59"/>
      <c r="Q364" s="59"/>
      <c r="R364" s="60"/>
      <c r="S364" s="60"/>
      <c r="T364" s="60"/>
      <c r="U364" s="60"/>
      <c r="V364" s="60"/>
      <c r="W364" s="60"/>
    </row>
    <row r="365" spans="1:23" ht="13" x14ac:dyDescent="0.3">
      <c r="A365" s="58"/>
      <c r="B365" s="58"/>
      <c r="C365" s="58"/>
      <c r="D365" s="58"/>
      <c r="E365" s="58"/>
      <c r="F365" s="58"/>
      <c r="G365" s="58"/>
      <c r="H365" s="59"/>
      <c r="I365" s="59"/>
      <c r="J365" s="59"/>
      <c r="K365" s="59"/>
      <c r="L365" s="59"/>
      <c r="M365" s="60"/>
      <c r="N365" s="60"/>
      <c r="O365" s="60"/>
      <c r="P365" s="59"/>
      <c r="Q365" s="59"/>
      <c r="R365" s="60"/>
      <c r="S365" s="60"/>
      <c r="T365" s="60"/>
      <c r="U365" s="60"/>
      <c r="V365" s="60"/>
      <c r="W365" s="60"/>
    </row>
    <row r="366" spans="1:23" ht="13" x14ac:dyDescent="0.3">
      <c r="A366" s="58"/>
      <c r="B366" s="58"/>
      <c r="C366" s="58"/>
      <c r="D366" s="58"/>
      <c r="E366" s="58"/>
      <c r="F366" s="58"/>
      <c r="G366" s="58"/>
      <c r="H366" s="59"/>
      <c r="I366" s="59"/>
      <c r="J366" s="59"/>
      <c r="K366" s="59"/>
      <c r="L366" s="59"/>
      <c r="M366" s="60"/>
      <c r="N366" s="60"/>
      <c r="O366" s="60"/>
      <c r="P366" s="59"/>
      <c r="Q366" s="59"/>
      <c r="R366" s="60"/>
      <c r="S366" s="60"/>
      <c r="T366" s="60"/>
      <c r="U366" s="60"/>
      <c r="V366" s="60"/>
      <c r="W366" s="60"/>
    </row>
    <row r="367" spans="1:23" ht="13" x14ac:dyDescent="0.3">
      <c r="A367" s="58"/>
      <c r="B367" s="58"/>
      <c r="C367" s="58"/>
      <c r="D367" s="58"/>
      <c r="E367" s="58"/>
      <c r="F367" s="58"/>
      <c r="G367" s="58"/>
      <c r="H367" s="59"/>
      <c r="I367" s="59"/>
      <c r="J367" s="59"/>
      <c r="K367" s="59"/>
      <c r="L367" s="59"/>
      <c r="M367" s="60"/>
      <c r="N367" s="60"/>
      <c r="O367" s="60"/>
      <c r="P367" s="59"/>
      <c r="Q367" s="59"/>
      <c r="R367" s="60"/>
      <c r="S367" s="60"/>
      <c r="T367" s="60"/>
      <c r="U367" s="60"/>
      <c r="V367" s="60"/>
      <c r="W367" s="60"/>
    </row>
    <row r="368" spans="1:23" ht="13" x14ac:dyDescent="0.3">
      <c r="A368" s="58"/>
      <c r="B368" s="58"/>
      <c r="C368" s="58"/>
      <c r="D368" s="58"/>
      <c r="E368" s="58"/>
      <c r="F368" s="58"/>
      <c r="G368" s="58"/>
      <c r="H368" s="59"/>
      <c r="I368" s="59"/>
      <c r="J368" s="59"/>
      <c r="K368" s="59"/>
      <c r="L368" s="59"/>
      <c r="M368" s="60"/>
      <c r="N368" s="60"/>
      <c r="O368" s="60"/>
      <c r="P368" s="59"/>
      <c r="Q368" s="59"/>
      <c r="R368" s="60"/>
      <c r="S368" s="60"/>
      <c r="T368" s="60"/>
      <c r="U368" s="60"/>
      <c r="V368" s="60"/>
      <c r="W368" s="60"/>
    </row>
    <row r="369" spans="1:23" ht="13" x14ac:dyDescent="0.3">
      <c r="A369" s="58"/>
      <c r="B369" s="58"/>
      <c r="C369" s="58"/>
      <c r="D369" s="58"/>
      <c r="E369" s="58"/>
      <c r="F369" s="58"/>
      <c r="G369" s="58"/>
      <c r="H369" s="59"/>
      <c r="I369" s="59"/>
      <c r="J369" s="59"/>
      <c r="K369" s="59"/>
      <c r="L369" s="59"/>
      <c r="M369" s="60"/>
      <c r="N369" s="60"/>
      <c r="O369" s="60"/>
      <c r="P369" s="59"/>
      <c r="Q369" s="59"/>
      <c r="R369" s="60"/>
      <c r="S369" s="60"/>
      <c r="T369" s="60"/>
      <c r="U369" s="60"/>
      <c r="V369" s="60"/>
      <c r="W369" s="60"/>
    </row>
    <row r="370" spans="1:23" ht="13" x14ac:dyDescent="0.3">
      <c r="A370" s="58"/>
      <c r="B370" s="58"/>
      <c r="C370" s="58"/>
      <c r="D370" s="58"/>
      <c r="E370" s="58"/>
      <c r="F370" s="58"/>
      <c r="G370" s="58"/>
      <c r="H370" s="59"/>
      <c r="I370" s="59"/>
      <c r="J370" s="59"/>
      <c r="K370" s="59"/>
      <c r="L370" s="59"/>
      <c r="M370" s="60"/>
      <c r="N370" s="60"/>
      <c r="O370" s="60"/>
      <c r="P370" s="59"/>
      <c r="Q370" s="59"/>
      <c r="R370" s="60"/>
      <c r="S370" s="60"/>
      <c r="T370" s="60"/>
      <c r="U370" s="60"/>
      <c r="V370" s="60"/>
      <c r="W370" s="60"/>
    </row>
    <row r="371" spans="1:23" ht="13" x14ac:dyDescent="0.3">
      <c r="A371" s="58"/>
      <c r="B371" s="58"/>
      <c r="C371" s="58"/>
      <c r="D371" s="58"/>
      <c r="E371" s="58"/>
      <c r="F371" s="58"/>
      <c r="G371" s="58"/>
      <c r="H371" s="59"/>
      <c r="I371" s="59"/>
      <c r="J371" s="59"/>
      <c r="K371" s="59"/>
      <c r="L371" s="59"/>
      <c r="M371" s="60"/>
      <c r="N371" s="60"/>
      <c r="O371" s="60"/>
      <c r="P371" s="59"/>
      <c r="Q371" s="59"/>
      <c r="R371" s="60"/>
      <c r="S371" s="60"/>
      <c r="T371" s="60"/>
      <c r="U371" s="60"/>
      <c r="V371" s="60"/>
      <c r="W371" s="60"/>
    </row>
    <row r="372" spans="1:23" ht="13" x14ac:dyDescent="0.3">
      <c r="A372" s="58"/>
      <c r="B372" s="58"/>
      <c r="C372" s="58"/>
      <c r="D372" s="58"/>
      <c r="E372" s="58"/>
      <c r="F372" s="58"/>
      <c r="G372" s="58"/>
      <c r="H372" s="59"/>
      <c r="I372" s="59"/>
      <c r="J372" s="59"/>
      <c r="K372" s="59"/>
      <c r="L372" s="59"/>
      <c r="M372" s="60"/>
      <c r="N372" s="60"/>
      <c r="O372" s="60"/>
      <c r="P372" s="59"/>
      <c r="Q372" s="59"/>
      <c r="R372" s="60"/>
      <c r="S372" s="60"/>
      <c r="T372" s="60"/>
      <c r="U372" s="60"/>
      <c r="V372" s="60"/>
      <c r="W372" s="60"/>
    </row>
    <row r="373" spans="1:23" ht="13" x14ac:dyDescent="0.3">
      <c r="A373" s="58"/>
      <c r="B373" s="58"/>
      <c r="C373" s="58"/>
      <c r="D373" s="58"/>
      <c r="E373" s="58"/>
      <c r="F373" s="58"/>
      <c r="G373" s="58"/>
      <c r="H373" s="59"/>
      <c r="I373" s="59"/>
      <c r="J373" s="59"/>
      <c r="K373" s="59"/>
      <c r="L373" s="59"/>
      <c r="M373" s="60"/>
      <c r="N373" s="60"/>
      <c r="O373" s="60"/>
      <c r="P373" s="59"/>
      <c r="Q373" s="59"/>
      <c r="R373" s="60"/>
      <c r="S373" s="60"/>
      <c r="T373" s="60"/>
      <c r="U373" s="60"/>
      <c r="V373" s="60"/>
      <c r="W373" s="60"/>
    </row>
    <row r="374" spans="1:23" ht="13" x14ac:dyDescent="0.3">
      <c r="A374" s="58"/>
      <c r="B374" s="58"/>
      <c r="C374" s="58"/>
      <c r="D374" s="58"/>
      <c r="E374" s="58"/>
      <c r="F374" s="58"/>
      <c r="G374" s="58"/>
      <c r="H374" s="59"/>
      <c r="I374" s="59"/>
      <c r="J374" s="59"/>
      <c r="K374" s="59"/>
      <c r="L374" s="59"/>
      <c r="M374" s="60"/>
      <c r="N374" s="60"/>
      <c r="O374" s="60"/>
      <c r="P374" s="59"/>
      <c r="Q374" s="59"/>
      <c r="R374" s="60"/>
      <c r="S374" s="60"/>
      <c r="T374" s="60"/>
      <c r="U374" s="60"/>
      <c r="V374" s="60"/>
      <c r="W374" s="60"/>
    </row>
    <row r="375" spans="1:23" ht="13" x14ac:dyDescent="0.3">
      <c r="A375" s="58"/>
      <c r="B375" s="58"/>
      <c r="C375" s="58"/>
      <c r="D375" s="58"/>
      <c r="E375" s="58"/>
      <c r="F375" s="58"/>
      <c r="G375" s="58"/>
      <c r="H375" s="59"/>
      <c r="I375" s="59"/>
      <c r="J375" s="59"/>
      <c r="K375" s="59"/>
      <c r="L375" s="59"/>
      <c r="M375" s="60"/>
      <c r="N375" s="60"/>
      <c r="O375" s="60"/>
      <c r="P375" s="59"/>
      <c r="Q375" s="59"/>
      <c r="R375" s="60"/>
      <c r="S375" s="60"/>
      <c r="T375" s="60"/>
      <c r="U375" s="60"/>
      <c r="V375" s="60"/>
      <c r="W375" s="60"/>
    </row>
    <row r="376" spans="1:23" ht="13" x14ac:dyDescent="0.3">
      <c r="A376" s="58"/>
      <c r="B376" s="58"/>
      <c r="C376" s="58"/>
      <c r="D376" s="58"/>
      <c r="E376" s="58"/>
      <c r="F376" s="58"/>
      <c r="G376" s="58"/>
      <c r="H376" s="59"/>
      <c r="I376" s="59"/>
      <c r="J376" s="59"/>
      <c r="K376" s="59"/>
      <c r="L376" s="59"/>
      <c r="M376" s="60"/>
      <c r="N376" s="60"/>
      <c r="O376" s="60"/>
      <c r="P376" s="59"/>
      <c r="Q376" s="59"/>
      <c r="R376" s="60"/>
      <c r="S376" s="60"/>
      <c r="T376" s="60"/>
      <c r="U376" s="60"/>
      <c r="V376" s="60"/>
      <c r="W376" s="60"/>
    </row>
    <row r="377" spans="1:23" ht="13" x14ac:dyDescent="0.3">
      <c r="A377" s="58"/>
      <c r="B377" s="58"/>
      <c r="C377" s="58"/>
      <c r="D377" s="58"/>
      <c r="E377" s="58"/>
      <c r="F377" s="58"/>
      <c r="G377" s="58"/>
      <c r="H377" s="59"/>
      <c r="I377" s="59"/>
      <c r="J377" s="59"/>
      <c r="K377" s="59"/>
      <c r="L377" s="59"/>
      <c r="M377" s="60"/>
      <c r="N377" s="60"/>
      <c r="O377" s="60"/>
      <c r="P377" s="59"/>
      <c r="Q377" s="59"/>
      <c r="R377" s="60"/>
      <c r="S377" s="60"/>
      <c r="T377" s="60"/>
      <c r="U377" s="60"/>
      <c r="V377" s="60"/>
      <c r="W377" s="60"/>
    </row>
    <row r="378" spans="1:23" ht="13" x14ac:dyDescent="0.3">
      <c r="A378" s="58"/>
      <c r="B378" s="58"/>
      <c r="C378" s="58"/>
      <c r="D378" s="58"/>
      <c r="E378" s="58"/>
      <c r="F378" s="58"/>
      <c r="G378" s="58"/>
      <c r="H378" s="59"/>
      <c r="I378" s="59"/>
      <c r="J378" s="59"/>
      <c r="K378" s="59"/>
      <c r="L378" s="59"/>
      <c r="M378" s="60"/>
      <c r="N378" s="60"/>
      <c r="O378" s="60"/>
      <c r="P378" s="59"/>
      <c r="Q378" s="59"/>
      <c r="R378" s="60"/>
      <c r="S378" s="60"/>
      <c r="T378" s="60"/>
      <c r="U378" s="60"/>
      <c r="V378" s="60"/>
      <c r="W378" s="60"/>
    </row>
    <row r="379" spans="1:23" ht="13" x14ac:dyDescent="0.3">
      <c r="A379" s="58"/>
      <c r="B379" s="58"/>
      <c r="C379" s="58"/>
      <c r="D379" s="58"/>
      <c r="E379" s="58"/>
      <c r="F379" s="58"/>
      <c r="G379" s="58"/>
      <c r="H379" s="59"/>
      <c r="I379" s="59"/>
      <c r="J379" s="59"/>
      <c r="K379" s="59"/>
      <c r="L379" s="59"/>
      <c r="M379" s="60"/>
      <c r="N379" s="60"/>
      <c r="O379" s="60"/>
      <c r="P379" s="59"/>
      <c r="Q379" s="59"/>
      <c r="R379" s="60"/>
      <c r="S379" s="60"/>
      <c r="T379" s="60"/>
      <c r="U379" s="60"/>
      <c r="V379" s="60"/>
      <c r="W379" s="60"/>
    </row>
    <row r="380" spans="1:23" ht="13" x14ac:dyDescent="0.3">
      <c r="A380" s="58"/>
      <c r="B380" s="58"/>
      <c r="C380" s="58"/>
      <c r="D380" s="58"/>
      <c r="E380" s="58"/>
      <c r="F380" s="58"/>
      <c r="G380" s="58"/>
      <c r="H380" s="59"/>
      <c r="I380" s="59"/>
      <c r="J380" s="59"/>
      <c r="K380" s="59"/>
      <c r="L380" s="59"/>
      <c r="M380" s="60"/>
      <c r="N380" s="60"/>
      <c r="O380" s="60"/>
      <c r="P380" s="59"/>
      <c r="Q380" s="59"/>
      <c r="R380" s="60"/>
      <c r="S380" s="60"/>
      <c r="T380" s="60"/>
      <c r="U380" s="60"/>
      <c r="V380" s="60"/>
      <c r="W380" s="60"/>
    </row>
    <row r="381" spans="1:23" ht="13" x14ac:dyDescent="0.3">
      <c r="A381" s="58"/>
      <c r="B381" s="58"/>
      <c r="C381" s="58"/>
      <c r="D381" s="58"/>
      <c r="E381" s="58"/>
      <c r="F381" s="58"/>
      <c r="G381" s="58"/>
      <c r="H381" s="59"/>
      <c r="I381" s="59"/>
      <c r="J381" s="59"/>
      <c r="K381" s="59"/>
      <c r="L381" s="59"/>
      <c r="M381" s="60"/>
      <c r="N381" s="60"/>
      <c r="O381" s="60"/>
      <c r="P381" s="59"/>
      <c r="Q381" s="59"/>
      <c r="R381" s="60"/>
      <c r="S381" s="60"/>
      <c r="T381" s="60"/>
      <c r="U381" s="60"/>
      <c r="V381" s="60"/>
      <c r="W381" s="60"/>
    </row>
    <row r="382" spans="1:23" ht="13" x14ac:dyDescent="0.3">
      <c r="A382" s="58"/>
      <c r="B382" s="58"/>
      <c r="C382" s="58"/>
      <c r="D382" s="58"/>
      <c r="E382" s="58"/>
      <c r="F382" s="58"/>
      <c r="G382" s="58"/>
      <c r="H382" s="59"/>
      <c r="I382" s="59"/>
      <c r="J382" s="59"/>
      <c r="K382" s="59"/>
      <c r="L382" s="59"/>
      <c r="M382" s="60"/>
      <c r="N382" s="60"/>
      <c r="O382" s="60"/>
      <c r="P382" s="59"/>
      <c r="Q382" s="59"/>
      <c r="R382" s="60"/>
      <c r="S382" s="60"/>
      <c r="T382" s="60"/>
      <c r="U382" s="60"/>
      <c r="V382" s="60"/>
      <c r="W382" s="60"/>
    </row>
    <row r="383" spans="1:23" ht="13" x14ac:dyDescent="0.3">
      <c r="A383" s="58"/>
      <c r="B383" s="58"/>
      <c r="C383" s="58"/>
      <c r="D383" s="58"/>
      <c r="E383" s="58"/>
      <c r="F383" s="58"/>
      <c r="G383" s="58"/>
      <c r="H383" s="59"/>
      <c r="I383" s="59"/>
      <c r="J383" s="59"/>
      <c r="K383" s="59"/>
      <c r="L383" s="59"/>
      <c r="M383" s="60"/>
      <c r="N383" s="60"/>
      <c r="O383" s="60"/>
      <c r="P383" s="59"/>
      <c r="Q383" s="59"/>
      <c r="R383" s="60"/>
      <c r="S383" s="60"/>
      <c r="T383" s="60"/>
      <c r="U383" s="60"/>
      <c r="V383" s="60"/>
      <c r="W383" s="60"/>
    </row>
    <row r="384" spans="1:23" ht="13" x14ac:dyDescent="0.3">
      <c r="A384" s="58"/>
      <c r="B384" s="58"/>
      <c r="C384" s="58"/>
      <c r="D384" s="58"/>
      <c r="E384" s="58"/>
      <c r="F384" s="58"/>
      <c r="G384" s="58"/>
      <c r="H384" s="59"/>
      <c r="I384" s="59"/>
      <c r="J384" s="59"/>
      <c r="K384" s="59"/>
      <c r="L384" s="59"/>
      <c r="M384" s="60"/>
      <c r="N384" s="60"/>
      <c r="O384" s="60"/>
      <c r="P384" s="59"/>
      <c r="Q384" s="59"/>
      <c r="R384" s="60"/>
      <c r="S384" s="60"/>
      <c r="T384" s="60"/>
      <c r="U384" s="60"/>
      <c r="V384" s="60"/>
      <c r="W384" s="60"/>
    </row>
    <row r="385" spans="1:23" ht="13" x14ac:dyDescent="0.3">
      <c r="A385" s="58"/>
      <c r="B385" s="58"/>
      <c r="C385" s="58"/>
      <c r="D385" s="58"/>
      <c r="E385" s="58"/>
      <c r="F385" s="58"/>
      <c r="G385" s="58"/>
      <c r="H385" s="59"/>
      <c r="I385" s="59"/>
      <c r="J385" s="59"/>
      <c r="K385" s="59"/>
      <c r="L385" s="59"/>
      <c r="M385" s="60"/>
      <c r="N385" s="60"/>
      <c r="O385" s="60"/>
      <c r="P385" s="59"/>
      <c r="Q385" s="59"/>
      <c r="R385" s="60"/>
      <c r="S385" s="60"/>
      <c r="T385" s="60"/>
      <c r="U385" s="60"/>
      <c r="V385" s="60"/>
      <c r="W385" s="60"/>
    </row>
    <row r="386" spans="1:23" ht="13" x14ac:dyDescent="0.3">
      <c r="A386" s="58"/>
      <c r="B386" s="58"/>
      <c r="C386" s="58"/>
      <c r="D386" s="58"/>
      <c r="E386" s="58"/>
      <c r="F386" s="58"/>
      <c r="G386" s="58"/>
      <c r="H386" s="59"/>
      <c r="I386" s="59"/>
      <c r="J386" s="59"/>
      <c r="K386" s="59"/>
      <c r="L386" s="59"/>
      <c r="M386" s="60"/>
      <c r="N386" s="60"/>
      <c r="O386" s="60"/>
      <c r="P386" s="59"/>
      <c r="Q386" s="59"/>
      <c r="R386" s="60"/>
      <c r="S386" s="60"/>
      <c r="T386" s="60"/>
      <c r="U386" s="60"/>
      <c r="V386" s="60"/>
      <c r="W386" s="60"/>
    </row>
    <row r="387" spans="1:23" ht="13" x14ac:dyDescent="0.3">
      <c r="A387" s="58"/>
      <c r="B387" s="58"/>
      <c r="C387" s="58"/>
      <c r="D387" s="58"/>
      <c r="E387" s="58"/>
      <c r="F387" s="58"/>
      <c r="G387" s="58"/>
      <c r="H387" s="59"/>
      <c r="I387" s="59"/>
      <c r="J387" s="59"/>
      <c r="K387" s="59"/>
      <c r="L387" s="59"/>
      <c r="M387" s="60"/>
      <c r="N387" s="60"/>
      <c r="O387" s="60"/>
      <c r="P387" s="59"/>
      <c r="Q387" s="59"/>
      <c r="R387" s="60"/>
      <c r="S387" s="60"/>
      <c r="T387" s="60"/>
      <c r="U387" s="60"/>
      <c r="V387" s="60"/>
      <c r="W387" s="60"/>
    </row>
    <row r="388" spans="1:23" ht="13" x14ac:dyDescent="0.3">
      <c r="A388" s="58"/>
      <c r="B388" s="58"/>
      <c r="C388" s="58"/>
      <c r="D388" s="58"/>
      <c r="E388" s="58"/>
      <c r="F388" s="58"/>
      <c r="G388" s="58"/>
      <c r="H388" s="59"/>
      <c r="I388" s="59"/>
      <c r="J388" s="59"/>
      <c r="K388" s="59"/>
      <c r="L388" s="59"/>
      <c r="M388" s="60"/>
      <c r="N388" s="60"/>
      <c r="O388" s="60"/>
      <c r="P388" s="59"/>
      <c r="Q388" s="59"/>
      <c r="R388" s="60"/>
      <c r="S388" s="60"/>
      <c r="T388" s="60"/>
      <c r="U388" s="60"/>
      <c r="V388" s="60"/>
      <c r="W388" s="60"/>
    </row>
    <row r="389" spans="1:23" ht="13" x14ac:dyDescent="0.3">
      <c r="A389" s="58"/>
      <c r="B389" s="58"/>
      <c r="C389" s="58"/>
      <c r="D389" s="58"/>
      <c r="E389" s="58"/>
      <c r="F389" s="58"/>
      <c r="G389" s="58"/>
      <c r="H389" s="59"/>
      <c r="I389" s="59"/>
      <c r="J389" s="59"/>
      <c r="K389" s="59"/>
      <c r="L389" s="59"/>
      <c r="M389" s="60"/>
      <c r="N389" s="60"/>
      <c r="O389" s="60"/>
      <c r="P389" s="59"/>
      <c r="Q389" s="59"/>
      <c r="R389" s="60"/>
      <c r="S389" s="60"/>
      <c r="T389" s="60"/>
      <c r="U389" s="60"/>
      <c r="V389" s="60"/>
      <c r="W389" s="60"/>
    </row>
    <row r="390" spans="1:23" ht="13" x14ac:dyDescent="0.3">
      <c r="A390" s="58"/>
      <c r="B390" s="58"/>
      <c r="C390" s="58"/>
      <c r="D390" s="58"/>
      <c r="E390" s="58"/>
      <c r="F390" s="58"/>
      <c r="G390" s="58"/>
      <c r="H390" s="59"/>
      <c r="I390" s="59"/>
      <c r="J390" s="59"/>
      <c r="K390" s="59"/>
      <c r="L390" s="59"/>
      <c r="M390" s="60"/>
      <c r="N390" s="60"/>
      <c r="O390" s="60"/>
      <c r="P390" s="59"/>
      <c r="Q390" s="59"/>
      <c r="R390" s="60"/>
      <c r="S390" s="60"/>
      <c r="T390" s="60"/>
      <c r="U390" s="60"/>
      <c r="V390" s="60"/>
      <c r="W390" s="60"/>
    </row>
    <row r="391" spans="1:23" ht="13" x14ac:dyDescent="0.3">
      <c r="A391" s="58"/>
      <c r="B391" s="58"/>
      <c r="C391" s="58"/>
      <c r="D391" s="58"/>
      <c r="E391" s="58"/>
      <c r="F391" s="58"/>
      <c r="G391" s="58"/>
      <c r="H391" s="59"/>
      <c r="I391" s="59"/>
      <c r="J391" s="59"/>
      <c r="K391" s="59"/>
      <c r="L391" s="59"/>
      <c r="M391" s="60"/>
      <c r="N391" s="60"/>
      <c r="O391" s="60"/>
      <c r="P391" s="59"/>
      <c r="Q391" s="59"/>
      <c r="R391" s="60"/>
      <c r="S391" s="60"/>
      <c r="T391" s="60"/>
      <c r="U391" s="60"/>
      <c r="V391" s="60"/>
      <c r="W391" s="60"/>
    </row>
    <row r="392" spans="1:23" ht="13" x14ac:dyDescent="0.3">
      <c r="A392" s="58"/>
      <c r="B392" s="58"/>
      <c r="C392" s="58"/>
      <c r="D392" s="58"/>
      <c r="E392" s="58"/>
      <c r="F392" s="58"/>
      <c r="G392" s="58"/>
      <c r="H392" s="59"/>
      <c r="I392" s="59"/>
      <c r="J392" s="59"/>
      <c r="K392" s="59"/>
      <c r="L392" s="59"/>
      <c r="M392" s="60"/>
      <c r="N392" s="60"/>
      <c r="O392" s="60"/>
      <c r="P392" s="59"/>
      <c r="Q392" s="59"/>
      <c r="R392" s="60"/>
      <c r="S392" s="60"/>
      <c r="T392" s="60"/>
      <c r="U392" s="60"/>
      <c r="V392" s="60"/>
      <c r="W392" s="60"/>
    </row>
    <row r="393" spans="1:23" ht="13" x14ac:dyDescent="0.3">
      <c r="A393" s="58"/>
      <c r="B393" s="58"/>
      <c r="C393" s="58"/>
      <c r="D393" s="58"/>
      <c r="E393" s="58"/>
      <c r="F393" s="58"/>
      <c r="G393" s="58"/>
      <c r="H393" s="59"/>
      <c r="I393" s="59"/>
      <c r="J393" s="59"/>
      <c r="K393" s="59"/>
      <c r="L393" s="59"/>
      <c r="M393" s="60"/>
      <c r="N393" s="60"/>
      <c r="O393" s="60"/>
      <c r="P393" s="59"/>
      <c r="Q393" s="59"/>
      <c r="R393" s="60"/>
      <c r="S393" s="60"/>
      <c r="T393" s="60"/>
      <c r="U393" s="60"/>
      <c r="V393" s="60"/>
      <c r="W393" s="60"/>
    </row>
    <row r="394" spans="1:23" ht="13" x14ac:dyDescent="0.3">
      <c r="A394" s="58"/>
      <c r="B394" s="58"/>
      <c r="C394" s="58"/>
      <c r="D394" s="58"/>
      <c r="E394" s="58"/>
      <c r="F394" s="58"/>
      <c r="G394" s="58"/>
      <c r="H394" s="59"/>
      <c r="I394" s="59"/>
      <c r="J394" s="59"/>
      <c r="K394" s="59"/>
      <c r="L394" s="59"/>
      <c r="M394" s="60"/>
      <c r="N394" s="60"/>
      <c r="O394" s="60"/>
      <c r="P394" s="59"/>
      <c r="Q394" s="59"/>
      <c r="R394" s="60"/>
      <c r="S394" s="60"/>
      <c r="T394" s="60"/>
      <c r="U394" s="60"/>
      <c r="V394" s="60"/>
      <c r="W394" s="60"/>
    </row>
    <row r="395" spans="1:23" ht="13" x14ac:dyDescent="0.3">
      <c r="A395" s="58"/>
      <c r="B395" s="58"/>
      <c r="C395" s="58"/>
      <c r="D395" s="58"/>
      <c r="E395" s="58"/>
      <c r="F395" s="58"/>
      <c r="G395" s="58"/>
      <c r="H395" s="59"/>
      <c r="I395" s="59"/>
      <c r="J395" s="59"/>
      <c r="K395" s="59"/>
      <c r="L395" s="59"/>
      <c r="M395" s="60"/>
      <c r="N395" s="60"/>
      <c r="O395" s="60"/>
      <c r="P395" s="59"/>
      <c r="Q395" s="59"/>
      <c r="R395" s="60"/>
      <c r="S395" s="60"/>
      <c r="T395" s="60"/>
      <c r="U395" s="60"/>
      <c r="V395" s="60"/>
      <c r="W395" s="60"/>
    </row>
    <row r="396" spans="1:23" ht="13" x14ac:dyDescent="0.3">
      <c r="A396" s="58"/>
      <c r="B396" s="58"/>
      <c r="C396" s="58"/>
      <c r="D396" s="58"/>
      <c r="E396" s="58"/>
      <c r="F396" s="58"/>
      <c r="G396" s="58"/>
      <c r="H396" s="59"/>
      <c r="I396" s="59"/>
      <c r="J396" s="59"/>
      <c r="K396" s="59"/>
      <c r="L396" s="59"/>
      <c r="M396" s="60"/>
      <c r="N396" s="60"/>
      <c r="O396" s="60"/>
      <c r="P396" s="59"/>
      <c r="Q396" s="59"/>
      <c r="R396" s="60"/>
      <c r="S396" s="60"/>
      <c r="T396" s="60"/>
      <c r="U396" s="60"/>
      <c r="V396" s="60"/>
      <c r="W396" s="60"/>
    </row>
    <row r="397" spans="1:23" ht="13" x14ac:dyDescent="0.3">
      <c r="A397" s="58"/>
      <c r="B397" s="58"/>
      <c r="C397" s="58"/>
      <c r="D397" s="58"/>
      <c r="E397" s="58"/>
      <c r="F397" s="58"/>
      <c r="G397" s="58"/>
      <c r="H397" s="59"/>
      <c r="I397" s="59"/>
      <c r="J397" s="59"/>
      <c r="K397" s="59"/>
      <c r="L397" s="59"/>
      <c r="M397" s="60"/>
      <c r="N397" s="60"/>
      <c r="O397" s="60"/>
      <c r="P397" s="59"/>
      <c r="Q397" s="59"/>
      <c r="R397" s="60"/>
      <c r="S397" s="60"/>
      <c r="T397" s="60"/>
      <c r="U397" s="60"/>
      <c r="V397" s="60"/>
      <c r="W397" s="60"/>
    </row>
    <row r="398" spans="1:23" ht="13" x14ac:dyDescent="0.3">
      <c r="A398" s="58"/>
      <c r="B398" s="58"/>
      <c r="C398" s="58"/>
      <c r="D398" s="58"/>
      <c r="E398" s="58"/>
      <c r="F398" s="58"/>
      <c r="G398" s="58"/>
      <c r="H398" s="59"/>
      <c r="I398" s="59"/>
      <c r="J398" s="59"/>
      <c r="K398" s="59"/>
      <c r="L398" s="59"/>
      <c r="M398" s="60"/>
      <c r="N398" s="60"/>
      <c r="O398" s="60"/>
      <c r="P398" s="59"/>
      <c r="Q398" s="59"/>
      <c r="R398" s="60"/>
      <c r="S398" s="60"/>
      <c r="T398" s="60"/>
      <c r="U398" s="60"/>
      <c r="V398" s="60"/>
      <c r="W398" s="60"/>
    </row>
    <row r="399" spans="1:23" ht="13" x14ac:dyDescent="0.3">
      <c r="A399" s="58"/>
      <c r="B399" s="58"/>
      <c r="C399" s="58"/>
      <c r="D399" s="58"/>
      <c r="E399" s="58"/>
      <c r="F399" s="58"/>
      <c r="G399" s="58"/>
      <c r="H399" s="59"/>
      <c r="I399" s="59"/>
      <c r="J399" s="59"/>
      <c r="K399" s="59"/>
      <c r="L399" s="59"/>
      <c r="M399" s="60"/>
      <c r="N399" s="60"/>
      <c r="O399" s="60"/>
      <c r="P399" s="59"/>
      <c r="Q399" s="59"/>
      <c r="R399" s="60"/>
      <c r="S399" s="60"/>
      <c r="T399" s="60"/>
      <c r="U399" s="60"/>
      <c r="V399" s="60"/>
      <c r="W399" s="60"/>
    </row>
    <row r="400" spans="1:23" ht="13" x14ac:dyDescent="0.3">
      <c r="A400" s="58"/>
      <c r="B400" s="58"/>
      <c r="C400" s="58"/>
      <c r="D400" s="58"/>
      <c r="E400" s="58"/>
      <c r="F400" s="58"/>
      <c r="G400" s="58"/>
      <c r="H400" s="59"/>
      <c r="I400" s="59"/>
      <c r="J400" s="59"/>
      <c r="K400" s="59"/>
      <c r="L400" s="59"/>
      <c r="M400" s="60"/>
      <c r="N400" s="60"/>
      <c r="O400" s="60"/>
      <c r="P400" s="59"/>
      <c r="Q400" s="59"/>
      <c r="R400" s="60"/>
      <c r="S400" s="60"/>
      <c r="T400" s="60"/>
      <c r="U400" s="60"/>
      <c r="V400" s="60"/>
      <c r="W400" s="60"/>
    </row>
    <row r="401" spans="1:23" ht="13" x14ac:dyDescent="0.3">
      <c r="A401" s="58"/>
      <c r="B401" s="58"/>
      <c r="C401" s="58"/>
      <c r="D401" s="58"/>
      <c r="E401" s="58"/>
      <c r="F401" s="58"/>
      <c r="G401" s="58"/>
      <c r="H401" s="59"/>
      <c r="I401" s="59"/>
      <c r="J401" s="59"/>
      <c r="K401" s="59"/>
      <c r="L401" s="59"/>
      <c r="M401" s="60"/>
      <c r="N401" s="60"/>
      <c r="O401" s="60"/>
      <c r="P401" s="59"/>
      <c r="Q401" s="59"/>
      <c r="R401" s="60"/>
      <c r="S401" s="60"/>
      <c r="T401" s="60"/>
      <c r="U401" s="60"/>
      <c r="V401" s="60"/>
      <c r="W401" s="60"/>
    </row>
    <row r="402" spans="1:23" ht="13" x14ac:dyDescent="0.3">
      <c r="A402" s="58"/>
      <c r="B402" s="58"/>
      <c r="C402" s="58"/>
      <c r="D402" s="58"/>
      <c r="E402" s="58"/>
      <c r="F402" s="58"/>
      <c r="G402" s="58"/>
      <c r="H402" s="59"/>
      <c r="I402" s="59"/>
      <c r="J402" s="59"/>
      <c r="K402" s="59"/>
      <c r="L402" s="59"/>
      <c r="M402" s="60"/>
      <c r="N402" s="60"/>
      <c r="O402" s="60"/>
      <c r="P402" s="59"/>
      <c r="Q402" s="59"/>
      <c r="R402" s="60"/>
      <c r="S402" s="60"/>
      <c r="T402" s="60"/>
      <c r="U402" s="60"/>
      <c r="V402" s="60"/>
      <c r="W402" s="60"/>
    </row>
    <row r="403" spans="1:23" ht="13" x14ac:dyDescent="0.3">
      <c r="A403" s="58"/>
      <c r="B403" s="58"/>
      <c r="C403" s="58"/>
      <c r="D403" s="58"/>
      <c r="E403" s="58"/>
      <c r="F403" s="58"/>
      <c r="G403" s="58"/>
      <c r="H403" s="59"/>
      <c r="I403" s="59"/>
      <c r="J403" s="59"/>
      <c r="K403" s="59"/>
      <c r="L403" s="59"/>
      <c r="M403" s="60"/>
      <c r="N403" s="60"/>
      <c r="O403" s="60"/>
      <c r="P403" s="59"/>
      <c r="Q403" s="59"/>
      <c r="R403" s="60"/>
      <c r="S403" s="60"/>
      <c r="T403" s="60"/>
      <c r="U403" s="60"/>
      <c r="V403" s="60"/>
      <c r="W403" s="60"/>
    </row>
    <row r="404" spans="1:23" ht="13" x14ac:dyDescent="0.3">
      <c r="A404" s="58"/>
      <c r="B404" s="58"/>
      <c r="C404" s="58"/>
      <c r="D404" s="58"/>
      <c r="E404" s="58"/>
      <c r="F404" s="58"/>
      <c r="G404" s="58"/>
      <c r="H404" s="59"/>
      <c r="I404" s="59"/>
      <c r="J404" s="59"/>
      <c r="K404" s="59"/>
      <c r="L404" s="59"/>
      <c r="M404" s="60"/>
      <c r="N404" s="60"/>
      <c r="O404" s="60"/>
      <c r="P404" s="59"/>
      <c r="Q404" s="59"/>
      <c r="R404" s="60"/>
      <c r="S404" s="60"/>
      <c r="T404" s="60"/>
      <c r="U404" s="60"/>
      <c r="V404" s="60"/>
      <c r="W404" s="60"/>
    </row>
    <row r="405" spans="1:23" ht="13" x14ac:dyDescent="0.3">
      <c r="A405" s="58"/>
      <c r="B405" s="58"/>
      <c r="C405" s="58"/>
      <c r="D405" s="58"/>
      <c r="E405" s="58"/>
      <c r="F405" s="58"/>
      <c r="G405" s="58"/>
      <c r="H405" s="59"/>
      <c r="I405" s="59"/>
      <c r="J405" s="59"/>
      <c r="K405" s="59"/>
      <c r="L405" s="59"/>
      <c r="M405" s="60"/>
      <c r="N405" s="60"/>
      <c r="O405" s="60"/>
      <c r="P405" s="59"/>
      <c r="Q405" s="59"/>
      <c r="R405" s="60"/>
      <c r="S405" s="60"/>
      <c r="T405" s="60"/>
      <c r="U405" s="60"/>
      <c r="V405" s="60"/>
      <c r="W405" s="60"/>
    </row>
    <row r="406" spans="1:23" ht="13" x14ac:dyDescent="0.3">
      <c r="A406" s="58"/>
      <c r="B406" s="58"/>
      <c r="C406" s="58"/>
      <c r="D406" s="58"/>
      <c r="E406" s="58"/>
      <c r="F406" s="58"/>
      <c r="G406" s="58"/>
      <c r="H406" s="59"/>
      <c r="I406" s="59"/>
      <c r="J406" s="59"/>
      <c r="K406" s="59"/>
      <c r="L406" s="59"/>
      <c r="M406" s="60"/>
      <c r="N406" s="60"/>
      <c r="O406" s="60"/>
      <c r="P406" s="59"/>
      <c r="Q406" s="59"/>
      <c r="R406" s="60"/>
      <c r="S406" s="60"/>
      <c r="T406" s="60"/>
      <c r="U406" s="60"/>
      <c r="V406" s="60"/>
      <c r="W406" s="60"/>
    </row>
    <row r="407" spans="1:23" ht="13" x14ac:dyDescent="0.3">
      <c r="A407" s="58"/>
      <c r="B407" s="58"/>
      <c r="C407" s="58"/>
      <c r="D407" s="58"/>
      <c r="E407" s="58"/>
      <c r="F407" s="58"/>
      <c r="G407" s="58"/>
      <c r="H407" s="59"/>
      <c r="I407" s="59"/>
      <c r="J407" s="59"/>
      <c r="K407" s="59"/>
      <c r="L407" s="59"/>
      <c r="M407" s="60"/>
      <c r="N407" s="60"/>
      <c r="O407" s="60"/>
      <c r="P407" s="59"/>
      <c r="Q407" s="59"/>
      <c r="R407" s="60"/>
      <c r="S407" s="60"/>
      <c r="T407" s="60"/>
      <c r="U407" s="60"/>
      <c r="V407" s="60"/>
      <c r="W407" s="60"/>
    </row>
    <row r="408" spans="1:23" ht="13" x14ac:dyDescent="0.3">
      <c r="A408" s="58"/>
      <c r="B408" s="58"/>
      <c r="C408" s="58"/>
      <c r="D408" s="58"/>
      <c r="E408" s="58"/>
      <c r="F408" s="58"/>
      <c r="G408" s="58"/>
      <c r="H408" s="59"/>
      <c r="I408" s="59"/>
      <c r="J408" s="59"/>
      <c r="K408" s="59"/>
      <c r="L408" s="59"/>
      <c r="M408" s="60"/>
      <c r="N408" s="60"/>
      <c r="O408" s="60"/>
      <c r="P408" s="59"/>
      <c r="Q408" s="59"/>
      <c r="R408" s="60"/>
      <c r="S408" s="60"/>
      <c r="T408" s="60"/>
      <c r="U408" s="60"/>
      <c r="V408" s="60"/>
      <c r="W408" s="60"/>
    </row>
    <row r="409" spans="1:23" ht="13" x14ac:dyDescent="0.3">
      <c r="A409" s="58"/>
      <c r="B409" s="58"/>
      <c r="C409" s="58"/>
      <c r="D409" s="58"/>
      <c r="E409" s="58"/>
      <c r="F409" s="58"/>
      <c r="G409" s="58"/>
      <c r="H409" s="59"/>
      <c r="I409" s="59"/>
      <c r="J409" s="59"/>
      <c r="K409" s="59"/>
      <c r="L409" s="59"/>
      <c r="M409" s="60"/>
      <c r="N409" s="60"/>
      <c r="O409" s="60"/>
      <c r="P409" s="59"/>
      <c r="Q409" s="59"/>
      <c r="R409" s="60"/>
      <c r="S409" s="60"/>
      <c r="T409" s="60"/>
      <c r="U409" s="60"/>
      <c r="V409" s="60"/>
      <c r="W409" s="60"/>
    </row>
    <row r="410" spans="1:23" ht="13" x14ac:dyDescent="0.3">
      <c r="A410" s="58"/>
      <c r="B410" s="58"/>
      <c r="C410" s="58"/>
      <c r="D410" s="58"/>
      <c r="E410" s="58"/>
      <c r="F410" s="58"/>
      <c r="G410" s="58"/>
      <c r="H410" s="59"/>
      <c r="I410" s="59"/>
      <c r="J410" s="59"/>
      <c r="K410" s="59"/>
      <c r="L410" s="59"/>
      <c r="M410" s="60"/>
      <c r="N410" s="60"/>
      <c r="O410" s="60"/>
      <c r="P410" s="59"/>
      <c r="Q410" s="59"/>
      <c r="R410" s="60"/>
      <c r="S410" s="60"/>
      <c r="T410" s="60"/>
      <c r="U410" s="60"/>
      <c r="V410" s="60"/>
      <c r="W410" s="60"/>
    </row>
    <row r="411" spans="1:23" ht="13" x14ac:dyDescent="0.3">
      <c r="A411" s="58"/>
      <c r="B411" s="58"/>
      <c r="C411" s="58"/>
      <c r="D411" s="58"/>
      <c r="E411" s="58"/>
      <c r="F411" s="58"/>
      <c r="G411" s="58"/>
      <c r="H411" s="59"/>
      <c r="I411" s="59"/>
      <c r="J411" s="59"/>
      <c r="K411" s="59"/>
      <c r="L411" s="59"/>
      <c r="M411" s="60"/>
      <c r="N411" s="60"/>
      <c r="O411" s="60"/>
      <c r="P411" s="59"/>
      <c r="Q411" s="59"/>
      <c r="R411" s="60"/>
      <c r="S411" s="60"/>
      <c r="T411" s="60"/>
      <c r="U411" s="60"/>
      <c r="V411" s="60"/>
      <c r="W411" s="60"/>
    </row>
    <row r="412" spans="1:23" ht="13" x14ac:dyDescent="0.3">
      <c r="A412" s="58"/>
      <c r="B412" s="58"/>
      <c r="C412" s="58"/>
      <c r="D412" s="58"/>
      <c r="E412" s="58"/>
      <c r="F412" s="58"/>
      <c r="G412" s="58"/>
      <c r="H412" s="59"/>
      <c r="I412" s="59"/>
      <c r="J412" s="59"/>
      <c r="K412" s="59"/>
      <c r="L412" s="59"/>
      <c r="M412" s="60"/>
      <c r="N412" s="60"/>
      <c r="O412" s="60"/>
      <c r="P412" s="59"/>
      <c r="Q412" s="59"/>
      <c r="R412" s="60"/>
      <c r="S412" s="60"/>
      <c r="T412" s="60"/>
      <c r="U412" s="60"/>
      <c r="V412" s="60"/>
      <c r="W412" s="60"/>
    </row>
    <row r="413" spans="1:23" ht="13" x14ac:dyDescent="0.3">
      <c r="A413" s="58"/>
      <c r="B413" s="58"/>
      <c r="C413" s="58"/>
      <c r="D413" s="58"/>
      <c r="E413" s="58"/>
      <c r="F413" s="58"/>
      <c r="G413" s="58"/>
      <c r="H413" s="59"/>
      <c r="I413" s="59"/>
      <c r="J413" s="59"/>
      <c r="K413" s="59"/>
      <c r="L413" s="59"/>
      <c r="M413" s="60"/>
      <c r="N413" s="60"/>
      <c r="O413" s="60"/>
      <c r="P413" s="59"/>
      <c r="Q413" s="59"/>
      <c r="R413" s="60"/>
      <c r="S413" s="60"/>
      <c r="T413" s="60"/>
      <c r="U413" s="60"/>
      <c r="V413" s="60"/>
      <c r="W413" s="60"/>
    </row>
    <row r="414" spans="1:23" ht="13" x14ac:dyDescent="0.3">
      <c r="A414" s="58"/>
      <c r="B414" s="58"/>
      <c r="C414" s="58"/>
      <c r="D414" s="58"/>
      <c r="E414" s="58"/>
      <c r="F414" s="58"/>
      <c r="G414" s="58"/>
      <c r="H414" s="59"/>
      <c r="I414" s="59"/>
      <c r="J414" s="59"/>
      <c r="K414" s="59"/>
      <c r="L414" s="59"/>
      <c r="M414" s="60"/>
      <c r="N414" s="60"/>
      <c r="O414" s="60"/>
      <c r="P414" s="59"/>
      <c r="Q414" s="59"/>
      <c r="R414" s="60"/>
      <c r="S414" s="60"/>
      <c r="T414" s="60"/>
      <c r="U414" s="60"/>
      <c r="V414" s="60"/>
      <c r="W414" s="60"/>
    </row>
    <row r="415" spans="1:23" ht="13" x14ac:dyDescent="0.3">
      <c r="A415" s="58"/>
      <c r="B415" s="58"/>
      <c r="C415" s="58"/>
      <c r="D415" s="58"/>
      <c r="E415" s="58"/>
      <c r="F415" s="58"/>
      <c r="G415" s="58"/>
      <c r="H415" s="59"/>
      <c r="I415" s="59"/>
      <c r="J415" s="59"/>
      <c r="K415" s="59"/>
      <c r="L415" s="59"/>
      <c r="M415" s="60"/>
      <c r="N415" s="60"/>
      <c r="O415" s="60"/>
      <c r="P415" s="59"/>
      <c r="Q415" s="59"/>
      <c r="R415" s="60"/>
      <c r="S415" s="60"/>
      <c r="T415" s="60"/>
      <c r="U415" s="60"/>
      <c r="V415" s="60"/>
      <c r="W415" s="60"/>
    </row>
    <row r="416" spans="1:23" ht="13" x14ac:dyDescent="0.3">
      <c r="A416" s="58"/>
      <c r="B416" s="58"/>
      <c r="C416" s="58"/>
      <c r="D416" s="58"/>
      <c r="E416" s="58"/>
      <c r="F416" s="58"/>
      <c r="G416" s="58"/>
      <c r="H416" s="59"/>
      <c r="I416" s="59"/>
      <c r="J416" s="59"/>
      <c r="K416" s="59"/>
      <c r="L416" s="59"/>
      <c r="M416" s="60"/>
      <c r="N416" s="60"/>
      <c r="O416" s="60"/>
      <c r="P416" s="59"/>
      <c r="Q416" s="59"/>
      <c r="R416" s="60"/>
      <c r="S416" s="60"/>
      <c r="T416" s="60"/>
      <c r="U416" s="60"/>
      <c r="V416" s="60"/>
      <c r="W416" s="60"/>
    </row>
    <row r="417" spans="1:23" ht="13" x14ac:dyDescent="0.3">
      <c r="A417" s="58"/>
      <c r="B417" s="58"/>
      <c r="C417" s="58"/>
      <c r="D417" s="58"/>
      <c r="E417" s="58"/>
      <c r="F417" s="58"/>
      <c r="G417" s="58"/>
      <c r="H417" s="59"/>
      <c r="I417" s="59"/>
      <c r="J417" s="59"/>
      <c r="K417" s="59"/>
      <c r="L417" s="59"/>
      <c r="M417" s="60"/>
      <c r="N417" s="60"/>
      <c r="O417" s="60"/>
      <c r="P417" s="59"/>
      <c r="Q417" s="59"/>
      <c r="R417" s="60"/>
      <c r="S417" s="60"/>
      <c r="T417" s="60"/>
      <c r="U417" s="60"/>
      <c r="V417" s="60"/>
      <c r="W417" s="60"/>
    </row>
    <row r="418" spans="1:23" ht="13" x14ac:dyDescent="0.3">
      <c r="A418" s="58"/>
      <c r="B418" s="58"/>
      <c r="C418" s="58"/>
      <c r="D418" s="58"/>
      <c r="E418" s="58"/>
      <c r="F418" s="58"/>
      <c r="G418" s="58"/>
      <c r="H418" s="59"/>
      <c r="I418" s="59"/>
      <c r="J418" s="59"/>
      <c r="K418" s="59"/>
      <c r="L418" s="59"/>
      <c r="M418" s="60"/>
      <c r="N418" s="60"/>
      <c r="O418" s="60"/>
      <c r="P418" s="59"/>
      <c r="Q418" s="59"/>
      <c r="R418" s="60"/>
      <c r="S418" s="60"/>
      <c r="T418" s="60"/>
      <c r="U418" s="60"/>
      <c r="V418" s="60"/>
      <c r="W418" s="60"/>
    </row>
    <row r="419" spans="1:23" ht="13" x14ac:dyDescent="0.3">
      <c r="A419" s="58"/>
      <c r="B419" s="58"/>
      <c r="C419" s="58"/>
      <c r="D419" s="58"/>
      <c r="E419" s="58"/>
      <c r="F419" s="58"/>
      <c r="G419" s="58"/>
      <c r="H419" s="59"/>
      <c r="I419" s="59"/>
      <c r="J419" s="59"/>
      <c r="K419" s="59"/>
      <c r="L419" s="59"/>
      <c r="M419" s="60"/>
      <c r="N419" s="60"/>
      <c r="O419" s="60"/>
      <c r="P419" s="59"/>
      <c r="Q419" s="59"/>
      <c r="R419" s="60"/>
      <c r="S419" s="60"/>
      <c r="T419" s="60"/>
      <c r="U419" s="60"/>
      <c r="V419" s="60"/>
      <c r="W419" s="60"/>
    </row>
    <row r="420" spans="1:23" ht="13" x14ac:dyDescent="0.3">
      <c r="A420" s="58"/>
      <c r="B420" s="58"/>
      <c r="C420" s="58"/>
      <c r="D420" s="58"/>
      <c r="E420" s="58"/>
      <c r="F420" s="58"/>
      <c r="G420" s="58"/>
      <c r="H420" s="59"/>
      <c r="I420" s="59"/>
      <c r="J420" s="59"/>
      <c r="K420" s="59"/>
      <c r="L420" s="59"/>
      <c r="M420" s="60"/>
      <c r="N420" s="60"/>
      <c r="O420" s="60"/>
      <c r="P420" s="59"/>
      <c r="Q420" s="59"/>
      <c r="R420" s="60"/>
      <c r="S420" s="60"/>
      <c r="T420" s="60"/>
      <c r="U420" s="60"/>
      <c r="V420" s="60"/>
      <c r="W420" s="60"/>
    </row>
    <row r="421" spans="1:23" ht="13" x14ac:dyDescent="0.3">
      <c r="A421" s="58"/>
      <c r="B421" s="58"/>
      <c r="C421" s="58"/>
      <c r="D421" s="58"/>
      <c r="E421" s="58"/>
      <c r="F421" s="58"/>
      <c r="G421" s="58"/>
      <c r="H421" s="59"/>
      <c r="I421" s="59"/>
      <c r="J421" s="59"/>
      <c r="K421" s="59"/>
      <c r="L421" s="59"/>
      <c r="M421" s="60"/>
      <c r="N421" s="60"/>
      <c r="O421" s="60"/>
      <c r="P421" s="59"/>
      <c r="Q421" s="59"/>
      <c r="R421" s="60"/>
      <c r="S421" s="60"/>
      <c r="T421" s="60"/>
      <c r="U421" s="60"/>
      <c r="V421" s="60"/>
      <c r="W421" s="60"/>
    </row>
    <row r="422" spans="1:23" ht="13" x14ac:dyDescent="0.3">
      <c r="A422" s="58"/>
      <c r="B422" s="58"/>
      <c r="C422" s="58"/>
      <c r="D422" s="58"/>
      <c r="E422" s="58"/>
      <c r="F422" s="58"/>
      <c r="G422" s="58"/>
      <c r="H422" s="59"/>
      <c r="I422" s="59"/>
      <c r="J422" s="59"/>
      <c r="K422" s="59"/>
      <c r="L422" s="59"/>
      <c r="M422" s="60"/>
      <c r="N422" s="60"/>
      <c r="O422" s="60"/>
      <c r="P422" s="59"/>
      <c r="Q422" s="59"/>
      <c r="R422" s="60"/>
      <c r="S422" s="60"/>
      <c r="T422" s="60"/>
      <c r="U422" s="60"/>
      <c r="V422" s="60"/>
      <c r="W422" s="60"/>
    </row>
    <row r="423" spans="1:23" ht="13" x14ac:dyDescent="0.3">
      <c r="A423" s="58"/>
      <c r="B423" s="58"/>
      <c r="C423" s="58"/>
      <c r="D423" s="58"/>
      <c r="E423" s="58"/>
      <c r="F423" s="58"/>
      <c r="G423" s="58"/>
      <c r="H423" s="59"/>
      <c r="I423" s="59"/>
      <c r="J423" s="59"/>
      <c r="K423" s="59"/>
      <c r="L423" s="59"/>
      <c r="M423" s="60"/>
      <c r="N423" s="60"/>
      <c r="O423" s="60"/>
      <c r="P423" s="59"/>
      <c r="Q423" s="59"/>
      <c r="R423" s="60"/>
      <c r="S423" s="60"/>
      <c r="T423" s="60"/>
      <c r="U423" s="60"/>
      <c r="V423" s="60"/>
      <c r="W423" s="60"/>
    </row>
    <row r="424" spans="1:23" ht="13" x14ac:dyDescent="0.3">
      <c r="A424" s="58"/>
      <c r="B424" s="58"/>
      <c r="C424" s="58"/>
      <c r="D424" s="58"/>
      <c r="E424" s="58"/>
      <c r="F424" s="58"/>
      <c r="G424" s="58"/>
      <c r="H424" s="59"/>
      <c r="I424" s="59"/>
      <c r="J424" s="59"/>
      <c r="K424" s="59"/>
      <c r="L424" s="59"/>
      <c r="M424" s="60"/>
      <c r="N424" s="60"/>
      <c r="O424" s="60"/>
      <c r="P424" s="59"/>
      <c r="Q424" s="59"/>
      <c r="R424" s="60"/>
      <c r="S424" s="60"/>
      <c r="T424" s="60"/>
      <c r="U424" s="60"/>
      <c r="V424" s="60"/>
      <c r="W424" s="60"/>
    </row>
    <row r="425" spans="1:23" ht="13" x14ac:dyDescent="0.3">
      <c r="A425" s="58"/>
      <c r="B425" s="58"/>
      <c r="C425" s="58"/>
      <c r="D425" s="58"/>
      <c r="E425" s="58"/>
      <c r="F425" s="58"/>
      <c r="G425" s="58"/>
      <c r="H425" s="59"/>
      <c r="I425" s="59"/>
      <c r="J425" s="59"/>
      <c r="K425" s="59"/>
      <c r="L425" s="59"/>
      <c r="M425" s="60"/>
      <c r="N425" s="60"/>
      <c r="O425" s="60"/>
      <c r="P425" s="59"/>
      <c r="Q425" s="59"/>
      <c r="R425" s="60"/>
      <c r="S425" s="60"/>
      <c r="T425" s="60"/>
      <c r="U425" s="60"/>
      <c r="V425" s="60"/>
      <c r="W425" s="60"/>
    </row>
    <row r="426" spans="1:23" ht="13" x14ac:dyDescent="0.3">
      <c r="A426" s="58"/>
      <c r="B426" s="58"/>
      <c r="C426" s="58"/>
      <c r="D426" s="58"/>
      <c r="E426" s="58"/>
      <c r="F426" s="58"/>
      <c r="G426" s="58"/>
      <c r="H426" s="59"/>
      <c r="I426" s="59"/>
      <c r="J426" s="59"/>
      <c r="K426" s="59"/>
      <c r="L426" s="59"/>
      <c r="M426" s="60"/>
      <c r="N426" s="60"/>
      <c r="O426" s="60"/>
      <c r="P426" s="59"/>
      <c r="Q426" s="59"/>
      <c r="R426" s="60"/>
      <c r="S426" s="60"/>
      <c r="T426" s="60"/>
      <c r="U426" s="60"/>
      <c r="V426" s="60"/>
      <c r="W426" s="60"/>
    </row>
    <row r="427" spans="1:23" ht="13" x14ac:dyDescent="0.3">
      <c r="A427" s="58"/>
      <c r="B427" s="58"/>
      <c r="C427" s="58"/>
      <c r="D427" s="58"/>
      <c r="E427" s="58"/>
      <c r="F427" s="58"/>
      <c r="G427" s="58"/>
      <c r="H427" s="59"/>
      <c r="I427" s="59"/>
      <c r="J427" s="59"/>
      <c r="K427" s="59"/>
      <c r="L427" s="59"/>
      <c r="M427" s="60"/>
      <c r="N427" s="60"/>
      <c r="O427" s="60"/>
      <c r="P427" s="59"/>
      <c r="Q427" s="59"/>
      <c r="R427" s="60"/>
      <c r="S427" s="60"/>
      <c r="T427" s="60"/>
      <c r="U427" s="60"/>
      <c r="V427" s="60"/>
      <c r="W427" s="60"/>
    </row>
    <row r="428" spans="1:23" ht="13" x14ac:dyDescent="0.3">
      <c r="A428" s="58"/>
      <c r="B428" s="58"/>
      <c r="C428" s="58"/>
      <c r="D428" s="58"/>
      <c r="E428" s="58"/>
      <c r="F428" s="58"/>
      <c r="G428" s="58"/>
      <c r="H428" s="59"/>
      <c r="I428" s="59"/>
      <c r="J428" s="59"/>
      <c r="K428" s="59"/>
      <c r="L428" s="59"/>
      <c r="M428" s="60"/>
      <c r="N428" s="60"/>
      <c r="O428" s="60"/>
      <c r="P428" s="59"/>
      <c r="Q428" s="59"/>
      <c r="R428" s="60"/>
      <c r="S428" s="60"/>
      <c r="T428" s="60"/>
      <c r="U428" s="60"/>
      <c r="V428" s="60"/>
      <c r="W428" s="60"/>
    </row>
    <row r="429" spans="1:23" ht="13" x14ac:dyDescent="0.3">
      <c r="A429" s="58"/>
      <c r="B429" s="58"/>
      <c r="C429" s="58"/>
      <c r="D429" s="58"/>
      <c r="E429" s="58"/>
      <c r="F429" s="58"/>
      <c r="G429" s="58"/>
      <c r="H429" s="59"/>
      <c r="I429" s="59"/>
      <c r="J429" s="59"/>
      <c r="K429" s="59"/>
      <c r="L429" s="59"/>
      <c r="M429" s="60"/>
      <c r="N429" s="60"/>
      <c r="O429" s="60"/>
      <c r="P429" s="59"/>
      <c r="Q429" s="59"/>
      <c r="R429" s="60"/>
      <c r="S429" s="60"/>
      <c r="T429" s="60"/>
      <c r="U429" s="60"/>
      <c r="V429" s="60"/>
      <c r="W429" s="60"/>
    </row>
    <row r="430" spans="1:23" ht="13" x14ac:dyDescent="0.3">
      <c r="A430" s="58"/>
      <c r="B430" s="58"/>
      <c r="C430" s="58"/>
      <c r="D430" s="58"/>
      <c r="E430" s="58"/>
      <c r="F430" s="58"/>
      <c r="G430" s="58"/>
      <c r="H430" s="59"/>
      <c r="I430" s="59"/>
      <c r="J430" s="59"/>
      <c r="K430" s="59"/>
      <c r="L430" s="59"/>
      <c r="M430" s="60"/>
      <c r="N430" s="60"/>
      <c r="O430" s="60"/>
      <c r="P430" s="59"/>
      <c r="Q430" s="59"/>
      <c r="R430" s="60"/>
      <c r="S430" s="60"/>
      <c r="T430" s="60"/>
      <c r="U430" s="60"/>
      <c r="V430" s="60"/>
      <c r="W430" s="60"/>
    </row>
    <row r="431" spans="1:23" ht="13" x14ac:dyDescent="0.3">
      <c r="A431" s="58"/>
      <c r="B431" s="58"/>
      <c r="C431" s="58"/>
      <c r="D431" s="58"/>
      <c r="E431" s="58"/>
      <c r="F431" s="58"/>
      <c r="G431" s="58"/>
      <c r="H431" s="59"/>
      <c r="I431" s="59"/>
      <c r="J431" s="59"/>
      <c r="K431" s="59"/>
      <c r="L431" s="59"/>
      <c r="M431" s="60"/>
      <c r="N431" s="60"/>
      <c r="O431" s="60"/>
      <c r="P431" s="59"/>
      <c r="Q431" s="59"/>
      <c r="R431" s="60"/>
      <c r="S431" s="60"/>
      <c r="T431" s="60"/>
      <c r="U431" s="60"/>
      <c r="V431" s="60"/>
      <c r="W431" s="60"/>
    </row>
    <row r="432" spans="1:23" ht="13" x14ac:dyDescent="0.3">
      <c r="A432" s="58"/>
      <c r="B432" s="58"/>
      <c r="C432" s="58"/>
      <c r="D432" s="58"/>
      <c r="E432" s="58"/>
      <c r="F432" s="58"/>
      <c r="G432" s="58"/>
      <c r="H432" s="59"/>
      <c r="I432" s="59"/>
      <c r="J432" s="59"/>
      <c r="K432" s="59"/>
      <c r="L432" s="59"/>
      <c r="M432" s="60"/>
      <c r="N432" s="60"/>
      <c r="O432" s="60"/>
      <c r="P432" s="59"/>
      <c r="Q432" s="59"/>
      <c r="R432" s="60"/>
      <c r="S432" s="60"/>
      <c r="T432" s="60"/>
      <c r="U432" s="60"/>
      <c r="V432" s="60"/>
      <c r="W432" s="60"/>
    </row>
    <row r="433" spans="1:23" ht="13" x14ac:dyDescent="0.3">
      <c r="A433" s="58"/>
      <c r="B433" s="58"/>
      <c r="C433" s="58"/>
      <c r="D433" s="58"/>
      <c r="E433" s="58"/>
      <c r="F433" s="58"/>
      <c r="G433" s="58"/>
      <c r="H433" s="59"/>
      <c r="I433" s="59"/>
      <c r="J433" s="59"/>
      <c r="K433" s="59"/>
      <c r="L433" s="59"/>
      <c r="M433" s="60"/>
      <c r="N433" s="60"/>
      <c r="O433" s="60"/>
      <c r="P433" s="59"/>
      <c r="Q433" s="59"/>
      <c r="R433" s="60"/>
      <c r="S433" s="60"/>
      <c r="T433" s="60"/>
      <c r="U433" s="60"/>
      <c r="V433" s="60"/>
      <c r="W433" s="60"/>
    </row>
    <row r="434" spans="1:23" ht="13" x14ac:dyDescent="0.3">
      <c r="A434" s="58"/>
      <c r="B434" s="58"/>
      <c r="C434" s="58"/>
      <c r="D434" s="58"/>
      <c r="E434" s="58"/>
      <c r="F434" s="58"/>
      <c r="G434" s="58"/>
      <c r="H434" s="59"/>
      <c r="I434" s="59"/>
      <c r="J434" s="59"/>
      <c r="K434" s="59"/>
      <c r="L434" s="59"/>
      <c r="M434" s="60"/>
      <c r="N434" s="60"/>
      <c r="O434" s="60"/>
      <c r="P434" s="59"/>
      <c r="Q434" s="59"/>
      <c r="R434" s="60"/>
      <c r="S434" s="60"/>
      <c r="T434" s="60"/>
      <c r="U434" s="60"/>
      <c r="V434" s="60"/>
      <c r="W434" s="60"/>
    </row>
    <row r="435" spans="1:23" ht="13" x14ac:dyDescent="0.3">
      <c r="A435" s="58"/>
      <c r="B435" s="58"/>
      <c r="C435" s="58"/>
      <c r="D435" s="58"/>
      <c r="E435" s="58"/>
      <c r="F435" s="58"/>
      <c r="G435" s="58"/>
      <c r="H435" s="59"/>
      <c r="I435" s="59"/>
      <c r="J435" s="59"/>
      <c r="K435" s="59"/>
      <c r="L435" s="59"/>
      <c r="M435" s="60"/>
      <c r="N435" s="60"/>
      <c r="O435" s="60"/>
      <c r="P435" s="59"/>
      <c r="Q435" s="59"/>
      <c r="R435" s="60"/>
      <c r="S435" s="60"/>
      <c r="T435" s="60"/>
      <c r="U435" s="60"/>
      <c r="V435" s="60"/>
      <c r="W435" s="60"/>
    </row>
    <row r="436" spans="1:23" ht="13" x14ac:dyDescent="0.3">
      <c r="A436" s="58"/>
      <c r="B436" s="58"/>
      <c r="C436" s="58"/>
      <c r="D436" s="58"/>
      <c r="E436" s="58"/>
      <c r="F436" s="58"/>
      <c r="G436" s="58"/>
      <c r="H436" s="59"/>
      <c r="I436" s="59"/>
      <c r="J436" s="59"/>
      <c r="K436" s="59"/>
      <c r="L436" s="59"/>
      <c r="M436" s="60"/>
      <c r="N436" s="60"/>
      <c r="O436" s="60"/>
      <c r="P436" s="59"/>
      <c r="Q436" s="59"/>
      <c r="R436" s="60"/>
      <c r="S436" s="60"/>
      <c r="T436" s="60"/>
      <c r="U436" s="60"/>
      <c r="V436" s="60"/>
      <c r="W436" s="60"/>
    </row>
    <row r="437" spans="1:23" ht="13" x14ac:dyDescent="0.3">
      <c r="A437" s="58"/>
      <c r="B437" s="58"/>
      <c r="C437" s="58"/>
      <c r="D437" s="58"/>
      <c r="E437" s="58"/>
      <c r="F437" s="58"/>
      <c r="G437" s="58"/>
      <c r="H437" s="59"/>
      <c r="I437" s="59"/>
      <c r="J437" s="59"/>
      <c r="K437" s="59"/>
      <c r="L437" s="59"/>
      <c r="M437" s="60"/>
      <c r="N437" s="60"/>
      <c r="O437" s="60"/>
      <c r="P437" s="59"/>
      <c r="Q437" s="59"/>
      <c r="R437" s="60"/>
      <c r="S437" s="60"/>
      <c r="T437" s="60"/>
      <c r="U437" s="60"/>
      <c r="V437" s="60"/>
      <c r="W437" s="60"/>
    </row>
    <row r="438" spans="1:23" ht="13" x14ac:dyDescent="0.3">
      <c r="A438" s="58"/>
      <c r="B438" s="58"/>
      <c r="C438" s="58"/>
      <c r="D438" s="58"/>
      <c r="E438" s="58"/>
      <c r="F438" s="58"/>
      <c r="G438" s="58"/>
      <c r="H438" s="59"/>
      <c r="I438" s="59"/>
      <c r="J438" s="59"/>
      <c r="K438" s="59"/>
      <c r="L438" s="59"/>
      <c r="M438" s="60"/>
      <c r="N438" s="60"/>
      <c r="O438" s="60"/>
      <c r="P438" s="59"/>
      <c r="Q438" s="59"/>
      <c r="R438" s="60"/>
      <c r="S438" s="60"/>
      <c r="T438" s="60"/>
      <c r="U438" s="60"/>
      <c r="V438" s="60"/>
      <c r="W438" s="60"/>
    </row>
    <row r="439" spans="1:23" ht="13" x14ac:dyDescent="0.3">
      <c r="A439" s="58"/>
      <c r="B439" s="58"/>
      <c r="C439" s="58"/>
      <c r="D439" s="58"/>
      <c r="E439" s="58"/>
      <c r="F439" s="58"/>
      <c r="G439" s="58"/>
      <c r="H439" s="59"/>
      <c r="I439" s="59"/>
      <c r="J439" s="59"/>
      <c r="K439" s="59"/>
      <c r="L439" s="59"/>
      <c r="M439" s="60"/>
      <c r="N439" s="60"/>
      <c r="O439" s="60"/>
      <c r="P439" s="59"/>
      <c r="Q439" s="59"/>
      <c r="R439" s="60"/>
      <c r="S439" s="60"/>
      <c r="T439" s="60"/>
      <c r="U439" s="60"/>
      <c r="V439" s="60"/>
      <c r="W439" s="60"/>
    </row>
    <row r="440" spans="1:23" ht="13" x14ac:dyDescent="0.3">
      <c r="A440" s="58"/>
      <c r="B440" s="58"/>
      <c r="C440" s="58"/>
      <c r="D440" s="58"/>
      <c r="E440" s="58"/>
      <c r="F440" s="58"/>
      <c r="G440" s="58"/>
      <c r="H440" s="59"/>
      <c r="I440" s="59"/>
      <c r="J440" s="59"/>
      <c r="K440" s="59"/>
      <c r="L440" s="59"/>
      <c r="M440" s="60"/>
      <c r="N440" s="60"/>
      <c r="O440" s="60"/>
      <c r="P440" s="59"/>
      <c r="Q440" s="59"/>
      <c r="R440" s="60"/>
      <c r="S440" s="60"/>
      <c r="T440" s="60"/>
      <c r="U440" s="60"/>
      <c r="V440" s="60"/>
      <c r="W440" s="60"/>
    </row>
    <row r="441" spans="1:23" ht="13" x14ac:dyDescent="0.3">
      <c r="A441" s="58"/>
      <c r="B441" s="58"/>
      <c r="C441" s="58"/>
      <c r="D441" s="58"/>
      <c r="E441" s="58"/>
      <c r="F441" s="58"/>
      <c r="G441" s="58"/>
      <c r="H441" s="59"/>
      <c r="I441" s="59"/>
      <c r="J441" s="59"/>
      <c r="K441" s="59"/>
      <c r="L441" s="59"/>
      <c r="M441" s="60"/>
      <c r="N441" s="60"/>
      <c r="O441" s="60"/>
      <c r="P441" s="59"/>
      <c r="Q441" s="59"/>
      <c r="R441" s="60"/>
      <c r="S441" s="60"/>
      <c r="T441" s="60"/>
      <c r="U441" s="60"/>
      <c r="V441" s="60"/>
      <c r="W441" s="60"/>
    </row>
    <row r="442" spans="1:23" ht="13" x14ac:dyDescent="0.3">
      <c r="A442" s="58"/>
      <c r="B442" s="58"/>
      <c r="C442" s="58"/>
      <c r="D442" s="58"/>
      <c r="E442" s="58"/>
      <c r="F442" s="58"/>
      <c r="G442" s="58"/>
      <c r="H442" s="59"/>
      <c r="I442" s="59"/>
      <c r="J442" s="59"/>
      <c r="K442" s="59"/>
      <c r="L442" s="59"/>
      <c r="M442" s="60"/>
      <c r="N442" s="60"/>
      <c r="O442" s="60"/>
      <c r="P442" s="59"/>
      <c r="Q442" s="59"/>
      <c r="R442" s="60"/>
      <c r="S442" s="60"/>
      <c r="T442" s="60"/>
      <c r="U442" s="60"/>
      <c r="V442" s="60"/>
      <c r="W442" s="60"/>
    </row>
    <row r="443" spans="1:23" ht="13" x14ac:dyDescent="0.3">
      <c r="A443" s="58"/>
      <c r="B443" s="58"/>
      <c r="C443" s="58"/>
      <c r="D443" s="58"/>
      <c r="E443" s="58"/>
      <c r="F443" s="58"/>
      <c r="G443" s="58"/>
      <c r="H443" s="59"/>
      <c r="I443" s="59"/>
      <c r="J443" s="59"/>
      <c r="K443" s="59"/>
      <c r="L443" s="59"/>
      <c r="M443" s="60"/>
      <c r="N443" s="60"/>
      <c r="O443" s="60"/>
      <c r="P443" s="59"/>
      <c r="Q443" s="59"/>
      <c r="R443" s="60"/>
      <c r="S443" s="60"/>
      <c r="T443" s="60"/>
      <c r="U443" s="60"/>
      <c r="V443" s="60"/>
      <c r="W443" s="60"/>
    </row>
    <row r="444" spans="1:23" ht="13" x14ac:dyDescent="0.3">
      <c r="A444" s="58"/>
      <c r="B444" s="58"/>
      <c r="C444" s="58"/>
      <c r="D444" s="58"/>
      <c r="E444" s="58"/>
      <c r="F444" s="58"/>
      <c r="G444" s="58"/>
      <c r="H444" s="59"/>
      <c r="I444" s="59"/>
      <c r="J444" s="59"/>
      <c r="K444" s="59"/>
      <c r="L444" s="59"/>
      <c r="M444" s="60"/>
      <c r="N444" s="60"/>
      <c r="O444" s="60"/>
      <c r="P444" s="59"/>
      <c r="Q444" s="59"/>
      <c r="R444" s="60"/>
      <c r="S444" s="60"/>
      <c r="T444" s="60"/>
      <c r="U444" s="60"/>
      <c r="V444" s="60"/>
      <c r="W444" s="60"/>
    </row>
    <row r="445" spans="1:23" ht="13" x14ac:dyDescent="0.3">
      <c r="A445" s="58"/>
      <c r="B445" s="58"/>
      <c r="C445" s="58"/>
      <c r="D445" s="58"/>
      <c r="E445" s="58"/>
      <c r="F445" s="58"/>
      <c r="G445" s="58"/>
      <c r="H445" s="59"/>
      <c r="I445" s="59"/>
      <c r="J445" s="59"/>
      <c r="K445" s="59"/>
      <c r="L445" s="59"/>
      <c r="M445" s="60"/>
      <c r="N445" s="60"/>
      <c r="O445" s="60"/>
      <c r="P445" s="59"/>
      <c r="Q445" s="59"/>
      <c r="R445" s="60"/>
      <c r="S445" s="60"/>
      <c r="T445" s="60"/>
      <c r="U445" s="60"/>
      <c r="V445" s="60"/>
      <c r="W445" s="60"/>
    </row>
    <row r="446" spans="1:23" ht="13" x14ac:dyDescent="0.3">
      <c r="A446" s="58"/>
      <c r="B446" s="58"/>
      <c r="C446" s="58"/>
      <c r="D446" s="58"/>
      <c r="E446" s="58"/>
      <c r="F446" s="58"/>
      <c r="G446" s="58"/>
      <c r="H446" s="59"/>
      <c r="I446" s="59"/>
      <c r="J446" s="59"/>
      <c r="K446" s="59"/>
      <c r="L446" s="59"/>
      <c r="M446" s="60"/>
      <c r="N446" s="60"/>
      <c r="O446" s="60"/>
      <c r="P446" s="59"/>
      <c r="Q446" s="59"/>
      <c r="R446" s="60"/>
      <c r="S446" s="60"/>
      <c r="T446" s="60"/>
      <c r="U446" s="60"/>
      <c r="V446" s="60"/>
      <c r="W446" s="60"/>
    </row>
    <row r="447" spans="1:23" ht="13" x14ac:dyDescent="0.3">
      <c r="A447" s="58"/>
      <c r="B447" s="58"/>
      <c r="C447" s="58"/>
      <c r="D447" s="58"/>
      <c r="E447" s="58"/>
      <c r="F447" s="58"/>
      <c r="G447" s="58"/>
      <c r="H447" s="59"/>
      <c r="I447" s="59"/>
      <c r="J447" s="59"/>
      <c r="K447" s="59"/>
      <c r="L447" s="59"/>
      <c r="M447" s="60"/>
      <c r="N447" s="60"/>
      <c r="O447" s="60"/>
      <c r="P447" s="59"/>
      <c r="Q447" s="59"/>
      <c r="R447" s="60"/>
      <c r="S447" s="60"/>
      <c r="T447" s="60"/>
      <c r="U447" s="60"/>
      <c r="V447" s="60"/>
      <c r="W447" s="60"/>
    </row>
    <row r="448" spans="1:23" ht="13" x14ac:dyDescent="0.3">
      <c r="A448" s="58"/>
      <c r="B448" s="58"/>
      <c r="C448" s="58"/>
      <c r="D448" s="58"/>
      <c r="E448" s="58"/>
      <c r="F448" s="58"/>
      <c r="G448" s="58"/>
      <c r="H448" s="59"/>
      <c r="I448" s="59"/>
      <c r="J448" s="59"/>
      <c r="K448" s="59"/>
      <c r="L448" s="59"/>
      <c r="M448" s="60"/>
      <c r="N448" s="60"/>
      <c r="O448" s="60"/>
      <c r="P448" s="59"/>
      <c r="Q448" s="59"/>
      <c r="R448" s="60"/>
      <c r="S448" s="60"/>
      <c r="T448" s="60"/>
      <c r="U448" s="60"/>
      <c r="V448" s="60"/>
      <c r="W448" s="60"/>
    </row>
    <row r="449" spans="1:23" ht="13" x14ac:dyDescent="0.3">
      <c r="A449" s="58"/>
      <c r="B449" s="58"/>
      <c r="C449" s="58"/>
      <c r="D449" s="58"/>
      <c r="E449" s="58"/>
      <c r="F449" s="58"/>
      <c r="G449" s="58"/>
      <c r="H449" s="59"/>
      <c r="I449" s="59"/>
      <c r="J449" s="59"/>
      <c r="K449" s="59"/>
      <c r="L449" s="59"/>
      <c r="M449" s="60"/>
      <c r="N449" s="60"/>
      <c r="O449" s="60"/>
      <c r="P449" s="59"/>
      <c r="Q449" s="59"/>
      <c r="R449" s="60"/>
      <c r="S449" s="60"/>
      <c r="T449" s="60"/>
      <c r="U449" s="60"/>
      <c r="V449" s="60"/>
      <c r="W449" s="60"/>
    </row>
    <row r="450" spans="1:23" ht="13" x14ac:dyDescent="0.3">
      <c r="A450" s="58"/>
      <c r="B450" s="58"/>
      <c r="C450" s="58"/>
      <c r="D450" s="58"/>
      <c r="E450" s="58"/>
      <c r="F450" s="58"/>
      <c r="G450" s="58"/>
      <c r="H450" s="59"/>
      <c r="I450" s="59"/>
      <c r="J450" s="59"/>
      <c r="K450" s="59"/>
      <c r="L450" s="59"/>
      <c r="M450" s="60"/>
      <c r="N450" s="60"/>
      <c r="O450" s="60"/>
      <c r="P450" s="59"/>
      <c r="Q450" s="59"/>
      <c r="R450" s="60"/>
      <c r="S450" s="60"/>
      <c r="T450" s="60"/>
      <c r="U450" s="60"/>
      <c r="V450" s="60"/>
      <c r="W450" s="60"/>
    </row>
    <row r="451" spans="1:23" ht="13" x14ac:dyDescent="0.3">
      <c r="A451" s="58"/>
      <c r="B451" s="58"/>
      <c r="C451" s="58"/>
      <c r="D451" s="58"/>
      <c r="E451" s="58"/>
      <c r="F451" s="58"/>
      <c r="G451" s="58"/>
      <c r="H451" s="59"/>
      <c r="I451" s="59"/>
      <c r="J451" s="59"/>
      <c r="K451" s="59"/>
      <c r="L451" s="59"/>
      <c r="M451" s="60"/>
      <c r="N451" s="60"/>
      <c r="O451" s="60"/>
      <c r="P451" s="59"/>
      <c r="Q451" s="59"/>
      <c r="R451" s="60"/>
      <c r="S451" s="60"/>
      <c r="T451" s="60"/>
      <c r="U451" s="60"/>
      <c r="V451" s="60"/>
      <c r="W451" s="60"/>
    </row>
    <row r="452" spans="1:23" ht="13" x14ac:dyDescent="0.3">
      <c r="A452" s="58"/>
      <c r="B452" s="58"/>
      <c r="C452" s="58"/>
      <c r="D452" s="58"/>
      <c r="E452" s="58"/>
      <c r="F452" s="58"/>
      <c r="G452" s="58"/>
      <c r="H452" s="59"/>
      <c r="I452" s="59"/>
      <c r="J452" s="59"/>
      <c r="K452" s="59"/>
      <c r="L452" s="59"/>
      <c r="M452" s="60"/>
      <c r="N452" s="60"/>
      <c r="O452" s="60"/>
      <c r="P452" s="59"/>
      <c r="Q452" s="59"/>
      <c r="R452" s="60"/>
      <c r="S452" s="60"/>
      <c r="T452" s="60"/>
      <c r="U452" s="60"/>
      <c r="V452" s="60"/>
      <c r="W452" s="60"/>
    </row>
    <row r="453" spans="1:23" ht="13" x14ac:dyDescent="0.3">
      <c r="A453" s="58"/>
      <c r="B453" s="58"/>
      <c r="C453" s="58"/>
      <c r="D453" s="58"/>
      <c r="E453" s="58"/>
      <c r="F453" s="58"/>
      <c r="G453" s="58"/>
      <c r="H453" s="59"/>
      <c r="I453" s="59"/>
      <c r="J453" s="59"/>
      <c r="K453" s="59"/>
      <c r="L453" s="59"/>
      <c r="M453" s="60"/>
      <c r="N453" s="60"/>
      <c r="O453" s="60"/>
      <c r="P453" s="59"/>
      <c r="Q453" s="59"/>
      <c r="R453" s="60"/>
      <c r="S453" s="60"/>
      <c r="T453" s="60"/>
      <c r="U453" s="60"/>
      <c r="V453" s="60"/>
      <c r="W453" s="60"/>
    </row>
    <row r="454" spans="1:23" ht="13" x14ac:dyDescent="0.3">
      <c r="A454" s="58"/>
      <c r="B454" s="58"/>
      <c r="C454" s="58"/>
      <c r="D454" s="58"/>
      <c r="E454" s="58"/>
      <c r="F454" s="58"/>
      <c r="G454" s="58"/>
      <c r="H454" s="59"/>
      <c r="I454" s="59"/>
      <c r="J454" s="59"/>
      <c r="K454" s="59"/>
      <c r="L454" s="59"/>
      <c r="M454" s="60"/>
      <c r="N454" s="60"/>
      <c r="O454" s="60"/>
      <c r="P454" s="59"/>
      <c r="Q454" s="59"/>
      <c r="R454" s="60"/>
      <c r="S454" s="60"/>
      <c r="T454" s="60"/>
      <c r="U454" s="60"/>
      <c r="V454" s="60"/>
      <c r="W454" s="60"/>
    </row>
    <row r="455" spans="1:23" ht="13" x14ac:dyDescent="0.3">
      <c r="A455" s="58"/>
      <c r="B455" s="58"/>
      <c r="C455" s="58"/>
      <c r="D455" s="58"/>
      <c r="E455" s="58"/>
      <c r="F455" s="58"/>
      <c r="G455" s="58"/>
      <c r="H455" s="59"/>
      <c r="I455" s="59"/>
      <c r="J455" s="59"/>
      <c r="K455" s="59"/>
      <c r="L455" s="59"/>
      <c r="M455" s="60"/>
      <c r="N455" s="60"/>
      <c r="O455" s="60"/>
      <c r="P455" s="59"/>
      <c r="Q455" s="59"/>
      <c r="R455" s="60"/>
      <c r="S455" s="60"/>
      <c r="T455" s="60"/>
      <c r="U455" s="60"/>
      <c r="V455" s="60"/>
      <c r="W455" s="60"/>
    </row>
    <row r="456" spans="1:23" ht="13" x14ac:dyDescent="0.3">
      <c r="A456" s="58"/>
      <c r="B456" s="58"/>
      <c r="C456" s="58"/>
      <c r="D456" s="58"/>
      <c r="E456" s="58"/>
      <c r="F456" s="58"/>
      <c r="G456" s="58"/>
      <c r="H456" s="59"/>
      <c r="I456" s="59"/>
      <c r="J456" s="59"/>
      <c r="K456" s="59"/>
      <c r="L456" s="59"/>
      <c r="M456" s="60"/>
      <c r="N456" s="60"/>
      <c r="O456" s="60"/>
      <c r="P456" s="59"/>
      <c r="Q456" s="59"/>
      <c r="R456" s="60"/>
      <c r="S456" s="60"/>
      <c r="T456" s="60"/>
      <c r="U456" s="60"/>
      <c r="V456" s="60"/>
      <c r="W456" s="60"/>
    </row>
    <row r="457" spans="1:23" ht="13" x14ac:dyDescent="0.3">
      <c r="A457" s="58"/>
      <c r="B457" s="58"/>
      <c r="C457" s="58"/>
      <c r="D457" s="58"/>
      <c r="E457" s="58"/>
      <c r="F457" s="58"/>
      <c r="G457" s="58"/>
      <c r="H457" s="59"/>
      <c r="I457" s="59"/>
      <c r="J457" s="59"/>
      <c r="K457" s="59"/>
      <c r="L457" s="59"/>
      <c r="M457" s="60"/>
      <c r="N457" s="60"/>
      <c r="O457" s="60"/>
      <c r="P457" s="59"/>
      <c r="Q457" s="59"/>
      <c r="R457" s="60"/>
      <c r="S457" s="60"/>
      <c r="T457" s="60"/>
      <c r="U457" s="60"/>
      <c r="V457" s="60"/>
      <c r="W457" s="60"/>
    </row>
    <row r="458" spans="1:23" ht="13" x14ac:dyDescent="0.3">
      <c r="A458" s="58"/>
      <c r="B458" s="58"/>
      <c r="C458" s="58"/>
      <c r="D458" s="58"/>
      <c r="E458" s="58"/>
      <c r="F458" s="58"/>
      <c r="G458" s="58"/>
      <c r="H458" s="59"/>
      <c r="I458" s="59"/>
      <c r="J458" s="59"/>
      <c r="K458" s="59"/>
      <c r="L458" s="59"/>
      <c r="M458" s="60"/>
      <c r="N458" s="60"/>
      <c r="O458" s="60"/>
      <c r="P458" s="59"/>
      <c r="Q458" s="59"/>
      <c r="R458" s="60"/>
      <c r="S458" s="60"/>
      <c r="T458" s="60"/>
      <c r="U458" s="60"/>
      <c r="V458" s="60"/>
      <c r="W458" s="60"/>
    </row>
    <row r="459" spans="1:23" ht="13" x14ac:dyDescent="0.3">
      <c r="A459" s="58"/>
      <c r="B459" s="58"/>
      <c r="C459" s="58"/>
      <c r="D459" s="58"/>
      <c r="E459" s="58"/>
      <c r="F459" s="58"/>
      <c r="G459" s="58"/>
      <c r="H459" s="59"/>
      <c r="I459" s="59"/>
      <c r="J459" s="59"/>
      <c r="K459" s="59"/>
      <c r="L459" s="59"/>
      <c r="M459" s="60"/>
      <c r="N459" s="60"/>
      <c r="O459" s="60"/>
      <c r="P459" s="59"/>
      <c r="Q459" s="59"/>
      <c r="R459" s="60"/>
      <c r="S459" s="60"/>
      <c r="T459" s="60"/>
      <c r="U459" s="60"/>
      <c r="V459" s="60"/>
      <c r="W459" s="60"/>
    </row>
    <row r="460" spans="1:23" ht="13" x14ac:dyDescent="0.3">
      <c r="A460" s="58"/>
      <c r="B460" s="58"/>
      <c r="C460" s="58"/>
      <c r="D460" s="58"/>
      <c r="E460" s="58"/>
      <c r="F460" s="58"/>
      <c r="G460" s="58"/>
      <c r="H460" s="59"/>
      <c r="I460" s="59"/>
      <c r="J460" s="59"/>
      <c r="K460" s="59"/>
      <c r="L460" s="59"/>
      <c r="M460" s="60"/>
      <c r="N460" s="60"/>
      <c r="O460" s="60"/>
      <c r="P460" s="59"/>
      <c r="Q460" s="59"/>
      <c r="R460" s="60"/>
      <c r="S460" s="60"/>
      <c r="T460" s="60"/>
      <c r="U460" s="60"/>
      <c r="V460" s="60"/>
      <c r="W460" s="60"/>
    </row>
    <row r="461" spans="1:23" ht="13" x14ac:dyDescent="0.3">
      <c r="A461" s="58"/>
      <c r="B461" s="58"/>
      <c r="C461" s="58"/>
      <c r="D461" s="58"/>
      <c r="E461" s="58"/>
      <c r="F461" s="58"/>
      <c r="G461" s="58"/>
      <c r="H461" s="59"/>
      <c r="I461" s="59"/>
      <c r="J461" s="59"/>
      <c r="K461" s="59"/>
      <c r="L461" s="59"/>
      <c r="M461" s="60"/>
      <c r="N461" s="60"/>
      <c r="O461" s="60"/>
      <c r="P461" s="59"/>
      <c r="Q461" s="59"/>
      <c r="R461" s="60"/>
      <c r="S461" s="60"/>
      <c r="T461" s="60"/>
      <c r="U461" s="60"/>
      <c r="V461" s="60"/>
      <c r="W461" s="60"/>
    </row>
    <row r="462" spans="1:23" ht="13" x14ac:dyDescent="0.3">
      <c r="A462" s="58"/>
      <c r="B462" s="58"/>
      <c r="C462" s="58"/>
      <c r="D462" s="58"/>
      <c r="E462" s="58"/>
      <c r="F462" s="58"/>
      <c r="G462" s="58"/>
      <c r="H462" s="59"/>
      <c r="I462" s="59"/>
      <c r="J462" s="59"/>
      <c r="K462" s="59"/>
      <c r="L462" s="59"/>
      <c r="M462" s="60"/>
      <c r="N462" s="60"/>
      <c r="O462" s="60"/>
      <c r="P462" s="59"/>
      <c r="Q462" s="59"/>
      <c r="R462" s="60"/>
      <c r="S462" s="60"/>
      <c r="T462" s="60"/>
      <c r="U462" s="60"/>
      <c r="V462" s="60"/>
      <c r="W462" s="60"/>
    </row>
    <row r="463" spans="1:23" ht="13" x14ac:dyDescent="0.3">
      <c r="A463" s="58"/>
      <c r="B463" s="58"/>
      <c r="C463" s="58"/>
      <c r="D463" s="58"/>
      <c r="E463" s="58"/>
      <c r="F463" s="58"/>
      <c r="G463" s="58"/>
      <c r="H463" s="59"/>
      <c r="I463" s="59"/>
      <c r="J463" s="59"/>
      <c r="K463" s="59"/>
      <c r="L463" s="59"/>
      <c r="M463" s="60"/>
      <c r="N463" s="60"/>
      <c r="O463" s="60"/>
      <c r="P463" s="59"/>
      <c r="Q463" s="59"/>
      <c r="R463" s="60"/>
      <c r="S463" s="60"/>
      <c r="T463" s="60"/>
      <c r="U463" s="60"/>
      <c r="V463" s="60"/>
      <c r="W463" s="60"/>
    </row>
    <row r="464" spans="1:23" ht="13" x14ac:dyDescent="0.3">
      <c r="A464" s="58"/>
      <c r="B464" s="58"/>
      <c r="C464" s="58"/>
      <c r="D464" s="58"/>
      <c r="E464" s="58"/>
      <c r="F464" s="58"/>
      <c r="G464" s="58"/>
      <c r="H464" s="59"/>
      <c r="I464" s="59"/>
      <c r="J464" s="59"/>
      <c r="K464" s="59"/>
      <c r="L464" s="59"/>
      <c r="M464" s="60"/>
      <c r="N464" s="60"/>
      <c r="O464" s="60"/>
      <c r="P464" s="59"/>
      <c r="Q464" s="59"/>
      <c r="R464" s="60"/>
      <c r="S464" s="60"/>
      <c r="T464" s="60"/>
      <c r="U464" s="60"/>
      <c r="V464" s="60"/>
      <c r="W464" s="60"/>
    </row>
    <row r="465" spans="1:23" ht="13" x14ac:dyDescent="0.3">
      <c r="A465" s="58"/>
      <c r="B465" s="58"/>
      <c r="C465" s="58"/>
      <c r="D465" s="58"/>
      <c r="E465" s="58"/>
      <c r="F465" s="58"/>
      <c r="G465" s="58"/>
      <c r="H465" s="59"/>
      <c r="I465" s="59"/>
      <c r="J465" s="59"/>
      <c r="K465" s="59"/>
      <c r="L465" s="59"/>
      <c r="M465" s="60"/>
      <c r="N465" s="60"/>
      <c r="O465" s="60"/>
      <c r="P465" s="59"/>
      <c r="Q465" s="59"/>
      <c r="R465" s="60"/>
      <c r="S465" s="60"/>
      <c r="T465" s="60"/>
      <c r="U465" s="60"/>
      <c r="V465" s="60"/>
      <c r="W465" s="60"/>
    </row>
    <row r="466" spans="1:23" ht="13" x14ac:dyDescent="0.3">
      <c r="A466" s="58"/>
      <c r="B466" s="58"/>
      <c r="C466" s="58"/>
      <c r="D466" s="58"/>
      <c r="E466" s="58"/>
      <c r="F466" s="58"/>
      <c r="G466" s="58"/>
      <c r="H466" s="59"/>
      <c r="I466" s="59"/>
      <c r="J466" s="59"/>
      <c r="K466" s="59"/>
      <c r="L466" s="59"/>
      <c r="M466" s="60"/>
      <c r="N466" s="60"/>
      <c r="O466" s="60"/>
      <c r="P466" s="59"/>
      <c r="Q466" s="59"/>
      <c r="R466" s="60"/>
      <c r="S466" s="60"/>
      <c r="T466" s="60"/>
      <c r="U466" s="60"/>
      <c r="V466" s="60"/>
      <c r="W466" s="60"/>
    </row>
    <row r="467" spans="1:23" ht="13" x14ac:dyDescent="0.3">
      <c r="A467" s="58"/>
      <c r="B467" s="58"/>
      <c r="C467" s="58"/>
      <c r="D467" s="58"/>
      <c r="E467" s="58"/>
      <c r="F467" s="58"/>
      <c r="G467" s="58"/>
      <c r="H467" s="59"/>
      <c r="I467" s="59"/>
      <c r="J467" s="59"/>
      <c r="K467" s="59"/>
      <c r="L467" s="59"/>
      <c r="M467" s="60"/>
      <c r="N467" s="60"/>
      <c r="O467" s="60"/>
      <c r="P467" s="59"/>
      <c r="Q467" s="59"/>
      <c r="R467" s="60"/>
      <c r="S467" s="60"/>
      <c r="T467" s="60"/>
      <c r="U467" s="60"/>
      <c r="V467" s="60"/>
      <c r="W467" s="60"/>
    </row>
    <row r="468" spans="1:23" ht="13" x14ac:dyDescent="0.3">
      <c r="A468" s="58"/>
      <c r="B468" s="58"/>
      <c r="C468" s="58"/>
      <c r="D468" s="58"/>
      <c r="E468" s="58"/>
      <c r="F468" s="58"/>
      <c r="G468" s="58"/>
      <c r="H468" s="59"/>
      <c r="I468" s="59"/>
      <c r="J468" s="59"/>
      <c r="K468" s="59"/>
      <c r="L468" s="59"/>
      <c r="M468" s="60"/>
      <c r="N468" s="60"/>
      <c r="O468" s="60"/>
      <c r="P468" s="59"/>
      <c r="Q468" s="59"/>
      <c r="R468" s="60"/>
      <c r="S468" s="60"/>
      <c r="T468" s="60"/>
      <c r="U468" s="60"/>
      <c r="V468" s="60"/>
      <c r="W468" s="60"/>
    </row>
    <row r="469" spans="1:23" ht="13" x14ac:dyDescent="0.3">
      <c r="A469" s="58"/>
      <c r="B469" s="58"/>
      <c r="C469" s="58"/>
      <c r="D469" s="58"/>
      <c r="E469" s="58"/>
      <c r="F469" s="58"/>
      <c r="G469" s="58"/>
      <c r="H469" s="59"/>
      <c r="I469" s="59"/>
      <c r="J469" s="59"/>
      <c r="K469" s="59"/>
      <c r="L469" s="59"/>
      <c r="M469" s="60"/>
      <c r="N469" s="60"/>
      <c r="O469" s="60"/>
      <c r="P469" s="59"/>
      <c r="Q469" s="59"/>
      <c r="R469" s="60"/>
      <c r="S469" s="60"/>
      <c r="T469" s="60"/>
      <c r="U469" s="60"/>
      <c r="V469" s="60"/>
      <c r="W469" s="60"/>
    </row>
    <row r="470" spans="1:23" ht="13" x14ac:dyDescent="0.3">
      <c r="A470" s="58"/>
      <c r="B470" s="58"/>
      <c r="C470" s="58"/>
      <c r="D470" s="58"/>
      <c r="E470" s="58"/>
      <c r="F470" s="58"/>
      <c r="G470" s="58"/>
      <c r="H470" s="59"/>
      <c r="I470" s="59"/>
      <c r="J470" s="59"/>
      <c r="K470" s="59"/>
      <c r="L470" s="59"/>
      <c r="M470" s="60"/>
      <c r="N470" s="60"/>
      <c r="O470" s="60"/>
      <c r="P470" s="59"/>
      <c r="Q470" s="59"/>
      <c r="R470" s="60"/>
      <c r="S470" s="60"/>
      <c r="T470" s="60"/>
      <c r="U470" s="60"/>
      <c r="V470" s="60"/>
      <c r="W470" s="60"/>
    </row>
    <row r="471" spans="1:23" ht="13" x14ac:dyDescent="0.3">
      <c r="A471" s="58"/>
      <c r="B471" s="58"/>
      <c r="C471" s="58"/>
      <c r="D471" s="58"/>
      <c r="E471" s="58"/>
      <c r="F471" s="58"/>
      <c r="G471" s="58"/>
      <c r="H471" s="59"/>
      <c r="I471" s="59"/>
      <c r="J471" s="59"/>
      <c r="K471" s="59"/>
      <c r="L471" s="59"/>
      <c r="M471" s="60"/>
      <c r="N471" s="60"/>
      <c r="O471" s="60"/>
      <c r="P471" s="59"/>
      <c r="Q471" s="59"/>
      <c r="R471" s="60"/>
      <c r="S471" s="60"/>
      <c r="T471" s="60"/>
      <c r="U471" s="60"/>
      <c r="V471" s="60"/>
      <c r="W471" s="60"/>
    </row>
    <row r="472" spans="1:23" ht="13" x14ac:dyDescent="0.3">
      <c r="A472" s="58"/>
      <c r="B472" s="58"/>
      <c r="C472" s="58"/>
      <c r="D472" s="58"/>
      <c r="E472" s="58"/>
      <c r="F472" s="58"/>
      <c r="G472" s="58"/>
      <c r="H472" s="59"/>
      <c r="I472" s="59"/>
      <c r="J472" s="59"/>
      <c r="K472" s="59"/>
      <c r="L472" s="59"/>
      <c r="M472" s="60"/>
      <c r="N472" s="60"/>
      <c r="O472" s="60"/>
      <c r="P472" s="59"/>
      <c r="Q472" s="59"/>
      <c r="R472" s="60"/>
      <c r="S472" s="60"/>
      <c r="T472" s="60"/>
      <c r="U472" s="60"/>
      <c r="V472" s="60"/>
      <c r="W472" s="60"/>
    </row>
    <row r="473" spans="1:23" ht="13" x14ac:dyDescent="0.3">
      <c r="A473" s="58"/>
      <c r="B473" s="58"/>
      <c r="C473" s="58"/>
      <c r="D473" s="58"/>
      <c r="E473" s="58"/>
      <c r="F473" s="58"/>
      <c r="G473" s="58"/>
      <c r="H473" s="59"/>
      <c r="I473" s="59"/>
      <c r="J473" s="59"/>
      <c r="K473" s="59"/>
      <c r="L473" s="59"/>
      <c r="M473" s="60"/>
      <c r="N473" s="60"/>
      <c r="O473" s="60"/>
      <c r="P473" s="59"/>
      <c r="Q473" s="59"/>
      <c r="R473" s="60"/>
      <c r="S473" s="60"/>
      <c r="T473" s="60"/>
      <c r="U473" s="60"/>
      <c r="V473" s="60"/>
      <c r="W473" s="60"/>
    </row>
    <row r="474" spans="1:23" ht="13" x14ac:dyDescent="0.3">
      <c r="A474" s="58"/>
      <c r="B474" s="58"/>
      <c r="C474" s="58"/>
      <c r="D474" s="58"/>
      <c r="E474" s="58"/>
      <c r="F474" s="58"/>
      <c r="G474" s="58"/>
      <c r="H474" s="59"/>
      <c r="I474" s="59"/>
      <c r="J474" s="59"/>
      <c r="K474" s="59"/>
      <c r="L474" s="59"/>
      <c r="M474" s="60"/>
      <c r="N474" s="60"/>
      <c r="O474" s="60"/>
      <c r="P474" s="59"/>
      <c r="Q474" s="59"/>
      <c r="R474" s="60"/>
      <c r="S474" s="60"/>
      <c r="T474" s="60"/>
      <c r="U474" s="60"/>
      <c r="V474" s="60"/>
      <c r="W474" s="60"/>
    </row>
    <row r="475" spans="1:23" ht="13" x14ac:dyDescent="0.3">
      <c r="A475" s="58"/>
      <c r="B475" s="58"/>
      <c r="C475" s="58"/>
      <c r="D475" s="58"/>
      <c r="E475" s="58"/>
      <c r="F475" s="58"/>
      <c r="G475" s="58"/>
      <c r="H475" s="59"/>
      <c r="I475" s="59"/>
      <c r="J475" s="59"/>
      <c r="K475" s="59"/>
      <c r="L475" s="59"/>
      <c r="M475" s="60"/>
      <c r="N475" s="60"/>
      <c r="O475" s="60"/>
      <c r="P475" s="59"/>
      <c r="Q475" s="59"/>
      <c r="R475" s="60"/>
      <c r="S475" s="60"/>
      <c r="T475" s="60"/>
      <c r="U475" s="60"/>
      <c r="V475" s="60"/>
      <c r="W475" s="60"/>
    </row>
    <row r="476" spans="1:23" ht="13" x14ac:dyDescent="0.3">
      <c r="A476" s="58"/>
      <c r="B476" s="58"/>
      <c r="C476" s="58"/>
      <c r="D476" s="58"/>
      <c r="E476" s="58"/>
      <c r="F476" s="58"/>
      <c r="G476" s="58"/>
      <c r="H476" s="59"/>
      <c r="I476" s="59"/>
      <c r="J476" s="59"/>
      <c r="K476" s="59"/>
      <c r="L476" s="59"/>
      <c r="M476" s="60"/>
      <c r="N476" s="60"/>
      <c r="O476" s="60"/>
      <c r="P476" s="59"/>
      <c r="Q476" s="59"/>
      <c r="R476" s="60"/>
      <c r="S476" s="60"/>
      <c r="T476" s="60"/>
      <c r="U476" s="60"/>
      <c r="V476" s="60"/>
      <c r="W476" s="60"/>
    </row>
    <row r="477" spans="1:23" ht="13" x14ac:dyDescent="0.3">
      <c r="A477" s="58"/>
      <c r="B477" s="58"/>
      <c r="C477" s="58"/>
      <c r="D477" s="58"/>
      <c r="E477" s="58"/>
      <c r="F477" s="58"/>
      <c r="G477" s="58"/>
      <c r="H477" s="59"/>
      <c r="I477" s="59"/>
      <c r="J477" s="59"/>
      <c r="K477" s="59"/>
      <c r="L477" s="59"/>
      <c r="M477" s="60"/>
      <c r="N477" s="60"/>
      <c r="O477" s="60"/>
      <c r="P477" s="59"/>
      <c r="Q477" s="59"/>
      <c r="R477" s="60"/>
      <c r="S477" s="60"/>
      <c r="T477" s="60"/>
      <c r="U477" s="60"/>
      <c r="V477" s="60"/>
      <c r="W477" s="60"/>
    </row>
    <row r="478" spans="1:23" ht="13" x14ac:dyDescent="0.3">
      <c r="A478" s="58"/>
      <c r="B478" s="58"/>
      <c r="C478" s="58"/>
      <c r="D478" s="58"/>
      <c r="E478" s="58"/>
      <c r="F478" s="58"/>
      <c r="G478" s="58"/>
      <c r="H478" s="59"/>
      <c r="I478" s="59"/>
      <c r="J478" s="59"/>
      <c r="K478" s="59"/>
      <c r="L478" s="59"/>
      <c r="M478" s="60"/>
      <c r="N478" s="60"/>
      <c r="O478" s="60"/>
      <c r="P478" s="59"/>
      <c r="Q478" s="59"/>
      <c r="R478" s="60"/>
      <c r="S478" s="60"/>
      <c r="T478" s="60"/>
      <c r="U478" s="60"/>
      <c r="V478" s="60"/>
      <c r="W478" s="60"/>
    </row>
    <row r="479" spans="1:23" ht="13" x14ac:dyDescent="0.3">
      <c r="A479" s="58"/>
      <c r="B479" s="58"/>
      <c r="C479" s="58"/>
      <c r="D479" s="58"/>
      <c r="E479" s="58"/>
      <c r="F479" s="58"/>
      <c r="G479" s="58"/>
      <c r="H479" s="59"/>
      <c r="I479" s="59"/>
      <c r="J479" s="59"/>
      <c r="K479" s="59"/>
      <c r="L479" s="59"/>
      <c r="M479" s="60"/>
      <c r="N479" s="60"/>
      <c r="O479" s="60"/>
      <c r="P479" s="59"/>
      <c r="Q479" s="59"/>
      <c r="R479" s="60"/>
      <c r="S479" s="60"/>
      <c r="T479" s="60"/>
      <c r="U479" s="60"/>
      <c r="V479" s="60"/>
      <c r="W479" s="60"/>
    </row>
    <row r="480" spans="1:23" ht="13" x14ac:dyDescent="0.3">
      <c r="A480" s="58"/>
      <c r="B480" s="58"/>
      <c r="C480" s="58"/>
      <c r="D480" s="58"/>
      <c r="E480" s="58"/>
      <c r="F480" s="58"/>
      <c r="G480" s="58"/>
      <c r="H480" s="59"/>
      <c r="I480" s="59"/>
      <c r="J480" s="59"/>
      <c r="K480" s="59"/>
      <c r="L480" s="59"/>
      <c r="M480" s="60"/>
      <c r="N480" s="60"/>
      <c r="O480" s="60"/>
      <c r="P480" s="59"/>
      <c r="Q480" s="59"/>
      <c r="R480" s="60"/>
      <c r="S480" s="60"/>
      <c r="T480" s="60"/>
      <c r="U480" s="60"/>
      <c r="V480" s="60"/>
      <c r="W480" s="60"/>
    </row>
    <row r="481" spans="1:23" ht="13" x14ac:dyDescent="0.3">
      <c r="A481" s="58"/>
      <c r="B481" s="58"/>
      <c r="C481" s="58"/>
      <c r="D481" s="58"/>
      <c r="E481" s="58"/>
      <c r="F481" s="58"/>
      <c r="G481" s="58"/>
      <c r="H481" s="59"/>
      <c r="I481" s="59"/>
      <c r="J481" s="59"/>
      <c r="K481" s="59"/>
      <c r="L481" s="59"/>
      <c r="M481" s="60"/>
      <c r="N481" s="60"/>
      <c r="O481" s="60"/>
      <c r="P481" s="59"/>
      <c r="Q481" s="59"/>
      <c r="R481" s="60"/>
      <c r="S481" s="60"/>
      <c r="T481" s="60"/>
      <c r="U481" s="60"/>
      <c r="V481" s="60"/>
      <c r="W481" s="60"/>
    </row>
    <row r="482" spans="1:23" ht="13" x14ac:dyDescent="0.3">
      <c r="A482" s="58"/>
      <c r="B482" s="58"/>
      <c r="C482" s="58"/>
      <c r="D482" s="58"/>
      <c r="E482" s="58"/>
      <c r="F482" s="58"/>
      <c r="G482" s="58"/>
      <c r="H482" s="59"/>
      <c r="I482" s="59"/>
      <c r="J482" s="59"/>
      <c r="K482" s="59"/>
      <c r="L482" s="59"/>
      <c r="M482" s="60"/>
      <c r="N482" s="60"/>
      <c r="O482" s="60"/>
      <c r="P482" s="59"/>
      <c r="Q482" s="59"/>
      <c r="R482" s="60"/>
      <c r="S482" s="60"/>
      <c r="T482" s="60"/>
      <c r="U482" s="60"/>
      <c r="V482" s="60"/>
      <c r="W482" s="60"/>
    </row>
    <row r="483" spans="1:23" ht="13" x14ac:dyDescent="0.3">
      <c r="A483" s="58"/>
      <c r="B483" s="58"/>
      <c r="C483" s="58"/>
      <c r="D483" s="58"/>
      <c r="E483" s="58"/>
      <c r="F483" s="58"/>
      <c r="G483" s="58"/>
      <c r="H483" s="59"/>
      <c r="I483" s="59"/>
      <c r="J483" s="59"/>
      <c r="K483" s="59"/>
      <c r="L483" s="59"/>
      <c r="M483" s="60"/>
      <c r="N483" s="60"/>
      <c r="O483" s="60"/>
      <c r="P483" s="59"/>
      <c r="Q483" s="59"/>
      <c r="R483" s="60"/>
      <c r="S483" s="60"/>
      <c r="T483" s="60"/>
      <c r="U483" s="60"/>
      <c r="V483" s="60"/>
      <c r="W483" s="60"/>
    </row>
    <row r="484" spans="1:23" ht="13" x14ac:dyDescent="0.3">
      <c r="A484" s="58"/>
      <c r="B484" s="58"/>
      <c r="C484" s="58"/>
      <c r="D484" s="58"/>
      <c r="E484" s="58"/>
      <c r="F484" s="58"/>
      <c r="G484" s="58"/>
      <c r="H484" s="59"/>
      <c r="I484" s="59"/>
      <c r="J484" s="59"/>
      <c r="K484" s="59"/>
      <c r="L484" s="59"/>
      <c r="M484" s="60"/>
      <c r="N484" s="60"/>
      <c r="O484" s="60"/>
      <c r="P484" s="59"/>
      <c r="Q484" s="59"/>
      <c r="R484" s="60"/>
      <c r="S484" s="60"/>
      <c r="T484" s="60"/>
      <c r="U484" s="60"/>
      <c r="V484" s="60"/>
      <c r="W484" s="60"/>
    </row>
    <row r="485" spans="1:23" ht="13" x14ac:dyDescent="0.3">
      <c r="A485" s="58"/>
      <c r="B485" s="58"/>
      <c r="C485" s="58"/>
      <c r="D485" s="58"/>
      <c r="E485" s="58"/>
      <c r="F485" s="58"/>
      <c r="G485" s="58"/>
      <c r="H485" s="59"/>
      <c r="I485" s="59"/>
      <c r="J485" s="59"/>
      <c r="K485" s="59"/>
      <c r="L485" s="59"/>
      <c r="M485" s="60"/>
      <c r="N485" s="60"/>
      <c r="O485" s="60"/>
      <c r="P485" s="59"/>
      <c r="Q485" s="59"/>
      <c r="R485" s="60"/>
      <c r="S485" s="60"/>
      <c r="T485" s="60"/>
      <c r="U485" s="60"/>
      <c r="V485" s="60"/>
      <c r="W485" s="60"/>
    </row>
    <row r="486" spans="1:23" ht="13" x14ac:dyDescent="0.3">
      <c r="A486" s="58"/>
      <c r="B486" s="58"/>
      <c r="C486" s="58"/>
      <c r="D486" s="58"/>
      <c r="E486" s="58"/>
      <c r="F486" s="58"/>
      <c r="G486" s="58"/>
      <c r="H486" s="59"/>
      <c r="I486" s="59"/>
      <c r="J486" s="59"/>
      <c r="K486" s="59"/>
      <c r="L486" s="59"/>
      <c r="M486" s="60"/>
      <c r="N486" s="60"/>
      <c r="O486" s="60"/>
      <c r="P486" s="59"/>
      <c r="Q486" s="59"/>
      <c r="R486" s="60"/>
      <c r="S486" s="60"/>
      <c r="T486" s="60"/>
      <c r="U486" s="60"/>
      <c r="V486" s="60"/>
      <c r="W486" s="60"/>
    </row>
    <row r="487" spans="1:23" ht="13" x14ac:dyDescent="0.3">
      <c r="A487" s="58"/>
      <c r="B487" s="58"/>
      <c r="C487" s="58"/>
      <c r="D487" s="58"/>
      <c r="E487" s="58"/>
      <c r="F487" s="58"/>
      <c r="G487" s="58"/>
      <c r="H487" s="59"/>
      <c r="I487" s="59"/>
      <c r="J487" s="59"/>
      <c r="K487" s="59"/>
      <c r="L487" s="59"/>
      <c r="M487" s="60"/>
      <c r="N487" s="60"/>
      <c r="O487" s="60"/>
      <c r="P487" s="59"/>
      <c r="Q487" s="59"/>
      <c r="R487" s="60"/>
      <c r="S487" s="60"/>
      <c r="T487" s="60"/>
      <c r="U487" s="60"/>
      <c r="V487" s="60"/>
      <c r="W487" s="60"/>
    </row>
    <row r="488" spans="1:23" ht="13" x14ac:dyDescent="0.3">
      <c r="A488" s="58"/>
      <c r="B488" s="58"/>
      <c r="C488" s="58"/>
      <c r="D488" s="58"/>
      <c r="E488" s="58"/>
      <c r="F488" s="58"/>
      <c r="G488" s="58"/>
      <c r="H488" s="59"/>
      <c r="I488" s="59"/>
      <c r="J488" s="59"/>
      <c r="K488" s="59"/>
      <c r="L488" s="59"/>
      <c r="M488" s="60"/>
      <c r="N488" s="60"/>
      <c r="O488" s="60"/>
      <c r="P488" s="59"/>
      <c r="Q488" s="59"/>
      <c r="R488" s="60"/>
      <c r="S488" s="60"/>
      <c r="T488" s="60"/>
      <c r="U488" s="60"/>
      <c r="V488" s="60"/>
      <c r="W488" s="60"/>
    </row>
    <row r="489" spans="1:23" ht="13" x14ac:dyDescent="0.3">
      <c r="A489" s="58"/>
      <c r="B489" s="58"/>
      <c r="C489" s="58"/>
      <c r="D489" s="58"/>
      <c r="E489" s="58"/>
      <c r="F489" s="58"/>
      <c r="G489" s="58"/>
      <c r="H489" s="59"/>
      <c r="I489" s="59"/>
      <c r="J489" s="59"/>
      <c r="K489" s="59"/>
      <c r="L489" s="59"/>
      <c r="M489" s="60"/>
      <c r="N489" s="60"/>
      <c r="O489" s="60"/>
      <c r="P489" s="59"/>
      <c r="Q489" s="59"/>
      <c r="R489" s="60"/>
      <c r="S489" s="60"/>
      <c r="T489" s="60"/>
      <c r="U489" s="60"/>
      <c r="V489" s="60"/>
      <c r="W489" s="60"/>
    </row>
    <row r="490" spans="1:23" ht="13" x14ac:dyDescent="0.3">
      <c r="A490" s="58"/>
      <c r="B490" s="58"/>
      <c r="C490" s="58"/>
      <c r="D490" s="58"/>
      <c r="E490" s="58"/>
      <c r="F490" s="58"/>
      <c r="G490" s="58"/>
      <c r="H490" s="59"/>
      <c r="I490" s="59"/>
      <c r="J490" s="59"/>
      <c r="K490" s="59"/>
      <c r="L490" s="59"/>
      <c r="M490" s="60"/>
      <c r="N490" s="60"/>
      <c r="O490" s="60"/>
      <c r="P490" s="59"/>
      <c r="Q490" s="59"/>
      <c r="R490" s="60"/>
      <c r="S490" s="60"/>
      <c r="T490" s="60"/>
      <c r="U490" s="60"/>
      <c r="V490" s="60"/>
      <c r="W490" s="60"/>
    </row>
    <row r="491" spans="1:23" ht="13" x14ac:dyDescent="0.3">
      <c r="A491" s="58"/>
      <c r="B491" s="58"/>
      <c r="C491" s="58"/>
      <c r="D491" s="58"/>
      <c r="E491" s="58"/>
      <c r="F491" s="58"/>
      <c r="G491" s="58"/>
      <c r="H491" s="59"/>
      <c r="I491" s="59"/>
      <c r="J491" s="59"/>
      <c r="K491" s="59"/>
      <c r="L491" s="59"/>
      <c r="M491" s="60"/>
      <c r="N491" s="60"/>
      <c r="O491" s="60"/>
      <c r="P491" s="59"/>
      <c r="Q491" s="59"/>
      <c r="R491" s="60"/>
      <c r="S491" s="60"/>
      <c r="T491" s="60"/>
      <c r="U491" s="60"/>
      <c r="V491" s="60"/>
      <c r="W491" s="60"/>
    </row>
    <row r="492" spans="1:23" ht="13" x14ac:dyDescent="0.3">
      <c r="A492" s="58"/>
      <c r="B492" s="58"/>
      <c r="C492" s="58"/>
      <c r="D492" s="58"/>
      <c r="E492" s="58"/>
      <c r="F492" s="58"/>
      <c r="G492" s="58"/>
      <c r="H492" s="59"/>
      <c r="I492" s="59"/>
      <c r="J492" s="59"/>
      <c r="K492" s="59"/>
      <c r="L492" s="59"/>
      <c r="M492" s="60"/>
      <c r="N492" s="60"/>
      <c r="O492" s="60"/>
      <c r="P492" s="59"/>
      <c r="Q492" s="59"/>
      <c r="R492" s="60"/>
      <c r="S492" s="60"/>
      <c r="T492" s="60"/>
      <c r="U492" s="60"/>
      <c r="V492" s="60"/>
      <c r="W492" s="60"/>
    </row>
    <row r="493" spans="1:23" ht="13" x14ac:dyDescent="0.3">
      <c r="A493" s="58"/>
      <c r="B493" s="58"/>
      <c r="C493" s="58"/>
      <c r="D493" s="58"/>
      <c r="E493" s="58"/>
      <c r="F493" s="58"/>
      <c r="G493" s="58"/>
      <c r="H493" s="59"/>
      <c r="I493" s="59"/>
      <c r="J493" s="59"/>
      <c r="K493" s="59"/>
      <c r="L493" s="59"/>
      <c r="M493" s="60"/>
      <c r="N493" s="60"/>
      <c r="O493" s="60"/>
      <c r="P493" s="59"/>
      <c r="Q493" s="59"/>
      <c r="R493" s="60"/>
      <c r="S493" s="60"/>
      <c r="T493" s="60"/>
      <c r="U493" s="60"/>
      <c r="V493" s="60"/>
      <c r="W493" s="60"/>
    </row>
    <row r="494" spans="1:23" ht="13" x14ac:dyDescent="0.3">
      <c r="A494" s="58"/>
      <c r="B494" s="58"/>
      <c r="C494" s="58"/>
      <c r="D494" s="58"/>
      <c r="E494" s="58"/>
      <c r="F494" s="58"/>
      <c r="G494" s="58"/>
      <c r="H494" s="59"/>
      <c r="I494" s="59"/>
      <c r="J494" s="59"/>
      <c r="K494" s="59"/>
      <c r="L494" s="59"/>
      <c r="M494" s="60"/>
      <c r="N494" s="60"/>
      <c r="O494" s="60"/>
      <c r="P494" s="59"/>
      <c r="Q494" s="59"/>
      <c r="R494" s="60"/>
      <c r="S494" s="60"/>
      <c r="T494" s="60"/>
      <c r="U494" s="60"/>
      <c r="V494" s="60"/>
      <c r="W494" s="60"/>
    </row>
    <row r="495" spans="1:23" ht="13" x14ac:dyDescent="0.3">
      <c r="A495" s="58"/>
      <c r="B495" s="58"/>
      <c r="C495" s="58"/>
      <c r="D495" s="58"/>
      <c r="E495" s="58"/>
      <c r="F495" s="58"/>
      <c r="G495" s="58"/>
      <c r="H495" s="59"/>
      <c r="I495" s="59"/>
      <c r="J495" s="59"/>
      <c r="K495" s="59"/>
      <c r="L495" s="59"/>
      <c r="M495" s="60"/>
      <c r="N495" s="60"/>
      <c r="O495" s="60"/>
      <c r="P495" s="59"/>
      <c r="Q495" s="59"/>
      <c r="R495" s="60"/>
      <c r="S495" s="60"/>
      <c r="T495" s="60"/>
      <c r="U495" s="60"/>
      <c r="V495" s="60"/>
      <c r="W495" s="60"/>
    </row>
    <row r="496" spans="1:23" ht="13" x14ac:dyDescent="0.3">
      <c r="A496" s="58"/>
      <c r="B496" s="58"/>
      <c r="C496" s="58"/>
      <c r="D496" s="58"/>
      <c r="E496" s="58"/>
      <c r="F496" s="58"/>
      <c r="G496" s="58"/>
      <c r="H496" s="59"/>
      <c r="I496" s="59"/>
      <c r="J496" s="59"/>
      <c r="K496" s="59"/>
      <c r="L496" s="59"/>
      <c r="M496" s="60"/>
      <c r="N496" s="60"/>
      <c r="O496" s="60"/>
      <c r="P496" s="59"/>
      <c r="Q496" s="59"/>
      <c r="R496" s="60"/>
      <c r="S496" s="60"/>
      <c r="T496" s="60"/>
      <c r="U496" s="60"/>
      <c r="V496" s="60"/>
      <c r="W496" s="60"/>
    </row>
    <row r="497" spans="1:23" ht="13" x14ac:dyDescent="0.3">
      <c r="A497" s="58"/>
      <c r="B497" s="58"/>
      <c r="C497" s="58"/>
      <c r="D497" s="58"/>
      <c r="E497" s="58"/>
      <c r="F497" s="58"/>
      <c r="G497" s="58"/>
      <c r="H497" s="59"/>
      <c r="I497" s="59"/>
      <c r="J497" s="59"/>
      <c r="K497" s="59"/>
      <c r="L497" s="59"/>
      <c r="M497" s="60"/>
      <c r="N497" s="60"/>
      <c r="O497" s="60"/>
      <c r="P497" s="59"/>
      <c r="Q497" s="59"/>
      <c r="R497" s="60"/>
      <c r="S497" s="60"/>
      <c r="T497" s="60"/>
      <c r="U497" s="60"/>
      <c r="V497" s="60"/>
      <c r="W497" s="60"/>
    </row>
    <row r="498" spans="1:23" ht="13" x14ac:dyDescent="0.3">
      <c r="A498" s="58"/>
      <c r="B498" s="58"/>
      <c r="C498" s="58"/>
      <c r="D498" s="58"/>
      <c r="E498" s="58"/>
      <c r="F498" s="58"/>
      <c r="G498" s="58"/>
      <c r="H498" s="59"/>
      <c r="I498" s="59"/>
      <c r="J498" s="59"/>
      <c r="K498" s="59"/>
      <c r="L498" s="59"/>
      <c r="M498" s="60"/>
      <c r="N498" s="60"/>
      <c r="O498" s="60"/>
      <c r="P498" s="59"/>
      <c r="Q498" s="59"/>
      <c r="R498" s="60"/>
      <c r="S498" s="60"/>
      <c r="T498" s="60"/>
      <c r="U498" s="60"/>
      <c r="V498" s="60"/>
      <c r="W498" s="60"/>
    </row>
    <row r="499" spans="1:23" ht="13" x14ac:dyDescent="0.3">
      <c r="A499" s="58"/>
      <c r="B499" s="58"/>
      <c r="C499" s="58"/>
      <c r="D499" s="58"/>
      <c r="E499" s="58"/>
      <c r="F499" s="58"/>
      <c r="G499" s="58"/>
      <c r="H499" s="59"/>
      <c r="I499" s="59"/>
      <c r="J499" s="59"/>
      <c r="K499" s="59"/>
      <c r="L499" s="59"/>
      <c r="M499" s="60"/>
      <c r="N499" s="60"/>
      <c r="O499" s="60"/>
      <c r="P499" s="59"/>
      <c r="Q499" s="59"/>
      <c r="R499" s="60"/>
      <c r="S499" s="60"/>
      <c r="T499" s="60"/>
      <c r="U499" s="60"/>
      <c r="V499" s="60"/>
      <c r="W499" s="60"/>
    </row>
    <row r="500" spans="1:23" ht="13" x14ac:dyDescent="0.3">
      <c r="A500" s="58"/>
      <c r="B500" s="58"/>
      <c r="C500" s="58"/>
      <c r="D500" s="58"/>
      <c r="E500" s="58"/>
      <c r="F500" s="58"/>
      <c r="G500" s="58"/>
      <c r="H500" s="59"/>
      <c r="I500" s="59"/>
      <c r="J500" s="59"/>
      <c r="K500" s="59"/>
      <c r="L500" s="59"/>
      <c r="M500" s="60"/>
      <c r="N500" s="60"/>
      <c r="O500" s="60"/>
      <c r="P500" s="59"/>
      <c r="Q500" s="59"/>
      <c r="R500" s="60"/>
      <c r="S500" s="60"/>
      <c r="T500" s="60"/>
      <c r="U500" s="60"/>
      <c r="V500" s="60"/>
      <c r="W500" s="60"/>
    </row>
    <row r="501" spans="1:23" ht="13" x14ac:dyDescent="0.3">
      <c r="A501" s="58"/>
      <c r="B501" s="58"/>
      <c r="C501" s="58"/>
      <c r="D501" s="58"/>
      <c r="E501" s="58"/>
      <c r="F501" s="58"/>
      <c r="G501" s="58"/>
      <c r="H501" s="59"/>
      <c r="I501" s="59"/>
      <c r="J501" s="59"/>
      <c r="K501" s="59"/>
      <c r="L501" s="59"/>
      <c r="M501" s="60"/>
      <c r="N501" s="60"/>
      <c r="O501" s="60"/>
      <c r="P501" s="59"/>
      <c r="Q501" s="59"/>
      <c r="R501" s="60"/>
      <c r="S501" s="60"/>
      <c r="T501" s="60"/>
      <c r="U501" s="60"/>
      <c r="V501" s="60"/>
      <c r="W501" s="60"/>
    </row>
    <row r="502" spans="1:23" ht="13" x14ac:dyDescent="0.3">
      <c r="A502" s="58"/>
      <c r="B502" s="58"/>
      <c r="C502" s="58"/>
      <c r="D502" s="58"/>
      <c r="E502" s="58"/>
      <c r="F502" s="58"/>
      <c r="G502" s="58"/>
      <c r="H502" s="59"/>
      <c r="I502" s="59"/>
      <c r="J502" s="59"/>
      <c r="K502" s="59"/>
      <c r="L502" s="59"/>
      <c r="M502" s="60"/>
      <c r="N502" s="60"/>
      <c r="O502" s="60"/>
      <c r="P502" s="59"/>
      <c r="Q502" s="59"/>
      <c r="R502" s="60"/>
      <c r="S502" s="60"/>
      <c r="T502" s="60"/>
      <c r="U502" s="60"/>
      <c r="V502" s="60"/>
      <c r="W502" s="60"/>
    </row>
    <row r="503" spans="1:23" ht="13" x14ac:dyDescent="0.3">
      <c r="A503" s="58"/>
      <c r="B503" s="58"/>
      <c r="C503" s="58"/>
      <c r="D503" s="58"/>
      <c r="E503" s="58"/>
      <c r="F503" s="58"/>
      <c r="G503" s="58"/>
      <c r="H503" s="59"/>
      <c r="I503" s="59"/>
      <c r="J503" s="59"/>
      <c r="K503" s="59"/>
      <c r="L503" s="59"/>
      <c r="M503" s="60"/>
      <c r="N503" s="60"/>
      <c r="O503" s="60"/>
      <c r="P503" s="59"/>
      <c r="Q503" s="59"/>
      <c r="R503" s="60"/>
      <c r="S503" s="60"/>
      <c r="T503" s="60"/>
      <c r="U503" s="60"/>
      <c r="V503" s="60"/>
      <c r="W503" s="60"/>
    </row>
    <row r="504" spans="1:23" ht="13" x14ac:dyDescent="0.3">
      <c r="A504" s="58"/>
      <c r="B504" s="58"/>
      <c r="C504" s="58"/>
      <c r="D504" s="58"/>
      <c r="E504" s="58"/>
      <c r="F504" s="58"/>
      <c r="G504" s="58"/>
      <c r="H504" s="59"/>
      <c r="I504" s="59"/>
      <c r="J504" s="59"/>
      <c r="K504" s="59"/>
      <c r="L504" s="59"/>
      <c r="M504" s="60"/>
      <c r="N504" s="60"/>
      <c r="O504" s="60"/>
      <c r="P504" s="59"/>
      <c r="Q504" s="59"/>
      <c r="R504" s="60"/>
      <c r="S504" s="60"/>
      <c r="T504" s="60"/>
      <c r="U504" s="60"/>
      <c r="V504" s="60"/>
      <c r="W504" s="60"/>
    </row>
    <row r="505" spans="1:23" ht="13" x14ac:dyDescent="0.3">
      <c r="A505" s="58"/>
      <c r="B505" s="58"/>
      <c r="C505" s="58"/>
      <c r="D505" s="58"/>
      <c r="E505" s="58"/>
      <c r="F505" s="58"/>
      <c r="G505" s="58"/>
      <c r="H505" s="59"/>
      <c r="I505" s="59"/>
      <c r="J505" s="59"/>
      <c r="K505" s="59"/>
      <c r="L505" s="59"/>
      <c r="M505" s="60"/>
      <c r="N505" s="60"/>
      <c r="O505" s="60"/>
      <c r="P505" s="59"/>
      <c r="Q505" s="59"/>
      <c r="R505" s="60"/>
      <c r="S505" s="60"/>
      <c r="T505" s="60"/>
      <c r="U505" s="60"/>
      <c r="V505" s="60"/>
      <c r="W505" s="60"/>
    </row>
    <row r="506" spans="1:23" ht="13" x14ac:dyDescent="0.3">
      <c r="A506" s="58"/>
      <c r="B506" s="58"/>
      <c r="C506" s="58"/>
      <c r="D506" s="58"/>
      <c r="E506" s="58"/>
      <c r="F506" s="58"/>
      <c r="G506" s="58"/>
      <c r="H506" s="59"/>
      <c r="I506" s="59"/>
      <c r="J506" s="59"/>
      <c r="K506" s="59"/>
      <c r="L506" s="59"/>
      <c r="M506" s="60"/>
      <c r="N506" s="60"/>
      <c r="O506" s="60"/>
      <c r="P506" s="59"/>
      <c r="Q506" s="59"/>
      <c r="R506" s="60"/>
      <c r="S506" s="60"/>
      <c r="T506" s="60"/>
      <c r="U506" s="60"/>
      <c r="V506" s="60"/>
      <c r="W506" s="60"/>
    </row>
    <row r="507" spans="1:23" ht="13" x14ac:dyDescent="0.3">
      <c r="A507" s="58"/>
      <c r="B507" s="58"/>
      <c r="C507" s="58"/>
      <c r="D507" s="58"/>
      <c r="E507" s="58"/>
      <c r="F507" s="58"/>
      <c r="G507" s="58"/>
      <c r="H507" s="59"/>
      <c r="I507" s="59"/>
      <c r="J507" s="59"/>
      <c r="K507" s="59"/>
      <c r="L507" s="59"/>
      <c r="M507" s="60"/>
      <c r="N507" s="60"/>
      <c r="O507" s="60"/>
      <c r="P507" s="59"/>
      <c r="Q507" s="59"/>
      <c r="R507" s="60"/>
      <c r="S507" s="60"/>
      <c r="T507" s="60"/>
      <c r="U507" s="60"/>
      <c r="V507" s="60"/>
      <c r="W507" s="60"/>
    </row>
    <row r="508" spans="1:23" ht="13" x14ac:dyDescent="0.3">
      <c r="A508" s="58"/>
      <c r="B508" s="58"/>
      <c r="C508" s="58"/>
      <c r="D508" s="58"/>
      <c r="E508" s="58"/>
      <c r="F508" s="58"/>
      <c r="G508" s="58"/>
      <c r="H508" s="59"/>
      <c r="I508" s="59"/>
      <c r="J508" s="59"/>
      <c r="K508" s="59"/>
      <c r="L508" s="59"/>
      <c r="M508" s="60"/>
      <c r="N508" s="60"/>
      <c r="O508" s="60"/>
      <c r="P508" s="59"/>
      <c r="Q508" s="59"/>
      <c r="R508" s="60"/>
      <c r="S508" s="60"/>
      <c r="T508" s="60"/>
      <c r="U508" s="60"/>
      <c r="V508" s="60"/>
      <c r="W508" s="60"/>
    </row>
    <row r="509" spans="1:23" ht="13" x14ac:dyDescent="0.3">
      <c r="A509" s="58"/>
      <c r="B509" s="58"/>
      <c r="C509" s="58"/>
      <c r="D509" s="58"/>
      <c r="E509" s="58"/>
      <c r="F509" s="58"/>
      <c r="G509" s="58"/>
      <c r="H509" s="59"/>
      <c r="I509" s="59"/>
      <c r="J509" s="59"/>
      <c r="K509" s="59"/>
      <c r="L509" s="59"/>
      <c r="M509" s="60"/>
      <c r="N509" s="60"/>
      <c r="O509" s="60"/>
      <c r="P509" s="59"/>
      <c r="Q509" s="59"/>
      <c r="R509" s="60"/>
      <c r="S509" s="60"/>
      <c r="T509" s="60"/>
      <c r="U509" s="60"/>
      <c r="V509" s="60"/>
      <c r="W509" s="60"/>
    </row>
    <row r="510" spans="1:23" ht="13" x14ac:dyDescent="0.3">
      <c r="A510" s="58"/>
      <c r="B510" s="58"/>
      <c r="C510" s="58"/>
      <c r="D510" s="58"/>
      <c r="E510" s="58"/>
      <c r="F510" s="58"/>
      <c r="G510" s="58"/>
      <c r="H510" s="59"/>
      <c r="I510" s="59"/>
      <c r="J510" s="59"/>
      <c r="K510" s="59"/>
      <c r="L510" s="59"/>
      <c r="M510" s="60"/>
      <c r="N510" s="60"/>
      <c r="O510" s="60"/>
      <c r="P510" s="59"/>
      <c r="Q510" s="59"/>
      <c r="R510" s="60"/>
      <c r="S510" s="60"/>
      <c r="T510" s="60"/>
      <c r="U510" s="60"/>
      <c r="V510" s="60"/>
      <c r="W510" s="60"/>
    </row>
    <row r="511" spans="1:23" ht="13" x14ac:dyDescent="0.3">
      <c r="A511" s="58"/>
      <c r="B511" s="58"/>
      <c r="C511" s="58"/>
      <c r="D511" s="58"/>
      <c r="E511" s="58"/>
      <c r="F511" s="58"/>
      <c r="G511" s="58"/>
      <c r="H511" s="59"/>
      <c r="I511" s="59"/>
      <c r="J511" s="59"/>
      <c r="K511" s="59"/>
      <c r="L511" s="59"/>
      <c r="M511" s="60"/>
      <c r="N511" s="60"/>
      <c r="O511" s="60"/>
      <c r="P511" s="59"/>
      <c r="Q511" s="59"/>
      <c r="R511" s="60"/>
      <c r="S511" s="60"/>
      <c r="T511" s="60"/>
      <c r="U511" s="60"/>
      <c r="V511" s="60"/>
      <c r="W511" s="60"/>
    </row>
    <row r="512" spans="1:23" ht="13" x14ac:dyDescent="0.3">
      <c r="A512" s="58"/>
      <c r="B512" s="58"/>
      <c r="C512" s="58"/>
      <c r="D512" s="58"/>
      <c r="E512" s="58"/>
      <c r="F512" s="58"/>
      <c r="G512" s="58"/>
      <c r="H512" s="59"/>
      <c r="I512" s="59"/>
      <c r="J512" s="59"/>
      <c r="K512" s="59"/>
      <c r="L512" s="59"/>
      <c r="M512" s="60"/>
      <c r="N512" s="60"/>
      <c r="O512" s="60"/>
      <c r="P512" s="59"/>
      <c r="Q512" s="59"/>
      <c r="R512" s="60"/>
      <c r="S512" s="60"/>
      <c r="T512" s="60"/>
      <c r="U512" s="60"/>
      <c r="V512" s="60"/>
      <c r="W512" s="60"/>
    </row>
    <row r="513" spans="1:23" ht="13" x14ac:dyDescent="0.3">
      <c r="A513" s="58"/>
      <c r="B513" s="58"/>
      <c r="C513" s="58"/>
      <c r="D513" s="58"/>
      <c r="E513" s="58"/>
      <c r="F513" s="58"/>
      <c r="G513" s="58"/>
      <c r="H513" s="59"/>
      <c r="I513" s="59"/>
      <c r="J513" s="59"/>
      <c r="K513" s="59"/>
      <c r="L513" s="59"/>
      <c r="M513" s="60"/>
      <c r="N513" s="60"/>
      <c r="O513" s="60"/>
      <c r="P513" s="59"/>
      <c r="Q513" s="59"/>
      <c r="R513" s="60"/>
      <c r="S513" s="60"/>
      <c r="T513" s="60"/>
      <c r="U513" s="60"/>
      <c r="V513" s="60"/>
      <c r="W513" s="60"/>
    </row>
    <row r="514" spans="1:23" ht="13" x14ac:dyDescent="0.3">
      <c r="A514" s="58"/>
      <c r="B514" s="58"/>
      <c r="C514" s="58"/>
      <c r="D514" s="58"/>
      <c r="E514" s="58"/>
      <c r="F514" s="58"/>
      <c r="G514" s="58"/>
      <c r="H514" s="59"/>
      <c r="I514" s="59"/>
      <c r="J514" s="59"/>
      <c r="K514" s="59"/>
      <c r="L514" s="59"/>
      <c r="M514" s="60"/>
      <c r="N514" s="60"/>
      <c r="O514" s="60"/>
      <c r="P514" s="59"/>
      <c r="Q514" s="59"/>
      <c r="R514" s="60"/>
      <c r="S514" s="60"/>
      <c r="T514" s="60"/>
      <c r="U514" s="60"/>
      <c r="V514" s="60"/>
      <c r="W514" s="60"/>
    </row>
    <row r="515" spans="1:23" ht="13" x14ac:dyDescent="0.3">
      <c r="A515" s="58"/>
      <c r="B515" s="58"/>
      <c r="C515" s="58"/>
      <c r="D515" s="58"/>
      <c r="E515" s="58"/>
      <c r="F515" s="58"/>
      <c r="G515" s="58"/>
      <c r="H515" s="59"/>
      <c r="I515" s="59"/>
      <c r="J515" s="59"/>
      <c r="K515" s="59"/>
      <c r="L515" s="59"/>
      <c r="M515" s="60"/>
      <c r="N515" s="60"/>
      <c r="O515" s="60"/>
      <c r="P515" s="59"/>
      <c r="Q515" s="59"/>
      <c r="R515" s="60"/>
      <c r="S515" s="60"/>
      <c r="T515" s="60"/>
      <c r="U515" s="60"/>
      <c r="V515" s="60"/>
      <c r="W515" s="60"/>
    </row>
    <row r="516" spans="1:23" ht="13" x14ac:dyDescent="0.3">
      <c r="A516" s="58"/>
      <c r="B516" s="58"/>
      <c r="C516" s="58"/>
      <c r="D516" s="58"/>
      <c r="E516" s="58"/>
      <c r="F516" s="58"/>
      <c r="G516" s="58"/>
      <c r="H516" s="59"/>
      <c r="I516" s="59"/>
      <c r="J516" s="59"/>
      <c r="K516" s="59"/>
      <c r="L516" s="59"/>
      <c r="M516" s="60"/>
      <c r="N516" s="60"/>
      <c r="O516" s="60"/>
      <c r="P516" s="59"/>
      <c r="Q516" s="59"/>
      <c r="R516" s="60"/>
      <c r="S516" s="60"/>
      <c r="T516" s="60"/>
      <c r="U516" s="60"/>
      <c r="V516" s="60"/>
      <c r="W516" s="60"/>
    </row>
    <row r="517" spans="1:23" ht="13" x14ac:dyDescent="0.3">
      <c r="A517" s="58"/>
      <c r="B517" s="58"/>
      <c r="C517" s="58"/>
      <c r="D517" s="58"/>
      <c r="E517" s="58"/>
      <c r="F517" s="58"/>
      <c r="G517" s="58"/>
      <c r="H517" s="59"/>
      <c r="I517" s="59"/>
      <c r="J517" s="59"/>
      <c r="K517" s="59"/>
      <c r="L517" s="59"/>
      <c r="M517" s="60"/>
      <c r="N517" s="60"/>
      <c r="O517" s="60"/>
      <c r="P517" s="59"/>
      <c r="Q517" s="59"/>
      <c r="R517" s="60"/>
      <c r="S517" s="60"/>
      <c r="T517" s="60"/>
      <c r="U517" s="60"/>
      <c r="V517" s="60"/>
      <c r="W517" s="60"/>
    </row>
    <row r="518" spans="1:23" ht="13" x14ac:dyDescent="0.3">
      <c r="A518" s="58"/>
      <c r="B518" s="58"/>
      <c r="C518" s="58"/>
      <c r="D518" s="58"/>
      <c r="E518" s="58"/>
      <c r="F518" s="58"/>
      <c r="G518" s="58"/>
      <c r="H518" s="59"/>
      <c r="I518" s="59"/>
      <c r="J518" s="59"/>
      <c r="K518" s="59"/>
      <c r="L518" s="59"/>
      <c r="M518" s="60"/>
      <c r="N518" s="60"/>
      <c r="O518" s="60"/>
      <c r="P518" s="59"/>
      <c r="Q518" s="59"/>
      <c r="R518" s="60"/>
      <c r="S518" s="60"/>
      <c r="T518" s="60"/>
      <c r="U518" s="60"/>
      <c r="V518" s="60"/>
      <c r="W518" s="60"/>
    </row>
    <row r="519" spans="1:23" ht="13" x14ac:dyDescent="0.3">
      <c r="A519" s="58"/>
      <c r="B519" s="58"/>
      <c r="C519" s="58"/>
      <c r="D519" s="58"/>
      <c r="E519" s="58"/>
      <c r="F519" s="58"/>
      <c r="G519" s="58"/>
      <c r="H519" s="59"/>
      <c r="I519" s="59"/>
      <c r="J519" s="59"/>
      <c r="K519" s="59"/>
      <c r="L519" s="59"/>
      <c r="M519" s="60"/>
      <c r="N519" s="60"/>
      <c r="O519" s="60"/>
      <c r="P519" s="59"/>
      <c r="Q519" s="59"/>
      <c r="R519" s="60"/>
      <c r="S519" s="60"/>
      <c r="T519" s="60"/>
      <c r="U519" s="60"/>
      <c r="V519" s="60"/>
      <c r="W519" s="60"/>
    </row>
    <row r="520" spans="1:23" ht="13" x14ac:dyDescent="0.3">
      <c r="A520" s="58"/>
      <c r="B520" s="58"/>
      <c r="C520" s="58"/>
      <c r="D520" s="58"/>
      <c r="E520" s="58"/>
      <c r="F520" s="58"/>
      <c r="G520" s="58"/>
      <c r="H520" s="59"/>
      <c r="I520" s="59"/>
      <c r="J520" s="59"/>
      <c r="K520" s="59"/>
      <c r="L520" s="59"/>
      <c r="M520" s="60"/>
      <c r="N520" s="60"/>
      <c r="O520" s="60"/>
      <c r="P520" s="59"/>
      <c r="Q520" s="59"/>
      <c r="R520" s="60"/>
      <c r="S520" s="60"/>
      <c r="T520" s="60"/>
      <c r="U520" s="60"/>
      <c r="V520" s="60"/>
      <c r="W520" s="60"/>
    </row>
    <row r="521" spans="1:23" ht="13" x14ac:dyDescent="0.3">
      <c r="A521" s="58"/>
      <c r="B521" s="58"/>
      <c r="C521" s="58"/>
      <c r="D521" s="58"/>
      <c r="E521" s="58"/>
      <c r="F521" s="58"/>
      <c r="G521" s="58"/>
      <c r="H521" s="59"/>
      <c r="I521" s="59"/>
      <c r="J521" s="59"/>
      <c r="K521" s="59"/>
      <c r="L521" s="59"/>
      <c r="M521" s="60"/>
      <c r="N521" s="60"/>
      <c r="O521" s="60"/>
      <c r="P521" s="59"/>
      <c r="Q521" s="59"/>
      <c r="R521" s="60"/>
      <c r="S521" s="60"/>
      <c r="T521" s="60"/>
      <c r="U521" s="60"/>
      <c r="V521" s="60"/>
      <c r="W521" s="60"/>
    </row>
    <row r="522" spans="1:23" ht="13" x14ac:dyDescent="0.3">
      <c r="A522" s="58"/>
      <c r="B522" s="58"/>
      <c r="C522" s="58"/>
      <c r="D522" s="58"/>
      <c r="E522" s="58"/>
      <c r="F522" s="58"/>
      <c r="G522" s="58"/>
      <c r="H522" s="59"/>
      <c r="I522" s="59"/>
      <c r="J522" s="59"/>
      <c r="K522" s="59"/>
      <c r="L522" s="59"/>
      <c r="M522" s="60"/>
      <c r="N522" s="60"/>
      <c r="O522" s="60"/>
      <c r="P522" s="59"/>
      <c r="Q522" s="59"/>
      <c r="R522" s="60"/>
      <c r="S522" s="60"/>
      <c r="T522" s="60"/>
      <c r="U522" s="60"/>
      <c r="V522" s="60"/>
      <c r="W522" s="60"/>
    </row>
    <row r="523" spans="1:23" ht="13" x14ac:dyDescent="0.3">
      <c r="A523" s="58"/>
      <c r="B523" s="58"/>
      <c r="C523" s="58"/>
      <c r="D523" s="58"/>
      <c r="E523" s="58"/>
      <c r="F523" s="58"/>
      <c r="G523" s="58"/>
      <c r="H523" s="59"/>
      <c r="I523" s="59"/>
      <c r="J523" s="59"/>
      <c r="K523" s="59"/>
      <c r="L523" s="59"/>
      <c r="M523" s="60"/>
      <c r="N523" s="60"/>
      <c r="O523" s="60"/>
      <c r="P523" s="59"/>
      <c r="Q523" s="59"/>
      <c r="R523" s="60"/>
      <c r="S523" s="60"/>
      <c r="T523" s="60"/>
      <c r="U523" s="60"/>
      <c r="V523" s="60"/>
      <c r="W523" s="60"/>
    </row>
    <row r="524" spans="1:23" ht="13" x14ac:dyDescent="0.3">
      <c r="A524" s="58"/>
      <c r="B524" s="58"/>
      <c r="C524" s="58"/>
      <c r="D524" s="58"/>
      <c r="E524" s="58"/>
      <c r="F524" s="58"/>
      <c r="G524" s="58"/>
      <c r="H524" s="59"/>
      <c r="I524" s="59"/>
      <c r="J524" s="59"/>
      <c r="K524" s="59"/>
      <c r="L524" s="59"/>
      <c r="M524" s="60"/>
      <c r="N524" s="60"/>
      <c r="O524" s="60"/>
      <c r="P524" s="59"/>
      <c r="Q524" s="59"/>
      <c r="R524" s="60"/>
      <c r="S524" s="60"/>
      <c r="T524" s="60"/>
      <c r="U524" s="60"/>
      <c r="V524" s="60"/>
      <c r="W524" s="60"/>
    </row>
    <row r="525" spans="1:23" ht="13" x14ac:dyDescent="0.3">
      <c r="A525" s="58"/>
      <c r="B525" s="58"/>
      <c r="C525" s="58"/>
      <c r="D525" s="58"/>
      <c r="E525" s="58"/>
      <c r="F525" s="58"/>
      <c r="G525" s="58"/>
      <c r="H525" s="59"/>
      <c r="I525" s="59"/>
      <c r="J525" s="59"/>
      <c r="K525" s="59"/>
      <c r="L525" s="59"/>
      <c r="M525" s="60"/>
      <c r="N525" s="60"/>
      <c r="O525" s="60"/>
      <c r="P525" s="59"/>
      <c r="Q525" s="59"/>
      <c r="R525" s="60"/>
      <c r="S525" s="60"/>
      <c r="T525" s="60"/>
      <c r="U525" s="60"/>
      <c r="V525" s="60"/>
      <c r="W525" s="60"/>
    </row>
    <row r="526" spans="1:23" ht="13" x14ac:dyDescent="0.3">
      <c r="A526" s="58"/>
      <c r="B526" s="58"/>
      <c r="C526" s="58"/>
      <c r="D526" s="58"/>
      <c r="E526" s="58"/>
      <c r="F526" s="58"/>
      <c r="G526" s="58"/>
      <c r="H526" s="59"/>
      <c r="I526" s="59"/>
      <c r="J526" s="59"/>
      <c r="K526" s="59"/>
      <c r="L526" s="59"/>
      <c r="M526" s="60"/>
      <c r="N526" s="60"/>
      <c r="O526" s="60"/>
      <c r="P526" s="59"/>
      <c r="Q526" s="59"/>
      <c r="R526" s="60"/>
      <c r="S526" s="60"/>
      <c r="T526" s="60"/>
      <c r="U526" s="60"/>
      <c r="V526" s="60"/>
      <c r="W526" s="60"/>
    </row>
    <row r="527" spans="1:23" ht="13" x14ac:dyDescent="0.3">
      <c r="A527" s="58"/>
      <c r="B527" s="58"/>
      <c r="C527" s="58"/>
      <c r="D527" s="58"/>
      <c r="E527" s="58"/>
      <c r="F527" s="58"/>
      <c r="G527" s="58"/>
      <c r="H527" s="59"/>
      <c r="I527" s="59"/>
      <c r="J527" s="59"/>
      <c r="K527" s="59"/>
      <c r="L527" s="59"/>
      <c r="M527" s="60"/>
      <c r="N527" s="60"/>
      <c r="O527" s="60"/>
      <c r="P527" s="59"/>
      <c r="Q527" s="59"/>
      <c r="R527" s="60"/>
      <c r="S527" s="60"/>
      <c r="T527" s="60"/>
      <c r="U527" s="60"/>
      <c r="V527" s="60"/>
      <c r="W527" s="60"/>
    </row>
    <row r="528" spans="1:23" ht="13" x14ac:dyDescent="0.3">
      <c r="A528" s="58"/>
      <c r="B528" s="58"/>
      <c r="C528" s="58"/>
      <c r="D528" s="58"/>
      <c r="E528" s="58"/>
      <c r="F528" s="58"/>
      <c r="G528" s="58"/>
      <c r="H528" s="59"/>
      <c r="I528" s="59"/>
      <c r="J528" s="59"/>
      <c r="K528" s="59"/>
      <c r="L528" s="59"/>
      <c r="M528" s="60"/>
      <c r="N528" s="60"/>
      <c r="O528" s="60"/>
      <c r="P528" s="59"/>
      <c r="Q528" s="59"/>
      <c r="R528" s="60"/>
      <c r="S528" s="60"/>
      <c r="T528" s="60"/>
      <c r="U528" s="60"/>
      <c r="V528" s="60"/>
      <c r="W528" s="60"/>
    </row>
    <row r="529" spans="1:23" ht="13" x14ac:dyDescent="0.3">
      <c r="A529" s="58"/>
      <c r="B529" s="58"/>
      <c r="C529" s="58"/>
      <c r="D529" s="58"/>
      <c r="E529" s="58"/>
      <c r="F529" s="58"/>
      <c r="G529" s="58"/>
      <c r="H529" s="59"/>
      <c r="I529" s="59"/>
      <c r="J529" s="59"/>
      <c r="K529" s="59"/>
      <c r="L529" s="59"/>
      <c r="M529" s="60"/>
      <c r="N529" s="60"/>
      <c r="O529" s="60"/>
      <c r="P529" s="59"/>
      <c r="Q529" s="59"/>
      <c r="R529" s="60"/>
      <c r="S529" s="60"/>
      <c r="T529" s="60"/>
      <c r="U529" s="60"/>
      <c r="V529" s="60"/>
      <c r="W529" s="60"/>
    </row>
    <row r="530" spans="1:23" ht="13" x14ac:dyDescent="0.3">
      <c r="A530" s="58"/>
      <c r="B530" s="58"/>
      <c r="C530" s="58"/>
      <c r="D530" s="58"/>
      <c r="E530" s="58"/>
      <c r="F530" s="58"/>
      <c r="G530" s="58"/>
      <c r="H530" s="59"/>
      <c r="I530" s="59"/>
      <c r="J530" s="59"/>
      <c r="K530" s="59"/>
      <c r="L530" s="59"/>
      <c r="M530" s="60"/>
      <c r="N530" s="60"/>
      <c r="O530" s="60"/>
      <c r="P530" s="59"/>
      <c r="Q530" s="59"/>
      <c r="R530" s="60"/>
      <c r="S530" s="60"/>
      <c r="T530" s="60"/>
      <c r="U530" s="60"/>
      <c r="V530" s="60"/>
      <c r="W530" s="60"/>
    </row>
    <row r="531" spans="1:23" ht="13" x14ac:dyDescent="0.3">
      <c r="A531" s="58"/>
      <c r="B531" s="58"/>
      <c r="C531" s="58"/>
      <c r="D531" s="58"/>
      <c r="E531" s="58"/>
      <c r="F531" s="58"/>
      <c r="G531" s="58"/>
      <c r="H531" s="59"/>
      <c r="I531" s="59"/>
      <c r="J531" s="59"/>
      <c r="K531" s="59"/>
      <c r="L531" s="59"/>
      <c r="M531" s="60"/>
      <c r="N531" s="60"/>
      <c r="O531" s="60"/>
      <c r="P531" s="59"/>
      <c r="Q531" s="59"/>
      <c r="R531" s="60"/>
      <c r="S531" s="60"/>
      <c r="T531" s="60"/>
      <c r="U531" s="60"/>
      <c r="V531" s="60"/>
      <c r="W531" s="60"/>
    </row>
    <row r="532" spans="1:23" ht="13" x14ac:dyDescent="0.3">
      <c r="A532" s="58"/>
      <c r="B532" s="58"/>
      <c r="C532" s="58"/>
      <c r="D532" s="58"/>
      <c r="E532" s="58"/>
      <c r="F532" s="58"/>
      <c r="G532" s="58"/>
      <c r="H532" s="59"/>
      <c r="I532" s="59"/>
      <c r="J532" s="59"/>
      <c r="K532" s="59"/>
      <c r="L532" s="59"/>
      <c r="M532" s="60"/>
      <c r="N532" s="60"/>
      <c r="O532" s="60"/>
      <c r="P532" s="59"/>
      <c r="Q532" s="59"/>
      <c r="R532" s="60"/>
      <c r="S532" s="60"/>
      <c r="T532" s="60"/>
      <c r="U532" s="60"/>
      <c r="V532" s="60"/>
      <c r="W532" s="60"/>
    </row>
    <row r="533" spans="1:23" ht="13" x14ac:dyDescent="0.3">
      <c r="A533" s="58"/>
      <c r="B533" s="58"/>
      <c r="C533" s="58"/>
      <c r="D533" s="58"/>
      <c r="E533" s="58"/>
      <c r="F533" s="58"/>
      <c r="G533" s="58"/>
      <c r="H533" s="59"/>
      <c r="I533" s="59"/>
      <c r="J533" s="59"/>
      <c r="K533" s="59"/>
      <c r="L533" s="59"/>
      <c r="M533" s="60"/>
      <c r="N533" s="60"/>
      <c r="O533" s="60"/>
      <c r="P533" s="59"/>
      <c r="Q533" s="59"/>
      <c r="R533" s="60"/>
      <c r="S533" s="60"/>
      <c r="T533" s="60"/>
      <c r="U533" s="60"/>
      <c r="V533" s="60"/>
      <c r="W533" s="60"/>
    </row>
    <row r="534" spans="1:23" ht="13" x14ac:dyDescent="0.3">
      <c r="A534" s="58"/>
      <c r="B534" s="58"/>
      <c r="C534" s="58"/>
      <c r="D534" s="58"/>
      <c r="E534" s="58"/>
      <c r="F534" s="58"/>
      <c r="G534" s="58"/>
      <c r="H534" s="59"/>
      <c r="I534" s="59"/>
      <c r="J534" s="59"/>
      <c r="K534" s="59"/>
      <c r="L534" s="59"/>
      <c r="M534" s="60"/>
      <c r="N534" s="60"/>
      <c r="O534" s="60"/>
      <c r="P534" s="59"/>
      <c r="Q534" s="59"/>
      <c r="R534" s="60"/>
      <c r="S534" s="60"/>
      <c r="T534" s="60"/>
      <c r="U534" s="60"/>
      <c r="V534" s="60"/>
      <c r="W534" s="60"/>
    </row>
    <row r="535" spans="1:23" ht="13" x14ac:dyDescent="0.3">
      <c r="A535" s="58"/>
      <c r="B535" s="58"/>
      <c r="C535" s="58"/>
      <c r="D535" s="58"/>
      <c r="E535" s="58"/>
      <c r="F535" s="58"/>
      <c r="G535" s="58"/>
      <c r="H535" s="59"/>
      <c r="I535" s="59"/>
      <c r="J535" s="59"/>
      <c r="K535" s="59"/>
      <c r="L535" s="59"/>
      <c r="M535" s="60"/>
      <c r="N535" s="60"/>
      <c r="O535" s="60"/>
      <c r="P535" s="59"/>
      <c r="Q535" s="59"/>
      <c r="R535" s="60"/>
      <c r="S535" s="60"/>
      <c r="T535" s="60"/>
      <c r="U535" s="60"/>
      <c r="V535" s="60"/>
      <c r="W535" s="60"/>
    </row>
    <row r="536" spans="1:23" ht="13" x14ac:dyDescent="0.3">
      <c r="A536" s="58"/>
      <c r="B536" s="58"/>
      <c r="C536" s="58"/>
      <c r="D536" s="58"/>
      <c r="E536" s="58"/>
      <c r="F536" s="58"/>
      <c r="G536" s="58"/>
      <c r="H536" s="59"/>
      <c r="I536" s="59"/>
      <c r="J536" s="59"/>
      <c r="K536" s="59"/>
      <c r="L536" s="59"/>
      <c r="M536" s="60"/>
      <c r="N536" s="60"/>
      <c r="O536" s="60"/>
      <c r="P536" s="59"/>
      <c r="Q536" s="59"/>
      <c r="R536" s="60"/>
      <c r="S536" s="60"/>
      <c r="T536" s="60"/>
      <c r="U536" s="60"/>
      <c r="V536" s="60"/>
      <c r="W536" s="60"/>
    </row>
    <row r="537" spans="1:23" ht="13" x14ac:dyDescent="0.3">
      <c r="A537" s="58"/>
      <c r="B537" s="58"/>
      <c r="C537" s="58"/>
      <c r="D537" s="58"/>
      <c r="E537" s="58"/>
      <c r="F537" s="58"/>
      <c r="G537" s="58"/>
      <c r="H537" s="59"/>
      <c r="I537" s="59"/>
      <c r="J537" s="59"/>
      <c r="K537" s="59"/>
      <c r="L537" s="59"/>
      <c r="M537" s="60"/>
      <c r="N537" s="60"/>
      <c r="O537" s="60"/>
      <c r="P537" s="59"/>
      <c r="Q537" s="59"/>
      <c r="R537" s="60"/>
      <c r="S537" s="60"/>
      <c r="T537" s="60"/>
      <c r="U537" s="60"/>
      <c r="V537" s="60"/>
      <c r="W537" s="60"/>
    </row>
    <row r="538" spans="1:23" ht="13" x14ac:dyDescent="0.3">
      <c r="A538" s="58"/>
      <c r="B538" s="58"/>
      <c r="C538" s="58"/>
      <c r="D538" s="58"/>
      <c r="E538" s="58"/>
      <c r="F538" s="58"/>
      <c r="G538" s="58"/>
      <c r="H538" s="59"/>
      <c r="I538" s="59"/>
      <c r="J538" s="59"/>
      <c r="K538" s="59"/>
      <c r="L538" s="59"/>
      <c r="M538" s="60"/>
      <c r="N538" s="60"/>
      <c r="O538" s="60"/>
      <c r="P538" s="59"/>
      <c r="Q538" s="59"/>
      <c r="R538" s="60"/>
      <c r="S538" s="60"/>
      <c r="T538" s="60"/>
      <c r="U538" s="60"/>
      <c r="V538" s="60"/>
      <c r="W538" s="60"/>
    </row>
    <row r="539" spans="1:23" ht="13" x14ac:dyDescent="0.3">
      <c r="A539" s="58"/>
      <c r="B539" s="58"/>
      <c r="C539" s="58"/>
      <c r="D539" s="58"/>
      <c r="E539" s="58"/>
      <c r="F539" s="58"/>
      <c r="G539" s="58"/>
      <c r="H539" s="59"/>
      <c r="I539" s="59"/>
      <c r="J539" s="59"/>
      <c r="K539" s="59"/>
      <c r="L539" s="59"/>
      <c r="M539" s="60"/>
      <c r="N539" s="60"/>
      <c r="O539" s="60"/>
      <c r="P539" s="59"/>
      <c r="Q539" s="59"/>
      <c r="R539" s="60"/>
      <c r="S539" s="60"/>
      <c r="T539" s="60"/>
      <c r="U539" s="60"/>
      <c r="V539" s="60"/>
      <c r="W539" s="60"/>
    </row>
    <row r="540" spans="1:23" ht="13" x14ac:dyDescent="0.3">
      <c r="A540" s="58"/>
      <c r="B540" s="58"/>
      <c r="C540" s="58"/>
      <c r="D540" s="58"/>
      <c r="E540" s="58"/>
      <c r="F540" s="58"/>
      <c r="G540" s="58"/>
      <c r="H540" s="59"/>
      <c r="I540" s="59"/>
      <c r="J540" s="59"/>
      <c r="K540" s="59"/>
      <c r="L540" s="59"/>
      <c r="M540" s="60"/>
      <c r="N540" s="60"/>
      <c r="O540" s="60"/>
      <c r="P540" s="59"/>
      <c r="Q540" s="59"/>
      <c r="R540" s="60"/>
      <c r="S540" s="60"/>
      <c r="T540" s="60"/>
      <c r="U540" s="60"/>
      <c r="V540" s="60"/>
      <c r="W540" s="60"/>
    </row>
    <row r="541" spans="1:23" ht="13" x14ac:dyDescent="0.3">
      <c r="A541" s="58"/>
      <c r="B541" s="58"/>
      <c r="C541" s="58"/>
      <c r="D541" s="58"/>
      <c r="E541" s="58"/>
      <c r="F541" s="58"/>
      <c r="G541" s="58"/>
      <c r="H541" s="59"/>
      <c r="I541" s="59"/>
      <c r="J541" s="59"/>
      <c r="K541" s="59"/>
      <c r="L541" s="59"/>
      <c r="M541" s="60"/>
      <c r="N541" s="60"/>
      <c r="O541" s="60"/>
      <c r="P541" s="59"/>
      <c r="Q541" s="59"/>
      <c r="R541" s="60"/>
      <c r="S541" s="60"/>
      <c r="T541" s="60"/>
      <c r="U541" s="60"/>
      <c r="V541" s="60"/>
      <c r="W541" s="60"/>
    </row>
    <row r="542" spans="1:23" ht="13" x14ac:dyDescent="0.3">
      <c r="A542" s="58"/>
      <c r="B542" s="58"/>
      <c r="C542" s="58"/>
      <c r="D542" s="58"/>
      <c r="E542" s="58"/>
      <c r="F542" s="58"/>
      <c r="G542" s="58"/>
      <c r="H542" s="59"/>
      <c r="I542" s="59"/>
      <c r="J542" s="59"/>
      <c r="K542" s="59"/>
      <c r="L542" s="59"/>
      <c r="M542" s="60"/>
      <c r="N542" s="60"/>
      <c r="O542" s="60"/>
      <c r="P542" s="59"/>
      <c r="Q542" s="59"/>
      <c r="R542" s="60"/>
      <c r="S542" s="60"/>
      <c r="T542" s="60"/>
      <c r="U542" s="60"/>
      <c r="V542" s="60"/>
      <c r="W542" s="60"/>
    </row>
    <row r="543" spans="1:23" ht="13" x14ac:dyDescent="0.3">
      <c r="A543" s="58"/>
      <c r="B543" s="58"/>
      <c r="C543" s="58"/>
      <c r="D543" s="58"/>
      <c r="E543" s="58"/>
      <c r="F543" s="58"/>
      <c r="G543" s="58"/>
      <c r="H543" s="59"/>
      <c r="I543" s="59"/>
      <c r="J543" s="59"/>
      <c r="K543" s="59"/>
      <c r="L543" s="59"/>
      <c r="M543" s="60"/>
      <c r="N543" s="60"/>
      <c r="O543" s="60"/>
      <c r="P543" s="59"/>
      <c r="Q543" s="59"/>
      <c r="R543" s="60"/>
      <c r="S543" s="60"/>
      <c r="T543" s="60"/>
      <c r="U543" s="60"/>
      <c r="V543" s="60"/>
      <c r="W543" s="60"/>
    </row>
    <row r="544" spans="1:23" ht="13" x14ac:dyDescent="0.3">
      <c r="A544" s="58"/>
      <c r="B544" s="58"/>
      <c r="C544" s="58"/>
      <c r="D544" s="58"/>
      <c r="E544" s="58"/>
      <c r="F544" s="58"/>
      <c r="G544" s="58"/>
      <c r="H544" s="59"/>
      <c r="I544" s="59"/>
      <c r="J544" s="59"/>
      <c r="K544" s="59"/>
      <c r="L544" s="59"/>
      <c r="M544" s="60"/>
      <c r="N544" s="60"/>
      <c r="O544" s="60"/>
      <c r="P544" s="59"/>
      <c r="Q544" s="59"/>
      <c r="R544" s="60"/>
      <c r="S544" s="60"/>
      <c r="T544" s="60"/>
      <c r="U544" s="60"/>
      <c r="V544" s="60"/>
      <c r="W544" s="60"/>
    </row>
    <row r="545" spans="1:23" ht="13" x14ac:dyDescent="0.3">
      <c r="A545" s="58"/>
      <c r="B545" s="58"/>
      <c r="C545" s="58"/>
      <c r="D545" s="58"/>
      <c r="E545" s="58"/>
      <c r="F545" s="58"/>
      <c r="G545" s="58"/>
      <c r="H545" s="59"/>
      <c r="I545" s="59"/>
      <c r="J545" s="59"/>
      <c r="K545" s="59"/>
      <c r="L545" s="59"/>
      <c r="M545" s="60"/>
      <c r="N545" s="60"/>
      <c r="O545" s="60"/>
      <c r="P545" s="59"/>
      <c r="Q545" s="59"/>
      <c r="R545" s="60"/>
      <c r="S545" s="60"/>
      <c r="T545" s="60"/>
      <c r="U545" s="60"/>
      <c r="V545" s="60"/>
      <c r="W545" s="60"/>
    </row>
    <row r="546" spans="1:23" ht="13" x14ac:dyDescent="0.3">
      <c r="A546" s="58"/>
      <c r="B546" s="58"/>
      <c r="C546" s="58"/>
      <c r="D546" s="58"/>
      <c r="E546" s="58"/>
      <c r="F546" s="58"/>
      <c r="G546" s="58"/>
      <c r="H546" s="59"/>
      <c r="I546" s="59"/>
      <c r="J546" s="59"/>
      <c r="K546" s="59"/>
      <c r="L546" s="59"/>
      <c r="M546" s="60"/>
      <c r="N546" s="60"/>
      <c r="O546" s="60"/>
      <c r="P546" s="59"/>
      <c r="Q546" s="59"/>
      <c r="R546" s="60"/>
      <c r="S546" s="60"/>
      <c r="T546" s="60"/>
      <c r="U546" s="60"/>
      <c r="V546" s="60"/>
      <c r="W546" s="60"/>
    </row>
    <row r="547" spans="1:23" ht="13" x14ac:dyDescent="0.3">
      <c r="A547" s="58"/>
      <c r="B547" s="58"/>
      <c r="C547" s="58"/>
      <c r="D547" s="58"/>
      <c r="E547" s="58"/>
      <c r="F547" s="58"/>
      <c r="G547" s="58"/>
      <c r="H547" s="59"/>
      <c r="I547" s="59"/>
      <c r="J547" s="59"/>
      <c r="K547" s="59"/>
      <c r="L547" s="59"/>
      <c r="M547" s="60"/>
      <c r="N547" s="60"/>
      <c r="O547" s="60"/>
      <c r="P547" s="59"/>
      <c r="Q547" s="59"/>
      <c r="R547" s="60"/>
      <c r="S547" s="60"/>
      <c r="T547" s="60"/>
      <c r="U547" s="60"/>
      <c r="V547" s="60"/>
      <c r="W547" s="60"/>
    </row>
    <row r="548" spans="1:23" ht="13" x14ac:dyDescent="0.3">
      <c r="A548" s="58"/>
      <c r="B548" s="58"/>
      <c r="C548" s="58"/>
      <c r="D548" s="58"/>
      <c r="E548" s="58"/>
      <c r="F548" s="58"/>
      <c r="G548" s="58"/>
      <c r="H548" s="59"/>
      <c r="I548" s="59"/>
      <c r="J548" s="59"/>
      <c r="K548" s="59"/>
      <c r="L548" s="59"/>
      <c r="M548" s="60"/>
      <c r="N548" s="60"/>
      <c r="O548" s="60"/>
      <c r="P548" s="59"/>
      <c r="Q548" s="59"/>
      <c r="R548" s="60"/>
      <c r="S548" s="60"/>
      <c r="T548" s="60"/>
      <c r="U548" s="60"/>
      <c r="V548" s="60"/>
      <c r="W548" s="60"/>
    </row>
    <row r="549" spans="1:23" ht="13" x14ac:dyDescent="0.3">
      <c r="A549" s="58"/>
      <c r="B549" s="58"/>
      <c r="C549" s="58"/>
      <c r="D549" s="58"/>
      <c r="E549" s="58"/>
      <c r="F549" s="58"/>
      <c r="G549" s="58"/>
      <c r="H549" s="59"/>
      <c r="I549" s="59"/>
      <c r="J549" s="59"/>
      <c r="K549" s="59"/>
      <c r="L549" s="59"/>
      <c r="M549" s="60"/>
      <c r="N549" s="60"/>
      <c r="O549" s="60"/>
      <c r="P549" s="59"/>
      <c r="Q549" s="59"/>
      <c r="R549" s="60"/>
      <c r="S549" s="60"/>
      <c r="T549" s="60"/>
      <c r="U549" s="60"/>
      <c r="V549" s="60"/>
      <c r="W549" s="60"/>
    </row>
    <row r="550" spans="1:23" ht="13" x14ac:dyDescent="0.3">
      <c r="A550" s="58"/>
      <c r="B550" s="58"/>
      <c r="C550" s="58"/>
      <c r="D550" s="58"/>
      <c r="E550" s="58"/>
      <c r="F550" s="58"/>
      <c r="G550" s="58"/>
      <c r="H550" s="59"/>
      <c r="I550" s="59"/>
      <c r="J550" s="59"/>
      <c r="K550" s="59"/>
      <c r="L550" s="59"/>
      <c r="M550" s="60"/>
      <c r="N550" s="60"/>
      <c r="O550" s="60"/>
      <c r="P550" s="59"/>
      <c r="Q550" s="59"/>
      <c r="R550" s="60"/>
      <c r="S550" s="60"/>
      <c r="T550" s="60"/>
      <c r="U550" s="60"/>
      <c r="V550" s="60"/>
      <c r="W550" s="60"/>
    </row>
    <row r="551" spans="1:23" ht="13" x14ac:dyDescent="0.3">
      <c r="A551" s="58"/>
      <c r="B551" s="58"/>
      <c r="C551" s="58"/>
      <c r="D551" s="58"/>
      <c r="E551" s="58"/>
      <c r="F551" s="58"/>
      <c r="G551" s="58"/>
      <c r="H551" s="59"/>
      <c r="I551" s="59"/>
      <c r="J551" s="59"/>
      <c r="K551" s="59"/>
      <c r="L551" s="59"/>
      <c r="M551" s="60"/>
      <c r="N551" s="60"/>
      <c r="O551" s="60"/>
      <c r="P551" s="59"/>
      <c r="Q551" s="59"/>
      <c r="R551" s="60"/>
      <c r="S551" s="60"/>
      <c r="T551" s="60"/>
      <c r="U551" s="60"/>
      <c r="V551" s="60"/>
      <c r="W551" s="60"/>
    </row>
    <row r="552" spans="1:23" ht="13" x14ac:dyDescent="0.3">
      <c r="A552" s="58"/>
      <c r="B552" s="58"/>
      <c r="C552" s="58"/>
      <c r="D552" s="58"/>
      <c r="E552" s="58"/>
      <c r="F552" s="58"/>
      <c r="G552" s="58"/>
      <c r="H552" s="59"/>
      <c r="I552" s="59"/>
      <c r="J552" s="59"/>
      <c r="K552" s="59"/>
      <c r="L552" s="59"/>
      <c r="M552" s="60"/>
      <c r="N552" s="60"/>
      <c r="O552" s="60"/>
      <c r="P552" s="59"/>
      <c r="Q552" s="59"/>
      <c r="R552" s="60"/>
      <c r="S552" s="60"/>
      <c r="T552" s="60"/>
      <c r="U552" s="60"/>
      <c r="V552" s="60"/>
      <c r="W552" s="60"/>
    </row>
    <row r="553" spans="1:23" ht="13" x14ac:dyDescent="0.3">
      <c r="A553" s="58"/>
      <c r="B553" s="58"/>
      <c r="C553" s="58"/>
      <c r="D553" s="58"/>
      <c r="E553" s="58"/>
      <c r="F553" s="58"/>
      <c r="G553" s="58"/>
      <c r="H553" s="59"/>
      <c r="I553" s="59"/>
      <c r="J553" s="59"/>
      <c r="K553" s="59"/>
      <c r="L553" s="59"/>
      <c r="M553" s="60"/>
      <c r="N553" s="60"/>
      <c r="O553" s="60"/>
      <c r="P553" s="59"/>
      <c r="Q553" s="59"/>
      <c r="R553" s="60"/>
      <c r="S553" s="60"/>
      <c r="T553" s="60"/>
      <c r="U553" s="60"/>
      <c r="V553" s="60"/>
      <c r="W553" s="60"/>
    </row>
    <row r="554" spans="1:23" ht="13" x14ac:dyDescent="0.3">
      <c r="A554" s="58"/>
      <c r="B554" s="58"/>
      <c r="C554" s="58"/>
      <c r="D554" s="58"/>
      <c r="E554" s="58"/>
      <c r="F554" s="58"/>
      <c r="G554" s="58"/>
      <c r="H554" s="59"/>
      <c r="I554" s="59"/>
      <c r="J554" s="59"/>
      <c r="K554" s="59"/>
      <c r="L554" s="59"/>
      <c r="M554" s="60"/>
      <c r="N554" s="60"/>
      <c r="O554" s="60"/>
      <c r="P554" s="59"/>
      <c r="Q554" s="59"/>
      <c r="R554" s="60"/>
      <c r="S554" s="60"/>
      <c r="T554" s="60"/>
      <c r="U554" s="60"/>
      <c r="V554" s="60"/>
      <c r="W554" s="60"/>
    </row>
    <row r="555" spans="1:23" ht="13" x14ac:dyDescent="0.3">
      <c r="A555" s="58"/>
      <c r="B555" s="58"/>
      <c r="C555" s="58"/>
      <c r="D555" s="58"/>
      <c r="E555" s="58"/>
      <c r="F555" s="58"/>
      <c r="G555" s="58"/>
      <c r="H555" s="59"/>
      <c r="I555" s="59"/>
      <c r="J555" s="59"/>
      <c r="K555" s="59"/>
      <c r="L555" s="59"/>
      <c r="M555" s="60"/>
      <c r="N555" s="60"/>
      <c r="O555" s="60"/>
      <c r="P555" s="59"/>
      <c r="Q555" s="59"/>
      <c r="R555" s="60"/>
      <c r="S555" s="60"/>
      <c r="T555" s="60"/>
      <c r="U555" s="60"/>
      <c r="V555" s="60"/>
      <c r="W555" s="60"/>
    </row>
    <row r="556" spans="1:23" ht="13" x14ac:dyDescent="0.3">
      <c r="A556" s="58"/>
      <c r="B556" s="58"/>
      <c r="C556" s="58"/>
      <c r="D556" s="58"/>
      <c r="E556" s="58"/>
      <c r="F556" s="58"/>
      <c r="G556" s="58"/>
      <c r="H556" s="59"/>
      <c r="I556" s="59"/>
      <c r="J556" s="59"/>
      <c r="K556" s="59"/>
      <c r="L556" s="59"/>
      <c r="M556" s="60"/>
      <c r="N556" s="60"/>
      <c r="O556" s="60"/>
      <c r="P556" s="59"/>
      <c r="Q556" s="59"/>
      <c r="R556" s="60"/>
      <c r="S556" s="60"/>
      <c r="T556" s="60"/>
      <c r="U556" s="60"/>
      <c r="V556" s="60"/>
      <c r="W556" s="60"/>
    </row>
    <row r="557" spans="1:23" ht="13" x14ac:dyDescent="0.3">
      <c r="A557" s="58"/>
      <c r="B557" s="58"/>
      <c r="C557" s="58"/>
      <c r="D557" s="58"/>
      <c r="E557" s="58"/>
      <c r="F557" s="58"/>
      <c r="G557" s="58"/>
      <c r="H557" s="59"/>
      <c r="I557" s="59"/>
      <c r="J557" s="59"/>
      <c r="K557" s="59"/>
      <c r="L557" s="59"/>
      <c r="M557" s="60"/>
      <c r="N557" s="60"/>
      <c r="O557" s="60"/>
      <c r="P557" s="59"/>
      <c r="Q557" s="59"/>
      <c r="R557" s="60"/>
      <c r="S557" s="60"/>
      <c r="T557" s="60"/>
      <c r="U557" s="60"/>
      <c r="V557" s="60"/>
      <c r="W557" s="60"/>
    </row>
    <row r="558" spans="1:23" ht="13" x14ac:dyDescent="0.3">
      <c r="A558" s="58"/>
      <c r="B558" s="58"/>
      <c r="C558" s="58"/>
      <c r="D558" s="58"/>
      <c r="E558" s="58"/>
      <c r="F558" s="58"/>
      <c r="G558" s="58"/>
      <c r="H558" s="59"/>
      <c r="I558" s="59"/>
      <c r="J558" s="59"/>
      <c r="K558" s="59"/>
      <c r="L558" s="59"/>
      <c r="M558" s="60"/>
      <c r="N558" s="60"/>
      <c r="O558" s="60"/>
      <c r="P558" s="59"/>
      <c r="Q558" s="59"/>
      <c r="R558" s="60"/>
      <c r="S558" s="60"/>
      <c r="T558" s="60"/>
      <c r="U558" s="60"/>
      <c r="V558" s="60"/>
      <c r="W558" s="60"/>
    </row>
    <row r="559" spans="1:23" ht="13" x14ac:dyDescent="0.3">
      <c r="A559" s="58"/>
      <c r="B559" s="58"/>
      <c r="C559" s="58"/>
      <c r="D559" s="58"/>
      <c r="E559" s="58"/>
      <c r="F559" s="58"/>
      <c r="G559" s="58"/>
      <c r="H559" s="59"/>
      <c r="I559" s="59"/>
      <c r="J559" s="59"/>
      <c r="K559" s="59"/>
      <c r="L559" s="59"/>
      <c r="M559" s="60"/>
      <c r="N559" s="60"/>
      <c r="O559" s="60"/>
      <c r="P559" s="59"/>
      <c r="Q559" s="59"/>
      <c r="R559" s="60"/>
      <c r="S559" s="60"/>
      <c r="T559" s="60"/>
      <c r="U559" s="60"/>
      <c r="V559" s="60"/>
      <c r="W559" s="60"/>
    </row>
    <row r="560" spans="1:23" ht="13" x14ac:dyDescent="0.3">
      <c r="A560" s="58"/>
      <c r="B560" s="58"/>
      <c r="C560" s="58"/>
      <c r="D560" s="58"/>
      <c r="E560" s="58"/>
      <c r="F560" s="58"/>
      <c r="G560" s="58"/>
      <c r="H560" s="59"/>
      <c r="I560" s="59"/>
      <c r="J560" s="59"/>
      <c r="K560" s="59"/>
      <c r="L560" s="59"/>
      <c r="M560" s="60"/>
      <c r="N560" s="60"/>
      <c r="O560" s="60"/>
      <c r="P560" s="59"/>
      <c r="Q560" s="59"/>
      <c r="R560" s="60"/>
      <c r="S560" s="60"/>
      <c r="T560" s="60"/>
      <c r="U560" s="60"/>
      <c r="V560" s="60"/>
      <c r="W560" s="60"/>
    </row>
    <row r="561" spans="1:23" ht="13" x14ac:dyDescent="0.3">
      <c r="A561" s="58"/>
      <c r="B561" s="58"/>
      <c r="C561" s="58"/>
      <c r="D561" s="58"/>
      <c r="E561" s="58"/>
      <c r="F561" s="58"/>
      <c r="G561" s="58"/>
      <c r="H561" s="59"/>
      <c r="I561" s="59"/>
      <c r="J561" s="59"/>
      <c r="K561" s="59"/>
      <c r="L561" s="59"/>
      <c r="M561" s="60"/>
      <c r="N561" s="60"/>
      <c r="O561" s="60"/>
      <c r="P561" s="59"/>
      <c r="Q561" s="59"/>
      <c r="R561" s="60"/>
      <c r="S561" s="60"/>
      <c r="T561" s="60"/>
      <c r="U561" s="60"/>
      <c r="V561" s="60"/>
      <c r="W561" s="60"/>
    </row>
    <row r="562" spans="1:23" ht="13" x14ac:dyDescent="0.3">
      <c r="A562" s="58"/>
      <c r="B562" s="58"/>
      <c r="C562" s="58"/>
      <c r="D562" s="58"/>
      <c r="E562" s="58"/>
      <c r="F562" s="58"/>
      <c r="G562" s="58"/>
      <c r="H562" s="59"/>
      <c r="I562" s="59"/>
      <c r="J562" s="59"/>
      <c r="K562" s="59"/>
      <c r="L562" s="59"/>
      <c r="M562" s="60"/>
      <c r="N562" s="60"/>
      <c r="O562" s="60"/>
      <c r="P562" s="59"/>
      <c r="Q562" s="59"/>
      <c r="R562" s="60"/>
      <c r="S562" s="60"/>
      <c r="T562" s="60"/>
      <c r="U562" s="60"/>
      <c r="V562" s="60"/>
      <c r="W562" s="60"/>
    </row>
    <row r="563" spans="1:23" ht="13" x14ac:dyDescent="0.3">
      <c r="A563" s="58"/>
      <c r="B563" s="58"/>
      <c r="C563" s="58"/>
      <c r="D563" s="58"/>
      <c r="E563" s="58"/>
      <c r="F563" s="58"/>
      <c r="G563" s="58"/>
      <c r="H563" s="59"/>
      <c r="I563" s="59"/>
      <c r="J563" s="59"/>
      <c r="K563" s="59"/>
      <c r="L563" s="59"/>
      <c r="M563" s="60"/>
      <c r="N563" s="60"/>
      <c r="O563" s="60"/>
      <c r="P563" s="59"/>
      <c r="Q563" s="59"/>
      <c r="R563" s="60"/>
      <c r="S563" s="60"/>
      <c r="T563" s="60"/>
      <c r="U563" s="60"/>
      <c r="V563" s="60"/>
      <c r="W563" s="60"/>
    </row>
    <row r="564" spans="1:23" ht="13" x14ac:dyDescent="0.3">
      <c r="A564" s="58"/>
      <c r="B564" s="58"/>
      <c r="C564" s="58"/>
      <c r="D564" s="58"/>
      <c r="E564" s="58"/>
      <c r="F564" s="58"/>
      <c r="G564" s="58"/>
      <c r="H564" s="59"/>
      <c r="I564" s="59"/>
      <c r="J564" s="59"/>
      <c r="K564" s="59"/>
      <c r="L564" s="59"/>
      <c r="M564" s="60"/>
      <c r="N564" s="60"/>
      <c r="O564" s="60"/>
      <c r="P564" s="59"/>
      <c r="Q564" s="59"/>
      <c r="R564" s="60"/>
      <c r="S564" s="60"/>
      <c r="T564" s="60"/>
      <c r="U564" s="60"/>
      <c r="V564" s="60"/>
      <c r="W564" s="60"/>
    </row>
    <row r="565" spans="1:23" ht="13" x14ac:dyDescent="0.3">
      <c r="A565" s="58"/>
      <c r="B565" s="58"/>
      <c r="C565" s="58"/>
      <c r="D565" s="58"/>
      <c r="E565" s="58"/>
      <c r="F565" s="58"/>
      <c r="G565" s="58"/>
      <c r="H565" s="59"/>
      <c r="I565" s="59"/>
      <c r="J565" s="59"/>
      <c r="K565" s="59"/>
      <c r="L565" s="59"/>
      <c r="M565" s="60"/>
      <c r="N565" s="60"/>
      <c r="O565" s="60"/>
      <c r="P565" s="59"/>
      <c r="Q565" s="59"/>
      <c r="R565" s="60"/>
      <c r="S565" s="60"/>
      <c r="T565" s="60"/>
      <c r="U565" s="60"/>
      <c r="V565" s="60"/>
      <c r="W565" s="60"/>
    </row>
    <row r="566" spans="1:23" ht="13" x14ac:dyDescent="0.3">
      <c r="A566" s="58"/>
      <c r="B566" s="58"/>
      <c r="C566" s="58"/>
      <c r="D566" s="58"/>
      <c r="E566" s="58"/>
      <c r="F566" s="58"/>
      <c r="G566" s="58"/>
      <c r="H566" s="59"/>
      <c r="I566" s="59"/>
      <c r="J566" s="59"/>
      <c r="K566" s="59"/>
      <c r="L566" s="59"/>
      <c r="M566" s="60"/>
      <c r="N566" s="60"/>
      <c r="O566" s="60"/>
      <c r="P566" s="59"/>
      <c r="Q566" s="59"/>
      <c r="R566" s="60"/>
      <c r="S566" s="60"/>
      <c r="T566" s="60"/>
      <c r="U566" s="60"/>
      <c r="V566" s="60"/>
      <c r="W566" s="60"/>
    </row>
    <row r="567" spans="1:23" ht="13" x14ac:dyDescent="0.3">
      <c r="A567" s="58"/>
      <c r="B567" s="58"/>
      <c r="C567" s="58"/>
      <c r="D567" s="58"/>
      <c r="E567" s="58"/>
      <c r="F567" s="58"/>
      <c r="G567" s="58"/>
      <c r="H567" s="59"/>
      <c r="I567" s="59"/>
      <c r="J567" s="59"/>
      <c r="K567" s="59"/>
      <c r="L567" s="59"/>
      <c r="M567" s="60"/>
      <c r="N567" s="60"/>
      <c r="O567" s="60"/>
      <c r="P567" s="59"/>
      <c r="Q567" s="59"/>
      <c r="R567" s="60"/>
      <c r="S567" s="60"/>
      <c r="T567" s="60"/>
      <c r="U567" s="60"/>
      <c r="V567" s="60"/>
      <c r="W567" s="60"/>
    </row>
    <row r="568" spans="1:23" ht="13" x14ac:dyDescent="0.3">
      <c r="A568" s="58"/>
      <c r="B568" s="58"/>
      <c r="C568" s="58"/>
      <c r="D568" s="58"/>
      <c r="E568" s="58"/>
      <c r="F568" s="58"/>
      <c r="G568" s="58"/>
      <c r="H568" s="59"/>
      <c r="I568" s="59"/>
      <c r="J568" s="59"/>
      <c r="K568" s="59"/>
      <c r="L568" s="59"/>
      <c r="M568" s="60"/>
      <c r="N568" s="60"/>
      <c r="O568" s="60"/>
      <c r="P568" s="59"/>
      <c r="Q568" s="59"/>
      <c r="R568" s="60"/>
      <c r="S568" s="60"/>
      <c r="T568" s="60"/>
      <c r="U568" s="60"/>
      <c r="V568" s="60"/>
      <c r="W568" s="60"/>
    </row>
    <row r="569" spans="1:23" ht="13" x14ac:dyDescent="0.3">
      <c r="A569" s="58"/>
      <c r="B569" s="58"/>
      <c r="C569" s="58"/>
      <c r="D569" s="58"/>
      <c r="E569" s="58"/>
      <c r="F569" s="58"/>
      <c r="G569" s="58"/>
      <c r="H569" s="59"/>
      <c r="I569" s="59"/>
      <c r="J569" s="59"/>
      <c r="K569" s="59"/>
      <c r="L569" s="59"/>
      <c r="M569" s="60"/>
      <c r="N569" s="60"/>
      <c r="O569" s="60"/>
      <c r="P569" s="59"/>
      <c r="Q569" s="59"/>
      <c r="R569" s="60"/>
      <c r="S569" s="60"/>
      <c r="T569" s="60"/>
      <c r="U569" s="60"/>
      <c r="V569" s="60"/>
      <c r="W569" s="60"/>
    </row>
    <row r="570" spans="1:23" ht="13" x14ac:dyDescent="0.3">
      <c r="A570" s="58"/>
      <c r="B570" s="58"/>
      <c r="C570" s="58"/>
      <c r="D570" s="58"/>
      <c r="E570" s="58"/>
      <c r="F570" s="58"/>
      <c r="G570" s="58"/>
      <c r="H570" s="59"/>
      <c r="I570" s="59"/>
      <c r="J570" s="59"/>
      <c r="K570" s="59"/>
      <c r="L570" s="59"/>
      <c r="M570" s="60"/>
      <c r="N570" s="60"/>
      <c r="O570" s="60"/>
      <c r="P570" s="59"/>
      <c r="Q570" s="59"/>
      <c r="R570" s="60"/>
      <c r="S570" s="60"/>
      <c r="T570" s="60"/>
      <c r="U570" s="60"/>
      <c r="V570" s="60"/>
      <c r="W570" s="60"/>
    </row>
    <row r="571" spans="1:23" ht="13" x14ac:dyDescent="0.3">
      <c r="A571" s="58"/>
      <c r="B571" s="58"/>
      <c r="C571" s="58"/>
      <c r="D571" s="58"/>
      <c r="E571" s="58"/>
      <c r="F571" s="58"/>
      <c r="G571" s="58"/>
      <c r="H571" s="59"/>
      <c r="I571" s="59"/>
      <c r="J571" s="59"/>
      <c r="K571" s="59"/>
      <c r="L571" s="59"/>
      <c r="M571" s="60"/>
      <c r="N571" s="60"/>
      <c r="O571" s="60"/>
      <c r="P571" s="59"/>
      <c r="Q571" s="59"/>
      <c r="R571" s="60"/>
      <c r="S571" s="60"/>
      <c r="T571" s="60"/>
      <c r="U571" s="60"/>
      <c r="V571" s="60"/>
      <c r="W571" s="60"/>
    </row>
    <row r="572" spans="1:23" ht="13" x14ac:dyDescent="0.3">
      <c r="A572" s="58"/>
      <c r="B572" s="58"/>
      <c r="C572" s="58"/>
      <c r="D572" s="58"/>
      <c r="E572" s="58"/>
      <c r="F572" s="58"/>
      <c r="G572" s="58"/>
      <c r="H572" s="59"/>
      <c r="I572" s="59"/>
      <c r="J572" s="59"/>
      <c r="K572" s="59"/>
      <c r="L572" s="59"/>
      <c r="M572" s="60"/>
      <c r="N572" s="60"/>
      <c r="O572" s="60"/>
      <c r="P572" s="59"/>
      <c r="Q572" s="59"/>
      <c r="R572" s="60"/>
      <c r="S572" s="60"/>
      <c r="T572" s="60"/>
      <c r="U572" s="60"/>
      <c r="V572" s="60"/>
      <c r="W572" s="60"/>
    </row>
    <row r="573" spans="1:23" ht="13" x14ac:dyDescent="0.3">
      <c r="A573" s="58"/>
      <c r="B573" s="58"/>
      <c r="C573" s="58"/>
      <c r="D573" s="58"/>
      <c r="E573" s="58"/>
      <c r="F573" s="58"/>
      <c r="G573" s="58"/>
      <c r="H573" s="59"/>
      <c r="I573" s="59"/>
      <c r="J573" s="59"/>
      <c r="K573" s="59"/>
      <c r="L573" s="59"/>
      <c r="M573" s="60"/>
      <c r="N573" s="60"/>
      <c r="O573" s="60"/>
      <c r="P573" s="59"/>
      <c r="Q573" s="59"/>
      <c r="R573" s="60"/>
      <c r="S573" s="60"/>
      <c r="T573" s="60"/>
      <c r="U573" s="60"/>
      <c r="V573" s="60"/>
      <c r="W573" s="60"/>
    </row>
    <row r="574" spans="1:23" ht="13" x14ac:dyDescent="0.3">
      <c r="A574" s="58"/>
      <c r="B574" s="58"/>
      <c r="C574" s="58"/>
      <c r="D574" s="58"/>
      <c r="E574" s="58"/>
      <c r="F574" s="58"/>
      <c r="G574" s="58"/>
      <c r="H574" s="59"/>
      <c r="I574" s="59"/>
      <c r="J574" s="59"/>
      <c r="K574" s="59"/>
      <c r="L574" s="59"/>
      <c r="M574" s="60"/>
      <c r="N574" s="60"/>
      <c r="O574" s="60"/>
      <c r="P574" s="59"/>
      <c r="Q574" s="59"/>
      <c r="R574" s="60"/>
      <c r="S574" s="60"/>
      <c r="T574" s="60"/>
      <c r="U574" s="60"/>
      <c r="V574" s="60"/>
      <c r="W574" s="60"/>
    </row>
    <row r="575" spans="1:23" ht="13" x14ac:dyDescent="0.3">
      <c r="A575" s="58"/>
      <c r="B575" s="58"/>
      <c r="C575" s="58"/>
      <c r="D575" s="58"/>
      <c r="E575" s="58"/>
      <c r="F575" s="58"/>
      <c r="G575" s="58"/>
      <c r="H575" s="59"/>
      <c r="I575" s="59"/>
      <c r="J575" s="59"/>
      <c r="K575" s="59"/>
      <c r="L575" s="59"/>
      <c r="M575" s="60"/>
      <c r="N575" s="60"/>
      <c r="O575" s="60"/>
      <c r="P575" s="59"/>
      <c r="Q575" s="59"/>
      <c r="R575" s="60"/>
      <c r="S575" s="60"/>
      <c r="T575" s="60"/>
      <c r="U575" s="60"/>
      <c r="V575" s="60"/>
      <c r="W575" s="60"/>
    </row>
    <row r="576" spans="1:23" ht="13" x14ac:dyDescent="0.3">
      <c r="A576" s="58"/>
      <c r="B576" s="58"/>
      <c r="C576" s="58"/>
      <c r="D576" s="58"/>
      <c r="E576" s="58"/>
      <c r="F576" s="58"/>
      <c r="G576" s="58"/>
      <c r="H576" s="59"/>
      <c r="I576" s="59"/>
      <c r="J576" s="59"/>
      <c r="K576" s="59"/>
      <c r="L576" s="59"/>
      <c r="M576" s="60"/>
      <c r="N576" s="60"/>
      <c r="O576" s="60"/>
      <c r="P576" s="59"/>
      <c r="Q576" s="59"/>
      <c r="R576" s="60"/>
      <c r="S576" s="60"/>
      <c r="T576" s="60"/>
      <c r="U576" s="60"/>
      <c r="V576" s="60"/>
      <c r="W576" s="60"/>
    </row>
    <row r="577" spans="1:23" ht="13" x14ac:dyDescent="0.3">
      <c r="A577" s="58"/>
      <c r="B577" s="58"/>
      <c r="C577" s="58"/>
      <c r="D577" s="58"/>
      <c r="E577" s="58"/>
      <c r="F577" s="58"/>
      <c r="G577" s="58"/>
      <c r="H577" s="59"/>
      <c r="I577" s="59"/>
      <c r="J577" s="59"/>
      <c r="K577" s="59"/>
      <c r="L577" s="59"/>
      <c r="M577" s="60"/>
      <c r="N577" s="60"/>
      <c r="O577" s="60"/>
      <c r="P577" s="59"/>
      <c r="Q577" s="59"/>
      <c r="R577" s="60"/>
      <c r="S577" s="60"/>
      <c r="T577" s="60"/>
      <c r="U577" s="60"/>
      <c r="V577" s="60"/>
      <c r="W577" s="60"/>
    </row>
    <row r="578" spans="1:23" ht="13" x14ac:dyDescent="0.3">
      <c r="A578" s="58"/>
      <c r="B578" s="58"/>
      <c r="C578" s="58"/>
      <c r="D578" s="58"/>
      <c r="E578" s="58"/>
      <c r="F578" s="58"/>
      <c r="G578" s="58"/>
      <c r="H578" s="59"/>
      <c r="I578" s="59"/>
      <c r="J578" s="59"/>
      <c r="K578" s="59"/>
      <c r="L578" s="59"/>
      <c r="M578" s="60"/>
      <c r="N578" s="60"/>
      <c r="O578" s="60"/>
      <c r="P578" s="59"/>
      <c r="Q578" s="59"/>
      <c r="R578" s="60"/>
      <c r="S578" s="60"/>
      <c r="T578" s="60"/>
      <c r="U578" s="60"/>
      <c r="V578" s="60"/>
      <c r="W578" s="60"/>
    </row>
    <row r="579" spans="1:23" ht="13" x14ac:dyDescent="0.3">
      <c r="A579" s="58"/>
      <c r="B579" s="58"/>
      <c r="C579" s="58"/>
      <c r="D579" s="58"/>
      <c r="E579" s="58"/>
      <c r="F579" s="58"/>
      <c r="G579" s="58"/>
      <c r="H579" s="59"/>
      <c r="I579" s="59"/>
      <c r="J579" s="59"/>
      <c r="K579" s="59"/>
      <c r="L579" s="59"/>
      <c r="M579" s="60"/>
      <c r="N579" s="60"/>
      <c r="O579" s="60"/>
      <c r="P579" s="59"/>
      <c r="Q579" s="59"/>
      <c r="R579" s="60"/>
      <c r="S579" s="60"/>
      <c r="T579" s="60"/>
      <c r="U579" s="60"/>
      <c r="V579" s="60"/>
      <c r="W579" s="60"/>
    </row>
    <row r="580" spans="1:23" ht="13" x14ac:dyDescent="0.3">
      <c r="A580" s="58"/>
      <c r="B580" s="58"/>
      <c r="C580" s="58"/>
      <c r="D580" s="58"/>
      <c r="E580" s="58"/>
      <c r="F580" s="58"/>
      <c r="G580" s="58"/>
      <c r="H580" s="59"/>
      <c r="I580" s="59"/>
      <c r="J580" s="59"/>
      <c r="K580" s="59"/>
      <c r="L580" s="59"/>
      <c r="M580" s="60"/>
      <c r="N580" s="60"/>
      <c r="O580" s="60"/>
      <c r="P580" s="59"/>
      <c r="Q580" s="59"/>
      <c r="R580" s="60"/>
      <c r="S580" s="60"/>
      <c r="T580" s="60"/>
      <c r="U580" s="60"/>
      <c r="V580" s="60"/>
      <c r="W580" s="60"/>
    </row>
    <row r="581" spans="1:23" ht="13" x14ac:dyDescent="0.3">
      <c r="A581" s="58"/>
      <c r="B581" s="58"/>
      <c r="C581" s="58"/>
      <c r="D581" s="58"/>
      <c r="E581" s="58"/>
      <c r="F581" s="58"/>
      <c r="G581" s="58"/>
      <c r="H581" s="59"/>
      <c r="I581" s="59"/>
      <c r="J581" s="59"/>
      <c r="K581" s="59"/>
      <c r="L581" s="59"/>
      <c r="M581" s="60"/>
      <c r="N581" s="60"/>
      <c r="O581" s="60"/>
      <c r="P581" s="59"/>
      <c r="Q581" s="59"/>
      <c r="R581" s="60"/>
      <c r="S581" s="60"/>
      <c r="T581" s="60"/>
      <c r="U581" s="60"/>
      <c r="V581" s="60"/>
      <c r="W581" s="60"/>
    </row>
    <row r="582" spans="1:23" ht="13" x14ac:dyDescent="0.3">
      <c r="A582" s="58"/>
      <c r="B582" s="58"/>
      <c r="C582" s="58"/>
      <c r="D582" s="58"/>
      <c r="E582" s="58"/>
      <c r="F582" s="58"/>
      <c r="G582" s="58"/>
      <c r="H582" s="59"/>
      <c r="I582" s="59"/>
      <c r="J582" s="59"/>
      <c r="K582" s="59"/>
      <c r="L582" s="59"/>
      <c r="M582" s="60"/>
      <c r="N582" s="60"/>
      <c r="O582" s="60"/>
      <c r="P582" s="59"/>
      <c r="Q582" s="59"/>
      <c r="R582" s="60"/>
      <c r="S582" s="60"/>
      <c r="T582" s="60"/>
      <c r="U582" s="60"/>
      <c r="V582" s="60"/>
      <c r="W582" s="60"/>
    </row>
    <row r="583" spans="1:23" ht="13" x14ac:dyDescent="0.3">
      <c r="A583" s="58"/>
      <c r="B583" s="58"/>
      <c r="C583" s="58"/>
      <c r="D583" s="58"/>
      <c r="E583" s="58"/>
      <c r="F583" s="58"/>
      <c r="G583" s="58"/>
      <c r="H583" s="59"/>
      <c r="I583" s="59"/>
      <c r="J583" s="59"/>
      <c r="K583" s="59"/>
      <c r="L583" s="59"/>
      <c r="M583" s="60"/>
      <c r="N583" s="60"/>
      <c r="O583" s="60"/>
      <c r="P583" s="59"/>
      <c r="Q583" s="59"/>
      <c r="R583" s="60"/>
      <c r="S583" s="60"/>
      <c r="T583" s="60"/>
      <c r="U583" s="60"/>
      <c r="V583" s="60"/>
      <c r="W583" s="60"/>
    </row>
    <row r="584" spans="1:23" ht="13" x14ac:dyDescent="0.3">
      <c r="A584" s="58"/>
      <c r="B584" s="58"/>
      <c r="C584" s="58"/>
      <c r="D584" s="58"/>
      <c r="E584" s="58"/>
      <c r="F584" s="58"/>
      <c r="G584" s="58"/>
      <c r="H584" s="59"/>
      <c r="I584" s="59"/>
      <c r="J584" s="59"/>
      <c r="K584" s="59"/>
      <c r="L584" s="59"/>
      <c r="M584" s="60"/>
      <c r="N584" s="60"/>
      <c r="O584" s="60"/>
      <c r="P584" s="59"/>
      <c r="Q584" s="59"/>
      <c r="R584" s="60"/>
      <c r="S584" s="60"/>
      <c r="T584" s="60"/>
      <c r="U584" s="60"/>
      <c r="V584" s="60"/>
      <c r="W584" s="60"/>
    </row>
    <row r="585" spans="1:23" ht="13" x14ac:dyDescent="0.3">
      <c r="A585" s="58"/>
      <c r="B585" s="58"/>
      <c r="C585" s="58"/>
      <c r="D585" s="58"/>
      <c r="E585" s="58"/>
      <c r="F585" s="58"/>
      <c r="G585" s="58"/>
      <c r="H585" s="59"/>
      <c r="I585" s="59"/>
      <c r="J585" s="59"/>
      <c r="K585" s="59"/>
      <c r="L585" s="59"/>
      <c r="M585" s="60"/>
      <c r="N585" s="60"/>
      <c r="O585" s="60"/>
      <c r="P585" s="59"/>
      <c r="Q585" s="59"/>
      <c r="R585" s="60"/>
      <c r="S585" s="60"/>
      <c r="T585" s="60"/>
      <c r="U585" s="60"/>
      <c r="V585" s="60"/>
      <c r="W585" s="60"/>
    </row>
    <row r="586" spans="1:23" ht="13" x14ac:dyDescent="0.3">
      <c r="A586" s="58"/>
      <c r="B586" s="58"/>
      <c r="C586" s="58"/>
      <c r="D586" s="58"/>
      <c r="E586" s="58"/>
      <c r="F586" s="58"/>
      <c r="G586" s="58"/>
      <c r="H586" s="59"/>
      <c r="I586" s="59"/>
      <c r="J586" s="59"/>
      <c r="K586" s="59"/>
      <c r="L586" s="59"/>
      <c r="M586" s="60"/>
      <c r="N586" s="60"/>
      <c r="O586" s="60"/>
      <c r="P586" s="59"/>
      <c r="Q586" s="59"/>
      <c r="R586" s="60"/>
      <c r="S586" s="60"/>
      <c r="T586" s="60"/>
      <c r="U586" s="60"/>
      <c r="V586" s="60"/>
      <c r="W586" s="60"/>
    </row>
    <row r="587" spans="1:23" ht="13" x14ac:dyDescent="0.3">
      <c r="A587" s="58"/>
      <c r="B587" s="58"/>
      <c r="C587" s="58"/>
      <c r="D587" s="58"/>
      <c r="E587" s="58"/>
      <c r="F587" s="58"/>
      <c r="G587" s="58"/>
      <c r="H587" s="59"/>
      <c r="I587" s="59"/>
      <c r="J587" s="59"/>
      <c r="K587" s="59"/>
      <c r="L587" s="59"/>
      <c r="M587" s="60"/>
      <c r="N587" s="60"/>
      <c r="O587" s="60"/>
      <c r="P587" s="59"/>
      <c r="Q587" s="59"/>
      <c r="R587" s="60"/>
      <c r="S587" s="60"/>
      <c r="T587" s="60"/>
      <c r="U587" s="60"/>
      <c r="V587" s="60"/>
      <c r="W587" s="60"/>
    </row>
    <row r="588" spans="1:23" ht="13" x14ac:dyDescent="0.3">
      <c r="A588" s="58"/>
      <c r="B588" s="58"/>
      <c r="C588" s="58"/>
      <c r="D588" s="58"/>
      <c r="E588" s="58"/>
      <c r="F588" s="58"/>
      <c r="G588" s="58"/>
      <c r="H588" s="59"/>
      <c r="I588" s="59"/>
      <c r="J588" s="59"/>
      <c r="K588" s="59"/>
      <c r="L588" s="59"/>
      <c r="M588" s="60"/>
      <c r="N588" s="60"/>
      <c r="O588" s="60"/>
      <c r="P588" s="59"/>
      <c r="Q588" s="59"/>
      <c r="R588" s="60"/>
      <c r="S588" s="60"/>
      <c r="T588" s="60"/>
      <c r="U588" s="60"/>
      <c r="V588" s="60"/>
      <c r="W588" s="60"/>
    </row>
    <row r="589" spans="1:23" ht="13" x14ac:dyDescent="0.3">
      <c r="A589" s="58"/>
      <c r="B589" s="58"/>
      <c r="C589" s="58"/>
      <c r="D589" s="58"/>
      <c r="E589" s="58"/>
      <c r="F589" s="58"/>
      <c r="G589" s="58"/>
      <c r="H589" s="59"/>
      <c r="I589" s="59"/>
      <c r="J589" s="59"/>
      <c r="K589" s="59"/>
      <c r="L589" s="59"/>
      <c r="M589" s="60"/>
      <c r="N589" s="60"/>
      <c r="O589" s="60"/>
      <c r="P589" s="59"/>
      <c r="Q589" s="59"/>
      <c r="R589" s="60"/>
      <c r="S589" s="60"/>
      <c r="T589" s="60"/>
      <c r="U589" s="60"/>
      <c r="V589" s="60"/>
      <c r="W589" s="60"/>
    </row>
    <row r="590" spans="1:23" ht="13" x14ac:dyDescent="0.3">
      <c r="A590" s="58"/>
      <c r="B590" s="58"/>
      <c r="C590" s="58"/>
      <c r="D590" s="58"/>
      <c r="E590" s="58"/>
      <c r="F590" s="58"/>
      <c r="G590" s="58"/>
      <c r="H590" s="59"/>
      <c r="I590" s="59"/>
      <c r="J590" s="59"/>
      <c r="K590" s="59"/>
      <c r="L590" s="59"/>
      <c r="M590" s="60"/>
      <c r="N590" s="60"/>
      <c r="O590" s="60"/>
      <c r="P590" s="59"/>
      <c r="Q590" s="59"/>
      <c r="R590" s="60"/>
      <c r="S590" s="60"/>
      <c r="T590" s="60"/>
      <c r="U590" s="60"/>
      <c r="V590" s="60"/>
      <c r="W590" s="60"/>
    </row>
    <row r="591" spans="1:23" ht="13" x14ac:dyDescent="0.3">
      <c r="A591" s="58"/>
      <c r="B591" s="58"/>
      <c r="C591" s="58"/>
      <c r="D591" s="58"/>
      <c r="E591" s="58"/>
      <c r="F591" s="58"/>
      <c r="G591" s="58"/>
      <c r="H591" s="59"/>
      <c r="I591" s="59"/>
      <c r="J591" s="59"/>
      <c r="K591" s="59"/>
      <c r="L591" s="59"/>
      <c r="M591" s="60"/>
      <c r="N591" s="60"/>
      <c r="O591" s="60"/>
      <c r="P591" s="59"/>
      <c r="Q591" s="59"/>
      <c r="R591" s="60"/>
      <c r="S591" s="60"/>
      <c r="T591" s="60"/>
      <c r="U591" s="60"/>
      <c r="V591" s="60"/>
      <c r="W591" s="60"/>
    </row>
    <row r="592" spans="1:23" ht="13" x14ac:dyDescent="0.3">
      <c r="A592" s="58"/>
      <c r="B592" s="58"/>
      <c r="C592" s="58"/>
      <c r="D592" s="58"/>
      <c r="E592" s="58"/>
      <c r="F592" s="58"/>
      <c r="G592" s="58"/>
      <c r="H592" s="59"/>
      <c r="I592" s="59"/>
      <c r="J592" s="59"/>
      <c r="K592" s="59"/>
      <c r="L592" s="59"/>
      <c r="M592" s="60"/>
      <c r="N592" s="60"/>
      <c r="O592" s="60"/>
      <c r="P592" s="59"/>
      <c r="Q592" s="59"/>
      <c r="R592" s="60"/>
      <c r="S592" s="60"/>
      <c r="T592" s="60"/>
      <c r="U592" s="60"/>
      <c r="V592" s="60"/>
      <c r="W592" s="60"/>
    </row>
    <row r="593" spans="1:23" ht="13" x14ac:dyDescent="0.3">
      <c r="A593" s="58"/>
      <c r="B593" s="58"/>
      <c r="C593" s="58"/>
      <c r="D593" s="58"/>
      <c r="E593" s="58"/>
      <c r="F593" s="58"/>
      <c r="G593" s="58"/>
      <c r="H593" s="59"/>
      <c r="I593" s="59"/>
      <c r="J593" s="59"/>
      <c r="K593" s="59"/>
      <c r="L593" s="59"/>
      <c r="M593" s="60"/>
      <c r="N593" s="60"/>
      <c r="O593" s="60"/>
      <c r="P593" s="59"/>
      <c r="Q593" s="59"/>
      <c r="R593" s="60"/>
      <c r="S593" s="60"/>
      <c r="T593" s="60"/>
      <c r="U593" s="60"/>
      <c r="V593" s="60"/>
      <c r="W593" s="60"/>
    </row>
    <row r="594" spans="1:23" ht="13" x14ac:dyDescent="0.3">
      <c r="A594" s="58"/>
      <c r="B594" s="58"/>
      <c r="C594" s="58"/>
      <c r="D594" s="58"/>
      <c r="E594" s="58"/>
      <c r="F594" s="58"/>
      <c r="G594" s="58"/>
      <c r="H594" s="59"/>
      <c r="I594" s="59"/>
      <c r="J594" s="59"/>
      <c r="K594" s="59"/>
      <c r="L594" s="59"/>
      <c r="M594" s="60"/>
      <c r="N594" s="60"/>
      <c r="O594" s="60"/>
      <c r="P594" s="59"/>
      <c r="Q594" s="59"/>
      <c r="R594" s="60"/>
      <c r="S594" s="60"/>
      <c r="T594" s="60"/>
      <c r="U594" s="60"/>
      <c r="V594" s="60"/>
      <c r="W594" s="60"/>
    </row>
    <row r="595" spans="1:23" ht="13" x14ac:dyDescent="0.3">
      <c r="A595" s="58"/>
      <c r="B595" s="58"/>
      <c r="C595" s="58"/>
      <c r="D595" s="58"/>
      <c r="E595" s="58"/>
      <c r="F595" s="58"/>
      <c r="G595" s="58"/>
      <c r="H595" s="59"/>
      <c r="I595" s="59"/>
      <c r="J595" s="59"/>
      <c r="K595" s="59"/>
      <c r="L595" s="59"/>
      <c r="M595" s="60"/>
      <c r="N595" s="60"/>
      <c r="O595" s="60"/>
      <c r="P595" s="59"/>
      <c r="Q595" s="59"/>
      <c r="R595" s="60"/>
      <c r="S595" s="60"/>
      <c r="T595" s="60"/>
      <c r="U595" s="60"/>
      <c r="V595" s="60"/>
      <c r="W595" s="60"/>
    </row>
    <row r="596" spans="1:23" ht="13" x14ac:dyDescent="0.3">
      <c r="A596" s="58"/>
      <c r="B596" s="58"/>
      <c r="C596" s="58"/>
      <c r="D596" s="58"/>
      <c r="E596" s="58"/>
      <c r="F596" s="58"/>
      <c r="G596" s="58"/>
      <c r="H596" s="59"/>
      <c r="I596" s="59"/>
      <c r="J596" s="59"/>
      <c r="K596" s="59"/>
      <c r="L596" s="59"/>
      <c r="M596" s="60"/>
      <c r="N596" s="60"/>
      <c r="O596" s="60"/>
      <c r="P596" s="59"/>
      <c r="Q596" s="59"/>
      <c r="R596" s="60"/>
      <c r="S596" s="60"/>
      <c r="T596" s="60"/>
      <c r="U596" s="60"/>
      <c r="V596" s="60"/>
      <c r="W596" s="60"/>
    </row>
    <row r="597" spans="1:23" ht="13" x14ac:dyDescent="0.3">
      <c r="A597" s="58"/>
      <c r="B597" s="58"/>
      <c r="C597" s="58"/>
      <c r="D597" s="58"/>
      <c r="E597" s="58"/>
      <c r="F597" s="58"/>
      <c r="G597" s="58"/>
      <c r="H597" s="59"/>
      <c r="I597" s="59"/>
      <c r="J597" s="59"/>
      <c r="K597" s="59"/>
      <c r="L597" s="59"/>
      <c r="M597" s="60"/>
      <c r="N597" s="60"/>
      <c r="O597" s="60"/>
      <c r="P597" s="59"/>
      <c r="Q597" s="59"/>
      <c r="R597" s="60"/>
      <c r="S597" s="60"/>
      <c r="T597" s="60"/>
      <c r="U597" s="60"/>
      <c r="V597" s="60"/>
      <c r="W597" s="60"/>
    </row>
    <row r="598" spans="1:23" ht="13" x14ac:dyDescent="0.3">
      <c r="A598" s="58"/>
      <c r="B598" s="58"/>
      <c r="C598" s="58"/>
      <c r="D598" s="58"/>
      <c r="E598" s="58"/>
      <c r="F598" s="58"/>
      <c r="G598" s="58"/>
      <c r="H598" s="59"/>
      <c r="I598" s="59"/>
      <c r="J598" s="59"/>
      <c r="K598" s="59"/>
      <c r="L598" s="59"/>
      <c r="M598" s="60"/>
      <c r="N598" s="60"/>
      <c r="O598" s="60"/>
      <c r="P598" s="59"/>
      <c r="Q598" s="59"/>
      <c r="R598" s="60"/>
      <c r="S598" s="60"/>
      <c r="T598" s="60"/>
      <c r="U598" s="60"/>
      <c r="V598" s="60"/>
      <c r="W598" s="60"/>
    </row>
    <row r="599" spans="1:23" ht="13" x14ac:dyDescent="0.3">
      <c r="A599" s="58"/>
      <c r="B599" s="58"/>
      <c r="C599" s="58"/>
      <c r="D599" s="58"/>
      <c r="E599" s="58"/>
      <c r="F599" s="58"/>
      <c r="G599" s="58"/>
      <c r="H599" s="59"/>
      <c r="I599" s="59"/>
      <c r="J599" s="59"/>
      <c r="K599" s="59"/>
      <c r="L599" s="59"/>
      <c r="M599" s="60"/>
      <c r="N599" s="60"/>
      <c r="O599" s="60"/>
      <c r="P599" s="59"/>
      <c r="Q599" s="59"/>
      <c r="R599" s="60"/>
      <c r="S599" s="60"/>
      <c r="T599" s="60"/>
      <c r="U599" s="60"/>
      <c r="V599" s="60"/>
      <c r="W599" s="60"/>
    </row>
    <row r="600" spans="1:23" ht="13" x14ac:dyDescent="0.3">
      <c r="A600" s="58"/>
      <c r="B600" s="58"/>
      <c r="C600" s="58"/>
      <c r="D600" s="58"/>
      <c r="E600" s="58"/>
      <c r="F600" s="58"/>
      <c r="G600" s="58"/>
      <c r="H600" s="59"/>
      <c r="I600" s="59"/>
      <c r="J600" s="59"/>
      <c r="K600" s="59"/>
      <c r="L600" s="59"/>
      <c r="M600" s="60"/>
      <c r="N600" s="60"/>
      <c r="O600" s="60"/>
      <c r="P600" s="59"/>
      <c r="Q600" s="59"/>
      <c r="R600" s="60"/>
      <c r="S600" s="60"/>
      <c r="T600" s="60"/>
      <c r="U600" s="60"/>
      <c r="V600" s="60"/>
      <c r="W600" s="60"/>
    </row>
    <row r="601" spans="1:23" ht="13" x14ac:dyDescent="0.3">
      <c r="A601" s="58"/>
      <c r="B601" s="58"/>
      <c r="C601" s="58"/>
      <c r="D601" s="58"/>
      <c r="E601" s="58"/>
      <c r="F601" s="58"/>
      <c r="G601" s="58"/>
      <c r="H601" s="59"/>
      <c r="I601" s="59"/>
      <c r="J601" s="59"/>
      <c r="K601" s="59"/>
      <c r="L601" s="59"/>
      <c r="M601" s="60"/>
      <c r="N601" s="60"/>
      <c r="O601" s="60"/>
      <c r="P601" s="59"/>
      <c r="Q601" s="59"/>
      <c r="R601" s="60"/>
      <c r="S601" s="60"/>
      <c r="T601" s="60"/>
      <c r="U601" s="60"/>
      <c r="V601" s="60"/>
      <c r="W601" s="60"/>
    </row>
    <row r="602" spans="1:23" ht="13" x14ac:dyDescent="0.3">
      <c r="A602" s="58"/>
      <c r="B602" s="58"/>
      <c r="C602" s="58"/>
      <c r="D602" s="58"/>
      <c r="E602" s="58"/>
      <c r="F602" s="58"/>
      <c r="G602" s="58"/>
      <c r="H602" s="59"/>
      <c r="I602" s="59"/>
      <c r="J602" s="59"/>
      <c r="K602" s="59"/>
      <c r="L602" s="59"/>
      <c r="M602" s="60"/>
      <c r="N602" s="60"/>
      <c r="O602" s="60"/>
      <c r="P602" s="59"/>
      <c r="Q602" s="59"/>
      <c r="R602" s="60"/>
      <c r="S602" s="60"/>
      <c r="T602" s="60"/>
      <c r="U602" s="60"/>
      <c r="V602" s="60"/>
      <c r="W602" s="60"/>
    </row>
    <row r="603" spans="1:23" ht="13" x14ac:dyDescent="0.3">
      <c r="A603" s="58"/>
      <c r="B603" s="58"/>
      <c r="C603" s="58"/>
      <c r="D603" s="58"/>
      <c r="E603" s="58"/>
      <c r="F603" s="58"/>
      <c r="G603" s="58"/>
      <c r="H603" s="59"/>
      <c r="I603" s="59"/>
      <c r="J603" s="59"/>
      <c r="K603" s="59"/>
      <c r="L603" s="59"/>
      <c r="M603" s="60"/>
      <c r="N603" s="60"/>
      <c r="O603" s="60"/>
      <c r="P603" s="59"/>
      <c r="Q603" s="59"/>
      <c r="R603" s="60"/>
      <c r="S603" s="60"/>
      <c r="T603" s="60"/>
      <c r="U603" s="60"/>
      <c r="V603" s="60"/>
      <c r="W603" s="60"/>
    </row>
    <row r="604" spans="1:23" ht="13" x14ac:dyDescent="0.3">
      <c r="A604" s="58"/>
      <c r="B604" s="58"/>
      <c r="C604" s="58"/>
      <c r="D604" s="58"/>
      <c r="E604" s="58"/>
      <c r="F604" s="58"/>
      <c r="G604" s="58"/>
      <c r="H604" s="59"/>
      <c r="I604" s="59"/>
      <c r="J604" s="59"/>
      <c r="K604" s="59"/>
      <c r="L604" s="59"/>
      <c r="M604" s="60"/>
      <c r="N604" s="60"/>
      <c r="O604" s="60"/>
      <c r="P604" s="59"/>
      <c r="Q604" s="59"/>
      <c r="R604" s="60"/>
      <c r="S604" s="60"/>
      <c r="T604" s="60"/>
      <c r="U604" s="60"/>
      <c r="V604" s="60"/>
      <c r="W604" s="60"/>
    </row>
    <row r="605" spans="1:23" ht="13" x14ac:dyDescent="0.3">
      <c r="A605" s="58"/>
      <c r="B605" s="58"/>
      <c r="C605" s="58"/>
      <c r="D605" s="58"/>
      <c r="E605" s="58"/>
      <c r="F605" s="58"/>
      <c r="G605" s="58"/>
      <c r="H605" s="59"/>
      <c r="I605" s="59"/>
      <c r="J605" s="59"/>
      <c r="K605" s="59"/>
      <c r="L605" s="59"/>
      <c r="M605" s="60"/>
      <c r="N605" s="60"/>
      <c r="O605" s="60"/>
      <c r="P605" s="59"/>
      <c r="Q605" s="59"/>
      <c r="R605" s="60"/>
      <c r="S605" s="60"/>
      <c r="T605" s="60"/>
      <c r="U605" s="60"/>
      <c r="V605" s="60"/>
      <c r="W605" s="60"/>
    </row>
    <row r="606" spans="1:23" ht="13" x14ac:dyDescent="0.3">
      <c r="A606" s="58"/>
      <c r="B606" s="58"/>
      <c r="C606" s="58"/>
      <c r="D606" s="58"/>
      <c r="E606" s="58"/>
      <c r="F606" s="58"/>
      <c r="G606" s="58"/>
      <c r="H606" s="59"/>
      <c r="I606" s="59"/>
      <c r="J606" s="59"/>
      <c r="K606" s="59"/>
      <c r="L606" s="59"/>
      <c r="M606" s="60"/>
      <c r="N606" s="60"/>
      <c r="O606" s="60"/>
      <c r="P606" s="59"/>
      <c r="Q606" s="59"/>
      <c r="R606" s="60"/>
      <c r="S606" s="60"/>
      <c r="T606" s="60"/>
      <c r="U606" s="60"/>
      <c r="V606" s="60"/>
      <c r="W606" s="60"/>
    </row>
    <row r="607" spans="1:23" ht="13" x14ac:dyDescent="0.3">
      <c r="A607" s="58"/>
      <c r="B607" s="58"/>
      <c r="C607" s="58"/>
      <c r="D607" s="58"/>
      <c r="E607" s="58"/>
      <c r="F607" s="58"/>
      <c r="G607" s="58"/>
      <c r="H607" s="59"/>
      <c r="I607" s="59"/>
      <c r="J607" s="59"/>
      <c r="K607" s="59"/>
      <c r="L607" s="59"/>
      <c r="M607" s="60"/>
      <c r="N607" s="60"/>
      <c r="O607" s="60"/>
      <c r="P607" s="59"/>
      <c r="Q607" s="59"/>
      <c r="R607" s="60"/>
      <c r="S607" s="60"/>
      <c r="T607" s="60"/>
      <c r="U607" s="60"/>
      <c r="V607" s="60"/>
      <c r="W607" s="60"/>
    </row>
    <row r="608" spans="1:23" ht="13" x14ac:dyDescent="0.3">
      <c r="A608" s="58"/>
      <c r="B608" s="58"/>
      <c r="C608" s="58"/>
      <c r="D608" s="58"/>
      <c r="E608" s="58"/>
      <c r="F608" s="58"/>
      <c r="G608" s="58"/>
      <c r="H608" s="59"/>
      <c r="I608" s="59"/>
      <c r="J608" s="59"/>
      <c r="K608" s="59"/>
      <c r="L608" s="59"/>
      <c r="M608" s="60"/>
      <c r="N608" s="60"/>
      <c r="O608" s="60"/>
      <c r="P608" s="59"/>
      <c r="Q608" s="59"/>
      <c r="R608" s="60"/>
      <c r="S608" s="60"/>
      <c r="T608" s="60"/>
      <c r="U608" s="60"/>
      <c r="V608" s="60"/>
      <c r="W608" s="60"/>
    </row>
    <row r="609" spans="1:23" ht="13" x14ac:dyDescent="0.3">
      <c r="A609" s="58"/>
      <c r="B609" s="58"/>
      <c r="C609" s="58"/>
      <c r="D609" s="58"/>
      <c r="E609" s="58"/>
      <c r="F609" s="58"/>
      <c r="G609" s="58"/>
      <c r="H609" s="59"/>
      <c r="I609" s="59"/>
      <c r="J609" s="59"/>
      <c r="K609" s="59"/>
      <c r="L609" s="59"/>
      <c r="M609" s="60"/>
      <c r="N609" s="60"/>
      <c r="O609" s="60"/>
      <c r="P609" s="59"/>
      <c r="Q609" s="59"/>
      <c r="R609" s="60"/>
      <c r="S609" s="60"/>
      <c r="T609" s="60"/>
      <c r="U609" s="60"/>
      <c r="V609" s="60"/>
      <c r="W609" s="60"/>
    </row>
    <row r="610" spans="1:23" ht="13" x14ac:dyDescent="0.3">
      <c r="A610" s="58"/>
      <c r="B610" s="58"/>
      <c r="C610" s="58"/>
      <c r="D610" s="58"/>
      <c r="E610" s="58"/>
      <c r="F610" s="58"/>
      <c r="G610" s="58"/>
      <c r="H610" s="59"/>
      <c r="I610" s="59"/>
      <c r="J610" s="59"/>
      <c r="K610" s="59"/>
      <c r="L610" s="59"/>
      <c r="M610" s="60"/>
      <c r="N610" s="60"/>
      <c r="O610" s="60"/>
      <c r="P610" s="59"/>
      <c r="Q610" s="59"/>
      <c r="R610" s="60"/>
      <c r="S610" s="60"/>
      <c r="T610" s="60"/>
      <c r="U610" s="60"/>
      <c r="V610" s="60"/>
      <c r="W610" s="60"/>
    </row>
    <row r="611" spans="1:23" ht="13" x14ac:dyDescent="0.3">
      <c r="A611" s="58"/>
      <c r="B611" s="58"/>
      <c r="C611" s="58"/>
      <c r="D611" s="58"/>
      <c r="E611" s="58"/>
      <c r="F611" s="58"/>
      <c r="G611" s="58"/>
      <c r="H611" s="59"/>
      <c r="I611" s="59"/>
      <c r="J611" s="59"/>
      <c r="K611" s="59"/>
      <c r="L611" s="59"/>
      <c r="M611" s="60"/>
      <c r="N611" s="60"/>
      <c r="O611" s="60"/>
      <c r="P611" s="59"/>
      <c r="Q611" s="59"/>
      <c r="R611" s="60"/>
      <c r="S611" s="60"/>
      <c r="T611" s="60"/>
      <c r="U611" s="60"/>
      <c r="V611" s="60"/>
      <c r="W611" s="60"/>
    </row>
    <row r="612" spans="1:23" ht="13" x14ac:dyDescent="0.3">
      <c r="A612" s="58"/>
      <c r="B612" s="58"/>
      <c r="C612" s="58"/>
      <c r="D612" s="58"/>
      <c r="E612" s="58"/>
      <c r="F612" s="58"/>
      <c r="G612" s="58"/>
      <c r="H612" s="59"/>
      <c r="I612" s="59"/>
      <c r="J612" s="59"/>
      <c r="K612" s="59"/>
      <c r="L612" s="59"/>
      <c r="M612" s="60"/>
      <c r="N612" s="60"/>
      <c r="O612" s="60"/>
      <c r="P612" s="59"/>
      <c r="Q612" s="59"/>
      <c r="R612" s="60"/>
      <c r="S612" s="60"/>
      <c r="T612" s="60"/>
      <c r="U612" s="60"/>
      <c r="V612" s="60"/>
      <c r="W612" s="60"/>
    </row>
    <row r="613" spans="1:23" ht="13" x14ac:dyDescent="0.3">
      <c r="A613" s="58"/>
      <c r="B613" s="58"/>
      <c r="C613" s="58"/>
      <c r="D613" s="58"/>
      <c r="E613" s="58"/>
      <c r="F613" s="58"/>
      <c r="G613" s="58"/>
      <c r="H613" s="59"/>
      <c r="I613" s="59"/>
      <c r="J613" s="59"/>
      <c r="K613" s="59"/>
      <c r="L613" s="59"/>
      <c r="M613" s="60"/>
      <c r="N613" s="60"/>
      <c r="O613" s="60"/>
      <c r="P613" s="59"/>
      <c r="Q613" s="59"/>
      <c r="R613" s="60"/>
      <c r="S613" s="60"/>
      <c r="T613" s="60"/>
      <c r="U613" s="60"/>
      <c r="V613" s="60"/>
      <c r="W613" s="60"/>
    </row>
    <row r="614" spans="1:23" ht="13" x14ac:dyDescent="0.3">
      <c r="A614" s="58"/>
      <c r="B614" s="58"/>
      <c r="C614" s="58"/>
      <c r="D614" s="58"/>
      <c r="E614" s="58"/>
      <c r="F614" s="58"/>
      <c r="G614" s="58"/>
      <c r="H614" s="59"/>
      <c r="I614" s="59"/>
      <c r="J614" s="59"/>
      <c r="K614" s="59"/>
      <c r="L614" s="59"/>
      <c r="M614" s="60"/>
      <c r="N614" s="60"/>
      <c r="O614" s="60"/>
      <c r="P614" s="59"/>
      <c r="Q614" s="59"/>
      <c r="R614" s="60"/>
      <c r="S614" s="60"/>
      <c r="T614" s="60"/>
      <c r="U614" s="60"/>
      <c r="V614" s="60"/>
      <c r="W614" s="60"/>
    </row>
    <row r="615" spans="1:23" ht="13" x14ac:dyDescent="0.3">
      <c r="A615" s="58"/>
      <c r="B615" s="58"/>
      <c r="C615" s="58"/>
      <c r="D615" s="58"/>
      <c r="E615" s="58"/>
      <c r="F615" s="58"/>
      <c r="G615" s="58"/>
      <c r="H615" s="59"/>
      <c r="I615" s="59"/>
      <c r="J615" s="59"/>
      <c r="K615" s="59"/>
      <c r="L615" s="59"/>
      <c r="M615" s="60"/>
      <c r="N615" s="60"/>
      <c r="O615" s="60"/>
      <c r="P615" s="59"/>
      <c r="Q615" s="59"/>
      <c r="R615" s="60"/>
      <c r="S615" s="60"/>
      <c r="T615" s="60"/>
      <c r="U615" s="60"/>
      <c r="V615" s="60"/>
      <c r="W615" s="60"/>
    </row>
    <row r="616" spans="1:23" ht="13" x14ac:dyDescent="0.3">
      <c r="A616" s="58"/>
      <c r="B616" s="58"/>
      <c r="C616" s="58"/>
      <c r="D616" s="58"/>
      <c r="E616" s="58"/>
      <c r="F616" s="58"/>
      <c r="G616" s="58"/>
      <c r="H616" s="59"/>
      <c r="I616" s="59"/>
      <c r="J616" s="59"/>
      <c r="K616" s="59"/>
      <c r="L616" s="59"/>
      <c r="M616" s="60"/>
      <c r="N616" s="60"/>
      <c r="O616" s="60"/>
      <c r="P616" s="59"/>
      <c r="Q616" s="59"/>
      <c r="R616" s="60"/>
      <c r="S616" s="60"/>
      <c r="T616" s="60"/>
      <c r="U616" s="60"/>
      <c r="V616" s="60"/>
      <c r="W616" s="60"/>
    </row>
    <row r="617" spans="1:23" ht="13" x14ac:dyDescent="0.3">
      <c r="A617" s="58"/>
      <c r="B617" s="58"/>
      <c r="C617" s="58"/>
      <c r="D617" s="58"/>
      <c r="E617" s="58"/>
      <c r="F617" s="58"/>
      <c r="G617" s="58"/>
      <c r="H617" s="59"/>
      <c r="I617" s="59"/>
      <c r="J617" s="59"/>
      <c r="K617" s="59"/>
      <c r="L617" s="59"/>
      <c r="M617" s="60"/>
      <c r="N617" s="60"/>
      <c r="O617" s="60"/>
      <c r="P617" s="59"/>
      <c r="Q617" s="59"/>
      <c r="R617" s="60"/>
      <c r="S617" s="60"/>
      <c r="T617" s="60"/>
      <c r="U617" s="60"/>
      <c r="V617" s="60"/>
      <c r="W617" s="60"/>
    </row>
    <row r="618" spans="1:23" ht="13" x14ac:dyDescent="0.3">
      <c r="A618" s="58"/>
      <c r="B618" s="58"/>
      <c r="C618" s="58"/>
      <c r="D618" s="58"/>
      <c r="E618" s="58"/>
      <c r="F618" s="58"/>
      <c r="G618" s="58"/>
      <c r="H618" s="59"/>
      <c r="I618" s="59"/>
      <c r="J618" s="59"/>
      <c r="K618" s="59"/>
      <c r="L618" s="59"/>
      <c r="M618" s="60"/>
      <c r="N618" s="60"/>
      <c r="O618" s="60"/>
      <c r="P618" s="59"/>
      <c r="Q618" s="59"/>
      <c r="R618" s="60"/>
      <c r="S618" s="60"/>
      <c r="T618" s="60"/>
      <c r="U618" s="60"/>
      <c r="V618" s="60"/>
      <c r="W618" s="60"/>
    </row>
    <row r="619" spans="1:23" ht="13" x14ac:dyDescent="0.3">
      <c r="A619" s="58"/>
      <c r="B619" s="58"/>
      <c r="C619" s="58"/>
      <c r="D619" s="58"/>
      <c r="E619" s="58"/>
      <c r="F619" s="58"/>
      <c r="G619" s="58"/>
      <c r="H619" s="59"/>
      <c r="I619" s="59"/>
      <c r="J619" s="59"/>
      <c r="K619" s="59"/>
      <c r="L619" s="59"/>
      <c r="M619" s="60"/>
      <c r="N619" s="60"/>
      <c r="O619" s="60"/>
      <c r="P619" s="59"/>
      <c r="Q619" s="59"/>
      <c r="R619" s="60"/>
      <c r="S619" s="60"/>
      <c r="T619" s="60"/>
      <c r="U619" s="60"/>
      <c r="V619" s="60"/>
      <c r="W619" s="60"/>
    </row>
    <row r="620" spans="1:23" ht="13" x14ac:dyDescent="0.3">
      <c r="A620" s="58"/>
      <c r="B620" s="58"/>
      <c r="C620" s="58"/>
      <c r="D620" s="58"/>
      <c r="E620" s="58"/>
      <c r="F620" s="58"/>
      <c r="G620" s="58"/>
      <c r="H620" s="59"/>
      <c r="I620" s="59"/>
      <c r="J620" s="59"/>
      <c r="K620" s="59"/>
      <c r="L620" s="59"/>
      <c r="M620" s="60"/>
      <c r="N620" s="60"/>
      <c r="O620" s="60"/>
      <c r="P620" s="59"/>
      <c r="Q620" s="59"/>
      <c r="R620" s="60"/>
      <c r="S620" s="60"/>
      <c r="T620" s="60"/>
      <c r="U620" s="60"/>
      <c r="V620" s="60"/>
      <c r="W620" s="60"/>
    </row>
    <row r="621" spans="1:23" ht="13" x14ac:dyDescent="0.3">
      <c r="A621" s="58"/>
      <c r="B621" s="58"/>
      <c r="C621" s="58"/>
      <c r="D621" s="58"/>
      <c r="E621" s="58"/>
      <c r="F621" s="58"/>
      <c r="G621" s="58"/>
      <c r="H621" s="59"/>
      <c r="I621" s="59"/>
      <c r="J621" s="59"/>
      <c r="K621" s="59"/>
      <c r="L621" s="59"/>
      <c r="M621" s="60"/>
      <c r="N621" s="60"/>
      <c r="O621" s="60"/>
      <c r="P621" s="59"/>
      <c r="Q621" s="59"/>
      <c r="R621" s="60"/>
      <c r="S621" s="60"/>
      <c r="T621" s="60"/>
      <c r="U621" s="60"/>
      <c r="V621" s="60"/>
      <c r="W621" s="60"/>
    </row>
    <row r="622" spans="1:23" ht="13" x14ac:dyDescent="0.3">
      <c r="A622" s="58"/>
      <c r="B622" s="58"/>
      <c r="C622" s="58"/>
      <c r="D622" s="58"/>
      <c r="E622" s="58"/>
      <c r="F622" s="58"/>
      <c r="G622" s="58"/>
      <c r="H622" s="59"/>
      <c r="I622" s="59"/>
      <c r="J622" s="59"/>
      <c r="K622" s="59"/>
      <c r="L622" s="59"/>
      <c r="M622" s="60"/>
      <c r="N622" s="60"/>
      <c r="O622" s="60"/>
      <c r="P622" s="59"/>
      <c r="Q622" s="59"/>
      <c r="R622" s="60"/>
      <c r="S622" s="60"/>
      <c r="T622" s="60"/>
      <c r="U622" s="60"/>
      <c r="V622" s="60"/>
      <c r="W622" s="60"/>
    </row>
    <row r="623" spans="1:23" ht="13" x14ac:dyDescent="0.3">
      <c r="A623" s="58"/>
      <c r="B623" s="58"/>
      <c r="C623" s="58"/>
      <c r="D623" s="58"/>
      <c r="E623" s="58"/>
      <c r="F623" s="58"/>
      <c r="G623" s="58"/>
      <c r="H623" s="59"/>
      <c r="I623" s="59"/>
      <c r="J623" s="59"/>
      <c r="K623" s="59"/>
      <c r="L623" s="59"/>
      <c r="M623" s="60"/>
      <c r="N623" s="60"/>
      <c r="O623" s="60"/>
      <c r="P623" s="59"/>
      <c r="Q623" s="59"/>
      <c r="R623" s="60"/>
      <c r="S623" s="60"/>
      <c r="T623" s="60"/>
      <c r="U623" s="60"/>
      <c r="V623" s="60"/>
      <c r="W623" s="60"/>
    </row>
    <row r="624" spans="1:23" ht="13" x14ac:dyDescent="0.3">
      <c r="A624" s="58"/>
      <c r="B624" s="58"/>
      <c r="C624" s="58"/>
      <c r="D624" s="58"/>
      <c r="E624" s="58"/>
      <c r="F624" s="58"/>
      <c r="G624" s="58"/>
      <c r="H624" s="59"/>
      <c r="I624" s="59"/>
      <c r="J624" s="59"/>
      <c r="K624" s="59"/>
      <c r="L624" s="59"/>
      <c r="M624" s="60"/>
      <c r="N624" s="60"/>
      <c r="O624" s="60"/>
      <c r="P624" s="59"/>
      <c r="Q624" s="59"/>
      <c r="R624" s="60"/>
      <c r="S624" s="60"/>
      <c r="T624" s="60"/>
      <c r="U624" s="60"/>
      <c r="V624" s="60"/>
      <c r="W624" s="60"/>
    </row>
    <row r="625" spans="1:23" ht="13" x14ac:dyDescent="0.3">
      <c r="A625" s="58"/>
      <c r="B625" s="58"/>
      <c r="C625" s="58"/>
      <c r="D625" s="58"/>
      <c r="E625" s="58"/>
      <c r="F625" s="58"/>
      <c r="G625" s="58"/>
      <c r="H625" s="59"/>
      <c r="I625" s="59"/>
      <c r="J625" s="59"/>
      <c r="K625" s="59"/>
      <c r="L625" s="59"/>
      <c r="M625" s="60"/>
      <c r="N625" s="60"/>
      <c r="O625" s="60"/>
      <c r="P625" s="59"/>
      <c r="Q625" s="59"/>
      <c r="R625" s="60"/>
      <c r="S625" s="60"/>
      <c r="T625" s="60"/>
      <c r="U625" s="60"/>
      <c r="V625" s="60"/>
      <c r="W625" s="60"/>
    </row>
    <row r="626" spans="1:23" ht="13" x14ac:dyDescent="0.3">
      <c r="A626" s="58"/>
      <c r="B626" s="58"/>
      <c r="C626" s="58"/>
      <c r="D626" s="58"/>
      <c r="E626" s="58"/>
      <c r="F626" s="58"/>
      <c r="G626" s="58"/>
      <c r="H626" s="59"/>
      <c r="I626" s="59"/>
      <c r="J626" s="59"/>
      <c r="K626" s="59"/>
      <c r="L626" s="59"/>
      <c r="M626" s="60"/>
      <c r="N626" s="60"/>
      <c r="O626" s="60"/>
      <c r="P626" s="59"/>
      <c r="Q626" s="59"/>
      <c r="R626" s="60"/>
      <c r="S626" s="60"/>
      <c r="T626" s="60"/>
      <c r="U626" s="60"/>
      <c r="V626" s="60"/>
      <c r="W626" s="60"/>
    </row>
    <row r="627" spans="1:23" ht="13" x14ac:dyDescent="0.3">
      <c r="A627" s="58"/>
      <c r="B627" s="58"/>
      <c r="C627" s="58"/>
      <c r="D627" s="58"/>
      <c r="E627" s="58"/>
      <c r="F627" s="58"/>
      <c r="G627" s="58"/>
      <c r="H627" s="59"/>
      <c r="I627" s="59"/>
      <c r="J627" s="59"/>
      <c r="K627" s="59"/>
      <c r="L627" s="59"/>
      <c r="M627" s="60"/>
      <c r="N627" s="60"/>
      <c r="O627" s="60"/>
      <c r="P627" s="59"/>
      <c r="Q627" s="59"/>
      <c r="R627" s="60"/>
      <c r="S627" s="60"/>
      <c r="T627" s="60"/>
      <c r="U627" s="60"/>
      <c r="V627" s="60"/>
      <c r="W627" s="60"/>
    </row>
    <row r="628" spans="1:23" ht="13" x14ac:dyDescent="0.3">
      <c r="A628" s="58"/>
      <c r="B628" s="58"/>
      <c r="C628" s="58"/>
      <c r="D628" s="58"/>
      <c r="E628" s="58"/>
      <c r="F628" s="58"/>
      <c r="G628" s="58"/>
      <c r="H628" s="59"/>
      <c r="I628" s="59"/>
      <c r="J628" s="59"/>
      <c r="K628" s="59"/>
      <c r="L628" s="59"/>
      <c r="M628" s="60"/>
      <c r="N628" s="60"/>
      <c r="O628" s="60"/>
      <c r="P628" s="59"/>
      <c r="Q628" s="59"/>
      <c r="R628" s="60"/>
      <c r="S628" s="60"/>
      <c r="T628" s="60"/>
      <c r="U628" s="60"/>
      <c r="V628" s="60"/>
      <c r="W628" s="60"/>
    </row>
    <row r="629" spans="1:23" ht="13" x14ac:dyDescent="0.3">
      <c r="A629" s="58"/>
      <c r="B629" s="58"/>
      <c r="C629" s="58"/>
      <c r="D629" s="58"/>
      <c r="E629" s="58"/>
      <c r="F629" s="58"/>
      <c r="G629" s="58"/>
      <c r="H629" s="59"/>
      <c r="I629" s="59"/>
      <c r="J629" s="59"/>
      <c r="K629" s="59"/>
      <c r="L629" s="59"/>
      <c r="M629" s="60"/>
      <c r="N629" s="60"/>
      <c r="O629" s="60"/>
      <c r="P629" s="59"/>
      <c r="Q629" s="59"/>
      <c r="R629" s="60"/>
      <c r="S629" s="60"/>
      <c r="T629" s="60"/>
      <c r="U629" s="60"/>
      <c r="V629" s="60"/>
      <c r="W629" s="60"/>
    </row>
    <row r="630" spans="1:23" ht="13" x14ac:dyDescent="0.3">
      <c r="A630" s="58"/>
      <c r="B630" s="58"/>
      <c r="C630" s="58"/>
      <c r="D630" s="58"/>
      <c r="E630" s="58"/>
      <c r="F630" s="58"/>
      <c r="G630" s="58"/>
      <c r="H630" s="59"/>
      <c r="I630" s="59"/>
      <c r="J630" s="59"/>
      <c r="K630" s="59"/>
      <c r="L630" s="59"/>
      <c r="M630" s="60"/>
      <c r="N630" s="60"/>
      <c r="O630" s="60"/>
      <c r="P630" s="59"/>
      <c r="Q630" s="59"/>
      <c r="R630" s="60"/>
      <c r="S630" s="60"/>
      <c r="T630" s="60"/>
      <c r="U630" s="60"/>
      <c r="V630" s="60"/>
      <c r="W630" s="60"/>
    </row>
    <row r="631" spans="1:23" ht="13" x14ac:dyDescent="0.3">
      <c r="A631" s="58"/>
      <c r="B631" s="58"/>
      <c r="C631" s="58"/>
      <c r="D631" s="58"/>
      <c r="E631" s="58"/>
      <c r="F631" s="58"/>
      <c r="G631" s="58"/>
      <c r="H631" s="59"/>
      <c r="I631" s="59"/>
      <c r="J631" s="59"/>
      <c r="K631" s="59"/>
      <c r="L631" s="59"/>
      <c r="M631" s="60"/>
      <c r="N631" s="60"/>
      <c r="O631" s="60"/>
      <c r="P631" s="59"/>
      <c r="Q631" s="59"/>
      <c r="R631" s="60"/>
      <c r="S631" s="60"/>
      <c r="T631" s="60"/>
      <c r="U631" s="60"/>
      <c r="V631" s="60"/>
      <c r="W631" s="60"/>
    </row>
    <row r="632" spans="1:23" ht="13" x14ac:dyDescent="0.3">
      <c r="A632" s="58"/>
      <c r="B632" s="58"/>
      <c r="C632" s="58"/>
      <c r="D632" s="58"/>
      <c r="E632" s="58"/>
      <c r="F632" s="58"/>
      <c r="G632" s="58"/>
      <c r="H632" s="59"/>
      <c r="I632" s="59"/>
      <c r="J632" s="59"/>
      <c r="K632" s="59"/>
      <c r="L632" s="59"/>
      <c r="M632" s="60"/>
      <c r="N632" s="60"/>
      <c r="O632" s="60"/>
      <c r="P632" s="59"/>
      <c r="Q632" s="59"/>
      <c r="R632" s="60"/>
      <c r="S632" s="60"/>
      <c r="T632" s="60"/>
      <c r="U632" s="60"/>
      <c r="V632" s="60"/>
      <c r="W632" s="60"/>
    </row>
    <row r="633" spans="1:23" ht="13" x14ac:dyDescent="0.3">
      <c r="A633" s="58"/>
      <c r="B633" s="58"/>
      <c r="C633" s="58"/>
      <c r="D633" s="58"/>
      <c r="E633" s="58"/>
      <c r="F633" s="58"/>
      <c r="G633" s="58"/>
      <c r="H633" s="59"/>
      <c r="I633" s="59"/>
      <c r="J633" s="59"/>
      <c r="K633" s="59"/>
      <c r="L633" s="59"/>
      <c r="M633" s="60"/>
      <c r="N633" s="60"/>
      <c r="O633" s="60"/>
      <c r="P633" s="59"/>
      <c r="Q633" s="59"/>
      <c r="R633" s="60"/>
      <c r="S633" s="60"/>
      <c r="T633" s="60"/>
      <c r="U633" s="60"/>
      <c r="V633" s="60"/>
      <c r="W633" s="60"/>
    </row>
    <row r="634" spans="1:23" ht="13" x14ac:dyDescent="0.3">
      <c r="A634" s="58"/>
      <c r="B634" s="58"/>
      <c r="C634" s="58"/>
      <c r="D634" s="58"/>
      <c r="E634" s="58"/>
      <c r="F634" s="58"/>
      <c r="G634" s="58"/>
      <c r="H634" s="59"/>
      <c r="I634" s="59"/>
      <c r="J634" s="59"/>
      <c r="K634" s="59"/>
      <c r="L634" s="59"/>
      <c r="M634" s="60"/>
      <c r="N634" s="60"/>
      <c r="O634" s="60"/>
      <c r="P634" s="59"/>
      <c r="Q634" s="59"/>
      <c r="R634" s="60"/>
      <c r="S634" s="60"/>
      <c r="T634" s="60"/>
      <c r="U634" s="60"/>
      <c r="V634" s="60"/>
      <c r="W634" s="60"/>
    </row>
    <row r="635" spans="1:23" ht="13" x14ac:dyDescent="0.3">
      <c r="A635" s="58"/>
      <c r="B635" s="58"/>
      <c r="C635" s="58"/>
      <c r="D635" s="58"/>
      <c r="E635" s="58"/>
      <c r="F635" s="58"/>
      <c r="G635" s="58"/>
      <c r="H635" s="59"/>
      <c r="I635" s="59"/>
      <c r="J635" s="59"/>
      <c r="K635" s="59"/>
      <c r="L635" s="59"/>
      <c r="M635" s="60"/>
      <c r="N635" s="60"/>
      <c r="O635" s="60"/>
      <c r="P635" s="59"/>
      <c r="Q635" s="59"/>
      <c r="R635" s="60"/>
      <c r="S635" s="60"/>
      <c r="T635" s="60"/>
      <c r="U635" s="60"/>
      <c r="V635" s="60"/>
      <c r="W635" s="60"/>
    </row>
    <row r="636" spans="1:23" ht="13" x14ac:dyDescent="0.3">
      <c r="A636" s="58"/>
      <c r="B636" s="58"/>
      <c r="C636" s="58"/>
      <c r="D636" s="58"/>
      <c r="E636" s="58"/>
      <c r="F636" s="58"/>
      <c r="G636" s="58"/>
      <c r="H636" s="59"/>
      <c r="I636" s="59"/>
      <c r="J636" s="59"/>
      <c r="K636" s="59"/>
      <c r="L636" s="59"/>
      <c r="M636" s="60"/>
      <c r="N636" s="60"/>
      <c r="O636" s="60"/>
      <c r="P636" s="59"/>
      <c r="Q636" s="59"/>
      <c r="R636" s="60"/>
      <c r="S636" s="60"/>
      <c r="T636" s="60"/>
      <c r="U636" s="60"/>
      <c r="V636" s="60"/>
      <c r="W636" s="60"/>
    </row>
    <row r="637" spans="1:23" ht="13" x14ac:dyDescent="0.3">
      <c r="A637" s="58"/>
      <c r="B637" s="58"/>
      <c r="C637" s="58"/>
      <c r="D637" s="58"/>
      <c r="E637" s="58"/>
      <c r="F637" s="58"/>
      <c r="G637" s="58"/>
      <c r="H637" s="59"/>
      <c r="I637" s="59"/>
      <c r="J637" s="59"/>
      <c r="K637" s="59"/>
      <c r="L637" s="59"/>
      <c r="M637" s="60"/>
      <c r="N637" s="60"/>
      <c r="O637" s="60"/>
      <c r="P637" s="59"/>
      <c r="Q637" s="59"/>
      <c r="R637" s="60"/>
      <c r="S637" s="60"/>
      <c r="T637" s="60"/>
      <c r="U637" s="60"/>
      <c r="V637" s="60"/>
      <c r="W637" s="60"/>
    </row>
    <row r="638" spans="1:23" ht="13" x14ac:dyDescent="0.3">
      <c r="A638" s="58"/>
      <c r="B638" s="58"/>
      <c r="C638" s="58"/>
      <c r="D638" s="58"/>
      <c r="E638" s="58"/>
      <c r="F638" s="58"/>
      <c r="G638" s="58"/>
      <c r="H638" s="59"/>
      <c r="I638" s="59"/>
      <c r="J638" s="59"/>
      <c r="K638" s="59"/>
      <c r="L638" s="59"/>
      <c r="M638" s="60"/>
      <c r="N638" s="60"/>
      <c r="O638" s="60"/>
      <c r="P638" s="59"/>
      <c r="Q638" s="59"/>
      <c r="R638" s="60"/>
      <c r="S638" s="60"/>
      <c r="T638" s="60"/>
      <c r="U638" s="60"/>
      <c r="V638" s="60"/>
      <c r="W638" s="60"/>
    </row>
    <row r="639" spans="1:23" ht="13" x14ac:dyDescent="0.3">
      <c r="A639" s="58"/>
      <c r="B639" s="58"/>
      <c r="C639" s="58"/>
      <c r="D639" s="58"/>
      <c r="E639" s="58"/>
      <c r="F639" s="58"/>
      <c r="G639" s="58"/>
      <c r="H639" s="59"/>
      <c r="I639" s="59"/>
      <c r="J639" s="59"/>
      <c r="K639" s="59"/>
      <c r="L639" s="59"/>
      <c r="M639" s="60"/>
      <c r="N639" s="60"/>
      <c r="O639" s="60"/>
      <c r="P639" s="59"/>
      <c r="Q639" s="59"/>
      <c r="R639" s="60"/>
      <c r="S639" s="60"/>
      <c r="T639" s="60"/>
      <c r="U639" s="60"/>
      <c r="V639" s="60"/>
      <c r="W639" s="60"/>
    </row>
    <row r="640" spans="1:23" ht="13" x14ac:dyDescent="0.3">
      <c r="A640" s="58"/>
      <c r="B640" s="58"/>
      <c r="C640" s="58"/>
      <c r="D640" s="58"/>
      <c r="E640" s="58"/>
      <c r="F640" s="58"/>
      <c r="G640" s="58"/>
      <c r="H640" s="59"/>
      <c r="I640" s="59"/>
      <c r="J640" s="59"/>
      <c r="K640" s="59"/>
      <c r="L640" s="59"/>
      <c r="M640" s="60"/>
      <c r="N640" s="60"/>
      <c r="O640" s="60"/>
      <c r="P640" s="59"/>
      <c r="Q640" s="59"/>
      <c r="R640" s="60"/>
      <c r="S640" s="60"/>
      <c r="T640" s="60"/>
      <c r="U640" s="60"/>
      <c r="V640" s="60"/>
      <c r="W640" s="60"/>
    </row>
    <row r="641" spans="1:23" ht="13" x14ac:dyDescent="0.3">
      <c r="A641" s="58"/>
      <c r="B641" s="58"/>
      <c r="C641" s="58"/>
      <c r="D641" s="58"/>
      <c r="E641" s="58"/>
      <c r="F641" s="58"/>
      <c r="G641" s="58"/>
      <c r="H641" s="59"/>
      <c r="I641" s="59"/>
      <c r="J641" s="59"/>
      <c r="K641" s="59"/>
      <c r="L641" s="59"/>
      <c r="M641" s="60"/>
      <c r="N641" s="60"/>
      <c r="O641" s="60"/>
      <c r="P641" s="59"/>
      <c r="Q641" s="59"/>
      <c r="R641" s="60"/>
      <c r="S641" s="60"/>
      <c r="T641" s="60"/>
      <c r="U641" s="60"/>
      <c r="V641" s="60"/>
      <c r="W641" s="60"/>
    </row>
    <row r="642" spans="1:23" ht="13" x14ac:dyDescent="0.3">
      <c r="A642" s="58"/>
      <c r="B642" s="58"/>
      <c r="C642" s="58"/>
      <c r="D642" s="58"/>
      <c r="E642" s="58"/>
      <c r="F642" s="58"/>
      <c r="G642" s="58"/>
      <c r="H642" s="59"/>
      <c r="I642" s="59"/>
      <c r="J642" s="59"/>
      <c r="K642" s="59"/>
      <c r="L642" s="59"/>
      <c r="M642" s="60"/>
      <c r="N642" s="60"/>
      <c r="O642" s="60"/>
      <c r="P642" s="59"/>
      <c r="Q642" s="59"/>
      <c r="R642" s="60"/>
      <c r="S642" s="60"/>
      <c r="T642" s="60"/>
      <c r="U642" s="60"/>
      <c r="V642" s="60"/>
      <c r="W642" s="60"/>
    </row>
    <row r="643" spans="1:23" ht="13" x14ac:dyDescent="0.3">
      <c r="A643" s="58"/>
      <c r="B643" s="58"/>
      <c r="C643" s="58"/>
      <c r="D643" s="58"/>
      <c r="E643" s="58"/>
      <c r="F643" s="58"/>
      <c r="G643" s="58"/>
      <c r="H643" s="59"/>
      <c r="I643" s="59"/>
      <c r="J643" s="59"/>
      <c r="K643" s="59"/>
      <c r="L643" s="59"/>
      <c r="M643" s="60"/>
      <c r="N643" s="60"/>
      <c r="O643" s="60"/>
      <c r="P643" s="59"/>
      <c r="Q643" s="59"/>
      <c r="R643" s="60"/>
      <c r="S643" s="60"/>
      <c r="T643" s="60"/>
      <c r="U643" s="60"/>
      <c r="V643" s="60"/>
      <c r="W643" s="60"/>
    </row>
    <row r="644" spans="1:23" ht="13" x14ac:dyDescent="0.3">
      <c r="A644" s="58"/>
      <c r="B644" s="58"/>
      <c r="C644" s="58"/>
      <c r="D644" s="58"/>
      <c r="E644" s="58"/>
      <c r="F644" s="58"/>
      <c r="G644" s="58"/>
      <c r="H644" s="59"/>
      <c r="I644" s="59"/>
      <c r="J644" s="59"/>
      <c r="K644" s="59"/>
      <c r="L644" s="59"/>
      <c r="M644" s="60"/>
      <c r="N644" s="60"/>
      <c r="O644" s="60"/>
      <c r="P644" s="59"/>
      <c r="Q644" s="59"/>
      <c r="R644" s="60"/>
      <c r="S644" s="60"/>
      <c r="T644" s="60"/>
      <c r="U644" s="60"/>
      <c r="V644" s="60"/>
      <c r="W644" s="60"/>
    </row>
    <row r="645" spans="1:23" ht="13" x14ac:dyDescent="0.3">
      <c r="A645" s="58"/>
      <c r="B645" s="58"/>
      <c r="C645" s="58"/>
      <c r="D645" s="58"/>
      <c r="E645" s="58"/>
      <c r="F645" s="58"/>
      <c r="G645" s="58"/>
      <c r="H645" s="59"/>
      <c r="I645" s="59"/>
      <c r="J645" s="59"/>
      <c r="K645" s="59"/>
      <c r="L645" s="59"/>
      <c r="M645" s="60"/>
      <c r="N645" s="60"/>
      <c r="O645" s="60"/>
      <c r="P645" s="59"/>
      <c r="Q645" s="59"/>
      <c r="R645" s="60"/>
      <c r="S645" s="60"/>
      <c r="T645" s="60"/>
      <c r="U645" s="60"/>
      <c r="V645" s="60"/>
      <c r="W645" s="60"/>
    </row>
    <row r="646" spans="1:23" ht="13" x14ac:dyDescent="0.3">
      <c r="A646" s="58"/>
      <c r="B646" s="58"/>
      <c r="C646" s="58"/>
      <c r="D646" s="58"/>
      <c r="E646" s="58"/>
      <c r="F646" s="58"/>
      <c r="G646" s="58"/>
      <c r="H646" s="59"/>
      <c r="I646" s="59"/>
      <c r="J646" s="59"/>
      <c r="K646" s="59"/>
      <c r="L646" s="59"/>
      <c r="M646" s="60"/>
      <c r="N646" s="60"/>
      <c r="O646" s="60"/>
      <c r="P646" s="59"/>
      <c r="Q646" s="59"/>
      <c r="R646" s="60"/>
      <c r="S646" s="60"/>
      <c r="T646" s="60"/>
      <c r="U646" s="60"/>
      <c r="V646" s="60"/>
      <c r="W646" s="60"/>
    </row>
    <row r="647" spans="1:23" ht="13" x14ac:dyDescent="0.3">
      <c r="A647" s="58"/>
      <c r="B647" s="58"/>
      <c r="C647" s="58"/>
      <c r="D647" s="58"/>
      <c r="E647" s="58"/>
      <c r="F647" s="58"/>
      <c r="G647" s="58"/>
      <c r="H647" s="59"/>
      <c r="I647" s="59"/>
      <c r="J647" s="59"/>
      <c r="K647" s="59"/>
      <c r="L647" s="59"/>
      <c r="M647" s="60"/>
      <c r="N647" s="60"/>
      <c r="O647" s="60"/>
      <c r="P647" s="59"/>
      <c r="Q647" s="59"/>
      <c r="R647" s="60"/>
      <c r="S647" s="60"/>
      <c r="T647" s="60"/>
      <c r="U647" s="60"/>
      <c r="V647" s="60"/>
      <c r="W647" s="60"/>
    </row>
    <row r="648" spans="1:23" ht="13" x14ac:dyDescent="0.3">
      <c r="A648" s="58"/>
      <c r="B648" s="58"/>
      <c r="C648" s="58"/>
      <c r="D648" s="58"/>
      <c r="E648" s="58"/>
      <c r="F648" s="58"/>
      <c r="G648" s="58"/>
      <c r="H648" s="59"/>
      <c r="I648" s="59"/>
      <c r="J648" s="59"/>
      <c r="K648" s="59"/>
      <c r="L648" s="59"/>
      <c r="M648" s="60"/>
      <c r="N648" s="60"/>
      <c r="O648" s="60"/>
      <c r="P648" s="59"/>
      <c r="Q648" s="59"/>
      <c r="R648" s="60"/>
      <c r="S648" s="60"/>
      <c r="T648" s="60"/>
      <c r="U648" s="60"/>
      <c r="V648" s="60"/>
      <c r="W648" s="60"/>
    </row>
    <row r="649" spans="1:23" ht="13" x14ac:dyDescent="0.3">
      <c r="A649" s="58"/>
      <c r="B649" s="58"/>
      <c r="C649" s="58"/>
      <c r="D649" s="58"/>
      <c r="E649" s="58"/>
      <c r="F649" s="58"/>
      <c r="G649" s="58"/>
      <c r="H649" s="59"/>
      <c r="I649" s="59"/>
      <c r="J649" s="59"/>
      <c r="K649" s="59"/>
      <c r="L649" s="59"/>
      <c r="M649" s="60"/>
      <c r="N649" s="60"/>
      <c r="O649" s="60"/>
      <c r="P649" s="59"/>
      <c r="Q649" s="59"/>
      <c r="R649" s="60"/>
      <c r="S649" s="60"/>
      <c r="T649" s="60"/>
      <c r="U649" s="60"/>
      <c r="V649" s="60"/>
      <c r="W649" s="60"/>
    </row>
    <row r="650" spans="1:23" ht="13" x14ac:dyDescent="0.3">
      <c r="A650" s="58"/>
      <c r="B650" s="58"/>
      <c r="C650" s="58"/>
      <c r="D650" s="58"/>
      <c r="E650" s="58"/>
      <c r="F650" s="58"/>
      <c r="G650" s="58"/>
      <c r="H650" s="59"/>
      <c r="I650" s="59"/>
      <c r="J650" s="59"/>
      <c r="K650" s="59"/>
      <c r="L650" s="59"/>
      <c r="M650" s="60"/>
      <c r="N650" s="60"/>
      <c r="O650" s="60"/>
      <c r="P650" s="59"/>
      <c r="Q650" s="59"/>
      <c r="R650" s="60"/>
      <c r="S650" s="60"/>
      <c r="T650" s="60"/>
      <c r="U650" s="60"/>
      <c r="V650" s="60"/>
      <c r="W650" s="60"/>
    </row>
    <row r="651" spans="1:23" ht="13" x14ac:dyDescent="0.3">
      <c r="A651" s="58"/>
      <c r="B651" s="58"/>
      <c r="C651" s="58"/>
      <c r="D651" s="58"/>
      <c r="E651" s="58"/>
      <c r="F651" s="58"/>
      <c r="G651" s="58"/>
      <c r="H651" s="59"/>
      <c r="I651" s="59"/>
      <c r="J651" s="59"/>
      <c r="K651" s="59"/>
      <c r="L651" s="59"/>
      <c r="M651" s="60"/>
      <c r="N651" s="60"/>
      <c r="O651" s="60"/>
      <c r="P651" s="59"/>
      <c r="Q651" s="59"/>
      <c r="R651" s="60"/>
      <c r="S651" s="60"/>
      <c r="T651" s="60"/>
      <c r="U651" s="60"/>
      <c r="V651" s="60"/>
      <c r="W651" s="60"/>
    </row>
    <row r="652" spans="1:23" ht="13" x14ac:dyDescent="0.3">
      <c r="A652" s="58"/>
      <c r="B652" s="58"/>
      <c r="C652" s="58"/>
      <c r="D652" s="58"/>
      <c r="E652" s="58"/>
      <c r="F652" s="58"/>
      <c r="G652" s="58"/>
      <c r="H652" s="59"/>
      <c r="I652" s="59"/>
      <c r="J652" s="59"/>
      <c r="K652" s="59"/>
      <c r="L652" s="59"/>
      <c r="M652" s="60"/>
      <c r="N652" s="60"/>
      <c r="O652" s="60"/>
      <c r="P652" s="59"/>
      <c r="Q652" s="59"/>
      <c r="R652" s="60"/>
      <c r="S652" s="60"/>
      <c r="T652" s="60"/>
      <c r="U652" s="60"/>
      <c r="V652" s="60"/>
      <c r="W652" s="60"/>
    </row>
    <row r="653" spans="1:23" ht="13" x14ac:dyDescent="0.3">
      <c r="A653" s="58"/>
      <c r="B653" s="58"/>
      <c r="C653" s="58"/>
      <c r="D653" s="58"/>
      <c r="E653" s="58"/>
      <c r="F653" s="58"/>
      <c r="G653" s="58"/>
      <c r="H653" s="59"/>
      <c r="I653" s="59"/>
      <c r="J653" s="59"/>
      <c r="K653" s="59"/>
      <c r="L653" s="59"/>
      <c r="M653" s="60"/>
      <c r="N653" s="60"/>
      <c r="O653" s="60"/>
      <c r="P653" s="59"/>
      <c r="Q653" s="59"/>
      <c r="R653" s="60"/>
      <c r="S653" s="60"/>
      <c r="T653" s="60"/>
      <c r="U653" s="60"/>
      <c r="V653" s="60"/>
      <c r="W653" s="60"/>
    </row>
    <row r="654" spans="1:23" ht="13" x14ac:dyDescent="0.3">
      <c r="A654" s="58"/>
      <c r="B654" s="58"/>
      <c r="C654" s="58"/>
      <c r="D654" s="58"/>
      <c r="E654" s="58"/>
      <c r="F654" s="58"/>
      <c r="G654" s="58"/>
      <c r="H654" s="59"/>
      <c r="I654" s="59"/>
      <c r="J654" s="59"/>
      <c r="K654" s="59"/>
      <c r="L654" s="59"/>
      <c r="M654" s="60"/>
      <c r="N654" s="60"/>
      <c r="O654" s="60"/>
      <c r="P654" s="59"/>
      <c r="Q654" s="59"/>
      <c r="R654" s="60"/>
      <c r="S654" s="60"/>
      <c r="T654" s="60"/>
      <c r="U654" s="60"/>
      <c r="V654" s="60"/>
      <c r="W654" s="60"/>
    </row>
    <row r="655" spans="1:23" ht="13" x14ac:dyDescent="0.3">
      <c r="A655" s="58"/>
      <c r="B655" s="58"/>
      <c r="C655" s="58"/>
      <c r="D655" s="58"/>
      <c r="E655" s="58"/>
      <c r="F655" s="58"/>
      <c r="G655" s="58"/>
      <c r="H655" s="59"/>
      <c r="I655" s="59"/>
      <c r="J655" s="59"/>
      <c r="K655" s="59"/>
      <c r="L655" s="59"/>
      <c r="M655" s="60"/>
      <c r="N655" s="60"/>
      <c r="O655" s="60"/>
      <c r="P655" s="59"/>
      <c r="Q655" s="59"/>
      <c r="R655" s="60"/>
      <c r="S655" s="60"/>
      <c r="T655" s="60"/>
      <c r="U655" s="60"/>
      <c r="V655" s="60"/>
      <c r="W655" s="60"/>
    </row>
    <row r="656" spans="1:23" ht="13" x14ac:dyDescent="0.3">
      <c r="A656" s="58"/>
      <c r="B656" s="58"/>
      <c r="C656" s="58"/>
      <c r="D656" s="58"/>
      <c r="E656" s="58"/>
      <c r="F656" s="58"/>
      <c r="G656" s="58"/>
      <c r="H656" s="59"/>
      <c r="I656" s="59"/>
      <c r="J656" s="59"/>
      <c r="K656" s="59"/>
      <c r="L656" s="59"/>
      <c r="M656" s="60"/>
      <c r="N656" s="60"/>
      <c r="O656" s="60"/>
      <c r="P656" s="59"/>
      <c r="Q656" s="59"/>
      <c r="R656" s="60"/>
      <c r="S656" s="60"/>
      <c r="T656" s="60"/>
      <c r="U656" s="60"/>
      <c r="V656" s="60"/>
      <c r="W656" s="60"/>
    </row>
    <row r="657" spans="1:23" ht="13" x14ac:dyDescent="0.3">
      <c r="A657" s="58"/>
      <c r="B657" s="58"/>
      <c r="C657" s="58"/>
      <c r="D657" s="58"/>
      <c r="E657" s="58"/>
      <c r="F657" s="58"/>
      <c r="G657" s="58"/>
      <c r="H657" s="59"/>
      <c r="I657" s="59"/>
      <c r="J657" s="59"/>
      <c r="K657" s="59"/>
      <c r="L657" s="59"/>
      <c r="M657" s="60"/>
      <c r="N657" s="60"/>
      <c r="O657" s="60"/>
      <c r="P657" s="59"/>
      <c r="Q657" s="59"/>
      <c r="R657" s="60"/>
      <c r="S657" s="60"/>
      <c r="T657" s="60"/>
      <c r="U657" s="60"/>
      <c r="V657" s="60"/>
      <c r="W657" s="60"/>
    </row>
    <row r="658" spans="1:23" ht="13" x14ac:dyDescent="0.3">
      <c r="A658" s="58"/>
      <c r="B658" s="58"/>
      <c r="C658" s="58"/>
      <c r="D658" s="58"/>
      <c r="E658" s="58"/>
      <c r="F658" s="58"/>
      <c r="G658" s="58"/>
      <c r="H658" s="59"/>
      <c r="I658" s="59"/>
      <c r="J658" s="59"/>
      <c r="K658" s="59"/>
      <c r="L658" s="59"/>
      <c r="M658" s="60"/>
      <c r="N658" s="60"/>
      <c r="O658" s="60"/>
      <c r="P658" s="59"/>
      <c r="Q658" s="59"/>
      <c r="R658" s="60"/>
      <c r="S658" s="60"/>
      <c r="T658" s="60"/>
      <c r="U658" s="60"/>
      <c r="V658" s="60"/>
      <c r="W658" s="60"/>
    </row>
    <row r="659" spans="1:23" ht="13" x14ac:dyDescent="0.3">
      <c r="A659" s="58"/>
      <c r="B659" s="58"/>
      <c r="C659" s="58"/>
      <c r="D659" s="58"/>
      <c r="E659" s="58"/>
      <c r="F659" s="58"/>
      <c r="G659" s="58"/>
      <c r="H659" s="59"/>
      <c r="I659" s="59"/>
      <c r="J659" s="59"/>
      <c r="K659" s="59"/>
      <c r="L659" s="59"/>
      <c r="M659" s="60"/>
      <c r="N659" s="60"/>
      <c r="O659" s="60"/>
      <c r="P659" s="59"/>
      <c r="Q659" s="59"/>
      <c r="R659" s="60"/>
      <c r="S659" s="60"/>
      <c r="T659" s="60"/>
      <c r="U659" s="60"/>
      <c r="V659" s="60"/>
      <c r="W659" s="60"/>
    </row>
    <row r="660" spans="1:23" ht="13" x14ac:dyDescent="0.3">
      <c r="A660" s="58"/>
      <c r="B660" s="58"/>
      <c r="C660" s="58"/>
      <c r="D660" s="58"/>
      <c r="E660" s="58"/>
      <c r="F660" s="58"/>
      <c r="G660" s="58"/>
      <c r="H660" s="59"/>
      <c r="I660" s="59"/>
      <c r="J660" s="59"/>
      <c r="K660" s="59"/>
      <c r="L660" s="59"/>
      <c r="M660" s="60"/>
      <c r="N660" s="60"/>
      <c r="O660" s="60"/>
      <c r="P660" s="59"/>
      <c r="Q660" s="59"/>
      <c r="R660" s="60"/>
      <c r="S660" s="60"/>
      <c r="T660" s="60"/>
      <c r="U660" s="60"/>
      <c r="V660" s="60"/>
      <c r="W660" s="60"/>
    </row>
    <row r="661" spans="1:23" ht="13" x14ac:dyDescent="0.3">
      <c r="A661" s="58"/>
      <c r="B661" s="58"/>
      <c r="C661" s="58"/>
      <c r="D661" s="58"/>
      <c r="E661" s="58"/>
      <c r="F661" s="58"/>
      <c r="G661" s="58"/>
      <c r="H661" s="59"/>
      <c r="I661" s="59"/>
      <c r="J661" s="59"/>
      <c r="K661" s="59"/>
      <c r="L661" s="59"/>
      <c r="M661" s="60"/>
      <c r="N661" s="60"/>
      <c r="O661" s="60"/>
      <c r="P661" s="59"/>
      <c r="Q661" s="59"/>
      <c r="R661" s="60"/>
      <c r="S661" s="60"/>
      <c r="T661" s="60"/>
      <c r="U661" s="60"/>
      <c r="V661" s="60"/>
      <c r="W661" s="60"/>
    </row>
    <row r="662" spans="1:23" ht="13" x14ac:dyDescent="0.3">
      <c r="A662" s="58"/>
      <c r="B662" s="58"/>
      <c r="C662" s="58"/>
      <c r="D662" s="58"/>
      <c r="E662" s="58"/>
      <c r="F662" s="58"/>
      <c r="G662" s="58"/>
      <c r="H662" s="59"/>
      <c r="I662" s="59"/>
      <c r="J662" s="59"/>
      <c r="K662" s="59"/>
      <c r="L662" s="59"/>
      <c r="M662" s="60"/>
      <c r="N662" s="60"/>
      <c r="O662" s="60"/>
      <c r="P662" s="59"/>
      <c r="Q662" s="59"/>
      <c r="R662" s="60"/>
      <c r="S662" s="60"/>
      <c r="T662" s="60"/>
      <c r="U662" s="60"/>
      <c r="V662" s="60"/>
      <c r="W662" s="60"/>
    </row>
    <row r="663" spans="1:23" ht="13" x14ac:dyDescent="0.3">
      <c r="A663" s="58"/>
      <c r="B663" s="58"/>
      <c r="C663" s="58"/>
      <c r="D663" s="58"/>
      <c r="E663" s="58"/>
      <c r="F663" s="58"/>
      <c r="G663" s="58"/>
      <c r="H663" s="59"/>
      <c r="I663" s="59"/>
      <c r="J663" s="59"/>
      <c r="K663" s="59"/>
      <c r="L663" s="59"/>
      <c r="M663" s="60"/>
      <c r="N663" s="60"/>
      <c r="O663" s="60"/>
      <c r="P663" s="59"/>
      <c r="Q663" s="59"/>
      <c r="R663" s="60"/>
      <c r="S663" s="60"/>
      <c r="T663" s="60"/>
      <c r="U663" s="60"/>
      <c r="V663" s="60"/>
      <c r="W663" s="60"/>
    </row>
    <row r="664" spans="1:23" ht="13" x14ac:dyDescent="0.3">
      <c r="A664" s="58"/>
      <c r="B664" s="58"/>
      <c r="C664" s="58"/>
      <c r="D664" s="58"/>
      <c r="E664" s="58"/>
      <c r="F664" s="58"/>
      <c r="G664" s="58"/>
      <c r="H664" s="59"/>
      <c r="I664" s="59"/>
      <c r="J664" s="59"/>
      <c r="K664" s="59"/>
      <c r="L664" s="59"/>
      <c r="M664" s="60"/>
      <c r="N664" s="60"/>
      <c r="O664" s="60"/>
      <c r="P664" s="59"/>
      <c r="Q664" s="59"/>
      <c r="R664" s="60"/>
      <c r="S664" s="60"/>
      <c r="T664" s="60"/>
      <c r="U664" s="60"/>
      <c r="V664" s="60"/>
      <c r="W664" s="60"/>
    </row>
    <row r="665" spans="1:23" ht="13" x14ac:dyDescent="0.3">
      <c r="A665" s="58"/>
      <c r="B665" s="58"/>
      <c r="C665" s="58"/>
      <c r="D665" s="58"/>
      <c r="E665" s="58"/>
      <c r="F665" s="58"/>
      <c r="G665" s="58"/>
      <c r="H665" s="59"/>
      <c r="I665" s="59"/>
      <c r="J665" s="59"/>
      <c r="K665" s="59"/>
      <c r="L665" s="59"/>
      <c r="M665" s="60"/>
      <c r="N665" s="60"/>
      <c r="O665" s="60"/>
      <c r="P665" s="59"/>
      <c r="Q665" s="59"/>
      <c r="R665" s="60"/>
      <c r="S665" s="60"/>
      <c r="T665" s="60"/>
      <c r="U665" s="60"/>
      <c r="V665" s="60"/>
      <c r="W665" s="60"/>
    </row>
    <row r="666" spans="1:23" ht="13" x14ac:dyDescent="0.3">
      <c r="A666" s="58"/>
      <c r="B666" s="58"/>
      <c r="C666" s="58"/>
      <c r="D666" s="58"/>
      <c r="E666" s="58"/>
      <c r="F666" s="58"/>
      <c r="G666" s="58"/>
      <c r="H666" s="59"/>
      <c r="I666" s="59"/>
      <c r="J666" s="59"/>
      <c r="K666" s="59"/>
      <c r="L666" s="59"/>
      <c r="M666" s="60"/>
      <c r="N666" s="60"/>
      <c r="O666" s="60"/>
      <c r="P666" s="59"/>
      <c r="Q666" s="59"/>
      <c r="R666" s="60"/>
      <c r="S666" s="60"/>
      <c r="T666" s="60"/>
      <c r="U666" s="60"/>
      <c r="V666" s="60"/>
      <c r="W666" s="60"/>
    </row>
    <row r="667" spans="1:23" ht="13" x14ac:dyDescent="0.3">
      <c r="A667" s="58"/>
      <c r="B667" s="58"/>
      <c r="C667" s="58"/>
      <c r="D667" s="58"/>
      <c r="E667" s="58"/>
      <c r="F667" s="58"/>
      <c r="G667" s="58"/>
      <c r="H667" s="59"/>
      <c r="I667" s="59"/>
      <c r="J667" s="59"/>
      <c r="K667" s="59"/>
      <c r="L667" s="59"/>
      <c r="M667" s="60"/>
      <c r="N667" s="60"/>
      <c r="O667" s="60"/>
      <c r="P667" s="59"/>
      <c r="Q667" s="59"/>
      <c r="R667" s="60"/>
      <c r="S667" s="60"/>
      <c r="T667" s="60"/>
      <c r="U667" s="60"/>
      <c r="V667" s="60"/>
      <c r="W667" s="60"/>
    </row>
    <row r="668" spans="1:23" ht="13" x14ac:dyDescent="0.3">
      <c r="A668" s="58"/>
      <c r="B668" s="58"/>
      <c r="C668" s="58"/>
      <c r="D668" s="58"/>
      <c r="E668" s="58"/>
      <c r="F668" s="58"/>
      <c r="G668" s="58"/>
      <c r="H668" s="59"/>
      <c r="I668" s="59"/>
      <c r="J668" s="59"/>
      <c r="K668" s="59"/>
      <c r="L668" s="59"/>
      <c r="M668" s="60"/>
      <c r="N668" s="60"/>
      <c r="O668" s="60"/>
      <c r="P668" s="59"/>
      <c r="Q668" s="59"/>
      <c r="R668" s="60"/>
      <c r="S668" s="60"/>
      <c r="T668" s="60"/>
      <c r="U668" s="60"/>
      <c r="V668" s="60"/>
      <c r="W668" s="60"/>
    </row>
    <row r="669" spans="1:23" ht="13" x14ac:dyDescent="0.3">
      <c r="A669" s="58"/>
      <c r="B669" s="58"/>
      <c r="C669" s="58"/>
      <c r="D669" s="58"/>
      <c r="E669" s="58"/>
      <c r="F669" s="58"/>
      <c r="G669" s="58"/>
      <c r="H669" s="59"/>
      <c r="I669" s="59"/>
      <c r="J669" s="59"/>
      <c r="K669" s="59"/>
      <c r="L669" s="59"/>
      <c r="M669" s="60"/>
      <c r="N669" s="60"/>
      <c r="O669" s="60"/>
      <c r="P669" s="59"/>
      <c r="Q669" s="59"/>
      <c r="R669" s="60"/>
      <c r="S669" s="60"/>
      <c r="T669" s="60"/>
      <c r="U669" s="60"/>
      <c r="V669" s="60"/>
      <c r="W669" s="60"/>
    </row>
    <row r="670" spans="1:23" ht="13" x14ac:dyDescent="0.3">
      <c r="A670" s="58"/>
      <c r="B670" s="58"/>
      <c r="C670" s="58"/>
      <c r="D670" s="58"/>
      <c r="E670" s="58"/>
      <c r="F670" s="58"/>
      <c r="G670" s="58"/>
      <c r="H670" s="59"/>
      <c r="I670" s="59"/>
      <c r="J670" s="59"/>
      <c r="K670" s="59"/>
      <c r="L670" s="59"/>
      <c r="M670" s="60"/>
      <c r="N670" s="60"/>
      <c r="O670" s="60"/>
      <c r="P670" s="59"/>
      <c r="Q670" s="59"/>
      <c r="R670" s="60"/>
      <c r="S670" s="60"/>
      <c r="T670" s="60"/>
      <c r="U670" s="60"/>
      <c r="V670" s="60"/>
      <c r="W670" s="60"/>
    </row>
    <row r="671" spans="1:23" ht="13" x14ac:dyDescent="0.3">
      <c r="A671" s="58"/>
      <c r="B671" s="58"/>
      <c r="C671" s="58"/>
      <c r="D671" s="58"/>
      <c r="E671" s="58"/>
      <c r="F671" s="58"/>
      <c r="G671" s="58"/>
      <c r="H671" s="59"/>
      <c r="I671" s="59"/>
      <c r="J671" s="59"/>
      <c r="K671" s="59"/>
      <c r="L671" s="59"/>
      <c r="M671" s="60"/>
      <c r="N671" s="60"/>
      <c r="O671" s="60"/>
      <c r="P671" s="59"/>
      <c r="Q671" s="59"/>
      <c r="R671" s="60"/>
      <c r="S671" s="60"/>
      <c r="T671" s="60"/>
      <c r="U671" s="60"/>
      <c r="V671" s="60"/>
      <c r="W671" s="60"/>
    </row>
    <row r="672" spans="1:23" ht="13" x14ac:dyDescent="0.3">
      <c r="A672" s="58"/>
      <c r="B672" s="58"/>
      <c r="C672" s="58"/>
      <c r="D672" s="58"/>
      <c r="E672" s="58"/>
      <c r="F672" s="58"/>
      <c r="G672" s="58"/>
      <c r="H672" s="59"/>
      <c r="I672" s="59"/>
      <c r="J672" s="59"/>
      <c r="K672" s="59"/>
      <c r="L672" s="59"/>
      <c r="M672" s="60"/>
      <c r="N672" s="60"/>
      <c r="O672" s="60"/>
      <c r="P672" s="59"/>
      <c r="Q672" s="59"/>
      <c r="R672" s="60"/>
      <c r="S672" s="60"/>
      <c r="T672" s="60"/>
      <c r="U672" s="60"/>
      <c r="V672" s="60"/>
      <c r="W672" s="60"/>
    </row>
    <row r="673" spans="1:23" ht="13" x14ac:dyDescent="0.3">
      <c r="A673" s="58"/>
      <c r="B673" s="58"/>
      <c r="C673" s="58"/>
      <c r="D673" s="58"/>
      <c r="E673" s="58"/>
      <c r="F673" s="58"/>
      <c r="G673" s="58"/>
      <c r="H673" s="59"/>
      <c r="I673" s="59"/>
      <c r="J673" s="59"/>
      <c r="K673" s="59"/>
      <c r="L673" s="59"/>
      <c r="M673" s="60"/>
      <c r="N673" s="60"/>
      <c r="O673" s="60"/>
      <c r="P673" s="59"/>
      <c r="Q673" s="59"/>
      <c r="R673" s="60"/>
      <c r="S673" s="60"/>
      <c r="T673" s="60"/>
      <c r="U673" s="60"/>
      <c r="V673" s="60"/>
      <c r="W673" s="60"/>
    </row>
    <row r="674" spans="1:23" ht="13" x14ac:dyDescent="0.3">
      <c r="A674" s="58"/>
      <c r="B674" s="58"/>
      <c r="C674" s="58"/>
      <c r="D674" s="58"/>
      <c r="E674" s="58"/>
      <c r="F674" s="58"/>
      <c r="G674" s="58"/>
      <c r="H674" s="59"/>
      <c r="I674" s="59"/>
      <c r="J674" s="59"/>
      <c r="K674" s="59"/>
      <c r="L674" s="59"/>
      <c r="M674" s="60"/>
      <c r="N674" s="60"/>
      <c r="O674" s="60"/>
      <c r="P674" s="59"/>
      <c r="Q674" s="59"/>
      <c r="R674" s="60"/>
      <c r="S674" s="60"/>
      <c r="T674" s="60"/>
      <c r="U674" s="60"/>
      <c r="V674" s="60"/>
      <c r="W674" s="60"/>
    </row>
    <row r="675" spans="1:23" ht="13" x14ac:dyDescent="0.3">
      <c r="A675" s="58"/>
      <c r="B675" s="58"/>
      <c r="C675" s="58"/>
      <c r="D675" s="58"/>
      <c r="E675" s="58"/>
      <c r="F675" s="58"/>
      <c r="G675" s="58"/>
      <c r="H675" s="59"/>
      <c r="I675" s="59"/>
      <c r="J675" s="59"/>
      <c r="K675" s="59"/>
      <c r="L675" s="59"/>
      <c r="M675" s="60"/>
      <c r="N675" s="60"/>
      <c r="O675" s="60"/>
      <c r="P675" s="59"/>
      <c r="Q675" s="59"/>
      <c r="R675" s="60"/>
      <c r="S675" s="60"/>
      <c r="T675" s="60"/>
      <c r="U675" s="60"/>
      <c r="V675" s="60"/>
      <c r="W675" s="60"/>
    </row>
    <row r="676" spans="1:23" ht="13" x14ac:dyDescent="0.3">
      <c r="A676" s="58"/>
      <c r="B676" s="58"/>
      <c r="C676" s="58"/>
      <c r="D676" s="58"/>
      <c r="E676" s="58"/>
      <c r="F676" s="58"/>
      <c r="G676" s="58"/>
      <c r="H676" s="59"/>
      <c r="I676" s="59"/>
      <c r="J676" s="59"/>
      <c r="K676" s="59"/>
      <c r="L676" s="59"/>
      <c r="M676" s="60"/>
      <c r="N676" s="60"/>
      <c r="O676" s="60"/>
      <c r="P676" s="59"/>
      <c r="Q676" s="59"/>
      <c r="R676" s="60"/>
      <c r="S676" s="60"/>
      <c r="T676" s="60"/>
      <c r="U676" s="60"/>
      <c r="V676" s="60"/>
      <c r="W676" s="60"/>
    </row>
    <row r="677" spans="1:23" ht="13" x14ac:dyDescent="0.3">
      <c r="A677" s="58"/>
      <c r="B677" s="58"/>
      <c r="C677" s="58"/>
      <c r="D677" s="58"/>
      <c r="E677" s="58"/>
      <c r="F677" s="58"/>
      <c r="G677" s="58"/>
      <c r="H677" s="59"/>
      <c r="I677" s="59"/>
      <c r="J677" s="59"/>
      <c r="K677" s="59"/>
      <c r="L677" s="59"/>
      <c r="M677" s="60"/>
      <c r="N677" s="60"/>
      <c r="O677" s="60"/>
      <c r="P677" s="59"/>
      <c r="Q677" s="59"/>
      <c r="R677" s="60"/>
      <c r="S677" s="60"/>
      <c r="T677" s="60"/>
      <c r="U677" s="60"/>
      <c r="V677" s="60"/>
      <c r="W677" s="60"/>
    </row>
    <row r="678" spans="1:23" ht="13" x14ac:dyDescent="0.3">
      <c r="A678" s="58"/>
      <c r="B678" s="58"/>
      <c r="C678" s="58"/>
      <c r="D678" s="58"/>
      <c r="E678" s="58"/>
      <c r="F678" s="58"/>
      <c r="G678" s="58"/>
      <c r="H678" s="59"/>
      <c r="I678" s="59"/>
      <c r="J678" s="59"/>
      <c r="K678" s="59"/>
      <c r="L678" s="59"/>
      <c r="M678" s="60"/>
      <c r="N678" s="60"/>
      <c r="O678" s="60"/>
      <c r="P678" s="59"/>
      <c r="Q678" s="59"/>
      <c r="R678" s="60"/>
      <c r="S678" s="60"/>
      <c r="T678" s="60"/>
      <c r="U678" s="60"/>
      <c r="V678" s="60"/>
      <c r="W678" s="60"/>
    </row>
    <row r="679" spans="1:23" ht="13" x14ac:dyDescent="0.3">
      <c r="A679" s="58"/>
      <c r="B679" s="58"/>
      <c r="C679" s="58"/>
      <c r="D679" s="58"/>
      <c r="E679" s="58"/>
      <c r="F679" s="58"/>
      <c r="G679" s="58"/>
      <c r="H679" s="59"/>
      <c r="I679" s="59"/>
      <c r="J679" s="59"/>
      <c r="K679" s="59"/>
      <c r="L679" s="59"/>
      <c r="M679" s="60"/>
      <c r="N679" s="60"/>
      <c r="O679" s="60"/>
      <c r="P679" s="59"/>
      <c r="Q679" s="59"/>
      <c r="R679" s="60"/>
      <c r="S679" s="60"/>
      <c r="T679" s="60"/>
      <c r="U679" s="60"/>
      <c r="V679" s="60"/>
      <c r="W679" s="60"/>
    </row>
    <row r="680" spans="1:23" ht="13" x14ac:dyDescent="0.3">
      <c r="A680" s="58"/>
      <c r="B680" s="58"/>
      <c r="C680" s="58"/>
      <c r="D680" s="58"/>
      <c r="E680" s="58"/>
      <c r="F680" s="58"/>
      <c r="G680" s="58"/>
      <c r="H680" s="59"/>
      <c r="I680" s="59"/>
      <c r="J680" s="59"/>
      <c r="K680" s="59"/>
      <c r="L680" s="59"/>
      <c r="M680" s="60"/>
      <c r="N680" s="60"/>
      <c r="O680" s="60"/>
      <c r="P680" s="59"/>
      <c r="Q680" s="59"/>
      <c r="R680" s="60"/>
      <c r="S680" s="60"/>
      <c r="T680" s="60"/>
      <c r="U680" s="60"/>
      <c r="V680" s="60"/>
      <c r="W680" s="60"/>
    </row>
    <row r="681" spans="1:23" ht="13" x14ac:dyDescent="0.3">
      <c r="A681" s="58"/>
      <c r="B681" s="58"/>
      <c r="C681" s="58"/>
      <c r="D681" s="58"/>
      <c r="E681" s="58"/>
      <c r="F681" s="58"/>
      <c r="G681" s="58"/>
      <c r="H681" s="59"/>
      <c r="I681" s="59"/>
      <c r="J681" s="59"/>
      <c r="K681" s="59"/>
      <c r="L681" s="59"/>
      <c r="M681" s="60"/>
      <c r="N681" s="60"/>
      <c r="O681" s="60"/>
      <c r="P681" s="59"/>
      <c r="Q681" s="59"/>
      <c r="R681" s="60"/>
      <c r="S681" s="60"/>
      <c r="T681" s="60"/>
      <c r="U681" s="60"/>
      <c r="V681" s="60"/>
      <c r="W681" s="60"/>
    </row>
    <row r="682" spans="1:23" ht="13" x14ac:dyDescent="0.3">
      <c r="A682" s="58"/>
      <c r="B682" s="58"/>
      <c r="C682" s="58"/>
      <c r="D682" s="58"/>
      <c r="E682" s="58"/>
      <c r="F682" s="58"/>
      <c r="G682" s="58"/>
      <c r="H682" s="59"/>
      <c r="I682" s="59"/>
      <c r="J682" s="59"/>
      <c r="K682" s="59"/>
      <c r="L682" s="59"/>
      <c r="M682" s="60"/>
      <c r="N682" s="60"/>
      <c r="O682" s="60"/>
      <c r="P682" s="59"/>
      <c r="Q682" s="59"/>
      <c r="R682" s="60"/>
      <c r="S682" s="60"/>
      <c r="T682" s="60"/>
      <c r="U682" s="60"/>
      <c r="V682" s="60"/>
      <c r="W682" s="60"/>
    </row>
    <row r="683" spans="1:23" ht="13" x14ac:dyDescent="0.3">
      <c r="A683" s="58"/>
      <c r="B683" s="58"/>
      <c r="C683" s="58"/>
      <c r="D683" s="58"/>
      <c r="E683" s="58"/>
      <c r="F683" s="58"/>
      <c r="G683" s="58"/>
      <c r="H683" s="59"/>
      <c r="I683" s="59"/>
      <c r="J683" s="59"/>
      <c r="K683" s="59"/>
      <c r="L683" s="59"/>
      <c r="M683" s="60"/>
      <c r="N683" s="60"/>
      <c r="O683" s="60"/>
      <c r="P683" s="59"/>
      <c r="Q683" s="59"/>
      <c r="R683" s="60"/>
      <c r="S683" s="60"/>
      <c r="T683" s="60"/>
      <c r="U683" s="60"/>
      <c r="V683" s="60"/>
      <c r="W683" s="60"/>
    </row>
    <row r="684" spans="1:23" ht="13" x14ac:dyDescent="0.3">
      <c r="A684" s="58"/>
      <c r="B684" s="58"/>
      <c r="C684" s="58"/>
      <c r="D684" s="58"/>
      <c r="E684" s="58"/>
      <c r="F684" s="58"/>
      <c r="G684" s="58"/>
      <c r="H684" s="59"/>
      <c r="I684" s="59"/>
      <c r="J684" s="59"/>
      <c r="K684" s="59"/>
      <c r="L684" s="59"/>
      <c r="M684" s="60"/>
      <c r="N684" s="60"/>
      <c r="O684" s="60"/>
      <c r="P684" s="59"/>
      <c r="Q684" s="59"/>
      <c r="R684" s="60"/>
      <c r="S684" s="60"/>
      <c r="T684" s="60"/>
      <c r="U684" s="60"/>
      <c r="V684" s="60"/>
      <c r="W684" s="60"/>
    </row>
    <row r="685" spans="1:23" ht="13" x14ac:dyDescent="0.3">
      <c r="A685" s="58"/>
      <c r="B685" s="58"/>
      <c r="C685" s="58"/>
      <c r="D685" s="58"/>
      <c r="E685" s="58"/>
      <c r="F685" s="58"/>
      <c r="G685" s="58"/>
      <c r="H685" s="59"/>
      <c r="I685" s="59"/>
      <c r="J685" s="59"/>
      <c r="K685" s="59"/>
      <c r="L685" s="59"/>
      <c r="M685" s="60"/>
      <c r="N685" s="60"/>
      <c r="O685" s="60"/>
      <c r="P685" s="59"/>
      <c r="Q685" s="59"/>
      <c r="R685" s="60"/>
      <c r="S685" s="60"/>
      <c r="T685" s="60"/>
      <c r="U685" s="60"/>
      <c r="V685" s="60"/>
      <c r="W685" s="60"/>
    </row>
    <row r="686" spans="1:23" ht="13" x14ac:dyDescent="0.3">
      <c r="A686" s="58"/>
      <c r="B686" s="58"/>
      <c r="C686" s="58"/>
      <c r="D686" s="58"/>
      <c r="E686" s="58"/>
      <c r="F686" s="58"/>
      <c r="G686" s="58"/>
      <c r="H686" s="59"/>
      <c r="I686" s="59"/>
      <c r="J686" s="59"/>
      <c r="K686" s="59"/>
      <c r="L686" s="59"/>
      <c r="M686" s="60"/>
      <c r="N686" s="60"/>
      <c r="O686" s="60"/>
      <c r="P686" s="59"/>
      <c r="Q686" s="59"/>
      <c r="R686" s="60"/>
      <c r="S686" s="60"/>
      <c r="T686" s="60"/>
      <c r="U686" s="60"/>
      <c r="V686" s="60"/>
      <c r="W686" s="60"/>
    </row>
    <row r="687" spans="1:23" ht="13" x14ac:dyDescent="0.3">
      <c r="A687" s="58"/>
      <c r="B687" s="58"/>
      <c r="C687" s="58"/>
      <c r="D687" s="58"/>
      <c r="E687" s="58"/>
      <c r="F687" s="58"/>
      <c r="G687" s="58"/>
      <c r="H687" s="59"/>
      <c r="I687" s="59"/>
      <c r="J687" s="59"/>
      <c r="K687" s="59"/>
      <c r="L687" s="59"/>
      <c r="M687" s="60"/>
      <c r="N687" s="60"/>
      <c r="O687" s="60"/>
      <c r="P687" s="59"/>
      <c r="Q687" s="59"/>
      <c r="R687" s="60"/>
      <c r="S687" s="60"/>
      <c r="T687" s="60"/>
      <c r="U687" s="60"/>
      <c r="V687" s="60"/>
      <c r="W687" s="60"/>
    </row>
    <row r="688" spans="1:23" ht="13" x14ac:dyDescent="0.3">
      <c r="A688" s="58"/>
      <c r="B688" s="58"/>
      <c r="C688" s="58"/>
      <c r="D688" s="58"/>
      <c r="E688" s="58"/>
      <c r="F688" s="58"/>
      <c r="G688" s="58"/>
      <c r="H688" s="59"/>
      <c r="I688" s="59"/>
      <c r="J688" s="59"/>
      <c r="K688" s="59"/>
      <c r="L688" s="59"/>
      <c r="M688" s="60"/>
      <c r="N688" s="60"/>
      <c r="O688" s="60"/>
      <c r="P688" s="59"/>
      <c r="Q688" s="59"/>
      <c r="R688" s="60"/>
      <c r="S688" s="60"/>
      <c r="T688" s="60"/>
      <c r="U688" s="60"/>
      <c r="V688" s="60"/>
      <c r="W688" s="60"/>
    </row>
    <row r="689" spans="1:23" ht="13" x14ac:dyDescent="0.3">
      <c r="A689" s="58"/>
      <c r="B689" s="58"/>
      <c r="C689" s="58"/>
      <c r="D689" s="58"/>
      <c r="E689" s="58"/>
      <c r="F689" s="58"/>
      <c r="G689" s="58"/>
      <c r="H689" s="59"/>
      <c r="I689" s="59"/>
      <c r="J689" s="59"/>
      <c r="K689" s="59"/>
      <c r="L689" s="59"/>
      <c r="M689" s="60"/>
      <c r="N689" s="60"/>
      <c r="O689" s="60"/>
      <c r="P689" s="59"/>
      <c r="Q689" s="59"/>
      <c r="R689" s="60"/>
      <c r="S689" s="60"/>
      <c r="T689" s="60"/>
      <c r="U689" s="60"/>
      <c r="V689" s="60"/>
      <c r="W689" s="60"/>
    </row>
    <row r="690" spans="1:23" ht="13" x14ac:dyDescent="0.3">
      <c r="A690" s="58"/>
      <c r="B690" s="58"/>
      <c r="C690" s="58"/>
      <c r="D690" s="58"/>
      <c r="E690" s="58"/>
      <c r="F690" s="58"/>
      <c r="G690" s="58"/>
      <c r="H690" s="59"/>
      <c r="I690" s="59"/>
      <c r="J690" s="59"/>
      <c r="K690" s="59"/>
      <c r="L690" s="59"/>
      <c r="M690" s="60"/>
      <c r="N690" s="60"/>
      <c r="O690" s="60"/>
      <c r="P690" s="59"/>
      <c r="Q690" s="59"/>
      <c r="R690" s="60"/>
      <c r="S690" s="60"/>
      <c r="T690" s="60"/>
      <c r="U690" s="60"/>
      <c r="V690" s="60"/>
      <c r="W690" s="60"/>
    </row>
    <row r="691" spans="1:23" ht="13" x14ac:dyDescent="0.3">
      <c r="A691" s="58"/>
      <c r="B691" s="58"/>
      <c r="C691" s="58"/>
      <c r="D691" s="58"/>
      <c r="E691" s="58"/>
      <c r="F691" s="58"/>
      <c r="G691" s="58"/>
      <c r="H691" s="59"/>
      <c r="I691" s="59"/>
      <c r="J691" s="59"/>
      <c r="K691" s="59"/>
      <c r="L691" s="59"/>
      <c r="M691" s="60"/>
      <c r="N691" s="60"/>
      <c r="O691" s="60"/>
      <c r="P691" s="59"/>
      <c r="Q691" s="59"/>
      <c r="R691" s="60"/>
      <c r="S691" s="60"/>
      <c r="T691" s="60"/>
      <c r="U691" s="60"/>
      <c r="V691" s="60"/>
      <c r="W691" s="60"/>
    </row>
    <row r="692" spans="1:23" ht="13" x14ac:dyDescent="0.3">
      <c r="A692" s="58"/>
      <c r="B692" s="58"/>
      <c r="C692" s="58"/>
      <c r="D692" s="58"/>
      <c r="E692" s="58"/>
      <c r="F692" s="58"/>
      <c r="G692" s="58"/>
      <c r="H692" s="59"/>
      <c r="I692" s="59"/>
      <c r="J692" s="59"/>
      <c r="K692" s="59"/>
      <c r="L692" s="59"/>
      <c r="M692" s="60"/>
      <c r="N692" s="60"/>
      <c r="O692" s="60"/>
      <c r="P692" s="59"/>
      <c r="Q692" s="59"/>
      <c r="R692" s="60"/>
      <c r="S692" s="60"/>
      <c r="T692" s="60"/>
      <c r="U692" s="60"/>
      <c r="V692" s="60"/>
      <c r="W692" s="60"/>
    </row>
    <row r="693" spans="1:23" ht="13" x14ac:dyDescent="0.3">
      <c r="A693" s="58"/>
      <c r="B693" s="58"/>
      <c r="C693" s="58"/>
      <c r="D693" s="58"/>
      <c r="E693" s="58"/>
      <c r="F693" s="58"/>
      <c r="G693" s="58"/>
      <c r="H693" s="59"/>
      <c r="I693" s="59"/>
      <c r="J693" s="59"/>
      <c r="K693" s="59"/>
      <c r="L693" s="59"/>
      <c r="M693" s="60"/>
      <c r="N693" s="60"/>
      <c r="O693" s="60"/>
      <c r="P693" s="59"/>
      <c r="Q693" s="59"/>
      <c r="R693" s="60"/>
      <c r="S693" s="60"/>
      <c r="T693" s="60"/>
      <c r="U693" s="60"/>
      <c r="V693" s="60"/>
      <c r="W693" s="60"/>
    </row>
    <row r="694" spans="1:23" ht="13" x14ac:dyDescent="0.3">
      <c r="A694" s="58"/>
      <c r="B694" s="58"/>
      <c r="C694" s="58"/>
      <c r="D694" s="58"/>
      <c r="E694" s="58"/>
      <c r="F694" s="58"/>
      <c r="G694" s="58"/>
      <c r="H694" s="59"/>
      <c r="I694" s="59"/>
      <c r="J694" s="59"/>
      <c r="K694" s="59"/>
      <c r="L694" s="59"/>
      <c r="M694" s="60"/>
      <c r="N694" s="60"/>
      <c r="O694" s="60"/>
      <c r="P694" s="59"/>
      <c r="Q694" s="59"/>
      <c r="R694" s="60"/>
      <c r="S694" s="60"/>
      <c r="T694" s="60"/>
      <c r="U694" s="60"/>
      <c r="V694" s="60"/>
      <c r="W694" s="60"/>
    </row>
    <row r="695" spans="1:23" ht="13" x14ac:dyDescent="0.3">
      <c r="A695" s="58"/>
      <c r="B695" s="58"/>
      <c r="C695" s="58"/>
      <c r="D695" s="58"/>
      <c r="E695" s="58"/>
      <c r="F695" s="58"/>
      <c r="G695" s="58"/>
      <c r="H695" s="59"/>
      <c r="I695" s="59"/>
      <c r="J695" s="59"/>
      <c r="K695" s="59"/>
      <c r="L695" s="59"/>
      <c r="M695" s="60"/>
      <c r="N695" s="60"/>
      <c r="O695" s="60"/>
      <c r="P695" s="59"/>
      <c r="Q695" s="59"/>
      <c r="R695" s="60"/>
      <c r="S695" s="60"/>
      <c r="T695" s="60"/>
      <c r="U695" s="60"/>
      <c r="V695" s="60"/>
      <c r="W695" s="60"/>
    </row>
    <row r="696" spans="1:23" ht="13" x14ac:dyDescent="0.3">
      <c r="A696" s="58"/>
      <c r="B696" s="58"/>
      <c r="C696" s="58"/>
      <c r="D696" s="58"/>
      <c r="E696" s="58"/>
      <c r="F696" s="58"/>
      <c r="G696" s="58"/>
      <c r="H696" s="59"/>
      <c r="I696" s="59"/>
      <c r="J696" s="59"/>
      <c r="K696" s="59"/>
      <c r="L696" s="59"/>
      <c r="M696" s="60"/>
      <c r="N696" s="60"/>
      <c r="O696" s="60"/>
      <c r="P696" s="59"/>
      <c r="Q696" s="59"/>
      <c r="R696" s="60"/>
      <c r="S696" s="60"/>
      <c r="T696" s="60"/>
      <c r="U696" s="60"/>
      <c r="V696" s="60"/>
      <c r="W696" s="60"/>
    </row>
    <row r="697" spans="1:23" ht="13" x14ac:dyDescent="0.3">
      <c r="A697" s="58"/>
      <c r="B697" s="58"/>
      <c r="C697" s="58"/>
      <c r="D697" s="58"/>
      <c r="E697" s="58"/>
      <c r="F697" s="58"/>
      <c r="G697" s="58"/>
      <c r="H697" s="59"/>
      <c r="I697" s="59"/>
      <c r="J697" s="59"/>
      <c r="K697" s="59"/>
      <c r="L697" s="59"/>
      <c r="M697" s="60"/>
      <c r="N697" s="60"/>
      <c r="O697" s="60"/>
      <c r="P697" s="59"/>
      <c r="Q697" s="59"/>
      <c r="R697" s="60"/>
      <c r="S697" s="60"/>
      <c r="T697" s="60"/>
      <c r="U697" s="60"/>
      <c r="V697" s="60"/>
      <c r="W697" s="60"/>
    </row>
    <row r="698" spans="1:23" ht="13" x14ac:dyDescent="0.3">
      <c r="A698" s="58"/>
      <c r="B698" s="58"/>
      <c r="C698" s="58"/>
      <c r="D698" s="58"/>
      <c r="E698" s="58"/>
      <c r="F698" s="58"/>
      <c r="G698" s="58"/>
      <c r="H698" s="59"/>
      <c r="I698" s="59"/>
      <c r="J698" s="59"/>
      <c r="K698" s="59"/>
      <c r="L698" s="59"/>
      <c r="M698" s="60"/>
      <c r="N698" s="60"/>
      <c r="O698" s="60"/>
      <c r="P698" s="59"/>
      <c r="Q698" s="59"/>
      <c r="R698" s="60"/>
      <c r="S698" s="60"/>
      <c r="T698" s="60"/>
      <c r="U698" s="60"/>
      <c r="V698" s="60"/>
      <c r="W698" s="60"/>
    </row>
    <row r="699" spans="1:23" ht="13" x14ac:dyDescent="0.3">
      <c r="A699" s="58"/>
      <c r="B699" s="58"/>
      <c r="C699" s="58"/>
      <c r="D699" s="58"/>
      <c r="E699" s="58"/>
      <c r="F699" s="58"/>
      <c r="G699" s="58"/>
      <c r="H699" s="59"/>
      <c r="I699" s="59"/>
      <c r="J699" s="59"/>
      <c r="K699" s="59"/>
      <c r="L699" s="59"/>
      <c r="M699" s="60"/>
      <c r="N699" s="60"/>
      <c r="O699" s="60"/>
      <c r="P699" s="59"/>
      <c r="Q699" s="59"/>
      <c r="R699" s="60"/>
      <c r="S699" s="60"/>
      <c r="T699" s="60"/>
      <c r="U699" s="60"/>
      <c r="V699" s="60"/>
      <c r="W699" s="60"/>
    </row>
    <row r="700" spans="1:23" ht="13" x14ac:dyDescent="0.3">
      <c r="A700" s="58"/>
      <c r="B700" s="58"/>
      <c r="C700" s="58"/>
      <c r="D700" s="58"/>
      <c r="E700" s="58"/>
      <c r="F700" s="58"/>
      <c r="G700" s="58"/>
      <c r="H700" s="59"/>
      <c r="I700" s="59"/>
      <c r="J700" s="59"/>
      <c r="K700" s="59"/>
      <c r="L700" s="59"/>
      <c r="M700" s="60"/>
      <c r="N700" s="60"/>
      <c r="O700" s="60"/>
      <c r="P700" s="59"/>
      <c r="Q700" s="59"/>
      <c r="R700" s="60"/>
      <c r="S700" s="60"/>
      <c r="T700" s="60"/>
      <c r="U700" s="60"/>
      <c r="V700" s="60"/>
      <c r="W700" s="60"/>
    </row>
    <row r="701" spans="1:23" ht="13" x14ac:dyDescent="0.3">
      <c r="A701" s="58"/>
      <c r="B701" s="58"/>
      <c r="C701" s="58"/>
      <c r="D701" s="58"/>
      <c r="E701" s="58"/>
      <c r="F701" s="58"/>
      <c r="G701" s="58"/>
      <c r="H701" s="59"/>
      <c r="I701" s="59"/>
      <c r="J701" s="59"/>
      <c r="K701" s="59"/>
      <c r="L701" s="59"/>
      <c r="M701" s="60"/>
      <c r="N701" s="60"/>
      <c r="O701" s="60"/>
      <c r="P701" s="59"/>
      <c r="Q701" s="59"/>
      <c r="R701" s="60"/>
      <c r="S701" s="60"/>
      <c r="T701" s="60"/>
      <c r="U701" s="60"/>
      <c r="V701" s="60"/>
      <c r="W701" s="60"/>
    </row>
    <row r="702" spans="1:23" ht="13" x14ac:dyDescent="0.3">
      <c r="A702" s="58"/>
      <c r="B702" s="58"/>
      <c r="C702" s="58"/>
      <c r="D702" s="58"/>
      <c r="E702" s="58"/>
      <c r="F702" s="58"/>
      <c r="G702" s="58"/>
      <c r="H702" s="59"/>
      <c r="I702" s="59"/>
      <c r="J702" s="59"/>
      <c r="K702" s="59"/>
      <c r="L702" s="59"/>
      <c r="M702" s="60"/>
      <c r="N702" s="60"/>
      <c r="O702" s="60"/>
      <c r="P702" s="59"/>
      <c r="Q702" s="59"/>
      <c r="R702" s="60"/>
      <c r="S702" s="60"/>
      <c r="T702" s="60"/>
      <c r="U702" s="60"/>
      <c r="V702" s="60"/>
      <c r="W702" s="60"/>
    </row>
    <row r="703" spans="1:23" ht="13" x14ac:dyDescent="0.3">
      <c r="A703" s="58"/>
      <c r="B703" s="58"/>
      <c r="C703" s="58"/>
      <c r="D703" s="58"/>
      <c r="E703" s="58"/>
      <c r="F703" s="58"/>
      <c r="G703" s="58"/>
      <c r="H703" s="59"/>
      <c r="I703" s="59"/>
      <c r="J703" s="59"/>
      <c r="K703" s="59"/>
      <c r="L703" s="59"/>
      <c r="M703" s="60"/>
      <c r="N703" s="60"/>
      <c r="O703" s="60"/>
      <c r="P703" s="59"/>
      <c r="Q703" s="59"/>
      <c r="R703" s="60"/>
      <c r="S703" s="60"/>
      <c r="T703" s="60"/>
      <c r="U703" s="60"/>
      <c r="V703" s="60"/>
      <c r="W703" s="60"/>
    </row>
    <row r="704" spans="1:23" ht="13" x14ac:dyDescent="0.3">
      <c r="A704" s="58"/>
      <c r="B704" s="58"/>
      <c r="C704" s="58"/>
      <c r="D704" s="58"/>
      <c r="E704" s="58"/>
      <c r="F704" s="58"/>
      <c r="G704" s="58"/>
      <c r="H704" s="59"/>
      <c r="I704" s="59"/>
      <c r="J704" s="59"/>
      <c r="K704" s="59"/>
      <c r="L704" s="59"/>
      <c r="M704" s="60"/>
      <c r="N704" s="60"/>
      <c r="O704" s="60"/>
      <c r="P704" s="59"/>
      <c r="Q704" s="59"/>
      <c r="R704" s="60"/>
      <c r="S704" s="60"/>
      <c r="T704" s="60"/>
      <c r="U704" s="60"/>
      <c r="V704" s="60"/>
      <c r="W704" s="60"/>
    </row>
    <row r="705" spans="1:23" ht="13" x14ac:dyDescent="0.3">
      <c r="A705" s="58"/>
      <c r="B705" s="58"/>
      <c r="C705" s="58"/>
      <c r="D705" s="58"/>
      <c r="E705" s="58"/>
      <c r="F705" s="58"/>
      <c r="G705" s="58"/>
      <c r="H705" s="59"/>
      <c r="I705" s="59"/>
      <c r="J705" s="59"/>
      <c r="K705" s="59"/>
      <c r="L705" s="59"/>
      <c r="M705" s="60"/>
      <c r="N705" s="60"/>
      <c r="O705" s="60"/>
      <c r="P705" s="59"/>
      <c r="Q705" s="59"/>
      <c r="R705" s="60"/>
      <c r="S705" s="60"/>
      <c r="T705" s="60"/>
      <c r="U705" s="60"/>
      <c r="V705" s="60"/>
      <c r="W705" s="60"/>
    </row>
    <row r="706" spans="1:23" ht="13" x14ac:dyDescent="0.3">
      <c r="A706" s="58"/>
      <c r="B706" s="58"/>
      <c r="C706" s="58"/>
      <c r="D706" s="58"/>
      <c r="E706" s="58"/>
      <c r="F706" s="58"/>
      <c r="G706" s="58"/>
      <c r="H706" s="59"/>
      <c r="I706" s="59"/>
      <c r="J706" s="59"/>
      <c r="K706" s="59"/>
      <c r="L706" s="59"/>
      <c r="M706" s="60"/>
      <c r="N706" s="60"/>
      <c r="O706" s="60"/>
      <c r="P706" s="59"/>
      <c r="Q706" s="59"/>
      <c r="R706" s="60"/>
      <c r="S706" s="60"/>
      <c r="T706" s="60"/>
      <c r="U706" s="60"/>
      <c r="V706" s="60"/>
      <c r="W706" s="60"/>
    </row>
    <row r="707" spans="1:23" ht="13" x14ac:dyDescent="0.3">
      <c r="A707" s="58"/>
      <c r="B707" s="58"/>
      <c r="C707" s="58"/>
      <c r="D707" s="58"/>
      <c r="E707" s="58"/>
      <c r="F707" s="58"/>
      <c r="G707" s="58"/>
      <c r="H707" s="59"/>
      <c r="I707" s="59"/>
      <c r="J707" s="59"/>
      <c r="K707" s="59"/>
      <c r="L707" s="59"/>
      <c r="M707" s="60"/>
      <c r="N707" s="60"/>
      <c r="O707" s="60"/>
      <c r="P707" s="59"/>
      <c r="Q707" s="59"/>
      <c r="R707" s="60"/>
      <c r="S707" s="60"/>
      <c r="T707" s="60"/>
      <c r="U707" s="60"/>
      <c r="V707" s="60"/>
      <c r="W707" s="60"/>
    </row>
    <row r="708" spans="1:23" ht="13" x14ac:dyDescent="0.3">
      <c r="A708" s="58"/>
      <c r="B708" s="58"/>
      <c r="C708" s="58"/>
      <c r="D708" s="58"/>
      <c r="E708" s="58"/>
      <c r="F708" s="58"/>
      <c r="G708" s="58"/>
      <c r="H708" s="59"/>
      <c r="I708" s="59"/>
      <c r="J708" s="59"/>
      <c r="K708" s="59"/>
      <c r="L708" s="59"/>
      <c r="M708" s="60"/>
      <c r="N708" s="60"/>
      <c r="O708" s="60"/>
      <c r="P708" s="59"/>
      <c r="Q708" s="59"/>
      <c r="R708" s="60"/>
      <c r="S708" s="60"/>
      <c r="T708" s="60"/>
      <c r="U708" s="60"/>
      <c r="V708" s="60"/>
      <c r="W708" s="60"/>
    </row>
    <row r="709" spans="1:23" ht="13" x14ac:dyDescent="0.3">
      <c r="A709" s="58"/>
      <c r="B709" s="58"/>
      <c r="C709" s="58"/>
      <c r="D709" s="58"/>
      <c r="E709" s="58"/>
      <c r="F709" s="58"/>
      <c r="G709" s="58"/>
      <c r="H709" s="59"/>
      <c r="I709" s="59"/>
      <c r="J709" s="59"/>
      <c r="K709" s="59"/>
      <c r="L709" s="59"/>
      <c r="M709" s="60"/>
      <c r="N709" s="60"/>
      <c r="O709" s="60"/>
      <c r="P709" s="59"/>
      <c r="Q709" s="59"/>
      <c r="R709" s="60"/>
      <c r="S709" s="60"/>
      <c r="T709" s="60"/>
      <c r="U709" s="60"/>
      <c r="V709" s="60"/>
      <c r="W709" s="60"/>
    </row>
    <row r="710" spans="1:23" ht="13" x14ac:dyDescent="0.3">
      <c r="A710" s="58"/>
      <c r="B710" s="58"/>
      <c r="C710" s="58"/>
      <c r="D710" s="58"/>
      <c r="E710" s="58"/>
      <c r="F710" s="58"/>
      <c r="G710" s="58"/>
      <c r="H710" s="59"/>
      <c r="I710" s="59"/>
      <c r="J710" s="59"/>
      <c r="K710" s="59"/>
      <c r="L710" s="59"/>
      <c r="M710" s="60"/>
      <c r="N710" s="60"/>
      <c r="O710" s="60"/>
      <c r="P710" s="59"/>
      <c r="Q710" s="59"/>
      <c r="R710" s="60"/>
      <c r="S710" s="60"/>
      <c r="T710" s="60"/>
      <c r="U710" s="60"/>
      <c r="V710" s="60"/>
      <c r="W710" s="60"/>
    </row>
    <row r="711" spans="1:23" ht="13" x14ac:dyDescent="0.3">
      <c r="A711" s="58"/>
      <c r="B711" s="58"/>
      <c r="C711" s="58"/>
      <c r="D711" s="58"/>
      <c r="E711" s="58"/>
      <c r="F711" s="58"/>
      <c r="G711" s="58"/>
      <c r="H711" s="59"/>
      <c r="I711" s="59"/>
      <c r="J711" s="59"/>
      <c r="K711" s="59"/>
      <c r="L711" s="59"/>
      <c r="M711" s="60"/>
      <c r="N711" s="60"/>
      <c r="O711" s="60"/>
      <c r="P711" s="59"/>
      <c r="Q711" s="59"/>
      <c r="R711" s="60"/>
      <c r="S711" s="60"/>
      <c r="T711" s="60"/>
      <c r="U711" s="60"/>
      <c r="V711" s="60"/>
      <c r="W711" s="60"/>
    </row>
    <row r="712" spans="1:23" ht="13" x14ac:dyDescent="0.3">
      <c r="A712" s="58"/>
      <c r="B712" s="58"/>
      <c r="C712" s="58"/>
      <c r="D712" s="58"/>
      <c r="E712" s="58"/>
      <c r="F712" s="58"/>
      <c r="G712" s="58"/>
      <c r="H712" s="59"/>
      <c r="I712" s="59"/>
      <c r="J712" s="59"/>
      <c r="K712" s="59"/>
      <c r="L712" s="59"/>
      <c r="M712" s="60"/>
      <c r="N712" s="60"/>
      <c r="O712" s="60"/>
      <c r="P712" s="59"/>
      <c r="Q712" s="59"/>
      <c r="R712" s="60"/>
      <c r="S712" s="60"/>
      <c r="T712" s="60"/>
      <c r="U712" s="60"/>
      <c r="V712" s="60"/>
      <c r="W712" s="60"/>
    </row>
    <row r="713" spans="1:23" ht="13" x14ac:dyDescent="0.3">
      <c r="A713" s="58"/>
      <c r="B713" s="58"/>
      <c r="C713" s="58"/>
      <c r="D713" s="58"/>
      <c r="E713" s="58"/>
      <c r="F713" s="58"/>
      <c r="G713" s="58"/>
      <c r="H713" s="59"/>
      <c r="I713" s="59"/>
      <c r="J713" s="59"/>
      <c r="K713" s="59"/>
      <c r="L713" s="59"/>
      <c r="M713" s="60"/>
      <c r="N713" s="60"/>
      <c r="O713" s="60"/>
      <c r="P713" s="59"/>
      <c r="Q713" s="59"/>
      <c r="R713" s="60"/>
      <c r="S713" s="60"/>
      <c r="T713" s="60"/>
      <c r="U713" s="60"/>
      <c r="V713" s="60"/>
      <c r="W713" s="60"/>
    </row>
    <row r="714" spans="1:23" ht="13" x14ac:dyDescent="0.3">
      <c r="A714" s="58"/>
      <c r="B714" s="58"/>
      <c r="C714" s="58"/>
      <c r="D714" s="58"/>
      <c r="E714" s="58"/>
      <c r="F714" s="58"/>
      <c r="G714" s="58"/>
      <c r="H714" s="59"/>
      <c r="I714" s="59"/>
      <c r="J714" s="59"/>
      <c r="K714" s="59"/>
      <c r="L714" s="59"/>
      <c r="M714" s="60"/>
      <c r="N714" s="60"/>
      <c r="O714" s="60"/>
      <c r="P714" s="59"/>
      <c r="Q714" s="59"/>
      <c r="R714" s="60"/>
      <c r="S714" s="60"/>
      <c r="T714" s="60"/>
      <c r="U714" s="60"/>
      <c r="V714" s="60"/>
      <c r="W714" s="60"/>
    </row>
    <row r="715" spans="1:23" ht="13" x14ac:dyDescent="0.3">
      <c r="A715" s="58"/>
      <c r="B715" s="58"/>
      <c r="C715" s="58"/>
      <c r="D715" s="58"/>
      <c r="E715" s="58"/>
      <c r="F715" s="58"/>
      <c r="G715" s="58"/>
      <c r="H715" s="59"/>
      <c r="I715" s="59"/>
      <c r="J715" s="59"/>
      <c r="K715" s="59"/>
      <c r="L715" s="59"/>
      <c r="M715" s="60"/>
      <c r="N715" s="60"/>
      <c r="O715" s="60"/>
      <c r="P715" s="59"/>
      <c r="Q715" s="59"/>
      <c r="R715" s="60"/>
      <c r="S715" s="60"/>
      <c r="T715" s="60"/>
      <c r="U715" s="60"/>
      <c r="V715" s="60"/>
      <c r="W715" s="60"/>
    </row>
    <row r="716" spans="1:23" ht="13" x14ac:dyDescent="0.3">
      <c r="A716" s="58"/>
      <c r="B716" s="58"/>
      <c r="C716" s="58"/>
      <c r="D716" s="58"/>
      <c r="E716" s="58"/>
      <c r="F716" s="58"/>
      <c r="G716" s="58"/>
      <c r="H716" s="59"/>
      <c r="I716" s="59"/>
      <c r="J716" s="59"/>
      <c r="K716" s="59"/>
      <c r="L716" s="59"/>
      <c r="M716" s="60"/>
      <c r="N716" s="60"/>
      <c r="O716" s="60"/>
      <c r="P716" s="59"/>
      <c r="Q716" s="59"/>
      <c r="R716" s="60"/>
      <c r="S716" s="60"/>
      <c r="T716" s="60"/>
      <c r="U716" s="60"/>
      <c r="V716" s="60"/>
      <c r="W716" s="60"/>
    </row>
    <row r="717" spans="1:23" ht="13" x14ac:dyDescent="0.3">
      <c r="A717" s="58"/>
      <c r="B717" s="58"/>
      <c r="C717" s="58"/>
      <c r="D717" s="58"/>
      <c r="E717" s="58"/>
      <c r="F717" s="58"/>
      <c r="G717" s="58"/>
      <c r="H717" s="59"/>
      <c r="I717" s="59"/>
      <c r="J717" s="59"/>
      <c r="K717" s="59"/>
      <c r="L717" s="59"/>
      <c r="M717" s="60"/>
      <c r="N717" s="60"/>
      <c r="O717" s="60"/>
      <c r="P717" s="59"/>
      <c r="Q717" s="59"/>
      <c r="R717" s="60"/>
      <c r="S717" s="60"/>
      <c r="T717" s="60"/>
      <c r="U717" s="60"/>
      <c r="V717" s="60"/>
      <c r="W717" s="60"/>
    </row>
    <row r="718" spans="1:23" ht="13" x14ac:dyDescent="0.3">
      <c r="A718" s="58"/>
      <c r="B718" s="58"/>
      <c r="C718" s="58"/>
      <c r="D718" s="58"/>
      <c r="E718" s="58"/>
      <c r="F718" s="58"/>
      <c r="G718" s="58"/>
      <c r="H718" s="59"/>
      <c r="I718" s="59"/>
      <c r="J718" s="59"/>
      <c r="K718" s="59"/>
      <c r="L718" s="59"/>
      <c r="M718" s="60"/>
      <c r="N718" s="60"/>
      <c r="O718" s="60"/>
      <c r="P718" s="59"/>
      <c r="Q718" s="59"/>
      <c r="R718" s="60"/>
      <c r="S718" s="60"/>
      <c r="T718" s="60"/>
      <c r="U718" s="60"/>
      <c r="V718" s="60"/>
      <c r="W718" s="60"/>
    </row>
    <row r="719" spans="1:23" ht="13" x14ac:dyDescent="0.3">
      <c r="A719" s="58"/>
      <c r="B719" s="58"/>
      <c r="C719" s="58"/>
      <c r="D719" s="58"/>
      <c r="E719" s="58"/>
      <c r="F719" s="58"/>
      <c r="G719" s="58"/>
      <c r="H719" s="59"/>
      <c r="I719" s="59"/>
      <c r="J719" s="59"/>
      <c r="K719" s="59"/>
      <c r="L719" s="59"/>
      <c r="M719" s="60"/>
      <c r="N719" s="60"/>
      <c r="O719" s="60"/>
      <c r="P719" s="59"/>
      <c r="Q719" s="59"/>
      <c r="R719" s="60"/>
      <c r="S719" s="60"/>
      <c r="T719" s="60"/>
      <c r="U719" s="60"/>
      <c r="V719" s="60"/>
      <c r="W719" s="60"/>
    </row>
    <row r="720" spans="1:23" ht="13" x14ac:dyDescent="0.3">
      <c r="A720" s="58"/>
      <c r="B720" s="58"/>
      <c r="C720" s="58"/>
      <c r="D720" s="58"/>
      <c r="E720" s="58"/>
      <c r="F720" s="58"/>
      <c r="G720" s="58"/>
      <c r="H720" s="59"/>
      <c r="I720" s="59"/>
      <c r="J720" s="59"/>
      <c r="K720" s="59"/>
      <c r="L720" s="59"/>
      <c r="M720" s="60"/>
      <c r="N720" s="60"/>
      <c r="O720" s="60"/>
      <c r="P720" s="59"/>
      <c r="Q720" s="59"/>
      <c r="R720" s="60"/>
      <c r="S720" s="60"/>
      <c r="T720" s="60"/>
      <c r="U720" s="60"/>
      <c r="V720" s="60"/>
      <c r="W720" s="60"/>
    </row>
    <row r="721" spans="1:23" ht="13" x14ac:dyDescent="0.3">
      <c r="A721" s="58"/>
      <c r="B721" s="58"/>
      <c r="C721" s="58"/>
      <c r="D721" s="58"/>
      <c r="E721" s="58"/>
      <c r="F721" s="58"/>
      <c r="G721" s="58"/>
      <c r="H721" s="59"/>
      <c r="I721" s="59"/>
      <c r="J721" s="59"/>
      <c r="K721" s="59"/>
      <c r="L721" s="59"/>
      <c r="M721" s="60"/>
      <c r="N721" s="60"/>
      <c r="O721" s="60"/>
      <c r="P721" s="59"/>
      <c r="Q721" s="59"/>
      <c r="R721" s="60"/>
      <c r="S721" s="60"/>
      <c r="T721" s="60"/>
      <c r="U721" s="60"/>
      <c r="V721" s="60"/>
      <c r="W721" s="60"/>
    </row>
    <row r="722" spans="1:23" ht="13" x14ac:dyDescent="0.3">
      <c r="A722" s="58"/>
      <c r="B722" s="58"/>
      <c r="C722" s="58"/>
      <c r="D722" s="58"/>
      <c r="E722" s="58"/>
      <c r="F722" s="58"/>
      <c r="G722" s="58"/>
      <c r="H722" s="59"/>
      <c r="I722" s="59"/>
      <c r="J722" s="59"/>
      <c r="K722" s="59"/>
      <c r="L722" s="59"/>
      <c r="M722" s="60"/>
      <c r="N722" s="60"/>
      <c r="O722" s="60"/>
      <c r="P722" s="59"/>
      <c r="Q722" s="59"/>
      <c r="R722" s="60"/>
      <c r="S722" s="60"/>
      <c r="T722" s="60"/>
      <c r="U722" s="60"/>
      <c r="V722" s="60"/>
      <c r="W722" s="60"/>
    </row>
    <row r="723" spans="1:23" ht="13" x14ac:dyDescent="0.3">
      <c r="A723" s="58"/>
      <c r="B723" s="58"/>
      <c r="C723" s="58"/>
      <c r="D723" s="58"/>
      <c r="E723" s="58"/>
      <c r="F723" s="58"/>
      <c r="G723" s="58"/>
      <c r="H723" s="59"/>
      <c r="I723" s="59"/>
      <c r="J723" s="59"/>
      <c r="K723" s="59"/>
      <c r="L723" s="59"/>
      <c r="M723" s="60"/>
      <c r="N723" s="60"/>
      <c r="O723" s="60"/>
      <c r="P723" s="59"/>
      <c r="Q723" s="59"/>
      <c r="R723" s="60"/>
      <c r="S723" s="60"/>
      <c r="T723" s="60"/>
      <c r="U723" s="60"/>
      <c r="V723" s="60"/>
      <c r="W723" s="60"/>
    </row>
    <row r="724" spans="1:23" ht="13" x14ac:dyDescent="0.3">
      <c r="A724" s="58"/>
      <c r="B724" s="58"/>
      <c r="C724" s="58"/>
      <c r="D724" s="58"/>
      <c r="E724" s="58"/>
      <c r="F724" s="58"/>
      <c r="G724" s="58"/>
      <c r="H724" s="59"/>
      <c r="I724" s="59"/>
      <c r="J724" s="59"/>
      <c r="K724" s="59"/>
      <c r="L724" s="59"/>
      <c r="M724" s="60"/>
      <c r="N724" s="60"/>
      <c r="O724" s="60"/>
      <c r="P724" s="59"/>
      <c r="Q724" s="59"/>
      <c r="R724" s="60"/>
      <c r="S724" s="60"/>
      <c r="T724" s="60"/>
      <c r="U724" s="60"/>
      <c r="V724" s="60"/>
      <c r="W724" s="60"/>
    </row>
    <row r="725" spans="1:23" ht="13" x14ac:dyDescent="0.3">
      <c r="A725" s="58"/>
      <c r="B725" s="58"/>
      <c r="C725" s="58"/>
      <c r="D725" s="58"/>
      <c r="E725" s="58"/>
      <c r="F725" s="58"/>
      <c r="G725" s="58"/>
      <c r="H725" s="59"/>
      <c r="I725" s="59"/>
      <c r="J725" s="59"/>
      <c r="K725" s="59"/>
      <c r="L725" s="59"/>
      <c r="M725" s="60"/>
      <c r="N725" s="60"/>
      <c r="O725" s="60"/>
      <c r="P725" s="59"/>
      <c r="Q725" s="59"/>
      <c r="R725" s="60"/>
      <c r="S725" s="60"/>
      <c r="T725" s="60"/>
      <c r="U725" s="60"/>
      <c r="V725" s="60"/>
      <c r="W725" s="60"/>
    </row>
    <row r="726" spans="1:23" ht="13" x14ac:dyDescent="0.3">
      <c r="A726" s="58"/>
      <c r="B726" s="58"/>
      <c r="C726" s="58"/>
      <c r="D726" s="58"/>
      <c r="E726" s="58"/>
      <c r="F726" s="58"/>
      <c r="G726" s="58"/>
      <c r="H726" s="59"/>
      <c r="I726" s="59"/>
      <c r="J726" s="59"/>
      <c r="K726" s="59"/>
      <c r="L726" s="59"/>
      <c r="M726" s="60"/>
      <c r="N726" s="60"/>
      <c r="O726" s="60"/>
      <c r="P726" s="59"/>
      <c r="Q726" s="59"/>
      <c r="R726" s="60"/>
      <c r="S726" s="60"/>
      <c r="T726" s="60"/>
      <c r="U726" s="60"/>
      <c r="V726" s="60"/>
      <c r="W726" s="60"/>
    </row>
    <row r="727" spans="1:23" ht="13" x14ac:dyDescent="0.3">
      <c r="A727" s="58"/>
      <c r="B727" s="58"/>
      <c r="C727" s="58"/>
      <c r="D727" s="58"/>
      <c r="E727" s="58"/>
      <c r="F727" s="58"/>
      <c r="G727" s="58"/>
      <c r="H727" s="59"/>
      <c r="I727" s="59"/>
      <c r="J727" s="59"/>
      <c r="K727" s="59"/>
      <c r="L727" s="59"/>
      <c r="M727" s="60"/>
      <c r="N727" s="60"/>
      <c r="O727" s="60"/>
      <c r="P727" s="59"/>
      <c r="Q727" s="59"/>
      <c r="R727" s="60"/>
      <c r="S727" s="60"/>
      <c r="T727" s="60"/>
      <c r="U727" s="60"/>
      <c r="V727" s="60"/>
      <c r="W727" s="60"/>
    </row>
    <row r="728" spans="1:23" ht="13" x14ac:dyDescent="0.3">
      <c r="A728" s="58"/>
      <c r="B728" s="58"/>
      <c r="C728" s="58"/>
      <c r="D728" s="58"/>
      <c r="E728" s="58"/>
      <c r="F728" s="58"/>
      <c r="G728" s="58"/>
      <c r="H728" s="59"/>
      <c r="I728" s="59"/>
      <c r="J728" s="59"/>
      <c r="K728" s="59"/>
      <c r="L728" s="59"/>
      <c r="M728" s="60"/>
      <c r="N728" s="60"/>
      <c r="O728" s="60"/>
      <c r="P728" s="59"/>
      <c r="Q728" s="59"/>
      <c r="R728" s="60"/>
      <c r="S728" s="60"/>
      <c r="T728" s="60"/>
      <c r="U728" s="60"/>
      <c r="V728" s="60"/>
      <c r="W728" s="60"/>
    </row>
    <row r="729" spans="1:23" ht="13" x14ac:dyDescent="0.3">
      <c r="A729" s="58"/>
      <c r="B729" s="58"/>
      <c r="C729" s="58"/>
      <c r="D729" s="58"/>
      <c r="E729" s="58"/>
      <c r="F729" s="58"/>
      <c r="G729" s="58"/>
      <c r="H729" s="59"/>
      <c r="I729" s="59"/>
      <c r="J729" s="59"/>
      <c r="K729" s="59"/>
      <c r="L729" s="59"/>
      <c r="M729" s="60"/>
      <c r="N729" s="60"/>
      <c r="O729" s="60"/>
      <c r="P729" s="59"/>
      <c r="Q729" s="59"/>
      <c r="R729" s="60"/>
      <c r="S729" s="60"/>
      <c r="T729" s="60"/>
      <c r="U729" s="60"/>
      <c r="V729" s="60"/>
      <c r="W729" s="60"/>
    </row>
    <row r="730" spans="1:23" ht="13" x14ac:dyDescent="0.3">
      <c r="A730" s="58"/>
      <c r="B730" s="58"/>
      <c r="C730" s="58"/>
      <c r="D730" s="58"/>
      <c r="E730" s="58"/>
      <c r="F730" s="58"/>
      <c r="G730" s="58"/>
      <c r="H730" s="59"/>
      <c r="I730" s="59"/>
      <c r="J730" s="59"/>
      <c r="K730" s="59"/>
      <c r="L730" s="59"/>
      <c r="M730" s="60"/>
      <c r="N730" s="60"/>
      <c r="O730" s="60"/>
      <c r="P730" s="59"/>
      <c r="Q730" s="59"/>
      <c r="R730" s="60"/>
      <c r="S730" s="60"/>
      <c r="T730" s="60"/>
      <c r="U730" s="60"/>
      <c r="V730" s="60"/>
      <c r="W730" s="60"/>
    </row>
    <row r="731" spans="1:23" ht="13" x14ac:dyDescent="0.3">
      <c r="A731" s="58"/>
      <c r="B731" s="58"/>
      <c r="C731" s="58"/>
      <c r="D731" s="58"/>
      <c r="E731" s="58"/>
      <c r="F731" s="58"/>
      <c r="G731" s="58"/>
      <c r="H731" s="59"/>
      <c r="I731" s="59"/>
      <c r="J731" s="59"/>
      <c r="K731" s="59"/>
      <c r="L731" s="59"/>
      <c r="M731" s="60"/>
      <c r="N731" s="60"/>
      <c r="O731" s="60"/>
      <c r="P731" s="59"/>
      <c r="Q731" s="59"/>
      <c r="R731" s="60"/>
      <c r="S731" s="60"/>
      <c r="T731" s="60"/>
      <c r="U731" s="60"/>
      <c r="V731" s="60"/>
      <c r="W731" s="60"/>
    </row>
    <row r="732" spans="1:23" ht="13" x14ac:dyDescent="0.3">
      <c r="A732" s="58"/>
      <c r="B732" s="58"/>
      <c r="C732" s="58"/>
      <c r="D732" s="58"/>
      <c r="E732" s="58"/>
      <c r="F732" s="58"/>
      <c r="G732" s="58"/>
      <c r="H732" s="59"/>
      <c r="I732" s="59"/>
      <c r="J732" s="59"/>
      <c r="K732" s="59"/>
      <c r="L732" s="59"/>
      <c r="M732" s="60"/>
      <c r="N732" s="60"/>
      <c r="O732" s="60"/>
      <c r="P732" s="59"/>
      <c r="Q732" s="59"/>
      <c r="R732" s="60"/>
      <c r="S732" s="60"/>
      <c r="T732" s="60"/>
      <c r="U732" s="60"/>
      <c r="V732" s="60"/>
      <c r="W732" s="60"/>
    </row>
    <row r="733" spans="1:23" ht="13" x14ac:dyDescent="0.3">
      <c r="A733" s="58"/>
      <c r="B733" s="58"/>
      <c r="C733" s="58"/>
      <c r="D733" s="58"/>
      <c r="E733" s="58"/>
      <c r="F733" s="58"/>
      <c r="G733" s="58"/>
      <c r="H733" s="59"/>
      <c r="I733" s="59"/>
      <c r="J733" s="59"/>
      <c r="K733" s="59"/>
      <c r="L733" s="59"/>
      <c r="M733" s="60"/>
      <c r="N733" s="60"/>
      <c r="O733" s="60"/>
      <c r="P733" s="59"/>
      <c r="Q733" s="59"/>
      <c r="R733" s="60"/>
      <c r="S733" s="60"/>
      <c r="T733" s="60"/>
      <c r="U733" s="60"/>
      <c r="V733" s="60"/>
      <c r="W733" s="60"/>
    </row>
    <row r="734" spans="1:23" ht="13" x14ac:dyDescent="0.3">
      <c r="A734" s="58"/>
      <c r="B734" s="58"/>
      <c r="C734" s="58"/>
      <c r="D734" s="58"/>
      <c r="E734" s="58"/>
      <c r="F734" s="58"/>
      <c r="G734" s="58"/>
      <c r="H734" s="59"/>
      <c r="I734" s="59"/>
      <c r="J734" s="59"/>
      <c r="K734" s="59"/>
      <c r="L734" s="59"/>
      <c r="M734" s="60"/>
      <c r="N734" s="60"/>
      <c r="O734" s="60"/>
      <c r="P734" s="59"/>
      <c r="Q734" s="59"/>
      <c r="R734" s="60"/>
      <c r="S734" s="60"/>
      <c r="T734" s="60"/>
      <c r="U734" s="60"/>
      <c r="V734" s="60"/>
      <c r="W734" s="60"/>
    </row>
    <row r="735" spans="1:23" ht="13" x14ac:dyDescent="0.3">
      <c r="A735" s="58"/>
      <c r="B735" s="58"/>
      <c r="C735" s="58"/>
      <c r="D735" s="58"/>
      <c r="E735" s="58"/>
      <c r="F735" s="58"/>
      <c r="G735" s="58"/>
      <c r="H735" s="59"/>
      <c r="I735" s="59"/>
      <c r="J735" s="59"/>
      <c r="K735" s="59"/>
      <c r="L735" s="59"/>
      <c r="M735" s="60"/>
      <c r="N735" s="60"/>
      <c r="O735" s="60"/>
      <c r="P735" s="59"/>
      <c r="Q735" s="59"/>
      <c r="R735" s="60"/>
      <c r="S735" s="60"/>
      <c r="T735" s="60"/>
      <c r="U735" s="60"/>
      <c r="V735" s="60"/>
      <c r="W735" s="60"/>
    </row>
    <row r="736" spans="1:23" ht="13" x14ac:dyDescent="0.3">
      <c r="A736" s="58"/>
      <c r="B736" s="58"/>
      <c r="C736" s="58"/>
      <c r="D736" s="58"/>
      <c r="E736" s="58"/>
      <c r="F736" s="58"/>
      <c r="G736" s="58"/>
      <c r="H736" s="59"/>
      <c r="I736" s="59"/>
      <c r="J736" s="59"/>
      <c r="K736" s="59"/>
      <c r="L736" s="59"/>
      <c r="M736" s="60"/>
      <c r="N736" s="60"/>
      <c r="O736" s="60"/>
      <c r="P736" s="59"/>
      <c r="Q736" s="59"/>
      <c r="R736" s="60"/>
      <c r="S736" s="60"/>
      <c r="T736" s="60"/>
      <c r="U736" s="60"/>
      <c r="V736" s="60"/>
      <c r="W736" s="60"/>
    </row>
    <row r="737" spans="1:23" ht="13" x14ac:dyDescent="0.3">
      <c r="A737" s="58"/>
      <c r="B737" s="58"/>
      <c r="C737" s="58"/>
      <c r="D737" s="58"/>
      <c r="E737" s="58"/>
      <c r="F737" s="58"/>
      <c r="G737" s="58"/>
      <c r="H737" s="59"/>
      <c r="I737" s="59"/>
      <c r="J737" s="59"/>
      <c r="K737" s="59"/>
      <c r="L737" s="59"/>
      <c r="M737" s="60"/>
      <c r="N737" s="60"/>
      <c r="O737" s="60"/>
      <c r="P737" s="59"/>
      <c r="Q737" s="59"/>
      <c r="R737" s="60"/>
      <c r="S737" s="60"/>
      <c r="T737" s="60"/>
      <c r="U737" s="60"/>
      <c r="V737" s="60"/>
      <c r="W737" s="60"/>
    </row>
    <row r="738" spans="1:23" ht="13" x14ac:dyDescent="0.3">
      <c r="A738" s="58"/>
      <c r="B738" s="58"/>
      <c r="C738" s="58"/>
      <c r="D738" s="58"/>
      <c r="E738" s="58"/>
      <c r="F738" s="58"/>
      <c r="G738" s="58"/>
      <c r="H738" s="59"/>
      <c r="I738" s="59"/>
      <c r="J738" s="59"/>
      <c r="K738" s="59"/>
      <c r="L738" s="59"/>
      <c r="M738" s="60"/>
      <c r="N738" s="60"/>
      <c r="O738" s="60"/>
      <c r="P738" s="59"/>
      <c r="Q738" s="59"/>
      <c r="R738" s="60"/>
      <c r="S738" s="60"/>
      <c r="T738" s="60"/>
      <c r="U738" s="60"/>
      <c r="V738" s="60"/>
      <c r="W738" s="60"/>
    </row>
    <row r="739" spans="1:23" ht="13" x14ac:dyDescent="0.3">
      <c r="A739" s="58"/>
      <c r="B739" s="58"/>
      <c r="C739" s="58"/>
      <c r="D739" s="58"/>
      <c r="E739" s="58"/>
      <c r="F739" s="58"/>
      <c r="G739" s="58"/>
      <c r="H739" s="59"/>
      <c r="I739" s="59"/>
      <c r="J739" s="59"/>
      <c r="K739" s="59"/>
      <c r="L739" s="59"/>
      <c r="M739" s="60"/>
      <c r="N739" s="60"/>
      <c r="O739" s="60"/>
      <c r="P739" s="59"/>
      <c r="Q739" s="59"/>
      <c r="R739" s="60"/>
      <c r="S739" s="60"/>
      <c r="T739" s="60"/>
      <c r="U739" s="60"/>
      <c r="V739" s="60"/>
      <c r="W739" s="60"/>
    </row>
    <row r="740" spans="1:23" ht="13" x14ac:dyDescent="0.3">
      <c r="A740" s="58"/>
      <c r="B740" s="58"/>
      <c r="C740" s="58"/>
      <c r="D740" s="58"/>
      <c r="E740" s="58"/>
      <c r="F740" s="58"/>
      <c r="G740" s="58"/>
      <c r="H740" s="59"/>
      <c r="I740" s="59"/>
      <c r="J740" s="59"/>
      <c r="K740" s="59"/>
      <c r="L740" s="59"/>
      <c r="M740" s="60"/>
      <c r="N740" s="60"/>
      <c r="O740" s="60"/>
      <c r="P740" s="59"/>
      <c r="Q740" s="59"/>
      <c r="R740" s="60"/>
      <c r="S740" s="60"/>
      <c r="T740" s="60"/>
      <c r="U740" s="60"/>
      <c r="V740" s="60"/>
      <c r="W740" s="60"/>
    </row>
    <row r="741" spans="1:23" ht="13" x14ac:dyDescent="0.3">
      <c r="A741" s="58"/>
      <c r="B741" s="58"/>
      <c r="C741" s="58"/>
      <c r="D741" s="58"/>
      <c r="E741" s="58"/>
      <c r="F741" s="58"/>
      <c r="G741" s="58"/>
      <c r="H741" s="59"/>
      <c r="I741" s="59"/>
      <c r="J741" s="59"/>
      <c r="K741" s="59"/>
      <c r="L741" s="59"/>
      <c r="M741" s="60"/>
      <c r="N741" s="60"/>
      <c r="O741" s="60"/>
      <c r="P741" s="59"/>
      <c r="Q741" s="59"/>
      <c r="R741" s="60"/>
      <c r="S741" s="60"/>
      <c r="T741" s="60"/>
      <c r="U741" s="60"/>
      <c r="V741" s="60"/>
      <c r="W741" s="60"/>
    </row>
    <row r="742" spans="1:23" ht="13" x14ac:dyDescent="0.3">
      <c r="A742" s="58"/>
      <c r="B742" s="58"/>
      <c r="C742" s="58"/>
      <c r="D742" s="58"/>
      <c r="E742" s="58"/>
      <c r="F742" s="58"/>
      <c r="G742" s="58"/>
      <c r="H742" s="59"/>
      <c r="I742" s="59"/>
      <c r="J742" s="59"/>
      <c r="K742" s="59"/>
      <c r="L742" s="59"/>
      <c r="M742" s="60"/>
      <c r="N742" s="60"/>
      <c r="O742" s="60"/>
      <c r="P742" s="59"/>
      <c r="Q742" s="59"/>
      <c r="R742" s="60"/>
      <c r="S742" s="60"/>
      <c r="T742" s="60"/>
      <c r="U742" s="60"/>
      <c r="V742" s="60"/>
      <c r="W742" s="60"/>
    </row>
    <row r="743" spans="1:23" ht="13" x14ac:dyDescent="0.3">
      <c r="A743" s="58"/>
      <c r="B743" s="58"/>
      <c r="C743" s="58"/>
      <c r="D743" s="58"/>
      <c r="E743" s="58"/>
      <c r="F743" s="58"/>
      <c r="G743" s="58"/>
      <c r="H743" s="59"/>
      <c r="I743" s="59"/>
      <c r="J743" s="59"/>
      <c r="K743" s="59"/>
      <c r="L743" s="59"/>
      <c r="M743" s="60"/>
      <c r="N743" s="60"/>
      <c r="O743" s="60"/>
      <c r="P743" s="59"/>
      <c r="Q743" s="59"/>
      <c r="R743" s="60"/>
      <c r="S743" s="60"/>
      <c r="T743" s="60"/>
      <c r="U743" s="60"/>
      <c r="V743" s="60"/>
      <c r="W743" s="60"/>
    </row>
    <row r="744" spans="1:23" ht="13" x14ac:dyDescent="0.3">
      <c r="A744" s="58"/>
      <c r="B744" s="58"/>
      <c r="C744" s="58"/>
      <c r="D744" s="58"/>
      <c r="E744" s="58"/>
      <c r="F744" s="58"/>
      <c r="G744" s="58"/>
      <c r="H744" s="59"/>
      <c r="I744" s="59"/>
      <c r="J744" s="59"/>
      <c r="K744" s="59"/>
      <c r="L744" s="59"/>
      <c r="M744" s="60"/>
      <c r="N744" s="60"/>
      <c r="O744" s="60"/>
      <c r="P744" s="59"/>
      <c r="Q744" s="59"/>
      <c r="R744" s="60"/>
      <c r="S744" s="60"/>
      <c r="T744" s="60"/>
      <c r="U744" s="60"/>
      <c r="V744" s="60"/>
      <c r="W744" s="60"/>
    </row>
    <row r="745" spans="1:23" ht="13" x14ac:dyDescent="0.3">
      <c r="A745" s="58"/>
      <c r="B745" s="58"/>
      <c r="C745" s="58"/>
      <c r="D745" s="58"/>
      <c r="E745" s="58"/>
      <c r="F745" s="58"/>
      <c r="G745" s="58"/>
      <c r="H745" s="59"/>
      <c r="I745" s="59"/>
      <c r="J745" s="59"/>
      <c r="K745" s="59"/>
      <c r="L745" s="59"/>
      <c r="M745" s="60"/>
      <c r="N745" s="60"/>
      <c r="O745" s="60"/>
      <c r="P745" s="59"/>
      <c r="Q745" s="59"/>
      <c r="R745" s="60"/>
      <c r="S745" s="60"/>
      <c r="T745" s="60"/>
      <c r="U745" s="60"/>
      <c r="V745" s="60"/>
      <c r="W745" s="60"/>
    </row>
    <row r="746" spans="1:23" ht="13" x14ac:dyDescent="0.3">
      <c r="A746" s="58"/>
      <c r="B746" s="58"/>
      <c r="C746" s="58"/>
      <c r="D746" s="58"/>
      <c r="E746" s="58"/>
      <c r="F746" s="58"/>
      <c r="G746" s="58"/>
      <c r="H746" s="59"/>
      <c r="I746" s="59"/>
      <c r="J746" s="59"/>
      <c r="K746" s="59"/>
      <c r="L746" s="59"/>
      <c r="M746" s="60"/>
      <c r="N746" s="60"/>
      <c r="O746" s="60"/>
      <c r="P746" s="59"/>
      <c r="Q746" s="59"/>
      <c r="R746" s="60"/>
      <c r="S746" s="60"/>
      <c r="T746" s="60"/>
      <c r="U746" s="60"/>
      <c r="V746" s="60"/>
      <c r="W746" s="60"/>
    </row>
    <row r="747" spans="1:23" ht="13" x14ac:dyDescent="0.3">
      <c r="A747" s="58"/>
      <c r="B747" s="58"/>
      <c r="C747" s="58"/>
      <c r="D747" s="58"/>
      <c r="E747" s="58"/>
      <c r="F747" s="58"/>
      <c r="G747" s="58"/>
      <c r="H747" s="59"/>
      <c r="I747" s="59"/>
      <c r="J747" s="59"/>
      <c r="K747" s="59"/>
      <c r="L747" s="59"/>
      <c r="M747" s="60"/>
      <c r="N747" s="60"/>
      <c r="O747" s="60"/>
      <c r="P747" s="59"/>
      <c r="Q747" s="59"/>
      <c r="R747" s="60"/>
      <c r="S747" s="60"/>
      <c r="T747" s="60"/>
      <c r="U747" s="60"/>
      <c r="V747" s="60"/>
      <c r="W747" s="60"/>
    </row>
    <row r="748" spans="1:23" ht="13" x14ac:dyDescent="0.3">
      <c r="A748" s="58"/>
      <c r="B748" s="58"/>
      <c r="C748" s="58"/>
      <c r="D748" s="58"/>
      <c r="E748" s="58"/>
      <c r="F748" s="58"/>
      <c r="G748" s="58"/>
      <c r="H748" s="59"/>
      <c r="I748" s="59"/>
      <c r="J748" s="59"/>
      <c r="K748" s="59"/>
      <c r="L748" s="59"/>
      <c r="M748" s="60"/>
      <c r="N748" s="60"/>
      <c r="O748" s="60"/>
      <c r="P748" s="59"/>
      <c r="Q748" s="59"/>
      <c r="R748" s="60"/>
      <c r="S748" s="60"/>
      <c r="T748" s="60"/>
      <c r="U748" s="60"/>
      <c r="V748" s="60"/>
      <c r="W748" s="60"/>
    </row>
    <row r="749" spans="1:23" ht="13" x14ac:dyDescent="0.3">
      <c r="A749" s="58"/>
      <c r="B749" s="58"/>
      <c r="C749" s="58"/>
      <c r="D749" s="58"/>
      <c r="E749" s="58"/>
      <c r="F749" s="58"/>
      <c r="G749" s="58"/>
      <c r="H749" s="59"/>
      <c r="I749" s="59"/>
      <c r="J749" s="59"/>
      <c r="K749" s="59"/>
      <c r="L749" s="59"/>
      <c r="M749" s="60"/>
      <c r="N749" s="60"/>
      <c r="O749" s="60"/>
      <c r="P749" s="59"/>
      <c r="Q749" s="59"/>
      <c r="R749" s="60"/>
      <c r="S749" s="60"/>
      <c r="T749" s="60"/>
      <c r="U749" s="60"/>
      <c r="V749" s="60"/>
      <c r="W749" s="60"/>
    </row>
    <row r="750" spans="1:23" ht="13" x14ac:dyDescent="0.3">
      <c r="A750" s="58"/>
      <c r="B750" s="58"/>
      <c r="C750" s="58"/>
      <c r="D750" s="58"/>
      <c r="E750" s="58"/>
      <c r="F750" s="58"/>
      <c r="G750" s="58"/>
      <c r="H750" s="59"/>
      <c r="I750" s="59"/>
      <c r="J750" s="59"/>
      <c r="K750" s="59"/>
      <c r="L750" s="59"/>
      <c r="M750" s="60"/>
      <c r="N750" s="60"/>
      <c r="O750" s="60"/>
      <c r="P750" s="59"/>
      <c r="Q750" s="59"/>
      <c r="R750" s="60"/>
      <c r="S750" s="60"/>
      <c r="T750" s="60"/>
      <c r="U750" s="60"/>
      <c r="V750" s="60"/>
      <c r="W750" s="60"/>
    </row>
    <row r="751" spans="1:23" ht="13" x14ac:dyDescent="0.3">
      <c r="A751" s="58"/>
      <c r="B751" s="58"/>
      <c r="C751" s="58"/>
      <c r="D751" s="58"/>
      <c r="E751" s="58"/>
      <c r="F751" s="58"/>
      <c r="G751" s="58"/>
      <c r="H751" s="59"/>
      <c r="I751" s="59"/>
      <c r="J751" s="59"/>
      <c r="K751" s="59"/>
      <c r="L751" s="59"/>
      <c r="M751" s="60"/>
      <c r="N751" s="60"/>
      <c r="O751" s="60"/>
      <c r="P751" s="59"/>
      <c r="Q751" s="59"/>
      <c r="R751" s="60"/>
      <c r="S751" s="60"/>
      <c r="T751" s="60"/>
      <c r="U751" s="60"/>
      <c r="V751" s="60"/>
      <c r="W751" s="60"/>
    </row>
    <row r="752" spans="1:23" ht="13" x14ac:dyDescent="0.3">
      <c r="A752" s="58"/>
      <c r="B752" s="58"/>
      <c r="C752" s="58"/>
      <c r="D752" s="58"/>
      <c r="E752" s="58"/>
      <c r="F752" s="58"/>
      <c r="G752" s="58"/>
      <c r="H752" s="59"/>
      <c r="I752" s="59"/>
      <c r="J752" s="59"/>
      <c r="K752" s="59"/>
      <c r="L752" s="59"/>
      <c r="M752" s="60"/>
      <c r="N752" s="60"/>
      <c r="O752" s="60"/>
      <c r="P752" s="59"/>
      <c r="Q752" s="59"/>
      <c r="R752" s="60"/>
      <c r="S752" s="60"/>
      <c r="T752" s="60"/>
      <c r="U752" s="60"/>
      <c r="V752" s="60"/>
      <c r="W752" s="60"/>
    </row>
    <row r="753" spans="1:23" ht="13" x14ac:dyDescent="0.3">
      <c r="A753" s="58"/>
      <c r="B753" s="58"/>
      <c r="C753" s="58"/>
      <c r="D753" s="58"/>
      <c r="E753" s="58"/>
      <c r="F753" s="58"/>
      <c r="G753" s="58"/>
      <c r="H753" s="59"/>
      <c r="I753" s="59"/>
      <c r="J753" s="59"/>
      <c r="K753" s="59"/>
      <c r="L753" s="59"/>
      <c r="M753" s="60"/>
      <c r="N753" s="60"/>
      <c r="O753" s="60"/>
      <c r="P753" s="59"/>
      <c r="Q753" s="59"/>
      <c r="R753" s="60"/>
      <c r="S753" s="60"/>
      <c r="T753" s="60"/>
      <c r="U753" s="60"/>
      <c r="V753" s="60"/>
      <c r="W753" s="60"/>
    </row>
    <row r="754" spans="1:23" ht="13" x14ac:dyDescent="0.3">
      <c r="A754" s="58"/>
      <c r="B754" s="58"/>
      <c r="C754" s="58"/>
      <c r="D754" s="58"/>
      <c r="E754" s="58"/>
      <c r="F754" s="58"/>
      <c r="G754" s="58"/>
      <c r="H754" s="59"/>
      <c r="I754" s="59"/>
      <c r="J754" s="59"/>
      <c r="K754" s="59"/>
      <c r="L754" s="59"/>
      <c r="M754" s="60"/>
      <c r="N754" s="60"/>
      <c r="O754" s="60"/>
      <c r="P754" s="59"/>
      <c r="Q754" s="59"/>
      <c r="R754" s="60"/>
      <c r="S754" s="60"/>
      <c r="T754" s="60"/>
      <c r="U754" s="60"/>
      <c r="V754" s="60"/>
      <c r="W754" s="60"/>
    </row>
    <row r="755" spans="1:23" ht="13" x14ac:dyDescent="0.3">
      <c r="A755" s="58"/>
      <c r="B755" s="58"/>
      <c r="C755" s="58"/>
      <c r="D755" s="58"/>
      <c r="E755" s="58"/>
      <c r="F755" s="58"/>
      <c r="G755" s="58"/>
      <c r="H755" s="59"/>
      <c r="I755" s="59"/>
      <c r="J755" s="59"/>
      <c r="K755" s="59"/>
      <c r="L755" s="59"/>
      <c r="M755" s="60"/>
      <c r="N755" s="60"/>
      <c r="O755" s="60"/>
      <c r="P755" s="59"/>
      <c r="Q755" s="59"/>
      <c r="R755" s="60"/>
      <c r="S755" s="60"/>
      <c r="T755" s="60"/>
      <c r="U755" s="60"/>
      <c r="V755" s="60"/>
      <c r="W755" s="60"/>
    </row>
    <row r="756" spans="1:23" ht="13" x14ac:dyDescent="0.3">
      <c r="A756" s="58"/>
      <c r="B756" s="58"/>
      <c r="C756" s="58"/>
      <c r="D756" s="58"/>
      <c r="E756" s="58"/>
      <c r="F756" s="58"/>
      <c r="G756" s="58"/>
      <c r="H756" s="59"/>
      <c r="I756" s="59"/>
      <c r="J756" s="59"/>
      <c r="K756" s="59"/>
      <c r="L756" s="59"/>
      <c r="M756" s="60"/>
      <c r="N756" s="60"/>
      <c r="O756" s="60"/>
      <c r="P756" s="59"/>
      <c r="Q756" s="59"/>
      <c r="R756" s="60"/>
      <c r="S756" s="60"/>
      <c r="T756" s="60"/>
      <c r="U756" s="60"/>
      <c r="V756" s="60"/>
      <c r="W756" s="60"/>
    </row>
    <row r="757" spans="1:23" ht="13" x14ac:dyDescent="0.3">
      <c r="A757" s="58"/>
      <c r="B757" s="58"/>
      <c r="C757" s="58"/>
      <c r="D757" s="58"/>
      <c r="E757" s="58"/>
      <c r="F757" s="58"/>
      <c r="G757" s="58"/>
      <c r="H757" s="59"/>
      <c r="I757" s="59"/>
      <c r="J757" s="59"/>
      <c r="K757" s="59"/>
      <c r="L757" s="59"/>
      <c r="M757" s="60"/>
      <c r="N757" s="60"/>
      <c r="O757" s="60"/>
      <c r="P757" s="59"/>
      <c r="Q757" s="59"/>
      <c r="R757" s="60"/>
      <c r="S757" s="60"/>
      <c r="T757" s="60"/>
      <c r="U757" s="60"/>
      <c r="V757" s="60"/>
      <c r="W757" s="60"/>
    </row>
    <row r="758" spans="1:23" ht="13" x14ac:dyDescent="0.3">
      <c r="A758" s="58"/>
      <c r="B758" s="58"/>
      <c r="C758" s="58"/>
      <c r="D758" s="58"/>
      <c r="E758" s="58"/>
      <c r="F758" s="58"/>
      <c r="G758" s="58"/>
      <c r="H758" s="59"/>
      <c r="I758" s="59"/>
      <c r="J758" s="59"/>
      <c r="K758" s="59"/>
      <c r="L758" s="59"/>
      <c r="M758" s="60"/>
      <c r="N758" s="60"/>
      <c r="O758" s="60"/>
      <c r="P758" s="59"/>
      <c r="Q758" s="59"/>
      <c r="R758" s="60"/>
      <c r="S758" s="60"/>
      <c r="T758" s="60"/>
      <c r="U758" s="60"/>
      <c r="V758" s="60"/>
      <c r="W758" s="60"/>
    </row>
    <row r="759" spans="1:23" ht="13" x14ac:dyDescent="0.3">
      <c r="A759" s="58"/>
      <c r="B759" s="58"/>
      <c r="C759" s="58"/>
      <c r="D759" s="58"/>
      <c r="E759" s="58"/>
      <c r="F759" s="58"/>
      <c r="G759" s="58"/>
      <c r="H759" s="59"/>
      <c r="I759" s="59"/>
      <c r="J759" s="59"/>
      <c r="K759" s="59"/>
      <c r="L759" s="59"/>
      <c r="M759" s="60"/>
      <c r="N759" s="60"/>
      <c r="O759" s="60"/>
      <c r="P759" s="59"/>
      <c r="Q759" s="59"/>
      <c r="R759" s="60"/>
      <c r="S759" s="60"/>
      <c r="T759" s="60"/>
      <c r="U759" s="60"/>
      <c r="V759" s="60"/>
      <c r="W759" s="60"/>
    </row>
    <row r="760" spans="1:23" ht="13" x14ac:dyDescent="0.3">
      <c r="A760" s="58"/>
      <c r="B760" s="58"/>
      <c r="C760" s="58"/>
      <c r="D760" s="58"/>
      <c r="E760" s="58"/>
      <c r="F760" s="58"/>
      <c r="G760" s="58"/>
      <c r="H760" s="59"/>
      <c r="I760" s="59"/>
      <c r="J760" s="59"/>
      <c r="K760" s="59"/>
      <c r="L760" s="59"/>
      <c r="M760" s="60"/>
      <c r="N760" s="60"/>
      <c r="O760" s="60"/>
      <c r="P760" s="59"/>
      <c r="Q760" s="59"/>
      <c r="R760" s="60"/>
      <c r="S760" s="60"/>
      <c r="T760" s="60"/>
      <c r="U760" s="60"/>
      <c r="V760" s="60"/>
      <c r="W760" s="60"/>
    </row>
    <row r="761" spans="1:23" ht="13" x14ac:dyDescent="0.3">
      <c r="A761" s="58"/>
      <c r="B761" s="58"/>
      <c r="C761" s="58"/>
      <c r="D761" s="58"/>
      <c r="E761" s="58"/>
      <c r="F761" s="58"/>
      <c r="G761" s="58"/>
      <c r="H761" s="59"/>
      <c r="I761" s="59"/>
      <c r="J761" s="59"/>
      <c r="K761" s="59"/>
      <c r="L761" s="59"/>
      <c r="M761" s="60"/>
      <c r="N761" s="60"/>
      <c r="O761" s="60"/>
      <c r="P761" s="59"/>
      <c r="Q761" s="59"/>
      <c r="R761" s="60"/>
      <c r="S761" s="60"/>
      <c r="T761" s="60"/>
      <c r="U761" s="60"/>
      <c r="V761" s="60"/>
      <c r="W761" s="60"/>
    </row>
    <row r="762" spans="1:23" ht="13" x14ac:dyDescent="0.3">
      <c r="A762" s="58"/>
      <c r="B762" s="58"/>
      <c r="C762" s="58"/>
      <c r="D762" s="58"/>
      <c r="E762" s="58"/>
      <c r="F762" s="58"/>
      <c r="G762" s="58"/>
      <c r="H762" s="59"/>
      <c r="I762" s="59"/>
      <c r="J762" s="59"/>
      <c r="K762" s="59"/>
      <c r="L762" s="59"/>
      <c r="M762" s="60"/>
      <c r="N762" s="60"/>
      <c r="O762" s="60"/>
      <c r="P762" s="59"/>
      <c r="Q762" s="59"/>
      <c r="R762" s="60"/>
      <c r="S762" s="60"/>
      <c r="T762" s="60"/>
      <c r="U762" s="60"/>
      <c r="V762" s="60"/>
      <c r="W762" s="60"/>
    </row>
    <row r="763" spans="1:23" ht="13" x14ac:dyDescent="0.3">
      <c r="A763" s="58"/>
      <c r="B763" s="58"/>
      <c r="C763" s="58"/>
      <c r="D763" s="58"/>
      <c r="E763" s="58"/>
      <c r="F763" s="58"/>
      <c r="G763" s="58"/>
      <c r="H763" s="59"/>
      <c r="I763" s="59"/>
      <c r="J763" s="59"/>
      <c r="K763" s="59"/>
      <c r="L763" s="59"/>
      <c r="M763" s="60"/>
      <c r="N763" s="60"/>
      <c r="O763" s="60"/>
      <c r="P763" s="59"/>
      <c r="Q763" s="59"/>
      <c r="R763" s="60"/>
      <c r="S763" s="60"/>
      <c r="T763" s="60"/>
      <c r="U763" s="60"/>
      <c r="V763" s="60"/>
      <c r="W763" s="60"/>
    </row>
    <row r="764" spans="1:23" ht="13" x14ac:dyDescent="0.3">
      <c r="A764" s="58"/>
      <c r="B764" s="58"/>
      <c r="C764" s="58"/>
      <c r="D764" s="58"/>
      <c r="E764" s="58"/>
      <c r="F764" s="58"/>
      <c r="G764" s="58"/>
      <c r="H764" s="59"/>
      <c r="I764" s="59"/>
      <c r="J764" s="59"/>
      <c r="K764" s="59"/>
      <c r="L764" s="59"/>
      <c r="M764" s="60"/>
      <c r="N764" s="60"/>
      <c r="O764" s="60"/>
      <c r="P764" s="59"/>
      <c r="Q764" s="59"/>
      <c r="R764" s="60"/>
      <c r="S764" s="60"/>
      <c r="T764" s="60"/>
      <c r="U764" s="60"/>
      <c r="V764" s="60"/>
      <c r="W764" s="60"/>
    </row>
    <row r="765" spans="1:23" ht="13" x14ac:dyDescent="0.3">
      <c r="A765" s="58"/>
      <c r="B765" s="58"/>
      <c r="C765" s="58"/>
      <c r="D765" s="58"/>
      <c r="E765" s="58"/>
      <c r="F765" s="58"/>
      <c r="G765" s="58"/>
      <c r="H765" s="59"/>
      <c r="I765" s="59"/>
      <c r="J765" s="59"/>
      <c r="K765" s="59"/>
      <c r="L765" s="59"/>
      <c r="M765" s="60"/>
      <c r="N765" s="60"/>
      <c r="O765" s="60"/>
      <c r="P765" s="59"/>
      <c r="Q765" s="59"/>
      <c r="R765" s="60"/>
      <c r="S765" s="60"/>
      <c r="T765" s="60"/>
      <c r="U765" s="60"/>
      <c r="V765" s="60"/>
      <c r="W765" s="60"/>
    </row>
    <row r="766" spans="1:23" ht="13" x14ac:dyDescent="0.3">
      <c r="A766" s="58"/>
      <c r="B766" s="58"/>
      <c r="C766" s="58"/>
      <c r="D766" s="58"/>
      <c r="E766" s="58"/>
      <c r="F766" s="58"/>
      <c r="G766" s="58"/>
      <c r="H766" s="59"/>
      <c r="I766" s="59"/>
      <c r="J766" s="59"/>
      <c r="K766" s="59"/>
      <c r="L766" s="59"/>
      <c r="M766" s="60"/>
      <c r="N766" s="60"/>
      <c r="O766" s="60"/>
      <c r="P766" s="59"/>
      <c r="Q766" s="59"/>
      <c r="R766" s="60"/>
      <c r="S766" s="60"/>
      <c r="T766" s="60"/>
      <c r="U766" s="60"/>
      <c r="V766" s="60"/>
      <c r="W766" s="60"/>
    </row>
    <row r="767" spans="1:23" ht="13" x14ac:dyDescent="0.3">
      <c r="A767" s="58"/>
      <c r="B767" s="58"/>
      <c r="C767" s="58"/>
      <c r="D767" s="58"/>
      <c r="E767" s="58"/>
      <c r="F767" s="58"/>
      <c r="G767" s="58"/>
      <c r="H767" s="59"/>
      <c r="I767" s="59"/>
      <c r="J767" s="59"/>
      <c r="K767" s="59"/>
      <c r="L767" s="59"/>
      <c r="M767" s="60"/>
      <c r="N767" s="60"/>
      <c r="O767" s="60"/>
      <c r="P767" s="59"/>
      <c r="Q767" s="59"/>
      <c r="R767" s="60"/>
      <c r="S767" s="60"/>
      <c r="T767" s="60"/>
      <c r="U767" s="60"/>
      <c r="V767" s="60"/>
      <c r="W767" s="60"/>
    </row>
    <row r="768" spans="1:23" ht="13" x14ac:dyDescent="0.3">
      <c r="A768" s="58"/>
      <c r="B768" s="58"/>
      <c r="C768" s="58"/>
      <c r="D768" s="58"/>
      <c r="E768" s="58"/>
      <c r="F768" s="58"/>
      <c r="G768" s="58"/>
      <c r="H768" s="59"/>
      <c r="I768" s="59"/>
      <c r="J768" s="59"/>
      <c r="K768" s="59"/>
      <c r="L768" s="59"/>
      <c r="M768" s="60"/>
      <c r="N768" s="60"/>
      <c r="O768" s="60"/>
      <c r="P768" s="59"/>
      <c r="Q768" s="59"/>
      <c r="R768" s="60"/>
      <c r="S768" s="60"/>
      <c r="T768" s="60"/>
      <c r="U768" s="60"/>
      <c r="V768" s="60"/>
      <c r="W768" s="60"/>
    </row>
    <row r="769" spans="1:23" ht="13" x14ac:dyDescent="0.3">
      <c r="A769" s="58"/>
      <c r="B769" s="58"/>
      <c r="C769" s="58"/>
      <c r="D769" s="58"/>
      <c r="E769" s="58"/>
      <c r="F769" s="58"/>
      <c r="G769" s="58"/>
      <c r="H769" s="59"/>
      <c r="I769" s="59"/>
      <c r="J769" s="59"/>
      <c r="K769" s="59"/>
      <c r="L769" s="59"/>
      <c r="M769" s="60"/>
      <c r="N769" s="60"/>
      <c r="O769" s="60"/>
      <c r="P769" s="59"/>
      <c r="Q769" s="59"/>
      <c r="R769" s="60"/>
      <c r="S769" s="60"/>
      <c r="T769" s="60"/>
      <c r="U769" s="60"/>
      <c r="V769" s="60"/>
      <c r="W769" s="60"/>
    </row>
    <row r="770" spans="1:23" ht="13" x14ac:dyDescent="0.3">
      <c r="A770" s="58"/>
      <c r="B770" s="58"/>
      <c r="C770" s="58"/>
      <c r="D770" s="58"/>
      <c r="E770" s="58"/>
      <c r="F770" s="58"/>
      <c r="G770" s="58"/>
      <c r="H770" s="59"/>
      <c r="I770" s="59"/>
      <c r="J770" s="59"/>
      <c r="K770" s="59"/>
      <c r="L770" s="59"/>
      <c r="M770" s="60"/>
      <c r="N770" s="60"/>
      <c r="O770" s="60"/>
      <c r="P770" s="59"/>
      <c r="Q770" s="59"/>
      <c r="R770" s="60"/>
      <c r="S770" s="60"/>
      <c r="T770" s="60"/>
      <c r="U770" s="60"/>
      <c r="V770" s="60"/>
      <c r="W770" s="60"/>
    </row>
    <row r="771" spans="1:23" ht="13" x14ac:dyDescent="0.3">
      <c r="A771" s="58"/>
      <c r="B771" s="58"/>
      <c r="C771" s="58"/>
      <c r="D771" s="58"/>
      <c r="E771" s="58"/>
      <c r="F771" s="58"/>
      <c r="G771" s="58"/>
      <c r="H771" s="59"/>
      <c r="I771" s="59"/>
      <c r="J771" s="59"/>
      <c r="K771" s="59"/>
      <c r="L771" s="59"/>
      <c r="M771" s="60"/>
      <c r="N771" s="60"/>
      <c r="O771" s="60"/>
      <c r="P771" s="59"/>
      <c r="Q771" s="59"/>
      <c r="R771" s="60"/>
      <c r="S771" s="60"/>
      <c r="T771" s="60"/>
      <c r="U771" s="60"/>
      <c r="V771" s="60"/>
      <c r="W771" s="60"/>
    </row>
    <row r="772" spans="1:23" ht="13" x14ac:dyDescent="0.3">
      <c r="A772" s="58"/>
      <c r="B772" s="58"/>
      <c r="C772" s="58"/>
      <c r="D772" s="58"/>
      <c r="E772" s="58"/>
      <c r="F772" s="58"/>
      <c r="G772" s="58"/>
      <c r="H772" s="59"/>
      <c r="I772" s="59"/>
      <c r="J772" s="59"/>
      <c r="K772" s="59"/>
      <c r="L772" s="59"/>
      <c r="M772" s="60"/>
      <c r="N772" s="60"/>
      <c r="O772" s="60"/>
      <c r="P772" s="59"/>
      <c r="Q772" s="59"/>
      <c r="R772" s="60"/>
      <c r="S772" s="60"/>
      <c r="T772" s="60"/>
      <c r="U772" s="60"/>
      <c r="V772" s="60"/>
      <c r="W772" s="60"/>
    </row>
    <row r="773" spans="1:23" ht="13" x14ac:dyDescent="0.3">
      <c r="A773" s="58"/>
      <c r="B773" s="58"/>
      <c r="C773" s="58"/>
      <c r="D773" s="58"/>
      <c r="E773" s="58"/>
      <c r="F773" s="58"/>
      <c r="G773" s="58"/>
      <c r="H773" s="59"/>
      <c r="I773" s="59"/>
      <c r="J773" s="59"/>
      <c r="K773" s="59"/>
      <c r="L773" s="59"/>
      <c r="M773" s="60"/>
      <c r="N773" s="60"/>
      <c r="O773" s="60"/>
      <c r="P773" s="59"/>
      <c r="Q773" s="59"/>
      <c r="R773" s="60"/>
      <c r="S773" s="60"/>
      <c r="T773" s="60"/>
      <c r="U773" s="60"/>
      <c r="V773" s="60"/>
      <c r="W773" s="60"/>
    </row>
    <row r="774" spans="1:23" ht="13" x14ac:dyDescent="0.3">
      <c r="A774" s="58"/>
      <c r="B774" s="58"/>
      <c r="C774" s="58"/>
      <c r="D774" s="58"/>
      <c r="E774" s="58"/>
      <c r="F774" s="58"/>
      <c r="G774" s="58"/>
      <c r="H774" s="59"/>
      <c r="I774" s="59"/>
      <c r="J774" s="59"/>
      <c r="K774" s="59"/>
      <c r="L774" s="59"/>
      <c r="M774" s="60"/>
      <c r="N774" s="60"/>
      <c r="O774" s="60"/>
      <c r="P774" s="59"/>
      <c r="Q774" s="59"/>
      <c r="R774" s="60"/>
      <c r="S774" s="60"/>
      <c r="T774" s="60"/>
      <c r="U774" s="60"/>
      <c r="V774" s="60"/>
      <c r="W774" s="60"/>
    </row>
    <row r="775" spans="1:23" ht="13" x14ac:dyDescent="0.3">
      <c r="A775" s="58"/>
      <c r="B775" s="58"/>
      <c r="C775" s="58"/>
      <c r="D775" s="58"/>
      <c r="E775" s="58"/>
      <c r="F775" s="58"/>
      <c r="G775" s="58"/>
      <c r="H775" s="59"/>
      <c r="I775" s="59"/>
      <c r="J775" s="59"/>
      <c r="K775" s="59"/>
      <c r="L775" s="59"/>
      <c r="M775" s="60"/>
      <c r="N775" s="60"/>
      <c r="O775" s="60"/>
      <c r="P775" s="59"/>
      <c r="Q775" s="59"/>
      <c r="R775" s="60"/>
      <c r="S775" s="60"/>
      <c r="T775" s="60"/>
      <c r="U775" s="60"/>
      <c r="V775" s="60"/>
      <c r="W775" s="60"/>
    </row>
    <row r="776" spans="1:23" ht="13" x14ac:dyDescent="0.3">
      <c r="A776" s="58"/>
      <c r="B776" s="58"/>
      <c r="C776" s="58"/>
      <c r="D776" s="58"/>
      <c r="E776" s="58"/>
      <c r="F776" s="58"/>
      <c r="G776" s="58"/>
      <c r="H776" s="59"/>
      <c r="I776" s="59"/>
      <c r="J776" s="59"/>
      <c r="K776" s="59"/>
      <c r="L776" s="59"/>
      <c r="M776" s="60"/>
      <c r="N776" s="60"/>
      <c r="O776" s="60"/>
      <c r="P776" s="59"/>
      <c r="Q776" s="59"/>
      <c r="R776" s="60"/>
      <c r="S776" s="60"/>
      <c r="T776" s="60"/>
      <c r="U776" s="60"/>
      <c r="V776" s="60"/>
      <c r="W776" s="60"/>
    </row>
    <row r="777" spans="1:23" ht="13" x14ac:dyDescent="0.3">
      <c r="A777" s="58"/>
      <c r="B777" s="58"/>
      <c r="C777" s="58"/>
      <c r="D777" s="58"/>
      <c r="E777" s="58"/>
      <c r="F777" s="58"/>
      <c r="G777" s="58"/>
      <c r="H777" s="59"/>
      <c r="I777" s="59"/>
      <c r="J777" s="59"/>
      <c r="K777" s="59"/>
      <c r="L777" s="59"/>
      <c r="M777" s="60"/>
      <c r="N777" s="60"/>
      <c r="O777" s="60"/>
      <c r="P777" s="59"/>
      <c r="Q777" s="59"/>
      <c r="R777" s="60"/>
      <c r="S777" s="60"/>
      <c r="T777" s="60"/>
      <c r="U777" s="60"/>
      <c r="V777" s="60"/>
      <c r="W777" s="60"/>
    </row>
    <row r="778" spans="1:23" ht="13" x14ac:dyDescent="0.3">
      <c r="A778" s="58"/>
      <c r="B778" s="58"/>
      <c r="C778" s="58"/>
      <c r="D778" s="58"/>
      <c r="E778" s="58"/>
      <c r="F778" s="58"/>
      <c r="G778" s="58"/>
      <c r="H778" s="59"/>
      <c r="I778" s="59"/>
      <c r="J778" s="59"/>
      <c r="K778" s="59"/>
      <c r="L778" s="59"/>
      <c r="M778" s="60"/>
      <c r="N778" s="60"/>
      <c r="O778" s="60"/>
      <c r="P778" s="59"/>
      <c r="Q778" s="59"/>
      <c r="R778" s="60"/>
      <c r="S778" s="60"/>
      <c r="T778" s="60"/>
      <c r="U778" s="60"/>
      <c r="V778" s="60"/>
      <c r="W778" s="60"/>
    </row>
    <row r="779" spans="1:23" ht="13" x14ac:dyDescent="0.3">
      <c r="A779" s="58"/>
      <c r="B779" s="58"/>
      <c r="C779" s="58"/>
      <c r="D779" s="58"/>
      <c r="E779" s="58"/>
      <c r="F779" s="58"/>
      <c r="G779" s="58"/>
      <c r="H779" s="59"/>
      <c r="I779" s="59"/>
      <c r="J779" s="59"/>
      <c r="K779" s="59"/>
      <c r="L779" s="59"/>
      <c r="M779" s="60"/>
      <c r="N779" s="60"/>
      <c r="O779" s="60"/>
      <c r="P779" s="59"/>
      <c r="Q779" s="59"/>
      <c r="R779" s="60"/>
      <c r="S779" s="60"/>
      <c r="T779" s="60"/>
      <c r="U779" s="60"/>
      <c r="V779" s="60"/>
      <c r="W779" s="60"/>
    </row>
    <row r="780" spans="1:23" ht="13" x14ac:dyDescent="0.3">
      <c r="A780" s="58"/>
      <c r="B780" s="58"/>
      <c r="C780" s="58"/>
      <c r="D780" s="58"/>
      <c r="E780" s="58"/>
      <c r="F780" s="58"/>
      <c r="G780" s="58"/>
      <c r="H780" s="59"/>
      <c r="I780" s="59"/>
      <c r="J780" s="59"/>
      <c r="K780" s="59"/>
      <c r="L780" s="59"/>
      <c r="M780" s="60"/>
      <c r="N780" s="60"/>
      <c r="O780" s="60"/>
      <c r="P780" s="59"/>
      <c r="Q780" s="59"/>
      <c r="R780" s="60"/>
      <c r="S780" s="60"/>
      <c r="T780" s="60"/>
      <c r="U780" s="60"/>
      <c r="V780" s="60"/>
      <c r="W780" s="60"/>
    </row>
    <row r="781" spans="1:23" ht="13" x14ac:dyDescent="0.3">
      <c r="A781" s="58"/>
      <c r="B781" s="58"/>
      <c r="C781" s="58"/>
      <c r="D781" s="58"/>
      <c r="E781" s="58"/>
      <c r="F781" s="58"/>
      <c r="G781" s="58"/>
      <c r="H781" s="59"/>
      <c r="I781" s="59"/>
      <c r="J781" s="59"/>
      <c r="K781" s="59"/>
      <c r="L781" s="59"/>
      <c r="M781" s="60"/>
      <c r="N781" s="60"/>
      <c r="O781" s="60"/>
      <c r="P781" s="59"/>
      <c r="Q781" s="59"/>
      <c r="R781" s="60"/>
      <c r="S781" s="60"/>
      <c r="T781" s="60"/>
      <c r="U781" s="60"/>
      <c r="V781" s="60"/>
      <c r="W781" s="60"/>
    </row>
    <row r="782" spans="1:23" ht="13" x14ac:dyDescent="0.3">
      <c r="A782" s="58"/>
      <c r="B782" s="58"/>
      <c r="C782" s="58"/>
      <c r="D782" s="58"/>
      <c r="E782" s="58"/>
      <c r="F782" s="58"/>
      <c r="G782" s="58"/>
      <c r="H782" s="59"/>
      <c r="I782" s="59"/>
      <c r="J782" s="59"/>
      <c r="K782" s="59"/>
      <c r="L782" s="59"/>
      <c r="M782" s="60"/>
      <c r="N782" s="60"/>
      <c r="O782" s="60"/>
      <c r="P782" s="59"/>
      <c r="Q782" s="59"/>
      <c r="R782" s="60"/>
      <c r="S782" s="60"/>
      <c r="T782" s="60"/>
      <c r="U782" s="60"/>
      <c r="V782" s="60"/>
      <c r="W782" s="60"/>
    </row>
    <row r="783" spans="1:23" ht="13" x14ac:dyDescent="0.3">
      <c r="A783" s="58"/>
      <c r="B783" s="58"/>
      <c r="C783" s="58"/>
      <c r="D783" s="58"/>
      <c r="E783" s="58"/>
      <c r="F783" s="58"/>
      <c r="G783" s="58"/>
      <c r="H783" s="59"/>
      <c r="I783" s="59"/>
      <c r="J783" s="59"/>
      <c r="K783" s="59"/>
      <c r="L783" s="59"/>
      <c r="M783" s="60"/>
      <c r="N783" s="60"/>
      <c r="O783" s="60"/>
      <c r="P783" s="59"/>
      <c r="Q783" s="59"/>
      <c r="R783" s="60"/>
      <c r="S783" s="60"/>
      <c r="T783" s="60"/>
      <c r="U783" s="60"/>
      <c r="V783" s="60"/>
      <c r="W783" s="60"/>
    </row>
    <row r="784" spans="1:23" ht="13" x14ac:dyDescent="0.3">
      <c r="A784" s="58"/>
      <c r="B784" s="58"/>
      <c r="C784" s="58"/>
      <c r="D784" s="58"/>
      <c r="E784" s="58"/>
      <c r="F784" s="58"/>
      <c r="G784" s="58"/>
      <c r="H784" s="59"/>
      <c r="I784" s="59"/>
      <c r="J784" s="59"/>
      <c r="K784" s="59"/>
      <c r="L784" s="59"/>
      <c r="M784" s="60"/>
      <c r="N784" s="60"/>
      <c r="O784" s="60"/>
      <c r="P784" s="59"/>
      <c r="Q784" s="59"/>
      <c r="R784" s="60"/>
      <c r="S784" s="60"/>
      <c r="T784" s="60"/>
      <c r="U784" s="60"/>
      <c r="V784" s="60"/>
      <c r="W784" s="60"/>
    </row>
    <row r="785" spans="1:23" ht="13" x14ac:dyDescent="0.3">
      <c r="A785" s="58"/>
      <c r="B785" s="58"/>
      <c r="C785" s="58"/>
      <c r="D785" s="58"/>
      <c r="E785" s="58"/>
      <c r="F785" s="58"/>
      <c r="G785" s="58"/>
      <c r="H785" s="59"/>
      <c r="I785" s="59"/>
      <c r="J785" s="59"/>
      <c r="K785" s="59"/>
      <c r="L785" s="59"/>
      <c r="M785" s="60"/>
      <c r="N785" s="60"/>
      <c r="O785" s="60"/>
      <c r="P785" s="59"/>
      <c r="Q785" s="59"/>
      <c r="R785" s="60"/>
      <c r="S785" s="60"/>
      <c r="T785" s="60"/>
      <c r="U785" s="60"/>
      <c r="V785" s="60"/>
      <c r="W785" s="60"/>
    </row>
    <row r="786" spans="1:23" ht="13" x14ac:dyDescent="0.3">
      <c r="A786" s="58"/>
      <c r="B786" s="58"/>
      <c r="C786" s="58"/>
      <c r="D786" s="58"/>
      <c r="E786" s="58"/>
      <c r="F786" s="58"/>
      <c r="G786" s="58"/>
      <c r="H786" s="59"/>
      <c r="I786" s="59"/>
      <c r="J786" s="59"/>
      <c r="K786" s="59"/>
      <c r="L786" s="59"/>
      <c r="M786" s="60"/>
      <c r="N786" s="60"/>
      <c r="O786" s="60"/>
      <c r="P786" s="59"/>
      <c r="Q786" s="59"/>
      <c r="R786" s="60"/>
      <c r="S786" s="60"/>
      <c r="T786" s="60"/>
      <c r="U786" s="60"/>
      <c r="V786" s="60"/>
      <c r="W786" s="60"/>
    </row>
    <row r="787" spans="1:23" ht="13" x14ac:dyDescent="0.3">
      <c r="A787" s="58"/>
      <c r="B787" s="58"/>
      <c r="C787" s="58"/>
      <c r="D787" s="58"/>
      <c r="E787" s="58"/>
      <c r="F787" s="58"/>
      <c r="G787" s="58"/>
      <c r="H787" s="59"/>
      <c r="I787" s="59"/>
      <c r="J787" s="59"/>
      <c r="K787" s="59"/>
      <c r="L787" s="59"/>
      <c r="M787" s="60"/>
      <c r="N787" s="60"/>
      <c r="O787" s="60"/>
      <c r="P787" s="59"/>
      <c r="Q787" s="59"/>
      <c r="R787" s="60"/>
      <c r="S787" s="60"/>
      <c r="T787" s="60"/>
      <c r="U787" s="60"/>
      <c r="V787" s="60"/>
      <c r="W787" s="60"/>
    </row>
    <row r="788" spans="1:23" ht="13" x14ac:dyDescent="0.3">
      <c r="A788" s="58"/>
      <c r="B788" s="58"/>
      <c r="C788" s="58"/>
      <c r="D788" s="58"/>
      <c r="E788" s="58"/>
      <c r="F788" s="58"/>
      <c r="G788" s="58"/>
      <c r="H788" s="59"/>
      <c r="I788" s="59"/>
      <c r="J788" s="59"/>
      <c r="K788" s="59"/>
      <c r="L788" s="59"/>
      <c r="M788" s="60"/>
      <c r="N788" s="60"/>
      <c r="O788" s="60"/>
      <c r="P788" s="59"/>
      <c r="Q788" s="59"/>
      <c r="R788" s="60"/>
      <c r="S788" s="60"/>
      <c r="T788" s="60"/>
      <c r="U788" s="60"/>
      <c r="V788" s="60"/>
      <c r="W788" s="60"/>
    </row>
    <row r="789" spans="1:23" ht="13" x14ac:dyDescent="0.3">
      <c r="A789" s="58"/>
      <c r="B789" s="58"/>
      <c r="C789" s="58"/>
      <c r="D789" s="58"/>
      <c r="E789" s="58"/>
      <c r="F789" s="58"/>
      <c r="G789" s="58"/>
      <c r="H789" s="59"/>
      <c r="I789" s="59"/>
      <c r="J789" s="59"/>
      <c r="K789" s="59"/>
      <c r="L789" s="59"/>
      <c r="M789" s="60"/>
      <c r="N789" s="60"/>
      <c r="O789" s="60"/>
      <c r="P789" s="59"/>
      <c r="Q789" s="59"/>
      <c r="R789" s="60"/>
      <c r="S789" s="60"/>
      <c r="T789" s="60"/>
      <c r="U789" s="60"/>
      <c r="V789" s="60"/>
      <c r="W789" s="60"/>
    </row>
    <row r="790" spans="1:23" ht="13" x14ac:dyDescent="0.3">
      <c r="A790" s="58"/>
      <c r="B790" s="58"/>
      <c r="C790" s="58"/>
      <c r="D790" s="58"/>
      <c r="E790" s="58"/>
      <c r="F790" s="58"/>
      <c r="G790" s="58"/>
      <c r="H790" s="59"/>
      <c r="I790" s="59"/>
      <c r="J790" s="59"/>
      <c r="K790" s="59"/>
      <c r="L790" s="59"/>
      <c r="M790" s="60"/>
      <c r="N790" s="60"/>
      <c r="O790" s="60"/>
      <c r="P790" s="59"/>
      <c r="Q790" s="59"/>
      <c r="R790" s="60"/>
      <c r="S790" s="60"/>
      <c r="T790" s="60"/>
      <c r="U790" s="60"/>
      <c r="V790" s="60"/>
      <c r="W790" s="60"/>
    </row>
    <row r="791" spans="1:23" ht="13" x14ac:dyDescent="0.3">
      <c r="A791" s="58"/>
      <c r="B791" s="58"/>
      <c r="C791" s="58"/>
      <c r="D791" s="58"/>
      <c r="E791" s="58"/>
      <c r="F791" s="58"/>
      <c r="G791" s="58"/>
      <c r="H791" s="59"/>
      <c r="I791" s="59"/>
      <c r="J791" s="59"/>
      <c r="K791" s="59"/>
      <c r="L791" s="59"/>
      <c r="M791" s="60"/>
      <c r="N791" s="60"/>
      <c r="O791" s="60"/>
      <c r="P791" s="59"/>
      <c r="Q791" s="59"/>
      <c r="R791" s="60"/>
      <c r="S791" s="60"/>
      <c r="T791" s="60"/>
      <c r="U791" s="60"/>
      <c r="V791" s="60"/>
      <c r="W791" s="60"/>
    </row>
    <row r="792" spans="1:23" ht="13" x14ac:dyDescent="0.3">
      <c r="A792" s="58"/>
      <c r="B792" s="58"/>
      <c r="C792" s="58"/>
      <c r="D792" s="58"/>
      <c r="E792" s="58"/>
      <c r="F792" s="58"/>
      <c r="G792" s="58"/>
      <c r="H792" s="59"/>
      <c r="I792" s="59"/>
      <c r="J792" s="59"/>
      <c r="K792" s="59"/>
      <c r="L792" s="59"/>
      <c r="M792" s="60"/>
      <c r="N792" s="60"/>
      <c r="O792" s="60"/>
      <c r="P792" s="59"/>
      <c r="Q792" s="59"/>
      <c r="R792" s="60"/>
      <c r="S792" s="60"/>
      <c r="T792" s="60"/>
      <c r="U792" s="60"/>
      <c r="V792" s="60"/>
      <c r="W792" s="60"/>
    </row>
    <row r="793" spans="1:23" ht="13" x14ac:dyDescent="0.3">
      <c r="A793" s="58"/>
      <c r="B793" s="58"/>
      <c r="C793" s="58"/>
      <c r="D793" s="58"/>
      <c r="E793" s="58"/>
      <c r="F793" s="58"/>
      <c r="G793" s="58"/>
      <c r="H793" s="59"/>
      <c r="I793" s="59"/>
      <c r="J793" s="59"/>
      <c r="K793" s="59"/>
      <c r="L793" s="59"/>
      <c r="M793" s="60"/>
      <c r="N793" s="60"/>
      <c r="O793" s="60"/>
      <c r="P793" s="59"/>
      <c r="Q793" s="59"/>
      <c r="R793" s="60"/>
      <c r="S793" s="60"/>
      <c r="T793" s="60"/>
      <c r="U793" s="60"/>
      <c r="V793" s="60"/>
      <c r="W793" s="60"/>
    </row>
    <row r="794" spans="1:23" ht="13" x14ac:dyDescent="0.3">
      <c r="A794" s="58"/>
      <c r="B794" s="58"/>
      <c r="C794" s="58"/>
      <c r="D794" s="58"/>
      <c r="E794" s="58"/>
      <c r="F794" s="58"/>
      <c r="G794" s="58"/>
      <c r="H794" s="59"/>
      <c r="I794" s="59"/>
      <c r="J794" s="59"/>
      <c r="K794" s="59"/>
      <c r="L794" s="59"/>
      <c r="M794" s="60"/>
      <c r="N794" s="60"/>
      <c r="O794" s="60"/>
      <c r="P794" s="59"/>
      <c r="Q794" s="59"/>
      <c r="R794" s="60"/>
      <c r="S794" s="60"/>
      <c r="T794" s="60"/>
      <c r="U794" s="60"/>
      <c r="V794" s="60"/>
      <c r="W794" s="60"/>
    </row>
    <row r="795" spans="1:23" ht="13" x14ac:dyDescent="0.3">
      <c r="A795" s="58"/>
      <c r="B795" s="58"/>
      <c r="C795" s="58"/>
      <c r="D795" s="58"/>
      <c r="E795" s="58"/>
      <c r="F795" s="58"/>
      <c r="G795" s="58"/>
      <c r="H795" s="59"/>
      <c r="I795" s="59"/>
      <c r="J795" s="59"/>
      <c r="K795" s="59"/>
      <c r="L795" s="59"/>
      <c r="M795" s="60"/>
      <c r="N795" s="60"/>
      <c r="O795" s="60"/>
      <c r="P795" s="59"/>
      <c r="Q795" s="59"/>
      <c r="R795" s="60"/>
      <c r="S795" s="60"/>
      <c r="T795" s="60"/>
      <c r="U795" s="60"/>
      <c r="V795" s="60"/>
      <c r="W795" s="60"/>
    </row>
    <row r="796" spans="1:23" ht="13" x14ac:dyDescent="0.3">
      <c r="A796" s="58"/>
      <c r="B796" s="58"/>
      <c r="C796" s="58"/>
      <c r="D796" s="58"/>
      <c r="E796" s="58"/>
      <c r="F796" s="58"/>
      <c r="G796" s="58"/>
      <c r="H796" s="59"/>
      <c r="I796" s="59"/>
      <c r="J796" s="59"/>
      <c r="K796" s="59"/>
      <c r="L796" s="59"/>
      <c r="M796" s="60"/>
      <c r="N796" s="60"/>
      <c r="O796" s="60"/>
      <c r="P796" s="59"/>
      <c r="Q796" s="59"/>
      <c r="R796" s="60"/>
      <c r="S796" s="60"/>
      <c r="T796" s="60"/>
      <c r="U796" s="60"/>
      <c r="V796" s="60"/>
      <c r="W796" s="60"/>
    </row>
    <row r="797" spans="1:23" ht="13" x14ac:dyDescent="0.3">
      <c r="A797" s="58"/>
      <c r="B797" s="58"/>
      <c r="C797" s="58"/>
      <c r="D797" s="58"/>
      <c r="E797" s="58"/>
      <c r="F797" s="58"/>
      <c r="G797" s="58"/>
      <c r="H797" s="59"/>
      <c r="I797" s="59"/>
      <c r="J797" s="59"/>
      <c r="K797" s="59"/>
      <c r="L797" s="59"/>
      <c r="M797" s="60"/>
      <c r="N797" s="60"/>
      <c r="O797" s="60"/>
      <c r="P797" s="59"/>
      <c r="Q797" s="59"/>
      <c r="R797" s="60"/>
      <c r="S797" s="60"/>
      <c r="T797" s="60"/>
      <c r="U797" s="60"/>
      <c r="V797" s="60"/>
      <c r="W797" s="60"/>
    </row>
    <row r="798" spans="1:23" ht="13" x14ac:dyDescent="0.3">
      <c r="A798" s="58"/>
      <c r="B798" s="58"/>
      <c r="C798" s="58"/>
      <c r="D798" s="58"/>
      <c r="E798" s="58"/>
      <c r="F798" s="58"/>
      <c r="G798" s="58"/>
      <c r="H798" s="59"/>
      <c r="I798" s="59"/>
      <c r="J798" s="59"/>
      <c r="K798" s="59"/>
      <c r="L798" s="59"/>
      <c r="M798" s="60"/>
      <c r="N798" s="60"/>
      <c r="O798" s="60"/>
      <c r="P798" s="59"/>
      <c r="Q798" s="59"/>
      <c r="R798" s="60"/>
      <c r="S798" s="60"/>
      <c r="T798" s="60"/>
      <c r="U798" s="60"/>
      <c r="V798" s="60"/>
      <c r="W798" s="60"/>
    </row>
    <row r="799" spans="1:23" ht="13" x14ac:dyDescent="0.3">
      <c r="A799" s="58"/>
      <c r="B799" s="58"/>
      <c r="C799" s="58"/>
      <c r="D799" s="58"/>
      <c r="E799" s="58"/>
      <c r="F799" s="58"/>
      <c r="G799" s="58"/>
      <c r="H799" s="59"/>
      <c r="I799" s="59"/>
      <c r="J799" s="59"/>
      <c r="K799" s="59"/>
      <c r="L799" s="59"/>
      <c r="M799" s="60"/>
      <c r="N799" s="60"/>
      <c r="O799" s="60"/>
      <c r="P799" s="59"/>
      <c r="Q799" s="59"/>
      <c r="R799" s="60"/>
      <c r="S799" s="60"/>
      <c r="T799" s="60"/>
      <c r="U799" s="60"/>
      <c r="V799" s="60"/>
      <c r="W799" s="60"/>
    </row>
    <row r="800" spans="1:23" ht="13" x14ac:dyDescent="0.3">
      <c r="A800" s="58"/>
      <c r="B800" s="58"/>
      <c r="C800" s="58"/>
      <c r="D800" s="58"/>
      <c r="E800" s="58"/>
      <c r="F800" s="58"/>
      <c r="G800" s="58"/>
      <c r="H800" s="59"/>
      <c r="I800" s="59"/>
      <c r="J800" s="59"/>
      <c r="K800" s="59"/>
      <c r="L800" s="59"/>
      <c r="M800" s="60"/>
      <c r="N800" s="60"/>
      <c r="O800" s="60"/>
      <c r="P800" s="59"/>
      <c r="Q800" s="59"/>
      <c r="R800" s="60"/>
      <c r="S800" s="60"/>
      <c r="T800" s="60"/>
      <c r="U800" s="60"/>
      <c r="V800" s="60"/>
      <c r="W800" s="60"/>
    </row>
    <row r="801" spans="1:23" ht="13" x14ac:dyDescent="0.3">
      <c r="A801" s="58"/>
      <c r="B801" s="58"/>
      <c r="C801" s="58"/>
      <c r="D801" s="58"/>
      <c r="E801" s="58"/>
      <c r="F801" s="58"/>
      <c r="G801" s="58"/>
      <c r="H801" s="59"/>
      <c r="I801" s="59"/>
      <c r="J801" s="59"/>
      <c r="K801" s="59"/>
      <c r="L801" s="59"/>
      <c r="M801" s="60"/>
      <c r="N801" s="60"/>
      <c r="O801" s="60"/>
      <c r="P801" s="59"/>
      <c r="Q801" s="59"/>
      <c r="R801" s="60"/>
      <c r="S801" s="60"/>
      <c r="T801" s="60"/>
      <c r="U801" s="60"/>
      <c r="V801" s="60"/>
      <c r="W801" s="60"/>
    </row>
    <row r="802" spans="1:23" ht="13" x14ac:dyDescent="0.3">
      <c r="A802" s="58"/>
      <c r="B802" s="58"/>
      <c r="C802" s="58"/>
      <c r="D802" s="58"/>
      <c r="E802" s="58"/>
      <c r="F802" s="58"/>
      <c r="G802" s="58"/>
      <c r="H802" s="59"/>
      <c r="I802" s="59"/>
      <c r="J802" s="59"/>
      <c r="K802" s="59"/>
      <c r="L802" s="59"/>
      <c r="M802" s="60"/>
      <c r="N802" s="60"/>
      <c r="O802" s="60"/>
      <c r="P802" s="59"/>
      <c r="Q802" s="59"/>
      <c r="R802" s="60"/>
      <c r="S802" s="60"/>
      <c r="T802" s="60"/>
      <c r="U802" s="60"/>
      <c r="V802" s="60"/>
      <c r="W802" s="60"/>
    </row>
    <row r="803" spans="1:23" ht="13" x14ac:dyDescent="0.3">
      <c r="A803" s="58"/>
      <c r="B803" s="58"/>
      <c r="C803" s="58"/>
      <c r="D803" s="58"/>
      <c r="E803" s="58"/>
      <c r="F803" s="58"/>
      <c r="G803" s="58"/>
      <c r="H803" s="59"/>
      <c r="I803" s="59"/>
      <c r="J803" s="59"/>
      <c r="K803" s="59"/>
      <c r="L803" s="59"/>
      <c r="M803" s="60"/>
      <c r="N803" s="60"/>
      <c r="O803" s="60"/>
      <c r="P803" s="59"/>
      <c r="Q803" s="59"/>
      <c r="R803" s="60"/>
      <c r="S803" s="60"/>
      <c r="T803" s="60"/>
      <c r="U803" s="60"/>
      <c r="V803" s="60"/>
      <c r="W803" s="60"/>
    </row>
    <row r="804" spans="1:23" ht="13" x14ac:dyDescent="0.3">
      <c r="A804" s="58"/>
      <c r="B804" s="58"/>
      <c r="C804" s="58"/>
      <c r="D804" s="58"/>
      <c r="E804" s="58"/>
      <c r="F804" s="58"/>
      <c r="G804" s="58"/>
      <c r="H804" s="59"/>
      <c r="I804" s="59"/>
      <c r="J804" s="59"/>
      <c r="K804" s="59"/>
      <c r="L804" s="59"/>
      <c r="M804" s="60"/>
      <c r="N804" s="60"/>
      <c r="O804" s="60"/>
      <c r="P804" s="59"/>
      <c r="Q804" s="59"/>
      <c r="R804" s="60"/>
      <c r="S804" s="60"/>
      <c r="T804" s="60"/>
      <c r="U804" s="60"/>
      <c r="V804" s="60"/>
      <c r="W804" s="60"/>
    </row>
    <row r="805" spans="1:23" ht="13" x14ac:dyDescent="0.3">
      <c r="A805" s="58"/>
      <c r="B805" s="58"/>
      <c r="C805" s="58"/>
      <c r="D805" s="58"/>
      <c r="E805" s="58"/>
      <c r="F805" s="58"/>
      <c r="G805" s="58"/>
      <c r="H805" s="59"/>
      <c r="I805" s="59"/>
      <c r="J805" s="59"/>
      <c r="K805" s="59"/>
      <c r="L805" s="59"/>
      <c r="M805" s="60"/>
      <c r="N805" s="60"/>
      <c r="O805" s="60"/>
      <c r="P805" s="59"/>
      <c r="Q805" s="59"/>
      <c r="R805" s="60"/>
      <c r="S805" s="60"/>
      <c r="T805" s="60"/>
      <c r="U805" s="60"/>
      <c r="V805" s="60"/>
      <c r="W805" s="60"/>
    </row>
    <row r="806" spans="1:23" ht="13" x14ac:dyDescent="0.3">
      <c r="A806" s="58"/>
      <c r="B806" s="58"/>
      <c r="C806" s="58"/>
      <c r="D806" s="58"/>
      <c r="E806" s="58"/>
      <c r="F806" s="58"/>
      <c r="G806" s="58"/>
      <c r="H806" s="59"/>
      <c r="I806" s="59"/>
      <c r="J806" s="59"/>
      <c r="K806" s="59"/>
      <c r="L806" s="59"/>
      <c r="M806" s="60"/>
      <c r="N806" s="60"/>
      <c r="O806" s="60"/>
      <c r="P806" s="59"/>
      <c r="Q806" s="59"/>
      <c r="R806" s="60"/>
      <c r="S806" s="60"/>
      <c r="T806" s="60"/>
      <c r="U806" s="60"/>
      <c r="V806" s="60"/>
      <c r="W806" s="60"/>
    </row>
    <row r="807" spans="1:23" ht="13" x14ac:dyDescent="0.3">
      <c r="A807" s="58"/>
      <c r="B807" s="58"/>
      <c r="C807" s="58"/>
      <c r="D807" s="58"/>
      <c r="E807" s="58"/>
      <c r="F807" s="58"/>
      <c r="G807" s="58"/>
      <c r="H807" s="59"/>
      <c r="I807" s="59"/>
      <c r="J807" s="59"/>
      <c r="K807" s="59"/>
      <c r="L807" s="59"/>
      <c r="M807" s="60"/>
      <c r="N807" s="60"/>
      <c r="O807" s="60"/>
      <c r="P807" s="59"/>
      <c r="Q807" s="59"/>
      <c r="R807" s="60"/>
      <c r="S807" s="60"/>
      <c r="T807" s="60"/>
      <c r="U807" s="60"/>
      <c r="V807" s="60"/>
      <c r="W807" s="60"/>
    </row>
    <row r="808" spans="1:23" ht="13" x14ac:dyDescent="0.3">
      <c r="A808" s="58"/>
      <c r="B808" s="58"/>
      <c r="C808" s="58"/>
      <c r="D808" s="58"/>
      <c r="E808" s="58"/>
      <c r="F808" s="58"/>
      <c r="G808" s="58"/>
      <c r="H808" s="59"/>
      <c r="I808" s="59"/>
      <c r="J808" s="59"/>
      <c r="K808" s="59"/>
      <c r="L808" s="59"/>
      <c r="M808" s="60"/>
      <c r="N808" s="60"/>
      <c r="O808" s="60"/>
      <c r="P808" s="59"/>
      <c r="Q808" s="59"/>
      <c r="R808" s="60"/>
      <c r="S808" s="60"/>
      <c r="T808" s="60"/>
      <c r="U808" s="60"/>
      <c r="V808" s="60"/>
      <c r="W808" s="60"/>
    </row>
    <row r="809" spans="1:23" ht="13" x14ac:dyDescent="0.3">
      <c r="A809" s="58"/>
      <c r="B809" s="58"/>
      <c r="C809" s="58"/>
      <c r="D809" s="58"/>
      <c r="E809" s="58"/>
      <c r="F809" s="58"/>
      <c r="G809" s="58"/>
      <c r="H809" s="59"/>
      <c r="I809" s="59"/>
      <c r="J809" s="59"/>
      <c r="K809" s="59"/>
      <c r="L809" s="59"/>
      <c r="M809" s="60"/>
      <c r="N809" s="60"/>
      <c r="O809" s="60"/>
      <c r="P809" s="59"/>
      <c r="Q809" s="59"/>
      <c r="R809" s="60"/>
      <c r="S809" s="60"/>
      <c r="T809" s="60"/>
      <c r="U809" s="60"/>
      <c r="V809" s="60"/>
      <c r="W809" s="60"/>
    </row>
    <row r="810" spans="1:23" ht="13" x14ac:dyDescent="0.3">
      <c r="A810" s="58"/>
      <c r="B810" s="58"/>
      <c r="C810" s="58"/>
      <c r="D810" s="58"/>
      <c r="E810" s="58"/>
      <c r="F810" s="58"/>
      <c r="G810" s="58"/>
      <c r="H810" s="59"/>
      <c r="I810" s="59"/>
      <c r="J810" s="59"/>
      <c r="K810" s="59"/>
      <c r="L810" s="59"/>
      <c r="M810" s="60"/>
      <c r="N810" s="60"/>
      <c r="O810" s="60"/>
      <c r="P810" s="59"/>
      <c r="Q810" s="59"/>
      <c r="R810" s="60"/>
      <c r="S810" s="60"/>
      <c r="T810" s="60"/>
      <c r="U810" s="60"/>
      <c r="V810" s="60"/>
      <c r="W810" s="60"/>
    </row>
    <row r="811" spans="1:23" ht="13" x14ac:dyDescent="0.3">
      <c r="A811" s="58"/>
      <c r="B811" s="58"/>
      <c r="C811" s="58"/>
      <c r="D811" s="58"/>
      <c r="E811" s="58"/>
      <c r="F811" s="58"/>
      <c r="G811" s="58"/>
      <c r="H811" s="59"/>
      <c r="I811" s="59"/>
      <c r="J811" s="59"/>
      <c r="K811" s="59"/>
      <c r="L811" s="59"/>
      <c r="M811" s="60"/>
      <c r="N811" s="60"/>
      <c r="O811" s="60"/>
      <c r="P811" s="59"/>
      <c r="Q811" s="59"/>
      <c r="R811" s="60"/>
      <c r="S811" s="60"/>
      <c r="T811" s="60"/>
      <c r="U811" s="60"/>
      <c r="V811" s="60"/>
      <c r="W811" s="60"/>
    </row>
    <row r="812" spans="1:23" ht="13" x14ac:dyDescent="0.3">
      <c r="A812" s="58"/>
      <c r="B812" s="58"/>
      <c r="C812" s="58"/>
      <c r="D812" s="58"/>
      <c r="E812" s="58"/>
      <c r="F812" s="58"/>
      <c r="G812" s="58"/>
      <c r="H812" s="59"/>
      <c r="I812" s="59"/>
      <c r="J812" s="59"/>
      <c r="K812" s="59"/>
      <c r="L812" s="59"/>
      <c r="M812" s="60"/>
      <c r="N812" s="60"/>
      <c r="O812" s="60"/>
      <c r="P812" s="59"/>
      <c r="Q812" s="59"/>
      <c r="R812" s="60"/>
      <c r="S812" s="60"/>
      <c r="T812" s="60"/>
      <c r="U812" s="60"/>
      <c r="V812" s="60"/>
      <c r="W812" s="60"/>
    </row>
    <row r="813" spans="1:23" ht="13" x14ac:dyDescent="0.3">
      <c r="A813" s="58"/>
      <c r="B813" s="58"/>
      <c r="C813" s="58"/>
      <c r="D813" s="58"/>
      <c r="E813" s="58"/>
      <c r="F813" s="58"/>
      <c r="G813" s="58"/>
      <c r="H813" s="59"/>
      <c r="I813" s="59"/>
      <c r="J813" s="59"/>
      <c r="K813" s="59"/>
      <c r="L813" s="59"/>
      <c r="M813" s="60"/>
      <c r="N813" s="60"/>
      <c r="O813" s="60"/>
      <c r="P813" s="59"/>
      <c r="Q813" s="59"/>
      <c r="R813" s="60"/>
      <c r="S813" s="60"/>
      <c r="T813" s="60"/>
      <c r="U813" s="60"/>
      <c r="V813" s="60"/>
      <c r="W813" s="60"/>
    </row>
    <row r="814" spans="1:23" ht="13" x14ac:dyDescent="0.3">
      <c r="A814" s="58"/>
      <c r="B814" s="58"/>
      <c r="C814" s="58"/>
      <c r="D814" s="58"/>
      <c r="E814" s="58"/>
      <c r="F814" s="58"/>
      <c r="G814" s="58"/>
      <c r="H814" s="59"/>
      <c r="I814" s="59"/>
      <c r="J814" s="59"/>
      <c r="K814" s="59"/>
      <c r="L814" s="59"/>
      <c r="M814" s="60"/>
      <c r="N814" s="60"/>
      <c r="O814" s="60"/>
      <c r="P814" s="59"/>
      <c r="Q814" s="59"/>
      <c r="R814" s="60"/>
      <c r="S814" s="60"/>
      <c r="T814" s="60"/>
      <c r="U814" s="60"/>
      <c r="V814" s="60"/>
      <c r="W814" s="60"/>
    </row>
    <row r="815" spans="1:23" ht="13" x14ac:dyDescent="0.3">
      <c r="A815" s="58"/>
      <c r="B815" s="58"/>
      <c r="C815" s="58"/>
      <c r="D815" s="58"/>
      <c r="E815" s="58"/>
      <c r="F815" s="58"/>
      <c r="G815" s="58"/>
      <c r="H815" s="59"/>
      <c r="I815" s="59"/>
      <c r="J815" s="59"/>
      <c r="K815" s="59"/>
      <c r="L815" s="59"/>
      <c r="M815" s="60"/>
      <c r="N815" s="60"/>
      <c r="O815" s="60"/>
      <c r="P815" s="59"/>
      <c r="Q815" s="59"/>
      <c r="R815" s="60"/>
      <c r="S815" s="60"/>
      <c r="T815" s="60"/>
      <c r="U815" s="60"/>
      <c r="V815" s="60"/>
      <c r="W815" s="60"/>
    </row>
    <row r="816" spans="1:23" ht="13" x14ac:dyDescent="0.3">
      <c r="A816" s="58"/>
      <c r="B816" s="58"/>
      <c r="C816" s="58"/>
      <c r="D816" s="58"/>
      <c r="E816" s="58"/>
      <c r="F816" s="58"/>
      <c r="G816" s="58"/>
      <c r="H816" s="59"/>
      <c r="I816" s="59"/>
      <c r="J816" s="59"/>
      <c r="K816" s="59"/>
      <c r="L816" s="59"/>
      <c r="M816" s="60"/>
      <c r="N816" s="60"/>
      <c r="O816" s="60"/>
      <c r="P816" s="59"/>
      <c r="Q816" s="59"/>
      <c r="R816" s="60"/>
      <c r="S816" s="60"/>
      <c r="T816" s="60"/>
      <c r="U816" s="60"/>
      <c r="V816" s="60"/>
      <c r="W816" s="60"/>
    </row>
    <row r="817" spans="1:23" ht="13" x14ac:dyDescent="0.3">
      <c r="A817" s="58"/>
      <c r="B817" s="58"/>
      <c r="C817" s="58"/>
      <c r="D817" s="58"/>
      <c r="E817" s="58"/>
      <c r="F817" s="58"/>
      <c r="G817" s="58"/>
      <c r="H817" s="59"/>
      <c r="I817" s="59"/>
      <c r="J817" s="59"/>
      <c r="K817" s="59"/>
      <c r="L817" s="59"/>
      <c r="M817" s="60"/>
      <c r="N817" s="60"/>
      <c r="O817" s="60"/>
      <c r="P817" s="59"/>
      <c r="Q817" s="59"/>
      <c r="R817" s="60"/>
      <c r="S817" s="60"/>
      <c r="T817" s="60"/>
      <c r="U817" s="60"/>
      <c r="V817" s="60"/>
      <c r="W817" s="60"/>
    </row>
    <row r="818" spans="1:23" ht="13" x14ac:dyDescent="0.3">
      <c r="A818" s="58"/>
      <c r="B818" s="58"/>
      <c r="C818" s="58"/>
      <c r="D818" s="58"/>
      <c r="E818" s="58"/>
      <c r="F818" s="58"/>
      <c r="G818" s="58"/>
      <c r="H818" s="59"/>
      <c r="I818" s="59"/>
      <c r="J818" s="59"/>
      <c r="K818" s="59"/>
      <c r="L818" s="59"/>
      <c r="M818" s="60"/>
      <c r="N818" s="60"/>
      <c r="O818" s="60"/>
      <c r="P818" s="59"/>
      <c r="Q818" s="59"/>
      <c r="R818" s="60"/>
      <c r="S818" s="60"/>
      <c r="T818" s="60"/>
      <c r="U818" s="60"/>
      <c r="V818" s="60"/>
      <c r="W818" s="60"/>
    </row>
    <row r="819" spans="1:23" ht="13" x14ac:dyDescent="0.3">
      <c r="A819" s="58"/>
      <c r="B819" s="58"/>
      <c r="C819" s="58"/>
      <c r="D819" s="58"/>
      <c r="E819" s="58"/>
      <c r="F819" s="58"/>
      <c r="G819" s="58"/>
      <c r="H819" s="59"/>
      <c r="I819" s="59"/>
      <c r="J819" s="59"/>
      <c r="K819" s="59"/>
      <c r="L819" s="59"/>
      <c r="M819" s="60"/>
      <c r="N819" s="60"/>
      <c r="O819" s="60"/>
      <c r="P819" s="59"/>
      <c r="Q819" s="59"/>
      <c r="R819" s="60"/>
      <c r="S819" s="60"/>
      <c r="T819" s="60"/>
      <c r="U819" s="60"/>
      <c r="V819" s="60"/>
      <c r="W819" s="60"/>
    </row>
    <row r="820" spans="1:23" ht="13" x14ac:dyDescent="0.3">
      <c r="A820" s="58"/>
      <c r="B820" s="58"/>
      <c r="C820" s="58"/>
      <c r="D820" s="58"/>
      <c r="E820" s="58"/>
      <c r="F820" s="58"/>
      <c r="G820" s="58"/>
      <c r="H820" s="59"/>
      <c r="I820" s="59"/>
      <c r="J820" s="59"/>
      <c r="K820" s="59"/>
      <c r="L820" s="59"/>
      <c r="M820" s="60"/>
      <c r="N820" s="60"/>
      <c r="O820" s="60"/>
      <c r="P820" s="59"/>
      <c r="Q820" s="59"/>
      <c r="R820" s="60"/>
      <c r="S820" s="60"/>
      <c r="T820" s="60"/>
      <c r="U820" s="60"/>
      <c r="V820" s="60"/>
      <c r="W820" s="60"/>
    </row>
    <row r="821" spans="1:23" ht="13" x14ac:dyDescent="0.3">
      <c r="A821" s="58"/>
      <c r="B821" s="58"/>
      <c r="C821" s="58"/>
      <c r="D821" s="58"/>
      <c r="E821" s="58"/>
      <c r="F821" s="58"/>
      <c r="G821" s="58"/>
      <c r="H821" s="59"/>
      <c r="I821" s="59"/>
      <c r="J821" s="59"/>
      <c r="K821" s="59"/>
      <c r="L821" s="59"/>
      <c r="M821" s="60"/>
      <c r="N821" s="60"/>
      <c r="O821" s="60"/>
      <c r="P821" s="59"/>
      <c r="Q821" s="59"/>
      <c r="R821" s="60"/>
      <c r="S821" s="60"/>
      <c r="T821" s="60"/>
      <c r="U821" s="60"/>
      <c r="V821" s="60"/>
      <c r="W821" s="60"/>
    </row>
    <row r="822" spans="1:23" ht="13" x14ac:dyDescent="0.3">
      <c r="A822" s="58"/>
      <c r="B822" s="58"/>
      <c r="C822" s="58"/>
      <c r="D822" s="58"/>
      <c r="E822" s="58"/>
      <c r="F822" s="58"/>
      <c r="G822" s="58"/>
      <c r="H822" s="59"/>
      <c r="I822" s="59"/>
      <c r="J822" s="59"/>
      <c r="K822" s="59"/>
      <c r="L822" s="59"/>
      <c r="M822" s="60"/>
      <c r="N822" s="60"/>
      <c r="O822" s="60"/>
      <c r="P822" s="59"/>
      <c r="Q822" s="59"/>
      <c r="R822" s="60"/>
      <c r="S822" s="60"/>
      <c r="T822" s="60"/>
      <c r="U822" s="60"/>
      <c r="V822" s="60"/>
      <c r="W822" s="60"/>
    </row>
    <row r="823" spans="1:23" ht="13" x14ac:dyDescent="0.3">
      <c r="A823" s="58"/>
      <c r="B823" s="58"/>
      <c r="C823" s="58"/>
      <c r="D823" s="58"/>
      <c r="E823" s="58"/>
      <c r="F823" s="58"/>
      <c r="G823" s="58"/>
      <c r="H823" s="59"/>
      <c r="I823" s="59"/>
      <c r="J823" s="59"/>
      <c r="K823" s="59"/>
      <c r="L823" s="59"/>
      <c r="M823" s="60"/>
      <c r="N823" s="60"/>
      <c r="O823" s="60"/>
      <c r="P823" s="59"/>
      <c r="Q823" s="59"/>
      <c r="R823" s="60"/>
      <c r="S823" s="60"/>
      <c r="T823" s="60"/>
      <c r="U823" s="60"/>
      <c r="V823" s="60"/>
      <c r="W823" s="60"/>
    </row>
    <row r="824" spans="1:23" ht="13" x14ac:dyDescent="0.3">
      <c r="A824" s="58"/>
      <c r="B824" s="58"/>
      <c r="C824" s="58"/>
      <c r="D824" s="58"/>
      <c r="E824" s="58"/>
      <c r="F824" s="58"/>
      <c r="G824" s="58"/>
      <c r="H824" s="59"/>
      <c r="I824" s="59"/>
      <c r="J824" s="59"/>
      <c r="K824" s="59"/>
      <c r="L824" s="59"/>
      <c r="M824" s="60"/>
      <c r="N824" s="60"/>
      <c r="O824" s="60"/>
      <c r="P824" s="59"/>
      <c r="Q824" s="59"/>
      <c r="R824" s="60"/>
      <c r="S824" s="60"/>
      <c r="T824" s="60"/>
      <c r="U824" s="60"/>
      <c r="V824" s="60"/>
      <c r="W824" s="60"/>
    </row>
    <row r="825" spans="1:23" ht="13" x14ac:dyDescent="0.3">
      <c r="A825" s="58"/>
      <c r="B825" s="58"/>
      <c r="C825" s="58"/>
      <c r="D825" s="58"/>
      <c r="E825" s="58"/>
      <c r="F825" s="58"/>
      <c r="G825" s="58"/>
      <c r="H825" s="59"/>
      <c r="I825" s="59"/>
      <c r="J825" s="59"/>
      <c r="K825" s="59"/>
      <c r="L825" s="59"/>
      <c r="M825" s="60"/>
      <c r="N825" s="60"/>
      <c r="O825" s="60"/>
      <c r="P825" s="59"/>
      <c r="Q825" s="59"/>
      <c r="R825" s="60"/>
      <c r="S825" s="60"/>
      <c r="T825" s="60"/>
      <c r="U825" s="60"/>
      <c r="V825" s="60"/>
      <c r="W825" s="60"/>
    </row>
    <row r="826" spans="1:23" ht="13" x14ac:dyDescent="0.3">
      <c r="A826" s="58"/>
      <c r="B826" s="58"/>
      <c r="C826" s="58"/>
      <c r="D826" s="58"/>
      <c r="E826" s="58"/>
      <c r="F826" s="58"/>
      <c r="G826" s="58"/>
      <c r="H826" s="59"/>
      <c r="I826" s="59"/>
      <c r="J826" s="59"/>
      <c r="K826" s="59"/>
      <c r="L826" s="59"/>
      <c r="M826" s="60"/>
      <c r="N826" s="60"/>
      <c r="O826" s="60"/>
      <c r="P826" s="59"/>
      <c r="Q826" s="59"/>
      <c r="R826" s="60"/>
      <c r="S826" s="60"/>
      <c r="T826" s="60"/>
      <c r="U826" s="60"/>
      <c r="V826" s="60"/>
      <c r="W826" s="60"/>
    </row>
    <row r="827" spans="1:23" ht="13" x14ac:dyDescent="0.3">
      <c r="A827" s="58"/>
      <c r="B827" s="58"/>
      <c r="C827" s="58"/>
      <c r="D827" s="58"/>
      <c r="E827" s="58"/>
      <c r="F827" s="58"/>
      <c r="G827" s="58"/>
      <c r="H827" s="59"/>
      <c r="I827" s="59"/>
      <c r="J827" s="59"/>
      <c r="K827" s="59"/>
      <c r="L827" s="59"/>
      <c r="M827" s="60"/>
      <c r="N827" s="60"/>
      <c r="O827" s="60"/>
      <c r="P827" s="59"/>
      <c r="Q827" s="59"/>
      <c r="R827" s="60"/>
      <c r="S827" s="60"/>
      <c r="T827" s="60"/>
      <c r="U827" s="60"/>
      <c r="V827" s="60"/>
      <c r="W827" s="60"/>
    </row>
    <row r="828" spans="1:23" ht="13" x14ac:dyDescent="0.3">
      <c r="A828" s="58"/>
      <c r="B828" s="58"/>
      <c r="C828" s="58"/>
      <c r="D828" s="58"/>
      <c r="E828" s="58"/>
      <c r="F828" s="58"/>
      <c r="G828" s="58"/>
      <c r="H828" s="59"/>
      <c r="I828" s="59"/>
      <c r="J828" s="59"/>
      <c r="K828" s="59"/>
      <c r="L828" s="59"/>
      <c r="M828" s="60"/>
      <c r="N828" s="60"/>
      <c r="O828" s="60"/>
      <c r="P828" s="59"/>
      <c r="Q828" s="59"/>
      <c r="R828" s="60"/>
      <c r="S828" s="60"/>
      <c r="T828" s="60"/>
      <c r="U828" s="60"/>
      <c r="V828" s="60"/>
      <c r="W828" s="60"/>
    </row>
    <row r="829" spans="1:23" ht="13" x14ac:dyDescent="0.3">
      <c r="A829" s="58"/>
      <c r="B829" s="58"/>
      <c r="C829" s="58"/>
      <c r="D829" s="58"/>
      <c r="E829" s="58"/>
      <c r="F829" s="58"/>
      <c r="G829" s="58"/>
      <c r="H829" s="59"/>
      <c r="I829" s="59"/>
      <c r="J829" s="59"/>
      <c r="K829" s="59"/>
      <c r="L829" s="59"/>
      <c r="M829" s="60"/>
      <c r="N829" s="60"/>
      <c r="O829" s="60"/>
      <c r="P829" s="59"/>
      <c r="Q829" s="59"/>
      <c r="R829" s="60"/>
      <c r="S829" s="60"/>
      <c r="T829" s="60"/>
      <c r="U829" s="60"/>
      <c r="V829" s="60"/>
      <c r="W829" s="60"/>
    </row>
    <row r="830" spans="1:23" ht="13" x14ac:dyDescent="0.3">
      <c r="A830" s="58"/>
      <c r="B830" s="58"/>
      <c r="C830" s="58"/>
      <c r="D830" s="58"/>
      <c r="E830" s="58"/>
      <c r="F830" s="58"/>
      <c r="G830" s="58"/>
      <c r="H830" s="59"/>
      <c r="I830" s="59"/>
      <c r="J830" s="59"/>
      <c r="K830" s="59"/>
      <c r="L830" s="59"/>
      <c r="M830" s="60"/>
      <c r="N830" s="60"/>
      <c r="O830" s="60"/>
      <c r="P830" s="59"/>
      <c r="Q830" s="59"/>
      <c r="R830" s="60"/>
      <c r="S830" s="60"/>
      <c r="T830" s="60"/>
      <c r="U830" s="60"/>
      <c r="V830" s="60"/>
      <c r="W830" s="60"/>
    </row>
    <row r="831" spans="1:23" ht="13" x14ac:dyDescent="0.3">
      <c r="A831" s="58"/>
      <c r="B831" s="58"/>
      <c r="C831" s="58"/>
      <c r="D831" s="58"/>
      <c r="E831" s="58"/>
      <c r="F831" s="58"/>
      <c r="G831" s="58"/>
      <c r="H831" s="59"/>
      <c r="I831" s="59"/>
      <c r="J831" s="59"/>
      <c r="K831" s="59"/>
      <c r="L831" s="59"/>
      <c r="M831" s="60"/>
      <c r="N831" s="60"/>
      <c r="O831" s="60"/>
      <c r="P831" s="59"/>
      <c r="Q831" s="59"/>
      <c r="R831" s="60"/>
      <c r="S831" s="60"/>
      <c r="T831" s="60"/>
      <c r="U831" s="60"/>
      <c r="V831" s="60"/>
      <c r="W831" s="60"/>
    </row>
    <row r="832" spans="1:23" ht="13" x14ac:dyDescent="0.3">
      <c r="A832" s="58"/>
      <c r="B832" s="58"/>
      <c r="C832" s="58"/>
      <c r="D832" s="58"/>
      <c r="E832" s="58"/>
      <c r="F832" s="58"/>
      <c r="G832" s="58"/>
      <c r="H832" s="59"/>
      <c r="I832" s="59"/>
      <c r="J832" s="59"/>
      <c r="K832" s="59"/>
      <c r="L832" s="59"/>
      <c r="M832" s="60"/>
      <c r="N832" s="60"/>
      <c r="O832" s="60"/>
      <c r="P832" s="59"/>
      <c r="Q832" s="59"/>
      <c r="R832" s="60"/>
      <c r="S832" s="60"/>
      <c r="T832" s="60"/>
      <c r="U832" s="60"/>
      <c r="V832" s="60"/>
      <c r="W832" s="60"/>
    </row>
    <row r="833" spans="1:23" ht="13" x14ac:dyDescent="0.3">
      <c r="A833" s="58"/>
      <c r="B833" s="58"/>
      <c r="C833" s="58"/>
      <c r="D833" s="58"/>
      <c r="E833" s="58"/>
      <c r="F833" s="58"/>
      <c r="G833" s="58"/>
      <c r="H833" s="59"/>
      <c r="I833" s="59"/>
      <c r="J833" s="59"/>
      <c r="K833" s="59"/>
      <c r="L833" s="59"/>
      <c r="M833" s="60"/>
      <c r="N833" s="60"/>
      <c r="O833" s="60"/>
      <c r="P833" s="59"/>
      <c r="Q833" s="59"/>
      <c r="R833" s="60"/>
      <c r="S833" s="60"/>
      <c r="T833" s="60"/>
      <c r="U833" s="60"/>
      <c r="V833" s="60"/>
      <c r="W833" s="60"/>
    </row>
    <row r="834" spans="1:23" ht="13" x14ac:dyDescent="0.3">
      <c r="A834" s="58"/>
      <c r="B834" s="58"/>
      <c r="C834" s="58"/>
      <c r="D834" s="58"/>
      <c r="E834" s="58"/>
      <c r="F834" s="58"/>
      <c r="G834" s="58"/>
      <c r="H834" s="59"/>
      <c r="I834" s="59"/>
      <c r="J834" s="59"/>
      <c r="K834" s="59"/>
      <c r="L834" s="59"/>
      <c r="M834" s="60"/>
      <c r="N834" s="60"/>
      <c r="O834" s="60"/>
      <c r="P834" s="59"/>
      <c r="Q834" s="59"/>
      <c r="R834" s="60"/>
      <c r="S834" s="60"/>
      <c r="T834" s="60"/>
      <c r="U834" s="60"/>
      <c r="V834" s="60"/>
      <c r="W834" s="60"/>
    </row>
    <row r="835" spans="1:23" ht="13" x14ac:dyDescent="0.3">
      <c r="A835" s="58"/>
      <c r="B835" s="58"/>
      <c r="C835" s="58"/>
      <c r="D835" s="58"/>
      <c r="E835" s="58"/>
      <c r="F835" s="58"/>
      <c r="G835" s="58"/>
      <c r="H835" s="59"/>
      <c r="I835" s="59"/>
      <c r="J835" s="59"/>
      <c r="K835" s="59"/>
      <c r="L835" s="59"/>
      <c r="M835" s="60"/>
      <c r="N835" s="60"/>
      <c r="O835" s="60"/>
      <c r="P835" s="59"/>
      <c r="Q835" s="59"/>
      <c r="R835" s="60"/>
      <c r="S835" s="60"/>
      <c r="T835" s="60"/>
      <c r="U835" s="60"/>
      <c r="V835" s="60"/>
      <c r="W835" s="60"/>
    </row>
    <row r="836" spans="1:23" ht="13" x14ac:dyDescent="0.3">
      <c r="A836" s="58"/>
      <c r="B836" s="58"/>
      <c r="C836" s="58"/>
      <c r="D836" s="58"/>
      <c r="E836" s="58"/>
      <c r="F836" s="58"/>
      <c r="G836" s="58"/>
      <c r="H836" s="59"/>
      <c r="I836" s="59"/>
      <c r="J836" s="59"/>
      <c r="K836" s="59"/>
      <c r="L836" s="59"/>
      <c r="M836" s="60"/>
      <c r="N836" s="60"/>
      <c r="O836" s="60"/>
      <c r="P836" s="59"/>
      <c r="Q836" s="59"/>
      <c r="R836" s="60"/>
      <c r="S836" s="60"/>
      <c r="T836" s="60"/>
      <c r="U836" s="60"/>
      <c r="V836" s="60"/>
      <c r="W836" s="60"/>
    </row>
    <row r="837" spans="1:23" ht="13" x14ac:dyDescent="0.3">
      <c r="A837" s="58"/>
      <c r="B837" s="58"/>
      <c r="C837" s="58"/>
      <c r="D837" s="58"/>
      <c r="E837" s="58"/>
      <c r="F837" s="58"/>
      <c r="G837" s="58"/>
      <c r="H837" s="59"/>
      <c r="I837" s="59"/>
      <c r="J837" s="59"/>
      <c r="K837" s="59"/>
      <c r="L837" s="59"/>
      <c r="M837" s="60"/>
      <c r="N837" s="60"/>
      <c r="O837" s="60"/>
      <c r="P837" s="59"/>
      <c r="Q837" s="59"/>
      <c r="R837" s="60"/>
      <c r="S837" s="60"/>
      <c r="T837" s="60"/>
      <c r="U837" s="60"/>
      <c r="V837" s="60"/>
      <c r="W837" s="60"/>
    </row>
    <row r="838" spans="1:23" ht="13" x14ac:dyDescent="0.3">
      <c r="A838" s="58"/>
      <c r="B838" s="58"/>
      <c r="C838" s="58"/>
      <c r="D838" s="58"/>
      <c r="E838" s="58"/>
      <c r="F838" s="58"/>
      <c r="G838" s="58"/>
      <c r="H838" s="59"/>
      <c r="I838" s="59"/>
      <c r="J838" s="59"/>
      <c r="K838" s="59"/>
      <c r="L838" s="59"/>
      <c r="M838" s="60"/>
      <c r="N838" s="60"/>
      <c r="O838" s="60"/>
      <c r="P838" s="59"/>
      <c r="Q838" s="59"/>
      <c r="R838" s="60"/>
      <c r="S838" s="60"/>
      <c r="T838" s="60"/>
      <c r="U838" s="60"/>
      <c r="V838" s="60"/>
      <c r="W838" s="60"/>
    </row>
    <row r="839" spans="1:23" ht="13" x14ac:dyDescent="0.3">
      <c r="A839" s="58"/>
      <c r="B839" s="58"/>
      <c r="C839" s="58"/>
      <c r="D839" s="58"/>
      <c r="E839" s="58"/>
      <c r="F839" s="58"/>
      <c r="G839" s="58"/>
      <c r="H839" s="59"/>
      <c r="I839" s="59"/>
      <c r="J839" s="59"/>
      <c r="K839" s="59"/>
      <c r="L839" s="59"/>
      <c r="M839" s="60"/>
      <c r="N839" s="60"/>
      <c r="O839" s="60"/>
      <c r="P839" s="59"/>
      <c r="Q839" s="59"/>
      <c r="R839" s="60"/>
      <c r="S839" s="60"/>
      <c r="T839" s="60"/>
      <c r="U839" s="60"/>
      <c r="V839" s="60"/>
      <c r="W839" s="60"/>
    </row>
    <row r="840" spans="1:23" ht="13" x14ac:dyDescent="0.3">
      <c r="A840" s="58"/>
      <c r="B840" s="58"/>
      <c r="C840" s="58"/>
      <c r="D840" s="58"/>
      <c r="E840" s="58"/>
      <c r="F840" s="58"/>
      <c r="G840" s="58"/>
      <c r="H840" s="59"/>
      <c r="I840" s="59"/>
      <c r="J840" s="59"/>
      <c r="K840" s="59"/>
      <c r="L840" s="59"/>
      <c r="M840" s="60"/>
      <c r="N840" s="60"/>
      <c r="O840" s="60"/>
      <c r="P840" s="59"/>
      <c r="Q840" s="59"/>
      <c r="R840" s="60"/>
      <c r="S840" s="60"/>
      <c r="T840" s="60"/>
      <c r="U840" s="60"/>
      <c r="V840" s="60"/>
      <c r="W840" s="60"/>
    </row>
    <row r="841" spans="1:23" ht="13" x14ac:dyDescent="0.3">
      <c r="A841" s="58"/>
      <c r="B841" s="58"/>
      <c r="C841" s="58"/>
      <c r="D841" s="58"/>
      <c r="E841" s="58"/>
      <c r="F841" s="58"/>
      <c r="G841" s="58"/>
      <c r="H841" s="59"/>
      <c r="I841" s="59"/>
      <c r="J841" s="59"/>
      <c r="K841" s="59"/>
      <c r="L841" s="59"/>
      <c r="M841" s="60"/>
      <c r="N841" s="60"/>
      <c r="O841" s="60"/>
      <c r="P841" s="59"/>
      <c r="Q841" s="59"/>
      <c r="R841" s="60"/>
      <c r="S841" s="60"/>
      <c r="T841" s="60"/>
      <c r="U841" s="60"/>
      <c r="V841" s="60"/>
      <c r="W841" s="60"/>
    </row>
    <row r="842" spans="1:23" ht="13" x14ac:dyDescent="0.3">
      <c r="A842" s="58"/>
      <c r="B842" s="58"/>
      <c r="C842" s="58"/>
      <c r="D842" s="58"/>
      <c r="E842" s="58"/>
      <c r="F842" s="58"/>
      <c r="G842" s="58"/>
      <c r="H842" s="59"/>
      <c r="I842" s="59"/>
      <c r="J842" s="59"/>
      <c r="K842" s="59"/>
      <c r="L842" s="59"/>
      <c r="M842" s="60"/>
      <c r="N842" s="60"/>
      <c r="O842" s="60"/>
      <c r="P842" s="59"/>
      <c r="Q842" s="59"/>
      <c r="R842" s="60"/>
      <c r="S842" s="60"/>
      <c r="T842" s="60"/>
      <c r="U842" s="60"/>
      <c r="V842" s="60"/>
      <c r="W842" s="60"/>
    </row>
    <row r="843" spans="1:23" ht="13" x14ac:dyDescent="0.3">
      <c r="A843" s="58"/>
      <c r="B843" s="58"/>
      <c r="C843" s="58"/>
      <c r="D843" s="58"/>
      <c r="E843" s="58"/>
      <c r="F843" s="58"/>
      <c r="G843" s="58"/>
      <c r="H843" s="59"/>
      <c r="I843" s="59"/>
      <c r="J843" s="59"/>
      <c r="K843" s="59"/>
      <c r="L843" s="59"/>
      <c r="M843" s="60"/>
      <c r="N843" s="60"/>
      <c r="O843" s="60"/>
      <c r="P843" s="59"/>
      <c r="Q843" s="59"/>
      <c r="R843" s="60"/>
      <c r="S843" s="60"/>
      <c r="T843" s="60"/>
      <c r="U843" s="60"/>
      <c r="V843" s="60"/>
      <c r="W843" s="60"/>
    </row>
    <row r="844" spans="1:23" ht="13" x14ac:dyDescent="0.3">
      <c r="A844" s="58"/>
      <c r="B844" s="58"/>
      <c r="C844" s="58"/>
      <c r="D844" s="58"/>
      <c r="E844" s="58"/>
      <c r="F844" s="58"/>
      <c r="G844" s="58"/>
      <c r="H844" s="59"/>
      <c r="I844" s="59"/>
      <c r="J844" s="59"/>
      <c r="K844" s="59"/>
      <c r="L844" s="59"/>
      <c r="M844" s="60"/>
      <c r="N844" s="60"/>
      <c r="O844" s="60"/>
      <c r="P844" s="59"/>
      <c r="Q844" s="59"/>
      <c r="R844" s="60"/>
      <c r="S844" s="60"/>
      <c r="T844" s="60"/>
      <c r="U844" s="60"/>
      <c r="V844" s="60"/>
      <c r="W844" s="60"/>
    </row>
    <row r="845" spans="1:23" ht="13" x14ac:dyDescent="0.3">
      <c r="A845" s="58"/>
      <c r="B845" s="58"/>
      <c r="C845" s="58"/>
      <c r="D845" s="58"/>
      <c r="E845" s="58"/>
      <c r="F845" s="58"/>
      <c r="G845" s="58"/>
      <c r="H845" s="59"/>
      <c r="I845" s="59"/>
      <c r="J845" s="59"/>
      <c r="K845" s="59"/>
      <c r="L845" s="59"/>
      <c r="M845" s="60"/>
      <c r="N845" s="60"/>
      <c r="O845" s="60"/>
      <c r="P845" s="59"/>
      <c r="Q845" s="59"/>
      <c r="R845" s="60"/>
      <c r="S845" s="60"/>
      <c r="T845" s="60"/>
      <c r="U845" s="60"/>
      <c r="V845" s="60"/>
      <c r="W845" s="60"/>
    </row>
    <row r="846" spans="1:23" ht="13" x14ac:dyDescent="0.3">
      <c r="A846" s="58"/>
      <c r="B846" s="58"/>
      <c r="C846" s="58"/>
      <c r="D846" s="58"/>
      <c r="E846" s="58"/>
      <c r="F846" s="58"/>
      <c r="G846" s="58"/>
      <c r="H846" s="59"/>
      <c r="I846" s="59"/>
      <c r="J846" s="59"/>
      <c r="K846" s="59"/>
      <c r="L846" s="59"/>
      <c r="M846" s="60"/>
      <c r="N846" s="60"/>
      <c r="O846" s="60"/>
      <c r="P846" s="59"/>
      <c r="Q846" s="59"/>
      <c r="R846" s="60"/>
      <c r="S846" s="60"/>
      <c r="T846" s="60"/>
      <c r="U846" s="60"/>
      <c r="V846" s="60"/>
      <c r="W846" s="60"/>
    </row>
    <row r="847" spans="1:23" ht="13" x14ac:dyDescent="0.3">
      <c r="A847" s="58"/>
      <c r="B847" s="58"/>
      <c r="C847" s="58"/>
      <c r="D847" s="58"/>
      <c r="E847" s="58"/>
      <c r="F847" s="58"/>
      <c r="G847" s="58"/>
      <c r="H847" s="59"/>
      <c r="I847" s="59"/>
      <c r="J847" s="59"/>
      <c r="K847" s="59"/>
      <c r="L847" s="59"/>
      <c r="M847" s="60"/>
      <c r="N847" s="60"/>
      <c r="O847" s="60"/>
      <c r="P847" s="59"/>
      <c r="Q847" s="59"/>
      <c r="R847" s="60"/>
      <c r="S847" s="60"/>
      <c r="T847" s="60"/>
      <c r="U847" s="60"/>
      <c r="V847" s="60"/>
      <c r="W847" s="60"/>
    </row>
    <row r="848" spans="1:23" ht="13" x14ac:dyDescent="0.3">
      <c r="A848" s="58"/>
      <c r="B848" s="58"/>
      <c r="C848" s="58"/>
      <c r="D848" s="58"/>
      <c r="E848" s="58"/>
      <c r="F848" s="58"/>
      <c r="G848" s="58"/>
      <c r="H848" s="59"/>
      <c r="I848" s="59"/>
      <c r="J848" s="59"/>
      <c r="K848" s="59"/>
      <c r="L848" s="59"/>
      <c r="M848" s="60"/>
      <c r="N848" s="60"/>
      <c r="O848" s="60"/>
      <c r="P848" s="59"/>
      <c r="Q848" s="59"/>
      <c r="R848" s="60"/>
      <c r="S848" s="60"/>
      <c r="T848" s="60"/>
      <c r="U848" s="60"/>
      <c r="V848" s="60"/>
      <c r="W848" s="60"/>
    </row>
    <row r="849" spans="1:23" ht="13" x14ac:dyDescent="0.3">
      <c r="A849" s="58"/>
      <c r="B849" s="58"/>
      <c r="C849" s="58"/>
      <c r="D849" s="58"/>
      <c r="E849" s="58"/>
      <c r="F849" s="58"/>
      <c r="G849" s="58"/>
      <c r="H849" s="59"/>
      <c r="I849" s="59"/>
      <c r="J849" s="59"/>
      <c r="K849" s="59"/>
      <c r="L849" s="59"/>
      <c r="M849" s="60"/>
      <c r="N849" s="60"/>
      <c r="O849" s="60"/>
      <c r="P849" s="59"/>
      <c r="Q849" s="59"/>
      <c r="R849" s="60"/>
      <c r="S849" s="60"/>
      <c r="T849" s="60"/>
      <c r="U849" s="60"/>
      <c r="V849" s="60"/>
      <c r="W849" s="60"/>
    </row>
    <row r="850" spans="1:23" ht="13" x14ac:dyDescent="0.3">
      <c r="A850" s="58"/>
      <c r="B850" s="58"/>
      <c r="C850" s="58"/>
      <c r="D850" s="58"/>
      <c r="E850" s="58"/>
      <c r="F850" s="58"/>
      <c r="G850" s="58"/>
      <c r="H850" s="59"/>
      <c r="I850" s="59"/>
      <c r="J850" s="59"/>
      <c r="K850" s="59"/>
      <c r="L850" s="59"/>
      <c r="M850" s="60"/>
      <c r="N850" s="60"/>
      <c r="O850" s="60"/>
      <c r="P850" s="59"/>
      <c r="Q850" s="59"/>
      <c r="R850" s="60"/>
      <c r="S850" s="60"/>
      <c r="T850" s="60"/>
      <c r="U850" s="60"/>
      <c r="V850" s="60"/>
      <c r="W850" s="60"/>
    </row>
    <row r="851" spans="1:23" ht="13" x14ac:dyDescent="0.3">
      <c r="A851" s="58"/>
      <c r="B851" s="58"/>
      <c r="C851" s="58"/>
      <c r="D851" s="58"/>
      <c r="E851" s="58"/>
      <c r="F851" s="58"/>
      <c r="G851" s="58"/>
      <c r="H851" s="59"/>
      <c r="I851" s="59"/>
      <c r="J851" s="59"/>
      <c r="K851" s="59"/>
      <c r="L851" s="59"/>
      <c r="M851" s="60"/>
      <c r="N851" s="60"/>
      <c r="O851" s="60"/>
      <c r="P851" s="59"/>
      <c r="Q851" s="59"/>
      <c r="R851" s="60"/>
      <c r="S851" s="60"/>
      <c r="T851" s="60"/>
      <c r="U851" s="60"/>
      <c r="V851" s="60"/>
      <c r="W851" s="60"/>
    </row>
    <row r="852" spans="1:23" ht="13" x14ac:dyDescent="0.3">
      <c r="A852" s="58"/>
      <c r="B852" s="58"/>
      <c r="C852" s="58"/>
      <c r="D852" s="58"/>
      <c r="E852" s="58"/>
      <c r="F852" s="58"/>
      <c r="G852" s="58"/>
      <c r="H852" s="59"/>
      <c r="I852" s="59"/>
      <c r="J852" s="59"/>
      <c r="K852" s="59"/>
      <c r="L852" s="59"/>
      <c r="M852" s="60"/>
      <c r="N852" s="60"/>
      <c r="O852" s="60"/>
      <c r="P852" s="59"/>
      <c r="Q852" s="59"/>
      <c r="R852" s="60"/>
      <c r="S852" s="60"/>
      <c r="T852" s="60"/>
      <c r="U852" s="60"/>
      <c r="V852" s="60"/>
      <c r="W852" s="60"/>
    </row>
    <row r="853" spans="1:23" ht="13" x14ac:dyDescent="0.3">
      <c r="A853" s="58"/>
      <c r="B853" s="58"/>
      <c r="C853" s="58"/>
      <c r="D853" s="58"/>
      <c r="E853" s="58"/>
      <c r="F853" s="58"/>
      <c r="G853" s="58"/>
      <c r="H853" s="59"/>
      <c r="I853" s="59"/>
      <c r="J853" s="59"/>
      <c r="K853" s="59"/>
      <c r="L853" s="59"/>
      <c r="M853" s="60"/>
      <c r="N853" s="60"/>
      <c r="O853" s="60"/>
      <c r="P853" s="59"/>
      <c r="Q853" s="59"/>
      <c r="R853" s="60"/>
      <c r="S853" s="60"/>
      <c r="T853" s="60"/>
      <c r="U853" s="60"/>
      <c r="V853" s="60"/>
      <c r="W853" s="60"/>
    </row>
    <row r="854" spans="1:23" ht="13" x14ac:dyDescent="0.3">
      <c r="A854" s="58"/>
      <c r="B854" s="58"/>
      <c r="C854" s="58"/>
      <c r="D854" s="58"/>
      <c r="E854" s="58"/>
      <c r="F854" s="58"/>
      <c r="G854" s="58"/>
      <c r="H854" s="59"/>
      <c r="I854" s="59"/>
      <c r="J854" s="59"/>
      <c r="K854" s="59"/>
      <c r="L854" s="59"/>
      <c r="M854" s="60"/>
      <c r="N854" s="60"/>
      <c r="O854" s="60"/>
      <c r="P854" s="59"/>
      <c r="Q854" s="59"/>
      <c r="R854" s="60"/>
      <c r="S854" s="60"/>
      <c r="T854" s="60"/>
      <c r="U854" s="60"/>
      <c r="V854" s="60"/>
      <c r="W854" s="60"/>
    </row>
    <row r="855" spans="1:23" ht="13" x14ac:dyDescent="0.3">
      <c r="A855" s="58"/>
      <c r="B855" s="58"/>
      <c r="C855" s="58"/>
      <c r="D855" s="58"/>
      <c r="E855" s="58"/>
      <c r="F855" s="58"/>
      <c r="G855" s="58"/>
      <c r="H855" s="59"/>
      <c r="I855" s="59"/>
      <c r="J855" s="59"/>
      <c r="K855" s="59"/>
      <c r="L855" s="59"/>
      <c r="M855" s="60"/>
      <c r="N855" s="60"/>
      <c r="O855" s="60"/>
      <c r="P855" s="59"/>
      <c r="Q855" s="59"/>
      <c r="R855" s="60"/>
      <c r="S855" s="60"/>
      <c r="T855" s="60"/>
      <c r="U855" s="60"/>
      <c r="V855" s="60"/>
      <c r="W855" s="60"/>
    </row>
    <row r="856" spans="1:23" ht="13" x14ac:dyDescent="0.3">
      <c r="A856" s="58"/>
      <c r="B856" s="58"/>
      <c r="C856" s="58"/>
      <c r="D856" s="58"/>
      <c r="E856" s="58"/>
      <c r="F856" s="58"/>
      <c r="G856" s="58"/>
      <c r="H856" s="59"/>
      <c r="I856" s="59"/>
      <c r="J856" s="59"/>
      <c r="K856" s="59"/>
      <c r="L856" s="59"/>
      <c r="M856" s="60"/>
      <c r="N856" s="60"/>
      <c r="O856" s="60"/>
      <c r="P856" s="59"/>
      <c r="Q856" s="59"/>
      <c r="R856" s="60"/>
      <c r="S856" s="60"/>
      <c r="T856" s="60"/>
      <c r="U856" s="60"/>
      <c r="V856" s="60"/>
      <c r="W856" s="60"/>
    </row>
    <row r="857" spans="1:23" ht="13" x14ac:dyDescent="0.3">
      <c r="A857" s="58"/>
      <c r="B857" s="58"/>
      <c r="C857" s="58"/>
      <c r="D857" s="58"/>
      <c r="E857" s="58"/>
      <c r="F857" s="58"/>
      <c r="G857" s="58"/>
      <c r="H857" s="59"/>
      <c r="I857" s="59"/>
      <c r="J857" s="59"/>
      <c r="K857" s="59"/>
      <c r="L857" s="59"/>
      <c r="M857" s="60"/>
      <c r="N857" s="60"/>
      <c r="O857" s="60"/>
      <c r="P857" s="59"/>
      <c r="Q857" s="59"/>
      <c r="R857" s="60"/>
      <c r="S857" s="60"/>
      <c r="T857" s="60"/>
      <c r="U857" s="60"/>
      <c r="V857" s="60"/>
      <c r="W857" s="60"/>
    </row>
    <row r="858" spans="1:23" ht="13" x14ac:dyDescent="0.3">
      <c r="A858" s="58"/>
      <c r="B858" s="58"/>
      <c r="C858" s="58"/>
      <c r="D858" s="58"/>
      <c r="E858" s="58"/>
      <c r="F858" s="58"/>
      <c r="G858" s="58"/>
      <c r="H858" s="59"/>
      <c r="I858" s="59"/>
      <c r="J858" s="59"/>
      <c r="K858" s="59"/>
      <c r="L858" s="59"/>
      <c r="M858" s="60"/>
      <c r="N858" s="60"/>
      <c r="O858" s="60"/>
      <c r="P858" s="59"/>
      <c r="Q858" s="59"/>
      <c r="R858" s="60"/>
      <c r="S858" s="60"/>
      <c r="T858" s="60"/>
      <c r="U858" s="60"/>
      <c r="V858" s="60"/>
      <c r="W858" s="60"/>
    </row>
    <row r="859" spans="1:23" ht="13" x14ac:dyDescent="0.3">
      <c r="A859" s="58"/>
      <c r="B859" s="58"/>
      <c r="C859" s="58"/>
      <c r="D859" s="58"/>
      <c r="E859" s="58"/>
      <c r="F859" s="58"/>
      <c r="G859" s="58"/>
      <c r="H859" s="59"/>
      <c r="I859" s="59"/>
      <c r="J859" s="59"/>
      <c r="K859" s="59"/>
      <c r="L859" s="59"/>
      <c r="M859" s="60"/>
      <c r="N859" s="60"/>
      <c r="O859" s="60"/>
      <c r="P859" s="59"/>
      <c r="Q859" s="59"/>
      <c r="R859" s="60"/>
      <c r="S859" s="60"/>
      <c r="T859" s="60"/>
      <c r="U859" s="60"/>
      <c r="V859" s="60"/>
      <c r="W859" s="60"/>
    </row>
    <row r="860" spans="1:23" ht="13" x14ac:dyDescent="0.3">
      <c r="A860" s="58"/>
      <c r="B860" s="58"/>
      <c r="C860" s="58"/>
      <c r="D860" s="58"/>
      <c r="E860" s="58"/>
      <c r="F860" s="58"/>
      <c r="G860" s="58"/>
      <c r="H860" s="59"/>
      <c r="I860" s="59"/>
      <c r="J860" s="59"/>
      <c r="K860" s="59"/>
      <c r="L860" s="59"/>
      <c r="M860" s="60"/>
      <c r="N860" s="60"/>
      <c r="O860" s="60"/>
      <c r="P860" s="59"/>
      <c r="Q860" s="59"/>
      <c r="R860" s="60"/>
      <c r="S860" s="60"/>
      <c r="T860" s="60"/>
      <c r="U860" s="60"/>
      <c r="V860" s="60"/>
      <c r="W860" s="60"/>
    </row>
    <row r="861" spans="1:23" ht="13" x14ac:dyDescent="0.3">
      <c r="A861" s="58"/>
      <c r="B861" s="58"/>
      <c r="C861" s="58"/>
      <c r="D861" s="58"/>
      <c r="E861" s="58"/>
      <c r="F861" s="58"/>
      <c r="G861" s="58"/>
      <c r="H861" s="59"/>
      <c r="I861" s="59"/>
      <c r="J861" s="59"/>
      <c r="K861" s="59"/>
      <c r="L861" s="59"/>
      <c r="M861" s="60"/>
      <c r="N861" s="60"/>
      <c r="O861" s="60"/>
      <c r="P861" s="59"/>
      <c r="Q861" s="59"/>
      <c r="R861" s="60"/>
      <c r="S861" s="60"/>
      <c r="T861" s="60"/>
      <c r="U861" s="60"/>
      <c r="V861" s="60"/>
      <c r="W861" s="60"/>
    </row>
    <row r="862" spans="1:23" ht="13" x14ac:dyDescent="0.3">
      <c r="A862" s="58"/>
      <c r="B862" s="58"/>
      <c r="C862" s="58"/>
      <c r="D862" s="58"/>
      <c r="E862" s="58"/>
      <c r="F862" s="58"/>
      <c r="G862" s="58"/>
      <c r="H862" s="59"/>
      <c r="I862" s="59"/>
      <c r="J862" s="59"/>
      <c r="K862" s="59"/>
      <c r="L862" s="59"/>
      <c r="M862" s="60"/>
      <c r="N862" s="60"/>
      <c r="O862" s="60"/>
      <c r="P862" s="59"/>
      <c r="Q862" s="59"/>
      <c r="R862" s="60"/>
      <c r="S862" s="60"/>
      <c r="T862" s="60"/>
      <c r="U862" s="60"/>
      <c r="V862" s="60"/>
      <c r="W862" s="60"/>
    </row>
    <row r="863" spans="1:23" ht="13" x14ac:dyDescent="0.3">
      <c r="A863" s="58"/>
      <c r="B863" s="58"/>
      <c r="C863" s="58"/>
      <c r="D863" s="58"/>
      <c r="E863" s="58"/>
      <c r="F863" s="58"/>
      <c r="G863" s="58"/>
      <c r="H863" s="59"/>
      <c r="I863" s="59"/>
      <c r="J863" s="59"/>
      <c r="K863" s="59"/>
      <c r="L863" s="59"/>
      <c r="M863" s="60"/>
      <c r="N863" s="60"/>
      <c r="O863" s="60"/>
      <c r="P863" s="59"/>
      <c r="Q863" s="59"/>
      <c r="R863" s="60"/>
      <c r="S863" s="60"/>
      <c r="T863" s="60"/>
      <c r="U863" s="60"/>
      <c r="V863" s="60"/>
      <c r="W863" s="60"/>
    </row>
    <row r="864" spans="1:23" ht="13" x14ac:dyDescent="0.3">
      <c r="A864" s="58"/>
      <c r="B864" s="58"/>
      <c r="C864" s="58"/>
      <c r="D864" s="58"/>
      <c r="E864" s="58"/>
      <c r="F864" s="58"/>
      <c r="G864" s="58"/>
      <c r="H864" s="59"/>
      <c r="I864" s="59"/>
      <c r="J864" s="59"/>
      <c r="K864" s="59"/>
      <c r="L864" s="59"/>
      <c r="M864" s="60"/>
      <c r="N864" s="60"/>
      <c r="O864" s="60"/>
      <c r="P864" s="59"/>
      <c r="Q864" s="59"/>
      <c r="R864" s="60"/>
      <c r="S864" s="60"/>
      <c r="T864" s="60"/>
      <c r="U864" s="60"/>
      <c r="V864" s="60"/>
      <c r="W864" s="60"/>
    </row>
    <row r="865" spans="1:23" ht="13" x14ac:dyDescent="0.3">
      <c r="A865" s="58"/>
      <c r="B865" s="58"/>
      <c r="C865" s="58"/>
      <c r="D865" s="58"/>
      <c r="E865" s="58"/>
      <c r="F865" s="58"/>
      <c r="G865" s="58"/>
      <c r="H865" s="59"/>
      <c r="I865" s="59"/>
      <c r="J865" s="59"/>
      <c r="K865" s="59"/>
      <c r="L865" s="59"/>
      <c r="M865" s="60"/>
      <c r="N865" s="60"/>
      <c r="O865" s="60"/>
      <c r="P865" s="59"/>
      <c r="Q865" s="59"/>
      <c r="R865" s="60"/>
      <c r="S865" s="60"/>
      <c r="T865" s="60"/>
      <c r="U865" s="60"/>
      <c r="V865" s="60"/>
      <c r="W865" s="60"/>
    </row>
    <row r="866" spans="1:23" ht="13" x14ac:dyDescent="0.3">
      <c r="A866" s="58"/>
      <c r="B866" s="58"/>
      <c r="C866" s="58"/>
      <c r="D866" s="58"/>
      <c r="E866" s="58"/>
      <c r="F866" s="58"/>
      <c r="G866" s="58"/>
      <c r="H866" s="59"/>
      <c r="I866" s="59"/>
      <c r="J866" s="59"/>
      <c r="K866" s="59"/>
      <c r="L866" s="59"/>
      <c r="M866" s="60"/>
      <c r="N866" s="60"/>
      <c r="O866" s="60"/>
      <c r="P866" s="59"/>
      <c r="Q866" s="59"/>
      <c r="R866" s="60"/>
      <c r="S866" s="60"/>
      <c r="T866" s="60"/>
      <c r="U866" s="60"/>
      <c r="V866" s="60"/>
      <c r="W866" s="60"/>
    </row>
    <row r="867" spans="1:23" ht="13" x14ac:dyDescent="0.3">
      <c r="A867" s="58"/>
      <c r="B867" s="58"/>
      <c r="C867" s="58"/>
      <c r="D867" s="58"/>
      <c r="E867" s="58"/>
      <c r="F867" s="58"/>
      <c r="G867" s="58"/>
      <c r="H867" s="59"/>
      <c r="I867" s="59"/>
      <c r="J867" s="59"/>
      <c r="K867" s="59"/>
      <c r="L867" s="59"/>
      <c r="M867" s="60"/>
      <c r="N867" s="60"/>
      <c r="O867" s="60"/>
      <c r="P867" s="59"/>
      <c r="Q867" s="59"/>
      <c r="R867" s="60"/>
      <c r="S867" s="60"/>
      <c r="T867" s="60"/>
      <c r="U867" s="60"/>
      <c r="V867" s="60"/>
      <c r="W867" s="60"/>
    </row>
    <row r="868" spans="1:23" ht="13" x14ac:dyDescent="0.3">
      <c r="A868" s="58"/>
      <c r="B868" s="58"/>
      <c r="C868" s="58"/>
      <c r="D868" s="58"/>
      <c r="E868" s="58"/>
      <c r="F868" s="58"/>
      <c r="G868" s="58"/>
      <c r="H868" s="59"/>
      <c r="I868" s="59"/>
      <c r="J868" s="59"/>
      <c r="K868" s="59"/>
      <c r="L868" s="59"/>
      <c r="M868" s="60"/>
      <c r="N868" s="60"/>
      <c r="O868" s="60"/>
      <c r="P868" s="59"/>
      <c r="Q868" s="59"/>
      <c r="R868" s="60"/>
      <c r="S868" s="60"/>
      <c r="T868" s="60"/>
      <c r="U868" s="60"/>
      <c r="V868" s="60"/>
      <c r="W868" s="60"/>
    </row>
    <row r="869" spans="1:23" ht="13" x14ac:dyDescent="0.3">
      <c r="A869" s="58"/>
      <c r="B869" s="58"/>
      <c r="C869" s="58"/>
      <c r="D869" s="58"/>
      <c r="E869" s="58"/>
      <c r="F869" s="58"/>
      <c r="G869" s="58"/>
      <c r="H869" s="59"/>
      <c r="I869" s="59"/>
      <c r="J869" s="59"/>
      <c r="K869" s="59"/>
      <c r="L869" s="59"/>
      <c r="M869" s="60"/>
      <c r="N869" s="60"/>
      <c r="O869" s="60"/>
      <c r="P869" s="59"/>
      <c r="Q869" s="59"/>
      <c r="R869" s="60"/>
      <c r="S869" s="60"/>
      <c r="T869" s="60"/>
      <c r="U869" s="60"/>
      <c r="V869" s="60"/>
      <c r="W869" s="60"/>
    </row>
    <row r="870" spans="1:23" ht="13" x14ac:dyDescent="0.3">
      <c r="A870" s="58"/>
      <c r="B870" s="58"/>
      <c r="C870" s="58"/>
      <c r="D870" s="58"/>
      <c r="E870" s="58"/>
      <c r="F870" s="58"/>
      <c r="G870" s="58"/>
      <c r="H870" s="59"/>
      <c r="I870" s="59"/>
      <c r="J870" s="59"/>
      <c r="K870" s="59"/>
      <c r="L870" s="59"/>
      <c r="M870" s="60"/>
      <c r="N870" s="60"/>
      <c r="O870" s="60"/>
      <c r="P870" s="59"/>
      <c r="Q870" s="59"/>
      <c r="R870" s="60"/>
      <c r="S870" s="60"/>
      <c r="T870" s="60"/>
      <c r="U870" s="60"/>
      <c r="V870" s="60"/>
      <c r="W870" s="60"/>
    </row>
    <row r="871" spans="1:23" ht="13" x14ac:dyDescent="0.3">
      <c r="A871" s="58"/>
      <c r="B871" s="58"/>
      <c r="C871" s="58"/>
      <c r="D871" s="58"/>
      <c r="E871" s="58"/>
      <c r="F871" s="58"/>
      <c r="G871" s="58"/>
      <c r="H871" s="59"/>
      <c r="I871" s="59"/>
      <c r="J871" s="59"/>
      <c r="K871" s="59"/>
      <c r="L871" s="59"/>
      <c r="M871" s="60"/>
      <c r="N871" s="60"/>
      <c r="O871" s="60"/>
      <c r="P871" s="59"/>
      <c r="Q871" s="59"/>
      <c r="R871" s="60"/>
      <c r="S871" s="60"/>
      <c r="T871" s="60"/>
      <c r="U871" s="60"/>
      <c r="V871" s="60"/>
      <c r="W871" s="60"/>
    </row>
    <row r="872" spans="1:23" ht="13" x14ac:dyDescent="0.3">
      <c r="A872" s="58"/>
      <c r="B872" s="58"/>
      <c r="C872" s="58"/>
      <c r="D872" s="58"/>
      <c r="E872" s="58"/>
      <c r="F872" s="58"/>
      <c r="G872" s="58"/>
      <c r="H872" s="59"/>
      <c r="I872" s="59"/>
      <c r="J872" s="59"/>
      <c r="K872" s="59"/>
      <c r="L872" s="59"/>
      <c r="M872" s="60"/>
      <c r="N872" s="60"/>
      <c r="O872" s="60"/>
      <c r="P872" s="59"/>
      <c r="Q872" s="59"/>
      <c r="R872" s="60"/>
      <c r="S872" s="60"/>
      <c r="T872" s="60"/>
      <c r="U872" s="60"/>
      <c r="V872" s="60"/>
      <c r="W872" s="60"/>
    </row>
    <row r="873" spans="1:23" ht="13" x14ac:dyDescent="0.3">
      <c r="A873" s="58"/>
      <c r="B873" s="58"/>
      <c r="C873" s="58"/>
      <c r="D873" s="58"/>
      <c r="E873" s="58"/>
      <c r="F873" s="58"/>
      <c r="G873" s="58"/>
      <c r="H873" s="59"/>
      <c r="I873" s="59"/>
      <c r="J873" s="59"/>
      <c r="K873" s="59"/>
      <c r="L873" s="59"/>
      <c r="M873" s="60"/>
      <c r="N873" s="60"/>
      <c r="O873" s="60"/>
      <c r="P873" s="59"/>
      <c r="Q873" s="59"/>
      <c r="R873" s="60"/>
      <c r="S873" s="60"/>
      <c r="T873" s="60"/>
      <c r="U873" s="60"/>
      <c r="V873" s="60"/>
      <c r="W873" s="60"/>
    </row>
    <row r="874" spans="1:23" ht="13" x14ac:dyDescent="0.3">
      <c r="A874" s="58"/>
      <c r="B874" s="58"/>
      <c r="C874" s="58"/>
      <c r="D874" s="58"/>
      <c r="E874" s="58"/>
      <c r="F874" s="58"/>
      <c r="G874" s="58"/>
      <c r="H874" s="59"/>
      <c r="I874" s="59"/>
      <c r="J874" s="59"/>
      <c r="K874" s="59"/>
      <c r="L874" s="59"/>
      <c r="M874" s="60"/>
      <c r="N874" s="60"/>
      <c r="O874" s="60"/>
      <c r="P874" s="59"/>
      <c r="Q874" s="59"/>
      <c r="R874" s="60"/>
      <c r="S874" s="60"/>
      <c r="T874" s="60"/>
      <c r="U874" s="60"/>
      <c r="V874" s="60"/>
      <c r="W874" s="60"/>
    </row>
    <row r="875" spans="1:23" ht="13" x14ac:dyDescent="0.3">
      <c r="A875" s="58"/>
      <c r="B875" s="58"/>
      <c r="C875" s="58"/>
      <c r="D875" s="58"/>
      <c r="E875" s="58"/>
      <c r="F875" s="58"/>
      <c r="G875" s="58"/>
      <c r="H875" s="59"/>
      <c r="I875" s="59"/>
      <c r="J875" s="59"/>
      <c r="K875" s="59"/>
      <c r="L875" s="59"/>
      <c r="M875" s="60"/>
      <c r="N875" s="60"/>
      <c r="O875" s="60"/>
      <c r="P875" s="59"/>
      <c r="Q875" s="59"/>
      <c r="R875" s="60"/>
      <c r="S875" s="60"/>
      <c r="T875" s="60"/>
      <c r="U875" s="60"/>
      <c r="V875" s="60"/>
      <c r="W875" s="60"/>
    </row>
    <row r="876" spans="1:23" ht="13" x14ac:dyDescent="0.3">
      <c r="A876" s="58"/>
      <c r="B876" s="58"/>
      <c r="C876" s="58"/>
      <c r="D876" s="58"/>
      <c r="E876" s="58"/>
      <c r="F876" s="58"/>
      <c r="G876" s="58"/>
      <c r="H876" s="59"/>
      <c r="I876" s="59"/>
      <c r="J876" s="59"/>
      <c r="K876" s="59"/>
      <c r="L876" s="59"/>
      <c r="M876" s="60"/>
      <c r="N876" s="60"/>
      <c r="O876" s="60"/>
      <c r="P876" s="59"/>
      <c r="Q876" s="59"/>
      <c r="R876" s="60"/>
      <c r="S876" s="60"/>
      <c r="T876" s="60"/>
      <c r="U876" s="60"/>
      <c r="V876" s="60"/>
      <c r="W876" s="60"/>
    </row>
    <row r="877" spans="1:23" ht="13" x14ac:dyDescent="0.3">
      <c r="A877" s="58"/>
      <c r="B877" s="58"/>
      <c r="C877" s="58"/>
      <c r="D877" s="58"/>
      <c r="E877" s="58"/>
      <c r="F877" s="58"/>
      <c r="G877" s="58"/>
      <c r="H877" s="59"/>
      <c r="I877" s="59"/>
      <c r="J877" s="59"/>
      <c r="K877" s="59"/>
      <c r="L877" s="59"/>
      <c r="M877" s="60"/>
      <c r="N877" s="60"/>
      <c r="O877" s="60"/>
      <c r="P877" s="59"/>
      <c r="Q877" s="59"/>
      <c r="R877" s="60"/>
      <c r="S877" s="60"/>
      <c r="T877" s="60"/>
      <c r="U877" s="60"/>
      <c r="V877" s="60"/>
      <c r="W877" s="60"/>
    </row>
    <row r="878" spans="1:23" ht="13" x14ac:dyDescent="0.3">
      <c r="A878" s="58"/>
      <c r="B878" s="58"/>
      <c r="C878" s="58"/>
      <c r="D878" s="58"/>
      <c r="E878" s="58"/>
      <c r="F878" s="58"/>
      <c r="G878" s="58"/>
      <c r="H878" s="59"/>
      <c r="I878" s="59"/>
      <c r="J878" s="59"/>
      <c r="K878" s="59"/>
      <c r="L878" s="59"/>
      <c r="M878" s="60"/>
      <c r="N878" s="60"/>
      <c r="O878" s="60"/>
      <c r="P878" s="59"/>
      <c r="Q878" s="59"/>
      <c r="R878" s="60"/>
      <c r="S878" s="60"/>
      <c r="T878" s="60"/>
      <c r="U878" s="60"/>
      <c r="V878" s="60"/>
      <c r="W878" s="60"/>
    </row>
    <row r="879" spans="1:23" ht="13" x14ac:dyDescent="0.3">
      <c r="A879" s="58"/>
      <c r="B879" s="58"/>
      <c r="C879" s="58"/>
      <c r="D879" s="58"/>
      <c r="E879" s="58"/>
      <c r="F879" s="58"/>
      <c r="G879" s="58"/>
      <c r="H879" s="59"/>
      <c r="I879" s="59"/>
      <c r="J879" s="59"/>
      <c r="K879" s="59"/>
      <c r="L879" s="59"/>
      <c r="M879" s="60"/>
      <c r="N879" s="60"/>
      <c r="O879" s="60"/>
      <c r="P879" s="59"/>
      <c r="Q879" s="59"/>
      <c r="R879" s="60"/>
      <c r="S879" s="60"/>
      <c r="T879" s="60"/>
      <c r="U879" s="60"/>
      <c r="V879" s="60"/>
      <c r="W879" s="60"/>
    </row>
    <row r="880" spans="1:23" ht="13" x14ac:dyDescent="0.3">
      <c r="A880" s="58"/>
      <c r="B880" s="58"/>
      <c r="C880" s="58"/>
      <c r="D880" s="58"/>
      <c r="E880" s="58"/>
      <c r="F880" s="58"/>
      <c r="G880" s="58"/>
      <c r="H880" s="59"/>
      <c r="I880" s="59"/>
      <c r="J880" s="59"/>
      <c r="K880" s="59"/>
      <c r="L880" s="59"/>
      <c r="M880" s="60"/>
      <c r="N880" s="60"/>
      <c r="O880" s="60"/>
      <c r="P880" s="59"/>
      <c r="Q880" s="59"/>
      <c r="R880" s="60"/>
      <c r="S880" s="60"/>
      <c r="T880" s="60"/>
      <c r="U880" s="60"/>
      <c r="V880" s="60"/>
      <c r="W880" s="60"/>
    </row>
    <row r="881" spans="1:23" ht="13" x14ac:dyDescent="0.3">
      <c r="A881" s="58"/>
      <c r="B881" s="58"/>
      <c r="C881" s="58"/>
      <c r="D881" s="58"/>
      <c r="E881" s="58"/>
      <c r="F881" s="58"/>
      <c r="G881" s="58"/>
      <c r="H881" s="59"/>
      <c r="I881" s="59"/>
      <c r="J881" s="59"/>
      <c r="K881" s="59"/>
      <c r="L881" s="59"/>
      <c r="M881" s="60"/>
      <c r="N881" s="60"/>
      <c r="O881" s="60"/>
      <c r="P881" s="59"/>
      <c r="Q881" s="59"/>
      <c r="R881" s="60"/>
      <c r="S881" s="60"/>
      <c r="T881" s="60"/>
      <c r="U881" s="60"/>
      <c r="V881" s="60"/>
      <c r="W881" s="60"/>
    </row>
    <row r="882" spans="1:23" ht="13" x14ac:dyDescent="0.3">
      <c r="A882" s="58"/>
      <c r="B882" s="58"/>
      <c r="C882" s="58"/>
      <c r="D882" s="58"/>
      <c r="E882" s="58"/>
      <c r="F882" s="58"/>
      <c r="G882" s="58"/>
      <c r="H882" s="59"/>
      <c r="I882" s="59"/>
      <c r="J882" s="59"/>
      <c r="K882" s="59"/>
      <c r="L882" s="59"/>
      <c r="M882" s="60"/>
      <c r="N882" s="60"/>
      <c r="O882" s="60"/>
      <c r="P882" s="59"/>
      <c r="Q882" s="59"/>
      <c r="R882" s="60"/>
      <c r="S882" s="60"/>
      <c r="T882" s="60"/>
      <c r="U882" s="60"/>
      <c r="V882" s="60"/>
      <c r="W882" s="60"/>
    </row>
    <row r="883" spans="1:23" ht="13" x14ac:dyDescent="0.3">
      <c r="A883" s="58"/>
      <c r="B883" s="58"/>
      <c r="C883" s="58"/>
      <c r="D883" s="58"/>
      <c r="E883" s="58"/>
      <c r="F883" s="58"/>
      <c r="G883" s="58"/>
      <c r="H883" s="59"/>
      <c r="I883" s="59"/>
      <c r="J883" s="59"/>
      <c r="K883" s="59"/>
      <c r="L883" s="59"/>
      <c r="M883" s="60"/>
      <c r="N883" s="60"/>
      <c r="O883" s="60"/>
      <c r="P883" s="59"/>
      <c r="Q883" s="59"/>
      <c r="R883" s="60"/>
      <c r="S883" s="60"/>
      <c r="T883" s="60"/>
      <c r="U883" s="60"/>
      <c r="V883" s="60"/>
      <c r="W883" s="60"/>
    </row>
    <row r="884" spans="1:23" ht="13" x14ac:dyDescent="0.3">
      <c r="A884" s="58"/>
      <c r="B884" s="58"/>
      <c r="C884" s="58"/>
      <c r="D884" s="58"/>
      <c r="E884" s="58"/>
      <c r="F884" s="58"/>
      <c r="G884" s="58"/>
      <c r="H884" s="59"/>
      <c r="I884" s="59"/>
      <c r="J884" s="59"/>
      <c r="K884" s="59"/>
      <c r="L884" s="59"/>
      <c r="M884" s="60"/>
      <c r="N884" s="60"/>
      <c r="O884" s="60"/>
      <c r="P884" s="59"/>
      <c r="Q884" s="59"/>
      <c r="R884" s="60"/>
      <c r="S884" s="60"/>
      <c r="T884" s="60"/>
      <c r="U884" s="60"/>
      <c r="V884" s="60"/>
      <c r="W884" s="60"/>
    </row>
    <row r="885" spans="1:23" ht="13" x14ac:dyDescent="0.3">
      <c r="A885" s="58"/>
      <c r="B885" s="58"/>
      <c r="C885" s="58"/>
      <c r="D885" s="58"/>
      <c r="E885" s="58"/>
      <c r="F885" s="58"/>
      <c r="G885" s="58"/>
      <c r="H885" s="59"/>
      <c r="I885" s="59"/>
      <c r="J885" s="59"/>
      <c r="K885" s="59"/>
      <c r="L885" s="59"/>
      <c r="M885" s="60"/>
      <c r="N885" s="60"/>
      <c r="O885" s="60"/>
      <c r="P885" s="59"/>
      <c r="Q885" s="59"/>
      <c r="R885" s="60"/>
      <c r="S885" s="60"/>
      <c r="T885" s="60"/>
      <c r="U885" s="60"/>
      <c r="V885" s="60"/>
      <c r="W885" s="60"/>
    </row>
    <row r="886" spans="1:23" ht="13" x14ac:dyDescent="0.3">
      <c r="A886" s="58"/>
      <c r="B886" s="58"/>
      <c r="C886" s="58"/>
      <c r="D886" s="58"/>
      <c r="E886" s="58"/>
      <c r="F886" s="58"/>
      <c r="G886" s="58"/>
      <c r="H886" s="59"/>
      <c r="I886" s="59"/>
      <c r="J886" s="59"/>
      <c r="K886" s="59"/>
      <c r="L886" s="59"/>
      <c r="M886" s="60"/>
      <c r="N886" s="60"/>
      <c r="O886" s="60"/>
      <c r="P886" s="59"/>
      <c r="Q886" s="59"/>
      <c r="R886" s="60"/>
      <c r="S886" s="60"/>
      <c r="T886" s="60"/>
      <c r="U886" s="60"/>
      <c r="V886" s="60"/>
      <c r="W886" s="60"/>
    </row>
    <row r="887" spans="1:23" ht="13" x14ac:dyDescent="0.3">
      <c r="A887" s="58"/>
      <c r="B887" s="58"/>
      <c r="C887" s="58"/>
      <c r="D887" s="58"/>
      <c r="E887" s="58"/>
      <c r="F887" s="58"/>
      <c r="G887" s="58"/>
      <c r="H887" s="59"/>
      <c r="I887" s="59"/>
      <c r="J887" s="59"/>
      <c r="K887" s="59"/>
      <c r="L887" s="59"/>
      <c r="M887" s="60"/>
      <c r="N887" s="60"/>
      <c r="O887" s="60"/>
      <c r="P887" s="59"/>
      <c r="Q887" s="59"/>
      <c r="R887" s="60"/>
      <c r="S887" s="60"/>
      <c r="T887" s="60"/>
      <c r="U887" s="60"/>
      <c r="V887" s="60"/>
      <c r="W887" s="60"/>
    </row>
    <row r="888" spans="1:23" ht="13" x14ac:dyDescent="0.3">
      <c r="A888" s="58"/>
      <c r="B888" s="58"/>
      <c r="C888" s="58"/>
      <c r="D888" s="58"/>
      <c r="E888" s="58"/>
      <c r="F888" s="58"/>
      <c r="G888" s="58"/>
      <c r="H888" s="59"/>
      <c r="I888" s="59"/>
      <c r="J888" s="59"/>
      <c r="K888" s="59"/>
      <c r="L888" s="59"/>
      <c r="M888" s="60"/>
      <c r="N888" s="60"/>
      <c r="O888" s="60"/>
      <c r="P888" s="59"/>
      <c r="Q888" s="59"/>
      <c r="R888" s="60"/>
      <c r="S888" s="60"/>
      <c r="T888" s="60"/>
      <c r="U888" s="60"/>
      <c r="V888" s="60"/>
      <c r="W888" s="60"/>
    </row>
    <row r="889" spans="1:23" ht="13" x14ac:dyDescent="0.3">
      <c r="A889" s="58"/>
      <c r="B889" s="58"/>
      <c r="C889" s="58"/>
      <c r="D889" s="58"/>
      <c r="E889" s="58"/>
      <c r="F889" s="58"/>
      <c r="G889" s="58"/>
      <c r="H889" s="59"/>
      <c r="I889" s="59"/>
      <c r="J889" s="59"/>
      <c r="K889" s="59"/>
      <c r="L889" s="59"/>
      <c r="M889" s="60"/>
      <c r="N889" s="60"/>
      <c r="O889" s="60"/>
      <c r="P889" s="59"/>
      <c r="Q889" s="59"/>
      <c r="R889" s="60"/>
      <c r="S889" s="60"/>
      <c r="T889" s="60"/>
      <c r="U889" s="60"/>
      <c r="V889" s="60"/>
      <c r="W889" s="60"/>
    </row>
    <row r="890" spans="1:23" ht="13" x14ac:dyDescent="0.3">
      <c r="A890" s="58"/>
      <c r="B890" s="58"/>
      <c r="C890" s="58"/>
      <c r="D890" s="58"/>
      <c r="E890" s="58"/>
      <c r="F890" s="58"/>
      <c r="G890" s="58"/>
      <c r="H890" s="59"/>
      <c r="I890" s="59"/>
      <c r="J890" s="59"/>
      <c r="K890" s="59"/>
      <c r="L890" s="59"/>
      <c r="M890" s="60"/>
      <c r="N890" s="60"/>
      <c r="O890" s="60"/>
      <c r="P890" s="59"/>
      <c r="Q890" s="59"/>
      <c r="R890" s="60"/>
      <c r="S890" s="60"/>
      <c r="T890" s="60"/>
      <c r="U890" s="60"/>
      <c r="V890" s="60"/>
      <c r="W890" s="60"/>
    </row>
    <row r="891" spans="1:23" ht="13" x14ac:dyDescent="0.3">
      <c r="A891" s="58"/>
      <c r="B891" s="58"/>
      <c r="C891" s="58"/>
      <c r="D891" s="58"/>
      <c r="E891" s="58"/>
      <c r="F891" s="58"/>
      <c r="G891" s="58"/>
      <c r="H891" s="59"/>
      <c r="I891" s="59"/>
      <c r="J891" s="59"/>
      <c r="K891" s="59"/>
      <c r="L891" s="59"/>
      <c r="M891" s="60"/>
      <c r="N891" s="60"/>
      <c r="O891" s="60"/>
      <c r="P891" s="59"/>
      <c r="Q891" s="59"/>
      <c r="R891" s="60"/>
      <c r="S891" s="60"/>
      <c r="T891" s="60"/>
      <c r="U891" s="60"/>
      <c r="V891" s="60"/>
      <c r="W891" s="60"/>
    </row>
    <row r="892" spans="1:23" ht="13" x14ac:dyDescent="0.3">
      <c r="A892" s="58"/>
      <c r="B892" s="58"/>
      <c r="C892" s="58"/>
      <c r="D892" s="58"/>
      <c r="E892" s="58"/>
      <c r="F892" s="58"/>
      <c r="G892" s="58"/>
      <c r="H892" s="59"/>
      <c r="I892" s="59"/>
      <c r="J892" s="59"/>
      <c r="K892" s="59"/>
      <c r="L892" s="59"/>
      <c r="M892" s="60"/>
      <c r="N892" s="60"/>
      <c r="O892" s="60"/>
      <c r="P892" s="59"/>
      <c r="Q892" s="59"/>
      <c r="R892" s="60"/>
      <c r="S892" s="60"/>
      <c r="T892" s="60"/>
      <c r="U892" s="60"/>
      <c r="V892" s="60"/>
      <c r="W892" s="60"/>
    </row>
    <row r="893" spans="1:23" ht="13" x14ac:dyDescent="0.3">
      <c r="A893" s="58"/>
      <c r="B893" s="58"/>
      <c r="C893" s="58"/>
      <c r="D893" s="58"/>
      <c r="E893" s="58"/>
      <c r="F893" s="58"/>
      <c r="G893" s="58"/>
      <c r="H893" s="59"/>
      <c r="I893" s="59"/>
      <c r="J893" s="59"/>
      <c r="K893" s="59"/>
      <c r="L893" s="59"/>
      <c r="M893" s="60"/>
      <c r="N893" s="60"/>
      <c r="O893" s="60"/>
      <c r="P893" s="59"/>
      <c r="Q893" s="59"/>
      <c r="R893" s="60"/>
      <c r="S893" s="60"/>
      <c r="T893" s="60"/>
      <c r="U893" s="60"/>
      <c r="V893" s="60"/>
      <c r="W893" s="60"/>
    </row>
    <row r="894" spans="1:23" ht="13" x14ac:dyDescent="0.3">
      <c r="A894" s="58"/>
      <c r="B894" s="58"/>
      <c r="C894" s="58"/>
      <c r="D894" s="58"/>
      <c r="E894" s="58"/>
      <c r="F894" s="58"/>
      <c r="G894" s="58"/>
      <c r="H894" s="59"/>
      <c r="I894" s="59"/>
      <c r="J894" s="59"/>
      <c r="K894" s="59"/>
      <c r="L894" s="59"/>
      <c r="M894" s="60"/>
      <c r="N894" s="60"/>
      <c r="O894" s="60"/>
      <c r="P894" s="59"/>
      <c r="Q894" s="59"/>
      <c r="R894" s="60"/>
      <c r="S894" s="60"/>
      <c r="T894" s="60"/>
      <c r="U894" s="60"/>
      <c r="V894" s="60"/>
      <c r="W894" s="60"/>
    </row>
    <row r="895" spans="1:23" ht="13" x14ac:dyDescent="0.3">
      <c r="A895" s="58"/>
      <c r="B895" s="58"/>
      <c r="C895" s="58"/>
      <c r="D895" s="58"/>
      <c r="E895" s="58"/>
      <c r="F895" s="58"/>
      <c r="G895" s="58"/>
      <c r="H895" s="59"/>
      <c r="I895" s="59"/>
      <c r="J895" s="59"/>
      <c r="K895" s="59"/>
      <c r="L895" s="59"/>
      <c r="M895" s="60"/>
      <c r="N895" s="60"/>
      <c r="O895" s="60"/>
      <c r="P895" s="59"/>
      <c r="Q895" s="59"/>
      <c r="R895" s="60"/>
      <c r="S895" s="60"/>
      <c r="T895" s="60"/>
      <c r="U895" s="60"/>
      <c r="V895" s="60"/>
      <c r="W895" s="60"/>
    </row>
    <row r="896" spans="1:23" ht="13" x14ac:dyDescent="0.3">
      <c r="A896" s="58"/>
      <c r="B896" s="58"/>
      <c r="C896" s="58"/>
      <c r="D896" s="58"/>
      <c r="E896" s="58"/>
      <c r="F896" s="58"/>
      <c r="G896" s="58"/>
      <c r="H896" s="59"/>
      <c r="I896" s="59"/>
      <c r="J896" s="59"/>
      <c r="K896" s="59"/>
      <c r="L896" s="59"/>
      <c r="M896" s="60"/>
      <c r="N896" s="60"/>
      <c r="O896" s="60"/>
      <c r="P896" s="59"/>
      <c r="Q896" s="59"/>
      <c r="R896" s="60"/>
      <c r="S896" s="60"/>
      <c r="T896" s="60"/>
      <c r="U896" s="60"/>
      <c r="V896" s="60"/>
      <c r="W896" s="60"/>
    </row>
    <row r="897" spans="1:23" ht="13" x14ac:dyDescent="0.3">
      <c r="A897" s="58"/>
      <c r="B897" s="58"/>
      <c r="C897" s="58"/>
      <c r="D897" s="58"/>
      <c r="E897" s="58"/>
      <c r="F897" s="58"/>
      <c r="G897" s="58"/>
      <c r="H897" s="59"/>
      <c r="I897" s="59"/>
      <c r="J897" s="59"/>
      <c r="K897" s="59"/>
      <c r="L897" s="59"/>
      <c r="M897" s="60"/>
      <c r="N897" s="60"/>
      <c r="O897" s="60"/>
      <c r="P897" s="59"/>
      <c r="Q897" s="59"/>
      <c r="R897" s="60"/>
      <c r="S897" s="60"/>
      <c r="T897" s="60"/>
      <c r="U897" s="60"/>
      <c r="V897" s="60"/>
      <c r="W897" s="60"/>
    </row>
    <row r="898" spans="1:23" ht="13" x14ac:dyDescent="0.3">
      <c r="A898" s="58"/>
      <c r="B898" s="58"/>
      <c r="C898" s="58"/>
      <c r="D898" s="58"/>
      <c r="E898" s="58"/>
      <c r="F898" s="58"/>
      <c r="G898" s="58"/>
      <c r="H898" s="59"/>
      <c r="I898" s="59"/>
      <c r="J898" s="59"/>
      <c r="K898" s="59"/>
      <c r="L898" s="59"/>
      <c r="M898" s="60"/>
      <c r="N898" s="60"/>
      <c r="O898" s="60"/>
      <c r="P898" s="59"/>
      <c r="Q898" s="59"/>
      <c r="R898" s="60"/>
      <c r="S898" s="60"/>
      <c r="T898" s="60"/>
      <c r="U898" s="60"/>
      <c r="V898" s="60"/>
      <c r="W898" s="60"/>
    </row>
    <row r="899" spans="1:23" ht="13" x14ac:dyDescent="0.3">
      <c r="A899" s="58"/>
      <c r="B899" s="58"/>
      <c r="C899" s="58"/>
      <c r="D899" s="58"/>
      <c r="E899" s="58"/>
      <c r="F899" s="58"/>
      <c r="G899" s="58"/>
      <c r="H899" s="59"/>
      <c r="I899" s="59"/>
      <c r="J899" s="59"/>
      <c r="K899" s="59"/>
      <c r="L899" s="59"/>
      <c r="M899" s="60"/>
      <c r="N899" s="60"/>
      <c r="O899" s="60"/>
      <c r="P899" s="59"/>
      <c r="Q899" s="59"/>
      <c r="R899" s="60"/>
      <c r="S899" s="60"/>
      <c r="T899" s="60"/>
      <c r="U899" s="60"/>
      <c r="V899" s="60"/>
      <c r="W899" s="60"/>
    </row>
    <row r="900" spans="1:23" ht="13" x14ac:dyDescent="0.3">
      <c r="A900" s="58"/>
      <c r="B900" s="58"/>
      <c r="C900" s="58"/>
      <c r="D900" s="58"/>
      <c r="E900" s="58"/>
      <c r="F900" s="58"/>
      <c r="G900" s="58"/>
      <c r="H900" s="59"/>
      <c r="I900" s="59"/>
      <c r="J900" s="59"/>
      <c r="K900" s="59"/>
      <c r="L900" s="59"/>
      <c r="M900" s="60"/>
      <c r="N900" s="60"/>
      <c r="O900" s="60"/>
      <c r="P900" s="59"/>
      <c r="Q900" s="59"/>
      <c r="R900" s="60"/>
      <c r="S900" s="60"/>
      <c r="T900" s="60"/>
      <c r="U900" s="60"/>
      <c r="V900" s="60"/>
      <c r="W900" s="60"/>
    </row>
    <row r="901" spans="1:23" ht="13" x14ac:dyDescent="0.3">
      <c r="A901" s="58"/>
      <c r="B901" s="58"/>
      <c r="C901" s="58"/>
      <c r="D901" s="58"/>
      <c r="E901" s="58"/>
      <c r="F901" s="58"/>
      <c r="G901" s="58"/>
      <c r="H901" s="59"/>
      <c r="I901" s="59"/>
      <c r="J901" s="59"/>
      <c r="K901" s="59"/>
      <c r="L901" s="59"/>
      <c r="M901" s="60"/>
      <c r="N901" s="60"/>
      <c r="O901" s="60"/>
      <c r="P901" s="59"/>
      <c r="Q901" s="59"/>
      <c r="R901" s="60"/>
      <c r="S901" s="60"/>
      <c r="T901" s="60"/>
      <c r="U901" s="60"/>
      <c r="V901" s="60"/>
      <c r="W901" s="60"/>
    </row>
    <row r="902" spans="1:23" ht="13" x14ac:dyDescent="0.3">
      <c r="A902" s="58"/>
      <c r="B902" s="58"/>
      <c r="C902" s="58"/>
      <c r="D902" s="58"/>
      <c r="E902" s="58"/>
      <c r="F902" s="58"/>
      <c r="G902" s="58"/>
      <c r="H902" s="59"/>
      <c r="I902" s="59"/>
      <c r="J902" s="59"/>
      <c r="K902" s="59"/>
      <c r="L902" s="59"/>
      <c r="M902" s="60"/>
      <c r="N902" s="60"/>
      <c r="O902" s="60"/>
      <c r="P902" s="59"/>
      <c r="Q902" s="59"/>
      <c r="R902" s="60"/>
      <c r="S902" s="60"/>
      <c r="T902" s="60"/>
      <c r="U902" s="60"/>
      <c r="V902" s="60"/>
      <c r="W902" s="60"/>
    </row>
    <row r="903" spans="1:23" ht="13" x14ac:dyDescent="0.3">
      <c r="A903" s="58"/>
      <c r="B903" s="58"/>
      <c r="C903" s="58"/>
      <c r="D903" s="58"/>
      <c r="E903" s="58"/>
      <c r="F903" s="58"/>
      <c r="G903" s="58"/>
      <c r="H903" s="59"/>
      <c r="I903" s="59"/>
      <c r="J903" s="59"/>
      <c r="K903" s="59"/>
      <c r="L903" s="59"/>
      <c r="M903" s="60"/>
      <c r="N903" s="60"/>
      <c r="O903" s="60"/>
      <c r="P903" s="59"/>
      <c r="Q903" s="59"/>
      <c r="R903" s="60"/>
      <c r="S903" s="60"/>
      <c r="T903" s="60"/>
      <c r="U903" s="60"/>
      <c r="V903" s="60"/>
      <c r="W903" s="60"/>
    </row>
    <row r="904" spans="1:23" ht="13" x14ac:dyDescent="0.3">
      <c r="A904" s="58"/>
      <c r="B904" s="58"/>
      <c r="C904" s="58"/>
      <c r="D904" s="58"/>
      <c r="E904" s="58"/>
      <c r="F904" s="58"/>
      <c r="G904" s="58"/>
      <c r="H904" s="59"/>
      <c r="I904" s="59"/>
      <c r="J904" s="59"/>
      <c r="K904" s="59"/>
      <c r="L904" s="59"/>
      <c r="M904" s="60"/>
      <c r="N904" s="60"/>
      <c r="O904" s="60"/>
      <c r="P904" s="59"/>
      <c r="Q904" s="59"/>
      <c r="R904" s="60"/>
      <c r="S904" s="60"/>
      <c r="T904" s="60"/>
      <c r="U904" s="60"/>
      <c r="V904" s="60"/>
      <c r="W904" s="60"/>
    </row>
    <row r="905" spans="1:23" ht="13" x14ac:dyDescent="0.3">
      <c r="A905" s="58"/>
      <c r="B905" s="58"/>
      <c r="C905" s="58"/>
      <c r="D905" s="58"/>
      <c r="E905" s="58"/>
      <c r="F905" s="58"/>
      <c r="G905" s="58"/>
      <c r="H905" s="59"/>
      <c r="I905" s="59"/>
      <c r="J905" s="59"/>
      <c r="K905" s="59"/>
      <c r="L905" s="59"/>
      <c r="M905" s="60"/>
      <c r="N905" s="60"/>
      <c r="O905" s="60"/>
      <c r="P905" s="59"/>
      <c r="Q905" s="59"/>
      <c r="R905" s="60"/>
      <c r="S905" s="60"/>
      <c r="T905" s="60"/>
      <c r="U905" s="60"/>
      <c r="V905" s="60"/>
      <c r="W905" s="60"/>
    </row>
    <row r="906" spans="1:23" ht="13" x14ac:dyDescent="0.3">
      <c r="A906" s="58"/>
      <c r="B906" s="58"/>
      <c r="C906" s="58"/>
      <c r="D906" s="58"/>
      <c r="E906" s="58"/>
      <c r="F906" s="58"/>
      <c r="G906" s="58"/>
      <c r="H906" s="59"/>
      <c r="I906" s="59"/>
      <c r="J906" s="59"/>
      <c r="K906" s="59"/>
      <c r="L906" s="59"/>
      <c r="M906" s="60"/>
      <c r="N906" s="60"/>
      <c r="O906" s="60"/>
      <c r="P906" s="59"/>
      <c r="Q906" s="59"/>
      <c r="R906" s="60"/>
      <c r="S906" s="60"/>
      <c r="T906" s="60"/>
      <c r="U906" s="60"/>
      <c r="V906" s="60"/>
      <c r="W906" s="60"/>
    </row>
    <row r="907" spans="1:23" ht="13" x14ac:dyDescent="0.3">
      <c r="A907" s="58"/>
      <c r="B907" s="58"/>
      <c r="C907" s="58"/>
      <c r="D907" s="58"/>
      <c r="E907" s="58"/>
      <c r="F907" s="58"/>
      <c r="G907" s="58"/>
      <c r="H907" s="59"/>
      <c r="I907" s="59"/>
      <c r="J907" s="59"/>
      <c r="K907" s="59"/>
      <c r="L907" s="59"/>
      <c r="M907" s="60"/>
      <c r="N907" s="60"/>
      <c r="O907" s="60"/>
      <c r="P907" s="59"/>
      <c r="Q907" s="59"/>
      <c r="R907" s="60"/>
      <c r="S907" s="60"/>
      <c r="T907" s="60"/>
      <c r="U907" s="60"/>
      <c r="V907" s="60"/>
      <c r="W907" s="60"/>
    </row>
    <row r="908" spans="1:23" ht="13" x14ac:dyDescent="0.3">
      <c r="A908" s="58"/>
      <c r="B908" s="58"/>
      <c r="C908" s="58"/>
      <c r="D908" s="58"/>
      <c r="E908" s="58"/>
      <c r="F908" s="58"/>
      <c r="G908" s="58"/>
      <c r="H908" s="59"/>
      <c r="I908" s="59"/>
      <c r="J908" s="59"/>
      <c r="K908" s="59"/>
      <c r="L908" s="59"/>
      <c r="M908" s="60"/>
      <c r="N908" s="60"/>
      <c r="O908" s="60"/>
      <c r="P908" s="59"/>
      <c r="Q908" s="59"/>
      <c r="R908" s="60"/>
      <c r="S908" s="60"/>
      <c r="T908" s="60"/>
      <c r="U908" s="60"/>
      <c r="V908" s="60"/>
      <c r="W908" s="60"/>
    </row>
    <row r="909" spans="1:23" ht="13" x14ac:dyDescent="0.3">
      <c r="A909" s="58"/>
      <c r="B909" s="58"/>
      <c r="C909" s="58"/>
      <c r="D909" s="58"/>
      <c r="E909" s="58"/>
      <c r="F909" s="58"/>
      <c r="G909" s="58"/>
      <c r="H909" s="59"/>
      <c r="I909" s="59"/>
      <c r="J909" s="59"/>
      <c r="K909" s="59"/>
      <c r="L909" s="59"/>
      <c r="M909" s="60"/>
      <c r="N909" s="60"/>
      <c r="O909" s="60"/>
      <c r="P909" s="59"/>
      <c r="Q909" s="59"/>
      <c r="R909" s="60"/>
      <c r="S909" s="60"/>
      <c r="T909" s="60"/>
      <c r="U909" s="60"/>
      <c r="V909" s="60"/>
      <c r="W909" s="60"/>
    </row>
    <row r="910" spans="1:23" ht="13" x14ac:dyDescent="0.3">
      <c r="A910" s="58"/>
      <c r="B910" s="58"/>
      <c r="C910" s="58"/>
      <c r="D910" s="58"/>
      <c r="E910" s="58"/>
      <c r="F910" s="58"/>
      <c r="G910" s="58"/>
      <c r="H910" s="59"/>
      <c r="I910" s="59"/>
      <c r="J910" s="59"/>
      <c r="K910" s="59"/>
      <c r="L910" s="59"/>
      <c r="M910" s="60"/>
      <c r="N910" s="60"/>
      <c r="O910" s="60"/>
      <c r="P910" s="59"/>
      <c r="Q910" s="59"/>
      <c r="R910" s="60"/>
      <c r="S910" s="60"/>
      <c r="T910" s="60"/>
      <c r="U910" s="60"/>
      <c r="V910" s="60"/>
      <c r="W910" s="60"/>
    </row>
    <row r="911" spans="1:23" ht="13" x14ac:dyDescent="0.3">
      <c r="A911" s="58"/>
      <c r="B911" s="58"/>
      <c r="C911" s="58"/>
      <c r="D911" s="58"/>
      <c r="E911" s="58"/>
      <c r="F911" s="58"/>
      <c r="G911" s="58"/>
      <c r="H911" s="59"/>
      <c r="I911" s="59"/>
      <c r="J911" s="59"/>
      <c r="K911" s="59"/>
      <c r="L911" s="59"/>
      <c r="M911" s="60"/>
      <c r="N911" s="60"/>
      <c r="O911" s="60"/>
      <c r="P911" s="59"/>
      <c r="Q911" s="59"/>
      <c r="R911" s="60"/>
      <c r="S911" s="60"/>
      <c r="T911" s="60"/>
      <c r="U911" s="60"/>
      <c r="V911" s="60"/>
      <c r="W911" s="60"/>
    </row>
    <row r="912" spans="1:23" ht="13" x14ac:dyDescent="0.3">
      <c r="A912" s="58"/>
      <c r="B912" s="58"/>
      <c r="C912" s="58"/>
      <c r="D912" s="58"/>
      <c r="E912" s="58"/>
      <c r="F912" s="58"/>
      <c r="G912" s="58"/>
      <c r="H912" s="59"/>
      <c r="I912" s="59"/>
      <c r="J912" s="59"/>
      <c r="K912" s="59"/>
      <c r="L912" s="59"/>
      <c r="M912" s="60"/>
      <c r="N912" s="60"/>
      <c r="O912" s="60"/>
      <c r="P912" s="59"/>
      <c r="Q912" s="59"/>
      <c r="R912" s="60"/>
      <c r="S912" s="60"/>
      <c r="T912" s="60"/>
      <c r="U912" s="60"/>
      <c r="V912" s="60"/>
      <c r="W912" s="60"/>
    </row>
    <row r="913" spans="1:23" ht="13" x14ac:dyDescent="0.3">
      <c r="A913" s="58"/>
      <c r="B913" s="58"/>
      <c r="C913" s="58"/>
      <c r="D913" s="58"/>
      <c r="E913" s="58"/>
      <c r="F913" s="58"/>
      <c r="G913" s="58"/>
      <c r="H913" s="59"/>
      <c r="I913" s="59"/>
      <c r="J913" s="59"/>
      <c r="K913" s="59"/>
      <c r="L913" s="59"/>
      <c r="M913" s="60"/>
      <c r="N913" s="60"/>
      <c r="O913" s="60"/>
      <c r="P913" s="59"/>
      <c r="Q913" s="59"/>
      <c r="R913" s="60"/>
      <c r="S913" s="60"/>
      <c r="T913" s="60"/>
      <c r="U913" s="60"/>
      <c r="V913" s="60"/>
      <c r="W913" s="60"/>
    </row>
    <row r="914" spans="1:23" ht="13" x14ac:dyDescent="0.3">
      <c r="A914" s="58"/>
      <c r="B914" s="58"/>
      <c r="C914" s="58"/>
      <c r="D914" s="58"/>
      <c r="E914" s="58"/>
      <c r="F914" s="58"/>
      <c r="G914" s="58"/>
      <c r="H914" s="59"/>
      <c r="I914" s="59"/>
      <c r="J914" s="59"/>
      <c r="K914" s="59"/>
      <c r="L914" s="59"/>
      <c r="M914" s="60"/>
      <c r="N914" s="60"/>
      <c r="O914" s="60"/>
      <c r="P914" s="59"/>
      <c r="Q914" s="59"/>
      <c r="R914" s="60"/>
      <c r="S914" s="60"/>
      <c r="T914" s="60"/>
      <c r="U914" s="60"/>
      <c r="V914" s="60"/>
      <c r="W914" s="60"/>
    </row>
    <row r="915" spans="1:23" ht="13" x14ac:dyDescent="0.3">
      <c r="A915" s="58"/>
      <c r="B915" s="58"/>
      <c r="C915" s="58"/>
      <c r="D915" s="58"/>
      <c r="E915" s="58"/>
      <c r="F915" s="58"/>
      <c r="G915" s="58"/>
      <c r="H915" s="59"/>
      <c r="I915" s="59"/>
      <c r="J915" s="59"/>
      <c r="K915" s="59"/>
      <c r="L915" s="59"/>
      <c r="M915" s="60"/>
      <c r="N915" s="60"/>
      <c r="O915" s="60"/>
      <c r="P915" s="59"/>
      <c r="Q915" s="59"/>
      <c r="R915" s="60"/>
      <c r="S915" s="60"/>
      <c r="T915" s="60"/>
      <c r="U915" s="60"/>
      <c r="V915" s="60"/>
      <c r="W915" s="60"/>
    </row>
    <row r="916" spans="1:23" ht="13" x14ac:dyDescent="0.3">
      <c r="A916" s="58"/>
      <c r="B916" s="58"/>
      <c r="C916" s="58"/>
      <c r="D916" s="58"/>
      <c r="E916" s="58"/>
      <c r="F916" s="58"/>
      <c r="G916" s="58"/>
      <c r="H916" s="59"/>
      <c r="I916" s="59"/>
      <c r="J916" s="59"/>
      <c r="K916" s="59"/>
      <c r="L916" s="59"/>
      <c r="M916" s="60"/>
      <c r="N916" s="60"/>
      <c r="O916" s="60"/>
      <c r="P916" s="59"/>
      <c r="Q916" s="59"/>
      <c r="R916" s="60"/>
      <c r="S916" s="60"/>
      <c r="T916" s="60"/>
      <c r="U916" s="60"/>
      <c r="V916" s="60"/>
      <c r="W916" s="60"/>
    </row>
    <row r="917" spans="1:23" ht="13" x14ac:dyDescent="0.3">
      <c r="A917" s="58"/>
      <c r="B917" s="58"/>
      <c r="C917" s="58"/>
      <c r="D917" s="58"/>
      <c r="E917" s="58"/>
      <c r="F917" s="58"/>
      <c r="G917" s="58"/>
      <c r="H917" s="59"/>
      <c r="I917" s="59"/>
      <c r="J917" s="59"/>
      <c r="K917" s="59"/>
      <c r="L917" s="59"/>
      <c r="M917" s="60"/>
      <c r="N917" s="60"/>
      <c r="O917" s="60"/>
      <c r="P917" s="59"/>
      <c r="Q917" s="59"/>
      <c r="R917" s="60"/>
      <c r="S917" s="60"/>
      <c r="T917" s="60"/>
      <c r="U917" s="60"/>
      <c r="V917" s="60"/>
      <c r="W917" s="60"/>
    </row>
    <row r="918" spans="1:23" ht="13" x14ac:dyDescent="0.3">
      <c r="A918" s="58"/>
      <c r="B918" s="58"/>
      <c r="C918" s="58"/>
      <c r="D918" s="58"/>
      <c r="E918" s="58"/>
      <c r="F918" s="58"/>
      <c r="G918" s="58"/>
      <c r="H918" s="59"/>
      <c r="I918" s="59"/>
      <c r="J918" s="59"/>
      <c r="K918" s="59"/>
      <c r="L918" s="59"/>
      <c r="M918" s="60"/>
      <c r="N918" s="60"/>
      <c r="O918" s="60"/>
      <c r="P918" s="59"/>
      <c r="Q918" s="59"/>
      <c r="R918" s="60"/>
      <c r="S918" s="60"/>
      <c r="T918" s="60"/>
      <c r="U918" s="60"/>
      <c r="V918" s="60"/>
      <c r="W918" s="60"/>
    </row>
    <row r="919" spans="1:23" ht="13" x14ac:dyDescent="0.3">
      <c r="A919" s="58"/>
      <c r="B919" s="58"/>
      <c r="C919" s="58"/>
      <c r="D919" s="58"/>
      <c r="E919" s="58"/>
      <c r="F919" s="58"/>
      <c r="G919" s="58"/>
      <c r="H919" s="59"/>
      <c r="I919" s="59"/>
      <c r="J919" s="59"/>
      <c r="K919" s="59"/>
      <c r="L919" s="59"/>
      <c r="M919" s="60"/>
      <c r="N919" s="60"/>
      <c r="O919" s="60"/>
      <c r="P919" s="59"/>
      <c r="Q919" s="59"/>
      <c r="R919" s="60"/>
      <c r="S919" s="60"/>
      <c r="T919" s="60"/>
      <c r="U919" s="60"/>
      <c r="V919" s="60"/>
      <c r="W919" s="60"/>
    </row>
    <row r="920" spans="1:23" ht="13" x14ac:dyDescent="0.3">
      <c r="A920" s="58"/>
      <c r="B920" s="58"/>
      <c r="C920" s="58"/>
      <c r="D920" s="58"/>
      <c r="E920" s="58"/>
      <c r="F920" s="58"/>
      <c r="G920" s="58"/>
      <c r="H920" s="59"/>
      <c r="I920" s="59"/>
      <c r="J920" s="59"/>
      <c r="K920" s="59"/>
      <c r="L920" s="59"/>
      <c r="M920" s="60"/>
      <c r="N920" s="60"/>
      <c r="O920" s="60"/>
      <c r="P920" s="59"/>
      <c r="Q920" s="59"/>
      <c r="R920" s="60"/>
      <c r="S920" s="60"/>
      <c r="T920" s="60"/>
      <c r="U920" s="60"/>
      <c r="V920" s="60"/>
      <c r="W920" s="60"/>
    </row>
    <row r="921" spans="1:23" ht="13" x14ac:dyDescent="0.3">
      <c r="A921" s="58"/>
      <c r="B921" s="58"/>
      <c r="C921" s="58"/>
      <c r="D921" s="58"/>
      <c r="E921" s="58"/>
      <c r="F921" s="58"/>
      <c r="G921" s="58"/>
      <c r="H921" s="59"/>
      <c r="I921" s="59"/>
      <c r="J921" s="59"/>
      <c r="K921" s="59"/>
      <c r="L921" s="59"/>
      <c r="M921" s="60"/>
      <c r="N921" s="60"/>
      <c r="O921" s="60"/>
      <c r="P921" s="59"/>
      <c r="Q921" s="59"/>
      <c r="R921" s="60"/>
      <c r="S921" s="60"/>
      <c r="T921" s="60"/>
      <c r="U921" s="60"/>
      <c r="V921" s="60"/>
      <c r="W921" s="60"/>
    </row>
    <row r="922" spans="1:23" ht="13" x14ac:dyDescent="0.3">
      <c r="A922" s="58"/>
      <c r="B922" s="58"/>
      <c r="C922" s="58"/>
      <c r="D922" s="58"/>
      <c r="E922" s="58"/>
      <c r="F922" s="58"/>
      <c r="G922" s="58"/>
      <c r="H922" s="59"/>
      <c r="I922" s="59"/>
      <c r="J922" s="59"/>
      <c r="K922" s="59"/>
      <c r="L922" s="59"/>
      <c r="M922" s="60"/>
      <c r="N922" s="60"/>
      <c r="O922" s="60"/>
      <c r="P922" s="59"/>
      <c r="Q922" s="59"/>
      <c r="R922" s="60"/>
      <c r="S922" s="60"/>
      <c r="T922" s="60"/>
      <c r="U922" s="60"/>
      <c r="V922" s="60"/>
      <c r="W922" s="60"/>
    </row>
    <row r="923" spans="1:23" ht="13" x14ac:dyDescent="0.3">
      <c r="A923" s="58"/>
      <c r="B923" s="58"/>
      <c r="C923" s="58"/>
      <c r="D923" s="58"/>
      <c r="E923" s="58"/>
      <c r="F923" s="58"/>
      <c r="G923" s="58"/>
      <c r="H923" s="59"/>
      <c r="I923" s="59"/>
      <c r="J923" s="59"/>
      <c r="K923" s="59"/>
      <c r="L923" s="59"/>
      <c r="M923" s="60"/>
      <c r="N923" s="60"/>
      <c r="O923" s="60"/>
      <c r="P923" s="59"/>
      <c r="Q923" s="59"/>
      <c r="R923" s="60"/>
      <c r="S923" s="60"/>
      <c r="T923" s="60"/>
      <c r="U923" s="60"/>
      <c r="V923" s="60"/>
      <c r="W923" s="60"/>
    </row>
    <row r="924" spans="1:23" ht="13" x14ac:dyDescent="0.3">
      <c r="A924" s="58"/>
      <c r="B924" s="58"/>
      <c r="C924" s="58"/>
      <c r="D924" s="58"/>
      <c r="E924" s="58"/>
      <c r="F924" s="58"/>
      <c r="G924" s="58"/>
      <c r="H924" s="59"/>
      <c r="I924" s="59"/>
      <c r="J924" s="59"/>
      <c r="K924" s="59"/>
      <c r="L924" s="59"/>
      <c r="M924" s="60"/>
      <c r="N924" s="60"/>
      <c r="O924" s="60"/>
      <c r="P924" s="59"/>
      <c r="Q924" s="59"/>
      <c r="R924" s="60"/>
      <c r="S924" s="60"/>
      <c r="T924" s="60"/>
      <c r="U924" s="60"/>
      <c r="V924" s="60"/>
      <c r="W924" s="60"/>
    </row>
    <row r="925" spans="1:23" ht="13" x14ac:dyDescent="0.3">
      <c r="A925" s="58"/>
      <c r="B925" s="58"/>
      <c r="C925" s="58"/>
      <c r="D925" s="58"/>
      <c r="E925" s="58"/>
      <c r="F925" s="58"/>
      <c r="G925" s="58"/>
      <c r="H925" s="59"/>
      <c r="I925" s="59"/>
      <c r="J925" s="59"/>
      <c r="K925" s="59"/>
      <c r="L925" s="59"/>
      <c r="M925" s="60"/>
      <c r="N925" s="60"/>
      <c r="O925" s="60"/>
      <c r="P925" s="59"/>
      <c r="Q925" s="59"/>
      <c r="R925" s="60"/>
      <c r="S925" s="60"/>
      <c r="T925" s="60"/>
      <c r="U925" s="60"/>
      <c r="V925" s="60"/>
      <c r="W925" s="60"/>
    </row>
    <row r="926" spans="1:23" ht="13" x14ac:dyDescent="0.3">
      <c r="A926" s="58"/>
      <c r="B926" s="58"/>
      <c r="C926" s="58"/>
      <c r="D926" s="58"/>
      <c r="E926" s="58"/>
      <c r="F926" s="58"/>
      <c r="G926" s="58"/>
      <c r="H926" s="59"/>
      <c r="I926" s="59"/>
      <c r="J926" s="59"/>
      <c r="K926" s="59"/>
      <c r="L926" s="59"/>
      <c r="M926" s="60"/>
      <c r="N926" s="60"/>
      <c r="O926" s="60"/>
      <c r="P926" s="59"/>
      <c r="Q926" s="59"/>
      <c r="R926" s="60"/>
      <c r="S926" s="60"/>
      <c r="T926" s="60"/>
      <c r="U926" s="60"/>
      <c r="V926" s="60"/>
      <c r="W926" s="60"/>
    </row>
    <row r="927" spans="1:23" ht="13" x14ac:dyDescent="0.3">
      <c r="A927" s="58"/>
      <c r="B927" s="58"/>
      <c r="C927" s="58"/>
      <c r="D927" s="58"/>
      <c r="E927" s="58"/>
      <c r="F927" s="58"/>
      <c r="G927" s="58"/>
      <c r="H927" s="59"/>
      <c r="I927" s="59"/>
      <c r="J927" s="59"/>
      <c r="K927" s="59"/>
      <c r="L927" s="59"/>
      <c r="M927" s="60"/>
      <c r="N927" s="60"/>
      <c r="O927" s="60"/>
      <c r="P927" s="59"/>
      <c r="Q927" s="59"/>
      <c r="R927" s="60"/>
      <c r="S927" s="60"/>
      <c r="T927" s="60"/>
      <c r="U927" s="60"/>
      <c r="V927" s="60"/>
      <c r="W927" s="60"/>
    </row>
    <row r="928" spans="1:23" ht="13" x14ac:dyDescent="0.3">
      <c r="A928" s="58"/>
      <c r="B928" s="58"/>
      <c r="C928" s="58"/>
      <c r="D928" s="58"/>
      <c r="E928" s="58"/>
      <c r="F928" s="58"/>
      <c r="G928" s="58"/>
      <c r="H928" s="59"/>
      <c r="I928" s="59"/>
      <c r="J928" s="59"/>
      <c r="K928" s="59"/>
      <c r="L928" s="59"/>
      <c r="M928" s="60"/>
      <c r="N928" s="60"/>
      <c r="O928" s="60"/>
      <c r="P928" s="59"/>
      <c r="Q928" s="59"/>
      <c r="R928" s="60"/>
      <c r="S928" s="60"/>
      <c r="T928" s="60"/>
      <c r="U928" s="60"/>
      <c r="V928" s="60"/>
      <c r="W928" s="60"/>
    </row>
    <row r="929" spans="1:23" ht="13" x14ac:dyDescent="0.3">
      <c r="A929" s="58"/>
      <c r="B929" s="58"/>
      <c r="C929" s="58"/>
      <c r="D929" s="58"/>
      <c r="E929" s="58"/>
      <c r="F929" s="58"/>
      <c r="G929" s="58"/>
      <c r="H929" s="59"/>
      <c r="I929" s="59"/>
      <c r="J929" s="59"/>
      <c r="K929" s="59"/>
      <c r="L929" s="59"/>
      <c r="M929" s="60"/>
      <c r="N929" s="60"/>
      <c r="O929" s="60"/>
      <c r="P929" s="59"/>
      <c r="Q929" s="59"/>
      <c r="R929" s="60"/>
      <c r="S929" s="60"/>
      <c r="T929" s="60"/>
      <c r="U929" s="60"/>
      <c r="V929" s="60"/>
      <c r="W929" s="60"/>
    </row>
    <row r="930" spans="1:23" ht="13" x14ac:dyDescent="0.3">
      <c r="A930" s="58"/>
      <c r="B930" s="58"/>
      <c r="C930" s="58"/>
      <c r="D930" s="58"/>
      <c r="E930" s="58"/>
      <c r="F930" s="58"/>
      <c r="G930" s="58"/>
      <c r="H930" s="59"/>
      <c r="I930" s="59"/>
      <c r="J930" s="59"/>
      <c r="K930" s="59"/>
      <c r="L930" s="59"/>
      <c r="M930" s="60"/>
      <c r="N930" s="60"/>
      <c r="O930" s="60"/>
      <c r="P930" s="59"/>
      <c r="Q930" s="59"/>
      <c r="R930" s="60"/>
      <c r="S930" s="60"/>
      <c r="T930" s="60"/>
      <c r="U930" s="60"/>
      <c r="V930" s="60"/>
      <c r="W930" s="60"/>
    </row>
    <row r="931" spans="1:23" ht="13" x14ac:dyDescent="0.3">
      <c r="A931" s="58"/>
      <c r="B931" s="58"/>
      <c r="C931" s="58"/>
      <c r="D931" s="58"/>
      <c r="E931" s="58"/>
      <c r="F931" s="58"/>
      <c r="G931" s="58"/>
      <c r="H931" s="59"/>
      <c r="I931" s="59"/>
      <c r="J931" s="59"/>
      <c r="K931" s="59"/>
      <c r="L931" s="59"/>
      <c r="M931" s="60"/>
      <c r="N931" s="60"/>
      <c r="O931" s="60"/>
      <c r="P931" s="59"/>
      <c r="Q931" s="59"/>
      <c r="R931" s="60"/>
      <c r="S931" s="60"/>
      <c r="T931" s="60"/>
      <c r="U931" s="60"/>
      <c r="V931" s="60"/>
      <c r="W931" s="60"/>
    </row>
    <row r="932" spans="1:23" ht="13" x14ac:dyDescent="0.3">
      <c r="A932" s="58"/>
      <c r="B932" s="58"/>
      <c r="C932" s="58"/>
      <c r="D932" s="58"/>
      <c r="E932" s="58"/>
      <c r="F932" s="58"/>
      <c r="G932" s="58"/>
      <c r="H932" s="59"/>
      <c r="I932" s="59"/>
      <c r="J932" s="59"/>
      <c r="K932" s="59"/>
      <c r="L932" s="59"/>
      <c r="M932" s="60"/>
      <c r="N932" s="60"/>
      <c r="O932" s="60"/>
      <c r="P932" s="59"/>
      <c r="Q932" s="59"/>
      <c r="R932" s="60"/>
      <c r="S932" s="60"/>
      <c r="T932" s="60"/>
      <c r="U932" s="60"/>
      <c r="V932" s="60"/>
      <c r="W932" s="60"/>
    </row>
    <row r="933" spans="1:23" ht="13" x14ac:dyDescent="0.3">
      <c r="A933" s="58"/>
      <c r="B933" s="58"/>
      <c r="C933" s="58"/>
      <c r="D933" s="58"/>
      <c r="E933" s="58"/>
      <c r="F933" s="58"/>
      <c r="G933" s="58"/>
      <c r="H933" s="59"/>
      <c r="I933" s="59"/>
      <c r="J933" s="59"/>
      <c r="K933" s="59"/>
      <c r="L933" s="59"/>
      <c r="M933" s="60"/>
      <c r="N933" s="60"/>
      <c r="O933" s="60"/>
      <c r="P933" s="59"/>
      <c r="Q933" s="59"/>
      <c r="R933" s="60"/>
      <c r="S933" s="60"/>
      <c r="T933" s="60"/>
      <c r="U933" s="60"/>
      <c r="V933" s="60"/>
      <c r="W933" s="60"/>
    </row>
  </sheetData>
  <autoFilter ref="A1:R47" xr:uid="{00000000-0001-0000-0000-000000000000}"/>
  <conditionalFormatting sqref="B36:B47">
    <cfRule type="duplicateValues" dxfId="147" priority="59"/>
    <cfRule type="duplicateValues" dxfId="146" priority="60"/>
  </conditionalFormatting>
  <conditionalFormatting sqref="B48">
    <cfRule type="duplicateValues" dxfId="145" priority="9"/>
    <cfRule type="duplicateValues" dxfId="144" priority="10"/>
  </conditionalFormatting>
  <conditionalFormatting sqref="B49:B50">
    <cfRule type="duplicateValues" dxfId="143" priority="4"/>
    <cfRule type="duplicateValues" dxfId="142" priority="5"/>
  </conditionalFormatting>
  <conditionalFormatting sqref="B51:B1048576 B1:B35">
    <cfRule type="duplicateValues" dxfId="141" priority="88"/>
    <cfRule type="duplicateValues" dxfId="140" priority="89"/>
  </conditionalFormatting>
  <conditionalFormatting sqref="B1:C47 B51:C1048576">
    <cfRule type="duplicateValues" dxfId="139" priority="70"/>
  </conditionalFormatting>
  <conditionalFormatting sqref="B51:C1048576 B1:C35">
    <cfRule type="duplicateValues" dxfId="138" priority="85"/>
  </conditionalFormatting>
  <conditionalFormatting sqref="C36:C47">
    <cfRule type="duplicateValues" dxfId="137" priority="56"/>
    <cfRule type="duplicateValues" dxfId="136" priority="57"/>
    <cfRule type="duplicateValues" dxfId="135" priority="58"/>
  </conditionalFormatting>
  <conditionalFormatting sqref="C48">
    <cfRule type="duplicateValues" dxfId="134" priority="6"/>
    <cfRule type="duplicateValues" dxfId="133" priority="7"/>
    <cfRule type="duplicateValues" dxfId="132" priority="8"/>
  </conditionalFormatting>
  <conditionalFormatting sqref="C49:C50">
    <cfRule type="duplicateValues" dxfId="131" priority="1"/>
    <cfRule type="duplicateValues" dxfId="130" priority="2"/>
    <cfRule type="duplicateValues" dxfId="129" priority="3"/>
  </conditionalFormatting>
  <conditionalFormatting sqref="C51:C1048576 C1:C35">
    <cfRule type="duplicateValues" dxfId="128" priority="73"/>
    <cfRule type="duplicateValues" dxfId="127" priority="74"/>
    <cfRule type="duplicateValues" dxfId="126" priority="75"/>
    <cfRule type="duplicateValues" dxfId="125" priority="76"/>
  </conditionalFormatting>
  <dataValidations count="2">
    <dataValidation allowBlank="1" showDropDown="1" sqref="B30:B47" xr:uid="{4B94492D-C55E-4EA7-B6FD-B76CBA76DDC3}"/>
    <dataValidation type="list" allowBlank="1" showErrorMessage="1" sqref="E16:E29" xr:uid="{C31C18B3-3074-4433-A7BE-CCCB16B4C4F2}">
      <formula1>"II/a,II/b,II/c,II/d,III/a,III/b,III/c,III/d,IV/a,IV/b,IV/c"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AA1F-08EE-4736-A61B-71E679B31405}">
  <sheetPr>
    <outlinePr summaryBelow="0" summaryRight="0"/>
  </sheetPr>
  <dimension ref="A1:W891"/>
  <sheetViews>
    <sheetView zoomScale="74" zoomScaleNormal="6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" sqref="D1"/>
    </sheetView>
  </sheetViews>
  <sheetFormatPr defaultColWidth="12.6328125" defaultRowHeight="15.75" customHeight="1" x14ac:dyDescent="0.3"/>
  <cols>
    <col min="1" max="1" width="5.26953125" style="11" customWidth="1"/>
    <col min="2" max="2" width="39" style="11" customWidth="1"/>
    <col min="3" max="4" width="24.7265625" style="11" customWidth="1"/>
    <col min="5" max="5" width="25.6328125" style="11" customWidth="1"/>
    <col min="6" max="6" width="44.90625" style="11" customWidth="1"/>
    <col min="7" max="7" width="12.90625" style="11" customWidth="1"/>
    <col min="8" max="9" width="33.26953125" style="61" customWidth="1"/>
    <col min="10" max="10" width="17.7265625" style="56" customWidth="1"/>
    <col min="11" max="11" width="31.81640625" style="61" customWidth="1"/>
    <col min="12" max="12" width="19.54296875" style="56" customWidth="1"/>
    <col min="13" max="14" width="18.7265625" style="11" customWidth="1"/>
    <col min="15" max="15" width="16.6328125" style="11" customWidth="1"/>
    <col min="16" max="17" width="20.90625" style="56" customWidth="1"/>
    <col min="18" max="19" width="20.26953125" style="11" customWidth="1"/>
    <col min="20" max="20" width="37.26953125" style="11" customWidth="1"/>
    <col min="21" max="22" width="36.54296875" style="11" customWidth="1"/>
    <col min="23" max="23" width="31.7265625" style="11" customWidth="1"/>
    <col min="24" max="16384" width="12.6328125" style="11"/>
  </cols>
  <sheetData>
    <row r="1" spans="1:23" ht="112.5" customHeight="1" x14ac:dyDescent="0.3">
      <c r="A1" s="1"/>
      <c r="B1" s="2" t="s">
        <v>0</v>
      </c>
      <c r="C1" s="2" t="s">
        <v>1</v>
      </c>
      <c r="D1" s="2" t="s">
        <v>2930</v>
      </c>
      <c r="E1" s="2" t="s">
        <v>2</v>
      </c>
      <c r="F1" s="2" t="s">
        <v>3</v>
      </c>
      <c r="G1" s="2" t="s">
        <v>4</v>
      </c>
      <c r="H1" s="1" t="s">
        <v>5</v>
      </c>
      <c r="I1" s="3" t="s">
        <v>6</v>
      </c>
      <c r="J1" s="4" t="s">
        <v>7</v>
      </c>
      <c r="K1" s="4" t="s">
        <v>8</v>
      </c>
      <c r="L1" s="5" t="s">
        <v>9</v>
      </c>
      <c r="M1" s="5" t="s">
        <v>10</v>
      </c>
      <c r="N1" s="6" t="s">
        <v>11</v>
      </c>
      <c r="O1" s="6" t="s">
        <v>12</v>
      </c>
      <c r="P1" s="7" t="s">
        <v>13</v>
      </c>
      <c r="Q1" s="7" t="s">
        <v>14</v>
      </c>
      <c r="R1" s="8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10" t="s">
        <v>20</v>
      </c>
    </row>
    <row r="2" spans="1:23" s="17" customFormat="1" ht="28" x14ac:dyDescent="0.35">
      <c r="A2" s="12">
        <v>1</v>
      </c>
      <c r="B2" s="13" t="s">
        <v>229</v>
      </c>
      <c r="C2" s="14" t="s">
        <v>230</v>
      </c>
      <c r="D2" s="14" t="str">
        <f>IF(MID(C2,15,1)="1","Laki-Laki","Perempuan")</f>
        <v>Laki-Laki</v>
      </c>
      <c r="E2" s="13"/>
      <c r="F2" s="13"/>
      <c r="G2" s="13" t="s">
        <v>231</v>
      </c>
      <c r="H2" s="15" t="s">
        <v>232</v>
      </c>
      <c r="I2" s="15" t="s">
        <v>233</v>
      </c>
      <c r="J2" s="12" t="s">
        <v>26</v>
      </c>
      <c r="K2" s="15" t="s">
        <v>234</v>
      </c>
      <c r="L2" s="15" t="s">
        <v>28</v>
      </c>
      <c r="M2" s="15">
        <v>2020</v>
      </c>
      <c r="N2" s="15" t="str">
        <f>L2</f>
        <v>September</v>
      </c>
      <c r="O2" s="15">
        <v>2022</v>
      </c>
      <c r="P2" s="15">
        <v>2020</v>
      </c>
      <c r="Q2" s="15"/>
      <c r="R2" s="16" t="s">
        <v>29</v>
      </c>
      <c r="S2" s="15"/>
      <c r="T2" s="15"/>
      <c r="U2" s="15"/>
      <c r="V2" s="15"/>
      <c r="W2" s="15"/>
    </row>
    <row r="3" spans="1:23" s="17" customFormat="1" ht="28" x14ac:dyDescent="0.35">
      <c r="A3" s="12">
        <v>2</v>
      </c>
      <c r="B3" s="25" t="s">
        <v>235</v>
      </c>
      <c r="C3" s="69" t="s">
        <v>236</v>
      </c>
      <c r="D3" s="14" t="str">
        <f t="shared" ref="D3:D6" si="0">IF(MID(C3,15,1)="1","Laki-Laki","Perempuan")</f>
        <v>Perempuan</v>
      </c>
      <c r="E3" s="13" t="s">
        <v>172</v>
      </c>
      <c r="F3" s="72" t="s">
        <v>237</v>
      </c>
      <c r="G3" s="13" t="s">
        <v>231</v>
      </c>
      <c r="H3" s="15"/>
      <c r="I3" s="19" t="s">
        <v>238</v>
      </c>
      <c r="J3" s="20" t="s">
        <v>26</v>
      </c>
      <c r="K3" s="19" t="s">
        <v>46</v>
      </c>
      <c r="L3" s="15" t="s">
        <v>28</v>
      </c>
      <c r="M3" s="15">
        <v>2022</v>
      </c>
      <c r="N3" s="15" t="str">
        <f t="shared" ref="N3:N6" si="1">L3</f>
        <v>September</v>
      </c>
      <c r="O3" s="15">
        <v>2024</v>
      </c>
      <c r="P3" s="15">
        <v>2022</v>
      </c>
      <c r="Q3" s="15"/>
      <c r="R3" s="16" t="s">
        <v>29</v>
      </c>
      <c r="S3" s="15"/>
      <c r="T3" s="15"/>
      <c r="U3" s="15"/>
      <c r="V3" s="15"/>
      <c r="W3" s="15"/>
    </row>
    <row r="4" spans="1:23" s="17" customFormat="1" ht="14.5" x14ac:dyDescent="0.35">
      <c r="A4" s="12">
        <v>3</v>
      </c>
      <c r="B4" s="25" t="s">
        <v>239</v>
      </c>
      <c r="C4" s="152">
        <v>1.9780516200502099E+17</v>
      </c>
      <c r="D4" s="14" t="str">
        <f t="shared" si="0"/>
        <v>Laki-Laki</v>
      </c>
      <c r="E4" s="24" t="s">
        <v>109</v>
      </c>
      <c r="F4" s="72" t="s">
        <v>240</v>
      </c>
      <c r="G4" s="13" t="s">
        <v>231</v>
      </c>
      <c r="H4" s="15"/>
      <c r="I4" s="19" t="s">
        <v>241</v>
      </c>
      <c r="J4" s="20" t="s">
        <v>242</v>
      </c>
      <c r="K4" s="19" t="s">
        <v>243</v>
      </c>
      <c r="L4" s="15" t="s">
        <v>60</v>
      </c>
      <c r="M4" s="15">
        <v>2023</v>
      </c>
      <c r="N4" s="15" t="str">
        <f t="shared" si="1"/>
        <v>Agustus</v>
      </c>
      <c r="O4" s="15">
        <v>2026</v>
      </c>
      <c r="P4" s="15">
        <v>2022</v>
      </c>
      <c r="Q4" s="15"/>
      <c r="R4" s="16" t="s">
        <v>51</v>
      </c>
      <c r="S4" s="15"/>
      <c r="T4" s="15"/>
      <c r="U4" s="15"/>
      <c r="V4" s="15"/>
      <c r="W4" s="15"/>
    </row>
    <row r="5" spans="1:23" s="17" customFormat="1" ht="14.5" x14ac:dyDescent="0.35">
      <c r="A5" s="12">
        <v>4</v>
      </c>
      <c r="B5" s="13" t="s">
        <v>244</v>
      </c>
      <c r="C5" s="14" t="s">
        <v>245</v>
      </c>
      <c r="D5" s="14" t="str">
        <f t="shared" si="0"/>
        <v>Laki-Laki</v>
      </c>
      <c r="E5" s="13" t="s">
        <v>246</v>
      </c>
      <c r="F5" s="18" t="s">
        <v>88</v>
      </c>
      <c r="G5" s="13" t="s">
        <v>231</v>
      </c>
      <c r="H5" s="15" t="s">
        <v>247</v>
      </c>
      <c r="I5" s="15" t="s">
        <v>90</v>
      </c>
      <c r="J5" s="12" t="s">
        <v>45</v>
      </c>
      <c r="K5" s="15" t="s">
        <v>248</v>
      </c>
      <c r="L5" s="15" t="s">
        <v>169</v>
      </c>
      <c r="M5" s="15">
        <v>2024</v>
      </c>
      <c r="N5" s="15" t="str">
        <f t="shared" si="1"/>
        <v>Oktober</v>
      </c>
      <c r="O5" s="15">
        <v>2026</v>
      </c>
      <c r="P5" s="15">
        <v>2022</v>
      </c>
      <c r="Q5" s="15"/>
      <c r="R5" s="16" t="s">
        <v>51</v>
      </c>
      <c r="S5" s="15"/>
      <c r="T5" s="15"/>
      <c r="U5" s="15"/>
      <c r="V5" s="15"/>
      <c r="W5" s="15"/>
    </row>
    <row r="6" spans="1:23" s="17" customFormat="1" ht="14.5" x14ac:dyDescent="0.35">
      <c r="A6" s="12">
        <v>5</v>
      </c>
      <c r="B6" s="13" t="s">
        <v>249</v>
      </c>
      <c r="C6" s="14" t="s">
        <v>250</v>
      </c>
      <c r="D6" s="14" t="str">
        <f t="shared" si="0"/>
        <v>Perempuan</v>
      </c>
      <c r="E6" s="13" t="s">
        <v>251</v>
      </c>
      <c r="F6" s="18" t="s">
        <v>88</v>
      </c>
      <c r="G6" s="13" t="s">
        <v>231</v>
      </c>
      <c r="H6" s="15" t="s">
        <v>247</v>
      </c>
      <c r="I6" s="15" t="s">
        <v>90</v>
      </c>
      <c r="J6" s="12" t="s">
        <v>45</v>
      </c>
      <c r="K6" s="15" t="s">
        <v>248</v>
      </c>
      <c r="L6" s="15" t="s">
        <v>169</v>
      </c>
      <c r="M6" s="15">
        <v>2024</v>
      </c>
      <c r="N6" s="15" t="str">
        <f t="shared" si="1"/>
        <v>Oktober</v>
      </c>
      <c r="O6" s="15">
        <v>2026</v>
      </c>
      <c r="P6" s="15">
        <v>2024</v>
      </c>
      <c r="Q6" s="15"/>
      <c r="R6" s="16" t="s">
        <v>51</v>
      </c>
      <c r="S6" s="15"/>
      <c r="T6" s="15"/>
      <c r="U6" s="15"/>
      <c r="V6" s="15"/>
      <c r="W6" s="15"/>
    </row>
    <row r="7" spans="1:23" ht="13" x14ac:dyDescent="0.3">
      <c r="A7" s="58"/>
      <c r="B7" s="58"/>
      <c r="C7" s="58"/>
      <c r="D7" s="58"/>
      <c r="E7" s="58"/>
      <c r="F7" s="58"/>
      <c r="G7" s="58"/>
      <c r="H7" s="59"/>
      <c r="I7" s="59"/>
      <c r="J7" s="59"/>
      <c r="K7" s="59"/>
      <c r="L7" s="59"/>
      <c r="M7" s="60"/>
      <c r="N7" s="60"/>
      <c r="O7" s="60"/>
      <c r="P7" s="59"/>
      <c r="Q7" s="59"/>
      <c r="R7" s="60"/>
      <c r="S7" s="60"/>
      <c r="T7" s="60"/>
      <c r="U7" s="60"/>
      <c r="V7" s="60"/>
      <c r="W7" s="60"/>
    </row>
    <row r="8" spans="1:23" ht="13" x14ac:dyDescent="0.3">
      <c r="A8" s="58"/>
      <c r="B8" s="58"/>
      <c r="C8" s="58"/>
      <c r="D8" s="58"/>
      <c r="E8" s="58"/>
      <c r="F8" s="58"/>
      <c r="G8" s="58"/>
      <c r="H8" s="59"/>
      <c r="I8" s="59"/>
      <c r="J8" s="59"/>
      <c r="K8" s="59"/>
      <c r="L8" s="59"/>
      <c r="M8" s="60"/>
      <c r="N8" s="60"/>
      <c r="O8" s="60"/>
      <c r="P8" s="59"/>
      <c r="Q8" s="59"/>
      <c r="R8" s="60"/>
      <c r="S8" s="60"/>
      <c r="T8" s="60"/>
      <c r="U8" s="60"/>
      <c r="V8" s="60"/>
      <c r="W8" s="60"/>
    </row>
    <row r="9" spans="1:23" ht="13" x14ac:dyDescent="0.3">
      <c r="A9" s="58"/>
      <c r="B9" s="58"/>
      <c r="C9" s="58"/>
      <c r="D9" s="58"/>
      <c r="E9" s="58"/>
      <c r="F9" s="58"/>
      <c r="G9" s="58"/>
      <c r="H9" s="59"/>
      <c r="I9" s="59"/>
      <c r="J9" s="59"/>
      <c r="K9" s="59"/>
      <c r="L9" s="59"/>
      <c r="M9" s="60"/>
      <c r="N9" s="60"/>
      <c r="O9" s="60"/>
      <c r="P9" s="59"/>
      <c r="Q9" s="59"/>
      <c r="R9" s="60"/>
      <c r="S9" s="60"/>
      <c r="T9" s="60"/>
      <c r="U9" s="60"/>
      <c r="V9" s="60"/>
      <c r="W9" s="60"/>
    </row>
    <row r="10" spans="1:23" ht="13" x14ac:dyDescent="0.3">
      <c r="A10" s="58"/>
      <c r="B10" s="58"/>
      <c r="C10" s="58"/>
      <c r="D10" s="58"/>
      <c r="E10" s="58"/>
      <c r="F10" s="58"/>
      <c r="G10" s="58"/>
      <c r="H10" s="59"/>
      <c r="I10" s="59"/>
      <c r="J10" s="59"/>
      <c r="K10" s="59"/>
      <c r="L10" s="59"/>
      <c r="M10" s="60"/>
      <c r="N10" s="60"/>
      <c r="O10" s="60"/>
      <c r="P10" s="59"/>
      <c r="Q10" s="59"/>
      <c r="R10" s="60"/>
      <c r="S10" s="60"/>
      <c r="T10" s="60"/>
      <c r="U10" s="60"/>
      <c r="V10" s="60"/>
      <c r="W10" s="60"/>
    </row>
    <row r="11" spans="1:23" ht="13" x14ac:dyDescent="0.3">
      <c r="A11" s="58"/>
      <c r="B11" s="58"/>
      <c r="C11" s="58"/>
      <c r="D11" s="58"/>
      <c r="E11" s="58"/>
      <c r="F11" s="58"/>
      <c r="G11" s="58"/>
      <c r="H11" s="59"/>
      <c r="I11" s="59"/>
      <c r="J11" s="59"/>
      <c r="K11" s="59"/>
      <c r="L11" s="59"/>
      <c r="M11" s="60"/>
      <c r="N11" s="60"/>
      <c r="O11" s="60"/>
      <c r="P11" s="59"/>
      <c r="Q11" s="59"/>
      <c r="R11" s="60"/>
      <c r="S11" s="60"/>
      <c r="T11" s="60"/>
      <c r="U11" s="60"/>
      <c r="V11" s="60"/>
      <c r="W11" s="60"/>
    </row>
    <row r="12" spans="1:23" ht="13" x14ac:dyDescent="0.3">
      <c r="A12" s="58"/>
      <c r="B12" s="58"/>
      <c r="C12" s="58"/>
      <c r="D12" s="58"/>
      <c r="E12" s="58"/>
      <c r="F12" s="58"/>
      <c r="G12" s="58"/>
      <c r="H12" s="59"/>
      <c r="I12" s="59"/>
      <c r="J12" s="59"/>
      <c r="K12" s="59"/>
      <c r="L12" s="59"/>
      <c r="M12" s="60"/>
      <c r="N12" s="60"/>
      <c r="O12" s="60"/>
      <c r="P12" s="59"/>
      <c r="Q12" s="59"/>
      <c r="R12" s="60"/>
      <c r="S12" s="60"/>
      <c r="T12" s="60"/>
      <c r="U12" s="60"/>
      <c r="V12" s="60"/>
      <c r="W12" s="60"/>
    </row>
    <row r="13" spans="1:23" ht="13" x14ac:dyDescent="0.3">
      <c r="A13" s="58"/>
      <c r="B13" s="58"/>
      <c r="C13" s="58"/>
      <c r="D13" s="58"/>
      <c r="E13" s="58"/>
      <c r="F13" s="58"/>
      <c r="G13" s="58"/>
      <c r="H13" s="59"/>
      <c r="I13" s="59"/>
      <c r="J13" s="59"/>
      <c r="K13" s="59"/>
      <c r="L13" s="59"/>
      <c r="M13" s="60"/>
      <c r="N13" s="60"/>
      <c r="O13" s="60"/>
      <c r="P13" s="59"/>
      <c r="Q13" s="59"/>
      <c r="R13" s="60"/>
      <c r="S13" s="60"/>
      <c r="T13" s="60"/>
      <c r="U13" s="60"/>
      <c r="V13" s="60"/>
      <c r="W13" s="60"/>
    </row>
    <row r="14" spans="1:23" ht="13" x14ac:dyDescent="0.3">
      <c r="A14" s="58"/>
      <c r="B14" s="58"/>
      <c r="C14" s="58"/>
      <c r="D14" s="58"/>
      <c r="E14" s="58"/>
      <c r="F14" s="58"/>
      <c r="G14" s="58"/>
      <c r="H14" s="59"/>
      <c r="I14" s="59"/>
      <c r="J14" s="59"/>
      <c r="K14" s="59"/>
      <c r="L14" s="59"/>
      <c r="M14" s="60"/>
      <c r="N14" s="60"/>
      <c r="O14" s="60"/>
      <c r="P14" s="59"/>
      <c r="Q14" s="59"/>
      <c r="R14" s="60"/>
      <c r="S14" s="60"/>
      <c r="T14" s="60"/>
      <c r="U14" s="60"/>
      <c r="V14" s="60"/>
      <c r="W14" s="60"/>
    </row>
    <row r="15" spans="1:23" ht="13" x14ac:dyDescent="0.3">
      <c r="A15" s="58"/>
      <c r="B15" s="58"/>
      <c r="C15" s="58"/>
      <c r="D15" s="58"/>
      <c r="E15" s="58"/>
      <c r="F15" s="58"/>
      <c r="G15" s="58"/>
      <c r="H15" s="59"/>
      <c r="I15" s="59"/>
      <c r="J15" s="59"/>
      <c r="K15" s="59"/>
      <c r="L15" s="59"/>
      <c r="M15" s="60"/>
      <c r="N15" s="60"/>
      <c r="O15" s="60"/>
      <c r="P15" s="59"/>
      <c r="Q15" s="59"/>
      <c r="R15" s="60"/>
      <c r="S15" s="60"/>
      <c r="T15" s="60"/>
      <c r="U15" s="60"/>
      <c r="V15" s="60"/>
      <c r="W15" s="60"/>
    </row>
    <row r="16" spans="1:23" ht="13" x14ac:dyDescent="0.3">
      <c r="A16" s="58"/>
      <c r="B16" s="58"/>
      <c r="C16" s="58"/>
      <c r="D16" s="58"/>
      <c r="E16" s="58"/>
      <c r="F16" s="58"/>
      <c r="G16" s="58"/>
      <c r="H16" s="59"/>
      <c r="I16" s="59"/>
      <c r="J16" s="59"/>
      <c r="K16" s="59"/>
      <c r="L16" s="59"/>
      <c r="M16" s="60"/>
      <c r="N16" s="60"/>
      <c r="O16" s="60"/>
      <c r="P16" s="59"/>
      <c r="Q16" s="59"/>
      <c r="R16" s="60"/>
      <c r="S16" s="60"/>
      <c r="T16" s="60"/>
      <c r="U16" s="60"/>
      <c r="V16" s="60"/>
      <c r="W16" s="60"/>
    </row>
    <row r="17" spans="1:23" ht="13" x14ac:dyDescent="0.3">
      <c r="A17" s="58"/>
      <c r="B17" s="58"/>
      <c r="C17" s="58"/>
      <c r="D17" s="58"/>
      <c r="E17" s="58"/>
      <c r="F17" s="58"/>
      <c r="G17" s="58"/>
      <c r="H17" s="59"/>
      <c r="I17" s="59"/>
      <c r="J17" s="59"/>
      <c r="K17" s="59"/>
      <c r="L17" s="59"/>
      <c r="M17" s="60"/>
      <c r="N17" s="60"/>
      <c r="O17" s="60"/>
      <c r="P17" s="59"/>
      <c r="Q17" s="59"/>
      <c r="R17" s="60"/>
      <c r="S17" s="60"/>
      <c r="T17" s="60"/>
      <c r="U17" s="60"/>
      <c r="V17" s="60"/>
      <c r="W17" s="60"/>
    </row>
    <row r="18" spans="1:23" ht="13" x14ac:dyDescent="0.3">
      <c r="A18" s="58"/>
      <c r="B18" s="58"/>
      <c r="C18" s="58"/>
      <c r="D18" s="58"/>
      <c r="E18" s="58"/>
      <c r="F18" s="58"/>
      <c r="G18" s="58"/>
      <c r="H18" s="59"/>
      <c r="I18" s="59"/>
      <c r="J18" s="59"/>
      <c r="K18" s="59"/>
      <c r="L18" s="59"/>
      <c r="M18" s="60"/>
      <c r="N18" s="60"/>
      <c r="O18" s="60"/>
      <c r="P18" s="59"/>
      <c r="Q18" s="59"/>
      <c r="R18" s="60"/>
      <c r="S18" s="60"/>
      <c r="T18" s="60"/>
      <c r="U18" s="60"/>
      <c r="V18" s="60"/>
      <c r="W18" s="60"/>
    </row>
    <row r="19" spans="1:23" ht="13" x14ac:dyDescent="0.3">
      <c r="A19" s="58"/>
      <c r="B19" s="58"/>
      <c r="C19" s="58"/>
      <c r="D19" s="58"/>
      <c r="E19" s="58"/>
      <c r="F19" s="58"/>
      <c r="G19" s="58"/>
      <c r="H19" s="59"/>
      <c r="I19" s="59"/>
      <c r="J19" s="59"/>
      <c r="K19" s="59"/>
      <c r="L19" s="59"/>
      <c r="M19" s="60"/>
      <c r="N19" s="60"/>
      <c r="O19" s="60"/>
      <c r="P19" s="59"/>
      <c r="Q19" s="59"/>
      <c r="R19" s="60"/>
      <c r="S19" s="60"/>
      <c r="T19" s="60"/>
      <c r="U19" s="60"/>
      <c r="V19" s="60"/>
      <c r="W19" s="60"/>
    </row>
    <row r="20" spans="1:23" ht="13" x14ac:dyDescent="0.3">
      <c r="A20" s="58"/>
      <c r="B20" s="58"/>
      <c r="C20" s="58"/>
      <c r="D20" s="58"/>
      <c r="E20" s="58"/>
      <c r="F20" s="58"/>
      <c r="G20" s="58"/>
      <c r="H20" s="59"/>
      <c r="I20" s="59"/>
      <c r="J20" s="59"/>
      <c r="K20" s="59"/>
      <c r="L20" s="59"/>
      <c r="M20" s="60"/>
      <c r="N20" s="60"/>
      <c r="O20" s="60"/>
      <c r="P20" s="59"/>
      <c r="Q20" s="59"/>
      <c r="R20" s="60"/>
      <c r="S20" s="60"/>
      <c r="T20" s="60"/>
      <c r="U20" s="60"/>
      <c r="V20" s="60"/>
      <c r="W20" s="60"/>
    </row>
    <row r="21" spans="1:23" ht="13" x14ac:dyDescent="0.3">
      <c r="A21" s="58"/>
      <c r="B21" s="58"/>
      <c r="C21" s="58"/>
      <c r="D21" s="58"/>
      <c r="E21" s="58"/>
      <c r="F21" s="58"/>
      <c r="G21" s="58"/>
      <c r="H21" s="59"/>
      <c r="I21" s="59"/>
      <c r="J21" s="59"/>
      <c r="K21" s="59"/>
      <c r="L21" s="59"/>
      <c r="M21" s="60"/>
      <c r="N21" s="60"/>
      <c r="O21" s="60"/>
      <c r="P21" s="59"/>
      <c r="Q21" s="59"/>
      <c r="R21" s="60"/>
      <c r="S21" s="60"/>
      <c r="T21" s="60"/>
      <c r="U21" s="60"/>
      <c r="V21" s="60"/>
      <c r="W21" s="60"/>
    </row>
    <row r="22" spans="1:23" ht="13" x14ac:dyDescent="0.3">
      <c r="A22" s="58"/>
      <c r="B22" s="58"/>
      <c r="C22" s="58"/>
      <c r="D22" s="58"/>
      <c r="E22" s="58"/>
      <c r="F22" s="58"/>
      <c r="G22" s="58"/>
      <c r="H22" s="59"/>
      <c r="I22" s="59"/>
      <c r="J22" s="59"/>
      <c r="K22" s="59"/>
      <c r="L22" s="59"/>
      <c r="M22" s="60"/>
      <c r="N22" s="60"/>
      <c r="O22" s="60"/>
      <c r="P22" s="59"/>
      <c r="Q22" s="59"/>
      <c r="R22" s="60"/>
      <c r="S22" s="60"/>
      <c r="T22" s="60"/>
      <c r="U22" s="60"/>
      <c r="V22" s="60"/>
      <c r="W22" s="60"/>
    </row>
    <row r="23" spans="1:23" ht="13" x14ac:dyDescent="0.3">
      <c r="A23" s="58"/>
      <c r="B23" s="58"/>
      <c r="C23" s="58"/>
      <c r="D23" s="58"/>
      <c r="E23" s="58"/>
      <c r="F23" s="58"/>
      <c r="G23" s="58"/>
      <c r="H23" s="59"/>
      <c r="I23" s="59"/>
      <c r="J23" s="59"/>
      <c r="K23" s="59"/>
      <c r="L23" s="59"/>
      <c r="M23" s="60"/>
      <c r="N23" s="60"/>
      <c r="O23" s="60"/>
      <c r="P23" s="59"/>
      <c r="Q23" s="59"/>
      <c r="R23" s="60"/>
      <c r="S23" s="60"/>
      <c r="T23" s="60"/>
      <c r="U23" s="60"/>
      <c r="V23" s="60"/>
      <c r="W23" s="60"/>
    </row>
    <row r="24" spans="1:23" ht="13" x14ac:dyDescent="0.3">
      <c r="A24" s="58"/>
      <c r="B24" s="58"/>
      <c r="C24" s="58"/>
      <c r="D24" s="58"/>
      <c r="E24" s="58"/>
      <c r="F24" s="58"/>
      <c r="G24" s="58"/>
      <c r="H24" s="59"/>
      <c r="I24" s="59"/>
      <c r="J24" s="59"/>
      <c r="K24" s="59"/>
      <c r="L24" s="59"/>
      <c r="M24" s="60"/>
      <c r="N24" s="60"/>
      <c r="O24" s="60"/>
      <c r="P24" s="59"/>
      <c r="Q24" s="59"/>
      <c r="R24" s="60"/>
      <c r="S24" s="60"/>
      <c r="T24" s="60"/>
      <c r="U24" s="60"/>
      <c r="V24" s="60"/>
      <c r="W24" s="60"/>
    </row>
    <row r="25" spans="1:23" ht="13" x14ac:dyDescent="0.3">
      <c r="A25" s="58"/>
      <c r="B25" s="58"/>
      <c r="C25" s="58"/>
      <c r="D25" s="58"/>
      <c r="E25" s="58"/>
      <c r="F25" s="58"/>
      <c r="G25" s="58"/>
      <c r="H25" s="59"/>
      <c r="I25" s="59"/>
      <c r="J25" s="59"/>
      <c r="K25" s="59"/>
      <c r="L25" s="59"/>
      <c r="M25" s="60"/>
      <c r="N25" s="60"/>
      <c r="O25" s="60"/>
      <c r="P25" s="59"/>
      <c r="Q25" s="59"/>
      <c r="R25" s="60"/>
      <c r="S25" s="60"/>
      <c r="T25" s="60"/>
      <c r="U25" s="60"/>
      <c r="V25" s="60"/>
      <c r="W25" s="60"/>
    </row>
    <row r="26" spans="1:23" ht="13" x14ac:dyDescent="0.3">
      <c r="A26" s="58"/>
      <c r="B26" s="58"/>
      <c r="C26" s="58"/>
      <c r="D26" s="58"/>
      <c r="E26" s="58"/>
      <c r="F26" s="58"/>
      <c r="G26" s="58"/>
      <c r="H26" s="59"/>
      <c r="I26" s="59"/>
      <c r="J26" s="59"/>
      <c r="K26" s="59"/>
      <c r="L26" s="59"/>
      <c r="M26" s="60"/>
      <c r="N26" s="60"/>
      <c r="O26" s="60"/>
      <c r="P26" s="59"/>
      <c r="Q26" s="59"/>
      <c r="R26" s="60"/>
      <c r="S26" s="60"/>
      <c r="T26" s="60"/>
      <c r="U26" s="60"/>
      <c r="V26" s="60"/>
      <c r="W26" s="60"/>
    </row>
    <row r="27" spans="1:23" ht="13" x14ac:dyDescent="0.3">
      <c r="A27" s="58"/>
      <c r="B27" s="58"/>
      <c r="C27" s="58"/>
      <c r="D27" s="58"/>
      <c r="E27" s="58"/>
      <c r="F27" s="58"/>
      <c r="G27" s="58"/>
      <c r="H27" s="59"/>
      <c r="I27" s="59"/>
      <c r="J27" s="59"/>
      <c r="K27" s="59"/>
      <c r="L27" s="59"/>
      <c r="M27" s="60"/>
      <c r="N27" s="60"/>
      <c r="O27" s="60"/>
      <c r="P27" s="59"/>
      <c r="Q27" s="59"/>
      <c r="R27" s="60"/>
      <c r="S27" s="60"/>
      <c r="T27" s="60"/>
      <c r="U27" s="60"/>
      <c r="V27" s="60"/>
      <c r="W27" s="60"/>
    </row>
    <row r="28" spans="1:23" ht="13" x14ac:dyDescent="0.3">
      <c r="A28" s="58"/>
      <c r="B28" s="58"/>
      <c r="C28" s="58"/>
      <c r="D28" s="58"/>
      <c r="E28" s="58"/>
      <c r="F28" s="58"/>
      <c r="G28" s="58"/>
      <c r="H28" s="59"/>
      <c r="I28" s="59"/>
      <c r="J28" s="59"/>
      <c r="K28" s="59"/>
      <c r="L28" s="59"/>
      <c r="M28" s="60"/>
      <c r="N28" s="60"/>
      <c r="O28" s="60"/>
      <c r="P28" s="59"/>
      <c r="Q28" s="59"/>
      <c r="R28" s="60"/>
      <c r="S28" s="60"/>
      <c r="T28" s="60"/>
      <c r="U28" s="60"/>
      <c r="V28" s="60"/>
      <c r="W28" s="60"/>
    </row>
    <row r="29" spans="1:23" ht="13" x14ac:dyDescent="0.3">
      <c r="A29" s="58"/>
      <c r="B29" s="58"/>
      <c r="C29" s="58"/>
      <c r="D29" s="58"/>
      <c r="E29" s="58"/>
      <c r="F29" s="58"/>
      <c r="G29" s="58"/>
      <c r="H29" s="59"/>
      <c r="I29" s="59"/>
      <c r="J29" s="59"/>
      <c r="K29" s="59"/>
      <c r="L29" s="59"/>
      <c r="M29" s="60"/>
      <c r="N29" s="60"/>
      <c r="O29" s="60"/>
      <c r="P29" s="59"/>
      <c r="Q29" s="59"/>
      <c r="R29" s="60"/>
      <c r="S29" s="60"/>
      <c r="T29" s="60"/>
      <c r="U29" s="60"/>
      <c r="V29" s="60"/>
      <c r="W29" s="60"/>
    </row>
    <row r="30" spans="1:23" ht="13" x14ac:dyDescent="0.3">
      <c r="A30" s="58"/>
      <c r="B30" s="58"/>
      <c r="C30" s="58"/>
      <c r="D30" s="58"/>
      <c r="E30" s="58"/>
      <c r="F30" s="58"/>
      <c r="G30" s="58"/>
      <c r="H30" s="59"/>
      <c r="I30" s="59"/>
      <c r="J30" s="59"/>
      <c r="K30" s="59"/>
      <c r="L30" s="59"/>
      <c r="M30" s="60"/>
      <c r="N30" s="60"/>
      <c r="O30" s="60"/>
      <c r="P30" s="59"/>
      <c r="Q30" s="59"/>
      <c r="R30" s="60"/>
      <c r="S30" s="60"/>
      <c r="T30" s="60"/>
      <c r="U30" s="60"/>
      <c r="V30" s="60"/>
      <c r="W30" s="60"/>
    </row>
    <row r="31" spans="1:23" ht="13" x14ac:dyDescent="0.3">
      <c r="A31" s="58"/>
      <c r="B31" s="58"/>
      <c r="C31" s="58"/>
      <c r="D31" s="58"/>
      <c r="E31" s="58"/>
      <c r="F31" s="58"/>
      <c r="G31" s="58"/>
      <c r="H31" s="59"/>
      <c r="I31" s="59"/>
      <c r="J31" s="59"/>
      <c r="K31" s="59"/>
      <c r="L31" s="59"/>
      <c r="M31" s="60"/>
      <c r="N31" s="60"/>
      <c r="O31" s="60"/>
      <c r="P31" s="59"/>
      <c r="Q31" s="59"/>
      <c r="R31" s="60"/>
      <c r="S31" s="60"/>
      <c r="T31" s="60"/>
      <c r="U31" s="60"/>
      <c r="V31" s="60"/>
      <c r="W31" s="60"/>
    </row>
    <row r="32" spans="1:23" ht="13" x14ac:dyDescent="0.3">
      <c r="A32" s="58"/>
      <c r="B32" s="58"/>
      <c r="C32" s="58"/>
      <c r="D32" s="58"/>
      <c r="E32" s="58"/>
      <c r="F32" s="58"/>
      <c r="G32" s="58"/>
      <c r="H32" s="59"/>
      <c r="I32" s="59"/>
      <c r="J32" s="59"/>
      <c r="K32" s="59"/>
      <c r="L32" s="59"/>
      <c r="M32" s="60"/>
      <c r="N32" s="60"/>
      <c r="O32" s="60"/>
      <c r="P32" s="59"/>
      <c r="Q32" s="59"/>
      <c r="R32" s="60"/>
      <c r="S32" s="60"/>
      <c r="T32" s="60"/>
      <c r="U32" s="60"/>
      <c r="V32" s="60"/>
      <c r="W32" s="60"/>
    </row>
    <row r="33" spans="1:23" ht="13" x14ac:dyDescent="0.3">
      <c r="A33" s="58"/>
      <c r="B33" s="58"/>
      <c r="C33" s="58"/>
      <c r="D33" s="58"/>
      <c r="E33" s="58"/>
      <c r="F33" s="58"/>
      <c r="G33" s="58"/>
      <c r="H33" s="59"/>
      <c r="I33" s="59"/>
      <c r="J33" s="59"/>
      <c r="K33" s="59"/>
      <c r="L33" s="59"/>
      <c r="M33" s="60"/>
      <c r="N33" s="60"/>
      <c r="O33" s="60"/>
      <c r="P33" s="59"/>
      <c r="Q33" s="59"/>
      <c r="R33" s="60"/>
      <c r="S33" s="60"/>
      <c r="T33" s="60"/>
      <c r="U33" s="60"/>
      <c r="V33" s="60"/>
      <c r="W33" s="60"/>
    </row>
    <row r="34" spans="1:23" ht="13" x14ac:dyDescent="0.3">
      <c r="A34" s="58"/>
      <c r="B34" s="58"/>
      <c r="C34" s="58"/>
      <c r="D34" s="58"/>
      <c r="E34" s="58"/>
      <c r="F34" s="58"/>
      <c r="G34" s="58"/>
      <c r="H34" s="59"/>
      <c r="I34" s="59"/>
      <c r="J34" s="59"/>
      <c r="K34" s="59"/>
      <c r="L34" s="59"/>
      <c r="M34" s="60"/>
      <c r="N34" s="60"/>
      <c r="O34" s="60"/>
      <c r="P34" s="59"/>
      <c r="Q34" s="59"/>
      <c r="R34" s="60"/>
      <c r="S34" s="60"/>
      <c r="T34" s="60"/>
      <c r="U34" s="60"/>
      <c r="V34" s="60"/>
      <c r="W34" s="60"/>
    </row>
    <row r="35" spans="1:23" ht="13" x14ac:dyDescent="0.3">
      <c r="A35" s="58"/>
      <c r="B35" s="58"/>
      <c r="C35" s="58"/>
      <c r="D35" s="58"/>
      <c r="E35" s="58"/>
      <c r="F35" s="58"/>
      <c r="G35" s="58"/>
      <c r="H35" s="59"/>
      <c r="I35" s="59"/>
      <c r="J35" s="59"/>
      <c r="K35" s="59"/>
      <c r="L35" s="59"/>
      <c r="M35" s="60"/>
      <c r="N35" s="60"/>
      <c r="O35" s="60"/>
      <c r="P35" s="59"/>
      <c r="Q35" s="59"/>
      <c r="R35" s="60"/>
      <c r="S35" s="60"/>
      <c r="T35" s="60"/>
      <c r="U35" s="60"/>
      <c r="V35" s="60"/>
      <c r="W35" s="60"/>
    </row>
    <row r="36" spans="1:23" ht="13" x14ac:dyDescent="0.3">
      <c r="A36" s="58"/>
      <c r="B36" s="58"/>
      <c r="C36" s="58"/>
      <c r="D36" s="58"/>
      <c r="E36" s="58"/>
      <c r="F36" s="58"/>
      <c r="G36" s="58"/>
      <c r="H36" s="59"/>
      <c r="I36" s="59"/>
      <c r="J36" s="59"/>
      <c r="K36" s="59"/>
      <c r="L36" s="59"/>
      <c r="M36" s="60"/>
      <c r="N36" s="60"/>
      <c r="O36" s="60"/>
      <c r="P36" s="59"/>
      <c r="Q36" s="59"/>
      <c r="R36" s="60"/>
      <c r="S36" s="60"/>
      <c r="T36" s="60"/>
      <c r="U36" s="60"/>
      <c r="V36" s="60"/>
      <c r="W36" s="60"/>
    </row>
    <row r="37" spans="1:23" ht="13" x14ac:dyDescent="0.3">
      <c r="A37" s="58"/>
      <c r="B37" s="58"/>
      <c r="C37" s="58"/>
      <c r="D37" s="58"/>
      <c r="E37" s="58"/>
      <c r="F37" s="58"/>
      <c r="G37" s="58"/>
      <c r="H37" s="59"/>
      <c r="I37" s="59"/>
      <c r="J37" s="59"/>
      <c r="K37" s="59"/>
      <c r="L37" s="59"/>
      <c r="M37" s="60"/>
      <c r="N37" s="60"/>
      <c r="O37" s="60"/>
      <c r="P37" s="59"/>
      <c r="Q37" s="59"/>
      <c r="R37" s="60"/>
      <c r="S37" s="60"/>
      <c r="T37" s="60"/>
      <c r="U37" s="60"/>
      <c r="V37" s="60"/>
      <c r="W37" s="60"/>
    </row>
    <row r="38" spans="1:23" ht="13" x14ac:dyDescent="0.3">
      <c r="A38" s="58"/>
      <c r="B38" s="58"/>
      <c r="C38" s="58"/>
      <c r="D38" s="58"/>
      <c r="E38" s="58"/>
      <c r="F38" s="58"/>
      <c r="G38" s="58"/>
      <c r="H38" s="59"/>
      <c r="I38" s="59"/>
      <c r="J38" s="59"/>
      <c r="K38" s="59"/>
      <c r="L38" s="59"/>
      <c r="M38" s="60"/>
      <c r="N38" s="60"/>
      <c r="O38" s="60"/>
      <c r="P38" s="59"/>
      <c r="Q38" s="59"/>
      <c r="R38" s="60"/>
      <c r="S38" s="60"/>
      <c r="T38" s="60"/>
      <c r="U38" s="60"/>
      <c r="V38" s="60"/>
      <c r="W38" s="60"/>
    </row>
    <row r="39" spans="1:23" ht="13" x14ac:dyDescent="0.3">
      <c r="A39" s="58"/>
      <c r="B39" s="58"/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  <c r="N39" s="60"/>
      <c r="O39" s="60"/>
      <c r="P39" s="59"/>
      <c r="Q39" s="59"/>
      <c r="R39" s="60"/>
      <c r="S39" s="60"/>
      <c r="T39" s="60"/>
      <c r="U39" s="60"/>
      <c r="V39" s="60"/>
      <c r="W39" s="60"/>
    </row>
    <row r="40" spans="1:23" ht="13" x14ac:dyDescent="0.3">
      <c r="A40" s="58"/>
      <c r="B40" s="58"/>
      <c r="C40" s="58"/>
      <c r="D40" s="58"/>
      <c r="E40" s="58"/>
      <c r="F40" s="58"/>
      <c r="G40" s="58"/>
      <c r="H40" s="59"/>
      <c r="I40" s="59"/>
      <c r="J40" s="59"/>
      <c r="K40" s="59"/>
      <c r="L40" s="59"/>
      <c r="M40" s="60"/>
      <c r="N40" s="60"/>
      <c r="O40" s="60"/>
      <c r="P40" s="59"/>
      <c r="Q40" s="59"/>
      <c r="R40" s="60"/>
      <c r="S40" s="60"/>
      <c r="T40" s="60"/>
      <c r="U40" s="60"/>
      <c r="V40" s="60"/>
      <c r="W40" s="60"/>
    </row>
    <row r="41" spans="1:23" ht="13" x14ac:dyDescent="0.3">
      <c r="A41" s="58"/>
      <c r="B41" s="58"/>
      <c r="C41" s="58"/>
      <c r="D41" s="58"/>
      <c r="E41" s="58"/>
      <c r="F41" s="58"/>
      <c r="G41" s="58"/>
      <c r="H41" s="59"/>
      <c r="I41" s="59"/>
      <c r="J41" s="59"/>
      <c r="K41" s="59"/>
      <c r="L41" s="59"/>
      <c r="M41" s="60"/>
      <c r="N41" s="60"/>
      <c r="O41" s="60"/>
      <c r="P41" s="59"/>
      <c r="Q41" s="59"/>
      <c r="R41" s="60"/>
      <c r="S41" s="60"/>
      <c r="T41" s="60"/>
      <c r="U41" s="60"/>
      <c r="V41" s="60"/>
      <c r="W41" s="60"/>
    </row>
    <row r="42" spans="1:23" ht="13" x14ac:dyDescent="0.3">
      <c r="A42" s="58"/>
      <c r="B42" s="58"/>
      <c r="C42" s="58"/>
      <c r="D42" s="58"/>
      <c r="E42" s="58"/>
      <c r="F42" s="58"/>
      <c r="G42" s="58"/>
      <c r="H42" s="59"/>
      <c r="I42" s="59"/>
      <c r="J42" s="59"/>
      <c r="K42" s="59"/>
      <c r="L42" s="59"/>
      <c r="M42" s="60"/>
      <c r="N42" s="60"/>
      <c r="O42" s="60"/>
      <c r="P42" s="59"/>
      <c r="Q42" s="59"/>
      <c r="R42" s="60"/>
      <c r="S42" s="60"/>
      <c r="T42" s="60"/>
      <c r="U42" s="60"/>
      <c r="V42" s="60"/>
      <c r="W42" s="60"/>
    </row>
    <row r="43" spans="1:23" ht="13" x14ac:dyDescent="0.3">
      <c r="A43" s="58"/>
      <c r="B43" s="58"/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  <c r="N43" s="60"/>
      <c r="O43" s="60"/>
      <c r="P43" s="59"/>
      <c r="Q43" s="59"/>
      <c r="R43" s="60"/>
      <c r="S43" s="60"/>
      <c r="T43" s="60"/>
      <c r="U43" s="60"/>
      <c r="V43" s="60"/>
      <c r="W43" s="60"/>
    </row>
    <row r="44" spans="1:23" ht="13" x14ac:dyDescent="0.3">
      <c r="A44" s="58"/>
      <c r="B44" s="58"/>
      <c r="C44" s="58"/>
      <c r="D44" s="58"/>
      <c r="E44" s="58"/>
      <c r="F44" s="58"/>
      <c r="G44" s="58"/>
      <c r="H44" s="59"/>
      <c r="I44" s="59"/>
      <c r="J44" s="59"/>
      <c r="K44" s="59"/>
      <c r="L44" s="59"/>
      <c r="M44" s="60"/>
      <c r="N44" s="60"/>
      <c r="O44" s="60"/>
      <c r="P44" s="59"/>
      <c r="Q44" s="59"/>
      <c r="R44" s="60"/>
      <c r="S44" s="60"/>
      <c r="T44" s="60"/>
      <c r="U44" s="60"/>
      <c r="V44" s="60"/>
      <c r="W44" s="60"/>
    </row>
    <row r="45" spans="1:23" ht="13" x14ac:dyDescent="0.3">
      <c r="A45" s="58"/>
      <c r="B45" s="58"/>
      <c r="C45" s="58"/>
      <c r="D45" s="58"/>
      <c r="E45" s="58"/>
      <c r="F45" s="58"/>
      <c r="G45" s="58"/>
      <c r="H45" s="59"/>
      <c r="I45" s="59"/>
      <c r="J45" s="59"/>
      <c r="K45" s="59"/>
      <c r="L45" s="59"/>
      <c r="M45" s="60"/>
      <c r="N45" s="60"/>
      <c r="O45" s="60"/>
      <c r="P45" s="59"/>
      <c r="Q45" s="59"/>
      <c r="R45" s="60"/>
      <c r="S45" s="60"/>
      <c r="T45" s="60"/>
      <c r="U45" s="60"/>
      <c r="V45" s="60"/>
      <c r="W45" s="60"/>
    </row>
    <row r="46" spans="1:23" ht="13" x14ac:dyDescent="0.3">
      <c r="A46" s="58"/>
      <c r="B46" s="58"/>
      <c r="C46" s="58"/>
      <c r="D46" s="58"/>
      <c r="E46" s="58"/>
      <c r="F46" s="58"/>
      <c r="G46" s="58"/>
      <c r="H46" s="59"/>
      <c r="I46" s="59"/>
      <c r="J46" s="59"/>
      <c r="K46" s="59"/>
      <c r="L46" s="59"/>
      <c r="M46" s="60"/>
      <c r="N46" s="60"/>
      <c r="O46" s="60"/>
      <c r="P46" s="59"/>
      <c r="Q46" s="59"/>
      <c r="R46" s="60"/>
      <c r="S46" s="60"/>
      <c r="T46" s="60"/>
      <c r="U46" s="60"/>
      <c r="V46" s="60"/>
      <c r="W46" s="60"/>
    </row>
    <row r="47" spans="1:23" ht="13" x14ac:dyDescent="0.3">
      <c r="A47" s="58"/>
      <c r="B47" s="58"/>
      <c r="C47" s="58"/>
      <c r="D47" s="58"/>
      <c r="E47" s="58"/>
      <c r="F47" s="58"/>
      <c r="G47" s="58"/>
      <c r="H47" s="59"/>
      <c r="I47" s="59"/>
      <c r="J47" s="59"/>
      <c r="K47" s="59"/>
      <c r="L47" s="59"/>
      <c r="M47" s="60"/>
      <c r="N47" s="60"/>
      <c r="O47" s="60"/>
      <c r="P47" s="59"/>
      <c r="Q47" s="59"/>
      <c r="R47" s="60"/>
      <c r="S47" s="60"/>
      <c r="T47" s="60"/>
      <c r="U47" s="60"/>
      <c r="V47" s="60"/>
      <c r="W47" s="60"/>
    </row>
    <row r="48" spans="1:23" ht="13" x14ac:dyDescent="0.3">
      <c r="A48" s="58"/>
      <c r="B48" s="58"/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  <c r="N48" s="60"/>
      <c r="O48" s="60"/>
      <c r="P48" s="59"/>
      <c r="Q48" s="59"/>
      <c r="R48" s="60"/>
      <c r="S48" s="60"/>
      <c r="T48" s="60"/>
      <c r="U48" s="60"/>
      <c r="V48" s="60"/>
      <c r="W48" s="60"/>
    </row>
    <row r="49" spans="1:23" ht="13" x14ac:dyDescent="0.3">
      <c r="A49" s="58"/>
      <c r="B49" s="58"/>
      <c r="C49" s="58"/>
      <c r="D49" s="58"/>
      <c r="E49" s="58"/>
      <c r="F49" s="58"/>
      <c r="G49" s="58"/>
      <c r="H49" s="59"/>
      <c r="I49" s="59"/>
      <c r="J49" s="59"/>
      <c r="K49" s="59"/>
      <c r="L49" s="59"/>
      <c r="M49" s="60"/>
      <c r="N49" s="60"/>
      <c r="O49" s="60"/>
      <c r="P49" s="59"/>
      <c r="Q49" s="59"/>
      <c r="R49" s="60"/>
      <c r="S49" s="60"/>
      <c r="T49" s="60"/>
      <c r="U49" s="60"/>
      <c r="V49" s="60"/>
      <c r="W49" s="60"/>
    </row>
    <row r="50" spans="1:23" ht="13" x14ac:dyDescent="0.3">
      <c r="A50" s="58"/>
      <c r="B50" s="58"/>
      <c r="C50" s="58"/>
      <c r="D50" s="58"/>
      <c r="E50" s="58"/>
      <c r="F50" s="58"/>
      <c r="G50" s="58"/>
      <c r="H50" s="59"/>
      <c r="I50" s="59"/>
      <c r="J50" s="59"/>
      <c r="K50" s="59"/>
      <c r="L50" s="59"/>
      <c r="M50" s="60"/>
      <c r="N50" s="60"/>
      <c r="O50" s="60"/>
      <c r="P50" s="59"/>
      <c r="Q50" s="59"/>
      <c r="R50" s="60"/>
      <c r="S50" s="60"/>
      <c r="T50" s="60"/>
      <c r="U50" s="60"/>
      <c r="V50" s="60"/>
      <c r="W50" s="60"/>
    </row>
    <row r="51" spans="1:23" ht="13" x14ac:dyDescent="0.3">
      <c r="A51" s="58"/>
      <c r="B51" s="58"/>
      <c r="C51" s="58"/>
      <c r="D51" s="58"/>
      <c r="E51" s="58"/>
      <c r="F51" s="58"/>
      <c r="G51" s="58"/>
      <c r="H51" s="59"/>
      <c r="I51" s="59"/>
      <c r="J51" s="59"/>
      <c r="K51" s="59"/>
      <c r="L51" s="59"/>
      <c r="M51" s="60"/>
      <c r="N51" s="60"/>
      <c r="O51" s="60"/>
      <c r="P51" s="59"/>
      <c r="Q51" s="59"/>
      <c r="R51" s="60"/>
      <c r="S51" s="60"/>
      <c r="T51" s="60"/>
      <c r="U51" s="60"/>
      <c r="V51" s="60"/>
      <c r="W51" s="60"/>
    </row>
    <row r="52" spans="1:23" ht="13" x14ac:dyDescent="0.3">
      <c r="A52" s="58"/>
      <c r="B52" s="58"/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  <c r="N52" s="60"/>
      <c r="O52" s="60"/>
      <c r="P52" s="59"/>
      <c r="Q52" s="59"/>
      <c r="R52" s="60"/>
      <c r="S52" s="60"/>
      <c r="T52" s="60"/>
      <c r="U52" s="60"/>
      <c r="V52" s="60"/>
      <c r="W52" s="60"/>
    </row>
    <row r="53" spans="1:23" ht="13" x14ac:dyDescent="0.3">
      <c r="A53" s="58"/>
      <c r="B53" s="58"/>
      <c r="C53" s="58"/>
      <c r="D53" s="58"/>
      <c r="E53" s="58"/>
      <c r="F53" s="58"/>
      <c r="G53" s="58"/>
      <c r="H53" s="59"/>
      <c r="I53" s="59"/>
      <c r="J53" s="59"/>
      <c r="K53" s="59"/>
      <c r="L53" s="59"/>
      <c r="M53" s="60"/>
      <c r="N53" s="60"/>
      <c r="O53" s="60"/>
      <c r="P53" s="59"/>
      <c r="Q53" s="59"/>
      <c r="R53" s="60"/>
      <c r="S53" s="60"/>
      <c r="T53" s="60"/>
      <c r="U53" s="60"/>
      <c r="V53" s="60"/>
      <c r="W53" s="60"/>
    </row>
    <row r="54" spans="1:23" ht="13" x14ac:dyDescent="0.3">
      <c r="A54" s="58"/>
      <c r="B54" s="58"/>
      <c r="C54" s="58"/>
      <c r="D54" s="58"/>
      <c r="E54" s="58"/>
      <c r="F54" s="58"/>
      <c r="G54" s="58"/>
      <c r="H54" s="59"/>
      <c r="I54" s="59"/>
      <c r="J54" s="59"/>
      <c r="K54" s="59"/>
      <c r="L54" s="59"/>
      <c r="M54" s="60"/>
      <c r="N54" s="60"/>
      <c r="O54" s="60"/>
      <c r="P54" s="59"/>
      <c r="Q54" s="59"/>
      <c r="R54" s="60"/>
      <c r="S54" s="60"/>
      <c r="T54" s="60"/>
      <c r="U54" s="60"/>
      <c r="V54" s="60"/>
      <c r="W54" s="60"/>
    </row>
    <row r="55" spans="1:23" ht="13" x14ac:dyDescent="0.3">
      <c r="A55" s="58"/>
      <c r="B55" s="58"/>
      <c r="C55" s="58"/>
      <c r="D55" s="58"/>
      <c r="E55" s="58"/>
      <c r="F55" s="58"/>
      <c r="G55" s="58"/>
      <c r="H55" s="59"/>
      <c r="I55" s="59"/>
      <c r="J55" s="59"/>
      <c r="K55" s="59"/>
      <c r="L55" s="59"/>
      <c r="M55" s="60"/>
      <c r="N55" s="60"/>
      <c r="O55" s="60"/>
      <c r="P55" s="59"/>
      <c r="Q55" s="59"/>
      <c r="R55" s="60"/>
      <c r="S55" s="60"/>
      <c r="T55" s="60"/>
      <c r="U55" s="60"/>
      <c r="V55" s="60"/>
      <c r="W55" s="60"/>
    </row>
    <row r="56" spans="1:23" ht="13" x14ac:dyDescent="0.3">
      <c r="A56" s="58"/>
      <c r="B56" s="58"/>
      <c r="C56" s="58"/>
      <c r="D56" s="58"/>
      <c r="E56" s="58"/>
      <c r="F56" s="58"/>
      <c r="G56" s="58"/>
      <c r="H56" s="59"/>
      <c r="I56" s="59"/>
      <c r="J56" s="59"/>
      <c r="K56" s="59"/>
      <c r="L56" s="59"/>
      <c r="M56" s="60"/>
      <c r="N56" s="60"/>
      <c r="O56" s="60"/>
      <c r="P56" s="59"/>
      <c r="Q56" s="59"/>
      <c r="R56" s="60"/>
      <c r="S56" s="60"/>
      <c r="T56" s="60"/>
      <c r="U56" s="60"/>
      <c r="V56" s="60"/>
      <c r="W56" s="60"/>
    </row>
    <row r="57" spans="1:23" ht="13" x14ac:dyDescent="0.3">
      <c r="A57" s="58"/>
      <c r="B57" s="58"/>
      <c r="C57" s="58"/>
      <c r="D57" s="58"/>
      <c r="E57" s="58"/>
      <c r="F57" s="58"/>
      <c r="G57" s="58"/>
      <c r="H57" s="59"/>
      <c r="I57" s="59"/>
      <c r="J57" s="59"/>
      <c r="K57" s="59"/>
      <c r="L57" s="59"/>
      <c r="M57" s="60"/>
      <c r="N57" s="60"/>
      <c r="O57" s="60"/>
      <c r="P57" s="59"/>
      <c r="Q57" s="59"/>
      <c r="R57" s="60"/>
      <c r="S57" s="60"/>
      <c r="T57" s="60"/>
      <c r="U57" s="60"/>
      <c r="V57" s="60"/>
      <c r="W57" s="60"/>
    </row>
    <row r="58" spans="1:23" ht="13" x14ac:dyDescent="0.3">
      <c r="A58" s="58"/>
      <c r="B58" s="58"/>
      <c r="C58" s="58"/>
      <c r="D58" s="58"/>
      <c r="E58" s="58"/>
      <c r="F58" s="58"/>
      <c r="G58" s="58"/>
      <c r="H58" s="59"/>
      <c r="I58" s="59"/>
      <c r="J58" s="59"/>
      <c r="K58" s="59"/>
      <c r="L58" s="59"/>
      <c r="M58" s="60"/>
      <c r="N58" s="60"/>
      <c r="O58" s="60"/>
      <c r="P58" s="59"/>
      <c r="Q58" s="59"/>
      <c r="R58" s="60"/>
      <c r="S58" s="60"/>
      <c r="T58" s="60"/>
      <c r="U58" s="60"/>
      <c r="V58" s="60"/>
      <c r="W58" s="60"/>
    </row>
    <row r="59" spans="1:23" ht="13" x14ac:dyDescent="0.3">
      <c r="A59" s="58"/>
      <c r="B59" s="58"/>
      <c r="C59" s="58"/>
      <c r="D59" s="58"/>
      <c r="E59" s="58"/>
      <c r="F59" s="58"/>
      <c r="G59" s="58"/>
      <c r="H59" s="59"/>
      <c r="I59" s="59"/>
      <c r="J59" s="59"/>
      <c r="K59" s="59"/>
      <c r="L59" s="59"/>
      <c r="M59" s="60"/>
      <c r="N59" s="60"/>
      <c r="O59" s="60"/>
      <c r="P59" s="59"/>
      <c r="Q59" s="59"/>
      <c r="R59" s="60"/>
      <c r="S59" s="60"/>
      <c r="T59" s="60"/>
      <c r="U59" s="60"/>
      <c r="V59" s="60"/>
      <c r="W59" s="60"/>
    </row>
    <row r="60" spans="1:23" ht="13" x14ac:dyDescent="0.3">
      <c r="A60" s="58"/>
      <c r="B60" s="58"/>
      <c r="C60" s="58"/>
      <c r="D60" s="58"/>
      <c r="E60" s="58"/>
      <c r="F60" s="58"/>
      <c r="G60" s="58"/>
      <c r="H60" s="59"/>
      <c r="I60" s="59"/>
      <c r="J60" s="59"/>
      <c r="K60" s="59"/>
      <c r="L60" s="59"/>
      <c r="M60" s="60"/>
      <c r="N60" s="60"/>
      <c r="O60" s="60"/>
      <c r="P60" s="59"/>
      <c r="Q60" s="59"/>
      <c r="R60" s="60"/>
      <c r="S60" s="60"/>
      <c r="T60" s="60"/>
      <c r="U60" s="60"/>
      <c r="V60" s="60"/>
      <c r="W60" s="60"/>
    </row>
    <row r="61" spans="1:23" ht="13" x14ac:dyDescent="0.3">
      <c r="A61" s="58"/>
      <c r="B61" s="58"/>
      <c r="C61" s="58"/>
      <c r="D61" s="58"/>
      <c r="E61" s="58"/>
      <c r="F61" s="58"/>
      <c r="G61" s="58"/>
      <c r="H61" s="59"/>
      <c r="I61" s="59"/>
      <c r="J61" s="59"/>
      <c r="K61" s="59"/>
      <c r="L61" s="59"/>
      <c r="M61" s="60"/>
      <c r="N61" s="60"/>
      <c r="O61" s="60"/>
      <c r="P61" s="59"/>
      <c r="Q61" s="59"/>
      <c r="R61" s="60"/>
      <c r="S61" s="60"/>
      <c r="T61" s="60"/>
      <c r="U61" s="60"/>
      <c r="V61" s="60"/>
      <c r="W61" s="60"/>
    </row>
    <row r="62" spans="1:23" ht="13" x14ac:dyDescent="0.3">
      <c r="A62" s="58"/>
      <c r="B62" s="58"/>
      <c r="C62" s="58"/>
      <c r="D62" s="58"/>
      <c r="E62" s="58"/>
      <c r="F62" s="58"/>
      <c r="G62" s="58"/>
      <c r="H62" s="59"/>
      <c r="I62" s="59"/>
      <c r="J62" s="59"/>
      <c r="K62" s="59"/>
      <c r="L62" s="59"/>
      <c r="M62" s="60"/>
      <c r="N62" s="60"/>
      <c r="O62" s="60"/>
      <c r="P62" s="59"/>
      <c r="Q62" s="59"/>
      <c r="R62" s="60"/>
      <c r="S62" s="60"/>
      <c r="T62" s="60"/>
      <c r="U62" s="60"/>
      <c r="V62" s="60"/>
      <c r="W62" s="60"/>
    </row>
    <row r="63" spans="1:23" ht="13" x14ac:dyDescent="0.3">
      <c r="A63" s="58"/>
      <c r="B63" s="58"/>
      <c r="C63" s="58"/>
      <c r="D63" s="58"/>
      <c r="E63" s="58"/>
      <c r="F63" s="58"/>
      <c r="G63" s="58"/>
      <c r="H63" s="59"/>
      <c r="I63" s="59"/>
      <c r="J63" s="59"/>
      <c r="K63" s="59"/>
      <c r="L63" s="59"/>
      <c r="M63" s="60"/>
      <c r="N63" s="60"/>
      <c r="O63" s="60"/>
      <c r="P63" s="59"/>
      <c r="Q63" s="59"/>
      <c r="R63" s="60"/>
      <c r="S63" s="60"/>
      <c r="T63" s="60"/>
      <c r="U63" s="60"/>
      <c r="V63" s="60"/>
      <c r="W63" s="60"/>
    </row>
    <row r="64" spans="1:23" ht="13" x14ac:dyDescent="0.3">
      <c r="A64" s="58"/>
      <c r="B64" s="58"/>
      <c r="C64" s="58"/>
      <c r="D64" s="58"/>
      <c r="E64" s="58"/>
      <c r="F64" s="58"/>
      <c r="G64" s="58"/>
      <c r="H64" s="59"/>
      <c r="I64" s="59"/>
      <c r="J64" s="59"/>
      <c r="K64" s="59"/>
      <c r="L64" s="59"/>
      <c r="M64" s="60"/>
      <c r="N64" s="60"/>
      <c r="O64" s="60"/>
      <c r="P64" s="59"/>
      <c r="Q64" s="59"/>
      <c r="R64" s="60"/>
      <c r="S64" s="60"/>
      <c r="T64" s="60"/>
      <c r="U64" s="60"/>
      <c r="V64" s="60"/>
      <c r="W64" s="60"/>
    </row>
    <row r="65" spans="1:23" ht="13" x14ac:dyDescent="0.3">
      <c r="A65" s="58"/>
      <c r="B65" s="58"/>
      <c r="C65" s="58"/>
      <c r="D65" s="58"/>
      <c r="E65" s="58"/>
      <c r="F65" s="58"/>
      <c r="G65" s="58"/>
      <c r="H65" s="59"/>
      <c r="I65" s="59"/>
      <c r="J65" s="59"/>
      <c r="K65" s="59"/>
      <c r="L65" s="59"/>
      <c r="M65" s="60"/>
      <c r="N65" s="60"/>
      <c r="O65" s="60"/>
      <c r="P65" s="59"/>
      <c r="Q65" s="59"/>
      <c r="R65" s="60"/>
      <c r="S65" s="60"/>
      <c r="T65" s="60"/>
      <c r="U65" s="60"/>
      <c r="V65" s="60"/>
      <c r="W65" s="60"/>
    </row>
    <row r="66" spans="1:23" ht="13" x14ac:dyDescent="0.3">
      <c r="A66" s="58"/>
      <c r="B66" s="58"/>
      <c r="C66" s="58"/>
      <c r="D66" s="58"/>
      <c r="E66" s="58"/>
      <c r="F66" s="58"/>
      <c r="G66" s="58"/>
      <c r="H66" s="59"/>
      <c r="I66" s="59"/>
      <c r="J66" s="59"/>
      <c r="K66" s="59"/>
      <c r="L66" s="59"/>
      <c r="M66" s="60"/>
      <c r="N66" s="60"/>
      <c r="O66" s="60"/>
      <c r="P66" s="59"/>
      <c r="Q66" s="59"/>
      <c r="R66" s="60"/>
      <c r="S66" s="60"/>
      <c r="T66" s="60"/>
      <c r="U66" s="60"/>
      <c r="V66" s="60"/>
      <c r="W66" s="60"/>
    </row>
    <row r="67" spans="1:23" ht="13" x14ac:dyDescent="0.3">
      <c r="A67" s="58"/>
      <c r="B67" s="58"/>
      <c r="C67" s="58"/>
      <c r="D67" s="58"/>
      <c r="E67" s="58"/>
      <c r="F67" s="58"/>
      <c r="G67" s="58"/>
      <c r="H67" s="59"/>
      <c r="I67" s="59"/>
      <c r="J67" s="59"/>
      <c r="K67" s="59"/>
      <c r="L67" s="59"/>
      <c r="M67" s="60"/>
      <c r="N67" s="60"/>
      <c r="O67" s="60"/>
      <c r="P67" s="59"/>
      <c r="Q67" s="59"/>
      <c r="R67" s="60"/>
      <c r="S67" s="60"/>
      <c r="T67" s="60"/>
      <c r="U67" s="60"/>
      <c r="V67" s="60"/>
      <c r="W67" s="60"/>
    </row>
    <row r="68" spans="1:23" ht="13" x14ac:dyDescent="0.3">
      <c r="A68" s="58"/>
      <c r="B68" s="58"/>
      <c r="C68" s="58"/>
      <c r="D68" s="58"/>
      <c r="E68" s="58"/>
      <c r="F68" s="58"/>
      <c r="G68" s="58"/>
      <c r="H68" s="59"/>
      <c r="I68" s="59"/>
      <c r="J68" s="59"/>
      <c r="K68" s="59"/>
      <c r="L68" s="59"/>
      <c r="M68" s="60"/>
      <c r="N68" s="60"/>
      <c r="O68" s="60"/>
      <c r="P68" s="59"/>
      <c r="Q68" s="59"/>
      <c r="R68" s="60"/>
      <c r="S68" s="60"/>
      <c r="T68" s="60"/>
      <c r="U68" s="60"/>
      <c r="V68" s="60"/>
      <c r="W68" s="60"/>
    </row>
    <row r="69" spans="1:23" ht="13" x14ac:dyDescent="0.3">
      <c r="A69" s="58"/>
      <c r="B69" s="58"/>
      <c r="C69" s="58"/>
      <c r="D69" s="58"/>
      <c r="E69" s="58"/>
      <c r="F69" s="58"/>
      <c r="G69" s="58"/>
      <c r="H69" s="59"/>
      <c r="I69" s="59"/>
      <c r="J69" s="59"/>
      <c r="K69" s="59"/>
      <c r="L69" s="59"/>
      <c r="M69" s="60"/>
      <c r="N69" s="60"/>
      <c r="O69" s="60"/>
      <c r="P69" s="59"/>
      <c r="Q69" s="59"/>
      <c r="R69" s="60"/>
      <c r="S69" s="60"/>
      <c r="T69" s="60"/>
      <c r="U69" s="60"/>
      <c r="V69" s="60"/>
      <c r="W69" s="60"/>
    </row>
    <row r="70" spans="1:23" ht="13" x14ac:dyDescent="0.3">
      <c r="A70" s="58"/>
      <c r="B70" s="58"/>
      <c r="C70" s="58"/>
      <c r="D70" s="58"/>
      <c r="E70" s="58"/>
      <c r="F70" s="58"/>
      <c r="G70" s="58"/>
      <c r="H70" s="59"/>
      <c r="I70" s="59"/>
      <c r="J70" s="59"/>
      <c r="K70" s="59"/>
      <c r="L70" s="59"/>
      <c r="M70" s="60"/>
      <c r="N70" s="60"/>
      <c r="O70" s="60"/>
      <c r="P70" s="59"/>
      <c r="Q70" s="59"/>
      <c r="R70" s="60"/>
      <c r="S70" s="60"/>
      <c r="T70" s="60"/>
      <c r="U70" s="60"/>
      <c r="V70" s="60"/>
      <c r="W70" s="60"/>
    </row>
    <row r="71" spans="1:23" ht="13" x14ac:dyDescent="0.3">
      <c r="A71" s="58"/>
      <c r="B71" s="58"/>
      <c r="C71" s="58"/>
      <c r="D71" s="58"/>
      <c r="E71" s="58"/>
      <c r="F71" s="58"/>
      <c r="G71" s="58"/>
      <c r="H71" s="59"/>
      <c r="I71" s="59"/>
      <c r="J71" s="59"/>
      <c r="K71" s="59"/>
      <c r="L71" s="59"/>
      <c r="M71" s="60"/>
      <c r="N71" s="60"/>
      <c r="O71" s="60"/>
      <c r="P71" s="59"/>
      <c r="Q71" s="59"/>
      <c r="R71" s="60"/>
      <c r="S71" s="60"/>
      <c r="T71" s="60"/>
      <c r="U71" s="60"/>
      <c r="V71" s="60"/>
      <c r="W71" s="60"/>
    </row>
    <row r="72" spans="1:23" ht="13" x14ac:dyDescent="0.3">
      <c r="A72" s="58"/>
      <c r="B72" s="58"/>
      <c r="C72" s="58"/>
      <c r="D72" s="58"/>
      <c r="E72" s="58"/>
      <c r="F72" s="58"/>
      <c r="G72" s="58"/>
      <c r="H72" s="59"/>
      <c r="I72" s="59"/>
      <c r="J72" s="59"/>
      <c r="K72" s="59"/>
      <c r="L72" s="59"/>
      <c r="M72" s="60"/>
      <c r="N72" s="60"/>
      <c r="O72" s="60"/>
      <c r="P72" s="59"/>
      <c r="Q72" s="59"/>
      <c r="R72" s="60"/>
      <c r="S72" s="60"/>
      <c r="T72" s="60"/>
      <c r="U72" s="60"/>
      <c r="V72" s="60"/>
      <c r="W72" s="60"/>
    </row>
    <row r="73" spans="1:23" ht="13" x14ac:dyDescent="0.3">
      <c r="A73" s="58"/>
      <c r="B73" s="58"/>
      <c r="C73" s="58"/>
      <c r="D73" s="58"/>
      <c r="E73" s="58"/>
      <c r="F73" s="58"/>
      <c r="G73" s="58"/>
      <c r="H73" s="59"/>
      <c r="I73" s="59"/>
      <c r="J73" s="59"/>
      <c r="K73" s="59"/>
      <c r="L73" s="59"/>
      <c r="M73" s="60"/>
      <c r="N73" s="60"/>
      <c r="O73" s="60"/>
      <c r="P73" s="59"/>
      <c r="Q73" s="59"/>
      <c r="R73" s="60"/>
      <c r="S73" s="60"/>
      <c r="T73" s="60"/>
      <c r="U73" s="60"/>
      <c r="V73" s="60"/>
      <c r="W73" s="60"/>
    </row>
    <row r="74" spans="1:23" ht="13" x14ac:dyDescent="0.3">
      <c r="A74" s="58"/>
      <c r="B74" s="58"/>
      <c r="C74" s="58"/>
      <c r="D74" s="58"/>
      <c r="E74" s="58"/>
      <c r="F74" s="58"/>
      <c r="G74" s="58"/>
      <c r="H74" s="59"/>
      <c r="I74" s="59"/>
      <c r="J74" s="59"/>
      <c r="K74" s="59"/>
      <c r="L74" s="59"/>
      <c r="M74" s="60"/>
      <c r="N74" s="60"/>
      <c r="O74" s="60"/>
      <c r="P74" s="59"/>
      <c r="Q74" s="59"/>
      <c r="R74" s="60"/>
      <c r="S74" s="60"/>
      <c r="T74" s="60"/>
      <c r="U74" s="60"/>
      <c r="V74" s="60"/>
      <c r="W74" s="60"/>
    </row>
    <row r="75" spans="1:23" ht="13" x14ac:dyDescent="0.3">
      <c r="A75" s="58"/>
      <c r="B75" s="58"/>
      <c r="C75" s="58"/>
      <c r="D75" s="58"/>
      <c r="E75" s="58"/>
      <c r="F75" s="58"/>
      <c r="G75" s="58"/>
      <c r="H75" s="59"/>
      <c r="I75" s="59"/>
      <c r="J75" s="59"/>
      <c r="K75" s="59"/>
      <c r="L75" s="59"/>
      <c r="M75" s="60"/>
      <c r="N75" s="60"/>
      <c r="O75" s="60"/>
      <c r="P75" s="59"/>
      <c r="Q75" s="59"/>
      <c r="R75" s="60"/>
      <c r="S75" s="60"/>
      <c r="T75" s="60"/>
      <c r="U75" s="60"/>
      <c r="V75" s="60"/>
      <c r="W75" s="60"/>
    </row>
    <row r="76" spans="1:23" ht="13" x14ac:dyDescent="0.3">
      <c r="A76" s="58"/>
      <c r="B76" s="58"/>
      <c r="C76" s="58"/>
      <c r="D76" s="58"/>
      <c r="E76" s="58"/>
      <c r="F76" s="58"/>
      <c r="G76" s="58"/>
      <c r="H76" s="59"/>
      <c r="I76" s="59"/>
      <c r="J76" s="59"/>
      <c r="K76" s="59"/>
      <c r="L76" s="59"/>
      <c r="M76" s="60"/>
      <c r="N76" s="60"/>
      <c r="O76" s="60"/>
      <c r="P76" s="59"/>
      <c r="Q76" s="59"/>
      <c r="R76" s="60"/>
      <c r="S76" s="60"/>
      <c r="T76" s="60"/>
      <c r="U76" s="60"/>
      <c r="V76" s="60"/>
      <c r="W76" s="60"/>
    </row>
    <row r="77" spans="1:23" ht="13" x14ac:dyDescent="0.3">
      <c r="A77" s="58"/>
      <c r="B77" s="58"/>
      <c r="C77" s="58"/>
      <c r="D77" s="58"/>
      <c r="E77" s="58"/>
      <c r="F77" s="58"/>
      <c r="G77" s="58"/>
      <c r="H77" s="59"/>
      <c r="I77" s="59"/>
      <c r="J77" s="59"/>
      <c r="K77" s="59"/>
      <c r="L77" s="59"/>
      <c r="M77" s="60"/>
      <c r="N77" s="60"/>
      <c r="O77" s="60"/>
      <c r="P77" s="59"/>
      <c r="Q77" s="59"/>
      <c r="R77" s="60"/>
      <c r="S77" s="60"/>
      <c r="T77" s="60"/>
      <c r="U77" s="60"/>
      <c r="V77" s="60"/>
      <c r="W77" s="60"/>
    </row>
    <row r="78" spans="1:23" ht="13" x14ac:dyDescent="0.3">
      <c r="A78" s="58"/>
      <c r="B78" s="58"/>
      <c r="C78" s="58"/>
      <c r="D78" s="58"/>
      <c r="E78" s="58"/>
      <c r="F78" s="58"/>
      <c r="G78" s="58"/>
      <c r="H78" s="59"/>
      <c r="I78" s="59"/>
      <c r="J78" s="59"/>
      <c r="K78" s="59"/>
      <c r="L78" s="59"/>
      <c r="M78" s="60"/>
      <c r="N78" s="60"/>
      <c r="O78" s="60"/>
      <c r="P78" s="59"/>
      <c r="Q78" s="59"/>
      <c r="R78" s="60"/>
      <c r="S78" s="60"/>
      <c r="T78" s="60"/>
      <c r="U78" s="60"/>
      <c r="V78" s="60"/>
      <c r="W78" s="60"/>
    </row>
    <row r="79" spans="1:23" ht="13" x14ac:dyDescent="0.3">
      <c r="A79" s="58"/>
      <c r="B79" s="58"/>
      <c r="C79" s="58"/>
      <c r="D79" s="58"/>
      <c r="E79" s="58"/>
      <c r="F79" s="58"/>
      <c r="G79" s="58"/>
      <c r="H79" s="59"/>
      <c r="I79" s="59"/>
      <c r="J79" s="59"/>
      <c r="K79" s="59"/>
      <c r="L79" s="59"/>
      <c r="M79" s="60"/>
      <c r="N79" s="60"/>
      <c r="O79" s="60"/>
      <c r="P79" s="59"/>
      <c r="Q79" s="59"/>
      <c r="R79" s="60"/>
      <c r="S79" s="60"/>
      <c r="T79" s="60"/>
      <c r="U79" s="60"/>
      <c r="V79" s="60"/>
      <c r="W79" s="60"/>
    </row>
    <row r="80" spans="1:23" ht="13" x14ac:dyDescent="0.3">
      <c r="A80" s="58"/>
      <c r="B80" s="58"/>
      <c r="C80" s="58"/>
      <c r="D80" s="58"/>
      <c r="E80" s="58"/>
      <c r="F80" s="58"/>
      <c r="G80" s="58"/>
      <c r="H80" s="59"/>
      <c r="I80" s="59"/>
      <c r="J80" s="59"/>
      <c r="K80" s="59"/>
      <c r="L80" s="59"/>
      <c r="M80" s="60"/>
      <c r="N80" s="60"/>
      <c r="O80" s="60"/>
      <c r="P80" s="59"/>
      <c r="Q80" s="59"/>
      <c r="R80" s="60"/>
      <c r="S80" s="60"/>
      <c r="T80" s="60"/>
      <c r="U80" s="60"/>
      <c r="V80" s="60"/>
      <c r="W80" s="60"/>
    </row>
    <row r="81" spans="1:23" ht="13" x14ac:dyDescent="0.3">
      <c r="A81" s="58"/>
      <c r="B81" s="58"/>
      <c r="C81" s="58"/>
      <c r="D81" s="58"/>
      <c r="E81" s="58"/>
      <c r="F81" s="58"/>
      <c r="G81" s="58"/>
      <c r="H81" s="59"/>
      <c r="I81" s="59"/>
      <c r="J81" s="59"/>
      <c r="K81" s="59"/>
      <c r="L81" s="59"/>
      <c r="M81" s="60"/>
      <c r="N81" s="60"/>
      <c r="O81" s="60"/>
      <c r="P81" s="59"/>
      <c r="Q81" s="59"/>
      <c r="R81" s="60"/>
      <c r="S81" s="60"/>
      <c r="T81" s="60"/>
      <c r="U81" s="60"/>
      <c r="V81" s="60"/>
      <c r="W81" s="60"/>
    </row>
    <row r="82" spans="1:23" ht="13" x14ac:dyDescent="0.3">
      <c r="A82" s="58"/>
      <c r="B82" s="58"/>
      <c r="C82" s="58"/>
      <c r="D82" s="58"/>
      <c r="E82" s="58"/>
      <c r="F82" s="58"/>
      <c r="G82" s="58"/>
      <c r="H82" s="59"/>
      <c r="I82" s="59"/>
      <c r="J82" s="59"/>
      <c r="K82" s="59"/>
      <c r="L82" s="59"/>
      <c r="M82" s="60"/>
      <c r="N82" s="60"/>
      <c r="O82" s="60"/>
      <c r="P82" s="59"/>
      <c r="Q82" s="59"/>
      <c r="R82" s="60"/>
      <c r="S82" s="60"/>
      <c r="T82" s="60"/>
      <c r="U82" s="60"/>
      <c r="V82" s="60"/>
      <c r="W82" s="60"/>
    </row>
    <row r="83" spans="1:23" ht="13" x14ac:dyDescent="0.3">
      <c r="A83" s="58"/>
      <c r="B83" s="58"/>
      <c r="C83" s="58"/>
      <c r="D83" s="58"/>
      <c r="E83" s="58"/>
      <c r="F83" s="58"/>
      <c r="G83" s="58"/>
      <c r="H83" s="59"/>
      <c r="I83" s="59"/>
      <c r="J83" s="59"/>
      <c r="K83" s="59"/>
      <c r="L83" s="59"/>
      <c r="M83" s="60"/>
      <c r="N83" s="60"/>
      <c r="O83" s="60"/>
      <c r="P83" s="59"/>
      <c r="Q83" s="59"/>
      <c r="R83" s="60"/>
      <c r="S83" s="60"/>
      <c r="T83" s="60"/>
      <c r="U83" s="60"/>
      <c r="V83" s="60"/>
      <c r="W83" s="60"/>
    </row>
    <row r="84" spans="1:23" ht="13" x14ac:dyDescent="0.3">
      <c r="A84" s="58"/>
      <c r="B84" s="58"/>
      <c r="C84" s="58"/>
      <c r="D84" s="58"/>
      <c r="E84" s="58"/>
      <c r="F84" s="58"/>
      <c r="G84" s="58"/>
      <c r="H84" s="59"/>
      <c r="I84" s="59"/>
      <c r="J84" s="59"/>
      <c r="K84" s="59"/>
      <c r="L84" s="59"/>
      <c r="M84" s="60"/>
      <c r="N84" s="60"/>
      <c r="O84" s="60"/>
      <c r="P84" s="59"/>
      <c r="Q84" s="59"/>
      <c r="R84" s="60"/>
      <c r="S84" s="60"/>
      <c r="T84" s="60"/>
      <c r="U84" s="60"/>
      <c r="V84" s="60"/>
      <c r="W84" s="60"/>
    </row>
    <row r="85" spans="1:23" ht="13" x14ac:dyDescent="0.3">
      <c r="A85" s="58"/>
      <c r="B85" s="58"/>
      <c r="C85" s="58"/>
      <c r="D85" s="58"/>
      <c r="E85" s="58"/>
      <c r="F85" s="58"/>
      <c r="G85" s="58"/>
      <c r="H85" s="59"/>
      <c r="I85" s="59"/>
      <c r="J85" s="59"/>
      <c r="K85" s="59"/>
      <c r="L85" s="59"/>
      <c r="M85" s="60"/>
      <c r="N85" s="60"/>
      <c r="O85" s="60"/>
      <c r="P85" s="59"/>
      <c r="Q85" s="59"/>
      <c r="R85" s="60"/>
      <c r="S85" s="60"/>
      <c r="T85" s="60"/>
      <c r="U85" s="60"/>
      <c r="V85" s="60"/>
      <c r="W85" s="60"/>
    </row>
    <row r="86" spans="1:23" ht="13" x14ac:dyDescent="0.3">
      <c r="A86" s="58"/>
      <c r="B86" s="58"/>
      <c r="C86" s="58"/>
      <c r="D86" s="58"/>
      <c r="E86" s="58"/>
      <c r="F86" s="58"/>
      <c r="G86" s="58"/>
      <c r="H86" s="59"/>
      <c r="I86" s="59"/>
      <c r="J86" s="59"/>
      <c r="K86" s="59"/>
      <c r="L86" s="59"/>
      <c r="M86" s="60"/>
      <c r="N86" s="60"/>
      <c r="O86" s="60"/>
      <c r="P86" s="59"/>
      <c r="Q86" s="59"/>
      <c r="R86" s="60"/>
      <c r="S86" s="60"/>
      <c r="T86" s="60"/>
      <c r="U86" s="60"/>
      <c r="V86" s="60"/>
      <c r="W86" s="60"/>
    </row>
    <row r="87" spans="1:23" ht="13" x14ac:dyDescent="0.3">
      <c r="A87" s="58"/>
      <c r="B87" s="58"/>
      <c r="C87" s="58"/>
      <c r="D87" s="58"/>
      <c r="E87" s="58"/>
      <c r="F87" s="58"/>
      <c r="G87" s="58"/>
      <c r="H87" s="59"/>
      <c r="I87" s="59"/>
      <c r="J87" s="59"/>
      <c r="K87" s="59"/>
      <c r="L87" s="59"/>
      <c r="M87" s="60"/>
      <c r="N87" s="60"/>
      <c r="O87" s="60"/>
      <c r="P87" s="59"/>
      <c r="Q87" s="59"/>
      <c r="R87" s="60"/>
      <c r="S87" s="60"/>
      <c r="T87" s="60"/>
      <c r="U87" s="60"/>
      <c r="V87" s="60"/>
      <c r="W87" s="60"/>
    </row>
    <row r="88" spans="1:23" ht="13" x14ac:dyDescent="0.3">
      <c r="A88" s="58"/>
      <c r="B88" s="58"/>
      <c r="C88" s="58"/>
      <c r="D88" s="58"/>
      <c r="E88" s="58"/>
      <c r="F88" s="58"/>
      <c r="G88" s="58"/>
      <c r="H88" s="59"/>
      <c r="I88" s="59"/>
      <c r="J88" s="59"/>
      <c r="K88" s="59"/>
      <c r="L88" s="59"/>
      <c r="M88" s="60"/>
      <c r="N88" s="60"/>
      <c r="O88" s="60"/>
      <c r="P88" s="59"/>
      <c r="Q88" s="59"/>
      <c r="R88" s="60"/>
      <c r="S88" s="60"/>
      <c r="T88" s="60"/>
      <c r="U88" s="60"/>
      <c r="V88" s="60"/>
      <c r="W88" s="60"/>
    </row>
    <row r="89" spans="1:23" ht="13" x14ac:dyDescent="0.3">
      <c r="A89" s="58"/>
      <c r="B89" s="58"/>
      <c r="C89" s="58"/>
      <c r="D89" s="58"/>
      <c r="E89" s="58"/>
      <c r="F89" s="58"/>
      <c r="G89" s="58"/>
      <c r="H89" s="59"/>
      <c r="I89" s="59"/>
      <c r="J89" s="59"/>
      <c r="K89" s="59"/>
      <c r="L89" s="59"/>
      <c r="M89" s="60"/>
      <c r="N89" s="60"/>
      <c r="O89" s="60"/>
      <c r="P89" s="59"/>
      <c r="Q89" s="59"/>
      <c r="R89" s="60"/>
      <c r="S89" s="60"/>
      <c r="T89" s="60"/>
      <c r="U89" s="60"/>
      <c r="V89" s="60"/>
      <c r="W89" s="60"/>
    </row>
    <row r="90" spans="1:23" ht="13" x14ac:dyDescent="0.3">
      <c r="A90" s="58"/>
      <c r="B90" s="58"/>
      <c r="C90" s="58"/>
      <c r="D90" s="58"/>
      <c r="E90" s="58"/>
      <c r="F90" s="58"/>
      <c r="G90" s="58"/>
      <c r="H90" s="59"/>
      <c r="I90" s="59"/>
      <c r="J90" s="59"/>
      <c r="K90" s="59"/>
      <c r="L90" s="59"/>
      <c r="M90" s="60"/>
      <c r="N90" s="60"/>
      <c r="O90" s="60"/>
      <c r="P90" s="59"/>
      <c r="Q90" s="59"/>
      <c r="R90" s="60"/>
      <c r="S90" s="60"/>
      <c r="T90" s="60"/>
      <c r="U90" s="60"/>
      <c r="V90" s="60"/>
      <c r="W90" s="60"/>
    </row>
    <row r="91" spans="1:23" ht="13" x14ac:dyDescent="0.3">
      <c r="A91" s="58"/>
      <c r="B91" s="58"/>
      <c r="C91" s="58"/>
      <c r="D91" s="58"/>
      <c r="E91" s="58"/>
      <c r="F91" s="58"/>
      <c r="G91" s="58"/>
      <c r="H91" s="59"/>
      <c r="I91" s="59"/>
      <c r="J91" s="59"/>
      <c r="K91" s="59"/>
      <c r="L91" s="59"/>
      <c r="M91" s="60"/>
      <c r="N91" s="60"/>
      <c r="O91" s="60"/>
      <c r="P91" s="59"/>
      <c r="Q91" s="59"/>
      <c r="R91" s="60"/>
      <c r="S91" s="60"/>
      <c r="T91" s="60"/>
      <c r="U91" s="60"/>
      <c r="V91" s="60"/>
      <c r="W91" s="60"/>
    </row>
    <row r="92" spans="1:23" ht="13" x14ac:dyDescent="0.3">
      <c r="A92" s="58"/>
      <c r="B92" s="58"/>
      <c r="C92" s="58"/>
      <c r="D92" s="58"/>
      <c r="E92" s="58"/>
      <c r="F92" s="58"/>
      <c r="G92" s="58"/>
      <c r="H92" s="59"/>
      <c r="I92" s="59"/>
      <c r="J92" s="59"/>
      <c r="K92" s="59"/>
      <c r="L92" s="59"/>
      <c r="M92" s="60"/>
      <c r="N92" s="60"/>
      <c r="O92" s="60"/>
      <c r="P92" s="59"/>
      <c r="Q92" s="59"/>
      <c r="R92" s="60"/>
      <c r="S92" s="60"/>
      <c r="T92" s="60"/>
      <c r="U92" s="60"/>
      <c r="V92" s="60"/>
      <c r="W92" s="60"/>
    </row>
    <row r="93" spans="1:23" ht="13" x14ac:dyDescent="0.3">
      <c r="A93" s="58"/>
      <c r="B93" s="58"/>
      <c r="C93" s="58"/>
      <c r="D93" s="58"/>
      <c r="E93" s="58"/>
      <c r="F93" s="58"/>
      <c r="G93" s="58"/>
      <c r="H93" s="59"/>
      <c r="I93" s="59"/>
      <c r="J93" s="59"/>
      <c r="K93" s="59"/>
      <c r="L93" s="59"/>
      <c r="M93" s="60"/>
      <c r="N93" s="60"/>
      <c r="O93" s="60"/>
      <c r="P93" s="59"/>
      <c r="Q93" s="59"/>
      <c r="R93" s="60"/>
      <c r="S93" s="60"/>
      <c r="T93" s="60"/>
      <c r="U93" s="60"/>
      <c r="V93" s="60"/>
      <c r="W93" s="60"/>
    </row>
    <row r="94" spans="1:23" ht="13" x14ac:dyDescent="0.3">
      <c r="A94" s="58"/>
      <c r="B94" s="58"/>
      <c r="C94" s="58"/>
      <c r="D94" s="58"/>
      <c r="E94" s="58"/>
      <c r="F94" s="58"/>
      <c r="G94" s="58"/>
      <c r="H94" s="59"/>
      <c r="I94" s="59"/>
      <c r="J94" s="59"/>
      <c r="K94" s="59"/>
      <c r="L94" s="59"/>
      <c r="M94" s="60"/>
      <c r="N94" s="60"/>
      <c r="O94" s="60"/>
      <c r="P94" s="59"/>
      <c r="Q94" s="59"/>
      <c r="R94" s="60"/>
      <c r="S94" s="60"/>
      <c r="T94" s="60"/>
      <c r="U94" s="60"/>
      <c r="V94" s="60"/>
      <c r="W94" s="60"/>
    </row>
    <row r="95" spans="1:23" ht="13" x14ac:dyDescent="0.3">
      <c r="A95" s="58"/>
      <c r="B95" s="58"/>
      <c r="C95" s="58"/>
      <c r="D95" s="58"/>
      <c r="E95" s="58"/>
      <c r="F95" s="58"/>
      <c r="G95" s="58"/>
      <c r="H95" s="59"/>
      <c r="I95" s="59"/>
      <c r="J95" s="59"/>
      <c r="K95" s="59"/>
      <c r="L95" s="59"/>
      <c r="M95" s="60"/>
      <c r="N95" s="60"/>
      <c r="O95" s="60"/>
      <c r="P95" s="59"/>
      <c r="Q95" s="59"/>
      <c r="R95" s="60"/>
      <c r="S95" s="60"/>
      <c r="T95" s="60"/>
      <c r="U95" s="60"/>
      <c r="V95" s="60"/>
      <c r="W95" s="60"/>
    </row>
    <row r="96" spans="1:23" ht="13" x14ac:dyDescent="0.3">
      <c r="A96" s="58"/>
      <c r="B96" s="58"/>
      <c r="C96" s="58"/>
      <c r="D96" s="58"/>
      <c r="E96" s="58"/>
      <c r="F96" s="58"/>
      <c r="G96" s="58"/>
      <c r="H96" s="59"/>
      <c r="I96" s="59"/>
      <c r="J96" s="59"/>
      <c r="K96" s="59"/>
      <c r="L96" s="59"/>
      <c r="M96" s="60"/>
      <c r="N96" s="60"/>
      <c r="O96" s="60"/>
      <c r="P96" s="59"/>
      <c r="Q96" s="59"/>
      <c r="R96" s="60"/>
      <c r="S96" s="60"/>
      <c r="T96" s="60"/>
      <c r="U96" s="60"/>
      <c r="V96" s="60"/>
      <c r="W96" s="60"/>
    </row>
    <row r="97" spans="1:23" ht="13" x14ac:dyDescent="0.3">
      <c r="A97" s="58"/>
      <c r="B97" s="58"/>
      <c r="C97" s="58"/>
      <c r="D97" s="58"/>
      <c r="E97" s="58"/>
      <c r="F97" s="58"/>
      <c r="G97" s="58"/>
      <c r="H97" s="59"/>
      <c r="I97" s="59"/>
      <c r="J97" s="59"/>
      <c r="K97" s="59"/>
      <c r="L97" s="59"/>
      <c r="M97" s="60"/>
      <c r="N97" s="60"/>
      <c r="O97" s="60"/>
      <c r="P97" s="59"/>
      <c r="Q97" s="59"/>
      <c r="R97" s="60"/>
      <c r="S97" s="60"/>
      <c r="T97" s="60"/>
      <c r="U97" s="60"/>
      <c r="V97" s="60"/>
      <c r="W97" s="60"/>
    </row>
    <row r="98" spans="1:23" ht="13" x14ac:dyDescent="0.3">
      <c r="A98" s="58"/>
      <c r="B98" s="58"/>
      <c r="C98" s="58"/>
      <c r="D98" s="58"/>
      <c r="E98" s="58"/>
      <c r="F98" s="58"/>
      <c r="G98" s="58"/>
      <c r="H98" s="59"/>
      <c r="I98" s="59"/>
      <c r="J98" s="59"/>
      <c r="K98" s="59"/>
      <c r="L98" s="59"/>
      <c r="M98" s="60"/>
      <c r="N98" s="60"/>
      <c r="O98" s="60"/>
      <c r="P98" s="59"/>
      <c r="Q98" s="59"/>
      <c r="R98" s="60"/>
      <c r="S98" s="60"/>
      <c r="T98" s="60"/>
      <c r="U98" s="60"/>
      <c r="V98" s="60"/>
      <c r="W98" s="60"/>
    </row>
    <row r="99" spans="1:23" ht="13" x14ac:dyDescent="0.3">
      <c r="A99" s="58"/>
      <c r="B99" s="58"/>
      <c r="C99" s="58"/>
      <c r="D99" s="58"/>
      <c r="E99" s="58"/>
      <c r="F99" s="58"/>
      <c r="G99" s="58"/>
      <c r="H99" s="59"/>
      <c r="I99" s="59"/>
      <c r="J99" s="59"/>
      <c r="K99" s="59"/>
      <c r="L99" s="59"/>
      <c r="M99" s="60"/>
      <c r="N99" s="60"/>
      <c r="O99" s="60"/>
      <c r="P99" s="59"/>
      <c r="Q99" s="59"/>
      <c r="R99" s="60"/>
      <c r="S99" s="60"/>
      <c r="T99" s="60"/>
      <c r="U99" s="60"/>
      <c r="V99" s="60"/>
      <c r="W99" s="60"/>
    </row>
    <row r="100" spans="1:23" ht="13" x14ac:dyDescent="0.3">
      <c r="A100" s="58"/>
      <c r="B100" s="58"/>
      <c r="C100" s="58"/>
      <c r="D100" s="58"/>
      <c r="E100" s="58"/>
      <c r="F100" s="58"/>
      <c r="G100" s="58"/>
      <c r="H100" s="59"/>
      <c r="I100" s="59"/>
      <c r="J100" s="59"/>
      <c r="K100" s="59"/>
      <c r="L100" s="59"/>
      <c r="M100" s="60"/>
      <c r="N100" s="60"/>
      <c r="O100" s="60"/>
      <c r="P100" s="59"/>
      <c r="Q100" s="59"/>
      <c r="R100" s="60"/>
      <c r="S100" s="60"/>
      <c r="T100" s="60"/>
      <c r="U100" s="60"/>
      <c r="V100" s="60"/>
      <c r="W100" s="60"/>
    </row>
    <row r="101" spans="1:23" ht="13" x14ac:dyDescent="0.3">
      <c r="A101" s="58"/>
      <c r="B101" s="58"/>
      <c r="C101" s="58"/>
      <c r="D101" s="58"/>
      <c r="E101" s="58"/>
      <c r="F101" s="58"/>
      <c r="G101" s="58"/>
      <c r="H101" s="59"/>
      <c r="I101" s="59"/>
      <c r="J101" s="59"/>
      <c r="K101" s="59"/>
      <c r="L101" s="59"/>
      <c r="M101" s="60"/>
      <c r="N101" s="60"/>
      <c r="O101" s="60"/>
      <c r="P101" s="59"/>
      <c r="Q101" s="59"/>
      <c r="R101" s="60"/>
      <c r="S101" s="60"/>
      <c r="T101" s="60"/>
      <c r="U101" s="60"/>
      <c r="V101" s="60"/>
      <c r="W101" s="60"/>
    </row>
    <row r="102" spans="1:23" ht="13" x14ac:dyDescent="0.3">
      <c r="A102" s="58"/>
      <c r="B102" s="58"/>
      <c r="C102" s="58"/>
      <c r="D102" s="58"/>
      <c r="E102" s="58"/>
      <c r="F102" s="58"/>
      <c r="G102" s="58"/>
      <c r="H102" s="59"/>
      <c r="I102" s="59"/>
      <c r="J102" s="59"/>
      <c r="K102" s="59"/>
      <c r="L102" s="59"/>
      <c r="M102" s="60"/>
      <c r="N102" s="60"/>
      <c r="O102" s="60"/>
      <c r="P102" s="59"/>
      <c r="Q102" s="59"/>
      <c r="R102" s="60"/>
      <c r="S102" s="60"/>
      <c r="T102" s="60"/>
      <c r="U102" s="60"/>
      <c r="V102" s="60"/>
      <c r="W102" s="60"/>
    </row>
    <row r="103" spans="1:23" ht="13" x14ac:dyDescent="0.3">
      <c r="A103" s="58"/>
      <c r="B103" s="58"/>
      <c r="C103" s="58"/>
      <c r="D103" s="58"/>
      <c r="E103" s="58"/>
      <c r="F103" s="58"/>
      <c r="G103" s="58"/>
      <c r="H103" s="59"/>
      <c r="I103" s="59"/>
      <c r="J103" s="59"/>
      <c r="K103" s="59"/>
      <c r="L103" s="59"/>
      <c r="M103" s="60"/>
      <c r="N103" s="60"/>
      <c r="O103" s="60"/>
      <c r="P103" s="59"/>
      <c r="Q103" s="59"/>
      <c r="R103" s="60"/>
      <c r="S103" s="60"/>
      <c r="T103" s="60"/>
      <c r="U103" s="60"/>
      <c r="V103" s="60"/>
      <c r="W103" s="60"/>
    </row>
    <row r="104" spans="1:23" ht="13" x14ac:dyDescent="0.3">
      <c r="A104" s="58"/>
      <c r="B104" s="58"/>
      <c r="C104" s="58"/>
      <c r="D104" s="58"/>
      <c r="E104" s="58"/>
      <c r="F104" s="58"/>
      <c r="G104" s="58"/>
      <c r="H104" s="59"/>
      <c r="I104" s="59"/>
      <c r="J104" s="59"/>
      <c r="K104" s="59"/>
      <c r="L104" s="59"/>
      <c r="M104" s="60"/>
      <c r="N104" s="60"/>
      <c r="O104" s="60"/>
      <c r="P104" s="59"/>
      <c r="Q104" s="59"/>
      <c r="R104" s="60"/>
      <c r="S104" s="60"/>
      <c r="T104" s="60"/>
      <c r="U104" s="60"/>
      <c r="V104" s="60"/>
      <c r="W104" s="60"/>
    </row>
    <row r="105" spans="1:23" ht="13" x14ac:dyDescent="0.3">
      <c r="A105" s="58"/>
      <c r="B105" s="58"/>
      <c r="C105" s="58"/>
      <c r="D105" s="58"/>
      <c r="E105" s="58"/>
      <c r="F105" s="58"/>
      <c r="G105" s="58"/>
      <c r="H105" s="59"/>
      <c r="I105" s="59"/>
      <c r="J105" s="59"/>
      <c r="K105" s="59"/>
      <c r="L105" s="59"/>
      <c r="M105" s="60"/>
      <c r="N105" s="60"/>
      <c r="O105" s="60"/>
      <c r="P105" s="59"/>
      <c r="Q105" s="59"/>
      <c r="R105" s="60"/>
      <c r="S105" s="60"/>
      <c r="T105" s="60"/>
      <c r="U105" s="60"/>
      <c r="V105" s="60"/>
      <c r="W105" s="60"/>
    </row>
    <row r="106" spans="1:23" ht="13" x14ac:dyDescent="0.3">
      <c r="A106" s="58"/>
      <c r="B106" s="58"/>
      <c r="C106" s="58"/>
      <c r="D106" s="58"/>
      <c r="E106" s="58"/>
      <c r="F106" s="58"/>
      <c r="G106" s="58"/>
      <c r="H106" s="59"/>
      <c r="I106" s="59"/>
      <c r="J106" s="59"/>
      <c r="K106" s="59"/>
      <c r="L106" s="59"/>
      <c r="M106" s="60"/>
      <c r="N106" s="60"/>
      <c r="O106" s="60"/>
      <c r="P106" s="59"/>
      <c r="Q106" s="59"/>
      <c r="R106" s="60"/>
      <c r="S106" s="60"/>
      <c r="T106" s="60"/>
      <c r="U106" s="60"/>
      <c r="V106" s="60"/>
      <c r="W106" s="60"/>
    </row>
    <row r="107" spans="1:23" ht="13" x14ac:dyDescent="0.3">
      <c r="A107" s="58"/>
      <c r="B107" s="58"/>
      <c r="C107" s="58"/>
      <c r="D107" s="58"/>
      <c r="E107" s="58"/>
      <c r="F107" s="58"/>
      <c r="G107" s="58"/>
      <c r="H107" s="59"/>
      <c r="I107" s="59"/>
      <c r="J107" s="59"/>
      <c r="K107" s="59"/>
      <c r="L107" s="59"/>
      <c r="M107" s="60"/>
      <c r="N107" s="60"/>
      <c r="O107" s="60"/>
      <c r="P107" s="59"/>
      <c r="Q107" s="59"/>
      <c r="R107" s="60"/>
      <c r="S107" s="60"/>
      <c r="T107" s="60"/>
      <c r="U107" s="60"/>
      <c r="V107" s="60"/>
      <c r="W107" s="60"/>
    </row>
    <row r="108" spans="1:23" ht="13" x14ac:dyDescent="0.3">
      <c r="A108" s="58"/>
      <c r="B108" s="58"/>
      <c r="C108" s="58"/>
      <c r="D108" s="58"/>
      <c r="E108" s="58"/>
      <c r="F108" s="58"/>
      <c r="G108" s="58"/>
      <c r="H108" s="59"/>
      <c r="I108" s="59"/>
      <c r="J108" s="59"/>
      <c r="K108" s="59"/>
      <c r="L108" s="59"/>
      <c r="M108" s="60"/>
      <c r="N108" s="60"/>
      <c r="O108" s="60"/>
      <c r="P108" s="59"/>
      <c r="Q108" s="59"/>
      <c r="R108" s="60"/>
      <c r="S108" s="60"/>
      <c r="T108" s="60"/>
      <c r="U108" s="60"/>
      <c r="V108" s="60"/>
      <c r="W108" s="60"/>
    </row>
    <row r="109" spans="1:23" ht="13" x14ac:dyDescent="0.3">
      <c r="A109" s="58"/>
      <c r="B109" s="58"/>
      <c r="C109" s="58"/>
      <c r="D109" s="58"/>
      <c r="E109" s="58"/>
      <c r="F109" s="58"/>
      <c r="G109" s="58"/>
      <c r="H109" s="59"/>
      <c r="I109" s="59"/>
      <c r="J109" s="59"/>
      <c r="K109" s="59"/>
      <c r="L109" s="59"/>
      <c r="M109" s="60"/>
      <c r="N109" s="60"/>
      <c r="O109" s="60"/>
      <c r="P109" s="59"/>
      <c r="Q109" s="59"/>
      <c r="R109" s="60"/>
      <c r="S109" s="60"/>
      <c r="T109" s="60"/>
      <c r="U109" s="60"/>
      <c r="V109" s="60"/>
      <c r="W109" s="60"/>
    </row>
    <row r="110" spans="1:23" ht="13" x14ac:dyDescent="0.3">
      <c r="A110" s="58"/>
      <c r="B110" s="58"/>
      <c r="C110" s="58"/>
      <c r="D110" s="58"/>
      <c r="E110" s="58"/>
      <c r="F110" s="58"/>
      <c r="G110" s="58"/>
      <c r="H110" s="59"/>
      <c r="I110" s="59"/>
      <c r="J110" s="59"/>
      <c r="K110" s="59"/>
      <c r="L110" s="59"/>
      <c r="M110" s="60"/>
      <c r="N110" s="60"/>
      <c r="O110" s="60"/>
      <c r="P110" s="59"/>
      <c r="Q110" s="59"/>
      <c r="R110" s="60"/>
      <c r="S110" s="60"/>
      <c r="T110" s="60"/>
      <c r="U110" s="60"/>
      <c r="V110" s="60"/>
      <c r="W110" s="60"/>
    </row>
    <row r="111" spans="1:23" ht="13" x14ac:dyDescent="0.3">
      <c r="A111" s="58"/>
      <c r="B111" s="58"/>
      <c r="C111" s="58"/>
      <c r="D111" s="58"/>
      <c r="E111" s="58"/>
      <c r="F111" s="58"/>
      <c r="G111" s="58"/>
      <c r="H111" s="59"/>
      <c r="I111" s="59"/>
      <c r="J111" s="59"/>
      <c r="K111" s="59"/>
      <c r="L111" s="59"/>
      <c r="M111" s="60"/>
      <c r="N111" s="60"/>
      <c r="O111" s="60"/>
      <c r="P111" s="59"/>
      <c r="Q111" s="59"/>
      <c r="R111" s="60"/>
      <c r="S111" s="60"/>
      <c r="T111" s="60"/>
      <c r="U111" s="60"/>
      <c r="V111" s="60"/>
      <c r="W111" s="60"/>
    </row>
    <row r="112" spans="1:23" ht="13" x14ac:dyDescent="0.3">
      <c r="A112" s="58"/>
      <c r="B112" s="58"/>
      <c r="C112" s="58"/>
      <c r="D112" s="58"/>
      <c r="E112" s="58"/>
      <c r="F112" s="58"/>
      <c r="G112" s="58"/>
      <c r="H112" s="59"/>
      <c r="I112" s="59"/>
      <c r="J112" s="59"/>
      <c r="K112" s="59"/>
      <c r="L112" s="59"/>
      <c r="M112" s="60"/>
      <c r="N112" s="60"/>
      <c r="O112" s="60"/>
      <c r="P112" s="59"/>
      <c r="Q112" s="59"/>
      <c r="R112" s="60"/>
      <c r="S112" s="60"/>
      <c r="T112" s="60"/>
      <c r="U112" s="60"/>
      <c r="V112" s="60"/>
      <c r="W112" s="60"/>
    </row>
    <row r="113" spans="1:23" ht="13" x14ac:dyDescent="0.3">
      <c r="A113" s="58"/>
      <c r="B113" s="58"/>
      <c r="C113" s="58"/>
      <c r="D113" s="58"/>
      <c r="E113" s="58"/>
      <c r="F113" s="58"/>
      <c r="G113" s="58"/>
      <c r="H113" s="59"/>
      <c r="I113" s="59"/>
      <c r="J113" s="59"/>
      <c r="K113" s="59"/>
      <c r="L113" s="59"/>
      <c r="M113" s="60"/>
      <c r="N113" s="60"/>
      <c r="O113" s="60"/>
      <c r="P113" s="59"/>
      <c r="Q113" s="59"/>
      <c r="R113" s="60"/>
      <c r="S113" s="60"/>
      <c r="T113" s="60"/>
      <c r="U113" s="60"/>
      <c r="V113" s="60"/>
      <c r="W113" s="60"/>
    </row>
    <row r="114" spans="1:23" ht="13" x14ac:dyDescent="0.3">
      <c r="A114" s="58"/>
      <c r="B114" s="58"/>
      <c r="C114" s="58"/>
      <c r="D114" s="58"/>
      <c r="E114" s="58"/>
      <c r="F114" s="58"/>
      <c r="G114" s="58"/>
      <c r="H114" s="59"/>
      <c r="I114" s="59"/>
      <c r="J114" s="59"/>
      <c r="K114" s="59"/>
      <c r="L114" s="59"/>
      <c r="M114" s="60"/>
      <c r="N114" s="60"/>
      <c r="O114" s="60"/>
      <c r="P114" s="59"/>
      <c r="Q114" s="59"/>
      <c r="R114" s="60"/>
      <c r="S114" s="60"/>
      <c r="T114" s="60"/>
      <c r="U114" s="60"/>
      <c r="V114" s="60"/>
      <c r="W114" s="60"/>
    </row>
    <row r="115" spans="1:23" ht="13" x14ac:dyDescent="0.3">
      <c r="A115" s="58"/>
      <c r="B115" s="58"/>
      <c r="C115" s="58"/>
      <c r="D115" s="58"/>
      <c r="E115" s="58"/>
      <c r="F115" s="58"/>
      <c r="G115" s="58"/>
      <c r="H115" s="59"/>
      <c r="I115" s="59"/>
      <c r="J115" s="59"/>
      <c r="K115" s="59"/>
      <c r="L115" s="59"/>
      <c r="M115" s="60"/>
      <c r="N115" s="60"/>
      <c r="O115" s="60"/>
      <c r="P115" s="59"/>
      <c r="Q115" s="59"/>
      <c r="R115" s="60"/>
      <c r="S115" s="60"/>
      <c r="T115" s="60"/>
      <c r="U115" s="60"/>
      <c r="V115" s="60"/>
      <c r="W115" s="60"/>
    </row>
    <row r="116" spans="1:23" ht="13" x14ac:dyDescent="0.3">
      <c r="A116" s="58"/>
      <c r="B116" s="58"/>
      <c r="C116" s="58"/>
      <c r="D116" s="58"/>
      <c r="E116" s="58"/>
      <c r="F116" s="58"/>
      <c r="G116" s="58"/>
      <c r="H116" s="59"/>
      <c r="I116" s="59"/>
      <c r="J116" s="59"/>
      <c r="K116" s="59"/>
      <c r="L116" s="59"/>
      <c r="M116" s="60"/>
      <c r="N116" s="60"/>
      <c r="O116" s="60"/>
      <c r="P116" s="59"/>
      <c r="Q116" s="59"/>
      <c r="R116" s="60"/>
      <c r="S116" s="60"/>
      <c r="T116" s="60"/>
      <c r="U116" s="60"/>
      <c r="V116" s="60"/>
      <c r="W116" s="60"/>
    </row>
    <row r="117" spans="1:23" ht="13" x14ac:dyDescent="0.3">
      <c r="A117" s="58"/>
      <c r="B117" s="58"/>
      <c r="C117" s="58"/>
      <c r="D117" s="58"/>
      <c r="E117" s="58"/>
      <c r="F117" s="58"/>
      <c r="G117" s="58"/>
      <c r="H117" s="59"/>
      <c r="I117" s="59"/>
      <c r="J117" s="59"/>
      <c r="K117" s="59"/>
      <c r="L117" s="59"/>
      <c r="M117" s="60"/>
      <c r="N117" s="60"/>
      <c r="O117" s="60"/>
      <c r="P117" s="59"/>
      <c r="Q117" s="59"/>
      <c r="R117" s="60"/>
      <c r="S117" s="60"/>
      <c r="T117" s="60"/>
      <c r="U117" s="60"/>
      <c r="V117" s="60"/>
      <c r="W117" s="60"/>
    </row>
    <row r="118" spans="1:23" ht="13" x14ac:dyDescent="0.3">
      <c r="A118" s="58"/>
      <c r="B118" s="58"/>
      <c r="C118" s="58"/>
      <c r="D118" s="58"/>
      <c r="E118" s="58"/>
      <c r="F118" s="58"/>
      <c r="G118" s="58"/>
      <c r="H118" s="59"/>
      <c r="I118" s="59"/>
      <c r="J118" s="59"/>
      <c r="K118" s="59"/>
      <c r="L118" s="59"/>
      <c r="M118" s="60"/>
      <c r="N118" s="60"/>
      <c r="O118" s="60"/>
      <c r="P118" s="59"/>
      <c r="Q118" s="59"/>
      <c r="R118" s="60"/>
      <c r="S118" s="60"/>
      <c r="T118" s="60"/>
      <c r="U118" s="60"/>
      <c r="V118" s="60"/>
      <c r="W118" s="60"/>
    </row>
    <row r="119" spans="1:23" ht="13" x14ac:dyDescent="0.3">
      <c r="A119" s="58"/>
      <c r="B119" s="58"/>
      <c r="C119" s="58"/>
      <c r="D119" s="58"/>
      <c r="E119" s="58"/>
      <c r="F119" s="58"/>
      <c r="G119" s="58"/>
      <c r="H119" s="59"/>
      <c r="I119" s="59"/>
      <c r="J119" s="59"/>
      <c r="K119" s="59"/>
      <c r="L119" s="59"/>
      <c r="M119" s="60"/>
      <c r="N119" s="60"/>
      <c r="O119" s="60"/>
      <c r="P119" s="59"/>
      <c r="Q119" s="59"/>
      <c r="R119" s="60"/>
      <c r="S119" s="60"/>
      <c r="T119" s="60"/>
      <c r="U119" s="60"/>
      <c r="V119" s="60"/>
      <c r="W119" s="60"/>
    </row>
    <row r="120" spans="1:23" ht="13" x14ac:dyDescent="0.3">
      <c r="A120" s="58"/>
      <c r="B120" s="58"/>
      <c r="C120" s="58"/>
      <c r="D120" s="58"/>
      <c r="E120" s="58"/>
      <c r="F120" s="58"/>
      <c r="G120" s="58"/>
      <c r="H120" s="59"/>
      <c r="I120" s="59"/>
      <c r="J120" s="59"/>
      <c r="K120" s="59"/>
      <c r="L120" s="59"/>
      <c r="M120" s="60"/>
      <c r="N120" s="60"/>
      <c r="O120" s="60"/>
      <c r="P120" s="59"/>
      <c r="Q120" s="59"/>
      <c r="R120" s="60"/>
      <c r="S120" s="60"/>
      <c r="T120" s="60"/>
      <c r="U120" s="60"/>
      <c r="V120" s="60"/>
      <c r="W120" s="60"/>
    </row>
    <row r="121" spans="1:23" ht="13" x14ac:dyDescent="0.3">
      <c r="A121" s="58"/>
      <c r="B121" s="58"/>
      <c r="C121" s="58"/>
      <c r="D121" s="58"/>
      <c r="E121" s="58"/>
      <c r="F121" s="58"/>
      <c r="G121" s="58"/>
      <c r="H121" s="59"/>
      <c r="I121" s="59"/>
      <c r="J121" s="59"/>
      <c r="K121" s="59"/>
      <c r="L121" s="59"/>
      <c r="M121" s="60"/>
      <c r="N121" s="60"/>
      <c r="O121" s="60"/>
      <c r="P121" s="59"/>
      <c r="Q121" s="59"/>
      <c r="R121" s="60"/>
      <c r="S121" s="60"/>
      <c r="T121" s="60"/>
      <c r="U121" s="60"/>
      <c r="V121" s="60"/>
      <c r="W121" s="60"/>
    </row>
    <row r="122" spans="1:23" ht="13" x14ac:dyDescent="0.3">
      <c r="A122" s="58"/>
      <c r="B122" s="58"/>
      <c r="C122" s="58"/>
      <c r="D122" s="58"/>
      <c r="E122" s="58"/>
      <c r="F122" s="58"/>
      <c r="G122" s="58"/>
      <c r="H122" s="59"/>
      <c r="I122" s="59"/>
      <c r="J122" s="59"/>
      <c r="K122" s="59"/>
      <c r="L122" s="59"/>
      <c r="M122" s="60"/>
      <c r="N122" s="60"/>
      <c r="O122" s="60"/>
      <c r="P122" s="59"/>
      <c r="Q122" s="59"/>
      <c r="R122" s="60"/>
      <c r="S122" s="60"/>
      <c r="T122" s="60"/>
      <c r="U122" s="60"/>
      <c r="V122" s="60"/>
      <c r="W122" s="60"/>
    </row>
    <row r="123" spans="1:23" ht="13" x14ac:dyDescent="0.3">
      <c r="A123" s="58"/>
      <c r="B123" s="58"/>
      <c r="C123" s="58"/>
      <c r="D123" s="58"/>
      <c r="E123" s="58"/>
      <c r="F123" s="58"/>
      <c r="G123" s="58"/>
      <c r="H123" s="59"/>
      <c r="I123" s="59"/>
      <c r="J123" s="59"/>
      <c r="K123" s="59"/>
      <c r="L123" s="59"/>
      <c r="M123" s="60"/>
      <c r="N123" s="60"/>
      <c r="O123" s="60"/>
      <c r="P123" s="59"/>
      <c r="Q123" s="59"/>
      <c r="R123" s="60"/>
      <c r="S123" s="60"/>
      <c r="T123" s="60"/>
      <c r="U123" s="60"/>
      <c r="V123" s="60"/>
      <c r="W123" s="60"/>
    </row>
    <row r="124" spans="1:23" ht="13" x14ac:dyDescent="0.3">
      <c r="A124" s="58"/>
      <c r="B124" s="58"/>
      <c r="C124" s="58"/>
      <c r="D124" s="58"/>
      <c r="E124" s="58"/>
      <c r="F124" s="58"/>
      <c r="G124" s="58"/>
      <c r="H124" s="59"/>
      <c r="I124" s="59"/>
      <c r="J124" s="59"/>
      <c r="K124" s="59"/>
      <c r="L124" s="59"/>
      <c r="M124" s="60"/>
      <c r="N124" s="60"/>
      <c r="O124" s="60"/>
      <c r="P124" s="59"/>
      <c r="Q124" s="59"/>
      <c r="R124" s="60"/>
      <c r="S124" s="60"/>
      <c r="T124" s="60"/>
      <c r="U124" s="60"/>
      <c r="V124" s="60"/>
      <c r="W124" s="60"/>
    </row>
    <row r="125" spans="1:23" ht="13" x14ac:dyDescent="0.3">
      <c r="A125" s="58"/>
      <c r="B125" s="58"/>
      <c r="C125" s="58"/>
      <c r="D125" s="58"/>
      <c r="E125" s="58"/>
      <c r="F125" s="58"/>
      <c r="G125" s="58"/>
      <c r="H125" s="59"/>
      <c r="I125" s="59"/>
      <c r="J125" s="59"/>
      <c r="K125" s="59"/>
      <c r="L125" s="59"/>
      <c r="M125" s="60"/>
      <c r="N125" s="60"/>
      <c r="O125" s="60"/>
      <c r="P125" s="59"/>
      <c r="Q125" s="59"/>
      <c r="R125" s="60"/>
      <c r="S125" s="60"/>
      <c r="T125" s="60"/>
      <c r="U125" s="60"/>
      <c r="V125" s="60"/>
      <c r="W125" s="60"/>
    </row>
    <row r="126" spans="1:23" ht="13" x14ac:dyDescent="0.3">
      <c r="A126" s="58"/>
      <c r="B126" s="58"/>
      <c r="C126" s="58"/>
      <c r="D126" s="58"/>
      <c r="E126" s="58"/>
      <c r="F126" s="58"/>
      <c r="G126" s="58"/>
      <c r="H126" s="59"/>
      <c r="I126" s="59"/>
      <c r="J126" s="59"/>
      <c r="K126" s="59"/>
      <c r="L126" s="59"/>
      <c r="M126" s="60"/>
      <c r="N126" s="60"/>
      <c r="O126" s="60"/>
      <c r="P126" s="59"/>
      <c r="Q126" s="59"/>
      <c r="R126" s="60"/>
      <c r="S126" s="60"/>
      <c r="T126" s="60"/>
      <c r="U126" s="60"/>
      <c r="V126" s="60"/>
      <c r="W126" s="60"/>
    </row>
    <row r="127" spans="1:23" ht="13" x14ac:dyDescent="0.3">
      <c r="A127" s="58"/>
      <c r="B127" s="58"/>
      <c r="C127" s="58"/>
      <c r="D127" s="58"/>
      <c r="E127" s="58"/>
      <c r="F127" s="58"/>
      <c r="G127" s="58"/>
      <c r="H127" s="59"/>
      <c r="I127" s="59"/>
      <c r="J127" s="59"/>
      <c r="K127" s="59"/>
      <c r="L127" s="59"/>
      <c r="M127" s="60"/>
      <c r="N127" s="60"/>
      <c r="O127" s="60"/>
      <c r="P127" s="59"/>
      <c r="Q127" s="59"/>
      <c r="R127" s="60"/>
      <c r="S127" s="60"/>
      <c r="T127" s="60"/>
      <c r="U127" s="60"/>
      <c r="V127" s="60"/>
      <c r="W127" s="60"/>
    </row>
    <row r="128" spans="1:23" ht="13" x14ac:dyDescent="0.3">
      <c r="A128" s="58"/>
      <c r="B128" s="58"/>
      <c r="C128" s="58"/>
      <c r="D128" s="58"/>
      <c r="E128" s="58"/>
      <c r="F128" s="58"/>
      <c r="G128" s="58"/>
      <c r="H128" s="59"/>
      <c r="I128" s="59"/>
      <c r="J128" s="59"/>
      <c r="K128" s="59"/>
      <c r="L128" s="59"/>
      <c r="M128" s="60"/>
      <c r="N128" s="60"/>
      <c r="O128" s="60"/>
      <c r="P128" s="59"/>
      <c r="Q128" s="59"/>
      <c r="R128" s="60"/>
      <c r="S128" s="60"/>
      <c r="T128" s="60"/>
      <c r="U128" s="60"/>
      <c r="V128" s="60"/>
      <c r="W128" s="60"/>
    </row>
    <row r="129" spans="1:23" ht="13" x14ac:dyDescent="0.3">
      <c r="A129" s="58"/>
      <c r="B129" s="58"/>
      <c r="C129" s="58"/>
      <c r="D129" s="58"/>
      <c r="E129" s="58"/>
      <c r="F129" s="58"/>
      <c r="G129" s="58"/>
      <c r="H129" s="59"/>
      <c r="I129" s="59"/>
      <c r="J129" s="59"/>
      <c r="K129" s="59"/>
      <c r="L129" s="59"/>
      <c r="M129" s="60"/>
      <c r="N129" s="60"/>
      <c r="O129" s="60"/>
      <c r="P129" s="59"/>
      <c r="Q129" s="59"/>
      <c r="R129" s="60"/>
      <c r="S129" s="60"/>
      <c r="T129" s="60"/>
      <c r="U129" s="60"/>
      <c r="V129" s="60"/>
      <c r="W129" s="60"/>
    </row>
    <row r="130" spans="1:23" ht="13" x14ac:dyDescent="0.3">
      <c r="A130" s="58"/>
      <c r="B130" s="58"/>
      <c r="C130" s="58"/>
      <c r="D130" s="58"/>
      <c r="E130" s="58"/>
      <c r="F130" s="58"/>
      <c r="G130" s="58"/>
      <c r="H130" s="59"/>
      <c r="I130" s="59"/>
      <c r="J130" s="59"/>
      <c r="K130" s="59"/>
      <c r="L130" s="59"/>
      <c r="M130" s="60"/>
      <c r="N130" s="60"/>
      <c r="O130" s="60"/>
      <c r="P130" s="59"/>
      <c r="Q130" s="59"/>
      <c r="R130" s="60"/>
      <c r="S130" s="60"/>
      <c r="T130" s="60"/>
      <c r="U130" s="60"/>
      <c r="V130" s="60"/>
      <c r="W130" s="60"/>
    </row>
    <row r="131" spans="1:23" ht="13" x14ac:dyDescent="0.3">
      <c r="A131" s="58"/>
      <c r="B131" s="58"/>
      <c r="C131" s="58"/>
      <c r="D131" s="58"/>
      <c r="E131" s="58"/>
      <c r="F131" s="58"/>
      <c r="G131" s="58"/>
      <c r="H131" s="59"/>
      <c r="I131" s="59"/>
      <c r="J131" s="59"/>
      <c r="K131" s="59"/>
      <c r="L131" s="59"/>
      <c r="M131" s="60"/>
      <c r="N131" s="60"/>
      <c r="O131" s="60"/>
      <c r="P131" s="59"/>
      <c r="Q131" s="59"/>
      <c r="R131" s="60"/>
      <c r="S131" s="60"/>
      <c r="T131" s="60"/>
      <c r="U131" s="60"/>
      <c r="V131" s="60"/>
      <c r="W131" s="60"/>
    </row>
    <row r="132" spans="1:23" ht="13" x14ac:dyDescent="0.3">
      <c r="A132" s="58"/>
      <c r="B132" s="58"/>
      <c r="C132" s="58"/>
      <c r="D132" s="58"/>
      <c r="E132" s="58"/>
      <c r="F132" s="58"/>
      <c r="G132" s="58"/>
      <c r="H132" s="59"/>
      <c r="I132" s="59"/>
      <c r="J132" s="59"/>
      <c r="K132" s="59"/>
      <c r="L132" s="59"/>
      <c r="M132" s="60"/>
      <c r="N132" s="60"/>
      <c r="O132" s="60"/>
      <c r="P132" s="59"/>
      <c r="Q132" s="59"/>
      <c r="R132" s="60"/>
      <c r="S132" s="60"/>
      <c r="T132" s="60"/>
      <c r="U132" s="60"/>
      <c r="V132" s="60"/>
      <c r="W132" s="60"/>
    </row>
    <row r="133" spans="1:23" ht="13" x14ac:dyDescent="0.3">
      <c r="A133" s="58"/>
      <c r="B133" s="58"/>
      <c r="C133" s="58"/>
      <c r="D133" s="58"/>
      <c r="E133" s="58"/>
      <c r="F133" s="58"/>
      <c r="G133" s="58"/>
      <c r="H133" s="59"/>
      <c r="I133" s="59"/>
      <c r="J133" s="59"/>
      <c r="K133" s="59"/>
      <c r="L133" s="59"/>
      <c r="M133" s="60"/>
      <c r="N133" s="60"/>
      <c r="O133" s="60"/>
      <c r="P133" s="59"/>
      <c r="Q133" s="59"/>
      <c r="R133" s="60"/>
      <c r="S133" s="60"/>
      <c r="T133" s="60"/>
      <c r="U133" s="60"/>
      <c r="V133" s="60"/>
      <c r="W133" s="60"/>
    </row>
    <row r="134" spans="1:23" ht="13" x14ac:dyDescent="0.3">
      <c r="A134" s="58"/>
      <c r="B134" s="58"/>
      <c r="C134" s="58"/>
      <c r="D134" s="58"/>
      <c r="E134" s="58"/>
      <c r="F134" s="58"/>
      <c r="G134" s="58"/>
      <c r="H134" s="59"/>
      <c r="I134" s="59"/>
      <c r="J134" s="59"/>
      <c r="K134" s="59"/>
      <c r="L134" s="59"/>
      <c r="M134" s="60"/>
      <c r="N134" s="60"/>
      <c r="O134" s="60"/>
      <c r="P134" s="59"/>
      <c r="Q134" s="59"/>
      <c r="R134" s="60"/>
      <c r="S134" s="60"/>
      <c r="T134" s="60"/>
      <c r="U134" s="60"/>
      <c r="V134" s="60"/>
      <c r="W134" s="60"/>
    </row>
    <row r="135" spans="1:23" ht="13" x14ac:dyDescent="0.3">
      <c r="A135" s="58"/>
      <c r="B135" s="58"/>
      <c r="C135" s="58"/>
      <c r="D135" s="58"/>
      <c r="E135" s="58"/>
      <c r="F135" s="58"/>
      <c r="G135" s="58"/>
      <c r="H135" s="59"/>
      <c r="I135" s="59"/>
      <c r="J135" s="59"/>
      <c r="K135" s="59"/>
      <c r="L135" s="59"/>
      <c r="M135" s="60"/>
      <c r="N135" s="60"/>
      <c r="O135" s="60"/>
      <c r="P135" s="59"/>
      <c r="Q135" s="59"/>
      <c r="R135" s="60"/>
      <c r="S135" s="60"/>
      <c r="T135" s="60"/>
      <c r="U135" s="60"/>
      <c r="V135" s="60"/>
      <c r="W135" s="60"/>
    </row>
    <row r="136" spans="1:23" ht="13" x14ac:dyDescent="0.3">
      <c r="A136" s="58"/>
      <c r="B136" s="58"/>
      <c r="C136" s="58"/>
      <c r="D136" s="58"/>
      <c r="E136" s="58"/>
      <c r="F136" s="58"/>
      <c r="G136" s="58"/>
      <c r="H136" s="59"/>
      <c r="I136" s="59"/>
      <c r="J136" s="59"/>
      <c r="K136" s="59"/>
      <c r="L136" s="59"/>
      <c r="M136" s="60"/>
      <c r="N136" s="60"/>
      <c r="O136" s="60"/>
      <c r="P136" s="59"/>
      <c r="Q136" s="59"/>
      <c r="R136" s="60"/>
      <c r="S136" s="60"/>
      <c r="T136" s="60"/>
      <c r="U136" s="60"/>
      <c r="V136" s="60"/>
      <c r="W136" s="60"/>
    </row>
    <row r="137" spans="1:23" ht="13" x14ac:dyDescent="0.3">
      <c r="A137" s="58"/>
      <c r="B137" s="58"/>
      <c r="C137" s="58"/>
      <c r="D137" s="58"/>
      <c r="E137" s="58"/>
      <c r="F137" s="58"/>
      <c r="G137" s="58"/>
      <c r="H137" s="59"/>
      <c r="I137" s="59"/>
      <c r="J137" s="59"/>
      <c r="K137" s="59"/>
      <c r="L137" s="59"/>
      <c r="M137" s="60"/>
      <c r="N137" s="60"/>
      <c r="O137" s="60"/>
      <c r="P137" s="59"/>
      <c r="Q137" s="59"/>
      <c r="R137" s="60"/>
      <c r="S137" s="60"/>
      <c r="T137" s="60"/>
      <c r="U137" s="60"/>
      <c r="V137" s="60"/>
      <c r="W137" s="60"/>
    </row>
    <row r="138" spans="1:23" ht="13" x14ac:dyDescent="0.3">
      <c r="A138" s="58"/>
      <c r="B138" s="58"/>
      <c r="C138" s="58"/>
      <c r="D138" s="58"/>
      <c r="E138" s="58"/>
      <c r="F138" s="58"/>
      <c r="G138" s="58"/>
      <c r="H138" s="59"/>
      <c r="I138" s="59"/>
      <c r="J138" s="59"/>
      <c r="K138" s="59"/>
      <c r="L138" s="59"/>
      <c r="M138" s="60"/>
      <c r="N138" s="60"/>
      <c r="O138" s="60"/>
      <c r="P138" s="59"/>
      <c r="Q138" s="59"/>
      <c r="R138" s="60"/>
      <c r="S138" s="60"/>
      <c r="T138" s="60"/>
      <c r="U138" s="60"/>
      <c r="V138" s="60"/>
      <c r="W138" s="60"/>
    </row>
    <row r="139" spans="1:23" ht="13" x14ac:dyDescent="0.3">
      <c r="A139" s="58"/>
      <c r="B139" s="58"/>
      <c r="C139" s="58"/>
      <c r="D139" s="58"/>
      <c r="E139" s="58"/>
      <c r="F139" s="58"/>
      <c r="G139" s="58"/>
      <c r="H139" s="59"/>
      <c r="I139" s="59"/>
      <c r="J139" s="59"/>
      <c r="K139" s="59"/>
      <c r="L139" s="59"/>
      <c r="M139" s="60"/>
      <c r="N139" s="60"/>
      <c r="O139" s="60"/>
      <c r="P139" s="59"/>
      <c r="Q139" s="59"/>
      <c r="R139" s="60"/>
      <c r="S139" s="60"/>
      <c r="T139" s="60"/>
      <c r="U139" s="60"/>
      <c r="V139" s="60"/>
      <c r="W139" s="60"/>
    </row>
    <row r="140" spans="1:23" ht="13" x14ac:dyDescent="0.3">
      <c r="A140" s="58"/>
      <c r="B140" s="58"/>
      <c r="C140" s="58"/>
      <c r="D140" s="58"/>
      <c r="E140" s="58"/>
      <c r="F140" s="58"/>
      <c r="G140" s="58"/>
      <c r="H140" s="59"/>
      <c r="I140" s="59"/>
      <c r="J140" s="59"/>
      <c r="K140" s="59"/>
      <c r="L140" s="59"/>
      <c r="M140" s="60"/>
      <c r="N140" s="60"/>
      <c r="O140" s="60"/>
      <c r="P140" s="59"/>
      <c r="Q140" s="59"/>
      <c r="R140" s="60"/>
      <c r="S140" s="60"/>
      <c r="T140" s="60"/>
      <c r="U140" s="60"/>
      <c r="V140" s="60"/>
      <c r="W140" s="60"/>
    </row>
    <row r="141" spans="1:23" ht="13" x14ac:dyDescent="0.3">
      <c r="A141" s="58"/>
      <c r="B141" s="58"/>
      <c r="C141" s="58"/>
      <c r="D141" s="58"/>
      <c r="E141" s="58"/>
      <c r="F141" s="58"/>
      <c r="G141" s="58"/>
      <c r="H141" s="59"/>
      <c r="I141" s="59"/>
      <c r="J141" s="59"/>
      <c r="K141" s="59"/>
      <c r="L141" s="59"/>
      <c r="M141" s="60"/>
      <c r="N141" s="60"/>
      <c r="O141" s="60"/>
      <c r="P141" s="59"/>
      <c r="Q141" s="59"/>
      <c r="R141" s="60"/>
      <c r="S141" s="60"/>
      <c r="T141" s="60"/>
      <c r="U141" s="60"/>
      <c r="V141" s="60"/>
      <c r="W141" s="60"/>
    </row>
    <row r="142" spans="1:23" ht="13" x14ac:dyDescent="0.3">
      <c r="A142" s="58"/>
      <c r="B142" s="58"/>
      <c r="C142" s="58"/>
      <c r="D142" s="58"/>
      <c r="E142" s="58"/>
      <c r="F142" s="58"/>
      <c r="G142" s="58"/>
      <c r="H142" s="59"/>
      <c r="I142" s="59"/>
      <c r="J142" s="59"/>
      <c r="K142" s="59"/>
      <c r="L142" s="59"/>
      <c r="M142" s="60"/>
      <c r="N142" s="60"/>
      <c r="O142" s="60"/>
      <c r="P142" s="59"/>
      <c r="Q142" s="59"/>
      <c r="R142" s="60"/>
      <c r="S142" s="60"/>
      <c r="T142" s="60"/>
      <c r="U142" s="60"/>
      <c r="V142" s="60"/>
      <c r="W142" s="60"/>
    </row>
    <row r="143" spans="1:23" ht="13" x14ac:dyDescent="0.3">
      <c r="A143" s="58"/>
      <c r="B143" s="58"/>
      <c r="C143" s="58"/>
      <c r="D143" s="58"/>
      <c r="E143" s="58"/>
      <c r="F143" s="58"/>
      <c r="G143" s="58"/>
      <c r="H143" s="59"/>
      <c r="I143" s="59"/>
      <c r="J143" s="59"/>
      <c r="K143" s="59"/>
      <c r="L143" s="59"/>
      <c r="M143" s="60"/>
      <c r="N143" s="60"/>
      <c r="O143" s="60"/>
      <c r="P143" s="59"/>
      <c r="Q143" s="59"/>
      <c r="R143" s="60"/>
      <c r="S143" s="60"/>
      <c r="T143" s="60"/>
      <c r="U143" s="60"/>
      <c r="V143" s="60"/>
      <c r="W143" s="60"/>
    </row>
    <row r="144" spans="1:23" ht="13" x14ac:dyDescent="0.3">
      <c r="A144" s="58"/>
      <c r="B144" s="58"/>
      <c r="C144" s="58"/>
      <c r="D144" s="58"/>
      <c r="E144" s="58"/>
      <c r="F144" s="58"/>
      <c r="G144" s="58"/>
      <c r="H144" s="59"/>
      <c r="I144" s="59"/>
      <c r="J144" s="59"/>
      <c r="K144" s="59"/>
      <c r="L144" s="59"/>
      <c r="M144" s="60"/>
      <c r="N144" s="60"/>
      <c r="O144" s="60"/>
      <c r="P144" s="59"/>
      <c r="Q144" s="59"/>
      <c r="R144" s="60"/>
      <c r="S144" s="60"/>
      <c r="T144" s="60"/>
      <c r="U144" s="60"/>
      <c r="V144" s="60"/>
      <c r="W144" s="60"/>
    </row>
    <row r="145" spans="1:23" ht="13" x14ac:dyDescent="0.3">
      <c r="A145" s="58"/>
      <c r="B145" s="58"/>
      <c r="C145" s="58"/>
      <c r="D145" s="58"/>
      <c r="E145" s="58"/>
      <c r="F145" s="58"/>
      <c r="G145" s="58"/>
      <c r="H145" s="59"/>
      <c r="I145" s="59"/>
      <c r="J145" s="59"/>
      <c r="K145" s="59"/>
      <c r="L145" s="59"/>
      <c r="M145" s="60"/>
      <c r="N145" s="60"/>
      <c r="O145" s="60"/>
      <c r="P145" s="59"/>
      <c r="Q145" s="59"/>
      <c r="R145" s="60"/>
      <c r="S145" s="60"/>
      <c r="T145" s="60"/>
      <c r="U145" s="60"/>
      <c r="V145" s="60"/>
      <c r="W145" s="60"/>
    </row>
    <row r="146" spans="1:23" ht="13" x14ac:dyDescent="0.3">
      <c r="A146" s="58"/>
      <c r="B146" s="58"/>
      <c r="C146" s="58"/>
      <c r="D146" s="58"/>
      <c r="E146" s="58"/>
      <c r="F146" s="58"/>
      <c r="G146" s="58"/>
      <c r="H146" s="59"/>
      <c r="I146" s="59"/>
      <c r="J146" s="59"/>
      <c r="K146" s="59"/>
      <c r="L146" s="59"/>
      <c r="M146" s="60"/>
      <c r="N146" s="60"/>
      <c r="O146" s="60"/>
      <c r="P146" s="59"/>
      <c r="Q146" s="59"/>
      <c r="R146" s="60"/>
      <c r="S146" s="60"/>
      <c r="T146" s="60"/>
      <c r="U146" s="60"/>
      <c r="V146" s="60"/>
      <c r="W146" s="60"/>
    </row>
    <row r="147" spans="1:23" ht="13" x14ac:dyDescent="0.3">
      <c r="A147" s="58"/>
      <c r="B147" s="58"/>
      <c r="C147" s="58"/>
      <c r="D147" s="58"/>
      <c r="E147" s="58"/>
      <c r="F147" s="58"/>
      <c r="G147" s="58"/>
      <c r="H147" s="59"/>
      <c r="I147" s="59"/>
      <c r="J147" s="59"/>
      <c r="K147" s="59"/>
      <c r="L147" s="59"/>
      <c r="M147" s="60"/>
      <c r="N147" s="60"/>
      <c r="O147" s="60"/>
      <c r="P147" s="59"/>
      <c r="Q147" s="59"/>
      <c r="R147" s="60"/>
      <c r="S147" s="60"/>
      <c r="T147" s="60"/>
      <c r="U147" s="60"/>
      <c r="V147" s="60"/>
      <c r="W147" s="60"/>
    </row>
    <row r="148" spans="1:23" ht="13" x14ac:dyDescent="0.3">
      <c r="A148" s="58"/>
      <c r="B148" s="58"/>
      <c r="C148" s="58"/>
      <c r="D148" s="58"/>
      <c r="E148" s="58"/>
      <c r="F148" s="58"/>
      <c r="G148" s="58"/>
      <c r="H148" s="59"/>
      <c r="I148" s="59"/>
      <c r="J148" s="59"/>
      <c r="K148" s="59"/>
      <c r="L148" s="59"/>
      <c r="M148" s="60"/>
      <c r="N148" s="60"/>
      <c r="O148" s="60"/>
      <c r="P148" s="59"/>
      <c r="Q148" s="59"/>
      <c r="R148" s="60"/>
      <c r="S148" s="60"/>
      <c r="T148" s="60"/>
      <c r="U148" s="60"/>
      <c r="V148" s="60"/>
      <c r="W148" s="60"/>
    </row>
    <row r="149" spans="1:23" ht="13" x14ac:dyDescent="0.3">
      <c r="A149" s="58"/>
      <c r="B149" s="58"/>
      <c r="C149" s="58"/>
      <c r="D149" s="58"/>
      <c r="E149" s="58"/>
      <c r="F149" s="58"/>
      <c r="G149" s="58"/>
      <c r="H149" s="59"/>
      <c r="I149" s="59"/>
      <c r="J149" s="59"/>
      <c r="K149" s="59"/>
      <c r="L149" s="59"/>
      <c r="M149" s="60"/>
      <c r="N149" s="60"/>
      <c r="O149" s="60"/>
      <c r="P149" s="59"/>
      <c r="Q149" s="59"/>
      <c r="R149" s="60"/>
      <c r="S149" s="60"/>
      <c r="T149" s="60"/>
      <c r="U149" s="60"/>
      <c r="V149" s="60"/>
      <c r="W149" s="60"/>
    </row>
    <row r="150" spans="1:23" ht="13" x14ac:dyDescent="0.3">
      <c r="A150" s="58"/>
      <c r="B150" s="58"/>
      <c r="C150" s="58"/>
      <c r="D150" s="58"/>
      <c r="E150" s="58"/>
      <c r="F150" s="58"/>
      <c r="G150" s="58"/>
      <c r="H150" s="59"/>
      <c r="I150" s="59"/>
      <c r="J150" s="59"/>
      <c r="K150" s="59"/>
      <c r="L150" s="59"/>
      <c r="M150" s="60"/>
      <c r="N150" s="60"/>
      <c r="O150" s="60"/>
      <c r="P150" s="59"/>
      <c r="Q150" s="59"/>
      <c r="R150" s="60"/>
      <c r="S150" s="60"/>
      <c r="T150" s="60"/>
      <c r="U150" s="60"/>
      <c r="V150" s="60"/>
      <c r="W150" s="60"/>
    </row>
    <row r="151" spans="1:23" ht="13" x14ac:dyDescent="0.3">
      <c r="A151" s="58"/>
      <c r="B151" s="58"/>
      <c r="C151" s="58"/>
      <c r="D151" s="58"/>
      <c r="E151" s="58"/>
      <c r="F151" s="58"/>
      <c r="G151" s="58"/>
      <c r="H151" s="59"/>
      <c r="I151" s="59"/>
      <c r="J151" s="59"/>
      <c r="K151" s="59"/>
      <c r="L151" s="59"/>
      <c r="M151" s="60"/>
      <c r="N151" s="60"/>
      <c r="O151" s="60"/>
      <c r="P151" s="59"/>
      <c r="Q151" s="59"/>
      <c r="R151" s="60"/>
      <c r="S151" s="60"/>
      <c r="T151" s="60"/>
      <c r="U151" s="60"/>
      <c r="V151" s="60"/>
      <c r="W151" s="60"/>
    </row>
    <row r="152" spans="1:23" ht="13" x14ac:dyDescent="0.3">
      <c r="A152" s="58"/>
      <c r="B152" s="58"/>
      <c r="C152" s="58"/>
      <c r="D152" s="58"/>
      <c r="E152" s="58"/>
      <c r="F152" s="58"/>
      <c r="G152" s="58"/>
      <c r="H152" s="59"/>
      <c r="I152" s="59"/>
      <c r="J152" s="59"/>
      <c r="K152" s="59"/>
      <c r="L152" s="59"/>
      <c r="M152" s="60"/>
      <c r="N152" s="60"/>
      <c r="O152" s="60"/>
      <c r="P152" s="59"/>
      <c r="Q152" s="59"/>
      <c r="R152" s="60"/>
      <c r="S152" s="60"/>
      <c r="T152" s="60"/>
      <c r="U152" s="60"/>
      <c r="V152" s="60"/>
      <c r="W152" s="60"/>
    </row>
    <row r="153" spans="1:23" ht="13" x14ac:dyDescent="0.3">
      <c r="A153" s="58"/>
      <c r="B153" s="58"/>
      <c r="C153" s="58"/>
      <c r="D153" s="58"/>
      <c r="E153" s="58"/>
      <c r="F153" s="58"/>
      <c r="G153" s="58"/>
      <c r="H153" s="59"/>
      <c r="I153" s="59"/>
      <c r="J153" s="59"/>
      <c r="K153" s="59"/>
      <c r="L153" s="59"/>
      <c r="M153" s="60"/>
      <c r="N153" s="60"/>
      <c r="O153" s="60"/>
      <c r="P153" s="59"/>
      <c r="Q153" s="59"/>
      <c r="R153" s="60"/>
      <c r="S153" s="60"/>
      <c r="T153" s="60"/>
      <c r="U153" s="60"/>
      <c r="V153" s="60"/>
      <c r="W153" s="60"/>
    </row>
    <row r="154" spans="1:23" ht="13" x14ac:dyDescent="0.3">
      <c r="A154" s="58"/>
      <c r="B154" s="58"/>
      <c r="C154" s="58"/>
      <c r="D154" s="58"/>
      <c r="E154" s="58"/>
      <c r="F154" s="58"/>
      <c r="G154" s="58"/>
      <c r="H154" s="59"/>
      <c r="I154" s="59"/>
      <c r="J154" s="59"/>
      <c r="K154" s="59"/>
      <c r="L154" s="59"/>
      <c r="M154" s="60"/>
      <c r="N154" s="60"/>
      <c r="O154" s="60"/>
      <c r="P154" s="59"/>
      <c r="Q154" s="59"/>
      <c r="R154" s="60"/>
      <c r="S154" s="60"/>
      <c r="T154" s="60"/>
      <c r="U154" s="60"/>
      <c r="V154" s="60"/>
      <c r="W154" s="60"/>
    </row>
    <row r="155" spans="1:23" ht="13" x14ac:dyDescent="0.3">
      <c r="A155" s="58"/>
      <c r="B155" s="58"/>
      <c r="C155" s="58"/>
      <c r="D155" s="58"/>
      <c r="E155" s="58"/>
      <c r="F155" s="58"/>
      <c r="G155" s="58"/>
      <c r="H155" s="59"/>
      <c r="I155" s="59"/>
      <c r="J155" s="59"/>
      <c r="K155" s="59"/>
      <c r="L155" s="59"/>
      <c r="M155" s="60"/>
      <c r="N155" s="60"/>
      <c r="O155" s="60"/>
      <c r="P155" s="59"/>
      <c r="Q155" s="59"/>
      <c r="R155" s="60"/>
      <c r="S155" s="60"/>
      <c r="T155" s="60"/>
      <c r="U155" s="60"/>
      <c r="V155" s="60"/>
      <c r="W155" s="60"/>
    </row>
    <row r="156" spans="1:23" ht="13" x14ac:dyDescent="0.3">
      <c r="A156" s="58"/>
      <c r="B156" s="58"/>
      <c r="C156" s="58"/>
      <c r="D156" s="58"/>
      <c r="E156" s="58"/>
      <c r="F156" s="58"/>
      <c r="G156" s="58"/>
      <c r="H156" s="59"/>
      <c r="I156" s="59"/>
      <c r="J156" s="59"/>
      <c r="K156" s="59"/>
      <c r="L156" s="59"/>
      <c r="M156" s="60"/>
      <c r="N156" s="60"/>
      <c r="O156" s="60"/>
      <c r="P156" s="59"/>
      <c r="Q156" s="59"/>
      <c r="R156" s="60"/>
      <c r="S156" s="60"/>
      <c r="T156" s="60"/>
      <c r="U156" s="60"/>
      <c r="V156" s="60"/>
      <c r="W156" s="60"/>
    </row>
    <row r="157" spans="1:23" ht="13" x14ac:dyDescent="0.3">
      <c r="A157" s="58"/>
      <c r="B157" s="58"/>
      <c r="C157" s="58"/>
      <c r="D157" s="58"/>
      <c r="E157" s="58"/>
      <c r="F157" s="58"/>
      <c r="G157" s="58"/>
      <c r="H157" s="59"/>
      <c r="I157" s="59"/>
      <c r="J157" s="59"/>
      <c r="K157" s="59"/>
      <c r="L157" s="59"/>
      <c r="M157" s="60"/>
      <c r="N157" s="60"/>
      <c r="O157" s="60"/>
      <c r="P157" s="59"/>
      <c r="Q157" s="59"/>
      <c r="R157" s="60"/>
      <c r="S157" s="60"/>
      <c r="T157" s="60"/>
      <c r="U157" s="60"/>
      <c r="V157" s="60"/>
      <c r="W157" s="60"/>
    </row>
    <row r="158" spans="1:23" ht="13" x14ac:dyDescent="0.3">
      <c r="A158" s="58"/>
      <c r="B158" s="58"/>
      <c r="C158" s="58"/>
      <c r="D158" s="58"/>
      <c r="E158" s="58"/>
      <c r="F158" s="58"/>
      <c r="G158" s="58"/>
      <c r="H158" s="59"/>
      <c r="I158" s="59"/>
      <c r="J158" s="59"/>
      <c r="K158" s="59"/>
      <c r="L158" s="59"/>
      <c r="M158" s="60"/>
      <c r="N158" s="60"/>
      <c r="O158" s="60"/>
      <c r="P158" s="59"/>
      <c r="Q158" s="59"/>
      <c r="R158" s="60"/>
      <c r="S158" s="60"/>
      <c r="T158" s="60"/>
      <c r="U158" s="60"/>
      <c r="V158" s="60"/>
      <c r="W158" s="60"/>
    </row>
    <row r="159" spans="1:23" ht="13" x14ac:dyDescent="0.3">
      <c r="A159" s="58"/>
      <c r="B159" s="58"/>
      <c r="C159" s="58"/>
      <c r="D159" s="58"/>
      <c r="E159" s="58"/>
      <c r="F159" s="58"/>
      <c r="G159" s="58"/>
      <c r="H159" s="59"/>
      <c r="I159" s="59"/>
      <c r="J159" s="59"/>
      <c r="K159" s="59"/>
      <c r="L159" s="59"/>
      <c r="M159" s="60"/>
      <c r="N159" s="60"/>
      <c r="O159" s="60"/>
      <c r="P159" s="59"/>
      <c r="Q159" s="59"/>
      <c r="R159" s="60"/>
      <c r="S159" s="60"/>
      <c r="T159" s="60"/>
      <c r="U159" s="60"/>
      <c r="V159" s="60"/>
      <c r="W159" s="60"/>
    </row>
    <row r="160" spans="1:23" ht="13" x14ac:dyDescent="0.3">
      <c r="A160" s="58"/>
      <c r="B160" s="58"/>
      <c r="C160" s="58"/>
      <c r="D160" s="58"/>
      <c r="E160" s="58"/>
      <c r="F160" s="58"/>
      <c r="G160" s="58"/>
      <c r="H160" s="59"/>
      <c r="I160" s="59"/>
      <c r="J160" s="59"/>
      <c r="K160" s="59"/>
      <c r="L160" s="59"/>
      <c r="M160" s="60"/>
      <c r="N160" s="60"/>
      <c r="O160" s="60"/>
      <c r="P160" s="59"/>
      <c r="Q160" s="59"/>
      <c r="R160" s="60"/>
      <c r="S160" s="60"/>
      <c r="T160" s="60"/>
      <c r="U160" s="60"/>
      <c r="V160" s="60"/>
      <c r="W160" s="60"/>
    </row>
    <row r="161" spans="1:23" ht="13" x14ac:dyDescent="0.3">
      <c r="A161" s="58"/>
      <c r="B161" s="58"/>
      <c r="C161" s="58"/>
      <c r="D161" s="58"/>
      <c r="E161" s="58"/>
      <c r="F161" s="58"/>
      <c r="G161" s="58"/>
      <c r="H161" s="59"/>
      <c r="I161" s="59"/>
      <c r="J161" s="59"/>
      <c r="K161" s="59"/>
      <c r="L161" s="59"/>
      <c r="M161" s="60"/>
      <c r="N161" s="60"/>
      <c r="O161" s="60"/>
      <c r="P161" s="59"/>
      <c r="Q161" s="59"/>
      <c r="R161" s="60"/>
      <c r="S161" s="60"/>
      <c r="T161" s="60"/>
      <c r="U161" s="60"/>
      <c r="V161" s="60"/>
      <c r="W161" s="60"/>
    </row>
    <row r="162" spans="1:23" ht="13" x14ac:dyDescent="0.3">
      <c r="A162" s="58"/>
      <c r="B162" s="58"/>
      <c r="C162" s="58"/>
      <c r="D162" s="58"/>
      <c r="E162" s="58"/>
      <c r="F162" s="58"/>
      <c r="G162" s="58"/>
      <c r="H162" s="59"/>
      <c r="I162" s="59"/>
      <c r="J162" s="59"/>
      <c r="K162" s="59"/>
      <c r="L162" s="59"/>
      <c r="M162" s="60"/>
      <c r="N162" s="60"/>
      <c r="O162" s="60"/>
      <c r="P162" s="59"/>
      <c r="Q162" s="59"/>
      <c r="R162" s="60"/>
      <c r="S162" s="60"/>
      <c r="T162" s="60"/>
      <c r="U162" s="60"/>
      <c r="V162" s="60"/>
      <c r="W162" s="60"/>
    </row>
    <row r="163" spans="1:23" ht="13" x14ac:dyDescent="0.3">
      <c r="A163" s="58"/>
      <c r="B163" s="58"/>
      <c r="C163" s="58"/>
      <c r="D163" s="58"/>
      <c r="E163" s="58"/>
      <c r="F163" s="58"/>
      <c r="G163" s="58"/>
      <c r="H163" s="59"/>
      <c r="I163" s="59"/>
      <c r="J163" s="59"/>
      <c r="K163" s="59"/>
      <c r="L163" s="59"/>
      <c r="M163" s="60"/>
      <c r="N163" s="60"/>
      <c r="O163" s="60"/>
      <c r="P163" s="59"/>
      <c r="Q163" s="59"/>
      <c r="R163" s="60"/>
      <c r="S163" s="60"/>
      <c r="T163" s="60"/>
      <c r="U163" s="60"/>
      <c r="V163" s="60"/>
      <c r="W163" s="60"/>
    </row>
    <row r="164" spans="1:23" ht="13" x14ac:dyDescent="0.3">
      <c r="A164" s="58"/>
      <c r="B164" s="58"/>
      <c r="C164" s="58"/>
      <c r="D164" s="58"/>
      <c r="E164" s="58"/>
      <c r="F164" s="58"/>
      <c r="G164" s="58"/>
      <c r="H164" s="59"/>
      <c r="I164" s="59"/>
      <c r="J164" s="59"/>
      <c r="K164" s="59"/>
      <c r="L164" s="59"/>
      <c r="M164" s="60"/>
      <c r="N164" s="60"/>
      <c r="O164" s="60"/>
      <c r="P164" s="59"/>
      <c r="Q164" s="59"/>
      <c r="R164" s="60"/>
      <c r="S164" s="60"/>
      <c r="T164" s="60"/>
      <c r="U164" s="60"/>
      <c r="V164" s="60"/>
      <c r="W164" s="60"/>
    </row>
    <row r="165" spans="1:23" ht="13" x14ac:dyDescent="0.3">
      <c r="A165" s="58"/>
      <c r="B165" s="58"/>
      <c r="C165" s="58"/>
      <c r="D165" s="58"/>
      <c r="E165" s="58"/>
      <c r="F165" s="58"/>
      <c r="G165" s="58"/>
      <c r="H165" s="59"/>
      <c r="I165" s="59"/>
      <c r="J165" s="59"/>
      <c r="K165" s="59"/>
      <c r="L165" s="59"/>
      <c r="M165" s="60"/>
      <c r="N165" s="60"/>
      <c r="O165" s="60"/>
      <c r="P165" s="59"/>
      <c r="Q165" s="59"/>
      <c r="R165" s="60"/>
      <c r="S165" s="60"/>
      <c r="T165" s="60"/>
      <c r="U165" s="60"/>
      <c r="V165" s="60"/>
      <c r="W165" s="60"/>
    </row>
    <row r="166" spans="1:23" ht="13" x14ac:dyDescent="0.3">
      <c r="A166" s="58"/>
      <c r="B166" s="58"/>
      <c r="C166" s="58"/>
      <c r="D166" s="58"/>
      <c r="E166" s="58"/>
      <c r="F166" s="58"/>
      <c r="G166" s="58"/>
      <c r="H166" s="59"/>
      <c r="I166" s="59"/>
      <c r="J166" s="59"/>
      <c r="K166" s="59"/>
      <c r="L166" s="59"/>
      <c r="M166" s="60"/>
      <c r="N166" s="60"/>
      <c r="O166" s="60"/>
      <c r="P166" s="59"/>
      <c r="Q166" s="59"/>
      <c r="R166" s="60"/>
      <c r="S166" s="60"/>
      <c r="T166" s="60"/>
      <c r="U166" s="60"/>
      <c r="V166" s="60"/>
      <c r="W166" s="60"/>
    </row>
    <row r="167" spans="1:23" ht="13" x14ac:dyDescent="0.3">
      <c r="A167" s="58"/>
      <c r="B167" s="58"/>
      <c r="C167" s="58"/>
      <c r="D167" s="58"/>
      <c r="E167" s="58"/>
      <c r="F167" s="58"/>
      <c r="G167" s="58"/>
      <c r="H167" s="59"/>
      <c r="I167" s="59"/>
      <c r="J167" s="59"/>
      <c r="K167" s="59"/>
      <c r="L167" s="59"/>
      <c r="M167" s="60"/>
      <c r="N167" s="60"/>
      <c r="O167" s="60"/>
      <c r="P167" s="59"/>
      <c r="Q167" s="59"/>
      <c r="R167" s="60"/>
      <c r="S167" s="60"/>
      <c r="T167" s="60"/>
      <c r="U167" s="60"/>
      <c r="V167" s="60"/>
      <c r="W167" s="60"/>
    </row>
    <row r="168" spans="1:23" ht="13" x14ac:dyDescent="0.3">
      <c r="A168" s="58"/>
      <c r="B168" s="58"/>
      <c r="C168" s="58"/>
      <c r="D168" s="58"/>
      <c r="E168" s="58"/>
      <c r="F168" s="58"/>
      <c r="G168" s="58"/>
      <c r="H168" s="59"/>
      <c r="I168" s="59"/>
      <c r="J168" s="59"/>
      <c r="K168" s="59"/>
      <c r="L168" s="59"/>
      <c r="M168" s="60"/>
      <c r="N168" s="60"/>
      <c r="O168" s="60"/>
      <c r="P168" s="59"/>
      <c r="Q168" s="59"/>
      <c r="R168" s="60"/>
      <c r="S168" s="60"/>
      <c r="T168" s="60"/>
      <c r="U168" s="60"/>
      <c r="V168" s="60"/>
      <c r="W168" s="60"/>
    </row>
    <row r="169" spans="1:23" ht="13" x14ac:dyDescent="0.3">
      <c r="A169" s="58"/>
      <c r="B169" s="58"/>
      <c r="C169" s="58"/>
      <c r="D169" s="58"/>
      <c r="E169" s="58"/>
      <c r="F169" s="58"/>
      <c r="G169" s="58"/>
      <c r="H169" s="59"/>
      <c r="I169" s="59"/>
      <c r="J169" s="59"/>
      <c r="K169" s="59"/>
      <c r="L169" s="59"/>
      <c r="M169" s="60"/>
      <c r="N169" s="60"/>
      <c r="O169" s="60"/>
      <c r="P169" s="59"/>
      <c r="Q169" s="59"/>
      <c r="R169" s="60"/>
      <c r="S169" s="60"/>
      <c r="T169" s="60"/>
      <c r="U169" s="60"/>
      <c r="V169" s="60"/>
      <c r="W169" s="60"/>
    </row>
    <row r="170" spans="1:23" ht="13" x14ac:dyDescent="0.3">
      <c r="A170" s="58"/>
      <c r="B170" s="58"/>
      <c r="C170" s="58"/>
      <c r="D170" s="58"/>
      <c r="E170" s="58"/>
      <c r="F170" s="58"/>
      <c r="G170" s="58"/>
      <c r="H170" s="59"/>
      <c r="I170" s="59"/>
      <c r="J170" s="59"/>
      <c r="K170" s="59"/>
      <c r="L170" s="59"/>
      <c r="M170" s="60"/>
      <c r="N170" s="60"/>
      <c r="O170" s="60"/>
      <c r="P170" s="59"/>
      <c r="Q170" s="59"/>
      <c r="R170" s="60"/>
      <c r="S170" s="60"/>
      <c r="T170" s="60"/>
      <c r="U170" s="60"/>
      <c r="V170" s="60"/>
      <c r="W170" s="60"/>
    </row>
    <row r="171" spans="1:23" ht="13" x14ac:dyDescent="0.3">
      <c r="A171" s="58"/>
      <c r="B171" s="58"/>
      <c r="C171" s="58"/>
      <c r="D171" s="58"/>
      <c r="E171" s="58"/>
      <c r="F171" s="58"/>
      <c r="G171" s="58"/>
      <c r="H171" s="59"/>
      <c r="I171" s="59"/>
      <c r="J171" s="59"/>
      <c r="K171" s="59"/>
      <c r="L171" s="59"/>
      <c r="M171" s="60"/>
      <c r="N171" s="60"/>
      <c r="O171" s="60"/>
      <c r="P171" s="59"/>
      <c r="Q171" s="59"/>
      <c r="R171" s="60"/>
      <c r="S171" s="60"/>
      <c r="T171" s="60"/>
      <c r="U171" s="60"/>
      <c r="V171" s="60"/>
      <c r="W171" s="60"/>
    </row>
    <row r="172" spans="1:23" ht="13" x14ac:dyDescent="0.3">
      <c r="A172" s="58"/>
      <c r="B172" s="58"/>
      <c r="C172" s="58"/>
      <c r="D172" s="58"/>
      <c r="E172" s="58"/>
      <c r="F172" s="58"/>
      <c r="G172" s="58"/>
      <c r="H172" s="59"/>
      <c r="I172" s="59"/>
      <c r="J172" s="59"/>
      <c r="K172" s="59"/>
      <c r="L172" s="59"/>
      <c r="M172" s="60"/>
      <c r="N172" s="60"/>
      <c r="O172" s="60"/>
      <c r="P172" s="59"/>
      <c r="Q172" s="59"/>
      <c r="R172" s="60"/>
      <c r="S172" s="60"/>
      <c r="T172" s="60"/>
      <c r="U172" s="60"/>
      <c r="V172" s="60"/>
      <c r="W172" s="60"/>
    </row>
    <row r="173" spans="1:23" ht="13" x14ac:dyDescent="0.3">
      <c r="A173" s="58"/>
      <c r="B173" s="58"/>
      <c r="C173" s="58"/>
      <c r="D173" s="58"/>
      <c r="E173" s="58"/>
      <c r="F173" s="58"/>
      <c r="G173" s="58"/>
      <c r="H173" s="59"/>
      <c r="I173" s="59"/>
      <c r="J173" s="59"/>
      <c r="K173" s="59"/>
      <c r="L173" s="59"/>
      <c r="M173" s="60"/>
      <c r="N173" s="60"/>
      <c r="O173" s="60"/>
      <c r="P173" s="59"/>
      <c r="Q173" s="59"/>
      <c r="R173" s="60"/>
      <c r="S173" s="60"/>
      <c r="T173" s="60"/>
      <c r="U173" s="60"/>
      <c r="V173" s="60"/>
      <c r="W173" s="60"/>
    </row>
    <row r="174" spans="1:23" ht="13" x14ac:dyDescent="0.3">
      <c r="A174" s="58"/>
      <c r="B174" s="58"/>
      <c r="C174" s="58"/>
      <c r="D174" s="58"/>
      <c r="E174" s="58"/>
      <c r="F174" s="58"/>
      <c r="G174" s="58"/>
      <c r="H174" s="59"/>
      <c r="I174" s="59"/>
      <c r="J174" s="59"/>
      <c r="K174" s="59"/>
      <c r="L174" s="59"/>
      <c r="M174" s="60"/>
      <c r="N174" s="60"/>
      <c r="O174" s="60"/>
      <c r="P174" s="59"/>
      <c r="Q174" s="59"/>
      <c r="R174" s="60"/>
      <c r="S174" s="60"/>
      <c r="T174" s="60"/>
      <c r="U174" s="60"/>
      <c r="V174" s="60"/>
      <c r="W174" s="60"/>
    </row>
    <row r="175" spans="1:23" ht="13" x14ac:dyDescent="0.3">
      <c r="A175" s="58"/>
      <c r="B175" s="58"/>
      <c r="C175" s="58"/>
      <c r="D175" s="58"/>
      <c r="E175" s="58"/>
      <c r="F175" s="58"/>
      <c r="G175" s="58"/>
      <c r="H175" s="59"/>
      <c r="I175" s="59"/>
      <c r="J175" s="59"/>
      <c r="K175" s="59"/>
      <c r="L175" s="59"/>
      <c r="M175" s="60"/>
      <c r="N175" s="60"/>
      <c r="O175" s="60"/>
      <c r="P175" s="59"/>
      <c r="Q175" s="59"/>
      <c r="R175" s="60"/>
      <c r="S175" s="60"/>
      <c r="T175" s="60"/>
      <c r="U175" s="60"/>
      <c r="V175" s="60"/>
      <c r="W175" s="60"/>
    </row>
    <row r="176" spans="1:23" ht="13" x14ac:dyDescent="0.3">
      <c r="A176" s="58"/>
      <c r="B176" s="58"/>
      <c r="C176" s="58"/>
      <c r="D176" s="58"/>
      <c r="E176" s="58"/>
      <c r="F176" s="58"/>
      <c r="G176" s="58"/>
      <c r="H176" s="59"/>
      <c r="I176" s="59"/>
      <c r="J176" s="59"/>
      <c r="K176" s="59"/>
      <c r="L176" s="59"/>
      <c r="M176" s="60"/>
      <c r="N176" s="60"/>
      <c r="O176" s="60"/>
      <c r="P176" s="59"/>
      <c r="Q176" s="59"/>
      <c r="R176" s="60"/>
      <c r="S176" s="60"/>
      <c r="T176" s="60"/>
      <c r="U176" s="60"/>
      <c r="V176" s="60"/>
      <c r="W176" s="60"/>
    </row>
    <row r="177" spans="1:23" ht="13" x14ac:dyDescent="0.3">
      <c r="A177" s="58"/>
      <c r="B177" s="58"/>
      <c r="C177" s="58"/>
      <c r="D177" s="58"/>
      <c r="E177" s="58"/>
      <c r="F177" s="58"/>
      <c r="G177" s="58"/>
      <c r="H177" s="59"/>
      <c r="I177" s="59"/>
      <c r="J177" s="59"/>
      <c r="K177" s="59"/>
      <c r="L177" s="59"/>
      <c r="M177" s="60"/>
      <c r="N177" s="60"/>
      <c r="O177" s="60"/>
      <c r="P177" s="59"/>
      <c r="Q177" s="59"/>
      <c r="R177" s="60"/>
      <c r="S177" s="60"/>
      <c r="T177" s="60"/>
      <c r="U177" s="60"/>
      <c r="V177" s="60"/>
      <c r="W177" s="60"/>
    </row>
    <row r="178" spans="1:23" ht="13" x14ac:dyDescent="0.3">
      <c r="A178" s="58"/>
      <c r="B178" s="58"/>
      <c r="C178" s="58"/>
      <c r="D178" s="58"/>
      <c r="E178" s="58"/>
      <c r="F178" s="58"/>
      <c r="G178" s="58"/>
      <c r="H178" s="59"/>
      <c r="I178" s="59"/>
      <c r="J178" s="59"/>
      <c r="K178" s="59"/>
      <c r="L178" s="59"/>
      <c r="M178" s="60"/>
      <c r="N178" s="60"/>
      <c r="O178" s="60"/>
      <c r="P178" s="59"/>
      <c r="Q178" s="59"/>
      <c r="R178" s="60"/>
      <c r="S178" s="60"/>
      <c r="T178" s="60"/>
      <c r="U178" s="60"/>
      <c r="V178" s="60"/>
      <c r="W178" s="60"/>
    </row>
    <row r="179" spans="1:23" ht="13" x14ac:dyDescent="0.3">
      <c r="A179" s="58"/>
      <c r="B179" s="58"/>
      <c r="C179" s="58"/>
      <c r="D179" s="58"/>
      <c r="E179" s="58"/>
      <c r="F179" s="58"/>
      <c r="G179" s="58"/>
      <c r="H179" s="59"/>
      <c r="I179" s="59"/>
      <c r="J179" s="59"/>
      <c r="K179" s="59"/>
      <c r="L179" s="59"/>
      <c r="M179" s="60"/>
      <c r="N179" s="60"/>
      <c r="O179" s="60"/>
      <c r="P179" s="59"/>
      <c r="Q179" s="59"/>
      <c r="R179" s="60"/>
      <c r="S179" s="60"/>
      <c r="T179" s="60"/>
      <c r="U179" s="60"/>
      <c r="V179" s="60"/>
      <c r="W179" s="60"/>
    </row>
    <row r="180" spans="1:23" ht="13" x14ac:dyDescent="0.3">
      <c r="A180" s="58"/>
      <c r="B180" s="58"/>
      <c r="C180" s="58"/>
      <c r="D180" s="58"/>
      <c r="E180" s="58"/>
      <c r="F180" s="58"/>
      <c r="G180" s="58"/>
      <c r="H180" s="59"/>
      <c r="I180" s="59"/>
      <c r="J180" s="59"/>
      <c r="K180" s="59"/>
      <c r="L180" s="59"/>
      <c r="M180" s="60"/>
      <c r="N180" s="60"/>
      <c r="O180" s="60"/>
      <c r="P180" s="59"/>
      <c r="Q180" s="59"/>
      <c r="R180" s="60"/>
      <c r="S180" s="60"/>
      <c r="T180" s="60"/>
      <c r="U180" s="60"/>
      <c r="V180" s="60"/>
      <c r="W180" s="60"/>
    </row>
    <row r="181" spans="1:23" ht="13" x14ac:dyDescent="0.3">
      <c r="A181" s="58"/>
      <c r="B181" s="58"/>
      <c r="C181" s="58"/>
      <c r="D181" s="58"/>
      <c r="E181" s="58"/>
      <c r="F181" s="58"/>
      <c r="G181" s="58"/>
      <c r="H181" s="59"/>
      <c r="I181" s="59"/>
      <c r="J181" s="59"/>
      <c r="K181" s="59"/>
      <c r="L181" s="59"/>
      <c r="M181" s="60"/>
      <c r="N181" s="60"/>
      <c r="O181" s="60"/>
      <c r="P181" s="59"/>
      <c r="Q181" s="59"/>
      <c r="R181" s="60"/>
      <c r="S181" s="60"/>
      <c r="T181" s="60"/>
      <c r="U181" s="60"/>
      <c r="V181" s="60"/>
      <c r="W181" s="60"/>
    </row>
    <row r="182" spans="1:23" ht="13" x14ac:dyDescent="0.3">
      <c r="A182" s="58"/>
      <c r="B182" s="58"/>
      <c r="C182" s="58"/>
      <c r="D182" s="58"/>
      <c r="E182" s="58"/>
      <c r="F182" s="58"/>
      <c r="G182" s="58"/>
      <c r="H182" s="59"/>
      <c r="I182" s="59"/>
      <c r="J182" s="59"/>
      <c r="K182" s="59"/>
      <c r="L182" s="59"/>
      <c r="M182" s="60"/>
      <c r="N182" s="60"/>
      <c r="O182" s="60"/>
      <c r="P182" s="59"/>
      <c r="Q182" s="59"/>
      <c r="R182" s="60"/>
      <c r="S182" s="60"/>
      <c r="T182" s="60"/>
      <c r="U182" s="60"/>
      <c r="V182" s="60"/>
      <c r="W182" s="60"/>
    </row>
    <row r="183" spans="1:23" ht="13" x14ac:dyDescent="0.3">
      <c r="A183" s="58"/>
      <c r="B183" s="58"/>
      <c r="C183" s="58"/>
      <c r="D183" s="58"/>
      <c r="E183" s="58"/>
      <c r="F183" s="58"/>
      <c r="G183" s="58"/>
      <c r="H183" s="59"/>
      <c r="I183" s="59"/>
      <c r="J183" s="59"/>
      <c r="K183" s="59"/>
      <c r="L183" s="59"/>
      <c r="M183" s="60"/>
      <c r="N183" s="60"/>
      <c r="O183" s="60"/>
      <c r="P183" s="59"/>
      <c r="Q183" s="59"/>
      <c r="R183" s="60"/>
      <c r="S183" s="60"/>
      <c r="T183" s="60"/>
      <c r="U183" s="60"/>
      <c r="V183" s="60"/>
      <c r="W183" s="60"/>
    </row>
    <row r="184" spans="1:23" ht="13" x14ac:dyDescent="0.3">
      <c r="A184" s="58"/>
      <c r="B184" s="58"/>
      <c r="C184" s="58"/>
      <c r="D184" s="58"/>
      <c r="E184" s="58"/>
      <c r="F184" s="58"/>
      <c r="G184" s="58"/>
      <c r="H184" s="59"/>
      <c r="I184" s="59"/>
      <c r="J184" s="59"/>
      <c r="K184" s="59"/>
      <c r="L184" s="59"/>
      <c r="M184" s="60"/>
      <c r="N184" s="60"/>
      <c r="O184" s="60"/>
      <c r="P184" s="59"/>
      <c r="Q184" s="59"/>
      <c r="R184" s="60"/>
      <c r="S184" s="60"/>
      <c r="T184" s="60"/>
      <c r="U184" s="60"/>
      <c r="V184" s="60"/>
      <c r="W184" s="60"/>
    </row>
    <row r="185" spans="1:23" ht="13" x14ac:dyDescent="0.3">
      <c r="A185" s="58"/>
      <c r="B185" s="58"/>
      <c r="C185" s="58"/>
      <c r="D185" s="58"/>
      <c r="E185" s="58"/>
      <c r="F185" s="58"/>
      <c r="G185" s="58"/>
      <c r="H185" s="59"/>
      <c r="I185" s="59"/>
      <c r="J185" s="59"/>
      <c r="K185" s="59"/>
      <c r="L185" s="59"/>
      <c r="M185" s="60"/>
      <c r="N185" s="60"/>
      <c r="O185" s="60"/>
      <c r="P185" s="59"/>
      <c r="Q185" s="59"/>
      <c r="R185" s="60"/>
      <c r="S185" s="60"/>
      <c r="T185" s="60"/>
      <c r="U185" s="60"/>
      <c r="V185" s="60"/>
      <c r="W185" s="60"/>
    </row>
    <row r="186" spans="1:23" ht="13" x14ac:dyDescent="0.3">
      <c r="A186" s="58"/>
      <c r="B186" s="58"/>
      <c r="C186" s="58"/>
      <c r="D186" s="58"/>
      <c r="E186" s="58"/>
      <c r="F186" s="58"/>
      <c r="G186" s="58"/>
      <c r="H186" s="59"/>
      <c r="I186" s="59"/>
      <c r="J186" s="59"/>
      <c r="K186" s="59"/>
      <c r="L186" s="59"/>
      <c r="M186" s="60"/>
      <c r="N186" s="60"/>
      <c r="O186" s="60"/>
      <c r="P186" s="59"/>
      <c r="Q186" s="59"/>
      <c r="R186" s="60"/>
      <c r="S186" s="60"/>
      <c r="T186" s="60"/>
      <c r="U186" s="60"/>
      <c r="V186" s="60"/>
      <c r="W186" s="60"/>
    </row>
    <row r="187" spans="1:23" ht="13" x14ac:dyDescent="0.3">
      <c r="A187" s="58"/>
      <c r="B187" s="58"/>
      <c r="C187" s="58"/>
      <c r="D187" s="58"/>
      <c r="E187" s="58"/>
      <c r="F187" s="58"/>
      <c r="G187" s="58"/>
      <c r="H187" s="59"/>
      <c r="I187" s="59"/>
      <c r="J187" s="59"/>
      <c r="K187" s="59"/>
      <c r="L187" s="59"/>
      <c r="M187" s="60"/>
      <c r="N187" s="60"/>
      <c r="O187" s="60"/>
      <c r="P187" s="59"/>
      <c r="Q187" s="59"/>
      <c r="R187" s="60"/>
      <c r="S187" s="60"/>
      <c r="T187" s="60"/>
      <c r="U187" s="60"/>
      <c r="V187" s="60"/>
      <c r="W187" s="60"/>
    </row>
    <row r="188" spans="1:23" ht="13" x14ac:dyDescent="0.3">
      <c r="A188" s="58"/>
      <c r="B188" s="58"/>
      <c r="C188" s="58"/>
      <c r="D188" s="58"/>
      <c r="E188" s="58"/>
      <c r="F188" s="58"/>
      <c r="G188" s="58"/>
      <c r="H188" s="59"/>
      <c r="I188" s="59"/>
      <c r="J188" s="59"/>
      <c r="K188" s="59"/>
      <c r="L188" s="59"/>
      <c r="M188" s="60"/>
      <c r="N188" s="60"/>
      <c r="O188" s="60"/>
      <c r="P188" s="59"/>
      <c r="Q188" s="59"/>
      <c r="R188" s="60"/>
      <c r="S188" s="60"/>
      <c r="T188" s="60"/>
      <c r="U188" s="60"/>
      <c r="V188" s="60"/>
      <c r="W188" s="60"/>
    </row>
    <row r="189" spans="1:23" ht="13" x14ac:dyDescent="0.3">
      <c r="A189" s="58"/>
      <c r="B189" s="58"/>
      <c r="C189" s="58"/>
      <c r="D189" s="58"/>
      <c r="E189" s="58"/>
      <c r="F189" s="58"/>
      <c r="G189" s="58"/>
      <c r="H189" s="59"/>
      <c r="I189" s="59"/>
      <c r="J189" s="59"/>
      <c r="K189" s="59"/>
      <c r="L189" s="59"/>
      <c r="M189" s="60"/>
      <c r="N189" s="60"/>
      <c r="O189" s="60"/>
      <c r="P189" s="59"/>
      <c r="Q189" s="59"/>
      <c r="R189" s="60"/>
      <c r="S189" s="60"/>
      <c r="T189" s="60"/>
      <c r="U189" s="60"/>
      <c r="V189" s="60"/>
      <c r="W189" s="60"/>
    </row>
    <row r="190" spans="1:23" ht="13" x14ac:dyDescent="0.3">
      <c r="A190" s="58"/>
      <c r="B190" s="58"/>
      <c r="C190" s="58"/>
      <c r="D190" s="58"/>
      <c r="E190" s="58"/>
      <c r="F190" s="58"/>
      <c r="G190" s="58"/>
      <c r="H190" s="59"/>
      <c r="I190" s="59"/>
      <c r="J190" s="59"/>
      <c r="K190" s="59"/>
      <c r="L190" s="59"/>
      <c r="M190" s="60"/>
      <c r="N190" s="60"/>
      <c r="O190" s="60"/>
      <c r="P190" s="59"/>
      <c r="Q190" s="59"/>
      <c r="R190" s="60"/>
      <c r="S190" s="60"/>
      <c r="T190" s="60"/>
      <c r="U190" s="60"/>
      <c r="V190" s="60"/>
      <c r="W190" s="60"/>
    </row>
    <row r="191" spans="1:23" ht="13" x14ac:dyDescent="0.3">
      <c r="A191" s="58"/>
      <c r="B191" s="58"/>
      <c r="C191" s="58"/>
      <c r="D191" s="58"/>
      <c r="E191" s="58"/>
      <c r="F191" s="58"/>
      <c r="G191" s="58"/>
      <c r="H191" s="59"/>
      <c r="I191" s="59"/>
      <c r="J191" s="59"/>
      <c r="K191" s="59"/>
      <c r="L191" s="59"/>
      <c r="M191" s="60"/>
      <c r="N191" s="60"/>
      <c r="O191" s="60"/>
      <c r="P191" s="59"/>
      <c r="Q191" s="59"/>
      <c r="R191" s="60"/>
      <c r="S191" s="60"/>
      <c r="T191" s="60"/>
      <c r="U191" s="60"/>
      <c r="V191" s="60"/>
      <c r="W191" s="60"/>
    </row>
    <row r="192" spans="1:23" ht="13" x14ac:dyDescent="0.3">
      <c r="A192" s="58"/>
      <c r="B192" s="58"/>
      <c r="C192" s="58"/>
      <c r="D192" s="58"/>
      <c r="E192" s="58"/>
      <c r="F192" s="58"/>
      <c r="G192" s="58"/>
      <c r="H192" s="59"/>
      <c r="I192" s="59"/>
      <c r="J192" s="59"/>
      <c r="K192" s="59"/>
      <c r="L192" s="59"/>
      <c r="M192" s="60"/>
      <c r="N192" s="60"/>
      <c r="O192" s="60"/>
      <c r="P192" s="59"/>
      <c r="Q192" s="59"/>
      <c r="R192" s="60"/>
      <c r="S192" s="60"/>
      <c r="T192" s="60"/>
      <c r="U192" s="60"/>
      <c r="V192" s="60"/>
      <c r="W192" s="60"/>
    </row>
    <row r="193" spans="1:23" ht="13" x14ac:dyDescent="0.3">
      <c r="A193" s="58"/>
      <c r="B193" s="58"/>
      <c r="C193" s="58"/>
      <c r="D193" s="58"/>
      <c r="E193" s="58"/>
      <c r="F193" s="58"/>
      <c r="G193" s="58"/>
      <c r="H193" s="59"/>
      <c r="I193" s="59"/>
      <c r="J193" s="59"/>
      <c r="K193" s="59"/>
      <c r="L193" s="59"/>
      <c r="M193" s="60"/>
      <c r="N193" s="60"/>
      <c r="O193" s="60"/>
      <c r="P193" s="59"/>
      <c r="Q193" s="59"/>
      <c r="R193" s="60"/>
      <c r="S193" s="60"/>
      <c r="T193" s="60"/>
      <c r="U193" s="60"/>
      <c r="V193" s="60"/>
      <c r="W193" s="60"/>
    </row>
    <row r="194" spans="1:23" ht="13" x14ac:dyDescent="0.3">
      <c r="A194" s="58"/>
      <c r="B194" s="58"/>
      <c r="C194" s="58"/>
      <c r="D194" s="58"/>
      <c r="E194" s="58"/>
      <c r="F194" s="58"/>
      <c r="G194" s="58"/>
      <c r="H194" s="59"/>
      <c r="I194" s="59"/>
      <c r="J194" s="59"/>
      <c r="K194" s="59"/>
      <c r="L194" s="59"/>
      <c r="M194" s="60"/>
      <c r="N194" s="60"/>
      <c r="O194" s="60"/>
      <c r="P194" s="59"/>
      <c r="Q194" s="59"/>
      <c r="R194" s="60"/>
      <c r="S194" s="60"/>
      <c r="T194" s="60"/>
      <c r="U194" s="60"/>
      <c r="V194" s="60"/>
      <c r="W194" s="60"/>
    </row>
    <row r="195" spans="1:23" ht="13" x14ac:dyDescent="0.3">
      <c r="A195" s="58"/>
      <c r="B195" s="58"/>
      <c r="C195" s="58"/>
      <c r="D195" s="58"/>
      <c r="E195" s="58"/>
      <c r="F195" s="58"/>
      <c r="G195" s="58"/>
      <c r="H195" s="59"/>
      <c r="I195" s="59"/>
      <c r="J195" s="59"/>
      <c r="K195" s="59"/>
      <c r="L195" s="59"/>
      <c r="M195" s="60"/>
      <c r="N195" s="60"/>
      <c r="O195" s="60"/>
      <c r="P195" s="59"/>
      <c r="Q195" s="59"/>
      <c r="R195" s="60"/>
      <c r="S195" s="60"/>
      <c r="T195" s="60"/>
      <c r="U195" s="60"/>
      <c r="V195" s="60"/>
      <c r="W195" s="60"/>
    </row>
    <row r="196" spans="1:23" ht="13" x14ac:dyDescent="0.3">
      <c r="A196" s="58"/>
      <c r="B196" s="58"/>
      <c r="C196" s="58"/>
      <c r="D196" s="58"/>
      <c r="E196" s="58"/>
      <c r="F196" s="58"/>
      <c r="G196" s="58"/>
      <c r="H196" s="59"/>
      <c r="I196" s="59"/>
      <c r="J196" s="59"/>
      <c r="K196" s="59"/>
      <c r="L196" s="59"/>
      <c r="M196" s="60"/>
      <c r="N196" s="60"/>
      <c r="O196" s="60"/>
      <c r="P196" s="59"/>
      <c r="Q196" s="59"/>
      <c r="R196" s="60"/>
      <c r="S196" s="60"/>
      <c r="T196" s="60"/>
      <c r="U196" s="60"/>
      <c r="V196" s="60"/>
      <c r="W196" s="60"/>
    </row>
    <row r="197" spans="1:23" ht="13" x14ac:dyDescent="0.3">
      <c r="A197" s="58"/>
      <c r="B197" s="58"/>
      <c r="C197" s="58"/>
      <c r="D197" s="58"/>
      <c r="E197" s="58"/>
      <c r="F197" s="58"/>
      <c r="G197" s="58"/>
      <c r="H197" s="59"/>
      <c r="I197" s="59"/>
      <c r="J197" s="59"/>
      <c r="K197" s="59"/>
      <c r="L197" s="59"/>
      <c r="M197" s="60"/>
      <c r="N197" s="60"/>
      <c r="O197" s="60"/>
      <c r="P197" s="59"/>
      <c r="Q197" s="59"/>
      <c r="R197" s="60"/>
      <c r="S197" s="60"/>
      <c r="T197" s="60"/>
      <c r="U197" s="60"/>
      <c r="V197" s="60"/>
      <c r="W197" s="60"/>
    </row>
    <row r="198" spans="1:23" ht="13" x14ac:dyDescent="0.3">
      <c r="A198" s="58"/>
      <c r="B198" s="58"/>
      <c r="C198" s="58"/>
      <c r="D198" s="58"/>
      <c r="E198" s="58"/>
      <c r="F198" s="58"/>
      <c r="G198" s="58"/>
      <c r="H198" s="59"/>
      <c r="I198" s="59"/>
      <c r="J198" s="59"/>
      <c r="K198" s="59"/>
      <c r="L198" s="59"/>
      <c r="M198" s="60"/>
      <c r="N198" s="60"/>
      <c r="O198" s="60"/>
      <c r="P198" s="59"/>
      <c r="Q198" s="59"/>
      <c r="R198" s="60"/>
      <c r="S198" s="60"/>
      <c r="T198" s="60"/>
      <c r="U198" s="60"/>
      <c r="V198" s="60"/>
      <c r="W198" s="60"/>
    </row>
    <row r="199" spans="1:23" ht="13" x14ac:dyDescent="0.3">
      <c r="A199" s="58"/>
      <c r="B199" s="58"/>
      <c r="C199" s="58"/>
      <c r="D199" s="58"/>
      <c r="E199" s="58"/>
      <c r="F199" s="58"/>
      <c r="G199" s="58"/>
      <c r="H199" s="59"/>
      <c r="I199" s="59"/>
      <c r="J199" s="59"/>
      <c r="K199" s="59"/>
      <c r="L199" s="59"/>
      <c r="M199" s="60"/>
      <c r="N199" s="60"/>
      <c r="O199" s="60"/>
      <c r="P199" s="59"/>
      <c r="Q199" s="59"/>
      <c r="R199" s="60"/>
      <c r="S199" s="60"/>
      <c r="T199" s="60"/>
      <c r="U199" s="60"/>
      <c r="V199" s="60"/>
      <c r="W199" s="60"/>
    </row>
    <row r="200" spans="1:23" ht="13" x14ac:dyDescent="0.3">
      <c r="A200" s="58"/>
      <c r="B200" s="58"/>
      <c r="C200" s="58"/>
      <c r="D200" s="58"/>
      <c r="E200" s="58"/>
      <c r="F200" s="58"/>
      <c r="G200" s="58"/>
      <c r="H200" s="59"/>
      <c r="I200" s="59"/>
      <c r="J200" s="59"/>
      <c r="K200" s="59"/>
      <c r="L200" s="59"/>
      <c r="M200" s="60"/>
      <c r="N200" s="60"/>
      <c r="O200" s="60"/>
      <c r="P200" s="59"/>
      <c r="Q200" s="59"/>
      <c r="R200" s="60"/>
      <c r="S200" s="60"/>
      <c r="T200" s="60"/>
      <c r="U200" s="60"/>
      <c r="V200" s="60"/>
      <c r="W200" s="60"/>
    </row>
    <row r="201" spans="1:23" ht="13" x14ac:dyDescent="0.3">
      <c r="A201" s="58"/>
      <c r="B201" s="58"/>
      <c r="C201" s="58"/>
      <c r="D201" s="58"/>
      <c r="E201" s="58"/>
      <c r="F201" s="58"/>
      <c r="G201" s="58"/>
      <c r="H201" s="59"/>
      <c r="I201" s="59"/>
      <c r="J201" s="59"/>
      <c r="K201" s="59"/>
      <c r="L201" s="59"/>
      <c r="M201" s="60"/>
      <c r="N201" s="60"/>
      <c r="O201" s="60"/>
      <c r="P201" s="59"/>
      <c r="Q201" s="59"/>
      <c r="R201" s="60"/>
      <c r="S201" s="60"/>
      <c r="T201" s="60"/>
      <c r="U201" s="60"/>
      <c r="V201" s="60"/>
      <c r="W201" s="60"/>
    </row>
    <row r="202" spans="1:23" ht="13" x14ac:dyDescent="0.3">
      <c r="A202" s="58"/>
      <c r="B202" s="58"/>
      <c r="C202" s="58"/>
      <c r="D202" s="58"/>
      <c r="E202" s="58"/>
      <c r="F202" s="58"/>
      <c r="G202" s="58"/>
      <c r="H202" s="59"/>
      <c r="I202" s="59"/>
      <c r="J202" s="59"/>
      <c r="K202" s="59"/>
      <c r="L202" s="59"/>
      <c r="M202" s="60"/>
      <c r="N202" s="60"/>
      <c r="O202" s="60"/>
      <c r="P202" s="59"/>
      <c r="Q202" s="59"/>
      <c r="R202" s="60"/>
      <c r="S202" s="60"/>
      <c r="T202" s="60"/>
      <c r="U202" s="60"/>
      <c r="V202" s="60"/>
      <c r="W202" s="60"/>
    </row>
    <row r="203" spans="1:23" ht="13" x14ac:dyDescent="0.3">
      <c r="A203" s="58"/>
      <c r="B203" s="58"/>
      <c r="C203" s="58"/>
      <c r="D203" s="58"/>
      <c r="E203" s="58"/>
      <c r="F203" s="58"/>
      <c r="G203" s="58"/>
      <c r="H203" s="59"/>
      <c r="I203" s="59"/>
      <c r="J203" s="59"/>
      <c r="K203" s="59"/>
      <c r="L203" s="59"/>
      <c r="M203" s="60"/>
      <c r="N203" s="60"/>
      <c r="O203" s="60"/>
      <c r="P203" s="59"/>
      <c r="Q203" s="59"/>
      <c r="R203" s="60"/>
      <c r="S203" s="60"/>
      <c r="T203" s="60"/>
      <c r="U203" s="60"/>
      <c r="V203" s="60"/>
      <c r="W203" s="60"/>
    </row>
    <row r="204" spans="1:23" ht="13" x14ac:dyDescent="0.3">
      <c r="A204" s="58"/>
      <c r="B204" s="58"/>
      <c r="C204" s="58"/>
      <c r="D204" s="58"/>
      <c r="E204" s="58"/>
      <c r="F204" s="58"/>
      <c r="G204" s="58"/>
      <c r="H204" s="59"/>
      <c r="I204" s="59"/>
      <c r="J204" s="59"/>
      <c r="K204" s="59"/>
      <c r="L204" s="59"/>
      <c r="M204" s="60"/>
      <c r="N204" s="60"/>
      <c r="O204" s="60"/>
      <c r="P204" s="59"/>
      <c r="Q204" s="59"/>
      <c r="R204" s="60"/>
      <c r="S204" s="60"/>
      <c r="T204" s="60"/>
      <c r="U204" s="60"/>
      <c r="V204" s="60"/>
      <c r="W204" s="60"/>
    </row>
    <row r="205" spans="1:23" ht="13" x14ac:dyDescent="0.3">
      <c r="A205" s="58"/>
      <c r="B205" s="58"/>
      <c r="C205" s="58"/>
      <c r="D205" s="58"/>
      <c r="E205" s="58"/>
      <c r="F205" s="58"/>
      <c r="G205" s="58"/>
      <c r="H205" s="59"/>
      <c r="I205" s="59"/>
      <c r="J205" s="59"/>
      <c r="K205" s="59"/>
      <c r="L205" s="59"/>
      <c r="M205" s="60"/>
      <c r="N205" s="60"/>
      <c r="O205" s="60"/>
      <c r="P205" s="59"/>
      <c r="Q205" s="59"/>
      <c r="R205" s="60"/>
      <c r="S205" s="60"/>
      <c r="T205" s="60"/>
      <c r="U205" s="60"/>
      <c r="V205" s="60"/>
      <c r="W205" s="60"/>
    </row>
    <row r="206" spans="1:23" ht="13" x14ac:dyDescent="0.3">
      <c r="A206" s="58"/>
      <c r="B206" s="58"/>
      <c r="C206" s="58"/>
      <c r="D206" s="58"/>
      <c r="E206" s="58"/>
      <c r="F206" s="58"/>
      <c r="G206" s="58"/>
      <c r="H206" s="59"/>
      <c r="I206" s="59"/>
      <c r="J206" s="59"/>
      <c r="K206" s="59"/>
      <c r="L206" s="59"/>
      <c r="M206" s="60"/>
      <c r="N206" s="60"/>
      <c r="O206" s="60"/>
      <c r="P206" s="59"/>
      <c r="Q206" s="59"/>
      <c r="R206" s="60"/>
      <c r="S206" s="60"/>
      <c r="T206" s="60"/>
      <c r="U206" s="60"/>
      <c r="V206" s="60"/>
      <c r="W206" s="60"/>
    </row>
    <row r="207" spans="1:23" ht="13" x14ac:dyDescent="0.3">
      <c r="A207" s="58"/>
      <c r="B207" s="58"/>
      <c r="C207" s="58"/>
      <c r="D207" s="58"/>
      <c r="E207" s="58"/>
      <c r="F207" s="58"/>
      <c r="G207" s="58"/>
      <c r="H207" s="59"/>
      <c r="I207" s="59"/>
      <c r="J207" s="59"/>
      <c r="K207" s="59"/>
      <c r="L207" s="59"/>
      <c r="M207" s="60"/>
      <c r="N207" s="60"/>
      <c r="O207" s="60"/>
      <c r="P207" s="59"/>
      <c r="Q207" s="59"/>
      <c r="R207" s="60"/>
      <c r="S207" s="60"/>
      <c r="T207" s="60"/>
      <c r="U207" s="60"/>
      <c r="V207" s="60"/>
      <c r="W207" s="60"/>
    </row>
    <row r="208" spans="1:23" ht="13" x14ac:dyDescent="0.3">
      <c r="A208" s="58"/>
      <c r="B208" s="58"/>
      <c r="C208" s="58"/>
      <c r="D208" s="58"/>
      <c r="E208" s="58"/>
      <c r="F208" s="58"/>
      <c r="G208" s="58"/>
      <c r="H208" s="59"/>
      <c r="I208" s="59"/>
      <c r="J208" s="59"/>
      <c r="K208" s="59"/>
      <c r="L208" s="59"/>
      <c r="M208" s="60"/>
      <c r="N208" s="60"/>
      <c r="O208" s="60"/>
      <c r="P208" s="59"/>
      <c r="Q208" s="59"/>
      <c r="R208" s="60"/>
      <c r="S208" s="60"/>
      <c r="T208" s="60"/>
      <c r="U208" s="60"/>
      <c r="V208" s="60"/>
      <c r="W208" s="60"/>
    </row>
    <row r="209" spans="1:23" ht="13" x14ac:dyDescent="0.3">
      <c r="A209" s="58"/>
      <c r="B209" s="58"/>
      <c r="C209" s="58"/>
      <c r="D209" s="58"/>
      <c r="E209" s="58"/>
      <c r="F209" s="58"/>
      <c r="G209" s="58"/>
      <c r="H209" s="59"/>
      <c r="I209" s="59"/>
      <c r="J209" s="59"/>
      <c r="K209" s="59"/>
      <c r="L209" s="59"/>
      <c r="M209" s="60"/>
      <c r="N209" s="60"/>
      <c r="O209" s="60"/>
      <c r="P209" s="59"/>
      <c r="Q209" s="59"/>
      <c r="R209" s="60"/>
      <c r="S209" s="60"/>
      <c r="T209" s="60"/>
      <c r="U209" s="60"/>
      <c r="V209" s="60"/>
      <c r="W209" s="60"/>
    </row>
    <row r="210" spans="1:23" ht="13" x14ac:dyDescent="0.3">
      <c r="A210" s="58"/>
      <c r="B210" s="58"/>
      <c r="C210" s="58"/>
      <c r="D210" s="58"/>
      <c r="E210" s="58"/>
      <c r="F210" s="58"/>
      <c r="G210" s="58"/>
      <c r="H210" s="59"/>
      <c r="I210" s="59"/>
      <c r="J210" s="59"/>
      <c r="K210" s="59"/>
      <c r="L210" s="59"/>
      <c r="M210" s="60"/>
      <c r="N210" s="60"/>
      <c r="O210" s="60"/>
      <c r="P210" s="59"/>
      <c r="Q210" s="59"/>
      <c r="R210" s="60"/>
      <c r="S210" s="60"/>
      <c r="T210" s="60"/>
      <c r="U210" s="60"/>
      <c r="V210" s="60"/>
      <c r="W210" s="60"/>
    </row>
    <row r="211" spans="1:23" ht="13" x14ac:dyDescent="0.3">
      <c r="A211" s="58"/>
      <c r="B211" s="58"/>
      <c r="C211" s="58"/>
      <c r="D211" s="58"/>
      <c r="E211" s="58"/>
      <c r="F211" s="58"/>
      <c r="G211" s="58"/>
      <c r="H211" s="59"/>
      <c r="I211" s="59"/>
      <c r="J211" s="59"/>
      <c r="K211" s="59"/>
      <c r="L211" s="59"/>
      <c r="M211" s="60"/>
      <c r="N211" s="60"/>
      <c r="O211" s="60"/>
      <c r="P211" s="59"/>
      <c r="Q211" s="59"/>
      <c r="R211" s="60"/>
      <c r="S211" s="60"/>
      <c r="T211" s="60"/>
      <c r="U211" s="60"/>
      <c r="V211" s="60"/>
      <c r="W211" s="60"/>
    </row>
    <row r="212" spans="1:23" ht="13" x14ac:dyDescent="0.3">
      <c r="A212" s="58"/>
      <c r="B212" s="58"/>
      <c r="C212" s="58"/>
      <c r="D212" s="58"/>
      <c r="E212" s="58"/>
      <c r="F212" s="58"/>
      <c r="G212" s="58"/>
      <c r="H212" s="59"/>
      <c r="I212" s="59"/>
      <c r="J212" s="59"/>
      <c r="K212" s="59"/>
      <c r="L212" s="59"/>
      <c r="M212" s="60"/>
      <c r="N212" s="60"/>
      <c r="O212" s="60"/>
      <c r="P212" s="59"/>
      <c r="Q212" s="59"/>
      <c r="R212" s="60"/>
      <c r="S212" s="60"/>
      <c r="T212" s="60"/>
      <c r="U212" s="60"/>
      <c r="V212" s="60"/>
      <c r="W212" s="60"/>
    </row>
    <row r="213" spans="1:23" ht="13" x14ac:dyDescent="0.3">
      <c r="A213" s="58"/>
      <c r="B213" s="58"/>
      <c r="C213" s="58"/>
      <c r="D213" s="58"/>
      <c r="E213" s="58"/>
      <c r="F213" s="58"/>
      <c r="G213" s="58"/>
      <c r="H213" s="59"/>
      <c r="I213" s="59"/>
      <c r="J213" s="59"/>
      <c r="K213" s="59"/>
      <c r="L213" s="59"/>
      <c r="M213" s="60"/>
      <c r="N213" s="60"/>
      <c r="O213" s="60"/>
      <c r="P213" s="59"/>
      <c r="Q213" s="59"/>
      <c r="R213" s="60"/>
      <c r="S213" s="60"/>
      <c r="T213" s="60"/>
      <c r="U213" s="60"/>
      <c r="V213" s="60"/>
      <c r="W213" s="60"/>
    </row>
    <row r="214" spans="1:23" ht="13" x14ac:dyDescent="0.3">
      <c r="A214" s="58"/>
      <c r="B214" s="58"/>
      <c r="C214" s="58"/>
      <c r="D214" s="58"/>
      <c r="E214" s="58"/>
      <c r="F214" s="58"/>
      <c r="G214" s="58"/>
      <c r="H214" s="59"/>
      <c r="I214" s="59"/>
      <c r="J214" s="59"/>
      <c r="K214" s="59"/>
      <c r="L214" s="59"/>
      <c r="M214" s="60"/>
      <c r="N214" s="60"/>
      <c r="O214" s="60"/>
      <c r="P214" s="59"/>
      <c r="Q214" s="59"/>
      <c r="R214" s="60"/>
      <c r="S214" s="60"/>
      <c r="T214" s="60"/>
      <c r="U214" s="60"/>
      <c r="V214" s="60"/>
      <c r="W214" s="60"/>
    </row>
    <row r="215" spans="1:23" ht="13" x14ac:dyDescent="0.3">
      <c r="A215" s="58"/>
      <c r="B215" s="58"/>
      <c r="C215" s="58"/>
      <c r="D215" s="58"/>
      <c r="E215" s="58"/>
      <c r="F215" s="58"/>
      <c r="G215" s="58"/>
      <c r="H215" s="59"/>
      <c r="I215" s="59"/>
      <c r="J215" s="59"/>
      <c r="K215" s="59"/>
      <c r="L215" s="59"/>
      <c r="M215" s="60"/>
      <c r="N215" s="60"/>
      <c r="O215" s="60"/>
      <c r="P215" s="59"/>
      <c r="Q215" s="59"/>
      <c r="R215" s="60"/>
      <c r="S215" s="60"/>
      <c r="T215" s="60"/>
      <c r="U215" s="60"/>
      <c r="V215" s="60"/>
      <c r="W215" s="60"/>
    </row>
    <row r="216" spans="1:23" ht="13" x14ac:dyDescent="0.3">
      <c r="A216" s="58"/>
      <c r="B216" s="58"/>
      <c r="C216" s="58"/>
      <c r="D216" s="58"/>
      <c r="E216" s="58"/>
      <c r="F216" s="58"/>
      <c r="G216" s="58"/>
      <c r="H216" s="59"/>
      <c r="I216" s="59"/>
      <c r="J216" s="59"/>
      <c r="K216" s="59"/>
      <c r="L216" s="59"/>
      <c r="M216" s="60"/>
      <c r="N216" s="60"/>
      <c r="O216" s="60"/>
      <c r="P216" s="59"/>
      <c r="Q216" s="59"/>
      <c r="R216" s="60"/>
      <c r="S216" s="60"/>
      <c r="T216" s="60"/>
      <c r="U216" s="60"/>
      <c r="V216" s="60"/>
      <c r="W216" s="60"/>
    </row>
    <row r="217" spans="1:23" ht="13" x14ac:dyDescent="0.3">
      <c r="A217" s="58"/>
      <c r="B217" s="58"/>
      <c r="C217" s="58"/>
      <c r="D217" s="58"/>
      <c r="E217" s="58"/>
      <c r="F217" s="58"/>
      <c r="G217" s="58"/>
      <c r="H217" s="59"/>
      <c r="I217" s="59"/>
      <c r="J217" s="59"/>
      <c r="K217" s="59"/>
      <c r="L217" s="59"/>
      <c r="M217" s="60"/>
      <c r="N217" s="60"/>
      <c r="O217" s="60"/>
      <c r="P217" s="59"/>
      <c r="Q217" s="59"/>
      <c r="R217" s="60"/>
      <c r="S217" s="60"/>
      <c r="T217" s="60"/>
      <c r="U217" s="60"/>
      <c r="V217" s="60"/>
      <c r="W217" s="60"/>
    </row>
    <row r="218" spans="1:23" ht="13" x14ac:dyDescent="0.3">
      <c r="A218" s="58"/>
      <c r="B218" s="58"/>
      <c r="C218" s="58"/>
      <c r="D218" s="58"/>
      <c r="E218" s="58"/>
      <c r="F218" s="58"/>
      <c r="G218" s="58"/>
      <c r="H218" s="59"/>
      <c r="I218" s="59"/>
      <c r="J218" s="59"/>
      <c r="K218" s="59"/>
      <c r="L218" s="59"/>
      <c r="M218" s="60"/>
      <c r="N218" s="60"/>
      <c r="O218" s="60"/>
      <c r="P218" s="59"/>
      <c r="Q218" s="59"/>
      <c r="R218" s="60"/>
      <c r="S218" s="60"/>
      <c r="T218" s="60"/>
      <c r="U218" s="60"/>
      <c r="V218" s="60"/>
      <c r="W218" s="60"/>
    </row>
    <row r="219" spans="1:23" ht="13" x14ac:dyDescent="0.3">
      <c r="A219" s="58"/>
      <c r="B219" s="58"/>
      <c r="C219" s="58"/>
      <c r="D219" s="58"/>
      <c r="E219" s="58"/>
      <c r="F219" s="58"/>
      <c r="G219" s="58"/>
      <c r="H219" s="59"/>
      <c r="I219" s="59"/>
      <c r="J219" s="59"/>
      <c r="K219" s="59"/>
      <c r="L219" s="59"/>
      <c r="M219" s="60"/>
      <c r="N219" s="60"/>
      <c r="O219" s="60"/>
      <c r="P219" s="59"/>
      <c r="Q219" s="59"/>
      <c r="R219" s="60"/>
      <c r="S219" s="60"/>
      <c r="T219" s="60"/>
      <c r="U219" s="60"/>
      <c r="V219" s="60"/>
      <c r="W219" s="60"/>
    </row>
    <row r="220" spans="1:23" ht="13" x14ac:dyDescent="0.3">
      <c r="A220" s="58"/>
      <c r="B220" s="58"/>
      <c r="C220" s="58"/>
      <c r="D220" s="58"/>
      <c r="E220" s="58"/>
      <c r="F220" s="58"/>
      <c r="G220" s="58"/>
      <c r="H220" s="59"/>
      <c r="I220" s="59"/>
      <c r="J220" s="59"/>
      <c r="K220" s="59"/>
      <c r="L220" s="59"/>
      <c r="M220" s="60"/>
      <c r="N220" s="60"/>
      <c r="O220" s="60"/>
      <c r="P220" s="59"/>
      <c r="Q220" s="59"/>
      <c r="R220" s="60"/>
      <c r="S220" s="60"/>
      <c r="T220" s="60"/>
      <c r="U220" s="60"/>
      <c r="V220" s="60"/>
      <c r="W220" s="60"/>
    </row>
    <row r="221" spans="1:23" ht="13" x14ac:dyDescent="0.3">
      <c r="A221" s="58"/>
      <c r="B221" s="58"/>
      <c r="C221" s="58"/>
      <c r="D221" s="58"/>
      <c r="E221" s="58"/>
      <c r="F221" s="58"/>
      <c r="G221" s="58"/>
      <c r="H221" s="59"/>
      <c r="I221" s="59"/>
      <c r="J221" s="59"/>
      <c r="K221" s="59"/>
      <c r="L221" s="59"/>
      <c r="M221" s="60"/>
      <c r="N221" s="60"/>
      <c r="O221" s="60"/>
      <c r="P221" s="59"/>
      <c r="Q221" s="59"/>
      <c r="R221" s="60"/>
      <c r="S221" s="60"/>
      <c r="T221" s="60"/>
      <c r="U221" s="60"/>
      <c r="V221" s="60"/>
      <c r="W221" s="60"/>
    </row>
    <row r="222" spans="1:23" ht="13" x14ac:dyDescent="0.3">
      <c r="A222" s="58"/>
      <c r="B222" s="58"/>
      <c r="C222" s="58"/>
      <c r="D222" s="58"/>
      <c r="E222" s="58"/>
      <c r="F222" s="58"/>
      <c r="G222" s="58"/>
      <c r="H222" s="59"/>
      <c r="I222" s="59"/>
      <c r="J222" s="59"/>
      <c r="K222" s="59"/>
      <c r="L222" s="59"/>
      <c r="M222" s="60"/>
      <c r="N222" s="60"/>
      <c r="O222" s="60"/>
      <c r="P222" s="59"/>
      <c r="Q222" s="59"/>
      <c r="R222" s="60"/>
      <c r="S222" s="60"/>
      <c r="T222" s="60"/>
      <c r="U222" s="60"/>
      <c r="V222" s="60"/>
      <c r="W222" s="60"/>
    </row>
    <row r="223" spans="1:23" ht="13" x14ac:dyDescent="0.3">
      <c r="A223" s="58"/>
      <c r="B223" s="58"/>
      <c r="C223" s="58"/>
      <c r="D223" s="58"/>
      <c r="E223" s="58"/>
      <c r="F223" s="58"/>
      <c r="G223" s="58"/>
      <c r="H223" s="59"/>
      <c r="I223" s="59"/>
      <c r="J223" s="59"/>
      <c r="K223" s="59"/>
      <c r="L223" s="59"/>
      <c r="M223" s="60"/>
      <c r="N223" s="60"/>
      <c r="O223" s="60"/>
      <c r="P223" s="59"/>
      <c r="Q223" s="59"/>
      <c r="R223" s="60"/>
      <c r="S223" s="60"/>
      <c r="T223" s="60"/>
      <c r="U223" s="60"/>
      <c r="V223" s="60"/>
      <c r="W223" s="60"/>
    </row>
    <row r="224" spans="1:23" ht="13" x14ac:dyDescent="0.3">
      <c r="A224" s="58"/>
      <c r="B224" s="58"/>
      <c r="C224" s="58"/>
      <c r="D224" s="58"/>
      <c r="E224" s="58"/>
      <c r="F224" s="58"/>
      <c r="G224" s="58"/>
      <c r="H224" s="59"/>
      <c r="I224" s="59"/>
      <c r="J224" s="59"/>
      <c r="K224" s="59"/>
      <c r="L224" s="59"/>
      <c r="M224" s="60"/>
      <c r="N224" s="60"/>
      <c r="O224" s="60"/>
      <c r="P224" s="59"/>
      <c r="Q224" s="59"/>
      <c r="R224" s="60"/>
      <c r="S224" s="60"/>
      <c r="T224" s="60"/>
      <c r="U224" s="60"/>
      <c r="V224" s="60"/>
      <c r="W224" s="60"/>
    </row>
    <row r="225" spans="1:23" ht="13" x14ac:dyDescent="0.3">
      <c r="A225" s="58"/>
      <c r="B225" s="58"/>
      <c r="C225" s="58"/>
      <c r="D225" s="58"/>
      <c r="E225" s="58"/>
      <c r="F225" s="58"/>
      <c r="G225" s="58"/>
      <c r="H225" s="59"/>
      <c r="I225" s="59"/>
      <c r="J225" s="59"/>
      <c r="K225" s="59"/>
      <c r="L225" s="59"/>
      <c r="M225" s="60"/>
      <c r="N225" s="60"/>
      <c r="O225" s="60"/>
      <c r="P225" s="59"/>
      <c r="Q225" s="59"/>
      <c r="R225" s="60"/>
      <c r="S225" s="60"/>
      <c r="T225" s="60"/>
      <c r="U225" s="60"/>
      <c r="V225" s="60"/>
      <c r="W225" s="60"/>
    </row>
    <row r="226" spans="1:23" ht="13" x14ac:dyDescent="0.3">
      <c r="A226" s="58"/>
      <c r="B226" s="58"/>
      <c r="C226" s="58"/>
      <c r="D226" s="58"/>
      <c r="E226" s="58"/>
      <c r="F226" s="58"/>
      <c r="G226" s="58"/>
      <c r="H226" s="59"/>
      <c r="I226" s="59"/>
      <c r="J226" s="59"/>
      <c r="K226" s="59"/>
      <c r="L226" s="59"/>
      <c r="M226" s="60"/>
      <c r="N226" s="60"/>
      <c r="O226" s="60"/>
      <c r="P226" s="59"/>
      <c r="Q226" s="59"/>
      <c r="R226" s="60"/>
      <c r="S226" s="60"/>
      <c r="T226" s="60"/>
      <c r="U226" s="60"/>
      <c r="V226" s="60"/>
      <c r="W226" s="60"/>
    </row>
    <row r="227" spans="1:23" ht="13" x14ac:dyDescent="0.3">
      <c r="A227" s="58"/>
      <c r="B227" s="58"/>
      <c r="C227" s="58"/>
      <c r="D227" s="58"/>
      <c r="E227" s="58"/>
      <c r="F227" s="58"/>
      <c r="G227" s="58"/>
      <c r="H227" s="59"/>
      <c r="I227" s="59"/>
      <c r="J227" s="59"/>
      <c r="K227" s="59"/>
      <c r="L227" s="59"/>
      <c r="M227" s="60"/>
      <c r="N227" s="60"/>
      <c r="O227" s="60"/>
      <c r="P227" s="59"/>
      <c r="Q227" s="59"/>
      <c r="R227" s="60"/>
      <c r="S227" s="60"/>
      <c r="T227" s="60"/>
      <c r="U227" s="60"/>
      <c r="V227" s="60"/>
      <c r="W227" s="60"/>
    </row>
    <row r="228" spans="1:23" ht="13" x14ac:dyDescent="0.3">
      <c r="A228" s="58"/>
      <c r="B228" s="58"/>
      <c r="C228" s="58"/>
      <c r="D228" s="58"/>
      <c r="E228" s="58"/>
      <c r="F228" s="58"/>
      <c r="G228" s="58"/>
      <c r="H228" s="59"/>
      <c r="I228" s="59"/>
      <c r="J228" s="59"/>
      <c r="K228" s="59"/>
      <c r="L228" s="59"/>
      <c r="M228" s="60"/>
      <c r="N228" s="60"/>
      <c r="O228" s="60"/>
      <c r="P228" s="59"/>
      <c r="Q228" s="59"/>
      <c r="R228" s="60"/>
      <c r="S228" s="60"/>
      <c r="T228" s="60"/>
      <c r="U228" s="60"/>
      <c r="V228" s="60"/>
      <c r="W228" s="60"/>
    </row>
    <row r="229" spans="1:23" ht="13" x14ac:dyDescent="0.3">
      <c r="A229" s="58"/>
      <c r="B229" s="58"/>
      <c r="C229" s="58"/>
      <c r="D229" s="58"/>
      <c r="E229" s="58"/>
      <c r="F229" s="58"/>
      <c r="G229" s="58"/>
      <c r="H229" s="59"/>
      <c r="I229" s="59"/>
      <c r="J229" s="59"/>
      <c r="K229" s="59"/>
      <c r="L229" s="59"/>
      <c r="M229" s="60"/>
      <c r="N229" s="60"/>
      <c r="O229" s="60"/>
      <c r="P229" s="59"/>
      <c r="Q229" s="59"/>
      <c r="R229" s="60"/>
      <c r="S229" s="60"/>
      <c r="T229" s="60"/>
      <c r="U229" s="60"/>
      <c r="V229" s="60"/>
      <c r="W229" s="60"/>
    </row>
    <row r="230" spans="1:23" ht="13" x14ac:dyDescent="0.3">
      <c r="A230" s="58"/>
      <c r="B230" s="58"/>
      <c r="C230" s="58"/>
      <c r="D230" s="58"/>
      <c r="E230" s="58"/>
      <c r="F230" s="58"/>
      <c r="G230" s="58"/>
      <c r="H230" s="59"/>
      <c r="I230" s="59"/>
      <c r="J230" s="59"/>
      <c r="K230" s="59"/>
      <c r="L230" s="59"/>
      <c r="M230" s="60"/>
      <c r="N230" s="60"/>
      <c r="O230" s="60"/>
      <c r="P230" s="59"/>
      <c r="Q230" s="59"/>
      <c r="R230" s="60"/>
      <c r="S230" s="60"/>
      <c r="T230" s="60"/>
      <c r="U230" s="60"/>
      <c r="V230" s="60"/>
      <c r="W230" s="60"/>
    </row>
    <row r="231" spans="1:23" ht="13" x14ac:dyDescent="0.3">
      <c r="A231" s="58"/>
      <c r="B231" s="58"/>
      <c r="C231" s="58"/>
      <c r="D231" s="58"/>
      <c r="E231" s="58"/>
      <c r="F231" s="58"/>
      <c r="G231" s="58"/>
      <c r="H231" s="59"/>
      <c r="I231" s="59"/>
      <c r="J231" s="59"/>
      <c r="K231" s="59"/>
      <c r="L231" s="59"/>
      <c r="M231" s="60"/>
      <c r="N231" s="60"/>
      <c r="O231" s="60"/>
      <c r="P231" s="59"/>
      <c r="Q231" s="59"/>
      <c r="R231" s="60"/>
      <c r="S231" s="60"/>
      <c r="T231" s="60"/>
      <c r="U231" s="60"/>
      <c r="V231" s="60"/>
      <c r="W231" s="60"/>
    </row>
    <row r="232" spans="1:23" ht="13" x14ac:dyDescent="0.3">
      <c r="A232" s="58"/>
      <c r="B232" s="58"/>
      <c r="C232" s="58"/>
      <c r="D232" s="58"/>
      <c r="E232" s="58"/>
      <c r="F232" s="58"/>
      <c r="G232" s="58"/>
      <c r="H232" s="59"/>
      <c r="I232" s="59"/>
      <c r="J232" s="59"/>
      <c r="K232" s="59"/>
      <c r="L232" s="59"/>
      <c r="M232" s="60"/>
      <c r="N232" s="60"/>
      <c r="O232" s="60"/>
      <c r="P232" s="59"/>
      <c r="Q232" s="59"/>
      <c r="R232" s="60"/>
      <c r="S232" s="60"/>
      <c r="T232" s="60"/>
      <c r="U232" s="60"/>
      <c r="V232" s="60"/>
      <c r="W232" s="60"/>
    </row>
    <row r="233" spans="1:23" ht="13" x14ac:dyDescent="0.3">
      <c r="A233" s="58"/>
      <c r="B233" s="58"/>
      <c r="C233" s="58"/>
      <c r="D233" s="58"/>
      <c r="E233" s="58"/>
      <c r="F233" s="58"/>
      <c r="G233" s="58"/>
      <c r="H233" s="59"/>
      <c r="I233" s="59"/>
      <c r="J233" s="59"/>
      <c r="K233" s="59"/>
      <c r="L233" s="59"/>
      <c r="M233" s="60"/>
      <c r="N233" s="60"/>
      <c r="O233" s="60"/>
      <c r="P233" s="59"/>
      <c r="Q233" s="59"/>
      <c r="R233" s="60"/>
      <c r="S233" s="60"/>
      <c r="T233" s="60"/>
      <c r="U233" s="60"/>
      <c r="V233" s="60"/>
      <c r="W233" s="60"/>
    </row>
    <row r="234" spans="1:23" ht="13" x14ac:dyDescent="0.3">
      <c r="A234" s="58"/>
      <c r="B234" s="58"/>
      <c r="C234" s="58"/>
      <c r="D234" s="58"/>
      <c r="E234" s="58"/>
      <c r="F234" s="58"/>
      <c r="G234" s="58"/>
      <c r="H234" s="59"/>
      <c r="I234" s="59"/>
      <c r="J234" s="59"/>
      <c r="K234" s="59"/>
      <c r="L234" s="59"/>
      <c r="M234" s="60"/>
      <c r="N234" s="60"/>
      <c r="O234" s="60"/>
      <c r="P234" s="59"/>
      <c r="Q234" s="59"/>
      <c r="R234" s="60"/>
      <c r="S234" s="60"/>
      <c r="T234" s="60"/>
      <c r="U234" s="60"/>
      <c r="V234" s="60"/>
      <c r="W234" s="60"/>
    </row>
    <row r="235" spans="1:23" ht="13" x14ac:dyDescent="0.3">
      <c r="A235" s="58"/>
      <c r="B235" s="58"/>
      <c r="C235" s="58"/>
      <c r="D235" s="58"/>
      <c r="E235" s="58"/>
      <c r="F235" s="58"/>
      <c r="G235" s="58"/>
      <c r="H235" s="59"/>
      <c r="I235" s="59"/>
      <c r="J235" s="59"/>
      <c r="K235" s="59"/>
      <c r="L235" s="59"/>
      <c r="M235" s="60"/>
      <c r="N235" s="60"/>
      <c r="O235" s="60"/>
      <c r="P235" s="59"/>
      <c r="Q235" s="59"/>
      <c r="R235" s="60"/>
      <c r="S235" s="60"/>
      <c r="T235" s="60"/>
      <c r="U235" s="60"/>
      <c r="V235" s="60"/>
      <c r="W235" s="60"/>
    </row>
    <row r="236" spans="1:23" ht="13" x14ac:dyDescent="0.3">
      <c r="A236" s="58"/>
      <c r="B236" s="58"/>
      <c r="C236" s="58"/>
      <c r="D236" s="58"/>
      <c r="E236" s="58"/>
      <c r="F236" s="58"/>
      <c r="G236" s="58"/>
      <c r="H236" s="59"/>
      <c r="I236" s="59"/>
      <c r="J236" s="59"/>
      <c r="K236" s="59"/>
      <c r="L236" s="59"/>
      <c r="M236" s="60"/>
      <c r="N236" s="60"/>
      <c r="O236" s="60"/>
      <c r="P236" s="59"/>
      <c r="Q236" s="59"/>
      <c r="R236" s="60"/>
      <c r="S236" s="60"/>
      <c r="T236" s="60"/>
      <c r="U236" s="60"/>
      <c r="V236" s="60"/>
      <c r="W236" s="60"/>
    </row>
    <row r="237" spans="1:23" ht="13" x14ac:dyDescent="0.3">
      <c r="A237" s="58"/>
      <c r="B237" s="58"/>
      <c r="C237" s="58"/>
      <c r="D237" s="58"/>
      <c r="E237" s="58"/>
      <c r="F237" s="58"/>
      <c r="G237" s="58"/>
      <c r="H237" s="59"/>
      <c r="I237" s="59"/>
      <c r="J237" s="59"/>
      <c r="K237" s="59"/>
      <c r="L237" s="59"/>
      <c r="M237" s="60"/>
      <c r="N237" s="60"/>
      <c r="O237" s="60"/>
      <c r="P237" s="59"/>
      <c r="Q237" s="59"/>
      <c r="R237" s="60"/>
      <c r="S237" s="60"/>
      <c r="T237" s="60"/>
      <c r="U237" s="60"/>
      <c r="V237" s="60"/>
      <c r="W237" s="60"/>
    </row>
    <row r="238" spans="1:23" ht="13" x14ac:dyDescent="0.3">
      <c r="A238" s="58"/>
      <c r="B238" s="58"/>
      <c r="C238" s="58"/>
      <c r="D238" s="58"/>
      <c r="E238" s="58"/>
      <c r="F238" s="58"/>
      <c r="G238" s="58"/>
      <c r="H238" s="59"/>
      <c r="I238" s="59"/>
      <c r="J238" s="59"/>
      <c r="K238" s="59"/>
      <c r="L238" s="59"/>
      <c r="M238" s="60"/>
      <c r="N238" s="60"/>
      <c r="O238" s="60"/>
      <c r="P238" s="59"/>
      <c r="Q238" s="59"/>
      <c r="R238" s="60"/>
      <c r="S238" s="60"/>
      <c r="T238" s="60"/>
      <c r="U238" s="60"/>
      <c r="V238" s="60"/>
      <c r="W238" s="60"/>
    </row>
    <row r="239" spans="1:23" ht="13" x14ac:dyDescent="0.3">
      <c r="A239" s="58"/>
      <c r="B239" s="58"/>
      <c r="C239" s="58"/>
      <c r="D239" s="58"/>
      <c r="E239" s="58"/>
      <c r="F239" s="58"/>
      <c r="G239" s="58"/>
      <c r="H239" s="59"/>
      <c r="I239" s="59"/>
      <c r="J239" s="59"/>
      <c r="K239" s="59"/>
      <c r="L239" s="59"/>
      <c r="M239" s="60"/>
      <c r="N239" s="60"/>
      <c r="O239" s="60"/>
      <c r="P239" s="59"/>
      <c r="Q239" s="59"/>
      <c r="R239" s="60"/>
      <c r="S239" s="60"/>
      <c r="T239" s="60"/>
      <c r="U239" s="60"/>
      <c r="V239" s="60"/>
      <c r="W239" s="60"/>
    </row>
    <row r="240" spans="1:23" ht="13" x14ac:dyDescent="0.3">
      <c r="A240" s="58"/>
      <c r="B240" s="58"/>
      <c r="C240" s="58"/>
      <c r="D240" s="58"/>
      <c r="E240" s="58"/>
      <c r="F240" s="58"/>
      <c r="G240" s="58"/>
      <c r="H240" s="59"/>
      <c r="I240" s="59"/>
      <c r="J240" s="59"/>
      <c r="K240" s="59"/>
      <c r="L240" s="59"/>
      <c r="M240" s="60"/>
      <c r="N240" s="60"/>
      <c r="O240" s="60"/>
      <c r="P240" s="59"/>
      <c r="Q240" s="59"/>
      <c r="R240" s="60"/>
      <c r="S240" s="60"/>
      <c r="T240" s="60"/>
      <c r="U240" s="60"/>
      <c r="V240" s="60"/>
      <c r="W240" s="60"/>
    </row>
    <row r="241" spans="1:23" ht="13" x14ac:dyDescent="0.3">
      <c r="A241" s="58"/>
      <c r="B241" s="58"/>
      <c r="C241" s="58"/>
      <c r="D241" s="58"/>
      <c r="E241" s="58"/>
      <c r="F241" s="58"/>
      <c r="G241" s="58"/>
      <c r="H241" s="59"/>
      <c r="I241" s="59"/>
      <c r="J241" s="59"/>
      <c r="K241" s="59"/>
      <c r="L241" s="59"/>
      <c r="M241" s="60"/>
      <c r="N241" s="60"/>
      <c r="O241" s="60"/>
      <c r="P241" s="59"/>
      <c r="Q241" s="59"/>
      <c r="R241" s="60"/>
      <c r="S241" s="60"/>
      <c r="T241" s="60"/>
      <c r="U241" s="60"/>
      <c r="V241" s="60"/>
      <c r="W241" s="60"/>
    </row>
    <row r="242" spans="1:23" ht="13" x14ac:dyDescent="0.3">
      <c r="A242" s="58"/>
      <c r="B242" s="58"/>
      <c r="C242" s="58"/>
      <c r="D242" s="58"/>
      <c r="E242" s="58"/>
      <c r="F242" s="58"/>
      <c r="G242" s="58"/>
      <c r="H242" s="59"/>
      <c r="I242" s="59"/>
      <c r="J242" s="59"/>
      <c r="K242" s="59"/>
      <c r="L242" s="59"/>
      <c r="M242" s="60"/>
      <c r="N242" s="60"/>
      <c r="O242" s="60"/>
      <c r="P242" s="59"/>
      <c r="Q242" s="59"/>
      <c r="R242" s="60"/>
      <c r="S242" s="60"/>
      <c r="T242" s="60"/>
      <c r="U242" s="60"/>
      <c r="V242" s="60"/>
      <c r="W242" s="60"/>
    </row>
    <row r="243" spans="1:23" ht="13" x14ac:dyDescent="0.3">
      <c r="A243" s="58"/>
      <c r="B243" s="58"/>
      <c r="C243" s="58"/>
      <c r="D243" s="58"/>
      <c r="E243" s="58"/>
      <c r="F243" s="58"/>
      <c r="G243" s="58"/>
      <c r="H243" s="59"/>
      <c r="I243" s="59"/>
      <c r="J243" s="59"/>
      <c r="K243" s="59"/>
      <c r="L243" s="59"/>
      <c r="M243" s="60"/>
      <c r="N243" s="60"/>
      <c r="O243" s="60"/>
      <c r="P243" s="59"/>
      <c r="Q243" s="59"/>
      <c r="R243" s="60"/>
      <c r="S243" s="60"/>
      <c r="T243" s="60"/>
      <c r="U243" s="60"/>
      <c r="V243" s="60"/>
      <c r="W243" s="60"/>
    </row>
    <row r="244" spans="1:23" ht="13" x14ac:dyDescent="0.3">
      <c r="A244" s="58"/>
      <c r="B244" s="58"/>
      <c r="C244" s="58"/>
      <c r="D244" s="58"/>
      <c r="E244" s="58"/>
      <c r="F244" s="58"/>
      <c r="G244" s="58"/>
      <c r="H244" s="59"/>
      <c r="I244" s="59"/>
      <c r="J244" s="59"/>
      <c r="K244" s="59"/>
      <c r="L244" s="59"/>
      <c r="M244" s="60"/>
      <c r="N244" s="60"/>
      <c r="O244" s="60"/>
      <c r="P244" s="59"/>
      <c r="Q244" s="59"/>
      <c r="R244" s="60"/>
      <c r="S244" s="60"/>
      <c r="T244" s="60"/>
      <c r="U244" s="60"/>
      <c r="V244" s="60"/>
      <c r="W244" s="60"/>
    </row>
    <row r="245" spans="1:23" ht="13" x14ac:dyDescent="0.3">
      <c r="A245" s="58"/>
      <c r="B245" s="58"/>
      <c r="C245" s="58"/>
      <c r="D245" s="58"/>
      <c r="E245" s="58"/>
      <c r="F245" s="58"/>
      <c r="G245" s="58"/>
      <c r="H245" s="59"/>
      <c r="I245" s="59"/>
      <c r="J245" s="59"/>
      <c r="K245" s="59"/>
      <c r="L245" s="59"/>
      <c r="M245" s="60"/>
      <c r="N245" s="60"/>
      <c r="O245" s="60"/>
      <c r="P245" s="59"/>
      <c r="Q245" s="59"/>
      <c r="R245" s="60"/>
      <c r="S245" s="60"/>
      <c r="T245" s="60"/>
      <c r="U245" s="60"/>
      <c r="V245" s="60"/>
      <c r="W245" s="60"/>
    </row>
    <row r="246" spans="1:23" ht="13" x14ac:dyDescent="0.3">
      <c r="A246" s="58"/>
      <c r="B246" s="58"/>
      <c r="C246" s="58"/>
      <c r="D246" s="58"/>
      <c r="E246" s="58"/>
      <c r="F246" s="58"/>
      <c r="G246" s="58"/>
      <c r="H246" s="59"/>
      <c r="I246" s="59"/>
      <c r="J246" s="59"/>
      <c r="K246" s="59"/>
      <c r="L246" s="59"/>
      <c r="M246" s="60"/>
      <c r="N246" s="60"/>
      <c r="O246" s="60"/>
      <c r="P246" s="59"/>
      <c r="Q246" s="59"/>
      <c r="R246" s="60"/>
      <c r="S246" s="60"/>
      <c r="T246" s="60"/>
      <c r="U246" s="60"/>
      <c r="V246" s="60"/>
      <c r="W246" s="60"/>
    </row>
    <row r="247" spans="1:23" ht="13" x14ac:dyDescent="0.3">
      <c r="A247" s="58"/>
      <c r="B247" s="58"/>
      <c r="C247" s="58"/>
      <c r="D247" s="58"/>
      <c r="E247" s="58"/>
      <c r="F247" s="58"/>
      <c r="G247" s="58"/>
      <c r="H247" s="59"/>
      <c r="I247" s="59"/>
      <c r="J247" s="59"/>
      <c r="K247" s="59"/>
      <c r="L247" s="59"/>
      <c r="M247" s="60"/>
      <c r="N247" s="60"/>
      <c r="O247" s="60"/>
      <c r="P247" s="59"/>
      <c r="Q247" s="59"/>
      <c r="R247" s="60"/>
      <c r="S247" s="60"/>
      <c r="T247" s="60"/>
      <c r="U247" s="60"/>
      <c r="V247" s="60"/>
      <c r="W247" s="60"/>
    </row>
    <row r="248" spans="1:23" ht="13" x14ac:dyDescent="0.3">
      <c r="A248" s="58"/>
      <c r="B248" s="58"/>
      <c r="C248" s="58"/>
      <c r="D248" s="58"/>
      <c r="E248" s="58"/>
      <c r="F248" s="58"/>
      <c r="G248" s="58"/>
      <c r="H248" s="59"/>
      <c r="I248" s="59"/>
      <c r="J248" s="59"/>
      <c r="K248" s="59"/>
      <c r="L248" s="59"/>
      <c r="M248" s="60"/>
      <c r="N248" s="60"/>
      <c r="O248" s="60"/>
      <c r="P248" s="59"/>
      <c r="Q248" s="59"/>
      <c r="R248" s="60"/>
      <c r="S248" s="60"/>
      <c r="T248" s="60"/>
      <c r="U248" s="60"/>
      <c r="V248" s="60"/>
      <c r="W248" s="60"/>
    </row>
    <row r="249" spans="1:23" ht="13" x14ac:dyDescent="0.3">
      <c r="A249" s="58"/>
      <c r="B249" s="58"/>
      <c r="C249" s="58"/>
      <c r="D249" s="58"/>
      <c r="E249" s="58"/>
      <c r="F249" s="58"/>
      <c r="G249" s="58"/>
      <c r="H249" s="59"/>
      <c r="I249" s="59"/>
      <c r="J249" s="59"/>
      <c r="K249" s="59"/>
      <c r="L249" s="59"/>
      <c r="M249" s="60"/>
      <c r="N249" s="60"/>
      <c r="O249" s="60"/>
      <c r="P249" s="59"/>
      <c r="Q249" s="59"/>
      <c r="R249" s="60"/>
      <c r="S249" s="60"/>
      <c r="T249" s="60"/>
      <c r="U249" s="60"/>
      <c r="V249" s="60"/>
      <c r="W249" s="60"/>
    </row>
    <row r="250" spans="1:23" ht="13" x14ac:dyDescent="0.3">
      <c r="A250" s="58"/>
      <c r="B250" s="58"/>
      <c r="C250" s="58"/>
      <c r="D250" s="58"/>
      <c r="E250" s="58"/>
      <c r="F250" s="58"/>
      <c r="G250" s="58"/>
      <c r="H250" s="59"/>
      <c r="I250" s="59"/>
      <c r="J250" s="59"/>
      <c r="K250" s="59"/>
      <c r="L250" s="59"/>
      <c r="M250" s="60"/>
      <c r="N250" s="60"/>
      <c r="O250" s="60"/>
      <c r="P250" s="59"/>
      <c r="Q250" s="59"/>
      <c r="R250" s="60"/>
      <c r="S250" s="60"/>
      <c r="T250" s="60"/>
      <c r="U250" s="60"/>
      <c r="V250" s="60"/>
      <c r="W250" s="60"/>
    </row>
    <row r="251" spans="1:23" ht="13" x14ac:dyDescent="0.3">
      <c r="A251" s="58"/>
      <c r="B251" s="58"/>
      <c r="C251" s="58"/>
      <c r="D251" s="58"/>
      <c r="E251" s="58"/>
      <c r="F251" s="58"/>
      <c r="G251" s="58"/>
      <c r="H251" s="59"/>
      <c r="I251" s="59"/>
      <c r="J251" s="59"/>
      <c r="K251" s="59"/>
      <c r="L251" s="59"/>
      <c r="M251" s="60"/>
      <c r="N251" s="60"/>
      <c r="O251" s="60"/>
      <c r="P251" s="59"/>
      <c r="Q251" s="59"/>
      <c r="R251" s="60"/>
      <c r="S251" s="60"/>
      <c r="T251" s="60"/>
      <c r="U251" s="60"/>
      <c r="V251" s="60"/>
      <c r="W251" s="60"/>
    </row>
    <row r="252" spans="1:23" ht="13" x14ac:dyDescent="0.3">
      <c r="A252" s="58"/>
      <c r="B252" s="58"/>
      <c r="C252" s="58"/>
      <c r="D252" s="58"/>
      <c r="E252" s="58"/>
      <c r="F252" s="58"/>
      <c r="G252" s="58"/>
      <c r="H252" s="59"/>
      <c r="I252" s="59"/>
      <c r="J252" s="59"/>
      <c r="K252" s="59"/>
      <c r="L252" s="59"/>
      <c r="M252" s="60"/>
      <c r="N252" s="60"/>
      <c r="O252" s="60"/>
      <c r="P252" s="59"/>
      <c r="Q252" s="59"/>
      <c r="R252" s="60"/>
      <c r="S252" s="60"/>
      <c r="T252" s="60"/>
      <c r="U252" s="60"/>
      <c r="V252" s="60"/>
      <c r="W252" s="60"/>
    </row>
    <row r="253" spans="1:23" ht="13" x14ac:dyDescent="0.3">
      <c r="A253" s="58"/>
      <c r="B253" s="58"/>
      <c r="C253" s="58"/>
      <c r="D253" s="58"/>
      <c r="E253" s="58"/>
      <c r="F253" s="58"/>
      <c r="G253" s="58"/>
      <c r="H253" s="59"/>
      <c r="I253" s="59"/>
      <c r="J253" s="59"/>
      <c r="K253" s="59"/>
      <c r="L253" s="59"/>
      <c r="M253" s="60"/>
      <c r="N253" s="60"/>
      <c r="O253" s="60"/>
      <c r="P253" s="59"/>
      <c r="Q253" s="59"/>
      <c r="R253" s="60"/>
      <c r="S253" s="60"/>
      <c r="T253" s="60"/>
      <c r="U253" s="60"/>
      <c r="V253" s="60"/>
      <c r="W253" s="60"/>
    </row>
    <row r="254" spans="1:23" ht="13" x14ac:dyDescent="0.3">
      <c r="A254" s="58"/>
      <c r="B254" s="58"/>
      <c r="C254" s="58"/>
      <c r="D254" s="58"/>
      <c r="E254" s="58"/>
      <c r="F254" s="58"/>
      <c r="G254" s="58"/>
      <c r="H254" s="59"/>
      <c r="I254" s="59"/>
      <c r="J254" s="59"/>
      <c r="K254" s="59"/>
      <c r="L254" s="59"/>
      <c r="M254" s="60"/>
      <c r="N254" s="60"/>
      <c r="O254" s="60"/>
      <c r="P254" s="59"/>
      <c r="Q254" s="59"/>
      <c r="R254" s="60"/>
      <c r="S254" s="60"/>
      <c r="T254" s="60"/>
      <c r="U254" s="60"/>
      <c r="V254" s="60"/>
      <c r="W254" s="60"/>
    </row>
    <row r="255" spans="1:23" ht="13" x14ac:dyDescent="0.3">
      <c r="A255" s="58"/>
      <c r="B255" s="58"/>
      <c r="C255" s="58"/>
      <c r="D255" s="58"/>
      <c r="E255" s="58"/>
      <c r="F255" s="58"/>
      <c r="G255" s="58"/>
      <c r="H255" s="59"/>
      <c r="I255" s="59"/>
      <c r="J255" s="59"/>
      <c r="K255" s="59"/>
      <c r="L255" s="59"/>
      <c r="M255" s="60"/>
      <c r="N255" s="60"/>
      <c r="O255" s="60"/>
      <c r="P255" s="59"/>
      <c r="Q255" s="59"/>
      <c r="R255" s="60"/>
      <c r="S255" s="60"/>
      <c r="T255" s="60"/>
      <c r="U255" s="60"/>
      <c r="V255" s="60"/>
      <c r="W255" s="60"/>
    </row>
    <row r="256" spans="1:23" ht="13" x14ac:dyDescent="0.3">
      <c r="A256" s="58"/>
      <c r="B256" s="58"/>
      <c r="C256" s="58"/>
      <c r="D256" s="58"/>
      <c r="E256" s="58"/>
      <c r="F256" s="58"/>
      <c r="G256" s="58"/>
      <c r="H256" s="59"/>
      <c r="I256" s="59"/>
      <c r="J256" s="59"/>
      <c r="K256" s="59"/>
      <c r="L256" s="59"/>
      <c r="M256" s="60"/>
      <c r="N256" s="60"/>
      <c r="O256" s="60"/>
      <c r="P256" s="59"/>
      <c r="Q256" s="59"/>
      <c r="R256" s="60"/>
      <c r="S256" s="60"/>
      <c r="T256" s="60"/>
      <c r="U256" s="60"/>
      <c r="V256" s="60"/>
      <c r="W256" s="60"/>
    </row>
    <row r="257" spans="1:23" ht="13" x14ac:dyDescent="0.3">
      <c r="A257" s="58"/>
      <c r="B257" s="58"/>
      <c r="C257" s="58"/>
      <c r="D257" s="58"/>
      <c r="E257" s="58"/>
      <c r="F257" s="58"/>
      <c r="G257" s="58"/>
      <c r="H257" s="59"/>
      <c r="I257" s="59"/>
      <c r="J257" s="59"/>
      <c r="K257" s="59"/>
      <c r="L257" s="59"/>
      <c r="M257" s="60"/>
      <c r="N257" s="60"/>
      <c r="O257" s="60"/>
      <c r="P257" s="59"/>
      <c r="Q257" s="59"/>
      <c r="R257" s="60"/>
      <c r="S257" s="60"/>
      <c r="T257" s="60"/>
      <c r="U257" s="60"/>
      <c r="V257" s="60"/>
      <c r="W257" s="60"/>
    </row>
    <row r="258" spans="1:23" ht="13" x14ac:dyDescent="0.3">
      <c r="A258" s="58"/>
      <c r="B258" s="58"/>
      <c r="C258" s="58"/>
      <c r="D258" s="58"/>
      <c r="E258" s="58"/>
      <c r="F258" s="58"/>
      <c r="G258" s="58"/>
      <c r="H258" s="59"/>
      <c r="I258" s="59"/>
      <c r="J258" s="59"/>
      <c r="K258" s="59"/>
      <c r="L258" s="59"/>
      <c r="M258" s="60"/>
      <c r="N258" s="60"/>
      <c r="O258" s="60"/>
      <c r="P258" s="59"/>
      <c r="Q258" s="59"/>
      <c r="R258" s="60"/>
      <c r="S258" s="60"/>
      <c r="T258" s="60"/>
      <c r="U258" s="60"/>
      <c r="V258" s="60"/>
      <c r="W258" s="60"/>
    </row>
    <row r="259" spans="1:23" ht="13" x14ac:dyDescent="0.3">
      <c r="A259" s="58"/>
      <c r="B259" s="58"/>
      <c r="C259" s="58"/>
      <c r="D259" s="58"/>
      <c r="E259" s="58"/>
      <c r="F259" s="58"/>
      <c r="G259" s="58"/>
      <c r="H259" s="59"/>
      <c r="I259" s="59"/>
      <c r="J259" s="59"/>
      <c r="K259" s="59"/>
      <c r="L259" s="59"/>
      <c r="M259" s="60"/>
      <c r="N259" s="60"/>
      <c r="O259" s="60"/>
      <c r="P259" s="59"/>
      <c r="Q259" s="59"/>
      <c r="R259" s="60"/>
      <c r="S259" s="60"/>
      <c r="T259" s="60"/>
      <c r="U259" s="60"/>
      <c r="V259" s="60"/>
      <c r="W259" s="60"/>
    </row>
    <row r="260" spans="1:23" ht="13" x14ac:dyDescent="0.3">
      <c r="A260" s="58"/>
      <c r="B260" s="58"/>
      <c r="C260" s="58"/>
      <c r="D260" s="58"/>
      <c r="E260" s="58"/>
      <c r="F260" s="58"/>
      <c r="G260" s="58"/>
      <c r="H260" s="59"/>
      <c r="I260" s="59"/>
      <c r="J260" s="59"/>
      <c r="K260" s="59"/>
      <c r="L260" s="59"/>
      <c r="M260" s="60"/>
      <c r="N260" s="60"/>
      <c r="O260" s="60"/>
      <c r="P260" s="59"/>
      <c r="Q260" s="59"/>
      <c r="R260" s="60"/>
      <c r="S260" s="60"/>
      <c r="T260" s="60"/>
      <c r="U260" s="60"/>
      <c r="V260" s="60"/>
      <c r="W260" s="60"/>
    </row>
    <row r="261" spans="1:23" ht="13" x14ac:dyDescent="0.3">
      <c r="A261" s="58"/>
      <c r="B261" s="58"/>
      <c r="C261" s="58"/>
      <c r="D261" s="58"/>
      <c r="E261" s="58"/>
      <c r="F261" s="58"/>
      <c r="G261" s="58"/>
      <c r="H261" s="59"/>
      <c r="I261" s="59"/>
      <c r="J261" s="59"/>
      <c r="K261" s="59"/>
      <c r="L261" s="59"/>
      <c r="M261" s="60"/>
      <c r="N261" s="60"/>
      <c r="O261" s="60"/>
      <c r="P261" s="59"/>
      <c r="Q261" s="59"/>
      <c r="R261" s="60"/>
      <c r="S261" s="60"/>
      <c r="T261" s="60"/>
      <c r="U261" s="60"/>
      <c r="V261" s="60"/>
      <c r="W261" s="60"/>
    </row>
    <row r="262" spans="1:23" ht="13" x14ac:dyDescent="0.3">
      <c r="A262" s="58"/>
      <c r="B262" s="58"/>
      <c r="C262" s="58"/>
      <c r="D262" s="58"/>
      <c r="E262" s="58"/>
      <c r="F262" s="58"/>
      <c r="G262" s="58"/>
      <c r="H262" s="59"/>
      <c r="I262" s="59"/>
      <c r="J262" s="59"/>
      <c r="K262" s="59"/>
      <c r="L262" s="59"/>
      <c r="M262" s="60"/>
      <c r="N262" s="60"/>
      <c r="O262" s="60"/>
      <c r="P262" s="59"/>
      <c r="Q262" s="59"/>
      <c r="R262" s="60"/>
      <c r="S262" s="60"/>
      <c r="T262" s="60"/>
      <c r="U262" s="60"/>
      <c r="V262" s="60"/>
      <c r="W262" s="60"/>
    </row>
    <row r="263" spans="1:23" ht="13" x14ac:dyDescent="0.3">
      <c r="A263" s="58"/>
      <c r="B263" s="58"/>
      <c r="C263" s="58"/>
      <c r="D263" s="58"/>
      <c r="E263" s="58"/>
      <c r="F263" s="58"/>
      <c r="G263" s="58"/>
      <c r="H263" s="59"/>
      <c r="I263" s="59"/>
      <c r="J263" s="59"/>
      <c r="K263" s="59"/>
      <c r="L263" s="59"/>
      <c r="M263" s="60"/>
      <c r="N263" s="60"/>
      <c r="O263" s="60"/>
      <c r="P263" s="59"/>
      <c r="Q263" s="59"/>
      <c r="R263" s="60"/>
      <c r="S263" s="60"/>
      <c r="T263" s="60"/>
      <c r="U263" s="60"/>
      <c r="V263" s="60"/>
      <c r="W263" s="60"/>
    </row>
    <row r="264" spans="1:23" ht="13" x14ac:dyDescent="0.3">
      <c r="A264" s="58"/>
      <c r="B264" s="58"/>
      <c r="C264" s="58"/>
      <c r="D264" s="58"/>
      <c r="E264" s="58"/>
      <c r="F264" s="58"/>
      <c r="G264" s="58"/>
      <c r="H264" s="59"/>
      <c r="I264" s="59"/>
      <c r="J264" s="59"/>
      <c r="K264" s="59"/>
      <c r="L264" s="59"/>
      <c r="M264" s="60"/>
      <c r="N264" s="60"/>
      <c r="O264" s="60"/>
      <c r="P264" s="59"/>
      <c r="Q264" s="59"/>
      <c r="R264" s="60"/>
      <c r="S264" s="60"/>
      <c r="T264" s="60"/>
      <c r="U264" s="60"/>
      <c r="V264" s="60"/>
      <c r="W264" s="60"/>
    </row>
    <row r="265" spans="1:23" ht="13" x14ac:dyDescent="0.3">
      <c r="A265" s="58"/>
      <c r="B265" s="58"/>
      <c r="C265" s="58"/>
      <c r="D265" s="58"/>
      <c r="E265" s="58"/>
      <c r="F265" s="58"/>
      <c r="G265" s="58"/>
      <c r="H265" s="59"/>
      <c r="I265" s="59"/>
      <c r="J265" s="59"/>
      <c r="K265" s="59"/>
      <c r="L265" s="59"/>
      <c r="M265" s="60"/>
      <c r="N265" s="60"/>
      <c r="O265" s="60"/>
      <c r="P265" s="59"/>
      <c r="Q265" s="59"/>
      <c r="R265" s="60"/>
      <c r="S265" s="60"/>
      <c r="T265" s="60"/>
      <c r="U265" s="60"/>
      <c r="V265" s="60"/>
      <c r="W265" s="60"/>
    </row>
    <row r="266" spans="1:23" ht="13" x14ac:dyDescent="0.3">
      <c r="A266" s="58"/>
      <c r="B266" s="58"/>
      <c r="C266" s="58"/>
      <c r="D266" s="58"/>
      <c r="E266" s="58"/>
      <c r="F266" s="58"/>
      <c r="G266" s="58"/>
      <c r="H266" s="59"/>
      <c r="I266" s="59"/>
      <c r="J266" s="59"/>
      <c r="K266" s="59"/>
      <c r="L266" s="59"/>
      <c r="M266" s="60"/>
      <c r="N266" s="60"/>
      <c r="O266" s="60"/>
      <c r="P266" s="59"/>
      <c r="Q266" s="59"/>
      <c r="R266" s="60"/>
      <c r="S266" s="60"/>
      <c r="T266" s="60"/>
      <c r="U266" s="60"/>
      <c r="V266" s="60"/>
      <c r="W266" s="60"/>
    </row>
    <row r="267" spans="1:23" ht="13" x14ac:dyDescent="0.3">
      <c r="A267" s="58"/>
      <c r="B267" s="58"/>
      <c r="C267" s="58"/>
      <c r="D267" s="58"/>
      <c r="E267" s="58"/>
      <c r="F267" s="58"/>
      <c r="G267" s="58"/>
      <c r="H267" s="59"/>
      <c r="I267" s="59"/>
      <c r="J267" s="59"/>
      <c r="K267" s="59"/>
      <c r="L267" s="59"/>
      <c r="M267" s="60"/>
      <c r="N267" s="60"/>
      <c r="O267" s="60"/>
      <c r="P267" s="59"/>
      <c r="Q267" s="59"/>
      <c r="R267" s="60"/>
      <c r="S267" s="60"/>
      <c r="T267" s="60"/>
      <c r="U267" s="60"/>
      <c r="V267" s="60"/>
      <c r="W267" s="60"/>
    </row>
    <row r="268" spans="1:23" ht="13" x14ac:dyDescent="0.3">
      <c r="A268" s="58"/>
      <c r="B268" s="58"/>
      <c r="C268" s="58"/>
      <c r="D268" s="58"/>
      <c r="E268" s="58"/>
      <c r="F268" s="58"/>
      <c r="G268" s="58"/>
      <c r="H268" s="59"/>
      <c r="I268" s="59"/>
      <c r="J268" s="59"/>
      <c r="K268" s="59"/>
      <c r="L268" s="59"/>
      <c r="M268" s="60"/>
      <c r="N268" s="60"/>
      <c r="O268" s="60"/>
      <c r="P268" s="59"/>
      <c r="Q268" s="59"/>
      <c r="R268" s="60"/>
      <c r="S268" s="60"/>
      <c r="T268" s="60"/>
      <c r="U268" s="60"/>
      <c r="V268" s="60"/>
      <c r="W268" s="60"/>
    </row>
    <row r="269" spans="1:23" ht="13" x14ac:dyDescent="0.3">
      <c r="A269" s="58"/>
      <c r="B269" s="58"/>
      <c r="C269" s="58"/>
      <c r="D269" s="58"/>
      <c r="E269" s="58"/>
      <c r="F269" s="58"/>
      <c r="G269" s="58"/>
      <c r="H269" s="59"/>
      <c r="I269" s="59"/>
      <c r="J269" s="59"/>
      <c r="K269" s="59"/>
      <c r="L269" s="59"/>
      <c r="M269" s="60"/>
      <c r="N269" s="60"/>
      <c r="O269" s="60"/>
      <c r="P269" s="59"/>
      <c r="Q269" s="59"/>
      <c r="R269" s="60"/>
      <c r="S269" s="60"/>
      <c r="T269" s="60"/>
      <c r="U269" s="60"/>
      <c r="V269" s="60"/>
      <c r="W269" s="60"/>
    </row>
    <row r="270" spans="1:23" ht="13" x14ac:dyDescent="0.3">
      <c r="A270" s="58"/>
      <c r="B270" s="58"/>
      <c r="C270" s="58"/>
      <c r="D270" s="58"/>
      <c r="E270" s="58"/>
      <c r="F270" s="58"/>
      <c r="G270" s="58"/>
      <c r="H270" s="59"/>
      <c r="I270" s="59"/>
      <c r="J270" s="59"/>
      <c r="K270" s="59"/>
      <c r="L270" s="59"/>
      <c r="M270" s="60"/>
      <c r="N270" s="60"/>
      <c r="O270" s="60"/>
      <c r="P270" s="59"/>
      <c r="Q270" s="59"/>
      <c r="R270" s="60"/>
      <c r="S270" s="60"/>
      <c r="T270" s="60"/>
      <c r="U270" s="60"/>
      <c r="V270" s="60"/>
      <c r="W270" s="60"/>
    </row>
    <row r="271" spans="1:23" ht="13" x14ac:dyDescent="0.3">
      <c r="A271" s="58"/>
      <c r="B271" s="58"/>
      <c r="C271" s="58"/>
      <c r="D271" s="58"/>
      <c r="E271" s="58"/>
      <c r="F271" s="58"/>
      <c r="G271" s="58"/>
      <c r="H271" s="59"/>
      <c r="I271" s="59"/>
      <c r="J271" s="59"/>
      <c r="K271" s="59"/>
      <c r="L271" s="59"/>
      <c r="M271" s="60"/>
      <c r="N271" s="60"/>
      <c r="O271" s="60"/>
      <c r="P271" s="59"/>
      <c r="Q271" s="59"/>
      <c r="R271" s="60"/>
      <c r="S271" s="60"/>
      <c r="T271" s="60"/>
      <c r="U271" s="60"/>
      <c r="V271" s="60"/>
      <c r="W271" s="60"/>
    </row>
    <row r="272" spans="1:23" ht="13" x14ac:dyDescent="0.3">
      <c r="A272" s="58"/>
      <c r="B272" s="58"/>
      <c r="C272" s="58"/>
      <c r="D272" s="58"/>
      <c r="E272" s="58"/>
      <c r="F272" s="58"/>
      <c r="G272" s="58"/>
      <c r="H272" s="59"/>
      <c r="I272" s="59"/>
      <c r="J272" s="59"/>
      <c r="K272" s="59"/>
      <c r="L272" s="59"/>
      <c r="M272" s="60"/>
      <c r="N272" s="60"/>
      <c r="O272" s="60"/>
      <c r="P272" s="59"/>
      <c r="Q272" s="59"/>
      <c r="R272" s="60"/>
      <c r="S272" s="60"/>
      <c r="T272" s="60"/>
      <c r="U272" s="60"/>
      <c r="V272" s="60"/>
      <c r="W272" s="60"/>
    </row>
    <row r="273" spans="1:23" ht="13" x14ac:dyDescent="0.3">
      <c r="A273" s="58"/>
      <c r="B273" s="58"/>
      <c r="C273" s="58"/>
      <c r="D273" s="58"/>
      <c r="E273" s="58"/>
      <c r="F273" s="58"/>
      <c r="G273" s="58"/>
      <c r="H273" s="59"/>
      <c r="I273" s="59"/>
      <c r="J273" s="59"/>
      <c r="K273" s="59"/>
      <c r="L273" s="59"/>
      <c r="M273" s="60"/>
      <c r="N273" s="60"/>
      <c r="O273" s="60"/>
      <c r="P273" s="59"/>
      <c r="Q273" s="59"/>
      <c r="R273" s="60"/>
      <c r="S273" s="60"/>
      <c r="T273" s="60"/>
      <c r="U273" s="60"/>
      <c r="V273" s="60"/>
      <c r="W273" s="60"/>
    </row>
    <row r="274" spans="1:23" ht="13" x14ac:dyDescent="0.3">
      <c r="A274" s="58"/>
      <c r="B274" s="58"/>
      <c r="C274" s="58"/>
      <c r="D274" s="58"/>
      <c r="E274" s="58"/>
      <c r="F274" s="58"/>
      <c r="G274" s="58"/>
      <c r="H274" s="59"/>
      <c r="I274" s="59"/>
      <c r="J274" s="59"/>
      <c r="K274" s="59"/>
      <c r="L274" s="59"/>
      <c r="M274" s="60"/>
      <c r="N274" s="60"/>
      <c r="O274" s="60"/>
      <c r="P274" s="59"/>
      <c r="Q274" s="59"/>
      <c r="R274" s="60"/>
      <c r="S274" s="60"/>
      <c r="T274" s="60"/>
      <c r="U274" s="60"/>
      <c r="V274" s="60"/>
      <c r="W274" s="60"/>
    </row>
    <row r="275" spans="1:23" ht="13" x14ac:dyDescent="0.3">
      <c r="A275" s="58"/>
      <c r="B275" s="58"/>
      <c r="C275" s="58"/>
      <c r="D275" s="58"/>
      <c r="E275" s="58"/>
      <c r="F275" s="58"/>
      <c r="G275" s="58"/>
      <c r="H275" s="59"/>
      <c r="I275" s="59"/>
      <c r="J275" s="59"/>
      <c r="K275" s="59"/>
      <c r="L275" s="59"/>
      <c r="M275" s="60"/>
      <c r="N275" s="60"/>
      <c r="O275" s="60"/>
      <c r="P275" s="59"/>
      <c r="Q275" s="59"/>
      <c r="R275" s="60"/>
      <c r="S275" s="60"/>
      <c r="T275" s="60"/>
      <c r="U275" s="60"/>
      <c r="V275" s="60"/>
      <c r="W275" s="60"/>
    </row>
    <row r="276" spans="1:23" ht="13" x14ac:dyDescent="0.3">
      <c r="A276" s="58"/>
      <c r="B276" s="58"/>
      <c r="C276" s="58"/>
      <c r="D276" s="58"/>
      <c r="E276" s="58"/>
      <c r="F276" s="58"/>
      <c r="G276" s="58"/>
      <c r="H276" s="59"/>
      <c r="I276" s="59"/>
      <c r="J276" s="59"/>
      <c r="K276" s="59"/>
      <c r="L276" s="59"/>
      <c r="M276" s="60"/>
      <c r="N276" s="60"/>
      <c r="O276" s="60"/>
      <c r="P276" s="59"/>
      <c r="Q276" s="59"/>
      <c r="R276" s="60"/>
      <c r="S276" s="60"/>
      <c r="T276" s="60"/>
      <c r="U276" s="60"/>
      <c r="V276" s="60"/>
      <c r="W276" s="60"/>
    </row>
    <row r="277" spans="1:23" ht="13" x14ac:dyDescent="0.3">
      <c r="A277" s="58"/>
      <c r="B277" s="58"/>
      <c r="C277" s="58"/>
      <c r="D277" s="58"/>
      <c r="E277" s="58"/>
      <c r="F277" s="58"/>
      <c r="G277" s="58"/>
      <c r="H277" s="59"/>
      <c r="I277" s="59"/>
      <c r="J277" s="59"/>
      <c r="K277" s="59"/>
      <c r="L277" s="59"/>
      <c r="M277" s="60"/>
      <c r="N277" s="60"/>
      <c r="O277" s="60"/>
      <c r="P277" s="59"/>
      <c r="Q277" s="59"/>
      <c r="R277" s="60"/>
      <c r="S277" s="60"/>
      <c r="T277" s="60"/>
      <c r="U277" s="60"/>
      <c r="V277" s="60"/>
      <c r="W277" s="60"/>
    </row>
    <row r="278" spans="1:23" ht="13" x14ac:dyDescent="0.3">
      <c r="A278" s="58"/>
      <c r="B278" s="58"/>
      <c r="C278" s="58"/>
      <c r="D278" s="58"/>
      <c r="E278" s="58"/>
      <c r="F278" s="58"/>
      <c r="G278" s="58"/>
      <c r="H278" s="59"/>
      <c r="I278" s="59"/>
      <c r="J278" s="59"/>
      <c r="K278" s="59"/>
      <c r="L278" s="59"/>
      <c r="M278" s="60"/>
      <c r="N278" s="60"/>
      <c r="O278" s="60"/>
      <c r="P278" s="59"/>
      <c r="Q278" s="59"/>
      <c r="R278" s="60"/>
      <c r="S278" s="60"/>
      <c r="T278" s="60"/>
      <c r="U278" s="60"/>
      <c r="V278" s="60"/>
      <c r="W278" s="60"/>
    </row>
    <row r="279" spans="1:23" ht="13" x14ac:dyDescent="0.3">
      <c r="A279" s="58"/>
      <c r="B279" s="58"/>
      <c r="C279" s="58"/>
      <c r="D279" s="58"/>
      <c r="E279" s="58"/>
      <c r="F279" s="58"/>
      <c r="G279" s="58"/>
      <c r="H279" s="59"/>
      <c r="I279" s="59"/>
      <c r="J279" s="59"/>
      <c r="K279" s="59"/>
      <c r="L279" s="59"/>
      <c r="M279" s="60"/>
      <c r="N279" s="60"/>
      <c r="O279" s="60"/>
      <c r="P279" s="59"/>
      <c r="Q279" s="59"/>
      <c r="R279" s="60"/>
      <c r="S279" s="60"/>
      <c r="T279" s="60"/>
      <c r="U279" s="60"/>
      <c r="V279" s="60"/>
      <c r="W279" s="60"/>
    </row>
    <row r="280" spans="1:23" ht="13" x14ac:dyDescent="0.3">
      <c r="A280" s="58"/>
      <c r="B280" s="58"/>
      <c r="C280" s="58"/>
      <c r="D280" s="58"/>
      <c r="E280" s="58"/>
      <c r="F280" s="58"/>
      <c r="G280" s="58"/>
      <c r="H280" s="59"/>
      <c r="I280" s="59"/>
      <c r="J280" s="59"/>
      <c r="K280" s="59"/>
      <c r="L280" s="59"/>
      <c r="M280" s="60"/>
      <c r="N280" s="60"/>
      <c r="O280" s="60"/>
      <c r="P280" s="59"/>
      <c r="Q280" s="59"/>
      <c r="R280" s="60"/>
      <c r="S280" s="60"/>
      <c r="T280" s="60"/>
      <c r="U280" s="60"/>
      <c r="V280" s="60"/>
      <c r="W280" s="60"/>
    </row>
    <row r="281" spans="1:23" ht="13" x14ac:dyDescent="0.3">
      <c r="A281" s="58"/>
      <c r="B281" s="58"/>
      <c r="C281" s="58"/>
      <c r="D281" s="58"/>
      <c r="E281" s="58"/>
      <c r="F281" s="58"/>
      <c r="G281" s="58"/>
      <c r="H281" s="59"/>
      <c r="I281" s="59"/>
      <c r="J281" s="59"/>
      <c r="K281" s="59"/>
      <c r="L281" s="59"/>
      <c r="M281" s="60"/>
      <c r="N281" s="60"/>
      <c r="O281" s="60"/>
      <c r="P281" s="59"/>
      <c r="Q281" s="59"/>
      <c r="R281" s="60"/>
      <c r="S281" s="60"/>
      <c r="T281" s="60"/>
      <c r="U281" s="60"/>
      <c r="V281" s="60"/>
      <c r="W281" s="60"/>
    </row>
    <row r="282" spans="1:23" ht="13" x14ac:dyDescent="0.3">
      <c r="A282" s="58"/>
      <c r="B282" s="58"/>
      <c r="C282" s="58"/>
      <c r="D282" s="58"/>
      <c r="E282" s="58"/>
      <c r="F282" s="58"/>
      <c r="G282" s="58"/>
      <c r="H282" s="59"/>
      <c r="I282" s="59"/>
      <c r="J282" s="59"/>
      <c r="K282" s="59"/>
      <c r="L282" s="59"/>
      <c r="M282" s="60"/>
      <c r="N282" s="60"/>
      <c r="O282" s="60"/>
      <c r="P282" s="59"/>
      <c r="Q282" s="59"/>
      <c r="R282" s="60"/>
      <c r="S282" s="60"/>
      <c r="T282" s="60"/>
      <c r="U282" s="60"/>
      <c r="V282" s="60"/>
      <c r="W282" s="60"/>
    </row>
    <row r="283" spans="1:23" ht="13" x14ac:dyDescent="0.3">
      <c r="A283" s="58"/>
      <c r="B283" s="58"/>
      <c r="C283" s="58"/>
      <c r="D283" s="58"/>
      <c r="E283" s="58"/>
      <c r="F283" s="58"/>
      <c r="G283" s="58"/>
      <c r="H283" s="59"/>
      <c r="I283" s="59"/>
      <c r="J283" s="59"/>
      <c r="K283" s="59"/>
      <c r="L283" s="59"/>
      <c r="M283" s="60"/>
      <c r="N283" s="60"/>
      <c r="O283" s="60"/>
      <c r="P283" s="59"/>
      <c r="Q283" s="59"/>
      <c r="R283" s="60"/>
      <c r="S283" s="60"/>
      <c r="T283" s="60"/>
      <c r="U283" s="60"/>
      <c r="V283" s="60"/>
      <c r="W283" s="60"/>
    </row>
    <row r="284" spans="1:23" ht="13" x14ac:dyDescent="0.3">
      <c r="A284" s="58"/>
      <c r="B284" s="58"/>
      <c r="C284" s="58"/>
      <c r="D284" s="58"/>
      <c r="E284" s="58"/>
      <c r="F284" s="58"/>
      <c r="G284" s="58"/>
      <c r="H284" s="59"/>
      <c r="I284" s="59"/>
      <c r="J284" s="59"/>
      <c r="K284" s="59"/>
      <c r="L284" s="59"/>
      <c r="M284" s="60"/>
      <c r="N284" s="60"/>
      <c r="O284" s="60"/>
      <c r="P284" s="59"/>
      <c r="Q284" s="59"/>
      <c r="R284" s="60"/>
      <c r="S284" s="60"/>
      <c r="T284" s="60"/>
      <c r="U284" s="60"/>
      <c r="V284" s="60"/>
      <c r="W284" s="60"/>
    </row>
    <row r="285" spans="1:23" ht="13" x14ac:dyDescent="0.3">
      <c r="A285" s="58"/>
      <c r="B285" s="58"/>
      <c r="C285" s="58"/>
      <c r="D285" s="58"/>
      <c r="E285" s="58"/>
      <c r="F285" s="58"/>
      <c r="G285" s="58"/>
      <c r="H285" s="59"/>
      <c r="I285" s="59"/>
      <c r="J285" s="59"/>
      <c r="K285" s="59"/>
      <c r="L285" s="59"/>
      <c r="M285" s="60"/>
      <c r="N285" s="60"/>
      <c r="O285" s="60"/>
      <c r="P285" s="59"/>
      <c r="Q285" s="59"/>
      <c r="R285" s="60"/>
      <c r="S285" s="60"/>
      <c r="T285" s="60"/>
      <c r="U285" s="60"/>
      <c r="V285" s="60"/>
      <c r="W285" s="60"/>
    </row>
    <row r="286" spans="1:23" ht="13" x14ac:dyDescent="0.3">
      <c r="A286" s="58"/>
      <c r="B286" s="58"/>
      <c r="C286" s="58"/>
      <c r="D286" s="58"/>
      <c r="E286" s="58"/>
      <c r="F286" s="58"/>
      <c r="G286" s="58"/>
      <c r="H286" s="59"/>
      <c r="I286" s="59"/>
      <c r="J286" s="59"/>
      <c r="K286" s="59"/>
      <c r="L286" s="59"/>
      <c r="M286" s="60"/>
      <c r="N286" s="60"/>
      <c r="O286" s="60"/>
      <c r="P286" s="59"/>
      <c r="Q286" s="59"/>
      <c r="R286" s="60"/>
      <c r="S286" s="60"/>
      <c r="T286" s="60"/>
      <c r="U286" s="60"/>
      <c r="V286" s="60"/>
      <c r="W286" s="60"/>
    </row>
    <row r="287" spans="1:23" ht="13" x14ac:dyDescent="0.3">
      <c r="A287" s="58"/>
      <c r="B287" s="58"/>
      <c r="C287" s="58"/>
      <c r="D287" s="58"/>
      <c r="E287" s="58"/>
      <c r="F287" s="58"/>
      <c r="G287" s="58"/>
      <c r="H287" s="59"/>
      <c r="I287" s="59"/>
      <c r="J287" s="59"/>
      <c r="K287" s="59"/>
      <c r="L287" s="59"/>
      <c r="M287" s="60"/>
      <c r="N287" s="60"/>
      <c r="O287" s="60"/>
      <c r="P287" s="59"/>
      <c r="Q287" s="59"/>
      <c r="R287" s="60"/>
      <c r="S287" s="60"/>
      <c r="T287" s="60"/>
      <c r="U287" s="60"/>
      <c r="V287" s="60"/>
      <c r="W287" s="60"/>
    </row>
    <row r="288" spans="1:23" ht="13" x14ac:dyDescent="0.3">
      <c r="A288" s="58"/>
      <c r="B288" s="58"/>
      <c r="C288" s="58"/>
      <c r="D288" s="58"/>
      <c r="E288" s="58"/>
      <c r="F288" s="58"/>
      <c r="G288" s="58"/>
      <c r="H288" s="59"/>
      <c r="I288" s="59"/>
      <c r="J288" s="59"/>
      <c r="K288" s="59"/>
      <c r="L288" s="59"/>
      <c r="M288" s="60"/>
      <c r="N288" s="60"/>
      <c r="O288" s="60"/>
      <c r="P288" s="59"/>
      <c r="Q288" s="59"/>
      <c r="R288" s="60"/>
      <c r="S288" s="60"/>
      <c r="T288" s="60"/>
      <c r="U288" s="60"/>
      <c r="V288" s="60"/>
      <c r="W288" s="60"/>
    </row>
    <row r="289" spans="1:23" ht="13" x14ac:dyDescent="0.3">
      <c r="A289" s="58"/>
      <c r="B289" s="58"/>
      <c r="C289" s="58"/>
      <c r="D289" s="58"/>
      <c r="E289" s="58"/>
      <c r="F289" s="58"/>
      <c r="G289" s="58"/>
      <c r="H289" s="59"/>
      <c r="I289" s="59"/>
      <c r="J289" s="59"/>
      <c r="K289" s="59"/>
      <c r="L289" s="59"/>
      <c r="M289" s="60"/>
      <c r="N289" s="60"/>
      <c r="O289" s="60"/>
      <c r="P289" s="59"/>
      <c r="Q289" s="59"/>
      <c r="R289" s="60"/>
      <c r="S289" s="60"/>
      <c r="T289" s="60"/>
      <c r="U289" s="60"/>
      <c r="V289" s="60"/>
      <c r="W289" s="60"/>
    </row>
    <row r="290" spans="1:23" ht="13" x14ac:dyDescent="0.3">
      <c r="A290" s="58"/>
      <c r="B290" s="58"/>
      <c r="C290" s="58"/>
      <c r="D290" s="58"/>
      <c r="E290" s="58"/>
      <c r="F290" s="58"/>
      <c r="G290" s="58"/>
      <c r="H290" s="59"/>
      <c r="I290" s="59"/>
      <c r="J290" s="59"/>
      <c r="K290" s="59"/>
      <c r="L290" s="59"/>
      <c r="M290" s="60"/>
      <c r="N290" s="60"/>
      <c r="O290" s="60"/>
      <c r="P290" s="59"/>
      <c r="Q290" s="59"/>
      <c r="R290" s="60"/>
      <c r="S290" s="60"/>
      <c r="T290" s="60"/>
      <c r="U290" s="60"/>
      <c r="V290" s="60"/>
      <c r="W290" s="60"/>
    </row>
    <row r="291" spans="1:23" ht="13" x14ac:dyDescent="0.3">
      <c r="A291" s="58"/>
      <c r="B291" s="58"/>
      <c r="C291" s="58"/>
      <c r="D291" s="58"/>
      <c r="E291" s="58"/>
      <c r="F291" s="58"/>
      <c r="G291" s="58"/>
      <c r="H291" s="59"/>
      <c r="I291" s="59"/>
      <c r="J291" s="59"/>
      <c r="K291" s="59"/>
      <c r="L291" s="59"/>
      <c r="M291" s="60"/>
      <c r="N291" s="60"/>
      <c r="O291" s="60"/>
      <c r="P291" s="59"/>
      <c r="Q291" s="59"/>
      <c r="R291" s="60"/>
      <c r="S291" s="60"/>
      <c r="T291" s="60"/>
      <c r="U291" s="60"/>
      <c r="V291" s="60"/>
      <c r="W291" s="60"/>
    </row>
    <row r="292" spans="1:23" ht="13" x14ac:dyDescent="0.3">
      <c r="A292" s="58"/>
      <c r="B292" s="58"/>
      <c r="C292" s="58"/>
      <c r="D292" s="58"/>
      <c r="E292" s="58"/>
      <c r="F292" s="58"/>
      <c r="G292" s="58"/>
      <c r="H292" s="59"/>
      <c r="I292" s="59"/>
      <c r="J292" s="59"/>
      <c r="K292" s="59"/>
      <c r="L292" s="59"/>
      <c r="M292" s="60"/>
      <c r="N292" s="60"/>
      <c r="O292" s="60"/>
      <c r="P292" s="59"/>
      <c r="Q292" s="59"/>
      <c r="R292" s="60"/>
      <c r="S292" s="60"/>
      <c r="T292" s="60"/>
      <c r="U292" s="60"/>
      <c r="V292" s="60"/>
      <c r="W292" s="60"/>
    </row>
    <row r="293" spans="1:23" ht="13" x14ac:dyDescent="0.3">
      <c r="A293" s="58"/>
      <c r="B293" s="58"/>
      <c r="C293" s="58"/>
      <c r="D293" s="58"/>
      <c r="E293" s="58"/>
      <c r="F293" s="58"/>
      <c r="G293" s="58"/>
      <c r="H293" s="59"/>
      <c r="I293" s="59"/>
      <c r="J293" s="59"/>
      <c r="K293" s="59"/>
      <c r="L293" s="59"/>
      <c r="M293" s="60"/>
      <c r="N293" s="60"/>
      <c r="O293" s="60"/>
      <c r="P293" s="59"/>
      <c r="Q293" s="59"/>
      <c r="R293" s="60"/>
      <c r="S293" s="60"/>
      <c r="T293" s="60"/>
      <c r="U293" s="60"/>
      <c r="V293" s="60"/>
      <c r="W293" s="60"/>
    </row>
    <row r="294" spans="1:23" ht="13" x14ac:dyDescent="0.3">
      <c r="A294" s="58"/>
      <c r="B294" s="58"/>
      <c r="C294" s="58"/>
      <c r="D294" s="58"/>
      <c r="E294" s="58"/>
      <c r="F294" s="58"/>
      <c r="G294" s="58"/>
      <c r="H294" s="59"/>
      <c r="I294" s="59"/>
      <c r="J294" s="59"/>
      <c r="K294" s="59"/>
      <c r="L294" s="59"/>
      <c r="M294" s="60"/>
      <c r="N294" s="60"/>
      <c r="O294" s="60"/>
      <c r="P294" s="59"/>
      <c r="Q294" s="59"/>
      <c r="R294" s="60"/>
      <c r="S294" s="60"/>
      <c r="T294" s="60"/>
      <c r="U294" s="60"/>
      <c r="V294" s="60"/>
      <c r="W294" s="60"/>
    </row>
    <row r="295" spans="1:23" ht="13" x14ac:dyDescent="0.3">
      <c r="A295" s="58"/>
      <c r="B295" s="58"/>
      <c r="C295" s="58"/>
      <c r="D295" s="58"/>
      <c r="E295" s="58"/>
      <c r="F295" s="58"/>
      <c r="G295" s="58"/>
      <c r="H295" s="59"/>
      <c r="I295" s="59"/>
      <c r="J295" s="59"/>
      <c r="K295" s="59"/>
      <c r="L295" s="59"/>
      <c r="M295" s="60"/>
      <c r="N295" s="60"/>
      <c r="O295" s="60"/>
      <c r="P295" s="59"/>
      <c r="Q295" s="59"/>
      <c r="R295" s="60"/>
      <c r="S295" s="60"/>
      <c r="T295" s="60"/>
      <c r="U295" s="60"/>
      <c r="V295" s="60"/>
      <c r="W295" s="60"/>
    </row>
    <row r="296" spans="1:23" ht="13" x14ac:dyDescent="0.3">
      <c r="A296" s="58"/>
      <c r="B296" s="58"/>
      <c r="C296" s="58"/>
      <c r="D296" s="58"/>
      <c r="E296" s="58"/>
      <c r="F296" s="58"/>
      <c r="G296" s="58"/>
      <c r="H296" s="59"/>
      <c r="I296" s="59"/>
      <c r="J296" s="59"/>
      <c r="K296" s="59"/>
      <c r="L296" s="59"/>
      <c r="M296" s="60"/>
      <c r="N296" s="60"/>
      <c r="O296" s="60"/>
      <c r="P296" s="59"/>
      <c r="Q296" s="59"/>
      <c r="R296" s="60"/>
      <c r="S296" s="60"/>
      <c r="T296" s="60"/>
      <c r="U296" s="60"/>
      <c r="V296" s="60"/>
      <c r="W296" s="60"/>
    </row>
    <row r="297" spans="1:23" ht="13" x14ac:dyDescent="0.3">
      <c r="A297" s="58"/>
      <c r="B297" s="58"/>
      <c r="C297" s="58"/>
      <c r="D297" s="58"/>
      <c r="E297" s="58"/>
      <c r="F297" s="58"/>
      <c r="G297" s="58"/>
      <c r="H297" s="59"/>
      <c r="I297" s="59"/>
      <c r="J297" s="59"/>
      <c r="K297" s="59"/>
      <c r="L297" s="59"/>
      <c r="M297" s="60"/>
      <c r="N297" s="60"/>
      <c r="O297" s="60"/>
      <c r="P297" s="59"/>
      <c r="Q297" s="59"/>
      <c r="R297" s="60"/>
      <c r="S297" s="60"/>
      <c r="T297" s="60"/>
      <c r="U297" s="60"/>
      <c r="V297" s="60"/>
      <c r="W297" s="60"/>
    </row>
    <row r="298" spans="1:23" ht="13" x14ac:dyDescent="0.3">
      <c r="A298" s="58"/>
      <c r="B298" s="58"/>
      <c r="C298" s="58"/>
      <c r="D298" s="58"/>
      <c r="E298" s="58"/>
      <c r="F298" s="58"/>
      <c r="G298" s="58"/>
      <c r="H298" s="59"/>
      <c r="I298" s="59"/>
      <c r="J298" s="59"/>
      <c r="K298" s="59"/>
      <c r="L298" s="59"/>
      <c r="M298" s="60"/>
      <c r="N298" s="60"/>
      <c r="O298" s="60"/>
      <c r="P298" s="59"/>
      <c r="Q298" s="59"/>
      <c r="R298" s="60"/>
      <c r="S298" s="60"/>
      <c r="T298" s="60"/>
      <c r="U298" s="60"/>
      <c r="V298" s="60"/>
      <c r="W298" s="60"/>
    </row>
    <row r="299" spans="1:23" ht="13" x14ac:dyDescent="0.3">
      <c r="A299" s="58"/>
      <c r="B299" s="58"/>
      <c r="C299" s="58"/>
      <c r="D299" s="58"/>
      <c r="E299" s="58"/>
      <c r="F299" s="58"/>
      <c r="G299" s="58"/>
      <c r="H299" s="59"/>
      <c r="I299" s="59"/>
      <c r="J299" s="59"/>
      <c r="K299" s="59"/>
      <c r="L299" s="59"/>
      <c r="M299" s="60"/>
      <c r="N299" s="60"/>
      <c r="O299" s="60"/>
      <c r="P299" s="59"/>
      <c r="Q299" s="59"/>
      <c r="R299" s="60"/>
      <c r="S299" s="60"/>
      <c r="T299" s="60"/>
      <c r="U299" s="60"/>
      <c r="V299" s="60"/>
      <c r="W299" s="60"/>
    </row>
    <row r="300" spans="1:23" ht="13" x14ac:dyDescent="0.3">
      <c r="A300" s="58"/>
      <c r="B300" s="58"/>
      <c r="C300" s="58"/>
      <c r="D300" s="58"/>
      <c r="E300" s="58"/>
      <c r="F300" s="58"/>
      <c r="G300" s="58"/>
      <c r="H300" s="59"/>
      <c r="I300" s="59"/>
      <c r="J300" s="59"/>
      <c r="K300" s="59"/>
      <c r="L300" s="59"/>
      <c r="M300" s="60"/>
      <c r="N300" s="60"/>
      <c r="O300" s="60"/>
      <c r="P300" s="59"/>
      <c r="Q300" s="59"/>
      <c r="R300" s="60"/>
      <c r="S300" s="60"/>
      <c r="T300" s="60"/>
      <c r="U300" s="60"/>
      <c r="V300" s="60"/>
      <c r="W300" s="60"/>
    </row>
    <row r="301" spans="1:23" ht="13" x14ac:dyDescent="0.3">
      <c r="A301" s="58"/>
      <c r="B301" s="58"/>
      <c r="C301" s="58"/>
      <c r="D301" s="58"/>
      <c r="E301" s="58"/>
      <c r="F301" s="58"/>
      <c r="G301" s="58"/>
      <c r="H301" s="59"/>
      <c r="I301" s="59"/>
      <c r="J301" s="59"/>
      <c r="K301" s="59"/>
      <c r="L301" s="59"/>
      <c r="M301" s="60"/>
      <c r="N301" s="60"/>
      <c r="O301" s="60"/>
      <c r="P301" s="59"/>
      <c r="Q301" s="59"/>
      <c r="R301" s="60"/>
      <c r="S301" s="60"/>
      <c r="T301" s="60"/>
      <c r="U301" s="60"/>
      <c r="V301" s="60"/>
      <c r="W301" s="60"/>
    </row>
    <row r="302" spans="1:23" ht="13" x14ac:dyDescent="0.3">
      <c r="A302" s="58"/>
      <c r="B302" s="58"/>
      <c r="C302" s="58"/>
      <c r="D302" s="58"/>
      <c r="E302" s="58"/>
      <c r="F302" s="58"/>
      <c r="G302" s="58"/>
      <c r="H302" s="59"/>
      <c r="I302" s="59"/>
      <c r="J302" s="59"/>
      <c r="K302" s="59"/>
      <c r="L302" s="59"/>
      <c r="M302" s="60"/>
      <c r="N302" s="60"/>
      <c r="O302" s="60"/>
      <c r="P302" s="59"/>
      <c r="Q302" s="59"/>
      <c r="R302" s="60"/>
      <c r="S302" s="60"/>
      <c r="T302" s="60"/>
      <c r="U302" s="60"/>
      <c r="V302" s="60"/>
      <c r="W302" s="60"/>
    </row>
    <row r="303" spans="1:23" ht="13" x14ac:dyDescent="0.3">
      <c r="A303" s="58"/>
      <c r="B303" s="58"/>
      <c r="C303" s="58"/>
      <c r="D303" s="58"/>
      <c r="E303" s="58"/>
      <c r="F303" s="58"/>
      <c r="G303" s="58"/>
      <c r="H303" s="59"/>
      <c r="I303" s="59"/>
      <c r="J303" s="59"/>
      <c r="K303" s="59"/>
      <c r="L303" s="59"/>
      <c r="M303" s="60"/>
      <c r="N303" s="60"/>
      <c r="O303" s="60"/>
      <c r="P303" s="59"/>
      <c r="Q303" s="59"/>
      <c r="R303" s="60"/>
      <c r="S303" s="60"/>
      <c r="T303" s="60"/>
      <c r="U303" s="60"/>
      <c r="V303" s="60"/>
      <c r="W303" s="60"/>
    </row>
    <row r="304" spans="1:23" ht="13" x14ac:dyDescent="0.3">
      <c r="A304" s="58"/>
      <c r="B304" s="58"/>
      <c r="C304" s="58"/>
      <c r="D304" s="58"/>
      <c r="E304" s="58"/>
      <c r="F304" s="58"/>
      <c r="G304" s="58"/>
      <c r="H304" s="59"/>
      <c r="I304" s="59"/>
      <c r="J304" s="59"/>
      <c r="K304" s="59"/>
      <c r="L304" s="59"/>
      <c r="M304" s="60"/>
      <c r="N304" s="60"/>
      <c r="O304" s="60"/>
      <c r="P304" s="59"/>
      <c r="Q304" s="59"/>
      <c r="R304" s="60"/>
      <c r="S304" s="60"/>
      <c r="T304" s="60"/>
      <c r="U304" s="60"/>
      <c r="V304" s="60"/>
      <c r="W304" s="60"/>
    </row>
    <row r="305" spans="1:23" ht="13" x14ac:dyDescent="0.3">
      <c r="A305" s="58"/>
      <c r="B305" s="58"/>
      <c r="C305" s="58"/>
      <c r="D305" s="58"/>
      <c r="E305" s="58"/>
      <c r="F305" s="58"/>
      <c r="G305" s="58"/>
      <c r="H305" s="59"/>
      <c r="I305" s="59"/>
      <c r="J305" s="59"/>
      <c r="K305" s="59"/>
      <c r="L305" s="59"/>
      <c r="M305" s="60"/>
      <c r="N305" s="60"/>
      <c r="O305" s="60"/>
      <c r="P305" s="59"/>
      <c r="Q305" s="59"/>
      <c r="R305" s="60"/>
      <c r="S305" s="60"/>
      <c r="T305" s="60"/>
      <c r="U305" s="60"/>
      <c r="V305" s="60"/>
      <c r="W305" s="60"/>
    </row>
    <row r="306" spans="1:23" ht="13" x14ac:dyDescent="0.3">
      <c r="A306" s="58"/>
      <c r="B306" s="58"/>
      <c r="C306" s="58"/>
      <c r="D306" s="58"/>
      <c r="E306" s="58"/>
      <c r="F306" s="58"/>
      <c r="G306" s="58"/>
      <c r="H306" s="59"/>
      <c r="I306" s="59"/>
      <c r="J306" s="59"/>
      <c r="K306" s="59"/>
      <c r="L306" s="59"/>
      <c r="M306" s="60"/>
      <c r="N306" s="60"/>
      <c r="O306" s="60"/>
      <c r="P306" s="59"/>
      <c r="Q306" s="59"/>
      <c r="R306" s="60"/>
      <c r="S306" s="60"/>
      <c r="T306" s="60"/>
      <c r="U306" s="60"/>
      <c r="V306" s="60"/>
      <c r="W306" s="60"/>
    </row>
    <row r="307" spans="1:23" ht="13" x14ac:dyDescent="0.3">
      <c r="A307" s="58"/>
      <c r="B307" s="58"/>
      <c r="C307" s="58"/>
      <c r="D307" s="58"/>
      <c r="E307" s="58"/>
      <c r="F307" s="58"/>
      <c r="G307" s="58"/>
      <c r="H307" s="59"/>
      <c r="I307" s="59"/>
      <c r="J307" s="59"/>
      <c r="K307" s="59"/>
      <c r="L307" s="59"/>
      <c r="M307" s="60"/>
      <c r="N307" s="60"/>
      <c r="O307" s="60"/>
      <c r="P307" s="59"/>
      <c r="Q307" s="59"/>
      <c r="R307" s="60"/>
      <c r="S307" s="60"/>
      <c r="T307" s="60"/>
      <c r="U307" s="60"/>
      <c r="V307" s="60"/>
      <c r="W307" s="60"/>
    </row>
    <row r="308" spans="1:23" ht="13" x14ac:dyDescent="0.3">
      <c r="A308" s="58"/>
      <c r="B308" s="58"/>
      <c r="C308" s="58"/>
      <c r="D308" s="58"/>
      <c r="E308" s="58"/>
      <c r="F308" s="58"/>
      <c r="G308" s="58"/>
      <c r="H308" s="59"/>
      <c r="I308" s="59"/>
      <c r="J308" s="59"/>
      <c r="K308" s="59"/>
      <c r="L308" s="59"/>
      <c r="M308" s="60"/>
      <c r="N308" s="60"/>
      <c r="O308" s="60"/>
      <c r="P308" s="59"/>
      <c r="Q308" s="59"/>
      <c r="R308" s="60"/>
      <c r="S308" s="60"/>
      <c r="T308" s="60"/>
      <c r="U308" s="60"/>
      <c r="V308" s="60"/>
      <c r="W308" s="60"/>
    </row>
    <row r="309" spans="1:23" ht="13" x14ac:dyDescent="0.3">
      <c r="A309" s="58"/>
      <c r="B309" s="58"/>
      <c r="C309" s="58"/>
      <c r="D309" s="58"/>
      <c r="E309" s="58"/>
      <c r="F309" s="58"/>
      <c r="G309" s="58"/>
      <c r="H309" s="59"/>
      <c r="I309" s="59"/>
      <c r="J309" s="59"/>
      <c r="K309" s="59"/>
      <c r="L309" s="59"/>
      <c r="M309" s="60"/>
      <c r="N309" s="60"/>
      <c r="O309" s="60"/>
      <c r="P309" s="59"/>
      <c r="Q309" s="59"/>
      <c r="R309" s="60"/>
      <c r="S309" s="60"/>
      <c r="T309" s="60"/>
      <c r="U309" s="60"/>
      <c r="V309" s="60"/>
      <c r="W309" s="60"/>
    </row>
    <row r="310" spans="1:23" ht="13" x14ac:dyDescent="0.3">
      <c r="A310" s="58"/>
      <c r="B310" s="58"/>
      <c r="C310" s="58"/>
      <c r="D310" s="58"/>
      <c r="E310" s="58"/>
      <c r="F310" s="58"/>
      <c r="G310" s="58"/>
      <c r="H310" s="59"/>
      <c r="I310" s="59"/>
      <c r="J310" s="59"/>
      <c r="K310" s="59"/>
      <c r="L310" s="59"/>
      <c r="M310" s="60"/>
      <c r="N310" s="60"/>
      <c r="O310" s="60"/>
      <c r="P310" s="59"/>
      <c r="Q310" s="59"/>
      <c r="R310" s="60"/>
      <c r="S310" s="60"/>
      <c r="T310" s="60"/>
      <c r="U310" s="60"/>
      <c r="V310" s="60"/>
      <c r="W310" s="60"/>
    </row>
    <row r="311" spans="1:23" ht="13" x14ac:dyDescent="0.3">
      <c r="A311" s="58"/>
      <c r="B311" s="58"/>
      <c r="C311" s="58"/>
      <c r="D311" s="58"/>
      <c r="E311" s="58"/>
      <c r="F311" s="58"/>
      <c r="G311" s="58"/>
      <c r="H311" s="59"/>
      <c r="I311" s="59"/>
      <c r="J311" s="59"/>
      <c r="K311" s="59"/>
      <c r="L311" s="59"/>
      <c r="M311" s="60"/>
      <c r="N311" s="60"/>
      <c r="O311" s="60"/>
      <c r="P311" s="59"/>
      <c r="Q311" s="59"/>
      <c r="R311" s="60"/>
      <c r="S311" s="60"/>
      <c r="T311" s="60"/>
      <c r="U311" s="60"/>
      <c r="V311" s="60"/>
      <c r="W311" s="60"/>
    </row>
    <row r="312" spans="1:23" ht="13" x14ac:dyDescent="0.3">
      <c r="A312" s="58"/>
      <c r="B312" s="58"/>
      <c r="C312" s="58"/>
      <c r="D312" s="58"/>
      <c r="E312" s="58"/>
      <c r="F312" s="58"/>
      <c r="G312" s="58"/>
      <c r="H312" s="59"/>
      <c r="I312" s="59"/>
      <c r="J312" s="59"/>
      <c r="K312" s="59"/>
      <c r="L312" s="59"/>
      <c r="M312" s="60"/>
      <c r="N312" s="60"/>
      <c r="O312" s="60"/>
      <c r="P312" s="59"/>
      <c r="Q312" s="59"/>
      <c r="R312" s="60"/>
      <c r="S312" s="60"/>
      <c r="T312" s="60"/>
      <c r="U312" s="60"/>
      <c r="V312" s="60"/>
      <c r="W312" s="60"/>
    </row>
    <row r="313" spans="1:23" ht="13" x14ac:dyDescent="0.3">
      <c r="A313" s="58"/>
      <c r="B313" s="58"/>
      <c r="C313" s="58"/>
      <c r="D313" s="58"/>
      <c r="E313" s="58"/>
      <c r="F313" s="58"/>
      <c r="G313" s="58"/>
      <c r="H313" s="59"/>
      <c r="I313" s="59"/>
      <c r="J313" s="59"/>
      <c r="K313" s="59"/>
      <c r="L313" s="59"/>
      <c r="M313" s="60"/>
      <c r="N313" s="60"/>
      <c r="O313" s="60"/>
      <c r="P313" s="59"/>
      <c r="Q313" s="59"/>
      <c r="R313" s="60"/>
      <c r="S313" s="60"/>
      <c r="T313" s="60"/>
      <c r="U313" s="60"/>
      <c r="V313" s="60"/>
      <c r="W313" s="60"/>
    </row>
    <row r="314" spans="1:23" ht="13" x14ac:dyDescent="0.3">
      <c r="A314" s="58"/>
      <c r="B314" s="58"/>
      <c r="C314" s="58"/>
      <c r="D314" s="58"/>
      <c r="E314" s="58"/>
      <c r="F314" s="58"/>
      <c r="G314" s="58"/>
      <c r="H314" s="59"/>
      <c r="I314" s="59"/>
      <c r="J314" s="59"/>
      <c r="K314" s="59"/>
      <c r="L314" s="59"/>
      <c r="M314" s="60"/>
      <c r="N314" s="60"/>
      <c r="O314" s="60"/>
      <c r="P314" s="59"/>
      <c r="Q314" s="59"/>
      <c r="R314" s="60"/>
      <c r="S314" s="60"/>
      <c r="T314" s="60"/>
      <c r="U314" s="60"/>
      <c r="V314" s="60"/>
      <c r="W314" s="60"/>
    </row>
    <row r="315" spans="1:23" ht="13" x14ac:dyDescent="0.3">
      <c r="A315" s="58"/>
      <c r="B315" s="58"/>
      <c r="C315" s="58"/>
      <c r="D315" s="58"/>
      <c r="E315" s="58"/>
      <c r="F315" s="58"/>
      <c r="G315" s="58"/>
      <c r="H315" s="59"/>
      <c r="I315" s="59"/>
      <c r="J315" s="59"/>
      <c r="K315" s="59"/>
      <c r="L315" s="59"/>
      <c r="M315" s="60"/>
      <c r="N315" s="60"/>
      <c r="O315" s="60"/>
      <c r="P315" s="59"/>
      <c r="Q315" s="59"/>
      <c r="R315" s="60"/>
      <c r="S315" s="60"/>
      <c r="T315" s="60"/>
      <c r="U315" s="60"/>
      <c r="V315" s="60"/>
      <c r="W315" s="60"/>
    </row>
    <row r="316" spans="1:23" ht="13" x14ac:dyDescent="0.3">
      <c r="A316" s="58"/>
      <c r="B316" s="58"/>
      <c r="C316" s="58"/>
      <c r="D316" s="58"/>
      <c r="E316" s="58"/>
      <c r="F316" s="58"/>
      <c r="G316" s="58"/>
      <c r="H316" s="59"/>
      <c r="I316" s="59"/>
      <c r="J316" s="59"/>
      <c r="K316" s="59"/>
      <c r="L316" s="59"/>
      <c r="M316" s="60"/>
      <c r="N316" s="60"/>
      <c r="O316" s="60"/>
      <c r="P316" s="59"/>
      <c r="Q316" s="59"/>
      <c r="R316" s="60"/>
      <c r="S316" s="60"/>
      <c r="T316" s="60"/>
      <c r="U316" s="60"/>
      <c r="V316" s="60"/>
      <c r="W316" s="60"/>
    </row>
    <row r="317" spans="1:23" ht="13" x14ac:dyDescent="0.3">
      <c r="A317" s="58"/>
      <c r="B317" s="58"/>
      <c r="C317" s="58"/>
      <c r="D317" s="58"/>
      <c r="E317" s="58"/>
      <c r="F317" s="58"/>
      <c r="G317" s="58"/>
      <c r="H317" s="59"/>
      <c r="I317" s="59"/>
      <c r="J317" s="59"/>
      <c r="K317" s="59"/>
      <c r="L317" s="59"/>
      <c r="M317" s="60"/>
      <c r="N317" s="60"/>
      <c r="O317" s="60"/>
      <c r="P317" s="59"/>
      <c r="Q317" s="59"/>
      <c r="R317" s="60"/>
      <c r="S317" s="60"/>
      <c r="T317" s="60"/>
      <c r="U317" s="60"/>
      <c r="V317" s="60"/>
      <c r="W317" s="60"/>
    </row>
    <row r="318" spans="1:23" ht="13" x14ac:dyDescent="0.3">
      <c r="A318" s="58"/>
      <c r="B318" s="58"/>
      <c r="C318" s="58"/>
      <c r="D318" s="58"/>
      <c r="E318" s="58"/>
      <c r="F318" s="58"/>
      <c r="G318" s="58"/>
      <c r="H318" s="59"/>
      <c r="I318" s="59"/>
      <c r="J318" s="59"/>
      <c r="K318" s="59"/>
      <c r="L318" s="59"/>
      <c r="M318" s="60"/>
      <c r="N318" s="60"/>
      <c r="O318" s="60"/>
      <c r="P318" s="59"/>
      <c r="Q318" s="59"/>
      <c r="R318" s="60"/>
      <c r="S318" s="60"/>
      <c r="T318" s="60"/>
      <c r="U318" s="60"/>
      <c r="V318" s="60"/>
      <c r="W318" s="60"/>
    </row>
    <row r="319" spans="1:23" ht="13" x14ac:dyDescent="0.3">
      <c r="A319" s="58"/>
      <c r="B319" s="58"/>
      <c r="C319" s="58"/>
      <c r="D319" s="58"/>
      <c r="E319" s="58"/>
      <c r="F319" s="58"/>
      <c r="G319" s="58"/>
      <c r="H319" s="59"/>
      <c r="I319" s="59"/>
      <c r="J319" s="59"/>
      <c r="K319" s="59"/>
      <c r="L319" s="59"/>
      <c r="M319" s="60"/>
      <c r="N319" s="60"/>
      <c r="O319" s="60"/>
      <c r="P319" s="59"/>
      <c r="Q319" s="59"/>
      <c r="R319" s="60"/>
      <c r="S319" s="60"/>
      <c r="T319" s="60"/>
      <c r="U319" s="60"/>
      <c r="V319" s="60"/>
      <c r="W319" s="60"/>
    </row>
    <row r="320" spans="1:23" ht="13" x14ac:dyDescent="0.3">
      <c r="A320" s="58"/>
      <c r="B320" s="58"/>
      <c r="C320" s="58"/>
      <c r="D320" s="58"/>
      <c r="E320" s="58"/>
      <c r="F320" s="58"/>
      <c r="G320" s="58"/>
      <c r="H320" s="59"/>
      <c r="I320" s="59"/>
      <c r="J320" s="59"/>
      <c r="K320" s="59"/>
      <c r="L320" s="59"/>
      <c r="M320" s="60"/>
      <c r="N320" s="60"/>
      <c r="O320" s="60"/>
      <c r="P320" s="59"/>
      <c r="Q320" s="59"/>
      <c r="R320" s="60"/>
      <c r="S320" s="60"/>
      <c r="T320" s="60"/>
      <c r="U320" s="60"/>
      <c r="V320" s="60"/>
      <c r="W320" s="60"/>
    </row>
    <row r="321" spans="1:23" ht="13" x14ac:dyDescent="0.3">
      <c r="A321" s="58"/>
      <c r="B321" s="58"/>
      <c r="C321" s="58"/>
      <c r="D321" s="58"/>
      <c r="E321" s="58"/>
      <c r="F321" s="58"/>
      <c r="G321" s="58"/>
      <c r="H321" s="59"/>
      <c r="I321" s="59"/>
      <c r="J321" s="59"/>
      <c r="K321" s="59"/>
      <c r="L321" s="59"/>
      <c r="M321" s="60"/>
      <c r="N321" s="60"/>
      <c r="O321" s="60"/>
      <c r="P321" s="59"/>
      <c r="Q321" s="59"/>
      <c r="R321" s="60"/>
      <c r="S321" s="60"/>
      <c r="T321" s="60"/>
      <c r="U321" s="60"/>
      <c r="V321" s="60"/>
      <c r="W321" s="60"/>
    </row>
    <row r="322" spans="1:23" ht="13" x14ac:dyDescent="0.3">
      <c r="A322" s="58"/>
      <c r="B322" s="58"/>
      <c r="C322" s="58"/>
      <c r="D322" s="58"/>
      <c r="E322" s="58"/>
      <c r="F322" s="58"/>
      <c r="G322" s="58"/>
      <c r="H322" s="59"/>
      <c r="I322" s="59"/>
      <c r="J322" s="59"/>
      <c r="K322" s="59"/>
      <c r="L322" s="59"/>
      <c r="M322" s="60"/>
      <c r="N322" s="60"/>
      <c r="O322" s="60"/>
      <c r="P322" s="59"/>
      <c r="Q322" s="59"/>
      <c r="R322" s="60"/>
      <c r="S322" s="60"/>
      <c r="T322" s="60"/>
      <c r="U322" s="60"/>
      <c r="V322" s="60"/>
      <c r="W322" s="60"/>
    </row>
    <row r="323" spans="1:23" ht="13" x14ac:dyDescent="0.3">
      <c r="A323" s="58"/>
      <c r="B323" s="58"/>
      <c r="C323" s="58"/>
      <c r="D323" s="58"/>
      <c r="E323" s="58"/>
      <c r="F323" s="58"/>
      <c r="G323" s="58"/>
      <c r="H323" s="59"/>
      <c r="I323" s="59"/>
      <c r="J323" s="59"/>
      <c r="K323" s="59"/>
      <c r="L323" s="59"/>
      <c r="M323" s="60"/>
      <c r="N323" s="60"/>
      <c r="O323" s="60"/>
      <c r="P323" s="59"/>
      <c r="Q323" s="59"/>
      <c r="R323" s="60"/>
      <c r="S323" s="60"/>
      <c r="T323" s="60"/>
      <c r="U323" s="60"/>
      <c r="V323" s="60"/>
      <c r="W323" s="60"/>
    </row>
    <row r="324" spans="1:23" ht="13" x14ac:dyDescent="0.3">
      <c r="A324" s="58"/>
      <c r="B324" s="58"/>
      <c r="C324" s="58"/>
      <c r="D324" s="58"/>
      <c r="E324" s="58"/>
      <c r="F324" s="58"/>
      <c r="G324" s="58"/>
      <c r="H324" s="59"/>
      <c r="I324" s="59"/>
      <c r="J324" s="59"/>
      <c r="K324" s="59"/>
      <c r="L324" s="59"/>
      <c r="M324" s="60"/>
      <c r="N324" s="60"/>
      <c r="O324" s="60"/>
      <c r="P324" s="59"/>
      <c r="Q324" s="59"/>
      <c r="R324" s="60"/>
      <c r="S324" s="60"/>
      <c r="T324" s="60"/>
      <c r="U324" s="60"/>
      <c r="V324" s="60"/>
      <c r="W324" s="60"/>
    </row>
    <row r="325" spans="1:23" ht="13" x14ac:dyDescent="0.3">
      <c r="A325" s="58"/>
      <c r="B325" s="58"/>
      <c r="C325" s="58"/>
      <c r="D325" s="58"/>
      <c r="E325" s="58"/>
      <c r="F325" s="58"/>
      <c r="G325" s="58"/>
      <c r="H325" s="59"/>
      <c r="I325" s="59"/>
      <c r="J325" s="59"/>
      <c r="K325" s="59"/>
      <c r="L325" s="59"/>
      <c r="M325" s="60"/>
      <c r="N325" s="60"/>
      <c r="O325" s="60"/>
      <c r="P325" s="59"/>
      <c r="Q325" s="59"/>
      <c r="R325" s="60"/>
      <c r="S325" s="60"/>
      <c r="T325" s="60"/>
      <c r="U325" s="60"/>
      <c r="V325" s="60"/>
      <c r="W325" s="60"/>
    </row>
    <row r="326" spans="1:23" ht="13" x14ac:dyDescent="0.3">
      <c r="A326" s="58"/>
      <c r="B326" s="58"/>
      <c r="C326" s="58"/>
      <c r="D326" s="58"/>
      <c r="E326" s="58"/>
      <c r="F326" s="58"/>
      <c r="G326" s="58"/>
      <c r="H326" s="59"/>
      <c r="I326" s="59"/>
      <c r="J326" s="59"/>
      <c r="K326" s="59"/>
      <c r="L326" s="59"/>
      <c r="M326" s="60"/>
      <c r="N326" s="60"/>
      <c r="O326" s="60"/>
      <c r="P326" s="59"/>
      <c r="Q326" s="59"/>
      <c r="R326" s="60"/>
      <c r="S326" s="60"/>
      <c r="T326" s="60"/>
      <c r="U326" s="60"/>
      <c r="V326" s="60"/>
      <c r="W326" s="60"/>
    </row>
    <row r="327" spans="1:23" ht="13" x14ac:dyDescent="0.3">
      <c r="A327" s="58"/>
      <c r="B327" s="58"/>
      <c r="C327" s="58"/>
      <c r="D327" s="58"/>
      <c r="E327" s="58"/>
      <c r="F327" s="58"/>
      <c r="G327" s="58"/>
      <c r="H327" s="59"/>
      <c r="I327" s="59"/>
      <c r="J327" s="59"/>
      <c r="K327" s="59"/>
      <c r="L327" s="59"/>
      <c r="M327" s="60"/>
      <c r="N327" s="60"/>
      <c r="O327" s="60"/>
      <c r="P327" s="59"/>
      <c r="Q327" s="59"/>
      <c r="R327" s="60"/>
      <c r="S327" s="60"/>
      <c r="T327" s="60"/>
      <c r="U327" s="60"/>
      <c r="V327" s="60"/>
      <c r="W327" s="60"/>
    </row>
    <row r="328" spans="1:23" ht="13" x14ac:dyDescent="0.3">
      <c r="A328" s="58"/>
      <c r="B328" s="58"/>
      <c r="C328" s="58"/>
      <c r="D328" s="58"/>
      <c r="E328" s="58"/>
      <c r="F328" s="58"/>
      <c r="G328" s="58"/>
      <c r="H328" s="59"/>
      <c r="I328" s="59"/>
      <c r="J328" s="59"/>
      <c r="K328" s="59"/>
      <c r="L328" s="59"/>
      <c r="M328" s="60"/>
      <c r="N328" s="60"/>
      <c r="O328" s="60"/>
      <c r="P328" s="59"/>
      <c r="Q328" s="59"/>
      <c r="R328" s="60"/>
      <c r="S328" s="60"/>
      <c r="T328" s="60"/>
      <c r="U328" s="60"/>
      <c r="V328" s="60"/>
      <c r="W328" s="60"/>
    </row>
    <row r="329" spans="1:23" ht="13" x14ac:dyDescent="0.3">
      <c r="A329" s="58"/>
      <c r="B329" s="58"/>
      <c r="C329" s="58"/>
      <c r="D329" s="58"/>
      <c r="E329" s="58"/>
      <c r="F329" s="58"/>
      <c r="G329" s="58"/>
      <c r="H329" s="59"/>
      <c r="I329" s="59"/>
      <c r="J329" s="59"/>
      <c r="K329" s="59"/>
      <c r="L329" s="59"/>
      <c r="M329" s="60"/>
      <c r="N329" s="60"/>
      <c r="O329" s="60"/>
      <c r="P329" s="59"/>
      <c r="Q329" s="59"/>
      <c r="R329" s="60"/>
      <c r="S329" s="60"/>
      <c r="T329" s="60"/>
      <c r="U329" s="60"/>
      <c r="V329" s="60"/>
      <c r="W329" s="60"/>
    </row>
    <row r="330" spans="1:23" ht="13" x14ac:dyDescent="0.3">
      <c r="A330" s="58"/>
      <c r="B330" s="58"/>
      <c r="C330" s="58"/>
      <c r="D330" s="58"/>
      <c r="E330" s="58"/>
      <c r="F330" s="58"/>
      <c r="G330" s="58"/>
      <c r="H330" s="59"/>
      <c r="I330" s="59"/>
      <c r="J330" s="59"/>
      <c r="K330" s="59"/>
      <c r="L330" s="59"/>
      <c r="M330" s="60"/>
      <c r="N330" s="60"/>
      <c r="O330" s="60"/>
      <c r="P330" s="59"/>
      <c r="Q330" s="59"/>
      <c r="R330" s="60"/>
      <c r="S330" s="60"/>
      <c r="T330" s="60"/>
      <c r="U330" s="60"/>
      <c r="V330" s="60"/>
      <c r="W330" s="60"/>
    </row>
    <row r="331" spans="1:23" ht="13" x14ac:dyDescent="0.3">
      <c r="A331" s="58"/>
      <c r="B331" s="58"/>
      <c r="C331" s="58"/>
      <c r="D331" s="58"/>
      <c r="E331" s="58"/>
      <c r="F331" s="58"/>
      <c r="G331" s="58"/>
      <c r="H331" s="59"/>
      <c r="I331" s="59"/>
      <c r="J331" s="59"/>
      <c r="K331" s="59"/>
      <c r="L331" s="59"/>
      <c r="M331" s="60"/>
      <c r="N331" s="60"/>
      <c r="O331" s="60"/>
      <c r="P331" s="59"/>
      <c r="Q331" s="59"/>
      <c r="R331" s="60"/>
      <c r="S331" s="60"/>
      <c r="T331" s="60"/>
      <c r="U331" s="60"/>
      <c r="V331" s="60"/>
      <c r="W331" s="60"/>
    </row>
    <row r="332" spans="1:23" ht="13" x14ac:dyDescent="0.3">
      <c r="A332" s="58"/>
      <c r="B332" s="58"/>
      <c r="C332" s="58"/>
      <c r="D332" s="58"/>
      <c r="E332" s="58"/>
      <c r="F332" s="58"/>
      <c r="G332" s="58"/>
      <c r="H332" s="59"/>
      <c r="I332" s="59"/>
      <c r="J332" s="59"/>
      <c r="K332" s="59"/>
      <c r="L332" s="59"/>
      <c r="M332" s="60"/>
      <c r="N332" s="60"/>
      <c r="O332" s="60"/>
      <c r="P332" s="59"/>
      <c r="Q332" s="59"/>
      <c r="R332" s="60"/>
      <c r="S332" s="60"/>
      <c r="T332" s="60"/>
      <c r="U332" s="60"/>
      <c r="V332" s="60"/>
      <c r="W332" s="60"/>
    </row>
    <row r="333" spans="1:23" ht="13" x14ac:dyDescent="0.3">
      <c r="A333" s="58"/>
      <c r="B333" s="58"/>
      <c r="C333" s="58"/>
      <c r="D333" s="58"/>
      <c r="E333" s="58"/>
      <c r="F333" s="58"/>
      <c r="G333" s="58"/>
      <c r="H333" s="59"/>
      <c r="I333" s="59"/>
      <c r="J333" s="59"/>
      <c r="K333" s="59"/>
      <c r="L333" s="59"/>
      <c r="M333" s="60"/>
      <c r="N333" s="60"/>
      <c r="O333" s="60"/>
      <c r="P333" s="59"/>
      <c r="Q333" s="59"/>
      <c r="R333" s="60"/>
      <c r="S333" s="60"/>
      <c r="T333" s="60"/>
      <c r="U333" s="60"/>
      <c r="V333" s="60"/>
      <c r="W333" s="60"/>
    </row>
    <row r="334" spans="1:23" ht="13" x14ac:dyDescent="0.3">
      <c r="A334" s="58"/>
      <c r="B334" s="58"/>
      <c r="C334" s="58"/>
      <c r="D334" s="58"/>
      <c r="E334" s="58"/>
      <c r="F334" s="58"/>
      <c r="G334" s="58"/>
      <c r="H334" s="59"/>
      <c r="I334" s="59"/>
      <c r="J334" s="59"/>
      <c r="K334" s="59"/>
      <c r="L334" s="59"/>
      <c r="M334" s="60"/>
      <c r="N334" s="60"/>
      <c r="O334" s="60"/>
      <c r="P334" s="59"/>
      <c r="Q334" s="59"/>
      <c r="R334" s="60"/>
      <c r="S334" s="60"/>
      <c r="T334" s="60"/>
      <c r="U334" s="60"/>
      <c r="V334" s="60"/>
      <c r="W334" s="60"/>
    </row>
    <row r="335" spans="1:23" ht="13" x14ac:dyDescent="0.3">
      <c r="A335" s="58"/>
      <c r="B335" s="58"/>
      <c r="C335" s="58"/>
      <c r="D335" s="58"/>
      <c r="E335" s="58"/>
      <c r="F335" s="58"/>
      <c r="G335" s="58"/>
      <c r="H335" s="59"/>
      <c r="I335" s="59"/>
      <c r="J335" s="59"/>
      <c r="K335" s="59"/>
      <c r="L335" s="59"/>
      <c r="M335" s="60"/>
      <c r="N335" s="60"/>
      <c r="O335" s="60"/>
      <c r="P335" s="59"/>
      <c r="Q335" s="59"/>
      <c r="R335" s="60"/>
      <c r="S335" s="60"/>
      <c r="T335" s="60"/>
      <c r="U335" s="60"/>
      <c r="V335" s="60"/>
      <c r="W335" s="60"/>
    </row>
    <row r="336" spans="1:23" ht="13" x14ac:dyDescent="0.3">
      <c r="A336" s="58"/>
      <c r="B336" s="58"/>
      <c r="C336" s="58"/>
      <c r="D336" s="58"/>
      <c r="E336" s="58"/>
      <c r="F336" s="58"/>
      <c r="G336" s="58"/>
      <c r="H336" s="59"/>
      <c r="I336" s="59"/>
      <c r="J336" s="59"/>
      <c r="K336" s="59"/>
      <c r="L336" s="59"/>
      <c r="M336" s="60"/>
      <c r="N336" s="60"/>
      <c r="O336" s="60"/>
      <c r="P336" s="59"/>
      <c r="Q336" s="59"/>
      <c r="R336" s="60"/>
      <c r="S336" s="60"/>
      <c r="T336" s="60"/>
      <c r="U336" s="60"/>
      <c r="V336" s="60"/>
      <c r="W336" s="60"/>
    </row>
    <row r="337" spans="1:23" ht="13" x14ac:dyDescent="0.3">
      <c r="A337" s="58"/>
      <c r="B337" s="58"/>
      <c r="C337" s="58"/>
      <c r="D337" s="58"/>
      <c r="E337" s="58"/>
      <c r="F337" s="58"/>
      <c r="G337" s="58"/>
      <c r="H337" s="59"/>
      <c r="I337" s="59"/>
      <c r="J337" s="59"/>
      <c r="K337" s="59"/>
      <c r="L337" s="59"/>
      <c r="M337" s="60"/>
      <c r="N337" s="60"/>
      <c r="O337" s="60"/>
      <c r="P337" s="59"/>
      <c r="Q337" s="59"/>
      <c r="R337" s="60"/>
      <c r="S337" s="60"/>
      <c r="T337" s="60"/>
      <c r="U337" s="60"/>
      <c r="V337" s="60"/>
      <c r="W337" s="60"/>
    </row>
    <row r="338" spans="1:23" ht="13" x14ac:dyDescent="0.3">
      <c r="A338" s="58"/>
      <c r="B338" s="58"/>
      <c r="C338" s="58"/>
      <c r="D338" s="58"/>
      <c r="E338" s="58"/>
      <c r="F338" s="58"/>
      <c r="G338" s="58"/>
      <c r="H338" s="59"/>
      <c r="I338" s="59"/>
      <c r="J338" s="59"/>
      <c r="K338" s="59"/>
      <c r="L338" s="59"/>
      <c r="M338" s="60"/>
      <c r="N338" s="60"/>
      <c r="O338" s="60"/>
      <c r="P338" s="59"/>
      <c r="Q338" s="59"/>
      <c r="R338" s="60"/>
      <c r="S338" s="60"/>
      <c r="T338" s="60"/>
      <c r="U338" s="60"/>
      <c r="V338" s="60"/>
      <c r="W338" s="60"/>
    </row>
    <row r="339" spans="1:23" ht="13" x14ac:dyDescent="0.3">
      <c r="A339" s="58"/>
      <c r="B339" s="58"/>
      <c r="C339" s="58"/>
      <c r="D339" s="58"/>
      <c r="E339" s="58"/>
      <c r="F339" s="58"/>
      <c r="G339" s="58"/>
      <c r="H339" s="59"/>
      <c r="I339" s="59"/>
      <c r="J339" s="59"/>
      <c r="K339" s="59"/>
      <c r="L339" s="59"/>
      <c r="M339" s="60"/>
      <c r="N339" s="60"/>
      <c r="O339" s="60"/>
      <c r="P339" s="59"/>
      <c r="Q339" s="59"/>
      <c r="R339" s="60"/>
      <c r="S339" s="60"/>
      <c r="T339" s="60"/>
      <c r="U339" s="60"/>
      <c r="V339" s="60"/>
      <c r="W339" s="60"/>
    </row>
    <row r="340" spans="1:23" ht="13" x14ac:dyDescent="0.3">
      <c r="A340" s="58"/>
      <c r="B340" s="58"/>
      <c r="C340" s="58"/>
      <c r="D340" s="58"/>
      <c r="E340" s="58"/>
      <c r="F340" s="58"/>
      <c r="G340" s="58"/>
      <c r="H340" s="59"/>
      <c r="I340" s="59"/>
      <c r="J340" s="59"/>
      <c r="K340" s="59"/>
      <c r="L340" s="59"/>
      <c r="M340" s="60"/>
      <c r="N340" s="60"/>
      <c r="O340" s="60"/>
      <c r="P340" s="59"/>
      <c r="Q340" s="59"/>
      <c r="R340" s="60"/>
      <c r="S340" s="60"/>
      <c r="T340" s="60"/>
      <c r="U340" s="60"/>
      <c r="V340" s="60"/>
      <c r="W340" s="60"/>
    </row>
    <row r="341" spans="1:23" ht="13" x14ac:dyDescent="0.3">
      <c r="A341" s="58"/>
      <c r="B341" s="58"/>
      <c r="C341" s="58"/>
      <c r="D341" s="58"/>
      <c r="E341" s="58"/>
      <c r="F341" s="58"/>
      <c r="G341" s="58"/>
      <c r="H341" s="59"/>
      <c r="I341" s="59"/>
      <c r="J341" s="59"/>
      <c r="K341" s="59"/>
      <c r="L341" s="59"/>
      <c r="M341" s="60"/>
      <c r="N341" s="60"/>
      <c r="O341" s="60"/>
      <c r="P341" s="59"/>
      <c r="Q341" s="59"/>
      <c r="R341" s="60"/>
      <c r="S341" s="60"/>
      <c r="T341" s="60"/>
      <c r="U341" s="60"/>
      <c r="V341" s="60"/>
      <c r="W341" s="60"/>
    </row>
    <row r="342" spans="1:23" ht="13" x14ac:dyDescent="0.3">
      <c r="A342" s="58"/>
      <c r="B342" s="58"/>
      <c r="C342" s="58"/>
      <c r="D342" s="58"/>
      <c r="E342" s="58"/>
      <c r="F342" s="58"/>
      <c r="G342" s="58"/>
      <c r="H342" s="59"/>
      <c r="I342" s="59"/>
      <c r="J342" s="59"/>
      <c r="K342" s="59"/>
      <c r="L342" s="59"/>
      <c r="M342" s="60"/>
      <c r="N342" s="60"/>
      <c r="O342" s="60"/>
      <c r="P342" s="59"/>
      <c r="Q342" s="59"/>
      <c r="R342" s="60"/>
      <c r="S342" s="60"/>
      <c r="T342" s="60"/>
      <c r="U342" s="60"/>
      <c r="V342" s="60"/>
      <c r="W342" s="60"/>
    </row>
    <row r="343" spans="1:23" ht="13" x14ac:dyDescent="0.3">
      <c r="A343" s="58"/>
      <c r="B343" s="58"/>
      <c r="C343" s="58"/>
      <c r="D343" s="58"/>
      <c r="E343" s="58"/>
      <c r="F343" s="58"/>
      <c r="G343" s="58"/>
      <c r="H343" s="59"/>
      <c r="I343" s="59"/>
      <c r="J343" s="59"/>
      <c r="K343" s="59"/>
      <c r="L343" s="59"/>
      <c r="M343" s="60"/>
      <c r="N343" s="60"/>
      <c r="O343" s="60"/>
      <c r="P343" s="59"/>
      <c r="Q343" s="59"/>
      <c r="R343" s="60"/>
      <c r="S343" s="60"/>
      <c r="T343" s="60"/>
      <c r="U343" s="60"/>
      <c r="V343" s="60"/>
      <c r="W343" s="60"/>
    </row>
    <row r="344" spans="1:23" ht="13" x14ac:dyDescent="0.3">
      <c r="A344" s="58"/>
      <c r="B344" s="58"/>
      <c r="C344" s="58"/>
      <c r="D344" s="58"/>
      <c r="E344" s="58"/>
      <c r="F344" s="58"/>
      <c r="G344" s="58"/>
      <c r="H344" s="59"/>
      <c r="I344" s="59"/>
      <c r="J344" s="59"/>
      <c r="K344" s="59"/>
      <c r="L344" s="59"/>
      <c r="M344" s="60"/>
      <c r="N344" s="60"/>
      <c r="O344" s="60"/>
      <c r="P344" s="59"/>
      <c r="Q344" s="59"/>
      <c r="R344" s="60"/>
      <c r="S344" s="60"/>
      <c r="T344" s="60"/>
      <c r="U344" s="60"/>
      <c r="V344" s="60"/>
      <c r="W344" s="60"/>
    </row>
    <row r="345" spans="1:23" ht="13" x14ac:dyDescent="0.3">
      <c r="A345" s="58"/>
      <c r="B345" s="58"/>
      <c r="C345" s="58"/>
      <c r="D345" s="58"/>
      <c r="E345" s="58"/>
      <c r="F345" s="58"/>
      <c r="G345" s="58"/>
      <c r="H345" s="59"/>
      <c r="I345" s="59"/>
      <c r="J345" s="59"/>
      <c r="K345" s="59"/>
      <c r="L345" s="59"/>
      <c r="M345" s="60"/>
      <c r="N345" s="60"/>
      <c r="O345" s="60"/>
      <c r="P345" s="59"/>
      <c r="Q345" s="59"/>
      <c r="R345" s="60"/>
      <c r="S345" s="60"/>
      <c r="T345" s="60"/>
      <c r="U345" s="60"/>
      <c r="V345" s="60"/>
      <c r="W345" s="60"/>
    </row>
    <row r="346" spans="1:23" ht="13" x14ac:dyDescent="0.3">
      <c r="A346" s="58"/>
      <c r="B346" s="58"/>
      <c r="C346" s="58"/>
      <c r="D346" s="58"/>
      <c r="E346" s="58"/>
      <c r="F346" s="58"/>
      <c r="G346" s="58"/>
      <c r="H346" s="59"/>
      <c r="I346" s="59"/>
      <c r="J346" s="59"/>
      <c r="K346" s="59"/>
      <c r="L346" s="59"/>
      <c r="M346" s="60"/>
      <c r="N346" s="60"/>
      <c r="O346" s="60"/>
      <c r="P346" s="59"/>
      <c r="Q346" s="59"/>
      <c r="R346" s="60"/>
      <c r="S346" s="60"/>
      <c r="T346" s="60"/>
      <c r="U346" s="60"/>
      <c r="V346" s="60"/>
      <c r="W346" s="60"/>
    </row>
    <row r="347" spans="1:23" ht="13" x14ac:dyDescent="0.3">
      <c r="A347" s="58"/>
      <c r="B347" s="58"/>
      <c r="C347" s="58"/>
      <c r="D347" s="58"/>
      <c r="E347" s="58"/>
      <c r="F347" s="58"/>
      <c r="G347" s="58"/>
      <c r="H347" s="59"/>
      <c r="I347" s="59"/>
      <c r="J347" s="59"/>
      <c r="K347" s="59"/>
      <c r="L347" s="59"/>
      <c r="M347" s="60"/>
      <c r="N347" s="60"/>
      <c r="O347" s="60"/>
      <c r="P347" s="59"/>
      <c r="Q347" s="59"/>
      <c r="R347" s="60"/>
      <c r="S347" s="60"/>
      <c r="T347" s="60"/>
      <c r="U347" s="60"/>
      <c r="V347" s="60"/>
      <c r="W347" s="60"/>
    </row>
    <row r="348" spans="1:23" ht="13" x14ac:dyDescent="0.3">
      <c r="A348" s="58"/>
      <c r="B348" s="58"/>
      <c r="C348" s="58"/>
      <c r="D348" s="58"/>
      <c r="E348" s="58"/>
      <c r="F348" s="58"/>
      <c r="G348" s="58"/>
      <c r="H348" s="59"/>
      <c r="I348" s="59"/>
      <c r="J348" s="59"/>
      <c r="K348" s="59"/>
      <c r="L348" s="59"/>
      <c r="M348" s="60"/>
      <c r="N348" s="60"/>
      <c r="O348" s="60"/>
      <c r="P348" s="59"/>
      <c r="Q348" s="59"/>
      <c r="R348" s="60"/>
      <c r="S348" s="60"/>
      <c r="T348" s="60"/>
      <c r="U348" s="60"/>
      <c r="V348" s="60"/>
      <c r="W348" s="60"/>
    </row>
    <row r="349" spans="1:23" ht="13" x14ac:dyDescent="0.3">
      <c r="A349" s="58"/>
      <c r="B349" s="58"/>
      <c r="C349" s="58"/>
      <c r="D349" s="58"/>
      <c r="E349" s="58"/>
      <c r="F349" s="58"/>
      <c r="G349" s="58"/>
      <c r="H349" s="59"/>
      <c r="I349" s="59"/>
      <c r="J349" s="59"/>
      <c r="K349" s="59"/>
      <c r="L349" s="59"/>
      <c r="M349" s="60"/>
      <c r="N349" s="60"/>
      <c r="O349" s="60"/>
      <c r="P349" s="59"/>
      <c r="Q349" s="59"/>
      <c r="R349" s="60"/>
      <c r="S349" s="60"/>
      <c r="T349" s="60"/>
      <c r="U349" s="60"/>
      <c r="V349" s="60"/>
      <c r="W349" s="60"/>
    </row>
    <row r="350" spans="1:23" ht="13" x14ac:dyDescent="0.3">
      <c r="A350" s="58"/>
      <c r="B350" s="58"/>
      <c r="C350" s="58"/>
      <c r="D350" s="58"/>
      <c r="E350" s="58"/>
      <c r="F350" s="58"/>
      <c r="G350" s="58"/>
      <c r="H350" s="59"/>
      <c r="I350" s="59"/>
      <c r="J350" s="59"/>
      <c r="K350" s="59"/>
      <c r="L350" s="59"/>
      <c r="M350" s="60"/>
      <c r="N350" s="60"/>
      <c r="O350" s="60"/>
      <c r="P350" s="59"/>
      <c r="Q350" s="59"/>
      <c r="R350" s="60"/>
      <c r="S350" s="60"/>
      <c r="T350" s="60"/>
      <c r="U350" s="60"/>
      <c r="V350" s="60"/>
      <c r="W350" s="60"/>
    </row>
    <row r="351" spans="1:23" ht="13" x14ac:dyDescent="0.3">
      <c r="A351" s="58"/>
      <c r="B351" s="58"/>
      <c r="C351" s="58"/>
      <c r="D351" s="58"/>
      <c r="E351" s="58"/>
      <c r="F351" s="58"/>
      <c r="G351" s="58"/>
      <c r="H351" s="59"/>
      <c r="I351" s="59"/>
      <c r="J351" s="59"/>
      <c r="K351" s="59"/>
      <c r="L351" s="59"/>
      <c r="M351" s="60"/>
      <c r="N351" s="60"/>
      <c r="O351" s="60"/>
      <c r="P351" s="59"/>
      <c r="Q351" s="59"/>
      <c r="R351" s="60"/>
      <c r="S351" s="60"/>
      <c r="T351" s="60"/>
      <c r="U351" s="60"/>
      <c r="V351" s="60"/>
      <c r="W351" s="60"/>
    </row>
    <row r="352" spans="1:23" ht="13" x14ac:dyDescent="0.3">
      <c r="A352" s="58"/>
      <c r="B352" s="58"/>
      <c r="C352" s="58"/>
      <c r="D352" s="58"/>
      <c r="E352" s="58"/>
      <c r="F352" s="58"/>
      <c r="G352" s="58"/>
      <c r="H352" s="59"/>
      <c r="I352" s="59"/>
      <c r="J352" s="59"/>
      <c r="K352" s="59"/>
      <c r="L352" s="59"/>
      <c r="M352" s="60"/>
      <c r="N352" s="60"/>
      <c r="O352" s="60"/>
      <c r="P352" s="59"/>
      <c r="Q352" s="59"/>
      <c r="R352" s="60"/>
      <c r="S352" s="60"/>
      <c r="T352" s="60"/>
      <c r="U352" s="60"/>
      <c r="V352" s="60"/>
      <c r="W352" s="60"/>
    </row>
    <row r="353" spans="1:23" ht="13" x14ac:dyDescent="0.3">
      <c r="A353" s="58"/>
      <c r="B353" s="58"/>
      <c r="C353" s="58"/>
      <c r="D353" s="58"/>
      <c r="E353" s="58"/>
      <c r="F353" s="58"/>
      <c r="G353" s="58"/>
      <c r="H353" s="59"/>
      <c r="I353" s="59"/>
      <c r="J353" s="59"/>
      <c r="K353" s="59"/>
      <c r="L353" s="59"/>
      <c r="M353" s="60"/>
      <c r="N353" s="60"/>
      <c r="O353" s="60"/>
      <c r="P353" s="59"/>
      <c r="Q353" s="59"/>
      <c r="R353" s="60"/>
      <c r="S353" s="60"/>
      <c r="T353" s="60"/>
      <c r="U353" s="60"/>
      <c r="V353" s="60"/>
      <c r="W353" s="60"/>
    </row>
    <row r="354" spans="1:23" ht="13" x14ac:dyDescent="0.3">
      <c r="A354" s="58"/>
      <c r="B354" s="58"/>
      <c r="C354" s="58"/>
      <c r="D354" s="58"/>
      <c r="E354" s="58"/>
      <c r="F354" s="58"/>
      <c r="G354" s="58"/>
      <c r="H354" s="59"/>
      <c r="I354" s="59"/>
      <c r="J354" s="59"/>
      <c r="K354" s="59"/>
      <c r="L354" s="59"/>
      <c r="M354" s="60"/>
      <c r="N354" s="60"/>
      <c r="O354" s="60"/>
      <c r="P354" s="59"/>
      <c r="Q354" s="59"/>
      <c r="R354" s="60"/>
      <c r="S354" s="60"/>
      <c r="T354" s="60"/>
      <c r="U354" s="60"/>
      <c r="V354" s="60"/>
      <c r="W354" s="60"/>
    </row>
    <row r="355" spans="1:23" ht="13" x14ac:dyDescent="0.3">
      <c r="A355" s="58"/>
      <c r="B355" s="58"/>
      <c r="C355" s="58"/>
      <c r="D355" s="58"/>
      <c r="E355" s="58"/>
      <c r="F355" s="58"/>
      <c r="G355" s="58"/>
      <c r="H355" s="59"/>
      <c r="I355" s="59"/>
      <c r="J355" s="59"/>
      <c r="K355" s="59"/>
      <c r="L355" s="59"/>
      <c r="M355" s="60"/>
      <c r="N355" s="60"/>
      <c r="O355" s="60"/>
      <c r="P355" s="59"/>
      <c r="Q355" s="59"/>
      <c r="R355" s="60"/>
      <c r="S355" s="60"/>
      <c r="T355" s="60"/>
      <c r="U355" s="60"/>
      <c r="V355" s="60"/>
      <c r="W355" s="60"/>
    </row>
    <row r="356" spans="1:23" ht="13" x14ac:dyDescent="0.3">
      <c r="A356" s="58"/>
      <c r="B356" s="58"/>
      <c r="C356" s="58"/>
      <c r="D356" s="58"/>
      <c r="E356" s="58"/>
      <c r="F356" s="58"/>
      <c r="G356" s="58"/>
      <c r="H356" s="59"/>
      <c r="I356" s="59"/>
      <c r="J356" s="59"/>
      <c r="K356" s="59"/>
      <c r="L356" s="59"/>
      <c r="M356" s="60"/>
      <c r="N356" s="60"/>
      <c r="O356" s="60"/>
      <c r="P356" s="59"/>
      <c r="Q356" s="59"/>
      <c r="R356" s="60"/>
      <c r="S356" s="60"/>
      <c r="T356" s="60"/>
      <c r="U356" s="60"/>
      <c r="V356" s="60"/>
      <c r="W356" s="60"/>
    </row>
    <row r="357" spans="1:23" ht="13" x14ac:dyDescent="0.3">
      <c r="A357" s="58"/>
      <c r="B357" s="58"/>
      <c r="C357" s="58"/>
      <c r="D357" s="58"/>
      <c r="E357" s="58"/>
      <c r="F357" s="58"/>
      <c r="G357" s="58"/>
      <c r="H357" s="59"/>
      <c r="I357" s="59"/>
      <c r="J357" s="59"/>
      <c r="K357" s="59"/>
      <c r="L357" s="59"/>
      <c r="M357" s="60"/>
      <c r="N357" s="60"/>
      <c r="O357" s="60"/>
      <c r="P357" s="59"/>
      <c r="Q357" s="59"/>
      <c r="R357" s="60"/>
      <c r="S357" s="60"/>
      <c r="T357" s="60"/>
      <c r="U357" s="60"/>
      <c r="V357" s="60"/>
      <c r="W357" s="60"/>
    </row>
    <row r="358" spans="1:23" ht="13" x14ac:dyDescent="0.3">
      <c r="A358" s="58"/>
      <c r="B358" s="58"/>
      <c r="C358" s="58"/>
      <c r="D358" s="58"/>
      <c r="E358" s="58"/>
      <c r="F358" s="58"/>
      <c r="G358" s="58"/>
      <c r="H358" s="59"/>
      <c r="I358" s="59"/>
      <c r="J358" s="59"/>
      <c r="K358" s="59"/>
      <c r="L358" s="59"/>
      <c r="M358" s="60"/>
      <c r="N358" s="60"/>
      <c r="O358" s="60"/>
      <c r="P358" s="59"/>
      <c r="Q358" s="59"/>
      <c r="R358" s="60"/>
      <c r="S358" s="60"/>
      <c r="T358" s="60"/>
      <c r="U358" s="60"/>
      <c r="V358" s="60"/>
      <c r="W358" s="60"/>
    </row>
    <row r="359" spans="1:23" ht="13" x14ac:dyDescent="0.3">
      <c r="A359" s="58"/>
      <c r="B359" s="58"/>
      <c r="C359" s="58"/>
      <c r="D359" s="58"/>
      <c r="E359" s="58"/>
      <c r="F359" s="58"/>
      <c r="G359" s="58"/>
      <c r="H359" s="59"/>
      <c r="I359" s="59"/>
      <c r="J359" s="59"/>
      <c r="K359" s="59"/>
      <c r="L359" s="59"/>
      <c r="M359" s="60"/>
      <c r="N359" s="60"/>
      <c r="O359" s="60"/>
      <c r="P359" s="59"/>
      <c r="Q359" s="59"/>
      <c r="R359" s="60"/>
      <c r="S359" s="60"/>
      <c r="T359" s="60"/>
      <c r="U359" s="60"/>
      <c r="V359" s="60"/>
      <c r="W359" s="60"/>
    </row>
    <row r="360" spans="1:23" ht="13" x14ac:dyDescent="0.3">
      <c r="A360" s="58"/>
      <c r="B360" s="58"/>
      <c r="C360" s="58"/>
      <c r="D360" s="58"/>
      <c r="E360" s="58"/>
      <c r="F360" s="58"/>
      <c r="G360" s="58"/>
      <c r="H360" s="59"/>
      <c r="I360" s="59"/>
      <c r="J360" s="59"/>
      <c r="K360" s="59"/>
      <c r="L360" s="59"/>
      <c r="M360" s="60"/>
      <c r="N360" s="60"/>
      <c r="O360" s="60"/>
      <c r="P360" s="59"/>
      <c r="Q360" s="59"/>
      <c r="R360" s="60"/>
      <c r="S360" s="60"/>
      <c r="T360" s="60"/>
      <c r="U360" s="60"/>
      <c r="V360" s="60"/>
      <c r="W360" s="60"/>
    </row>
    <row r="361" spans="1:23" ht="13" x14ac:dyDescent="0.3">
      <c r="A361" s="58"/>
      <c r="B361" s="58"/>
      <c r="C361" s="58"/>
      <c r="D361" s="58"/>
      <c r="E361" s="58"/>
      <c r="F361" s="58"/>
      <c r="G361" s="58"/>
      <c r="H361" s="59"/>
      <c r="I361" s="59"/>
      <c r="J361" s="59"/>
      <c r="K361" s="59"/>
      <c r="L361" s="59"/>
      <c r="M361" s="60"/>
      <c r="N361" s="60"/>
      <c r="O361" s="60"/>
      <c r="P361" s="59"/>
      <c r="Q361" s="59"/>
      <c r="R361" s="60"/>
      <c r="S361" s="60"/>
      <c r="T361" s="60"/>
      <c r="U361" s="60"/>
      <c r="V361" s="60"/>
      <c r="W361" s="60"/>
    </row>
    <row r="362" spans="1:23" ht="13" x14ac:dyDescent="0.3">
      <c r="A362" s="58"/>
      <c r="B362" s="58"/>
      <c r="C362" s="58"/>
      <c r="D362" s="58"/>
      <c r="E362" s="58"/>
      <c r="F362" s="58"/>
      <c r="G362" s="58"/>
      <c r="H362" s="59"/>
      <c r="I362" s="59"/>
      <c r="J362" s="59"/>
      <c r="K362" s="59"/>
      <c r="L362" s="59"/>
      <c r="M362" s="60"/>
      <c r="N362" s="60"/>
      <c r="O362" s="60"/>
      <c r="P362" s="59"/>
      <c r="Q362" s="59"/>
      <c r="R362" s="60"/>
      <c r="S362" s="60"/>
      <c r="T362" s="60"/>
      <c r="U362" s="60"/>
      <c r="V362" s="60"/>
      <c r="W362" s="60"/>
    </row>
    <row r="363" spans="1:23" ht="13" x14ac:dyDescent="0.3">
      <c r="A363" s="58"/>
      <c r="B363" s="58"/>
      <c r="C363" s="58"/>
      <c r="D363" s="58"/>
      <c r="E363" s="58"/>
      <c r="F363" s="58"/>
      <c r="G363" s="58"/>
      <c r="H363" s="59"/>
      <c r="I363" s="59"/>
      <c r="J363" s="59"/>
      <c r="K363" s="59"/>
      <c r="L363" s="59"/>
      <c r="M363" s="60"/>
      <c r="N363" s="60"/>
      <c r="O363" s="60"/>
      <c r="P363" s="59"/>
      <c r="Q363" s="59"/>
      <c r="R363" s="60"/>
      <c r="S363" s="60"/>
      <c r="T363" s="60"/>
      <c r="U363" s="60"/>
      <c r="V363" s="60"/>
      <c r="W363" s="60"/>
    </row>
    <row r="364" spans="1:23" ht="13" x14ac:dyDescent="0.3">
      <c r="A364" s="58"/>
      <c r="B364" s="58"/>
      <c r="C364" s="58"/>
      <c r="D364" s="58"/>
      <c r="E364" s="58"/>
      <c r="F364" s="58"/>
      <c r="G364" s="58"/>
      <c r="H364" s="59"/>
      <c r="I364" s="59"/>
      <c r="J364" s="59"/>
      <c r="K364" s="59"/>
      <c r="L364" s="59"/>
      <c r="M364" s="60"/>
      <c r="N364" s="60"/>
      <c r="O364" s="60"/>
      <c r="P364" s="59"/>
      <c r="Q364" s="59"/>
      <c r="R364" s="60"/>
      <c r="S364" s="60"/>
      <c r="T364" s="60"/>
      <c r="U364" s="60"/>
      <c r="V364" s="60"/>
      <c r="W364" s="60"/>
    </row>
    <row r="365" spans="1:23" ht="13" x14ac:dyDescent="0.3">
      <c r="A365" s="58"/>
      <c r="B365" s="58"/>
      <c r="C365" s="58"/>
      <c r="D365" s="58"/>
      <c r="E365" s="58"/>
      <c r="F365" s="58"/>
      <c r="G365" s="58"/>
      <c r="H365" s="59"/>
      <c r="I365" s="59"/>
      <c r="J365" s="59"/>
      <c r="K365" s="59"/>
      <c r="L365" s="59"/>
      <c r="M365" s="60"/>
      <c r="N365" s="60"/>
      <c r="O365" s="60"/>
      <c r="P365" s="59"/>
      <c r="Q365" s="59"/>
      <c r="R365" s="60"/>
      <c r="S365" s="60"/>
      <c r="T365" s="60"/>
      <c r="U365" s="60"/>
      <c r="V365" s="60"/>
      <c r="W365" s="60"/>
    </row>
    <row r="366" spans="1:23" ht="13" x14ac:dyDescent="0.3">
      <c r="A366" s="58"/>
      <c r="B366" s="58"/>
      <c r="C366" s="58"/>
      <c r="D366" s="58"/>
      <c r="E366" s="58"/>
      <c r="F366" s="58"/>
      <c r="G366" s="58"/>
      <c r="H366" s="59"/>
      <c r="I366" s="59"/>
      <c r="J366" s="59"/>
      <c r="K366" s="59"/>
      <c r="L366" s="59"/>
      <c r="M366" s="60"/>
      <c r="N366" s="60"/>
      <c r="O366" s="60"/>
      <c r="P366" s="59"/>
      <c r="Q366" s="59"/>
      <c r="R366" s="60"/>
      <c r="S366" s="60"/>
      <c r="T366" s="60"/>
      <c r="U366" s="60"/>
      <c r="V366" s="60"/>
      <c r="W366" s="60"/>
    </row>
    <row r="367" spans="1:23" ht="13" x14ac:dyDescent="0.3">
      <c r="A367" s="58"/>
      <c r="B367" s="58"/>
      <c r="C367" s="58"/>
      <c r="D367" s="58"/>
      <c r="E367" s="58"/>
      <c r="F367" s="58"/>
      <c r="G367" s="58"/>
      <c r="H367" s="59"/>
      <c r="I367" s="59"/>
      <c r="J367" s="59"/>
      <c r="K367" s="59"/>
      <c r="L367" s="59"/>
      <c r="M367" s="60"/>
      <c r="N367" s="60"/>
      <c r="O367" s="60"/>
      <c r="P367" s="59"/>
      <c r="Q367" s="59"/>
      <c r="R367" s="60"/>
      <c r="S367" s="60"/>
      <c r="T367" s="60"/>
      <c r="U367" s="60"/>
      <c r="V367" s="60"/>
      <c r="W367" s="60"/>
    </row>
    <row r="368" spans="1:23" ht="13" x14ac:dyDescent="0.3">
      <c r="A368" s="58"/>
      <c r="B368" s="58"/>
      <c r="C368" s="58"/>
      <c r="D368" s="58"/>
      <c r="E368" s="58"/>
      <c r="F368" s="58"/>
      <c r="G368" s="58"/>
      <c r="H368" s="59"/>
      <c r="I368" s="59"/>
      <c r="J368" s="59"/>
      <c r="K368" s="59"/>
      <c r="L368" s="59"/>
      <c r="M368" s="60"/>
      <c r="N368" s="60"/>
      <c r="O368" s="60"/>
      <c r="P368" s="59"/>
      <c r="Q368" s="59"/>
      <c r="R368" s="60"/>
      <c r="S368" s="60"/>
      <c r="T368" s="60"/>
      <c r="U368" s="60"/>
      <c r="V368" s="60"/>
      <c r="W368" s="60"/>
    </row>
    <row r="369" spans="1:23" ht="13" x14ac:dyDescent="0.3">
      <c r="A369" s="58"/>
      <c r="B369" s="58"/>
      <c r="C369" s="58"/>
      <c r="D369" s="58"/>
      <c r="E369" s="58"/>
      <c r="F369" s="58"/>
      <c r="G369" s="58"/>
      <c r="H369" s="59"/>
      <c r="I369" s="59"/>
      <c r="J369" s="59"/>
      <c r="K369" s="59"/>
      <c r="L369" s="59"/>
      <c r="M369" s="60"/>
      <c r="N369" s="60"/>
      <c r="O369" s="60"/>
      <c r="P369" s="59"/>
      <c r="Q369" s="59"/>
      <c r="R369" s="60"/>
      <c r="S369" s="60"/>
      <c r="T369" s="60"/>
      <c r="U369" s="60"/>
      <c r="V369" s="60"/>
      <c r="W369" s="60"/>
    </row>
    <row r="370" spans="1:23" ht="13" x14ac:dyDescent="0.3">
      <c r="A370" s="58"/>
      <c r="B370" s="58"/>
      <c r="C370" s="58"/>
      <c r="D370" s="58"/>
      <c r="E370" s="58"/>
      <c r="F370" s="58"/>
      <c r="G370" s="58"/>
      <c r="H370" s="59"/>
      <c r="I370" s="59"/>
      <c r="J370" s="59"/>
      <c r="K370" s="59"/>
      <c r="L370" s="59"/>
      <c r="M370" s="60"/>
      <c r="N370" s="60"/>
      <c r="O370" s="60"/>
      <c r="P370" s="59"/>
      <c r="Q370" s="59"/>
      <c r="R370" s="60"/>
      <c r="S370" s="60"/>
      <c r="T370" s="60"/>
      <c r="U370" s="60"/>
      <c r="V370" s="60"/>
      <c r="W370" s="60"/>
    </row>
    <row r="371" spans="1:23" ht="13" x14ac:dyDescent="0.3">
      <c r="A371" s="58"/>
      <c r="B371" s="58"/>
      <c r="C371" s="58"/>
      <c r="D371" s="58"/>
      <c r="E371" s="58"/>
      <c r="F371" s="58"/>
      <c r="G371" s="58"/>
      <c r="H371" s="59"/>
      <c r="I371" s="59"/>
      <c r="J371" s="59"/>
      <c r="K371" s="59"/>
      <c r="L371" s="59"/>
      <c r="M371" s="60"/>
      <c r="N371" s="60"/>
      <c r="O371" s="60"/>
      <c r="P371" s="59"/>
      <c r="Q371" s="59"/>
      <c r="R371" s="60"/>
      <c r="S371" s="60"/>
      <c r="T371" s="60"/>
      <c r="U371" s="60"/>
      <c r="V371" s="60"/>
      <c r="W371" s="60"/>
    </row>
    <row r="372" spans="1:23" ht="13" x14ac:dyDescent="0.3">
      <c r="A372" s="58"/>
      <c r="B372" s="58"/>
      <c r="C372" s="58"/>
      <c r="D372" s="58"/>
      <c r="E372" s="58"/>
      <c r="F372" s="58"/>
      <c r="G372" s="58"/>
      <c r="H372" s="59"/>
      <c r="I372" s="59"/>
      <c r="J372" s="59"/>
      <c r="K372" s="59"/>
      <c r="L372" s="59"/>
      <c r="M372" s="60"/>
      <c r="N372" s="60"/>
      <c r="O372" s="60"/>
      <c r="P372" s="59"/>
      <c r="Q372" s="59"/>
      <c r="R372" s="60"/>
      <c r="S372" s="60"/>
      <c r="T372" s="60"/>
      <c r="U372" s="60"/>
      <c r="V372" s="60"/>
      <c r="W372" s="60"/>
    </row>
    <row r="373" spans="1:23" ht="13" x14ac:dyDescent="0.3">
      <c r="A373" s="58"/>
      <c r="B373" s="58"/>
      <c r="C373" s="58"/>
      <c r="D373" s="58"/>
      <c r="E373" s="58"/>
      <c r="F373" s="58"/>
      <c r="G373" s="58"/>
      <c r="H373" s="59"/>
      <c r="I373" s="59"/>
      <c r="J373" s="59"/>
      <c r="K373" s="59"/>
      <c r="L373" s="59"/>
      <c r="M373" s="60"/>
      <c r="N373" s="60"/>
      <c r="O373" s="60"/>
      <c r="P373" s="59"/>
      <c r="Q373" s="59"/>
      <c r="R373" s="60"/>
      <c r="S373" s="60"/>
      <c r="T373" s="60"/>
      <c r="U373" s="60"/>
      <c r="V373" s="60"/>
      <c r="W373" s="60"/>
    </row>
    <row r="374" spans="1:23" ht="13" x14ac:dyDescent="0.3">
      <c r="A374" s="58"/>
      <c r="B374" s="58"/>
      <c r="C374" s="58"/>
      <c r="D374" s="58"/>
      <c r="E374" s="58"/>
      <c r="F374" s="58"/>
      <c r="G374" s="58"/>
      <c r="H374" s="59"/>
      <c r="I374" s="59"/>
      <c r="J374" s="59"/>
      <c r="K374" s="59"/>
      <c r="L374" s="59"/>
      <c r="M374" s="60"/>
      <c r="N374" s="60"/>
      <c r="O374" s="60"/>
      <c r="P374" s="59"/>
      <c r="Q374" s="59"/>
      <c r="R374" s="60"/>
      <c r="S374" s="60"/>
      <c r="T374" s="60"/>
      <c r="U374" s="60"/>
      <c r="V374" s="60"/>
      <c r="W374" s="60"/>
    </row>
    <row r="375" spans="1:23" ht="13" x14ac:dyDescent="0.3">
      <c r="A375" s="58"/>
      <c r="B375" s="58"/>
      <c r="C375" s="58"/>
      <c r="D375" s="58"/>
      <c r="E375" s="58"/>
      <c r="F375" s="58"/>
      <c r="G375" s="58"/>
      <c r="H375" s="59"/>
      <c r="I375" s="59"/>
      <c r="J375" s="59"/>
      <c r="K375" s="59"/>
      <c r="L375" s="59"/>
      <c r="M375" s="60"/>
      <c r="N375" s="60"/>
      <c r="O375" s="60"/>
      <c r="P375" s="59"/>
      <c r="Q375" s="59"/>
      <c r="R375" s="60"/>
      <c r="S375" s="60"/>
      <c r="T375" s="60"/>
      <c r="U375" s="60"/>
      <c r="V375" s="60"/>
      <c r="W375" s="60"/>
    </row>
    <row r="376" spans="1:23" ht="13" x14ac:dyDescent="0.3">
      <c r="A376" s="58"/>
      <c r="B376" s="58"/>
      <c r="C376" s="58"/>
      <c r="D376" s="58"/>
      <c r="E376" s="58"/>
      <c r="F376" s="58"/>
      <c r="G376" s="58"/>
      <c r="H376" s="59"/>
      <c r="I376" s="59"/>
      <c r="J376" s="59"/>
      <c r="K376" s="59"/>
      <c r="L376" s="59"/>
      <c r="M376" s="60"/>
      <c r="N376" s="60"/>
      <c r="O376" s="60"/>
      <c r="P376" s="59"/>
      <c r="Q376" s="59"/>
      <c r="R376" s="60"/>
      <c r="S376" s="60"/>
      <c r="T376" s="60"/>
      <c r="U376" s="60"/>
      <c r="V376" s="60"/>
      <c r="W376" s="60"/>
    </row>
    <row r="377" spans="1:23" ht="13" x14ac:dyDescent="0.3">
      <c r="A377" s="58"/>
      <c r="B377" s="58"/>
      <c r="C377" s="58"/>
      <c r="D377" s="58"/>
      <c r="E377" s="58"/>
      <c r="F377" s="58"/>
      <c r="G377" s="58"/>
      <c r="H377" s="59"/>
      <c r="I377" s="59"/>
      <c r="J377" s="59"/>
      <c r="K377" s="59"/>
      <c r="L377" s="59"/>
      <c r="M377" s="60"/>
      <c r="N377" s="60"/>
      <c r="O377" s="60"/>
      <c r="P377" s="59"/>
      <c r="Q377" s="59"/>
      <c r="R377" s="60"/>
      <c r="S377" s="60"/>
      <c r="T377" s="60"/>
      <c r="U377" s="60"/>
      <c r="V377" s="60"/>
      <c r="W377" s="60"/>
    </row>
    <row r="378" spans="1:23" ht="13" x14ac:dyDescent="0.3">
      <c r="A378" s="58"/>
      <c r="B378" s="58"/>
      <c r="C378" s="58"/>
      <c r="D378" s="58"/>
      <c r="E378" s="58"/>
      <c r="F378" s="58"/>
      <c r="G378" s="58"/>
      <c r="H378" s="59"/>
      <c r="I378" s="59"/>
      <c r="J378" s="59"/>
      <c r="K378" s="59"/>
      <c r="L378" s="59"/>
      <c r="M378" s="60"/>
      <c r="N378" s="60"/>
      <c r="O378" s="60"/>
      <c r="P378" s="59"/>
      <c r="Q378" s="59"/>
      <c r="R378" s="60"/>
      <c r="S378" s="60"/>
      <c r="T378" s="60"/>
      <c r="U378" s="60"/>
      <c r="V378" s="60"/>
      <c r="W378" s="60"/>
    </row>
    <row r="379" spans="1:23" ht="13" x14ac:dyDescent="0.3">
      <c r="A379" s="58"/>
      <c r="B379" s="58"/>
      <c r="C379" s="58"/>
      <c r="D379" s="58"/>
      <c r="E379" s="58"/>
      <c r="F379" s="58"/>
      <c r="G379" s="58"/>
      <c r="H379" s="59"/>
      <c r="I379" s="59"/>
      <c r="J379" s="59"/>
      <c r="K379" s="59"/>
      <c r="L379" s="59"/>
      <c r="M379" s="60"/>
      <c r="N379" s="60"/>
      <c r="O379" s="60"/>
      <c r="P379" s="59"/>
      <c r="Q379" s="59"/>
      <c r="R379" s="60"/>
      <c r="S379" s="60"/>
      <c r="T379" s="60"/>
      <c r="U379" s="60"/>
      <c r="V379" s="60"/>
      <c r="W379" s="60"/>
    </row>
    <row r="380" spans="1:23" ht="13" x14ac:dyDescent="0.3">
      <c r="A380" s="58"/>
      <c r="B380" s="58"/>
      <c r="C380" s="58"/>
      <c r="D380" s="58"/>
      <c r="E380" s="58"/>
      <c r="F380" s="58"/>
      <c r="G380" s="58"/>
      <c r="H380" s="59"/>
      <c r="I380" s="59"/>
      <c r="J380" s="59"/>
      <c r="K380" s="59"/>
      <c r="L380" s="59"/>
      <c r="M380" s="60"/>
      <c r="N380" s="60"/>
      <c r="O380" s="60"/>
      <c r="P380" s="59"/>
      <c r="Q380" s="59"/>
      <c r="R380" s="60"/>
      <c r="S380" s="60"/>
      <c r="T380" s="60"/>
      <c r="U380" s="60"/>
      <c r="V380" s="60"/>
      <c r="W380" s="60"/>
    </row>
    <row r="381" spans="1:23" ht="13" x14ac:dyDescent="0.3">
      <c r="A381" s="58"/>
      <c r="B381" s="58"/>
      <c r="C381" s="58"/>
      <c r="D381" s="58"/>
      <c r="E381" s="58"/>
      <c r="F381" s="58"/>
      <c r="G381" s="58"/>
      <c r="H381" s="59"/>
      <c r="I381" s="59"/>
      <c r="J381" s="59"/>
      <c r="K381" s="59"/>
      <c r="L381" s="59"/>
      <c r="M381" s="60"/>
      <c r="N381" s="60"/>
      <c r="O381" s="60"/>
      <c r="P381" s="59"/>
      <c r="Q381" s="59"/>
      <c r="R381" s="60"/>
      <c r="S381" s="60"/>
      <c r="T381" s="60"/>
      <c r="U381" s="60"/>
      <c r="V381" s="60"/>
      <c r="W381" s="60"/>
    </row>
    <row r="382" spans="1:23" ht="13" x14ac:dyDescent="0.3">
      <c r="A382" s="58"/>
      <c r="B382" s="58"/>
      <c r="C382" s="58"/>
      <c r="D382" s="58"/>
      <c r="E382" s="58"/>
      <c r="F382" s="58"/>
      <c r="G382" s="58"/>
      <c r="H382" s="59"/>
      <c r="I382" s="59"/>
      <c r="J382" s="59"/>
      <c r="K382" s="59"/>
      <c r="L382" s="59"/>
      <c r="M382" s="60"/>
      <c r="N382" s="60"/>
      <c r="O382" s="60"/>
      <c r="P382" s="59"/>
      <c r="Q382" s="59"/>
      <c r="R382" s="60"/>
      <c r="S382" s="60"/>
      <c r="T382" s="60"/>
      <c r="U382" s="60"/>
      <c r="V382" s="60"/>
      <c r="W382" s="60"/>
    </row>
    <row r="383" spans="1:23" ht="13" x14ac:dyDescent="0.3">
      <c r="A383" s="58"/>
      <c r="B383" s="58"/>
      <c r="C383" s="58"/>
      <c r="D383" s="58"/>
      <c r="E383" s="58"/>
      <c r="F383" s="58"/>
      <c r="G383" s="58"/>
      <c r="H383" s="59"/>
      <c r="I383" s="59"/>
      <c r="J383" s="59"/>
      <c r="K383" s="59"/>
      <c r="L383" s="59"/>
      <c r="M383" s="60"/>
      <c r="N383" s="60"/>
      <c r="O383" s="60"/>
      <c r="P383" s="59"/>
      <c r="Q383" s="59"/>
      <c r="R383" s="60"/>
      <c r="S383" s="60"/>
      <c r="T383" s="60"/>
      <c r="U383" s="60"/>
      <c r="V383" s="60"/>
      <c r="W383" s="60"/>
    </row>
    <row r="384" spans="1:23" ht="13" x14ac:dyDescent="0.3">
      <c r="A384" s="58"/>
      <c r="B384" s="58"/>
      <c r="C384" s="58"/>
      <c r="D384" s="58"/>
      <c r="E384" s="58"/>
      <c r="F384" s="58"/>
      <c r="G384" s="58"/>
      <c r="H384" s="59"/>
      <c r="I384" s="59"/>
      <c r="J384" s="59"/>
      <c r="K384" s="59"/>
      <c r="L384" s="59"/>
      <c r="M384" s="60"/>
      <c r="N384" s="60"/>
      <c r="O384" s="60"/>
      <c r="P384" s="59"/>
      <c r="Q384" s="59"/>
      <c r="R384" s="60"/>
      <c r="S384" s="60"/>
      <c r="T384" s="60"/>
      <c r="U384" s="60"/>
      <c r="V384" s="60"/>
      <c r="W384" s="60"/>
    </row>
    <row r="385" spans="1:23" ht="13" x14ac:dyDescent="0.3">
      <c r="A385" s="58"/>
      <c r="B385" s="58"/>
      <c r="C385" s="58"/>
      <c r="D385" s="58"/>
      <c r="E385" s="58"/>
      <c r="F385" s="58"/>
      <c r="G385" s="58"/>
      <c r="H385" s="59"/>
      <c r="I385" s="59"/>
      <c r="J385" s="59"/>
      <c r="K385" s="59"/>
      <c r="L385" s="59"/>
      <c r="M385" s="60"/>
      <c r="N385" s="60"/>
      <c r="O385" s="60"/>
      <c r="P385" s="59"/>
      <c r="Q385" s="59"/>
      <c r="R385" s="60"/>
      <c r="S385" s="60"/>
      <c r="T385" s="60"/>
      <c r="U385" s="60"/>
      <c r="V385" s="60"/>
      <c r="W385" s="60"/>
    </row>
    <row r="386" spans="1:23" ht="13" x14ac:dyDescent="0.3">
      <c r="A386" s="58"/>
      <c r="B386" s="58"/>
      <c r="C386" s="58"/>
      <c r="D386" s="58"/>
      <c r="E386" s="58"/>
      <c r="F386" s="58"/>
      <c r="G386" s="58"/>
      <c r="H386" s="59"/>
      <c r="I386" s="59"/>
      <c r="J386" s="59"/>
      <c r="K386" s="59"/>
      <c r="L386" s="59"/>
      <c r="M386" s="60"/>
      <c r="N386" s="60"/>
      <c r="O386" s="60"/>
      <c r="P386" s="59"/>
      <c r="Q386" s="59"/>
      <c r="R386" s="60"/>
      <c r="S386" s="60"/>
      <c r="T386" s="60"/>
      <c r="U386" s="60"/>
      <c r="V386" s="60"/>
      <c r="W386" s="60"/>
    </row>
    <row r="387" spans="1:23" ht="13" x14ac:dyDescent="0.3">
      <c r="A387" s="58"/>
      <c r="B387" s="58"/>
      <c r="C387" s="58"/>
      <c r="D387" s="58"/>
      <c r="E387" s="58"/>
      <c r="F387" s="58"/>
      <c r="G387" s="58"/>
      <c r="H387" s="59"/>
      <c r="I387" s="59"/>
      <c r="J387" s="59"/>
      <c r="K387" s="59"/>
      <c r="L387" s="59"/>
      <c r="M387" s="60"/>
      <c r="N387" s="60"/>
      <c r="O387" s="60"/>
      <c r="P387" s="59"/>
      <c r="Q387" s="59"/>
      <c r="R387" s="60"/>
      <c r="S387" s="60"/>
      <c r="T387" s="60"/>
      <c r="U387" s="60"/>
      <c r="V387" s="60"/>
      <c r="W387" s="60"/>
    </row>
    <row r="388" spans="1:23" ht="13" x14ac:dyDescent="0.3">
      <c r="A388" s="58"/>
      <c r="B388" s="58"/>
      <c r="C388" s="58"/>
      <c r="D388" s="58"/>
      <c r="E388" s="58"/>
      <c r="F388" s="58"/>
      <c r="G388" s="58"/>
      <c r="H388" s="59"/>
      <c r="I388" s="59"/>
      <c r="J388" s="59"/>
      <c r="K388" s="59"/>
      <c r="L388" s="59"/>
      <c r="M388" s="60"/>
      <c r="N388" s="60"/>
      <c r="O388" s="60"/>
      <c r="P388" s="59"/>
      <c r="Q388" s="59"/>
      <c r="R388" s="60"/>
      <c r="S388" s="60"/>
      <c r="T388" s="60"/>
      <c r="U388" s="60"/>
      <c r="V388" s="60"/>
      <c r="W388" s="60"/>
    </row>
    <row r="389" spans="1:23" ht="13" x14ac:dyDescent="0.3">
      <c r="A389" s="58"/>
      <c r="B389" s="58"/>
      <c r="C389" s="58"/>
      <c r="D389" s="58"/>
      <c r="E389" s="58"/>
      <c r="F389" s="58"/>
      <c r="G389" s="58"/>
      <c r="H389" s="59"/>
      <c r="I389" s="59"/>
      <c r="J389" s="59"/>
      <c r="K389" s="59"/>
      <c r="L389" s="59"/>
      <c r="M389" s="60"/>
      <c r="N389" s="60"/>
      <c r="O389" s="60"/>
      <c r="P389" s="59"/>
      <c r="Q389" s="59"/>
      <c r="R389" s="60"/>
      <c r="S389" s="60"/>
      <c r="T389" s="60"/>
      <c r="U389" s="60"/>
      <c r="V389" s="60"/>
      <c r="W389" s="60"/>
    </row>
    <row r="390" spans="1:23" ht="13" x14ac:dyDescent="0.3">
      <c r="A390" s="58"/>
      <c r="B390" s="58"/>
      <c r="C390" s="58"/>
      <c r="D390" s="58"/>
      <c r="E390" s="58"/>
      <c r="F390" s="58"/>
      <c r="G390" s="58"/>
      <c r="H390" s="59"/>
      <c r="I390" s="59"/>
      <c r="J390" s="59"/>
      <c r="K390" s="59"/>
      <c r="L390" s="59"/>
      <c r="M390" s="60"/>
      <c r="N390" s="60"/>
      <c r="O390" s="60"/>
      <c r="P390" s="59"/>
      <c r="Q390" s="59"/>
      <c r="R390" s="60"/>
      <c r="S390" s="60"/>
      <c r="T390" s="60"/>
      <c r="U390" s="60"/>
      <c r="V390" s="60"/>
      <c r="W390" s="60"/>
    </row>
    <row r="391" spans="1:23" ht="13" x14ac:dyDescent="0.3">
      <c r="A391" s="58"/>
      <c r="B391" s="58"/>
      <c r="C391" s="58"/>
      <c r="D391" s="58"/>
      <c r="E391" s="58"/>
      <c r="F391" s="58"/>
      <c r="G391" s="58"/>
      <c r="H391" s="59"/>
      <c r="I391" s="59"/>
      <c r="J391" s="59"/>
      <c r="K391" s="59"/>
      <c r="L391" s="59"/>
      <c r="M391" s="60"/>
      <c r="N391" s="60"/>
      <c r="O391" s="60"/>
      <c r="P391" s="59"/>
      <c r="Q391" s="59"/>
      <c r="R391" s="60"/>
      <c r="S391" s="60"/>
      <c r="T391" s="60"/>
      <c r="U391" s="60"/>
      <c r="V391" s="60"/>
      <c r="W391" s="60"/>
    </row>
    <row r="392" spans="1:23" ht="13" x14ac:dyDescent="0.3">
      <c r="A392" s="58"/>
      <c r="B392" s="58"/>
      <c r="C392" s="58"/>
      <c r="D392" s="58"/>
      <c r="E392" s="58"/>
      <c r="F392" s="58"/>
      <c r="G392" s="58"/>
      <c r="H392" s="59"/>
      <c r="I392" s="59"/>
      <c r="J392" s="59"/>
      <c r="K392" s="59"/>
      <c r="L392" s="59"/>
      <c r="M392" s="60"/>
      <c r="N392" s="60"/>
      <c r="O392" s="60"/>
      <c r="P392" s="59"/>
      <c r="Q392" s="59"/>
      <c r="R392" s="60"/>
      <c r="S392" s="60"/>
      <c r="T392" s="60"/>
      <c r="U392" s="60"/>
      <c r="V392" s="60"/>
      <c r="W392" s="60"/>
    </row>
    <row r="393" spans="1:23" ht="13" x14ac:dyDescent="0.3">
      <c r="A393" s="58"/>
      <c r="B393" s="58"/>
      <c r="C393" s="58"/>
      <c r="D393" s="58"/>
      <c r="E393" s="58"/>
      <c r="F393" s="58"/>
      <c r="G393" s="58"/>
      <c r="H393" s="59"/>
      <c r="I393" s="59"/>
      <c r="J393" s="59"/>
      <c r="K393" s="59"/>
      <c r="L393" s="59"/>
      <c r="M393" s="60"/>
      <c r="N393" s="60"/>
      <c r="O393" s="60"/>
      <c r="P393" s="59"/>
      <c r="Q393" s="59"/>
      <c r="R393" s="60"/>
      <c r="S393" s="60"/>
      <c r="T393" s="60"/>
      <c r="U393" s="60"/>
      <c r="V393" s="60"/>
      <c r="W393" s="60"/>
    </row>
    <row r="394" spans="1:23" ht="13" x14ac:dyDescent="0.3">
      <c r="A394" s="58"/>
      <c r="B394" s="58"/>
      <c r="C394" s="58"/>
      <c r="D394" s="58"/>
      <c r="E394" s="58"/>
      <c r="F394" s="58"/>
      <c r="G394" s="58"/>
      <c r="H394" s="59"/>
      <c r="I394" s="59"/>
      <c r="J394" s="59"/>
      <c r="K394" s="59"/>
      <c r="L394" s="59"/>
      <c r="M394" s="60"/>
      <c r="N394" s="60"/>
      <c r="O394" s="60"/>
      <c r="P394" s="59"/>
      <c r="Q394" s="59"/>
      <c r="R394" s="60"/>
      <c r="S394" s="60"/>
      <c r="T394" s="60"/>
      <c r="U394" s="60"/>
      <c r="V394" s="60"/>
      <c r="W394" s="60"/>
    </row>
    <row r="395" spans="1:23" ht="13" x14ac:dyDescent="0.3">
      <c r="A395" s="58"/>
      <c r="B395" s="58"/>
      <c r="C395" s="58"/>
      <c r="D395" s="58"/>
      <c r="E395" s="58"/>
      <c r="F395" s="58"/>
      <c r="G395" s="58"/>
      <c r="H395" s="59"/>
      <c r="I395" s="59"/>
      <c r="J395" s="59"/>
      <c r="K395" s="59"/>
      <c r="L395" s="59"/>
      <c r="M395" s="60"/>
      <c r="N395" s="60"/>
      <c r="O395" s="60"/>
      <c r="P395" s="59"/>
      <c r="Q395" s="59"/>
      <c r="R395" s="60"/>
      <c r="S395" s="60"/>
      <c r="T395" s="60"/>
      <c r="U395" s="60"/>
      <c r="V395" s="60"/>
      <c r="W395" s="60"/>
    </row>
    <row r="396" spans="1:23" ht="13" x14ac:dyDescent="0.3">
      <c r="A396" s="58"/>
      <c r="B396" s="58"/>
      <c r="C396" s="58"/>
      <c r="D396" s="58"/>
      <c r="E396" s="58"/>
      <c r="F396" s="58"/>
      <c r="G396" s="58"/>
      <c r="H396" s="59"/>
      <c r="I396" s="59"/>
      <c r="J396" s="59"/>
      <c r="K396" s="59"/>
      <c r="L396" s="59"/>
      <c r="M396" s="60"/>
      <c r="N396" s="60"/>
      <c r="O396" s="60"/>
      <c r="P396" s="59"/>
      <c r="Q396" s="59"/>
      <c r="R396" s="60"/>
      <c r="S396" s="60"/>
      <c r="T396" s="60"/>
      <c r="U396" s="60"/>
      <c r="V396" s="60"/>
      <c r="W396" s="60"/>
    </row>
    <row r="397" spans="1:23" ht="13" x14ac:dyDescent="0.3">
      <c r="A397" s="58"/>
      <c r="B397" s="58"/>
      <c r="C397" s="58"/>
      <c r="D397" s="58"/>
      <c r="E397" s="58"/>
      <c r="F397" s="58"/>
      <c r="G397" s="58"/>
      <c r="H397" s="59"/>
      <c r="I397" s="59"/>
      <c r="J397" s="59"/>
      <c r="K397" s="59"/>
      <c r="L397" s="59"/>
      <c r="M397" s="60"/>
      <c r="N397" s="60"/>
      <c r="O397" s="60"/>
      <c r="P397" s="59"/>
      <c r="Q397" s="59"/>
      <c r="R397" s="60"/>
      <c r="S397" s="60"/>
      <c r="T397" s="60"/>
      <c r="U397" s="60"/>
      <c r="V397" s="60"/>
      <c r="W397" s="60"/>
    </row>
    <row r="398" spans="1:23" ht="13" x14ac:dyDescent="0.3">
      <c r="A398" s="58"/>
      <c r="B398" s="58"/>
      <c r="C398" s="58"/>
      <c r="D398" s="58"/>
      <c r="E398" s="58"/>
      <c r="F398" s="58"/>
      <c r="G398" s="58"/>
      <c r="H398" s="59"/>
      <c r="I398" s="59"/>
      <c r="J398" s="59"/>
      <c r="K398" s="59"/>
      <c r="L398" s="59"/>
      <c r="M398" s="60"/>
      <c r="N398" s="60"/>
      <c r="O398" s="60"/>
      <c r="P398" s="59"/>
      <c r="Q398" s="59"/>
      <c r="R398" s="60"/>
      <c r="S398" s="60"/>
      <c r="T398" s="60"/>
      <c r="U398" s="60"/>
      <c r="V398" s="60"/>
      <c r="W398" s="60"/>
    </row>
    <row r="399" spans="1:23" ht="13" x14ac:dyDescent="0.3">
      <c r="A399" s="58"/>
      <c r="B399" s="58"/>
      <c r="C399" s="58"/>
      <c r="D399" s="58"/>
      <c r="E399" s="58"/>
      <c r="F399" s="58"/>
      <c r="G399" s="58"/>
      <c r="H399" s="59"/>
      <c r="I399" s="59"/>
      <c r="J399" s="59"/>
      <c r="K399" s="59"/>
      <c r="L399" s="59"/>
      <c r="M399" s="60"/>
      <c r="N399" s="60"/>
      <c r="O399" s="60"/>
      <c r="P399" s="59"/>
      <c r="Q399" s="59"/>
      <c r="R399" s="60"/>
      <c r="S399" s="60"/>
      <c r="T399" s="60"/>
      <c r="U399" s="60"/>
      <c r="V399" s="60"/>
      <c r="W399" s="60"/>
    </row>
    <row r="400" spans="1:23" ht="13" x14ac:dyDescent="0.3">
      <c r="A400" s="58"/>
      <c r="B400" s="58"/>
      <c r="C400" s="58"/>
      <c r="D400" s="58"/>
      <c r="E400" s="58"/>
      <c r="F400" s="58"/>
      <c r="G400" s="58"/>
      <c r="H400" s="59"/>
      <c r="I400" s="59"/>
      <c r="J400" s="59"/>
      <c r="K400" s="59"/>
      <c r="L400" s="59"/>
      <c r="M400" s="60"/>
      <c r="N400" s="60"/>
      <c r="O400" s="60"/>
      <c r="P400" s="59"/>
      <c r="Q400" s="59"/>
      <c r="R400" s="60"/>
      <c r="S400" s="60"/>
      <c r="T400" s="60"/>
      <c r="U400" s="60"/>
      <c r="V400" s="60"/>
      <c r="W400" s="60"/>
    </row>
    <row r="401" spans="1:23" ht="13" x14ac:dyDescent="0.3">
      <c r="A401" s="58"/>
      <c r="B401" s="58"/>
      <c r="C401" s="58"/>
      <c r="D401" s="58"/>
      <c r="E401" s="58"/>
      <c r="F401" s="58"/>
      <c r="G401" s="58"/>
      <c r="H401" s="59"/>
      <c r="I401" s="59"/>
      <c r="J401" s="59"/>
      <c r="K401" s="59"/>
      <c r="L401" s="59"/>
      <c r="M401" s="60"/>
      <c r="N401" s="60"/>
      <c r="O401" s="60"/>
      <c r="P401" s="59"/>
      <c r="Q401" s="59"/>
      <c r="R401" s="60"/>
      <c r="S401" s="60"/>
      <c r="T401" s="60"/>
      <c r="U401" s="60"/>
      <c r="V401" s="60"/>
      <c r="W401" s="60"/>
    </row>
    <row r="402" spans="1:23" ht="13" x14ac:dyDescent="0.3">
      <c r="A402" s="58"/>
      <c r="B402" s="58"/>
      <c r="C402" s="58"/>
      <c r="D402" s="58"/>
      <c r="E402" s="58"/>
      <c r="F402" s="58"/>
      <c r="G402" s="58"/>
      <c r="H402" s="59"/>
      <c r="I402" s="59"/>
      <c r="J402" s="59"/>
      <c r="K402" s="59"/>
      <c r="L402" s="59"/>
      <c r="M402" s="60"/>
      <c r="N402" s="60"/>
      <c r="O402" s="60"/>
      <c r="P402" s="59"/>
      <c r="Q402" s="59"/>
      <c r="R402" s="60"/>
      <c r="S402" s="60"/>
      <c r="T402" s="60"/>
      <c r="U402" s="60"/>
      <c r="V402" s="60"/>
      <c r="W402" s="60"/>
    </row>
    <row r="403" spans="1:23" ht="13" x14ac:dyDescent="0.3">
      <c r="A403" s="58"/>
      <c r="B403" s="58"/>
      <c r="C403" s="58"/>
      <c r="D403" s="58"/>
      <c r="E403" s="58"/>
      <c r="F403" s="58"/>
      <c r="G403" s="58"/>
      <c r="H403" s="59"/>
      <c r="I403" s="59"/>
      <c r="J403" s="59"/>
      <c r="K403" s="59"/>
      <c r="L403" s="59"/>
      <c r="M403" s="60"/>
      <c r="N403" s="60"/>
      <c r="O403" s="60"/>
      <c r="P403" s="59"/>
      <c r="Q403" s="59"/>
      <c r="R403" s="60"/>
      <c r="S403" s="60"/>
      <c r="T403" s="60"/>
      <c r="U403" s="60"/>
      <c r="V403" s="60"/>
      <c r="W403" s="60"/>
    </row>
    <row r="404" spans="1:23" ht="13" x14ac:dyDescent="0.3">
      <c r="A404" s="58"/>
      <c r="B404" s="58"/>
      <c r="C404" s="58"/>
      <c r="D404" s="58"/>
      <c r="E404" s="58"/>
      <c r="F404" s="58"/>
      <c r="G404" s="58"/>
      <c r="H404" s="59"/>
      <c r="I404" s="59"/>
      <c r="J404" s="59"/>
      <c r="K404" s="59"/>
      <c r="L404" s="59"/>
      <c r="M404" s="60"/>
      <c r="N404" s="60"/>
      <c r="O404" s="60"/>
      <c r="P404" s="59"/>
      <c r="Q404" s="59"/>
      <c r="R404" s="60"/>
      <c r="S404" s="60"/>
      <c r="T404" s="60"/>
      <c r="U404" s="60"/>
      <c r="V404" s="60"/>
      <c r="W404" s="60"/>
    </row>
    <row r="405" spans="1:23" ht="13" x14ac:dyDescent="0.3">
      <c r="A405" s="58"/>
      <c r="B405" s="58"/>
      <c r="C405" s="58"/>
      <c r="D405" s="58"/>
      <c r="E405" s="58"/>
      <c r="F405" s="58"/>
      <c r="G405" s="58"/>
      <c r="H405" s="59"/>
      <c r="I405" s="59"/>
      <c r="J405" s="59"/>
      <c r="K405" s="59"/>
      <c r="L405" s="59"/>
      <c r="M405" s="60"/>
      <c r="N405" s="60"/>
      <c r="O405" s="60"/>
      <c r="P405" s="59"/>
      <c r="Q405" s="59"/>
      <c r="R405" s="60"/>
      <c r="S405" s="60"/>
      <c r="T405" s="60"/>
      <c r="U405" s="60"/>
      <c r="V405" s="60"/>
      <c r="W405" s="60"/>
    </row>
    <row r="406" spans="1:23" ht="13" x14ac:dyDescent="0.3">
      <c r="A406" s="58"/>
      <c r="B406" s="58"/>
      <c r="C406" s="58"/>
      <c r="D406" s="58"/>
      <c r="E406" s="58"/>
      <c r="F406" s="58"/>
      <c r="G406" s="58"/>
      <c r="H406" s="59"/>
      <c r="I406" s="59"/>
      <c r="J406" s="59"/>
      <c r="K406" s="59"/>
      <c r="L406" s="59"/>
      <c r="M406" s="60"/>
      <c r="N406" s="60"/>
      <c r="O406" s="60"/>
      <c r="P406" s="59"/>
      <c r="Q406" s="59"/>
      <c r="R406" s="60"/>
      <c r="S406" s="60"/>
      <c r="T406" s="60"/>
      <c r="U406" s="60"/>
      <c r="V406" s="60"/>
      <c r="W406" s="60"/>
    </row>
    <row r="407" spans="1:23" ht="13" x14ac:dyDescent="0.3">
      <c r="A407" s="58"/>
      <c r="B407" s="58"/>
      <c r="C407" s="58"/>
      <c r="D407" s="58"/>
      <c r="E407" s="58"/>
      <c r="F407" s="58"/>
      <c r="G407" s="58"/>
      <c r="H407" s="59"/>
      <c r="I407" s="59"/>
      <c r="J407" s="59"/>
      <c r="K407" s="59"/>
      <c r="L407" s="59"/>
      <c r="M407" s="60"/>
      <c r="N407" s="60"/>
      <c r="O407" s="60"/>
      <c r="P407" s="59"/>
      <c r="Q407" s="59"/>
      <c r="R407" s="60"/>
      <c r="S407" s="60"/>
      <c r="T407" s="60"/>
      <c r="U407" s="60"/>
      <c r="V407" s="60"/>
      <c r="W407" s="60"/>
    </row>
    <row r="408" spans="1:23" ht="13" x14ac:dyDescent="0.3">
      <c r="A408" s="58"/>
      <c r="B408" s="58"/>
      <c r="C408" s="58"/>
      <c r="D408" s="58"/>
      <c r="E408" s="58"/>
      <c r="F408" s="58"/>
      <c r="G408" s="58"/>
      <c r="H408" s="59"/>
      <c r="I408" s="59"/>
      <c r="J408" s="59"/>
      <c r="K408" s="59"/>
      <c r="L408" s="59"/>
      <c r="M408" s="60"/>
      <c r="N408" s="60"/>
      <c r="O408" s="60"/>
      <c r="P408" s="59"/>
      <c r="Q408" s="59"/>
      <c r="R408" s="60"/>
      <c r="S408" s="60"/>
      <c r="T408" s="60"/>
      <c r="U408" s="60"/>
      <c r="V408" s="60"/>
      <c r="W408" s="60"/>
    </row>
    <row r="409" spans="1:23" ht="13" x14ac:dyDescent="0.3">
      <c r="A409" s="58"/>
      <c r="B409" s="58"/>
      <c r="C409" s="58"/>
      <c r="D409" s="58"/>
      <c r="E409" s="58"/>
      <c r="F409" s="58"/>
      <c r="G409" s="58"/>
      <c r="H409" s="59"/>
      <c r="I409" s="59"/>
      <c r="J409" s="59"/>
      <c r="K409" s="59"/>
      <c r="L409" s="59"/>
      <c r="M409" s="60"/>
      <c r="N409" s="60"/>
      <c r="O409" s="60"/>
      <c r="P409" s="59"/>
      <c r="Q409" s="59"/>
      <c r="R409" s="60"/>
      <c r="S409" s="60"/>
      <c r="T409" s="60"/>
      <c r="U409" s="60"/>
      <c r="V409" s="60"/>
      <c r="W409" s="60"/>
    </row>
    <row r="410" spans="1:23" ht="13" x14ac:dyDescent="0.3">
      <c r="A410" s="58"/>
      <c r="B410" s="58"/>
      <c r="C410" s="58"/>
      <c r="D410" s="58"/>
      <c r="E410" s="58"/>
      <c r="F410" s="58"/>
      <c r="G410" s="58"/>
      <c r="H410" s="59"/>
      <c r="I410" s="59"/>
      <c r="J410" s="59"/>
      <c r="K410" s="59"/>
      <c r="L410" s="59"/>
      <c r="M410" s="60"/>
      <c r="N410" s="60"/>
      <c r="O410" s="60"/>
      <c r="P410" s="59"/>
      <c r="Q410" s="59"/>
      <c r="R410" s="60"/>
      <c r="S410" s="60"/>
      <c r="T410" s="60"/>
      <c r="U410" s="60"/>
      <c r="V410" s="60"/>
      <c r="W410" s="60"/>
    </row>
    <row r="411" spans="1:23" ht="13" x14ac:dyDescent="0.3">
      <c r="A411" s="58"/>
      <c r="B411" s="58"/>
      <c r="C411" s="58"/>
      <c r="D411" s="58"/>
      <c r="E411" s="58"/>
      <c r="F411" s="58"/>
      <c r="G411" s="58"/>
      <c r="H411" s="59"/>
      <c r="I411" s="59"/>
      <c r="J411" s="59"/>
      <c r="K411" s="59"/>
      <c r="L411" s="59"/>
      <c r="M411" s="60"/>
      <c r="N411" s="60"/>
      <c r="O411" s="60"/>
      <c r="P411" s="59"/>
      <c r="Q411" s="59"/>
      <c r="R411" s="60"/>
      <c r="S411" s="60"/>
      <c r="T411" s="60"/>
      <c r="U411" s="60"/>
      <c r="V411" s="60"/>
      <c r="W411" s="60"/>
    </row>
    <row r="412" spans="1:23" ht="13" x14ac:dyDescent="0.3">
      <c r="A412" s="58"/>
      <c r="B412" s="58"/>
      <c r="C412" s="58"/>
      <c r="D412" s="58"/>
      <c r="E412" s="58"/>
      <c r="F412" s="58"/>
      <c r="G412" s="58"/>
      <c r="H412" s="59"/>
      <c r="I412" s="59"/>
      <c r="J412" s="59"/>
      <c r="K412" s="59"/>
      <c r="L412" s="59"/>
      <c r="M412" s="60"/>
      <c r="N412" s="60"/>
      <c r="O412" s="60"/>
      <c r="P412" s="59"/>
      <c r="Q412" s="59"/>
      <c r="R412" s="60"/>
      <c r="S412" s="60"/>
      <c r="T412" s="60"/>
      <c r="U412" s="60"/>
      <c r="V412" s="60"/>
      <c r="W412" s="60"/>
    </row>
    <row r="413" spans="1:23" ht="13" x14ac:dyDescent="0.3">
      <c r="A413" s="58"/>
      <c r="B413" s="58"/>
      <c r="C413" s="58"/>
      <c r="D413" s="58"/>
      <c r="E413" s="58"/>
      <c r="F413" s="58"/>
      <c r="G413" s="58"/>
      <c r="H413" s="59"/>
      <c r="I413" s="59"/>
      <c r="J413" s="59"/>
      <c r="K413" s="59"/>
      <c r="L413" s="59"/>
      <c r="M413" s="60"/>
      <c r="N413" s="60"/>
      <c r="O413" s="60"/>
      <c r="P413" s="59"/>
      <c r="Q413" s="59"/>
      <c r="R413" s="60"/>
      <c r="S413" s="60"/>
      <c r="T413" s="60"/>
      <c r="U413" s="60"/>
      <c r="V413" s="60"/>
      <c r="W413" s="60"/>
    </row>
    <row r="414" spans="1:23" ht="13" x14ac:dyDescent="0.3">
      <c r="A414" s="58"/>
      <c r="B414" s="58"/>
      <c r="C414" s="58"/>
      <c r="D414" s="58"/>
      <c r="E414" s="58"/>
      <c r="F414" s="58"/>
      <c r="G414" s="58"/>
      <c r="H414" s="59"/>
      <c r="I414" s="59"/>
      <c r="J414" s="59"/>
      <c r="K414" s="59"/>
      <c r="L414" s="59"/>
      <c r="M414" s="60"/>
      <c r="N414" s="60"/>
      <c r="O414" s="60"/>
      <c r="P414" s="59"/>
      <c r="Q414" s="59"/>
      <c r="R414" s="60"/>
      <c r="S414" s="60"/>
      <c r="T414" s="60"/>
      <c r="U414" s="60"/>
      <c r="V414" s="60"/>
      <c r="W414" s="60"/>
    </row>
    <row r="415" spans="1:23" ht="13" x14ac:dyDescent="0.3">
      <c r="A415" s="58"/>
      <c r="B415" s="58"/>
      <c r="C415" s="58"/>
      <c r="D415" s="58"/>
      <c r="E415" s="58"/>
      <c r="F415" s="58"/>
      <c r="G415" s="58"/>
      <c r="H415" s="59"/>
      <c r="I415" s="59"/>
      <c r="J415" s="59"/>
      <c r="K415" s="59"/>
      <c r="L415" s="59"/>
      <c r="M415" s="60"/>
      <c r="N415" s="60"/>
      <c r="O415" s="60"/>
      <c r="P415" s="59"/>
      <c r="Q415" s="59"/>
      <c r="R415" s="60"/>
      <c r="S415" s="60"/>
      <c r="T415" s="60"/>
      <c r="U415" s="60"/>
      <c r="V415" s="60"/>
      <c r="W415" s="60"/>
    </row>
    <row r="416" spans="1:23" ht="13" x14ac:dyDescent="0.3">
      <c r="A416" s="58"/>
      <c r="B416" s="58"/>
      <c r="C416" s="58"/>
      <c r="D416" s="58"/>
      <c r="E416" s="58"/>
      <c r="F416" s="58"/>
      <c r="G416" s="58"/>
      <c r="H416" s="59"/>
      <c r="I416" s="59"/>
      <c r="J416" s="59"/>
      <c r="K416" s="59"/>
      <c r="L416" s="59"/>
      <c r="M416" s="60"/>
      <c r="N416" s="60"/>
      <c r="O416" s="60"/>
      <c r="P416" s="59"/>
      <c r="Q416" s="59"/>
      <c r="R416" s="60"/>
      <c r="S416" s="60"/>
      <c r="T416" s="60"/>
      <c r="U416" s="60"/>
      <c r="V416" s="60"/>
      <c r="W416" s="60"/>
    </row>
    <row r="417" spans="1:23" ht="13" x14ac:dyDescent="0.3">
      <c r="A417" s="58"/>
      <c r="B417" s="58"/>
      <c r="C417" s="58"/>
      <c r="D417" s="58"/>
      <c r="E417" s="58"/>
      <c r="F417" s="58"/>
      <c r="G417" s="58"/>
      <c r="H417" s="59"/>
      <c r="I417" s="59"/>
      <c r="J417" s="59"/>
      <c r="K417" s="59"/>
      <c r="L417" s="59"/>
      <c r="M417" s="60"/>
      <c r="N417" s="60"/>
      <c r="O417" s="60"/>
      <c r="P417" s="59"/>
      <c r="Q417" s="59"/>
      <c r="R417" s="60"/>
      <c r="S417" s="60"/>
      <c r="T417" s="60"/>
      <c r="U417" s="60"/>
      <c r="V417" s="60"/>
      <c r="W417" s="60"/>
    </row>
    <row r="418" spans="1:23" ht="13" x14ac:dyDescent="0.3">
      <c r="A418" s="58"/>
      <c r="B418" s="58"/>
      <c r="C418" s="58"/>
      <c r="D418" s="58"/>
      <c r="E418" s="58"/>
      <c r="F418" s="58"/>
      <c r="G418" s="58"/>
      <c r="H418" s="59"/>
      <c r="I418" s="59"/>
      <c r="J418" s="59"/>
      <c r="K418" s="59"/>
      <c r="L418" s="59"/>
      <c r="M418" s="60"/>
      <c r="N418" s="60"/>
      <c r="O418" s="60"/>
      <c r="P418" s="59"/>
      <c r="Q418" s="59"/>
      <c r="R418" s="60"/>
      <c r="S418" s="60"/>
      <c r="T418" s="60"/>
      <c r="U418" s="60"/>
      <c r="V418" s="60"/>
      <c r="W418" s="60"/>
    </row>
    <row r="419" spans="1:23" ht="13" x14ac:dyDescent="0.3">
      <c r="A419" s="58"/>
      <c r="B419" s="58"/>
      <c r="C419" s="58"/>
      <c r="D419" s="58"/>
      <c r="E419" s="58"/>
      <c r="F419" s="58"/>
      <c r="G419" s="58"/>
      <c r="H419" s="59"/>
      <c r="I419" s="59"/>
      <c r="J419" s="59"/>
      <c r="K419" s="59"/>
      <c r="L419" s="59"/>
      <c r="M419" s="60"/>
      <c r="N419" s="60"/>
      <c r="O419" s="60"/>
      <c r="P419" s="59"/>
      <c r="Q419" s="59"/>
      <c r="R419" s="60"/>
      <c r="S419" s="60"/>
      <c r="T419" s="60"/>
      <c r="U419" s="60"/>
      <c r="V419" s="60"/>
      <c r="W419" s="60"/>
    </row>
    <row r="420" spans="1:23" ht="13" x14ac:dyDescent="0.3">
      <c r="A420" s="58"/>
      <c r="B420" s="58"/>
      <c r="C420" s="58"/>
      <c r="D420" s="58"/>
      <c r="E420" s="58"/>
      <c r="F420" s="58"/>
      <c r="G420" s="58"/>
      <c r="H420" s="59"/>
      <c r="I420" s="59"/>
      <c r="J420" s="59"/>
      <c r="K420" s="59"/>
      <c r="L420" s="59"/>
      <c r="M420" s="60"/>
      <c r="N420" s="60"/>
      <c r="O420" s="60"/>
      <c r="P420" s="59"/>
      <c r="Q420" s="59"/>
      <c r="R420" s="60"/>
      <c r="S420" s="60"/>
      <c r="T420" s="60"/>
      <c r="U420" s="60"/>
      <c r="V420" s="60"/>
      <c r="W420" s="60"/>
    </row>
    <row r="421" spans="1:23" ht="13" x14ac:dyDescent="0.3">
      <c r="A421" s="58"/>
      <c r="B421" s="58"/>
      <c r="C421" s="58"/>
      <c r="D421" s="58"/>
      <c r="E421" s="58"/>
      <c r="F421" s="58"/>
      <c r="G421" s="58"/>
      <c r="H421" s="59"/>
      <c r="I421" s="59"/>
      <c r="J421" s="59"/>
      <c r="K421" s="59"/>
      <c r="L421" s="59"/>
      <c r="M421" s="60"/>
      <c r="N421" s="60"/>
      <c r="O421" s="60"/>
      <c r="P421" s="59"/>
      <c r="Q421" s="59"/>
      <c r="R421" s="60"/>
      <c r="S421" s="60"/>
      <c r="T421" s="60"/>
      <c r="U421" s="60"/>
      <c r="V421" s="60"/>
      <c r="W421" s="60"/>
    </row>
    <row r="422" spans="1:23" ht="13" x14ac:dyDescent="0.3">
      <c r="A422" s="58"/>
      <c r="B422" s="58"/>
      <c r="C422" s="58"/>
      <c r="D422" s="58"/>
      <c r="E422" s="58"/>
      <c r="F422" s="58"/>
      <c r="G422" s="58"/>
      <c r="H422" s="59"/>
      <c r="I422" s="59"/>
      <c r="J422" s="59"/>
      <c r="K422" s="59"/>
      <c r="L422" s="59"/>
      <c r="M422" s="60"/>
      <c r="N422" s="60"/>
      <c r="O422" s="60"/>
      <c r="P422" s="59"/>
      <c r="Q422" s="59"/>
      <c r="R422" s="60"/>
      <c r="S422" s="60"/>
      <c r="T422" s="60"/>
      <c r="U422" s="60"/>
      <c r="V422" s="60"/>
      <c r="W422" s="60"/>
    </row>
    <row r="423" spans="1:23" ht="13" x14ac:dyDescent="0.3">
      <c r="A423" s="58"/>
      <c r="B423" s="58"/>
      <c r="C423" s="58"/>
      <c r="D423" s="58"/>
      <c r="E423" s="58"/>
      <c r="F423" s="58"/>
      <c r="G423" s="58"/>
      <c r="H423" s="59"/>
      <c r="I423" s="59"/>
      <c r="J423" s="59"/>
      <c r="K423" s="59"/>
      <c r="L423" s="59"/>
      <c r="M423" s="60"/>
      <c r="N423" s="60"/>
      <c r="O423" s="60"/>
      <c r="P423" s="59"/>
      <c r="Q423" s="59"/>
      <c r="R423" s="60"/>
      <c r="S423" s="60"/>
      <c r="T423" s="60"/>
      <c r="U423" s="60"/>
      <c r="V423" s="60"/>
      <c r="W423" s="60"/>
    </row>
    <row r="424" spans="1:23" ht="13" x14ac:dyDescent="0.3">
      <c r="A424" s="58"/>
      <c r="B424" s="58"/>
      <c r="C424" s="58"/>
      <c r="D424" s="58"/>
      <c r="E424" s="58"/>
      <c r="F424" s="58"/>
      <c r="G424" s="58"/>
      <c r="H424" s="59"/>
      <c r="I424" s="59"/>
      <c r="J424" s="59"/>
      <c r="K424" s="59"/>
      <c r="L424" s="59"/>
      <c r="M424" s="60"/>
      <c r="N424" s="60"/>
      <c r="O424" s="60"/>
      <c r="P424" s="59"/>
      <c r="Q424" s="59"/>
      <c r="R424" s="60"/>
      <c r="S424" s="60"/>
      <c r="T424" s="60"/>
      <c r="U424" s="60"/>
      <c r="V424" s="60"/>
      <c r="W424" s="60"/>
    </row>
    <row r="425" spans="1:23" ht="13" x14ac:dyDescent="0.3">
      <c r="A425" s="58"/>
      <c r="B425" s="58"/>
      <c r="C425" s="58"/>
      <c r="D425" s="58"/>
      <c r="E425" s="58"/>
      <c r="F425" s="58"/>
      <c r="G425" s="58"/>
      <c r="H425" s="59"/>
      <c r="I425" s="59"/>
      <c r="J425" s="59"/>
      <c r="K425" s="59"/>
      <c r="L425" s="59"/>
      <c r="M425" s="60"/>
      <c r="N425" s="60"/>
      <c r="O425" s="60"/>
      <c r="P425" s="59"/>
      <c r="Q425" s="59"/>
      <c r="R425" s="60"/>
      <c r="S425" s="60"/>
      <c r="T425" s="60"/>
      <c r="U425" s="60"/>
      <c r="V425" s="60"/>
      <c r="W425" s="60"/>
    </row>
    <row r="426" spans="1:23" ht="13" x14ac:dyDescent="0.3">
      <c r="A426" s="58"/>
      <c r="B426" s="58"/>
      <c r="C426" s="58"/>
      <c r="D426" s="58"/>
      <c r="E426" s="58"/>
      <c r="F426" s="58"/>
      <c r="G426" s="58"/>
      <c r="H426" s="59"/>
      <c r="I426" s="59"/>
      <c r="J426" s="59"/>
      <c r="K426" s="59"/>
      <c r="L426" s="59"/>
      <c r="M426" s="60"/>
      <c r="N426" s="60"/>
      <c r="O426" s="60"/>
      <c r="P426" s="59"/>
      <c r="Q426" s="59"/>
      <c r="R426" s="60"/>
      <c r="S426" s="60"/>
      <c r="T426" s="60"/>
      <c r="U426" s="60"/>
      <c r="V426" s="60"/>
      <c r="W426" s="60"/>
    </row>
    <row r="427" spans="1:23" ht="13" x14ac:dyDescent="0.3">
      <c r="A427" s="58"/>
      <c r="B427" s="58"/>
      <c r="C427" s="58"/>
      <c r="D427" s="58"/>
      <c r="E427" s="58"/>
      <c r="F427" s="58"/>
      <c r="G427" s="58"/>
      <c r="H427" s="59"/>
      <c r="I427" s="59"/>
      <c r="J427" s="59"/>
      <c r="K427" s="59"/>
      <c r="L427" s="59"/>
      <c r="M427" s="60"/>
      <c r="N427" s="60"/>
      <c r="O427" s="60"/>
      <c r="P427" s="59"/>
      <c r="Q427" s="59"/>
      <c r="R427" s="60"/>
      <c r="S427" s="60"/>
      <c r="T427" s="60"/>
      <c r="U427" s="60"/>
      <c r="V427" s="60"/>
      <c r="W427" s="60"/>
    </row>
    <row r="428" spans="1:23" ht="13" x14ac:dyDescent="0.3">
      <c r="A428" s="58"/>
      <c r="B428" s="58"/>
      <c r="C428" s="58"/>
      <c r="D428" s="58"/>
      <c r="E428" s="58"/>
      <c r="F428" s="58"/>
      <c r="G428" s="58"/>
      <c r="H428" s="59"/>
      <c r="I428" s="59"/>
      <c r="J428" s="59"/>
      <c r="K428" s="59"/>
      <c r="L428" s="59"/>
      <c r="M428" s="60"/>
      <c r="N428" s="60"/>
      <c r="O428" s="60"/>
      <c r="P428" s="59"/>
      <c r="Q428" s="59"/>
      <c r="R428" s="60"/>
      <c r="S428" s="60"/>
      <c r="T428" s="60"/>
      <c r="U428" s="60"/>
      <c r="V428" s="60"/>
      <c r="W428" s="60"/>
    </row>
    <row r="429" spans="1:23" ht="13" x14ac:dyDescent="0.3">
      <c r="A429" s="58"/>
      <c r="B429" s="58"/>
      <c r="C429" s="58"/>
      <c r="D429" s="58"/>
      <c r="E429" s="58"/>
      <c r="F429" s="58"/>
      <c r="G429" s="58"/>
      <c r="H429" s="59"/>
      <c r="I429" s="59"/>
      <c r="J429" s="59"/>
      <c r="K429" s="59"/>
      <c r="L429" s="59"/>
      <c r="M429" s="60"/>
      <c r="N429" s="60"/>
      <c r="O429" s="60"/>
      <c r="P429" s="59"/>
      <c r="Q429" s="59"/>
      <c r="R429" s="60"/>
      <c r="S429" s="60"/>
      <c r="T429" s="60"/>
      <c r="U429" s="60"/>
      <c r="V429" s="60"/>
      <c r="W429" s="60"/>
    </row>
    <row r="430" spans="1:23" ht="13" x14ac:dyDescent="0.3">
      <c r="A430" s="58"/>
      <c r="B430" s="58"/>
      <c r="C430" s="58"/>
      <c r="D430" s="58"/>
      <c r="E430" s="58"/>
      <c r="F430" s="58"/>
      <c r="G430" s="58"/>
      <c r="H430" s="59"/>
      <c r="I430" s="59"/>
      <c r="J430" s="59"/>
      <c r="K430" s="59"/>
      <c r="L430" s="59"/>
      <c r="M430" s="60"/>
      <c r="N430" s="60"/>
      <c r="O430" s="60"/>
      <c r="P430" s="59"/>
      <c r="Q430" s="59"/>
      <c r="R430" s="60"/>
      <c r="S430" s="60"/>
      <c r="T430" s="60"/>
      <c r="U430" s="60"/>
      <c r="V430" s="60"/>
      <c r="W430" s="60"/>
    </row>
    <row r="431" spans="1:23" ht="13" x14ac:dyDescent="0.3">
      <c r="A431" s="58"/>
      <c r="B431" s="58"/>
      <c r="C431" s="58"/>
      <c r="D431" s="58"/>
      <c r="E431" s="58"/>
      <c r="F431" s="58"/>
      <c r="G431" s="58"/>
      <c r="H431" s="59"/>
      <c r="I431" s="59"/>
      <c r="J431" s="59"/>
      <c r="K431" s="59"/>
      <c r="L431" s="59"/>
      <c r="M431" s="60"/>
      <c r="N431" s="60"/>
      <c r="O431" s="60"/>
      <c r="P431" s="59"/>
      <c r="Q431" s="59"/>
      <c r="R431" s="60"/>
      <c r="S431" s="60"/>
      <c r="T431" s="60"/>
      <c r="U431" s="60"/>
      <c r="V431" s="60"/>
      <c r="W431" s="60"/>
    </row>
    <row r="432" spans="1:23" ht="13" x14ac:dyDescent="0.3">
      <c r="A432" s="58"/>
      <c r="B432" s="58"/>
      <c r="C432" s="58"/>
      <c r="D432" s="58"/>
      <c r="E432" s="58"/>
      <c r="F432" s="58"/>
      <c r="G432" s="58"/>
      <c r="H432" s="59"/>
      <c r="I432" s="59"/>
      <c r="J432" s="59"/>
      <c r="K432" s="59"/>
      <c r="L432" s="59"/>
      <c r="M432" s="60"/>
      <c r="N432" s="60"/>
      <c r="O432" s="60"/>
      <c r="P432" s="59"/>
      <c r="Q432" s="59"/>
      <c r="R432" s="60"/>
      <c r="S432" s="60"/>
      <c r="T432" s="60"/>
      <c r="U432" s="60"/>
      <c r="V432" s="60"/>
      <c r="W432" s="60"/>
    </row>
    <row r="433" spans="1:23" ht="13" x14ac:dyDescent="0.3">
      <c r="A433" s="58"/>
      <c r="B433" s="58"/>
      <c r="C433" s="58"/>
      <c r="D433" s="58"/>
      <c r="E433" s="58"/>
      <c r="F433" s="58"/>
      <c r="G433" s="58"/>
      <c r="H433" s="59"/>
      <c r="I433" s="59"/>
      <c r="J433" s="59"/>
      <c r="K433" s="59"/>
      <c r="L433" s="59"/>
      <c r="M433" s="60"/>
      <c r="N433" s="60"/>
      <c r="O433" s="60"/>
      <c r="P433" s="59"/>
      <c r="Q433" s="59"/>
      <c r="R433" s="60"/>
      <c r="S433" s="60"/>
      <c r="T433" s="60"/>
      <c r="U433" s="60"/>
      <c r="V433" s="60"/>
      <c r="W433" s="60"/>
    </row>
    <row r="434" spans="1:23" ht="13" x14ac:dyDescent="0.3">
      <c r="A434" s="58"/>
      <c r="B434" s="58"/>
      <c r="C434" s="58"/>
      <c r="D434" s="58"/>
      <c r="E434" s="58"/>
      <c r="F434" s="58"/>
      <c r="G434" s="58"/>
      <c r="H434" s="59"/>
      <c r="I434" s="59"/>
      <c r="J434" s="59"/>
      <c r="K434" s="59"/>
      <c r="L434" s="59"/>
      <c r="M434" s="60"/>
      <c r="N434" s="60"/>
      <c r="O434" s="60"/>
      <c r="P434" s="59"/>
      <c r="Q434" s="59"/>
      <c r="R434" s="60"/>
      <c r="S434" s="60"/>
      <c r="T434" s="60"/>
      <c r="U434" s="60"/>
      <c r="V434" s="60"/>
      <c r="W434" s="60"/>
    </row>
    <row r="435" spans="1:23" ht="13" x14ac:dyDescent="0.3">
      <c r="A435" s="58"/>
      <c r="B435" s="58"/>
      <c r="C435" s="58"/>
      <c r="D435" s="58"/>
      <c r="E435" s="58"/>
      <c r="F435" s="58"/>
      <c r="G435" s="58"/>
      <c r="H435" s="59"/>
      <c r="I435" s="59"/>
      <c r="J435" s="59"/>
      <c r="K435" s="59"/>
      <c r="L435" s="59"/>
      <c r="M435" s="60"/>
      <c r="N435" s="60"/>
      <c r="O435" s="60"/>
      <c r="P435" s="59"/>
      <c r="Q435" s="59"/>
      <c r="R435" s="60"/>
      <c r="S435" s="60"/>
      <c r="T435" s="60"/>
      <c r="U435" s="60"/>
      <c r="V435" s="60"/>
      <c r="W435" s="60"/>
    </row>
    <row r="436" spans="1:23" ht="13" x14ac:dyDescent="0.3">
      <c r="A436" s="58"/>
      <c r="B436" s="58"/>
      <c r="C436" s="58"/>
      <c r="D436" s="58"/>
      <c r="E436" s="58"/>
      <c r="F436" s="58"/>
      <c r="G436" s="58"/>
      <c r="H436" s="59"/>
      <c r="I436" s="59"/>
      <c r="J436" s="59"/>
      <c r="K436" s="59"/>
      <c r="L436" s="59"/>
      <c r="M436" s="60"/>
      <c r="N436" s="60"/>
      <c r="O436" s="60"/>
      <c r="P436" s="59"/>
      <c r="Q436" s="59"/>
      <c r="R436" s="60"/>
      <c r="S436" s="60"/>
      <c r="T436" s="60"/>
      <c r="U436" s="60"/>
      <c r="V436" s="60"/>
      <c r="W436" s="60"/>
    </row>
    <row r="437" spans="1:23" ht="13" x14ac:dyDescent="0.3">
      <c r="A437" s="58"/>
      <c r="B437" s="58"/>
      <c r="C437" s="58"/>
      <c r="D437" s="58"/>
      <c r="E437" s="58"/>
      <c r="F437" s="58"/>
      <c r="G437" s="58"/>
      <c r="H437" s="59"/>
      <c r="I437" s="59"/>
      <c r="J437" s="59"/>
      <c r="K437" s="59"/>
      <c r="L437" s="59"/>
      <c r="M437" s="60"/>
      <c r="N437" s="60"/>
      <c r="O437" s="60"/>
      <c r="P437" s="59"/>
      <c r="Q437" s="59"/>
      <c r="R437" s="60"/>
      <c r="S437" s="60"/>
      <c r="T437" s="60"/>
      <c r="U437" s="60"/>
      <c r="V437" s="60"/>
      <c r="W437" s="60"/>
    </row>
    <row r="438" spans="1:23" ht="13" x14ac:dyDescent="0.3">
      <c r="A438" s="58"/>
      <c r="B438" s="58"/>
      <c r="C438" s="58"/>
      <c r="D438" s="58"/>
      <c r="E438" s="58"/>
      <c r="F438" s="58"/>
      <c r="G438" s="58"/>
      <c r="H438" s="59"/>
      <c r="I438" s="59"/>
      <c r="J438" s="59"/>
      <c r="K438" s="59"/>
      <c r="L438" s="59"/>
      <c r="M438" s="60"/>
      <c r="N438" s="60"/>
      <c r="O438" s="60"/>
      <c r="P438" s="59"/>
      <c r="Q438" s="59"/>
      <c r="R438" s="60"/>
      <c r="S438" s="60"/>
      <c r="T438" s="60"/>
      <c r="U438" s="60"/>
      <c r="V438" s="60"/>
      <c r="W438" s="60"/>
    </row>
    <row r="439" spans="1:23" ht="13" x14ac:dyDescent="0.3">
      <c r="A439" s="58"/>
      <c r="B439" s="58"/>
      <c r="C439" s="58"/>
      <c r="D439" s="58"/>
      <c r="E439" s="58"/>
      <c r="F439" s="58"/>
      <c r="G439" s="58"/>
      <c r="H439" s="59"/>
      <c r="I439" s="59"/>
      <c r="J439" s="59"/>
      <c r="K439" s="59"/>
      <c r="L439" s="59"/>
      <c r="M439" s="60"/>
      <c r="N439" s="60"/>
      <c r="O439" s="60"/>
      <c r="P439" s="59"/>
      <c r="Q439" s="59"/>
      <c r="R439" s="60"/>
      <c r="S439" s="60"/>
      <c r="T439" s="60"/>
      <c r="U439" s="60"/>
      <c r="V439" s="60"/>
      <c r="W439" s="60"/>
    </row>
    <row r="440" spans="1:23" ht="13" x14ac:dyDescent="0.3">
      <c r="A440" s="58"/>
      <c r="B440" s="58"/>
      <c r="C440" s="58"/>
      <c r="D440" s="58"/>
      <c r="E440" s="58"/>
      <c r="F440" s="58"/>
      <c r="G440" s="58"/>
      <c r="H440" s="59"/>
      <c r="I440" s="59"/>
      <c r="J440" s="59"/>
      <c r="K440" s="59"/>
      <c r="L440" s="59"/>
      <c r="M440" s="60"/>
      <c r="N440" s="60"/>
      <c r="O440" s="60"/>
      <c r="P440" s="59"/>
      <c r="Q440" s="59"/>
      <c r="R440" s="60"/>
      <c r="S440" s="60"/>
      <c r="T440" s="60"/>
      <c r="U440" s="60"/>
      <c r="V440" s="60"/>
      <c r="W440" s="60"/>
    </row>
    <row r="441" spans="1:23" ht="13" x14ac:dyDescent="0.3">
      <c r="A441" s="58"/>
      <c r="B441" s="58"/>
      <c r="C441" s="58"/>
      <c r="D441" s="58"/>
      <c r="E441" s="58"/>
      <c r="F441" s="58"/>
      <c r="G441" s="58"/>
      <c r="H441" s="59"/>
      <c r="I441" s="59"/>
      <c r="J441" s="59"/>
      <c r="K441" s="59"/>
      <c r="L441" s="59"/>
      <c r="M441" s="60"/>
      <c r="N441" s="60"/>
      <c r="O441" s="60"/>
      <c r="P441" s="59"/>
      <c r="Q441" s="59"/>
      <c r="R441" s="60"/>
      <c r="S441" s="60"/>
      <c r="T441" s="60"/>
      <c r="U441" s="60"/>
      <c r="V441" s="60"/>
      <c r="W441" s="60"/>
    </row>
    <row r="442" spans="1:23" ht="13" x14ac:dyDescent="0.3">
      <c r="A442" s="58"/>
      <c r="B442" s="58"/>
      <c r="C442" s="58"/>
      <c r="D442" s="58"/>
      <c r="E442" s="58"/>
      <c r="F442" s="58"/>
      <c r="G442" s="58"/>
      <c r="H442" s="59"/>
      <c r="I442" s="59"/>
      <c r="J442" s="59"/>
      <c r="K442" s="59"/>
      <c r="L442" s="59"/>
      <c r="M442" s="60"/>
      <c r="N442" s="60"/>
      <c r="O442" s="60"/>
      <c r="P442" s="59"/>
      <c r="Q442" s="59"/>
      <c r="R442" s="60"/>
      <c r="S442" s="60"/>
      <c r="T442" s="60"/>
      <c r="U442" s="60"/>
      <c r="V442" s="60"/>
      <c r="W442" s="60"/>
    </row>
    <row r="443" spans="1:23" ht="13" x14ac:dyDescent="0.3">
      <c r="A443" s="58"/>
      <c r="B443" s="58"/>
      <c r="C443" s="58"/>
      <c r="D443" s="58"/>
      <c r="E443" s="58"/>
      <c r="F443" s="58"/>
      <c r="G443" s="58"/>
      <c r="H443" s="59"/>
      <c r="I443" s="59"/>
      <c r="J443" s="59"/>
      <c r="K443" s="59"/>
      <c r="L443" s="59"/>
      <c r="M443" s="60"/>
      <c r="N443" s="60"/>
      <c r="O443" s="60"/>
      <c r="P443" s="59"/>
      <c r="Q443" s="59"/>
      <c r="R443" s="60"/>
      <c r="S443" s="60"/>
      <c r="T443" s="60"/>
      <c r="U443" s="60"/>
      <c r="V443" s="60"/>
      <c r="W443" s="60"/>
    </row>
    <row r="444" spans="1:23" ht="13" x14ac:dyDescent="0.3">
      <c r="A444" s="58"/>
      <c r="B444" s="58"/>
      <c r="C444" s="58"/>
      <c r="D444" s="58"/>
      <c r="E444" s="58"/>
      <c r="F444" s="58"/>
      <c r="G444" s="58"/>
      <c r="H444" s="59"/>
      <c r="I444" s="59"/>
      <c r="J444" s="59"/>
      <c r="K444" s="59"/>
      <c r="L444" s="59"/>
      <c r="M444" s="60"/>
      <c r="N444" s="60"/>
      <c r="O444" s="60"/>
      <c r="P444" s="59"/>
      <c r="Q444" s="59"/>
      <c r="R444" s="60"/>
      <c r="S444" s="60"/>
      <c r="T444" s="60"/>
      <c r="U444" s="60"/>
      <c r="V444" s="60"/>
      <c r="W444" s="60"/>
    </row>
    <row r="445" spans="1:23" ht="13" x14ac:dyDescent="0.3">
      <c r="A445" s="58"/>
      <c r="B445" s="58"/>
      <c r="C445" s="58"/>
      <c r="D445" s="58"/>
      <c r="E445" s="58"/>
      <c r="F445" s="58"/>
      <c r="G445" s="58"/>
      <c r="H445" s="59"/>
      <c r="I445" s="59"/>
      <c r="J445" s="59"/>
      <c r="K445" s="59"/>
      <c r="L445" s="59"/>
      <c r="M445" s="60"/>
      <c r="N445" s="60"/>
      <c r="O445" s="60"/>
      <c r="P445" s="59"/>
      <c r="Q445" s="59"/>
      <c r="R445" s="60"/>
      <c r="S445" s="60"/>
      <c r="T445" s="60"/>
      <c r="U445" s="60"/>
      <c r="V445" s="60"/>
      <c r="W445" s="60"/>
    </row>
    <row r="446" spans="1:23" ht="13" x14ac:dyDescent="0.3">
      <c r="A446" s="58"/>
      <c r="B446" s="58"/>
      <c r="C446" s="58"/>
      <c r="D446" s="58"/>
      <c r="E446" s="58"/>
      <c r="F446" s="58"/>
      <c r="G446" s="58"/>
      <c r="H446" s="59"/>
      <c r="I446" s="59"/>
      <c r="J446" s="59"/>
      <c r="K446" s="59"/>
      <c r="L446" s="59"/>
      <c r="M446" s="60"/>
      <c r="N446" s="60"/>
      <c r="O446" s="60"/>
      <c r="P446" s="59"/>
      <c r="Q446" s="59"/>
      <c r="R446" s="60"/>
      <c r="S446" s="60"/>
      <c r="T446" s="60"/>
      <c r="U446" s="60"/>
      <c r="V446" s="60"/>
      <c r="W446" s="60"/>
    </row>
    <row r="447" spans="1:23" ht="13" x14ac:dyDescent="0.3">
      <c r="A447" s="58"/>
      <c r="B447" s="58"/>
      <c r="C447" s="58"/>
      <c r="D447" s="58"/>
      <c r="E447" s="58"/>
      <c r="F447" s="58"/>
      <c r="G447" s="58"/>
      <c r="H447" s="59"/>
      <c r="I447" s="59"/>
      <c r="J447" s="59"/>
      <c r="K447" s="59"/>
      <c r="L447" s="59"/>
      <c r="M447" s="60"/>
      <c r="N447" s="60"/>
      <c r="O447" s="60"/>
      <c r="P447" s="59"/>
      <c r="Q447" s="59"/>
      <c r="R447" s="60"/>
      <c r="S447" s="60"/>
      <c r="T447" s="60"/>
      <c r="U447" s="60"/>
      <c r="V447" s="60"/>
      <c r="W447" s="60"/>
    </row>
    <row r="448" spans="1:23" ht="13" x14ac:dyDescent="0.3">
      <c r="A448" s="58"/>
      <c r="B448" s="58"/>
      <c r="C448" s="58"/>
      <c r="D448" s="58"/>
      <c r="E448" s="58"/>
      <c r="F448" s="58"/>
      <c r="G448" s="58"/>
      <c r="H448" s="59"/>
      <c r="I448" s="59"/>
      <c r="J448" s="59"/>
      <c r="K448" s="59"/>
      <c r="L448" s="59"/>
      <c r="M448" s="60"/>
      <c r="N448" s="60"/>
      <c r="O448" s="60"/>
      <c r="P448" s="59"/>
      <c r="Q448" s="59"/>
      <c r="R448" s="60"/>
      <c r="S448" s="60"/>
      <c r="T448" s="60"/>
      <c r="U448" s="60"/>
      <c r="V448" s="60"/>
      <c r="W448" s="60"/>
    </row>
    <row r="449" spans="1:23" ht="13" x14ac:dyDescent="0.3">
      <c r="A449" s="58"/>
      <c r="B449" s="58"/>
      <c r="C449" s="58"/>
      <c r="D449" s="58"/>
      <c r="E449" s="58"/>
      <c r="F449" s="58"/>
      <c r="G449" s="58"/>
      <c r="H449" s="59"/>
      <c r="I449" s="59"/>
      <c r="J449" s="59"/>
      <c r="K449" s="59"/>
      <c r="L449" s="59"/>
      <c r="M449" s="60"/>
      <c r="N449" s="60"/>
      <c r="O449" s="60"/>
      <c r="P449" s="59"/>
      <c r="Q449" s="59"/>
      <c r="R449" s="60"/>
      <c r="S449" s="60"/>
      <c r="T449" s="60"/>
      <c r="U449" s="60"/>
      <c r="V449" s="60"/>
      <c r="W449" s="60"/>
    </row>
    <row r="450" spans="1:23" ht="13" x14ac:dyDescent="0.3">
      <c r="A450" s="58"/>
      <c r="B450" s="58"/>
      <c r="C450" s="58"/>
      <c r="D450" s="58"/>
      <c r="E450" s="58"/>
      <c r="F450" s="58"/>
      <c r="G450" s="58"/>
      <c r="H450" s="59"/>
      <c r="I450" s="59"/>
      <c r="J450" s="59"/>
      <c r="K450" s="59"/>
      <c r="L450" s="59"/>
      <c r="M450" s="60"/>
      <c r="N450" s="60"/>
      <c r="O450" s="60"/>
      <c r="P450" s="59"/>
      <c r="Q450" s="59"/>
      <c r="R450" s="60"/>
      <c r="S450" s="60"/>
      <c r="T450" s="60"/>
      <c r="U450" s="60"/>
      <c r="V450" s="60"/>
      <c r="W450" s="60"/>
    </row>
    <row r="451" spans="1:23" ht="13" x14ac:dyDescent="0.3">
      <c r="A451" s="58"/>
      <c r="B451" s="58"/>
      <c r="C451" s="58"/>
      <c r="D451" s="58"/>
      <c r="E451" s="58"/>
      <c r="F451" s="58"/>
      <c r="G451" s="58"/>
      <c r="H451" s="59"/>
      <c r="I451" s="59"/>
      <c r="J451" s="59"/>
      <c r="K451" s="59"/>
      <c r="L451" s="59"/>
      <c r="M451" s="60"/>
      <c r="N451" s="60"/>
      <c r="O451" s="60"/>
      <c r="P451" s="59"/>
      <c r="Q451" s="59"/>
      <c r="R451" s="60"/>
      <c r="S451" s="60"/>
      <c r="T451" s="60"/>
      <c r="U451" s="60"/>
      <c r="V451" s="60"/>
      <c r="W451" s="60"/>
    </row>
    <row r="452" spans="1:23" ht="13" x14ac:dyDescent="0.3">
      <c r="A452" s="58"/>
      <c r="B452" s="58"/>
      <c r="C452" s="58"/>
      <c r="D452" s="58"/>
      <c r="E452" s="58"/>
      <c r="F452" s="58"/>
      <c r="G452" s="58"/>
      <c r="H452" s="59"/>
      <c r="I452" s="59"/>
      <c r="J452" s="59"/>
      <c r="K452" s="59"/>
      <c r="L452" s="59"/>
      <c r="M452" s="60"/>
      <c r="N452" s="60"/>
      <c r="O452" s="60"/>
      <c r="P452" s="59"/>
      <c r="Q452" s="59"/>
      <c r="R452" s="60"/>
      <c r="S452" s="60"/>
      <c r="T452" s="60"/>
      <c r="U452" s="60"/>
      <c r="V452" s="60"/>
      <c r="W452" s="60"/>
    </row>
    <row r="453" spans="1:23" ht="13" x14ac:dyDescent="0.3">
      <c r="A453" s="58"/>
      <c r="B453" s="58"/>
      <c r="C453" s="58"/>
      <c r="D453" s="58"/>
      <c r="E453" s="58"/>
      <c r="F453" s="58"/>
      <c r="G453" s="58"/>
      <c r="H453" s="59"/>
      <c r="I453" s="59"/>
      <c r="J453" s="59"/>
      <c r="K453" s="59"/>
      <c r="L453" s="59"/>
      <c r="M453" s="60"/>
      <c r="N453" s="60"/>
      <c r="O453" s="60"/>
      <c r="P453" s="59"/>
      <c r="Q453" s="59"/>
      <c r="R453" s="60"/>
      <c r="S453" s="60"/>
      <c r="T453" s="60"/>
      <c r="U453" s="60"/>
      <c r="V453" s="60"/>
      <c r="W453" s="60"/>
    </row>
    <row r="454" spans="1:23" ht="13" x14ac:dyDescent="0.3">
      <c r="A454" s="58"/>
      <c r="B454" s="58"/>
      <c r="C454" s="58"/>
      <c r="D454" s="58"/>
      <c r="E454" s="58"/>
      <c r="F454" s="58"/>
      <c r="G454" s="58"/>
      <c r="H454" s="59"/>
      <c r="I454" s="59"/>
      <c r="J454" s="59"/>
      <c r="K454" s="59"/>
      <c r="L454" s="59"/>
      <c r="M454" s="60"/>
      <c r="N454" s="60"/>
      <c r="O454" s="60"/>
      <c r="P454" s="59"/>
      <c r="Q454" s="59"/>
      <c r="R454" s="60"/>
      <c r="S454" s="60"/>
      <c r="T454" s="60"/>
      <c r="U454" s="60"/>
      <c r="V454" s="60"/>
      <c r="W454" s="60"/>
    </row>
    <row r="455" spans="1:23" ht="13" x14ac:dyDescent="0.3">
      <c r="A455" s="58"/>
      <c r="B455" s="58"/>
      <c r="C455" s="58"/>
      <c r="D455" s="58"/>
      <c r="E455" s="58"/>
      <c r="F455" s="58"/>
      <c r="G455" s="58"/>
      <c r="H455" s="59"/>
      <c r="I455" s="59"/>
      <c r="J455" s="59"/>
      <c r="K455" s="59"/>
      <c r="L455" s="59"/>
      <c r="M455" s="60"/>
      <c r="N455" s="60"/>
      <c r="O455" s="60"/>
      <c r="P455" s="59"/>
      <c r="Q455" s="59"/>
      <c r="R455" s="60"/>
      <c r="S455" s="60"/>
      <c r="T455" s="60"/>
      <c r="U455" s="60"/>
      <c r="V455" s="60"/>
      <c r="W455" s="60"/>
    </row>
    <row r="456" spans="1:23" ht="13" x14ac:dyDescent="0.3">
      <c r="A456" s="58"/>
      <c r="B456" s="58"/>
      <c r="C456" s="58"/>
      <c r="D456" s="58"/>
      <c r="E456" s="58"/>
      <c r="F456" s="58"/>
      <c r="G456" s="58"/>
      <c r="H456" s="59"/>
      <c r="I456" s="59"/>
      <c r="J456" s="59"/>
      <c r="K456" s="59"/>
      <c r="L456" s="59"/>
      <c r="M456" s="60"/>
      <c r="N456" s="60"/>
      <c r="O456" s="60"/>
      <c r="P456" s="59"/>
      <c r="Q456" s="59"/>
      <c r="R456" s="60"/>
      <c r="S456" s="60"/>
      <c r="T456" s="60"/>
      <c r="U456" s="60"/>
      <c r="V456" s="60"/>
      <c r="W456" s="60"/>
    </row>
    <row r="457" spans="1:23" ht="13" x14ac:dyDescent="0.3">
      <c r="A457" s="58"/>
      <c r="B457" s="58"/>
      <c r="C457" s="58"/>
      <c r="D457" s="58"/>
      <c r="E457" s="58"/>
      <c r="F457" s="58"/>
      <c r="G457" s="58"/>
      <c r="H457" s="59"/>
      <c r="I457" s="59"/>
      <c r="J457" s="59"/>
      <c r="K457" s="59"/>
      <c r="L457" s="59"/>
      <c r="M457" s="60"/>
      <c r="N457" s="60"/>
      <c r="O457" s="60"/>
      <c r="P457" s="59"/>
      <c r="Q457" s="59"/>
      <c r="R457" s="60"/>
      <c r="S457" s="60"/>
      <c r="T457" s="60"/>
      <c r="U457" s="60"/>
      <c r="V457" s="60"/>
      <c r="W457" s="60"/>
    </row>
    <row r="458" spans="1:23" ht="13" x14ac:dyDescent="0.3">
      <c r="A458" s="58"/>
      <c r="B458" s="58"/>
      <c r="C458" s="58"/>
      <c r="D458" s="58"/>
      <c r="E458" s="58"/>
      <c r="F458" s="58"/>
      <c r="G458" s="58"/>
      <c r="H458" s="59"/>
      <c r="I458" s="59"/>
      <c r="J458" s="59"/>
      <c r="K458" s="59"/>
      <c r="L458" s="59"/>
      <c r="M458" s="60"/>
      <c r="N458" s="60"/>
      <c r="O458" s="60"/>
      <c r="P458" s="59"/>
      <c r="Q458" s="59"/>
      <c r="R458" s="60"/>
      <c r="S458" s="60"/>
      <c r="T458" s="60"/>
      <c r="U458" s="60"/>
      <c r="V458" s="60"/>
      <c r="W458" s="60"/>
    </row>
    <row r="459" spans="1:23" ht="13" x14ac:dyDescent="0.3">
      <c r="A459" s="58"/>
      <c r="B459" s="58"/>
      <c r="C459" s="58"/>
      <c r="D459" s="58"/>
      <c r="E459" s="58"/>
      <c r="F459" s="58"/>
      <c r="G459" s="58"/>
      <c r="H459" s="59"/>
      <c r="I459" s="59"/>
      <c r="J459" s="59"/>
      <c r="K459" s="59"/>
      <c r="L459" s="59"/>
      <c r="M459" s="60"/>
      <c r="N459" s="60"/>
      <c r="O459" s="60"/>
      <c r="P459" s="59"/>
      <c r="Q459" s="59"/>
      <c r="R459" s="60"/>
      <c r="S459" s="60"/>
      <c r="T459" s="60"/>
      <c r="U459" s="60"/>
      <c r="V459" s="60"/>
      <c r="W459" s="60"/>
    </row>
    <row r="460" spans="1:23" ht="13" x14ac:dyDescent="0.3">
      <c r="A460" s="58"/>
      <c r="B460" s="58"/>
      <c r="C460" s="58"/>
      <c r="D460" s="58"/>
      <c r="E460" s="58"/>
      <c r="F460" s="58"/>
      <c r="G460" s="58"/>
      <c r="H460" s="59"/>
      <c r="I460" s="59"/>
      <c r="J460" s="59"/>
      <c r="K460" s="59"/>
      <c r="L460" s="59"/>
      <c r="M460" s="60"/>
      <c r="N460" s="60"/>
      <c r="O460" s="60"/>
      <c r="P460" s="59"/>
      <c r="Q460" s="59"/>
      <c r="R460" s="60"/>
      <c r="S460" s="60"/>
      <c r="T460" s="60"/>
      <c r="U460" s="60"/>
      <c r="V460" s="60"/>
      <c r="W460" s="60"/>
    </row>
    <row r="461" spans="1:23" ht="13" x14ac:dyDescent="0.3">
      <c r="A461" s="58"/>
      <c r="B461" s="58"/>
      <c r="C461" s="58"/>
      <c r="D461" s="58"/>
      <c r="E461" s="58"/>
      <c r="F461" s="58"/>
      <c r="G461" s="58"/>
      <c r="H461" s="59"/>
      <c r="I461" s="59"/>
      <c r="J461" s="59"/>
      <c r="K461" s="59"/>
      <c r="L461" s="59"/>
      <c r="M461" s="60"/>
      <c r="N461" s="60"/>
      <c r="O461" s="60"/>
      <c r="P461" s="59"/>
      <c r="Q461" s="59"/>
      <c r="R461" s="60"/>
      <c r="S461" s="60"/>
      <c r="T461" s="60"/>
      <c r="U461" s="60"/>
      <c r="V461" s="60"/>
      <c r="W461" s="60"/>
    </row>
    <row r="462" spans="1:23" ht="13" x14ac:dyDescent="0.3">
      <c r="A462" s="58"/>
      <c r="B462" s="58"/>
      <c r="C462" s="58"/>
      <c r="D462" s="58"/>
      <c r="E462" s="58"/>
      <c r="F462" s="58"/>
      <c r="G462" s="58"/>
      <c r="H462" s="59"/>
      <c r="I462" s="59"/>
      <c r="J462" s="59"/>
      <c r="K462" s="59"/>
      <c r="L462" s="59"/>
      <c r="M462" s="60"/>
      <c r="N462" s="60"/>
      <c r="O462" s="60"/>
      <c r="P462" s="59"/>
      <c r="Q462" s="59"/>
      <c r="R462" s="60"/>
      <c r="S462" s="60"/>
      <c r="T462" s="60"/>
      <c r="U462" s="60"/>
      <c r="V462" s="60"/>
      <c r="W462" s="60"/>
    </row>
    <row r="463" spans="1:23" ht="13" x14ac:dyDescent="0.3">
      <c r="A463" s="58"/>
      <c r="B463" s="58"/>
      <c r="C463" s="58"/>
      <c r="D463" s="58"/>
      <c r="E463" s="58"/>
      <c r="F463" s="58"/>
      <c r="G463" s="58"/>
      <c r="H463" s="59"/>
      <c r="I463" s="59"/>
      <c r="J463" s="59"/>
      <c r="K463" s="59"/>
      <c r="L463" s="59"/>
      <c r="M463" s="60"/>
      <c r="N463" s="60"/>
      <c r="O463" s="60"/>
      <c r="P463" s="59"/>
      <c r="Q463" s="59"/>
      <c r="R463" s="60"/>
      <c r="S463" s="60"/>
      <c r="T463" s="60"/>
      <c r="U463" s="60"/>
      <c r="V463" s="60"/>
      <c r="W463" s="60"/>
    </row>
    <row r="464" spans="1:23" ht="13" x14ac:dyDescent="0.3">
      <c r="A464" s="58"/>
      <c r="B464" s="58"/>
      <c r="C464" s="58"/>
      <c r="D464" s="58"/>
      <c r="E464" s="58"/>
      <c r="F464" s="58"/>
      <c r="G464" s="58"/>
      <c r="H464" s="59"/>
      <c r="I464" s="59"/>
      <c r="J464" s="59"/>
      <c r="K464" s="59"/>
      <c r="L464" s="59"/>
      <c r="M464" s="60"/>
      <c r="N464" s="60"/>
      <c r="O464" s="60"/>
      <c r="P464" s="59"/>
      <c r="Q464" s="59"/>
      <c r="R464" s="60"/>
      <c r="S464" s="60"/>
      <c r="T464" s="60"/>
      <c r="U464" s="60"/>
      <c r="V464" s="60"/>
      <c r="W464" s="60"/>
    </row>
    <row r="465" spans="1:23" ht="13" x14ac:dyDescent="0.3">
      <c r="A465" s="58"/>
      <c r="B465" s="58"/>
      <c r="C465" s="58"/>
      <c r="D465" s="58"/>
      <c r="E465" s="58"/>
      <c r="F465" s="58"/>
      <c r="G465" s="58"/>
      <c r="H465" s="59"/>
      <c r="I465" s="59"/>
      <c r="J465" s="59"/>
      <c r="K465" s="59"/>
      <c r="L465" s="59"/>
      <c r="M465" s="60"/>
      <c r="N465" s="60"/>
      <c r="O465" s="60"/>
      <c r="P465" s="59"/>
      <c r="Q465" s="59"/>
      <c r="R465" s="60"/>
      <c r="S465" s="60"/>
      <c r="T465" s="60"/>
      <c r="U465" s="60"/>
      <c r="V465" s="60"/>
      <c r="W465" s="60"/>
    </row>
    <row r="466" spans="1:23" ht="13" x14ac:dyDescent="0.3">
      <c r="A466" s="58"/>
      <c r="B466" s="58"/>
      <c r="C466" s="58"/>
      <c r="D466" s="58"/>
      <c r="E466" s="58"/>
      <c r="F466" s="58"/>
      <c r="G466" s="58"/>
      <c r="H466" s="59"/>
      <c r="I466" s="59"/>
      <c r="J466" s="59"/>
      <c r="K466" s="59"/>
      <c r="L466" s="59"/>
      <c r="M466" s="60"/>
      <c r="N466" s="60"/>
      <c r="O466" s="60"/>
      <c r="P466" s="59"/>
      <c r="Q466" s="59"/>
      <c r="R466" s="60"/>
      <c r="S466" s="60"/>
      <c r="T466" s="60"/>
      <c r="U466" s="60"/>
      <c r="V466" s="60"/>
      <c r="W466" s="60"/>
    </row>
    <row r="467" spans="1:23" ht="13" x14ac:dyDescent="0.3">
      <c r="A467" s="58"/>
      <c r="B467" s="58"/>
      <c r="C467" s="58"/>
      <c r="D467" s="58"/>
      <c r="E467" s="58"/>
      <c r="F467" s="58"/>
      <c r="G467" s="58"/>
      <c r="H467" s="59"/>
      <c r="I467" s="59"/>
      <c r="J467" s="59"/>
      <c r="K467" s="59"/>
      <c r="L467" s="59"/>
      <c r="M467" s="60"/>
      <c r="N467" s="60"/>
      <c r="O467" s="60"/>
      <c r="P467" s="59"/>
      <c r="Q467" s="59"/>
      <c r="R467" s="60"/>
      <c r="S467" s="60"/>
      <c r="T467" s="60"/>
      <c r="U467" s="60"/>
      <c r="V467" s="60"/>
      <c r="W467" s="60"/>
    </row>
    <row r="468" spans="1:23" ht="13" x14ac:dyDescent="0.3">
      <c r="A468" s="58"/>
      <c r="B468" s="58"/>
      <c r="C468" s="58"/>
      <c r="D468" s="58"/>
      <c r="E468" s="58"/>
      <c r="F468" s="58"/>
      <c r="G468" s="58"/>
      <c r="H468" s="59"/>
      <c r="I468" s="59"/>
      <c r="J468" s="59"/>
      <c r="K468" s="59"/>
      <c r="L468" s="59"/>
      <c r="M468" s="60"/>
      <c r="N468" s="60"/>
      <c r="O468" s="60"/>
      <c r="P468" s="59"/>
      <c r="Q468" s="59"/>
      <c r="R468" s="60"/>
      <c r="S468" s="60"/>
      <c r="T468" s="60"/>
      <c r="U468" s="60"/>
      <c r="V468" s="60"/>
      <c r="W468" s="60"/>
    </row>
    <row r="469" spans="1:23" ht="13" x14ac:dyDescent="0.3">
      <c r="A469" s="58"/>
      <c r="B469" s="58"/>
      <c r="C469" s="58"/>
      <c r="D469" s="58"/>
      <c r="E469" s="58"/>
      <c r="F469" s="58"/>
      <c r="G469" s="58"/>
      <c r="H469" s="59"/>
      <c r="I469" s="59"/>
      <c r="J469" s="59"/>
      <c r="K469" s="59"/>
      <c r="L469" s="59"/>
      <c r="M469" s="60"/>
      <c r="N469" s="60"/>
      <c r="O469" s="60"/>
      <c r="P469" s="59"/>
      <c r="Q469" s="59"/>
      <c r="R469" s="60"/>
      <c r="S469" s="60"/>
      <c r="T469" s="60"/>
      <c r="U469" s="60"/>
      <c r="V469" s="60"/>
      <c r="W469" s="60"/>
    </row>
    <row r="470" spans="1:23" ht="13" x14ac:dyDescent="0.3">
      <c r="A470" s="58"/>
      <c r="B470" s="58"/>
      <c r="C470" s="58"/>
      <c r="D470" s="58"/>
      <c r="E470" s="58"/>
      <c r="F470" s="58"/>
      <c r="G470" s="58"/>
      <c r="H470" s="59"/>
      <c r="I470" s="59"/>
      <c r="J470" s="59"/>
      <c r="K470" s="59"/>
      <c r="L470" s="59"/>
      <c r="M470" s="60"/>
      <c r="N470" s="60"/>
      <c r="O470" s="60"/>
      <c r="P470" s="59"/>
      <c r="Q470" s="59"/>
      <c r="R470" s="60"/>
      <c r="S470" s="60"/>
      <c r="T470" s="60"/>
      <c r="U470" s="60"/>
      <c r="V470" s="60"/>
      <c r="W470" s="60"/>
    </row>
    <row r="471" spans="1:23" ht="13" x14ac:dyDescent="0.3">
      <c r="A471" s="58"/>
      <c r="B471" s="58"/>
      <c r="C471" s="58"/>
      <c r="D471" s="58"/>
      <c r="E471" s="58"/>
      <c r="F471" s="58"/>
      <c r="G471" s="58"/>
      <c r="H471" s="59"/>
      <c r="I471" s="59"/>
      <c r="J471" s="59"/>
      <c r="K471" s="59"/>
      <c r="L471" s="59"/>
      <c r="M471" s="60"/>
      <c r="N471" s="60"/>
      <c r="O471" s="60"/>
      <c r="P471" s="59"/>
      <c r="Q471" s="59"/>
      <c r="R471" s="60"/>
      <c r="S471" s="60"/>
      <c r="T471" s="60"/>
      <c r="U471" s="60"/>
      <c r="V471" s="60"/>
      <c r="W471" s="60"/>
    </row>
    <row r="472" spans="1:23" ht="13" x14ac:dyDescent="0.3">
      <c r="A472" s="58"/>
      <c r="B472" s="58"/>
      <c r="C472" s="58"/>
      <c r="D472" s="58"/>
      <c r="E472" s="58"/>
      <c r="F472" s="58"/>
      <c r="G472" s="58"/>
      <c r="H472" s="59"/>
      <c r="I472" s="59"/>
      <c r="J472" s="59"/>
      <c r="K472" s="59"/>
      <c r="L472" s="59"/>
      <c r="M472" s="60"/>
      <c r="N472" s="60"/>
      <c r="O472" s="60"/>
      <c r="P472" s="59"/>
      <c r="Q472" s="59"/>
      <c r="R472" s="60"/>
      <c r="S472" s="60"/>
      <c r="T472" s="60"/>
      <c r="U472" s="60"/>
      <c r="V472" s="60"/>
      <c r="W472" s="60"/>
    </row>
    <row r="473" spans="1:23" ht="13" x14ac:dyDescent="0.3">
      <c r="A473" s="58"/>
      <c r="B473" s="58"/>
      <c r="C473" s="58"/>
      <c r="D473" s="58"/>
      <c r="E473" s="58"/>
      <c r="F473" s="58"/>
      <c r="G473" s="58"/>
      <c r="H473" s="59"/>
      <c r="I473" s="59"/>
      <c r="J473" s="59"/>
      <c r="K473" s="59"/>
      <c r="L473" s="59"/>
      <c r="M473" s="60"/>
      <c r="N473" s="60"/>
      <c r="O473" s="60"/>
      <c r="P473" s="59"/>
      <c r="Q473" s="59"/>
      <c r="R473" s="60"/>
      <c r="S473" s="60"/>
      <c r="T473" s="60"/>
      <c r="U473" s="60"/>
      <c r="V473" s="60"/>
      <c r="W473" s="60"/>
    </row>
    <row r="474" spans="1:23" ht="13" x14ac:dyDescent="0.3">
      <c r="A474" s="58"/>
      <c r="B474" s="58"/>
      <c r="C474" s="58"/>
      <c r="D474" s="58"/>
      <c r="E474" s="58"/>
      <c r="F474" s="58"/>
      <c r="G474" s="58"/>
      <c r="H474" s="59"/>
      <c r="I474" s="59"/>
      <c r="J474" s="59"/>
      <c r="K474" s="59"/>
      <c r="L474" s="59"/>
      <c r="M474" s="60"/>
      <c r="N474" s="60"/>
      <c r="O474" s="60"/>
      <c r="P474" s="59"/>
      <c r="Q474" s="59"/>
      <c r="R474" s="60"/>
      <c r="S474" s="60"/>
      <c r="T474" s="60"/>
      <c r="U474" s="60"/>
      <c r="V474" s="60"/>
      <c r="W474" s="60"/>
    </row>
    <row r="475" spans="1:23" ht="13" x14ac:dyDescent="0.3">
      <c r="A475" s="58"/>
      <c r="B475" s="58"/>
      <c r="C475" s="58"/>
      <c r="D475" s="58"/>
      <c r="E475" s="58"/>
      <c r="F475" s="58"/>
      <c r="G475" s="58"/>
      <c r="H475" s="59"/>
      <c r="I475" s="59"/>
      <c r="J475" s="59"/>
      <c r="K475" s="59"/>
      <c r="L475" s="59"/>
      <c r="M475" s="60"/>
      <c r="N475" s="60"/>
      <c r="O475" s="60"/>
      <c r="P475" s="59"/>
      <c r="Q475" s="59"/>
      <c r="R475" s="60"/>
      <c r="S475" s="60"/>
      <c r="T475" s="60"/>
      <c r="U475" s="60"/>
      <c r="V475" s="60"/>
      <c r="W475" s="60"/>
    </row>
    <row r="476" spans="1:23" ht="13" x14ac:dyDescent="0.3">
      <c r="A476" s="58"/>
      <c r="B476" s="58"/>
      <c r="C476" s="58"/>
      <c r="D476" s="58"/>
      <c r="E476" s="58"/>
      <c r="F476" s="58"/>
      <c r="G476" s="58"/>
      <c r="H476" s="59"/>
      <c r="I476" s="59"/>
      <c r="J476" s="59"/>
      <c r="K476" s="59"/>
      <c r="L476" s="59"/>
      <c r="M476" s="60"/>
      <c r="N476" s="60"/>
      <c r="O476" s="60"/>
      <c r="P476" s="59"/>
      <c r="Q476" s="59"/>
      <c r="R476" s="60"/>
      <c r="S476" s="60"/>
      <c r="T476" s="60"/>
      <c r="U476" s="60"/>
      <c r="V476" s="60"/>
      <c r="W476" s="60"/>
    </row>
    <row r="477" spans="1:23" ht="13" x14ac:dyDescent="0.3">
      <c r="A477" s="58"/>
      <c r="B477" s="58"/>
      <c r="C477" s="58"/>
      <c r="D477" s="58"/>
      <c r="E477" s="58"/>
      <c r="F477" s="58"/>
      <c r="G477" s="58"/>
      <c r="H477" s="59"/>
      <c r="I477" s="59"/>
      <c r="J477" s="59"/>
      <c r="K477" s="59"/>
      <c r="L477" s="59"/>
      <c r="M477" s="60"/>
      <c r="N477" s="60"/>
      <c r="O477" s="60"/>
      <c r="P477" s="59"/>
      <c r="Q477" s="59"/>
      <c r="R477" s="60"/>
      <c r="S477" s="60"/>
      <c r="T477" s="60"/>
      <c r="U477" s="60"/>
      <c r="V477" s="60"/>
      <c r="W477" s="60"/>
    </row>
    <row r="478" spans="1:23" ht="13" x14ac:dyDescent="0.3">
      <c r="A478" s="58"/>
      <c r="B478" s="58"/>
      <c r="C478" s="58"/>
      <c r="D478" s="58"/>
      <c r="E478" s="58"/>
      <c r="F478" s="58"/>
      <c r="G478" s="58"/>
      <c r="H478" s="59"/>
      <c r="I478" s="59"/>
      <c r="J478" s="59"/>
      <c r="K478" s="59"/>
      <c r="L478" s="59"/>
      <c r="M478" s="60"/>
      <c r="N478" s="60"/>
      <c r="O478" s="60"/>
      <c r="P478" s="59"/>
      <c r="Q478" s="59"/>
      <c r="R478" s="60"/>
      <c r="S478" s="60"/>
      <c r="T478" s="60"/>
      <c r="U478" s="60"/>
      <c r="V478" s="60"/>
      <c r="W478" s="60"/>
    </row>
    <row r="479" spans="1:23" ht="13" x14ac:dyDescent="0.3">
      <c r="A479" s="58"/>
      <c r="B479" s="58"/>
      <c r="C479" s="58"/>
      <c r="D479" s="58"/>
      <c r="E479" s="58"/>
      <c r="F479" s="58"/>
      <c r="G479" s="58"/>
      <c r="H479" s="59"/>
      <c r="I479" s="59"/>
      <c r="J479" s="59"/>
      <c r="K479" s="59"/>
      <c r="L479" s="59"/>
      <c r="M479" s="60"/>
      <c r="N479" s="60"/>
      <c r="O479" s="60"/>
      <c r="P479" s="59"/>
      <c r="Q479" s="59"/>
      <c r="R479" s="60"/>
      <c r="S479" s="60"/>
      <c r="T479" s="60"/>
      <c r="U479" s="60"/>
      <c r="V479" s="60"/>
      <c r="W479" s="60"/>
    </row>
    <row r="480" spans="1:23" ht="13" x14ac:dyDescent="0.3">
      <c r="A480" s="58"/>
      <c r="B480" s="58"/>
      <c r="C480" s="58"/>
      <c r="D480" s="58"/>
      <c r="E480" s="58"/>
      <c r="F480" s="58"/>
      <c r="G480" s="58"/>
      <c r="H480" s="59"/>
      <c r="I480" s="59"/>
      <c r="J480" s="59"/>
      <c r="K480" s="59"/>
      <c r="L480" s="59"/>
      <c r="M480" s="60"/>
      <c r="N480" s="60"/>
      <c r="O480" s="60"/>
      <c r="P480" s="59"/>
      <c r="Q480" s="59"/>
      <c r="R480" s="60"/>
      <c r="S480" s="60"/>
      <c r="T480" s="60"/>
      <c r="U480" s="60"/>
      <c r="V480" s="60"/>
      <c r="W480" s="60"/>
    </row>
    <row r="481" spans="1:23" ht="13" x14ac:dyDescent="0.3">
      <c r="A481" s="58"/>
      <c r="B481" s="58"/>
      <c r="C481" s="58"/>
      <c r="D481" s="58"/>
      <c r="E481" s="58"/>
      <c r="F481" s="58"/>
      <c r="G481" s="58"/>
      <c r="H481" s="59"/>
      <c r="I481" s="59"/>
      <c r="J481" s="59"/>
      <c r="K481" s="59"/>
      <c r="L481" s="59"/>
      <c r="M481" s="60"/>
      <c r="N481" s="60"/>
      <c r="O481" s="60"/>
      <c r="P481" s="59"/>
      <c r="Q481" s="59"/>
      <c r="R481" s="60"/>
      <c r="S481" s="60"/>
      <c r="T481" s="60"/>
      <c r="U481" s="60"/>
      <c r="V481" s="60"/>
      <c r="W481" s="60"/>
    </row>
    <row r="482" spans="1:23" ht="13" x14ac:dyDescent="0.3">
      <c r="A482" s="58"/>
      <c r="B482" s="58"/>
      <c r="C482" s="58"/>
      <c r="D482" s="58"/>
      <c r="E482" s="58"/>
      <c r="F482" s="58"/>
      <c r="G482" s="58"/>
      <c r="H482" s="59"/>
      <c r="I482" s="59"/>
      <c r="J482" s="59"/>
      <c r="K482" s="59"/>
      <c r="L482" s="59"/>
      <c r="M482" s="60"/>
      <c r="N482" s="60"/>
      <c r="O482" s="60"/>
      <c r="P482" s="59"/>
      <c r="Q482" s="59"/>
      <c r="R482" s="60"/>
      <c r="S482" s="60"/>
      <c r="T482" s="60"/>
      <c r="U482" s="60"/>
      <c r="V482" s="60"/>
      <c r="W482" s="60"/>
    </row>
    <row r="483" spans="1:23" ht="13" x14ac:dyDescent="0.3">
      <c r="A483" s="58"/>
      <c r="B483" s="58"/>
      <c r="C483" s="58"/>
      <c r="D483" s="58"/>
      <c r="E483" s="58"/>
      <c r="F483" s="58"/>
      <c r="G483" s="58"/>
      <c r="H483" s="59"/>
      <c r="I483" s="59"/>
      <c r="J483" s="59"/>
      <c r="K483" s="59"/>
      <c r="L483" s="59"/>
      <c r="M483" s="60"/>
      <c r="N483" s="60"/>
      <c r="O483" s="60"/>
      <c r="P483" s="59"/>
      <c r="Q483" s="59"/>
      <c r="R483" s="60"/>
      <c r="S483" s="60"/>
      <c r="T483" s="60"/>
      <c r="U483" s="60"/>
      <c r="V483" s="60"/>
      <c r="W483" s="60"/>
    </row>
    <row r="484" spans="1:23" ht="13" x14ac:dyDescent="0.3">
      <c r="A484" s="58"/>
      <c r="B484" s="58"/>
      <c r="C484" s="58"/>
      <c r="D484" s="58"/>
      <c r="E484" s="58"/>
      <c r="F484" s="58"/>
      <c r="G484" s="58"/>
      <c r="H484" s="59"/>
      <c r="I484" s="59"/>
      <c r="J484" s="59"/>
      <c r="K484" s="59"/>
      <c r="L484" s="59"/>
      <c r="M484" s="60"/>
      <c r="N484" s="60"/>
      <c r="O484" s="60"/>
      <c r="P484" s="59"/>
      <c r="Q484" s="59"/>
      <c r="R484" s="60"/>
      <c r="S484" s="60"/>
      <c r="T484" s="60"/>
      <c r="U484" s="60"/>
      <c r="V484" s="60"/>
      <c r="W484" s="60"/>
    </row>
    <row r="485" spans="1:23" ht="13" x14ac:dyDescent="0.3">
      <c r="A485" s="58"/>
      <c r="B485" s="58"/>
      <c r="C485" s="58"/>
      <c r="D485" s="58"/>
      <c r="E485" s="58"/>
      <c r="F485" s="58"/>
      <c r="G485" s="58"/>
      <c r="H485" s="59"/>
      <c r="I485" s="59"/>
      <c r="J485" s="59"/>
      <c r="K485" s="59"/>
      <c r="L485" s="59"/>
      <c r="M485" s="60"/>
      <c r="N485" s="60"/>
      <c r="O485" s="60"/>
      <c r="P485" s="59"/>
      <c r="Q485" s="59"/>
      <c r="R485" s="60"/>
      <c r="S485" s="60"/>
      <c r="T485" s="60"/>
      <c r="U485" s="60"/>
      <c r="V485" s="60"/>
      <c r="W485" s="60"/>
    </row>
    <row r="486" spans="1:23" ht="13" x14ac:dyDescent="0.3">
      <c r="A486" s="58"/>
      <c r="B486" s="58"/>
      <c r="C486" s="58"/>
      <c r="D486" s="58"/>
      <c r="E486" s="58"/>
      <c r="F486" s="58"/>
      <c r="G486" s="58"/>
      <c r="H486" s="59"/>
      <c r="I486" s="59"/>
      <c r="J486" s="59"/>
      <c r="K486" s="59"/>
      <c r="L486" s="59"/>
      <c r="M486" s="60"/>
      <c r="N486" s="60"/>
      <c r="O486" s="60"/>
      <c r="P486" s="59"/>
      <c r="Q486" s="59"/>
      <c r="R486" s="60"/>
      <c r="S486" s="60"/>
      <c r="T486" s="60"/>
      <c r="U486" s="60"/>
      <c r="V486" s="60"/>
      <c r="W486" s="60"/>
    </row>
    <row r="487" spans="1:23" ht="13" x14ac:dyDescent="0.3">
      <c r="A487" s="58"/>
      <c r="B487" s="58"/>
      <c r="C487" s="58"/>
      <c r="D487" s="58"/>
      <c r="E487" s="58"/>
      <c r="F487" s="58"/>
      <c r="G487" s="58"/>
      <c r="H487" s="59"/>
      <c r="I487" s="59"/>
      <c r="J487" s="59"/>
      <c r="K487" s="59"/>
      <c r="L487" s="59"/>
      <c r="M487" s="60"/>
      <c r="N487" s="60"/>
      <c r="O487" s="60"/>
      <c r="P487" s="59"/>
      <c r="Q487" s="59"/>
      <c r="R487" s="60"/>
      <c r="S487" s="60"/>
      <c r="T487" s="60"/>
      <c r="U487" s="60"/>
      <c r="V487" s="60"/>
      <c r="W487" s="60"/>
    </row>
    <row r="488" spans="1:23" ht="13" x14ac:dyDescent="0.3">
      <c r="A488" s="58"/>
      <c r="B488" s="58"/>
      <c r="C488" s="58"/>
      <c r="D488" s="58"/>
      <c r="E488" s="58"/>
      <c r="F488" s="58"/>
      <c r="G488" s="58"/>
      <c r="H488" s="59"/>
      <c r="I488" s="59"/>
      <c r="J488" s="59"/>
      <c r="K488" s="59"/>
      <c r="L488" s="59"/>
      <c r="M488" s="60"/>
      <c r="N488" s="60"/>
      <c r="O488" s="60"/>
      <c r="P488" s="59"/>
      <c r="Q488" s="59"/>
      <c r="R488" s="60"/>
      <c r="S488" s="60"/>
      <c r="T488" s="60"/>
      <c r="U488" s="60"/>
      <c r="V488" s="60"/>
      <c r="W488" s="60"/>
    </row>
    <row r="489" spans="1:23" ht="13" x14ac:dyDescent="0.3">
      <c r="A489" s="58"/>
      <c r="B489" s="58"/>
      <c r="C489" s="58"/>
      <c r="D489" s="58"/>
      <c r="E489" s="58"/>
      <c r="F489" s="58"/>
      <c r="G489" s="58"/>
      <c r="H489" s="59"/>
      <c r="I489" s="59"/>
      <c r="J489" s="59"/>
      <c r="K489" s="59"/>
      <c r="L489" s="59"/>
      <c r="M489" s="60"/>
      <c r="N489" s="60"/>
      <c r="O489" s="60"/>
      <c r="P489" s="59"/>
      <c r="Q489" s="59"/>
      <c r="R489" s="60"/>
      <c r="S489" s="60"/>
      <c r="T489" s="60"/>
      <c r="U489" s="60"/>
      <c r="V489" s="60"/>
      <c r="W489" s="60"/>
    </row>
    <row r="490" spans="1:23" ht="13" x14ac:dyDescent="0.3">
      <c r="A490" s="58"/>
      <c r="B490" s="58"/>
      <c r="C490" s="58"/>
      <c r="D490" s="58"/>
      <c r="E490" s="58"/>
      <c r="F490" s="58"/>
      <c r="G490" s="58"/>
      <c r="H490" s="59"/>
      <c r="I490" s="59"/>
      <c r="J490" s="59"/>
      <c r="K490" s="59"/>
      <c r="L490" s="59"/>
      <c r="M490" s="60"/>
      <c r="N490" s="60"/>
      <c r="O490" s="60"/>
      <c r="P490" s="59"/>
      <c r="Q490" s="59"/>
      <c r="R490" s="60"/>
      <c r="S490" s="60"/>
      <c r="T490" s="60"/>
      <c r="U490" s="60"/>
      <c r="V490" s="60"/>
      <c r="W490" s="60"/>
    </row>
    <row r="491" spans="1:23" ht="13" x14ac:dyDescent="0.3">
      <c r="A491" s="58"/>
      <c r="B491" s="58"/>
      <c r="C491" s="58"/>
      <c r="D491" s="58"/>
      <c r="E491" s="58"/>
      <c r="F491" s="58"/>
      <c r="G491" s="58"/>
      <c r="H491" s="59"/>
      <c r="I491" s="59"/>
      <c r="J491" s="59"/>
      <c r="K491" s="59"/>
      <c r="L491" s="59"/>
      <c r="M491" s="60"/>
      <c r="N491" s="60"/>
      <c r="O491" s="60"/>
      <c r="P491" s="59"/>
      <c r="Q491" s="59"/>
      <c r="R491" s="60"/>
      <c r="S491" s="60"/>
      <c r="T491" s="60"/>
      <c r="U491" s="60"/>
      <c r="V491" s="60"/>
      <c r="W491" s="60"/>
    </row>
    <row r="492" spans="1:23" ht="13" x14ac:dyDescent="0.3">
      <c r="A492" s="58"/>
      <c r="B492" s="58"/>
      <c r="C492" s="58"/>
      <c r="D492" s="58"/>
      <c r="E492" s="58"/>
      <c r="F492" s="58"/>
      <c r="G492" s="58"/>
      <c r="H492" s="59"/>
      <c r="I492" s="59"/>
      <c r="J492" s="59"/>
      <c r="K492" s="59"/>
      <c r="L492" s="59"/>
      <c r="M492" s="60"/>
      <c r="N492" s="60"/>
      <c r="O492" s="60"/>
      <c r="P492" s="59"/>
      <c r="Q492" s="59"/>
      <c r="R492" s="60"/>
      <c r="S492" s="60"/>
      <c r="T492" s="60"/>
      <c r="U492" s="60"/>
      <c r="V492" s="60"/>
      <c r="W492" s="60"/>
    </row>
    <row r="493" spans="1:23" ht="13" x14ac:dyDescent="0.3">
      <c r="A493" s="58"/>
      <c r="B493" s="58"/>
      <c r="C493" s="58"/>
      <c r="D493" s="58"/>
      <c r="E493" s="58"/>
      <c r="F493" s="58"/>
      <c r="G493" s="58"/>
      <c r="H493" s="59"/>
      <c r="I493" s="59"/>
      <c r="J493" s="59"/>
      <c r="K493" s="59"/>
      <c r="L493" s="59"/>
      <c r="M493" s="60"/>
      <c r="N493" s="60"/>
      <c r="O493" s="60"/>
      <c r="P493" s="59"/>
      <c r="Q493" s="59"/>
      <c r="R493" s="60"/>
      <c r="S493" s="60"/>
      <c r="T493" s="60"/>
      <c r="U493" s="60"/>
      <c r="V493" s="60"/>
      <c r="W493" s="60"/>
    </row>
    <row r="494" spans="1:23" ht="13" x14ac:dyDescent="0.3">
      <c r="A494" s="58"/>
      <c r="B494" s="58"/>
      <c r="C494" s="58"/>
      <c r="D494" s="58"/>
      <c r="E494" s="58"/>
      <c r="F494" s="58"/>
      <c r="G494" s="58"/>
      <c r="H494" s="59"/>
      <c r="I494" s="59"/>
      <c r="J494" s="59"/>
      <c r="K494" s="59"/>
      <c r="L494" s="59"/>
      <c r="M494" s="60"/>
      <c r="N494" s="60"/>
      <c r="O494" s="60"/>
      <c r="P494" s="59"/>
      <c r="Q494" s="59"/>
      <c r="R494" s="60"/>
      <c r="S494" s="60"/>
      <c r="T494" s="60"/>
      <c r="U494" s="60"/>
      <c r="V494" s="60"/>
      <c r="W494" s="60"/>
    </row>
    <row r="495" spans="1:23" ht="13" x14ac:dyDescent="0.3">
      <c r="A495" s="58"/>
      <c r="B495" s="58"/>
      <c r="C495" s="58"/>
      <c r="D495" s="58"/>
      <c r="E495" s="58"/>
      <c r="F495" s="58"/>
      <c r="G495" s="58"/>
      <c r="H495" s="59"/>
      <c r="I495" s="59"/>
      <c r="J495" s="59"/>
      <c r="K495" s="59"/>
      <c r="L495" s="59"/>
      <c r="M495" s="60"/>
      <c r="N495" s="60"/>
      <c r="O495" s="60"/>
      <c r="P495" s="59"/>
      <c r="Q495" s="59"/>
      <c r="R495" s="60"/>
      <c r="S495" s="60"/>
      <c r="T495" s="60"/>
      <c r="U495" s="60"/>
      <c r="V495" s="60"/>
      <c r="W495" s="60"/>
    </row>
    <row r="496" spans="1:23" ht="13" x14ac:dyDescent="0.3">
      <c r="A496" s="58"/>
      <c r="B496" s="58"/>
      <c r="C496" s="58"/>
      <c r="D496" s="58"/>
      <c r="E496" s="58"/>
      <c r="F496" s="58"/>
      <c r="G496" s="58"/>
      <c r="H496" s="59"/>
      <c r="I496" s="59"/>
      <c r="J496" s="59"/>
      <c r="K496" s="59"/>
      <c r="L496" s="59"/>
      <c r="M496" s="60"/>
      <c r="N496" s="60"/>
      <c r="O496" s="60"/>
      <c r="P496" s="59"/>
      <c r="Q496" s="59"/>
      <c r="R496" s="60"/>
      <c r="S496" s="60"/>
      <c r="T496" s="60"/>
      <c r="U496" s="60"/>
      <c r="V496" s="60"/>
      <c r="W496" s="60"/>
    </row>
    <row r="497" spans="1:23" ht="13" x14ac:dyDescent="0.3">
      <c r="A497" s="58"/>
      <c r="B497" s="58"/>
      <c r="C497" s="58"/>
      <c r="D497" s="58"/>
      <c r="E497" s="58"/>
      <c r="F497" s="58"/>
      <c r="G497" s="58"/>
      <c r="H497" s="59"/>
      <c r="I497" s="59"/>
      <c r="J497" s="59"/>
      <c r="K497" s="59"/>
      <c r="L497" s="59"/>
      <c r="M497" s="60"/>
      <c r="N497" s="60"/>
      <c r="O497" s="60"/>
      <c r="P497" s="59"/>
      <c r="Q497" s="59"/>
      <c r="R497" s="60"/>
      <c r="S497" s="60"/>
      <c r="T497" s="60"/>
      <c r="U497" s="60"/>
      <c r="V497" s="60"/>
      <c r="W497" s="60"/>
    </row>
    <row r="498" spans="1:23" ht="13" x14ac:dyDescent="0.3">
      <c r="A498" s="58"/>
      <c r="B498" s="58"/>
      <c r="C498" s="58"/>
      <c r="D498" s="58"/>
      <c r="E498" s="58"/>
      <c r="F498" s="58"/>
      <c r="G498" s="58"/>
      <c r="H498" s="59"/>
      <c r="I498" s="59"/>
      <c r="J498" s="59"/>
      <c r="K498" s="59"/>
      <c r="L498" s="59"/>
      <c r="M498" s="60"/>
      <c r="N498" s="60"/>
      <c r="O498" s="60"/>
      <c r="P498" s="59"/>
      <c r="Q498" s="59"/>
      <c r="R498" s="60"/>
      <c r="S498" s="60"/>
      <c r="T498" s="60"/>
      <c r="U498" s="60"/>
      <c r="V498" s="60"/>
      <c r="W498" s="60"/>
    </row>
    <row r="499" spans="1:23" ht="13" x14ac:dyDescent="0.3">
      <c r="A499" s="58"/>
      <c r="B499" s="58"/>
      <c r="C499" s="58"/>
      <c r="D499" s="58"/>
      <c r="E499" s="58"/>
      <c r="F499" s="58"/>
      <c r="G499" s="58"/>
      <c r="H499" s="59"/>
      <c r="I499" s="59"/>
      <c r="J499" s="59"/>
      <c r="K499" s="59"/>
      <c r="L499" s="59"/>
      <c r="M499" s="60"/>
      <c r="N499" s="60"/>
      <c r="O499" s="60"/>
      <c r="P499" s="59"/>
      <c r="Q499" s="59"/>
      <c r="R499" s="60"/>
      <c r="S499" s="60"/>
      <c r="T499" s="60"/>
      <c r="U499" s="60"/>
      <c r="V499" s="60"/>
      <c r="W499" s="60"/>
    </row>
    <row r="500" spans="1:23" ht="13" x14ac:dyDescent="0.3">
      <c r="A500" s="58"/>
      <c r="B500" s="58"/>
      <c r="C500" s="58"/>
      <c r="D500" s="58"/>
      <c r="E500" s="58"/>
      <c r="F500" s="58"/>
      <c r="G500" s="58"/>
      <c r="H500" s="59"/>
      <c r="I500" s="59"/>
      <c r="J500" s="59"/>
      <c r="K500" s="59"/>
      <c r="L500" s="59"/>
      <c r="M500" s="60"/>
      <c r="N500" s="60"/>
      <c r="O500" s="60"/>
      <c r="P500" s="59"/>
      <c r="Q500" s="59"/>
      <c r="R500" s="60"/>
      <c r="S500" s="60"/>
      <c r="T500" s="60"/>
      <c r="U500" s="60"/>
      <c r="V500" s="60"/>
      <c r="W500" s="60"/>
    </row>
    <row r="501" spans="1:23" ht="13" x14ac:dyDescent="0.3">
      <c r="A501" s="58"/>
      <c r="B501" s="58"/>
      <c r="C501" s="58"/>
      <c r="D501" s="58"/>
      <c r="E501" s="58"/>
      <c r="F501" s="58"/>
      <c r="G501" s="58"/>
      <c r="H501" s="59"/>
      <c r="I501" s="59"/>
      <c r="J501" s="59"/>
      <c r="K501" s="59"/>
      <c r="L501" s="59"/>
      <c r="M501" s="60"/>
      <c r="N501" s="60"/>
      <c r="O501" s="60"/>
      <c r="P501" s="59"/>
      <c r="Q501" s="59"/>
      <c r="R501" s="60"/>
      <c r="S501" s="60"/>
      <c r="T501" s="60"/>
      <c r="U501" s="60"/>
      <c r="V501" s="60"/>
      <c r="W501" s="60"/>
    </row>
    <row r="502" spans="1:23" ht="13" x14ac:dyDescent="0.3">
      <c r="A502" s="58"/>
      <c r="B502" s="58"/>
      <c r="C502" s="58"/>
      <c r="D502" s="58"/>
      <c r="E502" s="58"/>
      <c r="F502" s="58"/>
      <c r="G502" s="58"/>
      <c r="H502" s="59"/>
      <c r="I502" s="59"/>
      <c r="J502" s="59"/>
      <c r="K502" s="59"/>
      <c r="L502" s="59"/>
      <c r="M502" s="60"/>
      <c r="N502" s="60"/>
      <c r="O502" s="60"/>
      <c r="P502" s="59"/>
      <c r="Q502" s="59"/>
      <c r="R502" s="60"/>
      <c r="S502" s="60"/>
      <c r="T502" s="60"/>
      <c r="U502" s="60"/>
      <c r="V502" s="60"/>
      <c r="W502" s="60"/>
    </row>
    <row r="503" spans="1:23" ht="13" x14ac:dyDescent="0.3">
      <c r="A503" s="58"/>
      <c r="B503" s="58"/>
      <c r="C503" s="58"/>
      <c r="D503" s="58"/>
      <c r="E503" s="58"/>
      <c r="F503" s="58"/>
      <c r="G503" s="58"/>
      <c r="H503" s="59"/>
      <c r="I503" s="59"/>
      <c r="J503" s="59"/>
      <c r="K503" s="59"/>
      <c r="L503" s="59"/>
      <c r="M503" s="60"/>
      <c r="N503" s="60"/>
      <c r="O503" s="60"/>
      <c r="P503" s="59"/>
      <c r="Q503" s="59"/>
      <c r="R503" s="60"/>
      <c r="S503" s="60"/>
      <c r="T503" s="60"/>
      <c r="U503" s="60"/>
      <c r="V503" s="60"/>
      <c r="W503" s="60"/>
    </row>
    <row r="504" spans="1:23" ht="13" x14ac:dyDescent="0.3">
      <c r="A504" s="58"/>
      <c r="B504" s="58"/>
      <c r="C504" s="58"/>
      <c r="D504" s="58"/>
      <c r="E504" s="58"/>
      <c r="F504" s="58"/>
      <c r="G504" s="58"/>
      <c r="H504" s="59"/>
      <c r="I504" s="59"/>
      <c r="J504" s="59"/>
      <c r="K504" s="59"/>
      <c r="L504" s="59"/>
      <c r="M504" s="60"/>
      <c r="N504" s="60"/>
      <c r="O504" s="60"/>
      <c r="P504" s="59"/>
      <c r="Q504" s="59"/>
      <c r="R504" s="60"/>
      <c r="S504" s="60"/>
      <c r="T504" s="60"/>
      <c r="U504" s="60"/>
      <c r="V504" s="60"/>
      <c r="W504" s="60"/>
    </row>
    <row r="505" spans="1:23" ht="13" x14ac:dyDescent="0.3">
      <c r="A505" s="58"/>
      <c r="B505" s="58"/>
      <c r="C505" s="58"/>
      <c r="D505" s="58"/>
      <c r="E505" s="58"/>
      <c r="F505" s="58"/>
      <c r="G505" s="58"/>
      <c r="H505" s="59"/>
      <c r="I505" s="59"/>
      <c r="J505" s="59"/>
      <c r="K505" s="59"/>
      <c r="L505" s="59"/>
      <c r="M505" s="60"/>
      <c r="N505" s="60"/>
      <c r="O505" s="60"/>
      <c r="P505" s="59"/>
      <c r="Q505" s="59"/>
      <c r="R505" s="60"/>
      <c r="S505" s="60"/>
      <c r="T505" s="60"/>
      <c r="U505" s="60"/>
      <c r="V505" s="60"/>
      <c r="W505" s="60"/>
    </row>
    <row r="506" spans="1:23" ht="13" x14ac:dyDescent="0.3">
      <c r="A506" s="58"/>
      <c r="B506" s="58"/>
      <c r="C506" s="58"/>
      <c r="D506" s="58"/>
      <c r="E506" s="58"/>
      <c r="F506" s="58"/>
      <c r="G506" s="58"/>
      <c r="H506" s="59"/>
      <c r="I506" s="59"/>
      <c r="J506" s="59"/>
      <c r="K506" s="59"/>
      <c r="L506" s="59"/>
      <c r="M506" s="60"/>
      <c r="N506" s="60"/>
      <c r="O506" s="60"/>
      <c r="P506" s="59"/>
      <c r="Q506" s="59"/>
      <c r="R506" s="60"/>
      <c r="S506" s="60"/>
      <c r="T506" s="60"/>
      <c r="U506" s="60"/>
      <c r="V506" s="60"/>
      <c r="W506" s="60"/>
    </row>
    <row r="507" spans="1:23" ht="13" x14ac:dyDescent="0.3">
      <c r="A507" s="58"/>
      <c r="B507" s="58"/>
      <c r="C507" s="58"/>
      <c r="D507" s="58"/>
      <c r="E507" s="58"/>
      <c r="F507" s="58"/>
      <c r="G507" s="58"/>
      <c r="H507" s="59"/>
      <c r="I507" s="59"/>
      <c r="J507" s="59"/>
      <c r="K507" s="59"/>
      <c r="L507" s="59"/>
      <c r="M507" s="60"/>
      <c r="N507" s="60"/>
      <c r="O507" s="60"/>
      <c r="P507" s="59"/>
      <c r="Q507" s="59"/>
      <c r="R507" s="60"/>
      <c r="S507" s="60"/>
      <c r="T507" s="60"/>
      <c r="U507" s="60"/>
      <c r="V507" s="60"/>
      <c r="W507" s="60"/>
    </row>
    <row r="508" spans="1:23" ht="13" x14ac:dyDescent="0.3">
      <c r="A508" s="58"/>
      <c r="B508" s="58"/>
      <c r="C508" s="58"/>
      <c r="D508" s="58"/>
      <c r="E508" s="58"/>
      <c r="F508" s="58"/>
      <c r="G508" s="58"/>
      <c r="H508" s="59"/>
      <c r="I508" s="59"/>
      <c r="J508" s="59"/>
      <c r="K508" s="59"/>
      <c r="L508" s="59"/>
      <c r="M508" s="60"/>
      <c r="N508" s="60"/>
      <c r="O508" s="60"/>
      <c r="P508" s="59"/>
      <c r="Q508" s="59"/>
      <c r="R508" s="60"/>
      <c r="S508" s="60"/>
      <c r="T508" s="60"/>
      <c r="U508" s="60"/>
      <c r="V508" s="60"/>
      <c r="W508" s="60"/>
    </row>
    <row r="509" spans="1:23" ht="13" x14ac:dyDescent="0.3">
      <c r="A509" s="58"/>
      <c r="B509" s="58"/>
      <c r="C509" s="58"/>
      <c r="D509" s="58"/>
      <c r="E509" s="58"/>
      <c r="F509" s="58"/>
      <c r="G509" s="58"/>
      <c r="H509" s="59"/>
      <c r="I509" s="59"/>
      <c r="J509" s="59"/>
      <c r="K509" s="59"/>
      <c r="L509" s="59"/>
      <c r="M509" s="60"/>
      <c r="N509" s="60"/>
      <c r="O509" s="60"/>
      <c r="P509" s="59"/>
      <c r="Q509" s="59"/>
      <c r="R509" s="60"/>
      <c r="S509" s="60"/>
      <c r="T509" s="60"/>
      <c r="U509" s="60"/>
      <c r="V509" s="60"/>
      <c r="W509" s="60"/>
    </row>
    <row r="510" spans="1:23" ht="13" x14ac:dyDescent="0.3">
      <c r="A510" s="58"/>
      <c r="B510" s="58"/>
      <c r="C510" s="58"/>
      <c r="D510" s="58"/>
      <c r="E510" s="58"/>
      <c r="F510" s="58"/>
      <c r="G510" s="58"/>
      <c r="H510" s="59"/>
      <c r="I510" s="59"/>
      <c r="J510" s="59"/>
      <c r="K510" s="59"/>
      <c r="L510" s="59"/>
      <c r="M510" s="60"/>
      <c r="N510" s="60"/>
      <c r="O510" s="60"/>
      <c r="P510" s="59"/>
      <c r="Q510" s="59"/>
      <c r="R510" s="60"/>
      <c r="S510" s="60"/>
      <c r="T510" s="60"/>
      <c r="U510" s="60"/>
      <c r="V510" s="60"/>
      <c r="W510" s="60"/>
    </row>
    <row r="511" spans="1:23" ht="13" x14ac:dyDescent="0.3">
      <c r="A511" s="58"/>
      <c r="B511" s="58"/>
      <c r="C511" s="58"/>
      <c r="D511" s="58"/>
      <c r="E511" s="58"/>
      <c r="F511" s="58"/>
      <c r="G511" s="58"/>
      <c r="H511" s="59"/>
      <c r="I511" s="59"/>
      <c r="J511" s="59"/>
      <c r="K511" s="59"/>
      <c r="L511" s="59"/>
      <c r="M511" s="60"/>
      <c r="N511" s="60"/>
      <c r="O511" s="60"/>
      <c r="P511" s="59"/>
      <c r="Q511" s="59"/>
      <c r="R511" s="60"/>
      <c r="S511" s="60"/>
      <c r="T511" s="60"/>
      <c r="U511" s="60"/>
      <c r="V511" s="60"/>
      <c r="W511" s="60"/>
    </row>
    <row r="512" spans="1:23" ht="13" x14ac:dyDescent="0.3">
      <c r="A512" s="58"/>
      <c r="B512" s="58"/>
      <c r="C512" s="58"/>
      <c r="D512" s="58"/>
      <c r="E512" s="58"/>
      <c r="F512" s="58"/>
      <c r="G512" s="58"/>
      <c r="H512" s="59"/>
      <c r="I512" s="59"/>
      <c r="J512" s="59"/>
      <c r="K512" s="59"/>
      <c r="L512" s="59"/>
      <c r="M512" s="60"/>
      <c r="N512" s="60"/>
      <c r="O512" s="60"/>
      <c r="P512" s="59"/>
      <c r="Q512" s="59"/>
      <c r="R512" s="60"/>
      <c r="S512" s="60"/>
      <c r="T512" s="60"/>
      <c r="U512" s="60"/>
      <c r="V512" s="60"/>
      <c r="W512" s="60"/>
    </row>
    <row r="513" spans="1:23" ht="13" x14ac:dyDescent="0.3">
      <c r="A513" s="58"/>
      <c r="B513" s="58"/>
      <c r="C513" s="58"/>
      <c r="D513" s="58"/>
      <c r="E513" s="58"/>
      <c r="F513" s="58"/>
      <c r="G513" s="58"/>
      <c r="H513" s="59"/>
      <c r="I513" s="59"/>
      <c r="J513" s="59"/>
      <c r="K513" s="59"/>
      <c r="L513" s="59"/>
      <c r="M513" s="60"/>
      <c r="N513" s="60"/>
      <c r="O513" s="60"/>
      <c r="P513" s="59"/>
      <c r="Q513" s="59"/>
      <c r="R513" s="60"/>
      <c r="S513" s="60"/>
      <c r="T513" s="60"/>
      <c r="U513" s="60"/>
      <c r="V513" s="60"/>
      <c r="W513" s="60"/>
    </row>
    <row r="514" spans="1:23" ht="13" x14ac:dyDescent="0.3">
      <c r="A514" s="58"/>
      <c r="B514" s="58"/>
      <c r="C514" s="58"/>
      <c r="D514" s="58"/>
      <c r="E514" s="58"/>
      <c r="F514" s="58"/>
      <c r="G514" s="58"/>
      <c r="H514" s="59"/>
      <c r="I514" s="59"/>
      <c r="J514" s="59"/>
      <c r="K514" s="59"/>
      <c r="L514" s="59"/>
      <c r="M514" s="60"/>
      <c r="N514" s="60"/>
      <c r="O514" s="60"/>
      <c r="P514" s="59"/>
      <c r="Q514" s="59"/>
      <c r="R514" s="60"/>
      <c r="S514" s="60"/>
      <c r="T514" s="60"/>
      <c r="U514" s="60"/>
      <c r="V514" s="60"/>
      <c r="W514" s="60"/>
    </row>
    <row r="515" spans="1:23" ht="13" x14ac:dyDescent="0.3">
      <c r="A515" s="58"/>
      <c r="B515" s="58"/>
      <c r="C515" s="58"/>
      <c r="D515" s="58"/>
      <c r="E515" s="58"/>
      <c r="F515" s="58"/>
      <c r="G515" s="58"/>
      <c r="H515" s="59"/>
      <c r="I515" s="59"/>
      <c r="J515" s="59"/>
      <c r="K515" s="59"/>
      <c r="L515" s="59"/>
      <c r="M515" s="60"/>
      <c r="N515" s="60"/>
      <c r="O515" s="60"/>
      <c r="P515" s="59"/>
      <c r="Q515" s="59"/>
      <c r="R515" s="60"/>
      <c r="S515" s="60"/>
      <c r="T515" s="60"/>
      <c r="U515" s="60"/>
      <c r="V515" s="60"/>
      <c r="W515" s="60"/>
    </row>
    <row r="516" spans="1:23" ht="13" x14ac:dyDescent="0.3">
      <c r="A516" s="58"/>
      <c r="B516" s="58"/>
      <c r="C516" s="58"/>
      <c r="D516" s="58"/>
      <c r="E516" s="58"/>
      <c r="F516" s="58"/>
      <c r="G516" s="58"/>
      <c r="H516" s="59"/>
      <c r="I516" s="59"/>
      <c r="J516" s="59"/>
      <c r="K516" s="59"/>
      <c r="L516" s="59"/>
      <c r="M516" s="60"/>
      <c r="N516" s="60"/>
      <c r="O516" s="60"/>
      <c r="P516" s="59"/>
      <c r="Q516" s="59"/>
      <c r="R516" s="60"/>
      <c r="S516" s="60"/>
      <c r="T516" s="60"/>
      <c r="U516" s="60"/>
      <c r="V516" s="60"/>
      <c r="W516" s="60"/>
    </row>
    <row r="517" spans="1:23" ht="13" x14ac:dyDescent="0.3">
      <c r="A517" s="58"/>
      <c r="B517" s="58"/>
      <c r="C517" s="58"/>
      <c r="D517" s="58"/>
      <c r="E517" s="58"/>
      <c r="F517" s="58"/>
      <c r="G517" s="58"/>
      <c r="H517" s="59"/>
      <c r="I517" s="59"/>
      <c r="J517" s="59"/>
      <c r="K517" s="59"/>
      <c r="L517" s="59"/>
      <c r="M517" s="60"/>
      <c r="N517" s="60"/>
      <c r="O517" s="60"/>
      <c r="P517" s="59"/>
      <c r="Q517" s="59"/>
      <c r="R517" s="60"/>
      <c r="S517" s="60"/>
      <c r="T517" s="60"/>
      <c r="U517" s="60"/>
      <c r="V517" s="60"/>
      <c r="W517" s="60"/>
    </row>
    <row r="518" spans="1:23" ht="13" x14ac:dyDescent="0.3">
      <c r="A518" s="58"/>
      <c r="B518" s="58"/>
      <c r="C518" s="58"/>
      <c r="D518" s="58"/>
      <c r="E518" s="58"/>
      <c r="F518" s="58"/>
      <c r="G518" s="58"/>
      <c r="H518" s="59"/>
      <c r="I518" s="59"/>
      <c r="J518" s="59"/>
      <c r="K518" s="59"/>
      <c r="L518" s="59"/>
      <c r="M518" s="60"/>
      <c r="N518" s="60"/>
      <c r="O518" s="60"/>
      <c r="P518" s="59"/>
      <c r="Q518" s="59"/>
      <c r="R518" s="60"/>
      <c r="S518" s="60"/>
      <c r="T518" s="60"/>
      <c r="U518" s="60"/>
      <c r="V518" s="60"/>
      <c r="W518" s="60"/>
    </row>
    <row r="519" spans="1:23" ht="13" x14ac:dyDescent="0.3">
      <c r="A519" s="58"/>
      <c r="B519" s="58"/>
      <c r="C519" s="58"/>
      <c r="D519" s="58"/>
      <c r="E519" s="58"/>
      <c r="F519" s="58"/>
      <c r="G519" s="58"/>
      <c r="H519" s="59"/>
      <c r="I519" s="59"/>
      <c r="J519" s="59"/>
      <c r="K519" s="59"/>
      <c r="L519" s="59"/>
      <c r="M519" s="60"/>
      <c r="N519" s="60"/>
      <c r="O519" s="60"/>
      <c r="P519" s="59"/>
      <c r="Q519" s="59"/>
      <c r="R519" s="60"/>
      <c r="S519" s="60"/>
      <c r="T519" s="60"/>
      <c r="U519" s="60"/>
      <c r="V519" s="60"/>
      <c r="W519" s="60"/>
    </row>
    <row r="520" spans="1:23" ht="13" x14ac:dyDescent="0.3">
      <c r="A520" s="58"/>
      <c r="B520" s="58"/>
      <c r="C520" s="58"/>
      <c r="D520" s="58"/>
      <c r="E520" s="58"/>
      <c r="F520" s="58"/>
      <c r="G520" s="58"/>
      <c r="H520" s="59"/>
      <c r="I520" s="59"/>
      <c r="J520" s="59"/>
      <c r="K520" s="59"/>
      <c r="L520" s="59"/>
      <c r="M520" s="60"/>
      <c r="N520" s="60"/>
      <c r="O520" s="60"/>
      <c r="P520" s="59"/>
      <c r="Q520" s="59"/>
      <c r="R520" s="60"/>
      <c r="S520" s="60"/>
      <c r="T520" s="60"/>
      <c r="U520" s="60"/>
      <c r="V520" s="60"/>
      <c r="W520" s="60"/>
    </row>
    <row r="521" spans="1:23" ht="13" x14ac:dyDescent="0.3">
      <c r="A521" s="58"/>
      <c r="B521" s="58"/>
      <c r="C521" s="58"/>
      <c r="D521" s="58"/>
      <c r="E521" s="58"/>
      <c r="F521" s="58"/>
      <c r="G521" s="58"/>
      <c r="H521" s="59"/>
      <c r="I521" s="59"/>
      <c r="J521" s="59"/>
      <c r="K521" s="59"/>
      <c r="L521" s="59"/>
      <c r="M521" s="60"/>
      <c r="N521" s="60"/>
      <c r="O521" s="60"/>
      <c r="P521" s="59"/>
      <c r="Q521" s="59"/>
      <c r="R521" s="60"/>
      <c r="S521" s="60"/>
      <c r="T521" s="60"/>
      <c r="U521" s="60"/>
      <c r="V521" s="60"/>
      <c r="W521" s="60"/>
    </row>
    <row r="522" spans="1:23" ht="13" x14ac:dyDescent="0.3">
      <c r="A522" s="58"/>
      <c r="B522" s="58"/>
      <c r="C522" s="58"/>
      <c r="D522" s="58"/>
      <c r="E522" s="58"/>
      <c r="F522" s="58"/>
      <c r="G522" s="58"/>
      <c r="H522" s="59"/>
      <c r="I522" s="59"/>
      <c r="J522" s="59"/>
      <c r="K522" s="59"/>
      <c r="L522" s="59"/>
      <c r="M522" s="60"/>
      <c r="N522" s="60"/>
      <c r="O522" s="60"/>
      <c r="P522" s="59"/>
      <c r="Q522" s="59"/>
      <c r="R522" s="60"/>
      <c r="S522" s="60"/>
      <c r="T522" s="60"/>
      <c r="U522" s="60"/>
      <c r="V522" s="60"/>
      <c r="W522" s="60"/>
    </row>
    <row r="523" spans="1:23" ht="13" x14ac:dyDescent="0.3">
      <c r="A523" s="58"/>
      <c r="B523" s="58"/>
      <c r="C523" s="58"/>
      <c r="D523" s="58"/>
      <c r="E523" s="58"/>
      <c r="F523" s="58"/>
      <c r="G523" s="58"/>
      <c r="H523" s="59"/>
      <c r="I523" s="59"/>
      <c r="J523" s="59"/>
      <c r="K523" s="59"/>
      <c r="L523" s="59"/>
      <c r="M523" s="60"/>
      <c r="N523" s="60"/>
      <c r="O523" s="60"/>
      <c r="P523" s="59"/>
      <c r="Q523" s="59"/>
      <c r="R523" s="60"/>
      <c r="S523" s="60"/>
      <c r="T523" s="60"/>
      <c r="U523" s="60"/>
      <c r="V523" s="60"/>
      <c r="W523" s="60"/>
    </row>
    <row r="524" spans="1:23" ht="13" x14ac:dyDescent="0.3">
      <c r="A524" s="58"/>
      <c r="B524" s="58"/>
      <c r="C524" s="58"/>
      <c r="D524" s="58"/>
      <c r="E524" s="58"/>
      <c r="F524" s="58"/>
      <c r="G524" s="58"/>
      <c r="H524" s="59"/>
      <c r="I524" s="59"/>
      <c r="J524" s="59"/>
      <c r="K524" s="59"/>
      <c r="L524" s="59"/>
      <c r="M524" s="60"/>
      <c r="N524" s="60"/>
      <c r="O524" s="60"/>
      <c r="P524" s="59"/>
      <c r="Q524" s="59"/>
      <c r="R524" s="60"/>
      <c r="S524" s="60"/>
      <c r="T524" s="60"/>
      <c r="U524" s="60"/>
      <c r="V524" s="60"/>
      <c r="W524" s="60"/>
    </row>
    <row r="525" spans="1:23" ht="13" x14ac:dyDescent="0.3">
      <c r="A525" s="58"/>
      <c r="B525" s="58"/>
      <c r="C525" s="58"/>
      <c r="D525" s="58"/>
      <c r="E525" s="58"/>
      <c r="F525" s="58"/>
      <c r="G525" s="58"/>
      <c r="H525" s="59"/>
      <c r="I525" s="59"/>
      <c r="J525" s="59"/>
      <c r="K525" s="59"/>
      <c r="L525" s="59"/>
      <c r="M525" s="60"/>
      <c r="N525" s="60"/>
      <c r="O525" s="60"/>
      <c r="P525" s="59"/>
      <c r="Q525" s="59"/>
      <c r="R525" s="60"/>
      <c r="S525" s="60"/>
      <c r="T525" s="60"/>
      <c r="U525" s="60"/>
      <c r="V525" s="60"/>
      <c r="W525" s="60"/>
    </row>
    <row r="526" spans="1:23" ht="13" x14ac:dyDescent="0.3">
      <c r="A526" s="58"/>
      <c r="B526" s="58"/>
      <c r="C526" s="58"/>
      <c r="D526" s="58"/>
      <c r="E526" s="58"/>
      <c r="F526" s="58"/>
      <c r="G526" s="58"/>
      <c r="H526" s="59"/>
      <c r="I526" s="59"/>
      <c r="J526" s="59"/>
      <c r="K526" s="59"/>
      <c r="L526" s="59"/>
      <c r="M526" s="60"/>
      <c r="N526" s="60"/>
      <c r="O526" s="60"/>
      <c r="P526" s="59"/>
      <c r="Q526" s="59"/>
      <c r="R526" s="60"/>
      <c r="S526" s="60"/>
      <c r="T526" s="60"/>
      <c r="U526" s="60"/>
      <c r="V526" s="60"/>
      <c r="W526" s="60"/>
    </row>
    <row r="527" spans="1:23" ht="13" x14ac:dyDescent="0.3">
      <c r="A527" s="58"/>
      <c r="B527" s="58"/>
      <c r="C527" s="58"/>
      <c r="D527" s="58"/>
      <c r="E527" s="58"/>
      <c r="F527" s="58"/>
      <c r="G527" s="58"/>
      <c r="H527" s="59"/>
      <c r="I527" s="59"/>
      <c r="J527" s="59"/>
      <c r="K527" s="59"/>
      <c r="L527" s="59"/>
      <c r="M527" s="60"/>
      <c r="N527" s="60"/>
      <c r="O527" s="60"/>
      <c r="P527" s="59"/>
      <c r="Q527" s="59"/>
      <c r="R527" s="60"/>
      <c r="S527" s="60"/>
      <c r="T527" s="60"/>
      <c r="U527" s="60"/>
      <c r="V527" s="60"/>
      <c r="W527" s="60"/>
    </row>
    <row r="528" spans="1:23" ht="13" x14ac:dyDescent="0.3">
      <c r="A528" s="58"/>
      <c r="B528" s="58"/>
      <c r="C528" s="58"/>
      <c r="D528" s="58"/>
      <c r="E528" s="58"/>
      <c r="F528" s="58"/>
      <c r="G528" s="58"/>
      <c r="H528" s="59"/>
      <c r="I528" s="59"/>
      <c r="J528" s="59"/>
      <c r="K528" s="59"/>
      <c r="L528" s="59"/>
      <c r="M528" s="60"/>
      <c r="N528" s="60"/>
      <c r="O528" s="60"/>
      <c r="P528" s="59"/>
      <c r="Q528" s="59"/>
      <c r="R528" s="60"/>
      <c r="S528" s="60"/>
      <c r="T528" s="60"/>
      <c r="U528" s="60"/>
      <c r="V528" s="60"/>
      <c r="W528" s="60"/>
    </row>
    <row r="529" spans="1:23" ht="13" x14ac:dyDescent="0.3">
      <c r="A529" s="58"/>
      <c r="B529" s="58"/>
      <c r="C529" s="58"/>
      <c r="D529" s="58"/>
      <c r="E529" s="58"/>
      <c r="F529" s="58"/>
      <c r="G529" s="58"/>
      <c r="H529" s="59"/>
      <c r="I529" s="59"/>
      <c r="J529" s="59"/>
      <c r="K529" s="59"/>
      <c r="L529" s="59"/>
      <c r="M529" s="60"/>
      <c r="N529" s="60"/>
      <c r="O529" s="60"/>
      <c r="P529" s="59"/>
      <c r="Q529" s="59"/>
      <c r="R529" s="60"/>
      <c r="S529" s="60"/>
      <c r="T529" s="60"/>
      <c r="U529" s="60"/>
      <c r="V529" s="60"/>
      <c r="W529" s="60"/>
    </row>
    <row r="530" spans="1:23" ht="13" x14ac:dyDescent="0.3">
      <c r="A530" s="58"/>
      <c r="B530" s="58"/>
      <c r="C530" s="58"/>
      <c r="D530" s="58"/>
      <c r="E530" s="58"/>
      <c r="F530" s="58"/>
      <c r="G530" s="58"/>
      <c r="H530" s="59"/>
      <c r="I530" s="59"/>
      <c r="J530" s="59"/>
      <c r="K530" s="59"/>
      <c r="L530" s="59"/>
      <c r="M530" s="60"/>
      <c r="N530" s="60"/>
      <c r="O530" s="60"/>
      <c r="P530" s="59"/>
      <c r="Q530" s="59"/>
      <c r="R530" s="60"/>
      <c r="S530" s="60"/>
      <c r="T530" s="60"/>
      <c r="U530" s="60"/>
      <c r="V530" s="60"/>
      <c r="W530" s="60"/>
    </row>
    <row r="531" spans="1:23" ht="13" x14ac:dyDescent="0.3">
      <c r="A531" s="58"/>
      <c r="B531" s="58"/>
      <c r="C531" s="58"/>
      <c r="D531" s="58"/>
      <c r="E531" s="58"/>
      <c r="F531" s="58"/>
      <c r="G531" s="58"/>
      <c r="H531" s="59"/>
      <c r="I531" s="59"/>
      <c r="J531" s="59"/>
      <c r="K531" s="59"/>
      <c r="L531" s="59"/>
      <c r="M531" s="60"/>
      <c r="N531" s="60"/>
      <c r="O531" s="60"/>
      <c r="P531" s="59"/>
      <c r="Q531" s="59"/>
      <c r="R531" s="60"/>
      <c r="S531" s="60"/>
      <c r="T531" s="60"/>
      <c r="U531" s="60"/>
      <c r="V531" s="60"/>
      <c r="W531" s="60"/>
    </row>
    <row r="532" spans="1:23" ht="13" x14ac:dyDescent="0.3">
      <c r="A532" s="58"/>
      <c r="B532" s="58"/>
      <c r="C532" s="58"/>
      <c r="D532" s="58"/>
      <c r="E532" s="58"/>
      <c r="F532" s="58"/>
      <c r="G532" s="58"/>
      <c r="H532" s="59"/>
      <c r="I532" s="59"/>
      <c r="J532" s="59"/>
      <c r="K532" s="59"/>
      <c r="L532" s="59"/>
      <c r="M532" s="60"/>
      <c r="N532" s="60"/>
      <c r="O532" s="60"/>
      <c r="P532" s="59"/>
      <c r="Q532" s="59"/>
      <c r="R532" s="60"/>
      <c r="S532" s="60"/>
      <c r="T532" s="60"/>
      <c r="U532" s="60"/>
      <c r="V532" s="60"/>
      <c r="W532" s="60"/>
    </row>
    <row r="533" spans="1:23" ht="13" x14ac:dyDescent="0.3">
      <c r="A533" s="58"/>
      <c r="B533" s="58"/>
      <c r="C533" s="58"/>
      <c r="D533" s="58"/>
      <c r="E533" s="58"/>
      <c r="F533" s="58"/>
      <c r="G533" s="58"/>
      <c r="H533" s="59"/>
      <c r="I533" s="59"/>
      <c r="J533" s="59"/>
      <c r="K533" s="59"/>
      <c r="L533" s="59"/>
      <c r="M533" s="60"/>
      <c r="N533" s="60"/>
      <c r="O533" s="60"/>
      <c r="P533" s="59"/>
      <c r="Q533" s="59"/>
      <c r="R533" s="60"/>
      <c r="S533" s="60"/>
      <c r="T533" s="60"/>
      <c r="U533" s="60"/>
      <c r="V533" s="60"/>
      <c r="W533" s="60"/>
    </row>
    <row r="534" spans="1:23" ht="13" x14ac:dyDescent="0.3">
      <c r="A534" s="58"/>
      <c r="B534" s="58"/>
      <c r="C534" s="58"/>
      <c r="D534" s="58"/>
      <c r="E534" s="58"/>
      <c r="F534" s="58"/>
      <c r="G534" s="58"/>
      <c r="H534" s="59"/>
      <c r="I534" s="59"/>
      <c r="J534" s="59"/>
      <c r="K534" s="59"/>
      <c r="L534" s="59"/>
      <c r="M534" s="60"/>
      <c r="N534" s="60"/>
      <c r="O534" s="60"/>
      <c r="P534" s="59"/>
      <c r="Q534" s="59"/>
      <c r="R534" s="60"/>
      <c r="S534" s="60"/>
      <c r="T534" s="60"/>
      <c r="U534" s="60"/>
      <c r="V534" s="60"/>
      <c r="W534" s="60"/>
    </row>
    <row r="535" spans="1:23" ht="13" x14ac:dyDescent="0.3">
      <c r="A535" s="58"/>
      <c r="B535" s="58"/>
      <c r="C535" s="58"/>
      <c r="D535" s="58"/>
      <c r="E535" s="58"/>
      <c r="F535" s="58"/>
      <c r="G535" s="58"/>
      <c r="H535" s="59"/>
      <c r="I535" s="59"/>
      <c r="J535" s="59"/>
      <c r="K535" s="59"/>
      <c r="L535" s="59"/>
      <c r="M535" s="60"/>
      <c r="N535" s="60"/>
      <c r="O535" s="60"/>
      <c r="P535" s="59"/>
      <c r="Q535" s="59"/>
      <c r="R535" s="60"/>
      <c r="S535" s="60"/>
      <c r="T535" s="60"/>
      <c r="U535" s="60"/>
      <c r="V535" s="60"/>
      <c r="W535" s="60"/>
    </row>
    <row r="536" spans="1:23" ht="13" x14ac:dyDescent="0.3">
      <c r="A536" s="58"/>
      <c r="B536" s="58"/>
      <c r="C536" s="58"/>
      <c r="D536" s="58"/>
      <c r="E536" s="58"/>
      <c r="F536" s="58"/>
      <c r="G536" s="58"/>
      <c r="H536" s="59"/>
      <c r="I536" s="59"/>
      <c r="J536" s="59"/>
      <c r="K536" s="59"/>
      <c r="L536" s="59"/>
      <c r="M536" s="60"/>
      <c r="N536" s="60"/>
      <c r="O536" s="60"/>
      <c r="P536" s="59"/>
      <c r="Q536" s="59"/>
      <c r="R536" s="60"/>
      <c r="S536" s="60"/>
      <c r="T536" s="60"/>
      <c r="U536" s="60"/>
      <c r="V536" s="60"/>
      <c r="W536" s="60"/>
    </row>
    <row r="537" spans="1:23" ht="13" x14ac:dyDescent="0.3">
      <c r="A537" s="58"/>
      <c r="B537" s="58"/>
      <c r="C537" s="58"/>
      <c r="D537" s="58"/>
      <c r="E537" s="58"/>
      <c r="F537" s="58"/>
      <c r="G537" s="58"/>
      <c r="H537" s="59"/>
      <c r="I537" s="59"/>
      <c r="J537" s="59"/>
      <c r="K537" s="59"/>
      <c r="L537" s="59"/>
      <c r="M537" s="60"/>
      <c r="N537" s="60"/>
      <c r="O537" s="60"/>
      <c r="P537" s="59"/>
      <c r="Q537" s="59"/>
      <c r="R537" s="60"/>
      <c r="S537" s="60"/>
      <c r="T537" s="60"/>
      <c r="U537" s="60"/>
      <c r="V537" s="60"/>
      <c r="W537" s="60"/>
    </row>
    <row r="538" spans="1:23" ht="13" x14ac:dyDescent="0.3">
      <c r="A538" s="58"/>
      <c r="B538" s="58"/>
      <c r="C538" s="58"/>
      <c r="D538" s="58"/>
      <c r="E538" s="58"/>
      <c r="F538" s="58"/>
      <c r="G538" s="58"/>
      <c r="H538" s="59"/>
      <c r="I538" s="59"/>
      <c r="J538" s="59"/>
      <c r="K538" s="59"/>
      <c r="L538" s="59"/>
      <c r="M538" s="60"/>
      <c r="N538" s="60"/>
      <c r="O538" s="60"/>
      <c r="P538" s="59"/>
      <c r="Q538" s="59"/>
      <c r="R538" s="60"/>
      <c r="S538" s="60"/>
      <c r="T538" s="60"/>
      <c r="U538" s="60"/>
      <c r="V538" s="60"/>
      <c r="W538" s="60"/>
    </row>
    <row r="539" spans="1:23" ht="13" x14ac:dyDescent="0.3">
      <c r="A539" s="58"/>
      <c r="B539" s="58"/>
      <c r="C539" s="58"/>
      <c r="D539" s="58"/>
      <c r="E539" s="58"/>
      <c r="F539" s="58"/>
      <c r="G539" s="58"/>
      <c r="H539" s="59"/>
      <c r="I539" s="59"/>
      <c r="J539" s="59"/>
      <c r="K539" s="59"/>
      <c r="L539" s="59"/>
      <c r="M539" s="60"/>
      <c r="N539" s="60"/>
      <c r="O539" s="60"/>
      <c r="P539" s="59"/>
      <c r="Q539" s="59"/>
      <c r="R539" s="60"/>
      <c r="S539" s="60"/>
      <c r="T539" s="60"/>
      <c r="U539" s="60"/>
      <c r="V539" s="60"/>
      <c r="W539" s="60"/>
    </row>
    <row r="540" spans="1:23" ht="13" x14ac:dyDescent="0.3">
      <c r="A540" s="58"/>
      <c r="B540" s="58"/>
      <c r="C540" s="58"/>
      <c r="D540" s="58"/>
      <c r="E540" s="58"/>
      <c r="F540" s="58"/>
      <c r="G540" s="58"/>
      <c r="H540" s="59"/>
      <c r="I540" s="59"/>
      <c r="J540" s="59"/>
      <c r="K540" s="59"/>
      <c r="L540" s="59"/>
      <c r="M540" s="60"/>
      <c r="N540" s="60"/>
      <c r="O540" s="60"/>
      <c r="P540" s="59"/>
      <c r="Q540" s="59"/>
      <c r="R540" s="60"/>
      <c r="S540" s="60"/>
      <c r="T540" s="60"/>
      <c r="U540" s="60"/>
      <c r="V540" s="60"/>
      <c r="W540" s="60"/>
    </row>
    <row r="541" spans="1:23" ht="13" x14ac:dyDescent="0.3">
      <c r="A541" s="58"/>
      <c r="B541" s="58"/>
      <c r="C541" s="58"/>
      <c r="D541" s="58"/>
      <c r="E541" s="58"/>
      <c r="F541" s="58"/>
      <c r="G541" s="58"/>
      <c r="H541" s="59"/>
      <c r="I541" s="59"/>
      <c r="J541" s="59"/>
      <c r="K541" s="59"/>
      <c r="L541" s="59"/>
      <c r="M541" s="60"/>
      <c r="N541" s="60"/>
      <c r="O541" s="60"/>
      <c r="P541" s="59"/>
      <c r="Q541" s="59"/>
      <c r="R541" s="60"/>
      <c r="S541" s="60"/>
      <c r="T541" s="60"/>
      <c r="U541" s="60"/>
      <c r="V541" s="60"/>
      <c r="W541" s="60"/>
    </row>
    <row r="542" spans="1:23" ht="13" x14ac:dyDescent="0.3">
      <c r="A542" s="58"/>
      <c r="B542" s="58"/>
      <c r="C542" s="58"/>
      <c r="D542" s="58"/>
      <c r="E542" s="58"/>
      <c r="F542" s="58"/>
      <c r="G542" s="58"/>
      <c r="H542" s="59"/>
      <c r="I542" s="59"/>
      <c r="J542" s="59"/>
      <c r="K542" s="59"/>
      <c r="L542" s="59"/>
      <c r="M542" s="60"/>
      <c r="N542" s="60"/>
      <c r="O542" s="60"/>
      <c r="P542" s="59"/>
      <c r="Q542" s="59"/>
      <c r="R542" s="60"/>
      <c r="S542" s="60"/>
      <c r="T542" s="60"/>
      <c r="U542" s="60"/>
      <c r="V542" s="60"/>
      <c r="W542" s="60"/>
    </row>
    <row r="543" spans="1:23" ht="13" x14ac:dyDescent="0.3">
      <c r="A543" s="58"/>
      <c r="B543" s="58"/>
      <c r="C543" s="58"/>
      <c r="D543" s="58"/>
      <c r="E543" s="58"/>
      <c r="F543" s="58"/>
      <c r="G543" s="58"/>
      <c r="H543" s="59"/>
      <c r="I543" s="59"/>
      <c r="J543" s="59"/>
      <c r="K543" s="59"/>
      <c r="L543" s="59"/>
      <c r="M543" s="60"/>
      <c r="N543" s="60"/>
      <c r="O543" s="60"/>
      <c r="P543" s="59"/>
      <c r="Q543" s="59"/>
      <c r="R543" s="60"/>
      <c r="S543" s="60"/>
      <c r="T543" s="60"/>
      <c r="U543" s="60"/>
      <c r="V543" s="60"/>
      <c r="W543" s="60"/>
    </row>
    <row r="544" spans="1:23" ht="13" x14ac:dyDescent="0.3">
      <c r="A544" s="58"/>
      <c r="B544" s="58"/>
      <c r="C544" s="58"/>
      <c r="D544" s="58"/>
      <c r="E544" s="58"/>
      <c r="F544" s="58"/>
      <c r="G544" s="58"/>
      <c r="H544" s="59"/>
      <c r="I544" s="59"/>
      <c r="J544" s="59"/>
      <c r="K544" s="59"/>
      <c r="L544" s="59"/>
      <c r="M544" s="60"/>
      <c r="N544" s="60"/>
      <c r="O544" s="60"/>
      <c r="P544" s="59"/>
      <c r="Q544" s="59"/>
      <c r="R544" s="60"/>
      <c r="S544" s="60"/>
      <c r="T544" s="60"/>
      <c r="U544" s="60"/>
      <c r="V544" s="60"/>
      <c r="W544" s="60"/>
    </row>
    <row r="545" spans="1:23" ht="13" x14ac:dyDescent="0.3">
      <c r="A545" s="58"/>
      <c r="B545" s="58"/>
      <c r="C545" s="58"/>
      <c r="D545" s="58"/>
      <c r="E545" s="58"/>
      <c r="F545" s="58"/>
      <c r="G545" s="58"/>
      <c r="H545" s="59"/>
      <c r="I545" s="59"/>
      <c r="J545" s="59"/>
      <c r="K545" s="59"/>
      <c r="L545" s="59"/>
      <c r="M545" s="60"/>
      <c r="N545" s="60"/>
      <c r="O545" s="60"/>
      <c r="P545" s="59"/>
      <c r="Q545" s="59"/>
      <c r="R545" s="60"/>
      <c r="S545" s="60"/>
      <c r="T545" s="60"/>
      <c r="U545" s="60"/>
      <c r="V545" s="60"/>
      <c r="W545" s="60"/>
    </row>
    <row r="546" spans="1:23" ht="13" x14ac:dyDescent="0.3">
      <c r="A546" s="58"/>
      <c r="B546" s="58"/>
      <c r="C546" s="58"/>
      <c r="D546" s="58"/>
      <c r="E546" s="58"/>
      <c r="F546" s="58"/>
      <c r="G546" s="58"/>
      <c r="H546" s="59"/>
      <c r="I546" s="59"/>
      <c r="J546" s="59"/>
      <c r="K546" s="59"/>
      <c r="L546" s="59"/>
      <c r="M546" s="60"/>
      <c r="N546" s="60"/>
      <c r="O546" s="60"/>
      <c r="P546" s="59"/>
      <c r="Q546" s="59"/>
      <c r="R546" s="60"/>
      <c r="S546" s="60"/>
      <c r="T546" s="60"/>
      <c r="U546" s="60"/>
      <c r="V546" s="60"/>
      <c r="W546" s="60"/>
    </row>
    <row r="547" spans="1:23" ht="13" x14ac:dyDescent="0.3">
      <c r="A547" s="58"/>
      <c r="B547" s="58"/>
      <c r="C547" s="58"/>
      <c r="D547" s="58"/>
      <c r="E547" s="58"/>
      <c r="F547" s="58"/>
      <c r="G547" s="58"/>
      <c r="H547" s="59"/>
      <c r="I547" s="59"/>
      <c r="J547" s="59"/>
      <c r="K547" s="59"/>
      <c r="L547" s="59"/>
      <c r="M547" s="60"/>
      <c r="N547" s="60"/>
      <c r="O547" s="60"/>
      <c r="P547" s="59"/>
      <c r="Q547" s="59"/>
      <c r="R547" s="60"/>
      <c r="S547" s="60"/>
      <c r="T547" s="60"/>
      <c r="U547" s="60"/>
      <c r="V547" s="60"/>
      <c r="W547" s="60"/>
    </row>
    <row r="548" spans="1:23" ht="13" x14ac:dyDescent="0.3">
      <c r="A548" s="58"/>
      <c r="B548" s="58"/>
      <c r="C548" s="58"/>
      <c r="D548" s="58"/>
      <c r="E548" s="58"/>
      <c r="F548" s="58"/>
      <c r="G548" s="58"/>
      <c r="H548" s="59"/>
      <c r="I548" s="59"/>
      <c r="J548" s="59"/>
      <c r="K548" s="59"/>
      <c r="L548" s="59"/>
      <c r="M548" s="60"/>
      <c r="N548" s="60"/>
      <c r="O548" s="60"/>
      <c r="P548" s="59"/>
      <c r="Q548" s="59"/>
      <c r="R548" s="60"/>
      <c r="S548" s="60"/>
      <c r="T548" s="60"/>
      <c r="U548" s="60"/>
      <c r="V548" s="60"/>
      <c r="W548" s="60"/>
    </row>
    <row r="549" spans="1:23" ht="13" x14ac:dyDescent="0.3">
      <c r="A549" s="58"/>
      <c r="B549" s="58"/>
      <c r="C549" s="58"/>
      <c r="D549" s="58"/>
      <c r="E549" s="58"/>
      <c r="F549" s="58"/>
      <c r="G549" s="58"/>
      <c r="H549" s="59"/>
      <c r="I549" s="59"/>
      <c r="J549" s="59"/>
      <c r="K549" s="59"/>
      <c r="L549" s="59"/>
      <c r="M549" s="60"/>
      <c r="N549" s="60"/>
      <c r="O549" s="60"/>
      <c r="P549" s="59"/>
      <c r="Q549" s="59"/>
      <c r="R549" s="60"/>
      <c r="S549" s="60"/>
      <c r="T549" s="60"/>
      <c r="U549" s="60"/>
      <c r="V549" s="60"/>
      <c r="W549" s="60"/>
    </row>
    <row r="550" spans="1:23" ht="13" x14ac:dyDescent="0.3">
      <c r="A550" s="58"/>
      <c r="B550" s="58"/>
      <c r="C550" s="58"/>
      <c r="D550" s="58"/>
      <c r="E550" s="58"/>
      <c r="F550" s="58"/>
      <c r="G550" s="58"/>
      <c r="H550" s="59"/>
      <c r="I550" s="59"/>
      <c r="J550" s="59"/>
      <c r="K550" s="59"/>
      <c r="L550" s="59"/>
      <c r="M550" s="60"/>
      <c r="N550" s="60"/>
      <c r="O550" s="60"/>
      <c r="P550" s="59"/>
      <c r="Q550" s="59"/>
      <c r="R550" s="60"/>
      <c r="S550" s="60"/>
      <c r="T550" s="60"/>
      <c r="U550" s="60"/>
      <c r="V550" s="60"/>
      <c r="W550" s="60"/>
    </row>
    <row r="551" spans="1:23" ht="13" x14ac:dyDescent="0.3">
      <c r="A551" s="58"/>
      <c r="B551" s="58"/>
      <c r="C551" s="58"/>
      <c r="D551" s="58"/>
      <c r="E551" s="58"/>
      <c r="F551" s="58"/>
      <c r="G551" s="58"/>
      <c r="H551" s="59"/>
      <c r="I551" s="59"/>
      <c r="J551" s="59"/>
      <c r="K551" s="59"/>
      <c r="L551" s="59"/>
      <c r="M551" s="60"/>
      <c r="N551" s="60"/>
      <c r="O551" s="60"/>
      <c r="P551" s="59"/>
      <c r="Q551" s="59"/>
      <c r="R551" s="60"/>
      <c r="S551" s="60"/>
      <c r="T551" s="60"/>
      <c r="U551" s="60"/>
      <c r="V551" s="60"/>
      <c r="W551" s="60"/>
    </row>
    <row r="552" spans="1:23" ht="13" x14ac:dyDescent="0.3">
      <c r="A552" s="58"/>
      <c r="B552" s="58"/>
      <c r="C552" s="58"/>
      <c r="D552" s="58"/>
      <c r="E552" s="58"/>
      <c r="F552" s="58"/>
      <c r="G552" s="58"/>
      <c r="H552" s="59"/>
      <c r="I552" s="59"/>
      <c r="J552" s="59"/>
      <c r="K552" s="59"/>
      <c r="L552" s="59"/>
      <c r="M552" s="60"/>
      <c r="N552" s="60"/>
      <c r="O552" s="60"/>
      <c r="P552" s="59"/>
      <c r="Q552" s="59"/>
      <c r="R552" s="60"/>
      <c r="S552" s="60"/>
      <c r="T552" s="60"/>
      <c r="U552" s="60"/>
      <c r="V552" s="60"/>
      <c r="W552" s="60"/>
    </row>
    <row r="553" spans="1:23" ht="13" x14ac:dyDescent="0.3">
      <c r="A553" s="58"/>
      <c r="B553" s="58"/>
      <c r="C553" s="58"/>
      <c r="D553" s="58"/>
      <c r="E553" s="58"/>
      <c r="F553" s="58"/>
      <c r="G553" s="58"/>
      <c r="H553" s="59"/>
      <c r="I553" s="59"/>
      <c r="J553" s="59"/>
      <c r="K553" s="59"/>
      <c r="L553" s="59"/>
      <c r="M553" s="60"/>
      <c r="N553" s="60"/>
      <c r="O553" s="60"/>
      <c r="P553" s="59"/>
      <c r="Q553" s="59"/>
      <c r="R553" s="60"/>
      <c r="S553" s="60"/>
      <c r="T553" s="60"/>
      <c r="U553" s="60"/>
      <c r="V553" s="60"/>
      <c r="W553" s="60"/>
    </row>
    <row r="554" spans="1:23" ht="13" x14ac:dyDescent="0.3">
      <c r="A554" s="58"/>
      <c r="B554" s="58"/>
      <c r="C554" s="58"/>
      <c r="D554" s="58"/>
      <c r="E554" s="58"/>
      <c r="F554" s="58"/>
      <c r="G554" s="58"/>
      <c r="H554" s="59"/>
      <c r="I554" s="59"/>
      <c r="J554" s="59"/>
      <c r="K554" s="59"/>
      <c r="L554" s="59"/>
      <c r="M554" s="60"/>
      <c r="N554" s="60"/>
      <c r="O554" s="60"/>
      <c r="P554" s="59"/>
      <c r="Q554" s="59"/>
      <c r="R554" s="60"/>
      <c r="S554" s="60"/>
      <c r="T554" s="60"/>
      <c r="U554" s="60"/>
      <c r="V554" s="60"/>
      <c r="W554" s="60"/>
    </row>
    <row r="555" spans="1:23" ht="13" x14ac:dyDescent="0.3">
      <c r="A555" s="58"/>
      <c r="B555" s="58"/>
      <c r="C555" s="58"/>
      <c r="D555" s="58"/>
      <c r="E555" s="58"/>
      <c r="F555" s="58"/>
      <c r="G555" s="58"/>
      <c r="H555" s="59"/>
      <c r="I555" s="59"/>
      <c r="J555" s="59"/>
      <c r="K555" s="59"/>
      <c r="L555" s="59"/>
      <c r="M555" s="60"/>
      <c r="N555" s="60"/>
      <c r="O555" s="60"/>
      <c r="P555" s="59"/>
      <c r="Q555" s="59"/>
      <c r="R555" s="60"/>
      <c r="S555" s="60"/>
      <c r="T555" s="60"/>
      <c r="U555" s="60"/>
      <c r="V555" s="60"/>
      <c r="W555" s="60"/>
    </row>
    <row r="556" spans="1:23" ht="13" x14ac:dyDescent="0.3">
      <c r="A556" s="58"/>
      <c r="B556" s="58"/>
      <c r="C556" s="58"/>
      <c r="D556" s="58"/>
      <c r="E556" s="58"/>
      <c r="F556" s="58"/>
      <c r="G556" s="58"/>
      <c r="H556" s="59"/>
      <c r="I556" s="59"/>
      <c r="J556" s="59"/>
      <c r="K556" s="59"/>
      <c r="L556" s="59"/>
      <c r="M556" s="60"/>
      <c r="N556" s="60"/>
      <c r="O556" s="60"/>
      <c r="P556" s="59"/>
      <c r="Q556" s="59"/>
      <c r="R556" s="60"/>
      <c r="S556" s="60"/>
      <c r="T556" s="60"/>
      <c r="U556" s="60"/>
      <c r="V556" s="60"/>
      <c r="W556" s="60"/>
    </row>
    <row r="557" spans="1:23" ht="13" x14ac:dyDescent="0.3">
      <c r="A557" s="58"/>
      <c r="B557" s="58"/>
      <c r="C557" s="58"/>
      <c r="D557" s="58"/>
      <c r="E557" s="58"/>
      <c r="F557" s="58"/>
      <c r="G557" s="58"/>
      <c r="H557" s="59"/>
      <c r="I557" s="59"/>
      <c r="J557" s="59"/>
      <c r="K557" s="59"/>
      <c r="L557" s="59"/>
      <c r="M557" s="60"/>
      <c r="N557" s="60"/>
      <c r="O557" s="60"/>
      <c r="P557" s="59"/>
      <c r="Q557" s="59"/>
      <c r="R557" s="60"/>
      <c r="S557" s="60"/>
      <c r="T557" s="60"/>
      <c r="U557" s="60"/>
      <c r="V557" s="60"/>
      <c r="W557" s="60"/>
    </row>
    <row r="558" spans="1:23" ht="13" x14ac:dyDescent="0.3">
      <c r="A558" s="58"/>
      <c r="B558" s="58"/>
      <c r="C558" s="58"/>
      <c r="D558" s="58"/>
      <c r="E558" s="58"/>
      <c r="F558" s="58"/>
      <c r="G558" s="58"/>
      <c r="H558" s="59"/>
      <c r="I558" s="59"/>
      <c r="J558" s="59"/>
      <c r="K558" s="59"/>
      <c r="L558" s="59"/>
      <c r="M558" s="60"/>
      <c r="N558" s="60"/>
      <c r="O558" s="60"/>
      <c r="P558" s="59"/>
      <c r="Q558" s="59"/>
      <c r="R558" s="60"/>
      <c r="S558" s="60"/>
      <c r="T558" s="60"/>
      <c r="U558" s="60"/>
      <c r="V558" s="60"/>
      <c r="W558" s="60"/>
    </row>
    <row r="559" spans="1:23" ht="13" x14ac:dyDescent="0.3">
      <c r="A559" s="58"/>
      <c r="B559" s="58"/>
      <c r="C559" s="58"/>
      <c r="D559" s="58"/>
      <c r="E559" s="58"/>
      <c r="F559" s="58"/>
      <c r="G559" s="58"/>
      <c r="H559" s="59"/>
      <c r="I559" s="59"/>
      <c r="J559" s="59"/>
      <c r="K559" s="59"/>
      <c r="L559" s="59"/>
      <c r="M559" s="60"/>
      <c r="N559" s="60"/>
      <c r="O559" s="60"/>
      <c r="P559" s="59"/>
      <c r="Q559" s="59"/>
      <c r="R559" s="60"/>
      <c r="S559" s="60"/>
      <c r="T559" s="60"/>
      <c r="U559" s="60"/>
      <c r="V559" s="60"/>
      <c r="W559" s="60"/>
    </row>
    <row r="560" spans="1:23" ht="13" x14ac:dyDescent="0.3">
      <c r="A560" s="58"/>
      <c r="B560" s="58"/>
      <c r="C560" s="58"/>
      <c r="D560" s="58"/>
      <c r="E560" s="58"/>
      <c r="F560" s="58"/>
      <c r="G560" s="58"/>
      <c r="H560" s="59"/>
      <c r="I560" s="59"/>
      <c r="J560" s="59"/>
      <c r="K560" s="59"/>
      <c r="L560" s="59"/>
      <c r="M560" s="60"/>
      <c r="N560" s="60"/>
      <c r="O560" s="60"/>
      <c r="P560" s="59"/>
      <c r="Q560" s="59"/>
      <c r="R560" s="60"/>
      <c r="S560" s="60"/>
      <c r="T560" s="60"/>
      <c r="U560" s="60"/>
      <c r="V560" s="60"/>
      <c r="W560" s="60"/>
    </row>
    <row r="561" spans="1:23" ht="13" x14ac:dyDescent="0.3">
      <c r="A561" s="58"/>
      <c r="B561" s="58"/>
      <c r="C561" s="58"/>
      <c r="D561" s="58"/>
      <c r="E561" s="58"/>
      <c r="F561" s="58"/>
      <c r="G561" s="58"/>
      <c r="H561" s="59"/>
      <c r="I561" s="59"/>
      <c r="J561" s="59"/>
      <c r="K561" s="59"/>
      <c r="L561" s="59"/>
      <c r="M561" s="60"/>
      <c r="N561" s="60"/>
      <c r="O561" s="60"/>
      <c r="P561" s="59"/>
      <c r="Q561" s="59"/>
      <c r="R561" s="60"/>
      <c r="S561" s="60"/>
      <c r="T561" s="60"/>
      <c r="U561" s="60"/>
      <c r="V561" s="60"/>
      <c r="W561" s="60"/>
    </row>
    <row r="562" spans="1:23" ht="13" x14ac:dyDescent="0.3">
      <c r="A562" s="58"/>
      <c r="B562" s="58"/>
      <c r="C562" s="58"/>
      <c r="D562" s="58"/>
      <c r="E562" s="58"/>
      <c r="F562" s="58"/>
      <c r="G562" s="58"/>
      <c r="H562" s="59"/>
      <c r="I562" s="59"/>
      <c r="J562" s="59"/>
      <c r="K562" s="59"/>
      <c r="L562" s="59"/>
      <c r="M562" s="60"/>
      <c r="N562" s="60"/>
      <c r="O562" s="60"/>
      <c r="P562" s="59"/>
      <c r="Q562" s="59"/>
      <c r="R562" s="60"/>
      <c r="S562" s="60"/>
      <c r="T562" s="60"/>
      <c r="U562" s="60"/>
      <c r="V562" s="60"/>
      <c r="W562" s="60"/>
    </row>
    <row r="563" spans="1:23" ht="13" x14ac:dyDescent="0.3">
      <c r="A563" s="58"/>
      <c r="B563" s="58"/>
      <c r="C563" s="58"/>
      <c r="D563" s="58"/>
      <c r="E563" s="58"/>
      <c r="F563" s="58"/>
      <c r="G563" s="58"/>
      <c r="H563" s="59"/>
      <c r="I563" s="59"/>
      <c r="J563" s="59"/>
      <c r="K563" s="59"/>
      <c r="L563" s="59"/>
      <c r="M563" s="60"/>
      <c r="N563" s="60"/>
      <c r="O563" s="60"/>
      <c r="P563" s="59"/>
      <c r="Q563" s="59"/>
      <c r="R563" s="60"/>
      <c r="S563" s="60"/>
      <c r="T563" s="60"/>
      <c r="U563" s="60"/>
      <c r="V563" s="60"/>
      <c r="W563" s="60"/>
    </row>
    <row r="564" spans="1:23" ht="13" x14ac:dyDescent="0.3">
      <c r="A564" s="58"/>
      <c r="B564" s="58"/>
      <c r="C564" s="58"/>
      <c r="D564" s="58"/>
      <c r="E564" s="58"/>
      <c r="F564" s="58"/>
      <c r="G564" s="58"/>
      <c r="H564" s="59"/>
      <c r="I564" s="59"/>
      <c r="J564" s="59"/>
      <c r="K564" s="59"/>
      <c r="L564" s="59"/>
      <c r="M564" s="60"/>
      <c r="N564" s="60"/>
      <c r="O564" s="60"/>
      <c r="P564" s="59"/>
      <c r="Q564" s="59"/>
      <c r="R564" s="60"/>
      <c r="S564" s="60"/>
      <c r="T564" s="60"/>
      <c r="U564" s="60"/>
      <c r="V564" s="60"/>
      <c r="W564" s="60"/>
    </row>
    <row r="565" spans="1:23" ht="13" x14ac:dyDescent="0.3">
      <c r="A565" s="58"/>
      <c r="B565" s="58"/>
      <c r="C565" s="58"/>
      <c r="D565" s="58"/>
      <c r="E565" s="58"/>
      <c r="F565" s="58"/>
      <c r="G565" s="58"/>
      <c r="H565" s="59"/>
      <c r="I565" s="59"/>
      <c r="J565" s="59"/>
      <c r="K565" s="59"/>
      <c r="L565" s="59"/>
      <c r="M565" s="60"/>
      <c r="N565" s="60"/>
      <c r="O565" s="60"/>
      <c r="P565" s="59"/>
      <c r="Q565" s="59"/>
      <c r="R565" s="60"/>
      <c r="S565" s="60"/>
      <c r="T565" s="60"/>
      <c r="U565" s="60"/>
      <c r="V565" s="60"/>
      <c r="W565" s="60"/>
    </row>
    <row r="566" spans="1:23" ht="13" x14ac:dyDescent="0.3">
      <c r="A566" s="58"/>
      <c r="B566" s="58"/>
      <c r="C566" s="58"/>
      <c r="D566" s="58"/>
      <c r="E566" s="58"/>
      <c r="F566" s="58"/>
      <c r="G566" s="58"/>
      <c r="H566" s="59"/>
      <c r="I566" s="59"/>
      <c r="J566" s="59"/>
      <c r="K566" s="59"/>
      <c r="L566" s="59"/>
      <c r="M566" s="60"/>
      <c r="N566" s="60"/>
      <c r="O566" s="60"/>
      <c r="P566" s="59"/>
      <c r="Q566" s="59"/>
      <c r="R566" s="60"/>
      <c r="S566" s="60"/>
      <c r="T566" s="60"/>
      <c r="U566" s="60"/>
      <c r="V566" s="60"/>
      <c r="W566" s="60"/>
    </row>
    <row r="567" spans="1:23" ht="13" x14ac:dyDescent="0.3">
      <c r="A567" s="58"/>
      <c r="B567" s="58"/>
      <c r="C567" s="58"/>
      <c r="D567" s="58"/>
      <c r="E567" s="58"/>
      <c r="F567" s="58"/>
      <c r="G567" s="58"/>
      <c r="H567" s="59"/>
      <c r="I567" s="59"/>
      <c r="J567" s="59"/>
      <c r="K567" s="59"/>
      <c r="L567" s="59"/>
      <c r="M567" s="60"/>
      <c r="N567" s="60"/>
      <c r="O567" s="60"/>
      <c r="P567" s="59"/>
      <c r="Q567" s="59"/>
      <c r="R567" s="60"/>
      <c r="S567" s="60"/>
      <c r="T567" s="60"/>
      <c r="U567" s="60"/>
      <c r="V567" s="60"/>
      <c r="W567" s="60"/>
    </row>
    <row r="568" spans="1:23" ht="13" x14ac:dyDescent="0.3">
      <c r="A568" s="58"/>
      <c r="B568" s="58"/>
      <c r="C568" s="58"/>
      <c r="D568" s="58"/>
      <c r="E568" s="58"/>
      <c r="F568" s="58"/>
      <c r="G568" s="58"/>
      <c r="H568" s="59"/>
      <c r="I568" s="59"/>
      <c r="J568" s="59"/>
      <c r="K568" s="59"/>
      <c r="L568" s="59"/>
      <c r="M568" s="60"/>
      <c r="N568" s="60"/>
      <c r="O568" s="60"/>
      <c r="P568" s="59"/>
      <c r="Q568" s="59"/>
      <c r="R568" s="60"/>
      <c r="S568" s="60"/>
      <c r="T568" s="60"/>
      <c r="U568" s="60"/>
      <c r="V568" s="60"/>
      <c r="W568" s="60"/>
    </row>
    <row r="569" spans="1:23" ht="13" x14ac:dyDescent="0.3">
      <c r="A569" s="58"/>
      <c r="B569" s="58"/>
      <c r="C569" s="58"/>
      <c r="D569" s="58"/>
      <c r="E569" s="58"/>
      <c r="F569" s="58"/>
      <c r="G569" s="58"/>
      <c r="H569" s="59"/>
      <c r="I569" s="59"/>
      <c r="J569" s="59"/>
      <c r="K569" s="59"/>
      <c r="L569" s="59"/>
      <c r="M569" s="60"/>
      <c r="N569" s="60"/>
      <c r="O569" s="60"/>
      <c r="P569" s="59"/>
      <c r="Q569" s="59"/>
      <c r="R569" s="60"/>
      <c r="S569" s="60"/>
      <c r="T569" s="60"/>
      <c r="U569" s="60"/>
      <c r="V569" s="60"/>
      <c r="W569" s="60"/>
    </row>
    <row r="570" spans="1:23" ht="13" x14ac:dyDescent="0.3">
      <c r="A570" s="58"/>
      <c r="B570" s="58"/>
      <c r="C570" s="58"/>
      <c r="D570" s="58"/>
      <c r="E570" s="58"/>
      <c r="F570" s="58"/>
      <c r="G570" s="58"/>
      <c r="H570" s="59"/>
      <c r="I570" s="59"/>
      <c r="J570" s="59"/>
      <c r="K570" s="59"/>
      <c r="L570" s="59"/>
      <c r="M570" s="60"/>
      <c r="N570" s="60"/>
      <c r="O570" s="60"/>
      <c r="P570" s="59"/>
      <c r="Q570" s="59"/>
      <c r="R570" s="60"/>
      <c r="S570" s="60"/>
      <c r="T570" s="60"/>
      <c r="U570" s="60"/>
      <c r="V570" s="60"/>
      <c r="W570" s="60"/>
    </row>
    <row r="571" spans="1:23" ht="13" x14ac:dyDescent="0.3">
      <c r="A571" s="58"/>
      <c r="B571" s="58"/>
      <c r="C571" s="58"/>
      <c r="D571" s="58"/>
      <c r="E571" s="58"/>
      <c r="F571" s="58"/>
      <c r="G571" s="58"/>
      <c r="H571" s="59"/>
      <c r="I571" s="59"/>
      <c r="J571" s="59"/>
      <c r="K571" s="59"/>
      <c r="L571" s="59"/>
      <c r="M571" s="60"/>
      <c r="N571" s="60"/>
      <c r="O571" s="60"/>
      <c r="P571" s="59"/>
      <c r="Q571" s="59"/>
      <c r="R571" s="60"/>
      <c r="S571" s="60"/>
      <c r="T571" s="60"/>
      <c r="U571" s="60"/>
      <c r="V571" s="60"/>
      <c r="W571" s="60"/>
    </row>
    <row r="572" spans="1:23" ht="13" x14ac:dyDescent="0.3">
      <c r="A572" s="58"/>
      <c r="B572" s="58"/>
      <c r="C572" s="58"/>
      <c r="D572" s="58"/>
      <c r="E572" s="58"/>
      <c r="F572" s="58"/>
      <c r="G572" s="58"/>
      <c r="H572" s="59"/>
      <c r="I572" s="59"/>
      <c r="J572" s="59"/>
      <c r="K572" s="59"/>
      <c r="L572" s="59"/>
      <c r="M572" s="60"/>
      <c r="N572" s="60"/>
      <c r="O572" s="60"/>
      <c r="P572" s="59"/>
      <c r="Q572" s="59"/>
      <c r="R572" s="60"/>
      <c r="S572" s="60"/>
      <c r="T572" s="60"/>
      <c r="U572" s="60"/>
      <c r="V572" s="60"/>
      <c r="W572" s="60"/>
    </row>
    <row r="573" spans="1:23" ht="13" x14ac:dyDescent="0.3">
      <c r="A573" s="58"/>
      <c r="B573" s="58"/>
      <c r="C573" s="58"/>
      <c r="D573" s="58"/>
      <c r="E573" s="58"/>
      <c r="F573" s="58"/>
      <c r="G573" s="58"/>
      <c r="H573" s="59"/>
      <c r="I573" s="59"/>
      <c r="J573" s="59"/>
      <c r="K573" s="59"/>
      <c r="L573" s="59"/>
      <c r="M573" s="60"/>
      <c r="N573" s="60"/>
      <c r="O573" s="60"/>
      <c r="P573" s="59"/>
      <c r="Q573" s="59"/>
      <c r="R573" s="60"/>
      <c r="S573" s="60"/>
      <c r="T573" s="60"/>
      <c r="U573" s="60"/>
      <c r="V573" s="60"/>
      <c r="W573" s="60"/>
    </row>
    <row r="574" spans="1:23" ht="13" x14ac:dyDescent="0.3">
      <c r="A574" s="58"/>
      <c r="B574" s="58"/>
      <c r="C574" s="58"/>
      <c r="D574" s="58"/>
      <c r="E574" s="58"/>
      <c r="F574" s="58"/>
      <c r="G574" s="58"/>
      <c r="H574" s="59"/>
      <c r="I574" s="59"/>
      <c r="J574" s="59"/>
      <c r="K574" s="59"/>
      <c r="L574" s="59"/>
      <c r="M574" s="60"/>
      <c r="N574" s="60"/>
      <c r="O574" s="60"/>
      <c r="P574" s="59"/>
      <c r="Q574" s="59"/>
      <c r="R574" s="60"/>
      <c r="S574" s="60"/>
      <c r="T574" s="60"/>
      <c r="U574" s="60"/>
      <c r="V574" s="60"/>
      <c r="W574" s="60"/>
    </row>
    <row r="575" spans="1:23" ht="13" x14ac:dyDescent="0.3">
      <c r="A575" s="58"/>
      <c r="B575" s="58"/>
      <c r="C575" s="58"/>
      <c r="D575" s="58"/>
      <c r="E575" s="58"/>
      <c r="F575" s="58"/>
      <c r="G575" s="58"/>
      <c r="H575" s="59"/>
      <c r="I575" s="59"/>
      <c r="J575" s="59"/>
      <c r="K575" s="59"/>
      <c r="L575" s="59"/>
      <c r="M575" s="60"/>
      <c r="N575" s="60"/>
      <c r="O575" s="60"/>
      <c r="P575" s="59"/>
      <c r="Q575" s="59"/>
      <c r="R575" s="60"/>
      <c r="S575" s="60"/>
      <c r="T575" s="60"/>
      <c r="U575" s="60"/>
      <c r="V575" s="60"/>
      <c r="W575" s="60"/>
    </row>
    <row r="576" spans="1:23" ht="13" x14ac:dyDescent="0.3">
      <c r="A576" s="58"/>
      <c r="B576" s="58"/>
      <c r="C576" s="58"/>
      <c r="D576" s="58"/>
      <c r="E576" s="58"/>
      <c r="F576" s="58"/>
      <c r="G576" s="58"/>
      <c r="H576" s="59"/>
      <c r="I576" s="59"/>
      <c r="J576" s="59"/>
      <c r="K576" s="59"/>
      <c r="L576" s="59"/>
      <c r="M576" s="60"/>
      <c r="N576" s="60"/>
      <c r="O576" s="60"/>
      <c r="P576" s="59"/>
      <c r="Q576" s="59"/>
      <c r="R576" s="60"/>
      <c r="S576" s="60"/>
      <c r="T576" s="60"/>
      <c r="U576" s="60"/>
      <c r="V576" s="60"/>
      <c r="W576" s="60"/>
    </row>
    <row r="577" spans="1:23" ht="13" x14ac:dyDescent="0.3">
      <c r="A577" s="58"/>
      <c r="B577" s="58"/>
      <c r="C577" s="58"/>
      <c r="D577" s="58"/>
      <c r="E577" s="58"/>
      <c r="F577" s="58"/>
      <c r="G577" s="58"/>
      <c r="H577" s="59"/>
      <c r="I577" s="59"/>
      <c r="J577" s="59"/>
      <c r="K577" s="59"/>
      <c r="L577" s="59"/>
      <c r="M577" s="60"/>
      <c r="N577" s="60"/>
      <c r="O577" s="60"/>
      <c r="P577" s="59"/>
      <c r="Q577" s="59"/>
      <c r="R577" s="60"/>
      <c r="S577" s="60"/>
      <c r="T577" s="60"/>
      <c r="U577" s="60"/>
      <c r="V577" s="60"/>
      <c r="W577" s="60"/>
    </row>
    <row r="578" spans="1:23" ht="13" x14ac:dyDescent="0.3">
      <c r="A578" s="58"/>
      <c r="B578" s="58"/>
      <c r="C578" s="58"/>
      <c r="D578" s="58"/>
      <c r="E578" s="58"/>
      <c r="F578" s="58"/>
      <c r="G578" s="58"/>
      <c r="H578" s="59"/>
      <c r="I578" s="59"/>
      <c r="J578" s="59"/>
      <c r="K578" s="59"/>
      <c r="L578" s="59"/>
      <c r="M578" s="60"/>
      <c r="N578" s="60"/>
      <c r="O578" s="60"/>
      <c r="P578" s="59"/>
      <c r="Q578" s="59"/>
      <c r="R578" s="60"/>
      <c r="S578" s="60"/>
      <c r="T578" s="60"/>
      <c r="U578" s="60"/>
      <c r="V578" s="60"/>
      <c r="W578" s="60"/>
    </row>
    <row r="579" spans="1:23" ht="13" x14ac:dyDescent="0.3">
      <c r="A579" s="58"/>
      <c r="B579" s="58"/>
      <c r="C579" s="58"/>
      <c r="D579" s="58"/>
      <c r="E579" s="58"/>
      <c r="F579" s="58"/>
      <c r="G579" s="58"/>
      <c r="H579" s="59"/>
      <c r="I579" s="59"/>
      <c r="J579" s="59"/>
      <c r="K579" s="59"/>
      <c r="L579" s="59"/>
      <c r="M579" s="60"/>
      <c r="N579" s="60"/>
      <c r="O579" s="60"/>
      <c r="P579" s="59"/>
      <c r="Q579" s="59"/>
      <c r="R579" s="60"/>
      <c r="S579" s="60"/>
      <c r="T579" s="60"/>
      <c r="U579" s="60"/>
      <c r="V579" s="60"/>
      <c r="W579" s="60"/>
    </row>
    <row r="580" spans="1:23" ht="13" x14ac:dyDescent="0.3">
      <c r="A580" s="58"/>
      <c r="B580" s="58"/>
      <c r="C580" s="58"/>
      <c r="D580" s="58"/>
      <c r="E580" s="58"/>
      <c r="F580" s="58"/>
      <c r="G580" s="58"/>
      <c r="H580" s="59"/>
      <c r="I580" s="59"/>
      <c r="J580" s="59"/>
      <c r="K580" s="59"/>
      <c r="L580" s="59"/>
      <c r="M580" s="60"/>
      <c r="N580" s="60"/>
      <c r="O580" s="60"/>
      <c r="P580" s="59"/>
      <c r="Q580" s="59"/>
      <c r="R580" s="60"/>
      <c r="S580" s="60"/>
      <c r="T580" s="60"/>
      <c r="U580" s="60"/>
      <c r="V580" s="60"/>
      <c r="W580" s="60"/>
    </row>
    <row r="581" spans="1:23" ht="13" x14ac:dyDescent="0.3">
      <c r="A581" s="58"/>
      <c r="B581" s="58"/>
      <c r="C581" s="58"/>
      <c r="D581" s="58"/>
      <c r="E581" s="58"/>
      <c r="F581" s="58"/>
      <c r="G581" s="58"/>
      <c r="H581" s="59"/>
      <c r="I581" s="59"/>
      <c r="J581" s="59"/>
      <c r="K581" s="59"/>
      <c r="L581" s="59"/>
      <c r="M581" s="60"/>
      <c r="N581" s="60"/>
      <c r="O581" s="60"/>
      <c r="P581" s="59"/>
      <c r="Q581" s="59"/>
      <c r="R581" s="60"/>
      <c r="S581" s="60"/>
      <c r="T581" s="60"/>
      <c r="U581" s="60"/>
      <c r="V581" s="60"/>
      <c r="W581" s="60"/>
    </row>
    <row r="582" spans="1:23" ht="13" x14ac:dyDescent="0.3">
      <c r="A582" s="58"/>
      <c r="B582" s="58"/>
      <c r="C582" s="58"/>
      <c r="D582" s="58"/>
      <c r="E582" s="58"/>
      <c r="F582" s="58"/>
      <c r="G582" s="58"/>
      <c r="H582" s="59"/>
      <c r="I582" s="59"/>
      <c r="J582" s="59"/>
      <c r="K582" s="59"/>
      <c r="L582" s="59"/>
      <c r="M582" s="60"/>
      <c r="N582" s="60"/>
      <c r="O582" s="60"/>
      <c r="P582" s="59"/>
      <c r="Q582" s="59"/>
      <c r="R582" s="60"/>
      <c r="S582" s="60"/>
      <c r="T582" s="60"/>
      <c r="U582" s="60"/>
      <c r="V582" s="60"/>
      <c r="W582" s="60"/>
    </row>
    <row r="583" spans="1:23" ht="13" x14ac:dyDescent="0.3">
      <c r="A583" s="58"/>
      <c r="B583" s="58"/>
      <c r="C583" s="58"/>
      <c r="D583" s="58"/>
      <c r="E583" s="58"/>
      <c r="F583" s="58"/>
      <c r="G583" s="58"/>
      <c r="H583" s="59"/>
      <c r="I583" s="59"/>
      <c r="J583" s="59"/>
      <c r="K583" s="59"/>
      <c r="L583" s="59"/>
      <c r="M583" s="60"/>
      <c r="N583" s="60"/>
      <c r="O583" s="60"/>
      <c r="P583" s="59"/>
      <c r="Q583" s="59"/>
      <c r="R583" s="60"/>
      <c r="S583" s="60"/>
      <c r="T583" s="60"/>
      <c r="U583" s="60"/>
      <c r="V583" s="60"/>
      <c r="W583" s="60"/>
    </row>
    <row r="584" spans="1:23" ht="13" x14ac:dyDescent="0.3">
      <c r="A584" s="58"/>
      <c r="B584" s="58"/>
      <c r="C584" s="58"/>
      <c r="D584" s="58"/>
      <c r="E584" s="58"/>
      <c r="F584" s="58"/>
      <c r="G584" s="58"/>
      <c r="H584" s="59"/>
      <c r="I584" s="59"/>
      <c r="J584" s="59"/>
      <c r="K584" s="59"/>
      <c r="L584" s="59"/>
      <c r="M584" s="60"/>
      <c r="N584" s="60"/>
      <c r="O584" s="60"/>
      <c r="P584" s="59"/>
      <c r="Q584" s="59"/>
      <c r="R584" s="60"/>
      <c r="S584" s="60"/>
      <c r="T584" s="60"/>
      <c r="U584" s="60"/>
      <c r="V584" s="60"/>
      <c r="W584" s="60"/>
    </row>
    <row r="585" spans="1:23" ht="13" x14ac:dyDescent="0.3">
      <c r="A585" s="58"/>
      <c r="B585" s="58"/>
      <c r="C585" s="58"/>
      <c r="D585" s="58"/>
      <c r="E585" s="58"/>
      <c r="F585" s="58"/>
      <c r="G585" s="58"/>
      <c r="H585" s="59"/>
      <c r="I585" s="59"/>
      <c r="J585" s="59"/>
      <c r="K585" s="59"/>
      <c r="L585" s="59"/>
      <c r="M585" s="60"/>
      <c r="N585" s="60"/>
      <c r="O585" s="60"/>
      <c r="P585" s="59"/>
      <c r="Q585" s="59"/>
      <c r="R585" s="60"/>
      <c r="S585" s="60"/>
      <c r="T585" s="60"/>
      <c r="U585" s="60"/>
      <c r="V585" s="60"/>
      <c r="W585" s="60"/>
    </row>
    <row r="586" spans="1:23" ht="13" x14ac:dyDescent="0.3">
      <c r="A586" s="58"/>
      <c r="B586" s="58"/>
      <c r="C586" s="58"/>
      <c r="D586" s="58"/>
      <c r="E586" s="58"/>
      <c r="F586" s="58"/>
      <c r="G586" s="58"/>
      <c r="H586" s="59"/>
      <c r="I586" s="59"/>
      <c r="J586" s="59"/>
      <c r="K586" s="59"/>
      <c r="L586" s="59"/>
      <c r="M586" s="60"/>
      <c r="N586" s="60"/>
      <c r="O586" s="60"/>
      <c r="P586" s="59"/>
      <c r="Q586" s="59"/>
      <c r="R586" s="60"/>
      <c r="S586" s="60"/>
      <c r="T586" s="60"/>
      <c r="U586" s="60"/>
      <c r="V586" s="60"/>
      <c r="W586" s="60"/>
    </row>
    <row r="587" spans="1:23" ht="13" x14ac:dyDescent="0.3">
      <c r="A587" s="58"/>
      <c r="B587" s="58"/>
      <c r="C587" s="58"/>
      <c r="D587" s="58"/>
      <c r="E587" s="58"/>
      <c r="F587" s="58"/>
      <c r="G587" s="58"/>
      <c r="H587" s="59"/>
      <c r="I587" s="59"/>
      <c r="J587" s="59"/>
      <c r="K587" s="59"/>
      <c r="L587" s="59"/>
      <c r="M587" s="60"/>
      <c r="N587" s="60"/>
      <c r="O587" s="60"/>
      <c r="P587" s="59"/>
      <c r="Q587" s="59"/>
      <c r="R587" s="60"/>
      <c r="S587" s="60"/>
      <c r="T587" s="60"/>
      <c r="U587" s="60"/>
      <c r="V587" s="60"/>
      <c r="W587" s="60"/>
    </row>
    <row r="588" spans="1:23" ht="13" x14ac:dyDescent="0.3">
      <c r="A588" s="58"/>
      <c r="B588" s="58"/>
      <c r="C588" s="58"/>
      <c r="D588" s="58"/>
      <c r="E588" s="58"/>
      <c r="F588" s="58"/>
      <c r="G588" s="58"/>
      <c r="H588" s="59"/>
      <c r="I588" s="59"/>
      <c r="J588" s="59"/>
      <c r="K588" s="59"/>
      <c r="L588" s="59"/>
      <c r="M588" s="60"/>
      <c r="N588" s="60"/>
      <c r="O588" s="60"/>
      <c r="P588" s="59"/>
      <c r="Q588" s="59"/>
      <c r="R588" s="60"/>
      <c r="S588" s="60"/>
      <c r="T588" s="60"/>
      <c r="U588" s="60"/>
      <c r="V588" s="60"/>
      <c r="W588" s="60"/>
    </row>
    <row r="589" spans="1:23" ht="13" x14ac:dyDescent="0.3">
      <c r="A589" s="58"/>
      <c r="B589" s="58"/>
      <c r="C589" s="58"/>
      <c r="D589" s="58"/>
      <c r="E589" s="58"/>
      <c r="F589" s="58"/>
      <c r="G589" s="58"/>
      <c r="H589" s="59"/>
      <c r="I589" s="59"/>
      <c r="J589" s="59"/>
      <c r="K589" s="59"/>
      <c r="L589" s="59"/>
      <c r="M589" s="60"/>
      <c r="N589" s="60"/>
      <c r="O589" s="60"/>
      <c r="P589" s="59"/>
      <c r="Q589" s="59"/>
      <c r="R589" s="60"/>
      <c r="S589" s="60"/>
      <c r="T589" s="60"/>
      <c r="U589" s="60"/>
      <c r="V589" s="60"/>
      <c r="W589" s="60"/>
    </row>
    <row r="590" spans="1:23" ht="13" x14ac:dyDescent="0.3">
      <c r="A590" s="58"/>
      <c r="B590" s="58"/>
      <c r="C590" s="58"/>
      <c r="D590" s="58"/>
      <c r="E590" s="58"/>
      <c r="F590" s="58"/>
      <c r="G590" s="58"/>
      <c r="H590" s="59"/>
      <c r="I590" s="59"/>
      <c r="J590" s="59"/>
      <c r="K590" s="59"/>
      <c r="L590" s="59"/>
      <c r="M590" s="60"/>
      <c r="N590" s="60"/>
      <c r="O590" s="60"/>
      <c r="P590" s="59"/>
      <c r="Q590" s="59"/>
      <c r="R590" s="60"/>
      <c r="S590" s="60"/>
      <c r="T590" s="60"/>
      <c r="U590" s="60"/>
      <c r="V590" s="60"/>
      <c r="W590" s="60"/>
    </row>
    <row r="591" spans="1:23" ht="13" x14ac:dyDescent="0.3">
      <c r="A591" s="58"/>
      <c r="B591" s="58"/>
      <c r="C591" s="58"/>
      <c r="D591" s="58"/>
      <c r="E591" s="58"/>
      <c r="F591" s="58"/>
      <c r="G591" s="58"/>
      <c r="H591" s="59"/>
      <c r="I591" s="59"/>
      <c r="J591" s="59"/>
      <c r="K591" s="59"/>
      <c r="L591" s="59"/>
      <c r="M591" s="60"/>
      <c r="N591" s="60"/>
      <c r="O591" s="60"/>
      <c r="P591" s="59"/>
      <c r="Q591" s="59"/>
      <c r="R591" s="60"/>
      <c r="S591" s="60"/>
      <c r="T591" s="60"/>
      <c r="U591" s="60"/>
      <c r="V591" s="60"/>
      <c r="W591" s="60"/>
    </row>
    <row r="592" spans="1:23" ht="13" x14ac:dyDescent="0.3">
      <c r="A592" s="58"/>
      <c r="B592" s="58"/>
      <c r="C592" s="58"/>
      <c r="D592" s="58"/>
      <c r="E592" s="58"/>
      <c r="F592" s="58"/>
      <c r="G592" s="58"/>
      <c r="H592" s="59"/>
      <c r="I592" s="59"/>
      <c r="J592" s="59"/>
      <c r="K592" s="59"/>
      <c r="L592" s="59"/>
      <c r="M592" s="60"/>
      <c r="N592" s="60"/>
      <c r="O592" s="60"/>
      <c r="P592" s="59"/>
      <c r="Q592" s="59"/>
      <c r="R592" s="60"/>
      <c r="S592" s="60"/>
      <c r="T592" s="60"/>
      <c r="U592" s="60"/>
      <c r="V592" s="60"/>
      <c r="W592" s="60"/>
    </row>
    <row r="593" spans="1:23" ht="13" x14ac:dyDescent="0.3">
      <c r="A593" s="58"/>
      <c r="B593" s="58"/>
      <c r="C593" s="58"/>
      <c r="D593" s="58"/>
      <c r="E593" s="58"/>
      <c r="F593" s="58"/>
      <c r="G593" s="58"/>
      <c r="H593" s="59"/>
      <c r="I593" s="59"/>
      <c r="J593" s="59"/>
      <c r="K593" s="59"/>
      <c r="L593" s="59"/>
      <c r="M593" s="60"/>
      <c r="N593" s="60"/>
      <c r="O593" s="60"/>
      <c r="P593" s="59"/>
      <c r="Q593" s="59"/>
      <c r="R593" s="60"/>
      <c r="S593" s="60"/>
      <c r="T593" s="60"/>
      <c r="U593" s="60"/>
      <c r="V593" s="60"/>
      <c r="W593" s="60"/>
    </row>
    <row r="594" spans="1:23" ht="13" x14ac:dyDescent="0.3">
      <c r="A594" s="58"/>
      <c r="B594" s="58"/>
      <c r="C594" s="58"/>
      <c r="D594" s="58"/>
      <c r="E594" s="58"/>
      <c r="F594" s="58"/>
      <c r="G594" s="58"/>
      <c r="H594" s="59"/>
      <c r="I594" s="59"/>
      <c r="J594" s="59"/>
      <c r="K594" s="59"/>
      <c r="L594" s="59"/>
      <c r="M594" s="60"/>
      <c r="N594" s="60"/>
      <c r="O594" s="60"/>
      <c r="P594" s="59"/>
      <c r="Q594" s="59"/>
      <c r="R594" s="60"/>
      <c r="S594" s="60"/>
      <c r="T594" s="60"/>
      <c r="U594" s="60"/>
      <c r="V594" s="60"/>
      <c r="W594" s="60"/>
    </row>
    <row r="595" spans="1:23" ht="13" x14ac:dyDescent="0.3">
      <c r="A595" s="58"/>
      <c r="B595" s="58"/>
      <c r="C595" s="58"/>
      <c r="D595" s="58"/>
      <c r="E595" s="58"/>
      <c r="F595" s="58"/>
      <c r="G595" s="58"/>
      <c r="H595" s="59"/>
      <c r="I595" s="59"/>
      <c r="J595" s="59"/>
      <c r="K595" s="59"/>
      <c r="L595" s="59"/>
      <c r="M595" s="60"/>
      <c r="N595" s="60"/>
      <c r="O595" s="60"/>
      <c r="P595" s="59"/>
      <c r="Q595" s="59"/>
      <c r="R595" s="60"/>
      <c r="S595" s="60"/>
      <c r="T595" s="60"/>
      <c r="U595" s="60"/>
      <c r="V595" s="60"/>
      <c r="W595" s="60"/>
    </row>
    <row r="596" spans="1:23" ht="13" x14ac:dyDescent="0.3">
      <c r="A596" s="58"/>
      <c r="B596" s="58"/>
      <c r="C596" s="58"/>
      <c r="D596" s="58"/>
      <c r="E596" s="58"/>
      <c r="F596" s="58"/>
      <c r="G596" s="58"/>
      <c r="H596" s="59"/>
      <c r="I596" s="59"/>
      <c r="J596" s="59"/>
      <c r="K596" s="59"/>
      <c r="L596" s="59"/>
      <c r="M596" s="60"/>
      <c r="N596" s="60"/>
      <c r="O596" s="60"/>
      <c r="P596" s="59"/>
      <c r="Q596" s="59"/>
      <c r="R596" s="60"/>
      <c r="S596" s="60"/>
      <c r="T596" s="60"/>
      <c r="U596" s="60"/>
      <c r="V596" s="60"/>
      <c r="W596" s="60"/>
    </row>
    <row r="597" spans="1:23" ht="13" x14ac:dyDescent="0.3">
      <c r="A597" s="58"/>
      <c r="B597" s="58"/>
      <c r="C597" s="58"/>
      <c r="D597" s="58"/>
      <c r="E597" s="58"/>
      <c r="F597" s="58"/>
      <c r="G597" s="58"/>
      <c r="H597" s="59"/>
      <c r="I597" s="59"/>
      <c r="J597" s="59"/>
      <c r="K597" s="59"/>
      <c r="L597" s="59"/>
      <c r="M597" s="60"/>
      <c r="N597" s="60"/>
      <c r="O597" s="60"/>
      <c r="P597" s="59"/>
      <c r="Q597" s="59"/>
      <c r="R597" s="60"/>
      <c r="S597" s="60"/>
      <c r="T597" s="60"/>
      <c r="U597" s="60"/>
      <c r="V597" s="60"/>
      <c r="W597" s="60"/>
    </row>
    <row r="598" spans="1:23" ht="13" x14ac:dyDescent="0.3">
      <c r="A598" s="58"/>
      <c r="B598" s="58"/>
      <c r="C598" s="58"/>
      <c r="D598" s="58"/>
      <c r="E598" s="58"/>
      <c r="F598" s="58"/>
      <c r="G598" s="58"/>
      <c r="H598" s="59"/>
      <c r="I598" s="59"/>
      <c r="J598" s="59"/>
      <c r="K598" s="59"/>
      <c r="L598" s="59"/>
      <c r="M598" s="60"/>
      <c r="N598" s="60"/>
      <c r="O598" s="60"/>
      <c r="P598" s="59"/>
      <c r="Q598" s="59"/>
      <c r="R598" s="60"/>
      <c r="S598" s="60"/>
      <c r="T598" s="60"/>
      <c r="U598" s="60"/>
      <c r="V598" s="60"/>
      <c r="W598" s="60"/>
    </row>
    <row r="599" spans="1:23" ht="13" x14ac:dyDescent="0.3">
      <c r="A599" s="58"/>
      <c r="B599" s="58"/>
      <c r="C599" s="58"/>
      <c r="D599" s="58"/>
      <c r="E599" s="58"/>
      <c r="F599" s="58"/>
      <c r="G599" s="58"/>
      <c r="H599" s="59"/>
      <c r="I599" s="59"/>
      <c r="J599" s="59"/>
      <c r="K599" s="59"/>
      <c r="L599" s="59"/>
      <c r="M599" s="60"/>
      <c r="N599" s="60"/>
      <c r="O599" s="60"/>
      <c r="P599" s="59"/>
      <c r="Q599" s="59"/>
      <c r="R599" s="60"/>
      <c r="S599" s="60"/>
      <c r="T599" s="60"/>
      <c r="U599" s="60"/>
      <c r="V599" s="60"/>
      <c r="W599" s="60"/>
    </row>
    <row r="600" spans="1:23" ht="13" x14ac:dyDescent="0.3">
      <c r="A600" s="58"/>
      <c r="B600" s="58"/>
      <c r="C600" s="58"/>
      <c r="D600" s="58"/>
      <c r="E600" s="58"/>
      <c r="F600" s="58"/>
      <c r="G600" s="58"/>
      <c r="H600" s="59"/>
      <c r="I600" s="59"/>
      <c r="J600" s="59"/>
      <c r="K600" s="59"/>
      <c r="L600" s="59"/>
      <c r="M600" s="60"/>
      <c r="N600" s="60"/>
      <c r="O600" s="60"/>
      <c r="P600" s="59"/>
      <c r="Q600" s="59"/>
      <c r="R600" s="60"/>
      <c r="S600" s="60"/>
      <c r="T600" s="60"/>
      <c r="U600" s="60"/>
      <c r="V600" s="60"/>
      <c r="W600" s="60"/>
    </row>
    <row r="601" spans="1:23" ht="13" x14ac:dyDescent="0.3">
      <c r="A601" s="58"/>
      <c r="B601" s="58"/>
      <c r="C601" s="58"/>
      <c r="D601" s="58"/>
      <c r="E601" s="58"/>
      <c r="F601" s="58"/>
      <c r="G601" s="58"/>
      <c r="H601" s="59"/>
      <c r="I601" s="59"/>
      <c r="J601" s="59"/>
      <c r="K601" s="59"/>
      <c r="L601" s="59"/>
      <c r="M601" s="60"/>
      <c r="N601" s="60"/>
      <c r="O601" s="60"/>
      <c r="P601" s="59"/>
      <c r="Q601" s="59"/>
      <c r="R601" s="60"/>
      <c r="S601" s="60"/>
      <c r="T601" s="60"/>
      <c r="U601" s="60"/>
      <c r="V601" s="60"/>
      <c r="W601" s="60"/>
    </row>
    <row r="602" spans="1:23" ht="13" x14ac:dyDescent="0.3">
      <c r="A602" s="58"/>
      <c r="B602" s="58"/>
      <c r="C602" s="58"/>
      <c r="D602" s="58"/>
      <c r="E602" s="58"/>
      <c r="F602" s="58"/>
      <c r="G602" s="58"/>
      <c r="H602" s="59"/>
      <c r="I602" s="59"/>
      <c r="J602" s="59"/>
      <c r="K602" s="59"/>
      <c r="L602" s="59"/>
      <c r="M602" s="60"/>
      <c r="N602" s="60"/>
      <c r="O602" s="60"/>
      <c r="P602" s="59"/>
      <c r="Q602" s="59"/>
      <c r="R602" s="60"/>
      <c r="S602" s="60"/>
      <c r="T602" s="60"/>
      <c r="U602" s="60"/>
      <c r="V602" s="60"/>
      <c r="W602" s="60"/>
    </row>
    <row r="603" spans="1:23" ht="13" x14ac:dyDescent="0.3">
      <c r="A603" s="58"/>
      <c r="B603" s="58"/>
      <c r="C603" s="58"/>
      <c r="D603" s="58"/>
      <c r="E603" s="58"/>
      <c r="F603" s="58"/>
      <c r="G603" s="58"/>
      <c r="H603" s="59"/>
      <c r="I603" s="59"/>
      <c r="J603" s="59"/>
      <c r="K603" s="59"/>
      <c r="L603" s="59"/>
      <c r="M603" s="60"/>
      <c r="N603" s="60"/>
      <c r="O603" s="60"/>
      <c r="P603" s="59"/>
      <c r="Q603" s="59"/>
      <c r="R603" s="60"/>
      <c r="S603" s="60"/>
      <c r="T603" s="60"/>
      <c r="U603" s="60"/>
      <c r="V603" s="60"/>
      <c r="W603" s="60"/>
    </row>
    <row r="604" spans="1:23" ht="13" x14ac:dyDescent="0.3">
      <c r="A604" s="58"/>
      <c r="B604" s="58"/>
      <c r="C604" s="58"/>
      <c r="D604" s="58"/>
      <c r="E604" s="58"/>
      <c r="F604" s="58"/>
      <c r="G604" s="58"/>
      <c r="H604" s="59"/>
      <c r="I604" s="59"/>
      <c r="J604" s="59"/>
      <c r="K604" s="59"/>
      <c r="L604" s="59"/>
      <c r="M604" s="60"/>
      <c r="N604" s="60"/>
      <c r="O604" s="60"/>
      <c r="P604" s="59"/>
      <c r="Q604" s="59"/>
      <c r="R604" s="60"/>
      <c r="S604" s="60"/>
      <c r="T604" s="60"/>
      <c r="U604" s="60"/>
      <c r="V604" s="60"/>
      <c r="W604" s="60"/>
    </row>
    <row r="605" spans="1:23" ht="13" x14ac:dyDescent="0.3">
      <c r="A605" s="58"/>
      <c r="B605" s="58"/>
      <c r="C605" s="58"/>
      <c r="D605" s="58"/>
      <c r="E605" s="58"/>
      <c r="F605" s="58"/>
      <c r="G605" s="58"/>
      <c r="H605" s="59"/>
      <c r="I605" s="59"/>
      <c r="J605" s="59"/>
      <c r="K605" s="59"/>
      <c r="L605" s="59"/>
      <c r="M605" s="60"/>
      <c r="N605" s="60"/>
      <c r="O605" s="60"/>
      <c r="P605" s="59"/>
      <c r="Q605" s="59"/>
      <c r="R605" s="60"/>
      <c r="S605" s="60"/>
      <c r="T605" s="60"/>
      <c r="U605" s="60"/>
      <c r="V605" s="60"/>
      <c r="W605" s="60"/>
    </row>
    <row r="606" spans="1:23" ht="13" x14ac:dyDescent="0.3">
      <c r="A606" s="58"/>
      <c r="B606" s="58"/>
      <c r="C606" s="58"/>
      <c r="D606" s="58"/>
      <c r="E606" s="58"/>
      <c r="F606" s="58"/>
      <c r="G606" s="58"/>
      <c r="H606" s="59"/>
      <c r="I606" s="59"/>
      <c r="J606" s="59"/>
      <c r="K606" s="59"/>
      <c r="L606" s="59"/>
      <c r="M606" s="60"/>
      <c r="N606" s="60"/>
      <c r="O606" s="60"/>
      <c r="P606" s="59"/>
      <c r="Q606" s="59"/>
      <c r="R606" s="60"/>
      <c r="S606" s="60"/>
      <c r="T606" s="60"/>
      <c r="U606" s="60"/>
      <c r="V606" s="60"/>
      <c r="W606" s="60"/>
    </row>
    <row r="607" spans="1:23" ht="13" x14ac:dyDescent="0.3">
      <c r="A607" s="58"/>
      <c r="B607" s="58"/>
      <c r="C607" s="58"/>
      <c r="D607" s="58"/>
      <c r="E607" s="58"/>
      <c r="F607" s="58"/>
      <c r="G607" s="58"/>
      <c r="H607" s="59"/>
      <c r="I607" s="59"/>
      <c r="J607" s="59"/>
      <c r="K607" s="59"/>
      <c r="L607" s="59"/>
      <c r="M607" s="60"/>
      <c r="N607" s="60"/>
      <c r="O607" s="60"/>
      <c r="P607" s="59"/>
      <c r="Q607" s="59"/>
      <c r="R607" s="60"/>
      <c r="S607" s="60"/>
      <c r="T607" s="60"/>
      <c r="U607" s="60"/>
      <c r="V607" s="60"/>
      <c r="W607" s="60"/>
    </row>
    <row r="608" spans="1:23" ht="13" x14ac:dyDescent="0.3">
      <c r="A608" s="58"/>
      <c r="B608" s="58"/>
      <c r="C608" s="58"/>
      <c r="D608" s="58"/>
      <c r="E608" s="58"/>
      <c r="F608" s="58"/>
      <c r="G608" s="58"/>
      <c r="H608" s="59"/>
      <c r="I608" s="59"/>
      <c r="J608" s="59"/>
      <c r="K608" s="59"/>
      <c r="L608" s="59"/>
      <c r="M608" s="60"/>
      <c r="N608" s="60"/>
      <c r="O608" s="60"/>
      <c r="P608" s="59"/>
      <c r="Q608" s="59"/>
      <c r="R608" s="60"/>
      <c r="S608" s="60"/>
      <c r="T608" s="60"/>
      <c r="U608" s="60"/>
      <c r="V608" s="60"/>
      <c r="W608" s="60"/>
    </row>
    <row r="609" spans="1:23" ht="13" x14ac:dyDescent="0.3">
      <c r="A609" s="58"/>
      <c r="B609" s="58"/>
      <c r="C609" s="58"/>
      <c r="D609" s="58"/>
      <c r="E609" s="58"/>
      <c r="F609" s="58"/>
      <c r="G609" s="58"/>
      <c r="H609" s="59"/>
      <c r="I609" s="59"/>
      <c r="J609" s="59"/>
      <c r="K609" s="59"/>
      <c r="L609" s="59"/>
      <c r="M609" s="60"/>
      <c r="N609" s="60"/>
      <c r="O609" s="60"/>
      <c r="P609" s="59"/>
      <c r="Q609" s="59"/>
      <c r="R609" s="60"/>
      <c r="S609" s="60"/>
      <c r="T609" s="60"/>
      <c r="U609" s="60"/>
      <c r="V609" s="60"/>
      <c r="W609" s="60"/>
    </row>
    <row r="610" spans="1:23" ht="13" x14ac:dyDescent="0.3">
      <c r="A610" s="58"/>
      <c r="B610" s="58"/>
      <c r="C610" s="58"/>
      <c r="D610" s="58"/>
      <c r="E610" s="58"/>
      <c r="F610" s="58"/>
      <c r="G610" s="58"/>
      <c r="H610" s="59"/>
      <c r="I610" s="59"/>
      <c r="J610" s="59"/>
      <c r="K610" s="59"/>
      <c r="L610" s="59"/>
      <c r="M610" s="60"/>
      <c r="N610" s="60"/>
      <c r="O610" s="60"/>
      <c r="P610" s="59"/>
      <c r="Q610" s="59"/>
      <c r="R610" s="60"/>
      <c r="S610" s="60"/>
      <c r="T610" s="60"/>
      <c r="U610" s="60"/>
      <c r="V610" s="60"/>
      <c r="W610" s="60"/>
    </row>
    <row r="611" spans="1:23" ht="13" x14ac:dyDescent="0.3">
      <c r="A611" s="58"/>
      <c r="B611" s="58"/>
      <c r="C611" s="58"/>
      <c r="D611" s="58"/>
      <c r="E611" s="58"/>
      <c r="F611" s="58"/>
      <c r="G611" s="58"/>
      <c r="H611" s="59"/>
      <c r="I611" s="59"/>
      <c r="J611" s="59"/>
      <c r="K611" s="59"/>
      <c r="L611" s="59"/>
      <c r="M611" s="60"/>
      <c r="N611" s="60"/>
      <c r="O611" s="60"/>
      <c r="P611" s="59"/>
      <c r="Q611" s="59"/>
      <c r="R611" s="60"/>
      <c r="S611" s="60"/>
      <c r="T611" s="60"/>
      <c r="U611" s="60"/>
      <c r="V611" s="60"/>
      <c r="W611" s="60"/>
    </row>
    <row r="612" spans="1:23" ht="13" x14ac:dyDescent="0.3">
      <c r="A612" s="58"/>
      <c r="B612" s="58"/>
      <c r="C612" s="58"/>
      <c r="D612" s="58"/>
      <c r="E612" s="58"/>
      <c r="F612" s="58"/>
      <c r="G612" s="58"/>
      <c r="H612" s="59"/>
      <c r="I612" s="59"/>
      <c r="J612" s="59"/>
      <c r="K612" s="59"/>
      <c r="L612" s="59"/>
      <c r="M612" s="60"/>
      <c r="N612" s="60"/>
      <c r="O612" s="60"/>
      <c r="P612" s="59"/>
      <c r="Q612" s="59"/>
      <c r="R612" s="60"/>
      <c r="S612" s="60"/>
      <c r="T612" s="60"/>
      <c r="U612" s="60"/>
      <c r="V612" s="60"/>
      <c r="W612" s="60"/>
    </row>
    <row r="613" spans="1:23" ht="13" x14ac:dyDescent="0.3">
      <c r="A613" s="58"/>
      <c r="B613" s="58"/>
      <c r="C613" s="58"/>
      <c r="D613" s="58"/>
      <c r="E613" s="58"/>
      <c r="F613" s="58"/>
      <c r="G613" s="58"/>
      <c r="H613" s="59"/>
      <c r="I613" s="59"/>
      <c r="J613" s="59"/>
      <c r="K613" s="59"/>
      <c r="L613" s="59"/>
      <c r="M613" s="60"/>
      <c r="N613" s="60"/>
      <c r="O613" s="60"/>
      <c r="P613" s="59"/>
      <c r="Q613" s="59"/>
      <c r="R613" s="60"/>
      <c r="S613" s="60"/>
      <c r="T613" s="60"/>
      <c r="U613" s="60"/>
      <c r="V613" s="60"/>
      <c r="W613" s="60"/>
    </row>
    <row r="614" spans="1:23" ht="13" x14ac:dyDescent="0.3">
      <c r="A614" s="58"/>
      <c r="B614" s="58"/>
      <c r="C614" s="58"/>
      <c r="D614" s="58"/>
      <c r="E614" s="58"/>
      <c r="F614" s="58"/>
      <c r="G614" s="58"/>
      <c r="H614" s="59"/>
      <c r="I614" s="59"/>
      <c r="J614" s="59"/>
      <c r="K614" s="59"/>
      <c r="L614" s="59"/>
      <c r="M614" s="60"/>
      <c r="N614" s="60"/>
      <c r="O614" s="60"/>
      <c r="P614" s="59"/>
      <c r="Q614" s="59"/>
      <c r="R614" s="60"/>
      <c r="S614" s="60"/>
      <c r="T614" s="60"/>
      <c r="U614" s="60"/>
      <c r="V614" s="60"/>
      <c r="W614" s="60"/>
    </row>
    <row r="615" spans="1:23" ht="13" x14ac:dyDescent="0.3">
      <c r="A615" s="58"/>
      <c r="B615" s="58"/>
      <c r="C615" s="58"/>
      <c r="D615" s="58"/>
      <c r="E615" s="58"/>
      <c r="F615" s="58"/>
      <c r="G615" s="58"/>
      <c r="H615" s="59"/>
      <c r="I615" s="59"/>
      <c r="J615" s="59"/>
      <c r="K615" s="59"/>
      <c r="L615" s="59"/>
      <c r="M615" s="60"/>
      <c r="N615" s="60"/>
      <c r="O615" s="60"/>
      <c r="P615" s="59"/>
      <c r="Q615" s="59"/>
      <c r="R615" s="60"/>
      <c r="S615" s="60"/>
      <c r="T615" s="60"/>
      <c r="U615" s="60"/>
      <c r="V615" s="60"/>
      <c r="W615" s="60"/>
    </row>
    <row r="616" spans="1:23" ht="13" x14ac:dyDescent="0.3">
      <c r="A616" s="58"/>
      <c r="B616" s="58"/>
      <c r="C616" s="58"/>
      <c r="D616" s="58"/>
      <c r="E616" s="58"/>
      <c r="F616" s="58"/>
      <c r="G616" s="58"/>
      <c r="H616" s="59"/>
      <c r="I616" s="59"/>
      <c r="J616" s="59"/>
      <c r="K616" s="59"/>
      <c r="L616" s="59"/>
      <c r="M616" s="60"/>
      <c r="N616" s="60"/>
      <c r="O616" s="60"/>
      <c r="P616" s="59"/>
      <c r="Q616" s="59"/>
      <c r="R616" s="60"/>
      <c r="S616" s="60"/>
      <c r="T616" s="60"/>
      <c r="U616" s="60"/>
      <c r="V616" s="60"/>
      <c r="W616" s="60"/>
    </row>
    <row r="617" spans="1:23" ht="13" x14ac:dyDescent="0.3">
      <c r="A617" s="58"/>
      <c r="B617" s="58"/>
      <c r="C617" s="58"/>
      <c r="D617" s="58"/>
      <c r="E617" s="58"/>
      <c r="F617" s="58"/>
      <c r="G617" s="58"/>
      <c r="H617" s="59"/>
      <c r="I617" s="59"/>
      <c r="J617" s="59"/>
      <c r="K617" s="59"/>
      <c r="L617" s="59"/>
      <c r="M617" s="60"/>
      <c r="N617" s="60"/>
      <c r="O617" s="60"/>
      <c r="P617" s="59"/>
      <c r="Q617" s="59"/>
      <c r="R617" s="60"/>
      <c r="S617" s="60"/>
      <c r="T617" s="60"/>
      <c r="U617" s="60"/>
      <c r="V617" s="60"/>
      <c r="W617" s="60"/>
    </row>
    <row r="618" spans="1:23" ht="13" x14ac:dyDescent="0.3">
      <c r="A618" s="58"/>
      <c r="B618" s="58"/>
      <c r="C618" s="58"/>
      <c r="D618" s="58"/>
      <c r="E618" s="58"/>
      <c r="F618" s="58"/>
      <c r="G618" s="58"/>
      <c r="H618" s="59"/>
      <c r="I618" s="59"/>
      <c r="J618" s="59"/>
      <c r="K618" s="59"/>
      <c r="L618" s="59"/>
      <c r="M618" s="60"/>
      <c r="N618" s="60"/>
      <c r="O618" s="60"/>
      <c r="P618" s="59"/>
      <c r="Q618" s="59"/>
      <c r="R618" s="60"/>
      <c r="S618" s="60"/>
      <c r="T618" s="60"/>
      <c r="U618" s="60"/>
      <c r="V618" s="60"/>
      <c r="W618" s="60"/>
    </row>
    <row r="619" spans="1:23" ht="13" x14ac:dyDescent="0.3">
      <c r="A619" s="58"/>
      <c r="B619" s="58"/>
      <c r="C619" s="58"/>
      <c r="D619" s="58"/>
      <c r="E619" s="58"/>
      <c r="F619" s="58"/>
      <c r="G619" s="58"/>
      <c r="H619" s="59"/>
      <c r="I619" s="59"/>
      <c r="J619" s="59"/>
      <c r="K619" s="59"/>
      <c r="L619" s="59"/>
      <c r="M619" s="60"/>
      <c r="N619" s="60"/>
      <c r="O619" s="60"/>
      <c r="P619" s="59"/>
      <c r="Q619" s="59"/>
      <c r="R619" s="60"/>
      <c r="S619" s="60"/>
      <c r="T619" s="60"/>
      <c r="U619" s="60"/>
      <c r="V619" s="60"/>
      <c r="W619" s="60"/>
    </row>
    <row r="620" spans="1:23" ht="13" x14ac:dyDescent="0.3">
      <c r="A620" s="58"/>
      <c r="B620" s="58"/>
      <c r="C620" s="58"/>
      <c r="D620" s="58"/>
      <c r="E620" s="58"/>
      <c r="F620" s="58"/>
      <c r="G620" s="58"/>
      <c r="H620" s="59"/>
      <c r="I620" s="59"/>
      <c r="J620" s="59"/>
      <c r="K620" s="59"/>
      <c r="L620" s="59"/>
      <c r="M620" s="60"/>
      <c r="N620" s="60"/>
      <c r="O620" s="60"/>
      <c r="P620" s="59"/>
      <c r="Q620" s="59"/>
      <c r="R620" s="60"/>
      <c r="S620" s="60"/>
      <c r="T620" s="60"/>
      <c r="U620" s="60"/>
      <c r="V620" s="60"/>
      <c r="W620" s="60"/>
    </row>
    <row r="621" spans="1:23" ht="13" x14ac:dyDescent="0.3">
      <c r="A621" s="58"/>
      <c r="B621" s="58"/>
      <c r="C621" s="58"/>
      <c r="D621" s="58"/>
      <c r="E621" s="58"/>
      <c r="F621" s="58"/>
      <c r="G621" s="58"/>
      <c r="H621" s="59"/>
      <c r="I621" s="59"/>
      <c r="J621" s="59"/>
      <c r="K621" s="59"/>
      <c r="L621" s="59"/>
      <c r="M621" s="60"/>
      <c r="N621" s="60"/>
      <c r="O621" s="60"/>
      <c r="P621" s="59"/>
      <c r="Q621" s="59"/>
      <c r="R621" s="60"/>
      <c r="S621" s="60"/>
      <c r="T621" s="60"/>
      <c r="U621" s="60"/>
      <c r="V621" s="60"/>
      <c r="W621" s="60"/>
    </row>
    <row r="622" spans="1:23" ht="13" x14ac:dyDescent="0.3">
      <c r="A622" s="58"/>
      <c r="B622" s="58"/>
      <c r="C622" s="58"/>
      <c r="D622" s="58"/>
      <c r="E622" s="58"/>
      <c r="F622" s="58"/>
      <c r="G622" s="58"/>
      <c r="H622" s="59"/>
      <c r="I622" s="59"/>
      <c r="J622" s="59"/>
      <c r="K622" s="59"/>
      <c r="L622" s="59"/>
      <c r="M622" s="60"/>
      <c r="N622" s="60"/>
      <c r="O622" s="60"/>
      <c r="P622" s="59"/>
      <c r="Q622" s="59"/>
      <c r="R622" s="60"/>
      <c r="S622" s="60"/>
      <c r="T622" s="60"/>
      <c r="U622" s="60"/>
      <c r="V622" s="60"/>
      <c r="W622" s="60"/>
    </row>
    <row r="623" spans="1:23" ht="13" x14ac:dyDescent="0.3">
      <c r="A623" s="58"/>
      <c r="B623" s="58"/>
      <c r="C623" s="58"/>
      <c r="D623" s="58"/>
      <c r="E623" s="58"/>
      <c r="F623" s="58"/>
      <c r="G623" s="58"/>
      <c r="H623" s="59"/>
      <c r="I623" s="59"/>
      <c r="J623" s="59"/>
      <c r="K623" s="59"/>
      <c r="L623" s="59"/>
      <c r="M623" s="60"/>
      <c r="N623" s="60"/>
      <c r="O623" s="60"/>
      <c r="P623" s="59"/>
      <c r="Q623" s="59"/>
      <c r="R623" s="60"/>
      <c r="S623" s="60"/>
      <c r="T623" s="60"/>
      <c r="U623" s="60"/>
      <c r="V623" s="60"/>
      <c r="W623" s="60"/>
    </row>
    <row r="624" spans="1:23" ht="13" x14ac:dyDescent="0.3">
      <c r="A624" s="58"/>
      <c r="B624" s="58"/>
      <c r="C624" s="58"/>
      <c r="D624" s="58"/>
      <c r="E624" s="58"/>
      <c r="F624" s="58"/>
      <c r="G624" s="58"/>
      <c r="H624" s="59"/>
      <c r="I624" s="59"/>
      <c r="J624" s="59"/>
      <c r="K624" s="59"/>
      <c r="L624" s="59"/>
      <c r="M624" s="60"/>
      <c r="N624" s="60"/>
      <c r="O624" s="60"/>
      <c r="P624" s="59"/>
      <c r="Q624" s="59"/>
      <c r="R624" s="60"/>
      <c r="S624" s="60"/>
      <c r="T624" s="60"/>
      <c r="U624" s="60"/>
      <c r="V624" s="60"/>
      <c r="W624" s="60"/>
    </row>
    <row r="625" spans="1:23" ht="13" x14ac:dyDescent="0.3">
      <c r="A625" s="58"/>
      <c r="B625" s="58"/>
      <c r="C625" s="58"/>
      <c r="D625" s="58"/>
      <c r="E625" s="58"/>
      <c r="F625" s="58"/>
      <c r="G625" s="58"/>
      <c r="H625" s="59"/>
      <c r="I625" s="59"/>
      <c r="J625" s="59"/>
      <c r="K625" s="59"/>
      <c r="L625" s="59"/>
      <c r="M625" s="60"/>
      <c r="N625" s="60"/>
      <c r="O625" s="60"/>
      <c r="P625" s="59"/>
      <c r="Q625" s="59"/>
      <c r="R625" s="60"/>
      <c r="S625" s="60"/>
      <c r="T625" s="60"/>
      <c r="U625" s="60"/>
      <c r="V625" s="60"/>
      <c r="W625" s="60"/>
    </row>
    <row r="626" spans="1:23" ht="13" x14ac:dyDescent="0.3">
      <c r="A626" s="58"/>
      <c r="B626" s="58"/>
      <c r="C626" s="58"/>
      <c r="D626" s="58"/>
      <c r="E626" s="58"/>
      <c r="F626" s="58"/>
      <c r="G626" s="58"/>
      <c r="H626" s="59"/>
      <c r="I626" s="59"/>
      <c r="J626" s="59"/>
      <c r="K626" s="59"/>
      <c r="L626" s="59"/>
      <c r="M626" s="60"/>
      <c r="N626" s="60"/>
      <c r="O626" s="60"/>
      <c r="P626" s="59"/>
      <c r="Q626" s="59"/>
      <c r="R626" s="60"/>
      <c r="S626" s="60"/>
      <c r="T626" s="60"/>
      <c r="U626" s="60"/>
      <c r="V626" s="60"/>
      <c r="W626" s="60"/>
    </row>
    <row r="627" spans="1:23" ht="13" x14ac:dyDescent="0.3">
      <c r="A627" s="58"/>
      <c r="B627" s="58"/>
      <c r="C627" s="58"/>
      <c r="D627" s="58"/>
      <c r="E627" s="58"/>
      <c r="F627" s="58"/>
      <c r="G627" s="58"/>
      <c r="H627" s="59"/>
      <c r="I627" s="59"/>
      <c r="J627" s="59"/>
      <c r="K627" s="59"/>
      <c r="L627" s="59"/>
      <c r="M627" s="60"/>
      <c r="N627" s="60"/>
      <c r="O627" s="60"/>
      <c r="P627" s="59"/>
      <c r="Q627" s="59"/>
      <c r="R627" s="60"/>
      <c r="S627" s="60"/>
      <c r="T627" s="60"/>
      <c r="U627" s="60"/>
      <c r="V627" s="60"/>
      <c r="W627" s="60"/>
    </row>
    <row r="628" spans="1:23" ht="13" x14ac:dyDescent="0.3">
      <c r="A628" s="58"/>
      <c r="B628" s="58"/>
      <c r="C628" s="58"/>
      <c r="D628" s="58"/>
      <c r="E628" s="58"/>
      <c r="F628" s="58"/>
      <c r="G628" s="58"/>
      <c r="H628" s="59"/>
      <c r="I628" s="59"/>
      <c r="J628" s="59"/>
      <c r="K628" s="59"/>
      <c r="L628" s="59"/>
      <c r="M628" s="60"/>
      <c r="N628" s="60"/>
      <c r="O628" s="60"/>
      <c r="P628" s="59"/>
      <c r="Q628" s="59"/>
      <c r="R628" s="60"/>
      <c r="S628" s="60"/>
      <c r="T628" s="60"/>
      <c r="U628" s="60"/>
      <c r="V628" s="60"/>
      <c r="W628" s="60"/>
    </row>
    <row r="629" spans="1:23" ht="13" x14ac:dyDescent="0.3">
      <c r="A629" s="58"/>
      <c r="B629" s="58"/>
      <c r="C629" s="58"/>
      <c r="D629" s="58"/>
      <c r="E629" s="58"/>
      <c r="F629" s="58"/>
      <c r="G629" s="58"/>
      <c r="H629" s="59"/>
      <c r="I629" s="59"/>
      <c r="J629" s="59"/>
      <c r="K629" s="59"/>
      <c r="L629" s="59"/>
      <c r="M629" s="60"/>
      <c r="N629" s="60"/>
      <c r="O629" s="60"/>
      <c r="P629" s="59"/>
      <c r="Q629" s="59"/>
      <c r="R629" s="60"/>
      <c r="S629" s="60"/>
      <c r="T629" s="60"/>
      <c r="U629" s="60"/>
      <c r="V629" s="60"/>
      <c r="W629" s="60"/>
    </row>
    <row r="630" spans="1:23" ht="13" x14ac:dyDescent="0.3">
      <c r="A630" s="58"/>
      <c r="B630" s="58"/>
      <c r="C630" s="58"/>
      <c r="D630" s="58"/>
      <c r="E630" s="58"/>
      <c r="F630" s="58"/>
      <c r="G630" s="58"/>
      <c r="H630" s="59"/>
      <c r="I630" s="59"/>
      <c r="J630" s="59"/>
      <c r="K630" s="59"/>
      <c r="L630" s="59"/>
      <c r="M630" s="60"/>
      <c r="N630" s="60"/>
      <c r="O630" s="60"/>
      <c r="P630" s="59"/>
      <c r="Q630" s="59"/>
      <c r="R630" s="60"/>
      <c r="S630" s="60"/>
      <c r="T630" s="60"/>
      <c r="U630" s="60"/>
      <c r="V630" s="60"/>
      <c r="W630" s="60"/>
    </row>
    <row r="631" spans="1:23" ht="13" x14ac:dyDescent="0.3">
      <c r="A631" s="58"/>
      <c r="B631" s="58"/>
      <c r="C631" s="58"/>
      <c r="D631" s="58"/>
      <c r="E631" s="58"/>
      <c r="F631" s="58"/>
      <c r="G631" s="58"/>
      <c r="H631" s="59"/>
      <c r="I631" s="59"/>
      <c r="J631" s="59"/>
      <c r="K631" s="59"/>
      <c r="L631" s="59"/>
      <c r="M631" s="60"/>
      <c r="N631" s="60"/>
      <c r="O631" s="60"/>
      <c r="P631" s="59"/>
      <c r="Q631" s="59"/>
      <c r="R631" s="60"/>
      <c r="S631" s="60"/>
      <c r="T631" s="60"/>
      <c r="U631" s="60"/>
      <c r="V631" s="60"/>
      <c r="W631" s="60"/>
    </row>
    <row r="632" spans="1:23" ht="13" x14ac:dyDescent="0.3">
      <c r="A632" s="58"/>
      <c r="B632" s="58"/>
      <c r="C632" s="58"/>
      <c r="D632" s="58"/>
      <c r="E632" s="58"/>
      <c r="F632" s="58"/>
      <c r="G632" s="58"/>
      <c r="H632" s="59"/>
      <c r="I632" s="59"/>
      <c r="J632" s="59"/>
      <c r="K632" s="59"/>
      <c r="L632" s="59"/>
      <c r="M632" s="60"/>
      <c r="N632" s="60"/>
      <c r="O632" s="60"/>
      <c r="P632" s="59"/>
      <c r="Q632" s="59"/>
      <c r="R632" s="60"/>
      <c r="S632" s="60"/>
      <c r="T632" s="60"/>
      <c r="U632" s="60"/>
      <c r="V632" s="60"/>
      <c r="W632" s="60"/>
    </row>
    <row r="633" spans="1:23" ht="13" x14ac:dyDescent="0.3">
      <c r="A633" s="58"/>
      <c r="B633" s="58"/>
      <c r="C633" s="58"/>
      <c r="D633" s="58"/>
      <c r="E633" s="58"/>
      <c r="F633" s="58"/>
      <c r="G633" s="58"/>
      <c r="H633" s="59"/>
      <c r="I633" s="59"/>
      <c r="J633" s="59"/>
      <c r="K633" s="59"/>
      <c r="L633" s="59"/>
      <c r="M633" s="60"/>
      <c r="N633" s="60"/>
      <c r="O633" s="60"/>
      <c r="P633" s="59"/>
      <c r="Q633" s="59"/>
      <c r="R633" s="60"/>
      <c r="S633" s="60"/>
      <c r="T633" s="60"/>
      <c r="U633" s="60"/>
      <c r="V633" s="60"/>
      <c r="W633" s="60"/>
    </row>
    <row r="634" spans="1:23" ht="13" x14ac:dyDescent="0.3">
      <c r="A634" s="58"/>
      <c r="B634" s="58"/>
      <c r="C634" s="58"/>
      <c r="D634" s="58"/>
      <c r="E634" s="58"/>
      <c r="F634" s="58"/>
      <c r="G634" s="58"/>
      <c r="H634" s="59"/>
      <c r="I634" s="59"/>
      <c r="J634" s="59"/>
      <c r="K634" s="59"/>
      <c r="L634" s="59"/>
      <c r="M634" s="60"/>
      <c r="N634" s="60"/>
      <c r="O634" s="60"/>
      <c r="P634" s="59"/>
      <c r="Q634" s="59"/>
      <c r="R634" s="60"/>
      <c r="S634" s="60"/>
      <c r="T634" s="60"/>
      <c r="U634" s="60"/>
      <c r="V634" s="60"/>
      <c r="W634" s="60"/>
    </row>
    <row r="635" spans="1:23" ht="13" x14ac:dyDescent="0.3">
      <c r="A635" s="58"/>
      <c r="B635" s="58"/>
      <c r="C635" s="58"/>
      <c r="D635" s="58"/>
      <c r="E635" s="58"/>
      <c r="F635" s="58"/>
      <c r="G635" s="58"/>
      <c r="H635" s="59"/>
      <c r="I635" s="59"/>
      <c r="J635" s="59"/>
      <c r="K635" s="59"/>
      <c r="L635" s="59"/>
      <c r="M635" s="60"/>
      <c r="N635" s="60"/>
      <c r="O635" s="60"/>
      <c r="P635" s="59"/>
      <c r="Q635" s="59"/>
      <c r="R635" s="60"/>
      <c r="S635" s="60"/>
      <c r="T635" s="60"/>
      <c r="U635" s="60"/>
      <c r="V635" s="60"/>
      <c r="W635" s="60"/>
    </row>
    <row r="636" spans="1:23" ht="13" x14ac:dyDescent="0.3">
      <c r="A636" s="58"/>
      <c r="B636" s="58"/>
      <c r="C636" s="58"/>
      <c r="D636" s="58"/>
      <c r="E636" s="58"/>
      <c r="F636" s="58"/>
      <c r="G636" s="58"/>
      <c r="H636" s="59"/>
      <c r="I636" s="59"/>
      <c r="J636" s="59"/>
      <c r="K636" s="59"/>
      <c r="L636" s="59"/>
      <c r="M636" s="60"/>
      <c r="N636" s="60"/>
      <c r="O636" s="60"/>
      <c r="P636" s="59"/>
      <c r="Q636" s="59"/>
      <c r="R636" s="60"/>
      <c r="S636" s="60"/>
      <c r="T636" s="60"/>
      <c r="U636" s="60"/>
      <c r="V636" s="60"/>
      <c r="W636" s="60"/>
    </row>
    <row r="637" spans="1:23" ht="13" x14ac:dyDescent="0.3">
      <c r="A637" s="58"/>
      <c r="B637" s="58"/>
      <c r="C637" s="58"/>
      <c r="D637" s="58"/>
      <c r="E637" s="58"/>
      <c r="F637" s="58"/>
      <c r="G637" s="58"/>
      <c r="H637" s="59"/>
      <c r="I637" s="59"/>
      <c r="J637" s="59"/>
      <c r="K637" s="59"/>
      <c r="L637" s="59"/>
      <c r="M637" s="60"/>
      <c r="N637" s="60"/>
      <c r="O637" s="60"/>
      <c r="P637" s="59"/>
      <c r="Q637" s="59"/>
      <c r="R637" s="60"/>
      <c r="S637" s="60"/>
      <c r="T637" s="60"/>
      <c r="U637" s="60"/>
      <c r="V637" s="60"/>
      <c r="W637" s="60"/>
    </row>
    <row r="638" spans="1:23" ht="13" x14ac:dyDescent="0.3">
      <c r="A638" s="58"/>
      <c r="B638" s="58"/>
      <c r="C638" s="58"/>
      <c r="D638" s="58"/>
      <c r="E638" s="58"/>
      <c r="F638" s="58"/>
      <c r="G638" s="58"/>
      <c r="H638" s="59"/>
      <c r="I638" s="59"/>
      <c r="J638" s="59"/>
      <c r="K638" s="59"/>
      <c r="L638" s="59"/>
      <c r="M638" s="60"/>
      <c r="N638" s="60"/>
      <c r="O638" s="60"/>
      <c r="P638" s="59"/>
      <c r="Q638" s="59"/>
      <c r="R638" s="60"/>
      <c r="S638" s="60"/>
      <c r="T638" s="60"/>
      <c r="U638" s="60"/>
      <c r="V638" s="60"/>
      <c r="W638" s="60"/>
    </row>
    <row r="639" spans="1:23" ht="13" x14ac:dyDescent="0.3">
      <c r="A639" s="58"/>
      <c r="B639" s="58"/>
      <c r="C639" s="58"/>
      <c r="D639" s="58"/>
      <c r="E639" s="58"/>
      <c r="F639" s="58"/>
      <c r="G639" s="58"/>
      <c r="H639" s="59"/>
      <c r="I639" s="59"/>
      <c r="J639" s="59"/>
      <c r="K639" s="59"/>
      <c r="L639" s="59"/>
      <c r="M639" s="60"/>
      <c r="N639" s="60"/>
      <c r="O639" s="60"/>
      <c r="P639" s="59"/>
      <c r="Q639" s="59"/>
      <c r="R639" s="60"/>
      <c r="S639" s="60"/>
      <c r="T639" s="60"/>
      <c r="U639" s="60"/>
      <c r="V639" s="60"/>
      <c r="W639" s="60"/>
    </row>
    <row r="640" spans="1:23" ht="13" x14ac:dyDescent="0.3">
      <c r="A640" s="58"/>
      <c r="B640" s="58"/>
      <c r="C640" s="58"/>
      <c r="D640" s="58"/>
      <c r="E640" s="58"/>
      <c r="F640" s="58"/>
      <c r="G640" s="58"/>
      <c r="H640" s="59"/>
      <c r="I640" s="59"/>
      <c r="J640" s="59"/>
      <c r="K640" s="59"/>
      <c r="L640" s="59"/>
      <c r="M640" s="60"/>
      <c r="N640" s="60"/>
      <c r="O640" s="60"/>
      <c r="P640" s="59"/>
      <c r="Q640" s="59"/>
      <c r="R640" s="60"/>
      <c r="S640" s="60"/>
      <c r="T640" s="60"/>
      <c r="U640" s="60"/>
      <c r="V640" s="60"/>
      <c r="W640" s="60"/>
    </row>
    <row r="641" spans="1:23" ht="13" x14ac:dyDescent="0.3">
      <c r="A641" s="58"/>
      <c r="B641" s="58"/>
      <c r="C641" s="58"/>
      <c r="D641" s="58"/>
      <c r="E641" s="58"/>
      <c r="F641" s="58"/>
      <c r="G641" s="58"/>
      <c r="H641" s="59"/>
      <c r="I641" s="59"/>
      <c r="J641" s="59"/>
      <c r="K641" s="59"/>
      <c r="L641" s="59"/>
      <c r="M641" s="60"/>
      <c r="N641" s="60"/>
      <c r="O641" s="60"/>
      <c r="P641" s="59"/>
      <c r="Q641" s="59"/>
      <c r="R641" s="60"/>
      <c r="S641" s="60"/>
      <c r="T641" s="60"/>
      <c r="U641" s="60"/>
      <c r="V641" s="60"/>
      <c r="W641" s="60"/>
    </row>
    <row r="642" spans="1:23" ht="13" x14ac:dyDescent="0.3">
      <c r="A642" s="58"/>
      <c r="B642" s="58"/>
      <c r="C642" s="58"/>
      <c r="D642" s="58"/>
      <c r="E642" s="58"/>
      <c r="F642" s="58"/>
      <c r="G642" s="58"/>
      <c r="H642" s="59"/>
      <c r="I642" s="59"/>
      <c r="J642" s="59"/>
      <c r="K642" s="59"/>
      <c r="L642" s="59"/>
      <c r="M642" s="60"/>
      <c r="N642" s="60"/>
      <c r="O642" s="60"/>
      <c r="P642" s="59"/>
      <c r="Q642" s="59"/>
      <c r="R642" s="60"/>
      <c r="S642" s="60"/>
      <c r="T642" s="60"/>
      <c r="U642" s="60"/>
      <c r="V642" s="60"/>
      <c r="W642" s="60"/>
    </row>
    <row r="643" spans="1:23" ht="13" x14ac:dyDescent="0.3">
      <c r="A643" s="58"/>
      <c r="B643" s="58"/>
      <c r="C643" s="58"/>
      <c r="D643" s="58"/>
      <c r="E643" s="58"/>
      <c r="F643" s="58"/>
      <c r="G643" s="58"/>
      <c r="H643" s="59"/>
      <c r="I643" s="59"/>
      <c r="J643" s="59"/>
      <c r="K643" s="59"/>
      <c r="L643" s="59"/>
      <c r="M643" s="60"/>
      <c r="N643" s="60"/>
      <c r="O643" s="60"/>
      <c r="P643" s="59"/>
      <c r="Q643" s="59"/>
      <c r="R643" s="60"/>
      <c r="S643" s="60"/>
      <c r="T643" s="60"/>
      <c r="U643" s="60"/>
      <c r="V643" s="60"/>
      <c r="W643" s="60"/>
    </row>
    <row r="644" spans="1:23" ht="13" x14ac:dyDescent="0.3">
      <c r="A644" s="58"/>
      <c r="B644" s="58"/>
      <c r="C644" s="58"/>
      <c r="D644" s="58"/>
      <c r="E644" s="58"/>
      <c r="F644" s="58"/>
      <c r="G644" s="58"/>
      <c r="H644" s="59"/>
      <c r="I644" s="59"/>
      <c r="J644" s="59"/>
      <c r="K644" s="59"/>
      <c r="L644" s="59"/>
      <c r="M644" s="60"/>
      <c r="N644" s="60"/>
      <c r="O644" s="60"/>
      <c r="P644" s="59"/>
      <c r="Q644" s="59"/>
      <c r="R644" s="60"/>
      <c r="S644" s="60"/>
      <c r="T644" s="60"/>
      <c r="U644" s="60"/>
      <c r="V644" s="60"/>
      <c r="W644" s="60"/>
    </row>
    <row r="645" spans="1:23" ht="13" x14ac:dyDescent="0.3">
      <c r="A645" s="58"/>
      <c r="B645" s="58"/>
      <c r="C645" s="58"/>
      <c r="D645" s="58"/>
      <c r="E645" s="58"/>
      <c r="F645" s="58"/>
      <c r="G645" s="58"/>
      <c r="H645" s="59"/>
      <c r="I645" s="59"/>
      <c r="J645" s="59"/>
      <c r="K645" s="59"/>
      <c r="L645" s="59"/>
      <c r="M645" s="60"/>
      <c r="N645" s="60"/>
      <c r="O645" s="60"/>
      <c r="P645" s="59"/>
      <c r="Q645" s="59"/>
      <c r="R645" s="60"/>
      <c r="S645" s="60"/>
      <c r="T645" s="60"/>
      <c r="U645" s="60"/>
      <c r="V645" s="60"/>
      <c r="W645" s="60"/>
    </row>
    <row r="646" spans="1:23" ht="13" x14ac:dyDescent="0.3">
      <c r="A646" s="58"/>
      <c r="B646" s="58"/>
      <c r="C646" s="58"/>
      <c r="D646" s="58"/>
      <c r="E646" s="58"/>
      <c r="F646" s="58"/>
      <c r="G646" s="58"/>
      <c r="H646" s="59"/>
      <c r="I646" s="59"/>
      <c r="J646" s="59"/>
      <c r="K646" s="59"/>
      <c r="L646" s="59"/>
      <c r="M646" s="60"/>
      <c r="N646" s="60"/>
      <c r="O646" s="60"/>
      <c r="P646" s="59"/>
      <c r="Q646" s="59"/>
      <c r="R646" s="60"/>
      <c r="S646" s="60"/>
      <c r="T646" s="60"/>
      <c r="U646" s="60"/>
      <c r="V646" s="60"/>
      <c r="W646" s="60"/>
    </row>
    <row r="647" spans="1:23" ht="13" x14ac:dyDescent="0.3">
      <c r="A647" s="58"/>
      <c r="B647" s="58"/>
      <c r="C647" s="58"/>
      <c r="D647" s="58"/>
      <c r="E647" s="58"/>
      <c r="F647" s="58"/>
      <c r="G647" s="58"/>
      <c r="H647" s="59"/>
      <c r="I647" s="59"/>
      <c r="J647" s="59"/>
      <c r="K647" s="59"/>
      <c r="L647" s="59"/>
      <c r="M647" s="60"/>
      <c r="N647" s="60"/>
      <c r="O647" s="60"/>
      <c r="P647" s="59"/>
      <c r="Q647" s="59"/>
      <c r="R647" s="60"/>
      <c r="S647" s="60"/>
      <c r="T647" s="60"/>
      <c r="U647" s="60"/>
      <c r="V647" s="60"/>
      <c r="W647" s="60"/>
    </row>
    <row r="648" spans="1:23" ht="13" x14ac:dyDescent="0.3">
      <c r="A648" s="58"/>
      <c r="B648" s="58"/>
      <c r="C648" s="58"/>
      <c r="D648" s="58"/>
      <c r="E648" s="58"/>
      <c r="F648" s="58"/>
      <c r="G648" s="58"/>
      <c r="H648" s="59"/>
      <c r="I648" s="59"/>
      <c r="J648" s="59"/>
      <c r="K648" s="59"/>
      <c r="L648" s="59"/>
      <c r="M648" s="60"/>
      <c r="N648" s="60"/>
      <c r="O648" s="60"/>
      <c r="P648" s="59"/>
      <c r="Q648" s="59"/>
      <c r="R648" s="60"/>
      <c r="S648" s="60"/>
      <c r="T648" s="60"/>
      <c r="U648" s="60"/>
      <c r="V648" s="60"/>
      <c r="W648" s="60"/>
    </row>
    <row r="649" spans="1:23" ht="13" x14ac:dyDescent="0.3">
      <c r="A649" s="58"/>
      <c r="B649" s="58"/>
      <c r="C649" s="58"/>
      <c r="D649" s="58"/>
      <c r="E649" s="58"/>
      <c r="F649" s="58"/>
      <c r="G649" s="58"/>
      <c r="H649" s="59"/>
      <c r="I649" s="59"/>
      <c r="J649" s="59"/>
      <c r="K649" s="59"/>
      <c r="L649" s="59"/>
      <c r="M649" s="60"/>
      <c r="N649" s="60"/>
      <c r="O649" s="60"/>
      <c r="P649" s="59"/>
      <c r="Q649" s="59"/>
      <c r="R649" s="60"/>
      <c r="S649" s="60"/>
      <c r="T649" s="60"/>
      <c r="U649" s="60"/>
      <c r="V649" s="60"/>
      <c r="W649" s="60"/>
    </row>
    <row r="650" spans="1:23" ht="13" x14ac:dyDescent="0.3">
      <c r="A650" s="58"/>
      <c r="B650" s="58"/>
      <c r="C650" s="58"/>
      <c r="D650" s="58"/>
      <c r="E650" s="58"/>
      <c r="F650" s="58"/>
      <c r="G650" s="58"/>
      <c r="H650" s="59"/>
      <c r="I650" s="59"/>
      <c r="J650" s="59"/>
      <c r="K650" s="59"/>
      <c r="L650" s="59"/>
      <c r="M650" s="60"/>
      <c r="N650" s="60"/>
      <c r="O650" s="60"/>
      <c r="P650" s="59"/>
      <c r="Q650" s="59"/>
      <c r="R650" s="60"/>
      <c r="S650" s="60"/>
      <c r="T650" s="60"/>
      <c r="U650" s="60"/>
      <c r="V650" s="60"/>
      <c r="W650" s="60"/>
    </row>
    <row r="651" spans="1:23" ht="13" x14ac:dyDescent="0.3">
      <c r="A651" s="58"/>
      <c r="B651" s="58"/>
      <c r="C651" s="58"/>
      <c r="D651" s="58"/>
      <c r="E651" s="58"/>
      <c r="F651" s="58"/>
      <c r="G651" s="58"/>
      <c r="H651" s="59"/>
      <c r="I651" s="59"/>
      <c r="J651" s="59"/>
      <c r="K651" s="59"/>
      <c r="L651" s="59"/>
      <c r="M651" s="60"/>
      <c r="N651" s="60"/>
      <c r="O651" s="60"/>
      <c r="P651" s="59"/>
      <c r="Q651" s="59"/>
      <c r="R651" s="60"/>
      <c r="S651" s="60"/>
      <c r="T651" s="60"/>
      <c r="U651" s="60"/>
      <c r="V651" s="60"/>
      <c r="W651" s="60"/>
    </row>
    <row r="652" spans="1:23" ht="13" x14ac:dyDescent="0.3">
      <c r="A652" s="58"/>
      <c r="B652" s="58"/>
      <c r="C652" s="58"/>
      <c r="D652" s="58"/>
      <c r="E652" s="58"/>
      <c r="F652" s="58"/>
      <c r="G652" s="58"/>
      <c r="H652" s="59"/>
      <c r="I652" s="59"/>
      <c r="J652" s="59"/>
      <c r="K652" s="59"/>
      <c r="L652" s="59"/>
      <c r="M652" s="60"/>
      <c r="N652" s="60"/>
      <c r="O652" s="60"/>
      <c r="P652" s="59"/>
      <c r="Q652" s="59"/>
      <c r="R652" s="60"/>
      <c r="S652" s="60"/>
      <c r="T652" s="60"/>
      <c r="U652" s="60"/>
      <c r="V652" s="60"/>
      <c r="W652" s="60"/>
    </row>
    <row r="653" spans="1:23" ht="13" x14ac:dyDescent="0.3">
      <c r="A653" s="58"/>
      <c r="B653" s="58"/>
      <c r="C653" s="58"/>
      <c r="D653" s="58"/>
      <c r="E653" s="58"/>
      <c r="F653" s="58"/>
      <c r="G653" s="58"/>
      <c r="H653" s="59"/>
      <c r="I653" s="59"/>
      <c r="J653" s="59"/>
      <c r="K653" s="59"/>
      <c r="L653" s="59"/>
      <c r="M653" s="60"/>
      <c r="N653" s="60"/>
      <c r="O653" s="60"/>
      <c r="P653" s="59"/>
      <c r="Q653" s="59"/>
      <c r="R653" s="60"/>
      <c r="S653" s="60"/>
      <c r="T653" s="60"/>
      <c r="U653" s="60"/>
      <c r="V653" s="60"/>
      <c r="W653" s="60"/>
    </row>
    <row r="654" spans="1:23" ht="13" x14ac:dyDescent="0.3">
      <c r="A654" s="58"/>
      <c r="B654" s="58"/>
      <c r="C654" s="58"/>
      <c r="D654" s="58"/>
      <c r="E654" s="58"/>
      <c r="F654" s="58"/>
      <c r="G654" s="58"/>
      <c r="H654" s="59"/>
      <c r="I654" s="59"/>
      <c r="J654" s="59"/>
      <c r="K654" s="59"/>
      <c r="L654" s="59"/>
      <c r="M654" s="60"/>
      <c r="N654" s="60"/>
      <c r="O654" s="60"/>
      <c r="P654" s="59"/>
      <c r="Q654" s="59"/>
      <c r="R654" s="60"/>
      <c r="S654" s="60"/>
      <c r="T654" s="60"/>
      <c r="U654" s="60"/>
      <c r="V654" s="60"/>
      <c r="W654" s="60"/>
    </row>
    <row r="655" spans="1:23" ht="13" x14ac:dyDescent="0.3">
      <c r="A655" s="58"/>
      <c r="B655" s="58"/>
      <c r="C655" s="58"/>
      <c r="D655" s="58"/>
      <c r="E655" s="58"/>
      <c r="F655" s="58"/>
      <c r="G655" s="58"/>
      <c r="H655" s="59"/>
      <c r="I655" s="59"/>
      <c r="J655" s="59"/>
      <c r="K655" s="59"/>
      <c r="L655" s="59"/>
      <c r="M655" s="60"/>
      <c r="N655" s="60"/>
      <c r="O655" s="60"/>
      <c r="P655" s="59"/>
      <c r="Q655" s="59"/>
      <c r="R655" s="60"/>
      <c r="S655" s="60"/>
      <c r="T655" s="60"/>
      <c r="U655" s="60"/>
      <c r="V655" s="60"/>
      <c r="W655" s="60"/>
    </row>
    <row r="656" spans="1:23" ht="13" x14ac:dyDescent="0.3">
      <c r="A656" s="58"/>
      <c r="B656" s="58"/>
      <c r="C656" s="58"/>
      <c r="D656" s="58"/>
      <c r="E656" s="58"/>
      <c r="F656" s="58"/>
      <c r="G656" s="58"/>
      <c r="H656" s="59"/>
      <c r="I656" s="59"/>
      <c r="J656" s="59"/>
      <c r="K656" s="59"/>
      <c r="L656" s="59"/>
      <c r="M656" s="60"/>
      <c r="N656" s="60"/>
      <c r="O656" s="60"/>
      <c r="P656" s="59"/>
      <c r="Q656" s="59"/>
      <c r="R656" s="60"/>
      <c r="S656" s="60"/>
      <c r="T656" s="60"/>
      <c r="U656" s="60"/>
      <c r="V656" s="60"/>
      <c r="W656" s="60"/>
    </row>
    <row r="657" spans="1:23" ht="13" x14ac:dyDescent="0.3">
      <c r="A657" s="58"/>
      <c r="B657" s="58"/>
      <c r="C657" s="58"/>
      <c r="D657" s="58"/>
      <c r="E657" s="58"/>
      <c r="F657" s="58"/>
      <c r="G657" s="58"/>
      <c r="H657" s="59"/>
      <c r="I657" s="59"/>
      <c r="J657" s="59"/>
      <c r="K657" s="59"/>
      <c r="L657" s="59"/>
      <c r="M657" s="60"/>
      <c r="N657" s="60"/>
      <c r="O657" s="60"/>
      <c r="P657" s="59"/>
      <c r="Q657" s="59"/>
      <c r="R657" s="60"/>
      <c r="S657" s="60"/>
      <c r="T657" s="60"/>
      <c r="U657" s="60"/>
      <c r="V657" s="60"/>
      <c r="W657" s="60"/>
    </row>
    <row r="658" spans="1:23" ht="13" x14ac:dyDescent="0.3">
      <c r="A658" s="58"/>
      <c r="B658" s="58"/>
      <c r="C658" s="58"/>
      <c r="D658" s="58"/>
      <c r="E658" s="58"/>
      <c r="F658" s="58"/>
      <c r="G658" s="58"/>
      <c r="H658" s="59"/>
      <c r="I658" s="59"/>
      <c r="J658" s="59"/>
      <c r="K658" s="59"/>
      <c r="L658" s="59"/>
      <c r="M658" s="60"/>
      <c r="N658" s="60"/>
      <c r="O658" s="60"/>
      <c r="P658" s="59"/>
      <c r="Q658" s="59"/>
      <c r="R658" s="60"/>
      <c r="S658" s="60"/>
      <c r="T658" s="60"/>
      <c r="U658" s="60"/>
      <c r="V658" s="60"/>
      <c r="W658" s="60"/>
    </row>
    <row r="659" spans="1:23" ht="13" x14ac:dyDescent="0.3">
      <c r="A659" s="58"/>
      <c r="B659" s="58"/>
      <c r="C659" s="58"/>
      <c r="D659" s="58"/>
      <c r="E659" s="58"/>
      <c r="F659" s="58"/>
      <c r="G659" s="58"/>
      <c r="H659" s="59"/>
      <c r="I659" s="59"/>
      <c r="J659" s="59"/>
      <c r="K659" s="59"/>
      <c r="L659" s="59"/>
      <c r="M659" s="60"/>
      <c r="N659" s="60"/>
      <c r="O659" s="60"/>
      <c r="P659" s="59"/>
      <c r="Q659" s="59"/>
      <c r="R659" s="60"/>
      <c r="S659" s="60"/>
      <c r="T659" s="60"/>
      <c r="U659" s="60"/>
      <c r="V659" s="60"/>
      <c r="W659" s="60"/>
    </row>
    <row r="660" spans="1:23" ht="13" x14ac:dyDescent="0.3">
      <c r="A660" s="58"/>
      <c r="B660" s="58"/>
      <c r="C660" s="58"/>
      <c r="D660" s="58"/>
      <c r="E660" s="58"/>
      <c r="F660" s="58"/>
      <c r="G660" s="58"/>
      <c r="H660" s="59"/>
      <c r="I660" s="59"/>
      <c r="J660" s="59"/>
      <c r="K660" s="59"/>
      <c r="L660" s="59"/>
      <c r="M660" s="60"/>
      <c r="N660" s="60"/>
      <c r="O660" s="60"/>
      <c r="P660" s="59"/>
      <c r="Q660" s="59"/>
      <c r="R660" s="60"/>
      <c r="S660" s="60"/>
      <c r="T660" s="60"/>
      <c r="U660" s="60"/>
      <c r="V660" s="60"/>
      <c r="W660" s="60"/>
    </row>
    <row r="661" spans="1:23" ht="13" x14ac:dyDescent="0.3">
      <c r="A661" s="58"/>
      <c r="B661" s="58"/>
      <c r="C661" s="58"/>
      <c r="D661" s="58"/>
      <c r="E661" s="58"/>
      <c r="F661" s="58"/>
      <c r="G661" s="58"/>
      <c r="H661" s="59"/>
      <c r="I661" s="59"/>
      <c r="J661" s="59"/>
      <c r="K661" s="59"/>
      <c r="L661" s="59"/>
      <c r="M661" s="60"/>
      <c r="N661" s="60"/>
      <c r="O661" s="60"/>
      <c r="P661" s="59"/>
      <c r="Q661" s="59"/>
      <c r="R661" s="60"/>
      <c r="S661" s="60"/>
      <c r="T661" s="60"/>
      <c r="U661" s="60"/>
      <c r="V661" s="60"/>
      <c r="W661" s="60"/>
    </row>
    <row r="662" spans="1:23" ht="13" x14ac:dyDescent="0.3">
      <c r="A662" s="58"/>
      <c r="B662" s="58"/>
      <c r="C662" s="58"/>
      <c r="D662" s="58"/>
      <c r="E662" s="58"/>
      <c r="F662" s="58"/>
      <c r="G662" s="58"/>
      <c r="H662" s="59"/>
      <c r="I662" s="59"/>
      <c r="J662" s="59"/>
      <c r="K662" s="59"/>
      <c r="L662" s="59"/>
      <c r="M662" s="60"/>
      <c r="N662" s="60"/>
      <c r="O662" s="60"/>
      <c r="P662" s="59"/>
      <c r="Q662" s="59"/>
      <c r="R662" s="60"/>
      <c r="S662" s="60"/>
      <c r="T662" s="60"/>
      <c r="U662" s="60"/>
      <c r="V662" s="60"/>
      <c r="W662" s="60"/>
    </row>
    <row r="663" spans="1:23" ht="13" x14ac:dyDescent="0.3">
      <c r="A663" s="58"/>
      <c r="B663" s="58"/>
      <c r="C663" s="58"/>
      <c r="D663" s="58"/>
      <c r="E663" s="58"/>
      <c r="F663" s="58"/>
      <c r="G663" s="58"/>
      <c r="H663" s="59"/>
      <c r="I663" s="59"/>
      <c r="J663" s="59"/>
      <c r="K663" s="59"/>
      <c r="L663" s="59"/>
      <c r="M663" s="60"/>
      <c r="N663" s="60"/>
      <c r="O663" s="60"/>
      <c r="P663" s="59"/>
      <c r="Q663" s="59"/>
      <c r="R663" s="60"/>
      <c r="S663" s="60"/>
      <c r="T663" s="60"/>
      <c r="U663" s="60"/>
      <c r="V663" s="60"/>
      <c r="W663" s="60"/>
    </row>
    <row r="664" spans="1:23" ht="13" x14ac:dyDescent="0.3">
      <c r="A664" s="58"/>
      <c r="B664" s="58"/>
      <c r="C664" s="58"/>
      <c r="D664" s="58"/>
      <c r="E664" s="58"/>
      <c r="F664" s="58"/>
      <c r="G664" s="58"/>
      <c r="H664" s="59"/>
      <c r="I664" s="59"/>
      <c r="J664" s="59"/>
      <c r="K664" s="59"/>
      <c r="L664" s="59"/>
      <c r="M664" s="60"/>
      <c r="N664" s="60"/>
      <c r="O664" s="60"/>
      <c r="P664" s="59"/>
      <c r="Q664" s="59"/>
      <c r="R664" s="60"/>
      <c r="S664" s="60"/>
      <c r="T664" s="60"/>
      <c r="U664" s="60"/>
      <c r="V664" s="60"/>
      <c r="W664" s="60"/>
    </row>
    <row r="665" spans="1:23" ht="13" x14ac:dyDescent="0.3">
      <c r="A665" s="58"/>
      <c r="B665" s="58"/>
      <c r="C665" s="58"/>
      <c r="D665" s="58"/>
      <c r="E665" s="58"/>
      <c r="F665" s="58"/>
      <c r="G665" s="58"/>
      <c r="H665" s="59"/>
      <c r="I665" s="59"/>
      <c r="J665" s="59"/>
      <c r="K665" s="59"/>
      <c r="L665" s="59"/>
      <c r="M665" s="60"/>
      <c r="N665" s="60"/>
      <c r="O665" s="60"/>
      <c r="P665" s="59"/>
      <c r="Q665" s="59"/>
      <c r="R665" s="60"/>
      <c r="S665" s="60"/>
      <c r="T665" s="60"/>
      <c r="U665" s="60"/>
      <c r="V665" s="60"/>
      <c r="W665" s="60"/>
    </row>
    <row r="666" spans="1:23" ht="13" x14ac:dyDescent="0.3">
      <c r="A666" s="58"/>
      <c r="B666" s="58"/>
      <c r="C666" s="58"/>
      <c r="D666" s="58"/>
      <c r="E666" s="58"/>
      <c r="F666" s="58"/>
      <c r="G666" s="58"/>
      <c r="H666" s="59"/>
      <c r="I666" s="59"/>
      <c r="J666" s="59"/>
      <c r="K666" s="59"/>
      <c r="L666" s="59"/>
      <c r="M666" s="60"/>
      <c r="N666" s="60"/>
      <c r="O666" s="60"/>
      <c r="P666" s="59"/>
      <c r="Q666" s="59"/>
      <c r="R666" s="60"/>
      <c r="S666" s="60"/>
      <c r="T666" s="60"/>
      <c r="U666" s="60"/>
      <c r="V666" s="60"/>
      <c r="W666" s="60"/>
    </row>
    <row r="667" spans="1:23" ht="13" x14ac:dyDescent="0.3">
      <c r="A667" s="58"/>
      <c r="B667" s="58"/>
      <c r="C667" s="58"/>
      <c r="D667" s="58"/>
      <c r="E667" s="58"/>
      <c r="F667" s="58"/>
      <c r="G667" s="58"/>
      <c r="H667" s="59"/>
      <c r="I667" s="59"/>
      <c r="J667" s="59"/>
      <c r="K667" s="59"/>
      <c r="L667" s="59"/>
      <c r="M667" s="60"/>
      <c r="N667" s="60"/>
      <c r="O667" s="60"/>
      <c r="P667" s="59"/>
      <c r="Q667" s="59"/>
      <c r="R667" s="60"/>
      <c r="S667" s="60"/>
      <c r="T667" s="60"/>
      <c r="U667" s="60"/>
      <c r="V667" s="60"/>
      <c r="W667" s="60"/>
    </row>
    <row r="668" spans="1:23" ht="13" x14ac:dyDescent="0.3">
      <c r="A668" s="58"/>
      <c r="B668" s="58"/>
      <c r="C668" s="58"/>
      <c r="D668" s="58"/>
      <c r="E668" s="58"/>
      <c r="F668" s="58"/>
      <c r="G668" s="58"/>
      <c r="H668" s="59"/>
      <c r="I668" s="59"/>
      <c r="J668" s="59"/>
      <c r="K668" s="59"/>
      <c r="L668" s="59"/>
      <c r="M668" s="60"/>
      <c r="N668" s="60"/>
      <c r="O668" s="60"/>
      <c r="P668" s="59"/>
      <c r="Q668" s="59"/>
      <c r="R668" s="60"/>
      <c r="S668" s="60"/>
      <c r="T668" s="60"/>
      <c r="U668" s="60"/>
      <c r="V668" s="60"/>
      <c r="W668" s="60"/>
    </row>
    <row r="669" spans="1:23" ht="13" x14ac:dyDescent="0.3">
      <c r="A669" s="58"/>
      <c r="B669" s="58"/>
      <c r="C669" s="58"/>
      <c r="D669" s="58"/>
      <c r="E669" s="58"/>
      <c r="F669" s="58"/>
      <c r="G669" s="58"/>
      <c r="H669" s="59"/>
      <c r="I669" s="59"/>
      <c r="J669" s="59"/>
      <c r="K669" s="59"/>
      <c r="L669" s="59"/>
      <c r="M669" s="60"/>
      <c r="N669" s="60"/>
      <c r="O669" s="60"/>
      <c r="P669" s="59"/>
      <c r="Q669" s="59"/>
      <c r="R669" s="60"/>
      <c r="S669" s="60"/>
      <c r="T669" s="60"/>
      <c r="U669" s="60"/>
      <c r="V669" s="60"/>
      <c r="W669" s="60"/>
    </row>
    <row r="670" spans="1:23" ht="13" x14ac:dyDescent="0.3">
      <c r="A670" s="58"/>
      <c r="B670" s="58"/>
      <c r="C670" s="58"/>
      <c r="D670" s="58"/>
      <c r="E670" s="58"/>
      <c r="F670" s="58"/>
      <c r="G670" s="58"/>
      <c r="H670" s="59"/>
      <c r="I670" s="59"/>
      <c r="J670" s="59"/>
      <c r="K670" s="59"/>
      <c r="L670" s="59"/>
      <c r="M670" s="60"/>
      <c r="N670" s="60"/>
      <c r="O670" s="60"/>
      <c r="P670" s="59"/>
      <c r="Q670" s="59"/>
      <c r="R670" s="60"/>
      <c r="S670" s="60"/>
      <c r="T670" s="60"/>
      <c r="U670" s="60"/>
      <c r="V670" s="60"/>
      <c r="W670" s="60"/>
    </row>
    <row r="671" spans="1:23" ht="13" x14ac:dyDescent="0.3">
      <c r="A671" s="58"/>
      <c r="B671" s="58"/>
      <c r="C671" s="58"/>
      <c r="D671" s="58"/>
      <c r="E671" s="58"/>
      <c r="F671" s="58"/>
      <c r="G671" s="58"/>
      <c r="H671" s="59"/>
      <c r="I671" s="59"/>
      <c r="J671" s="59"/>
      <c r="K671" s="59"/>
      <c r="L671" s="59"/>
      <c r="M671" s="60"/>
      <c r="N671" s="60"/>
      <c r="O671" s="60"/>
      <c r="P671" s="59"/>
      <c r="Q671" s="59"/>
      <c r="R671" s="60"/>
      <c r="S671" s="60"/>
      <c r="T671" s="60"/>
      <c r="U671" s="60"/>
      <c r="V671" s="60"/>
      <c r="W671" s="60"/>
    </row>
    <row r="672" spans="1:23" ht="13" x14ac:dyDescent="0.3">
      <c r="A672" s="58"/>
      <c r="B672" s="58"/>
      <c r="C672" s="58"/>
      <c r="D672" s="58"/>
      <c r="E672" s="58"/>
      <c r="F672" s="58"/>
      <c r="G672" s="58"/>
      <c r="H672" s="59"/>
      <c r="I672" s="59"/>
      <c r="J672" s="59"/>
      <c r="K672" s="59"/>
      <c r="L672" s="59"/>
      <c r="M672" s="60"/>
      <c r="N672" s="60"/>
      <c r="O672" s="60"/>
      <c r="P672" s="59"/>
      <c r="Q672" s="59"/>
      <c r="R672" s="60"/>
      <c r="S672" s="60"/>
      <c r="T672" s="60"/>
      <c r="U672" s="60"/>
      <c r="V672" s="60"/>
      <c r="W672" s="60"/>
    </row>
    <row r="673" spans="1:23" ht="13" x14ac:dyDescent="0.3">
      <c r="A673" s="58"/>
      <c r="B673" s="58"/>
      <c r="C673" s="58"/>
      <c r="D673" s="58"/>
      <c r="E673" s="58"/>
      <c r="F673" s="58"/>
      <c r="G673" s="58"/>
      <c r="H673" s="59"/>
      <c r="I673" s="59"/>
      <c r="J673" s="59"/>
      <c r="K673" s="59"/>
      <c r="L673" s="59"/>
      <c r="M673" s="60"/>
      <c r="N673" s="60"/>
      <c r="O673" s="60"/>
      <c r="P673" s="59"/>
      <c r="Q673" s="59"/>
      <c r="R673" s="60"/>
      <c r="S673" s="60"/>
      <c r="T673" s="60"/>
      <c r="U673" s="60"/>
      <c r="V673" s="60"/>
      <c r="W673" s="60"/>
    </row>
    <row r="674" spans="1:23" ht="13" x14ac:dyDescent="0.3">
      <c r="A674" s="58"/>
      <c r="B674" s="58"/>
      <c r="C674" s="58"/>
      <c r="D674" s="58"/>
      <c r="E674" s="58"/>
      <c r="F674" s="58"/>
      <c r="G674" s="58"/>
      <c r="H674" s="59"/>
      <c r="I674" s="59"/>
      <c r="J674" s="59"/>
      <c r="K674" s="59"/>
      <c r="L674" s="59"/>
      <c r="M674" s="60"/>
      <c r="N674" s="60"/>
      <c r="O674" s="60"/>
      <c r="P674" s="59"/>
      <c r="Q674" s="59"/>
      <c r="R674" s="60"/>
      <c r="S674" s="60"/>
      <c r="T674" s="60"/>
      <c r="U674" s="60"/>
      <c r="V674" s="60"/>
      <c r="W674" s="60"/>
    </row>
    <row r="675" spans="1:23" ht="13" x14ac:dyDescent="0.3">
      <c r="A675" s="58"/>
      <c r="B675" s="58"/>
      <c r="C675" s="58"/>
      <c r="D675" s="58"/>
      <c r="E675" s="58"/>
      <c r="F675" s="58"/>
      <c r="G675" s="58"/>
      <c r="H675" s="59"/>
      <c r="I675" s="59"/>
      <c r="J675" s="59"/>
      <c r="K675" s="59"/>
      <c r="L675" s="59"/>
      <c r="M675" s="60"/>
      <c r="N675" s="60"/>
      <c r="O675" s="60"/>
      <c r="P675" s="59"/>
      <c r="Q675" s="59"/>
      <c r="R675" s="60"/>
      <c r="S675" s="60"/>
      <c r="T675" s="60"/>
      <c r="U675" s="60"/>
      <c r="V675" s="60"/>
      <c r="W675" s="60"/>
    </row>
    <row r="676" spans="1:23" ht="13" x14ac:dyDescent="0.3">
      <c r="A676" s="58"/>
      <c r="B676" s="58"/>
      <c r="C676" s="58"/>
      <c r="D676" s="58"/>
      <c r="E676" s="58"/>
      <c r="F676" s="58"/>
      <c r="G676" s="58"/>
      <c r="H676" s="59"/>
      <c r="I676" s="59"/>
      <c r="J676" s="59"/>
      <c r="K676" s="59"/>
      <c r="L676" s="59"/>
      <c r="M676" s="60"/>
      <c r="N676" s="60"/>
      <c r="O676" s="60"/>
      <c r="P676" s="59"/>
      <c r="Q676" s="59"/>
      <c r="R676" s="60"/>
      <c r="S676" s="60"/>
      <c r="T676" s="60"/>
      <c r="U676" s="60"/>
      <c r="V676" s="60"/>
      <c r="W676" s="60"/>
    </row>
    <row r="677" spans="1:23" ht="13" x14ac:dyDescent="0.3">
      <c r="A677" s="58"/>
      <c r="B677" s="58"/>
      <c r="C677" s="58"/>
      <c r="D677" s="58"/>
      <c r="E677" s="58"/>
      <c r="F677" s="58"/>
      <c r="G677" s="58"/>
      <c r="H677" s="59"/>
      <c r="I677" s="59"/>
      <c r="J677" s="59"/>
      <c r="K677" s="59"/>
      <c r="L677" s="59"/>
      <c r="M677" s="60"/>
      <c r="N677" s="60"/>
      <c r="O677" s="60"/>
      <c r="P677" s="59"/>
      <c r="Q677" s="59"/>
      <c r="R677" s="60"/>
      <c r="S677" s="60"/>
      <c r="T677" s="60"/>
      <c r="U677" s="60"/>
      <c r="V677" s="60"/>
      <c r="W677" s="60"/>
    </row>
    <row r="678" spans="1:23" ht="13" x14ac:dyDescent="0.3">
      <c r="A678" s="58"/>
      <c r="B678" s="58"/>
      <c r="C678" s="58"/>
      <c r="D678" s="58"/>
      <c r="E678" s="58"/>
      <c r="F678" s="58"/>
      <c r="G678" s="58"/>
      <c r="H678" s="59"/>
      <c r="I678" s="59"/>
      <c r="J678" s="59"/>
      <c r="K678" s="59"/>
      <c r="L678" s="59"/>
      <c r="M678" s="60"/>
      <c r="N678" s="60"/>
      <c r="O678" s="60"/>
      <c r="P678" s="59"/>
      <c r="Q678" s="59"/>
      <c r="R678" s="60"/>
      <c r="S678" s="60"/>
      <c r="T678" s="60"/>
      <c r="U678" s="60"/>
      <c r="V678" s="60"/>
      <c r="W678" s="60"/>
    </row>
    <row r="679" spans="1:23" ht="13" x14ac:dyDescent="0.3">
      <c r="A679" s="58"/>
      <c r="B679" s="58"/>
      <c r="C679" s="58"/>
      <c r="D679" s="58"/>
      <c r="E679" s="58"/>
      <c r="F679" s="58"/>
      <c r="G679" s="58"/>
      <c r="H679" s="59"/>
      <c r="I679" s="59"/>
      <c r="J679" s="59"/>
      <c r="K679" s="59"/>
      <c r="L679" s="59"/>
      <c r="M679" s="60"/>
      <c r="N679" s="60"/>
      <c r="O679" s="60"/>
      <c r="P679" s="59"/>
      <c r="Q679" s="59"/>
      <c r="R679" s="60"/>
      <c r="S679" s="60"/>
      <c r="T679" s="60"/>
      <c r="U679" s="60"/>
      <c r="V679" s="60"/>
      <c r="W679" s="60"/>
    </row>
    <row r="680" spans="1:23" ht="13" x14ac:dyDescent="0.3">
      <c r="A680" s="58"/>
      <c r="B680" s="58"/>
      <c r="C680" s="58"/>
      <c r="D680" s="58"/>
      <c r="E680" s="58"/>
      <c r="F680" s="58"/>
      <c r="G680" s="58"/>
      <c r="H680" s="59"/>
      <c r="I680" s="59"/>
      <c r="J680" s="59"/>
      <c r="K680" s="59"/>
      <c r="L680" s="59"/>
      <c r="M680" s="60"/>
      <c r="N680" s="60"/>
      <c r="O680" s="60"/>
      <c r="P680" s="59"/>
      <c r="Q680" s="59"/>
      <c r="R680" s="60"/>
      <c r="S680" s="60"/>
      <c r="T680" s="60"/>
      <c r="U680" s="60"/>
      <c r="V680" s="60"/>
      <c r="W680" s="60"/>
    </row>
    <row r="681" spans="1:23" ht="13" x14ac:dyDescent="0.3">
      <c r="A681" s="58"/>
      <c r="B681" s="58"/>
      <c r="C681" s="58"/>
      <c r="D681" s="58"/>
      <c r="E681" s="58"/>
      <c r="F681" s="58"/>
      <c r="G681" s="58"/>
      <c r="H681" s="59"/>
      <c r="I681" s="59"/>
      <c r="J681" s="59"/>
      <c r="K681" s="59"/>
      <c r="L681" s="59"/>
      <c r="M681" s="60"/>
      <c r="N681" s="60"/>
      <c r="O681" s="60"/>
      <c r="P681" s="59"/>
      <c r="Q681" s="59"/>
      <c r="R681" s="60"/>
      <c r="S681" s="60"/>
      <c r="T681" s="60"/>
      <c r="U681" s="60"/>
      <c r="V681" s="60"/>
      <c r="W681" s="60"/>
    </row>
    <row r="682" spans="1:23" ht="13" x14ac:dyDescent="0.3">
      <c r="A682" s="58"/>
      <c r="B682" s="58"/>
      <c r="C682" s="58"/>
      <c r="D682" s="58"/>
      <c r="E682" s="58"/>
      <c r="F682" s="58"/>
      <c r="G682" s="58"/>
      <c r="H682" s="59"/>
      <c r="I682" s="59"/>
      <c r="J682" s="59"/>
      <c r="K682" s="59"/>
      <c r="L682" s="59"/>
      <c r="M682" s="60"/>
      <c r="N682" s="60"/>
      <c r="O682" s="60"/>
      <c r="P682" s="59"/>
      <c r="Q682" s="59"/>
      <c r="R682" s="60"/>
      <c r="S682" s="60"/>
      <c r="T682" s="60"/>
      <c r="U682" s="60"/>
      <c r="V682" s="60"/>
      <c r="W682" s="60"/>
    </row>
    <row r="683" spans="1:23" ht="13" x14ac:dyDescent="0.3">
      <c r="A683" s="58"/>
      <c r="B683" s="58"/>
      <c r="C683" s="58"/>
      <c r="D683" s="58"/>
      <c r="E683" s="58"/>
      <c r="F683" s="58"/>
      <c r="G683" s="58"/>
      <c r="H683" s="59"/>
      <c r="I683" s="59"/>
      <c r="J683" s="59"/>
      <c r="K683" s="59"/>
      <c r="L683" s="59"/>
      <c r="M683" s="60"/>
      <c r="N683" s="60"/>
      <c r="O683" s="60"/>
      <c r="P683" s="59"/>
      <c r="Q683" s="59"/>
      <c r="R683" s="60"/>
      <c r="S683" s="60"/>
      <c r="T683" s="60"/>
      <c r="U683" s="60"/>
      <c r="V683" s="60"/>
      <c r="W683" s="60"/>
    </row>
    <row r="684" spans="1:23" ht="13" x14ac:dyDescent="0.3">
      <c r="A684" s="58"/>
      <c r="B684" s="58"/>
      <c r="C684" s="58"/>
      <c r="D684" s="58"/>
      <c r="E684" s="58"/>
      <c r="F684" s="58"/>
      <c r="G684" s="58"/>
      <c r="H684" s="59"/>
      <c r="I684" s="59"/>
      <c r="J684" s="59"/>
      <c r="K684" s="59"/>
      <c r="L684" s="59"/>
      <c r="M684" s="60"/>
      <c r="N684" s="60"/>
      <c r="O684" s="60"/>
      <c r="P684" s="59"/>
      <c r="Q684" s="59"/>
      <c r="R684" s="60"/>
      <c r="S684" s="60"/>
      <c r="T684" s="60"/>
      <c r="U684" s="60"/>
      <c r="V684" s="60"/>
      <c r="W684" s="60"/>
    </row>
    <row r="685" spans="1:23" ht="13" x14ac:dyDescent="0.3">
      <c r="A685" s="58"/>
      <c r="B685" s="58"/>
      <c r="C685" s="58"/>
      <c r="D685" s="58"/>
      <c r="E685" s="58"/>
      <c r="F685" s="58"/>
      <c r="G685" s="58"/>
      <c r="H685" s="59"/>
      <c r="I685" s="59"/>
      <c r="J685" s="59"/>
      <c r="K685" s="59"/>
      <c r="L685" s="59"/>
      <c r="M685" s="60"/>
      <c r="N685" s="60"/>
      <c r="O685" s="60"/>
      <c r="P685" s="59"/>
      <c r="Q685" s="59"/>
      <c r="R685" s="60"/>
      <c r="S685" s="60"/>
      <c r="T685" s="60"/>
      <c r="U685" s="60"/>
      <c r="V685" s="60"/>
      <c r="W685" s="60"/>
    </row>
    <row r="686" spans="1:23" ht="13" x14ac:dyDescent="0.3">
      <c r="A686" s="58"/>
      <c r="B686" s="58"/>
      <c r="C686" s="58"/>
      <c r="D686" s="58"/>
      <c r="E686" s="58"/>
      <c r="F686" s="58"/>
      <c r="G686" s="58"/>
      <c r="H686" s="59"/>
      <c r="I686" s="59"/>
      <c r="J686" s="59"/>
      <c r="K686" s="59"/>
      <c r="L686" s="59"/>
      <c r="M686" s="60"/>
      <c r="N686" s="60"/>
      <c r="O686" s="60"/>
      <c r="P686" s="59"/>
      <c r="Q686" s="59"/>
      <c r="R686" s="60"/>
      <c r="S686" s="60"/>
      <c r="T686" s="60"/>
      <c r="U686" s="60"/>
      <c r="V686" s="60"/>
      <c r="W686" s="60"/>
    </row>
    <row r="687" spans="1:23" ht="13" x14ac:dyDescent="0.3">
      <c r="A687" s="58"/>
      <c r="B687" s="58"/>
      <c r="C687" s="58"/>
      <c r="D687" s="58"/>
      <c r="E687" s="58"/>
      <c r="F687" s="58"/>
      <c r="G687" s="58"/>
      <c r="H687" s="59"/>
      <c r="I687" s="59"/>
      <c r="J687" s="59"/>
      <c r="K687" s="59"/>
      <c r="L687" s="59"/>
      <c r="M687" s="60"/>
      <c r="N687" s="60"/>
      <c r="O687" s="60"/>
      <c r="P687" s="59"/>
      <c r="Q687" s="59"/>
      <c r="R687" s="60"/>
      <c r="S687" s="60"/>
      <c r="T687" s="60"/>
      <c r="U687" s="60"/>
      <c r="V687" s="60"/>
      <c r="W687" s="60"/>
    </row>
    <row r="688" spans="1:23" ht="13" x14ac:dyDescent="0.3">
      <c r="A688" s="58"/>
      <c r="B688" s="58"/>
      <c r="C688" s="58"/>
      <c r="D688" s="58"/>
      <c r="E688" s="58"/>
      <c r="F688" s="58"/>
      <c r="G688" s="58"/>
      <c r="H688" s="59"/>
      <c r="I688" s="59"/>
      <c r="J688" s="59"/>
      <c r="K688" s="59"/>
      <c r="L688" s="59"/>
      <c r="M688" s="60"/>
      <c r="N688" s="60"/>
      <c r="O688" s="60"/>
      <c r="P688" s="59"/>
      <c r="Q688" s="59"/>
      <c r="R688" s="60"/>
      <c r="S688" s="60"/>
      <c r="T688" s="60"/>
      <c r="U688" s="60"/>
      <c r="V688" s="60"/>
      <c r="W688" s="60"/>
    </row>
    <row r="689" spans="1:23" ht="13" x14ac:dyDescent="0.3">
      <c r="A689" s="58"/>
      <c r="B689" s="58"/>
      <c r="C689" s="58"/>
      <c r="D689" s="58"/>
      <c r="E689" s="58"/>
      <c r="F689" s="58"/>
      <c r="G689" s="58"/>
      <c r="H689" s="59"/>
      <c r="I689" s="59"/>
      <c r="J689" s="59"/>
      <c r="K689" s="59"/>
      <c r="L689" s="59"/>
      <c r="M689" s="60"/>
      <c r="N689" s="60"/>
      <c r="O689" s="60"/>
      <c r="P689" s="59"/>
      <c r="Q689" s="59"/>
      <c r="R689" s="60"/>
      <c r="S689" s="60"/>
      <c r="T689" s="60"/>
      <c r="U689" s="60"/>
      <c r="V689" s="60"/>
      <c r="W689" s="60"/>
    </row>
    <row r="690" spans="1:23" ht="13" x14ac:dyDescent="0.3">
      <c r="A690" s="58"/>
      <c r="B690" s="58"/>
      <c r="C690" s="58"/>
      <c r="D690" s="58"/>
      <c r="E690" s="58"/>
      <c r="F690" s="58"/>
      <c r="G690" s="58"/>
      <c r="H690" s="59"/>
      <c r="I690" s="59"/>
      <c r="J690" s="59"/>
      <c r="K690" s="59"/>
      <c r="L690" s="59"/>
      <c r="M690" s="60"/>
      <c r="N690" s="60"/>
      <c r="O690" s="60"/>
      <c r="P690" s="59"/>
      <c r="Q690" s="59"/>
      <c r="R690" s="60"/>
      <c r="S690" s="60"/>
      <c r="T690" s="60"/>
      <c r="U690" s="60"/>
      <c r="V690" s="60"/>
      <c r="W690" s="60"/>
    </row>
    <row r="691" spans="1:23" ht="13" x14ac:dyDescent="0.3">
      <c r="A691" s="58"/>
      <c r="B691" s="58"/>
      <c r="C691" s="58"/>
      <c r="D691" s="58"/>
      <c r="E691" s="58"/>
      <c r="F691" s="58"/>
      <c r="G691" s="58"/>
      <c r="H691" s="59"/>
      <c r="I691" s="59"/>
      <c r="J691" s="59"/>
      <c r="K691" s="59"/>
      <c r="L691" s="59"/>
      <c r="M691" s="60"/>
      <c r="N691" s="60"/>
      <c r="O691" s="60"/>
      <c r="P691" s="59"/>
      <c r="Q691" s="59"/>
      <c r="R691" s="60"/>
      <c r="S691" s="60"/>
      <c r="T691" s="60"/>
      <c r="U691" s="60"/>
      <c r="V691" s="60"/>
      <c r="W691" s="60"/>
    </row>
    <row r="692" spans="1:23" ht="13" x14ac:dyDescent="0.3">
      <c r="A692" s="58"/>
      <c r="B692" s="58"/>
      <c r="C692" s="58"/>
      <c r="D692" s="58"/>
      <c r="E692" s="58"/>
      <c r="F692" s="58"/>
      <c r="G692" s="58"/>
      <c r="H692" s="59"/>
      <c r="I692" s="59"/>
      <c r="J692" s="59"/>
      <c r="K692" s="59"/>
      <c r="L692" s="59"/>
      <c r="M692" s="60"/>
      <c r="N692" s="60"/>
      <c r="O692" s="60"/>
      <c r="P692" s="59"/>
      <c r="Q692" s="59"/>
      <c r="R692" s="60"/>
      <c r="S692" s="60"/>
      <c r="T692" s="60"/>
      <c r="U692" s="60"/>
      <c r="V692" s="60"/>
      <c r="W692" s="60"/>
    </row>
    <row r="693" spans="1:23" ht="13" x14ac:dyDescent="0.3">
      <c r="A693" s="58"/>
      <c r="B693" s="58"/>
      <c r="C693" s="58"/>
      <c r="D693" s="58"/>
      <c r="E693" s="58"/>
      <c r="F693" s="58"/>
      <c r="G693" s="58"/>
      <c r="H693" s="59"/>
      <c r="I693" s="59"/>
      <c r="J693" s="59"/>
      <c r="K693" s="59"/>
      <c r="L693" s="59"/>
      <c r="M693" s="60"/>
      <c r="N693" s="60"/>
      <c r="O693" s="60"/>
      <c r="P693" s="59"/>
      <c r="Q693" s="59"/>
      <c r="R693" s="60"/>
      <c r="S693" s="60"/>
      <c r="T693" s="60"/>
      <c r="U693" s="60"/>
      <c r="V693" s="60"/>
      <c r="W693" s="60"/>
    </row>
    <row r="694" spans="1:23" ht="13" x14ac:dyDescent="0.3">
      <c r="A694" s="58"/>
      <c r="B694" s="58"/>
      <c r="C694" s="58"/>
      <c r="D694" s="58"/>
      <c r="E694" s="58"/>
      <c r="F694" s="58"/>
      <c r="G694" s="58"/>
      <c r="H694" s="59"/>
      <c r="I694" s="59"/>
      <c r="J694" s="59"/>
      <c r="K694" s="59"/>
      <c r="L694" s="59"/>
      <c r="M694" s="60"/>
      <c r="N694" s="60"/>
      <c r="O694" s="60"/>
      <c r="P694" s="59"/>
      <c r="Q694" s="59"/>
      <c r="R694" s="60"/>
      <c r="S694" s="60"/>
      <c r="T694" s="60"/>
      <c r="U694" s="60"/>
      <c r="V694" s="60"/>
      <c r="W694" s="60"/>
    </row>
    <row r="695" spans="1:23" ht="13" x14ac:dyDescent="0.3">
      <c r="A695" s="58"/>
      <c r="B695" s="58"/>
      <c r="C695" s="58"/>
      <c r="D695" s="58"/>
      <c r="E695" s="58"/>
      <c r="F695" s="58"/>
      <c r="G695" s="58"/>
      <c r="H695" s="59"/>
      <c r="I695" s="59"/>
      <c r="J695" s="59"/>
      <c r="K695" s="59"/>
      <c r="L695" s="59"/>
      <c r="M695" s="60"/>
      <c r="N695" s="60"/>
      <c r="O695" s="60"/>
      <c r="P695" s="59"/>
      <c r="Q695" s="59"/>
      <c r="R695" s="60"/>
      <c r="S695" s="60"/>
      <c r="T695" s="60"/>
      <c r="U695" s="60"/>
      <c r="V695" s="60"/>
      <c r="W695" s="60"/>
    </row>
    <row r="696" spans="1:23" ht="13" x14ac:dyDescent="0.3">
      <c r="A696" s="58"/>
      <c r="B696" s="58"/>
      <c r="C696" s="58"/>
      <c r="D696" s="58"/>
      <c r="E696" s="58"/>
      <c r="F696" s="58"/>
      <c r="G696" s="58"/>
      <c r="H696" s="59"/>
      <c r="I696" s="59"/>
      <c r="J696" s="59"/>
      <c r="K696" s="59"/>
      <c r="L696" s="59"/>
      <c r="M696" s="60"/>
      <c r="N696" s="60"/>
      <c r="O696" s="60"/>
      <c r="P696" s="59"/>
      <c r="Q696" s="59"/>
      <c r="R696" s="60"/>
      <c r="S696" s="60"/>
      <c r="T696" s="60"/>
      <c r="U696" s="60"/>
      <c r="V696" s="60"/>
      <c r="W696" s="60"/>
    </row>
    <row r="697" spans="1:23" ht="13" x14ac:dyDescent="0.3">
      <c r="A697" s="58"/>
      <c r="B697" s="58"/>
      <c r="C697" s="58"/>
      <c r="D697" s="58"/>
      <c r="E697" s="58"/>
      <c r="F697" s="58"/>
      <c r="G697" s="58"/>
      <c r="H697" s="59"/>
      <c r="I697" s="59"/>
      <c r="J697" s="59"/>
      <c r="K697" s="59"/>
      <c r="L697" s="59"/>
      <c r="M697" s="60"/>
      <c r="N697" s="60"/>
      <c r="O697" s="60"/>
      <c r="P697" s="59"/>
      <c r="Q697" s="59"/>
      <c r="R697" s="60"/>
      <c r="S697" s="60"/>
      <c r="T697" s="60"/>
      <c r="U697" s="60"/>
      <c r="V697" s="60"/>
      <c r="W697" s="60"/>
    </row>
    <row r="698" spans="1:23" ht="13" x14ac:dyDescent="0.3">
      <c r="A698" s="58"/>
      <c r="B698" s="58"/>
      <c r="C698" s="58"/>
      <c r="D698" s="58"/>
      <c r="E698" s="58"/>
      <c r="F698" s="58"/>
      <c r="G698" s="58"/>
      <c r="H698" s="59"/>
      <c r="I698" s="59"/>
      <c r="J698" s="59"/>
      <c r="K698" s="59"/>
      <c r="L698" s="59"/>
      <c r="M698" s="60"/>
      <c r="N698" s="60"/>
      <c r="O698" s="60"/>
      <c r="P698" s="59"/>
      <c r="Q698" s="59"/>
      <c r="R698" s="60"/>
      <c r="S698" s="60"/>
      <c r="T698" s="60"/>
      <c r="U698" s="60"/>
      <c r="V698" s="60"/>
      <c r="W698" s="60"/>
    </row>
    <row r="699" spans="1:23" ht="13" x14ac:dyDescent="0.3">
      <c r="A699" s="58"/>
      <c r="B699" s="58"/>
      <c r="C699" s="58"/>
      <c r="D699" s="58"/>
      <c r="E699" s="58"/>
      <c r="F699" s="58"/>
      <c r="G699" s="58"/>
      <c r="H699" s="59"/>
      <c r="I699" s="59"/>
      <c r="J699" s="59"/>
      <c r="K699" s="59"/>
      <c r="L699" s="59"/>
      <c r="M699" s="60"/>
      <c r="N699" s="60"/>
      <c r="O699" s="60"/>
      <c r="P699" s="59"/>
      <c r="Q699" s="59"/>
      <c r="R699" s="60"/>
      <c r="S699" s="60"/>
      <c r="T699" s="60"/>
      <c r="U699" s="60"/>
      <c r="V699" s="60"/>
      <c r="W699" s="60"/>
    </row>
    <row r="700" spans="1:23" ht="13" x14ac:dyDescent="0.3">
      <c r="A700" s="58"/>
      <c r="B700" s="58"/>
      <c r="C700" s="58"/>
      <c r="D700" s="58"/>
      <c r="E700" s="58"/>
      <c r="F700" s="58"/>
      <c r="G700" s="58"/>
      <c r="H700" s="59"/>
      <c r="I700" s="59"/>
      <c r="J700" s="59"/>
      <c r="K700" s="59"/>
      <c r="L700" s="59"/>
      <c r="M700" s="60"/>
      <c r="N700" s="60"/>
      <c r="O700" s="60"/>
      <c r="P700" s="59"/>
      <c r="Q700" s="59"/>
      <c r="R700" s="60"/>
      <c r="S700" s="60"/>
      <c r="T700" s="60"/>
      <c r="U700" s="60"/>
      <c r="V700" s="60"/>
      <c r="W700" s="60"/>
    </row>
    <row r="701" spans="1:23" ht="13" x14ac:dyDescent="0.3">
      <c r="A701" s="58"/>
      <c r="B701" s="58"/>
      <c r="C701" s="58"/>
      <c r="D701" s="58"/>
      <c r="E701" s="58"/>
      <c r="F701" s="58"/>
      <c r="G701" s="58"/>
      <c r="H701" s="59"/>
      <c r="I701" s="59"/>
      <c r="J701" s="59"/>
      <c r="K701" s="59"/>
      <c r="L701" s="59"/>
      <c r="M701" s="60"/>
      <c r="N701" s="60"/>
      <c r="O701" s="60"/>
      <c r="P701" s="59"/>
      <c r="Q701" s="59"/>
      <c r="R701" s="60"/>
      <c r="S701" s="60"/>
      <c r="T701" s="60"/>
      <c r="U701" s="60"/>
      <c r="V701" s="60"/>
      <c r="W701" s="60"/>
    </row>
    <row r="702" spans="1:23" ht="13" x14ac:dyDescent="0.3">
      <c r="A702" s="58"/>
      <c r="B702" s="58"/>
      <c r="C702" s="58"/>
      <c r="D702" s="58"/>
      <c r="E702" s="58"/>
      <c r="F702" s="58"/>
      <c r="G702" s="58"/>
      <c r="H702" s="59"/>
      <c r="I702" s="59"/>
      <c r="J702" s="59"/>
      <c r="K702" s="59"/>
      <c r="L702" s="59"/>
      <c r="M702" s="60"/>
      <c r="N702" s="60"/>
      <c r="O702" s="60"/>
      <c r="P702" s="59"/>
      <c r="Q702" s="59"/>
      <c r="R702" s="60"/>
      <c r="S702" s="60"/>
      <c r="T702" s="60"/>
      <c r="U702" s="60"/>
      <c r="V702" s="60"/>
      <c r="W702" s="60"/>
    </row>
    <row r="703" spans="1:23" ht="13" x14ac:dyDescent="0.3">
      <c r="A703" s="58"/>
      <c r="B703" s="58"/>
      <c r="C703" s="58"/>
      <c r="D703" s="58"/>
      <c r="E703" s="58"/>
      <c r="F703" s="58"/>
      <c r="G703" s="58"/>
      <c r="H703" s="59"/>
      <c r="I703" s="59"/>
      <c r="J703" s="59"/>
      <c r="K703" s="59"/>
      <c r="L703" s="59"/>
      <c r="M703" s="60"/>
      <c r="N703" s="60"/>
      <c r="O703" s="60"/>
      <c r="P703" s="59"/>
      <c r="Q703" s="59"/>
      <c r="R703" s="60"/>
      <c r="S703" s="60"/>
      <c r="T703" s="60"/>
      <c r="U703" s="60"/>
      <c r="V703" s="60"/>
      <c r="W703" s="60"/>
    </row>
    <row r="704" spans="1:23" ht="13" x14ac:dyDescent="0.3">
      <c r="A704" s="58"/>
      <c r="B704" s="58"/>
      <c r="C704" s="58"/>
      <c r="D704" s="58"/>
      <c r="E704" s="58"/>
      <c r="F704" s="58"/>
      <c r="G704" s="58"/>
      <c r="H704" s="59"/>
      <c r="I704" s="59"/>
      <c r="J704" s="59"/>
      <c r="K704" s="59"/>
      <c r="L704" s="59"/>
      <c r="M704" s="60"/>
      <c r="N704" s="60"/>
      <c r="O704" s="60"/>
      <c r="P704" s="59"/>
      <c r="Q704" s="59"/>
      <c r="R704" s="60"/>
      <c r="S704" s="60"/>
      <c r="T704" s="60"/>
      <c r="U704" s="60"/>
      <c r="V704" s="60"/>
      <c r="W704" s="60"/>
    </row>
    <row r="705" spans="1:23" ht="13" x14ac:dyDescent="0.3">
      <c r="A705" s="58"/>
      <c r="B705" s="58"/>
      <c r="C705" s="58"/>
      <c r="D705" s="58"/>
      <c r="E705" s="58"/>
      <c r="F705" s="58"/>
      <c r="G705" s="58"/>
      <c r="H705" s="59"/>
      <c r="I705" s="59"/>
      <c r="J705" s="59"/>
      <c r="K705" s="59"/>
      <c r="L705" s="59"/>
      <c r="M705" s="60"/>
      <c r="N705" s="60"/>
      <c r="O705" s="60"/>
      <c r="P705" s="59"/>
      <c r="Q705" s="59"/>
      <c r="R705" s="60"/>
      <c r="S705" s="60"/>
      <c r="T705" s="60"/>
      <c r="U705" s="60"/>
      <c r="V705" s="60"/>
      <c r="W705" s="60"/>
    </row>
    <row r="706" spans="1:23" ht="13" x14ac:dyDescent="0.3">
      <c r="A706" s="58"/>
      <c r="B706" s="58"/>
      <c r="C706" s="58"/>
      <c r="D706" s="58"/>
      <c r="E706" s="58"/>
      <c r="F706" s="58"/>
      <c r="G706" s="58"/>
      <c r="H706" s="59"/>
      <c r="I706" s="59"/>
      <c r="J706" s="59"/>
      <c r="K706" s="59"/>
      <c r="L706" s="59"/>
      <c r="M706" s="60"/>
      <c r="N706" s="60"/>
      <c r="O706" s="60"/>
      <c r="P706" s="59"/>
      <c r="Q706" s="59"/>
      <c r="R706" s="60"/>
      <c r="S706" s="60"/>
      <c r="T706" s="60"/>
      <c r="U706" s="60"/>
      <c r="V706" s="60"/>
      <c r="W706" s="60"/>
    </row>
    <row r="707" spans="1:23" ht="13" x14ac:dyDescent="0.3">
      <c r="A707" s="58"/>
      <c r="B707" s="58"/>
      <c r="C707" s="58"/>
      <c r="D707" s="58"/>
      <c r="E707" s="58"/>
      <c r="F707" s="58"/>
      <c r="G707" s="58"/>
      <c r="H707" s="59"/>
      <c r="I707" s="59"/>
      <c r="J707" s="59"/>
      <c r="K707" s="59"/>
      <c r="L707" s="59"/>
      <c r="M707" s="60"/>
      <c r="N707" s="60"/>
      <c r="O707" s="60"/>
      <c r="P707" s="59"/>
      <c r="Q707" s="59"/>
      <c r="R707" s="60"/>
      <c r="S707" s="60"/>
      <c r="T707" s="60"/>
      <c r="U707" s="60"/>
      <c r="V707" s="60"/>
      <c r="W707" s="60"/>
    </row>
    <row r="708" spans="1:23" ht="13" x14ac:dyDescent="0.3">
      <c r="A708" s="58"/>
      <c r="B708" s="58"/>
      <c r="C708" s="58"/>
      <c r="D708" s="58"/>
      <c r="E708" s="58"/>
      <c r="F708" s="58"/>
      <c r="G708" s="58"/>
      <c r="H708" s="59"/>
      <c r="I708" s="59"/>
      <c r="J708" s="59"/>
      <c r="K708" s="59"/>
      <c r="L708" s="59"/>
      <c r="M708" s="60"/>
      <c r="N708" s="60"/>
      <c r="O708" s="60"/>
      <c r="P708" s="59"/>
      <c r="Q708" s="59"/>
      <c r="R708" s="60"/>
      <c r="S708" s="60"/>
      <c r="T708" s="60"/>
      <c r="U708" s="60"/>
      <c r="V708" s="60"/>
      <c r="W708" s="60"/>
    </row>
    <row r="709" spans="1:23" ht="13" x14ac:dyDescent="0.3">
      <c r="A709" s="58"/>
      <c r="B709" s="58"/>
      <c r="C709" s="58"/>
      <c r="D709" s="58"/>
      <c r="E709" s="58"/>
      <c r="F709" s="58"/>
      <c r="G709" s="58"/>
      <c r="H709" s="59"/>
      <c r="I709" s="59"/>
      <c r="J709" s="59"/>
      <c r="K709" s="59"/>
      <c r="L709" s="59"/>
      <c r="M709" s="60"/>
      <c r="N709" s="60"/>
      <c r="O709" s="60"/>
      <c r="P709" s="59"/>
      <c r="Q709" s="59"/>
      <c r="R709" s="60"/>
      <c r="S709" s="60"/>
      <c r="T709" s="60"/>
      <c r="U709" s="60"/>
      <c r="V709" s="60"/>
      <c r="W709" s="60"/>
    </row>
    <row r="710" spans="1:23" ht="13" x14ac:dyDescent="0.3">
      <c r="A710" s="58"/>
      <c r="B710" s="58"/>
      <c r="C710" s="58"/>
      <c r="D710" s="58"/>
      <c r="E710" s="58"/>
      <c r="F710" s="58"/>
      <c r="G710" s="58"/>
      <c r="H710" s="59"/>
      <c r="I710" s="59"/>
      <c r="J710" s="59"/>
      <c r="K710" s="59"/>
      <c r="L710" s="59"/>
      <c r="M710" s="60"/>
      <c r="N710" s="60"/>
      <c r="O710" s="60"/>
      <c r="P710" s="59"/>
      <c r="Q710" s="59"/>
      <c r="R710" s="60"/>
      <c r="S710" s="60"/>
      <c r="T710" s="60"/>
      <c r="U710" s="60"/>
      <c r="V710" s="60"/>
      <c r="W710" s="60"/>
    </row>
    <row r="711" spans="1:23" ht="13" x14ac:dyDescent="0.3">
      <c r="A711" s="58"/>
      <c r="B711" s="58"/>
      <c r="C711" s="58"/>
      <c r="D711" s="58"/>
      <c r="E711" s="58"/>
      <c r="F711" s="58"/>
      <c r="G711" s="58"/>
      <c r="H711" s="59"/>
      <c r="I711" s="59"/>
      <c r="J711" s="59"/>
      <c r="K711" s="59"/>
      <c r="L711" s="59"/>
      <c r="M711" s="60"/>
      <c r="N711" s="60"/>
      <c r="O711" s="60"/>
      <c r="P711" s="59"/>
      <c r="Q711" s="59"/>
      <c r="R711" s="60"/>
      <c r="S711" s="60"/>
      <c r="T711" s="60"/>
      <c r="U711" s="60"/>
      <c r="V711" s="60"/>
      <c r="W711" s="60"/>
    </row>
    <row r="712" spans="1:23" ht="13" x14ac:dyDescent="0.3">
      <c r="A712" s="58"/>
      <c r="B712" s="58"/>
      <c r="C712" s="58"/>
      <c r="D712" s="58"/>
      <c r="E712" s="58"/>
      <c r="F712" s="58"/>
      <c r="G712" s="58"/>
      <c r="H712" s="59"/>
      <c r="I712" s="59"/>
      <c r="J712" s="59"/>
      <c r="K712" s="59"/>
      <c r="L712" s="59"/>
      <c r="M712" s="60"/>
      <c r="N712" s="60"/>
      <c r="O712" s="60"/>
      <c r="P712" s="59"/>
      <c r="Q712" s="59"/>
      <c r="R712" s="60"/>
      <c r="S712" s="60"/>
      <c r="T712" s="60"/>
      <c r="U712" s="60"/>
      <c r="V712" s="60"/>
      <c r="W712" s="60"/>
    </row>
    <row r="713" spans="1:23" ht="13" x14ac:dyDescent="0.3">
      <c r="A713" s="58"/>
      <c r="B713" s="58"/>
      <c r="C713" s="58"/>
      <c r="D713" s="58"/>
      <c r="E713" s="58"/>
      <c r="F713" s="58"/>
      <c r="G713" s="58"/>
      <c r="H713" s="59"/>
      <c r="I713" s="59"/>
      <c r="J713" s="59"/>
      <c r="K713" s="59"/>
      <c r="L713" s="59"/>
      <c r="M713" s="60"/>
      <c r="N713" s="60"/>
      <c r="O713" s="60"/>
      <c r="P713" s="59"/>
      <c r="Q713" s="59"/>
      <c r="R713" s="60"/>
      <c r="S713" s="60"/>
      <c r="T713" s="60"/>
      <c r="U713" s="60"/>
      <c r="V713" s="60"/>
      <c r="W713" s="60"/>
    </row>
    <row r="714" spans="1:23" ht="13" x14ac:dyDescent="0.3">
      <c r="A714" s="58"/>
      <c r="B714" s="58"/>
      <c r="C714" s="58"/>
      <c r="D714" s="58"/>
      <c r="E714" s="58"/>
      <c r="F714" s="58"/>
      <c r="G714" s="58"/>
      <c r="H714" s="59"/>
      <c r="I714" s="59"/>
      <c r="J714" s="59"/>
      <c r="K714" s="59"/>
      <c r="L714" s="59"/>
      <c r="M714" s="60"/>
      <c r="N714" s="60"/>
      <c r="O714" s="60"/>
      <c r="P714" s="59"/>
      <c r="Q714" s="59"/>
      <c r="R714" s="60"/>
      <c r="S714" s="60"/>
      <c r="T714" s="60"/>
      <c r="U714" s="60"/>
      <c r="V714" s="60"/>
      <c r="W714" s="60"/>
    </row>
    <row r="715" spans="1:23" ht="13" x14ac:dyDescent="0.3">
      <c r="A715" s="58"/>
      <c r="B715" s="58"/>
      <c r="C715" s="58"/>
      <c r="D715" s="58"/>
      <c r="E715" s="58"/>
      <c r="F715" s="58"/>
      <c r="G715" s="58"/>
      <c r="H715" s="59"/>
      <c r="I715" s="59"/>
      <c r="J715" s="59"/>
      <c r="K715" s="59"/>
      <c r="L715" s="59"/>
      <c r="M715" s="60"/>
      <c r="N715" s="60"/>
      <c r="O715" s="60"/>
      <c r="P715" s="59"/>
      <c r="Q715" s="59"/>
      <c r="R715" s="60"/>
      <c r="S715" s="60"/>
      <c r="T715" s="60"/>
      <c r="U715" s="60"/>
      <c r="V715" s="60"/>
      <c r="W715" s="60"/>
    </row>
    <row r="716" spans="1:23" ht="13" x14ac:dyDescent="0.3">
      <c r="A716" s="58"/>
      <c r="B716" s="58"/>
      <c r="C716" s="58"/>
      <c r="D716" s="58"/>
      <c r="E716" s="58"/>
      <c r="F716" s="58"/>
      <c r="G716" s="58"/>
      <c r="H716" s="59"/>
      <c r="I716" s="59"/>
      <c r="J716" s="59"/>
      <c r="K716" s="59"/>
      <c r="L716" s="59"/>
      <c r="M716" s="60"/>
      <c r="N716" s="60"/>
      <c r="O716" s="60"/>
      <c r="P716" s="59"/>
      <c r="Q716" s="59"/>
      <c r="R716" s="60"/>
      <c r="S716" s="60"/>
      <c r="T716" s="60"/>
      <c r="U716" s="60"/>
      <c r="V716" s="60"/>
      <c r="W716" s="60"/>
    </row>
    <row r="717" spans="1:23" ht="13" x14ac:dyDescent="0.3">
      <c r="A717" s="58"/>
      <c r="B717" s="58"/>
      <c r="C717" s="58"/>
      <c r="D717" s="58"/>
      <c r="E717" s="58"/>
      <c r="F717" s="58"/>
      <c r="G717" s="58"/>
      <c r="H717" s="59"/>
      <c r="I717" s="59"/>
      <c r="J717" s="59"/>
      <c r="K717" s="59"/>
      <c r="L717" s="59"/>
      <c r="M717" s="60"/>
      <c r="N717" s="60"/>
      <c r="O717" s="60"/>
      <c r="P717" s="59"/>
      <c r="Q717" s="59"/>
      <c r="R717" s="60"/>
      <c r="S717" s="60"/>
      <c r="T717" s="60"/>
      <c r="U717" s="60"/>
      <c r="V717" s="60"/>
      <c r="W717" s="60"/>
    </row>
    <row r="718" spans="1:23" ht="13" x14ac:dyDescent="0.3">
      <c r="A718" s="58"/>
      <c r="B718" s="58"/>
      <c r="C718" s="58"/>
      <c r="D718" s="58"/>
      <c r="E718" s="58"/>
      <c r="F718" s="58"/>
      <c r="G718" s="58"/>
      <c r="H718" s="59"/>
      <c r="I718" s="59"/>
      <c r="J718" s="59"/>
      <c r="K718" s="59"/>
      <c r="L718" s="59"/>
      <c r="M718" s="60"/>
      <c r="N718" s="60"/>
      <c r="O718" s="60"/>
      <c r="P718" s="59"/>
      <c r="Q718" s="59"/>
      <c r="R718" s="60"/>
      <c r="S718" s="60"/>
      <c r="T718" s="60"/>
      <c r="U718" s="60"/>
      <c r="V718" s="60"/>
      <c r="W718" s="60"/>
    </row>
    <row r="719" spans="1:23" ht="13" x14ac:dyDescent="0.3">
      <c r="A719" s="58"/>
      <c r="B719" s="58"/>
      <c r="C719" s="58"/>
      <c r="D719" s="58"/>
      <c r="E719" s="58"/>
      <c r="F719" s="58"/>
      <c r="G719" s="58"/>
      <c r="H719" s="59"/>
      <c r="I719" s="59"/>
      <c r="J719" s="59"/>
      <c r="K719" s="59"/>
      <c r="L719" s="59"/>
      <c r="M719" s="60"/>
      <c r="N719" s="60"/>
      <c r="O719" s="60"/>
      <c r="P719" s="59"/>
      <c r="Q719" s="59"/>
      <c r="R719" s="60"/>
      <c r="S719" s="60"/>
      <c r="T719" s="60"/>
      <c r="U719" s="60"/>
      <c r="V719" s="60"/>
      <c r="W719" s="60"/>
    </row>
    <row r="720" spans="1:23" ht="13" x14ac:dyDescent="0.3">
      <c r="A720" s="58"/>
      <c r="B720" s="58"/>
      <c r="C720" s="58"/>
      <c r="D720" s="58"/>
      <c r="E720" s="58"/>
      <c r="F720" s="58"/>
      <c r="G720" s="58"/>
      <c r="H720" s="59"/>
      <c r="I720" s="59"/>
      <c r="J720" s="59"/>
      <c r="K720" s="59"/>
      <c r="L720" s="59"/>
      <c r="M720" s="60"/>
      <c r="N720" s="60"/>
      <c r="O720" s="60"/>
      <c r="P720" s="59"/>
      <c r="Q720" s="59"/>
      <c r="R720" s="60"/>
      <c r="S720" s="60"/>
      <c r="T720" s="60"/>
      <c r="U720" s="60"/>
      <c r="V720" s="60"/>
      <c r="W720" s="60"/>
    </row>
    <row r="721" spans="1:23" ht="13" x14ac:dyDescent="0.3">
      <c r="A721" s="58"/>
      <c r="B721" s="58"/>
      <c r="C721" s="58"/>
      <c r="D721" s="58"/>
      <c r="E721" s="58"/>
      <c r="F721" s="58"/>
      <c r="G721" s="58"/>
      <c r="H721" s="59"/>
      <c r="I721" s="59"/>
      <c r="J721" s="59"/>
      <c r="K721" s="59"/>
      <c r="L721" s="59"/>
      <c r="M721" s="60"/>
      <c r="N721" s="60"/>
      <c r="O721" s="60"/>
      <c r="P721" s="59"/>
      <c r="Q721" s="59"/>
      <c r="R721" s="60"/>
      <c r="S721" s="60"/>
      <c r="T721" s="60"/>
      <c r="U721" s="60"/>
      <c r="V721" s="60"/>
      <c r="W721" s="60"/>
    </row>
    <row r="722" spans="1:23" ht="13" x14ac:dyDescent="0.3">
      <c r="A722" s="58"/>
      <c r="B722" s="58"/>
      <c r="C722" s="58"/>
      <c r="D722" s="58"/>
      <c r="E722" s="58"/>
      <c r="F722" s="58"/>
      <c r="G722" s="58"/>
      <c r="H722" s="59"/>
      <c r="I722" s="59"/>
      <c r="J722" s="59"/>
      <c r="K722" s="59"/>
      <c r="L722" s="59"/>
      <c r="M722" s="60"/>
      <c r="N722" s="60"/>
      <c r="O722" s="60"/>
      <c r="P722" s="59"/>
      <c r="Q722" s="59"/>
      <c r="R722" s="60"/>
      <c r="S722" s="60"/>
      <c r="T722" s="60"/>
      <c r="U722" s="60"/>
      <c r="V722" s="60"/>
      <c r="W722" s="60"/>
    </row>
    <row r="723" spans="1:23" ht="13" x14ac:dyDescent="0.3">
      <c r="A723" s="58"/>
      <c r="B723" s="58"/>
      <c r="C723" s="58"/>
      <c r="D723" s="58"/>
      <c r="E723" s="58"/>
      <c r="F723" s="58"/>
      <c r="G723" s="58"/>
      <c r="H723" s="59"/>
      <c r="I723" s="59"/>
      <c r="J723" s="59"/>
      <c r="K723" s="59"/>
      <c r="L723" s="59"/>
      <c r="M723" s="60"/>
      <c r="N723" s="60"/>
      <c r="O723" s="60"/>
      <c r="P723" s="59"/>
      <c r="Q723" s="59"/>
      <c r="R723" s="60"/>
      <c r="S723" s="60"/>
      <c r="T723" s="60"/>
      <c r="U723" s="60"/>
      <c r="V723" s="60"/>
      <c r="W723" s="60"/>
    </row>
    <row r="724" spans="1:23" ht="13" x14ac:dyDescent="0.3">
      <c r="A724" s="58"/>
      <c r="B724" s="58"/>
      <c r="C724" s="58"/>
      <c r="D724" s="58"/>
      <c r="E724" s="58"/>
      <c r="F724" s="58"/>
      <c r="G724" s="58"/>
      <c r="H724" s="59"/>
      <c r="I724" s="59"/>
      <c r="J724" s="59"/>
      <c r="K724" s="59"/>
      <c r="L724" s="59"/>
      <c r="M724" s="60"/>
      <c r="N724" s="60"/>
      <c r="O724" s="60"/>
      <c r="P724" s="59"/>
      <c r="Q724" s="59"/>
      <c r="R724" s="60"/>
      <c r="S724" s="60"/>
      <c r="T724" s="60"/>
      <c r="U724" s="60"/>
      <c r="V724" s="60"/>
      <c r="W724" s="60"/>
    </row>
    <row r="725" spans="1:23" ht="13" x14ac:dyDescent="0.3">
      <c r="A725" s="58"/>
      <c r="B725" s="58"/>
      <c r="C725" s="58"/>
      <c r="D725" s="58"/>
      <c r="E725" s="58"/>
      <c r="F725" s="58"/>
      <c r="G725" s="58"/>
      <c r="H725" s="59"/>
      <c r="I725" s="59"/>
      <c r="J725" s="59"/>
      <c r="K725" s="59"/>
      <c r="L725" s="59"/>
      <c r="M725" s="60"/>
      <c r="N725" s="60"/>
      <c r="O725" s="60"/>
      <c r="P725" s="59"/>
      <c r="Q725" s="59"/>
      <c r="R725" s="60"/>
      <c r="S725" s="60"/>
      <c r="T725" s="60"/>
      <c r="U725" s="60"/>
      <c r="V725" s="60"/>
      <c r="W725" s="60"/>
    </row>
    <row r="726" spans="1:23" ht="13" x14ac:dyDescent="0.3">
      <c r="A726" s="58"/>
      <c r="B726" s="58"/>
      <c r="C726" s="58"/>
      <c r="D726" s="58"/>
      <c r="E726" s="58"/>
      <c r="F726" s="58"/>
      <c r="G726" s="58"/>
      <c r="H726" s="59"/>
      <c r="I726" s="59"/>
      <c r="J726" s="59"/>
      <c r="K726" s="59"/>
      <c r="L726" s="59"/>
      <c r="M726" s="60"/>
      <c r="N726" s="60"/>
      <c r="O726" s="60"/>
      <c r="P726" s="59"/>
      <c r="Q726" s="59"/>
      <c r="R726" s="60"/>
      <c r="S726" s="60"/>
      <c r="T726" s="60"/>
      <c r="U726" s="60"/>
      <c r="V726" s="60"/>
      <c r="W726" s="60"/>
    </row>
    <row r="727" spans="1:23" ht="13" x14ac:dyDescent="0.3">
      <c r="A727" s="58"/>
      <c r="B727" s="58"/>
      <c r="C727" s="58"/>
      <c r="D727" s="58"/>
      <c r="E727" s="58"/>
      <c r="F727" s="58"/>
      <c r="G727" s="58"/>
      <c r="H727" s="59"/>
      <c r="I727" s="59"/>
      <c r="J727" s="59"/>
      <c r="K727" s="59"/>
      <c r="L727" s="59"/>
      <c r="M727" s="60"/>
      <c r="N727" s="60"/>
      <c r="O727" s="60"/>
      <c r="P727" s="59"/>
      <c r="Q727" s="59"/>
      <c r="R727" s="60"/>
      <c r="S727" s="60"/>
      <c r="T727" s="60"/>
      <c r="U727" s="60"/>
      <c r="V727" s="60"/>
      <c r="W727" s="60"/>
    </row>
    <row r="728" spans="1:23" ht="13" x14ac:dyDescent="0.3">
      <c r="A728" s="58"/>
      <c r="B728" s="58"/>
      <c r="C728" s="58"/>
      <c r="D728" s="58"/>
      <c r="E728" s="58"/>
      <c r="F728" s="58"/>
      <c r="G728" s="58"/>
      <c r="H728" s="59"/>
      <c r="I728" s="59"/>
      <c r="J728" s="59"/>
      <c r="K728" s="59"/>
      <c r="L728" s="59"/>
      <c r="M728" s="60"/>
      <c r="N728" s="60"/>
      <c r="O728" s="60"/>
      <c r="P728" s="59"/>
      <c r="Q728" s="59"/>
      <c r="R728" s="60"/>
      <c r="S728" s="60"/>
      <c r="T728" s="60"/>
      <c r="U728" s="60"/>
      <c r="V728" s="60"/>
      <c r="W728" s="60"/>
    </row>
    <row r="729" spans="1:23" ht="13" x14ac:dyDescent="0.3">
      <c r="A729" s="58"/>
      <c r="B729" s="58"/>
      <c r="C729" s="58"/>
      <c r="D729" s="58"/>
      <c r="E729" s="58"/>
      <c r="F729" s="58"/>
      <c r="G729" s="58"/>
      <c r="H729" s="59"/>
      <c r="I729" s="59"/>
      <c r="J729" s="59"/>
      <c r="K729" s="59"/>
      <c r="L729" s="59"/>
      <c r="M729" s="60"/>
      <c r="N729" s="60"/>
      <c r="O729" s="60"/>
      <c r="P729" s="59"/>
      <c r="Q729" s="59"/>
      <c r="R729" s="60"/>
      <c r="S729" s="60"/>
      <c r="T729" s="60"/>
      <c r="U729" s="60"/>
      <c r="V729" s="60"/>
      <c r="W729" s="60"/>
    </row>
    <row r="730" spans="1:23" ht="13" x14ac:dyDescent="0.3">
      <c r="A730" s="58"/>
      <c r="B730" s="58"/>
      <c r="C730" s="58"/>
      <c r="D730" s="58"/>
      <c r="E730" s="58"/>
      <c r="F730" s="58"/>
      <c r="G730" s="58"/>
      <c r="H730" s="59"/>
      <c r="I730" s="59"/>
      <c r="J730" s="59"/>
      <c r="K730" s="59"/>
      <c r="L730" s="59"/>
      <c r="M730" s="60"/>
      <c r="N730" s="60"/>
      <c r="O730" s="60"/>
      <c r="P730" s="59"/>
      <c r="Q730" s="59"/>
      <c r="R730" s="60"/>
      <c r="S730" s="60"/>
      <c r="T730" s="60"/>
      <c r="U730" s="60"/>
      <c r="V730" s="60"/>
      <c r="W730" s="60"/>
    </row>
    <row r="731" spans="1:23" ht="13" x14ac:dyDescent="0.3">
      <c r="A731" s="58"/>
      <c r="B731" s="58"/>
      <c r="C731" s="58"/>
      <c r="D731" s="58"/>
      <c r="E731" s="58"/>
      <c r="F731" s="58"/>
      <c r="G731" s="58"/>
      <c r="H731" s="59"/>
      <c r="I731" s="59"/>
      <c r="J731" s="59"/>
      <c r="K731" s="59"/>
      <c r="L731" s="59"/>
      <c r="M731" s="60"/>
      <c r="N731" s="60"/>
      <c r="O731" s="60"/>
      <c r="P731" s="59"/>
      <c r="Q731" s="59"/>
      <c r="R731" s="60"/>
      <c r="S731" s="60"/>
      <c r="T731" s="60"/>
      <c r="U731" s="60"/>
      <c r="V731" s="60"/>
      <c r="W731" s="60"/>
    </row>
    <row r="732" spans="1:23" ht="13" x14ac:dyDescent="0.3">
      <c r="A732" s="58"/>
      <c r="B732" s="58"/>
      <c r="C732" s="58"/>
      <c r="D732" s="58"/>
      <c r="E732" s="58"/>
      <c r="F732" s="58"/>
      <c r="G732" s="58"/>
      <c r="H732" s="59"/>
      <c r="I732" s="59"/>
      <c r="J732" s="59"/>
      <c r="K732" s="59"/>
      <c r="L732" s="59"/>
      <c r="M732" s="60"/>
      <c r="N732" s="60"/>
      <c r="O732" s="60"/>
      <c r="P732" s="59"/>
      <c r="Q732" s="59"/>
      <c r="R732" s="60"/>
      <c r="S732" s="60"/>
      <c r="T732" s="60"/>
      <c r="U732" s="60"/>
      <c r="V732" s="60"/>
      <c r="W732" s="60"/>
    </row>
    <row r="733" spans="1:23" ht="13" x14ac:dyDescent="0.3">
      <c r="A733" s="58"/>
      <c r="B733" s="58"/>
      <c r="C733" s="58"/>
      <c r="D733" s="58"/>
      <c r="E733" s="58"/>
      <c r="F733" s="58"/>
      <c r="G733" s="58"/>
      <c r="H733" s="59"/>
      <c r="I733" s="59"/>
      <c r="J733" s="59"/>
      <c r="K733" s="59"/>
      <c r="L733" s="59"/>
      <c r="M733" s="60"/>
      <c r="N733" s="60"/>
      <c r="O733" s="60"/>
      <c r="P733" s="59"/>
      <c r="Q733" s="59"/>
      <c r="R733" s="60"/>
      <c r="S733" s="60"/>
      <c r="T733" s="60"/>
      <c r="U733" s="60"/>
      <c r="V733" s="60"/>
      <c r="W733" s="60"/>
    </row>
    <row r="734" spans="1:23" ht="13" x14ac:dyDescent="0.3">
      <c r="A734" s="58"/>
      <c r="B734" s="58"/>
      <c r="C734" s="58"/>
      <c r="D734" s="58"/>
      <c r="E734" s="58"/>
      <c r="F734" s="58"/>
      <c r="G734" s="58"/>
      <c r="H734" s="59"/>
      <c r="I734" s="59"/>
      <c r="J734" s="59"/>
      <c r="K734" s="59"/>
      <c r="L734" s="59"/>
      <c r="M734" s="60"/>
      <c r="N734" s="60"/>
      <c r="O734" s="60"/>
      <c r="P734" s="59"/>
      <c r="Q734" s="59"/>
      <c r="R734" s="60"/>
      <c r="S734" s="60"/>
      <c r="T734" s="60"/>
      <c r="U734" s="60"/>
      <c r="V734" s="60"/>
      <c r="W734" s="60"/>
    </row>
    <row r="735" spans="1:23" ht="13" x14ac:dyDescent="0.3">
      <c r="A735" s="58"/>
      <c r="B735" s="58"/>
      <c r="C735" s="58"/>
      <c r="D735" s="58"/>
      <c r="E735" s="58"/>
      <c r="F735" s="58"/>
      <c r="G735" s="58"/>
      <c r="H735" s="59"/>
      <c r="I735" s="59"/>
      <c r="J735" s="59"/>
      <c r="K735" s="59"/>
      <c r="L735" s="59"/>
      <c r="M735" s="60"/>
      <c r="N735" s="60"/>
      <c r="O735" s="60"/>
      <c r="P735" s="59"/>
      <c r="Q735" s="59"/>
      <c r="R735" s="60"/>
      <c r="S735" s="60"/>
      <c r="T735" s="60"/>
      <c r="U735" s="60"/>
      <c r="V735" s="60"/>
      <c r="W735" s="60"/>
    </row>
    <row r="736" spans="1:23" ht="13" x14ac:dyDescent="0.3">
      <c r="A736" s="58"/>
      <c r="B736" s="58"/>
      <c r="C736" s="58"/>
      <c r="D736" s="58"/>
      <c r="E736" s="58"/>
      <c r="F736" s="58"/>
      <c r="G736" s="58"/>
      <c r="H736" s="59"/>
      <c r="I736" s="59"/>
      <c r="J736" s="59"/>
      <c r="K736" s="59"/>
      <c r="L736" s="59"/>
      <c r="M736" s="60"/>
      <c r="N736" s="60"/>
      <c r="O736" s="60"/>
      <c r="P736" s="59"/>
      <c r="Q736" s="59"/>
      <c r="R736" s="60"/>
      <c r="S736" s="60"/>
      <c r="T736" s="60"/>
      <c r="U736" s="60"/>
      <c r="V736" s="60"/>
      <c r="W736" s="60"/>
    </row>
    <row r="737" spans="1:23" ht="13" x14ac:dyDescent="0.3">
      <c r="A737" s="58"/>
      <c r="B737" s="58"/>
      <c r="C737" s="58"/>
      <c r="D737" s="58"/>
      <c r="E737" s="58"/>
      <c r="F737" s="58"/>
      <c r="G737" s="58"/>
      <c r="H737" s="59"/>
      <c r="I737" s="59"/>
      <c r="J737" s="59"/>
      <c r="K737" s="59"/>
      <c r="L737" s="59"/>
      <c r="M737" s="60"/>
      <c r="N737" s="60"/>
      <c r="O737" s="60"/>
      <c r="P737" s="59"/>
      <c r="Q737" s="59"/>
      <c r="R737" s="60"/>
      <c r="S737" s="60"/>
      <c r="T737" s="60"/>
      <c r="U737" s="60"/>
      <c r="V737" s="60"/>
      <c r="W737" s="60"/>
    </row>
    <row r="738" spans="1:23" ht="13" x14ac:dyDescent="0.3">
      <c r="A738" s="58"/>
      <c r="B738" s="58"/>
      <c r="C738" s="58"/>
      <c r="D738" s="58"/>
      <c r="E738" s="58"/>
      <c r="F738" s="58"/>
      <c r="G738" s="58"/>
      <c r="H738" s="59"/>
      <c r="I738" s="59"/>
      <c r="J738" s="59"/>
      <c r="K738" s="59"/>
      <c r="L738" s="59"/>
      <c r="M738" s="60"/>
      <c r="N738" s="60"/>
      <c r="O738" s="60"/>
      <c r="P738" s="59"/>
      <c r="Q738" s="59"/>
      <c r="R738" s="60"/>
      <c r="S738" s="60"/>
      <c r="T738" s="60"/>
      <c r="U738" s="60"/>
      <c r="V738" s="60"/>
      <c r="W738" s="60"/>
    </row>
    <row r="739" spans="1:23" ht="13" x14ac:dyDescent="0.3">
      <c r="A739" s="58"/>
      <c r="B739" s="58"/>
      <c r="C739" s="58"/>
      <c r="D739" s="58"/>
      <c r="E739" s="58"/>
      <c r="F739" s="58"/>
      <c r="G739" s="58"/>
      <c r="H739" s="59"/>
      <c r="I739" s="59"/>
      <c r="J739" s="59"/>
      <c r="K739" s="59"/>
      <c r="L739" s="59"/>
      <c r="M739" s="60"/>
      <c r="N739" s="60"/>
      <c r="O739" s="60"/>
      <c r="P739" s="59"/>
      <c r="Q739" s="59"/>
      <c r="R739" s="60"/>
      <c r="S739" s="60"/>
      <c r="T739" s="60"/>
      <c r="U739" s="60"/>
      <c r="V739" s="60"/>
      <c r="W739" s="60"/>
    </row>
    <row r="740" spans="1:23" ht="13" x14ac:dyDescent="0.3">
      <c r="A740" s="58"/>
      <c r="B740" s="58"/>
      <c r="C740" s="58"/>
      <c r="D740" s="58"/>
      <c r="E740" s="58"/>
      <c r="F740" s="58"/>
      <c r="G740" s="58"/>
      <c r="H740" s="59"/>
      <c r="I740" s="59"/>
      <c r="J740" s="59"/>
      <c r="K740" s="59"/>
      <c r="L740" s="59"/>
      <c r="M740" s="60"/>
      <c r="N740" s="60"/>
      <c r="O740" s="60"/>
      <c r="P740" s="59"/>
      <c r="Q740" s="59"/>
      <c r="R740" s="60"/>
      <c r="S740" s="60"/>
      <c r="T740" s="60"/>
      <c r="U740" s="60"/>
      <c r="V740" s="60"/>
      <c r="W740" s="60"/>
    </row>
    <row r="741" spans="1:23" ht="13" x14ac:dyDescent="0.3">
      <c r="A741" s="58"/>
      <c r="B741" s="58"/>
      <c r="C741" s="58"/>
      <c r="D741" s="58"/>
      <c r="E741" s="58"/>
      <c r="F741" s="58"/>
      <c r="G741" s="58"/>
      <c r="H741" s="59"/>
      <c r="I741" s="59"/>
      <c r="J741" s="59"/>
      <c r="K741" s="59"/>
      <c r="L741" s="59"/>
      <c r="M741" s="60"/>
      <c r="N741" s="60"/>
      <c r="O741" s="60"/>
      <c r="P741" s="59"/>
      <c r="Q741" s="59"/>
      <c r="R741" s="60"/>
      <c r="S741" s="60"/>
      <c r="T741" s="60"/>
      <c r="U741" s="60"/>
      <c r="V741" s="60"/>
      <c r="W741" s="60"/>
    </row>
    <row r="742" spans="1:23" ht="13" x14ac:dyDescent="0.3">
      <c r="A742" s="58"/>
      <c r="B742" s="58"/>
      <c r="C742" s="58"/>
      <c r="D742" s="58"/>
      <c r="E742" s="58"/>
      <c r="F742" s="58"/>
      <c r="G742" s="58"/>
      <c r="H742" s="59"/>
      <c r="I742" s="59"/>
      <c r="J742" s="59"/>
      <c r="K742" s="59"/>
      <c r="L742" s="59"/>
      <c r="M742" s="60"/>
      <c r="N742" s="60"/>
      <c r="O742" s="60"/>
      <c r="P742" s="59"/>
      <c r="Q742" s="59"/>
      <c r="R742" s="60"/>
      <c r="S742" s="60"/>
      <c r="T742" s="60"/>
      <c r="U742" s="60"/>
      <c r="V742" s="60"/>
      <c r="W742" s="60"/>
    </row>
    <row r="743" spans="1:23" ht="13" x14ac:dyDescent="0.3">
      <c r="A743" s="58"/>
      <c r="B743" s="58"/>
      <c r="C743" s="58"/>
      <c r="D743" s="58"/>
      <c r="E743" s="58"/>
      <c r="F743" s="58"/>
      <c r="G743" s="58"/>
      <c r="H743" s="59"/>
      <c r="I743" s="59"/>
      <c r="J743" s="59"/>
      <c r="K743" s="59"/>
      <c r="L743" s="59"/>
      <c r="M743" s="60"/>
      <c r="N743" s="60"/>
      <c r="O743" s="60"/>
      <c r="P743" s="59"/>
      <c r="Q743" s="59"/>
      <c r="R743" s="60"/>
      <c r="S743" s="60"/>
      <c r="T743" s="60"/>
      <c r="U743" s="60"/>
      <c r="V743" s="60"/>
      <c r="W743" s="60"/>
    </row>
    <row r="744" spans="1:23" ht="13" x14ac:dyDescent="0.3">
      <c r="A744" s="58"/>
      <c r="B744" s="58"/>
      <c r="C744" s="58"/>
      <c r="D744" s="58"/>
      <c r="E744" s="58"/>
      <c r="F744" s="58"/>
      <c r="G744" s="58"/>
      <c r="H744" s="59"/>
      <c r="I744" s="59"/>
      <c r="J744" s="59"/>
      <c r="K744" s="59"/>
      <c r="L744" s="59"/>
      <c r="M744" s="60"/>
      <c r="N744" s="60"/>
      <c r="O744" s="60"/>
      <c r="P744" s="59"/>
      <c r="Q744" s="59"/>
      <c r="R744" s="60"/>
      <c r="S744" s="60"/>
      <c r="T744" s="60"/>
      <c r="U744" s="60"/>
      <c r="V744" s="60"/>
      <c r="W744" s="60"/>
    </row>
    <row r="745" spans="1:23" ht="13" x14ac:dyDescent="0.3">
      <c r="A745" s="58"/>
      <c r="B745" s="58"/>
      <c r="C745" s="58"/>
      <c r="D745" s="58"/>
      <c r="E745" s="58"/>
      <c r="F745" s="58"/>
      <c r="G745" s="58"/>
      <c r="H745" s="59"/>
      <c r="I745" s="59"/>
      <c r="J745" s="59"/>
      <c r="K745" s="59"/>
      <c r="L745" s="59"/>
      <c r="M745" s="60"/>
      <c r="N745" s="60"/>
      <c r="O745" s="60"/>
      <c r="P745" s="59"/>
      <c r="Q745" s="59"/>
      <c r="R745" s="60"/>
      <c r="S745" s="60"/>
      <c r="T745" s="60"/>
      <c r="U745" s="60"/>
      <c r="V745" s="60"/>
      <c r="W745" s="60"/>
    </row>
    <row r="746" spans="1:23" ht="13" x14ac:dyDescent="0.3">
      <c r="A746" s="58"/>
      <c r="B746" s="58"/>
      <c r="C746" s="58"/>
      <c r="D746" s="58"/>
      <c r="E746" s="58"/>
      <c r="F746" s="58"/>
      <c r="G746" s="58"/>
      <c r="H746" s="59"/>
      <c r="I746" s="59"/>
      <c r="J746" s="59"/>
      <c r="K746" s="59"/>
      <c r="L746" s="59"/>
      <c r="M746" s="60"/>
      <c r="N746" s="60"/>
      <c r="O746" s="60"/>
      <c r="P746" s="59"/>
      <c r="Q746" s="59"/>
      <c r="R746" s="60"/>
      <c r="S746" s="60"/>
      <c r="T746" s="60"/>
      <c r="U746" s="60"/>
      <c r="V746" s="60"/>
      <c r="W746" s="60"/>
    </row>
    <row r="747" spans="1:23" ht="13" x14ac:dyDescent="0.3">
      <c r="A747" s="58"/>
      <c r="B747" s="58"/>
      <c r="C747" s="58"/>
      <c r="D747" s="58"/>
      <c r="E747" s="58"/>
      <c r="F747" s="58"/>
      <c r="G747" s="58"/>
      <c r="H747" s="59"/>
      <c r="I747" s="59"/>
      <c r="J747" s="59"/>
      <c r="K747" s="59"/>
      <c r="L747" s="59"/>
      <c r="M747" s="60"/>
      <c r="N747" s="60"/>
      <c r="O747" s="60"/>
      <c r="P747" s="59"/>
      <c r="Q747" s="59"/>
      <c r="R747" s="60"/>
      <c r="S747" s="60"/>
      <c r="T747" s="60"/>
      <c r="U747" s="60"/>
      <c r="V747" s="60"/>
      <c r="W747" s="60"/>
    </row>
    <row r="748" spans="1:23" ht="13" x14ac:dyDescent="0.3">
      <c r="A748" s="58"/>
      <c r="B748" s="58"/>
      <c r="C748" s="58"/>
      <c r="D748" s="58"/>
      <c r="E748" s="58"/>
      <c r="F748" s="58"/>
      <c r="G748" s="58"/>
      <c r="H748" s="59"/>
      <c r="I748" s="59"/>
      <c r="J748" s="59"/>
      <c r="K748" s="59"/>
      <c r="L748" s="59"/>
      <c r="M748" s="60"/>
      <c r="N748" s="60"/>
      <c r="O748" s="60"/>
      <c r="P748" s="59"/>
      <c r="Q748" s="59"/>
      <c r="R748" s="60"/>
      <c r="S748" s="60"/>
      <c r="T748" s="60"/>
      <c r="U748" s="60"/>
      <c r="V748" s="60"/>
      <c r="W748" s="60"/>
    </row>
    <row r="749" spans="1:23" ht="13" x14ac:dyDescent="0.3">
      <c r="A749" s="58"/>
      <c r="B749" s="58"/>
      <c r="C749" s="58"/>
      <c r="D749" s="58"/>
      <c r="E749" s="58"/>
      <c r="F749" s="58"/>
      <c r="G749" s="58"/>
      <c r="H749" s="59"/>
      <c r="I749" s="59"/>
      <c r="J749" s="59"/>
      <c r="K749" s="59"/>
      <c r="L749" s="59"/>
      <c r="M749" s="60"/>
      <c r="N749" s="60"/>
      <c r="O749" s="60"/>
      <c r="P749" s="59"/>
      <c r="Q749" s="59"/>
      <c r="R749" s="60"/>
      <c r="S749" s="60"/>
      <c r="T749" s="60"/>
      <c r="U749" s="60"/>
      <c r="V749" s="60"/>
      <c r="W749" s="60"/>
    </row>
    <row r="750" spans="1:23" ht="13" x14ac:dyDescent="0.3">
      <c r="A750" s="58"/>
      <c r="B750" s="58"/>
      <c r="C750" s="58"/>
      <c r="D750" s="58"/>
      <c r="E750" s="58"/>
      <c r="F750" s="58"/>
      <c r="G750" s="58"/>
      <c r="H750" s="59"/>
      <c r="I750" s="59"/>
      <c r="J750" s="59"/>
      <c r="K750" s="59"/>
      <c r="L750" s="59"/>
      <c r="M750" s="60"/>
      <c r="N750" s="60"/>
      <c r="O750" s="60"/>
      <c r="P750" s="59"/>
      <c r="Q750" s="59"/>
      <c r="R750" s="60"/>
      <c r="S750" s="60"/>
      <c r="T750" s="60"/>
      <c r="U750" s="60"/>
      <c r="V750" s="60"/>
      <c r="W750" s="60"/>
    </row>
    <row r="751" spans="1:23" ht="13" x14ac:dyDescent="0.3">
      <c r="A751" s="58"/>
      <c r="B751" s="58"/>
      <c r="C751" s="58"/>
      <c r="D751" s="58"/>
      <c r="E751" s="58"/>
      <c r="F751" s="58"/>
      <c r="G751" s="58"/>
      <c r="H751" s="59"/>
      <c r="I751" s="59"/>
      <c r="J751" s="59"/>
      <c r="K751" s="59"/>
      <c r="L751" s="59"/>
      <c r="M751" s="60"/>
      <c r="N751" s="60"/>
      <c r="O751" s="60"/>
      <c r="P751" s="59"/>
      <c r="Q751" s="59"/>
      <c r="R751" s="60"/>
      <c r="S751" s="60"/>
      <c r="T751" s="60"/>
      <c r="U751" s="60"/>
      <c r="V751" s="60"/>
      <c r="W751" s="60"/>
    </row>
    <row r="752" spans="1:23" ht="13" x14ac:dyDescent="0.3">
      <c r="A752" s="58"/>
      <c r="B752" s="58"/>
      <c r="C752" s="58"/>
      <c r="D752" s="58"/>
      <c r="E752" s="58"/>
      <c r="F752" s="58"/>
      <c r="G752" s="58"/>
      <c r="H752" s="59"/>
      <c r="I752" s="59"/>
      <c r="J752" s="59"/>
      <c r="K752" s="59"/>
      <c r="L752" s="59"/>
      <c r="M752" s="60"/>
      <c r="N752" s="60"/>
      <c r="O752" s="60"/>
      <c r="P752" s="59"/>
      <c r="Q752" s="59"/>
      <c r="R752" s="60"/>
      <c r="S752" s="60"/>
      <c r="T752" s="60"/>
      <c r="U752" s="60"/>
      <c r="V752" s="60"/>
      <c r="W752" s="60"/>
    </row>
    <row r="753" spans="1:23" ht="13" x14ac:dyDescent="0.3">
      <c r="A753" s="58"/>
      <c r="B753" s="58"/>
      <c r="C753" s="58"/>
      <c r="D753" s="58"/>
      <c r="E753" s="58"/>
      <c r="F753" s="58"/>
      <c r="G753" s="58"/>
      <c r="H753" s="59"/>
      <c r="I753" s="59"/>
      <c r="J753" s="59"/>
      <c r="K753" s="59"/>
      <c r="L753" s="59"/>
      <c r="M753" s="60"/>
      <c r="N753" s="60"/>
      <c r="O753" s="60"/>
      <c r="P753" s="59"/>
      <c r="Q753" s="59"/>
      <c r="R753" s="60"/>
      <c r="S753" s="60"/>
      <c r="T753" s="60"/>
      <c r="U753" s="60"/>
      <c r="V753" s="60"/>
      <c r="W753" s="60"/>
    </row>
    <row r="754" spans="1:23" ht="13" x14ac:dyDescent="0.3">
      <c r="A754" s="58"/>
      <c r="B754" s="58"/>
      <c r="C754" s="58"/>
      <c r="D754" s="58"/>
      <c r="E754" s="58"/>
      <c r="F754" s="58"/>
      <c r="G754" s="58"/>
      <c r="H754" s="59"/>
      <c r="I754" s="59"/>
      <c r="J754" s="59"/>
      <c r="K754" s="59"/>
      <c r="L754" s="59"/>
      <c r="M754" s="60"/>
      <c r="N754" s="60"/>
      <c r="O754" s="60"/>
      <c r="P754" s="59"/>
      <c r="Q754" s="59"/>
      <c r="R754" s="60"/>
      <c r="S754" s="60"/>
      <c r="T754" s="60"/>
      <c r="U754" s="60"/>
      <c r="V754" s="60"/>
      <c r="W754" s="60"/>
    </row>
    <row r="755" spans="1:23" ht="13" x14ac:dyDescent="0.3">
      <c r="A755" s="58"/>
      <c r="B755" s="58"/>
      <c r="C755" s="58"/>
      <c r="D755" s="58"/>
      <c r="E755" s="58"/>
      <c r="F755" s="58"/>
      <c r="G755" s="58"/>
      <c r="H755" s="59"/>
      <c r="I755" s="59"/>
      <c r="J755" s="59"/>
      <c r="K755" s="59"/>
      <c r="L755" s="59"/>
      <c r="M755" s="60"/>
      <c r="N755" s="60"/>
      <c r="O755" s="60"/>
      <c r="P755" s="59"/>
      <c r="Q755" s="59"/>
      <c r="R755" s="60"/>
      <c r="S755" s="60"/>
      <c r="T755" s="60"/>
      <c r="U755" s="60"/>
      <c r="V755" s="60"/>
      <c r="W755" s="60"/>
    </row>
    <row r="756" spans="1:23" ht="13" x14ac:dyDescent="0.3">
      <c r="A756" s="58"/>
      <c r="B756" s="58"/>
      <c r="C756" s="58"/>
      <c r="D756" s="58"/>
      <c r="E756" s="58"/>
      <c r="F756" s="58"/>
      <c r="G756" s="58"/>
      <c r="H756" s="59"/>
      <c r="I756" s="59"/>
      <c r="J756" s="59"/>
      <c r="K756" s="59"/>
      <c r="L756" s="59"/>
      <c r="M756" s="60"/>
      <c r="N756" s="60"/>
      <c r="O756" s="60"/>
      <c r="P756" s="59"/>
      <c r="Q756" s="59"/>
      <c r="R756" s="60"/>
      <c r="S756" s="60"/>
      <c r="T756" s="60"/>
      <c r="U756" s="60"/>
      <c r="V756" s="60"/>
      <c r="W756" s="60"/>
    </row>
    <row r="757" spans="1:23" ht="13" x14ac:dyDescent="0.3">
      <c r="A757" s="58"/>
      <c r="B757" s="58"/>
      <c r="C757" s="58"/>
      <c r="D757" s="58"/>
      <c r="E757" s="58"/>
      <c r="F757" s="58"/>
      <c r="G757" s="58"/>
      <c r="H757" s="59"/>
      <c r="I757" s="59"/>
      <c r="J757" s="59"/>
      <c r="K757" s="59"/>
      <c r="L757" s="59"/>
      <c r="M757" s="60"/>
      <c r="N757" s="60"/>
      <c r="O757" s="60"/>
      <c r="P757" s="59"/>
      <c r="Q757" s="59"/>
      <c r="R757" s="60"/>
      <c r="S757" s="60"/>
      <c r="T757" s="60"/>
      <c r="U757" s="60"/>
      <c r="V757" s="60"/>
      <c r="W757" s="60"/>
    </row>
    <row r="758" spans="1:23" ht="13" x14ac:dyDescent="0.3">
      <c r="A758" s="58"/>
      <c r="B758" s="58"/>
      <c r="C758" s="58"/>
      <c r="D758" s="58"/>
      <c r="E758" s="58"/>
      <c r="F758" s="58"/>
      <c r="G758" s="58"/>
      <c r="H758" s="59"/>
      <c r="I758" s="59"/>
      <c r="J758" s="59"/>
      <c r="K758" s="59"/>
      <c r="L758" s="59"/>
      <c r="M758" s="60"/>
      <c r="N758" s="60"/>
      <c r="O758" s="60"/>
      <c r="P758" s="59"/>
      <c r="Q758" s="59"/>
      <c r="R758" s="60"/>
      <c r="S758" s="60"/>
      <c r="T758" s="60"/>
      <c r="U758" s="60"/>
      <c r="V758" s="60"/>
      <c r="W758" s="60"/>
    </row>
    <row r="759" spans="1:23" ht="13" x14ac:dyDescent="0.3">
      <c r="A759" s="58"/>
      <c r="B759" s="58"/>
      <c r="C759" s="58"/>
      <c r="D759" s="58"/>
      <c r="E759" s="58"/>
      <c r="F759" s="58"/>
      <c r="G759" s="58"/>
      <c r="H759" s="59"/>
      <c r="I759" s="59"/>
      <c r="J759" s="59"/>
      <c r="K759" s="59"/>
      <c r="L759" s="59"/>
      <c r="M759" s="60"/>
      <c r="N759" s="60"/>
      <c r="O759" s="60"/>
      <c r="P759" s="59"/>
      <c r="Q759" s="59"/>
      <c r="R759" s="60"/>
      <c r="S759" s="60"/>
      <c r="T759" s="60"/>
      <c r="U759" s="60"/>
      <c r="V759" s="60"/>
      <c r="W759" s="60"/>
    </row>
    <row r="760" spans="1:23" ht="13" x14ac:dyDescent="0.3">
      <c r="A760" s="58"/>
      <c r="B760" s="58"/>
      <c r="C760" s="58"/>
      <c r="D760" s="58"/>
      <c r="E760" s="58"/>
      <c r="F760" s="58"/>
      <c r="G760" s="58"/>
      <c r="H760" s="59"/>
      <c r="I760" s="59"/>
      <c r="J760" s="59"/>
      <c r="K760" s="59"/>
      <c r="L760" s="59"/>
      <c r="M760" s="60"/>
      <c r="N760" s="60"/>
      <c r="O760" s="60"/>
      <c r="P760" s="59"/>
      <c r="Q760" s="59"/>
      <c r="R760" s="60"/>
      <c r="S760" s="60"/>
      <c r="T760" s="60"/>
      <c r="U760" s="60"/>
      <c r="V760" s="60"/>
      <c r="W760" s="60"/>
    </row>
    <row r="761" spans="1:23" ht="13" x14ac:dyDescent="0.3">
      <c r="A761" s="58"/>
      <c r="B761" s="58"/>
      <c r="C761" s="58"/>
      <c r="D761" s="58"/>
      <c r="E761" s="58"/>
      <c r="F761" s="58"/>
      <c r="G761" s="58"/>
      <c r="H761" s="59"/>
      <c r="I761" s="59"/>
      <c r="J761" s="59"/>
      <c r="K761" s="59"/>
      <c r="L761" s="59"/>
      <c r="M761" s="60"/>
      <c r="N761" s="60"/>
      <c r="O761" s="60"/>
      <c r="P761" s="59"/>
      <c r="Q761" s="59"/>
      <c r="R761" s="60"/>
      <c r="S761" s="60"/>
      <c r="T761" s="60"/>
      <c r="U761" s="60"/>
      <c r="V761" s="60"/>
      <c r="W761" s="60"/>
    </row>
    <row r="762" spans="1:23" ht="13" x14ac:dyDescent="0.3">
      <c r="A762" s="58"/>
      <c r="B762" s="58"/>
      <c r="C762" s="58"/>
      <c r="D762" s="58"/>
      <c r="E762" s="58"/>
      <c r="F762" s="58"/>
      <c r="G762" s="58"/>
      <c r="H762" s="59"/>
      <c r="I762" s="59"/>
      <c r="J762" s="59"/>
      <c r="K762" s="59"/>
      <c r="L762" s="59"/>
      <c r="M762" s="60"/>
      <c r="N762" s="60"/>
      <c r="O762" s="60"/>
      <c r="P762" s="59"/>
      <c r="Q762" s="59"/>
      <c r="R762" s="60"/>
      <c r="S762" s="60"/>
      <c r="T762" s="60"/>
      <c r="U762" s="60"/>
      <c r="V762" s="60"/>
      <c r="W762" s="60"/>
    </row>
    <row r="763" spans="1:23" ht="13" x14ac:dyDescent="0.3">
      <c r="A763" s="58"/>
      <c r="B763" s="58"/>
      <c r="C763" s="58"/>
      <c r="D763" s="58"/>
      <c r="E763" s="58"/>
      <c r="F763" s="58"/>
      <c r="G763" s="58"/>
      <c r="H763" s="59"/>
      <c r="I763" s="59"/>
      <c r="J763" s="59"/>
      <c r="K763" s="59"/>
      <c r="L763" s="59"/>
      <c r="M763" s="60"/>
      <c r="N763" s="60"/>
      <c r="O763" s="60"/>
      <c r="P763" s="59"/>
      <c r="Q763" s="59"/>
      <c r="R763" s="60"/>
      <c r="S763" s="60"/>
      <c r="T763" s="60"/>
      <c r="U763" s="60"/>
      <c r="V763" s="60"/>
      <c r="W763" s="60"/>
    </row>
    <row r="764" spans="1:23" ht="13" x14ac:dyDescent="0.3">
      <c r="A764" s="58"/>
      <c r="B764" s="58"/>
      <c r="C764" s="58"/>
      <c r="D764" s="58"/>
      <c r="E764" s="58"/>
      <c r="F764" s="58"/>
      <c r="G764" s="58"/>
      <c r="H764" s="59"/>
      <c r="I764" s="59"/>
      <c r="J764" s="59"/>
      <c r="K764" s="59"/>
      <c r="L764" s="59"/>
      <c r="M764" s="60"/>
      <c r="N764" s="60"/>
      <c r="O764" s="60"/>
      <c r="P764" s="59"/>
      <c r="Q764" s="59"/>
      <c r="R764" s="60"/>
      <c r="S764" s="60"/>
      <c r="T764" s="60"/>
      <c r="U764" s="60"/>
      <c r="V764" s="60"/>
      <c r="W764" s="60"/>
    </row>
    <row r="765" spans="1:23" ht="13" x14ac:dyDescent="0.3">
      <c r="A765" s="58"/>
      <c r="B765" s="58"/>
      <c r="C765" s="58"/>
      <c r="D765" s="58"/>
      <c r="E765" s="58"/>
      <c r="F765" s="58"/>
      <c r="G765" s="58"/>
      <c r="H765" s="59"/>
      <c r="I765" s="59"/>
      <c r="J765" s="59"/>
      <c r="K765" s="59"/>
      <c r="L765" s="59"/>
      <c r="M765" s="60"/>
      <c r="N765" s="60"/>
      <c r="O765" s="60"/>
      <c r="P765" s="59"/>
      <c r="Q765" s="59"/>
      <c r="R765" s="60"/>
      <c r="S765" s="60"/>
      <c r="T765" s="60"/>
      <c r="U765" s="60"/>
      <c r="V765" s="60"/>
      <c r="W765" s="60"/>
    </row>
    <row r="766" spans="1:23" ht="13" x14ac:dyDescent="0.3">
      <c r="A766" s="58"/>
      <c r="B766" s="58"/>
      <c r="C766" s="58"/>
      <c r="D766" s="58"/>
      <c r="E766" s="58"/>
      <c r="F766" s="58"/>
      <c r="G766" s="58"/>
      <c r="H766" s="59"/>
      <c r="I766" s="59"/>
      <c r="J766" s="59"/>
      <c r="K766" s="59"/>
      <c r="L766" s="59"/>
      <c r="M766" s="60"/>
      <c r="N766" s="60"/>
      <c r="O766" s="60"/>
      <c r="P766" s="59"/>
      <c r="Q766" s="59"/>
      <c r="R766" s="60"/>
      <c r="S766" s="60"/>
      <c r="T766" s="60"/>
      <c r="U766" s="60"/>
      <c r="V766" s="60"/>
      <c r="W766" s="60"/>
    </row>
    <row r="767" spans="1:23" ht="13" x14ac:dyDescent="0.3">
      <c r="A767" s="58"/>
      <c r="B767" s="58"/>
      <c r="C767" s="58"/>
      <c r="D767" s="58"/>
      <c r="E767" s="58"/>
      <c r="F767" s="58"/>
      <c r="G767" s="58"/>
      <c r="H767" s="59"/>
      <c r="I767" s="59"/>
      <c r="J767" s="59"/>
      <c r="K767" s="59"/>
      <c r="L767" s="59"/>
      <c r="M767" s="60"/>
      <c r="N767" s="60"/>
      <c r="O767" s="60"/>
      <c r="P767" s="59"/>
      <c r="Q767" s="59"/>
      <c r="R767" s="60"/>
      <c r="S767" s="60"/>
      <c r="T767" s="60"/>
      <c r="U767" s="60"/>
      <c r="V767" s="60"/>
      <c r="W767" s="60"/>
    </row>
    <row r="768" spans="1:23" ht="13" x14ac:dyDescent="0.3">
      <c r="A768" s="58"/>
      <c r="B768" s="58"/>
      <c r="C768" s="58"/>
      <c r="D768" s="58"/>
      <c r="E768" s="58"/>
      <c r="F768" s="58"/>
      <c r="G768" s="58"/>
      <c r="H768" s="59"/>
      <c r="I768" s="59"/>
      <c r="J768" s="59"/>
      <c r="K768" s="59"/>
      <c r="L768" s="59"/>
      <c r="M768" s="60"/>
      <c r="N768" s="60"/>
      <c r="O768" s="60"/>
      <c r="P768" s="59"/>
      <c r="Q768" s="59"/>
      <c r="R768" s="60"/>
      <c r="S768" s="60"/>
      <c r="T768" s="60"/>
      <c r="U768" s="60"/>
      <c r="V768" s="60"/>
      <c r="W768" s="60"/>
    </row>
    <row r="769" spans="1:23" ht="13" x14ac:dyDescent="0.3">
      <c r="A769" s="58"/>
      <c r="B769" s="58"/>
      <c r="C769" s="58"/>
      <c r="D769" s="58"/>
      <c r="E769" s="58"/>
      <c r="F769" s="58"/>
      <c r="G769" s="58"/>
      <c r="H769" s="59"/>
      <c r="I769" s="59"/>
      <c r="J769" s="59"/>
      <c r="K769" s="59"/>
      <c r="L769" s="59"/>
      <c r="M769" s="60"/>
      <c r="N769" s="60"/>
      <c r="O769" s="60"/>
      <c r="P769" s="59"/>
      <c r="Q769" s="59"/>
      <c r="R769" s="60"/>
      <c r="S769" s="60"/>
      <c r="T769" s="60"/>
      <c r="U769" s="60"/>
      <c r="V769" s="60"/>
      <c r="W769" s="60"/>
    </row>
    <row r="770" spans="1:23" ht="13" x14ac:dyDescent="0.3">
      <c r="A770" s="58"/>
      <c r="B770" s="58"/>
      <c r="C770" s="58"/>
      <c r="D770" s="58"/>
      <c r="E770" s="58"/>
      <c r="F770" s="58"/>
      <c r="G770" s="58"/>
      <c r="H770" s="59"/>
      <c r="I770" s="59"/>
      <c r="J770" s="59"/>
      <c r="K770" s="59"/>
      <c r="L770" s="59"/>
      <c r="M770" s="60"/>
      <c r="N770" s="60"/>
      <c r="O770" s="60"/>
      <c r="P770" s="59"/>
      <c r="Q770" s="59"/>
      <c r="R770" s="60"/>
      <c r="S770" s="60"/>
      <c r="T770" s="60"/>
      <c r="U770" s="60"/>
      <c r="V770" s="60"/>
      <c r="W770" s="60"/>
    </row>
    <row r="771" spans="1:23" ht="13" x14ac:dyDescent="0.3">
      <c r="A771" s="58"/>
      <c r="B771" s="58"/>
      <c r="C771" s="58"/>
      <c r="D771" s="58"/>
      <c r="E771" s="58"/>
      <c r="F771" s="58"/>
      <c r="G771" s="58"/>
      <c r="H771" s="59"/>
      <c r="I771" s="59"/>
      <c r="J771" s="59"/>
      <c r="K771" s="59"/>
      <c r="L771" s="59"/>
      <c r="M771" s="60"/>
      <c r="N771" s="60"/>
      <c r="O771" s="60"/>
      <c r="P771" s="59"/>
      <c r="Q771" s="59"/>
      <c r="R771" s="60"/>
      <c r="S771" s="60"/>
      <c r="T771" s="60"/>
      <c r="U771" s="60"/>
      <c r="V771" s="60"/>
      <c r="W771" s="60"/>
    </row>
    <row r="772" spans="1:23" ht="13" x14ac:dyDescent="0.3">
      <c r="A772" s="58"/>
      <c r="B772" s="58"/>
      <c r="C772" s="58"/>
      <c r="D772" s="58"/>
      <c r="E772" s="58"/>
      <c r="F772" s="58"/>
      <c r="G772" s="58"/>
      <c r="H772" s="59"/>
      <c r="I772" s="59"/>
      <c r="J772" s="59"/>
      <c r="K772" s="59"/>
      <c r="L772" s="59"/>
      <c r="M772" s="60"/>
      <c r="N772" s="60"/>
      <c r="O772" s="60"/>
      <c r="P772" s="59"/>
      <c r="Q772" s="59"/>
      <c r="R772" s="60"/>
      <c r="S772" s="60"/>
      <c r="T772" s="60"/>
      <c r="U772" s="60"/>
      <c r="V772" s="60"/>
      <c r="W772" s="60"/>
    </row>
    <row r="773" spans="1:23" ht="13" x14ac:dyDescent="0.3">
      <c r="A773" s="58"/>
      <c r="B773" s="58"/>
      <c r="C773" s="58"/>
      <c r="D773" s="58"/>
      <c r="E773" s="58"/>
      <c r="F773" s="58"/>
      <c r="G773" s="58"/>
      <c r="H773" s="59"/>
      <c r="I773" s="59"/>
      <c r="J773" s="59"/>
      <c r="K773" s="59"/>
      <c r="L773" s="59"/>
      <c r="M773" s="60"/>
      <c r="N773" s="60"/>
      <c r="O773" s="60"/>
      <c r="P773" s="59"/>
      <c r="Q773" s="59"/>
      <c r="R773" s="60"/>
      <c r="S773" s="60"/>
      <c r="T773" s="60"/>
      <c r="U773" s="60"/>
      <c r="V773" s="60"/>
      <c r="W773" s="60"/>
    </row>
    <row r="774" spans="1:23" ht="13" x14ac:dyDescent="0.3">
      <c r="A774" s="58"/>
      <c r="B774" s="58"/>
      <c r="C774" s="58"/>
      <c r="D774" s="58"/>
      <c r="E774" s="58"/>
      <c r="F774" s="58"/>
      <c r="G774" s="58"/>
      <c r="H774" s="59"/>
      <c r="I774" s="59"/>
      <c r="J774" s="59"/>
      <c r="K774" s="59"/>
      <c r="L774" s="59"/>
      <c r="M774" s="60"/>
      <c r="N774" s="60"/>
      <c r="O774" s="60"/>
      <c r="P774" s="59"/>
      <c r="Q774" s="59"/>
      <c r="R774" s="60"/>
      <c r="S774" s="60"/>
      <c r="T774" s="60"/>
      <c r="U774" s="60"/>
      <c r="V774" s="60"/>
      <c r="W774" s="60"/>
    </row>
    <row r="775" spans="1:23" ht="13" x14ac:dyDescent="0.3">
      <c r="A775" s="58"/>
      <c r="B775" s="58"/>
      <c r="C775" s="58"/>
      <c r="D775" s="58"/>
      <c r="E775" s="58"/>
      <c r="F775" s="58"/>
      <c r="G775" s="58"/>
      <c r="H775" s="59"/>
      <c r="I775" s="59"/>
      <c r="J775" s="59"/>
      <c r="K775" s="59"/>
      <c r="L775" s="59"/>
      <c r="M775" s="60"/>
      <c r="N775" s="60"/>
      <c r="O775" s="60"/>
      <c r="P775" s="59"/>
      <c r="Q775" s="59"/>
      <c r="R775" s="60"/>
      <c r="S775" s="60"/>
      <c r="T775" s="60"/>
      <c r="U775" s="60"/>
      <c r="V775" s="60"/>
      <c r="W775" s="60"/>
    </row>
    <row r="776" spans="1:23" ht="13" x14ac:dyDescent="0.3">
      <c r="A776" s="58"/>
      <c r="B776" s="58"/>
      <c r="C776" s="58"/>
      <c r="D776" s="58"/>
      <c r="E776" s="58"/>
      <c r="F776" s="58"/>
      <c r="G776" s="58"/>
      <c r="H776" s="59"/>
      <c r="I776" s="59"/>
      <c r="J776" s="59"/>
      <c r="K776" s="59"/>
      <c r="L776" s="59"/>
      <c r="M776" s="60"/>
      <c r="N776" s="60"/>
      <c r="O776" s="60"/>
      <c r="P776" s="59"/>
      <c r="Q776" s="59"/>
      <c r="R776" s="60"/>
      <c r="S776" s="60"/>
      <c r="T776" s="60"/>
      <c r="U776" s="60"/>
      <c r="V776" s="60"/>
      <c r="W776" s="60"/>
    </row>
    <row r="777" spans="1:23" ht="13" x14ac:dyDescent="0.3">
      <c r="A777" s="58"/>
      <c r="B777" s="58"/>
      <c r="C777" s="58"/>
      <c r="D777" s="58"/>
      <c r="E777" s="58"/>
      <c r="F777" s="58"/>
      <c r="G777" s="58"/>
      <c r="H777" s="59"/>
      <c r="I777" s="59"/>
      <c r="J777" s="59"/>
      <c r="K777" s="59"/>
      <c r="L777" s="59"/>
      <c r="M777" s="60"/>
      <c r="N777" s="60"/>
      <c r="O777" s="60"/>
      <c r="P777" s="59"/>
      <c r="Q777" s="59"/>
      <c r="R777" s="60"/>
      <c r="S777" s="60"/>
      <c r="T777" s="60"/>
      <c r="U777" s="60"/>
      <c r="V777" s="60"/>
      <c r="W777" s="60"/>
    </row>
    <row r="778" spans="1:23" ht="13" x14ac:dyDescent="0.3">
      <c r="A778" s="58"/>
      <c r="B778" s="58"/>
      <c r="C778" s="58"/>
      <c r="D778" s="58"/>
      <c r="E778" s="58"/>
      <c r="F778" s="58"/>
      <c r="G778" s="58"/>
      <c r="H778" s="59"/>
      <c r="I778" s="59"/>
      <c r="J778" s="59"/>
      <c r="K778" s="59"/>
      <c r="L778" s="59"/>
      <c r="M778" s="60"/>
      <c r="N778" s="60"/>
      <c r="O778" s="60"/>
      <c r="P778" s="59"/>
      <c r="Q778" s="59"/>
      <c r="R778" s="60"/>
      <c r="S778" s="60"/>
      <c r="T778" s="60"/>
      <c r="U778" s="60"/>
      <c r="V778" s="60"/>
      <c r="W778" s="60"/>
    </row>
    <row r="779" spans="1:23" ht="13" x14ac:dyDescent="0.3">
      <c r="A779" s="58"/>
      <c r="B779" s="58"/>
      <c r="C779" s="58"/>
      <c r="D779" s="58"/>
      <c r="E779" s="58"/>
      <c r="F779" s="58"/>
      <c r="G779" s="58"/>
      <c r="H779" s="59"/>
      <c r="I779" s="59"/>
      <c r="J779" s="59"/>
      <c r="K779" s="59"/>
      <c r="L779" s="59"/>
      <c r="M779" s="60"/>
      <c r="N779" s="60"/>
      <c r="O779" s="60"/>
      <c r="P779" s="59"/>
      <c r="Q779" s="59"/>
      <c r="R779" s="60"/>
      <c r="S779" s="60"/>
      <c r="T779" s="60"/>
      <c r="U779" s="60"/>
      <c r="V779" s="60"/>
      <c r="W779" s="60"/>
    </row>
    <row r="780" spans="1:23" ht="13" x14ac:dyDescent="0.3">
      <c r="A780" s="58"/>
      <c r="B780" s="58"/>
      <c r="C780" s="58"/>
      <c r="D780" s="58"/>
      <c r="E780" s="58"/>
      <c r="F780" s="58"/>
      <c r="G780" s="58"/>
      <c r="H780" s="59"/>
      <c r="I780" s="59"/>
      <c r="J780" s="59"/>
      <c r="K780" s="59"/>
      <c r="L780" s="59"/>
      <c r="M780" s="60"/>
      <c r="N780" s="60"/>
      <c r="O780" s="60"/>
      <c r="P780" s="59"/>
      <c r="Q780" s="59"/>
      <c r="R780" s="60"/>
      <c r="S780" s="60"/>
      <c r="T780" s="60"/>
      <c r="U780" s="60"/>
      <c r="V780" s="60"/>
      <c r="W780" s="60"/>
    </row>
    <row r="781" spans="1:23" ht="13" x14ac:dyDescent="0.3">
      <c r="A781" s="58"/>
      <c r="B781" s="58"/>
      <c r="C781" s="58"/>
      <c r="D781" s="58"/>
      <c r="E781" s="58"/>
      <c r="F781" s="58"/>
      <c r="G781" s="58"/>
      <c r="H781" s="59"/>
      <c r="I781" s="59"/>
      <c r="J781" s="59"/>
      <c r="K781" s="59"/>
      <c r="L781" s="59"/>
      <c r="M781" s="60"/>
      <c r="N781" s="60"/>
      <c r="O781" s="60"/>
      <c r="P781" s="59"/>
      <c r="Q781" s="59"/>
      <c r="R781" s="60"/>
      <c r="S781" s="60"/>
      <c r="T781" s="60"/>
      <c r="U781" s="60"/>
      <c r="V781" s="60"/>
      <c r="W781" s="60"/>
    </row>
    <row r="782" spans="1:23" ht="13" x14ac:dyDescent="0.3">
      <c r="A782" s="58"/>
      <c r="B782" s="58"/>
      <c r="C782" s="58"/>
      <c r="D782" s="58"/>
      <c r="E782" s="58"/>
      <c r="F782" s="58"/>
      <c r="G782" s="58"/>
      <c r="H782" s="59"/>
      <c r="I782" s="59"/>
      <c r="J782" s="59"/>
      <c r="K782" s="59"/>
      <c r="L782" s="59"/>
      <c r="M782" s="60"/>
      <c r="N782" s="60"/>
      <c r="O782" s="60"/>
      <c r="P782" s="59"/>
      <c r="Q782" s="59"/>
      <c r="R782" s="60"/>
      <c r="S782" s="60"/>
      <c r="T782" s="60"/>
      <c r="U782" s="60"/>
      <c r="V782" s="60"/>
      <c r="W782" s="60"/>
    </row>
    <row r="783" spans="1:23" ht="13" x14ac:dyDescent="0.3">
      <c r="A783" s="58"/>
      <c r="B783" s="58"/>
      <c r="C783" s="58"/>
      <c r="D783" s="58"/>
      <c r="E783" s="58"/>
      <c r="F783" s="58"/>
      <c r="G783" s="58"/>
      <c r="H783" s="59"/>
      <c r="I783" s="59"/>
      <c r="J783" s="59"/>
      <c r="K783" s="59"/>
      <c r="L783" s="59"/>
      <c r="M783" s="60"/>
      <c r="N783" s="60"/>
      <c r="O783" s="60"/>
      <c r="P783" s="59"/>
      <c r="Q783" s="59"/>
      <c r="R783" s="60"/>
      <c r="S783" s="60"/>
      <c r="T783" s="60"/>
      <c r="U783" s="60"/>
      <c r="V783" s="60"/>
      <c r="W783" s="60"/>
    </row>
    <row r="784" spans="1:23" ht="13" x14ac:dyDescent="0.3">
      <c r="A784" s="58"/>
      <c r="B784" s="58"/>
      <c r="C784" s="58"/>
      <c r="D784" s="58"/>
      <c r="E784" s="58"/>
      <c r="F784" s="58"/>
      <c r="G784" s="58"/>
      <c r="H784" s="59"/>
      <c r="I784" s="59"/>
      <c r="J784" s="59"/>
      <c r="K784" s="59"/>
      <c r="L784" s="59"/>
      <c r="M784" s="60"/>
      <c r="N784" s="60"/>
      <c r="O784" s="60"/>
      <c r="P784" s="59"/>
      <c r="Q784" s="59"/>
      <c r="R784" s="60"/>
      <c r="S784" s="60"/>
      <c r="T784" s="60"/>
      <c r="U784" s="60"/>
      <c r="V784" s="60"/>
      <c r="W784" s="60"/>
    </row>
    <row r="785" spans="1:23" ht="13" x14ac:dyDescent="0.3">
      <c r="A785" s="58"/>
      <c r="B785" s="58"/>
      <c r="C785" s="58"/>
      <c r="D785" s="58"/>
      <c r="E785" s="58"/>
      <c r="F785" s="58"/>
      <c r="G785" s="58"/>
      <c r="H785" s="59"/>
      <c r="I785" s="59"/>
      <c r="J785" s="59"/>
      <c r="K785" s="59"/>
      <c r="L785" s="59"/>
      <c r="M785" s="60"/>
      <c r="N785" s="60"/>
      <c r="O785" s="60"/>
      <c r="P785" s="59"/>
      <c r="Q785" s="59"/>
      <c r="R785" s="60"/>
      <c r="S785" s="60"/>
      <c r="T785" s="60"/>
      <c r="U785" s="60"/>
      <c r="V785" s="60"/>
      <c r="W785" s="60"/>
    </row>
    <row r="786" spans="1:23" ht="13" x14ac:dyDescent="0.3">
      <c r="A786" s="58"/>
      <c r="B786" s="58"/>
      <c r="C786" s="58"/>
      <c r="D786" s="58"/>
      <c r="E786" s="58"/>
      <c r="F786" s="58"/>
      <c r="G786" s="58"/>
      <c r="H786" s="59"/>
      <c r="I786" s="59"/>
      <c r="J786" s="59"/>
      <c r="K786" s="59"/>
      <c r="L786" s="59"/>
      <c r="M786" s="60"/>
      <c r="N786" s="60"/>
      <c r="O786" s="60"/>
      <c r="P786" s="59"/>
      <c r="Q786" s="59"/>
      <c r="R786" s="60"/>
      <c r="S786" s="60"/>
      <c r="T786" s="60"/>
      <c r="U786" s="60"/>
      <c r="V786" s="60"/>
      <c r="W786" s="60"/>
    </row>
    <row r="787" spans="1:23" ht="13" x14ac:dyDescent="0.3">
      <c r="A787" s="58"/>
      <c r="B787" s="58"/>
      <c r="C787" s="58"/>
      <c r="D787" s="58"/>
      <c r="E787" s="58"/>
      <c r="F787" s="58"/>
      <c r="G787" s="58"/>
      <c r="H787" s="59"/>
      <c r="I787" s="59"/>
      <c r="J787" s="59"/>
      <c r="K787" s="59"/>
      <c r="L787" s="59"/>
      <c r="M787" s="60"/>
      <c r="N787" s="60"/>
      <c r="O787" s="60"/>
      <c r="P787" s="59"/>
      <c r="Q787" s="59"/>
      <c r="R787" s="60"/>
      <c r="S787" s="60"/>
      <c r="T787" s="60"/>
      <c r="U787" s="60"/>
      <c r="V787" s="60"/>
      <c r="W787" s="60"/>
    </row>
    <row r="788" spans="1:23" ht="13" x14ac:dyDescent="0.3">
      <c r="A788" s="58"/>
      <c r="B788" s="58"/>
      <c r="C788" s="58"/>
      <c r="D788" s="58"/>
      <c r="E788" s="58"/>
      <c r="F788" s="58"/>
      <c r="G788" s="58"/>
      <c r="H788" s="59"/>
      <c r="I788" s="59"/>
      <c r="J788" s="59"/>
      <c r="K788" s="59"/>
      <c r="L788" s="59"/>
      <c r="M788" s="60"/>
      <c r="N788" s="60"/>
      <c r="O788" s="60"/>
      <c r="P788" s="59"/>
      <c r="Q788" s="59"/>
      <c r="R788" s="60"/>
      <c r="S788" s="60"/>
      <c r="T788" s="60"/>
      <c r="U788" s="60"/>
      <c r="V788" s="60"/>
      <c r="W788" s="60"/>
    </row>
    <row r="789" spans="1:23" ht="13" x14ac:dyDescent="0.3">
      <c r="A789" s="58"/>
      <c r="B789" s="58"/>
      <c r="C789" s="58"/>
      <c r="D789" s="58"/>
      <c r="E789" s="58"/>
      <c r="F789" s="58"/>
      <c r="G789" s="58"/>
      <c r="H789" s="59"/>
      <c r="I789" s="59"/>
      <c r="J789" s="59"/>
      <c r="K789" s="59"/>
      <c r="L789" s="59"/>
      <c r="M789" s="60"/>
      <c r="N789" s="60"/>
      <c r="O789" s="60"/>
      <c r="P789" s="59"/>
      <c r="Q789" s="59"/>
      <c r="R789" s="60"/>
      <c r="S789" s="60"/>
      <c r="T789" s="60"/>
      <c r="U789" s="60"/>
      <c r="V789" s="60"/>
      <c r="W789" s="60"/>
    </row>
    <row r="790" spans="1:23" ht="13" x14ac:dyDescent="0.3">
      <c r="A790" s="58"/>
      <c r="B790" s="58"/>
      <c r="C790" s="58"/>
      <c r="D790" s="58"/>
      <c r="E790" s="58"/>
      <c r="F790" s="58"/>
      <c r="G790" s="58"/>
      <c r="H790" s="59"/>
      <c r="I790" s="59"/>
      <c r="J790" s="59"/>
      <c r="K790" s="59"/>
      <c r="L790" s="59"/>
      <c r="M790" s="60"/>
      <c r="N790" s="60"/>
      <c r="O790" s="60"/>
      <c r="P790" s="59"/>
      <c r="Q790" s="59"/>
      <c r="R790" s="60"/>
      <c r="S790" s="60"/>
      <c r="T790" s="60"/>
      <c r="U790" s="60"/>
      <c r="V790" s="60"/>
      <c r="W790" s="60"/>
    </row>
    <row r="791" spans="1:23" ht="13" x14ac:dyDescent="0.3">
      <c r="A791" s="58"/>
      <c r="B791" s="58"/>
      <c r="C791" s="58"/>
      <c r="D791" s="58"/>
      <c r="E791" s="58"/>
      <c r="F791" s="58"/>
      <c r="G791" s="58"/>
      <c r="H791" s="59"/>
      <c r="I791" s="59"/>
      <c r="J791" s="59"/>
      <c r="K791" s="59"/>
      <c r="L791" s="59"/>
      <c r="M791" s="60"/>
      <c r="N791" s="60"/>
      <c r="O791" s="60"/>
      <c r="P791" s="59"/>
      <c r="Q791" s="59"/>
      <c r="R791" s="60"/>
      <c r="S791" s="60"/>
      <c r="T791" s="60"/>
      <c r="U791" s="60"/>
      <c r="V791" s="60"/>
      <c r="W791" s="60"/>
    </row>
    <row r="792" spans="1:23" ht="13" x14ac:dyDescent="0.3">
      <c r="A792" s="58"/>
      <c r="B792" s="58"/>
      <c r="C792" s="58"/>
      <c r="D792" s="58"/>
      <c r="E792" s="58"/>
      <c r="F792" s="58"/>
      <c r="G792" s="58"/>
      <c r="H792" s="59"/>
      <c r="I792" s="59"/>
      <c r="J792" s="59"/>
      <c r="K792" s="59"/>
      <c r="L792" s="59"/>
      <c r="M792" s="60"/>
      <c r="N792" s="60"/>
      <c r="O792" s="60"/>
      <c r="P792" s="59"/>
      <c r="Q792" s="59"/>
      <c r="R792" s="60"/>
      <c r="S792" s="60"/>
      <c r="T792" s="60"/>
      <c r="U792" s="60"/>
      <c r="V792" s="60"/>
      <c r="W792" s="60"/>
    </row>
    <row r="793" spans="1:23" ht="13" x14ac:dyDescent="0.3">
      <c r="A793" s="58"/>
      <c r="B793" s="58"/>
      <c r="C793" s="58"/>
      <c r="D793" s="58"/>
      <c r="E793" s="58"/>
      <c r="F793" s="58"/>
      <c r="G793" s="58"/>
      <c r="H793" s="59"/>
      <c r="I793" s="59"/>
      <c r="J793" s="59"/>
      <c r="K793" s="59"/>
      <c r="L793" s="59"/>
      <c r="M793" s="60"/>
      <c r="N793" s="60"/>
      <c r="O793" s="60"/>
      <c r="P793" s="59"/>
      <c r="Q793" s="59"/>
      <c r="R793" s="60"/>
      <c r="S793" s="60"/>
      <c r="T793" s="60"/>
      <c r="U793" s="60"/>
      <c r="V793" s="60"/>
      <c r="W793" s="60"/>
    </row>
    <row r="794" spans="1:23" ht="13" x14ac:dyDescent="0.3">
      <c r="A794" s="58"/>
      <c r="B794" s="58"/>
      <c r="C794" s="58"/>
      <c r="D794" s="58"/>
      <c r="E794" s="58"/>
      <c r="F794" s="58"/>
      <c r="G794" s="58"/>
      <c r="H794" s="59"/>
      <c r="I794" s="59"/>
      <c r="J794" s="59"/>
      <c r="K794" s="59"/>
      <c r="L794" s="59"/>
      <c r="M794" s="60"/>
      <c r="N794" s="60"/>
      <c r="O794" s="60"/>
      <c r="P794" s="59"/>
      <c r="Q794" s="59"/>
      <c r="R794" s="60"/>
      <c r="S794" s="60"/>
      <c r="T794" s="60"/>
      <c r="U794" s="60"/>
      <c r="V794" s="60"/>
      <c r="W794" s="60"/>
    </row>
    <row r="795" spans="1:23" ht="13" x14ac:dyDescent="0.3">
      <c r="A795" s="58"/>
      <c r="B795" s="58"/>
      <c r="C795" s="58"/>
      <c r="D795" s="58"/>
      <c r="E795" s="58"/>
      <c r="F795" s="58"/>
      <c r="G795" s="58"/>
      <c r="H795" s="59"/>
      <c r="I795" s="59"/>
      <c r="J795" s="59"/>
      <c r="K795" s="59"/>
      <c r="L795" s="59"/>
      <c r="M795" s="60"/>
      <c r="N795" s="60"/>
      <c r="O795" s="60"/>
      <c r="P795" s="59"/>
      <c r="Q795" s="59"/>
      <c r="R795" s="60"/>
      <c r="S795" s="60"/>
      <c r="T795" s="60"/>
      <c r="U795" s="60"/>
      <c r="V795" s="60"/>
      <c r="W795" s="60"/>
    </row>
    <row r="796" spans="1:23" ht="13" x14ac:dyDescent="0.3">
      <c r="A796" s="58"/>
      <c r="B796" s="58"/>
      <c r="C796" s="58"/>
      <c r="D796" s="58"/>
      <c r="E796" s="58"/>
      <c r="F796" s="58"/>
      <c r="G796" s="58"/>
      <c r="H796" s="59"/>
      <c r="I796" s="59"/>
      <c r="J796" s="59"/>
      <c r="K796" s="59"/>
      <c r="L796" s="59"/>
      <c r="M796" s="60"/>
      <c r="N796" s="60"/>
      <c r="O796" s="60"/>
      <c r="P796" s="59"/>
      <c r="Q796" s="59"/>
      <c r="R796" s="60"/>
      <c r="S796" s="60"/>
      <c r="T796" s="60"/>
      <c r="U796" s="60"/>
      <c r="V796" s="60"/>
      <c r="W796" s="60"/>
    </row>
    <row r="797" spans="1:23" ht="13" x14ac:dyDescent="0.3">
      <c r="A797" s="58"/>
      <c r="B797" s="58"/>
      <c r="C797" s="58"/>
      <c r="D797" s="58"/>
      <c r="E797" s="58"/>
      <c r="F797" s="58"/>
      <c r="G797" s="58"/>
      <c r="H797" s="59"/>
      <c r="I797" s="59"/>
      <c r="J797" s="59"/>
      <c r="K797" s="59"/>
      <c r="L797" s="59"/>
      <c r="M797" s="60"/>
      <c r="N797" s="60"/>
      <c r="O797" s="60"/>
      <c r="P797" s="59"/>
      <c r="Q797" s="59"/>
      <c r="R797" s="60"/>
      <c r="S797" s="60"/>
      <c r="T797" s="60"/>
      <c r="U797" s="60"/>
      <c r="V797" s="60"/>
      <c r="W797" s="60"/>
    </row>
    <row r="798" spans="1:23" ht="13" x14ac:dyDescent="0.3">
      <c r="A798" s="58"/>
      <c r="B798" s="58"/>
      <c r="C798" s="58"/>
      <c r="D798" s="58"/>
      <c r="E798" s="58"/>
      <c r="F798" s="58"/>
      <c r="G798" s="58"/>
      <c r="H798" s="59"/>
      <c r="I798" s="59"/>
      <c r="J798" s="59"/>
      <c r="K798" s="59"/>
      <c r="L798" s="59"/>
      <c r="M798" s="60"/>
      <c r="N798" s="60"/>
      <c r="O798" s="60"/>
      <c r="P798" s="59"/>
      <c r="Q798" s="59"/>
      <c r="R798" s="60"/>
      <c r="S798" s="60"/>
      <c r="T798" s="60"/>
      <c r="U798" s="60"/>
      <c r="V798" s="60"/>
      <c r="W798" s="60"/>
    </row>
    <row r="799" spans="1:23" ht="13" x14ac:dyDescent="0.3">
      <c r="A799" s="58"/>
      <c r="B799" s="58"/>
      <c r="C799" s="58"/>
      <c r="D799" s="58"/>
      <c r="E799" s="58"/>
      <c r="F799" s="58"/>
      <c r="G799" s="58"/>
      <c r="H799" s="59"/>
      <c r="I799" s="59"/>
      <c r="J799" s="59"/>
      <c r="K799" s="59"/>
      <c r="L799" s="59"/>
      <c r="M799" s="60"/>
      <c r="N799" s="60"/>
      <c r="O799" s="60"/>
      <c r="P799" s="59"/>
      <c r="Q799" s="59"/>
      <c r="R799" s="60"/>
      <c r="S799" s="60"/>
      <c r="T799" s="60"/>
      <c r="U799" s="60"/>
      <c r="V799" s="60"/>
      <c r="W799" s="60"/>
    </row>
    <row r="800" spans="1:23" ht="13" x14ac:dyDescent="0.3">
      <c r="A800" s="58"/>
      <c r="B800" s="58"/>
      <c r="C800" s="58"/>
      <c r="D800" s="58"/>
      <c r="E800" s="58"/>
      <c r="F800" s="58"/>
      <c r="G800" s="58"/>
      <c r="H800" s="59"/>
      <c r="I800" s="59"/>
      <c r="J800" s="59"/>
      <c r="K800" s="59"/>
      <c r="L800" s="59"/>
      <c r="M800" s="60"/>
      <c r="N800" s="60"/>
      <c r="O800" s="60"/>
      <c r="P800" s="59"/>
      <c r="Q800" s="59"/>
      <c r="R800" s="60"/>
      <c r="S800" s="60"/>
      <c r="T800" s="60"/>
      <c r="U800" s="60"/>
      <c r="V800" s="60"/>
      <c r="W800" s="60"/>
    </row>
    <row r="801" spans="1:23" ht="13" x14ac:dyDescent="0.3">
      <c r="A801" s="58"/>
      <c r="B801" s="58"/>
      <c r="C801" s="58"/>
      <c r="D801" s="58"/>
      <c r="E801" s="58"/>
      <c r="F801" s="58"/>
      <c r="G801" s="58"/>
      <c r="H801" s="59"/>
      <c r="I801" s="59"/>
      <c r="J801" s="59"/>
      <c r="K801" s="59"/>
      <c r="L801" s="59"/>
      <c r="M801" s="60"/>
      <c r="N801" s="60"/>
      <c r="O801" s="60"/>
      <c r="P801" s="59"/>
      <c r="Q801" s="59"/>
      <c r="R801" s="60"/>
      <c r="S801" s="60"/>
      <c r="T801" s="60"/>
      <c r="U801" s="60"/>
      <c r="V801" s="60"/>
      <c r="W801" s="60"/>
    </row>
    <row r="802" spans="1:23" ht="13" x14ac:dyDescent="0.3">
      <c r="A802" s="58"/>
      <c r="B802" s="58"/>
      <c r="C802" s="58"/>
      <c r="D802" s="58"/>
      <c r="E802" s="58"/>
      <c r="F802" s="58"/>
      <c r="G802" s="58"/>
      <c r="H802" s="59"/>
      <c r="I802" s="59"/>
      <c r="J802" s="59"/>
      <c r="K802" s="59"/>
      <c r="L802" s="59"/>
      <c r="M802" s="60"/>
      <c r="N802" s="60"/>
      <c r="O802" s="60"/>
      <c r="P802" s="59"/>
      <c r="Q802" s="59"/>
      <c r="R802" s="60"/>
      <c r="S802" s="60"/>
      <c r="T802" s="60"/>
      <c r="U802" s="60"/>
      <c r="V802" s="60"/>
      <c r="W802" s="60"/>
    </row>
    <row r="803" spans="1:23" ht="13" x14ac:dyDescent="0.3">
      <c r="A803" s="58"/>
      <c r="B803" s="58"/>
      <c r="C803" s="58"/>
      <c r="D803" s="58"/>
      <c r="E803" s="58"/>
      <c r="F803" s="58"/>
      <c r="G803" s="58"/>
      <c r="H803" s="59"/>
      <c r="I803" s="59"/>
      <c r="J803" s="59"/>
      <c r="K803" s="59"/>
      <c r="L803" s="59"/>
      <c r="M803" s="60"/>
      <c r="N803" s="60"/>
      <c r="O803" s="60"/>
      <c r="P803" s="59"/>
      <c r="Q803" s="59"/>
      <c r="R803" s="60"/>
      <c r="S803" s="60"/>
      <c r="T803" s="60"/>
      <c r="U803" s="60"/>
      <c r="V803" s="60"/>
      <c r="W803" s="60"/>
    </row>
    <row r="804" spans="1:23" ht="13" x14ac:dyDescent="0.3">
      <c r="A804" s="58"/>
      <c r="B804" s="58"/>
      <c r="C804" s="58"/>
      <c r="D804" s="58"/>
      <c r="E804" s="58"/>
      <c r="F804" s="58"/>
      <c r="G804" s="58"/>
      <c r="H804" s="59"/>
      <c r="I804" s="59"/>
      <c r="J804" s="59"/>
      <c r="K804" s="59"/>
      <c r="L804" s="59"/>
      <c r="M804" s="60"/>
      <c r="N804" s="60"/>
      <c r="O804" s="60"/>
      <c r="P804" s="59"/>
      <c r="Q804" s="59"/>
      <c r="R804" s="60"/>
      <c r="S804" s="60"/>
      <c r="T804" s="60"/>
      <c r="U804" s="60"/>
      <c r="V804" s="60"/>
      <c r="W804" s="60"/>
    </row>
    <row r="805" spans="1:23" ht="13" x14ac:dyDescent="0.3">
      <c r="A805" s="58"/>
      <c r="B805" s="58"/>
      <c r="C805" s="58"/>
      <c r="D805" s="58"/>
      <c r="E805" s="58"/>
      <c r="F805" s="58"/>
      <c r="G805" s="58"/>
      <c r="H805" s="59"/>
      <c r="I805" s="59"/>
      <c r="J805" s="59"/>
      <c r="K805" s="59"/>
      <c r="L805" s="59"/>
      <c r="M805" s="60"/>
      <c r="N805" s="60"/>
      <c r="O805" s="60"/>
      <c r="P805" s="59"/>
      <c r="Q805" s="59"/>
      <c r="R805" s="60"/>
      <c r="S805" s="60"/>
      <c r="T805" s="60"/>
      <c r="U805" s="60"/>
      <c r="V805" s="60"/>
      <c r="W805" s="60"/>
    </row>
    <row r="806" spans="1:23" ht="13" x14ac:dyDescent="0.3">
      <c r="A806" s="58"/>
      <c r="B806" s="58"/>
      <c r="C806" s="58"/>
      <c r="D806" s="58"/>
      <c r="E806" s="58"/>
      <c r="F806" s="58"/>
      <c r="G806" s="58"/>
      <c r="H806" s="59"/>
      <c r="I806" s="59"/>
      <c r="J806" s="59"/>
      <c r="K806" s="59"/>
      <c r="L806" s="59"/>
      <c r="M806" s="60"/>
      <c r="N806" s="60"/>
      <c r="O806" s="60"/>
      <c r="P806" s="59"/>
      <c r="Q806" s="59"/>
      <c r="R806" s="60"/>
      <c r="S806" s="60"/>
      <c r="T806" s="60"/>
      <c r="U806" s="60"/>
      <c r="V806" s="60"/>
      <c r="W806" s="60"/>
    </row>
    <row r="807" spans="1:23" ht="13" x14ac:dyDescent="0.3">
      <c r="A807" s="58"/>
      <c r="B807" s="58"/>
      <c r="C807" s="58"/>
      <c r="D807" s="58"/>
      <c r="E807" s="58"/>
      <c r="F807" s="58"/>
      <c r="G807" s="58"/>
      <c r="H807" s="59"/>
      <c r="I807" s="59"/>
      <c r="J807" s="59"/>
      <c r="K807" s="59"/>
      <c r="L807" s="59"/>
      <c r="M807" s="60"/>
      <c r="N807" s="60"/>
      <c r="O807" s="60"/>
      <c r="P807" s="59"/>
      <c r="Q807" s="59"/>
      <c r="R807" s="60"/>
      <c r="S807" s="60"/>
      <c r="T807" s="60"/>
      <c r="U807" s="60"/>
      <c r="V807" s="60"/>
      <c r="W807" s="60"/>
    </row>
    <row r="808" spans="1:23" ht="13" x14ac:dyDescent="0.3">
      <c r="A808" s="58"/>
      <c r="B808" s="58"/>
      <c r="C808" s="58"/>
      <c r="D808" s="58"/>
      <c r="E808" s="58"/>
      <c r="F808" s="58"/>
      <c r="G808" s="58"/>
      <c r="H808" s="59"/>
      <c r="I808" s="59"/>
      <c r="J808" s="59"/>
      <c r="K808" s="59"/>
      <c r="L808" s="59"/>
      <c r="M808" s="60"/>
      <c r="N808" s="60"/>
      <c r="O808" s="60"/>
      <c r="P808" s="59"/>
      <c r="Q808" s="59"/>
      <c r="R808" s="60"/>
      <c r="S808" s="60"/>
      <c r="T808" s="60"/>
      <c r="U808" s="60"/>
      <c r="V808" s="60"/>
      <c r="W808" s="60"/>
    </row>
    <row r="809" spans="1:23" ht="13" x14ac:dyDescent="0.3">
      <c r="A809" s="58"/>
      <c r="B809" s="58"/>
      <c r="C809" s="58"/>
      <c r="D809" s="58"/>
      <c r="E809" s="58"/>
      <c r="F809" s="58"/>
      <c r="G809" s="58"/>
      <c r="H809" s="59"/>
      <c r="I809" s="59"/>
      <c r="J809" s="59"/>
      <c r="K809" s="59"/>
      <c r="L809" s="59"/>
      <c r="M809" s="60"/>
      <c r="N809" s="60"/>
      <c r="O809" s="60"/>
      <c r="P809" s="59"/>
      <c r="Q809" s="59"/>
      <c r="R809" s="60"/>
      <c r="S809" s="60"/>
      <c r="T809" s="60"/>
      <c r="U809" s="60"/>
      <c r="V809" s="60"/>
      <c r="W809" s="60"/>
    </row>
    <row r="810" spans="1:23" ht="13" x14ac:dyDescent="0.3">
      <c r="A810" s="58"/>
      <c r="B810" s="58"/>
      <c r="C810" s="58"/>
      <c r="D810" s="58"/>
      <c r="E810" s="58"/>
      <c r="F810" s="58"/>
      <c r="G810" s="58"/>
      <c r="H810" s="59"/>
      <c r="I810" s="59"/>
      <c r="J810" s="59"/>
      <c r="K810" s="59"/>
      <c r="L810" s="59"/>
      <c r="M810" s="60"/>
      <c r="N810" s="60"/>
      <c r="O810" s="60"/>
      <c r="P810" s="59"/>
      <c r="Q810" s="59"/>
      <c r="R810" s="60"/>
      <c r="S810" s="60"/>
      <c r="T810" s="60"/>
      <c r="U810" s="60"/>
      <c r="V810" s="60"/>
      <c r="W810" s="60"/>
    </row>
    <row r="811" spans="1:23" ht="13" x14ac:dyDescent="0.3">
      <c r="A811" s="58"/>
      <c r="B811" s="58"/>
      <c r="C811" s="58"/>
      <c r="D811" s="58"/>
      <c r="E811" s="58"/>
      <c r="F811" s="58"/>
      <c r="G811" s="58"/>
      <c r="H811" s="59"/>
      <c r="I811" s="59"/>
      <c r="J811" s="59"/>
      <c r="K811" s="59"/>
      <c r="L811" s="59"/>
      <c r="M811" s="60"/>
      <c r="N811" s="60"/>
      <c r="O811" s="60"/>
      <c r="P811" s="59"/>
      <c r="Q811" s="59"/>
      <c r="R811" s="60"/>
      <c r="S811" s="60"/>
      <c r="T811" s="60"/>
      <c r="U811" s="60"/>
      <c r="V811" s="60"/>
      <c r="W811" s="60"/>
    </row>
    <row r="812" spans="1:23" ht="13" x14ac:dyDescent="0.3">
      <c r="A812" s="58"/>
      <c r="B812" s="58"/>
      <c r="C812" s="58"/>
      <c r="D812" s="58"/>
      <c r="E812" s="58"/>
      <c r="F812" s="58"/>
      <c r="G812" s="58"/>
      <c r="H812" s="59"/>
      <c r="I812" s="59"/>
      <c r="J812" s="59"/>
      <c r="K812" s="59"/>
      <c r="L812" s="59"/>
      <c r="M812" s="60"/>
      <c r="N812" s="60"/>
      <c r="O812" s="60"/>
      <c r="P812" s="59"/>
      <c r="Q812" s="59"/>
      <c r="R812" s="60"/>
      <c r="S812" s="60"/>
      <c r="T812" s="60"/>
      <c r="U812" s="60"/>
      <c r="V812" s="60"/>
      <c r="W812" s="60"/>
    </row>
    <row r="813" spans="1:23" ht="13" x14ac:dyDescent="0.3">
      <c r="A813" s="58"/>
      <c r="B813" s="58"/>
      <c r="C813" s="58"/>
      <c r="D813" s="58"/>
      <c r="E813" s="58"/>
      <c r="F813" s="58"/>
      <c r="G813" s="58"/>
      <c r="H813" s="59"/>
      <c r="I813" s="59"/>
      <c r="J813" s="59"/>
      <c r="K813" s="59"/>
      <c r="L813" s="59"/>
      <c r="M813" s="60"/>
      <c r="N813" s="60"/>
      <c r="O813" s="60"/>
      <c r="P813" s="59"/>
      <c r="Q813" s="59"/>
      <c r="R813" s="60"/>
      <c r="S813" s="60"/>
      <c r="T813" s="60"/>
      <c r="U813" s="60"/>
      <c r="V813" s="60"/>
      <c r="W813" s="60"/>
    </row>
    <row r="814" spans="1:23" ht="13" x14ac:dyDescent="0.3">
      <c r="A814" s="58"/>
      <c r="B814" s="58"/>
      <c r="C814" s="58"/>
      <c r="D814" s="58"/>
      <c r="E814" s="58"/>
      <c r="F814" s="58"/>
      <c r="G814" s="58"/>
      <c r="H814" s="59"/>
      <c r="I814" s="59"/>
      <c r="J814" s="59"/>
      <c r="K814" s="59"/>
      <c r="L814" s="59"/>
      <c r="M814" s="60"/>
      <c r="N814" s="60"/>
      <c r="O814" s="60"/>
      <c r="P814" s="59"/>
      <c r="Q814" s="59"/>
      <c r="R814" s="60"/>
      <c r="S814" s="60"/>
      <c r="T814" s="60"/>
      <c r="U814" s="60"/>
      <c r="V814" s="60"/>
      <c r="W814" s="60"/>
    </row>
    <row r="815" spans="1:23" ht="13" x14ac:dyDescent="0.3">
      <c r="A815" s="58"/>
      <c r="B815" s="58"/>
      <c r="C815" s="58"/>
      <c r="D815" s="58"/>
      <c r="E815" s="58"/>
      <c r="F815" s="58"/>
      <c r="G815" s="58"/>
      <c r="H815" s="59"/>
      <c r="I815" s="59"/>
      <c r="J815" s="59"/>
      <c r="K815" s="59"/>
      <c r="L815" s="59"/>
      <c r="M815" s="60"/>
      <c r="N815" s="60"/>
      <c r="O815" s="60"/>
      <c r="P815" s="59"/>
      <c r="Q815" s="59"/>
      <c r="R815" s="60"/>
      <c r="S815" s="60"/>
      <c r="T815" s="60"/>
      <c r="U815" s="60"/>
      <c r="V815" s="60"/>
      <c r="W815" s="60"/>
    </row>
    <row r="816" spans="1:23" ht="13" x14ac:dyDescent="0.3">
      <c r="A816" s="58"/>
      <c r="B816" s="58"/>
      <c r="C816" s="58"/>
      <c r="D816" s="58"/>
      <c r="E816" s="58"/>
      <c r="F816" s="58"/>
      <c r="G816" s="58"/>
      <c r="H816" s="59"/>
      <c r="I816" s="59"/>
      <c r="J816" s="59"/>
      <c r="K816" s="59"/>
      <c r="L816" s="59"/>
      <c r="M816" s="60"/>
      <c r="N816" s="60"/>
      <c r="O816" s="60"/>
      <c r="P816" s="59"/>
      <c r="Q816" s="59"/>
      <c r="R816" s="60"/>
      <c r="S816" s="60"/>
      <c r="T816" s="60"/>
      <c r="U816" s="60"/>
      <c r="V816" s="60"/>
      <c r="W816" s="60"/>
    </row>
    <row r="817" spans="1:23" ht="13" x14ac:dyDescent="0.3">
      <c r="A817" s="58"/>
      <c r="B817" s="58"/>
      <c r="C817" s="58"/>
      <c r="D817" s="58"/>
      <c r="E817" s="58"/>
      <c r="F817" s="58"/>
      <c r="G817" s="58"/>
      <c r="H817" s="59"/>
      <c r="I817" s="59"/>
      <c r="J817" s="59"/>
      <c r="K817" s="59"/>
      <c r="L817" s="59"/>
      <c r="M817" s="60"/>
      <c r="N817" s="60"/>
      <c r="O817" s="60"/>
      <c r="P817" s="59"/>
      <c r="Q817" s="59"/>
      <c r="R817" s="60"/>
      <c r="S817" s="60"/>
      <c r="T817" s="60"/>
      <c r="U817" s="60"/>
      <c r="V817" s="60"/>
      <c r="W817" s="60"/>
    </row>
    <row r="818" spans="1:23" ht="13" x14ac:dyDescent="0.3">
      <c r="A818" s="58"/>
      <c r="B818" s="58"/>
      <c r="C818" s="58"/>
      <c r="D818" s="58"/>
      <c r="E818" s="58"/>
      <c r="F818" s="58"/>
      <c r="G818" s="58"/>
      <c r="H818" s="59"/>
      <c r="I818" s="59"/>
      <c r="J818" s="59"/>
      <c r="K818" s="59"/>
      <c r="L818" s="59"/>
      <c r="M818" s="60"/>
      <c r="N818" s="60"/>
      <c r="O818" s="60"/>
      <c r="P818" s="59"/>
      <c r="Q818" s="59"/>
      <c r="R818" s="60"/>
      <c r="S818" s="60"/>
      <c r="T818" s="60"/>
      <c r="U818" s="60"/>
      <c r="V818" s="60"/>
      <c r="W818" s="60"/>
    </row>
    <row r="819" spans="1:23" ht="13" x14ac:dyDescent="0.3">
      <c r="A819" s="58"/>
      <c r="B819" s="58"/>
      <c r="C819" s="58"/>
      <c r="D819" s="58"/>
      <c r="E819" s="58"/>
      <c r="F819" s="58"/>
      <c r="G819" s="58"/>
      <c r="H819" s="59"/>
      <c r="I819" s="59"/>
      <c r="J819" s="59"/>
      <c r="K819" s="59"/>
      <c r="L819" s="59"/>
      <c r="M819" s="60"/>
      <c r="N819" s="60"/>
      <c r="O819" s="60"/>
      <c r="P819" s="59"/>
      <c r="Q819" s="59"/>
      <c r="R819" s="60"/>
      <c r="S819" s="60"/>
      <c r="T819" s="60"/>
      <c r="U819" s="60"/>
      <c r="V819" s="60"/>
      <c r="W819" s="60"/>
    </row>
    <row r="820" spans="1:23" ht="13" x14ac:dyDescent="0.3">
      <c r="A820" s="58"/>
      <c r="B820" s="58"/>
      <c r="C820" s="58"/>
      <c r="D820" s="58"/>
      <c r="E820" s="58"/>
      <c r="F820" s="58"/>
      <c r="G820" s="58"/>
      <c r="H820" s="59"/>
      <c r="I820" s="59"/>
      <c r="J820" s="59"/>
      <c r="K820" s="59"/>
      <c r="L820" s="59"/>
      <c r="M820" s="60"/>
      <c r="N820" s="60"/>
      <c r="O820" s="60"/>
      <c r="P820" s="59"/>
      <c r="Q820" s="59"/>
      <c r="R820" s="60"/>
      <c r="S820" s="60"/>
      <c r="T820" s="60"/>
      <c r="U820" s="60"/>
      <c r="V820" s="60"/>
      <c r="W820" s="60"/>
    </row>
    <row r="821" spans="1:23" ht="13" x14ac:dyDescent="0.3">
      <c r="A821" s="58"/>
      <c r="B821" s="58"/>
      <c r="C821" s="58"/>
      <c r="D821" s="58"/>
      <c r="E821" s="58"/>
      <c r="F821" s="58"/>
      <c r="G821" s="58"/>
      <c r="H821" s="59"/>
      <c r="I821" s="59"/>
      <c r="J821" s="59"/>
      <c r="K821" s="59"/>
      <c r="L821" s="59"/>
      <c r="M821" s="60"/>
      <c r="N821" s="60"/>
      <c r="O821" s="60"/>
      <c r="P821" s="59"/>
      <c r="Q821" s="59"/>
      <c r="R821" s="60"/>
      <c r="S821" s="60"/>
      <c r="T821" s="60"/>
      <c r="U821" s="60"/>
      <c r="V821" s="60"/>
      <c r="W821" s="60"/>
    </row>
    <row r="822" spans="1:23" ht="13" x14ac:dyDescent="0.3">
      <c r="A822" s="58"/>
      <c r="B822" s="58"/>
      <c r="C822" s="58"/>
      <c r="D822" s="58"/>
      <c r="E822" s="58"/>
      <c r="F822" s="58"/>
      <c r="G822" s="58"/>
      <c r="H822" s="59"/>
      <c r="I822" s="59"/>
      <c r="J822" s="59"/>
      <c r="K822" s="59"/>
      <c r="L822" s="59"/>
      <c r="M822" s="60"/>
      <c r="N822" s="60"/>
      <c r="O822" s="60"/>
      <c r="P822" s="59"/>
      <c r="Q822" s="59"/>
      <c r="R822" s="60"/>
      <c r="S822" s="60"/>
      <c r="T822" s="60"/>
      <c r="U822" s="60"/>
      <c r="V822" s="60"/>
      <c r="W822" s="60"/>
    </row>
    <row r="823" spans="1:23" ht="13" x14ac:dyDescent="0.3">
      <c r="A823" s="58"/>
      <c r="B823" s="58"/>
      <c r="C823" s="58"/>
      <c r="D823" s="58"/>
      <c r="E823" s="58"/>
      <c r="F823" s="58"/>
      <c r="G823" s="58"/>
      <c r="H823" s="59"/>
      <c r="I823" s="59"/>
      <c r="J823" s="59"/>
      <c r="K823" s="59"/>
      <c r="L823" s="59"/>
      <c r="M823" s="60"/>
      <c r="N823" s="60"/>
      <c r="O823" s="60"/>
      <c r="P823" s="59"/>
      <c r="Q823" s="59"/>
      <c r="R823" s="60"/>
      <c r="S823" s="60"/>
      <c r="T823" s="60"/>
      <c r="U823" s="60"/>
      <c r="V823" s="60"/>
      <c r="W823" s="60"/>
    </row>
    <row r="824" spans="1:23" ht="13" x14ac:dyDescent="0.3">
      <c r="A824" s="58"/>
      <c r="B824" s="58"/>
      <c r="C824" s="58"/>
      <c r="D824" s="58"/>
      <c r="E824" s="58"/>
      <c r="F824" s="58"/>
      <c r="G824" s="58"/>
      <c r="H824" s="59"/>
      <c r="I824" s="59"/>
      <c r="J824" s="59"/>
      <c r="K824" s="59"/>
      <c r="L824" s="59"/>
      <c r="M824" s="60"/>
      <c r="N824" s="60"/>
      <c r="O824" s="60"/>
      <c r="P824" s="59"/>
      <c r="Q824" s="59"/>
      <c r="R824" s="60"/>
      <c r="S824" s="60"/>
      <c r="T824" s="60"/>
      <c r="U824" s="60"/>
      <c r="V824" s="60"/>
      <c r="W824" s="60"/>
    </row>
    <row r="825" spans="1:23" ht="13" x14ac:dyDescent="0.3">
      <c r="A825" s="58"/>
      <c r="B825" s="58"/>
      <c r="C825" s="58"/>
      <c r="D825" s="58"/>
      <c r="E825" s="58"/>
      <c r="F825" s="58"/>
      <c r="G825" s="58"/>
      <c r="H825" s="59"/>
      <c r="I825" s="59"/>
      <c r="J825" s="59"/>
      <c r="K825" s="59"/>
      <c r="L825" s="59"/>
      <c r="M825" s="60"/>
      <c r="N825" s="60"/>
      <c r="O825" s="60"/>
      <c r="P825" s="59"/>
      <c r="Q825" s="59"/>
      <c r="R825" s="60"/>
      <c r="S825" s="60"/>
      <c r="T825" s="60"/>
      <c r="U825" s="60"/>
      <c r="V825" s="60"/>
      <c r="W825" s="60"/>
    </row>
    <row r="826" spans="1:23" ht="13" x14ac:dyDescent="0.3">
      <c r="A826" s="58"/>
      <c r="B826" s="58"/>
      <c r="C826" s="58"/>
      <c r="D826" s="58"/>
      <c r="E826" s="58"/>
      <c r="F826" s="58"/>
      <c r="G826" s="58"/>
      <c r="H826" s="59"/>
      <c r="I826" s="59"/>
      <c r="J826" s="59"/>
      <c r="K826" s="59"/>
      <c r="L826" s="59"/>
      <c r="M826" s="60"/>
      <c r="N826" s="60"/>
      <c r="O826" s="60"/>
      <c r="P826" s="59"/>
      <c r="Q826" s="59"/>
      <c r="R826" s="60"/>
      <c r="S826" s="60"/>
      <c r="T826" s="60"/>
      <c r="U826" s="60"/>
      <c r="V826" s="60"/>
      <c r="W826" s="60"/>
    </row>
    <row r="827" spans="1:23" ht="13" x14ac:dyDescent="0.3">
      <c r="A827" s="58"/>
      <c r="B827" s="58"/>
      <c r="C827" s="58"/>
      <c r="D827" s="58"/>
      <c r="E827" s="58"/>
      <c r="F827" s="58"/>
      <c r="G827" s="58"/>
      <c r="H827" s="59"/>
      <c r="I827" s="59"/>
      <c r="J827" s="59"/>
      <c r="K827" s="59"/>
      <c r="L827" s="59"/>
      <c r="M827" s="60"/>
      <c r="N827" s="60"/>
      <c r="O827" s="60"/>
      <c r="P827" s="59"/>
      <c r="Q827" s="59"/>
      <c r="R827" s="60"/>
      <c r="S827" s="60"/>
      <c r="T827" s="60"/>
      <c r="U827" s="60"/>
      <c r="V827" s="60"/>
      <c r="W827" s="60"/>
    </row>
    <row r="828" spans="1:23" ht="13" x14ac:dyDescent="0.3">
      <c r="A828" s="58"/>
      <c r="B828" s="58"/>
      <c r="C828" s="58"/>
      <c r="D828" s="58"/>
      <c r="E828" s="58"/>
      <c r="F828" s="58"/>
      <c r="G828" s="58"/>
      <c r="H828" s="59"/>
      <c r="I828" s="59"/>
      <c r="J828" s="59"/>
      <c r="K828" s="59"/>
      <c r="L828" s="59"/>
      <c r="M828" s="60"/>
      <c r="N828" s="60"/>
      <c r="O828" s="60"/>
      <c r="P828" s="59"/>
      <c r="Q828" s="59"/>
      <c r="R828" s="60"/>
      <c r="S828" s="60"/>
      <c r="T828" s="60"/>
      <c r="U828" s="60"/>
      <c r="V828" s="60"/>
      <c r="W828" s="60"/>
    </row>
    <row r="829" spans="1:23" ht="13" x14ac:dyDescent="0.3">
      <c r="A829" s="58"/>
      <c r="B829" s="58"/>
      <c r="C829" s="58"/>
      <c r="D829" s="58"/>
      <c r="E829" s="58"/>
      <c r="F829" s="58"/>
      <c r="G829" s="58"/>
      <c r="H829" s="59"/>
      <c r="I829" s="59"/>
      <c r="J829" s="59"/>
      <c r="K829" s="59"/>
      <c r="L829" s="59"/>
      <c r="M829" s="60"/>
      <c r="N829" s="60"/>
      <c r="O829" s="60"/>
      <c r="P829" s="59"/>
      <c r="Q829" s="59"/>
      <c r="R829" s="60"/>
      <c r="S829" s="60"/>
      <c r="T829" s="60"/>
      <c r="U829" s="60"/>
      <c r="V829" s="60"/>
      <c r="W829" s="60"/>
    </row>
    <row r="830" spans="1:23" ht="13" x14ac:dyDescent="0.3">
      <c r="A830" s="58"/>
      <c r="B830" s="58"/>
      <c r="C830" s="58"/>
      <c r="D830" s="58"/>
      <c r="E830" s="58"/>
      <c r="F830" s="58"/>
      <c r="G830" s="58"/>
      <c r="H830" s="59"/>
      <c r="I830" s="59"/>
      <c r="J830" s="59"/>
      <c r="K830" s="59"/>
      <c r="L830" s="59"/>
      <c r="M830" s="60"/>
      <c r="N830" s="60"/>
      <c r="O830" s="60"/>
      <c r="P830" s="59"/>
      <c r="Q830" s="59"/>
      <c r="R830" s="60"/>
      <c r="S830" s="60"/>
      <c r="T830" s="60"/>
      <c r="U830" s="60"/>
      <c r="V830" s="60"/>
      <c r="W830" s="60"/>
    </row>
    <row r="831" spans="1:23" ht="13" x14ac:dyDescent="0.3">
      <c r="A831" s="58"/>
      <c r="B831" s="58"/>
      <c r="C831" s="58"/>
      <c r="D831" s="58"/>
      <c r="E831" s="58"/>
      <c r="F831" s="58"/>
      <c r="G831" s="58"/>
      <c r="H831" s="59"/>
      <c r="I831" s="59"/>
      <c r="J831" s="59"/>
      <c r="K831" s="59"/>
      <c r="L831" s="59"/>
      <c r="M831" s="60"/>
      <c r="N831" s="60"/>
      <c r="O831" s="60"/>
      <c r="P831" s="59"/>
      <c r="Q831" s="59"/>
      <c r="R831" s="60"/>
      <c r="S831" s="60"/>
      <c r="T831" s="60"/>
      <c r="U831" s="60"/>
      <c r="V831" s="60"/>
      <c r="W831" s="60"/>
    </row>
    <row r="832" spans="1:23" ht="13" x14ac:dyDescent="0.3">
      <c r="A832" s="58"/>
      <c r="B832" s="58"/>
      <c r="C832" s="58"/>
      <c r="D832" s="58"/>
      <c r="E832" s="58"/>
      <c r="F832" s="58"/>
      <c r="G832" s="58"/>
      <c r="H832" s="59"/>
      <c r="I832" s="59"/>
      <c r="J832" s="59"/>
      <c r="K832" s="59"/>
      <c r="L832" s="59"/>
      <c r="M832" s="60"/>
      <c r="N832" s="60"/>
      <c r="O832" s="60"/>
      <c r="P832" s="59"/>
      <c r="Q832" s="59"/>
      <c r="R832" s="60"/>
      <c r="S832" s="60"/>
      <c r="T832" s="60"/>
      <c r="U832" s="60"/>
      <c r="V832" s="60"/>
      <c r="W832" s="60"/>
    </row>
    <row r="833" spans="1:23" ht="13" x14ac:dyDescent="0.3">
      <c r="A833" s="58"/>
      <c r="B833" s="58"/>
      <c r="C833" s="58"/>
      <c r="D833" s="58"/>
      <c r="E833" s="58"/>
      <c r="F833" s="58"/>
      <c r="G833" s="58"/>
      <c r="H833" s="59"/>
      <c r="I833" s="59"/>
      <c r="J833" s="59"/>
      <c r="K833" s="59"/>
      <c r="L833" s="59"/>
      <c r="M833" s="60"/>
      <c r="N833" s="60"/>
      <c r="O833" s="60"/>
      <c r="P833" s="59"/>
      <c r="Q833" s="59"/>
      <c r="R833" s="60"/>
      <c r="S833" s="60"/>
      <c r="T833" s="60"/>
      <c r="U833" s="60"/>
      <c r="V833" s="60"/>
      <c r="W833" s="60"/>
    </row>
    <row r="834" spans="1:23" ht="13" x14ac:dyDescent="0.3">
      <c r="A834" s="58"/>
      <c r="B834" s="58"/>
      <c r="C834" s="58"/>
      <c r="D834" s="58"/>
      <c r="E834" s="58"/>
      <c r="F834" s="58"/>
      <c r="G834" s="58"/>
      <c r="H834" s="59"/>
      <c r="I834" s="59"/>
      <c r="J834" s="59"/>
      <c r="K834" s="59"/>
      <c r="L834" s="59"/>
      <c r="M834" s="60"/>
      <c r="N834" s="60"/>
      <c r="O834" s="60"/>
      <c r="P834" s="59"/>
      <c r="Q834" s="59"/>
      <c r="R834" s="60"/>
      <c r="S834" s="60"/>
      <c r="T834" s="60"/>
      <c r="U834" s="60"/>
      <c r="V834" s="60"/>
      <c r="W834" s="60"/>
    </row>
    <row r="835" spans="1:23" ht="13" x14ac:dyDescent="0.3">
      <c r="A835" s="58"/>
      <c r="B835" s="58"/>
      <c r="C835" s="58"/>
      <c r="D835" s="58"/>
      <c r="E835" s="58"/>
      <c r="F835" s="58"/>
      <c r="G835" s="58"/>
      <c r="H835" s="59"/>
      <c r="I835" s="59"/>
      <c r="J835" s="59"/>
      <c r="K835" s="59"/>
      <c r="L835" s="59"/>
      <c r="M835" s="60"/>
      <c r="N835" s="60"/>
      <c r="O835" s="60"/>
      <c r="P835" s="59"/>
      <c r="Q835" s="59"/>
      <c r="R835" s="60"/>
      <c r="S835" s="60"/>
      <c r="T835" s="60"/>
      <c r="U835" s="60"/>
      <c r="V835" s="60"/>
      <c r="W835" s="60"/>
    </row>
    <row r="836" spans="1:23" ht="13" x14ac:dyDescent="0.3">
      <c r="A836" s="58"/>
      <c r="B836" s="58"/>
      <c r="C836" s="58"/>
      <c r="D836" s="58"/>
      <c r="E836" s="58"/>
      <c r="F836" s="58"/>
      <c r="G836" s="58"/>
      <c r="H836" s="59"/>
      <c r="I836" s="59"/>
      <c r="J836" s="59"/>
      <c r="K836" s="59"/>
      <c r="L836" s="59"/>
      <c r="M836" s="60"/>
      <c r="N836" s="60"/>
      <c r="O836" s="60"/>
      <c r="P836" s="59"/>
      <c r="Q836" s="59"/>
      <c r="R836" s="60"/>
      <c r="S836" s="60"/>
      <c r="T836" s="60"/>
      <c r="U836" s="60"/>
      <c r="V836" s="60"/>
      <c r="W836" s="60"/>
    </row>
    <row r="837" spans="1:23" ht="13" x14ac:dyDescent="0.3">
      <c r="A837" s="58"/>
      <c r="B837" s="58"/>
      <c r="C837" s="58"/>
      <c r="D837" s="58"/>
      <c r="E837" s="58"/>
      <c r="F837" s="58"/>
      <c r="G837" s="58"/>
      <c r="H837" s="59"/>
      <c r="I837" s="59"/>
      <c r="J837" s="59"/>
      <c r="K837" s="59"/>
      <c r="L837" s="59"/>
      <c r="M837" s="60"/>
      <c r="N837" s="60"/>
      <c r="O837" s="60"/>
      <c r="P837" s="59"/>
      <c r="Q837" s="59"/>
      <c r="R837" s="60"/>
      <c r="S837" s="60"/>
      <c r="T837" s="60"/>
      <c r="U837" s="60"/>
      <c r="V837" s="60"/>
      <c r="W837" s="60"/>
    </row>
    <row r="838" spans="1:23" ht="13" x14ac:dyDescent="0.3">
      <c r="A838" s="58"/>
      <c r="B838" s="58"/>
      <c r="C838" s="58"/>
      <c r="D838" s="58"/>
      <c r="E838" s="58"/>
      <c r="F838" s="58"/>
      <c r="G838" s="58"/>
      <c r="H838" s="59"/>
      <c r="I838" s="59"/>
      <c r="J838" s="59"/>
      <c r="K838" s="59"/>
      <c r="L838" s="59"/>
      <c r="M838" s="60"/>
      <c r="N838" s="60"/>
      <c r="O838" s="60"/>
      <c r="P838" s="59"/>
      <c r="Q838" s="59"/>
      <c r="R838" s="60"/>
      <c r="S838" s="60"/>
      <c r="T838" s="60"/>
      <c r="U838" s="60"/>
      <c r="V838" s="60"/>
      <c r="W838" s="60"/>
    </row>
    <row r="839" spans="1:23" ht="13" x14ac:dyDescent="0.3">
      <c r="A839" s="58"/>
      <c r="B839" s="58"/>
      <c r="C839" s="58"/>
      <c r="D839" s="58"/>
      <c r="E839" s="58"/>
      <c r="F839" s="58"/>
      <c r="G839" s="58"/>
      <c r="H839" s="59"/>
      <c r="I839" s="59"/>
      <c r="J839" s="59"/>
      <c r="K839" s="59"/>
      <c r="L839" s="59"/>
      <c r="M839" s="60"/>
      <c r="N839" s="60"/>
      <c r="O839" s="60"/>
      <c r="P839" s="59"/>
      <c r="Q839" s="59"/>
      <c r="R839" s="60"/>
      <c r="S839" s="60"/>
      <c r="T839" s="60"/>
      <c r="U839" s="60"/>
      <c r="V839" s="60"/>
      <c r="W839" s="60"/>
    </row>
    <row r="840" spans="1:23" ht="13" x14ac:dyDescent="0.3">
      <c r="A840" s="58"/>
      <c r="B840" s="58"/>
      <c r="C840" s="58"/>
      <c r="D840" s="58"/>
      <c r="E840" s="58"/>
      <c r="F840" s="58"/>
      <c r="G840" s="58"/>
      <c r="H840" s="59"/>
      <c r="I840" s="59"/>
      <c r="J840" s="59"/>
      <c r="K840" s="59"/>
      <c r="L840" s="59"/>
      <c r="M840" s="60"/>
      <c r="N840" s="60"/>
      <c r="O840" s="60"/>
      <c r="P840" s="59"/>
      <c r="Q840" s="59"/>
      <c r="R840" s="60"/>
      <c r="S840" s="60"/>
      <c r="T840" s="60"/>
      <c r="U840" s="60"/>
      <c r="V840" s="60"/>
      <c r="W840" s="60"/>
    </row>
    <row r="841" spans="1:23" ht="13" x14ac:dyDescent="0.3">
      <c r="A841" s="58"/>
      <c r="B841" s="58"/>
      <c r="C841" s="58"/>
      <c r="D841" s="58"/>
      <c r="E841" s="58"/>
      <c r="F841" s="58"/>
      <c r="G841" s="58"/>
      <c r="H841" s="59"/>
      <c r="I841" s="59"/>
      <c r="J841" s="59"/>
      <c r="K841" s="59"/>
      <c r="L841" s="59"/>
      <c r="M841" s="60"/>
      <c r="N841" s="60"/>
      <c r="O841" s="60"/>
      <c r="P841" s="59"/>
      <c r="Q841" s="59"/>
      <c r="R841" s="60"/>
      <c r="S841" s="60"/>
      <c r="T841" s="60"/>
      <c r="U841" s="60"/>
      <c r="V841" s="60"/>
      <c r="W841" s="60"/>
    </row>
    <row r="842" spans="1:23" ht="13" x14ac:dyDescent="0.3">
      <c r="A842" s="58"/>
      <c r="B842" s="58"/>
      <c r="C842" s="58"/>
      <c r="D842" s="58"/>
      <c r="E842" s="58"/>
      <c r="F842" s="58"/>
      <c r="G842" s="58"/>
      <c r="H842" s="59"/>
      <c r="I842" s="59"/>
      <c r="J842" s="59"/>
      <c r="K842" s="59"/>
      <c r="L842" s="59"/>
      <c r="M842" s="60"/>
      <c r="N842" s="60"/>
      <c r="O842" s="60"/>
      <c r="P842" s="59"/>
      <c r="Q842" s="59"/>
      <c r="R842" s="60"/>
      <c r="S842" s="60"/>
      <c r="T842" s="60"/>
      <c r="U842" s="60"/>
      <c r="V842" s="60"/>
      <c r="W842" s="60"/>
    </row>
    <row r="843" spans="1:23" ht="13" x14ac:dyDescent="0.3">
      <c r="A843" s="58"/>
      <c r="B843" s="58"/>
      <c r="C843" s="58"/>
      <c r="D843" s="58"/>
      <c r="E843" s="58"/>
      <c r="F843" s="58"/>
      <c r="G843" s="58"/>
      <c r="H843" s="59"/>
      <c r="I843" s="59"/>
      <c r="J843" s="59"/>
      <c r="K843" s="59"/>
      <c r="L843" s="59"/>
      <c r="M843" s="60"/>
      <c r="N843" s="60"/>
      <c r="O843" s="60"/>
      <c r="P843" s="59"/>
      <c r="Q843" s="59"/>
      <c r="R843" s="60"/>
      <c r="S843" s="60"/>
      <c r="T843" s="60"/>
      <c r="U843" s="60"/>
      <c r="V843" s="60"/>
      <c r="W843" s="60"/>
    </row>
    <row r="844" spans="1:23" ht="13" x14ac:dyDescent="0.3">
      <c r="A844" s="58"/>
      <c r="B844" s="58"/>
      <c r="C844" s="58"/>
      <c r="D844" s="58"/>
      <c r="E844" s="58"/>
      <c r="F844" s="58"/>
      <c r="G844" s="58"/>
      <c r="H844" s="59"/>
      <c r="I844" s="59"/>
      <c r="J844" s="59"/>
      <c r="K844" s="59"/>
      <c r="L844" s="59"/>
      <c r="M844" s="60"/>
      <c r="N844" s="60"/>
      <c r="O844" s="60"/>
      <c r="P844" s="59"/>
      <c r="Q844" s="59"/>
      <c r="R844" s="60"/>
      <c r="S844" s="60"/>
      <c r="T844" s="60"/>
      <c r="U844" s="60"/>
      <c r="V844" s="60"/>
      <c r="W844" s="60"/>
    </row>
    <row r="845" spans="1:23" ht="13" x14ac:dyDescent="0.3">
      <c r="A845" s="58"/>
      <c r="B845" s="58"/>
      <c r="C845" s="58"/>
      <c r="D845" s="58"/>
      <c r="E845" s="58"/>
      <c r="F845" s="58"/>
      <c r="G845" s="58"/>
      <c r="H845" s="59"/>
      <c r="I845" s="59"/>
      <c r="J845" s="59"/>
      <c r="K845" s="59"/>
      <c r="L845" s="59"/>
      <c r="M845" s="60"/>
      <c r="N845" s="60"/>
      <c r="O845" s="60"/>
      <c r="P845" s="59"/>
      <c r="Q845" s="59"/>
      <c r="R845" s="60"/>
      <c r="S845" s="60"/>
      <c r="T845" s="60"/>
      <c r="U845" s="60"/>
      <c r="V845" s="60"/>
      <c r="W845" s="60"/>
    </row>
    <row r="846" spans="1:23" ht="13" x14ac:dyDescent="0.3">
      <c r="A846" s="58"/>
      <c r="B846" s="58"/>
      <c r="C846" s="58"/>
      <c r="D846" s="58"/>
      <c r="E846" s="58"/>
      <c r="F846" s="58"/>
      <c r="G846" s="58"/>
      <c r="H846" s="59"/>
      <c r="I846" s="59"/>
      <c r="J846" s="59"/>
      <c r="K846" s="59"/>
      <c r="L846" s="59"/>
      <c r="M846" s="60"/>
      <c r="N846" s="60"/>
      <c r="O846" s="60"/>
      <c r="P846" s="59"/>
      <c r="Q846" s="59"/>
      <c r="R846" s="60"/>
      <c r="S846" s="60"/>
      <c r="T846" s="60"/>
      <c r="U846" s="60"/>
      <c r="V846" s="60"/>
      <c r="W846" s="60"/>
    </row>
    <row r="847" spans="1:23" ht="13" x14ac:dyDescent="0.3">
      <c r="A847" s="58"/>
      <c r="B847" s="58"/>
      <c r="C847" s="58"/>
      <c r="D847" s="58"/>
      <c r="E847" s="58"/>
      <c r="F847" s="58"/>
      <c r="G847" s="58"/>
      <c r="H847" s="59"/>
      <c r="I847" s="59"/>
      <c r="J847" s="59"/>
      <c r="K847" s="59"/>
      <c r="L847" s="59"/>
      <c r="M847" s="60"/>
      <c r="N847" s="60"/>
      <c r="O847" s="60"/>
      <c r="P847" s="59"/>
      <c r="Q847" s="59"/>
      <c r="R847" s="60"/>
      <c r="S847" s="60"/>
      <c r="T847" s="60"/>
      <c r="U847" s="60"/>
      <c r="V847" s="60"/>
      <c r="W847" s="60"/>
    </row>
    <row r="848" spans="1:23" ht="13" x14ac:dyDescent="0.3">
      <c r="A848" s="58"/>
      <c r="B848" s="58"/>
      <c r="C848" s="58"/>
      <c r="D848" s="58"/>
      <c r="E848" s="58"/>
      <c r="F848" s="58"/>
      <c r="G848" s="58"/>
      <c r="H848" s="59"/>
      <c r="I848" s="59"/>
      <c r="J848" s="59"/>
      <c r="K848" s="59"/>
      <c r="L848" s="59"/>
      <c r="M848" s="60"/>
      <c r="N848" s="60"/>
      <c r="O848" s="60"/>
      <c r="P848" s="59"/>
      <c r="Q848" s="59"/>
      <c r="R848" s="60"/>
      <c r="S848" s="60"/>
      <c r="T848" s="60"/>
      <c r="U848" s="60"/>
      <c r="V848" s="60"/>
      <c r="W848" s="60"/>
    </row>
    <row r="849" spans="1:23" ht="13" x14ac:dyDescent="0.3">
      <c r="A849" s="58"/>
      <c r="B849" s="58"/>
      <c r="C849" s="58"/>
      <c r="D849" s="58"/>
      <c r="E849" s="58"/>
      <c r="F849" s="58"/>
      <c r="G849" s="58"/>
      <c r="H849" s="59"/>
      <c r="I849" s="59"/>
      <c r="J849" s="59"/>
      <c r="K849" s="59"/>
      <c r="L849" s="59"/>
      <c r="M849" s="60"/>
      <c r="N849" s="60"/>
      <c r="O849" s="60"/>
      <c r="P849" s="59"/>
      <c r="Q849" s="59"/>
      <c r="R849" s="60"/>
      <c r="S849" s="60"/>
      <c r="T849" s="60"/>
      <c r="U849" s="60"/>
      <c r="V849" s="60"/>
      <c r="W849" s="60"/>
    </row>
    <row r="850" spans="1:23" ht="13" x14ac:dyDescent="0.3">
      <c r="A850" s="58"/>
      <c r="B850" s="58"/>
      <c r="C850" s="58"/>
      <c r="D850" s="58"/>
      <c r="E850" s="58"/>
      <c r="F850" s="58"/>
      <c r="G850" s="58"/>
      <c r="H850" s="59"/>
      <c r="I850" s="59"/>
      <c r="J850" s="59"/>
      <c r="K850" s="59"/>
      <c r="L850" s="59"/>
      <c r="M850" s="60"/>
      <c r="N850" s="60"/>
      <c r="O850" s="60"/>
      <c r="P850" s="59"/>
      <c r="Q850" s="59"/>
      <c r="R850" s="60"/>
      <c r="S850" s="60"/>
      <c r="T850" s="60"/>
      <c r="U850" s="60"/>
      <c r="V850" s="60"/>
      <c r="W850" s="60"/>
    </row>
    <row r="851" spans="1:23" ht="13" x14ac:dyDescent="0.3">
      <c r="A851" s="58"/>
      <c r="B851" s="58"/>
      <c r="C851" s="58"/>
      <c r="D851" s="58"/>
      <c r="E851" s="58"/>
      <c r="F851" s="58"/>
      <c r="G851" s="58"/>
      <c r="H851" s="59"/>
      <c r="I851" s="59"/>
      <c r="J851" s="59"/>
      <c r="K851" s="59"/>
      <c r="L851" s="59"/>
      <c r="M851" s="60"/>
      <c r="N851" s="60"/>
      <c r="O851" s="60"/>
      <c r="P851" s="59"/>
      <c r="Q851" s="59"/>
      <c r="R851" s="60"/>
      <c r="S851" s="60"/>
      <c r="T851" s="60"/>
      <c r="U851" s="60"/>
      <c r="V851" s="60"/>
      <c r="W851" s="60"/>
    </row>
    <row r="852" spans="1:23" ht="13" x14ac:dyDescent="0.3">
      <c r="A852" s="58"/>
      <c r="B852" s="58"/>
      <c r="C852" s="58"/>
      <c r="D852" s="58"/>
      <c r="E852" s="58"/>
      <c r="F852" s="58"/>
      <c r="G852" s="58"/>
      <c r="H852" s="59"/>
      <c r="I852" s="59"/>
      <c r="J852" s="59"/>
      <c r="K852" s="59"/>
      <c r="L852" s="59"/>
      <c r="M852" s="60"/>
      <c r="N852" s="60"/>
      <c r="O852" s="60"/>
      <c r="P852" s="59"/>
      <c r="Q852" s="59"/>
      <c r="R852" s="60"/>
      <c r="S852" s="60"/>
      <c r="T852" s="60"/>
      <c r="U852" s="60"/>
      <c r="V852" s="60"/>
      <c r="W852" s="60"/>
    </row>
    <row r="853" spans="1:23" ht="13" x14ac:dyDescent="0.3">
      <c r="A853" s="58"/>
      <c r="B853" s="58"/>
      <c r="C853" s="58"/>
      <c r="D853" s="58"/>
      <c r="E853" s="58"/>
      <c r="F853" s="58"/>
      <c r="G853" s="58"/>
      <c r="H853" s="59"/>
      <c r="I853" s="59"/>
      <c r="J853" s="59"/>
      <c r="K853" s="59"/>
      <c r="L853" s="59"/>
      <c r="M853" s="60"/>
      <c r="N853" s="60"/>
      <c r="O853" s="60"/>
      <c r="P853" s="59"/>
      <c r="Q853" s="59"/>
      <c r="R853" s="60"/>
      <c r="S853" s="60"/>
      <c r="T853" s="60"/>
      <c r="U853" s="60"/>
      <c r="V853" s="60"/>
      <c r="W853" s="60"/>
    </row>
    <row r="854" spans="1:23" ht="13" x14ac:dyDescent="0.3">
      <c r="A854" s="58"/>
      <c r="B854" s="58"/>
      <c r="C854" s="58"/>
      <c r="D854" s="58"/>
      <c r="E854" s="58"/>
      <c r="F854" s="58"/>
      <c r="G854" s="58"/>
      <c r="H854" s="59"/>
      <c r="I854" s="59"/>
      <c r="J854" s="59"/>
      <c r="K854" s="59"/>
      <c r="L854" s="59"/>
      <c r="M854" s="60"/>
      <c r="N854" s="60"/>
      <c r="O854" s="60"/>
      <c r="P854" s="59"/>
      <c r="Q854" s="59"/>
      <c r="R854" s="60"/>
      <c r="S854" s="60"/>
      <c r="T854" s="60"/>
      <c r="U854" s="60"/>
      <c r="V854" s="60"/>
      <c r="W854" s="60"/>
    </row>
    <row r="855" spans="1:23" ht="13" x14ac:dyDescent="0.3">
      <c r="A855" s="58"/>
      <c r="B855" s="58"/>
      <c r="C855" s="58"/>
      <c r="D855" s="58"/>
      <c r="E855" s="58"/>
      <c r="F855" s="58"/>
      <c r="G855" s="58"/>
      <c r="H855" s="59"/>
      <c r="I855" s="59"/>
      <c r="J855" s="59"/>
      <c r="K855" s="59"/>
      <c r="L855" s="59"/>
      <c r="M855" s="60"/>
      <c r="N855" s="60"/>
      <c r="O855" s="60"/>
      <c r="P855" s="59"/>
      <c r="Q855" s="59"/>
      <c r="R855" s="60"/>
      <c r="S855" s="60"/>
      <c r="T855" s="60"/>
      <c r="U855" s="60"/>
      <c r="V855" s="60"/>
      <c r="W855" s="60"/>
    </row>
    <row r="856" spans="1:23" ht="13" x14ac:dyDescent="0.3">
      <c r="A856" s="58"/>
      <c r="B856" s="58"/>
      <c r="C856" s="58"/>
      <c r="D856" s="58"/>
      <c r="E856" s="58"/>
      <c r="F856" s="58"/>
      <c r="G856" s="58"/>
      <c r="H856" s="59"/>
      <c r="I856" s="59"/>
      <c r="J856" s="59"/>
      <c r="K856" s="59"/>
      <c r="L856" s="59"/>
      <c r="M856" s="60"/>
      <c r="N856" s="60"/>
      <c r="O856" s="60"/>
      <c r="P856" s="59"/>
      <c r="Q856" s="59"/>
      <c r="R856" s="60"/>
      <c r="S856" s="60"/>
      <c r="T856" s="60"/>
      <c r="U856" s="60"/>
      <c r="V856" s="60"/>
      <c r="W856" s="60"/>
    </row>
    <row r="857" spans="1:23" ht="13" x14ac:dyDescent="0.3">
      <c r="A857" s="58"/>
      <c r="B857" s="58"/>
      <c r="C857" s="58"/>
      <c r="D857" s="58"/>
      <c r="E857" s="58"/>
      <c r="F857" s="58"/>
      <c r="G857" s="58"/>
      <c r="H857" s="59"/>
      <c r="I857" s="59"/>
      <c r="J857" s="59"/>
      <c r="K857" s="59"/>
      <c r="L857" s="59"/>
      <c r="M857" s="60"/>
      <c r="N857" s="60"/>
      <c r="O857" s="60"/>
      <c r="P857" s="59"/>
      <c r="Q857" s="59"/>
      <c r="R857" s="60"/>
      <c r="S857" s="60"/>
      <c r="T857" s="60"/>
      <c r="U857" s="60"/>
      <c r="V857" s="60"/>
      <c r="W857" s="60"/>
    </row>
    <row r="858" spans="1:23" ht="13" x14ac:dyDescent="0.3">
      <c r="A858" s="58"/>
      <c r="B858" s="58"/>
      <c r="C858" s="58"/>
      <c r="D858" s="58"/>
      <c r="E858" s="58"/>
      <c r="F858" s="58"/>
      <c r="G858" s="58"/>
      <c r="H858" s="59"/>
      <c r="I858" s="59"/>
      <c r="J858" s="59"/>
      <c r="K858" s="59"/>
      <c r="L858" s="59"/>
      <c r="M858" s="60"/>
      <c r="N858" s="60"/>
      <c r="O858" s="60"/>
      <c r="P858" s="59"/>
      <c r="Q858" s="59"/>
      <c r="R858" s="60"/>
      <c r="S858" s="60"/>
      <c r="T858" s="60"/>
      <c r="U858" s="60"/>
      <c r="V858" s="60"/>
      <c r="W858" s="60"/>
    </row>
    <row r="859" spans="1:23" ht="13" x14ac:dyDescent="0.3">
      <c r="A859" s="58"/>
      <c r="B859" s="58"/>
      <c r="C859" s="58"/>
      <c r="D859" s="58"/>
      <c r="E859" s="58"/>
      <c r="F859" s="58"/>
      <c r="G859" s="58"/>
      <c r="H859" s="59"/>
      <c r="I859" s="59"/>
      <c r="J859" s="59"/>
      <c r="K859" s="59"/>
      <c r="L859" s="59"/>
      <c r="M859" s="60"/>
      <c r="N859" s="60"/>
      <c r="O859" s="60"/>
      <c r="P859" s="59"/>
      <c r="Q859" s="59"/>
      <c r="R859" s="60"/>
      <c r="S859" s="60"/>
      <c r="T859" s="60"/>
      <c r="U859" s="60"/>
      <c r="V859" s="60"/>
      <c r="W859" s="60"/>
    </row>
    <row r="860" spans="1:23" ht="13" x14ac:dyDescent="0.3">
      <c r="A860" s="58"/>
      <c r="B860" s="58"/>
      <c r="C860" s="58"/>
      <c r="D860" s="58"/>
      <c r="E860" s="58"/>
      <c r="F860" s="58"/>
      <c r="G860" s="58"/>
      <c r="H860" s="59"/>
      <c r="I860" s="59"/>
      <c r="J860" s="59"/>
      <c r="K860" s="59"/>
      <c r="L860" s="59"/>
      <c r="M860" s="60"/>
      <c r="N860" s="60"/>
      <c r="O860" s="60"/>
      <c r="P860" s="59"/>
      <c r="Q860" s="59"/>
      <c r="R860" s="60"/>
      <c r="S860" s="60"/>
      <c r="T860" s="60"/>
      <c r="U860" s="60"/>
      <c r="V860" s="60"/>
      <c r="W860" s="60"/>
    </row>
    <row r="861" spans="1:23" ht="13" x14ac:dyDescent="0.3">
      <c r="A861" s="58"/>
      <c r="B861" s="58"/>
      <c r="C861" s="58"/>
      <c r="D861" s="58"/>
      <c r="E861" s="58"/>
      <c r="F861" s="58"/>
      <c r="G861" s="58"/>
      <c r="H861" s="59"/>
      <c r="I861" s="59"/>
      <c r="J861" s="59"/>
      <c r="K861" s="59"/>
      <c r="L861" s="59"/>
      <c r="M861" s="60"/>
      <c r="N861" s="60"/>
      <c r="O861" s="60"/>
      <c r="P861" s="59"/>
      <c r="Q861" s="59"/>
      <c r="R861" s="60"/>
      <c r="S861" s="60"/>
      <c r="T861" s="60"/>
      <c r="U861" s="60"/>
      <c r="V861" s="60"/>
      <c r="W861" s="60"/>
    </row>
    <row r="862" spans="1:23" ht="13" x14ac:dyDescent="0.3">
      <c r="A862" s="58"/>
      <c r="B862" s="58"/>
      <c r="C862" s="58"/>
      <c r="D862" s="58"/>
      <c r="E862" s="58"/>
      <c r="F862" s="58"/>
      <c r="G862" s="58"/>
      <c r="H862" s="59"/>
      <c r="I862" s="59"/>
      <c r="J862" s="59"/>
      <c r="K862" s="59"/>
      <c r="L862" s="59"/>
      <c r="M862" s="60"/>
      <c r="N862" s="60"/>
      <c r="O862" s="60"/>
      <c r="P862" s="59"/>
      <c r="Q862" s="59"/>
      <c r="R862" s="60"/>
      <c r="S862" s="60"/>
      <c r="T862" s="60"/>
      <c r="U862" s="60"/>
      <c r="V862" s="60"/>
      <c r="W862" s="60"/>
    </row>
    <row r="863" spans="1:23" ht="13" x14ac:dyDescent="0.3">
      <c r="A863" s="58"/>
      <c r="B863" s="58"/>
      <c r="C863" s="58"/>
      <c r="D863" s="58"/>
      <c r="E863" s="58"/>
      <c r="F863" s="58"/>
      <c r="G863" s="58"/>
      <c r="H863" s="59"/>
      <c r="I863" s="59"/>
      <c r="J863" s="59"/>
      <c r="K863" s="59"/>
      <c r="L863" s="59"/>
      <c r="M863" s="60"/>
      <c r="N863" s="60"/>
      <c r="O863" s="60"/>
      <c r="P863" s="59"/>
      <c r="Q863" s="59"/>
      <c r="R863" s="60"/>
      <c r="S863" s="60"/>
      <c r="T863" s="60"/>
      <c r="U863" s="60"/>
      <c r="V863" s="60"/>
      <c r="W863" s="60"/>
    </row>
    <row r="864" spans="1:23" ht="13" x14ac:dyDescent="0.3">
      <c r="A864" s="58"/>
      <c r="B864" s="58"/>
      <c r="C864" s="58"/>
      <c r="D864" s="58"/>
      <c r="E864" s="58"/>
      <c r="F864" s="58"/>
      <c r="G864" s="58"/>
      <c r="H864" s="59"/>
      <c r="I864" s="59"/>
      <c r="J864" s="59"/>
      <c r="K864" s="59"/>
      <c r="L864" s="59"/>
      <c r="M864" s="60"/>
      <c r="N864" s="60"/>
      <c r="O864" s="60"/>
      <c r="P864" s="59"/>
      <c r="Q864" s="59"/>
      <c r="R864" s="60"/>
      <c r="S864" s="60"/>
      <c r="T864" s="60"/>
      <c r="U864" s="60"/>
      <c r="V864" s="60"/>
      <c r="W864" s="60"/>
    </row>
    <row r="865" spans="1:23" ht="13" x14ac:dyDescent="0.3">
      <c r="A865" s="58"/>
      <c r="B865" s="58"/>
      <c r="C865" s="58"/>
      <c r="D865" s="58"/>
      <c r="E865" s="58"/>
      <c r="F865" s="58"/>
      <c r="G865" s="58"/>
      <c r="H865" s="59"/>
      <c r="I865" s="59"/>
      <c r="J865" s="59"/>
      <c r="K865" s="59"/>
      <c r="L865" s="59"/>
      <c r="M865" s="60"/>
      <c r="N865" s="60"/>
      <c r="O865" s="60"/>
      <c r="P865" s="59"/>
      <c r="Q865" s="59"/>
      <c r="R865" s="60"/>
      <c r="S865" s="60"/>
      <c r="T865" s="60"/>
      <c r="U865" s="60"/>
      <c r="V865" s="60"/>
      <c r="W865" s="60"/>
    </row>
    <row r="866" spans="1:23" ht="13" x14ac:dyDescent="0.3">
      <c r="A866" s="58"/>
      <c r="B866" s="58"/>
      <c r="C866" s="58"/>
      <c r="D866" s="58"/>
      <c r="E866" s="58"/>
      <c r="F866" s="58"/>
      <c r="G866" s="58"/>
      <c r="H866" s="59"/>
      <c r="I866" s="59"/>
      <c r="J866" s="59"/>
      <c r="K866" s="59"/>
      <c r="L866" s="59"/>
      <c r="M866" s="60"/>
      <c r="N866" s="60"/>
      <c r="O866" s="60"/>
      <c r="P866" s="59"/>
      <c r="Q866" s="59"/>
      <c r="R866" s="60"/>
      <c r="S866" s="60"/>
      <c r="T866" s="60"/>
      <c r="U866" s="60"/>
      <c r="V866" s="60"/>
      <c r="W866" s="60"/>
    </row>
    <row r="867" spans="1:23" ht="13" x14ac:dyDescent="0.3">
      <c r="A867" s="58"/>
      <c r="B867" s="58"/>
      <c r="C867" s="58"/>
      <c r="D867" s="58"/>
      <c r="E867" s="58"/>
      <c r="F867" s="58"/>
      <c r="G867" s="58"/>
      <c r="H867" s="59"/>
      <c r="I867" s="59"/>
      <c r="J867" s="59"/>
      <c r="K867" s="59"/>
      <c r="L867" s="59"/>
      <c r="M867" s="60"/>
      <c r="N867" s="60"/>
      <c r="O867" s="60"/>
      <c r="P867" s="59"/>
      <c r="Q867" s="59"/>
      <c r="R867" s="60"/>
      <c r="S867" s="60"/>
      <c r="T867" s="60"/>
      <c r="U867" s="60"/>
      <c r="V867" s="60"/>
      <c r="W867" s="60"/>
    </row>
    <row r="868" spans="1:23" ht="13" x14ac:dyDescent="0.3">
      <c r="A868" s="58"/>
      <c r="B868" s="58"/>
      <c r="C868" s="58"/>
      <c r="D868" s="58"/>
      <c r="E868" s="58"/>
      <c r="F868" s="58"/>
      <c r="G868" s="58"/>
      <c r="H868" s="59"/>
      <c r="I868" s="59"/>
      <c r="J868" s="59"/>
      <c r="K868" s="59"/>
      <c r="L868" s="59"/>
      <c r="M868" s="60"/>
      <c r="N868" s="60"/>
      <c r="O868" s="60"/>
      <c r="P868" s="59"/>
      <c r="Q868" s="59"/>
      <c r="R868" s="60"/>
      <c r="S868" s="60"/>
      <c r="T868" s="60"/>
      <c r="U868" s="60"/>
      <c r="V868" s="60"/>
      <c r="W868" s="60"/>
    </row>
    <row r="869" spans="1:23" ht="13" x14ac:dyDescent="0.3">
      <c r="A869" s="58"/>
      <c r="B869" s="58"/>
      <c r="C869" s="58"/>
      <c r="D869" s="58"/>
      <c r="E869" s="58"/>
      <c r="F869" s="58"/>
      <c r="G869" s="58"/>
      <c r="H869" s="59"/>
      <c r="I869" s="59"/>
      <c r="J869" s="59"/>
      <c r="K869" s="59"/>
      <c r="L869" s="59"/>
      <c r="M869" s="60"/>
      <c r="N869" s="60"/>
      <c r="O869" s="60"/>
      <c r="P869" s="59"/>
      <c r="Q869" s="59"/>
      <c r="R869" s="60"/>
      <c r="S869" s="60"/>
      <c r="T869" s="60"/>
      <c r="U869" s="60"/>
      <c r="V869" s="60"/>
      <c r="W869" s="60"/>
    </row>
    <row r="870" spans="1:23" ht="13" x14ac:dyDescent="0.3">
      <c r="A870" s="58"/>
      <c r="B870" s="58"/>
      <c r="C870" s="58"/>
      <c r="D870" s="58"/>
      <c r="E870" s="58"/>
      <c r="F870" s="58"/>
      <c r="G870" s="58"/>
      <c r="H870" s="59"/>
      <c r="I870" s="59"/>
      <c r="J870" s="59"/>
      <c r="K870" s="59"/>
      <c r="L870" s="59"/>
      <c r="M870" s="60"/>
      <c r="N870" s="60"/>
      <c r="O870" s="60"/>
      <c r="P870" s="59"/>
      <c r="Q870" s="59"/>
      <c r="R870" s="60"/>
      <c r="S870" s="60"/>
      <c r="T870" s="60"/>
      <c r="U870" s="60"/>
      <c r="V870" s="60"/>
      <c r="W870" s="60"/>
    </row>
    <row r="871" spans="1:23" ht="13" x14ac:dyDescent="0.3">
      <c r="A871" s="58"/>
      <c r="B871" s="58"/>
      <c r="C871" s="58"/>
      <c r="D871" s="58"/>
      <c r="E871" s="58"/>
      <c r="F871" s="58"/>
      <c r="G871" s="58"/>
      <c r="H871" s="59"/>
      <c r="I871" s="59"/>
      <c r="J871" s="59"/>
      <c r="K871" s="59"/>
      <c r="L871" s="59"/>
      <c r="M871" s="60"/>
      <c r="N871" s="60"/>
      <c r="O871" s="60"/>
      <c r="P871" s="59"/>
      <c r="Q871" s="59"/>
      <c r="R871" s="60"/>
      <c r="S871" s="60"/>
      <c r="T871" s="60"/>
      <c r="U871" s="60"/>
      <c r="V871" s="60"/>
      <c r="W871" s="60"/>
    </row>
    <row r="872" spans="1:23" ht="13" x14ac:dyDescent="0.3">
      <c r="A872" s="58"/>
      <c r="B872" s="58"/>
      <c r="C872" s="58"/>
      <c r="D872" s="58"/>
      <c r="E872" s="58"/>
      <c r="F872" s="58"/>
      <c r="G872" s="58"/>
      <c r="H872" s="59"/>
      <c r="I872" s="59"/>
      <c r="J872" s="59"/>
      <c r="K872" s="59"/>
      <c r="L872" s="59"/>
      <c r="M872" s="60"/>
      <c r="N872" s="60"/>
      <c r="O872" s="60"/>
      <c r="P872" s="59"/>
      <c r="Q872" s="59"/>
      <c r="R872" s="60"/>
      <c r="S872" s="60"/>
      <c r="T872" s="60"/>
      <c r="U872" s="60"/>
      <c r="V872" s="60"/>
      <c r="W872" s="60"/>
    </row>
    <row r="873" spans="1:23" ht="13" x14ac:dyDescent="0.3">
      <c r="A873" s="58"/>
      <c r="B873" s="58"/>
      <c r="C873" s="58"/>
      <c r="D873" s="58"/>
      <c r="E873" s="58"/>
      <c r="F873" s="58"/>
      <c r="G873" s="58"/>
      <c r="H873" s="59"/>
      <c r="I873" s="59"/>
      <c r="J873" s="59"/>
      <c r="K873" s="59"/>
      <c r="L873" s="59"/>
      <c r="M873" s="60"/>
      <c r="N873" s="60"/>
      <c r="O873" s="60"/>
      <c r="P873" s="59"/>
      <c r="Q873" s="59"/>
      <c r="R873" s="60"/>
      <c r="S873" s="60"/>
      <c r="T873" s="60"/>
      <c r="U873" s="60"/>
      <c r="V873" s="60"/>
      <c r="W873" s="60"/>
    </row>
    <row r="874" spans="1:23" ht="13" x14ac:dyDescent="0.3">
      <c r="A874" s="58"/>
      <c r="B874" s="58"/>
      <c r="C874" s="58"/>
      <c r="D874" s="58"/>
      <c r="E874" s="58"/>
      <c r="F874" s="58"/>
      <c r="G874" s="58"/>
      <c r="H874" s="59"/>
      <c r="I874" s="59"/>
      <c r="J874" s="59"/>
      <c r="K874" s="59"/>
      <c r="L874" s="59"/>
      <c r="M874" s="60"/>
      <c r="N874" s="60"/>
      <c r="O874" s="60"/>
      <c r="P874" s="59"/>
      <c r="Q874" s="59"/>
      <c r="R874" s="60"/>
      <c r="S874" s="60"/>
      <c r="T874" s="60"/>
      <c r="U874" s="60"/>
      <c r="V874" s="60"/>
      <c r="W874" s="60"/>
    </row>
    <row r="875" spans="1:23" ht="13" x14ac:dyDescent="0.3">
      <c r="A875" s="58"/>
      <c r="B875" s="58"/>
      <c r="C875" s="58"/>
      <c r="D875" s="58"/>
      <c r="E875" s="58"/>
      <c r="F875" s="58"/>
      <c r="G875" s="58"/>
      <c r="H875" s="59"/>
      <c r="I875" s="59"/>
      <c r="J875" s="59"/>
      <c r="K875" s="59"/>
      <c r="L875" s="59"/>
      <c r="M875" s="60"/>
      <c r="N875" s="60"/>
      <c r="O875" s="60"/>
      <c r="P875" s="59"/>
      <c r="Q875" s="59"/>
      <c r="R875" s="60"/>
      <c r="S875" s="60"/>
      <c r="T875" s="60"/>
      <c r="U875" s="60"/>
      <c r="V875" s="60"/>
      <c r="W875" s="60"/>
    </row>
    <row r="876" spans="1:23" ht="13" x14ac:dyDescent="0.3">
      <c r="A876" s="58"/>
      <c r="B876" s="58"/>
      <c r="C876" s="58"/>
      <c r="D876" s="58"/>
      <c r="E876" s="58"/>
      <c r="F876" s="58"/>
      <c r="G876" s="58"/>
      <c r="H876" s="59"/>
      <c r="I876" s="59"/>
      <c r="J876" s="59"/>
      <c r="K876" s="59"/>
      <c r="L876" s="59"/>
      <c r="M876" s="60"/>
      <c r="N876" s="60"/>
      <c r="O876" s="60"/>
      <c r="P876" s="59"/>
      <c r="Q876" s="59"/>
      <c r="R876" s="60"/>
      <c r="S876" s="60"/>
      <c r="T876" s="60"/>
      <c r="U876" s="60"/>
      <c r="V876" s="60"/>
      <c r="W876" s="60"/>
    </row>
    <row r="877" spans="1:23" ht="13" x14ac:dyDescent="0.3">
      <c r="A877" s="58"/>
      <c r="B877" s="58"/>
      <c r="C877" s="58"/>
      <c r="D877" s="58"/>
      <c r="E877" s="58"/>
      <c r="F877" s="58"/>
      <c r="G877" s="58"/>
      <c r="H877" s="59"/>
      <c r="I877" s="59"/>
      <c r="J877" s="59"/>
      <c r="K877" s="59"/>
      <c r="L877" s="59"/>
      <c r="M877" s="60"/>
      <c r="N877" s="60"/>
      <c r="O877" s="60"/>
      <c r="P877" s="59"/>
      <c r="Q877" s="59"/>
      <c r="R877" s="60"/>
      <c r="S877" s="60"/>
      <c r="T877" s="60"/>
      <c r="U877" s="60"/>
      <c r="V877" s="60"/>
      <c r="W877" s="60"/>
    </row>
    <row r="878" spans="1:23" ht="13" x14ac:dyDescent="0.3">
      <c r="A878" s="58"/>
      <c r="B878" s="58"/>
      <c r="C878" s="58"/>
      <c r="D878" s="58"/>
      <c r="E878" s="58"/>
      <c r="F878" s="58"/>
      <c r="G878" s="58"/>
      <c r="H878" s="59"/>
      <c r="I878" s="59"/>
      <c r="J878" s="59"/>
      <c r="K878" s="59"/>
      <c r="L878" s="59"/>
      <c r="M878" s="60"/>
      <c r="N878" s="60"/>
      <c r="O878" s="60"/>
      <c r="P878" s="59"/>
      <c r="Q878" s="59"/>
      <c r="R878" s="60"/>
      <c r="S878" s="60"/>
      <c r="T878" s="60"/>
      <c r="U878" s="60"/>
      <c r="V878" s="60"/>
      <c r="W878" s="60"/>
    </row>
    <row r="879" spans="1:23" ht="13" x14ac:dyDescent="0.3">
      <c r="A879" s="58"/>
      <c r="B879" s="58"/>
      <c r="C879" s="58"/>
      <c r="D879" s="58"/>
      <c r="E879" s="58"/>
      <c r="F879" s="58"/>
      <c r="G879" s="58"/>
      <c r="H879" s="59"/>
      <c r="I879" s="59"/>
      <c r="J879" s="59"/>
      <c r="K879" s="59"/>
      <c r="L879" s="59"/>
      <c r="M879" s="60"/>
      <c r="N879" s="60"/>
      <c r="O879" s="60"/>
      <c r="P879" s="59"/>
      <c r="Q879" s="59"/>
      <c r="R879" s="60"/>
      <c r="S879" s="60"/>
      <c r="T879" s="60"/>
      <c r="U879" s="60"/>
      <c r="V879" s="60"/>
      <c r="W879" s="60"/>
    </row>
    <row r="880" spans="1:23" ht="13" x14ac:dyDescent="0.3">
      <c r="A880" s="58"/>
      <c r="B880" s="58"/>
      <c r="C880" s="58"/>
      <c r="D880" s="58"/>
      <c r="E880" s="58"/>
      <c r="F880" s="58"/>
      <c r="G880" s="58"/>
      <c r="H880" s="59"/>
      <c r="I880" s="59"/>
      <c r="J880" s="59"/>
      <c r="K880" s="59"/>
      <c r="L880" s="59"/>
      <c r="M880" s="60"/>
      <c r="N880" s="60"/>
      <c r="O880" s="60"/>
      <c r="P880" s="59"/>
      <c r="Q880" s="59"/>
      <c r="R880" s="60"/>
      <c r="S880" s="60"/>
      <c r="T880" s="60"/>
      <c r="U880" s="60"/>
      <c r="V880" s="60"/>
      <c r="W880" s="60"/>
    </row>
    <row r="881" spans="1:23" ht="13" x14ac:dyDescent="0.3">
      <c r="A881" s="58"/>
      <c r="B881" s="58"/>
      <c r="C881" s="58"/>
      <c r="D881" s="58"/>
      <c r="E881" s="58"/>
      <c r="F881" s="58"/>
      <c r="G881" s="58"/>
      <c r="H881" s="59"/>
      <c r="I881" s="59"/>
      <c r="J881" s="59"/>
      <c r="K881" s="59"/>
      <c r="L881" s="59"/>
      <c r="M881" s="60"/>
      <c r="N881" s="60"/>
      <c r="O881" s="60"/>
      <c r="P881" s="59"/>
      <c r="Q881" s="59"/>
      <c r="R881" s="60"/>
      <c r="S881" s="60"/>
      <c r="T881" s="60"/>
      <c r="U881" s="60"/>
      <c r="V881" s="60"/>
      <c r="W881" s="60"/>
    </row>
    <row r="882" spans="1:23" ht="13" x14ac:dyDescent="0.3">
      <c r="A882" s="58"/>
      <c r="B882" s="58"/>
      <c r="C882" s="58"/>
      <c r="D882" s="58"/>
      <c r="E882" s="58"/>
      <c r="F882" s="58"/>
      <c r="G882" s="58"/>
      <c r="H882" s="59"/>
      <c r="I882" s="59"/>
      <c r="J882" s="59"/>
      <c r="K882" s="59"/>
      <c r="L882" s="59"/>
      <c r="M882" s="60"/>
      <c r="N882" s="60"/>
      <c r="O882" s="60"/>
      <c r="P882" s="59"/>
      <c r="Q882" s="59"/>
      <c r="R882" s="60"/>
      <c r="S882" s="60"/>
      <c r="T882" s="60"/>
      <c r="U882" s="60"/>
      <c r="V882" s="60"/>
      <c r="W882" s="60"/>
    </row>
    <row r="883" spans="1:23" ht="13" x14ac:dyDescent="0.3">
      <c r="A883" s="58"/>
      <c r="B883" s="58"/>
      <c r="C883" s="58"/>
      <c r="D883" s="58"/>
      <c r="E883" s="58"/>
      <c r="F883" s="58"/>
      <c r="G883" s="58"/>
      <c r="H883" s="59"/>
      <c r="I883" s="59"/>
      <c r="J883" s="59"/>
      <c r="K883" s="59"/>
      <c r="L883" s="59"/>
      <c r="M883" s="60"/>
      <c r="N883" s="60"/>
      <c r="O883" s="60"/>
      <c r="P883" s="59"/>
      <c r="Q883" s="59"/>
      <c r="R883" s="60"/>
      <c r="S883" s="60"/>
      <c r="T883" s="60"/>
      <c r="U883" s="60"/>
      <c r="V883" s="60"/>
      <c r="W883" s="60"/>
    </row>
    <row r="884" spans="1:23" ht="13" x14ac:dyDescent="0.3">
      <c r="A884" s="58"/>
      <c r="B884" s="58"/>
      <c r="C884" s="58"/>
      <c r="D884" s="58"/>
      <c r="E884" s="58"/>
      <c r="F884" s="58"/>
      <c r="G884" s="58"/>
      <c r="H884" s="59"/>
      <c r="I884" s="59"/>
      <c r="J884" s="59"/>
      <c r="K884" s="59"/>
      <c r="L884" s="59"/>
      <c r="M884" s="60"/>
      <c r="N884" s="60"/>
      <c r="O884" s="60"/>
      <c r="P884" s="59"/>
      <c r="Q884" s="59"/>
      <c r="R884" s="60"/>
      <c r="S884" s="60"/>
      <c r="T884" s="60"/>
      <c r="U884" s="60"/>
      <c r="V884" s="60"/>
      <c r="W884" s="60"/>
    </row>
    <row r="885" spans="1:23" ht="13" x14ac:dyDescent="0.3">
      <c r="A885" s="58"/>
      <c r="B885" s="58"/>
      <c r="C885" s="58"/>
      <c r="D885" s="58"/>
      <c r="E885" s="58"/>
      <c r="F885" s="58"/>
      <c r="G885" s="58"/>
      <c r="H885" s="59"/>
      <c r="I885" s="59"/>
      <c r="J885" s="59"/>
      <c r="K885" s="59"/>
      <c r="L885" s="59"/>
      <c r="M885" s="60"/>
      <c r="N885" s="60"/>
      <c r="O885" s="60"/>
      <c r="P885" s="59"/>
      <c r="Q885" s="59"/>
      <c r="R885" s="60"/>
      <c r="S885" s="60"/>
      <c r="T885" s="60"/>
      <c r="U885" s="60"/>
      <c r="V885" s="60"/>
      <c r="W885" s="60"/>
    </row>
    <row r="886" spans="1:23" ht="13" x14ac:dyDescent="0.3">
      <c r="A886" s="58"/>
      <c r="B886" s="58"/>
      <c r="C886" s="58"/>
      <c r="D886" s="58"/>
      <c r="E886" s="58"/>
      <c r="F886" s="58"/>
      <c r="G886" s="58"/>
      <c r="H886" s="59"/>
      <c r="I886" s="59"/>
      <c r="J886" s="59"/>
      <c r="K886" s="59"/>
      <c r="L886" s="59"/>
      <c r="M886" s="60"/>
      <c r="N886" s="60"/>
      <c r="O886" s="60"/>
      <c r="P886" s="59"/>
      <c r="Q886" s="59"/>
      <c r="R886" s="60"/>
      <c r="S886" s="60"/>
      <c r="T886" s="60"/>
      <c r="U886" s="60"/>
      <c r="V886" s="60"/>
      <c r="W886" s="60"/>
    </row>
    <row r="887" spans="1:23" ht="13" x14ac:dyDescent="0.3">
      <c r="A887" s="58"/>
      <c r="B887" s="58"/>
      <c r="C887" s="58"/>
      <c r="D887" s="58"/>
      <c r="E887" s="58"/>
      <c r="F887" s="58"/>
      <c r="G887" s="58"/>
      <c r="H887" s="59"/>
      <c r="I887" s="59"/>
      <c r="J887" s="59"/>
      <c r="K887" s="59"/>
      <c r="L887" s="59"/>
      <c r="M887" s="60"/>
      <c r="N887" s="60"/>
      <c r="O887" s="60"/>
      <c r="P887" s="59"/>
      <c r="Q887" s="59"/>
      <c r="R887" s="60"/>
      <c r="S887" s="60"/>
      <c r="T887" s="60"/>
      <c r="U887" s="60"/>
      <c r="V887" s="60"/>
      <c r="W887" s="60"/>
    </row>
    <row r="888" spans="1:23" ht="13" x14ac:dyDescent="0.3">
      <c r="A888" s="58"/>
      <c r="B888" s="58"/>
      <c r="C888" s="58"/>
      <c r="D888" s="58"/>
      <c r="E888" s="58"/>
      <c r="F888" s="58"/>
      <c r="G888" s="58"/>
      <c r="H888" s="59"/>
      <c r="I888" s="59"/>
      <c r="J888" s="59"/>
      <c r="K888" s="59"/>
      <c r="L888" s="59"/>
      <c r="M888" s="60"/>
      <c r="N888" s="60"/>
      <c r="O888" s="60"/>
      <c r="P888" s="59"/>
      <c r="Q888" s="59"/>
      <c r="R888" s="60"/>
      <c r="S888" s="60"/>
      <c r="T888" s="60"/>
      <c r="U888" s="60"/>
      <c r="V888" s="60"/>
      <c r="W888" s="60"/>
    </row>
    <row r="889" spans="1:23" ht="13" x14ac:dyDescent="0.3">
      <c r="A889" s="58"/>
      <c r="B889" s="58"/>
      <c r="C889" s="58"/>
      <c r="D889" s="58"/>
      <c r="E889" s="58"/>
      <c r="F889" s="58"/>
      <c r="G889" s="58"/>
      <c r="H889" s="59"/>
      <c r="I889" s="59"/>
      <c r="J889" s="59"/>
      <c r="K889" s="59"/>
      <c r="L889" s="59"/>
      <c r="M889" s="60"/>
      <c r="N889" s="60"/>
      <c r="O889" s="60"/>
      <c r="P889" s="59"/>
      <c r="Q889" s="59"/>
      <c r="R889" s="60"/>
      <c r="S889" s="60"/>
      <c r="T889" s="60"/>
      <c r="U889" s="60"/>
      <c r="V889" s="60"/>
      <c r="W889" s="60"/>
    </row>
    <row r="890" spans="1:23" ht="13" x14ac:dyDescent="0.3">
      <c r="A890" s="58"/>
      <c r="B890" s="58"/>
      <c r="C890" s="58"/>
      <c r="D890" s="58"/>
      <c r="E890" s="58"/>
      <c r="F890" s="58"/>
      <c r="G890" s="58"/>
      <c r="H890" s="59"/>
      <c r="I890" s="59"/>
      <c r="J890" s="59"/>
      <c r="K890" s="59"/>
      <c r="L890" s="59"/>
      <c r="M890" s="60"/>
      <c r="N890" s="60"/>
      <c r="O890" s="60"/>
      <c r="P890" s="59"/>
      <c r="Q890" s="59"/>
      <c r="R890" s="60"/>
      <c r="S890" s="60"/>
      <c r="T890" s="60"/>
      <c r="U890" s="60"/>
      <c r="V890" s="60"/>
      <c r="W890" s="60"/>
    </row>
    <row r="891" spans="1:23" ht="13" x14ac:dyDescent="0.3">
      <c r="A891" s="58"/>
      <c r="B891" s="58"/>
      <c r="C891" s="58"/>
      <c r="D891" s="58"/>
      <c r="E891" s="58"/>
      <c r="F891" s="58"/>
      <c r="G891" s="58"/>
      <c r="H891" s="59"/>
      <c r="I891" s="59"/>
      <c r="J891" s="59"/>
      <c r="K891" s="59"/>
      <c r="L891" s="59"/>
      <c r="M891" s="60"/>
      <c r="N891" s="60"/>
      <c r="O891" s="60"/>
      <c r="P891" s="59"/>
      <c r="Q891" s="59"/>
      <c r="R891" s="60"/>
      <c r="S891" s="60"/>
      <c r="T891" s="60"/>
      <c r="U891" s="60"/>
      <c r="V891" s="60"/>
      <c r="W891" s="60"/>
    </row>
  </sheetData>
  <autoFilter ref="A1:R6" xr:uid="{00000000-0001-0000-0000-000000000000}"/>
  <conditionalFormatting sqref="B1:B1048576">
    <cfRule type="duplicateValues" dxfId="124" priority="103"/>
    <cfRule type="duplicateValues" dxfId="123" priority="104"/>
  </conditionalFormatting>
  <conditionalFormatting sqref="B1:D1048576">
    <cfRule type="duplicateValues" dxfId="122" priority="85"/>
    <cfRule type="duplicateValues" dxfId="121" priority="100"/>
  </conditionalFormatting>
  <conditionalFormatting sqref="C1:D1048576">
    <cfRule type="duplicateValues" dxfId="120" priority="88"/>
    <cfRule type="duplicateValues" dxfId="119" priority="89"/>
    <cfRule type="duplicateValues" dxfId="118" priority="90"/>
    <cfRule type="duplicateValues" dxfId="117" priority="91"/>
  </conditionalFormatting>
  <dataValidations count="1">
    <dataValidation type="list" allowBlank="1" showErrorMessage="1" sqref="E4" xr:uid="{DD58808B-9EE9-44D5-9895-D2F9F9E2D7D2}">
      <formula1>"II/a,II/b,II/c,II/d,III/a,III/b,III/c,III/d,IV/a,IV/b,IV/c"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B3E4-FDF1-4604-8D90-30B0234F493D}">
  <sheetPr>
    <outlinePr summaryBelow="0" summaryRight="0"/>
  </sheetPr>
  <dimension ref="A1:X974"/>
  <sheetViews>
    <sheetView zoomScale="60" zoomScaleNormal="6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W91"/>
    </sheetView>
  </sheetViews>
  <sheetFormatPr defaultColWidth="12.6328125" defaultRowHeight="15.75" customHeight="1" x14ac:dyDescent="0.3"/>
  <cols>
    <col min="1" max="1" width="5.26953125" style="11" customWidth="1"/>
    <col min="2" max="2" width="39" style="11" customWidth="1"/>
    <col min="3" max="4" width="24.7265625" style="11" customWidth="1"/>
    <col min="5" max="5" width="25.6328125" style="11" customWidth="1"/>
    <col min="6" max="6" width="44.90625" style="11" customWidth="1"/>
    <col min="7" max="7" width="12.90625" style="11" customWidth="1"/>
    <col min="8" max="9" width="33.26953125" style="61" customWidth="1"/>
    <col min="10" max="10" width="17.7265625" style="56" customWidth="1"/>
    <col min="11" max="11" width="31.81640625" style="61" customWidth="1"/>
    <col min="12" max="12" width="19.54296875" style="56" customWidth="1"/>
    <col min="13" max="14" width="18.7265625" style="11" customWidth="1"/>
    <col min="15" max="15" width="16.6328125" style="11" customWidth="1"/>
    <col min="16" max="17" width="20.90625" style="56" customWidth="1"/>
    <col min="18" max="19" width="20.26953125" style="11" customWidth="1"/>
    <col min="20" max="20" width="37.26953125" style="11" customWidth="1"/>
    <col min="21" max="22" width="36.54296875" style="11" customWidth="1"/>
    <col min="23" max="23" width="31.7265625" style="11" customWidth="1"/>
    <col min="24" max="16384" width="12.6328125" style="11"/>
  </cols>
  <sheetData>
    <row r="1" spans="1:24" ht="112.5" customHeight="1" x14ac:dyDescent="0.3">
      <c r="A1" s="1"/>
      <c r="B1" s="2" t="s">
        <v>0</v>
      </c>
      <c r="C1" s="2" t="s">
        <v>1</v>
      </c>
      <c r="D1" s="2" t="s">
        <v>2930</v>
      </c>
      <c r="E1" s="2" t="s">
        <v>2</v>
      </c>
      <c r="F1" s="2" t="s">
        <v>3</v>
      </c>
      <c r="G1" s="2" t="s">
        <v>4</v>
      </c>
      <c r="H1" s="1" t="s">
        <v>5</v>
      </c>
      <c r="I1" s="3" t="s">
        <v>6</v>
      </c>
      <c r="J1" s="4" t="s">
        <v>7</v>
      </c>
      <c r="K1" s="4" t="s">
        <v>8</v>
      </c>
      <c r="L1" s="5" t="s">
        <v>9</v>
      </c>
      <c r="M1" s="5" t="s">
        <v>10</v>
      </c>
      <c r="N1" s="6" t="s">
        <v>11</v>
      </c>
      <c r="O1" s="6" t="s">
        <v>12</v>
      </c>
      <c r="P1" s="7" t="s">
        <v>13</v>
      </c>
      <c r="Q1" s="7" t="s">
        <v>14</v>
      </c>
      <c r="R1" s="8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10" t="s">
        <v>20</v>
      </c>
    </row>
    <row r="2" spans="1:24" s="17" customFormat="1" ht="14.5" x14ac:dyDescent="0.35">
      <c r="A2" s="12">
        <v>1</v>
      </c>
      <c r="B2" s="13" t="s">
        <v>252</v>
      </c>
      <c r="C2" s="14" t="s">
        <v>253</v>
      </c>
      <c r="D2" s="153" t="str">
        <f>IF(MID(C2,15,1)="1","Laki-Laki","Perempuan")</f>
        <v>Laki-Laki</v>
      </c>
      <c r="E2" s="13"/>
      <c r="F2" s="13"/>
      <c r="G2" s="13" t="s">
        <v>254</v>
      </c>
      <c r="H2" s="15" t="s">
        <v>255</v>
      </c>
      <c r="I2" s="15" t="s">
        <v>256</v>
      </c>
      <c r="J2" s="12" t="s">
        <v>242</v>
      </c>
      <c r="K2" s="15" t="s">
        <v>257</v>
      </c>
      <c r="L2" s="15" t="s">
        <v>28</v>
      </c>
      <c r="M2" s="15">
        <v>2020</v>
      </c>
      <c r="N2" s="15" t="str">
        <f t="shared" ref="N2:N10" si="0">L2</f>
        <v>September</v>
      </c>
      <c r="O2" s="15">
        <v>2022</v>
      </c>
      <c r="P2" s="15">
        <v>2020</v>
      </c>
      <c r="Q2" s="15"/>
      <c r="R2" s="16" t="s">
        <v>29</v>
      </c>
      <c r="S2" s="15"/>
      <c r="T2" s="15"/>
      <c r="U2" s="15"/>
      <c r="V2" s="15"/>
      <c r="W2" s="15"/>
    </row>
    <row r="3" spans="1:24" s="17" customFormat="1" ht="28" x14ac:dyDescent="0.35">
      <c r="A3" s="12">
        <v>2</v>
      </c>
      <c r="B3" s="13" t="s">
        <v>258</v>
      </c>
      <c r="C3" s="14" t="s">
        <v>259</v>
      </c>
      <c r="D3" s="153" t="str">
        <f t="shared" ref="D3:D66" si="1">IF(MID(C3,15,1)="1","Laki-Laki","Perempuan")</f>
        <v>Perempuan</v>
      </c>
      <c r="E3" s="13"/>
      <c r="F3" s="13"/>
      <c r="G3" s="13" t="s">
        <v>254</v>
      </c>
      <c r="H3" s="15" t="s">
        <v>260</v>
      </c>
      <c r="I3" s="15" t="s">
        <v>261</v>
      </c>
      <c r="J3" s="12" t="s">
        <v>26</v>
      </c>
      <c r="K3" s="15" t="s">
        <v>262</v>
      </c>
      <c r="L3" s="23" t="s">
        <v>28</v>
      </c>
      <c r="M3" s="15">
        <v>2020</v>
      </c>
      <c r="N3" s="15" t="str">
        <f t="shared" si="0"/>
        <v>September</v>
      </c>
      <c r="O3" s="15">
        <v>2022</v>
      </c>
      <c r="P3" s="15">
        <v>2020</v>
      </c>
      <c r="Q3" s="15"/>
      <c r="R3" s="16" t="s">
        <v>29</v>
      </c>
      <c r="S3" s="15"/>
      <c r="T3" s="15"/>
      <c r="U3" s="15"/>
      <c r="V3" s="15"/>
      <c r="W3" s="15"/>
    </row>
    <row r="4" spans="1:24" s="17" customFormat="1" ht="28" x14ac:dyDescent="0.35">
      <c r="A4" s="12">
        <v>3</v>
      </c>
      <c r="B4" s="13" t="s">
        <v>263</v>
      </c>
      <c r="C4" s="14" t="s">
        <v>264</v>
      </c>
      <c r="D4" s="153" t="str">
        <f t="shared" si="1"/>
        <v>Perempuan</v>
      </c>
      <c r="E4" s="13"/>
      <c r="F4" s="13"/>
      <c r="G4" s="13" t="s">
        <v>254</v>
      </c>
      <c r="H4" s="15" t="s">
        <v>260</v>
      </c>
      <c r="I4" s="15" t="s">
        <v>261</v>
      </c>
      <c r="J4" s="12" t="s">
        <v>45</v>
      </c>
      <c r="K4" s="15" t="s">
        <v>265</v>
      </c>
      <c r="L4" s="23" t="s">
        <v>28</v>
      </c>
      <c r="M4" s="15">
        <v>2020</v>
      </c>
      <c r="N4" s="15" t="str">
        <f t="shared" si="0"/>
        <v>September</v>
      </c>
      <c r="O4" s="15">
        <v>2024</v>
      </c>
      <c r="P4" s="15">
        <v>2020</v>
      </c>
      <c r="Q4" s="15"/>
      <c r="R4" s="16" t="s">
        <v>51</v>
      </c>
      <c r="S4" s="15"/>
      <c r="T4" s="15"/>
      <c r="U4" s="15"/>
      <c r="V4" s="15"/>
      <c r="W4" s="15"/>
    </row>
    <row r="5" spans="1:24" s="17" customFormat="1" ht="28" x14ac:dyDescent="0.35">
      <c r="A5" s="12">
        <v>4</v>
      </c>
      <c r="B5" s="13" t="s">
        <v>266</v>
      </c>
      <c r="C5" s="14" t="s">
        <v>267</v>
      </c>
      <c r="D5" s="153" t="str">
        <f t="shared" si="1"/>
        <v>Laki-Laki</v>
      </c>
      <c r="E5" s="13"/>
      <c r="F5" s="13"/>
      <c r="G5" s="13" t="s">
        <v>254</v>
      </c>
      <c r="H5" s="15" t="s">
        <v>268</v>
      </c>
      <c r="I5" s="15" t="s">
        <v>90</v>
      </c>
      <c r="J5" s="12" t="s">
        <v>45</v>
      </c>
      <c r="K5" s="15" t="s">
        <v>269</v>
      </c>
      <c r="L5" s="21" t="s">
        <v>160</v>
      </c>
      <c r="M5" s="15">
        <v>2020</v>
      </c>
      <c r="N5" s="15" t="str">
        <f t="shared" si="0"/>
        <v>Juli</v>
      </c>
      <c r="O5" s="15">
        <v>2024</v>
      </c>
      <c r="P5" s="15">
        <v>2020</v>
      </c>
      <c r="Q5" s="15"/>
      <c r="R5" s="16" t="s">
        <v>51</v>
      </c>
      <c r="S5" s="15"/>
      <c r="T5" s="15"/>
      <c r="U5" s="15"/>
      <c r="V5" s="15"/>
      <c r="W5" s="15"/>
    </row>
    <row r="6" spans="1:24" s="17" customFormat="1" ht="14.5" x14ac:dyDescent="0.35">
      <c r="A6" s="12">
        <v>5</v>
      </c>
      <c r="B6" s="13" t="s">
        <v>270</v>
      </c>
      <c r="C6" s="14" t="s">
        <v>271</v>
      </c>
      <c r="D6" s="153" t="str">
        <f t="shared" si="1"/>
        <v>Perempuan</v>
      </c>
      <c r="E6" s="13"/>
      <c r="F6" s="13"/>
      <c r="G6" s="13" t="s">
        <v>254</v>
      </c>
      <c r="H6" s="15" t="s">
        <v>272</v>
      </c>
      <c r="I6" s="15" t="s">
        <v>90</v>
      </c>
      <c r="J6" s="12" t="s">
        <v>45</v>
      </c>
      <c r="K6" s="15" t="s">
        <v>273</v>
      </c>
      <c r="L6" s="23" t="s">
        <v>60</v>
      </c>
      <c r="M6" s="15">
        <v>2020</v>
      </c>
      <c r="N6" s="15" t="str">
        <f t="shared" si="0"/>
        <v>Agustus</v>
      </c>
      <c r="O6" s="15">
        <v>2023</v>
      </c>
      <c r="P6" s="15">
        <v>2020</v>
      </c>
      <c r="Q6" s="15"/>
      <c r="R6" s="16" t="s">
        <v>29</v>
      </c>
      <c r="S6" s="15"/>
      <c r="T6" s="15"/>
      <c r="U6" s="15"/>
      <c r="V6" s="15"/>
      <c r="W6" s="15"/>
    </row>
    <row r="7" spans="1:24" s="17" customFormat="1" ht="28" x14ac:dyDescent="0.35">
      <c r="A7" s="12">
        <v>6</v>
      </c>
      <c r="B7" s="13" t="s">
        <v>274</v>
      </c>
      <c r="C7" s="14" t="s">
        <v>275</v>
      </c>
      <c r="D7" s="153" t="str">
        <f t="shared" si="1"/>
        <v>Laki-Laki</v>
      </c>
      <c r="E7" s="13"/>
      <c r="F7" s="13"/>
      <c r="G7" s="13" t="s">
        <v>254</v>
      </c>
      <c r="H7" s="15" t="s">
        <v>276</v>
      </c>
      <c r="I7" s="15" t="s">
        <v>277</v>
      </c>
      <c r="J7" s="12" t="s">
        <v>26</v>
      </c>
      <c r="K7" s="15" t="s">
        <v>278</v>
      </c>
      <c r="L7" s="15" t="s">
        <v>28</v>
      </c>
      <c r="M7" s="15">
        <v>2020</v>
      </c>
      <c r="N7" s="15" t="str">
        <f t="shared" si="0"/>
        <v>September</v>
      </c>
      <c r="O7" s="15">
        <v>2022</v>
      </c>
      <c r="P7" s="15">
        <v>2020</v>
      </c>
      <c r="Q7" s="15"/>
      <c r="R7" s="16" t="s">
        <v>29</v>
      </c>
      <c r="S7" s="15"/>
      <c r="T7" s="15"/>
      <c r="U7" s="15"/>
      <c r="V7" s="15"/>
      <c r="W7" s="15"/>
    </row>
    <row r="8" spans="1:24" s="17" customFormat="1" ht="28.5" x14ac:dyDescent="0.35">
      <c r="A8" s="12">
        <v>7</v>
      </c>
      <c r="B8" s="13" t="s">
        <v>279</v>
      </c>
      <c r="C8" s="14" t="s">
        <v>280</v>
      </c>
      <c r="D8" s="153" t="str">
        <f t="shared" si="1"/>
        <v>Perempuan</v>
      </c>
      <c r="E8" s="13"/>
      <c r="F8" s="13"/>
      <c r="G8" s="13" t="s">
        <v>254</v>
      </c>
      <c r="H8" s="81" t="s">
        <v>281</v>
      </c>
      <c r="I8" s="15" t="s">
        <v>282</v>
      </c>
      <c r="J8" s="12" t="s">
        <v>45</v>
      </c>
      <c r="K8" s="15" t="s">
        <v>196</v>
      </c>
      <c r="L8" s="15" t="s">
        <v>28</v>
      </c>
      <c r="M8" s="15">
        <v>2020</v>
      </c>
      <c r="N8" s="15" t="str">
        <f t="shared" si="0"/>
        <v>September</v>
      </c>
      <c r="O8" s="15">
        <v>2024</v>
      </c>
      <c r="P8" s="15">
        <v>2020</v>
      </c>
      <c r="Q8" s="15"/>
      <c r="R8" s="16" t="s">
        <v>29</v>
      </c>
      <c r="S8" s="15"/>
      <c r="T8" s="15"/>
      <c r="U8" s="15"/>
      <c r="V8" s="15"/>
      <c r="W8" s="15"/>
    </row>
    <row r="9" spans="1:24" s="17" customFormat="1" ht="28" x14ac:dyDescent="0.35">
      <c r="A9" s="12">
        <v>8</v>
      </c>
      <c r="B9" s="13" t="s">
        <v>283</v>
      </c>
      <c r="C9" s="14" t="s">
        <v>284</v>
      </c>
      <c r="D9" s="153" t="str">
        <f t="shared" si="1"/>
        <v>Laki-Laki</v>
      </c>
      <c r="E9" s="13"/>
      <c r="F9" s="13"/>
      <c r="G9" s="13" t="s">
        <v>254</v>
      </c>
      <c r="H9" s="15" t="s">
        <v>285</v>
      </c>
      <c r="I9" s="15" t="s">
        <v>241</v>
      </c>
      <c r="J9" s="12" t="s">
        <v>242</v>
      </c>
      <c r="K9" s="15" t="s">
        <v>286</v>
      </c>
      <c r="L9" s="12" t="s">
        <v>28</v>
      </c>
      <c r="M9" s="12">
        <v>2020</v>
      </c>
      <c r="N9" s="15" t="str">
        <f t="shared" si="0"/>
        <v>September</v>
      </c>
      <c r="O9" s="15">
        <v>2025</v>
      </c>
      <c r="P9" s="15">
        <v>2021</v>
      </c>
      <c r="Q9" s="15"/>
      <c r="R9" s="34" t="s">
        <v>29</v>
      </c>
      <c r="S9" s="21"/>
      <c r="T9" s="21"/>
      <c r="U9" s="21"/>
      <c r="V9" s="21"/>
      <c r="W9" s="21"/>
    </row>
    <row r="10" spans="1:24" s="17" customFormat="1" ht="28" x14ac:dyDescent="0.35">
      <c r="A10" s="12">
        <v>9</v>
      </c>
      <c r="B10" s="13" t="s">
        <v>287</v>
      </c>
      <c r="C10" s="14" t="s">
        <v>288</v>
      </c>
      <c r="D10" s="153" t="str">
        <f t="shared" si="1"/>
        <v>Laki-Laki</v>
      </c>
      <c r="E10" s="13"/>
      <c r="F10" s="13"/>
      <c r="G10" s="13" t="s">
        <v>254</v>
      </c>
      <c r="H10" s="15" t="s">
        <v>285</v>
      </c>
      <c r="I10" s="15" t="s">
        <v>241</v>
      </c>
      <c r="J10" s="12" t="s">
        <v>242</v>
      </c>
      <c r="K10" s="15" t="s">
        <v>286</v>
      </c>
      <c r="L10" s="12" t="s">
        <v>28</v>
      </c>
      <c r="M10" s="12">
        <v>2020</v>
      </c>
      <c r="N10" s="15" t="str">
        <f t="shared" si="0"/>
        <v>September</v>
      </c>
      <c r="O10" s="15">
        <v>2023</v>
      </c>
      <c r="P10" s="15">
        <v>2021</v>
      </c>
      <c r="Q10" s="15"/>
      <c r="R10" s="34" t="s">
        <v>51</v>
      </c>
      <c r="S10" s="21"/>
      <c r="T10" s="21"/>
      <c r="U10" s="21"/>
      <c r="V10" s="21"/>
      <c r="W10" s="21"/>
    </row>
    <row r="11" spans="1:24" s="17" customFormat="1" ht="28" x14ac:dyDescent="0.35">
      <c r="A11" s="12">
        <v>10</v>
      </c>
      <c r="B11" s="13" t="s">
        <v>289</v>
      </c>
      <c r="C11" s="14" t="s">
        <v>290</v>
      </c>
      <c r="D11" s="153" t="str">
        <f t="shared" si="1"/>
        <v>Laki-Laki</v>
      </c>
      <c r="E11" s="13"/>
      <c r="F11" s="13"/>
      <c r="G11" s="13" t="s">
        <v>254</v>
      </c>
      <c r="H11" s="15" t="s">
        <v>291</v>
      </c>
      <c r="I11" s="15" t="s">
        <v>292</v>
      </c>
      <c r="J11" s="12" t="s">
        <v>45</v>
      </c>
      <c r="K11" s="15" t="s">
        <v>46</v>
      </c>
      <c r="L11" s="12" t="s">
        <v>28</v>
      </c>
      <c r="M11" s="12">
        <v>2020</v>
      </c>
      <c r="N11" s="15" t="str">
        <f>L11</f>
        <v>September</v>
      </c>
      <c r="O11" s="15">
        <v>2024</v>
      </c>
      <c r="P11" s="15">
        <v>2021</v>
      </c>
      <c r="Q11" s="15"/>
      <c r="R11" s="34" t="s">
        <v>51</v>
      </c>
      <c r="S11" s="21"/>
      <c r="T11" s="21"/>
      <c r="U11" s="21"/>
      <c r="V11" s="21"/>
      <c r="W11" s="21"/>
    </row>
    <row r="12" spans="1:24" s="17" customFormat="1" ht="28" x14ac:dyDescent="0.35">
      <c r="A12" s="12">
        <v>11</v>
      </c>
      <c r="B12" s="13" t="s">
        <v>293</v>
      </c>
      <c r="C12" s="14" t="s">
        <v>294</v>
      </c>
      <c r="D12" s="153" t="str">
        <f t="shared" si="1"/>
        <v>Perempuan</v>
      </c>
      <c r="E12" s="13"/>
      <c r="F12" s="13"/>
      <c r="G12" s="13" t="s">
        <v>254</v>
      </c>
      <c r="H12" s="15" t="s">
        <v>276</v>
      </c>
      <c r="I12" s="15" t="s">
        <v>277</v>
      </c>
      <c r="J12" s="12" t="s">
        <v>45</v>
      </c>
      <c r="K12" s="15" t="s">
        <v>295</v>
      </c>
      <c r="L12" s="12" t="s">
        <v>28</v>
      </c>
      <c r="M12" s="12">
        <v>2020</v>
      </c>
      <c r="N12" s="15" t="str">
        <f>L12</f>
        <v>September</v>
      </c>
      <c r="O12" s="15">
        <v>2024</v>
      </c>
      <c r="P12" s="15">
        <v>2021</v>
      </c>
      <c r="Q12" s="15"/>
      <c r="R12" s="34" t="s">
        <v>51</v>
      </c>
      <c r="S12" s="21"/>
      <c r="T12" s="21"/>
      <c r="U12" s="21"/>
      <c r="V12" s="21"/>
      <c r="W12" s="21"/>
    </row>
    <row r="13" spans="1:24" s="17" customFormat="1" ht="28" x14ac:dyDescent="0.35">
      <c r="A13" s="12">
        <v>12</v>
      </c>
      <c r="B13" s="13" t="s">
        <v>296</v>
      </c>
      <c r="C13" s="14" t="s">
        <v>297</v>
      </c>
      <c r="D13" s="153" t="str">
        <f t="shared" si="1"/>
        <v>Laki-Laki</v>
      </c>
      <c r="E13" s="13"/>
      <c r="F13" s="18"/>
      <c r="G13" s="13" t="s">
        <v>254</v>
      </c>
      <c r="H13" s="15" t="s">
        <v>276</v>
      </c>
      <c r="I13" s="15" t="s">
        <v>277</v>
      </c>
      <c r="J13" s="12" t="s">
        <v>45</v>
      </c>
      <c r="K13" s="15" t="s">
        <v>295</v>
      </c>
      <c r="L13" s="12" t="s">
        <v>28</v>
      </c>
      <c r="M13" s="12">
        <v>2020</v>
      </c>
      <c r="N13" s="15" t="str">
        <f t="shared" ref="N13" si="2">L13</f>
        <v>September</v>
      </c>
      <c r="O13" s="15">
        <v>2024</v>
      </c>
      <c r="P13" s="15">
        <v>2021</v>
      </c>
      <c r="Q13" s="15"/>
      <c r="R13" s="34" t="s">
        <v>51</v>
      </c>
      <c r="S13" s="21"/>
      <c r="T13" s="21"/>
      <c r="U13" s="21"/>
      <c r="V13" s="21"/>
      <c r="W13" s="21"/>
    </row>
    <row r="14" spans="1:24" s="17" customFormat="1" ht="28" x14ac:dyDescent="0.35">
      <c r="A14" s="12">
        <v>13</v>
      </c>
      <c r="B14" s="13" t="s">
        <v>298</v>
      </c>
      <c r="C14" s="14" t="s">
        <v>299</v>
      </c>
      <c r="D14" s="153" t="str">
        <f t="shared" si="1"/>
        <v>Laki-Laki</v>
      </c>
      <c r="E14" s="13"/>
      <c r="F14" s="18"/>
      <c r="G14" s="13" t="s">
        <v>254</v>
      </c>
      <c r="H14" s="15" t="s">
        <v>300</v>
      </c>
      <c r="I14" s="15" t="s">
        <v>301</v>
      </c>
      <c r="J14" s="12" t="s">
        <v>45</v>
      </c>
      <c r="K14" s="15" t="s">
        <v>248</v>
      </c>
      <c r="L14" s="12" t="s">
        <v>60</v>
      </c>
      <c r="M14" s="12">
        <v>2020</v>
      </c>
      <c r="N14" s="15" t="str">
        <f>L14</f>
        <v>Agustus</v>
      </c>
      <c r="O14" s="15">
        <v>2024</v>
      </c>
      <c r="P14" s="15">
        <v>2021</v>
      </c>
      <c r="Q14" s="15"/>
      <c r="R14" s="34" t="s">
        <v>51</v>
      </c>
      <c r="S14" s="21"/>
      <c r="T14" s="21"/>
      <c r="U14" s="21"/>
      <c r="V14" s="21"/>
      <c r="W14" s="21"/>
    </row>
    <row r="15" spans="1:24" s="17" customFormat="1" ht="28" x14ac:dyDescent="0.35">
      <c r="A15" s="12">
        <v>14</v>
      </c>
      <c r="B15" s="13" t="s">
        <v>302</v>
      </c>
      <c r="C15" s="14" t="s">
        <v>303</v>
      </c>
      <c r="D15" s="153" t="str">
        <f t="shared" si="1"/>
        <v>Laki-Laki</v>
      </c>
      <c r="E15" s="13"/>
      <c r="F15" s="18"/>
      <c r="G15" s="13" t="s">
        <v>254</v>
      </c>
      <c r="H15" s="15" t="s">
        <v>300</v>
      </c>
      <c r="I15" s="15" t="s">
        <v>301</v>
      </c>
      <c r="J15" s="12" t="s">
        <v>45</v>
      </c>
      <c r="K15" s="15" t="s">
        <v>248</v>
      </c>
      <c r="L15" s="12" t="s">
        <v>60</v>
      </c>
      <c r="M15" s="12">
        <v>2020</v>
      </c>
      <c r="N15" s="15" t="str">
        <f t="shared" ref="N15:N16" si="3">L15</f>
        <v>Agustus</v>
      </c>
      <c r="O15" s="15">
        <v>2024</v>
      </c>
      <c r="P15" s="15">
        <v>2021</v>
      </c>
      <c r="Q15" s="15"/>
      <c r="R15" s="34" t="s">
        <v>51</v>
      </c>
      <c r="S15" s="21"/>
      <c r="T15" s="21"/>
      <c r="U15" s="21"/>
      <c r="V15" s="21"/>
      <c r="W15" s="21"/>
      <c r="X15" s="17" t="s">
        <v>304</v>
      </c>
    </row>
    <row r="16" spans="1:24" s="17" customFormat="1" ht="28" x14ac:dyDescent="0.35">
      <c r="A16" s="12">
        <v>15</v>
      </c>
      <c r="B16" s="13" t="s">
        <v>305</v>
      </c>
      <c r="C16" s="14" t="s">
        <v>306</v>
      </c>
      <c r="D16" s="153" t="str">
        <f t="shared" si="1"/>
        <v>Laki-Laki</v>
      </c>
      <c r="E16" s="13"/>
      <c r="F16" s="18"/>
      <c r="G16" s="13" t="s">
        <v>254</v>
      </c>
      <c r="H16" s="15" t="s">
        <v>300</v>
      </c>
      <c r="I16" s="15" t="s">
        <v>301</v>
      </c>
      <c r="J16" s="12" t="s">
        <v>45</v>
      </c>
      <c r="K16" s="15" t="s">
        <v>248</v>
      </c>
      <c r="L16" s="12" t="s">
        <v>60</v>
      </c>
      <c r="M16" s="12">
        <v>2020</v>
      </c>
      <c r="N16" s="15" t="str">
        <f t="shared" si="3"/>
        <v>Agustus</v>
      </c>
      <c r="O16" s="15">
        <v>2024</v>
      </c>
      <c r="P16" s="15">
        <v>2021</v>
      </c>
      <c r="Q16" s="15"/>
      <c r="R16" s="34" t="s">
        <v>29</v>
      </c>
      <c r="S16" s="21"/>
      <c r="T16" s="21"/>
      <c r="U16" s="21"/>
      <c r="V16" s="21"/>
      <c r="W16" s="21"/>
    </row>
    <row r="17" spans="1:24" s="17" customFormat="1" ht="28" x14ac:dyDescent="0.35">
      <c r="A17" s="12">
        <v>16</v>
      </c>
      <c r="B17" s="13" t="s">
        <v>307</v>
      </c>
      <c r="C17" s="14" t="s">
        <v>308</v>
      </c>
      <c r="D17" s="153" t="str">
        <f t="shared" si="1"/>
        <v>Laki-Laki</v>
      </c>
      <c r="E17" s="13"/>
      <c r="F17" s="18"/>
      <c r="G17" s="13" t="s">
        <v>254</v>
      </c>
      <c r="H17" s="15" t="s">
        <v>300</v>
      </c>
      <c r="I17" s="15" t="s">
        <v>301</v>
      </c>
      <c r="J17" s="12" t="s">
        <v>45</v>
      </c>
      <c r="K17" s="15" t="s">
        <v>248</v>
      </c>
      <c r="L17" s="12" t="s">
        <v>60</v>
      </c>
      <c r="M17" s="12">
        <v>2020</v>
      </c>
      <c r="N17" s="15" t="str">
        <f>L17</f>
        <v>Agustus</v>
      </c>
      <c r="O17" s="15">
        <v>2024</v>
      </c>
      <c r="P17" s="15">
        <v>2021</v>
      </c>
      <c r="Q17" s="15"/>
      <c r="R17" s="34" t="s">
        <v>29</v>
      </c>
      <c r="S17" s="21"/>
      <c r="T17" s="21"/>
      <c r="U17" s="21"/>
      <c r="V17" s="21"/>
      <c r="W17" s="21"/>
    </row>
    <row r="18" spans="1:24" s="17" customFormat="1" ht="28" x14ac:dyDescent="0.35">
      <c r="A18" s="12">
        <v>17</v>
      </c>
      <c r="B18" s="13" t="s">
        <v>309</v>
      </c>
      <c r="C18" s="14" t="s">
        <v>310</v>
      </c>
      <c r="D18" s="153" t="str">
        <f t="shared" si="1"/>
        <v>Laki-Laki</v>
      </c>
      <c r="E18" s="13"/>
      <c r="F18" s="18"/>
      <c r="G18" s="13" t="s">
        <v>254</v>
      </c>
      <c r="H18" s="15" t="s">
        <v>300</v>
      </c>
      <c r="I18" s="15" t="s">
        <v>301</v>
      </c>
      <c r="J18" s="12" t="s">
        <v>45</v>
      </c>
      <c r="K18" s="15" t="s">
        <v>248</v>
      </c>
      <c r="L18" s="12" t="s">
        <v>60</v>
      </c>
      <c r="M18" s="12">
        <v>2020</v>
      </c>
      <c r="N18" s="15" t="str">
        <f>L18</f>
        <v>Agustus</v>
      </c>
      <c r="O18" s="15">
        <v>2024</v>
      </c>
      <c r="P18" s="15">
        <v>2021</v>
      </c>
      <c r="Q18" s="15"/>
      <c r="R18" s="34" t="s">
        <v>29</v>
      </c>
      <c r="S18" s="21"/>
      <c r="T18" s="21"/>
      <c r="U18" s="21"/>
      <c r="V18" s="21"/>
      <c r="W18" s="21"/>
    </row>
    <row r="19" spans="1:24" s="17" customFormat="1" ht="28" x14ac:dyDescent="0.35">
      <c r="A19" s="12">
        <v>18</v>
      </c>
      <c r="B19" s="13" t="s">
        <v>311</v>
      </c>
      <c r="C19" s="14" t="s">
        <v>312</v>
      </c>
      <c r="D19" s="153" t="str">
        <f t="shared" si="1"/>
        <v>Laki-Laki</v>
      </c>
      <c r="E19" s="13"/>
      <c r="F19" s="18"/>
      <c r="G19" s="13" t="s">
        <v>254</v>
      </c>
      <c r="H19" s="15" t="s">
        <v>300</v>
      </c>
      <c r="I19" s="15" t="s">
        <v>301</v>
      </c>
      <c r="J19" s="12" t="s">
        <v>45</v>
      </c>
      <c r="K19" s="15" t="s">
        <v>248</v>
      </c>
      <c r="L19" s="12" t="s">
        <v>60</v>
      </c>
      <c r="M19" s="12">
        <v>2020</v>
      </c>
      <c r="N19" s="15" t="str">
        <f t="shared" ref="N19:N37" si="4">L19</f>
        <v>Agustus</v>
      </c>
      <c r="O19" s="15">
        <v>2024</v>
      </c>
      <c r="P19" s="15">
        <v>2021</v>
      </c>
      <c r="Q19" s="15"/>
      <c r="R19" s="34" t="s">
        <v>51</v>
      </c>
      <c r="S19" s="21"/>
      <c r="T19" s="21"/>
      <c r="U19" s="21"/>
      <c r="V19" s="21"/>
      <c r="W19" s="21"/>
    </row>
    <row r="20" spans="1:24" s="17" customFormat="1" ht="28" x14ac:dyDescent="0.35">
      <c r="A20" s="12">
        <v>19</v>
      </c>
      <c r="B20" s="13" t="s">
        <v>313</v>
      </c>
      <c r="C20" s="14" t="s">
        <v>314</v>
      </c>
      <c r="D20" s="153" t="str">
        <f t="shared" si="1"/>
        <v>Laki-Laki</v>
      </c>
      <c r="E20" s="13"/>
      <c r="F20" s="18"/>
      <c r="G20" s="13" t="s">
        <v>254</v>
      </c>
      <c r="H20" s="15" t="s">
        <v>300</v>
      </c>
      <c r="I20" s="15" t="s">
        <v>301</v>
      </c>
      <c r="J20" s="12" t="s">
        <v>45</v>
      </c>
      <c r="K20" s="15" t="s">
        <v>248</v>
      </c>
      <c r="L20" s="12" t="s">
        <v>60</v>
      </c>
      <c r="M20" s="12">
        <v>2020</v>
      </c>
      <c r="N20" s="15" t="str">
        <f t="shared" si="4"/>
        <v>Agustus</v>
      </c>
      <c r="O20" s="15">
        <v>2024</v>
      </c>
      <c r="P20" s="15">
        <v>2021</v>
      </c>
      <c r="Q20" s="15"/>
      <c r="R20" s="34" t="s">
        <v>51</v>
      </c>
      <c r="S20" s="21"/>
      <c r="T20" s="21"/>
      <c r="U20" s="21"/>
      <c r="V20" s="21"/>
      <c r="W20" s="21"/>
    </row>
    <row r="21" spans="1:24" s="17" customFormat="1" ht="28" x14ac:dyDescent="0.35">
      <c r="A21" s="12">
        <v>20</v>
      </c>
      <c r="B21" s="13" t="s">
        <v>315</v>
      </c>
      <c r="C21" s="14" t="s">
        <v>316</v>
      </c>
      <c r="D21" s="153" t="str">
        <f t="shared" si="1"/>
        <v>Laki-Laki</v>
      </c>
      <c r="E21" s="13"/>
      <c r="F21" s="18"/>
      <c r="G21" s="13" t="s">
        <v>254</v>
      </c>
      <c r="H21" s="15" t="s">
        <v>300</v>
      </c>
      <c r="I21" s="15" t="s">
        <v>301</v>
      </c>
      <c r="J21" s="12" t="s">
        <v>45</v>
      </c>
      <c r="K21" s="15" t="s">
        <v>248</v>
      </c>
      <c r="L21" s="12" t="s">
        <v>60</v>
      </c>
      <c r="M21" s="12">
        <v>2020</v>
      </c>
      <c r="N21" s="15" t="str">
        <f t="shared" si="4"/>
        <v>Agustus</v>
      </c>
      <c r="O21" s="15">
        <v>2024</v>
      </c>
      <c r="P21" s="15">
        <v>2021</v>
      </c>
      <c r="Q21" s="15"/>
      <c r="R21" s="34" t="s">
        <v>51</v>
      </c>
      <c r="S21" s="21"/>
      <c r="T21" s="21"/>
      <c r="U21" s="21"/>
      <c r="V21" s="21"/>
      <c r="W21" s="21"/>
    </row>
    <row r="22" spans="1:24" s="17" customFormat="1" ht="28" x14ac:dyDescent="0.35">
      <c r="A22" s="12">
        <v>21</v>
      </c>
      <c r="B22" s="13" t="s">
        <v>317</v>
      </c>
      <c r="C22" s="14" t="s">
        <v>318</v>
      </c>
      <c r="D22" s="153" t="str">
        <f t="shared" si="1"/>
        <v>Laki-Laki</v>
      </c>
      <c r="E22" s="13"/>
      <c r="F22" s="18"/>
      <c r="G22" s="13" t="s">
        <v>254</v>
      </c>
      <c r="H22" s="15" t="s">
        <v>319</v>
      </c>
      <c r="I22" s="15" t="s">
        <v>320</v>
      </c>
      <c r="J22" s="12" t="s">
        <v>45</v>
      </c>
      <c r="K22" s="15" t="s">
        <v>286</v>
      </c>
      <c r="L22" s="12" t="s">
        <v>123</v>
      </c>
      <c r="M22" s="12">
        <v>2021</v>
      </c>
      <c r="N22" s="15" t="str">
        <f t="shared" si="4"/>
        <v xml:space="preserve">Maret </v>
      </c>
      <c r="O22" s="15">
        <v>2025</v>
      </c>
      <c r="P22" s="15">
        <v>2021</v>
      </c>
      <c r="Q22" s="15"/>
      <c r="R22" s="34" t="s">
        <v>51</v>
      </c>
      <c r="S22" s="21"/>
      <c r="T22" s="21"/>
      <c r="U22" s="21"/>
      <c r="V22" s="21"/>
      <c r="W22" s="21"/>
    </row>
    <row r="23" spans="1:24" s="17" customFormat="1" ht="28" x14ac:dyDescent="0.35">
      <c r="A23" s="12">
        <v>22</v>
      </c>
      <c r="B23" s="13" t="s">
        <v>321</v>
      </c>
      <c r="C23" s="14" t="s">
        <v>322</v>
      </c>
      <c r="D23" s="153" t="str">
        <f t="shared" si="1"/>
        <v>Laki-Laki</v>
      </c>
      <c r="E23" s="13"/>
      <c r="F23" s="18"/>
      <c r="G23" s="13" t="s">
        <v>254</v>
      </c>
      <c r="H23" s="15" t="s">
        <v>319</v>
      </c>
      <c r="I23" s="15" t="s">
        <v>320</v>
      </c>
      <c r="J23" s="12" t="s">
        <v>45</v>
      </c>
      <c r="K23" s="15" t="s">
        <v>286</v>
      </c>
      <c r="L23" s="12" t="s">
        <v>123</v>
      </c>
      <c r="M23" s="12">
        <v>2021</v>
      </c>
      <c r="N23" s="15" t="str">
        <f t="shared" si="4"/>
        <v xml:space="preserve">Maret </v>
      </c>
      <c r="O23" s="15">
        <v>2025</v>
      </c>
      <c r="P23" s="15">
        <v>2021</v>
      </c>
      <c r="Q23" s="15"/>
      <c r="R23" s="34" t="s">
        <v>51</v>
      </c>
      <c r="S23" s="21"/>
      <c r="T23" s="21"/>
      <c r="U23" s="21"/>
      <c r="V23" s="21"/>
      <c r="W23" s="21"/>
    </row>
    <row r="24" spans="1:24" s="17" customFormat="1" ht="28" x14ac:dyDescent="0.35">
      <c r="A24" s="12">
        <v>23</v>
      </c>
      <c r="B24" s="13" t="s">
        <v>323</v>
      </c>
      <c r="C24" s="14" t="s">
        <v>324</v>
      </c>
      <c r="D24" s="153" t="str">
        <f t="shared" si="1"/>
        <v>Laki-Laki</v>
      </c>
      <c r="E24" s="13"/>
      <c r="F24" s="18"/>
      <c r="G24" s="13" t="s">
        <v>254</v>
      </c>
      <c r="H24" s="15" t="s">
        <v>319</v>
      </c>
      <c r="I24" s="15" t="s">
        <v>320</v>
      </c>
      <c r="J24" s="12" t="s">
        <v>45</v>
      </c>
      <c r="K24" s="15" t="s">
        <v>286</v>
      </c>
      <c r="L24" s="12" t="s">
        <v>123</v>
      </c>
      <c r="M24" s="12">
        <v>2021</v>
      </c>
      <c r="N24" s="15" t="str">
        <f t="shared" si="4"/>
        <v xml:space="preserve">Maret </v>
      </c>
      <c r="O24" s="15">
        <v>2025</v>
      </c>
      <c r="P24" s="15">
        <v>2021</v>
      </c>
      <c r="Q24" s="15"/>
      <c r="R24" s="34" t="s">
        <v>51</v>
      </c>
      <c r="S24" s="21"/>
      <c r="T24" s="21"/>
      <c r="U24" s="21"/>
      <c r="V24" s="21"/>
      <c r="W24" s="21"/>
    </row>
    <row r="25" spans="1:24" s="17" customFormat="1" ht="28" x14ac:dyDescent="0.35">
      <c r="A25" s="12">
        <v>24</v>
      </c>
      <c r="B25" s="13" t="s">
        <v>325</v>
      </c>
      <c r="C25" s="14" t="s">
        <v>326</v>
      </c>
      <c r="D25" s="153" t="str">
        <f t="shared" si="1"/>
        <v>Perempuan</v>
      </c>
      <c r="E25" s="13"/>
      <c r="F25" s="18"/>
      <c r="G25" s="13" t="s">
        <v>254</v>
      </c>
      <c r="H25" s="15" t="s">
        <v>327</v>
      </c>
      <c r="I25" s="15" t="s">
        <v>90</v>
      </c>
      <c r="J25" s="12" t="s">
        <v>81</v>
      </c>
      <c r="K25" s="15" t="s">
        <v>117</v>
      </c>
      <c r="L25" s="12" t="s">
        <v>35</v>
      </c>
      <c r="M25" s="12">
        <v>2021</v>
      </c>
      <c r="N25" s="15" t="str">
        <f t="shared" si="4"/>
        <v>Maret</v>
      </c>
      <c r="O25" s="15">
        <v>2025</v>
      </c>
      <c r="P25" s="15">
        <v>2021</v>
      </c>
      <c r="Q25" s="15"/>
      <c r="R25" s="34" t="s">
        <v>51</v>
      </c>
      <c r="S25" s="21"/>
      <c r="T25" s="21"/>
      <c r="U25" s="21"/>
      <c r="V25" s="21"/>
      <c r="W25" s="21"/>
    </row>
    <row r="26" spans="1:24" s="17" customFormat="1" ht="28" x14ac:dyDescent="0.35">
      <c r="A26" s="12">
        <v>25</v>
      </c>
      <c r="B26" s="13" t="s">
        <v>328</v>
      </c>
      <c r="C26" s="14" t="s">
        <v>329</v>
      </c>
      <c r="D26" s="153" t="str">
        <f t="shared" si="1"/>
        <v>Perempuan</v>
      </c>
      <c r="E26" s="13"/>
      <c r="F26" s="18"/>
      <c r="G26" s="13" t="s">
        <v>254</v>
      </c>
      <c r="H26" s="15" t="s">
        <v>330</v>
      </c>
      <c r="I26" s="15" t="s">
        <v>90</v>
      </c>
      <c r="J26" s="12" t="s">
        <v>81</v>
      </c>
      <c r="K26" s="15" t="s">
        <v>117</v>
      </c>
      <c r="L26" s="12" t="s">
        <v>35</v>
      </c>
      <c r="M26" s="12">
        <v>2021</v>
      </c>
      <c r="N26" s="15" t="str">
        <f t="shared" si="4"/>
        <v>Maret</v>
      </c>
      <c r="O26" s="15">
        <v>2025</v>
      </c>
      <c r="P26" s="15">
        <v>2021</v>
      </c>
      <c r="Q26" s="15"/>
      <c r="R26" s="34" t="s">
        <v>51</v>
      </c>
      <c r="S26" s="21"/>
      <c r="T26" s="21"/>
      <c r="U26" s="21"/>
      <c r="V26" s="21"/>
      <c r="W26" s="21"/>
    </row>
    <row r="27" spans="1:24" s="17" customFormat="1" ht="28" x14ac:dyDescent="0.35">
      <c r="A27" s="12">
        <v>26</v>
      </c>
      <c r="B27" s="13" t="s">
        <v>331</v>
      </c>
      <c r="C27" s="14" t="s">
        <v>332</v>
      </c>
      <c r="D27" s="153" t="str">
        <f t="shared" si="1"/>
        <v>Perempuan</v>
      </c>
      <c r="E27" s="13"/>
      <c r="F27" s="18"/>
      <c r="G27" s="13" t="s">
        <v>254</v>
      </c>
      <c r="H27" s="15" t="s">
        <v>333</v>
      </c>
      <c r="I27" s="15" t="s">
        <v>90</v>
      </c>
      <c r="J27" s="12" t="s">
        <v>81</v>
      </c>
      <c r="K27" s="15" t="s">
        <v>117</v>
      </c>
      <c r="L27" s="12" t="s">
        <v>35</v>
      </c>
      <c r="M27" s="12">
        <v>2021</v>
      </c>
      <c r="N27" s="15" t="str">
        <f t="shared" si="4"/>
        <v>Maret</v>
      </c>
      <c r="O27" s="15">
        <v>2025</v>
      </c>
      <c r="P27" s="15">
        <v>2021</v>
      </c>
      <c r="Q27" s="15"/>
      <c r="R27" s="34" t="s">
        <v>51</v>
      </c>
      <c r="S27" s="21"/>
      <c r="T27" s="21"/>
      <c r="U27" s="21"/>
      <c r="V27" s="21"/>
      <c r="W27" s="21"/>
      <c r="X27" s="17" t="s">
        <v>304</v>
      </c>
    </row>
    <row r="28" spans="1:24" s="17" customFormat="1" ht="28" x14ac:dyDescent="0.35">
      <c r="A28" s="12">
        <v>27</v>
      </c>
      <c r="B28" s="13" t="s">
        <v>334</v>
      </c>
      <c r="C28" s="14" t="s">
        <v>335</v>
      </c>
      <c r="D28" s="153" t="str">
        <f t="shared" si="1"/>
        <v>Perempuan</v>
      </c>
      <c r="E28" s="13"/>
      <c r="F28" s="13"/>
      <c r="G28" s="13" t="s">
        <v>254</v>
      </c>
      <c r="H28" s="15" t="s">
        <v>281</v>
      </c>
      <c r="I28" s="15" t="s">
        <v>90</v>
      </c>
      <c r="J28" s="12" t="s">
        <v>81</v>
      </c>
      <c r="K28" s="15" t="s">
        <v>117</v>
      </c>
      <c r="L28" s="12" t="s">
        <v>35</v>
      </c>
      <c r="M28" s="12">
        <v>2021</v>
      </c>
      <c r="N28" s="15" t="str">
        <f t="shared" si="4"/>
        <v>Maret</v>
      </c>
      <c r="O28" s="15">
        <v>2025</v>
      </c>
      <c r="P28" s="15">
        <v>2021</v>
      </c>
      <c r="Q28" s="15"/>
      <c r="R28" s="34" t="s">
        <v>51</v>
      </c>
      <c r="S28" s="21"/>
      <c r="T28" s="21"/>
      <c r="U28" s="21"/>
      <c r="V28" s="21"/>
      <c r="W28" s="21"/>
    </row>
    <row r="29" spans="1:24" s="17" customFormat="1" ht="28" x14ac:dyDescent="0.35">
      <c r="A29" s="12">
        <v>28</v>
      </c>
      <c r="B29" s="13" t="s">
        <v>336</v>
      </c>
      <c r="C29" s="14" t="s">
        <v>337</v>
      </c>
      <c r="D29" s="153" t="str">
        <f t="shared" si="1"/>
        <v>Perempuan</v>
      </c>
      <c r="E29" s="13"/>
      <c r="F29" s="13"/>
      <c r="G29" s="13" t="s">
        <v>254</v>
      </c>
      <c r="H29" s="15" t="s">
        <v>338</v>
      </c>
      <c r="I29" s="15" t="s">
        <v>90</v>
      </c>
      <c r="J29" s="12" t="s">
        <v>81</v>
      </c>
      <c r="K29" s="15" t="s">
        <v>117</v>
      </c>
      <c r="L29" s="12" t="s">
        <v>35</v>
      </c>
      <c r="M29" s="12">
        <v>2021</v>
      </c>
      <c r="N29" s="15" t="str">
        <f t="shared" si="4"/>
        <v>Maret</v>
      </c>
      <c r="O29" s="15">
        <v>2025</v>
      </c>
      <c r="P29" s="15">
        <v>2021</v>
      </c>
      <c r="Q29" s="15"/>
      <c r="R29" s="34" t="s">
        <v>51</v>
      </c>
      <c r="S29" s="21"/>
      <c r="T29" s="21"/>
      <c r="U29" s="21"/>
      <c r="V29" s="21"/>
      <c r="W29" s="21"/>
    </row>
    <row r="30" spans="1:24" s="17" customFormat="1" ht="28" x14ac:dyDescent="0.35">
      <c r="A30" s="12">
        <v>29</v>
      </c>
      <c r="B30" s="13" t="s">
        <v>339</v>
      </c>
      <c r="C30" s="14" t="s">
        <v>340</v>
      </c>
      <c r="D30" s="153" t="str">
        <f t="shared" si="1"/>
        <v>Perempuan</v>
      </c>
      <c r="E30" s="13"/>
      <c r="F30" s="13"/>
      <c r="G30" s="13" t="s">
        <v>254</v>
      </c>
      <c r="H30" s="15" t="s">
        <v>338</v>
      </c>
      <c r="I30" s="15" t="s">
        <v>90</v>
      </c>
      <c r="J30" s="12" t="s">
        <v>81</v>
      </c>
      <c r="K30" s="15" t="s">
        <v>117</v>
      </c>
      <c r="L30" s="12" t="s">
        <v>35</v>
      </c>
      <c r="M30" s="12">
        <v>2021</v>
      </c>
      <c r="N30" s="15" t="str">
        <f t="shared" si="4"/>
        <v>Maret</v>
      </c>
      <c r="O30" s="15">
        <v>2025</v>
      </c>
      <c r="P30" s="15">
        <v>2021</v>
      </c>
      <c r="Q30" s="15"/>
      <c r="R30" s="34" t="s">
        <v>51</v>
      </c>
      <c r="S30" s="21"/>
      <c r="T30" s="21"/>
      <c r="U30" s="21"/>
      <c r="V30" s="21"/>
      <c r="W30" s="21"/>
    </row>
    <row r="31" spans="1:24" s="17" customFormat="1" ht="14.5" x14ac:dyDescent="0.35">
      <c r="A31" s="12">
        <v>30</v>
      </c>
      <c r="B31" s="13" t="s">
        <v>341</v>
      </c>
      <c r="C31" s="14" t="s">
        <v>342</v>
      </c>
      <c r="D31" s="153" t="str">
        <f t="shared" si="1"/>
        <v>Laki-Laki</v>
      </c>
      <c r="E31" s="13"/>
      <c r="F31" s="13"/>
      <c r="G31" s="13" t="s">
        <v>254</v>
      </c>
      <c r="H31" s="15" t="s">
        <v>343</v>
      </c>
      <c r="I31" s="15" t="s">
        <v>25</v>
      </c>
      <c r="J31" s="12" t="s">
        <v>26</v>
      </c>
      <c r="K31" s="15" t="s">
        <v>344</v>
      </c>
      <c r="L31" s="15" t="s">
        <v>72</v>
      </c>
      <c r="M31" s="15">
        <v>2022</v>
      </c>
      <c r="N31" s="15" t="str">
        <f t="shared" si="4"/>
        <v>Februari</v>
      </c>
      <c r="O31" s="15">
        <v>2024</v>
      </c>
      <c r="P31" s="15">
        <v>2022</v>
      </c>
      <c r="Q31" s="15"/>
      <c r="R31" s="16" t="s">
        <v>29</v>
      </c>
      <c r="S31" s="15"/>
      <c r="T31" s="15"/>
      <c r="U31" s="15"/>
      <c r="V31" s="15"/>
      <c r="W31" s="15"/>
    </row>
    <row r="32" spans="1:24" s="17" customFormat="1" ht="28" x14ac:dyDescent="0.35">
      <c r="A32" s="12">
        <v>31</v>
      </c>
      <c r="B32" s="13" t="s">
        <v>345</v>
      </c>
      <c r="C32" s="14" t="s">
        <v>346</v>
      </c>
      <c r="D32" s="153" t="str">
        <f t="shared" si="1"/>
        <v>Perempuan</v>
      </c>
      <c r="E32" s="13"/>
      <c r="F32" s="13"/>
      <c r="G32" s="13" t="s">
        <v>254</v>
      </c>
      <c r="H32" s="15" t="s">
        <v>281</v>
      </c>
      <c r="I32" s="15" t="s">
        <v>347</v>
      </c>
      <c r="J32" s="12" t="s">
        <v>26</v>
      </c>
      <c r="K32" s="15" t="s">
        <v>348</v>
      </c>
      <c r="L32" s="21" t="s">
        <v>60</v>
      </c>
      <c r="M32" s="21">
        <v>2022</v>
      </c>
      <c r="N32" s="15" t="str">
        <f t="shared" si="4"/>
        <v>Agustus</v>
      </c>
      <c r="O32" s="15">
        <v>2024</v>
      </c>
      <c r="P32" s="15">
        <v>2022</v>
      </c>
      <c r="Q32" s="15"/>
      <c r="R32" s="16" t="s">
        <v>29</v>
      </c>
      <c r="S32" s="15"/>
      <c r="T32" s="15"/>
      <c r="U32" s="15"/>
      <c r="V32" s="15"/>
      <c r="W32" s="15"/>
    </row>
    <row r="33" spans="1:23" s="17" customFormat="1" ht="14.5" x14ac:dyDescent="0.35">
      <c r="A33" s="12">
        <v>32</v>
      </c>
      <c r="B33" s="13" t="s">
        <v>349</v>
      </c>
      <c r="C33" s="14" t="s">
        <v>350</v>
      </c>
      <c r="D33" s="153" t="str">
        <f t="shared" si="1"/>
        <v>Laki-Laki</v>
      </c>
      <c r="E33" s="13"/>
      <c r="F33" s="13"/>
      <c r="G33" s="13" t="s">
        <v>254</v>
      </c>
      <c r="H33" s="15" t="s">
        <v>351</v>
      </c>
      <c r="I33" s="15" t="s">
        <v>241</v>
      </c>
      <c r="J33" s="12" t="s">
        <v>242</v>
      </c>
      <c r="K33" s="15" t="s">
        <v>243</v>
      </c>
      <c r="L33" s="21" t="s">
        <v>60</v>
      </c>
      <c r="M33" s="21">
        <v>2022</v>
      </c>
      <c r="N33" s="15" t="str">
        <f t="shared" si="4"/>
        <v>Agustus</v>
      </c>
      <c r="O33" s="15">
        <v>2025</v>
      </c>
      <c r="P33" s="15">
        <v>2022</v>
      </c>
      <c r="Q33" s="15"/>
      <c r="R33" s="16" t="s">
        <v>51</v>
      </c>
      <c r="S33" s="15"/>
      <c r="T33" s="15"/>
      <c r="U33" s="15"/>
      <c r="V33" s="15"/>
      <c r="W33" s="15"/>
    </row>
    <row r="34" spans="1:23" s="17" customFormat="1" ht="14.5" x14ac:dyDescent="0.35">
      <c r="A34" s="12">
        <v>33</v>
      </c>
      <c r="B34" s="13" t="s">
        <v>352</v>
      </c>
      <c r="C34" s="14" t="s">
        <v>353</v>
      </c>
      <c r="D34" s="153" t="str">
        <f t="shared" si="1"/>
        <v>Laki-Laki</v>
      </c>
      <c r="E34" s="13"/>
      <c r="F34" s="13"/>
      <c r="G34" s="13" t="s">
        <v>254</v>
      </c>
      <c r="H34" s="15" t="s">
        <v>351</v>
      </c>
      <c r="I34" s="15" t="s">
        <v>241</v>
      </c>
      <c r="J34" s="12" t="s">
        <v>242</v>
      </c>
      <c r="K34" s="15" t="s">
        <v>243</v>
      </c>
      <c r="L34" s="21" t="s">
        <v>60</v>
      </c>
      <c r="M34" s="21">
        <v>2022</v>
      </c>
      <c r="N34" s="15" t="str">
        <f t="shared" si="4"/>
        <v>Agustus</v>
      </c>
      <c r="O34" s="15">
        <v>2025</v>
      </c>
      <c r="P34" s="15">
        <v>2022</v>
      </c>
      <c r="Q34" s="15"/>
      <c r="R34" s="16" t="s">
        <v>51</v>
      </c>
      <c r="S34" s="15"/>
      <c r="T34" s="15"/>
      <c r="U34" s="15"/>
      <c r="V34" s="15"/>
      <c r="W34" s="15"/>
    </row>
    <row r="35" spans="1:23" s="17" customFormat="1" ht="70" x14ac:dyDescent="0.35">
      <c r="A35" s="12">
        <v>34</v>
      </c>
      <c r="B35" s="13" t="s">
        <v>354</v>
      </c>
      <c r="C35" s="14" t="s">
        <v>355</v>
      </c>
      <c r="D35" s="153" t="str">
        <f t="shared" si="1"/>
        <v>Laki-Laki</v>
      </c>
      <c r="E35" s="13"/>
      <c r="F35" s="13"/>
      <c r="G35" s="13" t="s">
        <v>254</v>
      </c>
      <c r="H35" s="15" t="s">
        <v>281</v>
      </c>
      <c r="I35" s="15" t="s">
        <v>320</v>
      </c>
      <c r="J35" s="12" t="s">
        <v>45</v>
      </c>
      <c r="K35" s="15" t="s">
        <v>356</v>
      </c>
      <c r="L35" s="21" t="s">
        <v>28</v>
      </c>
      <c r="M35" s="21">
        <v>2022</v>
      </c>
      <c r="N35" s="15" t="str">
        <f t="shared" si="4"/>
        <v>September</v>
      </c>
      <c r="O35" s="15">
        <v>2026</v>
      </c>
      <c r="P35" s="15">
        <v>2022</v>
      </c>
      <c r="Q35" s="15"/>
      <c r="R35" s="16" t="s">
        <v>51</v>
      </c>
      <c r="S35" s="15"/>
      <c r="T35" s="15"/>
      <c r="U35" s="15"/>
      <c r="V35" s="15"/>
      <c r="W35" s="15"/>
    </row>
    <row r="36" spans="1:23" s="17" customFormat="1" ht="14.5" x14ac:dyDescent="0.35">
      <c r="A36" s="12">
        <v>35</v>
      </c>
      <c r="B36" s="13" t="s">
        <v>357</v>
      </c>
      <c r="C36" s="14" t="s">
        <v>358</v>
      </c>
      <c r="D36" s="153" t="str">
        <f t="shared" si="1"/>
        <v>Laki-Laki</v>
      </c>
      <c r="E36" s="13"/>
      <c r="F36" s="13"/>
      <c r="G36" s="13" t="s">
        <v>254</v>
      </c>
      <c r="H36" s="15" t="s">
        <v>359</v>
      </c>
      <c r="I36" s="15" t="s">
        <v>241</v>
      </c>
      <c r="J36" s="12" t="s">
        <v>242</v>
      </c>
      <c r="K36" s="15" t="s">
        <v>243</v>
      </c>
      <c r="L36" s="21" t="s">
        <v>60</v>
      </c>
      <c r="M36" s="21">
        <v>2022</v>
      </c>
      <c r="N36" s="15" t="str">
        <f t="shared" si="4"/>
        <v>Agustus</v>
      </c>
      <c r="O36" s="15">
        <v>2025</v>
      </c>
      <c r="P36" s="15">
        <v>2022</v>
      </c>
      <c r="Q36" s="15"/>
      <c r="R36" s="16" t="s">
        <v>51</v>
      </c>
      <c r="S36" s="15"/>
      <c r="T36" s="15"/>
      <c r="U36" s="15"/>
      <c r="V36" s="15"/>
      <c r="W36" s="15"/>
    </row>
    <row r="37" spans="1:23" s="17" customFormat="1" ht="28" x14ac:dyDescent="0.35">
      <c r="A37" s="12">
        <v>36</v>
      </c>
      <c r="B37" s="13" t="s">
        <v>360</v>
      </c>
      <c r="C37" s="14" t="s">
        <v>361</v>
      </c>
      <c r="D37" s="153" t="str">
        <f t="shared" si="1"/>
        <v>Laki-Laki</v>
      </c>
      <c r="E37" s="13"/>
      <c r="F37" s="13"/>
      <c r="G37" s="13" t="s">
        <v>254</v>
      </c>
      <c r="H37" s="15" t="s">
        <v>281</v>
      </c>
      <c r="I37" s="15" t="s">
        <v>241</v>
      </c>
      <c r="J37" s="12" t="s">
        <v>242</v>
      </c>
      <c r="K37" s="15" t="s">
        <v>243</v>
      </c>
      <c r="L37" s="21" t="s">
        <v>60</v>
      </c>
      <c r="M37" s="21">
        <v>2022</v>
      </c>
      <c r="N37" s="15" t="str">
        <f t="shared" si="4"/>
        <v>Agustus</v>
      </c>
      <c r="O37" s="15">
        <v>2025</v>
      </c>
      <c r="P37" s="15">
        <v>2022</v>
      </c>
      <c r="Q37" s="15"/>
      <c r="R37" s="16" t="s">
        <v>51</v>
      </c>
      <c r="S37" s="15"/>
      <c r="T37" s="15"/>
      <c r="U37" s="15"/>
      <c r="V37" s="15"/>
      <c r="W37" s="15"/>
    </row>
    <row r="38" spans="1:23" s="17" customFormat="1" ht="28" x14ac:dyDescent="0.35">
      <c r="A38" s="12">
        <v>37</v>
      </c>
      <c r="B38" s="62" t="s">
        <v>362</v>
      </c>
      <c r="C38" s="63" t="s">
        <v>363</v>
      </c>
      <c r="D38" s="153" t="str">
        <f t="shared" si="1"/>
        <v>Perempuan</v>
      </c>
      <c r="E38" s="24" t="s">
        <v>126</v>
      </c>
      <c r="F38" s="82" t="s">
        <v>364</v>
      </c>
      <c r="G38" s="13" t="s">
        <v>254</v>
      </c>
      <c r="H38" s="19" t="s">
        <v>365</v>
      </c>
      <c r="I38" s="19" t="s">
        <v>366</v>
      </c>
      <c r="J38" s="19" t="s">
        <v>26</v>
      </c>
      <c r="K38" s="19" t="s">
        <v>367</v>
      </c>
      <c r="L38" s="83" t="s">
        <v>205</v>
      </c>
      <c r="M38" s="15">
        <v>2023</v>
      </c>
      <c r="N38" s="15" t="str">
        <f>L38</f>
        <v xml:space="preserve">September </v>
      </c>
      <c r="O38" s="15">
        <v>2025</v>
      </c>
      <c r="P38" s="84">
        <v>2023</v>
      </c>
      <c r="Q38" s="85"/>
      <c r="R38" s="16"/>
      <c r="S38" s="15"/>
      <c r="T38" s="15"/>
      <c r="U38" s="15"/>
      <c r="V38" s="15"/>
      <c r="W38" s="15"/>
    </row>
    <row r="39" spans="1:23" s="17" customFormat="1" ht="28" x14ac:dyDescent="0.35">
      <c r="A39" s="12">
        <v>38</v>
      </c>
      <c r="B39" s="62" t="s">
        <v>368</v>
      </c>
      <c r="C39" s="63" t="s">
        <v>369</v>
      </c>
      <c r="D39" s="153" t="str">
        <f t="shared" si="1"/>
        <v>Laki-Laki</v>
      </c>
      <c r="E39" s="24" t="s">
        <v>370</v>
      </c>
      <c r="F39" s="82" t="s">
        <v>371</v>
      </c>
      <c r="G39" s="13" t="s">
        <v>254</v>
      </c>
      <c r="H39" s="19" t="s">
        <v>372</v>
      </c>
      <c r="I39" s="19" t="s">
        <v>373</v>
      </c>
      <c r="J39" s="19" t="s">
        <v>242</v>
      </c>
      <c r="K39" s="19" t="s">
        <v>374</v>
      </c>
      <c r="L39" s="83" t="s">
        <v>145</v>
      </c>
      <c r="M39" s="15">
        <v>2023</v>
      </c>
      <c r="N39" s="15" t="str">
        <f t="shared" ref="N39:N63" si="5">L39</f>
        <v xml:space="preserve">Agustus </v>
      </c>
      <c r="O39" s="15">
        <v>2026</v>
      </c>
      <c r="P39" s="84">
        <v>2023</v>
      </c>
      <c r="Q39" s="85"/>
      <c r="R39" s="16"/>
      <c r="S39" s="15"/>
      <c r="T39" s="15"/>
      <c r="U39" s="15"/>
      <c r="V39" s="15"/>
      <c r="W39" s="15"/>
    </row>
    <row r="40" spans="1:23" s="17" customFormat="1" ht="28" x14ac:dyDescent="0.35">
      <c r="A40" s="12">
        <v>39</v>
      </c>
      <c r="B40" s="62" t="s">
        <v>375</v>
      </c>
      <c r="C40" s="63" t="s">
        <v>376</v>
      </c>
      <c r="D40" s="153" t="str">
        <f t="shared" si="1"/>
        <v>Laki-Laki</v>
      </c>
      <c r="E40" s="24" t="s">
        <v>126</v>
      </c>
      <c r="F40" s="82" t="s">
        <v>377</v>
      </c>
      <c r="G40" s="13" t="s">
        <v>254</v>
      </c>
      <c r="H40" s="19" t="s">
        <v>372</v>
      </c>
      <c r="I40" s="19" t="s">
        <v>378</v>
      </c>
      <c r="J40" s="19" t="s">
        <v>45</v>
      </c>
      <c r="K40" s="19" t="s">
        <v>379</v>
      </c>
      <c r="L40" s="83" t="s">
        <v>205</v>
      </c>
      <c r="M40" s="15">
        <v>2023</v>
      </c>
      <c r="N40" s="15" t="str">
        <f t="shared" si="5"/>
        <v xml:space="preserve">September </v>
      </c>
      <c r="O40" s="15">
        <v>2027</v>
      </c>
      <c r="P40" s="84">
        <v>2023</v>
      </c>
      <c r="Q40" s="85"/>
      <c r="R40" s="16"/>
      <c r="S40" s="15"/>
      <c r="T40" s="15"/>
      <c r="U40" s="15"/>
      <c r="V40" s="15"/>
      <c r="W40" s="15"/>
    </row>
    <row r="41" spans="1:23" s="17" customFormat="1" ht="28" x14ac:dyDescent="0.35">
      <c r="A41" s="12">
        <v>40</v>
      </c>
      <c r="B41" s="25" t="s">
        <v>380</v>
      </c>
      <c r="C41" s="69" t="s">
        <v>381</v>
      </c>
      <c r="D41" s="153" t="str">
        <f t="shared" si="1"/>
        <v>Laki-Laki</v>
      </c>
      <c r="E41" s="24" t="s">
        <v>382</v>
      </c>
      <c r="F41" s="57" t="s">
        <v>383</v>
      </c>
      <c r="G41" s="13" t="s">
        <v>254</v>
      </c>
      <c r="H41" s="19" t="s">
        <v>384</v>
      </c>
      <c r="I41" s="19" t="s">
        <v>385</v>
      </c>
      <c r="J41" s="19" t="s">
        <v>45</v>
      </c>
      <c r="K41" s="19" t="s">
        <v>386</v>
      </c>
      <c r="L41" s="86" t="s">
        <v>28</v>
      </c>
      <c r="M41" s="15">
        <v>2023</v>
      </c>
      <c r="N41" s="15" t="str">
        <f t="shared" si="5"/>
        <v>September</v>
      </c>
      <c r="O41" s="15">
        <v>2027</v>
      </c>
      <c r="P41" s="84">
        <v>2023</v>
      </c>
      <c r="Q41" s="85"/>
      <c r="R41" s="16"/>
      <c r="S41" s="15"/>
      <c r="T41" s="15"/>
      <c r="U41" s="15"/>
      <c r="V41" s="15"/>
      <c r="W41" s="15"/>
    </row>
    <row r="42" spans="1:23" s="17" customFormat="1" ht="14.5" x14ac:dyDescent="0.35">
      <c r="A42" s="12">
        <v>41</v>
      </c>
      <c r="B42" s="25" t="s">
        <v>387</v>
      </c>
      <c r="C42" s="69" t="s">
        <v>388</v>
      </c>
      <c r="D42" s="153" t="str">
        <f t="shared" si="1"/>
        <v>Laki-Laki</v>
      </c>
      <c r="E42" s="24" t="s">
        <v>116</v>
      </c>
      <c r="F42" s="57" t="s">
        <v>105</v>
      </c>
      <c r="G42" s="13" t="s">
        <v>254</v>
      </c>
      <c r="H42" s="19" t="s">
        <v>389</v>
      </c>
      <c r="I42" s="19" t="s">
        <v>390</v>
      </c>
      <c r="J42" s="19" t="s">
        <v>45</v>
      </c>
      <c r="K42" s="19" t="s">
        <v>50</v>
      </c>
      <c r="L42" s="86" t="s">
        <v>205</v>
      </c>
      <c r="M42" s="15">
        <v>2023</v>
      </c>
      <c r="N42" s="15" t="str">
        <f t="shared" si="5"/>
        <v xml:space="preserve">September </v>
      </c>
      <c r="O42" s="15">
        <v>2027</v>
      </c>
      <c r="P42" s="84">
        <v>2023</v>
      </c>
      <c r="Q42" s="85"/>
      <c r="R42" s="16"/>
      <c r="S42" s="15"/>
      <c r="T42" s="15"/>
      <c r="U42" s="15"/>
      <c r="V42" s="15"/>
      <c r="W42" s="15"/>
    </row>
    <row r="43" spans="1:23" s="17" customFormat="1" ht="28" x14ac:dyDescent="0.35">
      <c r="A43" s="12">
        <v>42</v>
      </c>
      <c r="B43" s="25" t="s">
        <v>391</v>
      </c>
      <c r="C43" s="152">
        <v>1.9860220201503101E+17</v>
      </c>
      <c r="D43" s="153" t="str">
        <f t="shared" si="1"/>
        <v>Laki-Laki</v>
      </c>
      <c r="E43" s="24" t="s">
        <v>126</v>
      </c>
      <c r="F43" s="57" t="s">
        <v>392</v>
      </c>
      <c r="G43" s="13" t="s">
        <v>254</v>
      </c>
      <c r="H43" s="19" t="s">
        <v>393</v>
      </c>
      <c r="I43" s="19" t="s">
        <v>90</v>
      </c>
      <c r="J43" s="19" t="s">
        <v>26</v>
      </c>
      <c r="K43" s="19" t="s">
        <v>394</v>
      </c>
      <c r="L43" s="86" t="s">
        <v>28</v>
      </c>
      <c r="M43" s="15">
        <v>2023</v>
      </c>
      <c r="N43" s="15" t="str">
        <f t="shared" si="5"/>
        <v>September</v>
      </c>
      <c r="O43" s="15">
        <v>2025</v>
      </c>
      <c r="P43" s="84">
        <v>2023</v>
      </c>
      <c r="Q43" s="85"/>
      <c r="R43" s="16"/>
      <c r="S43" s="15"/>
      <c r="T43" s="15"/>
      <c r="U43" s="15"/>
      <c r="V43" s="15"/>
      <c r="W43" s="15"/>
    </row>
    <row r="44" spans="1:23" s="17" customFormat="1" ht="28" x14ac:dyDescent="0.35">
      <c r="A44" s="12">
        <v>43</v>
      </c>
      <c r="B44" s="25" t="s">
        <v>395</v>
      </c>
      <c r="C44" s="69" t="s">
        <v>396</v>
      </c>
      <c r="D44" s="153" t="str">
        <f t="shared" si="1"/>
        <v>Perempuan</v>
      </c>
      <c r="E44" s="24" t="s">
        <v>370</v>
      </c>
      <c r="F44" s="57" t="s">
        <v>397</v>
      </c>
      <c r="G44" s="13" t="s">
        <v>254</v>
      </c>
      <c r="H44" s="19" t="s">
        <v>327</v>
      </c>
      <c r="I44" s="19" t="s">
        <v>90</v>
      </c>
      <c r="J44" s="19" t="s">
        <v>26</v>
      </c>
      <c r="K44" s="19" t="s">
        <v>398</v>
      </c>
      <c r="L44" s="86" t="s">
        <v>205</v>
      </c>
      <c r="M44" s="15">
        <v>2023</v>
      </c>
      <c r="N44" s="15" t="str">
        <f t="shared" si="5"/>
        <v xml:space="preserve">September </v>
      </c>
      <c r="O44" s="15">
        <v>2025</v>
      </c>
      <c r="P44" s="84">
        <v>2023</v>
      </c>
      <c r="Q44" s="85"/>
      <c r="R44" s="16"/>
      <c r="S44" s="15"/>
      <c r="T44" s="15"/>
      <c r="U44" s="15"/>
      <c r="V44" s="15"/>
      <c r="W44" s="15"/>
    </row>
    <row r="45" spans="1:23" s="17" customFormat="1" ht="28" x14ac:dyDescent="0.35">
      <c r="A45" s="12">
        <v>44</v>
      </c>
      <c r="B45" s="25" t="s">
        <v>399</v>
      </c>
      <c r="C45" s="69" t="s">
        <v>400</v>
      </c>
      <c r="D45" s="153" t="str">
        <f t="shared" si="1"/>
        <v>Laki-Laki</v>
      </c>
      <c r="E45" s="24" t="s">
        <v>126</v>
      </c>
      <c r="F45" s="57" t="s">
        <v>142</v>
      </c>
      <c r="G45" s="13" t="s">
        <v>254</v>
      </c>
      <c r="H45" s="19" t="s">
        <v>268</v>
      </c>
      <c r="I45" s="19" t="s">
        <v>401</v>
      </c>
      <c r="J45" s="19" t="s">
        <v>45</v>
      </c>
      <c r="K45" s="19" t="s">
        <v>46</v>
      </c>
      <c r="L45" s="86" t="s">
        <v>205</v>
      </c>
      <c r="M45" s="15">
        <v>2023</v>
      </c>
      <c r="N45" s="15" t="str">
        <f t="shared" si="5"/>
        <v xml:space="preserve">September </v>
      </c>
      <c r="O45" s="15">
        <v>2027</v>
      </c>
      <c r="P45" s="84">
        <v>2023</v>
      </c>
      <c r="Q45" s="85"/>
      <c r="R45" s="16"/>
      <c r="S45" s="15"/>
      <c r="T45" s="15"/>
      <c r="U45" s="15"/>
      <c r="V45" s="15"/>
      <c r="W45" s="15"/>
    </row>
    <row r="46" spans="1:23" s="17" customFormat="1" ht="28" x14ac:dyDescent="0.35">
      <c r="A46" s="12">
        <v>45</v>
      </c>
      <c r="B46" s="25" t="s">
        <v>402</v>
      </c>
      <c r="C46" s="69" t="s">
        <v>403</v>
      </c>
      <c r="D46" s="153" t="str">
        <f t="shared" si="1"/>
        <v>Laki-Laki</v>
      </c>
      <c r="E46" s="24" t="s">
        <v>109</v>
      </c>
      <c r="F46" s="57" t="s">
        <v>404</v>
      </c>
      <c r="G46" s="13" t="s">
        <v>254</v>
      </c>
      <c r="H46" s="19" t="s">
        <v>405</v>
      </c>
      <c r="I46" s="19" t="s">
        <v>406</v>
      </c>
      <c r="J46" s="19" t="s">
        <v>26</v>
      </c>
      <c r="K46" s="19" t="s">
        <v>407</v>
      </c>
      <c r="L46" s="86" t="s">
        <v>182</v>
      </c>
      <c r="M46" s="15">
        <v>2023</v>
      </c>
      <c r="N46" s="15" t="str">
        <f t="shared" si="5"/>
        <v xml:space="preserve">Juli </v>
      </c>
      <c r="O46" s="15">
        <v>2025</v>
      </c>
      <c r="P46" s="84">
        <v>2023</v>
      </c>
      <c r="Q46" s="85"/>
      <c r="R46" s="16"/>
      <c r="S46" s="15"/>
      <c r="T46" s="15"/>
      <c r="U46" s="15"/>
      <c r="V46" s="15"/>
      <c r="W46" s="15"/>
    </row>
    <row r="47" spans="1:23" s="17" customFormat="1" ht="28" x14ac:dyDescent="0.35">
      <c r="A47" s="12">
        <v>46</v>
      </c>
      <c r="B47" s="25" t="s">
        <v>408</v>
      </c>
      <c r="C47" s="69" t="s">
        <v>409</v>
      </c>
      <c r="D47" s="153" t="str">
        <f t="shared" si="1"/>
        <v>Laki-Laki</v>
      </c>
      <c r="E47" s="24" t="s">
        <v>109</v>
      </c>
      <c r="F47" s="57" t="s">
        <v>410</v>
      </c>
      <c r="G47" s="13" t="s">
        <v>254</v>
      </c>
      <c r="H47" s="19" t="s">
        <v>405</v>
      </c>
      <c r="I47" s="19" t="s">
        <v>406</v>
      </c>
      <c r="J47" s="19" t="s">
        <v>26</v>
      </c>
      <c r="K47" s="19" t="s">
        <v>407</v>
      </c>
      <c r="L47" s="86" t="s">
        <v>182</v>
      </c>
      <c r="M47" s="15">
        <v>2023</v>
      </c>
      <c r="N47" s="15" t="str">
        <f t="shared" si="5"/>
        <v xml:space="preserve">Juli </v>
      </c>
      <c r="O47" s="15">
        <v>2025</v>
      </c>
      <c r="P47" s="84">
        <v>2023</v>
      </c>
      <c r="Q47" s="85"/>
      <c r="R47" s="16"/>
      <c r="S47" s="15"/>
      <c r="T47" s="15"/>
      <c r="U47" s="15"/>
      <c r="V47" s="15"/>
      <c r="W47" s="15"/>
    </row>
    <row r="48" spans="1:23" s="17" customFormat="1" ht="28" x14ac:dyDescent="0.35">
      <c r="A48" s="12">
        <v>47</v>
      </c>
      <c r="B48" s="25" t="s">
        <v>411</v>
      </c>
      <c r="C48" s="69" t="s">
        <v>412</v>
      </c>
      <c r="D48" s="153" t="str">
        <f t="shared" si="1"/>
        <v>Perempuan</v>
      </c>
      <c r="E48" s="24" t="s">
        <v>109</v>
      </c>
      <c r="F48" s="57" t="s">
        <v>397</v>
      </c>
      <c r="G48" s="13" t="s">
        <v>254</v>
      </c>
      <c r="H48" s="19" t="s">
        <v>413</v>
      </c>
      <c r="I48" s="19" t="s">
        <v>90</v>
      </c>
      <c r="J48" s="19" t="s">
        <v>26</v>
      </c>
      <c r="K48" s="19" t="s">
        <v>394</v>
      </c>
      <c r="L48" s="86" t="s">
        <v>205</v>
      </c>
      <c r="M48" s="15">
        <v>2023</v>
      </c>
      <c r="N48" s="15" t="str">
        <f t="shared" si="5"/>
        <v xml:space="preserve">September </v>
      </c>
      <c r="O48" s="15">
        <v>2025</v>
      </c>
      <c r="P48" s="84">
        <v>2023</v>
      </c>
      <c r="Q48" s="85"/>
      <c r="R48" s="16"/>
      <c r="S48" s="15"/>
      <c r="T48" s="15"/>
      <c r="U48" s="15"/>
      <c r="V48" s="15"/>
      <c r="W48" s="15"/>
    </row>
    <row r="49" spans="1:23" s="17" customFormat="1" ht="28" x14ac:dyDescent="0.35">
      <c r="A49" s="12">
        <v>48</v>
      </c>
      <c r="B49" s="25" t="s">
        <v>414</v>
      </c>
      <c r="C49" s="69" t="s">
        <v>415</v>
      </c>
      <c r="D49" s="153" t="str">
        <f t="shared" si="1"/>
        <v>Laki-Laki</v>
      </c>
      <c r="E49" s="24" t="s">
        <v>370</v>
      </c>
      <c r="F49" s="57" t="s">
        <v>416</v>
      </c>
      <c r="G49" s="13" t="s">
        <v>254</v>
      </c>
      <c r="H49" s="19" t="s">
        <v>417</v>
      </c>
      <c r="I49" s="19" t="s">
        <v>25</v>
      </c>
      <c r="J49" s="19" t="s">
        <v>26</v>
      </c>
      <c r="K49" s="19" t="s">
        <v>344</v>
      </c>
      <c r="L49" s="86" t="s">
        <v>418</v>
      </c>
      <c r="M49" s="15">
        <v>2023</v>
      </c>
      <c r="N49" s="15" t="str">
        <f t="shared" si="5"/>
        <v xml:space="preserve"> Agustus </v>
      </c>
      <c r="O49" s="15">
        <v>2025</v>
      </c>
      <c r="P49" s="20">
        <v>2024</v>
      </c>
      <c r="Q49" s="48"/>
      <c r="R49" s="16"/>
      <c r="S49" s="15"/>
      <c r="T49" s="15"/>
      <c r="U49" s="15"/>
      <c r="V49" s="15"/>
      <c r="W49" s="15"/>
    </row>
    <row r="50" spans="1:23" s="17" customFormat="1" ht="28" x14ac:dyDescent="0.35">
      <c r="A50" s="12">
        <v>49</v>
      </c>
      <c r="B50" s="25" t="s">
        <v>419</v>
      </c>
      <c r="C50" s="69" t="s">
        <v>420</v>
      </c>
      <c r="D50" s="153" t="str">
        <f t="shared" si="1"/>
        <v>Laki-Laki</v>
      </c>
      <c r="E50" s="24" t="s">
        <v>109</v>
      </c>
      <c r="F50" s="57" t="s">
        <v>421</v>
      </c>
      <c r="G50" s="13" t="s">
        <v>254</v>
      </c>
      <c r="H50" s="19" t="s">
        <v>384</v>
      </c>
      <c r="I50" s="19" t="s">
        <v>385</v>
      </c>
      <c r="J50" s="19" t="s">
        <v>26</v>
      </c>
      <c r="K50" s="19" t="s">
        <v>422</v>
      </c>
      <c r="L50" s="86" t="s">
        <v>205</v>
      </c>
      <c r="M50" s="15">
        <v>2023</v>
      </c>
      <c r="N50" s="15" t="str">
        <f t="shared" si="5"/>
        <v xml:space="preserve">September </v>
      </c>
      <c r="O50" s="15">
        <v>2025</v>
      </c>
      <c r="P50" s="20">
        <v>2024</v>
      </c>
      <c r="Q50" s="48"/>
      <c r="R50" s="16"/>
      <c r="S50" s="15"/>
      <c r="T50" s="15"/>
      <c r="U50" s="15"/>
      <c r="V50" s="15"/>
      <c r="W50" s="15"/>
    </row>
    <row r="51" spans="1:23" s="17" customFormat="1" ht="14.5" x14ac:dyDescent="0.35">
      <c r="A51" s="12">
        <v>50</v>
      </c>
      <c r="B51" s="25" t="s">
        <v>423</v>
      </c>
      <c r="C51" s="152">
        <v>1.9851123200912099E+17</v>
      </c>
      <c r="D51" s="153" t="str">
        <f t="shared" si="1"/>
        <v>Laki-Laki</v>
      </c>
      <c r="E51" s="24" t="s">
        <v>109</v>
      </c>
      <c r="F51" s="57" t="s">
        <v>424</v>
      </c>
      <c r="G51" s="13" t="s">
        <v>254</v>
      </c>
      <c r="H51" s="19" t="s">
        <v>425</v>
      </c>
      <c r="I51" s="19" t="s">
        <v>426</v>
      </c>
      <c r="J51" s="19" t="s">
        <v>26</v>
      </c>
      <c r="K51" s="19" t="s">
        <v>46</v>
      </c>
      <c r="L51" s="86" t="s">
        <v>205</v>
      </c>
      <c r="M51" s="15">
        <v>2023</v>
      </c>
      <c r="N51" s="15" t="str">
        <f t="shared" si="5"/>
        <v xml:space="preserve">September </v>
      </c>
      <c r="O51" s="15">
        <v>2025</v>
      </c>
      <c r="P51" s="20"/>
      <c r="Q51" s="48"/>
      <c r="R51" s="16"/>
      <c r="S51" s="15"/>
      <c r="T51" s="15"/>
      <c r="U51" s="15"/>
      <c r="V51" s="15"/>
      <c r="W51" s="15"/>
    </row>
    <row r="52" spans="1:23" s="17" customFormat="1" ht="28" x14ac:dyDescent="0.35">
      <c r="A52" s="12">
        <v>51</v>
      </c>
      <c r="B52" s="25" t="s">
        <v>427</v>
      </c>
      <c r="C52" s="69" t="s">
        <v>428</v>
      </c>
      <c r="D52" s="153" t="str">
        <f t="shared" si="1"/>
        <v>Perempuan</v>
      </c>
      <c r="E52" s="24" t="s">
        <v>104</v>
      </c>
      <c r="F52" s="57" t="s">
        <v>142</v>
      </c>
      <c r="G52" s="13" t="s">
        <v>254</v>
      </c>
      <c r="H52" s="19" t="s">
        <v>429</v>
      </c>
      <c r="I52" s="19" t="s">
        <v>90</v>
      </c>
      <c r="J52" s="19" t="s">
        <v>45</v>
      </c>
      <c r="K52" s="19" t="s">
        <v>46</v>
      </c>
      <c r="L52" s="86" t="s">
        <v>418</v>
      </c>
      <c r="M52" s="15">
        <v>2023</v>
      </c>
      <c r="N52" s="15" t="str">
        <f t="shared" si="5"/>
        <v xml:space="preserve"> Agustus </v>
      </c>
      <c r="O52" s="15">
        <v>2027</v>
      </c>
      <c r="P52" s="20">
        <v>2023</v>
      </c>
      <c r="Q52" s="48"/>
      <c r="R52" s="16"/>
      <c r="S52" s="15"/>
      <c r="T52" s="15"/>
      <c r="U52" s="15"/>
      <c r="V52" s="15"/>
      <c r="W52" s="15"/>
    </row>
    <row r="53" spans="1:23" s="17" customFormat="1" ht="28" x14ac:dyDescent="0.35">
      <c r="A53" s="12">
        <v>52</v>
      </c>
      <c r="B53" s="25" t="s">
        <v>430</v>
      </c>
      <c r="C53" s="69" t="s">
        <v>431</v>
      </c>
      <c r="D53" s="153" t="str">
        <f t="shared" si="1"/>
        <v>Perempuan</v>
      </c>
      <c r="E53" s="24" t="s">
        <v>104</v>
      </c>
      <c r="F53" s="57" t="s">
        <v>432</v>
      </c>
      <c r="G53" s="13" t="s">
        <v>254</v>
      </c>
      <c r="H53" s="19" t="s">
        <v>433</v>
      </c>
      <c r="I53" s="19" t="s">
        <v>261</v>
      </c>
      <c r="J53" s="19" t="s">
        <v>26</v>
      </c>
      <c r="K53" s="19" t="s">
        <v>434</v>
      </c>
      <c r="L53" s="86" t="s">
        <v>28</v>
      </c>
      <c r="M53" s="15">
        <v>2023</v>
      </c>
      <c r="N53" s="15" t="str">
        <f t="shared" si="5"/>
        <v>September</v>
      </c>
      <c r="O53" s="15">
        <v>2025</v>
      </c>
      <c r="P53" s="20">
        <v>2024</v>
      </c>
      <c r="Q53" s="48"/>
      <c r="R53" s="16"/>
      <c r="S53" s="15"/>
      <c r="T53" s="15"/>
      <c r="U53" s="15"/>
      <c r="V53" s="15"/>
      <c r="W53" s="15"/>
    </row>
    <row r="54" spans="1:23" s="17" customFormat="1" ht="28" x14ac:dyDescent="0.35">
      <c r="A54" s="12">
        <v>53</v>
      </c>
      <c r="B54" s="25" t="s">
        <v>435</v>
      </c>
      <c r="C54" s="69" t="s">
        <v>436</v>
      </c>
      <c r="D54" s="153" t="str">
        <f t="shared" si="1"/>
        <v>Perempuan</v>
      </c>
      <c r="E54" s="24" t="s">
        <v>126</v>
      </c>
      <c r="F54" s="57" t="s">
        <v>105</v>
      </c>
      <c r="G54" s="13" t="s">
        <v>254</v>
      </c>
      <c r="H54" s="19" t="s">
        <v>437</v>
      </c>
      <c r="I54" s="19" t="s">
        <v>90</v>
      </c>
      <c r="J54" s="19" t="s">
        <v>45</v>
      </c>
      <c r="K54" s="19" t="s">
        <v>46</v>
      </c>
      <c r="L54" s="86" t="s">
        <v>205</v>
      </c>
      <c r="M54" s="15">
        <v>2023</v>
      </c>
      <c r="N54" s="15" t="str">
        <f t="shared" si="5"/>
        <v xml:space="preserve">September </v>
      </c>
      <c r="O54" s="15">
        <v>2027</v>
      </c>
      <c r="P54" s="70">
        <v>2024</v>
      </c>
      <c r="Q54" s="87"/>
      <c r="R54" s="16"/>
      <c r="S54" s="15"/>
      <c r="T54" s="15"/>
      <c r="U54" s="15"/>
      <c r="V54" s="15"/>
      <c r="W54" s="15"/>
    </row>
    <row r="55" spans="1:23" s="17" customFormat="1" ht="28" x14ac:dyDescent="0.35">
      <c r="A55" s="12">
        <v>54</v>
      </c>
      <c r="B55" s="25" t="s">
        <v>438</v>
      </c>
      <c r="C55" s="69" t="s">
        <v>439</v>
      </c>
      <c r="D55" s="153" t="str">
        <f t="shared" si="1"/>
        <v>Laki-Laki</v>
      </c>
      <c r="E55" s="24" t="s">
        <v>126</v>
      </c>
      <c r="F55" s="57" t="s">
        <v>440</v>
      </c>
      <c r="G55" s="13" t="s">
        <v>254</v>
      </c>
      <c r="H55" s="19" t="s">
        <v>281</v>
      </c>
      <c r="I55" s="19" t="s">
        <v>441</v>
      </c>
      <c r="J55" s="19" t="s">
        <v>26</v>
      </c>
      <c r="K55" s="19" t="s">
        <v>57</v>
      </c>
      <c r="L55" s="86" t="s">
        <v>205</v>
      </c>
      <c r="M55" s="15">
        <v>2023</v>
      </c>
      <c r="N55" s="15" t="str">
        <f t="shared" si="5"/>
        <v xml:space="preserve">September </v>
      </c>
      <c r="O55" s="15">
        <v>2025</v>
      </c>
      <c r="P55" s="70">
        <v>2024</v>
      </c>
      <c r="Q55" s="87"/>
      <c r="R55" s="16"/>
      <c r="S55" s="15"/>
      <c r="T55" s="15"/>
      <c r="U55" s="15"/>
      <c r="V55" s="15"/>
      <c r="W55" s="15"/>
    </row>
    <row r="56" spans="1:23" s="17" customFormat="1" ht="28" x14ac:dyDescent="0.35">
      <c r="A56" s="12">
        <v>55</v>
      </c>
      <c r="B56" s="25" t="s">
        <v>442</v>
      </c>
      <c r="C56" s="69" t="s">
        <v>443</v>
      </c>
      <c r="D56" s="153" t="str">
        <f t="shared" si="1"/>
        <v>Laki-Laki</v>
      </c>
      <c r="E56" s="24" t="s">
        <v>116</v>
      </c>
      <c r="F56" s="57" t="s">
        <v>444</v>
      </c>
      <c r="G56" s="13" t="s">
        <v>254</v>
      </c>
      <c r="H56" s="19" t="s">
        <v>445</v>
      </c>
      <c r="I56" s="19" t="s">
        <v>90</v>
      </c>
      <c r="J56" s="19" t="s">
        <v>45</v>
      </c>
      <c r="K56" s="19" t="s">
        <v>196</v>
      </c>
      <c r="L56" s="86" t="s">
        <v>446</v>
      </c>
      <c r="M56" s="15">
        <v>2022</v>
      </c>
      <c r="N56" s="15" t="str">
        <f t="shared" si="5"/>
        <v xml:space="preserve">Oktober </v>
      </c>
      <c r="O56" s="15">
        <v>2026</v>
      </c>
      <c r="P56" s="20">
        <v>2022</v>
      </c>
      <c r="Q56" s="48"/>
      <c r="R56" s="16" t="s">
        <v>51</v>
      </c>
      <c r="S56" s="15"/>
      <c r="T56" s="15"/>
      <c r="U56" s="15"/>
      <c r="V56" s="15"/>
      <c r="W56" s="15"/>
    </row>
    <row r="57" spans="1:23" s="17" customFormat="1" ht="28" x14ac:dyDescent="0.35">
      <c r="A57" s="12">
        <v>56</v>
      </c>
      <c r="B57" s="25" t="s">
        <v>447</v>
      </c>
      <c r="C57" s="69" t="s">
        <v>448</v>
      </c>
      <c r="D57" s="153" t="str">
        <f t="shared" si="1"/>
        <v>Laki-Laki</v>
      </c>
      <c r="E57" s="24" t="s">
        <v>126</v>
      </c>
      <c r="F57" s="57" t="s">
        <v>392</v>
      </c>
      <c r="G57" s="13" t="s">
        <v>254</v>
      </c>
      <c r="H57" s="19" t="s">
        <v>281</v>
      </c>
      <c r="I57" s="19" t="s">
        <v>25</v>
      </c>
      <c r="J57" s="19" t="s">
        <v>26</v>
      </c>
      <c r="K57" s="19" t="s">
        <v>449</v>
      </c>
      <c r="L57" s="86" t="s">
        <v>145</v>
      </c>
      <c r="M57" s="15">
        <v>2022</v>
      </c>
      <c r="N57" s="15" t="str">
        <f t="shared" si="5"/>
        <v xml:space="preserve">Agustus </v>
      </c>
      <c r="O57" s="15">
        <v>2024</v>
      </c>
      <c r="P57" s="20">
        <v>2022</v>
      </c>
      <c r="Q57" s="48"/>
      <c r="R57" s="16" t="s">
        <v>29</v>
      </c>
      <c r="S57" s="15"/>
      <c r="T57" s="15"/>
      <c r="U57" s="15"/>
      <c r="V57" s="15"/>
      <c r="W57" s="15"/>
    </row>
    <row r="58" spans="1:23" s="17" customFormat="1" ht="28" x14ac:dyDescent="0.35">
      <c r="A58" s="12">
        <v>57</v>
      </c>
      <c r="B58" s="25" t="s">
        <v>450</v>
      </c>
      <c r="C58" s="69" t="s">
        <v>451</v>
      </c>
      <c r="D58" s="153" t="str">
        <f t="shared" si="1"/>
        <v>Laki-Laki</v>
      </c>
      <c r="E58" s="24" t="s">
        <v>126</v>
      </c>
      <c r="F58" s="57" t="s">
        <v>452</v>
      </c>
      <c r="G58" s="13" t="s">
        <v>254</v>
      </c>
      <c r="H58" s="19" t="s">
        <v>260</v>
      </c>
      <c r="I58" s="19" t="s">
        <v>261</v>
      </c>
      <c r="J58" s="19" t="s">
        <v>26</v>
      </c>
      <c r="K58" s="19" t="s">
        <v>453</v>
      </c>
      <c r="L58" s="86" t="s">
        <v>205</v>
      </c>
      <c r="M58" s="15">
        <v>2022</v>
      </c>
      <c r="N58" s="15" t="str">
        <f t="shared" si="5"/>
        <v xml:space="preserve">September </v>
      </c>
      <c r="O58" s="15">
        <v>2024</v>
      </c>
      <c r="P58" s="20">
        <v>2022</v>
      </c>
      <c r="Q58" s="48"/>
      <c r="R58" s="16"/>
      <c r="S58" s="15"/>
      <c r="T58" s="15"/>
      <c r="U58" s="15"/>
      <c r="V58" s="15"/>
      <c r="W58" s="15"/>
    </row>
    <row r="59" spans="1:23" s="17" customFormat="1" ht="28" x14ac:dyDescent="0.35">
      <c r="A59" s="12">
        <v>58</v>
      </c>
      <c r="B59" s="25" t="s">
        <v>454</v>
      </c>
      <c r="C59" s="69" t="s">
        <v>455</v>
      </c>
      <c r="D59" s="153" t="str">
        <f t="shared" si="1"/>
        <v>Laki-Laki</v>
      </c>
      <c r="E59" s="24" t="s">
        <v>109</v>
      </c>
      <c r="F59" s="57" t="s">
        <v>456</v>
      </c>
      <c r="G59" s="13" t="s">
        <v>254</v>
      </c>
      <c r="H59" s="19" t="s">
        <v>330</v>
      </c>
      <c r="I59" s="19" t="s">
        <v>39</v>
      </c>
      <c r="J59" s="19" t="s">
        <v>26</v>
      </c>
      <c r="K59" s="19" t="s">
        <v>63</v>
      </c>
      <c r="L59" s="86" t="s">
        <v>145</v>
      </c>
      <c r="M59" s="15">
        <v>2022</v>
      </c>
      <c r="N59" s="15" t="str">
        <f t="shared" si="5"/>
        <v xml:space="preserve">Agustus </v>
      </c>
      <c r="O59" s="15">
        <v>2024</v>
      </c>
      <c r="P59" s="20">
        <v>2022</v>
      </c>
      <c r="Q59" s="48"/>
      <c r="R59" s="16" t="s">
        <v>51</v>
      </c>
      <c r="S59" s="15"/>
      <c r="T59" s="15"/>
      <c r="U59" s="15"/>
      <c r="V59" s="15"/>
      <c r="W59" s="15"/>
    </row>
    <row r="60" spans="1:23" s="17" customFormat="1" ht="28" x14ac:dyDescent="0.35">
      <c r="A60" s="12">
        <v>59</v>
      </c>
      <c r="B60" s="25" t="s">
        <v>457</v>
      </c>
      <c r="C60" s="69" t="s">
        <v>458</v>
      </c>
      <c r="D60" s="153" t="str">
        <f t="shared" si="1"/>
        <v>Laki-Laki</v>
      </c>
      <c r="E60" s="24" t="s">
        <v>370</v>
      </c>
      <c r="F60" s="57" t="s">
        <v>459</v>
      </c>
      <c r="G60" s="13" t="s">
        <v>254</v>
      </c>
      <c r="H60" s="19" t="s">
        <v>276</v>
      </c>
      <c r="I60" s="19" t="s">
        <v>460</v>
      </c>
      <c r="J60" s="19" t="s">
        <v>26</v>
      </c>
      <c r="K60" s="19" t="s">
        <v>461</v>
      </c>
      <c r="L60" s="86" t="s">
        <v>462</v>
      </c>
      <c r="M60" s="15">
        <v>2022</v>
      </c>
      <c r="N60" s="15" t="str">
        <f t="shared" si="5"/>
        <v xml:space="preserve">Februari </v>
      </c>
      <c r="O60" s="15">
        <v>2024</v>
      </c>
      <c r="P60" s="20">
        <v>2022</v>
      </c>
      <c r="Q60" s="48"/>
      <c r="R60" s="16" t="s">
        <v>29</v>
      </c>
      <c r="S60" s="15"/>
      <c r="T60" s="15"/>
      <c r="U60" s="15"/>
      <c r="V60" s="15"/>
      <c r="W60" s="15"/>
    </row>
    <row r="61" spans="1:23" s="17" customFormat="1" ht="28" x14ac:dyDescent="0.35">
      <c r="A61" s="12">
        <v>60</v>
      </c>
      <c r="B61" s="25" t="s">
        <v>463</v>
      </c>
      <c r="C61" s="69" t="s">
        <v>464</v>
      </c>
      <c r="D61" s="153" t="str">
        <f t="shared" si="1"/>
        <v>Laki-Laki</v>
      </c>
      <c r="E61" s="24" t="s">
        <v>370</v>
      </c>
      <c r="F61" s="57" t="s">
        <v>432</v>
      </c>
      <c r="G61" s="13" t="s">
        <v>254</v>
      </c>
      <c r="H61" s="19" t="s">
        <v>465</v>
      </c>
      <c r="I61" s="19" t="s">
        <v>466</v>
      </c>
      <c r="J61" s="19" t="s">
        <v>45</v>
      </c>
      <c r="K61" s="19" t="s">
        <v>449</v>
      </c>
      <c r="L61" s="86" t="s">
        <v>462</v>
      </c>
      <c r="M61" s="15">
        <v>2022</v>
      </c>
      <c r="N61" s="15" t="str">
        <f t="shared" si="5"/>
        <v xml:space="preserve">Februari </v>
      </c>
      <c r="O61" s="15">
        <v>2026</v>
      </c>
      <c r="P61" s="20">
        <v>2022</v>
      </c>
      <c r="Q61" s="48"/>
      <c r="R61" s="16" t="s">
        <v>51</v>
      </c>
      <c r="S61" s="15"/>
      <c r="T61" s="15"/>
      <c r="U61" s="15"/>
      <c r="V61" s="15"/>
      <c r="W61" s="15"/>
    </row>
    <row r="62" spans="1:23" s="17" customFormat="1" ht="28" x14ac:dyDescent="0.35">
      <c r="A62" s="12">
        <v>61</v>
      </c>
      <c r="B62" s="25" t="s">
        <v>467</v>
      </c>
      <c r="C62" s="69" t="s">
        <v>468</v>
      </c>
      <c r="D62" s="153" t="str">
        <f t="shared" si="1"/>
        <v>Laki-Laki</v>
      </c>
      <c r="E62" s="24" t="s">
        <v>126</v>
      </c>
      <c r="F62" s="57" t="s">
        <v>432</v>
      </c>
      <c r="G62" s="13" t="s">
        <v>254</v>
      </c>
      <c r="H62" s="19" t="s">
        <v>465</v>
      </c>
      <c r="I62" s="19" t="s">
        <v>466</v>
      </c>
      <c r="J62" s="19" t="s">
        <v>45</v>
      </c>
      <c r="K62" s="19" t="s">
        <v>449</v>
      </c>
      <c r="L62" s="86" t="s">
        <v>72</v>
      </c>
      <c r="M62" s="15">
        <v>2022</v>
      </c>
      <c r="N62" s="15" t="str">
        <f t="shared" si="5"/>
        <v>Februari</v>
      </c>
      <c r="O62" s="15">
        <v>2026</v>
      </c>
      <c r="P62" s="20">
        <v>2022</v>
      </c>
      <c r="Q62" s="48"/>
      <c r="R62" s="16" t="s">
        <v>51</v>
      </c>
      <c r="S62" s="15"/>
      <c r="T62" s="15"/>
      <c r="U62" s="15"/>
      <c r="V62" s="15"/>
      <c r="W62" s="15"/>
    </row>
    <row r="63" spans="1:23" s="17" customFormat="1" ht="28" x14ac:dyDescent="0.35">
      <c r="A63" s="12">
        <v>62</v>
      </c>
      <c r="B63" s="25" t="s">
        <v>469</v>
      </c>
      <c r="C63" s="69" t="s">
        <v>470</v>
      </c>
      <c r="D63" s="153" t="str">
        <f t="shared" si="1"/>
        <v>Laki-Laki</v>
      </c>
      <c r="E63" s="24" t="s">
        <v>471</v>
      </c>
      <c r="F63" s="57" t="s">
        <v>472</v>
      </c>
      <c r="G63" s="13" t="s">
        <v>254</v>
      </c>
      <c r="H63" s="19" t="s">
        <v>465</v>
      </c>
      <c r="I63" s="19" t="s">
        <v>466</v>
      </c>
      <c r="J63" s="19" t="s">
        <v>45</v>
      </c>
      <c r="K63" s="19" t="s">
        <v>449</v>
      </c>
      <c r="L63" s="86" t="s">
        <v>462</v>
      </c>
      <c r="M63" s="15">
        <v>2022</v>
      </c>
      <c r="N63" s="15" t="str">
        <f t="shared" si="5"/>
        <v xml:space="preserve">Februari </v>
      </c>
      <c r="O63" s="15">
        <v>2026</v>
      </c>
      <c r="P63" s="20">
        <v>2022</v>
      </c>
      <c r="Q63" s="48"/>
      <c r="R63" s="16"/>
      <c r="S63" s="15"/>
      <c r="T63" s="15"/>
      <c r="U63" s="15"/>
      <c r="V63" s="15"/>
      <c r="W63" s="15"/>
    </row>
    <row r="64" spans="1:23" s="17" customFormat="1" ht="28" x14ac:dyDescent="0.35">
      <c r="A64" s="12">
        <v>63</v>
      </c>
      <c r="B64" s="25" t="s">
        <v>473</v>
      </c>
      <c r="C64" s="26" t="s">
        <v>474</v>
      </c>
      <c r="D64" s="153" t="str">
        <f t="shared" si="1"/>
        <v>Laki-Laki</v>
      </c>
      <c r="E64" s="25" t="s">
        <v>172</v>
      </c>
      <c r="F64" s="33" t="s">
        <v>377</v>
      </c>
      <c r="G64" s="25" t="s">
        <v>254</v>
      </c>
      <c r="H64" s="19" t="s">
        <v>475</v>
      </c>
      <c r="I64" s="28" t="s">
        <v>476</v>
      </c>
      <c r="J64" s="32" t="s">
        <v>180</v>
      </c>
      <c r="K64" s="28" t="s">
        <v>477</v>
      </c>
      <c r="L64" s="35" t="s">
        <v>478</v>
      </c>
      <c r="M64" s="21">
        <v>2024</v>
      </c>
      <c r="N64" s="15" t="str">
        <f>L64</f>
        <v xml:space="preserve">Oktober  </v>
      </c>
      <c r="O64" s="15"/>
      <c r="P64" s="15">
        <v>2025</v>
      </c>
      <c r="Q64" s="15"/>
      <c r="R64" s="16"/>
      <c r="S64" s="15"/>
      <c r="T64" s="15"/>
      <c r="U64" s="15"/>
      <c r="V64" s="15"/>
      <c r="W64" s="15"/>
    </row>
    <row r="65" spans="1:23" s="17" customFormat="1" ht="28" x14ac:dyDescent="0.35">
      <c r="A65" s="12">
        <v>64</v>
      </c>
      <c r="B65" s="25" t="s">
        <v>479</v>
      </c>
      <c r="C65" s="26" t="s">
        <v>480</v>
      </c>
      <c r="D65" s="153" t="str">
        <f t="shared" si="1"/>
        <v>Laki-Laki</v>
      </c>
      <c r="E65" s="25" t="s">
        <v>172</v>
      </c>
      <c r="F65" s="25" t="s">
        <v>99</v>
      </c>
      <c r="G65" s="25" t="s">
        <v>254</v>
      </c>
      <c r="H65" s="19" t="s">
        <v>475</v>
      </c>
      <c r="I65" s="28" t="s">
        <v>476</v>
      </c>
      <c r="J65" s="32" t="s">
        <v>180</v>
      </c>
      <c r="K65" s="28" t="s">
        <v>46</v>
      </c>
      <c r="L65" s="35" t="s">
        <v>205</v>
      </c>
      <c r="M65" s="21">
        <v>2024</v>
      </c>
      <c r="N65" s="15" t="str">
        <f t="shared" ref="N65:N91" si="6">L65</f>
        <v xml:space="preserve">September </v>
      </c>
      <c r="O65" s="15"/>
      <c r="P65" s="15">
        <v>2025</v>
      </c>
      <c r="Q65" s="15"/>
      <c r="R65" s="16"/>
      <c r="S65" s="15"/>
      <c r="T65" s="15"/>
      <c r="U65" s="15"/>
      <c r="V65" s="15"/>
      <c r="W65" s="15"/>
    </row>
    <row r="66" spans="1:23" s="17" customFormat="1" ht="28" x14ac:dyDescent="0.35">
      <c r="A66" s="12">
        <v>65</v>
      </c>
      <c r="B66" s="25" t="s">
        <v>481</v>
      </c>
      <c r="C66" s="26" t="s">
        <v>482</v>
      </c>
      <c r="D66" s="153" t="str">
        <f t="shared" si="1"/>
        <v>Laki-Laki</v>
      </c>
      <c r="E66" s="25" t="s">
        <v>483</v>
      </c>
      <c r="F66" s="25" t="s">
        <v>484</v>
      </c>
      <c r="G66" s="25" t="s">
        <v>254</v>
      </c>
      <c r="H66" s="19" t="s">
        <v>276</v>
      </c>
      <c r="I66" s="28" t="s">
        <v>485</v>
      </c>
      <c r="J66" s="32" t="s">
        <v>486</v>
      </c>
      <c r="K66" s="28" t="s">
        <v>487</v>
      </c>
      <c r="L66" s="35" t="s">
        <v>205</v>
      </c>
      <c r="M66" s="21">
        <v>2024</v>
      </c>
      <c r="N66" s="15" t="str">
        <f t="shared" si="6"/>
        <v xml:space="preserve">September </v>
      </c>
      <c r="O66" s="15"/>
      <c r="P66" s="15">
        <v>2025</v>
      </c>
      <c r="Q66" s="15"/>
      <c r="R66" s="16"/>
      <c r="S66" s="15"/>
      <c r="T66" s="15"/>
      <c r="U66" s="15"/>
      <c r="V66" s="15"/>
      <c r="W66" s="15"/>
    </row>
    <row r="67" spans="1:23" s="17" customFormat="1" ht="28" x14ac:dyDescent="0.35">
      <c r="A67" s="12">
        <v>66</v>
      </c>
      <c r="B67" s="25" t="s">
        <v>488</v>
      </c>
      <c r="C67" s="26" t="s">
        <v>489</v>
      </c>
      <c r="D67" s="153" t="str">
        <f t="shared" ref="D67:D91" si="7">IF(MID(C67,15,1)="1","Laki-Laki","Perempuan")</f>
        <v>Laki-Laki</v>
      </c>
      <c r="E67" s="25" t="s">
        <v>215</v>
      </c>
      <c r="F67" s="33" t="s">
        <v>490</v>
      </c>
      <c r="G67" s="25" t="s">
        <v>254</v>
      </c>
      <c r="H67" s="19" t="s">
        <v>268</v>
      </c>
      <c r="I67" s="28" t="s">
        <v>90</v>
      </c>
      <c r="J67" s="32" t="s">
        <v>190</v>
      </c>
      <c r="K67" s="28" t="s">
        <v>394</v>
      </c>
      <c r="L67" s="35" t="s">
        <v>491</v>
      </c>
      <c r="M67" s="21">
        <v>2024</v>
      </c>
      <c r="N67" s="15" t="str">
        <f t="shared" si="6"/>
        <v xml:space="preserve">Desember  </v>
      </c>
      <c r="O67" s="15"/>
      <c r="P67" s="15">
        <v>2025</v>
      </c>
      <c r="Q67" s="15"/>
      <c r="R67" s="16"/>
      <c r="S67" s="15"/>
      <c r="T67" s="15"/>
      <c r="U67" s="15"/>
      <c r="V67" s="15"/>
      <c r="W67" s="15"/>
    </row>
    <row r="68" spans="1:23" s="17" customFormat="1" ht="28" x14ac:dyDescent="0.35">
      <c r="A68" s="12">
        <v>67</v>
      </c>
      <c r="B68" s="25" t="s">
        <v>492</v>
      </c>
      <c r="C68" s="26" t="s">
        <v>493</v>
      </c>
      <c r="D68" s="153" t="str">
        <f t="shared" si="7"/>
        <v>Laki-Laki</v>
      </c>
      <c r="E68" s="25" t="s">
        <v>494</v>
      </c>
      <c r="F68" s="25" t="s">
        <v>495</v>
      </c>
      <c r="G68" s="25" t="s">
        <v>254</v>
      </c>
      <c r="H68" s="19" t="s">
        <v>330</v>
      </c>
      <c r="I68" s="28" t="s">
        <v>90</v>
      </c>
      <c r="J68" s="32" t="s">
        <v>180</v>
      </c>
      <c r="K68" s="28" t="s">
        <v>496</v>
      </c>
      <c r="L68" s="35" t="s">
        <v>205</v>
      </c>
      <c r="M68" s="21">
        <v>2024</v>
      </c>
      <c r="N68" s="15" t="str">
        <f t="shared" si="6"/>
        <v xml:space="preserve">September </v>
      </c>
      <c r="O68" s="15"/>
      <c r="P68" s="15">
        <v>2025</v>
      </c>
      <c r="Q68" s="15"/>
      <c r="R68" s="16"/>
      <c r="S68" s="15"/>
      <c r="T68" s="15"/>
      <c r="U68" s="15"/>
      <c r="V68" s="15"/>
      <c r="W68" s="15"/>
    </row>
    <row r="69" spans="1:23" s="17" customFormat="1" ht="28" x14ac:dyDescent="0.35">
      <c r="A69" s="12">
        <v>68</v>
      </c>
      <c r="B69" s="25" t="s">
        <v>497</v>
      </c>
      <c r="C69" s="26" t="s">
        <v>498</v>
      </c>
      <c r="D69" s="153" t="str">
        <f t="shared" si="7"/>
        <v>Laki-Laki</v>
      </c>
      <c r="E69" s="25" t="s">
        <v>499</v>
      </c>
      <c r="F69" s="25" t="s">
        <v>500</v>
      </c>
      <c r="G69" s="25" t="s">
        <v>254</v>
      </c>
      <c r="H69" s="19" t="s">
        <v>393</v>
      </c>
      <c r="I69" s="28" t="s">
        <v>501</v>
      </c>
      <c r="J69" s="32" t="s">
        <v>502</v>
      </c>
      <c r="K69" s="28" t="s">
        <v>503</v>
      </c>
      <c r="L69" s="35" t="s">
        <v>504</v>
      </c>
      <c r="M69" s="21">
        <v>2024</v>
      </c>
      <c r="N69" s="15" t="str">
        <f t="shared" si="6"/>
        <v xml:space="preserve">September  </v>
      </c>
      <c r="O69" s="15"/>
      <c r="P69" s="15">
        <v>2025</v>
      </c>
      <c r="Q69" s="15"/>
      <c r="R69" s="16"/>
      <c r="S69" s="15"/>
      <c r="T69" s="15"/>
      <c r="U69" s="15"/>
      <c r="V69" s="15"/>
      <c r="W69" s="15"/>
    </row>
    <row r="70" spans="1:23" s="17" customFormat="1" ht="28" x14ac:dyDescent="0.35">
      <c r="A70" s="12">
        <v>69</v>
      </c>
      <c r="B70" s="25" t="s">
        <v>505</v>
      </c>
      <c r="C70" s="26" t="s">
        <v>506</v>
      </c>
      <c r="D70" s="153" t="str">
        <f t="shared" si="7"/>
        <v>Laki-Laki</v>
      </c>
      <c r="E70" s="26" t="s">
        <v>507</v>
      </c>
      <c r="F70" s="33" t="s">
        <v>404</v>
      </c>
      <c r="G70" s="25" t="s">
        <v>254</v>
      </c>
      <c r="H70" s="19" t="s">
        <v>285</v>
      </c>
      <c r="I70" s="28" t="s">
        <v>508</v>
      </c>
      <c r="J70" s="32" t="s">
        <v>509</v>
      </c>
      <c r="K70" s="28" t="s">
        <v>510</v>
      </c>
      <c r="L70" s="35" t="s">
        <v>511</v>
      </c>
      <c r="M70" s="21">
        <v>2024</v>
      </c>
      <c r="N70" s="15" t="str">
        <f t="shared" si="6"/>
        <v xml:space="preserve">Agustus  </v>
      </c>
      <c r="O70" s="15"/>
      <c r="P70" s="15">
        <v>2025</v>
      </c>
      <c r="Q70" s="15"/>
      <c r="R70" s="16"/>
      <c r="S70" s="15"/>
      <c r="T70" s="15"/>
      <c r="U70" s="15"/>
      <c r="V70" s="15"/>
      <c r="W70" s="15"/>
    </row>
    <row r="71" spans="1:23" s="17" customFormat="1" ht="14.5" x14ac:dyDescent="0.35">
      <c r="A71" s="12">
        <v>70</v>
      </c>
      <c r="B71" s="25" t="s">
        <v>512</v>
      </c>
      <c r="C71" s="26" t="s">
        <v>513</v>
      </c>
      <c r="D71" s="153" t="str">
        <f t="shared" si="7"/>
        <v>Perempuan</v>
      </c>
      <c r="E71" s="25" t="s">
        <v>514</v>
      </c>
      <c r="F71" s="25" t="s">
        <v>515</v>
      </c>
      <c r="G71" s="25" t="s">
        <v>254</v>
      </c>
      <c r="H71" s="19" t="s">
        <v>516</v>
      </c>
      <c r="I71" s="28" t="s">
        <v>378</v>
      </c>
      <c r="J71" s="32" t="s">
        <v>190</v>
      </c>
      <c r="K71" s="28" t="s">
        <v>46</v>
      </c>
      <c r="L71" s="35" t="s">
        <v>511</v>
      </c>
      <c r="M71" s="21">
        <v>2024</v>
      </c>
      <c r="N71" s="15" t="str">
        <f t="shared" si="6"/>
        <v xml:space="preserve">Agustus  </v>
      </c>
      <c r="O71" s="15"/>
      <c r="P71" s="15">
        <v>2025</v>
      </c>
      <c r="Q71" s="15"/>
      <c r="R71" s="16"/>
      <c r="S71" s="15"/>
      <c r="T71" s="15"/>
      <c r="U71" s="15"/>
      <c r="V71" s="15"/>
      <c r="W71" s="15"/>
    </row>
    <row r="72" spans="1:23" s="17" customFormat="1" ht="28" x14ac:dyDescent="0.35">
      <c r="A72" s="12">
        <v>71</v>
      </c>
      <c r="B72" s="25" t="s">
        <v>517</v>
      </c>
      <c r="C72" s="26" t="s">
        <v>518</v>
      </c>
      <c r="D72" s="153" t="str">
        <f t="shared" si="7"/>
        <v>Laki-Laki</v>
      </c>
      <c r="E72" s="25" t="s">
        <v>519</v>
      </c>
      <c r="F72" s="33" t="s">
        <v>383</v>
      </c>
      <c r="G72" s="25" t="s">
        <v>254</v>
      </c>
      <c r="H72" s="19" t="s">
        <v>465</v>
      </c>
      <c r="I72" s="28" t="s">
        <v>520</v>
      </c>
      <c r="J72" s="32" t="s">
        <v>180</v>
      </c>
      <c r="K72" s="28" t="s">
        <v>521</v>
      </c>
      <c r="L72" s="29" t="s">
        <v>504</v>
      </c>
      <c r="M72" s="21">
        <v>2024</v>
      </c>
      <c r="N72" s="15" t="str">
        <f t="shared" si="6"/>
        <v xml:space="preserve">September  </v>
      </c>
      <c r="O72" s="15"/>
      <c r="P72" s="15">
        <v>2025</v>
      </c>
      <c r="Q72" s="15"/>
      <c r="R72" s="16"/>
      <c r="S72" s="15"/>
      <c r="T72" s="15"/>
      <c r="U72" s="15"/>
      <c r="V72" s="15"/>
      <c r="W72" s="15"/>
    </row>
    <row r="73" spans="1:23" s="17" customFormat="1" ht="28" x14ac:dyDescent="0.35">
      <c r="A73" s="12">
        <v>72</v>
      </c>
      <c r="B73" s="25" t="s">
        <v>522</v>
      </c>
      <c r="C73" s="26" t="s">
        <v>523</v>
      </c>
      <c r="D73" s="153" t="str">
        <f t="shared" si="7"/>
        <v>Laki-Laki</v>
      </c>
      <c r="E73" s="25" t="s">
        <v>519</v>
      </c>
      <c r="F73" s="33" t="s">
        <v>383</v>
      </c>
      <c r="G73" s="25" t="s">
        <v>254</v>
      </c>
      <c r="H73" s="19" t="s">
        <v>276</v>
      </c>
      <c r="I73" s="28" t="s">
        <v>485</v>
      </c>
      <c r="J73" s="32" t="s">
        <v>180</v>
      </c>
      <c r="K73" s="28" t="s">
        <v>286</v>
      </c>
      <c r="L73" s="35" t="s">
        <v>511</v>
      </c>
      <c r="M73" s="21">
        <v>2024</v>
      </c>
      <c r="N73" s="15" t="str">
        <f t="shared" si="6"/>
        <v xml:space="preserve">Agustus  </v>
      </c>
      <c r="O73" s="15"/>
      <c r="P73" s="15">
        <v>2025</v>
      </c>
      <c r="Q73" s="15"/>
      <c r="R73" s="16"/>
      <c r="S73" s="15"/>
      <c r="T73" s="15"/>
      <c r="U73" s="15"/>
      <c r="V73" s="15"/>
      <c r="W73" s="15"/>
    </row>
    <row r="74" spans="1:23" s="17" customFormat="1" ht="28" x14ac:dyDescent="0.35">
      <c r="A74" s="12">
        <v>73</v>
      </c>
      <c r="B74" s="25" t="s">
        <v>524</v>
      </c>
      <c r="C74" s="26" t="s">
        <v>525</v>
      </c>
      <c r="D74" s="153" t="str">
        <f t="shared" si="7"/>
        <v>Perempuan</v>
      </c>
      <c r="E74" s="25" t="s">
        <v>172</v>
      </c>
      <c r="F74" s="25" t="s">
        <v>526</v>
      </c>
      <c r="G74" s="25" t="s">
        <v>254</v>
      </c>
      <c r="H74" s="19" t="s">
        <v>527</v>
      </c>
      <c r="I74" s="28" t="s">
        <v>528</v>
      </c>
      <c r="J74" s="32" t="s">
        <v>180</v>
      </c>
      <c r="K74" s="28" t="s">
        <v>40</v>
      </c>
      <c r="L74" s="29" t="s">
        <v>504</v>
      </c>
      <c r="M74" s="21">
        <v>2024</v>
      </c>
      <c r="N74" s="15" t="str">
        <f t="shared" si="6"/>
        <v xml:space="preserve">September  </v>
      </c>
      <c r="O74" s="15"/>
      <c r="P74" s="15">
        <v>2025</v>
      </c>
      <c r="Q74" s="15"/>
      <c r="R74" s="16"/>
      <c r="S74" s="15"/>
      <c r="T74" s="15"/>
      <c r="U74" s="15"/>
      <c r="V74" s="15"/>
      <c r="W74" s="15"/>
    </row>
    <row r="75" spans="1:23" s="17" customFormat="1" ht="28" x14ac:dyDescent="0.35">
      <c r="A75" s="12">
        <v>74</v>
      </c>
      <c r="B75" s="25" t="s">
        <v>529</v>
      </c>
      <c r="C75" s="26" t="s">
        <v>530</v>
      </c>
      <c r="D75" s="153" t="str">
        <f t="shared" si="7"/>
        <v>Laki-Laki</v>
      </c>
      <c r="E75" s="25" t="s">
        <v>188</v>
      </c>
      <c r="F75" s="33" t="s">
        <v>404</v>
      </c>
      <c r="G75" s="25" t="s">
        <v>254</v>
      </c>
      <c r="H75" s="19" t="s">
        <v>531</v>
      </c>
      <c r="I75" s="28" t="s">
        <v>241</v>
      </c>
      <c r="J75" s="32" t="s">
        <v>509</v>
      </c>
      <c r="K75" s="28" t="s">
        <v>243</v>
      </c>
      <c r="L75" s="35" t="s">
        <v>532</v>
      </c>
      <c r="M75" s="21">
        <v>2025</v>
      </c>
      <c r="N75" s="15" t="str">
        <f t="shared" si="6"/>
        <v xml:space="preserve">Januari  </v>
      </c>
      <c r="O75" s="15"/>
      <c r="P75" s="15">
        <v>2025</v>
      </c>
      <c r="Q75" s="15"/>
      <c r="R75" s="16"/>
      <c r="S75" s="15"/>
      <c r="T75" s="15"/>
      <c r="U75" s="15"/>
      <c r="V75" s="15"/>
      <c r="W75" s="15"/>
    </row>
    <row r="76" spans="1:23" s="17" customFormat="1" ht="28" x14ac:dyDescent="0.35">
      <c r="A76" s="12">
        <v>75</v>
      </c>
      <c r="B76" s="25" t="s">
        <v>533</v>
      </c>
      <c r="C76" s="26" t="s">
        <v>534</v>
      </c>
      <c r="D76" s="153" t="str">
        <f t="shared" si="7"/>
        <v>Perempuan</v>
      </c>
      <c r="E76" s="25" t="s">
        <v>211</v>
      </c>
      <c r="F76" s="25" t="s">
        <v>397</v>
      </c>
      <c r="G76" s="25" t="s">
        <v>254</v>
      </c>
      <c r="H76" s="19" t="s">
        <v>535</v>
      </c>
      <c r="I76" s="28" t="s">
        <v>536</v>
      </c>
      <c r="J76" s="36" t="s">
        <v>190</v>
      </c>
      <c r="K76" s="28" t="s">
        <v>63</v>
      </c>
      <c r="L76" s="29" t="s">
        <v>504</v>
      </c>
      <c r="M76" s="21">
        <v>2024</v>
      </c>
      <c r="N76" s="15" t="str">
        <f t="shared" si="6"/>
        <v xml:space="preserve">September  </v>
      </c>
      <c r="O76" s="15"/>
      <c r="P76" s="15">
        <v>2025</v>
      </c>
      <c r="Q76" s="15"/>
      <c r="R76" s="16"/>
      <c r="S76" s="15"/>
      <c r="T76" s="15"/>
      <c r="U76" s="15"/>
      <c r="V76" s="15"/>
      <c r="W76" s="15"/>
    </row>
    <row r="77" spans="1:23" s="17" customFormat="1" ht="28" x14ac:dyDescent="0.35">
      <c r="A77" s="12">
        <v>76</v>
      </c>
      <c r="B77" s="25" t="s">
        <v>537</v>
      </c>
      <c r="C77" s="26" t="s">
        <v>538</v>
      </c>
      <c r="D77" s="153" t="str">
        <f t="shared" si="7"/>
        <v>Laki-Laki</v>
      </c>
      <c r="E77" s="25" t="s">
        <v>539</v>
      </c>
      <c r="F77" s="25" t="s">
        <v>540</v>
      </c>
      <c r="G77" s="25" t="s">
        <v>254</v>
      </c>
      <c r="H77" s="19" t="s">
        <v>465</v>
      </c>
      <c r="I77" s="27" t="s">
        <v>466</v>
      </c>
      <c r="J77" s="12" t="s">
        <v>190</v>
      </c>
      <c r="K77" s="28" t="s">
        <v>449</v>
      </c>
      <c r="L77" s="37" t="s">
        <v>145</v>
      </c>
      <c r="M77" s="21">
        <v>2024</v>
      </c>
      <c r="N77" s="15" t="str">
        <f t="shared" si="6"/>
        <v xml:space="preserve">Agustus </v>
      </c>
      <c r="O77" s="15"/>
      <c r="P77" s="15">
        <v>2025</v>
      </c>
      <c r="Q77" s="15"/>
      <c r="R77" s="16"/>
      <c r="S77" s="15"/>
      <c r="T77" s="15"/>
      <c r="U77" s="15"/>
      <c r="V77" s="15"/>
      <c r="W77" s="15"/>
    </row>
    <row r="78" spans="1:23" s="17" customFormat="1" ht="28" x14ac:dyDescent="0.35">
      <c r="A78" s="12">
        <v>77</v>
      </c>
      <c r="B78" s="38" t="s">
        <v>541</v>
      </c>
      <c r="C78" s="39" t="s">
        <v>542</v>
      </c>
      <c r="D78" s="153" t="str">
        <f t="shared" si="7"/>
        <v>Laki-Laki</v>
      </c>
      <c r="E78" s="38" t="s">
        <v>211</v>
      </c>
      <c r="F78" s="38" t="s">
        <v>397</v>
      </c>
      <c r="G78" s="38" t="s">
        <v>254</v>
      </c>
      <c r="H78" s="40" t="s">
        <v>276</v>
      </c>
      <c r="I78" s="41" t="s">
        <v>485</v>
      </c>
      <c r="J78" s="42" t="s">
        <v>190</v>
      </c>
      <c r="K78" s="41" t="s">
        <v>449</v>
      </c>
      <c r="L78" s="34" t="s">
        <v>205</v>
      </c>
      <c r="M78" s="21">
        <v>2024</v>
      </c>
      <c r="N78" s="15" t="str">
        <f t="shared" si="6"/>
        <v xml:space="preserve">September </v>
      </c>
      <c r="O78" s="15"/>
      <c r="P78" s="15">
        <v>2025</v>
      </c>
      <c r="Q78" s="15"/>
      <c r="R78" s="16"/>
      <c r="S78" s="15"/>
      <c r="T78" s="15"/>
      <c r="U78" s="15"/>
      <c r="V78" s="15"/>
      <c r="W78" s="15"/>
    </row>
    <row r="79" spans="1:23" s="17" customFormat="1" ht="28" x14ac:dyDescent="0.35">
      <c r="A79" s="12">
        <v>78</v>
      </c>
      <c r="B79" s="13" t="s">
        <v>543</v>
      </c>
      <c r="C79" s="14" t="s">
        <v>544</v>
      </c>
      <c r="D79" s="153" t="str">
        <f t="shared" si="7"/>
        <v>Laki-Laki</v>
      </c>
      <c r="E79" s="13" t="s">
        <v>507</v>
      </c>
      <c r="F79" s="13" t="s">
        <v>545</v>
      </c>
      <c r="G79" s="38" t="s">
        <v>254</v>
      </c>
      <c r="H79" s="15" t="s">
        <v>330</v>
      </c>
      <c r="I79" s="15" t="s">
        <v>241</v>
      </c>
      <c r="J79" s="12" t="s">
        <v>509</v>
      </c>
      <c r="K79" s="16" t="s">
        <v>243</v>
      </c>
      <c r="L79" s="34" t="s">
        <v>205</v>
      </c>
      <c r="M79" s="21">
        <v>2025</v>
      </c>
      <c r="N79" s="15" t="str">
        <f t="shared" si="6"/>
        <v xml:space="preserve">September </v>
      </c>
      <c r="O79" s="15"/>
      <c r="P79" s="15">
        <v>2025</v>
      </c>
      <c r="Q79" s="15"/>
      <c r="R79" s="16"/>
      <c r="S79" s="15"/>
      <c r="T79" s="15"/>
      <c r="U79" s="15"/>
      <c r="V79" s="15"/>
      <c r="W79" s="15"/>
    </row>
    <row r="80" spans="1:23" s="17" customFormat="1" ht="28" x14ac:dyDescent="0.35">
      <c r="A80" s="12">
        <v>79</v>
      </c>
      <c r="B80" s="13" t="s">
        <v>546</v>
      </c>
      <c r="C80" s="14" t="s">
        <v>547</v>
      </c>
      <c r="D80" s="153" t="str">
        <f t="shared" si="7"/>
        <v>Laki-Laki</v>
      </c>
      <c r="E80" s="13" t="s">
        <v>188</v>
      </c>
      <c r="F80" s="18" t="s">
        <v>548</v>
      </c>
      <c r="G80" s="38" t="s">
        <v>254</v>
      </c>
      <c r="H80" s="15" t="s">
        <v>330</v>
      </c>
      <c r="I80" s="15" t="s">
        <v>549</v>
      </c>
      <c r="J80" s="12" t="s">
        <v>190</v>
      </c>
      <c r="K80" s="15" t="s">
        <v>46</v>
      </c>
      <c r="L80" s="34" t="s">
        <v>205</v>
      </c>
      <c r="M80" s="21">
        <v>2024</v>
      </c>
      <c r="N80" s="15" t="str">
        <f t="shared" si="6"/>
        <v xml:space="preserve">September </v>
      </c>
      <c r="O80" s="15"/>
      <c r="P80" s="15">
        <v>2025</v>
      </c>
      <c r="Q80" s="15"/>
      <c r="R80" s="16"/>
      <c r="S80" s="15"/>
      <c r="T80" s="15"/>
      <c r="U80" s="15"/>
      <c r="V80" s="15"/>
      <c r="W80" s="15"/>
    </row>
    <row r="81" spans="1:23" s="17" customFormat="1" ht="28" x14ac:dyDescent="0.35">
      <c r="A81" s="12">
        <v>80</v>
      </c>
      <c r="B81" s="13" t="s">
        <v>550</v>
      </c>
      <c r="C81" s="14" t="s">
        <v>551</v>
      </c>
      <c r="D81" s="153" t="str">
        <f t="shared" si="7"/>
        <v>Laki-Laki</v>
      </c>
      <c r="E81" s="13" t="s">
        <v>188</v>
      </c>
      <c r="F81" s="18" t="s">
        <v>404</v>
      </c>
      <c r="G81" s="38" t="s">
        <v>254</v>
      </c>
      <c r="H81" s="15" t="s">
        <v>531</v>
      </c>
      <c r="I81" s="15" t="s">
        <v>241</v>
      </c>
      <c r="J81" s="12" t="s">
        <v>509</v>
      </c>
      <c r="K81" s="16" t="s">
        <v>243</v>
      </c>
      <c r="L81" s="34" t="s">
        <v>532</v>
      </c>
      <c r="M81" s="21">
        <v>2025</v>
      </c>
      <c r="N81" s="15" t="str">
        <f t="shared" si="6"/>
        <v xml:space="preserve">Januari  </v>
      </c>
      <c r="O81" s="15"/>
      <c r="P81" s="15">
        <v>2025</v>
      </c>
      <c r="Q81" s="15"/>
      <c r="R81" s="16"/>
      <c r="S81" s="15"/>
      <c r="T81" s="15"/>
      <c r="U81" s="15"/>
      <c r="V81" s="15"/>
      <c r="W81" s="15"/>
    </row>
    <row r="82" spans="1:23" s="17" customFormat="1" ht="28" x14ac:dyDescent="0.35">
      <c r="A82" s="12">
        <v>81</v>
      </c>
      <c r="B82" s="13" t="s">
        <v>552</v>
      </c>
      <c r="C82" s="14" t="s">
        <v>553</v>
      </c>
      <c r="D82" s="153" t="str">
        <f t="shared" si="7"/>
        <v>Perempuan</v>
      </c>
      <c r="E82" s="13" t="s">
        <v>554</v>
      </c>
      <c r="F82" s="13" t="s">
        <v>555</v>
      </c>
      <c r="G82" s="38" t="s">
        <v>254</v>
      </c>
      <c r="H82" s="15" t="s">
        <v>417</v>
      </c>
      <c r="I82" s="15" t="s">
        <v>241</v>
      </c>
      <c r="J82" s="12" t="s">
        <v>509</v>
      </c>
      <c r="K82" s="16" t="s">
        <v>243</v>
      </c>
      <c r="L82" s="34" t="s">
        <v>205</v>
      </c>
      <c r="M82" s="21">
        <v>2024</v>
      </c>
      <c r="N82" s="15" t="str">
        <f t="shared" si="6"/>
        <v xml:space="preserve">September </v>
      </c>
      <c r="O82" s="15"/>
      <c r="P82" s="15">
        <v>2025</v>
      </c>
      <c r="Q82" s="15"/>
      <c r="R82" s="16"/>
      <c r="S82" s="15"/>
      <c r="T82" s="15"/>
      <c r="U82" s="15"/>
      <c r="V82" s="15"/>
      <c r="W82" s="15"/>
    </row>
    <row r="83" spans="1:23" s="17" customFormat="1" ht="28" x14ac:dyDescent="0.35">
      <c r="A83" s="12">
        <v>82</v>
      </c>
      <c r="B83" s="13" t="s">
        <v>556</v>
      </c>
      <c r="C83" s="14" t="s">
        <v>557</v>
      </c>
      <c r="D83" s="153" t="str">
        <f t="shared" si="7"/>
        <v>Laki-Laki</v>
      </c>
      <c r="E83" s="13" t="s">
        <v>188</v>
      </c>
      <c r="F83" s="13" t="s">
        <v>558</v>
      </c>
      <c r="G83" s="38" t="s">
        <v>254</v>
      </c>
      <c r="H83" s="15" t="s">
        <v>330</v>
      </c>
      <c r="I83" s="15" t="s">
        <v>241</v>
      </c>
      <c r="J83" s="12" t="s">
        <v>509</v>
      </c>
      <c r="K83" s="16" t="s">
        <v>243</v>
      </c>
      <c r="L83" s="34" t="s">
        <v>205</v>
      </c>
      <c r="M83" s="21">
        <v>2024</v>
      </c>
      <c r="N83" s="15" t="str">
        <f t="shared" si="6"/>
        <v xml:space="preserve">September </v>
      </c>
      <c r="O83" s="15"/>
      <c r="P83" s="15">
        <v>2025</v>
      </c>
      <c r="Q83" s="15"/>
      <c r="R83" s="16"/>
      <c r="S83" s="15"/>
      <c r="T83" s="15"/>
      <c r="U83" s="15"/>
      <c r="V83" s="15"/>
      <c r="W83" s="15"/>
    </row>
    <row r="84" spans="1:23" s="17" customFormat="1" ht="28" x14ac:dyDescent="0.35">
      <c r="A84" s="12">
        <v>83</v>
      </c>
      <c r="B84" s="13" t="s">
        <v>559</v>
      </c>
      <c r="C84" s="14" t="s">
        <v>560</v>
      </c>
      <c r="D84" s="153" t="str">
        <f t="shared" si="7"/>
        <v>Perempuan</v>
      </c>
      <c r="E84" s="13" t="s">
        <v>215</v>
      </c>
      <c r="F84" s="13" t="s">
        <v>526</v>
      </c>
      <c r="G84" s="13" t="s">
        <v>254</v>
      </c>
      <c r="H84" s="15" t="s">
        <v>276</v>
      </c>
      <c r="I84" s="15" t="s">
        <v>485</v>
      </c>
      <c r="J84" s="32" t="s">
        <v>180</v>
      </c>
      <c r="K84" s="15" t="s">
        <v>95</v>
      </c>
      <c r="L84" s="34" t="s">
        <v>205</v>
      </c>
      <c r="M84" s="21">
        <v>2024</v>
      </c>
      <c r="N84" s="15" t="str">
        <f t="shared" si="6"/>
        <v xml:space="preserve">September </v>
      </c>
      <c r="O84" s="15"/>
      <c r="P84" s="15">
        <v>2025</v>
      </c>
      <c r="Q84" s="15"/>
      <c r="R84" s="16"/>
      <c r="S84" s="15"/>
      <c r="T84" s="15"/>
      <c r="U84" s="15"/>
      <c r="V84" s="15"/>
      <c r="W84" s="15"/>
    </row>
    <row r="85" spans="1:23" s="17" customFormat="1" ht="28" x14ac:dyDescent="0.35">
      <c r="A85" s="12">
        <v>84</v>
      </c>
      <c r="B85" s="24" t="s">
        <v>561</v>
      </c>
      <c r="C85" s="43" t="s">
        <v>562</v>
      </c>
      <c r="D85" s="153" t="str">
        <f t="shared" si="7"/>
        <v>Perempuan</v>
      </c>
      <c r="E85" s="24" t="s">
        <v>539</v>
      </c>
      <c r="F85" s="24" t="s">
        <v>397</v>
      </c>
      <c r="G85" s="13" t="s">
        <v>254</v>
      </c>
      <c r="H85" s="44" t="s">
        <v>527</v>
      </c>
      <c r="I85" s="28" t="s">
        <v>563</v>
      </c>
      <c r="J85" s="12" t="s">
        <v>190</v>
      </c>
      <c r="K85" s="28" t="s">
        <v>564</v>
      </c>
      <c r="L85" s="34" t="s">
        <v>205</v>
      </c>
      <c r="M85" s="21">
        <v>2024</v>
      </c>
      <c r="N85" s="15" t="str">
        <f t="shared" si="6"/>
        <v xml:space="preserve">September </v>
      </c>
      <c r="O85" s="15"/>
      <c r="P85" s="15">
        <v>2025</v>
      </c>
      <c r="Q85" s="15"/>
      <c r="R85" s="16"/>
      <c r="S85" s="15"/>
      <c r="T85" s="15"/>
      <c r="U85" s="15"/>
      <c r="V85" s="15"/>
      <c r="W85" s="15"/>
    </row>
    <row r="86" spans="1:23" s="17" customFormat="1" ht="28" x14ac:dyDescent="0.35">
      <c r="A86" s="12">
        <v>85</v>
      </c>
      <c r="B86" s="25" t="s">
        <v>565</v>
      </c>
      <c r="C86" s="26" t="s">
        <v>566</v>
      </c>
      <c r="D86" s="153" t="str">
        <f t="shared" si="7"/>
        <v>Perempuan</v>
      </c>
      <c r="E86" s="25" t="s">
        <v>215</v>
      </c>
      <c r="F86" s="25" t="s">
        <v>377</v>
      </c>
      <c r="G86" s="13" t="s">
        <v>254</v>
      </c>
      <c r="H86" s="19" t="s">
        <v>567</v>
      </c>
      <c r="I86" s="28" t="s">
        <v>90</v>
      </c>
      <c r="J86" s="32" t="s">
        <v>568</v>
      </c>
      <c r="K86" s="28" t="s">
        <v>569</v>
      </c>
      <c r="L86" s="35" t="s">
        <v>478</v>
      </c>
      <c r="M86" s="21">
        <v>2024</v>
      </c>
      <c r="N86" s="15" t="str">
        <f t="shared" si="6"/>
        <v xml:space="preserve">Oktober  </v>
      </c>
      <c r="O86" s="15"/>
      <c r="P86" s="15">
        <v>2025</v>
      </c>
      <c r="Q86" s="15"/>
      <c r="R86" s="16"/>
      <c r="S86" s="15"/>
      <c r="T86" s="15"/>
      <c r="U86" s="15"/>
      <c r="V86" s="15"/>
      <c r="W86" s="15"/>
    </row>
    <row r="87" spans="1:23" s="17" customFormat="1" ht="28" x14ac:dyDescent="0.35">
      <c r="A87" s="12">
        <v>86</v>
      </c>
      <c r="B87" s="25" t="s">
        <v>570</v>
      </c>
      <c r="C87" s="26" t="s">
        <v>571</v>
      </c>
      <c r="D87" s="153" t="str">
        <f t="shared" si="7"/>
        <v>Laki-Laki</v>
      </c>
      <c r="E87" s="25" t="s">
        <v>185</v>
      </c>
      <c r="F87" s="25" t="s">
        <v>572</v>
      </c>
      <c r="G87" s="13" t="s">
        <v>254</v>
      </c>
      <c r="H87" s="19" t="s">
        <v>393</v>
      </c>
      <c r="I87" s="28" t="s">
        <v>501</v>
      </c>
      <c r="J87" s="32" t="s">
        <v>502</v>
      </c>
      <c r="K87" s="28" t="s">
        <v>503</v>
      </c>
      <c r="L87" s="35" t="s">
        <v>504</v>
      </c>
      <c r="M87" s="21">
        <v>2024</v>
      </c>
      <c r="N87" s="15" t="str">
        <f t="shared" si="6"/>
        <v xml:space="preserve">September  </v>
      </c>
      <c r="O87" s="15"/>
      <c r="P87" s="15">
        <v>2025</v>
      </c>
      <c r="Q87" s="15"/>
      <c r="R87" s="16"/>
      <c r="S87" s="15"/>
      <c r="T87" s="15"/>
      <c r="U87" s="15"/>
      <c r="V87" s="15"/>
      <c r="W87" s="15"/>
    </row>
    <row r="88" spans="1:23" s="17" customFormat="1" ht="28" x14ac:dyDescent="0.35">
      <c r="A88" s="12">
        <v>87</v>
      </c>
      <c r="B88" s="25" t="s">
        <v>573</v>
      </c>
      <c r="C88" s="26" t="s">
        <v>574</v>
      </c>
      <c r="D88" s="153" t="str">
        <f t="shared" si="7"/>
        <v>Laki-Laki</v>
      </c>
      <c r="E88" s="25" t="s">
        <v>172</v>
      </c>
      <c r="F88" s="25" t="s">
        <v>526</v>
      </c>
      <c r="G88" s="13" t="s">
        <v>254</v>
      </c>
      <c r="H88" s="19" t="s">
        <v>429</v>
      </c>
      <c r="I88" s="28" t="s">
        <v>90</v>
      </c>
      <c r="J88" s="32" t="s">
        <v>568</v>
      </c>
      <c r="K88" s="28" t="s">
        <v>46</v>
      </c>
      <c r="L88" s="35" t="s">
        <v>511</v>
      </c>
      <c r="M88" s="21">
        <v>2024</v>
      </c>
      <c r="N88" s="15" t="str">
        <f t="shared" si="6"/>
        <v xml:space="preserve">Agustus  </v>
      </c>
      <c r="O88" s="15"/>
      <c r="P88" s="15">
        <v>2025</v>
      </c>
      <c r="Q88" s="15"/>
      <c r="R88" s="16"/>
      <c r="S88" s="15"/>
      <c r="T88" s="15"/>
      <c r="U88" s="15"/>
      <c r="V88" s="15"/>
      <c r="W88" s="15"/>
    </row>
    <row r="89" spans="1:23" s="17" customFormat="1" ht="28" x14ac:dyDescent="0.35">
      <c r="A89" s="12">
        <v>88</v>
      </c>
      <c r="B89" s="33" t="s">
        <v>575</v>
      </c>
      <c r="C89" s="26" t="s">
        <v>576</v>
      </c>
      <c r="D89" s="153" t="str">
        <f t="shared" si="7"/>
        <v>Laki-Laki</v>
      </c>
      <c r="E89" s="25" t="s">
        <v>215</v>
      </c>
      <c r="F89" s="33" t="s">
        <v>490</v>
      </c>
      <c r="G89" s="13" t="s">
        <v>254</v>
      </c>
      <c r="H89" s="19" t="s">
        <v>327</v>
      </c>
      <c r="I89" s="28" t="s">
        <v>90</v>
      </c>
      <c r="J89" s="32" t="s">
        <v>190</v>
      </c>
      <c r="K89" s="28" t="s">
        <v>394</v>
      </c>
      <c r="L89" s="35" t="s">
        <v>491</v>
      </c>
      <c r="M89" s="21">
        <v>2024</v>
      </c>
      <c r="N89" s="15" t="str">
        <f t="shared" si="6"/>
        <v xml:space="preserve">Desember  </v>
      </c>
      <c r="O89" s="15"/>
      <c r="P89" s="15">
        <v>2025</v>
      </c>
      <c r="Q89" s="15"/>
      <c r="R89" s="16"/>
      <c r="S89" s="15"/>
      <c r="T89" s="15"/>
      <c r="U89" s="15"/>
      <c r="V89" s="15"/>
      <c r="W89" s="15"/>
    </row>
    <row r="90" spans="1:23" s="17" customFormat="1" ht="28" x14ac:dyDescent="0.35">
      <c r="A90" s="12">
        <v>89</v>
      </c>
      <c r="B90" s="25" t="s">
        <v>577</v>
      </c>
      <c r="C90" s="26" t="s">
        <v>578</v>
      </c>
      <c r="D90" s="153" t="str">
        <f t="shared" si="7"/>
        <v>Perempuan</v>
      </c>
      <c r="E90" s="25" t="s">
        <v>172</v>
      </c>
      <c r="F90" s="25" t="s">
        <v>579</v>
      </c>
      <c r="G90" s="13" t="s">
        <v>254</v>
      </c>
      <c r="H90" s="19" t="s">
        <v>429</v>
      </c>
      <c r="I90" s="28" t="s">
        <v>580</v>
      </c>
      <c r="J90" s="32" t="s">
        <v>568</v>
      </c>
      <c r="K90" s="28" t="s">
        <v>46</v>
      </c>
      <c r="L90" s="35" t="s">
        <v>145</v>
      </c>
      <c r="M90" s="21">
        <v>2024</v>
      </c>
      <c r="N90" s="15" t="str">
        <f t="shared" si="6"/>
        <v xml:space="preserve">Agustus </v>
      </c>
      <c r="O90" s="15"/>
      <c r="P90" s="15">
        <v>2025</v>
      </c>
      <c r="Q90" s="15"/>
      <c r="R90" s="16"/>
      <c r="S90" s="15"/>
      <c r="T90" s="15"/>
      <c r="U90" s="15"/>
      <c r="V90" s="15"/>
      <c r="W90" s="15"/>
    </row>
    <row r="91" spans="1:23" s="17" customFormat="1" ht="28" x14ac:dyDescent="0.35">
      <c r="A91" s="12">
        <v>90</v>
      </c>
      <c r="B91" s="25" t="s">
        <v>581</v>
      </c>
      <c r="C91" s="26" t="s">
        <v>582</v>
      </c>
      <c r="D91" s="153" t="str">
        <f t="shared" si="7"/>
        <v>Laki-Laki</v>
      </c>
      <c r="E91" s="25" t="s">
        <v>583</v>
      </c>
      <c r="F91" s="25" t="s">
        <v>584</v>
      </c>
      <c r="G91" s="13" t="s">
        <v>254</v>
      </c>
      <c r="H91" s="19" t="s">
        <v>585</v>
      </c>
      <c r="I91" s="28" t="s">
        <v>241</v>
      </c>
      <c r="J91" s="32" t="s">
        <v>509</v>
      </c>
      <c r="K91" s="32" t="s">
        <v>243</v>
      </c>
      <c r="L91" s="45" t="s">
        <v>28</v>
      </c>
      <c r="M91" s="45">
        <v>2024</v>
      </c>
      <c r="N91" s="15" t="str">
        <f t="shared" si="6"/>
        <v>September</v>
      </c>
      <c r="O91" s="15"/>
      <c r="P91" s="15">
        <v>2024</v>
      </c>
      <c r="Q91" s="15"/>
      <c r="R91" s="16"/>
      <c r="S91" s="15"/>
      <c r="T91" s="15"/>
      <c r="U91" s="15"/>
      <c r="V91" s="15"/>
      <c r="W91" s="15"/>
    </row>
    <row r="92" spans="1:23" ht="13" x14ac:dyDescent="0.3">
      <c r="A92" s="58"/>
      <c r="B92" s="58"/>
      <c r="C92" s="58"/>
      <c r="D92" s="58"/>
      <c r="E92" s="58"/>
      <c r="F92" s="58"/>
      <c r="G92" s="58"/>
      <c r="H92" s="59"/>
      <c r="I92" s="59"/>
      <c r="J92" s="59"/>
      <c r="K92" s="59"/>
      <c r="L92" s="59"/>
      <c r="M92" s="60"/>
      <c r="N92" s="60"/>
      <c r="O92" s="60"/>
      <c r="P92" s="59"/>
      <c r="Q92" s="59"/>
      <c r="R92" s="60"/>
      <c r="S92" s="60"/>
      <c r="T92" s="60"/>
      <c r="U92" s="60"/>
      <c r="V92" s="60"/>
      <c r="W92" s="60"/>
    </row>
    <row r="93" spans="1:23" ht="13" x14ac:dyDescent="0.3">
      <c r="A93" s="58"/>
      <c r="B93" s="58"/>
      <c r="C93" s="58"/>
      <c r="D93" s="58"/>
      <c r="E93" s="58"/>
      <c r="F93" s="58"/>
      <c r="G93" s="58"/>
      <c r="H93" s="59"/>
      <c r="I93" s="59"/>
      <c r="J93" s="59"/>
      <c r="K93" s="59"/>
      <c r="L93" s="59"/>
      <c r="M93" s="60"/>
      <c r="N93" s="60"/>
      <c r="O93" s="60"/>
      <c r="P93" s="59"/>
      <c r="Q93" s="59"/>
      <c r="R93" s="60"/>
      <c r="S93" s="60"/>
      <c r="T93" s="60"/>
      <c r="U93" s="60"/>
      <c r="V93" s="60"/>
      <c r="W93" s="60"/>
    </row>
    <row r="94" spans="1:23" ht="13" x14ac:dyDescent="0.3">
      <c r="A94" s="58"/>
      <c r="B94" s="58"/>
      <c r="C94" s="58"/>
      <c r="D94" s="58"/>
      <c r="E94" s="58"/>
      <c r="F94" s="58"/>
      <c r="G94" s="58"/>
      <c r="H94" s="59"/>
      <c r="I94" s="59"/>
      <c r="J94" s="59"/>
      <c r="K94" s="59"/>
      <c r="L94" s="59"/>
      <c r="M94" s="60"/>
      <c r="N94" s="60"/>
      <c r="O94" s="60"/>
      <c r="P94" s="59"/>
      <c r="Q94" s="59"/>
      <c r="R94" s="60"/>
      <c r="S94" s="60"/>
      <c r="T94" s="60"/>
      <c r="U94" s="60"/>
      <c r="V94" s="60"/>
      <c r="W94" s="60"/>
    </row>
    <row r="95" spans="1:23" ht="13" x14ac:dyDescent="0.3">
      <c r="A95" s="58"/>
      <c r="B95" s="58"/>
      <c r="C95" s="58"/>
      <c r="D95" s="58"/>
      <c r="E95" s="58"/>
      <c r="F95" s="58"/>
      <c r="G95" s="58"/>
      <c r="H95" s="59"/>
      <c r="I95" s="59"/>
      <c r="J95" s="59"/>
      <c r="K95" s="59"/>
      <c r="L95" s="59"/>
      <c r="M95" s="60"/>
      <c r="N95" s="60"/>
      <c r="O95" s="60"/>
      <c r="P95" s="59"/>
      <c r="Q95" s="59"/>
      <c r="R95" s="60"/>
      <c r="S95" s="60"/>
      <c r="T95" s="60"/>
      <c r="U95" s="60"/>
      <c r="V95" s="60"/>
      <c r="W95" s="60"/>
    </row>
    <row r="96" spans="1:23" ht="13" x14ac:dyDescent="0.3">
      <c r="A96" s="58"/>
      <c r="B96" s="58"/>
      <c r="C96" s="58"/>
      <c r="D96" s="58"/>
      <c r="E96" s="58"/>
      <c r="F96" s="58"/>
      <c r="G96" s="58"/>
      <c r="H96" s="59"/>
      <c r="I96" s="59"/>
      <c r="J96" s="59"/>
      <c r="K96" s="59"/>
      <c r="L96" s="59"/>
      <c r="M96" s="60"/>
      <c r="N96" s="60"/>
      <c r="O96" s="60"/>
      <c r="P96" s="59"/>
      <c r="Q96" s="59"/>
      <c r="R96" s="60"/>
      <c r="S96" s="60"/>
      <c r="T96" s="60"/>
      <c r="U96" s="60"/>
      <c r="V96" s="60"/>
      <c r="W96" s="60"/>
    </row>
    <row r="97" spans="1:23" ht="13" x14ac:dyDescent="0.3">
      <c r="A97" s="58"/>
      <c r="B97" s="58"/>
      <c r="C97" s="58"/>
      <c r="D97" s="58"/>
      <c r="E97" s="58"/>
      <c r="F97" s="58"/>
      <c r="G97" s="58"/>
      <c r="H97" s="59"/>
      <c r="I97" s="59"/>
      <c r="J97" s="59"/>
      <c r="K97" s="59"/>
      <c r="L97" s="59"/>
      <c r="M97" s="60"/>
      <c r="N97" s="60"/>
      <c r="O97" s="60"/>
      <c r="P97" s="59"/>
      <c r="Q97" s="59"/>
      <c r="R97" s="60"/>
      <c r="S97" s="60"/>
      <c r="T97" s="60"/>
      <c r="U97" s="60"/>
      <c r="V97" s="60"/>
      <c r="W97" s="60"/>
    </row>
    <row r="98" spans="1:23" ht="13" x14ac:dyDescent="0.3">
      <c r="A98" s="58"/>
      <c r="B98" s="58"/>
      <c r="C98" s="58"/>
      <c r="D98" s="58"/>
      <c r="E98" s="58"/>
      <c r="F98" s="58"/>
      <c r="G98" s="58"/>
      <c r="H98" s="59"/>
      <c r="I98" s="59"/>
      <c r="J98" s="59"/>
      <c r="K98" s="59"/>
      <c r="L98" s="59"/>
      <c r="M98" s="60"/>
      <c r="N98" s="60"/>
      <c r="O98" s="60"/>
      <c r="P98" s="59"/>
      <c r="Q98" s="59"/>
      <c r="R98" s="60"/>
      <c r="S98" s="60"/>
      <c r="T98" s="60"/>
      <c r="U98" s="60"/>
      <c r="V98" s="60"/>
      <c r="W98" s="60"/>
    </row>
    <row r="99" spans="1:23" ht="13" x14ac:dyDescent="0.3">
      <c r="A99" s="58"/>
      <c r="B99" s="58"/>
      <c r="C99" s="58"/>
      <c r="D99" s="58"/>
      <c r="E99" s="58"/>
      <c r="F99" s="58"/>
      <c r="G99" s="58"/>
      <c r="H99" s="59"/>
      <c r="I99" s="59"/>
      <c r="J99" s="59"/>
      <c r="K99" s="59"/>
      <c r="L99" s="59"/>
      <c r="M99" s="60"/>
      <c r="N99" s="60"/>
      <c r="O99" s="60"/>
      <c r="P99" s="59"/>
      <c r="Q99" s="59"/>
      <c r="R99" s="60"/>
      <c r="S99" s="60"/>
      <c r="T99" s="60"/>
      <c r="U99" s="60"/>
      <c r="V99" s="60"/>
      <c r="W99" s="60"/>
    </row>
    <row r="100" spans="1:23" ht="13" x14ac:dyDescent="0.3">
      <c r="A100" s="58"/>
      <c r="B100" s="58"/>
      <c r="C100" s="58"/>
      <c r="D100" s="58"/>
      <c r="E100" s="58"/>
      <c r="F100" s="58"/>
      <c r="G100" s="58"/>
      <c r="H100" s="59"/>
      <c r="I100" s="59"/>
      <c r="J100" s="59"/>
      <c r="K100" s="59"/>
      <c r="L100" s="59"/>
      <c r="M100" s="60"/>
      <c r="N100" s="60"/>
      <c r="O100" s="60"/>
      <c r="P100" s="59"/>
      <c r="Q100" s="59"/>
      <c r="R100" s="60"/>
      <c r="S100" s="60"/>
      <c r="T100" s="60"/>
      <c r="U100" s="60"/>
      <c r="V100" s="60"/>
      <c r="W100" s="60"/>
    </row>
    <row r="101" spans="1:23" ht="13" x14ac:dyDescent="0.3">
      <c r="A101" s="58"/>
      <c r="B101" s="58"/>
      <c r="C101" s="58"/>
      <c r="D101" s="58"/>
      <c r="E101" s="58"/>
      <c r="F101" s="58"/>
      <c r="G101" s="58"/>
      <c r="H101" s="59"/>
      <c r="I101" s="59"/>
      <c r="J101" s="59"/>
      <c r="K101" s="59"/>
      <c r="L101" s="59"/>
      <c r="M101" s="60"/>
      <c r="N101" s="60"/>
      <c r="O101" s="60"/>
      <c r="P101" s="59"/>
      <c r="Q101" s="59"/>
      <c r="R101" s="60"/>
      <c r="S101" s="60"/>
      <c r="T101" s="60"/>
      <c r="U101" s="60"/>
      <c r="V101" s="60"/>
      <c r="W101" s="60"/>
    </row>
    <row r="102" spans="1:23" ht="13" x14ac:dyDescent="0.3">
      <c r="A102" s="58"/>
      <c r="B102" s="58"/>
      <c r="C102" s="58"/>
      <c r="D102" s="58"/>
      <c r="E102" s="58"/>
      <c r="F102" s="58"/>
      <c r="G102" s="58"/>
      <c r="H102" s="59"/>
      <c r="I102" s="59"/>
      <c r="J102" s="59"/>
      <c r="K102" s="59"/>
      <c r="L102" s="59"/>
      <c r="M102" s="60"/>
      <c r="N102" s="60"/>
      <c r="O102" s="60"/>
      <c r="P102" s="59"/>
      <c r="Q102" s="59"/>
      <c r="R102" s="60"/>
      <c r="S102" s="60"/>
      <c r="T102" s="60"/>
      <c r="U102" s="60"/>
      <c r="V102" s="60"/>
      <c r="W102" s="60"/>
    </row>
    <row r="103" spans="1:23" ht="13" x14ac:dyDescent="0.3">
      <c r="A103" s="58"/>
      <c r="B103" s="58"/>
      <c r="C103" s="58"/>
      <c r="D103" s="58"/>
      <c r="E103" s="58"/>
      <c r="F103" s="58"/>
      <c r="G103" s="58"/>
      <c r="H103" s="59"/>
      <c r="I103" s="59"/>
      <c r="J103" s="59"/>
      <c r="K103" s="59"/>
      <c r="L103" s="59"/>
      <c r="M103" s="60"/>
      <c r="N103" s="60"/>
      <c r="O103" s="60"/>
      <c r="P103" s="59"/>
      <c r="Q103" s="59"/>
      <c r="R103" s="60"/>
      <c r="S103" s="60"/>
      <c r="T103" s="60"/>
      <c r="U103" s="60"/>
      <c r="V103" s="60"/>
      <c r="W103" s="60"/>
    </row>
    <row r="104" spans="1:23" ht="13" x14ac:dyDescent="0.3">
      <c r="A104" s="58"/>
      <c r="B104" s="58"/>
      <c r="C104" s="58"/>
      <c r="D104" s="58"/>
      <c r="E104" s="58"/>
      <c r="F104" s="58"/>
      <c r="G104" s="58"/>
      <c r="H104" s="59"/>
      <c r="I104" s="59"/>
      <c r="J104" s="59"/>
      <c r="K104" s="59"/>
      <c r="L104" s="59"/>
      <c r="M104" s="60"/>
      <c r="N104" s="60"/>
      <c r="O104" s="60"/>
      <c r="P104" s="59"/>
      <c r="Q104" s="59"/>
      <c r="R104" s="60"/>
      <c r="S104" s="60"/>
      <c r="T104" s="60"/>
      <c r="U104" s="60"/>
      <c r="V104" s="60"/>
      <c r="W104" s="60"/>
    </row>
    <row r="105" spans="1:23" ht="13" x14ac:dyDescent="0.3">
      <c r="A105" s="58"/>
      <c r="B105" s="58"/>
      <c r="C105" s="58"/>
      <c r="D105" s="58"/>
      <c r="E105" s="58"/>
      <c r="F105" s="58"/>
      <c r="G105" s="58"/>
      <c r="H105" s="59"/>
      <c r="I105" s="59"/>
      <c r="J105" s="59"/>
      <c r="K105" s="59"/>
      <c r="L105" s="59"/>
      <c r="M105" s="60"/>
      <c r="N105" s="60"/>
      <c r="O105" s="60"/>
      <c r="P105" s="59"/>
      <c r="Q105" s="59"/>
      <c r="R105" s="60"/>
      <c r="S105" s="60"/>
      <c r="T105" s="60"/>
      <c r="U105" s="60"/>
      <c r="V105" s="60"/>
      <c r="W105" s="60"/>
    </row>
    <row r="106" spans="1:23" ht="13" x14ac:dyDescent="0.3">
      <c r="A106" s="58"/>
      <c r="B106" s="58"/>
      <c r="C106" s="58"/>
      <c r="D106" s="58"/>
      <c r="E106" s="58"/>
      <c r="F106" s="58"/>
      <c r="G106" s="58"/>
      <c r="H106" s="59"/>
      <c r="I106" s="59"/>
      <c r="J106" s="59"/>
      <c r="K106" s="59"/>
      <c r="L106" s="59"/>
      <c r="M106" s="60"/>
      <c r="N106" s="60"/>
      <c r="O106" s="60"/>
      <c r="P106" s="59"/>
      <c r="Q106" s="59"/>
      <c r="R106" s="60"/>
      <c r="S106" s="60"/>
      <c r="T106" s="60"/>
      <c r="U106" s="60"/>
      <c r="V106" s="60"/>
      <c r="W106" s="60"/>
    </row>
    <row r="107" spans="1:23" ht="13" x14ac:dyDescent="0.3">
      <c r="A107" s="58"/>
      <c r="B107" s="58"/>
      <c r="C107" s="58"/>
      <c r="D107" s="58"/>
      <c r="E107" s="58"/>
      <c r="F107" s="58"/>
      <c r="G107" s="58"/>
      <c r="H107" s="59"/>
      <c r="I107" s="59"/>
      <c r="J107" s="59"/>
      <c r="K107" s="59"/>
      <c r="L107" s="59"/>
      <c r="M107" s="60"/>
      <c r="N107" s="60"/>
      <c r="O107" s="60"/>
      <c r="P107" s="59"/>
      <c r="Q107" s="59"/>
      <c r="R107" s="60"/>
      <c r="S107" s="60"/>
      <c r="T107" s="60"/>
      <c r="U107" s="60"/>
      <c r="V107" s="60"/>
      <c r="W107" s="60"/>
    </row>
    <row r="108" spans="1:23" ht="13" x14ac:dyDescent="0.3">
      <c r="A108" s="58"/>
      <c r="B108" s="58"/>
      <c r="C108" s="58"/>
      <c r="D108" s="58"/>
      <c r="E108" s="58"/>
      <c r="F108" s="58"/>
      <c r="G108" s="58"/>
      <c r="H108" s="59"/>
      <c r="I108" s="59"/>
      <c r="J108" s="59"/>
      <c r="K108" s="59"/>
      <c r="L108" s="59"/>
      <c r="M108" s="60"/>
      <c r="N108" s="60"/>
      <c r="O108" s="60"/>
      <c r="P108" s="59"/>
      <c r="Q108" s="59"/>
      <c r="R108" s="60"/>
      <c r="S108" s="60"/>
      <c r="T108" s="60"/>
      <c r="U108" s="60"/>
      <c r="V108" s="60"/>
      <c r="W108" s="60"/>
    </row>
    <row r="109" spans="1:23" ht="13" x14ac:dyDescent="0.3">
      <c r="A109" s="58"/>
      <c r="B109" s="58"/>
      <c r="C109" s="58"/>
      <c r="D109" s="58"/>
      <c r="E109" s="58"/>
      <c r="F109" s="58"/>
      <c r="G109" s="58"/>
      <c r="H109" s="59"/>
      <c r="I109" s="59"/>
      <c r="J109" s="59"/>
      <c r="K109" s="59"/>
      <c r="L109" s="59"/>
      <c r="M109" s="60"/>
      <c r="N109" s="60"/>
      <c r="O109" s="60"/>
      <c r="P109" s="59"/>
      <c r="Q109" s="59"/>
      <c r="R109" s="60"/>
      <c r="S109" s="60"/>
      <c r="T109" s="60"/>
      <c r="U109" s="60"/>
      <c r="V109" s="60"/>
      <c r="W109" s="60"/>
    </row>
    <row r="110" spans="1:23" ht="13" x14ac:dyDescent="0.3">
      <c r="A110" s="58"/>
      <c r="B110" s="58"/>
      <c r="C110" s="58"/>
      <c r="D110" s="58"/>
      <c r="E110" s="58"/>
      <c r="F110" s="58"/>
      <c r="G110" s="58"/>
      <c r="H110" s="59"/>
      <c r="I110" s="59"/>
      <c r="J110" s="59"/>
      <c r="K110" s="59"/>
      <c r="L110" s="59"/>
      <c r="M110" s="60"/>
      <c r="N110" s="60"/>
      <c r="O110" s="60"/>
      <c r="P110" s="59"/>
      <c r="Q110" s="59"/>
      <c r="R110" s="60"/>
      <c r="S110" s="60"/>
      <c r="T110" s="60"/>
      <c r="U110" s="60"/>
      <c r="V110" s="60"/>
      <c r="W110" s="60"/>
    </row>
    <row r="111" spans="1:23" ht="13" x14ac:dyDescent="0.3">
      <c r="A111" s="58"/>
      <c r="B111" s="58"/>
      <c r="C111" s="58"/>
      <c r="D111" s="58"/>
      <c r="E111" s="58"/>
      <c r="F111" s="58"/>
      <c r="G111" s="58"/>
      <c r="H111" s="59"/>
      <c r="I111" s="59"/>
      <c r="J111" s="59"/>
      <c r="K111" s="59"/>
      <c r="L111" s="59"/>
      <c r="M111" s="60"/>
      <c r="N111" s="60"/>
      <c r="O111" s="60"/>
      <c r="P111" s="59"/>
      <c r="Q111" s="59"/>
      <c r="R111" s="60"/>
      <c r="S111" s="60"/>
      <c r="T111" s="60"/>
      <c r="U111" s="60"/>
      <c r="V111" s="60"/>
      <c r="W111" s="60"/>
    </row>
    <row r="112" spans="1:23" ht="13" x14ac:dyDescent="0.3">
      <c r="A112" s="58"/>
      <c r="B112" s="58"/>
      <c r="C112" s="58"/>
      <c r="D112" s="58"/>
      <c r="E112" s="58"/>
      <c r="F112" s="58"/>
      <c r="G112" s="58"/>
      <c r="H112" s="59"/>
      <c r="I112" s="59"/>
      <c r="J112" s="59"/>
      <c r="K112" s="59"/>
      <c r="L112" s="59"/>
      <c r="M112" s="60"/>
      <c r="N112" s="60"/>
      <c r="O112" s="60"/>
      <c r="P112" s="59"/>
      <c r="Q112" s="59"/>
      <c r="R112" s="60"/>
      <c r="S112" s="60"/>
      <c r="T112" s="60"/>
      <c r="U112" s="60"/>
      <c r="V112" s="60"/>
      <c r="W112" s="60"/>
    </row>
    <row r="113" spans="1:23" ht="13" x14ac:dyDescent="0.3">
      <c r="A113" s="58"/>
      <c r="B113" s="58"/>
      <c r="C113" s="58"/>
      <c r="D113" s="58"/>
      <c r="E113" s="58"/>
      <c r="F113" s="58"/>
      <c r="G113" s="58"/>
      <c r="H113" s="59"/>
      <c r="I113" s="59"/>
      <c r="J113" s="59"/>
      <c r="K113" s="59"/>
      <c r="L113" s="59"/>
      <c r="M113" s="60"/>
      <c r="N113" s="60"/>
      <c r="O113" s="60"/>
      <c r="P113" s="59"/>
      <c r="Q113" s="59"/>
      <c r="R113" s="60"/>
      <c r="S113" s="60"/>
      <c r="T113" s="60"/>
      <c r="U113" s="60"/>
      <c r="V113" s="60"/>
      <c r="W113" s="60"/>
    </row>
    <row r="114" spans="1:23" ht="13" x14ac:dyDescent="0.3">
      <c r="A114" s="58"/>
      <c r="B114" s="58"/>
      <c r="C114" s="58"/>
      <c r="D114" s="58"/>
      <c r="E114" s="58"/>
      <c r="F114" s="58"/>
      <c r="G114" s="58"/>
      <c r="H114" s="59"/>
      <c r="I114" s="59"/>
      <c r="J114" s="59"/>
      <c r="K114" s="59"/>
      <c r="L114" s="59"/>
      <c r="M114" s="60"/>
      <c r="N114" s="60"/>
      <c r="O114" s="60"/>
      <c r="P114" s="59"/>
      <c r="Q114" s="59"/>
      <c r="R114" s="60"/>
      <c r="S114" s="60"/>
      <c r="T114" s="60"/>
      <c r="U114" s="60"/>
      <c r="V114" s="60"/>
      <c r="W114" s="60"/>
    </row>
    <row r="115" spans="1:23" ht="13" x14ac:dyDescent="0.3">
      <c r="A115" s="58"/>
      <c r="B115" s="58"/>
      <c r="C115" s="58"/>
      <c r="D115" s="58"/>
      <c r="E115" s="58"/>
      <c r="F115" s="58"/>
      <c r="G115" s="58"/>
      <c r="H115" s="59"/>
      <c r="I115" s="59"/>
      <c r="J115" s="59"/>
      <c r="K115" s="59"/>
      <c r="L115" s="59"/>
      <c r="M115" s="60"/>
      <c r="N115" s="60"/>
      <c r="O115" s="60"/>
      <c r="P115" s="59"/>
      <c r="Q115" s="59"/>
      <c r="R115" s="60"/>
      <c r="S115" s="60"/>
      <c r="T115" s="60"/>
      <c r="U115" s="60"/>
      <c r="V115" s="60"/>
      <c r="W115" s="60"/>
    </row>
    <row r="116" spans="1:23" ht="13" x14ac:dyDescent="0.3">
      <c r="A116" s="58"/>
      <c r="B116" s="58"/>
      <c r="C116" s="58"/>
      <c r="D116" s="58"/>
      <c r="E116" s="58"/>
      <c r="F116" s="58"/>
      <c r="G116" s="58"/>
      <c r="H116" s="59"/>
      <c r="I116" s="59"/>
      <c r="J116" s="59"/>
      <c r="K116" s="59"/>
      <c r="L116" s="59"/>
      <c r="M116" s="60"/>
      <c r="N116" s="60"/>
      <c r="O116" s="60"/>
      <c r="P116" s="59"/>
      <c r="Q116" s="59"/>
      <c r="R116" s="60"/>
      <c r="S116" s="60"/>
      <c r="T116" s="60"/>
      <c r="U116" s="60"/>
      <c r="V116" s="60"/>
      <c r="W116" s="60"/>
    </row>
    <row r="117" spans="1:23" ht="13" x14ac:dyDescent="0.3">
      <c r="A117" s="58"/>
      <c r="B117" s="58"/>
      <c r="C117" s="58"/>
      <c r="D117" s="58"/>
      <c r="E117" s="58"/>
      <c r="F117" s="58"/>
      <c r="G117" s="58"/>
      <c r="H117" s="59"/>
      <c r="I117" s="59"/>
      <c r="J117" s="59"/>
      <c r="K117" s="59"/>
      <c r="L117" s="59"/>
      <c r="M117" s="60"/>
      <c r="N117" s="60"/>
      <c r="O117" s="60"/>
      <c r="P117" s="59"/>
      <c r="Q117" s="59"/>
      <c r="R117" s="60"/>
      <c r="S117" s="60"/>
      <c r="T117" s="60"/>
      <c r="U117" s="60"/>
      <c r="V117" s="60"/>
      <c r="W117" s="60"/>
    </row>
    <row r="118" spans="1:23" ht="13" x14ac:dyDescent="0.3">
      <c r="A118" s="58"/>
      <c r="B118" s="58"/>
      <c r="C118" s="58"/>
      <c r="D118" s="58"/>
      <c r="E118" s="58"/>
      <c r="F118" s="58"/>
      <c r="G118" s="58"/>
      <c r="H118" s="59"/>
      <c r="I118" s="59"/>
      <c r="J118" s="59"/>
      <c r="K118" s="59"/>
      <c r="L118" s="59"/>
      <c r="M118" s="60"/>
      <c r="N118" s="60"/>
      <c r="O118" s="60"/>
      <c r="P118" s="59"/>
      <c r="Q118" s="59"/>
      <c r="R118" s="60"/>
      <c r="S118" s="60"/>
      <c r="T118" s="60"/>
      <c r="U118" s="60"/>
      <c r="V118" s="60"/>
      <c r="W118" s="60"/>
    </row>
    <row r="119" spans="1:23" ht="13" x14ac:dyDescent="0.3">
      <c r="A119" s="58"/>
      <c r="B119" s="58"/>
      <c r="C119" s="58"/>
      <c r="D119" s="58"/>
      <c r="E119" s="58"/>
      <c r="F119" s="58"/>
      <c r="G119" s="58"/>
      <c r="H119" s="59"/>
      <c r="I119" s="59"/>
      <c r="J119" s="59"/>
      <c r="K119" s="59"/>
      <c r="L119" s="59"/>
      <c r="M119" s="60"/>
      <c r="N119" s="60"/>
      <c r="O119" s="60"/>
      <c r="P119" s="59"/>
      <c r="Q119" s="59"/>
      <c r="R119" s="60"/>
      <c r="S119" s="60"/>
      <c r="T119" s="60"/>
      <c r="U119" s="60"/>
      <c r="V119" s="60"/>
      <c r="W119" s="60"/>
    </row>
    <row r="120" spans="1:23" ht="13" x14ac:dyDescent="0.3">
      <c r="A120" s="58"/>
      <c r="B120" s="58"/>
      <c r="C120" s="58"/>
      <c r="D120" s="58"/>
      <c r="E120" s="58"/>
      <c r="F120" s="58"/>
      <c r="G120" s="58"/>
      <c r="H120" s="59"/>
      <c r="I120" s="59"/>
      <c r="J120" s="59"/>
      <c r="K120" s="59"/>
      <c r="L120" s="59"/>
      <c r="M120" s="60"/>
      <c r="N120" s="60"/>
      <c r="O120" s="60"/>
      <c r="P120" s="59"/>
      <c r="Q120" s="59"/>
      <c r="R120" s="60"/>
      <c r="S120" s="60"/>
      <c r="T120" s="60"/>
      <c r="U120" s="60"/>
      <c r="V120" s="60"/>
      <c r="W120" s="60"/>
    </row>
    <row r="121" spans="1:23" ht="13" x14ac:dyDescent="0.3">
      <c r="A121" s="58"/>
      <c r="B121" s="58"/>
      <c r="C121" s="58"/>
      <c r="D121" s="58"/>
      <c r="E121" s="58"/>
      <c r="F121" s="58"/>
      <c r="G121" s="58"/>
      <c r="H121" s="59"/>
      <c r="I121" s="59"/>
      <c r="J121" s="59"/>
      <c r="K121" s="59"/>
      <c r="L121" s="59"/>
      <c r="M121" s="60"/>
      <c r="N121" s="60"/>
      <c r="O121" s="60"/>
      <c r="P121" s="59"/>
      <c r="Q121" s="59"/>
      <c r="R121" s="60"/>
      <c r="S121" s="60"/>
      <c r="T121" s="60"/>
      <c r="U121" s="60"/>
      <c r="V121" s="60"/>
      <c r="W121" s="60"/>
    </row>
    <row r="122" spans="1:23" ht="13" x14ac:dyDescent="0.3">
      <c r="A122" s="58"/>
      <c r="B122" s="58"/>
      <c r="C122" s="58"/>
      <c r="D122" s="58"/>
      <c r="E122" s="58"/>
      <c r="F122" s="58"/>
      <c r="G122" s="58"/>
      <c r="H122" s="59"/>
      <c r="I122" s="59"/>
      <c r="J122" s="59"/>
      <c r="K122" s="59"/>
      <c r="L122" s="59"/>
      <c r="M122" s="60"/>
      <c r="N122" s="60"/>
      <c r="O122" s="60"/>
      <c r="P122" s="59"/>
      <c r="Q122" s="59"/>
      <c r="R122" s="60"/>
      <c r="S122" s="60"/>
      <c r="T122" s="60"/>
      <c r="U122" s="60"/>
      <c r="V122" s="60"/>
      <c r="W122" s="60"/>
    </row>
    <row r="123" spans="1:23" ht="13" x14ac:dyDescent="0.3">
      <c r="A123" s="58"/>
      <c r="B123" s="58"/>
      <c r="C123" s="58"/>
      <c r="D123" s="58"/>
      <c r="E123" s="58"/>
      <c r="F123" s="58"/>
      <c r="G123" s="58"/>
      <c r="H123" s="59"/>
      <c r="I123" s="59"/>
      <c r="J123" s="59"/>
      <c r="K123" s="59"/>
      <c r="L123" s="59"/>
      <c r="M123" s="60"/>
      <c r="N123" s="60"/>
      <c r="O123" s="60"/>
      <c r="P123" s="59"/>
      <c r="Q123" s="59"/>
      <c r="R123" s="60"/>
      <c r="S123" s="60"/>
      <c r="T123" s="60"/>
      <c r="U123" s="60"/>
      <c r="V123" s="60"/>
      <c r="W123" s="60"/>
    </row>
    <row r="124" spans="1:23" ht="13" x14ac:dyDescent="0.3">
      <c r="A124" s="58"/>
      <c r="B124" s="58"/>
      <c r="C124" s="58"/>
      <c r="D124" s="58"/>
      <c r="E124" s="58"/>
      <c r="F124" s="58"/>
      <c r="G124" s="58"/>
      <c r="H124" s="59"/>
      <c r="I124" s="59"/>
      <c r="J124" s="59"/>
      <c r="K124" s="59"/>
      <c r="L124" s="59"/>
      <c r="M124" s="60"/>
      <c r="N124" s="60"/>
      <c r="O124" s="60"/>
      <c r="P124" s="59"/>
      <c r="Q124" s="59"/>
      <c r="R124" s="60"/>
      <c r="S124" s="60"/>
      <c r="T124" s="60"/>
      <c r="U124" s="60"/>
      <c r="V124" s="60"/>
      <c r="W124" s="60"/>
    </row>
    <row r="125" spans="1:23" ht="13" x14ac:dyDescent="0.3">
      <c r="A125" s="58"/>
      <c r="B125" s="58"/>
      <c r="C125" s="58"/>
      <c r="D125" s="58"/>
      <c r="E125" s="58"/>
      <c r="F125" s="58"/>
      <c r="G125" s="58"/>
      <c r="H125" s="59"/>
      <c r="I125" s="59"/>
      <c r="J125" s="59"/>
      <c r="K125" s="59"/>
      <c r="L125" s="59"/>
      <c r="M125" s="60"/>
      <c r="N125" s="60"/>
      <c r="O125" s="60"/>
      <c r="P125" s="59"/>
      <c r="Q125" s="59"/>
      <c r="R125" s="60"/>
      <c r="S125" s="60"/>
      <c r="T125" s="60"/>
      <c r="U125" s="60"/>
      <c r="V125" s="60"/>
      <c r="W125" s="60"/>
    </row>
    <row r="126" spans="1:23" ht="13" x14ac:dyDescent="0.3">
      <c r="A126" s="58"/>
      <c r="B126" s="58"/>
      <c r="C126" s="58"/>
      <c r="D126" s="58"/>
      <c r="E126" s="58"/>
      <c r="F126" s="58"/>
      <c r="G126" s="58"/>
      <c r="H126" s="59"/>
      <c r="I126" s="59"/>
      <c r="J126" s="59"/>
      <c r="K126" s="59"/>
      <c r="L126" s="59"/>
      <c r="M126" s="60"/>
      <c r="N126" s="60"/>
      <c r="O126" s="60"/>
      <c r="P126" s="59"/>
      <c r="Q126" s="59"/>
      <c r="R126" s="60"/>
      <c r="S126" s="60"/>
      <c r="T126" s="60"/>
      <c r="U126" s="60"/>
      <c r="V126" s="60"/>
      <c r="W126" s="60"/>
    </row>
    <row r="127" spans="1:23" ht="13" x14ac:dyDescent="0.3">
      <c r="A127" s="58"/>
      <c r="B127" s="58"/>
      <c r="C127" s="58"/>
      <c r="D127" s="58"/>
      <c r="E127" s="58"/>
      <c r="F127" s="58"/>
      <c r="G127" s="58"/>
      <c r="H127" s="59"/>
      <c r="I127" s="59"/>
      <c r="J127" s="59"/>
      <c r="K127" s="59"/>
      <c r="L127" s="59"/>
      <c r="M127" s="60"/>
      <c r="N127" s="60"/>
      <c r="O127" s="60"/>
      <c r="P127" s="59"/>
      <c r="Q127" s="59"/>
      <c r="R127" s="60"/>
      <c r="S127" s="60"/>
      <c r="T127" s="60"/>
      <c r="U127" s="60"/>
      <c r="V127" s="60"/>
      <c r="W127" s="60"/>
    </row>
    <row r="128" spans="1:23" ht="13" x14ac:dyDescent="0.3">
      <c r="A128" s="58"/>
      <c r="B128" s="58"/>
      <c r="C128" s="58"/>
      <c r="D128" s="58"/>
      <c r="E128" s="58"/>
      <c r="F128" s="58"/>
      <c r="G128" s="58"/>
      <c r="H128" s="59"/>
      <c r="I128" s="59"/>
      <c r="J128" s="59"/>
      <c r="K128" s="59"/>
      <c r="L128" s="59"/>
      <c r="M128" s="60"/>
      <c r="N128" s="60"/>
      <c r="O128" s="60"/>
      <c r="P128" s="59"/>
      <c r="Q128" s="59"/>
      <c r="R128" s="60"/>
      <c r="S128" s="60"/>
      <c r="T128" s="60"/>
      <c r="U128" s="60"/>
      <c r="V128" s="60"/>
      <c r="W128" s="60"/>
    </row>
    <row r="129" spans="1:23" ht="13" x14ac:dyDescent="0.3">
      <c r="A129" s="58"/>
      <c r="B129" s="58"/>
      <c r="C129" s="58"/>
      <c r="D129" s="58"/>
      <c r="E129" s="58"/>
      <c r="F129" s="58"/>
      <c r="G129" s="58"/>
      <c r="H129" s="59"/>
      <c r="I129" s="59"/>
      <c r="J129" s="59"/>
      <c r="K129" s="59"/>
      <c r="L129" s="59"/>
      <c r="M129" s="60"/>
      <c r="N129" s="60"/>
      <c r="O129" s="60"/>
      <c r="P129" s="59"/>
      <c r="Q129" s="59"/>
      <c r="R129" s="60"/>
      <c r="S129" s="60"/>
      <c r="T129" s="60"/>
      <c r="U129" s="60"/>
      <c r="V129" s="60"/>
      <c r="W129" s="60"/>
    </row>
    <row r="130" spans="1:23" ht="13" x14ac:dyDescent="0.3">
      <c r="A130" s="58"/>
      <c r="B130" s="58"/>
      <c r="C130" s="58"/>
      <c r="D130" s="58"/>
      <c r="E130" s="58"/>
      <c r="F130" s="58"/>
      <c r="G130" s="58"/>
      <c r="H130" s="59"/>
      <c r="I130" s="59"/>
      <c r="J130" s="59"/>
      <c r="K130" s="59"/>
      <c r="L130" s="59"/>
      <c r="M130" s="60"/>
      <c r="N130" s="60"/>
      <c r="O130" s="60"/>
      <c r="P130" s="59"/>
      <c r="Q130" s="59"/>
      <c r="R130" s="60"/>
      <c r="S130" s="60"/>
      <c r="T130" s="60"/>
      <c r="U130" s="60"/>
      <c r="V130" s="60"/>
      <c r="W130" s="60"/>
    </row>
    <row r="131" spans="1:23" ht="13" x14ac:dyDescent="0.3">
      <c r="A131" s="58"/>
      <c r="B131" s="58"/>
      <c r="C131" s="58"/>
      <c r="D131" s="58"/>
      <c r="E131" s="58"/>
      <c r="F131" s="58"/>
      <c r="G131" s="58"/>
      <c r="H131" s="59"/>
      <c r="I131" s="59"/>
      <c r="J131" s="59"/>
      <c r="K131" s="59"/>
      <c r="L131" s="59"/>
      <c r="M131" s="60"/>
      <c r="N131" s="60"/>
      <c r="O131" s="60"/>
      <c r="P131" s="59"/>
      <c r="Q131" s="59"/>
      <c r="R131" s="60"/>
      <c r="S131" s="60"/>
      <c r="T131" s="60"/>
      <c r="U131" s="60"/>
      <c r="V131" s="60"/>
      <c r="W131" s="60"/>
    </row>
    <row r="132" spans="1:23" ht="13" x14ac:dyDescent="0.3">
      <c r="A132" s="58"/>
      <c r="B132" s="58"/>
      <c r="C132" s="58"/>
      <c r="D132" s="58"/>
      <c r="E132" s="58"/>
      <c r="F132" s="58"/>
      <c r="G132" s="58"/>
      <c r="H132" s="59"/>
      <c r="I132" s="59"/>
      <c r="J132" s="59"/>
      <c r="K132" s="59"/>
      <c r="L132" s="59"/>
      <c r="M132" s="60"/>
      <c r="N132" s="60"/>
      <c r="O132" s="60"/>
      <c r="P132" s="59"/>
      <c r="Q132" s="59"/>
      <c r="R132" s="60"/>
      <c r="S132" s="60"/>
      <c r="T132" s="60"/>
      <c r="U132" s="60"/>
      <c r="V132" s="60"/>
      <c r="W132" s="60"/>
    </row>
    <row r="133" spans="1:23" ht="13" x14ac:dyDescent="0.3">
      <c r="A133" s="58"/>
      <c r="B133" s="58"/>
      <c r="C133" s="58"/>
      <c r="D133" s="58"/>
      <c r="E133" s="58"/>
      <c r="F133" s="58"/>
      <c r="G133" s="58"/>
      <c r="H133" s="59"/>
      <c r="I133" s="59"/>
      <c r="J133" s="59"/>
      <c r="K133" s="59"/>
      <c r="L133" s="59"/>
      <c r="M133" s="60"/>
      <c r="N133" s="60"/>
      <c r="O133" s="60"/>
      <c r="P133" s="59"/>
      <c r="Q133" s="59"/>
      <c r="R133" s="60"/>
      <c r="S133" s="60"/>
      <c r="T133" s="60"/>
      <c r="U133" s="60"/>
      <c r="V133" s="60"/>
      <c r="W133" s="60"/>
    </row>
    <row r="134" spans="1:23" ht="13" x14ac:dyDescent="0.3">
      <c r="A134" s="58"/>
      <c r="B134" s="58"/>
      <c r="C134" s="58"/>
      <c r="D134" s="58"/>
      <c r="E134" s="58"/>
      <c r="F134" s="58"/>
      <c r="G134" s="58"/>
      <c r="H134" s="59"/>
      <c r="I134" s="59"/>
      <c r="J134" s="59"/>
      <c r="K134" s="59"/>
      <c r="L134" s="59"/>
      <c r="M134" s="60"/>
      <c r="N134" s="60"/>
      <c r="O134" s="60"/>
      <c r="P134" s="59"/>
      <c r="Q134" s="59"/>
      <c r="R134" s="60"/>
      <c r="S134" s="60"/>
      <c r="T134" s="60"/>
      <c r="U134" s="60"/>
      <c r="V134" s="60"/>
      <c r="W134" s="60"/>
    </row>
    <row r="135" spans="1:23" ht="13" x14ac:dyDescent="0.3">
      <c r="A135" s="58"/>
      <c r="B135" s="58"/>
      <c r="C135" s="58"/>
      <c r="D135" s="58"/>
      <c r="E135" s="58"/>
      <c r="F135" s="58"/>
      <c r="G135" s="58"/>
      <c r="H135" s="59"/>
      <c r="I135" s="59"/>
      <c r="J135" s="59"/>
      <c r="K135" s="59"/>
      <c r="L135" s="59"/>
      <c r="M135" s="60"/>
      <c r="N135" s="60"/>
      <c r="O135" s="60"/>
      <c r="P135" s="59"/>
      <c r="Q135" s="59"/>
      <c r="R135" s="60"/>
      <c r="S135" s="60"/>
      <c r="T135" s="60"/>
      <c r="U135" s="60"/>
      <c r="V135" s="60"/>
      <c r="W135" s="60"/>
    </row>
    <row r="136" spans="1:23" ht="13" x14ac:dyDescent="0.3">
      <c r="A136" s="58"/>
      <c r="B136" s="58"/>
      <c r="C136" s="58"/>
      <c r="D136" s="58"/>
      <c r="E136" s="58"/>
      <c r="F136" s="58"/>
      <c r="G136" s="58"/>
      <c r="H136" s="59"/>
      <c r="I136" s="59"/>
      <c r="J136" s="59"/>
      <c r="K136" s="59"/>
      <c r="L136" s="59"/>
      <c r="M136" s="60"/>
      <c r="N136" s="60"/>
      <c r="O136" s="60"/>
      <c r="P136" s="59"/>
      <c r="Q136" s="59"/>
      <c r="R136" s="60"/>
      <c r="S136" s="60"/>
      <c r="T136" s="60"/>
      <c r="U136" s="60"/>
      <c r="V136" s="60"/>
      <c r="W136" s="60"/>
    </row>
    <row r="137" spans="1:23" ht="13" x14ac:dyDescent="0.3">
      <c r="A137" s="58"/>
      <c r="B137" s="58"/>
      <c r="C137" s="58"/>
      <c r="D137" s="58"/>
      <c r="E137" s="58"/>
      <c r="F137" s="58"/>
      <c r="G137" s="58"/>
      <c r="H137" s="59"/>
      <c r="I137" s="59"/>
      <c r="J137" s="59"/>
      <c r="K137" s="59"/>
      <c r="L137" s="59"/>
      <c r="M137" s="60"/>
      <c r="N137" s="60"/>
      <c r="O137" s="60"/>
      <c r="P137" s="59"/>
      <c r="Q137" s="59"/>
      <c r="R137" s="60"/>
      <c r="S137" s="60"/>
      <c r="T137" s="60"/>
      <c r="U137" s="60"/>
      <c r="V137" s="60"/>
      <c r="W137" s="60"/>
    </row>
    <row r="138" spans="1:23" ht="13" x14ac:dyDescent="0.3">
      <c r="A138" s="58"/>
      <c r="B138" s="58"/>
      <c r="C138" s="58"/>
      <c r="D138" s="58"/>
      <c r="E138" s="58"/>
      <c r="F138" s="58"/>
      <c r="G138" s="58"/>
      <c r="H138" s="59"/>
      <c r="I138" s="59"/>
      <c r="J138" s="59"/>
      <c r="K138" s="59"/>
      <c r="L138" s="59"/>
      <c r="M138" s="60"/>
      <c r="N138" s="60"/>
      <c r="O138" s="60"/>
      <c r="P138" s="59"/>
      <c r="Q138" s="59"/>
      <c r="R138" s="60"/>
      <c r="S138" s="60"/>
      <c r="T138" s="60"/>
      <c r="U138" s="60"/>
      <c r="V138" s="60"/>
      <c r="W138" s="60"/>
    </row>
    <row r="139" spans="1:23" ht="13" x14ac:dyDescent="0.3">
      <c r="A139" s="58"/>
      <c r="B139" s="58"/>
      <c r="C139" s="58"/>
      <c r="D139" s="58"/>
      <c r="E139" s="58"/>
      <c r="F139" s="58"/>
      <c r="G139" s="58"/>
      <c r="H139" s="59"/>
      <c r="I139" s="59"/>
      <c r="J139" s="59"/>
      <c r="K139" s="59"/>
      <c r="L139" s="59"/>
      <c r="M139" s="60"/>
      <c r="N139" s="60"/>
      <c r="O139" s="60"/>
      <c r="P139" s="59"/>
      <c r="Q139" s="59"/>
      <c r="R139" s="60"/>
      <c r="S139" s="60"/>
      <c r="T139" s="60"/>
      <c r="U139" s="60"/>
      <c r="V139" s="60"/>
      <c r="W139" s="60"/>
    </row>
    <row r="140" spans="1:23" ht="13" x14ac:dyDescent="0.3">
      <c r="A140" s="58"/>
      <c r="B140" s="58"/>
      <c r="C140" s="58"/>
      <c r="D140" s="58"/>
      <c r="E140" s="58"/>
      <c r="F140" s="58"/>
      <c r="G140" s="58"/>
      <c r="H140" s="59"/>
      <c r="I140" s="59"/>
      <c r="J140" s="59"/>
      <c r="K140" s="59"/>
      <c r="L140" s="59"/>
      <c r="M140" s="60"/>
      <c r="N140" s="60"/>
      <c r="O140" s="60"/>
      <c r="P140" s="59"/>
      <c r="Q140" s="59"/>
      <c r="R140" s="60"/>
      <c r="S140" s="60"/>
      <c r="T140" s="60"/>
      <c r="U140" s="60"/>
      <c r="V140" s="60"/>
      <c r="W140" s="60"/>
    </row>
    <row r="141" spans="1:23" ht="13" x14ac:dyDescent="0.3">
      <c r="A141" s="58"/>
      <c r="B141" s="58"/>
      <c r="C141" s="58"/>
      <c r="D141" s="58"/>
      <c r="E141" s="58"/>
      <c r="F141" s="58"/>
      <c r="G141" s="58"/>
      <c r="H141" s="59"/>
      <c r="I141" s="59"/>
      <c r="J141" s="59"/>
      <c r="K141" s="59"/>
      <c r="L141" s="59"/>
      <c r="M141" s="60"/>
      <c r="N141" s="60"/>
      <c r="O141" s="60"/>
      <c r="P141" s="59"/>
      <c r="Q141" s="59"/>
      <c r="R141" s="60"/>
      <c r="S141" s="60"/>
      <c r="T141" s="60"/>
      <c r="U141" s="60"/>
      <c r="V141" s="60"/>
      <c r="W141" s="60"/>
    </row>
    <row r="142" spans="1:23" ht="13" x14ac:dyDescent="0.3">
      <c r="A142" s="58"/>
      <c r="B142" s="58"/>
      <c r="C142" s="58"/>
      <c r="D142" s="58"/>
      <c r="E142" s="58"/>
      <c r="F142" s="58"/>
      <c r="G142" s="58"/>
      <c r="H142" s="59"/>
      <c r="I142" s="59"/>
      <c r="J142" s="59"/>
      <c r="K142" s="59"/>
      <c r="L142" s="59"/>
      <c r="M142" s="60"/>
      <c r="N142" s="60"/>
      <c r="O142" s="60"/>
      <c r="P142" s="59"/>
      <c r="Q142" s="59"/>
      <c r="R142" s="60"/>
      <c r="S142" s="60"/>
      <c r="T142" s="60"/>
      <c r="U142" s="60"/>
      <c r="V142" s="60"/>
      <c r="W142" s="60"/>
    </row>
    <row r="143" spans="1:23" ht="13" x14ac:dyDescent="0.3">
      <c r="A143" s="58"/>
      <c r="B143" s="58"/>
      <c r="C143" s="58"/>
      <c r="D143" s="58"/>
      <c r="E143" s="58"/>
      <c r="F143" s="58"/>
      <c r="G143" s="58"/>
      <c r="H143" s="59"/>
      <c r="I143" s="59"/>
      <c r="J143" s="59"/>
      <c r="K143" s="59"/>
      <c r="L143" s="59"/>
      <c r="M143" s="60"/>
      <c r="N143" s="60"/>
      <c r="O143" s="60"/>
      <c r="P143" s="59"/>
      <c r="Q143" s="59"/>
      <c r="R143" s="60"/>
      <c r="S143" s="60"/>
      <c r="T143" s="60"/>
      <c r="U143" s="60"/>
      <c r="V143" s="60"/>
      <c r="W143" s="60"/>
    </row>
    <row r="144" spans="1:23" ht="13" x14ac:dyDescent="0.3">
      <c r="A144" s="58"/>
      <c r="B144" s="58"/>
      <c r="C144" s="58"/>
      <c r="D144" s="58"/>
      <c r="E144" s="58"/>
      <c r="F144" s="58"/>
      <c r="G144" s="58"/>
      <c r="H144" s="59"/>
      <c r="I144" s="59"/>
      <c r="J144" s="59"/>
      <c r="K144" s="59"/>
      <c r="L144" s="59"/>
      <c r="M144" s="60"/>
      <c r="N144" s="60"/>
      <c r="O144" s="60"/>
      <c r="P144" s="59"/>
      <c r="Q144" s="59"/>
      <c r="R144" s="60"/>
      <c r="S144" s="60"/>
      <c r="T144" s="60"/>
      <c r="U144" s="60"/>
      <c r="V144" s="60"/>
      <c r="W144" s="60"/>
    </row>
    <row r="145" spans="1:23" ht="13" x14ac:dyDescent="0.3">
      <c r="A145" s="58"/>
      <c r="B145" s="58"/>
      <c r="C145" s="58"/>
      <c r="D145" s="58"/>
      <c r="E145" s="58"/>
      <c r="F145" s="58"/>
      <c r="G145" s="58"/>
      <c r="H145" s="59"/>
      <c r="I145" s="59"/>
      <c r="J145" s="59"/>
      <c r="K145" s="59"/>
      <c r="L145" s="59"/>
      <c r="M145" s="60"/>
      <c r="N145" s="60"/>
      <c r="O145" s="60"/>
      <c r="P145" s="59"/>
      <c r="Q145" s="59"/>
      <c r="R145" s="60"/>
      <c r="S145" s="60"/>
      <c r="T145" s="60"/>
      <c r="U145" s="60"/>
      <c r="V145" s="60"/>
      <c r="W145" s="60"/>
    </row>
    <row r="146" spans="1:23" ht="13" x14ac:dyDescent="0.3">
      <c r="A146" s="58"/>
      <c r="B146" s="58"/>
      <c r="C146" s="58"/>
      <c r="D146" s="58"/>
      <c r="E146" s="58"/>
      <c r="F146" s="58"/>
      <c r="G146" s="58"/>
      <c r="H146" s="59"/>
      <c r="I146" s="59"/>
      <c r="J146" s="59"/>
      <c r="K146" s="59"/>
      <c r="L146" s="59"/>
      <c r="M146" s="60"/>
      <c r="N146" s="60"/>
      <c r="O146" s="60"/>
      <c r="P146" s="59"/>
      <c r="Q146" s="59"/>
      <c r="R146" s="60"/>
      <c r="S146" s="60"/>
      <c r="T146" s="60"/>
      <c r="U146" s="60"/>
      <c r="V146" s="60"/>
      <c r="W146" s="60"/>
    </row>
    <row r="147" spans="1:23" ht="13" x14ac:dyDescent="0.3">
      <c r="A147" s="58"/>
      <c r="B147" s="58"/>
      <c r="C147" s="58"/>
      <c r="D147" s="58"/>
      <c r="E147" s="58"/>
      <c r="F147" s="58"/>
      <c r="G147" s="58"/>
      <c r="H147" s="59"/>
      <c r="I147" s="59"/>
      <c r="J147" s="59"/>
      <c r="K147" s="59"/>
      <c r="L147" s="59"/>
      <c r="M147" s="60"/>
      <c r="N147" s="60"/>
      <c r="O147" s="60"/>
      <c r="P147" s="59"/>
      <c r="Q147" s="59"/>
      <c r="R147" s="60"/>
      <c r="S147" s="60"/>
      <c r="T147" s="60"/>
      <c r="U147" s="60"/>
      <c r="V147" s="60"/>
      <c r="W147" s="60"/>
    </row>
    <row r="148" spans="1:23" ht="13" x14ac:dyDescent="0.3">
      <c r="A148" s="58"/>
      <c r="B148" s="58"/>
      <c r="C148" s="58"/>
      <c r="D148" s="58"/>
      <c r="E148" s="58"/>
      <c r="F148" s="58"/>
      <c r="G148" s="58"/>
      <c r="H148" s="59"/>
      <c r="I148" s="59"/>
      <c r="J148" s="59"/>
      <c r="K148" s="59"/>
      <c r="L148" s="59"/>
      <c r="M148" s="60"/>
      <c r="N148" s="60"/>
      <c r="O148" s="60"/>
      <c r="P148" s="59"/>
      <c r="Q148" s="59"/>
      <c r="R148" s="60"/>
      <c r="S148" s="60"/>
      <c r="T148" s="60"/>
      <c r="U148" s="60"/>
      <c r="V148" s="60"/>
      <c r="W148" s="60"/>
    </row>
    <row r="149" spans="1:23" ht="13" x14ac:dyDescent="0.3">
      <c r="A149" s="58"/>
      <c r="B149" s="58"/>
      <c r="C149" s="58"/>
      <c r="D149" s="58"/>
      <c r="E149" s="58"/>
      <c r="F149" s="58"/>
      <c r="G149" s="58"/>
      <c r="H149" s="59"/>
      <c r="I149" s="59"/>
      <c r="J149" s="59"/>
      <c r="K149" s="59"/>
      <c r="L149" s="59"/>
      <c r="M149" s="60"/>
      <c r="N149" s="60"/>
      <c r="O149" s="60"/>
      <c r="P149" s="59"/>
      <c r="Q149" s="59"/>
      <c r="R149" s="60"/>
      <c r="S149" s="60"/>
      <c r="T149" s="60"/>
      <c r="U149" s="60"/>
      <c r="V149" s="60"/>
      <c r="W149" s="60"/>
    </row>
    <row r="150" spans="1:23" ht="13" x14ac:dyDescent="0.3">
      <c r="A150" s="58"/>
      <c r="B150" s="58"/>
      <c r="C150" s="58"/>
      <c r="D150" s="58"/>
      <c r="E150" s="58"/>
      <c r="F150" s="58"/>
      <c r="G150" s="58"/>
      <c r="H150" s="59"/>
      <c r="I150" s="59"/>
      <c r="J150" s="59"/>
      <c r="K150" s="59"/>
      <c r="L150" s="59"/>
      <c r="M150" s="60"/>
      <c r="N150" s="60"/>
      <c r="O150" s="60"/>
      <c r="P150" s="59"/>
      <c r="Q150" s="59"/>
      <c r="R150" s="60"/>
      <c r="S150" s="60"/>
      <c r="T150" s="60"/>
      <c r="U150" s="60"/>
      <c r="V150" s="60"/>
      <c r="W150" s="60"/>
    </row>
    <row r="151" spans="1:23" ht="13" x14ac:dyDescent="0.3">
      <c r="A151" s="58"/>
      <c r="B151" s="58"/>
      <c r="C151" s="58"/>
      <c r="D151" s="58"/>
      <c r="E151" s="58"/>
      <c r="F151" s="58"/>
      <c r="G151" s="58"/>
      <c r="H151" s="59"/>
      <c r="I151" s="59"/>
      <c r="J151" s="59"/>
      <c r="K151" s="59"/>
      <c r="L151" s="59"/>
      <c r="M151" s="60"/>
      <c r="N151" s="60"/>
      <c r="O151" s="60"/>
      <c r="P151" s="59"/>
      <c r="Q151" s="59"/>
      <c r="R151" s="60"/>
      <c r="S151" s="60"/>
      <c r="T151" s="60"/>
      <c r="U151" s="60"/>
      <c r="V151" s="60"/>
      <c r="W151" s="60"/>
    </row>
    <row r="152" spans="1:23" ht="13" x14ac:dyDescent="0.3">
      <c r="A152" s="58"/>
      <c r="B152" s="58"/>
      <c r="C152" s="58"/>
      <c r="D152" s="58"/>
      <c r="E152" s="58"/>
      <c r="F152" s="58"/>
      <c r="G152" s="58"/>
      <c r="H152" s="59"/>
      <c r="I152" s="59"/>
      <c r="J152" s="59"/>
      <c r="K152" s="59"/>
      <c r="L152" s="59"/>
      <c r="M152" s="60"/>
      <c r="N152" s="60"/>
      <c r="O152" s="60"/>
      <c r="P152" s="59"/>
      <c r="Q152" s="59"/>
      <c r="R152" s="60"/>
      <c r="S152" s="60"/>
      <c r="T152" s="60"/>
      <c r="U152" s="60"/>
      <c r="V152" s="60"/>
      <c r="W152" s="60"/>
    </row>
    <row r="153" spans="1:23" ht="13" x14ac:dyDescent="0.3">
      <c r="A153" s="58"/>
      <c r="B153" s="58"/>
      <c r="C153" s="58"/>
      <c r="D153" s="58"/>
      <c r="E153" s="58"/>
      <c r="F153" s="58"/>
      <c r="G153" s="58"/>
      <c r="H153" s="59"/>
      <c r="I153" s="59"/>
      <c r="J153" s="59"/>
      <c r="K153" s="59"/>
      <c r="L153" s="59"/>
      <c r="M153" s="60"/>
      <c r="N153" s="60"/>
      <c r="O153" s="60"/>
      <c r="P153" s="59"/>
      <c r="Q153" s="59"/>
      <c r="R153" s="60"/>
      <c r="S153" s="60"/>
      <c r="T153" s="60"/>
      <c r="U153" s="60"/>
      <c r="V153" s="60"/>
      <c r="W153" s="60"/>
    </row>
    <row r="154" spans="1:23" ht="13" x14ac:dyDescent="0.3">
      <c r="A154" s="58"/>
      <c r="B154" s="58"/>
      <c r="C154" s="58"/>
      <c r="D154" s="58"/>
      <c r="E154" s="58"/>
      <c r="F154" s="58"/>
      <c r="G154" s="58"/>
      <c r="H154" s="59"/>
      <c r="I154" s="59"/>
      <c r="J154" s="59"/>
      <c r="K154" s="59"/>
      <c r="L154" s="59"/>
      <c r="M154" s="60"/>
      <c r="N154" s="60"/>
      <c r="O154" s="60"/>
      <c r="P154" s="59"/>
      <c r="Q154" s="59"/>
      <c r="R154" s="60"/>
      <c r="S154" s="60"/>
      <c r="T154" s="60"/>
      <c r="U154" s="60"/>
      <c r="V154" s="60"/>
      <c r="W154" s="60"/>
    </row>
    <row r="155" spans="1:23" ht="13" x14ac:dyDescent="0.3">
      <c r="A155" s="58"/>
      <c r="B155" s="58"/>
      <c r="C155" s="58"/>
      <c r="D155" s="58"/>
      <c r="E155" s="58"/>
      <c r="F155" s="58"/>
      <c r="G155" s="58"/>
      <c r="H155" s="59"/>
      <c r="I155" s="59"/>
      <c r="J155" s="59"/>
      <c r="K155" s="59"/>
      <c r="L155" s="59"/>
      <c r="M155" s="60"/>
      <c r="N155" s="60"/>
      <c r="O155" s="60"/>
      <c r="P155" s="59"/>
      <c r="Q155" s="59"/>
      <c r="R155" s="60"/>
      <c r="S155" s="60"/>
      <c r="T155" s="60"/>
      <c r="U155" s="60"/>
      <c r="V155" s="60"/>
      <c r="W155" s="60"/>
    </row>
    <row r="156" spans="1:23" ht="13" x14ac:dyDescent="0.3">
      <c r="A156" s="58"/>
      <c r="B156" s="58"/>
      <c r="C156" s="58"/>
      <c r="D156" s="58"/>
      <c r="E156" s="58"/>
      <c r="F156" s="58"/>
      <c r="G156" s="58"/>
      <c r="H156" s="59"/>
      <c r="I156" s="59"/>
      <c r="J156" s="59"/>
      <c r="K156" s="59"/>
      <c r="L156" s="59"/>
      <c r="M156" s="60"/>
      <c r="N156" s="60"/>
      <c r="O156" s="60"/>
      <c r="P156" s="59"/>
      <c r="Q156" s="59"/>
      <c r="R156" s="60"/>
      <c r="S156" s="60"/>
      <c r="T156" s="60"/>
      <c r="U156" s="60"/>
      <c r="V156" s="60"/>
      <c r="W156" s="60"/>
    </row>
    <row r="157" spans="1:23" ht="13" x14ac:dyDescent="0.3">
      <c r="A157" s="58"/>
      <c r="B157" s="58"/>
      <c r="C157" s="58"/>
      <c r="D157" s="58"/>
      <c r="E157" s="58"/>
      <c r="F157" s="58"/>
      <c r="G157" s="58"/>
      <c r="H157" s="59"/>
      <c r="I157" s="59"/>
      <c r="J157" s="59"/>
      <c r="K157" s="59"/>
      <c r="L157" s="59"/>
      <c r="M157" s="60"/>
      <c r="N157" s="60"/>
      <c r="O157" s="60"/>
      <c r="P157" s="59"/>
      <c r="Q157" s="59"/>
      <c r="R157" s="60"/>
      <c r="S157" s="60"/>
      <c r="T157" s="60"/>
      <c r="U157" s="60"/>
      <c r="V157" s="60"/>
      <c r="W157" s="60"/>
    </row>
    <row r="158" spans="1:23" ht="13" x14ac:dyDescent="0.3">
      <c r="A158" s="58"/>
      <c r="B158" s="58"/>
      <c r="C158" s="58"/>
      <c r="D158" s="58"/>
      <c r="E158" s="58"/>
      <c r="F158" s="58"/>
      <c r="G158" s="58"/>
      <c r="H158" s="59"/>
      <c r="I158" s="59"/>
      <c r="J158" s="59"/>
      <c r="K158" s="59"/>
      <c r="L158" s="59"/>
      <c r="M158" s="60"/>
      <c r="N158" s="60"/>
      <c r="O158" s="60"/>
      <c r="P158" s="59"/>
      <c r="Q158" s="59"/>
      <c r="R158" s="60"/>
      <c r="S158" s="60"/>
      <c r="T158" s="60"/>
      <c r="U158" s="60"/>
      <c r="V158" s="60"/>
      <c r="W158" s="60"/>
    </row>
    <row r="159" spans="1:23" ht="13" x14ac:dyDescent="0.3">
      <c r="A159" s="58"/>
      <c r="B159" s="58"/>
      <c r="C159" s="58"/>
      <c r="D159" s="58"/>
      <c r="E159" s="58"/>
      <c r="F159" s="58"/>
      <c r="G159" s="58"/>
      <c r="H159" s="59"/>
      <c r="I159" s="59"/>
      <c r="J159" s="59"/>
      <c r="K159" s="59"/>
      <c r="L159" s="59"/>
      <c r="M159" s="60"/>
      <c r="N159" s="60"/>
      <c r="O159" s="60"/>
      <c r="P159" s="59"/>
      <c r="Q159" s="59"/>
      <c r="R159" s="60"/>
      <c r="S159" s="60"/>
      <c r="T159" s="60"/>
      <c r="U159" s="60"/>
      <c r="V159" s="60"/>
      <c r="W159" s="60"/>
    </row>
    <row r="160" spans="1:23" ht="13" x14ac:dyDescent="0.3">
      <c r="A160" s="58"/>
      <c r="B160" s="58"/>
      <c r="C160" s="58"/>
      <c r="D160" s="58"/>
      <c r="E160" s="58"/>
      <c r="F160" s="58"/>
      <c r="G160" s="58"/>
      <c r="H160" s="59"/>
      <c r="I160" s="59"/>
      <c r="J160" s="59"/>
      <c r="K160" s="59"/>
      <c r="L160" s="59"/>
      <c r="M160" s="60"/>
      <c r="N160" s="60"/>
      <c r="O160" s="60"/>
      <c r="P160" s="59"/>
      <c r="Q160" s="59"/>
      <c r="R160" s="60"/>
      <c r="S160" s="60"/>
      <c r="T160" s="60"/>
      <c r="U160" s="60"/>
      <c r="V160" s="60"/>
      <c r="W160" s="60"/>
    </row>
    <row r="161" spans="1:23" ht="13" x14ac:dyDescent="0.3">
      <c r="A161" s="58"/>
      <c r="B161" s="58"/>
      <c r="C161" s="58"/>
      <c r="D161" s="58"/>
      <c r="E161" s="58"/>
      <c r="F161" s="58"/>
      <c r="G161" s="58"/>
      <c r="H161" s="59"/>
      <c r="I161" s="59"/>
      <c r="J161" s="59"/>
      <c r="K161" s="59"/>
      <c r="L161" s="59"/>
      <c r="M161" s="60"/>
      <c r="N161" s="60"/>
      <c r="O161" s="60"/>
      <c r="P161" s="59"/>
      <c r="Q161" s="59"/>
      <c r="R161" s="60"/>
      <c r="S161" s="60"/>
      <c r="T161" s="60"/>
      <c r="U161" s="60"/>
      <c r="V161" s="60"/>
      <c r="W161" s="60"/>
    </row>
    <row r="162" spans="1:23" ht="13" x14ac:dyDescent="0.3">
      <c r="A162" s="58"/>
      <c r="B162" s="58"/>
      <c r="C162" s="58"/>
      <c r="D162" s="58"/>
      <c r="E162" s="58"/>
      <c r="F162" s="58"/>
      <c r="G162" s="58"/>
      <c r="H162" s="59"/>
      <c r="I162" s="59"/>
      <c r="J162" s="59"/>
      <c r="K162" s="59"/>
      <c r="L162" s="59"/>
      <c r="M162" s="60"/>
      <c r="N162" s="60"/>
      <c r="O162" s="60"/>
      <c r="P162" s="59"/>
      <c r="Q162" s="59"/>
      <c r="R162" s="60"/>
      <c r="S162" s="60"/>
      <c r="T162" s="60"/>
      <c r="U162" s="60"/>
      <c r="V162" s="60"/>
      <c r="W162" s="60"/>
    </row>
    <row r="163" spans="1:23" ht="13" x14ac:dyDescent="0.3">
      <c r="A163" s="58"/>
      <c r="B163" s="58"/>
      <c r="C163" s="58"/>
      <c r="D163" s="58"/>
      <c r="E163" s="58"/>
      <c r="F163" s="58"/>
      <c r="G163" s="58"/>
      <c r="H163" s="59"/>
      <c r="I163" s="59"/>
      <c r="J163" s="59"/>
      <c r="K163" s="59"/>
      <c r="L163" s="59"/>
      <c r="M163" s="60"/>
      <c r="N163" s="60"/>
      <c r="O163" s="60"/>
      <c r="P163" s="59"/>
      <c r="Q163" s="59"/>
      <c r="R163" s="60"/>
      <c r="S163" s="60"/>
      <c r="T163" s="60"/>
      <c r="U163" s="60"/>
      <c r="V163" s="60"/>
      <c r="W163" s="60"/>
    </row>
    <row r="164" spans="1:23" ht="13" x14ac:dyDescent="0.3">
      <c r="A164" s="58"/>
      <c r="B164" s="58"/>
      <c r="C164" s="58"/>
      <c r="D164" s="58"/>
      <c r="E164" s="58"/>
      <c r="F164" s="58"/>
      <c r="G164" s="58"/>
      <c r="H164" s="59"/>
      <c r="I164" s="59"/>
      <c r="J164" s="59"/>
      <c r="K164" s="59"/>
      <c r="L164" s="59"/>
      <c r="M164" s="60"/>
      <c r="N164" s="60"/>
      <c r="O164" s="60"/>
      <c r="P164" s="59"/>
      <c r="Q164" s="59"/>
      <c r="R164" s="60"/>
      <c r="S164" s="60"/>
      <c r="T164" s="60"/>
      <c r="U164" s="60"/>
      <c r="V164" s="60"/>
      <c r="W164" s="60"/>
    </row>
    <row r="165" spans="1:23" ht="13" x14ac:dyDescent="0.3">
      <c r="A165" s="58"/>
      <c r="B165" s="58"/>
      <c r="C165" s="58"/>
      <c r="D165" s="58"/>
      <c r="E165" s="58"/>
      <c r="F165" s="58"/>
      <c r="G165" s="58"/>
      <c r="H165" s="59"/>
      <c r="I165" s="59"/>
      <c r="J165" s="59"/>
      <c r="K165" s="59"/>
      <c r="L165" s="59"/>
      <c r="M165" s="60"/>
      <c r="N165" s="60"/>
      <c r="O165" s="60"/>
      <c r="P165" s="59"/>
      <c r="Q165" s="59"/>
      <c r="R165" s="60"/>
      <c r="S165" s="60"/>
      <c r="T165" s="60"/>
      <c r="U165" s="60"/>
      <c r="V165" s="60"/>
      <c r="W165" s="60"/>
    </row>
    <row r="166" spans="1:23" ht="13" x14ac:dyDescent="0.3">
      <c r="A166" s="58"/>
      <c r="B166" s="58"/>
      <c r="C166" s="58"/>
      <c r="D166" s="58"/>
      <c r="E166" s="58"/>
      <c r="F166" s="58"/>
      <c r="G166" s="58"/>
      <c r="H166" s="59"/>
      <c r="I166" s="59"/>
      <c r="J166" s="59"/>
      <c r="K166" s="59"/>
      <c r="L166" s="59"/>
      <c r="M166" s="60"/>
      <c r="N166" s="60"/>
      <c r="O166" s="60"/>
      <c r="P166" s="59"/>
      <c r="Q166" s="59"/>
      <c r="R166" s="60"/>
      <c r="S166" s="60"/>
      <c r="T166" s="60"/>
      <c r="U166" s="60"/>
      <c r="V166" s="60"/>
      <c r="W166" s="60"/>
    </row>
    <row r="167" spans="1:23" ht="13" x14ac:dyDescent="0.3">
      <c r="A167" s="58"/>
      <c r="B167" s="58"/>
      <c r="C167" s="58"/>
      <c r="D167" s="58"/>
      <c r="E167" s="58"/>
      <c r="F167" s="58"/>
      <c r="G167" s="58"/>
      <c r="H167" s="59"/>
      <c r="I167" s="59"/>
      <c r="J167" s="59"/>
      <c r="K167" s="59"/>
      <c r="L167" s="59"/>
      <c r="M167" s="60"/>
      <c r="N167" s="60"/>
      <c r="O167" s="60"/>
      <c r="P167" s="59"/>
      <c r="Q167" s="59"/>
      <c r="R167" s="60"/>
      <c r="S167" s="60"/>
      <c r="T167" s="60"/>
      <c r="U167" s="60"/>
      <c r="V167" s="60"/>
      <c r="W167" s="60"/>
    </row>
    <row r="168" spans="1:23" ht="13" x14ac:dyDescent="0.3">
      <c r="A168" s="58"/>
      <c r="B168" s="58"/>
      <c r="C168" s="58"/>
      <c r="D168" s="58"/>
      <c r="E168" s="58"/>
      <c r="F168" s="58"/>
      <c r="G168" s="58"/>
      <c r="H168" s="59"/>
      <c r="I168" s="59"/>
      <c r="J168" s="59"/>
      <c r="K168" s="59"/>
      <c r="L168" s="59"/>
      <c r="M168" s="60"/>
      <c r="N168" s="60"/>
      <c r="O168" s="60"/>
      <c r="P168" s="59"/>
      <c r="Q168" s="59"/>
      <c r="R168" s="60"/>
      <c r="S168" s="60"/>
      <c r="T168" s="60"/>
      <c r="U168" s="60"/>
      <c r="V168" s="60"/>
      <c r="W168" s="60"/>
    </row>
    <row r="169" spans="1:23" ht="13" x14ac:dyDescent="0.3">
      <c r="A169" s="58"/>
      <c r="B169" s="58"/>
      <c r="C169" s="58"/>
      <c r="D169" s="58"/>
      <c r="E169" s="58"/>
      <c r="F169" s="58"/>
      <c r="G169" s="58"/>
      <c r="H169" s="59"/>
      <c r="I169" s="59"/>
      <c r="J169" s="59"/>
      <c r="K169" s="59"/>
      <c r="L169" s="59"/>
      <c r="M169" s="60"/>
      <c r="N169" s="60"/>
      <c r="O169" s="60"/>
      <c r="P169" s="59"/>
      <c r="Q169" s="59"/>
      <c r="R169" s="60"/>
      <c r="S169" s="60"/>
      <c r="T169" s="60"/>
      <c r="U169" s="60"/>
      <c r="V169" s="60"/>
      <c r="W169" s="60"/>
    </row>
    <row r="170" spans="1:23" ht="13" x14ac:dyDescent="0.3">
      <c r="A170" s="58"/>
      <c r="B170" s="58"/>
      <c r="C170" s="58"/>
      <c r="D170" s="58"/>
      <c r="E170" s="58"/>
      <c r="F170" s="58"/>
      <c r="G170" s="58"/>
      <c r="H170" s="59"/>
      <c r="I170" s="59"/>
      <c r="J170" s="59"/>
      <c r="K170" s="59"/>
      <c r="L170" s="59"/>
      <c r="M170" s="60"/>
      <c r="N170" s="60"/>
      <c r="O170" s="60"/>
      <c r="P170" s="59"/>
      <c r="Q170" s="59"/>
      <c r="R170" s="60"/>
      <c r="S170" s="60"/>
      <c r="T170" s="60"/>
      <c r="U170" s="60"/>
      <c r="V170" s="60"/>
      <c r="W170" s="60"/>
    </row>
    <row r="171" spans="1:23" ht="13" x14ac:dyDescent="0.3">
      <c r="A171" s="58"/>
      <c r="B171" s="58"/>
      <c r="C171" s="58"/>
      <c r="D171" s="58"/>
      <c r="E171" s="58"/>
      <c r="F171" s="58"/>
      <c r="G171" s="58"/>
      <c r="H171" s="59"/>
      <c r="I171" s="59"/>
      <c r="J171" s="59"/>
      <c r="K171" s="59"/>
      <c r="L171" s="59"/>
      <c r="M171" s="60"/>
      <c r="N171" s="60"/>
      <c r="O171" s="60"/>
      <c r="P171" s="59"/>
      <c r="Q171" s="59"/>
      <c r="R171" s="60"/>
      <c r="S171" s="60"/>
      <c r="T171" s="60"/>
      <c r="U171" s="60"/>
      <c r="V171" s="60"/>
      <c r="W171" s="60"/>
    </row>
    <row r="172" spans="1:23" ht="13" x14ac:dyDescent="0.3">
      <c r="A172" s="58"/>
      <c r="B172" s="58"/>
      <c r="C172" s="58"/>
      <c r="D172" s="58"/>
      <c r="E172" s="58"/>
      <c r="F172" s="58"/>
      <c r="G172" s="58"/>
      <c r="H172" s="59"/>
      <c r="I172" s="59"/>
      <c r="J172" s="59"/>
      <c r="K172" s="59"/>
      <c r="L172" s="59"/>
      <c r="M172" s="60"/>
      <c r="N172" s="60"/>
      <c r="O172" s="60"/>
      <c r="P172" s="59"/>
      <c r="Q172" s="59"/>
      <c r="R172" s="60"/>
      <c r="S172" s="60"/>
      <c r="T172" s="60"/>
      <c r="U172" s="60"/>
      <c r="V172" s="60"/>
      <c r="W172" s="60"/>
    </row>
    <row r="173" spans="1:23" ht="13" x14ac:dyDescent="0.3">
      <c r="A173" s="58"/>
      <c r="B173" s="58"/>
      <c r="C173" s="58"/>
      <c r="D173" s="58"/>
      <c r="E173" s="58"/>
      <c r="F173" s="58"/>
      <c r="G173" s="58"/>
      <c r="H173" s="59"/>
      <c r="I173" s="59"/>
      <c r="J173" s="59"/>
      <c r="K173" s="59"/>
      <c r="L173" s="59"/>
      <c r="M173" s="60"/>
      <c r="N173" s="60"/>
      <c r="O173" s="60"/>
      <c r="P173" s="59"/>
      <c r="Q173" s="59"/>
      <c r="R173" s="60"/>
      <c r="S173" s="60"/>
      <c r="T173" s="60"/>
      <c r="U173" s="60"/>
      <c r="V173" s="60"/>
      <c r="W173" s="60"/>
    </row>
    <row r="174" spans="1:23" ht="13" x14ac:dyDescent="0.3">
      <c r="A174" s="58"/>
      <c r="B174" s="58"/>
      <c r="C174" s="58"/>
      <c r="D174" s="58"/>
      <c r="E174" s="58"/>
      <c r="F174" s="58"/>
      <c r="G174" s="58"/>
      <c r="H174" s="59"/>
      <c r="I174" s="59"/>
      <c r="J174" s="59"/>
      <c r="K174" s="59"/>
      <c r="L174" s="59"/>
      <c r="M174" s="60"/>
      <c r="N174" s="60"/>
      <c r="O174" s="60"/>
      <c r="P174" s="59"/>
      <c r="Q174" s="59"/>
      <c r="R174" s="60"/>
      <c r="S174" s="60"/>
      <c r="T174" s="60"/>
      <c r="U174" s="60"/>
      <c r="V174" s="60"/>
      <c r="W174" s="60"/>
    </row>
    <row r="175" spans="1:23" ht="13" x14ac:dyDescent="0.3">
      <c r="A175" s="58"/>
      <c r="B175" s="58"/>
      <c r="C175" s="58"/>
      <c r="D175" s="58"/>
      <c r="E175" s="58"/>
      <c r="F175" s="58"/>
      <c r="G175" s="58"/>
      <c r="H175" s="59"/>
      <c r="I175" s="59"/>
      <c r="J175" s="59"/>
      <c r="K175" s="59"/>
      <c r="L175" s="59"/>
      <c r="M175" s="60"/>
      <c r="N175" s="60"/>
      <c r="O175" s="60"/>
      <c r="P175" s="59"/>
      <c r="Q175" s="59"/>
      <c r="R175" s="60"/>
      <c r="S175" s="60"/>
      <c r="T175" s="60"/>
      <c r="U175" s="60"/>
      <c r="V175" s="60"/>
      <c r="W175" s="60"/>
    </row>
    <row r="176" spans="1:23" ht="13" x14ac:dyDescent="0.3">
      <c r="A176" s="58"/>
      <c r="B176" s="58"/>
      <c r="C176" s="58"/>
      <c r="D176" s="58"/>
      <c r="E176" s="58"/>
      <c r="F176" s="58"/>
      <c r="G176" s="58"/>
      <c r="H176" s="59"/>
      <c r="I176" s="59"/>
      <c r="J176" s="59"/>
      <c r="K176" s="59"/>
      <c r="L176" s="59"/>
      <c r="M176" s="60"/>
      <c r="N176" s="60"/>
      <c r="O176" s="60"/>
      <c r="P176" s="59"/>
      <c r="Q176" s="59"/>
      <c r="R176" s="60"/>
      <c r="S176" s="60"/>
      <c r="T176" s="60"/>
      <c r="U176" s="60"/>
      <c r="V176" s="60"/>
      <c r="W176" s="60"/>
    </row>
    <row r="177" spans="1:23" ht="13" x14ac:dyDescent="0.3">
      <c r="A177" s="58"/>
      <c r="B177" s="58"/>
      <c r="C177" s="58"/>
      <c r="D177" s="58"/>
      <c r="E177" s="58"/>
      <c r="F177" s="58"/>
      <c r="G177" s="58"/>
      <c r="H177" s="59"/>
      <c r="I177" s="59"/>
      <c r="J177" s="59"/>
      <c r="K177" s="59"/>
      <c r="L177" s="59"/>
      <c r="M177" s="60"/>
      <c r="N177" s="60"/>
      <c r="O177" s="60"/>
      <c r="P177" s="59"/>
      <c r="Q177" s="59"/>
      <c r="R177" s="60"/>
      <c r="S177" s="60"/>
      <c r="T177" s="60"/>
      <c r="U177" s="60"/>
      <c r="V177" s="60"/>
      <c r="W177" s="60"/>
    </row>
    <row r="178" spans="1:23" ht="13" x14ac:dyDescent="0.3">
      <c r="A178" s="58"/>
      <c r="B178" s="58"/>
      <c r="C178" s="58"/>
      <c r="D178" s="58"/>
      <c r="E178" s="58"/>
      <c r="F178" s="58"/>
      <c r="G178" s="58"/>
      <c r="H178" s="59"/>
      <c r="I178" s="59"/>
      <c r="J178" s="59"/>
      <c r="K178" s="59"/>
      <c r="L178" s="59"/>
      <c r="M178" s="60"/>
      <c r="N178" s="60"/>
      <c r="O178" s="60"/>
      <c r="P178" s="59"/>
      <c r="Q178" s="59"/>
      <c r="R178" s="60"/>
      <c r="S178" s="60"/>
      <c r="T178" s="60"/>
      <c r="U178" s="60"/>
      <c r="V178" s="60"/>
      <c r="W178" s="60"/>
    </row>
    <row r="179" spans="1:23" ht="13" x14ac:dyDescent="0.3">
      <c r="A179" s="58"/>
      <c r="B179" s="58"/>
      <c r="C179" s="58"/>
      <c r="D179" s="58"/>
      <c r="E179" s="58"/>
      <c r="F179" s="58"/>
      <c r="G179" s="58"/>
      <c r="H179" s="59"/>
      <c r="I179" s="59"/>
      <c r="J179" s="59"/>
      <c r="K179" s="59"/>
      <c r="L179" s="59"/>
      <c r="M179" s="60"/>
      <c r="N179" s="60"/>
      <c r="O179" s="60"/>
      <c r="P179" s="59"/>
      <c r="Q179" s="59"/>
      <c r="R179" s="60"/>
      <c r="S179" s="60"/>
      <c r="T179" s="60"/>
      <c r="U179" s="60"/>
      <c r="V179" s="60"/>
      <c r="W179" s="60"/>
    </row>
    <row r="180" spans="1:23" ht="13" x14ac:dyDescent="0.3">
      <c r="A180" s="58"/>
      <c r="B180" s="58"/>
      <c r="C180" s="58"/>
      <c r="D180" s="58"/>
      <c r="E180" s="58"/>
      <c r="F180" s="58"/>
      <c r="G180" s="58"/>
      <c r="H180" s="59"/>
      <c r="I180" s="59"/>
      <c r="J180" s="59"/>
      <c r="K180" s="59"/>
      <c r="L180" s="59"/>
      <c r="M180" s="60"/>
      <c r="N180" s="60"/>
      <c r="O180" s="60"/>
      <c r="P180" s="59"/>
      <c r="Q180" s="59"/>
      <c r="R180" s="60"/>
      <c r="S180" s="60"/>
      <c r="T180" s="60"/>
      <c r="U180" s="60"/>
      <c r="V180" s="60"/>
      <c r="W180" s="60"/>
    </row>
    <row r="181" spans="1:23" ht="13" x14ac:dyDescent="0.3">
      <c r="A181" s="58"/>
      <c r="B181" s="58"/>
      <c r="C181" s="58"/>
      <c r="D181" s="58"/>
      <c r="E181" s="58"/>
      <c r="F181" s="58"/>
      <c r="G181" s="58"/>
      <c r="H181" s="59"/>
      <c r="I181" s="59"/>
      <c r="J181" s="59"/>
      <c r="K181" s="59"/>
      <c r="L181" s="59"/>
      <c r="M181" s="60"/>
      <c r="N181" s="60"/>
      <c r="O181" s="60"/>
      <c r="P181" s="59"/>
      <c r="Q181" s="59"/>
      <c r="R181" s="60"/>
      <c r="S181" s="60"/>
      <c r="T181" s="60"/>
      <c r="U181" s="60"/>
      <c r="V181" s="60"/>
      <c r="W181" s="60"/>
    </row>
    <row r="182" spans="1:23" ht="13" x14ac:dyDescent="0.3">
      <c r="A182" s="58"/>
      <c r="B182" s="58"/>
      <c r="C182" s="58"/>
      <c r="D182" s="58"/>
      <c r="E182" s="58"/>
      <c r="F182" s="58"/>
      <c r="G182" s="58"/>
      <c r="H182" s="59"/>
      <c r="I182" s="59"/>
      <c r="J182" s="59"/>
      <c r="K182" s="59"/>
      <c r="L182" s="59"/>
      <c r="M182" s="60"/>
      <c r="N182" s="60"/>
      <c r="O182" s="60"/>
      <c r="P182" s="59"/>
      <c r="Q182" s="59"/>
      <c r="R182" s="60"/>
      <c r="S182" s="60"/>
      <c r="T182" s="60"/>
      <c r="U182" s="60"/>
      <c r="V182" s="60"/>
      <c r="W182" s="60"/>
    </row>
    <row r="183" spans="1:23" ht="13" x14ac:dyDescent="0.3">
      <c r="A183" s="58"/>
      <c r="B183" s="58"/>
      <c r="C183" s="58"/>
      <c r="D183" s="58"/>
      <c r="E183" s="58"/>
      <c r="F183" s="58"/>
      <c r="G183" s="58"/>
      <c r="H183" s="59"/>
      <c r="I183" s="59"/>
      <c r="J183" s="59"/>
      <c r="K183" s="59"/>
      <c r="L183" s="59"/>
      <c r="M183" s="60"/>
      <c r="N183" s="60"/>
      <c r="O183" s="60"/>
      <c r="P183" s="59"/>
      <c r="Q183" s="59"/>
      <c r="R183" s="60"/>
      <c r="S183" s="60"/>
      <c r="T183" s="60"/>
      <c r="U183" s="60"/>
      <c r="V183" s="60"/>
      <c r="W183" s="60"/>
    </row>
    <row r="184" spans="1:23" ht="13" x14ac:dyDescent="0.3">
      <c r="A184" s="58"/>
      <c r="B184" s="58"/>
      <c r="C184" s="58"/>
      <c r="D184" s="58"/>
      <c r="E184" s="58"/>
      <c r="F184" s="58"/>
      <c r="G184" s="58"/>
      <c r="H184" s="59"/>
      <c r="I184" s="59"/>
      <c r="J184" s="59"/>
      <c r="K184" s="59"/>
      <c r="L184" s="59"/>
      <c r="M184" s="60"/>
      <c r="N184" s="60"/>
      <c r="O184" s="60"/>
      <c r="P184" s="59"/>
      <c r="Q184" s="59"/>
      <c r="R184" s="60"/>
      <c r="S184" s="60"/>
      <c r="T184" s="60"/>
      <c r="U184" s="60"/>
      <c r="V184" s="60"/>
      <c r="W184" s="60"/>
    </row>
    <row r="185" spans="1:23" ht="13" x14ac:dyDescent="0.3">
      <c r="A185" s="58"/>
      <c r="B185" s="58"/>
      <c r="C185" s="58"/>
      <c r="D185" s="58"/>
      <c r="E185" s="58"/>
      <c r="F185" s="58"/>
      <c r="G185" s="58"/>
      <c r="H185" s="59"/>
      <c r="I185" s="59"/>
      <c r="J185" s="59"/>
      <c r="K185" s="59"/>
      <c r="L185" s="59"/>
      <c r="M185" s="60"/>
      <c r="N185" s="60"/>
      <c r="O185" s="60"/>
      <c r="P185" s="59"/>
      <c r="Q185" s="59"/>
      <c r="R185" s="60"/>
      <c r="S185" s="60"/>
      <c r="T185" s="60"/>
      <c r="U185" s="60"/>
      <c r="V185" s="60"/>
      <c r="W185" s="60"/>
    </row>
    <row r="186" spans="1:23" ht="13" x14ac:dyDescent="0.3">
      <c r="A186" s="58"/>
      <c r="B186" s="58"/>
      <c r="C186" s="58"/>
      <c r="D186" s="58"/>
      <c r="E186" s="58"/>
      <c r="F186" s="58"/>
      <c r="G186" s="58"/>
      <c r="H186" s="59"/>
      <c r="I186" s="59"/>
      <c r="J186" s="59"/>
      <c r="K186" s="59"/>
      <c r="L186" s="59"/>
      <c r="M186" s="60"/>
      <c r="N186" s="60"/>
      <c r="O186" s="60"/>
      <c r="P186" s="59"/>
      <c r="Q186" s="59"/>
      <c r="R186" s="60"/>
      <c r="S186" s="60"/>
      <c r="T186" s="60"/>
      <c r="U186" s="60"/>
      <c r="V186" s="60"/>
      <c r="W186" s="60"/>
    </row>
    <row r="187" spans="1:23" ht="13" x14ac:dyDescent="0.3">
      <c r="A187" s="58"/>
      <c r="B187" s="58"/>
      <c r="C187" s="58"/>
      <c r="D187" s="58"/>
      <c r="E187" s="58"/>
      <c r="F187" s="58"/>
      <c r="G187" s="58"/>
      <c r="H187" s="59"/>
      <c r="I187" s="59"/>
      <c r="J187" s="59"/>
      <c r="K187" s="59"/>
      <c r="L187" s="59"/>
      <c r="M187" s="60"/>
      <c r="N187" s="60"/>
      <c r="O187" s="60"/>
      <c r="P187" s="59"/>
      <c r="Q187" s="59"/>
      <c r="R187" s="60"/>
      <c r="S187" s="60"/>
      <c r="T187" s="60"/>
      <c r="U187" s="60"/>
      <c r="V187" s="60"/>
      <c r="W187" s="60"/>
    </row>
    <row r="188" spans="1:23" ht="13" x14ac:dyDescent="0.3">
      <c r="A188" s="58"/>
      <c r="B188" s="58"/>
      <c r="C188" s="58"/>
      <c r="D188" s="58"/>
      <c r="E188" s="58"/>
      <c r="F188" s="58"/>
      <c r="G188" s="58"/>
      <c r="H188" s="59"/>
      <c r="I188" s="59"/>
      <c r="J188" s="59"/>
      <c r="K188" s="59"/>
      <c r="L188" s="59"/>
      <c r="M188" s="60"/>
      <c r="N188" s="60"/>
      <c r="O188" s="60"/>
      <c r="P188" s="59"/>
      <c r="Q188" s="59"/>
      <c r="R188" s="60"/>
      <c r="S188" s="60"/>
      <c r="T188" s="60"/>
      <c r="U188" s="60"/>
      <c r="V188" s="60"/>
      <c r="W188" s="60"/>
    </row>
    <row r="189" spans="1:23" ht="13" x14ac:dyDescent="0.3">
      <c r="A189" s="58"/>
      <c r="B189" s="58"/>
      <c r="C189" s="58"/>
      <c r="D189" s="58"/>
      <c r="E189" s="58"/>
      <c r="F189" s="58"/>
      <c r="G189" s="58"/>
      <c r="H189" s="59"/>
      <c r="I189" s="59"/>
      <c r="J189" s="59"/>
      <c r="K189" s="59"/>
      <c r="L189" s="59"/>
      <c r="M189" s="60"/>
      <c r="N189" s="60"/>
      <c r="O189" s="60"/>
      <c r="P189" s="59"/>
      <c r="Q189" s="59"/>
      <c r="R189" s="60"/>
      <c r="S189" s="60"/>
      <c r="T189" s="60"/>
      <c r="U189" s="60"/>
      <c r="V189" s="60"/>
      <c r="W189" s="60"/>
    </row>
    <row r="190" spans="1:23" ht="13" x14ac:dyDescent="0.3">
      <c r="A190" s="58"/>
      <c r="B190" s="58"/>
      <c r="C190" s="58"/>
      <c r="D190" s="58"/>
      <c r="E190" s="58"/>
      <c r="F190" s="58"/>
      <c r="G190" s="58"/>
      <c r="H190" s="59"/>
      <c r="I190" s="59"/>
      <c r="J190" s="59"/>
      <c r="K190" s="59"/>
      <c r="L190" s="59"/>
      <c r="M190" s="60"/>
      <c r="N190" s="60"/>
      <c r="O190" s="60"/>
      <c r="P190" s="59"/>
      <c r="Q190" s="59"/>
      <c r="R190" s="60"/>
      <c r="S190" s="60"/>
      <c r="T190" s="60"/>
      <c r="U190" s="60"/>
      <c r="V190" s="60"/>
      <c r="W190" s="60"/>
    </row>
    <row r="191" spans="1:23" ht="13" x14ac:dyDescent="0.3">
      <c r="A191" s="58"/>
      <c r="B191" s="58"/>
      <c r="C191" s="58"/>
      <c r="D191" s="58"/>
      <c r="E191" s="58"/>
      <c r="F191" s="58"/>
      <c r="G191" s="58"/>
      <c r="H191" s="59"/>
      <c r="I191" s="59"/>
      <c r="J191" s="59"/>
      <c r="K191" s="59"/>
      <c r="L191" s="59"/>
      <c r="M191" s="60"/>
      <c r="N191" s="60"/>
      <c r="O191" s="60"/>
      <c r="P191" s="59"/>
      <c r="Q191" s="59"/>
      <c r="R191" s="60"/>
      <c r="S191" s="60"/>
      <c r="T191" s="60"/>
      <c r="U191" s="60"/>
      <c r="V191" s="60"/>
      <c r="W191" s="60"/>
    </row>
    <row r="192" spans="1:23" ht="13" x14ac:dyDescent="0.3">
      <c r="A192" s="58"/>
      <c r="B192" s="58"/>
      <c r="C192" s="58"/>
      <c r="D192" s="58"/>
      <c r="E192" s="58"/>
      <c r="F192" s="58"/>
      <c r="G192" s="58"/>
      <c r="H192" s="59"/>
      <c r="I192" s="59"/>
      <c r="J192" s="59"/>
      <c r="K192" s="59"/>
      <c r="L192" s="59"/>
      <c r="M192" s="60"/>
      <c r="N192" s="60"/>
      <c r="O192" s="60"/>
      <c r="P192" s="59"/>
      <c r="Q192" s="59"/>
      <c r="R192" s="60"/>
      <c r="S192" s="60"/>
      <c r="T192" s="60"/>
      <c r="U192" s="60"/>
      <c r="V192" s="60"/>
      <c r="W192" s="60"/>
    </row>
    <row r="193" spans="1:23" ht="13" x14ac:dyDescent="0.3">
      <c r="A193" s="58"/>
      <c r="B193" s="58"/>
      <c r="C193" s="58"/>
      <c r="D193" s="58"/>
      <c r="E193" s="58"/>
      <c r="F193" s="58"/>
      <c r="G193" s="58"/>
      <c r="H193" s="59"/>
      <c r="I193" s="59"/>
      <c r="J193" s="59"/>
      <c r="K193" s="59"/>
      <c r="L193" s="59"/>
      <c r="M193" s="60"/>
      <c r="N193" s="60"/>
      <c r="O193" s="60"/>
      <c r="P193" s="59"/>
      <c r="Q193" s="59"/>
      <c r="R193" s="60"/>
      <c r="S193" s="60"/>
      <c r="T193" s="60"/>
      <c r="U193" s="60"/>
      <c r="V193" s="60"/>
      <c r="W193" s="60"/>
    </row>
    <row r="194" spans="1:23" ht="13" x14ac:dyDescent="0.3">
      <c r="A194" s="58"/>
      <c r="B194" s="58"/>
      <c r="C194" s="58"/>
      <c r="D194" s="58"/>
      <c r="E194" s="58"/>
      <c r="F194" s="58"/>
      <c r="G194" s="58"/>
      <c r="H194" s="59"/>
      <c r="I194" s="59"/>
      <c r="J194" s="59"/>
      <c r="K194" s="59"/>
      <c r="L194" s="59"/>
      <c r="M194" s="60"/>
      <c r="N194" s="60"/>
      <c r="O194" s="60"/>
      <c r="P194" s="59"/>
      <c r="Q194" s="59"/>
      <c r="R194" s="60"/>
      <c r="S194" s="60"/>
      <c r="T194" s="60"/>
      <c r="U194" s="60"/>
      <c r="V194" s="60"/>
      <c r="W194" s="60"/>
    </row>
    <row r="195" spans="1:23" ht="13" x14ac:dyDescent="0.3">
      <c r="A195" s="58"/>
      <c r="B195" s="58"/>
      <c r="C195" s="58"/>
      <c r="D195" s="58"/>
      <c r="E195" s="58"/>
      <c r="F195" s="58"/>
      <c r="G195" s="58"/>
      <c r="H195" s="59"/>
      <c r="I195" s="59"/>
      <c r="J195" s="59"/>
      <c r="K195" s="59"/>
      <c r="L195" s="59"/>
      <c r="M195" s="60"/>
      <c r="N195" s="60"/>
      <c r="O195" s="60"/>
      <c r="P195" s="59"/>
      <c r="Q195" s="59"/>
      <c r="R195" s="60"/>
      <c r="S195" s="60"/>
      <c r="T195" s="60"/>
      <c r="U195" s="60"/>
      <c r="V195" s="60"/>
      <c r="W195" s="60"/>
    </row>
    <row r="196" spans="1:23" ht="13" x14ac:dyDescent="0.3">
      <c r="A196" s="58"/>
      <c r="B196" s="58"/>
      <c r="C196" s="58"/>
      <c r="D196" s="58"/>
      <c r="E196" s="58"/>
      <c r="F196" s="58"/>
      <c r="G196" s="58"/>
      <c r="H196" s="59"/>
      <c r="I196" s="59"/>
      <c r="J196" s="59"/>
      <c r="K196" s="59"/>
      <c r="L196" s="59"/>
      <c r="M196" s="60"/>
      <c r="N196" s="60"/>
      <c r="O196" s="60"/>
      <c r="P196" s="59"/>
      <c r="Q196" s="59"/>
      <c r="R196" s="60"/>
      <c r="S196" s="60"/>
      <c r="T196" s="60"/>
      <c r="U196" s="60"/>
      <c r="V196" s="60"/>
      <c r="W196" s="60"/>
    </row>
    <row r="197" spans="1:23" ht="13" x14ac:dyDescent="0.3">
      <c r="A197" s="58"/>
      <c r="B197" s="58"/>
      <c r="C197" s="58"/>
      <c r="D197" s="58"/>
      <c r="E197" s="58"/>
      <c r="F197" s="58"/>
      <c r="G197" s="58"/>
      <c r="H197" s="59"/>
      <c r="I197" s="59"/>
      <c r="J197" s="59"/>
      <c r="K197" s="59"/>
      <c r="L197" s="59"/>
      <c r="M197" s="60"/>
      <c r="N197" s="60"/>
      <c r="O197" s="60"/>
      <c r="P197" s="59"/>
      <c r="Q197" s="59"/>
      <c r="R197" s="60"/>
      <c r="S197" s="60"/>
      <c r="T197" s="60"/>
      <c r="U197" s="60"/>
      <c r="V197" s="60"/>
      <c r="W197" s="60"/>
    </row>
    <row r="198" spans="1:23" ht="13" x14ac:dyDescent="0.3">
      <c r="A198" s="58"/>
      <c r="B198" s="58"/>
      <c r="C198" s="58"/>
      <c r="D198" s="58"/>
      <c r="E198" s="58"/>
      <c r="F198" s="58"/>
      <c r="G198" s="58"/>
      <c r="H198" s="59"/>
      <c r="I198" s="59"/>
      <c r="J198" s="59"/>
      <c r="K198" s="59"/>
      <c r="L198" s="59"/>
      <c r="M198" s="60"/>
      <c r="N198" s="60"/>
      <c r="O198" s="60"/>
      <c r="P198" s="59"/>
      <c r="Q198" s="59"/>
      <c r="R198" s="60"/>
      <c r="S198" s="60"/>
      <c r="T198" s="60"/>
      <c r="U198" s="60"/>
      <c r="V198" s="60"/>
      <c r="W198" s="60"/>
    </row>
    <row r="199" spans="1:23" ht="13" x14ac:dyDescent="0.3">
      <c r="A199" s="58"/>
      <c r="B199" s="58"/>
      <c r="C199" s="58"/>
      <c r="D199" s="58"/>
      <c r="E199" s="58"/>
      <c r="F199" s="58"/>
      <c r="G199" s="58"/>
      <c r="H199" s="59"/>
      <c r="I199" s="59"/>
      <c r="J199" s="59"/>
      <c r="K199" s="59"/>
      <c r="L199" s="59"/>
      <c r="M199" s="60"/>
      <c r="N199" s="60"/>
      <c r="O199" s="60"/>
      <c r="P199" s="59"/>
      <c r="Q199" s="59"/>
      <c r="R199" s="60"/>
      <c r="S199" s="60"/>
      <c r="T199" s="60"/>
      <c r="U199" s="60"/>
      <c r="V199" s="60"/>
      <c r="W199" s="60"/>
    </row>
    <row r="200" spans="1:23" ht="13" x14ac:dyDescent="0.3">
      <c r="A200" s="58"/>
      <c r="B200" s="58"/>
      <c r="C200" s="58"/>
      <c r="D200" s="58"/>
      <c r="E200" s="58"/>
      <c r="F200" s="58"/>
      <c r="G200" s="58"/>
      <c r="H200" s="59"/>
      <c r="I200" s="59"/>
      <c r="J200" s="59"/>
      <c r="K200" s="59"/>
      <c r="L200" s="59"/>
      <c r="M200" s="60"/>
      <c r="N200" s="60"/>
      <c r="O200" s="60"/>
      <c r="P200" s="59"/>
      <c r="Q200" s="59"/>
      <c r="R200" s="60"/>
      <c r="S200" s="60"/>
      <c r="T200" s="60"/>
      <c r="U200" s="60"/>
      <c r="V200" s="60"/>
      <c r="W200" s="60"/>
    </row>
    <row r="201" spans="1:23" ht="13" x14ac:dyDescent="0.3">
      <c r="A201" s="58"/>
      <c r="B201" s="58"/>
      <c r="C201" s="58"/>
      <c r="D201" s="58"/>
      <c r="E201" s="58"/>
      <c r="F201" s="58"/>
      <c r="G201" s="58"/>
      <c r="H201" s="59"/>
      <c r="I201" s="59"/>
      <c r="J201" s="59"/>
      <c r="K201" s="59"/>
      <c r="L201" s="59"/>
      <c r="M201" s="60"/>
      <c r="N201" s="60"/>
      <c r="O201" s="60"/>
      <c r="P201" s="59"/>
      <c r="Q201" s="59"/>
      <c r="R201" s="60"/>
      <c r="S201" s="60"/>
      <c r="T201" s="60"/>
      <c r="U201" s="60"/>
      <c r="V201" s="60"/>
      <c r="W201" s="60"/>
    </row>
    <row r="202" spans="1:23" ht="13" x14ac:dyDescent="0.3">
      <c r="A202" s="58"/>
      <c r="B202" s="58"/>
      <c r="C202" s="58"/>
      <c r="D202" s="58"/>
      <c r="E202" s="58"/>
      <c r="F202" s="58"/>
      <c r="G202" s="58"/>
      <c r="H202" s="59"/>
      <c r="I202" s="59"/>
      <c r="J202" s="59"/>
      <c r="K202" s="59"/>
      <c r="L202" s="59"/>
      <c r="M202" s="60"/>
      <c r="N202" s="60"/>
      <c r="O202" s="60"/>
      <c r="P202" s="59"/>
      <c r="Q202" s="59"/>
      <c r="R202" s="60"/>
      <c r="S202" s="60"/>
      <c r="T202" s="60"/>
      <c r="U202" s="60"/>
      <c r="V202" s="60"/>
      <c r="W202" s="60"/>
    </row>
    <row r="203" spans="1:23" ht="13" x14ac:dyDescent="0.3">
      <c r="A203" s="58"/>
      <c r="B203" s="58"/>
      <c r="C203" s="58"/>
      <c r="D203" s="58"/>
      <c r="E203" s="58"/>
      <c r="F203" s="58"/>
      <c r="G203" s="58"/>
      <c r="H203" s="59"/>
      <c r="I203" s="59"/>
      <c r="J203" s="59"/>
      <c r="K203" s="59"/>
      <c r="L203" s="59"/>
      <c r="M203" s="60"/>
      <c r="N203" s="60"/>
      <c r="O203" s="60"/>
      <c r="P203" s="59"/>
      <c r="Q203" s="59"/>
      <c r="R203" s="60"/>
      <c r="S203" s="60"/>
      <c r="T203" s="60"/>
      <c r="U203" s="60"/>
      <c r="V203" s="60"/>
      <c r="W203" s="60"/>
    </row>
    <row r="204" spans="1:23" ht="13" x14ac:dyDescent="0.3">
      <c r="A204" s="58"/>
      <c r="B204" s="58"/>
      <c r="C204" s="58"/>
      <c r="D204" s="58"/>
      <c r="E204" s="58"/>
      <c r="F204" s="58"/>
      <c r="G204" s="58"/>
      <c r="H204" s="59"/>
      <c r="I204" s="59"/>
      <c r="J204" s="59"/>
      <c r="K204" s="59"/>
      <c r="L204" s="59"/>
      <c r="M204" s="60"/>
      <c r="N204" s="60"/>
      <c r="O204" s="60"/>
      <c r="P204" s="59"/>
      <c r="Q204" s="59"/>
      <c r="R204" s="60"/>
      <c r="S204" s="60"/>
      <c r="T204" s="60"/>
      <c r="U204" s="60"/>
      <c r="V204" s="60"/>
      <c r="W204" s="60"/>
    </row>
    <row r="205" spans="1:23" ht="13" x14ac:dyDescent="0.3">
      <c r="A205" s="58"/>
      <c r="B205" s="58"/>
      <c r="C205" s="58"/>
      <c r="D205" s="58"/>
      <c r="E205" s="58"/>
      <c r="F205" s="58"/>
      <c r="G205" s="58"/>
      <c r="H205" s="59"/>
      <c r="I205" s="59"/>
      <c r="J205" s="59"/>
      <c r="K205" s="59"/>
      <c r="L205" s="59"/>
      <c r="M205" s="60"/>
      <c r="N205" s="60"/>
      <c r="O205" s="60"/>
      <c r="P205" s="59"/>
      <c r="Q205" s="59"/>
      <c r="R205" s="60"/>
      <c r="S205" s="60"/>
      <c r="T205" s="60"/>
      <c r="U205" s="60"/>
      <c r="V205" s="60"/>
      <c r="W205" s="60"/>
    </row>
    <row r="206" spans="1:23" ht="13" x14ac:dyDescent="0.3">
      <c r="A206" s="58"/>
      <c r="B206" s="58"/>
      <c r="C206" s="58"/>
      <c r="D206" s="58"/>
      <c r="E206" s="58"/>
      <c r="F206" s="58"/>
      <c r="G206" s="58"/>
      <c r="H206" s="59"/>
      <c r="I206" s="59"/>
      <c r="J206" s="59"/>
      <c r="K206" s="59"/>
      <c r="L206" s="59"/>
      <c r="M206" s="60"/>
      <c r="N206" s="60"/>
      <c r="O206" s="60"/>
      <c r="P206" s="59"/>
      <c r="Q206" s="59"/>
      <c r="R206" s="60"/>
      <c r="S206" s="60"/>
      <c r="T206" s="60"/>
      <c r="U206" s="60"/>
      <c r="V206" s="60"/>
      <c r="W206" s="60"/>
    </row>
    <row r="207" spans="1:23" ht="13" x14ac:dyDescent="0.3">
      <c r="A207" s="58"/>
      <c r="B207" s="58"/>
      <c r="C207" s="58"/>
      <c r="D207" s="58"/>
      <c r="E207" s="58"/>
      <c r="F207" s="58"/>
      <c r="G207" s="58"/>
      <c r="H207" s="59"/>
      <c r="I207" s="59"/>
      <c r="J207" s="59"/>
      <c r="K207" s="59"/>
      <c r="L207" s="59"/>
      <c r="M207" s="60"/>
      <c r="N207" s="60"/>
      <c r="O207" s="60"/>
      <c r="P207" s="59"/>
      <c r="Q207" s="59"/>
      <c r="R207" s="60"/>
      <c r="S207" s="60"/>
      <c r="T207" s="60"/>
      <c r="U207" s="60"/>
      <c r="V207" s="60"/>
      <c r="W207" s="60"/>
    </row>
    <row r="208" spans="1:23" ht="13" x14ac:dyDescent="0.3">
      <c r="A208" s="58"/>
      <c r="B208" s="58"/>
      <c r="C208" s="58"/>
      <c r="D208" s="58"/>
      <c r="E208" s="58"/>
      <c r="F208" s="58"/>
      <c r="G208" s="58"/>
      <c r="H208" s="59"/>
      <c r="I208" s="59"/>
      <c r="J208" s="59"/>
      <c r="K208" s="59"/>
      <c r="L208" s="59"/>
      <c r="M208" s="60"/>
      <c r="N208" s="60"/>
      <c r="O208" s="60"/>
      <c r="P208" s="59"/>
      <c r="Q208" s="59"/>
      <c r="R208" s="60"/>
      <c r="S208" s="60"/>
      <c r="T208" s="60"/>
      <c r="U208" s="60"/>
      <c r="V208" s="60"/>
      <c r="W208" s="60"/>
    </row>
    <row r="209" spans="1:23" ht="13" x14ac:dyDescent="0.3">
      <c r="A209" s="58"/>
      <c r="B209" s="58"/>
      <c r="C209" s="58"/>
      <c r="D209" s="58"/>
      <c r="E209" s="58"/>
      <c r="F209" s="58"/>
      <c r="G209" s="58"/>
      <c r="H209" s="59"/>
      <c r="I209" s="59"/>
      <c r="J209" s="59"/>
      <c r="K209" s="59"/>
      <c r="L209" s="59"/>
      <c r="M209" s="60"/>
      <c r="N209" s="60"/>
      <c r="O209" s="60"/>
      <c r="P209" s="59"/>
      <c r="Q209" s="59"/>
      <c r="R209" s="60"/>
      <c r="S209" s="60"/>
      <c r="T209" s="60"/>
      <c r="U209" s="60"/>
      <c r="V209" s="60"/>
      <c r="W209" s="60"/>
    </row>
    <row r="210" spans="1:23" ht="13" x14ac:dyDescent="0.3">
      <c r="A210" s="58"/>
      <c r="B210" s="58"/>
      <c r="C210" s="58"/>
      <c r="D210" s="58"/>
      <c r="E210" s="58"/>
      <c r="F210" s="58"/>
      <c r="G210" s="58"/>
      <c r="H210" s="59"/>
      <c r="I210" s="59"/>
      <c r="J210" s="59"/>
      <c r="K210" s="59"/>
      <c r="L210" s="59"/>
      <c r="M210" s="60"/>
      <c r="N210" s="60"/>
      <c r="O210" s="60"/>
      <c r="P210" s="59"/>
      <c r="Q210" s="59"/>
      <c r="R210" s="60"/>
      <c r="S210" s="60"/>
      <c r="T210" s="60"/>
      <c r="U210" s="60"/>
      <c r="V210" s="60"/>
      <c r="W210" s="60"/>
    </row>
    <row r="211" spans="1:23" ht="13" x14ac:dyDescent="0.3">
      <c r="A211" s="58"/>
      <c r="B211" s="58"/>
      <c r="C211" s="58"/>
      <c r="D211" s="58"/>
      <c r="E211" s="58"/>
      <c r="F211" s="58"/>
      <c r="G211" s="58"/>
      <c r="H211" s="59"/>
      <c r="I211" s="59"/>
      <c r="J211" s="59"/>
      <c r="K211" s="59"/>
      <c r="L211" s="59"/>
      <c r="M211" s="60"/>
      <c r="N211" s="60"/>
      <c r="O211" s="60"/>
      <c r="P211" s="59"/>
      <c r="Q211" s="59"/>
      <c r="R211" s="60"/>
      <c r="S211" s="60"/>
      <c r="T211" s="60"/>
      <c r="U211" s="60"/>
      <c r="V211" s="60"/>
      <c r="W211" s="60"/>
    </row>
    <row r="212" spans="1:23" ht="13" x14ac:dyDescent="0.3">
      <c r="A212" s="58"/>
      <c r="B212" s="58"/>
      <c r="C212" s="58"/>
      <c r="D212" s="58"/>
      <c r="E212" s="58"/>
      <c r="F212" s="58"/>
      <c r="G212" s="58"/>
      <c r="H212" s="59"/>
      <c r="I212" s="59"/>
      <c r="J212" s="59"/>
      <c r="K212" s="59"/>
      <c r="L212" s="59"/>
      <c r="M212" s="60"/>
      <c r="N212" s="60"/>
      <c r="O212" s="60"/>
      <c r="P212" s="59"/>
      <c r="Q212" s="59"/>
      <c r="R212" s="60"/>
      <c r="S212" s="60"/>
      <c r="T212" s="60"/>
      <c r="U212" s="60"/>
      <c r="V212" s="60"/>
      <c r="W212" s="60"/>
    </row>
    <row r="213" spans="1:23" ht="13" x14ac:dyDescent="0.3">
      <c r="A213" s="58"/>
      <c r="B213" s="58"/>
      <c r="C213" s="58"/>
      <c r="D213" s="58"/>
      <c r="E213" s="58"/>
      <c r="F213" s="58"/>
      <c r="G213" s="58"/>
      <c r="H213" s="59"/>
      <c r="I213" s="59"/>
      <c r="J213" s="59"/>
      <c r="K213" s="59"/>
      <c r="L213" s="59"/>
      <c r="M213" s="60"/>
      <c r="N213" s="60"/>
      <c r="O213" s="60"/>
      <c r="P213" s="59"/>
      <c r="Q213" s="59"/>
      <c r="R213" s="60"/>
      <c r="S213" s="60"/>
      <c r="T213" s="60"/>
      <c r="U213" s="60"/>
      <c r="V213" s="60"/>
      <c r="W213" s="60"/>
    </row>
    <row r="214" spans="1:23" ht="13" x14ac:dyDescent="0.3">
      <c r="A214" s="58"/>
      <c r="B214" s="58"/>
      <c r="C214" s="58"/>
      <c r="D214" s="58"/>
      <c r="E214" s="58"/>
      <c r="F214" s="58"/>
      <c r="G214" s="58"/>
      <c r="H214" s="59"/>
      <c r="I214" s="59"/>
      <c r="J214" s="59"/>
      <c r="K214" s="59"/>
      <c r="L214" s="59"/>
      <c r="M214" s="60"/>
      <c r="N214" s="60"/>
      <c r="O214" s="60"/>
      <c r="P214" s="59"/>
      <c r="Q214" s="59"/>
      <c r="R214" s="60"/>
      <c r="S214" s="60"/>
      <c r="T214" s="60"/>
      <c r="U214" s="60"/>
      <c r="V214" s="60"/>
      <c r="W214" s="60"/>
    </row>
    <row r="215" spans="1:23" ht="13" x14ac:dyDescent="0.3">
      <c r="A215" s="58"/>
      <c r="B215" s="58"/>
      <c r="C215" s="58"/>
      <c r="D215" s="58"/>
      <c r="E215" s="58"/>
      <c r="F215" s="58"/>
      <c r="G215" s="58"/>
      <c r="H215" s="59"/>
      <c r="I215" s="59"/>
      <c r="J215" s="59"/>
      <c r="K215" s="59"/>
      <c r="L215" s="59"/>
      <c r="M215" s="60"/>
      <c r="N215" s="60"/>
      <c r="O215" s="60"/>
      <c r="P215" s="59"/>
      <c r="Q215" s="59"/>
      <c r="R215" s="60"/>
      <c r="S215" s="60"/>
      <c r="T215" s="60"/>
      <c r="U215" s="60"/>
      <c r="V215" s="60"/>
      <c r="W215" s="60"/>
    </row>
    <row r="216" spans="1:23" ht="13" x14ac:dyDescent="0.3">
      <c r="A216" s="58"/>
      <c r="B216" s="58"/>
      <c r="C216" s="58"/>
      <c r="D216" s="58"/>
      <c r="E216" s="58"/>
      <c r="F216" s="58"/>
      <c r="G216" s="58"/>
      <c r="H216" s="59"/>
      <c r="I216" s="59"/>
      <c r="J216" s="59"/>
      <c r="K216" s="59"/>
      <c r="L216" s="59"/>
      <c r="M216" s="60"/>
      <c r="N216" s="60"/>
      <c r="O216" s="60"/>
      <c r="P216" s="59"/>
      <c r="Q216" s="59"/>
      <c r="R216" s="60"/>
      <c r="S216" s="60"/>
      <c r="T216" s="60"/>
      <c r="U216" s="60"/>
      <c r="V216" s="60"/>
      <c r="W216" s="60"/>
    </row>
    <row r="217" spans="1:23" ht="13" x14ac:dyDescent="0.3">
      <c r="A217" s="58"/>
      <c r="B217" s="58"/>
      <c r="C217" s="58"/>
      <c r="D217" s="58"/>
      <c r="E217" s="58"/>
      <c r="F217" s="58"/>
      <c r="G217" s="58"/>
      <c r="H217" s="59"/>
      <c r="I217" s="59"/>
      <c r="J217" s="59"/>
      <c r="K217" s="59"/>
      <c r="L217" s="59"/>
      <c r="M217" s="60"/>
      <c r="N217" s="60"/>
      <c r="O217" s="60"/>
      <c r="P217" s="59"/>
      <c r="Q217" s="59"/>
      <c r="R217" s="60"/>
      <c r="S217" s="60"/>
      <c r="T217" s="60"/>
      <c r="U217" s="60"/>
      <c r="V217" s="60"/>
      <c r="W217" s="60"/>
    </row>
    <row r="218" spans="1:23" ht="13" x14ac:dyDescent="0.3">
      <c r="A218" s="58"/>
      <c r="B218" s="58"/>
      <c r="C218" s="58"/>
      <c r="D218" s="58"/>
      <c r="E218" s="58"/>
      <c r="F218" s="58"/>
      <c r="G218" s="58"/>
      <c r="H218" s="59"/>
      <c r="I218" s="59"/>
      <c r="J218" s="59"/>
      <c r="K218" s="59"/>
      <c r="L218" s="59"/>
      <c r="M218" s="60"/>
      <c r="N218" s="60"/>
      <c r="O218" s="60"/>
      <c r="P218" s="59"/>
      <c r="Q218" s="59"/>
      <c r="R218" s="60"/>
      <c r="S218" s="60"/>
      <c r="T218" s="60"/>
      <c r="U218" s="60"/>
      <c r="V218" s="60"/>
      <c r="W218" s="60"/>
    </row>
    <row r="219" spans="1:23" ht="13" x14ac:dyDescent="0.3">
      <c r="A219" s="58"/>
      <c r="B219" s="58"/>
      <c r="C219" s="58"/>
      <c r="D219" s="58"/>
      <c r="E219" s="58"/>
      <c r="F219" s="58"/>
      <c r="G219" s="58"/>
      <c r="H219" s="59"/>
      <c r="I219" s="59"/>
      <c r="J219" s="59"/>
      <c r="K219" s="59"/>
      <c r="L219" s="59"/>
      <c r="M219" s="60"/>
      <c r="N219" s="60"/>
      <c r="O219" s="60"/>
      <c r="P219" s="59"/>
      <c r="Q219" s="59"/>
      <c r="R219" s="60"/>
      <c r="S219" s="60"/>
      <c r="T219" s="60"/>
      <c r="U219" s="60"/>
      <c r="V219" s="60"/>
      <c r="W219" s="60"/>
    </row>
    <row r="220" spans="1:23" ht="13" x14ac:dyDescent="0.3">
      <c r="A220" s="58"/>
      <c r="B220" s="58"/>
      <c r="C220" s="58"/>
      <c r="D220" s="58"/>
      <c r="E220" s="58"/>
      <c r="F220" s="58"/>
      <c r="G220" s="58"/>
      <c r="H220" s="59"/>
      <c r="I220" s="59"/>
      <c r="J220" s="59"/>
      <c r="K220" s="59"/>
      <c r="L220" s="59"/>
      <c r="M220" s="60"/>
      <c r="N220" s="60"/>
      <c r="O220" s="60"/>
      <c r="P220" s="59"/>
      <c r="Q220" s="59"/>
      <c r="R220" s="60"/>
      <c r="S220" s="60"/>
      <c r="T220" s="60"/>
      <c r="U220" s="60"/>
      <c r="V220" s="60"/>
      <c r="W220" s="60"/>
    </row>
    <row r="221" spans="1:23" ht="13" x14ac:dyDescent="0.3">
      <c r="A221" s="58"/>
      <c r="B221" s="58"/>
      <c r="C221" s="58"/>
      <c r="D221" s="58"/>
      <c r="E221" s="58"/>
      <c r="F221" s="58"/>
      <c r="G221" s="58"/>
      <c r="H221" s="59"/>
      <c r="I221" s="59"/>
      <c r="J221" s="59"/>
      <c r="K221" s="59"/>
      <c r="L221" s="59"/>
      <c r="M221" s="60"/>
      <c r="N221" s="60"/>
      <c r="O221" s="60"/>
      <c r="P221" s="59"/>
      <c r="Q221" s="59"/>
      <c r="R221" s="60"/>
      <c r="S221" s="60"/>
      <c r="T221" s="60"/>
      <c r="U221" s="60"/>
      <c r="V221" s="60"/>
      <c r="W221" s="60"/>
    </row>
    <row r="222" spans="1:23" ht="13" x14ac:dyDescent="0.3">
      <c r="A222" s="58"/>
      <c r="B222" s="58"/>
      <c r="C222" s="58"/>
      <c r="D222" s="58"/>
      <c r="E222" s="58"/>
      <c r="F222" s="58"/>
      <c r="G222" s="58"/>
      <c r="H222" s="59"/>
      <c r="I222" s="59"/>
      <c r="J222" s="59"/>
      <c r="K222" s="59"/>
      <c r="L222" s="59"/>
      <c r="M222" s="60"/>
      <c r="N222" s="60"/>
      <c r="O222" s="60"/>
      <c r="P222" s="59"/>
      <c r="Q222" s="59"/>
      <c r="R222" s="60"/>
      <c r="S222" s="60"/>
      <c r="T222" s="60"/>
      <c r="U222" s="60"/>
      <c r="V222" s="60"/>
      <c r="W222" s="60"/>
    </row>
    <row r="223" spans="1:23" ht="13" x14ac:dyDescent="0.3">
      <c r="A223" s="58"/>
      <c r="B223" s="58"/>
      <c r="C223" s="58"/>
      <c r="D223" s="58"/>
      <c r="E223" s="58"/>
      <c r="F223" s="58"/>
      <c r="G223" s="58"/>
      <c r="H223" s="59"/>
      <c r="I223" s="59"/>
      <c r="J223" s="59"/>
      <c r="K223" s="59"/>
      <c r="L223" s="59"/>
      <c r="M223" s="60"/>
      <c r="N223" s="60"/>
      <c r="O223" s="60"/>
      <c r="P223" s="59"/>
      <c r="Q223" s="59"/>
      <c r="R223" s="60"/>
      <c r="S223" s="60"/>
      <c r="T223" s="60"/>
      <c r="U223" s="60"/>
      <c r="V223" s="60"/>
      <c r="W223" s="60"/>
    </row>
    <row r="224" spans="1:23" ht="13" x14ac:dyDescent="0.3">
      <c r="A224" s="58"/>
      <c r="B224" s="58"/>
      <c r="C224" s="58"/>
      <c r="D224" s="58"/>
      <c r="E224" s="58"/>
      <c r="F224" s="58"/>
      <c r="G224" s="58"/>
      <c r="H224" s="59"/>
      <c r="I224" s="59"/>
      <c r="J224" s="59"/>
      <c r="K224" s="59"/>
      <c r="L224" s="59"/>
      <c r="M224" s="60"/>
      <c r="N224" s="60"/>
      <c r="O224" s="60"/>
      <c r="P224" s="59"/>
      <c r="Q224" s="59"/>
      <c r="R224" s="60"/>
      <c r="S224" s="60"/>
      <c r="T224" s="60"/>
      <c r="U224" s="60"/>
      <c r="V224" s="60"/>
      <c r="W224" s="60"/>
    </row>
    <row r="225" spans="1:23" ht="13" x14ac:dyDescent="0.3">
      <c r="A225" s="58"/>
      <c r="B225" s="58"/>
      <c r="C225" s="58"/>
      <c r="D225" s="58"/>
      <c r="E225" s="58"/>
      <c r="F225" s="58"/>
      <c r="G225" s="58"/>
      <c r="H225" s="59"/>
      <c r="I225" s="59"/>
      <c r="J225" s="59"/>
      <c r="K225" s="59"/>
      <c r="L225" s="59"/>
      <c r="M225" s="60"/>
      <c r="N225" s="60"/>
      <c r="O225" s="60"/>
      <c r="P225" s="59"/>
      <c r="Q225" s="59"/>
      <c r="R225" s="60"/>
      <c r="S225" s="60"/>
      <c r="T225" s="60"/>
      <c r="U225" s="60"/>
      <c r="V225" s="60"/>
      <c r="W225" s="60"/>
    </row>
    <row r="226" spans="1:23" ht="13" x14ac:dyDescent="0.3">
      <c r="A226" s="58"/>
      <c r="B226" s="58"/>
      <c r="C226" s="58"/>
      <c r="D226" s="58"/>
      <c r="E226" s="58"/>
      <c r="F226" s="58"/>
      <c r="G226" s="58"/>
      <c r="H226" s="59"/>
      <c r="I226" s="59"/>
      <c r="J226" s="59"/>
      <c r="K226" s="59"/>
      <c r="L226" s="59"/>
      <c r="M226" s="60"/>
      <c r="N226" s="60"/>
      <c r="O226" s="60"/>
      <c r="P226" s="59"/>
      <c r="Q226" s="59"/>
      <c r="R226" s="60"/>
      <c r="S226" s="60"/>
      <c r="T226" s="60"/>
      <c r="U226" s="60"/>
      <c r="V226" s="60"/>
      <c r="W226" s="60"/>
    </row>
    <row r="227" spans="1:23" ht="13" x14ac:dyDescent="0.3">
      <c r="A227" s="58"/>
      <c r="B227" s="58"/>
      <c r="C227" s="58"/>
      <c r="D227" s="58"/>
      <c r="E227" s="58"/>
      <c r="F227" s="58"/>
      <c r="G227" s="58"/>
      <c r="H227" s="59"/>
      <c r="I227" s="59"/>
      <c r="J227" s="59"/>
      <c r="K227" s="59"/>
      <c r="L227" s="59"/>
      <c r="M227" s="60"/>
      <c r="N227" s="60"/>
      <c r="O227" s="60"/>
      <c r="P227" s="59"/>
      <c r="Q227" s="59"/>
      <c r="R227" s="60"/>
      <c r="S227" s="60"/>
      <c r="T227" s="60"/>
      <c r="U227" s="60"/>
      <c r="V227" s="60"/>
      <c r="W227" s="60"/>
    </row>
    <row r="228" spans="1:23" ht="13" x14ac:dyDescent="0.3">
      <c r="A228" s="58"/>
      <c r="B228" s="58"/>
      <c r="C228" s="58"/>
      <c r="D228" s="58"/>
      <c r="E228" s="58"/>
      <c r="F228" s="58"/>
      <c r="G228" s="58"/>
      <c r="H228" s="59"/>
      <c r="I228" s="59"/>
      <c r="J228" s="59"/>
      <c r="K228" s="59"/>
      <c r="L228" s="59"/>
      <c r="M228" s="60"/>
      <c r="N228" s="60"/>
      <c r="O228" s="60"/>
      <c r="P228" s="59"/>
      <c r="Q228" s="59"/>
      <c r="R228" s="60"/>
      <c r="S228" s="60"/>
      <c r="T228" s="60"/>
      <c r="U228" s="60"/>
      <c r="V228" s="60"/>
      <c r="W228" s="60"/>
    </row>
    <row r="229" spans="1:23" ht="13" x14ac:dyDescent="0.3">
      <c r="A229" s="58"/>
      <c r="B229" s="58"/>
      <c r="C229" s="58"/>
      <c r="D229" s="58"/>
      <c r="E229" s="58"/>
      <c r="F229" s="58"/>
      <c r="G229" s="58"/>
      <c r="H229" s="59"/>
      <c r="I229" s="59"/>
      <c r="J229" s="59"/>
      <c r="K229" s="59"/>
      <c r="L229" s="59"/>
      <c r="M229" s="60"/>
      <c r="N229" s="60"/>
      <c r="O229" s="60"/>
      <c r="P229" s="59"/>
      <c r="Q229" s="59"/>
      <c r="R229" s="60"/>
      <c r="S229" s="60"/>
      <c r="T229" s="60"/>
      <c r="U229" s="60"/>
      <c r="V229" s="60"/>
      <c r="W229" s="60"/>
    </row>
    <row r="230" spans="1:23" ht="13" x14ac:dyDescent="0.3">
      <c r="A230" s="58"/>
      <c r="B230" s="58"/>
      <c r="C230" s="58"/>
      <c r="D230" s="58"/>
      <c r="E230" s="58"/>
      <c r="F230" s="58"/>
      <c r="G230" s="58"/>
      <c r="H230" s="59"/>
      <c r="I230" s="59"/>
      <c r="J230" s="59"/>
      <c r="K230" s="59"/>
      <c r="L230" s="59"/>
      <c r="M230" s="60"/>
      <c r="N230" s="60"/>
      <c r="O230" s="60"/>
      <c r="P230" s="59"/>
      <c r="Q230" s="59"/>
      <c r="R230" s="60"/>
      <c r="S230" s="60"/>
      <c r="T230" s="60"/>
      <c r="U230" s="60"/>
      <c r="V230" s="60"/>
      <c r="W230" s="60"/>
    </row>
    <row r="231" spans="1:23" ht="13" x14ac:dyDescent="0.3">
      <c r="A231" s="58"/>
      <c r="B231" s="58"/>
      <c r="C231" s="58"/>
      <c r="D231" s="58"/>
      <c r="E231" s="58"/>
      <c r="F231" s="58"/>
      <c r="G231" s="58"/>
      <c r="H231" s="59"/>
      <c r="I231" s="59"/>
      <c r="J231" s="59"/>
      <c r="K231" s="59"/>
      <c r="L231" s="59"/>
      <c r="M231" s="60"/>
      <c r="N231" s="60"/>
      <c r="O231" s="60"/>
      <c r="P231" s="59"/>
      <c r="Q231" s="59"/>
      <c r="R231" s="60"/>
      <c r="S231" s="60"/>
      <c r="T231" s="60"/>
      <c r="U231" s="60"/>
      <c r="V231" s="60"/>
      <c r="W231" s="60"/>
    </row>
    <row r="232" spans="1:23" ht="13" x14ac:dyDescent="0.3">
      <c r="A232" s="58"/>
      <c r="B232" s="58"/>
      <c r="C232" s="58"/>
      <c r="D232" s="58"/>
      <c r="E232" s="58"/>
      <c r="F232" s="58"/>
      <c r="G232" s="58"/>
      <c r="H232" s="59"/>
      <c r="I232" s="59"/>
      <c r="J232" s="59"/>
      <c r="K232" s="59"/>
      <c r="L232" s="59"/>
      <c r="M232" s="60"/>
      <c r="N232" s="60"/>
      <c r="O232" s="60"/>
      <c r="P232" s="59"/>
      <c r="Q232" s="59"/>
      <c r="R232" s="60"/>
      <c r="S232" s="60"/>
      <c r="T232" s="60"/>
      <c r="U232" s="60"/>
      <c r="V232" s="60"/>
      <c r="W232" s="60"/>
    </row>
    <row r="233" spans="1:23" ht="13" x14ac:dyDescent="0.3">
      <c r="A233" s="58"/>
      <c r="B233" s="58"/>
      <c r="C233" s="58"/>
      <c r="D233" s="58"/>
      <c r="E233" s="58"/>
      <c r="F233" s="58"/>
      <c r="G233" s="58"/>
      <c r="H233" s="59"/>
      <c r="I233" s="59"/>
      <c r="J233" s="59"/>
      <c r="K233" s="59"/>
      <c r="L233" s="59"/>
      <c r="M233" s="60"/>
      <c r="N233" s="60"/>
      <c r="O233" s="60"/>
      <c r="P233" s="59"/>
      <c r="Q233" s="59"/>
      <c r="R233" s="60"/>
      <c r="S233" s="60"/>
      <c r="T233" s="60"/>
      <c r="U233" s="60"/>
      <c r="V233" s="60"/>
      <c r="W233" s="60"/>
    </row>
    <row r="234" spans="1:23" ht="13" x14ac:dyDescent="0.3">
      <c r="A234" s="58"/>
      <c r="B234" s="58"/>
      <c r="C234" s="58"/>
      <c r="D234" s="58"/>
      <c r="E234" s="58"/>
      <c r="F234" s="58"/>
      <c r="G234" s="58"/>
      <c r="H234" s="59"/>
      <c r="I234" s="59"/>
      <c r="J234" s="59"/>
      <c r="K234" s="59"/>
      <c r="L234" s="59"/>
      <c r="M234" s="60"/>
      <c r="N234" s="60"/>
      <c r="O234" s="60"/>
      <c r="P234" s="59"/>
      <c r="Q234" s="59"/>
      <c r="R234" s="60"/>
      <c r="S234" s="60"/>
      <c r="T234" s="60"/>
      <c r="U234" s="60"/>
      <c r="V234" s="60"/>
      <c r="W234" s="60"/>
    </row>
    <row r="235" spans="1:23" ht="13" x14ac:dyDescent="0.3">
      <c r="A235" s="58"/>
      <c r="B235" s="58"/>
      <c r="C235" s="58"/>
      <c r="D235" s="58"/>
      <c r="E235" s="58"/>
      <c r="F235" s="58"/>
      <c r="G235" s="58"/>
      <c r="H235" s="59"/>
      <c r="I235" s="59"/>
      <c r="J235" s="59"/>
      <c r="K235" s="59"/>
      <c r="L235" s="59"/>
      <c r="M235" s="60"/>
      <c r="N235" s="60"/>
      <c r="O235" s="60"/>
      <c r="P235" s="59"/>
      <c r="Q235" s="59"/>
      <c r="R235" s="60"/>
      <c r="S235" s="60"/>
      <c r="T235" s="60"/>
      <c r="U235" s="60"/>
      <c r="V235" s="60"/>
      <c r="W235" s="60"/>
    </row>
    <row r="236" spans="1:23" ht="13" x14ac:dyDescent="0.3">
      <c r="A236" s="58"/>
      <c r="B236" s="58"/>
      <c r="C236" s="58"/>
      <c r="D236" s="58"/>
      <c r="E236" s="58"/>
      <c r="F236" s="58"/>
      <c r="G236" s="58"/>
      <c r="H236" s="59"/>
      <c r="I236" s="59"/>
      <c r="J236" s="59"/>
      <c r="K236" s="59"/>
      <c r="L236" s="59"/>
      <c r="M236" s="60"/>
      <c r="N236" s="60"/>
      <c r="O236" s="60"/>
      <c r="P236" s="59"/>
      <c r="Q236" s="59"/>
      <c r="R236" s="60"/>
      <c r="S236" s="60"/>
      <c r="T236" s="60"/>
      <c r="U236" s="60"/>
      <c r="V236" s="60"/>
      <c r="W236" s="60"/>
    </row>
    <row r="237" spans="1:23" ht="13" x14ac:dyDescent="0.3">
      <c r="A237" s="58"/>
      <c r="B237" s="58"/>
      <c r="C237" s="58"/>
      <c r="D237" s="58"/>
      <c r="E237" s="58"/>
      <c r="F237" s="58"/>
      <c r="G237" s="58"/>
      <c r="H237" s="59"/>
      <c r="I237" s="59"/>
      <c r="J237" s="59"/>
      <c r="K237" s="59"/>
      <c r="L237" s="59"/>
      <c r="M237" s="60"/>
      <c r="N237" s="60"/>
      <c r="O237" s="60"/>
      <c r="P237" s="59"/>
      <c r="Q237" s="59"/>
      <c r="R237" s="60"/>
      <c r="S237" s="60"/>
      <c r="T237" s="60"/>
      <c r="U237" s="60"/>
      <c r="V237" s="60"/>
      <c r="W237" s="60"/>
    </row>
    <row r="238" spans="1:23" ht="13" x14ac:dyDescent="0.3">
      <c r="A238" s="58"/>
      <c r="B238" s="58"/>
      <c r="C238" s="58"/>
      <c r="D238" s="58"/>
      <c r="E238" s="58"/>
      <c r="F238" s="58"/>
      <c r="G238" s="58"/>
      <c r="H238" s="59"/>
      <c r="I238" s="59"/>
      <c r="J238" s="59"/>
      <c r="K238" s="59"/>
      <c r="L238" s="59"/>
      <c r="M238" s="60"/>
      <c r="N238" s="60"/>
      <c r="O238" s="60"/>
      <c r="P238" s="59"/>
      <c r="Q238" s="59"/>
      <c r="R238" s="60"/>
      <c r="S238" s="60"/>
      <c r="T238" s="60"/>
      <c r="U238" s="60"/>
      <c r="V238" s="60"/>
      <c r="W238" s="60"/>
    </row>
    <row r="239" spans="1:23" ht="13" x14ac:dyDescent="0.3">
      <c r="A239" s="58"/>
      <c r="B239" s="58"/>
      <c r="C239" s="58"/>
      <c r="D239" s="58"/>
      <c r="E239" s="58"/>
      <c r="F239" s="58"/>
      <c r="G239" s="58"/>
      <c r="H239" s="59"/>
      <c r="I239" s="59"/>
      <c r="J239" s="59"/>
      <c r="K239" s="59"/>
      <c r="L239" s="59"/>
      <c r="M239" s="60"/>
      <c r="N239" s="60"/>
      <c r="O239" s="60"/>
      <c r="P239" s="59"/>
      <c r="Q239" s="59"/>
      <c r="R239" s="60"/>
      <c r="S239" s="60"/>
      <c r="T239" s="60"/>
      <c r="U239" s="60"/>
      <c r="V239" s="60"/>
      <c r="W239" s="60"/>
    </row>
    <row r="240" spans="1:23" ht="13" x14ac:dyDescent="0.3">
      <c r="A240" s="58"/>
      <c r="B240" s="58"/>
      <c r="C240" s="58"/>
      <c r="D240" s="58"/>
      <c r="E240" s="58"/>
      <c r="F240" s="58"/>
      <c r="G240" s="58"/>
      <c r="H240" s="59"/>
      <c r="I240" s="59"/>
      <c r="J240" s="59"/>
      <c r="K240" s="59"/>
      <c r="L240" s="59"/>
      <c r="M240" s="60"/>
      <c r="N240" s="60"/>
      <c r="O240" s="60"/>
      <c r="P240" s="59"/>
      <c r="Q240" s="59"/>
      <c r="R240" s="60"/>
      <c r="S240" s="60"/>
      <c r="T240" s="60"/>
      <c r="U240" s="60"/>
      <c r="V240" s="60"/>
      <c r="W240" s="60"/>
    </row>
    <row r="241" spans="1:23" ht="13" x14ac:dyDescent="0.3">
      <c r="A241" s="58"/>
      <c r="B241" s="58"/>
      <c r="C241" s="58"/>
      <c r="D241" s="58"/>
      <c r="E241" s="58"/>
      <c r="F241" s="58"/>
      <c r="G241" s="58"/>
      <c r="H241" s="59"/>
      <c r="I241" s="59"/>
      <c r="J241" s="59"/>
      <c r="K241" s="59"/>
      <c r="L241" s="59"/>
      <c r="M241" s="60"/>
      <c r="N241" s="60"/>
      <c r="O241" s="60"/>
      <c r="P241" s="59"/>
      <c r="Q241" s="59"/>
      <c r="R241" s="60"/>
      <c r="S241" s="60"/>
      <c r="T241" s="60"/>
      <c r="U241" s="60"/>
      <c r="V241" s="60"/>
      <c r="W241" s="60"/>
    </row>
    <row r="242" spans="1:23" ht="13" x14ac:dyDescent="0.3">
      <c r="A242" s="58"/>
      <c r="B242" s="58"/>
      <c r="C242" s="58"/>
      <c r="D242" s="58"/>
      <c r="E242" s="58"/>
      <c r="F242" s="58"/>
      <c r="G242" s="58"/>
      <c r="H242" s="59"/>
      <c r="I242" s="59"/>
      <c r="J242" s="59"/>
      <c r="K242" s="59"/>
      <c r="L242" s="59"/>
      <c r="M242" s="60"/>
      <c r="N242" s="60"/>
      <c r="O242" s="60"/>
      <c r="P242" s="59"/>
      <c r="Q242" s="59"/>
      <c r="R242" s="60"/>
      <c r="S242" s="60"/>
      <c r="T242" s="60"/>
      <c r="U242" s="60"/>
      <c r="V242" s="60"/>
      <c r="W242" s="60"/>
    </row>
    <row r="243" spans="1:23" ht="13" x14ac:dyDescent="0.3">
      <c r="A243" s="58"/>
      <c r="B243" s="58"/>
      <c r="C243" s="58"/>
      <c r="D243" s="58"/>
      <c r="E243" s="58"/>
      <c r="F243" s="58"/>
      <c r="G243" s="58"/>
      <c r="H243" s="59"/>
      <c r="I243" s="59"/>
      <c r="J243" s="59"/>
      <c r="K243" s="59"/>
      <c r="L243" s="59"/>
      <c r="M243" s="60"/>
      <c r="N243" s="60"/>
      <c r="O243" s="60"/>
      <c r="P243" s="59"/>
      <c r="Q243" s="59"/>
      <c r="R243" s="60"/>
      <c r="S243" s="60"/>
      <c r="T243" s="60"/>
      <c r="U243" s="60"/>
      <c r="V243" s="60"/>
      <c r="W243" s="60"/>
    </row>
    <row r="244" spans="1:23" ht="13" x14ac:dyDescent="0.3">
      <c r="A244" s="58"/>
      <c r="B244" s="58"/>
      <c r="C244" s="58"/>
      <c r="D244" s="58"/>
      <c r="E244" s="58"/>
      <c r="F244" s="58"/>
      <c r="G244" s="58"/>
      <c r="H244" s="59"/>
      <c r="I244" s="59"/>
      <c r="J244" s="59"/>
      <c r="K244" s="59"/>
      <c r="L244" s="59"/>
      <c r="M244" s="60"/>
      <c r="N244" s="60"/>
      <c r="O244" s="60"/>
      <c r="P244" s="59"/>
      <c r="Q244" s="59"/>
      <c r="R244" s="60"/>
      <c r="S244" s="60"/>
      <c r="T244" s="60"/>
      <c r="U244" s="60"/>
      <c r="V244" s="60"/>
      <c r="W244" s="60"/>
    </row>
    <row r="245" spans="1:23" ht="13" x14ac:dyDescent="0.3">
      <c r="A245" s="58"/>
      <c r="B245" s="58"/>
      <c r="C245" s="58"/>
      <c r="D245" s="58"/>
      <c r="E245" s="58"/>
      <c r="F245" s="58"/>
      <c r="G245" s="58"/>
      <c r="H245" s="59"/>
      <c r="I245" s="59"/>
      <c r="J245" s="59"/>
      <c r="K245" s="59"/>
      <c r="L245" s="59"/>
      <c r="M245" s="60"/>
      <c r="N245" s="60"/>
      <c r="O245" s="60"/>
      <c r="P245" s="59"/>
      <c r="Q245" s="59"/>
      <c r="R245" s="60"/>
      <c r="S245" s="60"/>
      <c r="T245" s="60"/>
      <c r="U245" s="60"/>
      <c r="V245" s="60"/>
      <c r="W245" s="60"/>
    </row>
    <row r="246" spans="1:23" ht="13" x14ac:dyDescent="0.3">
      <c r="A246" s="58"/>
      <c r="B246" s="58"/>
      <c r="C246" s="58"/>
      <c r="D246" s="58"/>
      <c r="E246" s="58"/>
      <c r="F246" s="58"/>
      <c r="G246" s="58"/>
      <c r="H246" s="59"/>
      <c r="I246" s="59"/>
      <c r="J246" s="59"/>
      <c r="K246" s="59"/>
      <c r="L246" s="59"/>
      <c r="M246" s="60"/>
      <c r="N246" s="60"/>
      <c r="O246" s="60"/>
      <c r="P246" s="59"/>
      <c r="Q246" s="59"/>
      <c r="R246" s="60"/>
      <c r="S246" s="60"/>
      <c r="T246" s="60"/>
      <c r="U246" s="60"/>
      <c r="V246" s="60"/>
      <c r="W246" s="60"/>
    </row>
    <row r="247" spans="1:23" ht="13" x14ac:dyDescent="0.3">
      <c r="A247" s="58"/>
      <c r="B247" s="58"/>
      <c r="C247" s="58"/>
      <c r="D247" s="58"/>
      <c r="E247" s="58"/>
      <c r="F247" s="58"/>
      <c r="G247" s="58"/>
      <c r="H247" s="59"/>
      <c r="I247" s="59"/>
      <c r="J247" s="59"/>
      <c r="K247" s="59"/>
      <c r="L247" s="59"/>
      <c r="M247" s="60"/>
      <c r="N247" s="60"/>
      <c r="O247" s="60"/>
      <c r="P247" s="59"/>
      <c r="Q247" s="59"/>
      <c r="R247" s="60"/>
      <c r="S247" s="60"/>
      <c r="T247" s="60"/>
      <c r="U247" s="60"/>
      <c r="V247" s="60"/>
      <c r="W247" s="60"/>
    </row>
    <row r="248" spans="1:23" ht="13" x14ac:dyDescent="0.3">
      <c r="A248" s="58"/>
      <c r="B248" s="58"/>
      <c r="C248" s="58"/>
      <c r="D248" s="58"/>
      <c r="E248" s="58"/>
      <c r="F248" s="58"/>
      <c r="G248" s="58"/>
      <c r="H248" s="59"/>
      <c r="I248" s="59"/>
      <c r="J248" s="59"/>
      <c r="K248" s="59"/>
      <c r="L248" s="59"/>
      <c r="M248" s="60"/>
      <c r="N248" s="60"/>
      <c r="O248" s="60"/>
      <c r="P248" s="59"/>
      <c r="Q248" s="59"/>
      <c r="R248" s="60"/>
      <c r="S248" s="60"/>
      <c r="T248" s="60"/>
      <c r="U248" s="60"/>
      <c r="V248" s="60"/>
      <c r="W248" s="60"/>
    </row>
    <row r="249" spans="1:23" ht="13" x14ac:dyDescent="0.3">
      <c r="A249" s="58"/>
      <c r="B249" s="58"/>
      <c r="C249" s="58"/>
      <c r="D249" s="58"/>
      <c r="E249" s="58"/>
      <c r="F249" s="58"/>
      <c r="G249" s="58"/>
      <c r="H249" s="59"/>
      <c r="I249" s="59"/>
      <c r="J249" s="59"/>
      <c r="K249" s="59"/>
      <c r="L249" s="59"/>
      <c r="M249" s="60"/>
      <c r="N249" s="60"/>
      <c r="O249" s="60"/>
      <c r="P249" s="59"/>
      <c r="Q249" s="59"/>
      <c r="R249" s="60"/>
      <c r="S249" s="60"/>
      <c r="T249" s="60"/>
      <c r="U249" s="60"/>
      <c r="V249" s="60"/>
      <c r="W249" s="60"/>
    </row>
    <row r="250" spans="1:23" ht="13" x14ac:dyDescent="0.3">
      <c r="A250" s="58"/>
      <c r="B250" s="58"/>
      <c r="C250" s="58"/>
      <c r="D250" s="58"/>
      <c r="E250" s="58"/>
      <c r="F250" s="58"/>
      <c r="G250" s="58"/>
      <c r="H250" s="59"/>
      <c r="I250" s="59"/>
      <c r="J250" s="59"/>
      <c r="K250" s="59"/>
      <c r="L250" s="59"/>
      <c r="M250" s="60"/>
      <c r="N250" s="60"/>
      <c r="O250" s="60"/>
      <c r="P250" s="59"/>
      <c r="Q250" s="59"/>
      <c r="R250" s="60"/>
      <c r="S250" s="60"/>
      <c r="T250" s="60"/>
      <c r="U250" s="60"/>
      <c r="V250" s="60"/>
      <c r="W250" s="60"/>
    </row>
    <row r="251" spans="1:23" ht="13" x14ac:dyDescent="0.3">
      <c r="A251" s="58"/>
      <c r="B251" s="58"/>
      <c r="C251" s="58"/>
      <c r="D251" s="58"/>
      <c r="E251" s="58"/>
      <c r="F251" s="58"/>
      <c r="G251" s="58"/>
      <c r="H251" s="59"/>
      <c r="I251" s="59"/>
      <c r="J251" s="59"/>
      <c r="K251" s="59"/>
      <c r="L251" s="59"/>
      <c r="M251" s="60"/>
      <c r="N251" s="60"/>
      <c r="O251" s="60"/>
      <c r="P251" s="59"/>
      <c r="Q251" s="59"/>
      <c r="R251" s="60"/>
      <c r="S251" s="60"/>
      <c r="T251" s="60"/>
      <c r="U251" s="60"/>
      <c r="V251" s="60"/>
      <c r="W251" s="60"/>
    </row>
    <row r="252" spans="1:23" ht="13" x14ac:dyDescent="0.3">
      <c r="A252" s="58"/>
      <c r="B252" s="58"/>
      <c r="C252" s="58"/>
      <c r="D252" s="58"/>
      <c r="E252" s="58"/>
      <c r="F252" s="58"/>
      <c r="G252" s="58"/>
      <c r="H252" s="59"/>
      <c r="I252" s="59"/>
      <c r="J252" s="59"/>
      <c r="K252" s="59"/>
      <c r="L252" s="59"/>
      <c r="M252" s="60"/>
      <c r="N252" s="60"/>
      <c r="O252" s="60"/>
      <c r="P252" s="59"/>
      <c r="Q252" s="59"/>
      <c r="R252" s="60"/>
      <c r="S252" s="60"/>
      <c r="T252" s="60"/>
      <c r="U252" s="60"/>
      <c r="V252" s="60"/>
      <c r="W252" s="60"/>
    </row>
    <row r="253" spans="1:23" ht="13" x14ac:dyDescent="0.3">
      <c r="A253" s="58"/>
      <c r="B253" s="58"/>
      <c r="C253" s="58"/>
      <c r="D253" s="58"/>
      <c r="E253" s="58"/>
      <c r="F253" s="58"/>
      <c r="G253" s="58"/>
      <c r="H253" s="59"/>
      <c r="I253" s="59"/>
      <c r="J253" s="59"/>
      <c r="K253" s="59"/>
      <c r="L253" s="59"/>
      <c r="M253" s="60"/>
      <c r="N253" s="60"/>
      <c r="O253" s="60"/>
      <c r="P253" s="59"/>
      <c r="Q253" s="59"/>
      <c r="R253" s="60"/>
      <c r="S253" s="60"/>
      <c r="T253" s="60"/>
      <c r="U253" s="60"/>
      <c r="V253" s="60"/>
      <c r="W253" s="60"/>
    </row>
    <row r="254" spans="1:23" ht="13" x14ac:dyDescent="0.3">
      <c r="A254" s="58"/>
      <c r="B254" s="58"/>
      <c r="C254" s="58"/>
      <c r="D254" s="58"/>
      <c r="E254" s="58"/>
      <c r="F254" s="58"/>
      <c r="G254" s="58"/>
      <c r="H254" s="59"/>
      <c r="I254" s="59"/>
      <c r="J254" s="59"/>
      <c r="K254" s="59"/>
      <c r="L254" s="59"/>
      <c r="M254" s="60"/>
      <c r="N254" s="60"/>
      <c r="O254" s="60"/>
      <c r="P254" s="59"/>
      <c r="Q254" s="59"/>
      <c r="R254" s="60"/>
      <c r="S254" s="60"/>
      <c r="T254" s="60"/>
      <c r="U254" s="60"/>
      <c r="V254" s="60"/>
      <c r="W254" s="60"/>
    </row>
    <row r="255" spans="1:23" ht="13" x14ac:dyDescent="0.3">
      <c r="A255" s="58"/>
      <c r="B255" s="58"/>
      <c r="C255" s="58"/>
      <c r="D255" s="58"/>
      <c r="E255" s="58"/>
      <c r="F255" s="58"/>
      <c r="G255" s="58"/>
      <c r="H255" s="59"/>
      <c r="I255" s="59"/>
      <c r="J255" s="59"/>
      <c r="K255" s="59"/>
      <c r="L255" s="59"/>
      <c r="M255" s="60"/>
      <c r="N255" s="60"/>
      <c r="O255" s="60"/>
      <c r="P255" s="59"/>
      <c r="Q255" s="59"/>
      <c r="R255" s="60"/>
      <c r="S255" s="60"/>
      <c r="T255" s="60"/>
      <c r="U255" s="60"/>
      <c r="V255" s="60"/>
      <c r="W255" s="60"/>
    </row>
    <row r="256" spans="1:23" ht="13" x14ac:dyDescent="0.3">
      <c r="A256" s="58"/>
      <c r="B256" s="58"/>
      <c r="C256" s="58"/>
      <c r="D256" s="58"/>
      <c r="E256" s="58"/>
      <c r="F256" s="58"/>
      <c r="G256" s="58"/>
      <c r="H256" s="59"/>
      <c r="I256" s="59"/>
      <c r="J256" s="59"/>
      <c r="K256" s="59"/>
      <c r="L256" s="59"/>
      <c r="M256" s="60"/>
      <c r="N256" s="60"/>
      <c r="O256" s="60"/>
      <c r="P256" s="59"/>
      <c r="Q256" s="59"/>
      <c r="R256" s="60"/>
      <c r="S256" s="60"/>
      <c r="T256" s="60"/>
      <c r="U256" s="60"/>
      <c r="V256" s="60"/>
      <c r="W256" s="60"/>
    </row>
    <row r="257" spans="1:23" ht="13" x14ac:dyDescent="0.3">
      <c r="A257" s="58"/>
      <c r="B257" s="58"/>
      <c r="C257" s="58"/>
      <c r="D257" s="58"/>
      <c r="E257" s="58"/>
      <c r="F257" s="58"/>
      <c r="G257" s="58"/>
      <c r="H257" s="59"/>
      <c r="I257" s="59"/>
      <c r="J257" s="59"/>
      <c r="K257" s="59"/>
      <c r="L257" s="59"/>
      <c r="M257" s="60"/>
      <c r="N257" s="60"/>
      <c r="O257" s="60"/>
      <c r="P257" s="59"/>
      <c r="Q257" s="59"/>
      <c r="R257" s="60"/>
      <c r="S257" s="60"/>
      <c r="T257" s="60"/>
      <c r="U257" s="60"/>
      <c r="V257" s="60"/>
      <c r="W257" s="60"/>
    </row>
    <row r="258" spans="1:23" ht="13" x14ac:dyDescent="0.3">
      <c r="A258" s="58"/>
      <c r="B258" s="58"/>
      <c r="C258" s="58"/>
      <c r="D258" s="58"/>
      <c r="E258" s="58"/>
      <c r="F258" s="58"/>
      <c r="G258" s="58"/>
      <c r="H258" s="59"/>
      <c r="I258" s="59"/>
      <c r="J258" s="59"/>
      <c r="K258" s="59"/>
      <c r="L258" s="59"/>
      <c r="M258" s="60"/>
      <c r="N258" s="60"/>
      <c r="O258" s="60"/>
      <c r="P258" s="59"/>
      <c r="Q258" s="59"/>
      <c r="R258" s="60"/>
      <c r="S258" s="60"/>
      <c r="T258" s="60"/>
      <c r="U258" s="60"/>
      <c r="V258" s="60"/>
      <c r="W258" s="60"/>
    </row>
    <row r="259" spans="1:23" ht="13" x14ac:dyDescent="0.3">
      <c r="A259" s="58"/>
      <c r="B259" s="58"/>
      <c r="C259" s="58"/>
      <c r="D259" s="58"/>
      <c r="E259" s="58"/>
      <c r="F259" s="58"/>
      <c r="G259" s="58"/>
      <c r="H259" s="59"/>
      <c r="I259" s="59"/>
      <c r="J259" s="59"/>
      <c r="K259" s="59"/>
      <c r="L259" s="59"/>
      <c r="M259" s="60"/>
      <c r="N259" s="60"/>
      <c r="O259" s="60"/>
      <c r="P259" s="59"/>
      <c r="Q259" s="59"/>
      <c r="R259" s="60"/>
      <c r="S259" s="60"/>
      <c r="T259" s="60"/>
      <c r="U259" s="60"/>
      <c r="V259" s="60"/>
      <c r="W259" s="60"/>
    </row>
    <row r="260" spans="1:23" ht="13" x14ac:dyDescent="0.3">
      <c r="A260" s="58"/>
      <c r="B260" s="58"/>
      <c r="C260" s="58"/>
      <c r="D260" s="58"/>
      <c r="E260" s="58"/>
      <c r="F260" s="58"/>
      <c r="G260" s="58"/>
      <c r="H260" s="59"/>
      <c r="I260" s="59"/>
      <c r="J260" s="59"/>
      <c r="K260" s="59"/>
      <c r="L260" s="59"/>
      <c r="M260" s="60"/>
      <c r="N260" s="60"/>
      <c r="O260" s="60"/>
      <c r="P260" s="59"/>
      <c r="Q260" s="59"/>
      <c r="R260" s="60"/>
      <c r="S260" s="60"/>
      <c r="T260" s="60"/>
      <c r="U260" s="60"/>
      <c r="V260" s="60"/>
      <c r="W260" s="60"/>
    </row>
    <row r="261" spans="1:23" ht="13" x14ac:dyDescent="0.3">
      <c r="A261" s="58"/>
      <c r="B261" s="58"/>
      <c r="C261" s="58"/>
      <c r="D261" s="58"/>
      <c r="E261" s="58"/>
      <c r="F261" s="58"/>
      <c r="G261" s="58"/>
      <c r="H261" s="59"/>
      <c r="I261" s="59"/>
      <c r="J261" s="59"/>
      <c r="K261" s="59"/>
      <c r="L261" s="59"/>
      <c r="M261" s="60"/>
      <c r="N261" s="60"/>
      <c r="O261" s="60"/>
      <c r="P261" s="59"/>
      <c r="Q261" s="59"/>
      <c r="R261" s="60"/>
      <c r="S261" s="60"/>
      <c r="T261" s="60"/>
      <c r="U261" s="60"/>
      <c r="V261" s="60"/>
      <c r="W261" s="60"/>
    </row>
    <row r="262" spans="1:23" ht="13" x14ac:dyDescent="0.3">
      <c r="A262" s="58"/>
      <c r="B262" s="58"/>
      <c r="C262" s="58"/>
      <c r="D262" s="58"/>
      <c r="E262" s="58"/>
      <c r="F262" s="58"/>
      <c r="G262" s="58"/>
      <c r="H262" s="59"/>
      <c r="I262" s="59"/>
      <c r="J262" s="59"/>
      <c r="K262" s="59"/>
      <c r="L262" s="59"/>
      <c r="M262" s="60"/>
      <c r="N262" s="60"/>
      <c r="O262" s="60"/>
      <c r="P262" s="59"/>
      <c r="Q262" s="59"/>
      <c r="R262" s="60"/>
      <c r="S262" s="60"/>
      <c r="T262" s="60"/>
      <c r="U262" s="60"/>
      <c r="V262" s="60"/>
      <c r="W262" s="60"/>
    </row>
    <row r="263" spans="1:23" ht="13" x14ac:dyDescent="0.3">
      <c r="A263" s="58"/>
      <c r="B263" s="58"/>
      <c r="C263" s="58"/>
      <c r="D263" s="58"/>
      <c r="E263" s="58"/>
      <c r="F263" s="58"/>
      <c r="G263" s="58"/>
      <c r="H263" s="59"/>
      <c r="I263" s="59"/>
      <c r="J263" s="59"/>
      <c r="K263" s="59"/>
      <c r="L263" s="59"/>
      <c r="M263" s="60"/>
      <c r="N263" s="60"/>
      <c r="O263" s="60"/>
      <c r="P263" s="59"/>
      <c r="Q263" s="59"/>
      <c r="R263" s="60"/>
      <c r="S263" s="60"/>
      <c r="T263" s="60"/>
      <c r="U263" s="60"/>
      <c r="V263" s="60"/>
      <c r="W263" s="60"/>
    </row>
    <row r="264" spans="1:23" ht="13" x14ac:dyDescent="0.3">
      <c r="A264" s="58"/>
      <c r="B264" s="58"/>
      <c r="C264" s="58"/>
      <c r="D264" s="58"/>
      <c r="E264" s="58"/>
      <c r="F264" s="58"/>
      <c r="G264" s="58"/>
      <c r="H264" s="59"/>
      <c r="I264" s="59"/>
      <c r="J264" s="59"/>
      <c r="K264" s="59"/>
      <c r="L264" s="59"/>
      <c r="M264" s="60"/>
      <c r="N264" s="60"/>
      <c r="O264" s="60"/>
      <c r="P264" s="59"/>
      <c r="Q264" s="59"/>
      <c r="R264" s="60"/>
      <c r="S264" s="60"/>
      <c r="T264" s="60"/>
      <c r="U264" s="60"/>
      <c r="V264" s="60"/>
      <c r="W264" s="60"/>
    </row>
    <row r="265" spans="1:23" ht="13" x14ac:dyDescent="0.3">
      <c r="A265" s="58"/>
      <c r="B265" s="58"/>
      <c r="C265" s="58"/>
      <c r="D265" s="58"/>
      <c r="E265" s="58"/>
      <c r="F265" s="58"/>
      <c r="G265" s="58"/>
      <c r="H265" s="59"/>
      <c r="I265" s="59"/>
      <c r="J265" s="59"/>
      <c r="K265" s="59"/>
      <c r="L265" s="59"/>
      <c r="M265" s="60"/>
      <c r="N265" s="60"/>
      <c r="O265" s="60"/>
      <c r="P265" s="59"/>
      <c r="Q265" s="59"/>
      <c r="R265" s="60"/>
      <c r="S265" s="60"/>
      <c r="T265" s="60"/>
      <c r="U265" s="60"/>
      <c r="V265" s="60"/>
      <c r="W265" s="60"/>
    </row>
    <row r="266" spans="1:23" ht="13" x14ac:dyDescent="0.3">
      <c r="A266" s="58"/>
      <c r="B266" s="58"/>
      <c r="C266" s="58"/>
      <c r="D266" s="58"/>
      <c r="E266" s="58"/>
      <c r="F266" s="58"/>
      <c r="G266" s="58"/>
      <c r="H266" s="59"/>
      <c r="I266" s="59"/>
      <c r="J266" s="59"/>
      <c r="K266" s="59"/>
      <c r="L266" s="59"/>
      <c r="M266" s="60"/>
      <c r="N266" s="60"/>
      <c r="O266" s="60"/>
      <c r="P266" s="59"/>
      <c r="Q266" s="59"/>
      <c r="R266" s="60"/>
      <c r="S266" s="60"/>
      <c r="T266" s="60"/>
      <c r="U266" s="60"/>
      <c r="V266" s="60"/>
      <c r="W266" s="60"/>
    </row>
    <row r="267" spans="1:23" ht="13" x14ac:dyDescent="0.3">
      <c r="A267" s="58"/>
      <c r="B267" s="58"/>
      <c r="C267" s="58"/>
      <c r="D267" s="58"/>
      <c r="E267" s="58"/>
      <c r="F267" s="58"/>
      <c r="G267" s="58"/>
      <c r="H267" s="59"/>
      <c r="I267" s="59"/>
      <c r="J267" s="59"/>
      <c r="K267" s="59"/>
      <c r="L267" s="59"/>
      <c r="M267" s="60"/>
      <c r="N267" s="60"/>
      <c r="O267" s="60"/>
      <c r="P267" s="59"/>
      <c r="Q267" s="59"/>
      <c r="R267" s="60"/>
      <c r="S267" s="60"/>
      <c r="T267" s="60"/>
      <c r="U267" s="60"/>
      <c r="V267" s="60"/>
      <c r="W267" s="60"/>
    </row>
    <row r="268" spans="1:23" ht="13" x14ac:dyDescent="0.3">
      <c r="A268" s="58"/>
      <c r="B268" s="58"/>
      <c r="C268" s="58"/>
      <c r="D268" s="58"/>
      <c r="E268" s="58"/>
      <c r="F268" s="58"/>
      <c r="G268" s="58"/>
      <c r="H268" s="59"/>
      <c r="I268" s="59"/>
      <c r="J268" s="59"/>
      <c r="K268" s="59"/>
      <c r="L268" s="59"/>
      <c r="M268" s="60"/>
      <c r="N268" s="60"/>
      <c r="O268" s="60"/>
      <c r="P268" s="59"/>
      <c r="Q268" s="59"/>
      <c r="R268" s="60"/>
      <c r="S268" s="60"/>
      <c r="T268" s="60"/>
      <c r="U268" s="60"/>
      <c r="V268" s="60"/>
      <c r="W268" s="60"/>
    </row>
    <row r="269" spans="1:23" ht="13" x14ac:dyDescent="0.3">
      <c r="A269" s="58"/>
      <c r="B269" s="58"/>
      <c r="C269" s="58"/>
      <c r="D269" s="58"/>
      <c r="E269" s="58"/>
      <c r="F269" s="58"/>
      <c r="G269" s="58"/>
      <c r="H269" s="59"/>
      <c r="I269" s="59"/>
      <c r="J269" s="59"/>
      <c r="K269" s="59"/>
      <c r="L269" s="59"/>
      <c r="M269" s="60"/>
      <c r="N269" s="60"/>
      <c r="O269" s="60"/>
      <c r="P269" s="59"/>
      <c r="Q269" s="59"/>
      <c r="R269" s="60"/>
      <c r="S269" s="60"/>
      <c r="T269" s="60"/>
      <c r="U269" s="60"/>
      <c r="V269" s="60"/>
      <c r="W269" s="60"/>
    </row>
    <row r="270" spans="1:23" ht="13" x14ac:dyDescent="0.3">
      <c r="A270" s="58"/>
      <c r="B270" s="58"/>
      <c r="C270" s="58"/>
      <c r="D270" s="58"/>
      <c r="E270" s="58"/>
      <c r="F270" s="58"/>
      <c r="G270" s="58"/>
      <c r="H270" s="59"/>
      <c r="I270" s="59"/>
      <c r="J270" s="59"/>
      <c r="K270" s="59"/>
      <c r="L270" s="59"/>
      <c r="M270" s="60"/>
      <c r="N270" s="60"/>
      <c r="O270" s="60"/>
      <c r="P270" s="59"/>
      <c r="Q270" s="59"/>
      <c r="R270" s="60"/>
      <c r="S270" s="60"/>
      <c r="T270" s="60"/>
      <c r="U270" s="60"/>
      <c r="V270" s="60"/>
      <c r="W270" s="60"/>
    </row>
    <row r="271" spans="1:23" ht="13" x14ac:dyDescent="0.3">
      <c r="A271" s="58"/>
      <c r="B271" s="58"/>
      <c r="C271" s="58"/>
      <c r="D271" s="58"/>
      <c r="E271" s="58"/>
      <c r="F271" s="58"/>
      <c r="G271" s="58"/>
      <c r="H271" s="59"/>
      <c r="I271" s="59"/>
      <c r="J271" s="59"/>
      <c r="K271" s="59"/>
      <c r="L271" s="59"/>
      <c r="M271" s="60"/>
      <c r="N271" s="60"/>
      <c r="O271" s="60"/>
      <c r="P271" s="59"/>
      <c r="Q271" s="59"/>
      <c r="R271" s="60"/>
      <c r="S271" s="60"/>
      <c r="T271" s="60"/>
      <c r="U271" s="60"/>
      <c r="V271" s="60"/>
      <c r="W271" s="60"/>
    </row>
    <row r="272" spans="1:23" ht="13" x14ac:dyDescent="0.3">
      <c r="A272" s="58"/>
      <c r="B272" s="58"/>
      <c r="C272" s="58"/>
      <c r="D272" s="58"/>
      <c r="E272" s="58"/>
      <c r="F272" s="58"/>
      <c r="G272" s="58"/>
      <c r="H272" s="59"/>
      <c r="I272" s="59"/>
      <c r="J272" s="59"/>
      <c r="K272" s="59"/>
      <c r="L272" s="59"/>
      <c r="M272" s="60"/>
      <c r="N272" s="60"/>
      <c r="O272" s="60"/>
      <c r="P272" s="59"/>
      <c r="Q272" s="59"/>
      <c r="R272" s="60"/>
      <c r="S272" s="60"/>
      <c r="T272" s="60"/>
      <c r="U272" s="60"/>
      <c r="V272" s="60"/>
      <c r="W272" s="60"/>
    </row>
    <row r="273" spans="1:23" ht="13" x14ac:dyDescent="0.3">
      <c r="A273" s="58"/>
      <c r="B273" s="58"/>
      <c r="C273" s="58"/>
      <c r="D273" s="58"/>
      <c r="E273" s="58"/>
      <c r="F273" s="58"/>
      <c r="G273" s="58"/>
      <c r="H273" s="59"/>
      <c r="I273" s="59"/>
      <c r="J273" s="59"/>
      <c r="K273" s="59"/>
      <c r="L273" s="59"/>
      <c r="M273" s="60"/>
      <c r="N273" s="60"/>
      <c r="O273" s="60"/>
      <c r="P273" s="59"/>
      <c r="Q273" s="59"/>
      <c r="R273" s="60"/>
      <c r="S273" s="60"/>
      <c r="T273" s="60"/>
      <c r="U273" s="60"/>
      <c r="V273" s="60"/>
      <c r="W273" s="60"/>
    </row>
    <row r="274" spans="1:23" ht="13" x14ac:dyDescent="0.3">
      <c r="A274" s="58"/>
      <c r="B274" s="58"/>
      <c r="C274" s="58"/>
      <c r="D274" s="58"/>
      <c r="E274" s="58"/>
      <c r="F274" s="58"/>
      <c r="G274" s="58"/>
      <c r="H274" s="59"/>
      <c r="I274" s="59"/>
      <c r="J274" s="59"/>
      <c r="K274" s="59"/>
      <c r="L274" s="59"/>
      <c r="M274" s="60"/>
      <c r="N274" s="60"/>
      <c r="O274" s="60"/>
      <c r="P274" s="59"/>
      <c r="Q274" s="59"/>
      <c r="R274" s="60"/>
      <c r="S274" s="60"/>
      <c r="T274" s="60"/>
      <c r="U274" s="60"/>
      <c r="V274" s="60"/>
      <c r="W274" s="60"/>
    </row>
    <row r="275" spans="1:23" ht="13" x14ac:dyDescent="0.3">
      <c r="A275" s="58"/>
      <c r="B275" s="58"/>
      <c r="C275" s="58"/>
      <c r="D275" s="58"/>
      <c r="E275" s="58"/>
      <c r="F275" s="58"/>
      <c r="G275" s="58"/>
      <c r="H275" s="59"/>
      <c r="I275" s="59"/>
      <c r="J275" s="59"/>
      <c r="K275" s="59"/>
      <c r="L275" s="59"/>
      <c r="M275" s="60"/>
      <c r="N275" s="60"/>
      <c r="O275" s="60"/>
      <c r="P275" s="59"/>
      <c r="Q275" s="59"/>
      <c r="R275" s="60"/>
      <c r="S275" s="60"/>
      <c r="T275" s="60"/>
      <c r="U275" s="60"/>
      <c r="V275" s="60"/>
      <c r="W275" s="60"/>
    </row>
    <row r="276" spans="1:23" ht="13" x14ac:dyDescent="0.3">
      <c r="A276" s="58"/>
      <c r="B276" s="58"/>
      <c r="C276" s="58"/>
      <c r="D276" s="58"/>
      <c r="E276" s="58"/>
      <c r="F276" s="58"/>
      <c r="G276" s="58"/>
      <c r="H276" s="59"/>
      <c r="I276" s="59"/>
      <c r="J276" s="59"/>
      <c r="K276" s="59"/>
      <c r="L276" s="59"/>
      <c r="M276" s="60"/>
      <c r="N276" s="60"/>
      <c r="O276" s="60"/>
      <c r="P276" s="59"/>
      <c r="Q276" s="59"/>
      <c r="R276" s="60"/>
      <c r="S276" s="60"/>
      <c r="T276" s="60"/>
      <c r="U276" s="60"/>
      <c r="V276" s="60"/>
      <c r="W276" s="60"/>
    </row>
    <row r="277" spans="1:23" ht="13" x14ac:dyDescent="0.3">
      <c r="A277" s="58"/>
      <c r="B277" s="58"/>
      <c r="C277" s="58"/>
      <c r="D277" s="58"/>
      <c r="E277" s="58"/>
      <c r="F277" s="58"/>
      <c r="G277" s="58"/>
      <c r="H277" s="59"/>
      <c r="I277" s="59"/>
      <c r="J277" s="59"/>
      <c r="K277" s="59"/>
      <c r="L277" s="59"/>
      <c r="M277" s="60"/>
      <c r="N277" s="60"/>
      <c r="O277" s="60"/>
      <c r="P277" s="59"/>
      <c r="Q277" s="59"/>
      <c r="R277" s="60"/>
      <c r="S277" s="60"/>
      <c r="T277" s="60"/>
      <c r="U277" s="60"/>
      <c r="V277" s="60"/>
      <c r="W277" s="60"/>
    </row>
    <row r="278" spans="1:23" ht="13" x14ac:dyDescent="0.3">
      <c r="A278" s="58"/>
      <c r="B278" s="58"/>
      <c r="C278" s="58"/>
      <c r="D278" s="58"/>
      <c r="E278" s="58"/>
      <c r="F278" s="58"/>
      <c r="G278" s="58"/>
      <c r="H278" s="59"/>
      <c r="I278" s="59"/>
      <c r="J278" s="59"/>
      <c r="K278" s="59"/>
      <c r="L278" s="59"/>
      <c r="M278" s="60"/>
      <c r="N278" s="60"/>
      <c r="O278" s="60"/>
      <c r="P278" s="59"/>
      <c r="Q278" s="59"/>
      <c r="R278" s="60"/>
      <c r="S278" s="60"/>
      <c r="T278" s="60"/>
      <c r="U278" s="60"/>
      <c r="V278" s="60"/>
      <c r="W278" s="60"/>
    </row>
    <row r="279" spans="1:23" ht="13" x14ac:dyDescent="0.3">
      <c r="A279" s="58"/>
      <c r="B279" s="58"/>
      <c r="C279" s="58"/>
      <c r="D279" s="58"/>
      <c r="E279" s="58"/>
      <c r="F279" s="58"/>
      <c r="G279" s="58"/>
      <c r="H279" s="59"/>
      <c r="I279" s="59"/>
      <c r="J279" s="59"/>
      <c r="K279" s="59"/>
      <c r="L279" s="59"/>
      <c r="M279" s="60"/>
      <c r="N279" s="60"/>
      <c r="O279" s="60"/>
      <c r="P279" s="59"/>
      <c r="Q279" s="59"/>
      <c r="R279" s="60"/>
      <c r="S279" s="60"/>
      <c r="T279" s="60"/>
      <c r="U279" s="60"/>
      <c r="V279" s="60"/>
      <c r="W279" s="60"/>
    </row>
    <row r="280" spans="1:23" ht="13" x14ac:dyDescent="0.3">
      <c r="A280" s="58"/>
      <c r="B280" s="58"/>
      <c r="C280" s="58"/>
      <c r="D280" s="58"/>
      <c r="E280" s="58"/>
      <c r="F280" s="58"/>
      <c r="G280" s="58"/>
      <c r="H280" s="59"/>
      <c r="I280" s="59"/>
      <c r="J280" s="59"/>
      <c r="K280" s="59"/>
      <c r="L280" s="59"/>
      <c r="M280" s="60"/>
      <c r="N280" s="60"/>
      <c r="O280" s="60"/>
      <c r="P280" s="59"/>
      <c r="Q280" s="59"/>
      <c r="R280" s="60"/>
      <c r="S280" s="60"/>
      <c r="T280" s="60"/>
      <c r="U280" s="60"/>
      <c r="V280" s="60"/>
      <c r="W280" s="60"/>
    </row>
    <row r="281" spans="1:23" ht="13" x14ac:dyDescent="0.3">
      <c r="A281" s="58"/>
      <c r="B281" s="58"/>
      <c r="C281" s="58"/>
      <c r="D281" s="58"/>
      <c r="E281" s="58"/>
      <c r="F281" s="58"/>
      <c r="G281" s="58"/>
      <c r="H281" s="59"/>
      <c r="I281" s="59"/>
      <c r="J281" s="59"/>
      <c r="K281" s="59"/>
      <c r="L281" s="59"/>
      <c r="M281" s="60"/>
      <c r="N281" s="60"/>
      <c r="O281" s="60"/>
      <c r="P281" s="59"/>
      <c r="Q281" s="59"/>
      <c r="R281" s="60"/>
      <c r="S281" s="60"/>
      <c r="T281" s="60"/>
      <c r="U281" s="60"/>
      <c r="V281" s="60"/>
      <c r="W281" s="60"/>
    </row>
    <row r="282" spans="1:23" ht="13" x14ac:dyDescent="0.3">
      <c r="A282" s="58"/>
      <c r="B282" s="58"/>
      <c r="C282" s="58"/>
      <c r="D282" s="58"/>
      <c r="E282" s="58"/>
      <c r="F282" s="58"/>
      <c r="G282" s="58"/>
      <c r="H282" s="59"/>
      <c r="I282" s="59"/>
      <c r="J282" s="59"/>
      <c r="K282" s="59"/>
      <c r="L282" s="59"/>
      <c r="M282" s="60"/>
      <c r="N282" s="60"/>
      <c r="O282" s="60"/>
      <c r="P282" s="59"/>
      <c r="Q282" s="59"/>
      <c r="R282" s="60"/>
      <c r="S282" s="60"/>
      <c r="T282" s="60"/>
      <c r="U282" s="60"/>
      <c r="V282" s="60"/>
      <c r="W282" s="60"/>
    </row>
    <row r="283" spans="1:23" ht="13" x14ac:dyDescent="0.3">
      <c r="A283" s="58"/>
      <c r="B283" s="58"/>
      <c r="C283" s="58"/>
      <c r="D283" s="58"/>
      <c r="E283" s="58"/>
      <c r="F283" s="58"/>
      <c r="G283" s="58"/>
      <c r="H283" s="59"/>
      <c r="I283" s="59"/>
      <c r="J283" s="59"/>
      <c r="K283" s="59"/>
      <c r="L283" s="59"/>
      <c r="M283" s="60"/>
      <c r="N283" s="60"/>
      <c r="O283" s="60"/>
      <c r="P283" s="59"/>
      <c r="Q283" s="59"/>
      <c r="R283" s="60"/>
      <c r="S283" s="60"/>
      <c r="T283" s="60"/>
      <c r="U283" s="60"/>
      <c r="V283" s="60"/>
      <c r="W283" s="60"/>
    </row>
    <row r="284" spans="1:23" ht="13" x14ac:dyDescent="0.3">
      <c r="A284" s="58"/>
      <c r="B284" s="58"/>
      <c r="C284" s="58"/>
      <c r="D284" s="58"/>
      <c r="E284" s="58"/>
      <c r="F284" s="58"/>
      <c r="G284" s="58"/>
      <c r="H284" s="59"/>
      <c r="I284" s="59"/>
      <c r="J284" s="59"/>
      <c r="K284" s="59"/>
      <c r="L284" s="59"/>
      <c r="M284" s="60"/>
      <c r="N284" s="60"/>
      <c r="O284" s="60"/>
      <c r="P284" s="59"/>
      <c r="Q284" s="59"/>
      <c r="R284" s="60"/>
      <c r="S284" s="60"/>
      <c r="T284" s="60"/>
      <c r="U284" s="60"/>
      <c r="V284" s="60"/>
      <c r="W284" s="60"/>
    </row>
    <row r="285" spans="1:23" ht="13" x14ac:dyDescent="0.3">
      <c r="A285" s="58"/>
      <c r="B285" s="58"/>
      <c r="C285" s="58"/>
      <c r="D285" s="58"/>
      <c r="E285" s="58"/>
      <c r="F285" s="58"/>
      <c r="G285" s="58"/>
      <c r="H285" s="59"/>
      <c r="I285" s="59"/>
      <c r="J285" s="59"/>
      <c r="K285" s="59"/>
      <c r="L285" s="59"/>
      <c r="M285" s="60"/>
      <c r="N285" s="60"/>
      <c r="O285" s="60"/>
      <c r="P285" s="59"/>
      <c r="Q285" s="59"/>
      <c r="R285" s="60"/>
      <c r="S285" s="60"/>
      <c r="T285" s="60"/>
      <c r="U285" s="60"/>
      <c r="V285" s="60"/>
      <c r="W285" s="60"/>
    </row>
    <row r="286" spans="1:23" ht="13" x14ac:dyDescent="0.3">
      <c r="A286" s="58"/>
      <c r="B286" s="58"/>
      <c r="C286" s="58"/>
      <c r="D286" s="58"/>
      <c r="E286" s="58"/>
      <c r="F286" s="58"/>
      <c r="G286" s="58"/>
      <c r="H286" s="59"/>
      <c r="I286" s="59"/>
      <c r="J286" s="59"/>
      <c r="K286" s="59"/>
      <c r="L286" s="59"/>
      <c r="M286" s="60"/>
      <c r="N286" s="60"/>
      <c r="O286" s="60"/>
      <c r="P286" s="59"/>
      <c r="Q286" s="59"/>
      <c r="R286" s="60"/>
      <c r="S286" s="60"/>
      <c r="T286" s="60"/>
      <c r="U286" s="60"/>
      <c r="V286" s="60"/>
      <c r="W286" s="60"/>
    </row>
    <row r="287" spans="1:23" ht="13" x14ac:dyDescent="0.3">
      <c r="A287" s="58"/>
      <c r="B287" s="58"/>
      <c r="C287" s="58"/>
      <c r="D287" s="58"/>
      <c r="E287" s="58"/>
      <c r="F287" s="58"/>
      <c r="G287" s="58"/>
      <c r="H287" s="59"/>
      <c r="I287" s="59"/>
      <c r="J287" s="59"/>
      <c r="K287" s="59"/>
      <c r="L287" s="59"/>
      <c r="M287" s="60"/>
      <c r="N287" s="60"/>
      <c r="O287" s="60"/>
      <c r="P287" s="59"/>
      <c r="Q287" s="59"/>
      <c r="R287" s="60"/>
      <c r="S287" s="60"/>
      <c r="T287" s="60"/>
      <c r="U287" s="60"/>
      <c r="V287" s="60"/>
      <c r="W287" s="60"/>
    </row>
    <row r="288" spans="1:23" ht="13" x14ac:dyDescent="0.3">
      <c r="A288" s="58"/>
      <c r="B288" s="58"/>
      <c r="C288" s="58"/>
      <c r="D288" s="58"/>
      <c r="E288" s="58"/>
      <c r="F288" s="58"/>
      <c r="G288" s="58"/>
      <c r="H288" s="59"/>
      <c r="I288" s="59"/>
      <c r="J288" s="59"/>
      <c r="K288" s="59"/>
      <c r="L288" s="59"/>
      <c r="M288" s="60"/>
      <c r="N288" s="60"/>
      <c r="O288" s="60"/>
      <c r="P288" s="59"/>
      <c r="Q288" s="59"/>
      <c r="R288" s="60"/>
      <c r="S288" s="60"/>
      <c r="T288" s="60"/>
      <c r="U288" s="60"/>
      <c r="V288" s="60"/>
      <c r="W288" s="60"/>
    </row>
    <row r="289" spans="1:23" ht="13" x14ac:dyDescent="0.3">
      <c r="A289" s="58"/>
      <c r="B289" s="58"/>
      <c r="C289" s="58"/>
      <c r="D289" s="58"/>
      <c r="E289" s="58"/>
      <c r="F289" s="58"/>
      <c r="G289" s="58"/>
      <c r="H289" s="59"/>
      <c r="I289" s="59"/>
      <c r="J289" s="59"/>
      <c r="K289" s="59"/>
      <c r="L289" s="59"/>
      <c r="M289" s="60"/>
      <c r="N289" s="60"/>
      <c r="O289" s="60"/>
      <c r="P289" s="59"/>
      <c r="Q289" s="59"/>
      <c r="R289" s="60"/>
      <c r="S289" s="60"/>
      <c r="T289" s="60"/>
      <c r="U289" s="60"/>
      <c r="V289" s="60"/>
      <c r="W289" s="60"/>
    </row>
    <row r="290" spans="1:23" ht="13" x14ac:dyDescent="0.3">
      <c r="A290" s="58"/>
      <c r="B290" s="58"/>
      <c r="C290" s="58"/>
      <c r="D290" s="58"/>
      <c r="E290" s="58"/>
      <c r="F290" s="58"/>
      <c r="G290" s="58"/>
      <c r="H290" s="59"/>
      <c r="I290" s="59"/>
      <c r="J290" s="59"/>
      <c r="K290" s="59"/>
      <c r="L290" s="59"/>
      <c r="M290" s="60"/>
      <c r="N290" s="60"/>
      <c r="O290" s="60"/>
      <c r="P290" s="59"/>
      <c r="Q290" s="59"/>
      <c r="R290" s="60"/>
      <c r="S290" s="60"/>
      <c r="T290" s="60"/>
      <c r="U290" s="60"/>
      <c r="V290" s="60"/>
      <c r="W290" s="60"/>
    </row>
    <row r="291" spans="1:23" ht="13" x14ac:dyDescent="0.3">
      <c r="A291" s="58"/>
      <c r="B291" s="58"/>
      <c r="C291" s="58"/>
      <c r="D291" s="58"/>
      <c r="E291" s="58"/>
      <c r="F291" s="58"/>
      <c r="G291" s="58"/>
      <c r="H291" s="59"/>
      <c r="I291" s="59"/>
      <c r="J291" s="59"/>
      <c r="K291" s="59"/>
      <c r="L291" s="59"/>
      <c r="M291" s="60"/>
      <c r="N291" s="60"/>
      <c r="O291" s="60"/>
      <c r="P291" s="59"/>
      <c r="Q291" s="59"/>
      <c r="R291" s="60"/>
      <c r="S291" s="60"/>
      <c r="T291" s="60"/>
      <c r="U291" s="60"/>
      <c r="V291" s="60"/>
      <c r="W291" s="60"/>
    </row>
    <row r="292" spans="1:23" ht="13" x14ac:dyDescent="0.3">
      <c r="A292" s="58"/>
      <c r="B292" s="58"/>
      <c r="C292" s="58"/>
      <c r="D292" s="58"/>
      <c r="E292" s="58"/>
      <c r="F292" s="58"/>
      <c r="G292" s="58"/>
      <c r="H292" s="59"/>
      <c r="I292" s="59"/>
      <c r="J292" s="59"/>
      <c r="K292" s="59"/>
      <c r="L292" s="59"/>
      <c r="M292" s="60"/>
      <c r="N292" s="60"/>
      <c r="O292" s="60"/>
      <c r="P292" s="59"/>
      <c r="Q292" s="59"/>
      <c r="R292" s="60"/>
      <c r="S292" s="60"/>
      <c r="T292" s="60"/>
      <c r="U292" s="60"/>
      <c r="V292" s="60"/>
      <c r="W292" s="60"/>
    </row>
    <row r="293" spans="1:23" ht="13" x14ac:dyDescent="0.3">
      <c r="A293" s="58"/>
      <c r="B293" s="58"/>
      <c r="C293" s="58"/>
      <c r="D293" s="58"/>
      <c r="E293" s="58"/>
      <c r="F293" s="58"/>
      <c r="G293" s="58"/>
      <c r="H293" s="59"/>
      <c r="I293" s="59"/>
      <c r="J293" s="59"/>
      <c r="K293" s="59"/>
      <c r="L293" s="59"/>
      <c r="M293" s="60"/>
      <c r="N293" s="60"/>
      <c r="O293" s="60"/>
      <c r="P293" s="59"/>
      <c r="Q293" s="59"/>
      <c r="R293" s="60"/>
      <c r="S293" s="60"/>
      <c r="T293" s="60"/>
      <c r="U293" s="60"/>
      <c r="V293" s="60"/>
      <c r="W293" s="60"/>
    </row>
    <row r="294" spans="1:23" ht="13" x14ac:dyDescent="0.3">
      <c r="A294" s="58"/>
      <c r="B294" s="58"/>
      <c r="C294" s="58"/>
      <c r="D294" s="58"/>
      <c r="E294" s="58"/>
      <c r="F294" s="58"/>
      <c r="G294" s="58"/>
      <c r="H294" s="59"/>
      <c r="I294" s="59"/>
      <c r="J294" s="59"/>
      <c r="K294" s="59"/>
      <c r="L294" s="59"/>
      <c r="M294" s="60"/>
      <c r="N294" s="60"/>
      <c r="O294" s="60"/>
      <c r="P294" s="59"/>
      <c r="Q294" s="59"/>
      <c r="R294" s="60"/>
      <c r="S294" s="60"/>
      <c r="T294" s="60"/>
      <c r="U294" s="60"/>
      <c r="V294" s="60"/>
      <c r="W294" s="60"/>
    </row>
    <row r="295" spans="1:23" ht="13" x14ac:dyDescent="0.3">
      <c r="A295" s="58"/>
      <c r="B295" s="58"/>
      <c r="C295" s="58"/>
      <c r="D295" s="58"/>
      <c r="E295" s="58"/>
      <c r="F295" s="58"/>
      <c r="G295" s="58"/>
      <c r="H295" s="59"/>
      <c r="I295" s="59"/>
      <c r="J295" s="59"/>
      <c r="K295" s="59"/>
      <c r="L295" s="59"/>
      <c r="M295" s="60"/>
      <c r="N295" s="60"/>
      <c r="O295" s="60"/>
      <c r="P295" s="59"/>
      <c r="Q295" s="59"/>
      <c r="R295" s="60"/>
      <c r="S295" s="60"/>
      <c r="T295" s="60"/>
      <c r="U295" s="60"/>
      <c r="V295" s="60"/>
      <c r="W295" s="60"/>
    </row>
    <row r="296" spans="1:23" ht="13" x14ac:dyDescent="0.3">
      <c r="A296" s="58"/>
      <c r="B296" s="58"/>
      <c r="C296" s="58"/>
      <c r="D296" s="58"/>
      <c r="E296" s="58"/>
      <c r="F296" s="58"/>
      <c r="G296" s="58"/>
      <c r="H296" s="59"/>
      <c r="I296" s="59"/>
      <c r="J296" s="59"/>
      <c r="K296" s="59"/>
      <c r="L296" s="59"/>
      <c r="M296" s="60"/>
      <c r="N296" s="60"/>
      <c r="O296" s="60"/>
      <c r="P296" s="59"/>
      <c r="Q296" s="59"/>
      <c r="R296" s="60"/>
      <c r="S296" s="60"/>
      <c r="T296" s="60"/>
      <c r="U296" s="60"/>
      <c r="V296" s="60"/>
      <c r="W296" s="60"/>
    </row>
    <row r="297" spans="1:23" ht="13" x14ac:dyDescent="0.3">
      <c r="A297" s="58"/>
      <c r="B297" s="58"/>
      <c r="C297" s="58"/>
      <c r="D297" s="58"/>
      <c r="E297" s="58"/>
      <c r="F297" s="58"/>
      <c r="G297" s="58"/>
      <c r="H297" s="59"/>
      <c r="I297" s="59"/>
      <c r="J297" s="59"/>
      <c r="K297" s="59"/>
      <c r="L297" s="59"/>
      <c r="M297" s="60"/>
      <c r="N297" s="60"/>
      <c r="O297" s="60"/>
      <c r="P297" s="59"/>
      <c r="Q297" s="59"/>
      <c r="R297" s="60"/>
      <c r="S297" s="60"/>
      <c r="T297" s="60"/>
      <c r="U297" s="60"/>
      <c r="V297" s="60"/>
      <c r="W297" s="60"/>
    </row>
    <row r="298" spans="1:23" ht="13" x14ac:dyDescent="0.3">
      <c r="A298" s="58"/>
      <c r="B298" s="58"/>
      <c r="C298" s="58"/>
      <c r="D298" s="58"/>
      <c r="E298" s="58"/>
      <c r="F298" s="58"/>
      <c r="G298" s="58"/>
      <c r="H298" s="59"/>
      <c r="I298" s="59"/>
      <c r="J298" s="59"/>
      <c r="K298" s="59"/>
      <c r="L298" s="59"/>
      <c r="M298" s="60"/>
      <c r="N298" s="60"/>
      <c r="O298" s="60"/>
      <c r="P298" s="59"/>
      <c r="Q298" s="59"/>
      <c r="R298" s="60"/>
      <c r="S298" s="60"/>
      <c r="T298" s="60"/>
      <c r="U298" s="60"/>
      <c r="V298" s="60"/>
      <c r="W298" s="60"/>
    </row>
    <row r="299" spans="1:23" ht="13" x14ac:dyDescent="0.3">
      <c r="A299" s="58"/>
      <c r="B299" s="58"/>
      <c r="C299" s="58"/>
      <c r="D299" s="58"/>
      <c r="E299" s="58"/>
      <c r="F299" s="58"/>
      <c r="G299" s="58"/>
      <c r="H299" s="59"/>
      <c r="I299" s="59"/>
      <c r="J299" s="59"/>
      <c r="K299" s="59"/>
      <c r="L299" s="59"/>
      <c r="M299" s="60"/>
      <c r="N299" s="60"/>
      <c r="O299" s="60"/>
      <c r="P299" s="59"/>
      <c r="Q299" s="59"/>
      <c r="R299" s="60"/>
      <c r="S299" s="60"/>
      <c r="T299" s="60"/>
      <c r="U299" s="60"/>
      <c r="V299" s="60"/>
      <c r="W299" s="60"/>
    </row>
    <row r="300" spans="1:23" ht="13" x14ac:dyDescent="0.3">
      <c r="A300" s="58"/>
      <c r="B300" s="58"/>
      <c r="C300" s="58"/>
      <c r="D300" s="58"/>
      <c r="E300" s="58"/>
      <c r="F300" s="58"/>
      <c r="G300" s="58"/>
      <c r="H300" s="59"/>
      <c r="I300" s="59"/>
      <c r="J300" s="59"/>
      <c r="K300" s="59"/>
      <c r="L300" s="59"/>
      <c r="M300" s="60"/>
      <c r="N300" s="60"/>
      <c r="O300" s="60"/>
      <c r="P300" s="59"/>
      <c r="Q300" s="59"/>
      <c r="R300" s="60"/>
      <c r="S300" s="60"/>
      <c r="T300" s="60"/>
      <c r="U300" s="60"/>
      <c r="V300" s="60"/>
      <c r="W300" s="60"/>
    </row>
    <row r="301" spans="1:23" ht="13" x14ac:dyDescent="0.3">
      <c r="A301" s="58"/>
      <c r="B301" s="58"/>
      <c r="C301" s="58"/>
      <c r="D301" s="58"/>
      <c r="E301" s="58"/>
      <c r="F301" s="58"/>
      <c r="G301" s="58"/>
      <c r="H301" s="59"/>
      <c r="I301" s="59"/>
      <c r="J301" s="59"/>
      <c r="K301" s="59"/>
      <c r="L301" s="59"/>
      <c r="M301" s="60"/>
      <c r="N301" s="60"/>
      <c r="O301" s="60"/>
      <c r="P301" s="59"/>
      <c r="Q301" s="59"/>
      <c r="R301" s="60"/>
      <c r="S301" s="60"/>
      <c r="T301" s="60"/>
      <c r="U301" s="60"/>
      <c r="V301" s="60"/>
      <c r="W301" s="60"/>
    </row>
    <row r="302" spans="1:23" ht="13" x14ac:dyDescent="0.3">
      <c r="A302" s="58"/>
      <c r="B302" s="58"/>
      <c r="C302" s="58"/>
      <c r="D302" s="58"/>
      <c r="E302" s="58"/>
      <c r="F302" s="58"/>
      <c r="G302" s="58"/>
      <c r="H302" s="59"/>
      <c r="I302" s="59"/>
      <c r="J302" s="59"/>
      <c r="K302" s="59"/>
      <c r="L302" s="59"/>
      <c r="M302" s="60"/>
      <c r="N302" s="60"/>
      <c r="O302" s="60"/>
      <c r="P302" s="59"/>
      <c r="Q302" s="59"/>
      <c r="R302" s="60"/>
      <c r="S302" s="60"/>
      <c r="T302" s="60"/>
      <c r="U302" s="60"/>
      <c r="V302" s="60"/>
      <c r="W302" s="60"/>
    </row>
    <row r="303" spans="1:23" ht="13" x14ac:dyDescent="0.3">
      <c r="A303" s="58"/>
      <c r="B303" s="58"/>
      <c r="C303" s="58"/>
      <c r="D303" s="58"/>
      <c r="E303" s="58"/>
      <c r="F303" s="58"/>
      <c r="G303" s="58"/>
      <c r="H303" s="59"/>
      <c r="I303" s="59"/>
      <c r="J303" s="59"/>
      <c r="K303" s="59"/>
      <c r="L303" s="59"/>
      <c r="M303" s="60"/>
      <c r="N303" s="60"/>
      <c r="O303" s="60"/>
      <c r="P303" s="59"/>
      <c r="Q303" s="59"/>
      <c r="R303" s="60"/>
      <c r="S303" s="60"/>
      <c r="T303" s="60"/>
      <c r="U303" s="60"/>
      <c r="V303" s="60"/>
      <c r="W303" s="60"/>
    </row>
    <row r="304" spans="1:23" ht="13" x14ac:dyDescent="0.3">
      <c r="A304" s="58"/>
      <c r="B304" s="58"/>
      <c r="C304" s="58"/>
      <c r="D304" s="58"/>
      <c r="E304" s="58"/>
      <c r="F304" s="58"/>
      <c r="G304" s="58"/>
      <c r="H304" s="59"/>
      <c r="I304" s="59"/>
      <c r="J304" s="59"/>
      <c r="K304" s="59"/>
      <c r="L304" s="59"/>
      <c r="M304" s="60"/>
      <c r="N304" s="60"/>
      <c r="O304" s="60"/>
      <c r="P304" s="59"/>
      <c r="Q304" s="59"/>
      <c r="R304" s="60"/>
      <c r="S304" s="60"/>
      <c r="T304" s="60"/>
      <c r="U304" s="60"/>
      <c r="V304" s="60"/>
      <c r="W304" s="60"/>
    </row>
    <row r="305" spans="1:23" ht="13" x14ac:dyDescent="0.3">
      <c r="A305" s="58"/>
      <c r="B305" s="58"/>
      <c r="C305" s="58"/>
      <c r="D305" s="58"/>
      <c r="E305" s="58"/>
      <c r="F305" s="58"/>
      <c r="G305" s="58"/>
      <c r="H305" s="59"/>
      <c r="I305" s="59"/>
      <c r="J305" s="59"/>
      <c r="K305" s="59"/>
      <c r="L305" s="59"/>
      <c r="M305" s="60"/>
      <c r="N305" s="60"/>
      <c r="O305" s="60"/>
      <c r="P305" s="59"/>
      <c r="Q305" s="59"/>
      <c r="R305" s="60"/>
      <c r="S305" s="60"/>
      <c r="T305" s="60"/>
      <c r="U305" s="60"/>
      <c r="V305" s="60"/>
      <c r="W305" s="60"/>
    </row>
    <row r="306" spans="1:23" ht="13" x14ac:dyDescent="0.3">
      <c r="A306" s="58"/>
      <c r="B306" s="58"/>
      <c r="C306" s="58"/>
      <c r="D306" s="58"/>
      <c r="E306" s="58"/>
      <c r="F306" s="58"/>
      <c r="G306" s="58"/>
      <c r="H306" s="59"/>
      <c r="I306" s="59"/>
      <c r="J306" s="59"/>
      <c r="K306" s="59"/>
      <c r="L306" s="59"/>
      <c r="M306" s="60"/>
      <c r="N306" s="60"/>
      <c r="O306" s="60"/>
      <c r="P306" s="59"/>
      <c r="Q306" s="59"/>
      <c r="R306" s="60"/>
      <c r="S306" s="60"/>
      <c r="T306" s="60"/>
      <c r="U306" s="60"/>
      <c r="V306" s="60"/>
      <c r="W306" s="60"/>
    </row>
    <row r="307" spans="1:23" ht="13" x14ac:dyDescent="0.3">
      <c r="A307" s="58"/>
      <c r="B307" s="58"/>
      <c r="C307" s="58"/>
      <c r="D307" s="58"/>
      <c r="E307" s="58"/>
      <c r="F307" s="58"/>
      <c r="G307" s="58"/>
      <c r="H307" s="59"/>
      <c r="I307" s="59"/>
      <c r="J307" s="59"/>
      <c r="K307" s="59"/>
      <c r="L307" s="59"/>
      <c r="M307" s="60"/>
      <c r="N307" s="60"/>
      <c r="O307" s="60"/>
      <c r="P307" s="59"/>
      <c r="Q307" s="59"/>
      <c r="R307" s="60"/>
      <c r="S307" s="60"/>
      <c r="T307" s="60"/>
      <c r="U307" s="60"/>
      <c r="V307" s="60"/>
      <c r="W307" s="60"/>
    </row>
    <row r="308" spans="1:23" ht="13" x14ac:dyDescent="0.3">
      <c r="A308" s="58"/>
      <c r="B308" s="58"/>
      <c r="C308" s="58"/>
      <c r="D308" s="58"/>
      <c r="E308" s="58"/>
      <c r="F308" s="58"/>
      <c r="G308" s="58"/>
      <c r="H308" s="59"/>
      <c r="I308" s="59"/>
      <c r="J308" s="59"/>
      <c r="K308" s="59"/>
      <c r="L308" s="59"/>
      <c r="M308" s="60"/>
      <c r="N308" s="60"/>
      <c r="O308" s="60"/>
      <c r="P308" s="59"/>
      <c r="Q308" s="59"/>
      <c r="R308" s="60"/>
      <c r="S308" s="60"/>
      <c r="T308" s="60"/>
      <c r="U308" s="60"/>
      <c r="V308" s="60"/>
      <c r="W308" s="60"/>
    </row>
    <row r="309" spans="1:23" ht="13" x14ac:dyDescent="0.3">
      <c r="A309" s="58"/>
      <c r="B309" s="58"/>
      <c r="C309" s="58"/>
      <c r="D309" s="58"/>
      <c r="E309" s="58"/>
      <c r="F309" s="58"/>
      <c r="G309" s="58"/>
      <c r="H309" s="59"/>
      <c r="I309" s="59"/>
      <c r="J309" s="59"/>
      <c r="K309" s="59"/>
      <c r="L309" s="59"/>
      <c r="M309" s="60"/>
      <c r="N309" s="60"/>
      <c r="O309" s="60"/>
      <c r="P309" s="59"/>
      <c r="Q309" s="59"/>
      <c r="R309" s="60"/>
      <c r="S309" s="60"/>
      <c r="T309" s="60"/>
      <c r="U309" s="60"/>
      <c r="V309" s="60"/>
      <c r="W309" s="60"/>
    </row>
    <row r="310" spans="1:23" ht="13" x14ac:dyDescent="0.3">
      <c r="A310" s="58"/>
      <c r="B310" s="58"/>
      <c r="C310" s="58"/>
      <c r="D310" s="58"/>
      <c r="E310" s="58"/>
      <c r="F310" s="58"/>
      <c r="G310" s="58"/>
      <c r="H310" s="59"/>
      <c r="I310" s="59"/>
      <c r="J310" s="59"/>
      <c r="K310" s="59"/>
      <c r="L310" s="59"/>
      <c r="M310" s="60"/>
      <c r="N310" s="60"/>
      <c r="O310" s="60"/>
      <c r="P310" s="59"/>
      <c r="Q310" s="59"/>
      <c r="R310" s="60"/>
      <c r="S310" s="60"/>
      <c r="T310" s="60"/>
      <c r="U310" s="60"/>
      <c r="V310" s="60"/>
      <c r="W310" s="60"/>
    </row>
    <row r="311" spans="1:23" ht="13" x14ac:dyDescent="0.3">
      <c r="A311" s="58"/>
      <c r="B311" s="58"/>
      <c r="C311" s="58"/>
      <c r="D311" s="58"/>
      <c r="E311" s="58"/>
      <c r="F311" s="58"/>
      <c r="G311" s="58"/>
      <c r="H311" s="59"/>
      <c r="I311" s="59"/>
      <c r="J311" s="59"/>
      <c r="K311" s="59"/>
      <c r="L311" s="59"/>
      <c r="M311" s="60"/>
      <c r="N311" s="60"/>
      <c r="O311" s="60"/>
      <c r="P311" s="59"/>
      <c r="Q311" s="59"/>
      <c r="R311" s="60"/>
      <c r="S311" s="60"/>
      <c r="T311" s="60"/>
      <c r="U311" s="60"/>
      <c r="V311" s="60"/>
      <c r="W311" s="60"/>
    </row>
    <row r="312" spans="1:23" ht="13" x14ac:dyDescent="0.3">
      <c r="A312" s="58"/>
      <c r="B312" s="58"/>
      <c r="C312" s="58"/>
      <c r="D312" s="58"/>
      <c r="E312" s="58"/>
      <c r="F312" s="58"/>
      <c r="G312" s="58"/>
      <c r="H312" s="59"/>
      <c r="I312" s="59"/>
      <c r="J312" s="59"/>
      <c r="K312" s="59"/>
      <c r="L312" s="59"/>
      <c r="M312" s="60"/>
      <c r="N312" s="60"/>
      <c r="O312" s="60"/>
      <c r="P312" s="59"/>
      <c r="Q312" s="59"/>
      <c r="R312" s="60"/>
      <c r="S312" s="60"/>
      <c r="T312" s="60"/>
      <c r="U312" s="60"/>
      <c r="V312" s="60"/>
      <c r="W312" s="60"/>
    </row>
    <row r="313" spans="1:23" ht="13" x14ac:dyDescent="0.3">
      <c r="A313" s="58"/>
      <c r="B313" s="58"/>
      <c r="C313" s="58"/>
      <c r="D313" s="58"/>
      <c r="E313" s="58"/>
      <c r="F313" s="58"/>
      <c r="G313" s="58"/>
      <c r="H313" s="59"/>
      <c r="I313" s="59"/>
      <c r="J313" s="59"/>
      <c r="K313" s="59"/>
      <c r="L313" s="59"/>
      <c r="M313" s="60"/>
      <c r="N313" s="60"/>
      <c r="O313" s="60"/>
      <c r="P313" s="59"/>
      <c r="Q313" s="59"/>
      <c r="R313" s="60"/>
      <c r="S313" s="60"/>
      <c r="T313" s="60"/>
      <c r="U313" s="60"/>
      <c r="V313" s="60"/>
      <c r="W313" s="60"/>
    </row>
    <row r="314" spans="1:23" ht="13" x14ac:dyDescent="0.3">
      <c r="A314" s="58"/>
      <c r="B314" s="58"/>
      <c r="C314" s="58"/>
      <c r="D314" s="58"/>
      <c r="E314" s="58"/>
      <c r="F314" s="58"/>
      <c r="G314" s="58"/>
      <c r="H314" s="59"/>
      <c r="I314" s="59"/>
      <c r="J314" s="59"/>
      <c r="K314" s="59"/>
      <c r="L314" s="59"/>
      <c r="M314" s="60"/>
      <c r="N314" s="60"/>
      <c r="O314" s="60"/>
      <c r="P314" s="59"/>
      <c r="Q314" s="59"/>
      <c r="R314" s="60"/>
      <c r="S314" s="60"/>
      <c r="T314" s="60"/>
      <c r="U314" s="60"/>
      <c r="V314" s="60"/>
      <c r="W314" s="60"/>
    </row>
    <row r="315" spans="1:23" ht="13" x14ac:dyDescent="0.3">
      <c r="A315" s="58"/>
      <c r="B315" s="58"/>
      <c r="C315" s="58"/>
      <c r="D315" s="58"/>
      <c r="E315" s="58"/>
      <c r="F315" s="58"/>
      <c r="G315" s="58"/>
      <c r="H315" s="59"/>
      <c r="I315" s="59"/>
      <c r="J315" s="59"/>
      <c r="K315" s="59"/>
      <c r="L315" s="59"/>
      <c r="M315" s="60"/>
      <c r="N315" s="60"/>
      <c r="O315" s="60"/>
      <c r="P315" s="59"/>
      <c r="Q315" s="59"/>
      <c r="R315" s="60"/>
      <c r="S315" s="60"/>
      <c r="T315" s="60"/>
      <c r="U315" s="60"/>
      <c r="V315" s="60"/>
      <c r="W315" s="60"/>
    </row>
    <row r="316" spans="1:23" ht="13" x14ac:dyDescent="0.3">
      <c r="A316" s="58"/>
      <c r="B316" s="58"/>
      <c r="C316" s="58"/>
      <c r="D316" s="58"/>
      <c r="E316" s="58"/>
      <c r="F316" s="58"/>
      <c r="G316" s="58"/>
      <c r="H316" s="59"/>
      <c r="I316" s="59"/>
      <c r="J316" s="59"/>
      <c r="K316" s="59"/>
      <c r="L316" s="59"/>
      <c r="M316" s="60"/>
      <c r="N316" s="60"/>
      <c r="O316" s="60"/>
      <c r="P316" s="59"/>
      <c r="Q316" s="59"/>
      <c r="R316" s="60"/>
      <c r="S316" s="60"/>
      <c r="T316" s="60"/>
      <c r="U316" s="60"/>
      <c r="V316" s="60"/>
      <c r="W316" s="60"/>
    </row>
    <row r="317" spans="1:23" ht="13" x14ac:dyDescent="0.3">
      <c r="A317" s="58"/>
      <c r="B317" s="58"/>
      <c r="C317" s="58"/>
      <c r="D317" s="58"/>
      <c r="E317" s="58"/>
      <c r="F317" s="58"/>
      <c r="G317" s="58"/>
      <c r="H317" s="59"/>
      <c r="I317" s="59"/>
      <c r="J317" s="59"/>
      <c r="K317" s="59"/>
      <c r="L317" s="59"/>
      <c r="M317" s="60"/>
      <c r="N317" s="60"/>
      <c r="O317" s="60"/>
      <c r="P317" s="59"/>
      <c r="Q317" s="59"/>
      <c r="R317" s="60"/>
      <c r="S317" s="60"/>
      <c r="T317" s="60"/>
      <c r="U317" s="60"/>
      <c r="V317" s="60"/>
      <c r="W317" s="60"/>
    </row>
    <row r="318" spans="1:23" ht="13" x14ac:dyDescent="0.3">
      <c r="A318" s="58"/>
      <c r="B318" s="58"/>
      <c r="C318" s="58"/>
      <c r="D318" s="58"/>
      <c r="E318" s="58"/>
      <c r="F318" s="58"/>
      <c r="G318" s="58"/>
      <c r="H318" s="59"/>
      <c r="I318" s="59"/>
      <c r="J318" s="59"/>
      <c r="K318" s="59"/>
      <c r="L318" s="59"/>
      <c r="M318" s="60"/>
      <c r="N318" s="60"/>
      <c r="O318" s="60"/>
      <c r="P318" s="59"/>
      <c r="Q318" s="59"/>
      <c r="R318" s="60"/>
      <c r="S318" s="60"/>
      <c r="T318" s="60"/>
      <c r="U318" s="60"/>
      <c r="V318" s="60"/>
      <c r="W318" s="60"/>
    </row>
    <row r="319" spans="1:23" ht="13" x14ac:dyDescent="0.3">
      <c r="A319" s="58"/>
      <c r="B319" s="58"/>
      <c r="C319" s="58"/>
      <c r="D319" s="58"/>
      <c r="E319" s="58"/>
      <c r="F319" s="58"/>
      <c r="G319" s="58"/>
      <c r="H319" s="59"/>
      <c r="I319" s="59"/>
      <c r="J319" s="59"/>
      <c r="K319" s="59"/>
      <c r="L319" s="59"/>
      <c r="M319" s="60"/>
      <c r="N319" s="60"/>
      <c r="O319" s="60"/>
      <c r="P319" s="59"/>
      <c r="Q319" s="59"/>
      <c r="R319" s="60"/>
      <c r="S319" s="60"/>
      <c r="T319" s="60"/>
      <c r="U319" s="60"/>
      <c r="V319" s="60"/>
      <c r="W319" s="60"/>
    </row>
    <row r="320" spans="1:23" ht="13" x14ac:dyDescent="0.3">
      <c r="A320" s="58"/>
      <c r="B320" s="58"/>
      <c r="C320" s="58"/>
      <c r="D320" s="58"/>
      <c r="E320" s="58"/>
      <c r="F320" s="58"/>
      <c r="G320" s="58"/>
      <c r="H320" s="59"/>
      <c r="I320" s="59"/>
      <c r="J320" s="59"/>
      <c r="K320" s="59"/>
      <c r="L320" s="59"/>
      <c r="M320" s="60"/>
      <c r="N320" s="60"/>
      <c r="O320" s="60"/>
      <c r="P320" s="59"/>
      <c r="Q320" s="59"/>
      <c r="R320" s="60"/>
      <c r="S320" s="60"/>
      <c r="T320" s="60"/>
      <c r="U320" s="60"/>
      <c r="V320" s="60"/>
      <c r="W320" s="60"/>
    </row>
    <row r="321" spans="1:23" ht="13" x14ac:dyDescent="0.3">
      <c r="A321" s="58"/>
      <c r="B321" s="58"/>
      <c r="C321" s="58"/>
      <c r="D321" s="58"/>
      <c r="E321" s="58"/>
      <c r="F321" s="58"/>
      <c r="G321" s="58"/>
      <c r="H321" s="59"/>
      <c r="I321" s="59"/>
      <c r="J321" s="59"/>
      <c r="K321" s="59"/>
      <c r="L321" s="59"/>
      <c r="M321" s="60"/>
      <c r="N321" s="60"/>
      <c r="O321" s="60"/>
      <c r="P321" s="59"/>
      <c r="Q321" s="59"/>
      <c r="R321" s="60"/>
      <c r="S321" s="60"/>
      <c r="T321" s="60"/>
      <c r="U321" s="60"/>
      <c r="V321" s="60"/>
      <c r="W321" s="60"/>
    </row>
    <row r="322" spans="1:23" ht="13" x14ac:dyDescent="0.3">
      <c r="A322" s="58"/>
      <c r="B322" s="58"/>
      <c r="C322" s="58"/>
      <c r="D322" s="58"/>
      <c r="E322" s="58"/>
      <c r="F322" s="58"/>
      <c r="G322" s="58"/>
      <c r="H322" s="59"/>
      <c r="I322" s="59"/>
      <c r="J322" s="59"/>
      <c r="K322" s="59"/>
      <c r="L322" s="59"/>
      <c r="M322" s="60"/>
      <c r="N322" s="60"/>
      <c r="O322" s="60"/>
      <c r="P322" s="59"/>
      <c r="Q322" s="59"/>
      <c r="R322" s="60"/>
      <c r="S322" s="60"/>
      <c r="T322" s="60"/>
      <c r="U322" s="60"/>
      <c r="V322" s="60"/>
      <c r="W322" s="60"/>
    </row>
    <row r="323" spans="1:23" ht="13" x14ac:dyDescent="0.3">
      <c r="A323" s="58"/>
      <c r="B323" s="58"/>
      <c r="C323" s="58"/>
      <c r="D323" s="58"/>
      <c r="E323" s="58"/>
      <c r="F323" s="58"/>
      <c r="G323" s="58"/>
      <c r="H323" s="59"/>
      <c r="I323" s="59"/>
      <c r="J323" s="59"/>
      <c r="K323" s="59"/>
      <c r="L323" s="59"/>
      <c r="M323" s="60"/>
      <c r="N323" s="60"/>
      <c r="O323" s="60"/>
      <c r="P323" s="59"/>
      <c r="Q323" s="59"/>
      <c r="R323" s="60"/>
      <c r="S323" s="60"/>
      <c r="T323" s="60"/>
      <c r="U323" s="60"/>
      <c r="V323" s="60"/>
      <c r="W323" s="60"/>
    </row>
    <row r="324" spans="1:23" ht="13" x14ac:dyDescent="0.3">
      <c r="A324" s="58"/>
      <c r="B324" s="58"/>
      <c r="C324" s="58"/>
      <c r="D324" s="58"/>
      <c r="E324" s="58"/>
      <c r="F324" s="58"/>
      <c r="G324" s="58"/>
      <c r="H324" s="59"/>
      <c r="I324" s="59"/>
      <c r="J324" s="59"/>
      <c r="K324" s="59"/>
      <c r="L324" s="59"/>
      <c r="M324" s="60"/>
      <c r="N324" s="60"/>
      <c r="O324" s="60"/>
      <c r="P324" s="59"/>
      <c r="Q324" s="59"/>
      <c r="R324" s="60"/>
      <c r="S324" s="60"/>
      <c r="T324" s="60"/>
      <c r="U324" s="60"/>
      <c r="V324" s="60"/>
      <c r="W324" s="60"/>
    </row>
    <row r="325" spans="1:23" ht="13" x14ac:dyDescent="0.3">
      <c r="A325" s="58"/>
      <c r="B325" s="58"/>
      <c r="C325" s="58"/>
      <c r="D325" s="58"/>
      <c r="E325" s="58"/>
      <c r="F325" s="58"/>
      <c r="G325" s="58"/>
      <c r="H325" s="59"/>
      <c r="I325" s="59"/>
      <c r="J325" s="59"/>
      <c r="K325" s="59"/>
      <c r="L325" s="59"/>
      <c r="M325" s="60"/>
      <c r="N325" s="60"/>
      <c r="O325" s="60"/>
      <c r="P325" s="59"/>
      <c r="Q325" s="59"/>
      <c r="R325" s="60"/>
      <c r="S325" s="60"/>
      <c r="T325" s="60"/>
      <c r="U325" s="60"/>
      <c r="V325" s="60"/>
      <c r="W325" s="60"/>
    </row>
    <row r="326" spans="1:23" ht="13" x14ac:dyDescent="0.3">
      <c r="A326" s="58"/>
      <c r="B326" s="58"/>
      <c r="C326" s="58"/>
      <c r="D326" s="58"/>
      <c r="E326" s="58"/>
      <c r="F326" s="58"/>
      <c r="G326" s="58"/>
      <c r="H326" s="59"/>
      <c r="I326" s="59"/>
      <c r="J326" s="59"/>
      <c r="K326" s="59"/>
      <c r="L326" s="59"/>
      <c r="M326" s="60"/>
      <c r="N326" s="60"/>
      <c r="O326" s="60"/>
      <c r="P326" s="59"/>
      <c r="Q326" s="59"/>
      <c r="R326" s="60"/>
      <c r="S326" s="60"/>
      <c r="T326" s="60"/>
      <c r="U326" s="60"/>
      <c r="V326" s="60"/>
      <c r="W326" s="60"/>
    </row>
    <row r="327" spans="1:23" ht="13" x14ac:dyDescent="0.3">
      <c r="A327" s="58"/>
      <c r="B327" s="58"/>
      <c r="C327" s="58"/>
      <c r="D327" s="58"/>
      <c r="E327" s="58"/>
      <c r="F327" s="58"/>
      <c r="G327" s="58"/>
      <c r="H327" s="59"/>
      <c r="I327" s="59"/>
      <c r="J327" s="59"/>
      <c r="K327" s="59"/>
      <c r="L327" s="59"/>
      <c r="M327" s="60"/>
      <c r="N327" s="60"/>
      <c r="O327" s="60"/>
      <c r="P327" s="59"/>
      <c r="Q327" s="59"/>
      <c r="R327" s="60"/>
      <c r="S327" s="60"/>
      <c r="T327" s="60"/>
      <c r="U327" s="60"/>
      <c r="V327" s="60"/>
      <c r="W327" s="60"/>
    </row>
    <row r="328" spans="1:23" ht="13" x14ac:dyDescent="0.3">
      <c r="A328" s="58"/>
      <c r="B328" s="58"/>
      <c r="C328" s="58"/>
      <c r="D328" s="58"/>
      <c r="E328" s="58"/>
      <c r="F328" s="58"/>
      <c r="G328" s="58"/>
      <c r="H328" s="59"/>
      <c r="I328" s="59"/>
      <c r="J328" s="59"/>
      <c r="K328" s="59"/>
      <c r="L328" s="59"/>
      <c r="M328" s="60"/>
      <c r="N328" s="60"/>
      <c r="O328" s="60"/>
      <c r="P328" s="59"/>
      <c r="Q328" s="59"/>
      <c r="R328" s="60"/>
      <c r="S328" s="60"/>
      <c r="T328" s="60"/>
      <c r="U328" s="60"/>
      <c r="V328" s="60"/>
      <c r="W328" s="60"/>
    </row>
    <row r="329" spans="1:23" ht="13" x14ac:dyDescent="0.3">
      <c r="A329" s="58"/>
      <c r="B329" s="58"/>
      <c r="C329" s="58"/>
      <c r="D329" s="58"/>
      <c r="E329" s="58"/>
      <c r="F329" s="58"/>
      <c r="G329" s="58"/>
      <c r="H329" s="59"/>
      <c r="I329" s="59"/>
      <c r="J329" s="59"/>
      <c r="K329" s="59"/>
      <c r="L329" s="59"/>
      <c r="M329" s="60"/>
      <c r="N329" s="60"/>
      <c r="O329" s="60"/>
      <c r="P329" s="59"/>
      <c r="Q329" s="59"/>
      <c r="R329" s="60"/>
      <c r="S329" s="60"/>
      <c r="T329" s="60"/>
      <c r="U329" s="60"/>
      <c r="V329" s="60"/>
      <c r="W329" s="60"/>
    </row>
    <row r="330" spans="1:23" ht="13" x14ac:dyDescent="0.3">
      <c r="A330" s="58"/>
      <c r="B330" s="58"/>
      <c r="C330" s="58"/>
      <c r="D330" s="58"/>
      <c r="E330" s="58"/>
      <c r="F330" s="58"/>
      <c r="G330" s="58"/>
      <c r="H330" s="59"/>
      <c r="I330" s="59"/>
      <c r="J330" s="59"/>
      <c r="K330" s="59"/>
      <c r="L330" s="59"/>
      <c r="M330" s="60"/>
      <c r="N330" s="60"/>
      <c r="O330" s="60"/>
      <c r="P330" s="59"/>
      <c r="Q330" s="59"/>
      <c r="R330" s="60"/>
      <c r="S330" s="60"/>
      <c r="T330" s="60"/>
      <c r="U330" s="60"/>
      <c r="V330" s="60"/>
      <c r="W330" s="60"/>
    </row>
    <row r="331" spans="1:23" ht="13" x14ac:dyDescent="0.3">
      <c r="A331" s="58"/>
      <c r="B331" s="58"/>
      <c r="C331" s="58"/>
      <c r="D331" s="58"/>
      <c r="E331" s="58"/>
      <c r="F331" s="58"/>
      <c r="G331" s="58"/>
      <c r="H331" s="59"/>
      <c r="I331" s="59"/>
      <c r="J331" s="59"/>
      <c r="K331" s="59"/>
      <c r="L331" s="59"/>
      <c r="M331" s="60"/>
      <c r="N331" s="60"/>
      <c r="O331" s="60"/>
      <c r="P331" s="59"/>
      <c r="Q331" s="59"/>
      <c r="R331" s="60"/>
      <c r="S331" s="60"/>
      <c r="T331" s="60"/>
      <c r="U331" s="60"/>
      <c r="V331" s="60"/>
      <c r="W331" s="60"/>
    </row>
    <row r="332" spans="1:23" ht="13" x14ac:dyDescent="0.3">
      <c r="A332" s="58"/>
      <c r="B332" s="58"/>
      <c r="C332" s="58"/>
      <c r="D332" s="58"/>
      <c r="E332" s="58"/>
      <c r="F332" s="58"/>
      <c r="G332" s="58"/>
      <c r="H332" s="59"/>
      <c r="I332" s="59"/>
      <c r="J332" s="59"/>
      <c r="K332" s="59"/>
      <c r="L332" s="59"/>
      <c r="M332" s="60"/>
      <c r="N332" s="60"/>
      <c r="O332" s="60"/>
      <c r="P332" s="59"/>
      <c r="Q332" s="59"/>
      <c r="R332" s="60"/>
      <c r="S332" s="60"/>
      <c r="T332" s="60"/>
      <c r="U332" s="60"/>
      <c r="V332" s="60"/>
      <c r="W332" s="60"/>
    </row>
    <row r="333" spans="1:23" ht="13" x14ac:dyDescent="0.3">
      <c r="A333" s="58"/>
      <c r="B333" s="58"/>
      <c r="C333" s="58"/>
      <c r="D333" s="58"/>
      <c r="E333" s="58"/>
      <c r="F333" s="58"/>
      <c r="G333" s="58"/>
      <c r="H333" s="59"/>
      <c r="I333" s="59"/>
      <c r="J333" s="59"/>
      <c r="K333" s="59"/>
      <c r="L333" s="59"/>
      <c r="M333" s="60"/>
      <c r="N333" s="60"/>
      <c r="O333" s="60"/>
      <c r="P333" s="59"/>
      <c r="Q333" s="59"/>
      <c r="R333" s="60"/>
      <c r="S333" s="60"/>
      <c r="T333" s="60"/>
      <c r="U333" s="60"/>
      <c r="V333" s="60"/>
      <c r="W333" s="60"/>
    </row>
    <row r="334" spans="1:23" ht="13" x14ac:dyDescent="0.3">
      <c r="A334" s="58"/>
      <c r="B334" s="58"/>
      <c r="C334" s="58"/>
      <c r="D334" s="58"/>
      <c r="E334" s="58"/>
      <c r="F334" s="58"/>
      <c r="G334" s="58"/>
      <c r="H334" s="59"/>
      <c r="I334" s="59"/>
      <c r="J334" s="59"/>
      <c r="K334" s="59"/>
      <c r="L334" s="59"/>
      <c r="M334" s="60"/>
      <c r="N334" s="60"/>
      <c r="O334" s="60"/>
      <c r="P334" s="59"/>
      <c r="Q334" s="59"/>
      <c r="R334" s="60"/>
      <c r="S334" s="60"/>
      <c r="T334" s="60"/>
      <c r="U334" s="60"/>
      <c r="V334" s="60"/>
      <c r="W334" s="60"/>
    </row>
    <row r="335" spans="1:23" ht="13" x14ac:dyDescent="0.3">
      <c r="A335" s="58"/>
      <c r="B335" s="58"/>
      <c r="C335" s="58"/>
      <c r="D335" s="58"/>
      <c r="E335" s="58"/>
      <c r="F335" s="58"/>
      <c r="G335" s="58"/>
      <c r="H335" s="59"/>
      <c r="I335" s="59"/>
      <c r="J335" s="59"/>
      <c r="K335" s="59"/>
      <c r="L335" s="59"/>
      <c r="M335" s="60"/>
      <c r="N335" s="60"/>
      <c r="O335" s="60"/>
      <c r="P335" s="59"/>
      <c r="Q335" s="59"/>
      <c r="R335" s="60"/>
      <c r="S335" s="60"/>
      <c r="T335" s="60"/>
      <c r="U335" s="60"/>
      <c r="V335" s="60"/>
      <c r="W335" s="60"/>
    </row>
    <row r="336" spans="1:23" ht="13" x14ac:dyDescent="0.3">
      <c r="A336" s="58"/>
      <c r="B336" s="58"/>
      <c r="C336" s="58"/>
      <c r="D336" s="58"/>
      <c r="E336" s="58"/>
      <c r="F336" s="58"/>
      <c r="G336" s="58"/>
      <c r="H336" s="59"/>
      <c r="I336" s="59"/>
      <c r="J336" s="59"/>
      <c r="K336" s="59"/>
      <c r="L336" s="59"/>
      <c r="M336" s="60"/>
      <c r="N336" s="60"/>
      <c r="O336" s="60"/>
      <c r="P336" s="59"/>
      <c r="Q336" s="59"/>
      <c r="R336" s="60"/>
      <c r="S336" s="60"/>
      <c r="T336" s="60"/>
      <c r="U336" s="60"/>
      <c r="V336" s="60"/>
      <c r="W336" s="60"/>
    </row>
    <row r="337" spans="1:23" ht="13" x14ac:dyDescent="0.3">
      <c r="A337" s="58"/>
      <c r="B337" s="58"/>
      <c r="C337" s="58"/>
      <c r="D337" s="58"/>
      <c r="E337" s="58"/>
      <c r="F337" s="58"/>
      <c r="G337" s="58"/>
      <c r="H337" s="59"/>
      <c r="I337" s="59"/>
      <c r="J337" s="59"/>
      <c r="K337" s="59"/>
      <c r="L337" s="59"/>
      <c r="M337" s="60"/>
      <c r="N337" s="60"/>
      <c r="O337" s="60"/>
      <c r="P337" s="59"/>
      <c r="Q337" s="59"/>
      <c r="R337" s="60"/>
      <c r="S337" s="60"/>
      <c r="T337" s="60"/>
      <c r="U337" s="60"/>
      <c r="V337" s="60"/>
      <c r="W337" s="60"/>
    </row>
    <row r="338" spans="1:23" ht="13" x14ac:dyDescent="0.3">
      <c r="A338" s="58"/>
      <c r="B338" s="58"/>
      <c r="C338" s="58"/>
      <c r="D338" s="58"/>
      <c r="E338" s="58"/>
      <c r="F338" s="58"/>
      <c r="G338" s="58"/>
      <c r="H338" s="59"/>
      <c r="I338" s="59"/>
      <c r="J338" s="59"/>
      <c r="K338" s="59"/>
      <c r="L338" s="59"/>
      <c r="M338" s="60"/>
      <c r="N338" s="60"/>
      <c r="O338" s="60"/>
      <c r="P338" s="59"/>
      <c r="Q338" s="59"/>
      <c r="R338" s="60"/>
      <c r="S338" s="60"/>
      <c r="T338" s="60"/>
      <c r="U338" s="60"/>
      <c r="V338" s="60"/>
      <c r="W338" s="60"/>
    </row>
    <row r="339" spans="1:23" ht="13" x14ac:dyDescent="0.3">
      <c r="A339" s="58"/>
      <c r="B339" s="58"/>
      <c r="C339" s="58"/>
      <c r="D339" s="58"/>
      <c r="E339" s="58"/>
      <c r="F339" s="58"/>
      <c r="G339" s="58"/>
      <c r="H339" s="59"/>
      <c r="I339" s="59"/>
      <c r="J339" s="59"/>
      <c r="K339" s="59"/>
      <c r="L339" s="59"/>
      <c r="M339" s="60"/>
      <c r="N339" s="60"/>
      <c r="O339" s="60"/>
      <c r="P339" s="59"/>
      <c r="Q339" s="59"/>
      <c r="R339" s="60"/>
      <c r="S339" s="60"/>
      <c r="T339" s="60"/>
      <c r="U339" s="60"/>
      <c r="V339" s="60"/>
      <c r="W339" s="60"/>
    </row>
    <row r="340" spans="1:23" ht="13" x14ac:dyDescent="0.3">
      <c r="A340" s="58"/>
      <c r="B340" s="58"/>
      <c r="C340" s="58"/>
      <c r="D340" s="58"/>
      <c r="E340" s="58"/>
      <c r="F340" s="58"/>
      <c r="G340" s="58"/>
      <c r="H340" s="59"/>
      <c r="I340" s="59"/>
      <c r="J340" s="59"/>
      <c r="K340" s="59"/>
      <c r="L340" s="59"/>
      <c r="M340" s="60"/>
      <c r="N340" s="60"/>
      <c r="O340" s="60"/>
      <c r="P340" s="59"/>
      <c r="Q340" s="59"/>
      <c r="R340" s="60"/>
      <c r="S340" s="60"/>
      <c r="T340" s="60"/>
      <c r="U340" s="60"/>
      <c r="V340" s="60"/>
      <c r="W340" s="60"/>
    </row>
    <row r="341" spans="1:23" ht="13" x14ac:dyDescent="0.3">
      <c r="A341" s="58"/>
      <c r="B341" s="58"/>
      <c r="C341" s="58"/>
      <c r="D341" s="58"/>
      <c r="E341" s="58"/>
      <c r="F341" s="58"/>
      <c r="G341" s="58"/>
      <c r="H341" s="59"/>
      <c r="I341" s="59"/>
      <c r="J341" s="59"/>
      <c r="K341" s="59"/>
      <c r="L341" s="59"/>
      <c r="M341" s="60"/>
      <c r="N341" s="60"/>
      <c r="O341" s="60"/>
      <c r="P341" s="59"/>
      <c r="Q341" s="59"/>
      <c r="R341" s="60"/>
      <c r="S341" s="60"/>
      <c r="T341" s="60"/>
      <c r="U341" s="60"/>
      <c r="V341" s="60"/>
      <c r="W341" s="60"/>
    </row>
    <row r="342" spans="1:23" ht="13" x14ac:dyDescent="0.3">
      <c r="A342" s="58"/>
      <c r="B342" s="58"/>
      <c r="C342" s="58"/>
      <c r="D342" s="58"/>
      <c r="E342" s="58"/>
      <c r="F342" s="58"/>
      <c r="G342" s="58"/>
      <c r="H342" s="59"/>
      <c r="I342" s="59"/>
      <c r="J342" s="59"/>
      <c r="K342" s="59"/>
      <c r="L342" s="59"/>
      <c r="M342" s="60"/>
      <c r="N342" s="60"/>
      <c r="O342" s="60"/>
      <c r="P342" s="59"/>
      <c r="Q342" s="59"/>
      <c r="R342" s="60"/>
      <c r="S342" s="60"/>
      <c r="T342" s="60"/>
      <c r="U342" s="60"/>
      <c r="V342" s="60"/>
      <c r="W342" s="60"/>
    </row>
    <row r="343" spans="1:23" ht="13" x14ac:dyDescent="0.3">
      <c r="A343" s="58"/>
      <c r="B343" s="58"/>
      <c r="C343" s="58"/>
      <c r="D343" s="58"/>
      <c r="E343" s="58"/>
      <c r="F343" s="58"/>
      <c r="G343" s="58"/>
      <c r="H343" s="59"/>
      <c r="I343" s="59"/>
      <c r="J343" s="59"/>
      <c r="K343" s="59"/>
      <c r="L343" s="59"/>
      <c r="M343" s="60"/>
      <c r="N343" s="60"/>
      <c r="O343" s="60"/>
      <c r="P343" s="59"/>
      <c r="Q343" s="59"/>
      <c r="R343" s="60"/>
      <c r="S343" s="60"/>
      <c r="T343" s="60"/>
      <c r="U343" s="60"/>
      <c r="V343" s="60"/>
      <c r="W343" s="60"/>
    </row>
    <row r="344" spans="1:23" ht="13" x14ac:dyDescent="0.3">
      <c r="A344" s="58"/>
      <c r="B344" s="58"/>
      <c r="C344" s="58"/>
      <c r="D344" s="58"/>
      <c r="E344" s="58"/>
      <c r="F344" s="58"/>
      <c r="G344" s="58"/>
      <c r="H344" s="59"/>
      <c r="I344" s="59"/>
      <c r="J344" s="59"/>
      <c r="K344" s="59"/>
      <c r="L344" s="59"/>
      <c r="M344" s="60"/>
      <c r="N344" s="60"/>
      <c r="O344" s="60"/>
      <c r="P344" s="59"/>
      <c r="Q344" s="59"/>
      <c r="R344" s="60"/>
      <c r="S344" s="60"/>
      <c r="T344" s="60"/>
      <c r="U344" s="60"/>
      <c r="V344" s="60"/>
      <c r="W344" s="60"/>
    </row>
    <row r="345" spans="1:23" ht="13" x14ac:dyDescent="0.3">
      <c r="A345" s="58"/>
      <c r="B345" s="58"/>
      <c r="C345" s="58"/>
      <c r="D345" s="58"/>
      <c r="E345" s="58"/>
      <c r="F345" s="58"/>
      <c r="G345" s="58"/>
      <c r="H345" s="59"/>
      <c r="I345" s="59"/>
      <c r="J345" s="59"/>
      <c r="K345" s="59"/>
      <c r="L345" s="59"/>
      <c r="M345" s="60"/>
      <c r="N345" s="60"/>
      <c r="O345" s="60"/>
      <c r="P345" s="59"/>
      <c r="Q345" s="59"/>
      <c r="R345" s="60"/>
      <c r="S345" s="60"/>
      <c r="T345" s="60"/>
      <c r="U345" s="60"/>
      <c r="V345" s="60"/>
      <c r="W345" s="60"/>
    </row>
    <row r="346" spans="1:23" ht="13" x14ac:dyDescent="0.3">
      <c r="A346" s="58"/>
      <c r="B346" s="58"/>
      <c r="C346" s="58"/>
      <c r="D346" s="58"/>
      <c r="E346" s="58"/>
      <c r="F346" s="58"/>
      <c r="G346" s="58"/>
      <c r="H346" s="59"/>
      <c r="I346" s="59"/>
      <c r="J346" s="59"/>
      <c r="K346" s="59"/>
      <c r="L346" s="59"/>
      <c r="M346" s="60"/>
      <c r="N346" s="60"/>
      <c r="O346" s="60"/>
      <c r="P346" s="59"/>
      <c r="Q346" s="59"/>
      <c r="R346" s="60"/>
      <c r="S346" s="60"/>
      <c r="T346" s="60"/>
      <c r="U346" s="60"/>
      <c r="V346" s="60"/>
      <c r="W346" s="60"/>
    </row>
    <row r="347" spans="1:23" ht="13" x14ac:dyDescent="0.3">
      <c r="A347" s="58"/>
      <c r="B347" s="58"/>
      <c r="C347" s="58"/>
      <c r="D347" s="58"/>
      <c r="E347" s="58"/>
      <c r="F347" s="58"/>
      <c r="G347" s="58"/>
      <c r="H347" s="59"/>
      <c r="I347" s="59"/>
      <c r="J347" s="59"/>
      <c r="K347" s="59"/>
      <c r="L347" s="59"/>
      <c r="M347" s="60"/>
      <c r="N347" s="60"/>
      <c r="O347" s="60"/>
      <c r="P347" s="59"/>
      <c r="Q347" s="59"/>
      <c r="R347" s="60"/>
      <c r="S347" s="60"/>
      <c r="T347" s="60"/>
      <c r="U347" s="60"/>
      <c r="V347" s="60"/>
      <c r="W347" s="60"/>
    </row>
    <row r="348" spans="1:23" ht="13" x14ac:dyDescent="0.3">
      <c r="A348" s="58"/>
      <c r="B348" s="58"/>
      <c r="C348" s="58"/>
      <c r="D348" s="58"/>
      <c r="E348" s="58"/>
      <c r="F348" s="58"/>
      <c r="G348" s="58"/>
      <c r="H348" s="59"/>
      <c r="I348" s="59"/>
      <c r="J348" s="59"/>
      <c r="K348" s="59"/>
      <c r="L348" s="59"/>
      <c r="M348" s="60"/>
      <c r="N348" s="60"/>
      <c r="O348" s="60"/>
      <c r="P348" s="59"/>
      <c r="Q348" s="59"/>
      <c r="R348" s="60"/>
      <c r="S348" s="60"/>
      <c r="T348" s="60"/>
      <c r="U348" s="60"/>
      <c r="V348" s="60"/>
      <c r="W348" s="60"/>
    </row>
    <row r="349" spans="1:23" ht="13" x14ac:dyDescent="0.3">
      <c r="A349" s="58"/>
      <c r="B349" s="58"/>
      <c r="C349" s="58"/>
      <c r="D349" s="58"/>
      <c r="E349" s="58"/>
      <c r="F349" s="58"/>
      <c r="G349" s="58"/>
      <c r="H349" s="59"/>
      <c r="I349" s="59"/>
      <c r="J349" s="59"/>
      <c r="K349" s="59"/>
      <c r="L349" s="59"/>
      <c r="M349" s="60"/>
      <c r="N349" s="60"/>
      <c r="O349" s="60"/>
      <c r="P349" s="59"/>
      <c r="Q349" s="59"/>
      <c r="R349" s="60"/>
      <c r="S349" s="60"/>
      <c r="T349" s="60"/>
      <c r="U349" s="60"/>
      <c r="V349" s="60"/>
      <c r="W349" s="60"/>
    </row>
    <row r="350" spans="1:23" ht="13" x14ac:dyDescent="0.3">
      <c r="A350" s="58"/>
      <c r="B350" s="58"/>
      <c r="C350" s="58"/>
      <c r="D350" s="58"/>
      <c r="E350" s="58"/>
      <c r="F350" s="58"/>
      <c r="G350" s="58"/>
      <c r="H350" s="59"/>
      <c r="I350" s="59"/>
      <c r="J350" s="59"/>
      <c r="K350" s="59"/>
      <c r="L350" s="59"/>
      <c r="M350" s="60"/>
      <c r="N350" s="60"/>
      <c r="O350" s="60"/>
      <c r="P350" s="59"/>
      <c r="Q350" s="59"/>
      <c r="R350" s="60"/>
      <c r="S350" s="60"/>
      <c r="T350" s="60"/>
      <c r="U350" s="60"/>
      <c r="V350" s="60"/>
      <c r="W350" s="60"/>
    </row>
    <row r="351" spans="1:23" ht="13" x14ac:dyDescent="0.3">
      <c r="A351" s="58"/>
      <c r="B351" s="58"/>
      <c r="C351" s="58"/>
      <c r="D351" s="58"/>
      <c r="E351" s="58"/>
      <c r="F351" s="58"/>
      <c r="G351" s="58"/>
      <c r="H351" s="59"/>
      <c r="I351" s="59"/>
      <c r="J351" s="59"/>
      <c r="K351" s="59"/>
      <c r="L351" s="59"/>
      <c r="M351" s="60"/>
      <c r="N351" s="60"/>
      <c r="O351" s="60"/>
      <c r="P351" s="59"/>
      <c r="Q351" s="59"/>
      <c r="R351" s="60"/>
      <c r="S351" s="60"/>
      <c r="T351" s="60"/>
      <c r="U351" s="60"/>
      <c r="V351" s="60"/>
      <c r="W351" s="60"/>
    </row>
    <row r="352" spans="1:23" ht="13" x14ac:dyDescent="0.3">
      <c r="A352" s="58"/>
      <c r="B352" s="58"/>
      <c r="C352" s="58"/>
      <c r="D352" s="58"/>
      <c r="E352" s="58"/>
      <c r="F352" s="58"/>
      <c r="G352" s="58"/>
      <c r="H352" s="59"/>
      <c r="I352" s="59"/>
      <c r="J352" s="59"/>
      <c r="K352" s="59"/>
      <c r="L352" s="59"/>
      <c r="M352" s="60"/>
      <c r="N352" s="60"/>
      <c r="O352" s="60"/>
      <c r="P352" s="59"/>
      <c r="Q352" s="59"/>
      <c r="R352" s="60"/>
      <c r="S352" s="60"/>
      <c r="T352" s="60"/>
      <c r="U352" s="60"/>
      <c r="V352" s="60"/>
      <c r="W352" s="60"/>
    </row>
    <row r="353" spans="1:23" ht="13" x14ac:dyDescent="0.3">
      <c r="A353" s="58"/>
      <c r="B353" s="58"/>
      <c r="C353" s="58"/>
      <c r="D353" s="58"/>
      <c r="E353" s="58"/>
      <c r="F353" s="58"/>
      <c r="G353" s="58"/>
      <c r="H353" s="59"/>
      <c r="I353" s="59"/>
      <c r="J353" s="59"/>
      <c r="K353" s="59"/>
      <c r="L353" s="59"/>
      <c r="M353" s="60"/>
      <c r="N353" s="60"/>
      <c r="O353" s="60"/>
      <c r="P353" s="59"/>
      <c r="Q353" s="59"/>
      <c r="R353" s="60"/>
      <c r="S353" s="60"/>
      <c r="T353" s="60"/>
      <c r="U353" s="60"/>
      <c r="V353" s="60"/>
      <c r="W353" s="60"/>
    </row>
    <row r="354" spans="1:23" ht="13" x14ac:dyDescent="0.3">
      <c r="A354" s="58"/>
      <c r="B354" s="58"/>
      <c r="C354" s="58"/>
      <c r="D354" s="58"/>
      <c r="E354" s="58"/>
      <c r="F354" s="58"/>
      <c r="G354" s="58"/>
      <c r="H354" s="59"/>
      <c r="I354" s="59"/>
      <c r="J354" s="59"/>
      <c r="K354" s="59"/>
      <c r="L354" s="59"/>
      <c r="M354" s="60"/>
      <c r="N354" s="60"/>
      <c r="O354" s="60"/>
      <c r="P354" s="59"/>
      <c r="Q354" s="59"/>
      <c r="R354" s="60"/>
      <c r="S354" s="60"/>
      <c r="T354" s="60"/>
      <c r="U354" s="60"/>
      <c r="V354" s="60"/>
      <c r="W354" s="60"/>
    </row>
    <row r="355" spans="1:23" ht="13" x14ac:dyDescent="0.3">
      <c r="A355" s="58"/>
      <c r="B355" s="58"/>
      <c r="C355" s="58"/>
      <c r="D355" s="58"/>
      <c r="E355" s="58"/>
      <c r="F355" s="58"/>
      <c r="G355" s="58"/>
      <c r="H355" s="59"/>
      <c r="I355" s="59"/>
      <c r="J355" s="59"/>
      <c r="K355" s="59"/>
      <c r="L355" s="59"/>
      <c r="M355" s="60"/>
      <c r="N355" s="60"/>
      <c r="O355" s="60"/>
      <c r="P355" s="59"/>
      <c r="Q355" s="59"/>
      <c r="R355" s="60"/>
      <c r="S355" s="60"/>
      <c r="T355" s="60"/>
      <c r="U355" s="60"/>
      <c r="V355" s="60"/>
      <c r="W355" s="60"/>
    </row>
    <row r="356" spans="1:23" ht="13" x14ac:dyDescent="0.3">
      <c r="A356" s="58"/>
      <c r="B356" s="58"/>
      <c r="C356" s="58"/>
      <c r="D356" s="58"/>
      <c r="E356" s="58"/>
      <c r="F356" s="58"/>
      <c r="G356" s="58"/>
      <c r="H356" s="59"/>
      <c r="I356" s="59"/>
      <c r="J356" s="59"/>
      <c r="K356" s="59"/>
      <c r="L356" s="59"/>
      <c r="M356" s="60"/>
      <c r="N356" s="60"/>
      <c r="O356" s="60"/>
      <c r="P356" s="59"/>
      <c r="Q356" s="59"/>
      <c r="R356" s="60"/>
      <c r="S356" s="60"/>
      <c r="T356" s="60"/>
      <c r="U356" s="60"/>
      <c r="V356" s="60"/>
      <c r="W356" s="60"/>
    </row>
    <row r="357" spans="1:23" ht="13" x14ac:dyDescent="0.3">
      <c r="A357" s="58"/>
      <c r="B357" s="58"/>
      <c r="C357" s="58"/>
      <c r="D357" s="58"/>
      <c r="E357" s="58"/>
      <c r="F357" s="58"/>
      <c r="G357" s="58"/>
      <c r="H357" s="59"/>
      <c r="I357" s="59"/>
      <c r="J357" s="59"/>
      <c r="K357" s="59"/>
      <c r="L357" s="59"/>
      <c r="M357" s="60"/>
      <c r="N357" s="60"/>
      <c r="O357" s="60"/>
      <c r="P357" s="59"/>
      <c r="Q357" s="59"/>
      <c r="R357" s="60"/>
      <c r="S357" s="60"/>
      <c r="T357" s="60"/>
      <c r="U357" s="60"/>
      <c r="V357" s="60"/>
      <c r="W357" s="60"/>
    </row>
    <row r="358" spans="1:23" ht="13" x14ac:dyDescent="0.3">
      <c r="A358" s="58"/>
      <c r="B358" s="58"/>
      <c r="C358" s="58"/>
      <c r="D358" s="58"/>
      <c r="E358" s="58"/>
      <c r="F358" s="58"/>
      <c r="G358" s="58"/>
      <c r="H358" s="59"/>
      <c r="I358" s="59"/>
      <c r="J358" s="59"/>
      <c r="K358" s="59"/>
      <c r="L358" s="59"/>
      <c r="M358" s="60"/>
      <c r="N358" s="60"/>
      <c r="O358" s="60"/>
      <c r="P358" s="59"/>
      <c r="Q358" s="59"/>
      <c r="R358" s="60"/>
      <c r="S358" s="60"/>
      <c r="T358" s="60"/>
      <c r="U358" s="60"/>
      <c r="V358" s="60"/>
      <c r="W358" s="60"/>
    </row>
    <row r="359" spans="1:23" ht="13" x14ac:dyDescent="0.3">
      <c r="A359" s="58"/>
      <c r="B359" s="58"/>
      <c r="C359" s="58"/>
      <c r="D359" s="58"/>
      <c r="E359" s="58"/>
      <c r="F359" s="58"/>
      <c r="G359" s="58"/>
      <c r="H359" s="59"/>
      <c r="I359" s="59"/>
      <c r="J359" s="59"/>
      <c r="K359" s="59"/>
      <c r="L359" s="59"/>
      <c r="M359" s="60"/>
      <c r="N359" s="60"/>
      <c r="O359" s="60"/>
      <c r="P359" s="59"/>
      <c r="Q359" s="59"/>
      <c r="R359" s="60"/>
      <c r="S359" s="60"/>
      <c r="T359" s="60"/>
      <c r="U359" s="60"/>
      <c r="V359" s="60"/>
      <c r="W359" s="60"/>
    </row>
    <row r="360" spans="1:23" ht="13" x14ac:dyDescent="0.3">
      <c r="A360" s="58"/>
      <c r="B360" s="58"/>
      <c r="C360" s="58"/>
      <c r="D360" s="58"/>
      <c r="E360" s="58"/>
      <c r="F360" s="58"/>
      <c r="G360" s="58"/>
      <c r="H360" s="59"/>
      <c r="I360" s="59"/>
      <c r="J360" s="59"/>
      <c r="K360" s="59"/>
      <c r="L360" s="59"/>
      <c r="M360" s="60"/>
      <c r="N360" s="60"/>
      <c r="O360" s="60"/>
      <c r="P360" s="59"/>
      <c r="Q360" s="59"/>
      <c r="R360" s="60"/>
      <c r="S360" s="60"/>
      <c r="T360" s="60"/>
      <c r="U360" s="60"/>
      <c r="V360" s="60"/>
      <c r="W360" s="60"/>
    </row>
    <row r="361" spans="1:23" ht="13" x14ac:dyDescent="0.3">
      <c r="A361" s="58"/>
      <c r="B361" s="58"/>
      <c r="C361" s="58"/>
      <c r="D361" s="58"/>
      <c r="E361" s="58"/>
      <c r="F361" s="58"/>
      <c r="G361" s="58"/>
      <c r="H361" s="59"/>
      <c r="I361" s="59"/>
      <c r="J361" s="59"/>
      <c r="K361" s="59"/>
      <c r="L361" s="59"/>
      <c r="M361" s="60"/>
      <c r="N361" s="60"/>
      <c r="O361" s="60"/>
      <c r="P361" s="59"/>
      <c r="Q361" s="59"/>
      <c r="R361" s="60"/>
      <c r="S361" s="60"/>
      <c r="T361" s="60"/>
      <c r="U361" s="60"/>
      <c r="V361" s="60"/>
      <c r="W361" s="60"/>
    </row>
    <row r="362" spans="1:23" ht="13" x14ac:dyDescent="0.3">
      <c r="A362" s="58"/>
      <c r="B362" s="58"/>
      <c r="C362" s="58"/>
      <c r="D362" s="58"/>
      <c r="E362" s="58"/>
      <c r="F362" s="58"/>
      <c r="G362" s="58"/>
      <c r="H362" s="59"/>
      <c r="I362" s="59"/>
      <c r="J362" s="59"/>
      <c r="K362" s="59"/>
      <c r="L362" s="59"/>
      <c r="M362" s="60"/>
      <c r="N362" s="60"/>
      <c r="O362" s="60"/>
      <c r="P362" s="59"/>
      <c r="Q362" s="59"/>
      <c r="R362" s="60"/>
      <c r="S362" s="60"/>
      <c r="T362" s="60"/>
      <c r="U362" s="60"/>
      <c r="V362" s="60"/>
      <c r="W362" s="60"/>
    </row>
    <row r="363" spans="1:23" ht="13" x14ac:dyDescent="0.3">
      <c r="A363" s="58"/>
      <c r="B363" s="58"/>
      <c r="C363" s="58"/>
      <c r="D363" s="58"/>
      <c r="E363" s="58"/>
      <c r="F363" s="58"/>
      <c r="G363" s="58"/>
      <c r="H363" s="59"/>
      <c r="I363" s="59"/>
      <c r="J363" s="59"/>
      <c r="K363" s="59"/>
      <c r="L363" s="59"/>
      <c r="M363" s="60"/>
      <c r="N363" s="60"/>
      <c r="O363" s="60"/>
      <c r="P363" s="59"/>
      <c r="Q363" s="59"/>
      <c r="R363" s="60"/>
      <c r="S363" s="60"/>
      <c r="T363" s="60"/>
      <c r="U363" s="60"/>
      <c r="V363" s="60"/>
      <c r="W363" s="60"/>
    </row>
    <row r="364" spans="1:23" ht="13" x14ac:dyDescent="0.3">
      <c r="A364" s="58"/>
      <c r="B364" s="58"/>
      <c r="C364" s="58"/>
      <c r="D364" s="58"/>
      <c r="E364" s="58"/>
      <c r="F364" s="58"/>
      <c r="G364" s="58"/>
      <c r="H364" s="59"/>
      <c r="I364" s="59"/>
      <c r="J364" s="59"/>
      <c r="K364" s="59"/>
      <c r="L364" s="59"/>
      <c r="M364" s="60"/>
      <c r="N364" s="60"/>
      <c r="O364" s="60"/>
      <c r="P364" s="59"/>
      <c r="Q364" s="59"/>
      <c r="R364" s="60"/>
      <c r="S364" s="60"/>
      <c r="T364" s="60"/>
      <c r="U364" s="60"/>
      <c r="V364" s="60"/>
      <c r="W364" s="60"/>
    </row>
    <row r="365" spans="1:23" ht="13" x14ac:dyDescent="0.3">
      <c r="A365" s="58"/>
      <c r="B365" s="58"/>
      <c r="C365" s="58"/>
      <c r="D365" s="58"/>
      <c r="E365" s="58"/>
      <c r="F365" s="58"/>
      <c r="G365" s="58"/>
      <c r="H365" s="59"/>
      <c r="I365" s="59"/>
      <c r="J365" s="59"/>
      <c r="K365" s="59"/>
      <c r="L365" s="59"/>
      <c r="M365" s="60"/>
      <c r="N365" s="60"/>
      <c r="O365" s="60"/>
      <c r="P365" s="59"/>
      <c r="Q365" s="59"/>
      <c r="R365" s="60"/>
      <c r="S365" s="60"/>
      <c r="T365" s="60"/>
      <c r="U365" s="60"/>
      <c r="V365" s="60"/>
      <c r="W365" s="60"/>
    </row>
    <row r="366" spans="1:23" ht="13" x14ac:dyDescent="0.3">
      <c r="A366" s="58"/>
      <c r="B366" s="58"/>
      <c r="C366" s="58"/>
      <c r="D366" s="58"/>
      <c r="E366" s="58"/>
      <c r="F366" s="58"/>
      <c r="G366" s="58"/>
      <c r="H366" s="59"/>
      <c r="I366" s="59"/>
      <c r="J366" s="59"/>
      <c r="K366" s="59"/>
      <c r="L366" s="59"/>
      <c r="M366" s="60"/>
      <c r="N366" s="60"/>
      <c r="O366" s="60"/>
      <c r="P366" s="59"/>
      <c r="Q366" s="59"/>
      <c r="R366" s="60"/>
      <c r="S366" s="60"/>
      <c r="T366" s="60"/>
      <c r="U366" s="60"/>
      <c r="V366" s="60"/>
      <c r="W366" s="60"/>
    </row>
    <row r="367" spans="1:23" ht="13" x14ac:dyDescent="0.3">
      <c r="A367" s="58"/>
      <c r="B367" s="58"/>
      <c r="C367" s="58"/>
      <c r="D367" s="58"/>
      <c r="E367" s="58"/>
      <c r="F367" s="58"/>
      <c r="G367" s="58"/>
      <c r="H367" s="59"/>
      <c r="I367" s="59"/>
      <c r="J367" s="59"/>
      <c r="K367" s="59"/>
      <c r="L367" s="59"/>
      <c r="M367" s="60"/>
      <c r="N367" s="60"/>
      <c r="O367" s="60"/>
      <c r="P367" s="59"/>
      <c r="Q367" s="59"/>
      <c r="R367" s="60"/>
      <c r="S367" s="60"/>
      <c r="T367" s="60"/>
      <c r="U367" s="60"/>
      <c r="V367" s="60"/>
      <c r="W367" s="60"/>
    </row>
    <row r="368" spans="1:23" ht="13" x14ac:dyDescent="0.3">
      <c r="A368" s="58"/>
      <c r="B368" s="58"/>
      <c r="C368" s="58"/>
      <c r="D368" s="58"/>
      <c r="E368" s="58"/>
      <c r="F368" s="58"/>
      <c r="G368" s="58"/>
      <c r="H368" s="59"/>
      <c r="I368" s="59"/>
      <c r="J368" s="59"/>
      <c r="K368" s="59"/>
      <c r="L368" s="59"/>
      <c r="M368" s="60"/>
      <c r="N368" s="60"/>
      <c r="O368" s="60"/>
      <c r="P368" s="59"/>
      <c r="Q368" s="59"/>
      <c r="R368" s="60"/>
      <c r="S368" s="60"/>
      <c r="T368" s="60"/>
      <c r="U368" s="60"/>
      <c r="V368" s="60"/>
      <c r="W368" s="60"/>
    </row>
    <row r="369" spans="1:23" ht="13" x14ac:dyDescent="0.3">
      <c r="A369" s="58"/>
      <c r="B369" s="58"/>
      <c r="C369" s="58"/>
      <c r="D369" s="58"/>
      <c r="E369" s="58"/>
      <c r="F369" s="58"/>
      <c r="G369" s="58"/>
      <c r="H369" s="59"/>
      <c r="I369" s="59"/>
      <c r="J369" s="59"/>
      <c r="K369" s="59"/>
      <c r="L369" s="59"/>
      <c r="M369" s="60"/>
      <c r="N369" s="60"/>
      <c r="O369" s="60"/>
      <c r="P369" s="59"/>
      <c r="Q369" s="59"/>
      <c r="R369" s="60"/>
      <c r="S369" s="60"/>
      <c r="T369" s="60"/>
      <c r="U369" s="60"/>
      <c r="V369" s="60"/>
      <c r="W369" s="60"/>
    </row>
    <row r="370" spans="1:23" ht="13" x14ac:dyDescent="0.3">
      <c r="A370" s="58"/>
      <c r="B370" s="58"/>
      <c r="C370" s="58"/>
      <c r="D370" s="58"/>
      <c r="E370" s="58"/>
      <c r="F370" s="58"/>
      <c r="G370" s="58"/>
      <c r="H370" s="59"/>
      <c r="I370" s="59"/>
      <c r="J370" s="59"/>
      <c r="K370" s="59"/>
      <c r="L370" s="59"/>
      <c r="M370" s="60"/>
      <c r="N370" s="60"/>
      <c r="O370" s="60"/>
      <c r="P370" s="59"/>
      <c r="Q370" s="59"/>
      <c r="R370" s="60"/>
      <c r="S370" s="60"/>
      <c r="T370" s="60"/>
      <c r="U370" s="60"/>
      <c r="V370" s="60"/>
      <c r="W370" s="60"/>
    </row>
    <row r="371" spans="1:23" ht="13" x14ac:dyDescent="0.3">
      <c r="A371" s="58"/>
      <c r="B371" s="58"/>
      <c r="C371" s="58"/>
      <c r="D371" s="58"/>
      <c r="E371" s="58"/>
      <c r="F371" s="58"/>
      <c r="G371" s="58"/>
      <c r="H371" s="59"/>
      <c r="I371" s="59"/>
      <c r="J371" s="59"/>
      <c r="K371" s="59"/>
      <c r="L371" s="59"/>
      <c r="M371" s="60"/>
      <c r="N371" s="60"/>
      <c r="O371" s="60"/>
      <c r="P371" s="59"/>
      <c r="Q371" s="59"/>
      <c r="R371" s="60"/>
      <c r="S371" s="60"/>
      <c r="T371" s="60"/>
      <c r="U371" s="60"/>
      <c r="V371" s="60"/>
      <c r="W371" s="60"/>
    </row>
    <row r="372" spans="1:23" ht="13" x14ac:dyDescent="0.3">
      <c r="A372" s="58"/>
      <c r="B372" s="58"/>
      <c r="C372" s="58"/>
      <c r="D372" s="58"/>
      <c r="E372" s="58"/>
      <c r="F372" s="58"/>
      <c r="G372" s="58"/>
      <c r="H372" s="59"/>
      <c r="I372" s="59"/>
      <c r="J372" s="59"/>
      <c r="K372" s="59"/>
      <c r="L372" s="59"/>
      <c r="M372" s="60"/>
      <c r="N372" s="60"/>
      <c r="O372" s="60"/>
      <c r="P372" s="59"/>
      <c r="Q372" s="59"/>
      <c r="R372" s="60"/>
      <c r="S372" s="60"/>
      <c r="T372" s="60"/>
      <c r="U372" s="60"/>
      <c r="V372" s="60"/>
      <c r="W372" s="60"/>
    </row>
    <row r="373" spans="1:23" ht="13" x14ac:dyDescent="0.3">
      <c r="A373" s="58"/>
      <c r="B373" s="58"/>
      <c r="C373" s="58"/>
      <c r="D373" s="58"/>
      <c r="E373" s="58"/>
      <c r="F373" s="58"/>
      <c r="G373" s="58"/>
      <c r="H373" s="59"/>
      <c r="I373" s="59"/>
      <c r="J373" s="59"/>
      <c r="K373" s="59"/>
      <c r="L373" s="59"/>
      <c r="M373" s="60"/>
      <c r="N373" s="60"/>
      <c r="O373" s="60"/>
      <c r="P373" s="59"/>
      <c r="Q373" s="59"/>
      <c r="R373" s="60"/>
      <c r="S373" s="60"/>
      <c r="T373" s="60"/>
      <c r="U373" s="60"/>
      <c r="V373" s="60"/>
      <c r="W373" s="60"/>
    </row>
    <row r="374" spans="1:23" ht="13" x14ac:dyDescent="0.3">
      <c r="A374" s="58"/>
      <c r="B374" s="58"/>
      <c r="C374" s="58"/>
      <c r="D374" s="58"/>
      <c r="E374" s="58"/>
      <c r="F374" s="58"/>
      <c r="G374" s="58"/>
      <c r="H374" s="59"/>
      <c r="I374" s="59"/>
      <c r="J374" s="59"/>
      <c r="K374" s="59"/>
      <c r="L374" s="59"/>
      <c r="M374" s="60"/>
      <c r="N374" s="60"/>
      <c r="O374" s="60"/>
      <c r="P374" s="59"/>
      <c r="Q374" s="59"/>
      <c r="R374" s="60"/>
      <c r="S374" s="60"/>
      <c r="T374" s="60"/>
      <c r="U374" s="60"/>
      <c r="V374" s="60"/>
      <c r="W374" s="60"/>
    </row>
    <row r="375" spans="1:23" ht="13" x14ac:dyDescent="0.3">
      <c r="A375" s="58"/>
      <c r="B375" s="58"/>
      <c r="C375" s="58"/>
      <c r="D375" s="58"/>
      <c r="E375" s="58"/>
      <c r="F375" s="58"/>
      <c r="G375" s="58"/>
      <c r="H375" s="59"/>
      <c r="I375" s="59"/>
      <c r="J375" s="59"/>
      <c r="K375" s="59"/>
      <c r="L375" s="59"/>
      <c r="M375" s="60"/>
      <c r="N375" s="60"/>
      <c r="O375" s="60"/>
      <c r="P375" s="59"/>
      <c r="Q375" s="59"/>
      <c r="R375" s="60"/>
      <c r="S375" s="60"/>
      <c r="T375" s="60"/>
      <c r="U375" s="60"/>
      <c r="V375" s="60"/>
      <c r="W375" s="60"/>
    </row>
    <row r="376" spans="1:23" ht="13" x14ac:dyDescent="0.3">
      <c r="A376" s="58"/>
      <c r="B376" s="58"/>
      <c r="C376" s="58"/>
      <c r="D376" s="58"/>
      <c r="E376" s="58"/>
      <c r="F376" s="58"/>
      <c r="G376" s="58"/>
      <c r="H376" s="59"/>
      <c r="I376" s="59"/>
      <c r="J376" s="59"/>
      <c r="K376" s="59"/>
      <c r="L376" s="59"/>
      <c r="M376" s="60"/>
      <c r="N376" s="60"/>
      <c r="O376" s="60"/>
      <c r="P376" s="59"/>
      <c r="Q376" s="59"/>
      <c r="R376" s="60"/>
      <c r="S376" s="60"/>
      <c r="T376" s="60"/>
      <c r="U376" s="60"/>
      <c r="V376" s="60"/>
      <c r="W376" s="60"/>
    </row>
    <row r="377" spans="1:23" ht="13" x14ac:dyDescent="0.3">
      <c r="A377" s="58"/>
      <c r="B377" s="58"/>
      <c r="C377" s="58"/>
      <c r="D377" s="58"/>
      <c r="E377" s="58"/>
      <c r="F377" s="58"/>
      <c r="G377" s="58"/>
      <c r="H377" s="59"/>
      <c r="I377" s="59"/>
      <c r="J377" s="59"/>
      <c r="K377" s="59"/>
      <c r="L377" s="59"/>
      <c r="M377" s="60"/>
      <c r="N377" s="60"/>
      <c r="O377" s="60"/>
      <c r="P377" s="59"/>
      <c r="Q377" s="59"/>
      <c r="R377" s="60"/>
      <c r="S377" s="60"/>
      <c r="T377" s="60"/>
      <c r="U377" s="60"/>
      <c r="V377" s="60"/>
      <c r="W377" s="60"/>
    </row>
    <row r="378" spans="1:23" ht="13" x14ac:dyDescent="0.3">
      <c r="A378" s="58"/>
      <c r="B378" s="58"/>
      <c r="C378" s="58"/>
      <c r="D378" s="58"/>
      <c r="E378" s="58"/>
      <c r="F378" s="58"/>
      <c r="G378" s="58"/>
      <c r="H378" s="59"/>
      <c r="I378" s="59"/>
      <c r="J378" s="59"/>
      <c r="K378" s="59"/>
      <c r="L378" s="59"/>
      <c r="M378" s="60"/>
      <c r="N378" s="60"/>
      <c r="O378" s="60"/>
      <c r="P378" s="59"/>
      <c r="Q378" s="59"/>
      <c r="R378" s="60"/>
      <c r="S378" s="60"/>
      <c r="T378" s="60"/>
      <c r="U378" s="60"/>
      <c r="V378" s="60"/>
      <c r="W378" s="60"/>
    </row>
    <row r="379" spans="1:23" ht="13" x14ac:dyDescent="0.3">
      <c r="A379" s="58"/>
      <c r="B379" s="58"/>
      <c r="C379" s="58"/>
      <c r="D379" s="58"/>
      <c r="E379" s="58"/>
      <c r="F379" s="58"/>
      <c r="G379" s="58"/>
      <c r="H379" s="59"/>
      <c r="I379" s="59"/>
      <c r="J379" s="59"/>
      <c r="K379" s="59"/>
      <c r="L379" s="59"/>
      <c r="M379" s="60"/>
      <c r="N379" s="60"/>
      <c r="O379" s="60"/>
      <c r="P379" s="59"/>
      <c r="Q379" s="59"/>
      <c r="R379" s="60"/>
      <c r="S379" s="60"/>
      <c r="T379" s="60"/>
      <c r="U379" s="60"/>
      <c r="V379" s="60"/>
      <c r="W379" s="60"/>
    </row>
    <row r="380" spans="1:23" ht="13" x14ac:dyDescent="0.3">
      <c r="A380" s="58"/>
      <c r="B380" s="58"/>
      <c r="C380" s="58"/>
      <c r="D380" s="58"/>
      <c r="E380" s="58"/>
      <c r="F380" s="58"/>
      <c r="G380" s="58"/>
      <c r="H380" s="59"/>
      <c r="I380" s="59"/>
      <c r="J380" s="59"/>
      <c r="K380" s="59"/>
      <c r="L380" s="59"/>
      <c r="M380" s="60"/>
      <c r="N380" s="60"/>
      <c r="O380" s="60"/>
      <c r="P380" s="59"/>
      <c r="Q380" s="59"/>
      <c r="R380" s="60"/>
      <c r="S380" s="60"/>
      <c r="T380" s="60"/>
      <c r="U380" s="60"/>
      <c r="V380" s="60"/>
      <c r="W380" s="60"/>
    </row>
    <row r="381" spans="1:23" ht="13" x14ac:dyDescent="0.3">
      <c r="A381" s="58"/>
      <c r="B381" s="58"/>
      <c r="C381" s="58"/>
      <c r="D381" s="58"/>
      <c r="E381" s="58"/>
      <c r="F381" s="58"/>
      <c r="G381" s="58"/>
      <c r="H381" s="59"/>
      <c r="I381" s="59"/>
      <c r="J381" s="59"/>
      <c r="K381" s="59"/>
      <c r="L381" s="59"/>
      <c r="M381" s="60"/>
      <c r="N381" s="60"/>
      <c r="O381" s="60"/>
      <c r="P381" s="59"/>
      <c r="Q381" s="59"/>
      <c r="R381" s="60"/>
      <c r="S381" s="60"/>
      <c r="T381" s="60"/>
      <c r="U381" s="60"/>
      <c r="V381" s="60"/>
      <c r="W381" s="60"/>
    </row>
    <row r="382" spans="1:23" ht="13" x14ac:dyDescent="0.3">
      <c r="A382" s="58"/>
      <c r="B382" s="58"/>
      <c r="C382" s="58"/>
      <c r="D382" s="58"/>
      <c r="E382" s="58"/>
      <c r="F382" s="58"/>
      <c r="G382" s="58"/>
      <c r="H382" s="59"/>
      <c r="I382" s="59"/>
      <c r="J382" s="59"/>
      <c r="K382" s="59"/>
      <c r="L382" s="59"/>
      <c r="M382" s="60"/>
      <c r="N382" s="60"/>
      <c r="O382" s="60"/>
      <c r="P382" s="59"/>
      <c r="Q382" s="59"/>
      <c r="R382" s="60"/>
      <c r="S382" s="60"/>
      <c r="T382" s="60"/>
      <c r="U382" s="60"/>
      <c r="V382" s="60"/>
      <c r="W382" s="60"/>
    </row>
    <row r="383" spans="1:23" ht="13" x14ac:dyDescent="0.3">
      <c r="A383" s="58"/>
      <c r="B383" s="58"/>
      <c r="C383" s="58"/>
      <c r="D383" s="58"/>
      <c r="E383" s="58"/>
      <c r="F383" s="58"/>
      <c r="G383" s="58"/>
      <c r="H383" s="59"/>
      <c r="I383" s="59"/>
      <c r="J383" s="59"/>
      <c r="K383" s="59"/>
      <c r="L383" s="59"/>
      <c r="M383" s="60"/>
      <c r="N383" s="60"/>
      <c r="O383" s="60"/>
      <c r="P383" s="59"/>
      <c r="Q383" s="59"/>
      <c r="R383" s="60"/>
      <c r="S383" s="60"/>
      <c r="T383" s="60"/>
      <c r="U383" s="60"/>
      <c r="V383" s="60"/>
      <c r="W383" s="60"/>
    </row>
    <row r="384" spans="1:23" ht="13" x14ac:dyDescent="0.3">
      <c r="A384" s="58"/>
      <c r="B384" s="58"/>
      <c r="C384" s="58"/>
      <c r="D384" s="58"/>
      <c r="E384" s="58"/>
      <c r="F384" s="58"/>
      <c r="G384" s="58"/>
      <c r="H384" s="59"/>
      <c r="I384" s="59"/>
      <c r="J384" s="59"/>
      <c r="K384" s="59"/>
      <c r="L384" s="59"/>
      <c r="M384" s="60"/>
      <c r="N384" s="60"/>
      <c r="O384" s="60"/>
      <c r="P384" s="59"/>
      <c r="Q384" s="59"/>
      <c r="R384" s="60"/>
      <c r="S384" s="60"/>
      <c r="T384" s="60"/>
      <c r="U384" s="60"/>
      <c r="V384" s="60"/>
      <c r="W384" s="60"/>
    </row>
    <row r="385" spans="1:23" ht="13" x14ac:dyDescent="0.3">
      <c r="A385" s="58"/>
      <c r="B385" s="58"/>
      <c r="C385" s="58"/>
      <c r="D385" s="58"/>
      <c r="E385" s="58"/>
      <c r="F385" s="58"/>
      <c r="G385" s="58"/>
      <c r="H385" s="59"/>
      <c r="I385" s="59"/>
      <c r="J385" s="59"/>
      <c r="K385" s="59"/>
      <c r="L385" s="59"/>
      <c r="M385" s="60"/>
      <c r="N385" s="60"/>
      <c r="O385" s="60"/>
      <c r="P385" s="59"/>
      <c r="Q385" s="59"/>
      <c r="R385" s="60"/>
      <c r="S385" s="60"/>
      <c r="T385" s="60"/>
      <c r="U385" s="60"/>
      <c r="V385" s="60"/>
      <c r="W385" s="60"/>
    </row>
    <row r="386" spans="1:23" ht="13" x14ac:dyDescent="0.3">
      <c r="A386" s="58"/>
      <c r="B386" s="58"/>
      <c r="C386" s="58"/>
      <c r="D386" s="58"/>
      <c r="E386" s="58"/>
      <c r="F386" s="58"/>
      <c r="G386" s="58"/>
      <c r="H386" s="59"/>
      <c r="I386" s="59"/>
      <c r="J386" s="59"/>
      <c r="K386" s="59"/>
      <c r="L386" s="59"/>
      <c r="M386" s="60"/>
      <c r="N386" s="60"/>
      <c r="O386" s="60"/>
      <c r="P386" s="59"/>
      <c r="Q386" s="59"/>
      <c r="R386" s="60"/>
      <c r="S386" s="60"/>
      <c r="T386" s="60"/>
      <c r="U386" s="60"/>
      <c r="V386" s="60"/>
      <c r="W386" s="60"/>
    </row>
    <row r="387" spans="1:23" ht="13" x14ac:dyDescent="0.3">
      <c r="A387" s="58"/>
      <c r="B387" s="58"/>
      <c r="C387" s="58"/>
      <c r="D387" s="58"/>
      <c r="E387" s="58"/>
      <c r="F387" s="58"/>
      <c r="G387" s="58"/>
      <c r="H387" s="59"/>
      <c r="I387" s="59"/>
      <c r="J387" s="59"/>
      <c r="K387" s="59"/>
      <c r="L387" s="59"/>
      <c r="M387" s="60"/>
      <c r="N387" s="60"/>
      <c r="O387" s="60"/>
      <c r="P387" s="59"/>
      <c r="Q387" s="59"/>
      <c r="R387" s="60"/>
      <c r="S387" s="60"/>
      <c r="T387" s="60"/>
      <c r="U387" s="60"/>
      <c r="V387" s="60"/>
      <c r="W387" s="60"/>
    </row>
    <row r="388" spans="1:23" ht="13" x14ac:dyDescent="0.3">
      <c r="A388" s="58"/>
      <c r="B388" s="58"/>
      <c r="C388" s="58"/>
      <c r="D388" s="58"/>
      <c r="E388" s="58"/>
      <c r="F388" s="58"/>
      <c r="G388" s="58"/>
      <c r="H388" s="59"/>
      <c r="I388" s="59"/>
      <c r="J388" s="59"/>
      <c r="K388" s="59"/>
      <c r="L388" s="59"/>
      <c r="M388" s="60"/>
      <c r="N388" s="60"/>
      <c r="O388" s="60"/>
      <c r="P388" s="59"/>
      <c r="Q388" s="59"/>
      <c r="R388" s="60"/>
      <c r="S388" s="60"/>
      <c r="T388" s="60"/>
      <c r="U388" s="60"/>
      <c r="V388" s="60"/>
      <c r="W388" s="60"/>
    </row>
    <row r="389" spans="1:23" ht="13" x14ac:dyDescent="0.3">
      <c r="A389" s="58"/>
      <c r="B389" s="58"/>
      <c r="C389" s="58"/>
      <c r="D389" s="58"/>
      <c r="E389" s="58"/>
      <c r="F389" s="58"/>
      <c r="G389" s="58"/>
      <c r="H389" s="59"/>
      <c r="I389" s="59"/>
      <c r="J389" s="59"/>
      <c r="K389" s="59"/>
      <c r="L389" s="59"/>
      <c r="M389" s="60"/>
      <c r="N389" s="60"/>
      <c r="O389" s="60"/>
      <c r="P389" s="59"/>
      <c r="Q389" s="59"/>
      <c r="R389" s="60"/>
      <c r="S389" s="60"/>
      <c r="T389" s="60"/>
      <c r="U389" s="60"/>
      <c r="V389" s="60"/>
      <c r="W389" s="60"/>
    </row>
    <row r="390" spans="1:23" ht="13" x14ac:dyDescent="0.3">
      <c r="A390" s="58"/>
      <c r="B390" s="58"/>
      <c r="C390" s="58"/>
      <c r="D390" s="58"/>
      <c r="E390" s="58"/>
      <c r="F390" s="58"/>
      <c r="G390" s="58"/>
      <c r="H390" s="59"/>
      <c r="I390" s="59"/>
      <c r="J390" s="59"/>
      <c r="K390" s="59"/>
      <c r="L390" s="59"/>
      <c r="M390" s="60"/>
      <c r="N390" s="60"/>
      <c r="O390" s="60"/>
      <c r="P390" s="59"/>
      <c r="Q390" s="59"/>
      <c r="R390" s="60"/>
      <c r="S390" s="60"/>
      <c r="T390" s="60"/>
      <c r="U390" s="60"/>
      <c r="V390" s="60"/>
      <c r="W390" s="60"/>
    </row>
    <row r="391" spans="1:23" ht="13" x14ac:dyDescent="0.3">
      <c r="A391" s="58"/>
      <c r="B391" s="58"/>
      <c r="C391" s="58"/>
      <c r="D391" s="58"/>
      <c r="E391" s="58"/>
      <c r="F391" s="58"/>
      <c r="G391" s="58"/>
      <c r="H391" s="59"/>
      <c r="I391" s="59"/>
      <c r="J391" s="59"/>
      <c r="K391" s="59"/>
      <c r="L391" s="59"/>
      <c r="M391" s="60"/>
      <c r="N391" s="60"/>
      <c r="O391" s="60"/>
      <c r="P391" s="59"/>
      <c r="Q391" s="59"/>
      <c r="R391" s="60"/>
      <c r="S391" s="60"/>
      <c r="T391" s="60"/>
      <c r="U391" s="60"/>
      <c r="V391" s="60"/>
      <c r="W391" s="60"/>
    </row>
    <row r="392" spans="1:23" ht="13" x14ac:dyDescent="0.3">
      <c r="A392" s="58"/>
      <c r="B392" s="58"/>
      <c r="C392" s="58"/>
      <c r="D392" s="58"/>
      <c r="E392" s="58"/>
      <c r="F392" s="58"/>
      <c r="G392" s="58"/>
      <c r="H392" s="59"/>
      <c r="I392" s="59"/>
      <c r="J392" s="59"/>
      <c r="K392" s="59"/>
      <c r="L392" s="59"/>
      <c r="M392" s="60"/>
      <c r="N392" s="60"/>
      <c r="O392" s="60"/>
      <c r="P392" s="59"/>
      <c r="Q392" s="59"/>
      <c r="R392" s="60"/>
      <c r="S392" s="60"/>
      <c r="T392" s="60"/>
      <c r="U392" s="60"/>
      <c r="V392" s="60"/>
      <c r="W392" s="60"/>
    </row>
    <row r="393" spans="1:23" ht="13" x14ac:dyDescent="0.3">
      <c r="A393" s="58"/>
      <c r="B393" s="58"/>
      <c r="C393" s="58"/>
      <c r="D393" s="58"/>
      <c r="E393" s="58"/>
      <c r="F393" s="58"/>
      <c r="G393" s="58"/>
      <c r="H393" s="59"/>
      <c r="I393" s="59"/>
      <c r="J393" s="59"/>
      <c r="K393" s="59"/>
      <c r="L393" s="59"/>
      <c r="M393" s="60"/>
      <c r="N393" s="60"/>
      <c r="O393" s="60"/>
      <c r="P393" s="59"/>
      <c r="Q393" s="59"/>
      <c r="R393" s="60"/>
      <c r="S393" s="60"/>
      <c r="T393" s="60"/>
      <c r="U393" s="60"/>
      <c r="V393" s="60"/>
      <c r="W393" s="60"/>
    </row>
    <row r="394" spans="1:23" ht="13" x14ac:dyDescent="0.3">
      <c r="A394" s="58"/>
      <c r="B394" s="58"/>
      <c r="C394" s="58"/>
      <c r="D394" s="58"/>
      <c r="E394" s="58"/>
      <c r="F394" s="58"/>
      <c r="G394" s="58"/>
      <c r="H394" s="59"/>
      <c r="I394" s="59"/>
      <c r="J394" s="59"/>
      <c r="K394" s="59"/>
      <c r="L394" s="59"/>
      <c r="M394" s="60"/>
      <c r="N394" s="60"/>
      <c r="O394" s="60"/>
      <c r="P394" s="59"/>
      <c r="Q394" s="59"/>
      <c r="R394" s="60"/>
      <c r="S394" s="60"/>
      <c r="T394" s="60"/>
      <c r="U394" s="60"/>
      <c r="V394" s="60"/>
      <c r="W394" s="60"/>
    </row>
    <row r="395" spans="1:23" ht="13" x14ac:dyDescent="0.3">
      <c r="A395" s="58"/>
      <c r="B395" s="58"/>
      <c r="C395" s="58"/>
      <c r="D395" s="58"/>
      <c r="E395" s="58"/>
      <c r="F395" s="58"/>
      <c r="G395" s="58"/>
      <c r="H395" s="59"/>
      <c r="I395" s="59"/>
      <c r="J395" s="59"/>
      <c r="K395" s="59"/>
      <c r="L395" s="59"/>
      <c r="M395" s="60"/>
      <c r="N395" s="60"/>
      <c r="O395" s="60"/>
      <c r="P395" s="59"/>
      <c r="Q395" s="59"/>
      <c r="R395" s="60"/>
      <c r="S395" s="60"/>
      <c r="T395" s="60"/>
      <c r="U395" s="60"/>
      <c r="V395" s="60"/>
      <c r="W395" s="60"/>
    </row>
    <row r="396" spans="1:23" ht="13" x14ac:dyDescent="0.3">
      <c r="A396" s="58"/>
      <c r="B396" s="58"/>
      <c r="C396" s="58"/>
      <c r="D396" s="58"/>
      <c r="E396" s="58"/>
      <c r="F396" s="58"/>
      <c r="G396" s="58"/>
      <c r="H396" s="59"/>
      <c r="I396" s="59"/>
      <c r="J396" s="59"/>
      <c r="K396" s="59"/>
      <c r="L396" s="59"/>
      <c r="M396" s="60"/>
      <c r="N396" s="60"/>
      <c r="O396" s="60"/>
      <c r="P396" s="59"/>
      <c r="Q396" s="59"/>
      <c r="R396" s="60"/>
      <c r="S396" s="60"/>
      <c r="T396" s="60"/>
      <c r="U396" s="60"/>
      <c r="V396" s="60"/>
      <c r="W396" s="60"/>
    </row>
    <row r="397" spans="1:23" ht="13" x14ac:dyDescent="0.3">
      <c r="A397" s="58"/>
      <c r="B397" s="58"/>
      <c r="C397" s="58"/>
      <c r="D397" s="58"/>
      <c r="E397" s="58"/>
      <c r="F397" s="58"/>
      <c r="G397" s="58"/>
      <c r="H397" s="59"/>
      <c r="I397" s="59"/>
      <c r="J397" s="59"/>
      <c r="K397" s="59"/>
      <c r="L397" s="59"/>
      <c r="M397" s="60"/>
      <c r="N397" s="60"/>
      <c r="O397" s="60"/>
      <c r="P397" s="59"/>
      <c r="Q397" s="59"/>
      <c r="R397" s="60"/>
      <c r="S397" s="60"/>
      <c r="T397" s="60"/>
      <c r="U397" s="60"/>
      <c r="V397" s="60"/>
      <c r="W397" s="60"/>
    </row>
    <row r="398" spans="1:23" ht="13" x14ac:dyDescent="0.3">
      <c r="A398" s="58"/>
      <c r="B398" s="58"/>
      <c r="C398" s="58"/>
      <c r="D398" s="58"/>
      <c r="E398" s="58"/>
      <c r="F398" s="58"/>
      <c r="G398" s="58"/>
      <c r="H398" s="59"/>
      <c r="I398" s="59"/>
      <c r="J398" s="59"/>
      <c r="K398" s="59"/>
      <c r="L398" s="59"/>
      <c r="M398" s="60"/>
      <c r="N398" s="60"/>
      <c r="O398" s="60"/>
      <c r="P398" s="59"/>
      <c r="Q398" s="59"/>
      <c r="R398" s="60"/>
      <c r="S398" s="60"/>
      <c r="T398" s="60"/>
      <c r="U398" s="60"/>
      <c r="V398" s="60"/>
      <c r="W398" s="60"/>
    </row>
    <row r="399" spans="1:23" ht="13" x14ac:dyDescent="0.3">
      <c r="A399" s="58"/>
      <c r="B399" s="58"/>
      <c r="C399" s="58"/>
      <c r="D399" s="58"/>
      <c r="E399" s="58"/>
      <c r="F399" s="58"/>
      <c r="G399" s="58"/>
      <c r="H399" s="59"/>
      <c r="I399" s="59"/>
      <c r="J399" s="59"/>
      <c r="K399" s="59"/>
      <c r="L399" s="59"/>
      <c r="M399" s="60"/>
      <c r="N399" s="60"/>
      <c r="O399" s="60"/>
      <c r="P399" s="59"/>
      <c r="Q399" s="59"/>
      <c r="R399" s="60"/>
      <c r="S399" s="60"/>
      <c r="T399" s="60"/>
      <c r="U399" s="60"/>
      <c r="V399" s="60"/>
      <c r="W399" s="60"/>
    </row>
    <row r="400" spans="1:23" ht="13" x14ac:dyDescent="0.3">
      <c r="A400" s="58"/>
      <c r="B400" s="58"/>
      <c r="C400" s="58"/>
      <c r="D400" s="58"/>
      <c r="E400" s="58"/>
      <c r="F400" s="58"/>
      <c r="G400" s="58"/>
      <c r="H400" s="59"/>
      <c r="I400" s="59"/>
      <c r="J400" s="59"/>
      <c r="K400" s="59"/>
      <c r="L400" s="59"/>
      <c r="M400" s="60"/>
      <c r="N400" s="60"/>
      <c r="O400" s="60"/>
      <c r="P400" s="59"/>
      <c r="Q400" s="59"/>
      <c r="R400" s="60"/>
      <c r="S400" s="60"/>
      <c r="T400" s="60"/>
      <c r="U400" s="60"/>
      <c r="V400" s="60"/>
      <c r="W400" s="60"/>
    </row>
    <row r="401" spans="1:23" ht="13" x14ac:dyDescent="0.3">
      <c r="A401" s="58"/>
      <c r="B401" s="58"/>
      <c r="C401" s="58"/>
      <c r="D401" s="58"/>
      <c r="E401" s="58"/>
      <c r="F401" s="58"/>
      <c r="G401" s="58"/>
      <c r="H401" s="59"/>
      <c r="I401" s="59"/>
      <c r="J401" s="59"/>
      <c r="K401" s="59"/>
      <c r="L401" s="59"/>
      <c r="M401" s="60"/>
      <c r="N401" s="60"/>
      <c r="O401" s="60"/>
      <c r="P401" s="59"/>
      <c r="Q401" s="59"/>
      <c r="R401" s="60"/>
      <c r="S401" s="60"/>
      <c r="T401" s="60"/>
      <c r="U401" s="60"/>
      <c r="V401" s="60"/>
      <c r="W401" s="60"/>
    </row>
    <row r="402" spans="1:23" ht="13" x14ac:dyDescent="0.3">
      <c r="A402" s="58"/>
      <c r="B402" s="58"/>
      <c r="C402" s="58"/>
      <c r="D402" s="58"/>
      <c r="E402" s="58"/>
      <c r="F402" s="58"/>
      <c r="G402" s="58"/>
      <c r="H402" s="59"/>
      <c r="I402" s="59"/>
      <c r="J402" s="59"/>
      <c r="K402" s="59"/>
      <c r="L402" s="59"/>
      <c r="M402" s="60"/>
      <c r="N402" s="60"/>
      <c r="O402" s="60"/>
      <c r="P402" s="59"/>
      <c r="Q402" s="59"/>
      <c r="R402" s="60"/>
      <c r="S402" s="60"/>
      <c r="T402" s="60"/>
      <c r="U402" s="60"/>
      <c r="V402" s="60"/>
      <c r="W402" s="60"/>
    </row>
    <row r="403" spans="1:23" ht="13" x14ac:dyDescent="0.3">
      <c r="A403" s="58"/>
      <c r="B403" s="58"/>
      <c r="C403" s="58"/>
      <c r="D403" s="58"/>
      <c r="E403" s="58"/>
      <c r="F403" s="58"/>
      <c r="G403" s="58"/>
      <c r="H403" s="59"/>
      <c r="I403" s="59"/>
      <c r="J403" s="59"/>
      <c r="K403" s="59"/>
      <c r="L403" s="59"/>
      <c r="M403" s="60"/>
      <c r="N403" s="60"/>
      <c r="O403" s="60"/>
      <c r="P403" s="59"/>
      <c r="Q403" s="59"/>
      <c r="R403" s="60"/>
      <c r="S403" s="60"/>
      <c r="T403" s="60"/>
      <c r="U403" s="60"/>
      <c r="V403" s="60"/>
      <c r="W403" s="60"/>
    </row>
    <row r="404" spans="1:23" ht="13" x14ac:dyDescent="0.3">
      <c r="A404" s="58"/>
      <c r="B404" s="58"/>
      <c r="C404" s="58"/>
      <c r="D404" s="58"/>
      <c r="E404" s="58"/>
      <c r="F404" s="58"/>
      <c r="G404" s="58"/>
      <c r="H404" s="59"/>
      <c r="I404" s="59"/>
      <c r="J404" s="59"/>
      <c r="K404" s="59"/>
      <c r="L404" s="59"/>
      <c r="M404" s="60"/>
      <c r="N404" s="60"/>
      <c r="O404" s="60"/>
      <c r="P404" s="59"/>
      <c r="Q404" s="59"/>
      <c r="R404" s="60"/>
      <c r="S404" s="60"/>
      <c r="T404" s="60"/>
      <c r="U404" s="60"/>
      <c r="V404" s="60"/>
      <c r="W404" s="60"/>
    </row>
    <row r="405" spans="1:23" ht="13" x14ac:dyDescent="0.3">
      <c r="A405" s="58"/>
      <c r="B405" s="58"/>
      <c r="C405" s="58"/>
      <c r="D405" s="58"/>
      <c r="E405" s="58"/>
      <c r="F405" s="58"/>
      <c r="G405" s="58"/>
      <c r="H405" s="59"/>
      <c r="I405" s="59"/>
      <c r="J405" s="59"/>
      <c r="K405" s="59"/>
      <c r="L405" s="59"/>
      <c r="M405" s="60"/>
      <c r="N405" s="60"/>
      <c r="O405" s="60"/>
      <c r="P405" s="59"/>
      <c r="Q405" s="59"/>
      <c r="R405" s="60"/>
      <c r="S405" s="60"/>
      <c r="T405" s="60"/>
      <c r="U405" s="60"/>
      <c r="V405" s="60"/>
      <c r="W405" s="60"/>
    </row>
    <row r="406" spans="1:23" ht="13" x14ac:dyDescent="0.3">
      <c r="A406" s="58"/>
      <c r="B406" s="58"/>
      <c r="C406" s="58"/>
      <c r="D406" s="58"/>
      <c r="E406" s="58"/>
      <c r="F406" s="58"/>
      <c r="G406" s="58"/>
      <c r="H406" s="59"/>
      <c r="I406" s="59"/>
      <c r="J406" s="59"/>
      <c r="K406" s="59"/>
      <c r="L406" s="59"/>
      <c r="M406" s="60"/>
      <c r="N406" s="60"/>
      <c r="O406" s="60"/>
      <c r="P406" s="59"/>
      <c r="Q406" s="59"/>
      <c r="R406" s="60"/>
      <c r="S406" s="60"/>
      <c r="T406" s="60"/>
      <c r="U406" s="60"/>
      <c r="V406" s="60"/>
      <c r="W406" s="60"/>
    </row>
    <row r="407" spans="1:23" ht="13" x14ac:dyDescent="0.3">
      <c r="A407" s="58"/>
      <c r="B407" s="58"/>
      <c r="C407" s="58"/>
      <c r="D407" s="58"/>
      <c r="E407" s="58"/>
      <c r="F407" s="58"/>
      <c r="G407" s="58"/>
      <c r="H407" s="59"/>
      <c r="I407" s="59"/>
      <c r="J407" s="59"/>
      <c r="K407" s="59"/>
      <c r="L407" s="59"/>
      <c r="M407" s="60"/>
      <c r="N407" s="60"/>
      <c r="O407" s="60"/>
      <c r="P407" s="59"/>
      <c r="Q407" s="59"/>
      <c r="R407" s="60"/>
      <c r="S407" s="60"/>
      <c r="T407" s="60"/>
      <c r="U407" s="60"/>
      <c r="V407" s="60"/>
      <c r="W407" s="60"/>
    </row>
    <row r="408" spans="1:23" ht="13" x14ac:dyDescent="0.3">
      <c r="A408" s="58"/>
      <c r="B408" s="58"/>
      <c r="C408" s="58"/>
      <c r="D408" s="58"/>
      <c r="E408" s="58"/>
      <c r="F408" s="58"/>
      <c r="G408" s="58"/>
      <c r="H408" s="59"/>
      <c r="I408" s="59"/>
      <c r="J408" s="59"/>
      <c r="K408" s="59"/>
      <c r="L408" s="59"/>
      <c r="M408" s="60"/>
      <c r="N408" s="60"/>
      <c r="O408" s="60"/>
      <c r="P408" s="59"/>
      <c r="Q408" s="59"/>
      <c r="R408" s="60"/>
      <c r="S408" s="60"/>
      <c r="T408" s="60"/>
      <c r="U408" s="60"/>
      <c r="V408" s="60"/>
      <c r="W408" s="60"/>
    </row>
    <row r="409" spans="1:23" ht="13" x14ac:dyDescent="0.3">
      <c r="A409" s="58"/>
      <c r="B409" s="58"/>
      <c r="C409" s="58"/>
      <c r="D409" s="58"/>
      <c r="E409" s="58"/>
      <c r="F409" s="58"/>
      <c r="G409" s="58"/>
      <c r="H409" s="59"/>
      <c r="I409" s="59"/>
      <c r="J409" s="59"/>
      <c r="K409" s="59"/>
      <c r="L409" s="59"/>
      <c r="M409" s="60"/>
      <c r="N409" s="60"/>
      <c r="O409" s="60"/>
      <c r="P409" s="59"/>
      <c r="Q409" s="59"/>
      <c r="R409" s="60"/>
      <c r="S409" s="60"/>
      <c r="T409" s="60"/>
      <c r="U409" s="60"/>
      <c r="V409" s="60"/>
      <c r="W409" s="60"/>
    </row>
    <row r="410" spans="1:23" ht="13" x14ac:dyDescent="0.3">
      <c r="A410" s="58"/>
      <c r="B410" s="58"/>
      <c r="C410" s="58"/>
      <c r="D410" s="58"/>
      <c r="E410" s="58"/>
      <c r="F410" s="58"/>
      <c r="G410" s="58"/>
      <c r="H410" s="59"/>
      <c r="I410" s="59"/>
      <c r="J410" s="59"/>
      <c r="K410" s="59"/>
      <c r="L410" s="59"/>
      <c r="M410" s="60"/>
      <c r="N410" s="60"/>
      <c r="O410" s="60"/>
      <c r="P410" s="59"/>
      <c r="Q410" s="59"/>
      <c r="R410" s="60"/>
      <c r="S410" s="60"/>
      <c r="T410" s="60"/>
      <c r="U410" s="60"/>
      <c r="V410" s="60"/>
      <c r="W410" s="60"/>
    </row>
    <row r="411" spans="1:23" ht="13" x14ac:dyDescent="0.3">
      <c r="A411" s="58"/>
      <c r="B411" s="58"/>
      <c r="C411" s="58"/>
      <c r="D411" s="58"/>
      <c r="E411" s="58"/>
      <c r="F411" s="58"/>
      <c r="G411" s="58"/>
      <c r="H411" s="59"/>
      <c r="I411" s="59"/>
      <c r="J411" s="59"/>
      <c r="K411" s="59"/>
      <c r="L411" s="59"/>
      <c r="M411" s="60"/>
      <c r="N411" s="60"/>
      <c r="O411" s="60"/>
      <c r="P411" s="59"/>
      <c r="Q411" s="59"/>
      <c r="R411" s="60"/>
      <c r="S411" s="60"/>
      <c r="T411" s="60"/>
      <c r="U411" s="60"/>
      <c r="V411" s="60"/>
      <c r="W411" s="60"/>
    </row>
    <row r="412" spans="1:23" ht="13" x14ac:dyDescent="0.3">
      <c r="A412" s="58"/>
      <c r="B412" s="58"/>
      <c r="C412" s="58"/>
      <c r="D412" s="58"/>
      <c r="E412" s="58"/>
      <c r="F412" s="58"/>
      <c r="G412" s="58"/>
      <c r="H412" s="59"/>
      <c r="I412" s="59"/>
      <c r="J412" s="59"/>
      <c r="K412" s="59"/>
      <c r="L412" s="59"/>
      <c r="M412" s="60"/>
      <c r="N412" s="60"/>
      <c r="O412" s="60"/>
      <c r="P412" s="59"/>
      <c r="Q412" s="59"/>
      <c r="R412" s="60"/>
      <c r="S412" s="60"/>
      <c r="T412" s="60"/>
      <c r="U412" s="60"/>
      <c r="V412" s="60"/>
      <c r="W412" s="60"/>
    </row>
    <row r="413" spans="1:23" ht="13" x14ac:dyDescent="0.3">
      <c r="A413" s="58"/>
      <c r="B413" s="58"/>
      <c r="C413" s="58"/>
      <c r="D413" s="58"/>
      <c r="E413" s="58"/>
      <c r="F413" s="58"/>
      <c r="G413" s="58"/>
      <c r="H413" s="59"/>
      <c r="I413" s="59"/>
      <c r="J413" s="59"/>
      <c r="K413" s="59"/>
      <c r="L413" s="59"/>
      <c r="M413" s="60"/>
      <c r="N413" s="60"/>
      <c r="O413" s="60"/>
      <c r="P413" s="59"/>
      <c r="Q413" s="59"/>
      <c r="R413" s="60"/>
      <c r="S413" s="60"/>
      <c r="T413" s="60"/>
      <c r="U413" s="60"/>
      <c r="V413" s="60"/>
      <c r="W413" s="60"/>
    </row>
    <row r="414" spans="1:23" ht="13" x14ac:dyDescent="0.3">
      <c r="A414" s="58"/>
      <c r="B414" s="58"/>
      <c r="C414" s="58"/>
      <c r="D414" s="58"/>
      <c r="E414" s="58"/>
      <c r="F414" s="58"/>
      <c r="G414" s="58"/>
      <c r="H414" s="59"/>
      <c r="I414" s="59"/>
      <c r="J414" s="59"/>
      <c r="K414" s="59"/>
      <c r="L414" s="59"/>
      <c r="M414" s="60"/>
      <c r="N414" s="60"/>
      <c r="O414" s="60"/>
      <c r="P414" s="59"/>
      <c r="Q414" s="59"/>
      <c r="R414" s="60"/>
      <c r="S414" s="60"/>
      <c r="T414" s="60"/>
      <c r="U414" s="60"/>
      <c r="V414" s="60"/>
      <c r="W414" s="60"/>
    </row>
    <row r="415" spans="1:23" ht="13" x14ac:dyDescent="0.3">
      <c r="A415" s="58"/>
      <c r="B415" s="58"/>
      <c r="C415" s="58"/>
      <c r="D415" s="58"/>
      <c r="E415" s="58"/>
      <c r="F415" s="58"/>
      <c r="G415" s="58"/>
      <c r="H415" s="59"/>
      <c r="I415" s="59"/>
      <c r="J415" s="59"/>
      <c r="K415" s="59"/>
      <c r="L415" s="59"/>
      <c r="M415" s="60"/>
      <c r="N415" s="60"/>
      <c r="O415" s="60"/>
      <c r="P415" s="59"/>
      <c r="Q415" s="59"/>
      <c r="R415" s="60"/>
      <c r="S415" s="60"/>
      <c r="T415" s="60"/>
      <c r="U415" s="60"/>
      <c r="V415" s="60"/>
      <c r="W415" s="60"/>
    </row>
    <row r="416" spans="1:23" ht="13" x14ac:dyDescent="0.3">
      <c r="A416" s="58"/>
      <c r="B416" s="58"/>
      <c r="C416" s="58"/>
      <c r="D416" s="58"/>
      <c r="E416" s="58"/>
      <c r="F416" s="58"/>
      <c r="G416" s="58"/>
      <c r="H416" s="59"/>
      <c r="I416" s="59"/>
      <c r="J416" s="59"/>
      <c r="K416" s="59"/>
      <c r="L416" s="59"/>
      <c r="M416" s="60"/>
      <c r="N416" s="60"/>
      <c r="O416" s="60"/>
      <c r="P416" s="59"/>
      <c r="Q416" s="59"/>
      <c r="R416" s="60"/>
      <c r="S416" s="60"/>
      <c r="T416" s="60"/>
      <c r="U416" s="60"/>
      <c r="V416" s="60"/>
      <c r="W416" s="60"/>
    </row>
    <row r="417" spans="1:23" ht="13" x14ac:dyDescent="0.3">
      <c r="A417" s="58"/>
      <c r="B417" s="58"/>
      <c r="C417" s="58"/>
      <c r="D417" s="58"/>
      <c r="E417" s="58"/>
      <c r="F417" s="58"/>
      <c r="G417" s="58"/>
      <c r="H417" s="59"/>
      <c r="I417" s="59"/>
      <c r="J417" s="59"/>
      <c r="K417" s="59"/>
      <c r="L417" s="59"/>
      <c r="M417" s="60"/>
      <c r="N417" s="60"/>
      <c r="O417" s="60"/>
      <c r="P417" s="59"/>
      <c r="Q417" s="59"/>
      <c r="R417" s="60"/>
      <c r="S417" s="60"/>
      <c r="T417" s="60"/>
      <c r="U417" s="60"/>
      <c r="V417" s="60"/>
      <c r="W417" s="60"/>
    </row>
    <row r="418" spans="1:23" ht="13" x14ac:dyDescent="0.3">
      <c r="A418" s="58"/>
      <c r="B418" s="58"/>
      <c r="C418" s="58"/>
      <c r="D418" s="58"/>
      <c r="E418" s="58"/>
      <c r="F418" s="58"/>
      <c r="G418" s="58"/>
      <c r="H418" s="59"/>
      <c r="I418" s="59"/>
      <c r="J418" s="59"/>
      <c r="K418" s="59"/>
      <c r="L418" s="59"/>
      <c r="M418" s="60"/>
      <c r="N418" s="60"/>
      <c r="O418" s="60"/>
      <c r="P418" s="59"/>
      <c r="Q418" s="59"/>
      <c r="R418" s="60"/>
      <c r="S418" s="60"/>
      <c r="T418" s="60"/>
      <c r="U418" s="60"/>
      <c r="V418" s="60"/>
      <c r="W418" s="60"/>
    </row>
    <row r="419" spans="1:23" ht="13" x14ac:dyDescent="0.3">
      <c r="A419" s="58"/>
      <c r="B419" s="58"/>
      <c r="C419" s="58"/>
      <c r="D419" s="58"/>
      <c r="E419" s="58"/>
      <c r="F419" s="58"/>
      <c r="G419" s="58"/>
      <c r="H419" s="59"/>
      <c r="I419" s="59"/>
      <c r="J419" s="59"/>
      <c r="K419" s="59"/>
      <c r="L419" s="59"/>
      <c r="M419" s="60"/>
      <c r="N419" s="60"/>
      <c r="O419" s="60"/>
      <c r="P419" s="59"/>
      <c r="Q419" s="59"/>
      <c r="R419" s="60"/>
      <c r="S419" s="60"/>
      <c r="T419" s="60"/>
      <c r="U419" s="60"/>
      <c r="V419" s="60"/>
      <c r="W419" s="60"/>
    </row>
    <row r="420" spans="1:23" ht="13" x14ac:dyDescent="0.3">
      <c r="A420" s="58"/>
      <c r="B420" s="58"/>
      <c r="C420" s="58"/>
      <c r="D420" s="58"/>
      <c r="E420" s="58"/>
      <c r="F420" s="58"/>
      <c r="G420" s="58"/>
      <c r="H420" s="59"/>
      <c r="I420" s="59"/>
      <c r="J420" s="59"/>
      <c r="K420" s="59"/>
      <c r="L420" s="59"/>
      <c r="M420" s="60"/>
      <c r="N420" s="60"/>
      <c r="O420" s="60"/>
      <c r="P420" s="59"/>
      <c r="Q420" s="59"/>
      <c r="R420" s="60"/>
      <c r="S420" s="60"/>
      <c r="T420" s="60"/>
      <c r="U420" s="60"/>
      <c r="V420" s="60"/>
      <c r="W420" s="60"/>
    </row>
    <row r="421" spans="1:23" ht="13" x14ac:dyDescent="0.3">
      <c r="A421" s="58"/>
      <c r="B421" s="58"/>
      <c r="C421" s="58"/>
      <c r="D421" s="58"/>
      <c r="E421" s="58"/>
      <c r="F421" s="58"/>
      <c r="G421" s="58"/>
      <c r="H421" s="59"/>
      <c r="I421" s="59"/>
      <c r="J421" s="59"/>
      <c r="K421" s="59"/>
      <c r="L421" s="59"/>
      <c r="M421" s="60"/>
      <c r="N421" s="60"/>
      <c r="O421" s="60"/>
      <c r="P421" s="59"/>
      <c r="Q421" s="59"/>
      <c r="R421" s="60"/>
      <c r="S421" s="60"/>
      <c r="T421" s="60"/>
      <c r="U421" s="60"/>
      <c r="V421" s="60"/>
      <c r="W421" s="60"/>
    </row>
    <row r="422" spans="1:23" ht="13" x14ac:dyDescent="0.3">
      <c r="A422" s="58"/>
      <c r="B422" s="58"/>
      <c r="C422" s="58"/>
      <c r="D422" s="58"/>
      <c r="E422" s="58"/>
      <c r="F422" s="58"/>
      <c r="G422" s="58"/>
      <c r="H422" s="59"/>
      <c r="I422" s="59"/>
      <c r="J422" s="59"/>
      <c r="K422" s="59"/>
      <c r="L422" s="59"/>
      <c r="M422" s="60"/>
      <c r="N422" s="60"/>
      <c r="O422" s="60"/>
      <c r="P422" s="59"/>
      <c r="Q422" s="59"/>
      <c r="R422" s="60"/>
      <c r="S422" s="60"/>
      <c r="T422" s="60"/>
      <c r="U422" s="60"/>
      <c r="V422" s="60"/>
      <c r="W422" s="60"/>
    </row>
    <row r="423" spans="1:23" ht="13" x14ac:dyDescent="0.3">
      <c r="A423" s="58"/>
      <c r="B423" s="58"/>
      <c r="C423" s="58"/>
      <c r="D423" s="58"/>
      <c r="E423" s="58"/>
      <c r="F423" s="58"/>
      <c r="G423" s="58"/>
      <c r="H423" s="59"/>
      <c r="I423" s="59"/>
      <c r="J423" s="59"/>
      <c r="K423" s="59"/>
      <c r="L423" s="59"/>
      <c r="M423" s="60"/>
      <c r="N423" s="60"/>
      <c r="O423" s="60"/>
      <c r="P423" s="59"/>
      <c r="Q423" s="59"/>
      <c r="R423" s="60"/>
      <c r="S423" s="60"/>
      <c r="T423" s="60"/>
      <c r="U423" s="60"/>
      <c r="V423" s="60"/>
      <c r="W423" s="60"/>
    </row>
    <row r="424" spans="1:23" ht="13" x14ac:dyDescent="0.3">
      <c r="A424" s="58"/>
      <c r="B424" s="58"/>
      <c r="C424" s="58"/>
      <c r="D424" s="58"/>
      <c r="E424" s="58"/>
      <c r="F424" s="58"/>
      <c r="G424" s="58"/>
      <c r="H424" s="59"/>
      <c r="I424" s="59"/>
      <c r="J424" s="59"/>
      <c r="K424" s="59"/>
      <c r="L424" s="59"/>
      <c r="M424" s="60"/>
      <c r="N424" s="60"/>
      <c r="O424" s="60"/>
      <c r="P424" s="59"/>
      <c r="Q424" s="59"/>
      <c r="R424" s="60"/>
      <c r="S424" s="60"/>
      <c r="T424" s="60"/>
      <c r="U424" s="60"/>
      <c r="V424" s="60"/>
      <c r="W424" s="60"/>
    </row>
    <row r="425" spans="1:23" ht="13" x14ac:dyDescent="0.3">
      <c r="A425" s="58"/>
      <c r="B425" s="58"/>
      <c r="C425" s="58"/>
      <c r="D425" s="58"/>
      <c r="E425" s="58"/>
      <c r="F425" s="58"/>
      <c r="G425" s="58"/>
      <c r="H425" s="59"/>
      <c r="I425" s="59"/>
      <c r="J425" s="59"/>
      <c r="K425" s="59"/>
      <c r="L425" s="59"/>
      <c r="M425" s="60"/>
      <c r="N425" s="60"/>
      <c r="O425" s="60"/>
      <c r="P425" s="59"/>
      <c r="Q425" s="59"/>
      <c r="R425" s="60"/>
      <c r="S425" s="60"/>
      <c r="T425" s="60"/>
      <c r="U425" s="60"/>
      <c r="V425" s="60"/>
      <c r="W425" s="60"/>
    </row>
    <row r="426" spans="1:23" ht="13" x14ac:dyDescent="0.3">
      <c r="A426" s="58"/>
      <c r="B426" s="58"/>
      <c r="C426" s="58"/>
      <c r="D426" s="58"/>
      <c r="E426" s="58"/>
      <c r="F426" s="58"/>
      <c r="G426" s="58"/>
      <c r="H426" s="59"/>
      <c r="I426" s="59"/>
      <c r="J426" s="59"/>
      <c r="K426" s="59"/>
      <c r="L426" s="59"/>
      <c r="M426" s="60"/>
      <c r="N426" s="60"/>
      <c r="O426" s="60"/>
      <c r="P426" s="59"/>
      <c r="Q426" s="59"/>
      <c r="R426" s="60"/>
      <c r="S426" s="60"/>
      <c r="T426" s="60"/>
      <c r="U426" s="60"/>
      <c r="V426" s="60"/>
      <c r="W426" s="60"/>
    </row>
    <row r="427" spans="1:23" ht="13" x14ac:dyDescent="0.3">
      <c r="A427" s="58"/>
      <c r="B427" s="58"/>
      <c r="C427" s="58"/>
      <c r="D427" s="58"/>
      <c r="E427" s="58"/>
      <c r="F427" s="58"/>
      <c r="G427" s="58"/>
      <c r="H427" s="59"/>
      <c r="I427" s="59"/>
      <c r="J427" s="59"/>
      <c r="K427" s="59"/>
      <c r="L427" s="59"/>
      <c r="M427" s="60"/>
      <c r="N427" s="60"/>
      <c r="O427" s="60"/>
      <c r="P427" s="59"/>
      <c r="Q427" s="59"/>
      <c r="R427" s="60"/>
      <c r="S427" s="60"/>
      <c r="T427" s="60"/>
      <c r="U427" s="60"/>
      <c r="V427" s="60"/>
      <c r="W427" s="60"/>
    </row>
    <row r="428" spans="1:23" ht="13" x14ac:dyDescent="0.3">
      <c r="A428" s="58"/>
      <c r="B428" s="58"/>
      <c r="C428" s="58"/>
      <c r="D428" s="58"/>
      <c r="E428" s="58"/>
      <c r="F428" s="58"/>
      <c r="G428" s="58"/>
      <c r="H428" s="59"/>
      <c r="I428" s="59"/>
      <c r="J428" s="59"/>
      <c r="K428" s="59"/>
      <c r="L428" s="59"/>
      <c r="M428" s="60"/>
      <c r="N428" s="60"/>
      <c r="O428" s="60"/>
      <c r="P428" s="59"/>
      <c r="Q428" s="59"/>
      <c r="R428" s="60"/>
      <c r="S428" s="60"/>
      <c r="T428" s="60"/>
      <c r="U428" s="60"/>
      <c r="V428" s="60"/>
      <c r="W428" s="60"/>
    </row>
    <row r="429" spans="1:23" ht="13" x14ac:dyDescent="0.3">
      <c r="A429" s="58"/>
      <c r="B429" s="58"/>
      <c r="C429" s="58"/>
      <c r="D429" s="58"/>
      <c r="E429" s="58"/>
      <c r="F429" s="58"/>
      <c r="G429" s="58"/>
      <c r="H429" s="59"/>
      <c r="I429" s="59"/>
      <c r="J429" s="59"/>
      <c r="K429" s="59"/>
      <c r="L429" s="59"/>
      <c r="M429" s="60"/>
      <c r="N429" s="60"/>
      <c r="O429" s="60"/>
      <c r="P429" s="59"/>
      <c r="Q429" s="59"/>
      <c r="R429" s="60"/>
      <c r="S429" s="60"/>
      <c r="T429" s="60"/>
      <c r="U429" s="60"/>
      <c r="V429" s="60"/>
      <c r="W429" s="60"/>
    </row>
    <row r="430" spans="1:23" ht="13" x14ac:dyDescent="0.3">
      <c r="A430" s="58"/>
      <c r="B430" s="58"/>
      <c r="C430" s="58"/>
      <c r="D430" s="58"/>
      <c r="E430" s="58"/>
      <c r="F430" s="58"/>
      <c r="G430" s="58"/>
      <c r="H430" s="59"/>
      <c r="I430" s="59"/>
      <c r="J430" s="59"/>
      <c r="K430" s="59"/>
      <c r="L430" s="59"/>
      <c r="M430" s="60"/>
      <c r="N430" s="60"/>
      <c r="O430" s="60"/>
      <c r="P430" s="59"/>
      <c r="Q430" s="59"/>
      <c r="R430" s="60"/>
      <c r="S430" s="60"/>
      <c r="T430" s="60"/>
      <c r="U430" s="60"/>
      <c r="V430" s="60"/>
      <c r="W430" s="60"/>
    </row>
    <row r="431" spans="1:23" ht="13" x14ac:dyDescent="0.3">
      <c r="A431" s="58"/>
      <c r="B431" s="58"/>
      <c r="C431" s="58"/>
      <c r="D431" s="58"/>
      <c r="E431" s="58"/>
      <c r="F431" s="58"/>
      <c r="G431" s="58"/>
      <c r="H431" s="59"/>
      <c r="I431" s="59"/>
      <c r="J431" s="59"/>
      <c r="K431" s="59"/>
      <c r="L431" s="59"/>
      <c r="M431" s="60"/>
      <c r="N431" s="60"/>
      <c r="O431" s="60"/>
      <c r="P431" s="59"/>
      <c r="Q431" s="59"/>
      <c r="R431" s="60"/>
      <c r="S431" s="60"/>
      <c r="T431" s="60"/>
      <c r="U431" s="60"/>
      <c r="V431" s="60"/>
      <c r="W431" s="60"/>
    </row>
    <row r="432" spans="1:23" ht="13" x14ac:dyDescent="0.3">
      <c r="A432" s="58"/>
      <c r="B432" s="58"/>
      <c r="C432" s="58"/>
      <c r="D432" s="58"/>
      <c r="E432" s="58"/>
      <c r="F432" s="58"/>
      <c r="G432" s="58"/>
      <c r="H432" s="59"/>
      <c r="I432" s="59"/>
      <c r="J432" s="59"/>
      <c r="K432" s="59"/>
      <c r="L432" s="59"/>
      <c r="M432" s="60"/>
      <c r="N432" s="60"/>
      <c r="O432" s="60"/>
      <c r="P432" s="59"/>
      <c r="Q432" s="59"/>
      <c r="R432" s="60"/>
      <c r="S432" s="60"/>
      <c r="T432" s="60"/>
      <c r="U432" s="60"/>
      <c r="V432" s="60"/>
      <c r="W432" s="60"/>
    </row>
    <row r="433" spans="1:23" ht="13" x14ac:dyDescent="0.3">
      <c r="A433" s="58"/>
      <c r="B433" s="58"/>
      <c r="C433" s="58"/>
      <c r="D433" s="58"/>
      <c r="E433" s="58"/>
      <c r="F433" s="58"/>
      <c r="G433" s="58"/>
      <c r="H433" s="59"/>
      <c r="I433" s="59"/>
      <c r="J433" s="59"/>
      <c r="K433" s="59"/>
      <c r="L433" s="59"/>
      <c r="M433" s="60"/>
      <c r="N433" s="60"/>
      <c r="O433" s="60"/>
      <c r="P433" s="59"/>
      <c r="Q433" s="59"/>
      <c r="R433" s="60"/>
      <c r="S433" s="60"/>
      <c r="T433" s="60"/>
      <c r="U433" s="60"/>
      <c r="V433" s="60"/>
      <c r="W433" s="60"/>
    </row>
    <row r="434" spans="1:23" ht="13" x14ac:dyDescent="0.3">
      <c r="A434" s="58"/>
      <c r="B434" s="58"/>
      <c r="C434" s="58"/>
      <c r="D434" s="58"/>
      <c r="E434" s="58"/>
      <c r="F434" s="58"/>
      <c r="G434" s="58"/>
      <c r="H434" s="59"/>
      <c r="I434" s="59"/>
      <c r="J434" s="59"/>
      <c r="K434" s="59"/>
      <c r="L434" s="59"/>
      <c r="M434" s="60"/>
      <c r="N434" s="60"/>
      <c r="O434" s="60"/>
      <c r="P434" s="59"/>
      <c r="Q434" s="59"/>
      <c r="R434" s="60"/>
      <c r="S434" s="60"/>
      <c r="T434" s="60"/>
      <c r="U434" s="60"/>
      <c r="V434" s="60"/>
      <c r="W434" s="60"/>
    </row>
    <row r="435" spans="1:23" ht="13" x14ac:dyDescent="0.3">
      <c r="A435" s="58"/>
      <c r="B435" s="58"/>
      <c r="C435" s="58"/>
      <c r="D435" s="58"/>
      <c r="E435" s="58"/>
      <c r="F435" s="58"/>
      <c r="G435" s="58"/>
      <c r="H435" s="59"/>
      <c r="I435" s="59"/>
      <c r="J435" s="59"/>
      <c r="K435" s="59"/>
      <c r="L435" s="59"/>
      <c r="M435" s="60"/>
      <c r="N435" s="60"/>
      <c r="O435" s="60"/>
      <c r="P435" s="59"/>
      <c r="Q435" s="59"/>
      <c r="R435" s="60"/>
      <c r="S435" s="60"/>
      <c r="T435" s="60"/>
      <c r="U435" s="60"/>
      <c r="V435" s="60"/>
      <c r="W435" s="60"/>
    </row>
    <row r="436" spans="1:23" ht="13" x14ac:dyDescent="0.3">
      <c r="A436" s="58"/>
      <c r="B436" s="58"/>
      <c r="C436" s="58"/>
      <c r="D436" s="58"/>
      <c r="E436" s="58"/>
      <c r="F436" s="58"/>
      <c r="G436" s="58"/>
      <c r="H436" s="59"/>
      <c r="I436" s="59"/>
      <c r="J436" s="59"/>
      <c r="K436" s="59"/>
      <c r="L436" s="59"/>
      <c r="M436" s="60"/>
      <c r="N436" s="60"/>
      <c r="O436" s="60"/>
      <c r="P436" s="59"/>
      <c r="Q436" s="59"/>
      <c r="R436" s="60"/>
      <c r="S436" s="60"/>
      <c r="T436" s="60"/>
      <c r="U436" s="60"/>
      <c r="V436" s="60"/>
      <c r="W436" s="60"/>
    </row>
    <row r="437" spans="1:23" ht="13" x14ac:dyDescent="0.3">
      <c r="A437" s="58"/>
      <c r="B437" s="58"/>
      <c r="C437" s="58"/>
      <c r="D437" s="58"/>
      <c r="E437" s="58"/>
      <c r="F437" s="58"/>
      <c r="G437" s="58"/>
      <c r="H437" s="59"/>
      <c r="I437" s="59"/>
      <c r="J437" s="59"/>
      <c r="K437" s="59"/>
      <c r="L437" s="59"/>
      <c r="M437" s="60"/>
      <c r="N437" s="60"/>
      <c r="O437" s="60"/>
      <c r="P437" s="59"/>
      <c r="Q437" s="59"/>
      <c r="R437" s="60"/>
      <c r="S437" s="60"/>
      <c r="T437" s="60"/>
      <c r="U437" s="60"/>
      <c r="V437" s="60"/>
      <c r="W437" s="60"/>
    </row>
    <row r="438" spans="1:23" ht="13" x14ac:dyDescent="0.3">
      <c r="A438" s="58"/>
      <c r="B438" s="58"/>
      <c r="C438" s="58"/>
      <c r="D438" s="58"/>
      <c r="E438" s="58"/>
      <c r="F438" s="58"/>
      <c r="G438" s="58"/>
      <c r="H438" s="59"/>
      <c r="I438" s="59"/>
      <c r="J438" s="59"/>
      <c r="K438" s="59"/>
      <c r="L438" s="59"/>
      <c r="M438" s="60"/>
      <c r="N438" s="60"/>
      <c r="O438" s="60"/>
      <c r="P438" s="59"/>
      <c r="Q438" s="59"/>
      <c r="R438" s="60"/>
      <c r="S438" s="60"/>
      <c r="T438" s="60"/>
      <c r="U438" s="60"/>
      <c r="V438" s="60"/>
      <c r="W438" s="60"/>
    </row>
    <row r="439" spans="1:23" ht="13" x14ac:dyDescent="0.3">
      <c r="A439" s="58"/>
      <c r="B439" s="58"/>
      <c r="C439" s="58"/>
      <c r="D439" s="58"/>
      <c r="E439" s="58"/>
      <c r="F439" s="58"/>
      <c r="G439" s="58"/>
      <c r="H439" s="59"/>
      <c r="I439" s="59"/>
      <c r="J439" s="59"/>
      <c r="K439" s="59"/>
      <c r="L439" s="59"/>
      <c r="M439" s="60"/>
      <c r="N439" s="60"/>
      <c r="O439" s="60"/>
      <c r="P439" s="59"/>
      <c r="Q439" s="59"/>
      <c r="R439" s="60"/>
      <c r="S439" s="60"/>
      <c r="T439" s="60"/>
      <c r="U439" s="60"/>
      <c r="V439" s="60"/>
      <c r="W439" s="60"/>
    </row>
    <row r="440" spans="1:23" ht="13" x14ac:dyDescent="0.3">
      <c r="A440" s="58"/>
      <c r="B440" s="58"/>
      <c r="C440" s="58"/>
      <c r="D440" s="58"/>
      <c r="E440" s="58"/>
      <c r="F440" s="58"/>
      <c r="G440" s="58"/>
      <c r="H440" s="59"/>
      <c r="I440" s="59"/>
      <c r="J440" s="59"/>
      <c r="K440" s="59"/>
      <c r="L440" s="59"/>
      <c r="M440" s="60"/>
      <c r="N440" s="60"/>
      <c r="O440" s="60"/>
      <c r="P440" s="59"/>
      <c r="Q440" s="59"/>
      <c r="R440" s="60"/>
      <c r="S440" s="60"/>
      <c r="T440" s="60"/>
      <c r="U440" s="60"/>
      <c r="V440" s="60"/>
      <c r="W440" s="60"/>
    </row>
    <row r="441" spans="1:23" ht="13" x14ac:dyDescent="0.3">
      <c r="A441" s="58"/>
      <c r="B441" s="58"/>
      <c r="C441" s="58"/>
      <c r="D441" s="58"/>
      <c r="E441" s="58"/>
      <c r="F441" s="58"/>
      <c r="G441" s="58"/>
      <c r="H441" s="59"/>
      <c r="I441" s="59"/>
      <c r="J441" s="59"/>
      <c r="K441" s="59"/>
      <c r="L441" s="59"/>
      <c r="M441" s="60"/>
      <c r="N441" s="60"/>
      <c r="O441" s="60"/>
      <c r="P441" s="59"/>
      <c r="Q441" s="59"/>
      <c r="R441" s="60"/>
      <c r="S441" s="60"/>
      <c r="T441" s="60"/>
      <c r="U441" s="60"/>
      <c r="V441" s="60"/>
      <c r="W441" s="60"/>
    </row>
    <row r="442" spans="1:23" ht="13" x14ac:dyDescent="0.3">
      <c r="A442" s="58"/>
      <c r="B442" s="58"/>
      <c r="C442" s="58"/>
      <c r="D442" s="58"/>
      <c r="E442" s="58"/>
      <c r="F442" s="58"/>
      <c r="G442" s="58"/>
      <c r="H442" s="59"/>
      <c r="I442" s="59"/>
      <c r="J442" s="59"/>
      <c r="K442" s="59"/>
      <c r="L442" s="59"/>
      <c r="M442" s="60"/>
      <c r="N442" s="60"/>
      <c r="O442" s="60"/>
      <c r="P442" s="59"/>
      <c r="Q442" s="59"/>
      <c r="R442" s="60"/>
      <c r="S442" s="60"/>
      <c r="T442" s="60"/>
      <c r="U442" s="60"/>
      <c r="V442" s="60"/>
      <c r="W442" s="60"/>
    </row>
    <row r="443" spans="1:23" ht="13" x14ac:dyDescent="0.3">
      <c r="A443" s="58"/>
      <c r="B443" s="58"/>
      <c r="C443" s="58"/>
      <c r="D443" s="58"/>
      <c r="E443" s="58"/>
      <c r="F443" s="58"/>
      <c r="G443" s="58"/>
      <c r="H443" s="59"/>
      <c r="I443" s="59"/>
      <c r="J443" s="59"/>
      <c r="K443" s="59"/>
      <c r="L443" s="59"/>
      <c r="M443" s="60"/>
      <c r="N443" s="60"/>
      <c r="O443" s="60"/>
      <c r="P443" s="59"/>
      <c r="Q443" s="59"/>
      <c r="R443" s="60"/>
      <c r="S443" s="60"/>
      <c r="T443" s="60"/>
      <c r="U443" s="60"/>
      <c r="V443" s="60"/>
      <c r="W443" s="60"/>
    </row>
    <row r="444" spans="1:23" ht="13" x14ac:dyDescent="0.3">
      <c r="A444" s="58"/>
      <c r="B444" s="58"/>
      <c r="C444" s="58"/>
      <c r="D444" s="58"/>
      <c r="E444" s="58"/>
      <c r="F444" s="58"/>
      <c r="G444" s="58"/>
      <c r="H444" s="59"/>
      <c r="I444" s="59"/>
      <c r="J444" s="59"/>
      <c r="K444" s="59"/>
      <c r="L444" s="59"/>
      <c r="M444" s="60"/>
      <c r="N444" s="60"/>
      <c r="O444" s="60"/>
      <c r="P444" s="59"/>
      <c r="Q444" s="59"/>
      <c r="R444" s="60"/>
      <c r="S444" s="60"/>
      <c r="T444" s="60"/>
      <c r="U444" s="60"/>
      <c r="V444" s="60"/>
      <c r="W444" s="60"/>
    </row>
    <row r="445" spans="1:23" ht="13" x14ac:dyDescent="0.3">
      <c r="A445" s="58"/>
      <c r="B445" s="58"/>
      <c r="C445" s="58"/>
      <c r="D445" s="58"/>
      <c r="E445" s="58"/>
      <c r="F445" s="58"/>
      <c r="G445" s="58"/>
      <c r="H445" s="59"/>
      <c r="I445" s="59"/>
      <c r="J445" s="59"/>
      <c r="K445" s="59"/>
      <c r="L445" s="59"/>
      <c r="M445" s="60"/>
      <c r="N445" s="60"/>
      <c r="O445" s="60"/>
      <c r="P445" s="59"/>
      <c r="Q445" s="59"/>
      <c r="R445" s="60"/>
      <c r="S445" s="60"/>
      <c r="T445" s="60"/>
      <c r="U445" s="60"/>
      <c r="V445" s="60"/>
      <c r="W445" s="60"/>
    </row>
    <row r="446" spans="1:23" ht="13" x14ac:dyDescent="0.3">
      <c r="A446" s="58"/>
      <c r="B446" s="58"/>
      <c r="C446" s="58"/>
      <c r="D446" s="58"/>
      <c r="E446" s="58"/>
      <c r="F446" s="58"/>
      <c r="G446" s="58"/>
      <c r="H446" s="59"/>
      <c r="I446" s="59"/>
      <c r="J446" s="59"/>
      <c r="K446" s="59"/>
      <c r="L446" s="59"/>
      <c r="M446" s="60"/>
      <c r="N446" s="60"/>
      <c r="O446" s="60"/>
      <c r="P446" s="59"/>
      <c r="Q446" s="59"/>
      <c r="R446" s="60"/>
      <c r="S446" s="60"/>
      <c r="T446" s="60"/>
      <c r="U446" s="60"/>
      <c r="V446" s="60"/>
      <c r="W446" s="60"/>
    </row>
    <row r="447" spans="1:23" ht="13" x14ac:dyDescent="0.3">
      <c r="A447" s="58"/>
      <c r="B447" s="58"/>
      <c r="C447" s="58"/>
      <c r="D447" s="58"/>
      <c r="E447" s="58"/>
      <c r="F447" s="58"/>
      <c r="G447" s="58"/>
      <c r="H447" s="59"/>
      <c r="I447" s="59"/>
      <c r="J447" s="59"/>
      <c r="K447" s="59"/>
      <c r="L447" s="59"/>
      <c r="M447" s="60"/>
      <c r="N447" s="60"/>
      <c r="O447" s="60"/>
      <c r="P447" s="59"/>
      <c r="Q447" s="59"/>
      <c r="R447" s="60"/>
      <c r="S447" s="60"/>
      <c r="T447" s="60"/>
      <c r="U447" s="60"/>
      <c r="V447" s="60"/>
      <c r="W447" s="60"/>
    </row>
    <row r="448" spans="1:23" ht="13" x14ac:dyDescent="0.3">
      <c r="A448" s="58"/>
      <c r="B448" s="58"/>
      <c r="C448" s="58"/>
      <c r="D448" s="58"/>
      <c r="E448" s="58"/>
      <c r="F448" s="58"/>
      <c r="G448" s="58"/>
      <c r="H448" s="59"/>
      <c r="I448" s="59"/>
      <c r="J448" s="59"/>
      <c r="K448" s="59"/>
      <c r="L448" s="59"/>
      <c r="M448" s="60"/>
      <c r="N448" s="60"/>
      <c r="O448" s="60"/>
      <c r="P448" s="59"/>
      <c r="Q448" s="59"/>
      <c r="R448" s="60"/>
      <c r="S448" s="60"/>
      <c r="T448" s="60"/>
      <c r="U448" s="60"/>
      <c r="V448" s="60"/>
      <c r="W448" s="60"/>
    </row>
    <row r="449" spans="1:23" ht="13" x14ac:dyDescent="0.3">
      <c r="A449" s="58"/>
      <c r="B449" s="58"/>
      <c r="C449" s="58"/>
      <c r="D449" s="58"/>
      <c r="E449" s="58"/>
      <c r="F449" s="58"/>
      <c r="G449" s="58"/>
      <c r="H449" s="59"/>
      <c r="I449" s="59"/>
      <c r="J449" s="59"/>
      <c r="K449" s="59"/>
      <c r="L449" s="59"/>
      <c r="M449" s="60"/>
      <c r="N449" s="60"/>
      <c r="O449" s="60"/>
      <c r="P449" s="59"/>
      <c r="Q449" s="59"/>
      <c r="R449" s="60"/>
      <c r="S449" s="60"/>
      <c r="T449" s="60"/>
      <c r="U449" s="60"/>
      <c r="V449" s="60"/>
      <c r="W449" s="60"/>
    </row>
    <row r="450" spans="1:23" ht="13" x14ac:dyDescent="0.3">
      <c r="A450" s="58"/>
      <c r="B450" s="58"/>
      <c r="C450" s="58"/>
      <c r="D450" s="58"/>
      <c r="E450" s="58"/>
      <c r="F450" s="58"/>
      <c r="G450" s="58"/>
      <c r="H450" s="59"/>
      <c r="I450" s="59"/>
      <c r="J450" s="59"/>
      <c r="K450" s="59"/>
      <c r="L450" s="59"/>
      <c r="M450" s="60"/>
      <c r="N450" s="60"/>
      <c r="O450" s="60"/>
      <c r="P450" s="59"/>
      <c r="Q450" s="59"/>
      <c r="R450" s="60"/>
      <c r="S450" s="60"/>
      <c r="T450" s="60"/>
      <c r="U450" s="60"/>
      <c r="V450" s="60"/>
      <c r="W450" s="60"/>
    </row>
    <row r="451" spans="1:23" ht="13" x14ac:dyDescent="0.3">
      <c r="A451" s="58"/>
      <c r="B451" s="58"/>
      <c r="C451" s="58"/>
      <c r="D451" s="58"/>
      <c r="E451" s="58"/>
      <c r="F451" s="58"/>
      <c r="G451" s="58"/>
      <c r="H451" s="59"/>
      <c r="I451" s="59"/>
      <c r="J451" s="59"/>
      <c r="K451" s="59"/>
      <c r="L451" s="59"/>
      <c r="M451" s="60"/>
      <c r="N451" s="60"/>
      <c r="O451" s="60"/>
      <c r="P451" s="59"/>
      <c r="Q451" s="59"/>
      <c r="R451" s="60"/>
      <c r="S451" s="60"/>
      <c r="T451" s="60"/>
      <c r="U451" s="60"/>
      <c r="V451" s="60"/>
      <c r="W451" s="60"/>
    </row>
    <row r="452" spans="1:23" ht="13" x14ac:dyDescent="0.3">
      <c r="A452" s="58"/>
      <c r="B452" s="58"/>
      <c r="C452" s="58"/>
      <c r="D452" s="58"/>
      <c r="E452" s="58"/>
      <c r="F452" s="58"/>
      <c r="G452" s="58"/>
      <c r="H452" s="59"/>
      <c r="I452" s="59"/>
      <c r="J452" s="59"/>
      <c r="K452" s="59"/>
      <c r="L452" s="59"/>
      <c r="M452" s="60"/>
      <c r="N452" s="60"/>
      <c r="O452" s="60"/>
      <c r="P452" s="59"/>
      <c r="Q452" s="59"/>
      <c r="R452" s="60"/>
      <c r="S452" s="60"/>
      <c r="T452" s="60"/>
      <c r="U452" s="60"/>
      <c r="V452" s="60"/>
      <c r="W452" s="60"/>
    </row>
    <row r="453" spans="1:23" ht="13" x14ac:dyDescent="0.3">
      <c r="A453" s="58"/>
      <c r="B453" s="58"/>
      <c r="C453" s="58"/>
      <c r="D453" s="58"/>
      <c r="E453" s="58"/>
      <c r="F453" s="58"/>
      <c r="G453" s="58"/>
      <c r="H453" s="59"/>
      <c r="I453" s="59"/>
      <c r="J453" s="59"/>
      <c r="K453" s="59"/>
      <c r="L453" s="59"/>
      <c r="M453" s="60"/>
      <c r="N453" s="60"/>
      <c r="O453" s="60"/>
      <c r="P453" s="59"/>
      <c r="Q453" s="59"/>
      <c r="R453" s="60"/>
      <c r="S453" s="60"/>
      <c r="T453" s="60"/>
      <c r="U453" s="60"/>
      <c r="V453" s="60"/>
      <c r="W453" s="60"/>
    </row>
    <row r="454" spans="1:23" ht="13" x14ac:dyDescent="0.3">
      <c r="A454" s="58"/>
      <c r="B454" s="58"/>
      <c r="C454" s="58"/>
      <c r="D454" s="58"/>
      <c r="E454" s="58"/>
      <c r="F454" s="58"/>
      <c r="G454" s="58"/>
      <c r="H454" s="59"/>
      <c r="I454" s="59"/>
      <c r="J454" s="59"/>
      <c r="K454" s="59"/>
      <c r="L454" s="59"/>
      <c r="M454" s="60"/>
      <c r="N454" s="60"/>
      <c r="O454" s="60"/>
      <c r="P454" s="59"/>
      <c r="Q454" s="59"/>
      <c r="R454" s="60"/>
      <c r="S454" s="60"/>
      <c r="T454" s="60"/>
      <c r="U454" s="60"/>
      <c r="V454" s="60"/>
      <c r="W454" s="60"/>
    </row>
    <row r="455" spans="1:23" ht="13" x14ac:dyDescent="0.3">
      <c r="A455" s="58"/>
      <c r="B455" s="58"/>
      <c r="C455" s="58"/>
      <c r="D455" s="58"/>
      <c r="E455" s="58"/>
      <c r="F455" s="58"/>
      <c r="G455" s="58"/>
      <c r="H455" s="59"/>
      <c r="I455" s="59"/>
      <c r="J455" s="59"/>
      <c r="K455" s="59"/>
      <c r="L455" s="59"/>
      <c r="M455" s="60"/>
      <c r="N455" s="60"/>
      <c r="O455" s="60"/>
      <c r="P455" s="59"/>
      <c r="Q455" s="59"/>
      <c r="R455" s="60"/>
      <c r="S455" s="60"/>
      <c r="T455" s="60"/>
      <c r="U455" s="60"/>
      <c r="V455" s="60"/>
      <c r="W455" s="60"/>
    </row>
    <row r="456" spans="1:23" ht="13" x14ac:dyDescent="0.3">
      <c r="A456" s="58"/>
      <c r="B456" s="58"/>
      <c r="C456" s="58"/>
      <c r="D456" s="58"/>
      <c r="E456" s="58"/>
      <c r="F456" s="58"/>
      <c r="G456" s="58"/>
      <c r="H456" s="59"/>
      <c r="I456" s="59"/>
      <c r="J456" s="59"/>
      <c r="K456" s="59"/>
      <c r="L456" s="59"/>
      <c r="M456" s="60"/>
      <c r="N456" s="60"/>
      <c r="O456" s="60"/>
      <c r="P456" s="59"/>
      <c r="Q456" s="59"/>
      <c r="R456" s="60"/>
      <c r="S456" s="60"/>
      <c r="T456" s="60"/>
      <c r="U456" s="60"/>
      <c r="V456" s="60"/>
      <c r="W456" s="60"/>
    </row>
    <row r="457" spans="1:23" ht="13" x14ac:dyDescent="0.3">
      <c r="A457" s="58"/>
      <c r="B457" s="58"/>
      <c r="C457" s="58"/>
      <c r="D457" s="58"/>
      <c r="E457" s="58"/>
      <c r="F457" s="58"/>
      <c r="G457" s="58"/>
      <c r="H457" s="59"/>
      <c r="I457" s="59"/>
      <c r="J457" s="59"/>
      <c r="K457" s="59"/>
      <c r="L457" s="59"/>
      <c r="M457" s="60"/>
      <c r="N457" s="60"/>
      <c r="O457" s="60"/>
      <c r="P457" s="59"/>
      <c r="Q457" s="59"/>
      <c r="R457" s="60"/>
      <c r="S457" s="60"/>
      <c r="T457" s="60"/>
      <c r="U457" s="60"/>
      <c r="V457" s="60"/>
      <c r="W457" s="60"/>
    </row>
    <row r="458" spans="1:23" ht="13" x14ac:dyDescent="0.3">
      <c r="A458" s="58"/>
      <c r="B458" s="58"/>
      <c r="C458" s="58"/>
      <c r="D458" s="58"/>
      <c r="E458" s="58"/>
      <c r="F458" s="58"/>
      <c r="G458" s="58"/>
      <c r="H458" s="59"/>
      <c r="I458" s="59"/>
      <c r="J458" s="59"/>
      <c r="K458" s="59"/>
      <c r="L458" s="59"/>
      <c r="M458" s="60"/>
      <c r="N458" s="60"/>
      <c r="O458" s="60"/>
      <c r="P458" s="59"/>
      <c r="Q458" s="59"/>
      <c r="R458" s="60"/>
      <c r="S458" s="60"/>
      <c r="T458" s="60"/>
      <c r="U458" s="60"/>
      <c r="V458" s="60"/>
      <c r="W458" s="60"/>
    </row>
    <row r="459" spans="1:23" ht="13" x14ac:dyDescent="0.3">
      <c r="A459" s="58"/>
      <c r="B459" s="58"/>
      <c r="C459" s="58"/>
      <c r="D459" s="58"/>
      <c r="E459" s="58"/>
      <c r="F459" s="58"/>
      <c r="G459" s="58"/>
      <c r="H459" s="59"/>
      <c r="I459" s="59"/>
      <c r="J459" s="59"/>
      <c r="K459" s="59"/>
      <c r="L459" s="59"/>
      <c r="M459" s="60"/>
      <c r="N459" s="60"/>
      <c r="O459" s="60"/>
      <c r="P459" s="59"/>
      <c r="Q459" s="59"/>
      <c r="R459" s="60"/>
      <c r="S459" s="60"/>
      <c r="T459" s="60"/>
      <c r="U459" s="60"/>
      <c r="V459" s="60"/>
      <c r="W459" s="60"/>
    </row>
    <row r="460" spans="1:23" ht="13" x14ac:dyDescent="0.3">
      <c r="A460" s="58"/>
      <c r="B460" s="58"/>
      <c r="C460" s="58"/>
      <c r="D460" s="58"/>
      <c r="E460" s="58"/>
      <c r="F460" s="58"/>
      <c r="G460" s="58"/>
      <c r="H460" s="59"/>
      <c r="I460" s="59"/>
      <c r="J460" s="59"/>
      <c r="K460" s="59"/>
      <c r="L460" s="59"/>
      <c r="M460" s="60"/>
      <c r="N460" s="60"/>
      <c r="O460" s="60"/>
      <c r="P460" s="59"/>
      <c r="Q460" s="59"/>
      <c r="R460" s="60"/>
      <c r="S460" s="60"/>
      <c r="T460" s="60"/>
      <c r="U460" s="60"/>
      <c r="V460" s="60"/>
      <c r="W460" s="60"/>
    </row>
    <row r="461" spans="1:23" ht="13" x14ac:dyDescent="0.3">
      <c r="A461" s="58"/>
      <c r="B461" s="58"/>
      <c r="C461" s="58"/>
      <c r="D461" s="58"/>
      <c r="E461" s="58"/>
      <c r="F461" s="58"/>
      <c r="G461" s="58"/>
      <c r="H461" s="59"/>
      <c r="I461" s="59"/>
      <c r="J461" s="59"/>
      <c r="K461" s="59"/>
      <c r="L461" s="59"/>
      <c r="M461" s="60"/>
      <c r="N461" s="60"/>
      <c r="O461" s="60"/>
      <c r="P461" s="59"/>
      <c r="Q461" s="59"/>
      <c r="R461" s="60"/>
      <c r="S461" s="60"/>
      <c r="T461" s="60"/>
      <c r="U461" s="60"/>
      <c r="V461" s="60"/>
      <c r="W461" s="60"/>
    </row>
    <row r="462" spans="1:23" ht="13" x14ac:dyDescent="0.3">
      <c r="A462" s="58"/>
      <c r="B462" s="58"/>
      <c r="C462" s="58"/>
      <c r="D462" s="58"/>
      <c r="E462" s="58"/>
      <c r="F462" s="58"/>
      <c r="G462" s="58"/>
      <c r="H462" s="59"/>
      <c r="I462" s="59"/>
      <c r="J462" s="59"/>
      <c r="K462" s="59"/>
      <c r="L462" s="59"/>
      <c r="M462" s="60"/>
      <c r="N462" s="60"/>
      <c r="O462" s="60"/>
      <c r="P462" s="59"/>
      <c r="Q462" s="59"/>
      <c r="R462" s="60"/>
      <c r="S462" s="60"/>
      <c r="T462" s="60"/>
      <c r="U462" s="60"/>
      <c r="V462" s="60"/>
      <c r="W462" s="60"/>
    </row>
    <row r="463" spans="1:23" ht="13" x14ac:dyDescent="0.3">
      <c r="A463" s="58"/>
      <c r="B463" s="58"/>
      <c r="C463" s="58"/>
      <c r="D463" s="58"/>
      <c r="E463" s="58"/>
      <c r="F463" s="58"/>
      <c r="G463" s="58"/>
      <c r="H463" s="59"/>
      <c r="I463" s="59"/>
      <c r="J463" s="59"/>
      <c r="K463" s="59"/>
      <c r="L463" s="59"/>
      <c r="M463" s="60"/>
      <c r="N463" s="60"/>
      <c r="O463" s="60"/>
      <c r="P463" s="59"/>
      <c r="Q463" s="59"/>
      <c r="R463" s="60"/>
      <c r="S463" s="60"/>
      <c r="T463" s="60"/>
      <c r="U463" s="60"/>
      <c r="V463" s="60"/>
      <c r="W463" s="60"/>
    </row>
    <row r="464" spans="1:23" ht="13" x14ac:dyDescent="0.3">
      <c r="A464" s="58"/>
      <c r="B464" s="58"/>
      <c r="C464" s="58"/>
      <c r="D464" s="58"/>
      <c r="E464" s="58"/>
      <c r="F464" s="58"/>
      <c r="G464" s="58"/>
      <c r="H464" s="59"/>
      <c r="I464" s="59"/>
      <c r="J464" s="59"/>
      <c r="K464" s="59"/>
      <c r="L464" s="59"/>
      <c r="M464" s="60"/>
      <c r="N464" s="60"/>
      <c r="O464" s="60"/>
      <c r="P464" s="59"/>
      <c r="Q464" s="59"/>
      <c r="R464" s="60"/>
      <c r="S464" s="60"/>
      <c r="T464" s="60"/>
      <c r="U464" s="60"/>
      <c r="V464" s="60"/>
      <c r="W464" s="60"/>
    </row>
    <row r="465" spans="1:23" ht="13" x14ac:dyDescent="0.3">
      <c r="A465" s="58"/>
      <c r="B465" s="58"/>
      <c r="C465" s="58"/>
      <c r="D465" s="58"/>
      <c r="E465" s="58"/>
      <c r="F465" s="58"/>
      <c r="G465" s="58"/>
      <c r="H465" s="59"/>
      <c r="I465" s="59"/>
      <c r="J465" s="59"/>
      <c r="K465" s="59"/>
      <c r="L465" s="59"/>
      <c r="M465" s="60"/>
      <c r="N465" s="60"/>
      <c r="O465" s="60"/>
      <c r="P465" s="59"/>
      <c r="Q465" s="59"/>
      <c r="R465" s="60"/>
      <c r="S465" s="60"/>
      <c r="T465" s="60"/>
      <c r="U465" s="60"/>
      <c r="V465" s="60"/>
      <c r="W465" s="60"/>
    </row>
    <row r="466" spans="1:23" ht="13" x14ac:dyDescent="0.3">
      <c r="A466" s="58"/>
      <c r="B466" s="58"/>
      <c r="C466" s="58"/>
      <c r="D466" s="58"/>
      <c r="E466" s="58"/>
      <c r="F466" s="58"/>
      <c r="G466" s="58"/>
      <c r="H466" s="59"/>
      <c r="I466" s="59"/>
      <c r="J466" s="59"/>
      <c r="K466" s="59"/>
      <c r="L466" s="59"/>
      <c r="M466" s="60"/>
      <c r="N466" s="60"/>
      <c r="O466" s="60"/>
      <c r="P466" s="59"/>
      <c r="Q466" s="59"/>
      <c r="R466" s="60"/>
      <c r="S466" s="60"/>
      <c r="T466" s="60"/>
      <c r="U466" s="60"/>
      <c r="V466" s="60"/>
      <c r="W466" s="60"/>
    </row>
    <row r="467" spans="1:23" ht="13" x14ac:dyDescent="0.3">
      <c r="A467" s="58"/>
      <c r="B467" s="58"/>
      <c r="C467" s="58"/>
      <c r="D467" s="58"/>
      <c r="E467" s="58"/>
      <c r="F467" s="58"/>
      <c r="G467" s="58"/>
      <c r="H467" s="59"/>
      <c r="I467" s="59"/>
      <c r="J467" s="59"/>
      <c r="K467" s="59"/>
      <c r="L467" s="59"/>
      <c r="M467" s="60"/>
      <c r="N467" s="60"/>
      <c r="O467" s="60"/>
      <c r="P467" s="59"/>
      <c r="Q467" s="59"/>
      <c r="R467" s="60"/>
      <c r="S467" s="60"/>
      <c r="T467" s="60"/>
      <c r="U467" s="60"/>
      <c r="V467" s="60"/>
      <c r="W467" s="60"/>
    </row>
    <row r="468" spans="1:23" ht="13" x14ac:dyDescent="0.3">
      <c r="A468" s="58"/>
      <c r="B468" s="58"/>
      <c r="C468" s="58"/>
      <c r="D468" s="58"/>
      <c r="E468" s="58"/>
      <c r="F468" s="58"/>
      <c r="G468" s="58"/>
      <c r="H468" s="59"/>
      <c r="I468" s="59"/>
      <c r="J468" s="59"/>
      <c r="K468" s="59"/>
      <c r="L468" s="59"/>
      <c r="M468" s="60"/>
      <c r="N468" s="60"/>
      <c r="O468" s="60"/>
      <c r="P468" s="59"/>
      <c r="Q468" s="59"/>
      <c r="R468" s="60"/>
      <c r="S468" s="60"/>
      <c r="T468" s="60"/>
      <c r="U468" s="60"/>
      <c r="V468" s="60"/>
      <c r="W468" s="60"/>
    </row>
    <row r="469" spans="1:23" ht="13" x14ac:dyDescent="0.3">
      <c r="A469" s="58"/>
      <c r="B469" s="58"/>
      <c r="C469" s="58"/>
      <c r="D469" s="58"/>
      <c r="E469" s="58"/>
      <c r="F469" s="58"/>
      <c r="G469" s="58"/>
      <c r="H469" s="59"/>
      <c r="I469" s="59"/>
      <c r="J469" s="59"/>
      <c r="K469" s="59"/>
      <c r="L469" s="59"/>
      <c r="M469" s="60"/>
      <c r="N469" s="60"/>
      <c r="O469" s="60"/>
      <c r="P469" s="59"/>
      <c r="Q469" s="59"/>
      <c r="R469" s="60"/>
      <c r="S469" s="60"/>
      <c r="T469" s="60"/>
      <c r="U469" s="60"/>
      <c r="V469" s="60"/>
      <c r="W469" s="60"/>
    </row>
    <row r="470" spans="1:23" ht="13" x14ac:dyDescent="0.3">
      <c r="A470" s="58"/>
      <c r="B470" s="58"/>
      <c r="C470" s="58"/>
      <c r="D470" s="58"/>
      <c r="E470" s="58"/>
      <c r="F470" s="58"/>
      <c r="G470" s="58"/>
      <c r="H470" s="59"/>
      <c r="I470" s="59"/>
      <c r="J470" s="59"/>
      <c r="K470" s="59"/>
      <c r="L470" s="59"/>
      <c r="M470" s="60"/>
      <c r="N470" s="60"/>
      <c r="O470" s="60"/>
      <c r="P470" s="59"/>
      <c r="Q470" s="59"/>
      <c r="R470" s="60"/>
      <c r="S470" s="60"/>
      <c r="T470" s="60"/>
      <c r="U470" s="60"/>
      <c r="V470" s="60"/>
      <c r="W470" s="60"/>
    </row>
    <row r="471" spans="1:23" ht="13" x14ac:dyDescent="0.3">
      <c r="A471" s="58"/>
      <c r="B471" s="58"/>
      <c r="C471" s="58"/>
      <c r="D471" s="58"/>
      <c r="E471" s="58"/>
      <c r="F471" s="58"/>
      <c r="G471" s="58"/>
      <c r="H471" s="59"/>
      <c r="I471" s="59"/>
      <c r="J471" s="59"/>
      <c r="K471" s="59"/>
      <c r="L471" s="59"/>
      <c r="M471" s="60"/>
      <c r="N471" s="60"/>
      <c r="O471" s="60"/>
      <c r="P471" s="59"/>
      <c r="Q471" s="59"/>
      <c r="R471" s="60"/>
      <c r="S471" s="60"/>
      <c r="T471" s="60"/>
      <c r="U471" s="60"/>
      <c r="V471" s="60"/>
      <c r="W471" s="60"/>
    </row>
    <row r="472" spans="1:23" ht="13" x14ac:dyDescent="0.3">
      <c r="A472" s="58"/>
      <c r="B472" s="58"/>
      <c r="C472" s="58"/>
      <c r="D472" s="58"/>
      <c r="E472" s="58"/>
      <c r="F472" s="58"/>
      <c r="G472" s="58"/>
      <c r="H472" s="59"/>
      <c r="I472" s="59"/>
      <c r="J472" s="59"/>
      <c r="K472" s="59"/>
      <c r="L472" s="59"/>
      <c r="M472" s="60"/>
      <c r="N472" s="60"/>
      <c r="O472" s="60"/>
      <c r="P472" s="59"/>
      <c r="Q472" s="59"/>
      <c r="R472" s="60"/>
      <c r="S472" s="60"/>
      <c r="T472" s="60"/>
      <c r="U472" s="60"/>
      <c r="V472" s="60"/>
      <c r="W472" s="60"/>
    </row>
    <row r="473" spans="1:23" ht="13" x14ac:dyDescent="0.3">
      <c r="A473" s="58"/>
      <c r="B473" s="58"/>
      <c r="C473" s="58"/>
      <c r="D473" s="58"/>
      <c r="E473" s="58"/>
      <c r="F473" s="58"/>
      <c r="G473" s="58"/>
      <c r="H473" s="59"/>
      <c r="I473" s="59"/>
      <c r="J473" s="59"/>
      <c r="K473" s="59"/>
      <c r="L473" s="59"/>
      <c r="M473" s="60"/>
      <c r="N473" s="60"/>
      <c r="O473" s="60"/>
      <c r="P473" s="59"/>
      <c r="Q473" s="59"/>
      <c r="R473" s="60"/>
      <c r="S473" s="60"/>
      <c r="T473" s="60"/>
      <c r="U473" s="60"/>
      <c r="V473" s="60"/>
      <c r="W473" s="60"/>
    </row>
    <row r="474" spans="1:23" ht="13" x14ac:dyDescent="0.3">
      <c r="A474" s="58"/>
      <c r="B474" s="58"/>
      <c r="C474" s="58"/>
      <c r="D474" s="58"/>
      <c r="E474" s="58"/>
      <c r="F474" s="58"/>
      <c r="G474" s="58"/>
      <c r="H474" s="59"/>
      <c r="I474" s="59"/>
      <c r="J474" s="59"/>
      <c r="K474" s="59"/>
      <c r="L474" s="59"/>
      <c r="M474" s="60"/>
      <c r="N474" s="60"/>
      <c r="O474" s="60"/>
      <c r="P474" s="59"/>
      <c r="Q474" s="59"/>
      <c r="R474" s="60"/>
      <c r="S474" s="60"/>
      <c r="T474" s="60"/>
      <c r="U474" s="60"/>
      <c r="V474" s="60"/>
      <c r="W474" s="60"/>
    </row>
    <row r="475" spans="1:23" ht="13" x14ac:dyDescent="0.3">
      <c r="A475" s="58"/>
      <c r="B475" s="58"/>
      <c r="C475" s="58"/>
      <c r="D475" s="58"/>
      <c r="E475" s="58"/>
      <c r="F475" s="58"/>
      <c r="G475" s="58"/>
      <c r="H475" s="59"/>
      <c r="I475" s="59"/>
      <c r="J475" s="59"/>
      <c r="K475" s="59"/>
      <c r="L475" s="59"/>
      <c r="M475" s="60"/>
      <c r="N475" s="60"/>
      <c r="O475" s="60"/>
      <c r="P475" s="59"/>
      <c r="Q475" s="59"/>
      <c r="R475" s="60"/>
      <c r="S475" s="60"/>
      <c r="T475" s="60"/>
      <c r="U475" s="60"/>
      <c r="V475" s="60"/>
      <c r="W475" s="60"/>
    </row>
    <row r="476" spans="1:23" ht="13" x14ac:dyDescent="0.3">
      <c r="A476" s="58"/>
      <c r="B476" s="58"/>
      <c r="C476" s="58"/>
      <c r="D476" s="58"/>
      <c r="E476" s="58"/>
      <c r="F476" s="58"/>
      <c r="G476" s="58"/>
      <c r="H476" s="59"/>
      <c r="I476" s="59"/>
      <c r="J476" s="59"/>
      <c r="K476" s="59"/>
      <c r="L476" s="59"/>
      <c r="M476" s="60"/>
      <c r="N476" s="60"/>
      <c r="O476" s="60"/>
      <c r="P476" s="59"/>
      <c r="Q476" s="59"/>
      <c r="R476" s="60"/>
      <c r="S476" s="60"/>
      <c r="T476" s="60"/>
      <c r="U476" s="60"/>
      <c r="V476" s="60"/>
      <c r="W476" s="60"/>
    </row>
    <row r="477" spans="1:23" ht="13" x14ac:dyDescent="0.3">
      <c r="A477" s="58"/>
      <c r="B477" s="58"/>
      <c r="C477" s="58"/>
      <c r="D477" s="58"/>
      <c r="E477" s="58"/>
      <c r="F477" s="58"/>
      <c r="G477" s="58"/>
      <c r="H477" s="59"/>
      <c r="I477" s="59"/>
      <c r="J477" s="59"/>
      <c r="K477" s="59"/>
      <c r="L477" s="59"/>
      <c r="M477" s="60"/>
      <c r="N477" s="60"/>
      <c r="O477" s="60"/>
      <c r="P477" s="59"/>
      <c r="Q477" s="59"/>
      <c r="R477" s="60"/>
      <c r="S477" s="60"/>
      <c r="T477" s="60"/>
      <c r="U477" s="60"/>
      <c r="V477" s="60"/>
      <c r="W477" s="60"/>
    </row>
    <row r="478" spans="1:23" ht="13" x14ac:dyDescent="0.3">
      <c r="A478" s="58"/>
      <c r="B478" s="58"/>
      <c r="C478" s="58"/>
      <c r="D478" s="58"/>
      <c r="E478" s="58"/>
      <c r="F478" s="58"/>
      <c r="G478" s="58"/>
      <c r="H478" s="59"/>
      <c r="I478" s="59"/>
      <c r="J478" s="59"/>
      <c r="K478" s="59"/>
      <c r="L478" s="59"/>
      <c r="M478" s="60"/>
      <c r="N478" s="60"/>
      <c r="O478" s="60"/>
      <c r="P478" s="59"/>
      <c r="Q478" s="59"/>
      <c r="R478" s="60"/>
      <c r="S478" s="60"/>
      <c r="T478" s="60"/>
      <c r="U478" s="60"/>
      <c r="V478" s="60"/>
      <c r="W478" s="60"/>
    </row>
    <row r="479" spans="1:23" ht="13" x14ac:dyDescent="0.3">
      <c r="A479" s="58"/>
      <c r="B479" s="58"/>
      <c r="C479" s="58"/>
      <c r="D479" s="58"/>
      <c r="E479" s="58"/>
      <c r="F479" s="58"/>
      <c r="G479" s="58"/>
      <c r="H479" s="59"/>
      <c r="I479" s="59"/>
      <c r="J479" s="59"/>
      <c r="K479" s="59"/>
      <c r="L479" s="59"/>
      <c r="M479" s="60"/>
      <c r="N479" s="60"/>
      <c r="O479" s="60"/>
      <c r="P479" s="59"/>
      <c r="Q479" s="59"/>
      <c r="R479" s="60"/>
      <c r="S479" s="60"/>
      <c r="T479" s="60"/>
      <c r="U479" s="60"/>
      <c r="V479" s="60"/>
      <c r="W479" s="60"/>
    </row>
    <row r="480" spans="1:23" ht="13" x14ac:dyDescent="0.3">
      <c r="A480" s="58"/>
      <c r="B480" s="58"/>
      <c r="C480" s="58"/>
      <c r="D480" s="58"/>
      <c r="E480" s="58"/>
      <c r="F480" s="58"/>
      <c r="G480" s="58"/>
      <c r="H480" s="59"/>
      <c r="I480" s="59"/>
      <c r="J480" s="59"/>
      <c r="K480" s="59"/>
      <c r="L480" s="59"/>
      <c r="M480" s="60"/>
      <c r="N480" s="60"/>
      <c r="O480" s="60"/>
      <c r="P480" s="59"/>
      <c r="Q480" s="59"/>
      <c r="R480" s="60"/>
      <c r="S480" s="60"/>
      <c r="T480" s="60"/>
      <c r="U480" s="60"/>
      <c r="V480" s="60"/>
      <c r="W480" s="60"/>
    </row>
    <row r="481" spans="1:23" ht="13" x14ac:dyDescent="0.3">
      <c r="A481" s="58"/>
      <c r="B481" s="58"/>
      <c r="C481" s="58"/>
      <c r="D481" s="58"/>
      <c r="E481" s="58"/>
      <c r="F481" s="58"/>
      <c r="G481" s="58"/>
      <c r="H481" s="59"/>
      <c r="I481" s="59"/>
      <c r="J481" s="59"/>
      <c r="K481" s="59"/>
      <c r="L481" s="59"/>
      <c r="M481" s="60"/>
      <c r="N481" s="60"/>
      <c r="O481" s="60"/>
      <c r="P481" s="59"/>
      <c r="Q481" s="59"/>
      <c r="R481" s="60"/>
      <c r="S481" s="60"/>
      <c r="T481" s="60"/>
      <c r="U481" s="60"/>
      <c r="V481" s="60"/>
      <c r="W481" s="60"/>
    </row>
    <row r="482" spans="1:23" ht="13" x14ac:dyDescent="0.3">
      <c r="A482" s="58"/>
      <c r="B482" s="58"/>
      <c r="C482" s="58"/>
      <c r="D482" s="58"/>
      <c r="E482" s="58"/>
      <c r="F482" s="58"/>
      <c r="G482" s="58"/>
      <c r="H482" s="59"/>
      <c r="I482" s="59"/>
      <c r="J482" s="59"/>
      <c r="K482" s="59"/>
      <c r="L482" s="59"/>
      <c r="M482" s="60"/>
      <c r="N482" s="60"/>
      <c r="O482" s="60"/>
      <c r="P482" s="59"/>
      <c r="Q482" s="59"/>
      <c r="R482" s="60"/>
      <c r="S482" s="60"/>
      <c r="T482" s="60"/>
      <c r="U482" s="60"/>
      <c r="V482" s="60"/>
      <c r="W482" s="60"/>
    </row>
    <row r="483" spans="1:23" ht="13" x14ac:dyDescent="0.3">
      <c r="A483" s="58"/>
      <c r="B483" s="58"/>
      <c r="C483" s="58"/>
      <c r="D483" s="58"/>
      <c r="E483" s="58"/>
      <c r="F483" s="58"/>
      <c r="G483" s="58"/>
      <c r="H483" s="59"/>
      <c r="I483" s="59"/>
      <c r="J483" s="59"/>
      <c r="K483" s="59"/>
      <c r="L483" s="59"/>
      <c r="M483" s="60"/>
      <c r="N483" s="60"/>
      <c r="O483" s="60"/>
      <c r="P483" s="59"/>
      <c r="Q483" s="59"/>
      <c r="R483" s="60"/>
      <c r="S483" s="60"/>
      <c r="T483" s="60"/>
      <c r="U483" s="60"/>
      <c r="V483" s="60"/>
      <c r="W483" s="60"/>
    </row>
    <row r="484" spans="1:23" ht="13" x14ac:dyDescent="0.3">
      <c r="A484" s="58"/>
      <c r="B484" s="58"/>
      <c r="C484" s="58"/>
      <c r="D484" s="58"/>
      <c r="E484" s="58"/>
      <c r="F484" s="58"/>
      <c r="G484" s="58"/>
      <c r="H484" s="59"/>
      <c r="I484" s="59"/>
      <c r="J484" s="59"/>
      <c r="K484" s="59"/>
      <c r="L484" s="59"/>
      <c r="M484" s="60"/>
      <c r="N484" s="60"/>
      <c r="O484" s="60"/>
      <c r="P484" s="59"/>
      <c r="Q484" s="59"/>
      <c r="R484" s="60"/>
      <c r="S484" s="60"/>
      <c r="T484" s="60"/>
      <c r="U484" s="60"/>
      <c r="V484" s="60"/>
      <c r="W484" s="60"/>
    </row>
    <row r="485" spans="1:23" ht="13" x14ac:dyDescent="0.3">
      <c r="A485" s="58"/>
      <c r="B485" s="58"/>
      <c r="C485" s="58"/>
      <c r="D485" s="58"/>
      <c r="E485" s="58"/>
      <c r="F485" s="58"/>
      <c r="G485" s="58"/>
      <c r="H485" s="59"/>
      <c r="I485" s="59"/>
      <c r="J485" s="59"/>
      <c r="K485" s="59"/>
      <c r="L485" s="59"/>
      <c r="M485" s="60"/>
      <c r="N485" s="60"/>
      <c r="O485" s="60"/>
      <c r="P485" s="59"/>
      <c r="Q485" s="59"/>
      <c r="R485" s="60"/>
      <c r="S485" s="60"/>
      <c r="T485" s="60"/>
      <c r="U485" s="60"/>
      <c r="V485" s="60"/>
      <c r="W485" s="60"/>
    </row>
    <row r="486" spans="1:23" ht="13" x14ac:dyDescent="0.3">
      <c r="A486" s="58"/>
      <c r="B486" s="58"/>
      <c r="C486" s="58"/>
      <c r="D486" s="58"/>
      <c r="E486" s="58"/>
      <c r="F486" s="58"/>
      <c r="G486" s="58"/>
      <c r="H486" s="59"/>
      <c r="I486" s="59"/>
      <c r="J486" s="59"/>
      <c r="K486" s="59"/>
      <c r="L486" s="59"/>
      <c r="M486" s="60"/>
      <c r="N486" s="60"/>
      <c r="O486" s="60"/>
      <c r="P486" s="59"/>
      <c r="Q486" s="59"/>
      <c r="R486" s="60"/>
      <c r="S486" s="60"/>
      <c r="T486" s="60"/>
      <c r="U486" s="60"/>
      <c r="V486" s="60"/>
      <c r="W486" s="60"/>
    </row>
    <row r="487" spans="1:23" ht="13" x14ac:dyDescent="0.3">
      <c r="A487" s="58"/>
      <c r="B487" s="58"/>
      <c r="C487" s="58"/>
      <c r="D487" s="58"/>
      <c r="E487" s="58"/>
      <c r="F487" s="58"/>
      <c r="G487" s="58"/>
      <c r="H487" s="59"/>
      <c r="I487" s="59"/>
      <c r="J487" s="59"/>
      <c r="K487" s="59"/>
      <c r="L487" s="59"/>
      <c r="M487" s="60"/>
      <c r="N487" s="60"/>
      <c r="O487" s="60"/>
      <c r="P487" s="59"/>
      <c r="Q487" s="59"/>
      <c r="R487" s="60"/>
      <c r="S487" s="60"/>
      <c r="T487" s="60"/>
      <c r="U487" s="60"/>
      <c r="V487" s="60"/>
      <c r="W487" s="60"/>
    </row>
    <row r="488" spans="1:23" ht="13" x14ac:dyDescent="0.3">
      <c r="A488" s="58"/>
      <c r="B488" s="58"/>
      <c r="C488" s="58"/>
      <c r="D488" s="58"/>
      <c r="E488" s="58"/>
      <c r="F488" s="58"/>
      <c r="G488" s="58"/>
      <c r="H488" s="59"/>
      <c r="I488" s="59"/>
      <c r="J488" s="59"/>
      <c r="K488" s="59"/>
      <c r="L488" s="59"/>
      <c r="M488" s="60"/>
      <c r="N488" s="60"/>
      <c r="O488" s="60"/>
      <c r="P488" s="59"/>
      <c r="Q488" s="59"/>
      <c r="R488" s="60"/>
      <c r="S488" s="60"/>
      <c r="T488" s="60"/>
      <c r="U488" s="60"/>
      <c r="V488" s="60"/>
      <c r="W488" s="60"/>
    </row>
    <row r="489" spans="1:23" ht="13" x14ac:dyDescent="0.3">
      <c r="A489" s="58"/>
      <c r="B489" s="58"/>
      <c r="C489" s="58"/>
      <c r="D489" s="58"/>
      <c r="E489" s="58"/>
      <c r="F489" s="58"/>
      <c r="G489" s="58"/>
      <c r="H489" s="59"/>
      <c r="I489" s="59"/>
      <c r="J489" s="59"/>
      <c r="K489" s="59"/>
      <c r="L489" s="59"/>
      <c r="M489" s="60"/>
      <c r="N489" s="60"/>
      <c r="O489" s="60"/>
      <c r="P489" s="59"/>
      <c r="Q489" s="59"/>
      <c r="R489" s="60"/>
      <c r="S489" s="60"/>
      <c r="T489" s="60"/>
      <c r="U489" s="60"/>
      <c r="V489" s="60"/>
      <c r="W489" s="60"/>
    </row>
    <row r="490" spans="1:23" ht="13" x14ac:dyDescent="0.3">
      <c r="A490" s="58"/>
      <c r="B490" s="58"/>
      <c r="C490" s="58"/>
      <c r="D490" s="58"/>
      <c r="E490" s="58"/>
      <c r="F490" s="58"/>
      <c r="G490" s="58"/>
      <c r="H490" s="59"/>
      <c r="I490" s="59"/>
      <c r="J490" s="59"/>
      <c r="K490" s="59"/>
      <c r="L490" s="59"/>
      <c r="M490" s="60"/>
      <c r="N490" s="60"/>
      <c r="O490" s="60"/>
      <c r="P490" s="59"/>
      <c r="Q490" s="59"/>
      <c r="R490" s="60"/>
      <c r="S490" s="60"/>
      <c r="T490" s="60"/>
      <c r="U490" s="60"/>
      <c r="V490" s="60"/>
      <c r="W490" s="60"/>
    </row>
    <row r="491" spans="1:23" ht="13" x14ac:dyDescent="0.3">
      <c r="A491" s="58"/>
      <c r="B491" s="58"/>
      <c r="C491" s="58"/>
      <c r="D491" s="58"/>
      <c r="E491" s="58"/>
      <c r="F491" s="58"/>
      <c r="G491" s="58"/>
      <c r="H491" s="59"/>
      <c r="I491" s="59"/>
      <c r="J491" s="59"/>
      <c r="K491" s="59"/>
      <c r="L491" s="59"/>
      <c r="M491" s="60"/>
      <c r="N491" s="60"/>
      <c r="O491" s="60"/>
      <c r="P491" s="59"/>
      <c r="Q491" s="59"/>
      <c r="R491" s="60"/>
      <c r="S491" s="60"/>
      <c r="T491" s="60"/>
      <c r="U491" s="60"/>
      <c r="V491" s="60"/>
      <c r="W491" s="60"/>
    </row>
    <row r="492" spans="1:23" ht="13" x14ac:dyDescent="0.3">
      <c r="A492" s="58"/>
      <c r="B492" s="58"/>
      <c r="C492" s="58"/>
      <c r="D492" s="58"/>
      <c r="E492" s="58"/>
      <c r="F492" s="58"/>
      <c r="G492" s="58"/>
      <c r="H492" s="59"/>
      <c r="I492" s="59"/>
      <c r="J492" s="59"/>
      <c r="K492" s="59"/>
      <c r="L492" s="59"/>
      <c r="M492" s="60"/>
      <c r="N492" s="60"/>
      <c r="O492" s="60"/>
      <c r="P492" s="59"/>
      <c r="Q492" s="59"/>
      <c r="R492" s="60"/>
      <c r="S492" s="60"/>
      <c r="T492" s="60"/>
      <c r="U492" s="60"/>
      <c r="V492" s="60"/>
      <c r="W492" s="60"/>
    </row>
    <row r="493" spans="1:23" ht="13" x14ac:dyDescent="0.3">
      <c r="A493" s="58"/>
      <c r="B493" s="58"/>
      <c r="C493" s="58"/>
      <c r="D493" s="58"/>
      <c r="E493" s="58"/>
      <c r="F493" s="58"/>
      <c r="G493" s="58"/>
      <c r="H493" s="59"/>
      <c r="I493" s="59"/>
      <c r="J493" s="59"/>
      <c r="K493" s="59"/>
      <c r="L493" s="59"/>
      <c r="M493" s="60"/>
      <c r="N493" s="60"/>
      <c r="O493" s="60"/>
      <c r="P493" s="59"/>
      <c r="Q493" s="59"/>
      <c r="R493" s="60"/>
      <c r="S493" s="60"/>
      <c r="T493" s="60"/>
      <c r="U493" s="60"/>
      <c r="V493" s="60"/>
      <c r="W493" s="60"/>
    </row>
    <row r="494" spans="1:23" ht="13" x14ac:dyDescent="0.3">
      <c r="A494" s="58"/>
      <c r="B494" s="58"/>
      <c r="C494" s="58"/>
      <c r="D494" s="58"/>
      <c r="E494" s="58"/>
      <c r="F494" s="58"/>
      <c r="G494" s="58"/>
      <c r="H494" s="59"/>
      <c r="I494" s="59"/>
      <c r="J494" s="59"/>
      <c r="K494" s="59"/>
      <c r="L494" s="59"/>
      <c r="M494" s="60"/>
      <c r="N494" s="60"/>
      <c r="O494" s="60"/>
      <c r="P494" s="59"/>
      <c r="Q494" s="59"/>
      <c r="R494" s="60"/>
      <c r="S494" s="60"/>
      <c r="T494" s="60"/>
      <c r="U494" s="60"/>
      <c r="V494" s="60"/>
      <c r="W494" s="60"/>
    </row>
    <row r="495" spans="1:23" ht="13" x14ac:dyDescent="0.3">
      <c r="A495" s="58"/>
      <c r="B495" s="58"/>
      <c r="C495" s="58"/>
      <c r="D495" s="58"/>
      <c r="E495" s="58"/>
      <c r="F495" s="58"/>
      <c r="G495" s="58"/>
      <c r="H495" s="59"/>
      <c r="I495" s="59"/>
      <c r="J495" s="59"/>
      <c r="K495" s="59"/>
      <c r="L495" s="59"/>
      <c r="M495" s="60"/>
      <c r="N495" s="60"/>
      <c r="O495" s="60"/>
      <c r="P495" s="59"/>
      <c r="Q495" s="59"/>
      <c r="R495" s="60"/>
      <c r="S495" s="60"/>
      <c r="T495" s="60"/>
      <c r="U495" s="60"/>
      <c r="V495" s="60"/>
      <c r="W495" s="60"/>
    </row>
    <row r="496" spans="1:23" ht="13" x14ac:dyDescent="0.3">
      <c r="A496" s="58"/>
      <c r="B496" s="58"/>
      <c r="C496" s="58"/>
      <c r="D496" s="58"/>
      <c r="E496" s="58"/>
      <c r="F496" s="58"/>
      <c r="G496" s="58"/>
      <c r="H496" s="59"/>
      <c r="I496" s="59"/>
      <c r="J496" s="59"/>
      <c r="K496" s="59"/>
      <c r="L496" s="59"/>
      <c r="M496" s="60"/>
      <c r="N496" s="60"/>
      <c r="O496" s="60"/>
      <c r="P496" s="59"/>
      <c r="Q496" s="59"/>
      <c r="R496" s="60"/>
      <c r="S496" s="60"/>
      <c r="T496" s="60"/>
      <c r="U496" s="60"/>
      <c r="V496" s="60"/>
      <c r="W496" s="60"/>
    </row>
    <row r="497" spans="1:23" ht="13" x14ac:dyDescent="0.3">
      <c r="A497" s="58"/>
      <c r="B497" s="58"/>
      <c r="C497" s="58"/>
      <c r="D497" s="58"/>
      <c r="E497" s="58"/>
      <c r="F497" s="58"/>
      <c r="G497" s="58"/>
      <c r="H497" s="59"/>
      <c r="I497" s="59"/>
      <c r="J497" s="59"/>
      <c r="K497" s="59"/>
      <c r="L497" s="59"/>
      <c r="M497" s="60"/>
      <c r="N497" s="60"/>
      <c r="O497" s="60"/>
      <c r="P497" s="59"/>
      <c r="Q497" s="59"/>
      <c r="R497" s="60"/>
      <c r="S497" s="60"/>
      <c r="T497" s="60"/>
      <c r="U497" s="60"/>
      <c r="V497" s="60"/>
      <c r="W497" s="60"/>
    </row>
    <row r="498" spans="1:23" ht="13" x14ac:dyDescent="0.3">
      <c r="A498" s="58"/>
      <c r="B498" s="58"/>
      <c r="C498" s="58"/>
      <c r="D498" s="58"/>
      <c r="E498" s="58"/>
      <c r="F498" s="58"/>
      <c r="G498" s="58"/>
      <c r="H498" s="59"/>
      <c r="I498" s="59"/>
      <c r="J498" s="59"/>
      <c r="K498" s="59"/>
      <c r="L498" s="59"/>
      <c r="M498" s="60"/>
      <c r="N498" s="60"/>
      <c r="O498" s="60"/>
      <c r="P498" s="59"/>
      <c r="Q498" s="59"/>
      <c r="R498" s="60"/>
      <c r="S498" s="60"/>
      <c r="T498" s="60"/>
      <c r="U498" s="60"/>
      <c r="V498" s="60"/>
      <c r="W498" s="60"/>
    </row>
    <row r="499" spans="1:23" ht="13" x14ac:dyDescent="0.3">
      <c r="A499" s="58"/>
      <c r="B499" s="58"/>
      <c r="C499" s="58"/>
      <c r="D499" s="58"/>
      <c r="E499" s="58"/>
      <c r="F499" s="58"/>
      <c r="G499" s="58"/>
      <c r="H499" s="59"/>
      <c r="I499" s="59"/>
      <c r="J499" s="59"/>
      <c r="K499" s="59"/>
      <c r="L499" s="59"/>
      <c r="M499" s="60"/>
      <c r="N499" s="60"/>
      <c r="O499" s="60"/>
      <c r="P499" s="59"/>
      <c r="Q499" s="59"/>
      <c r="R499" s="60"/>
      <c r="S499" s="60"/>
      <c r="T499" s="60"/>
      <c r="U499" s="60"/>
      <c r="V499" s="60"/>
      <c r="W499" s="60"/>
    </row>
    <row r="500" spans="1:23" ht="13" x14ac:dyDescent="0.3">
      <c r="A500" s="58"/>
      <c r="B500" s="58"/>
      <c r="C500" s="58"/>
      <c r="D500" s="58"/>
      <c r="E500" s="58"/>
      <c r="F500" s="58"/>
      <c r="G500" s="58"/>
      <c r="H500" s="59"/>
      <c r="I500" s="59"/>
      <c r="J500" s="59"/>
      <c r="K500" s="59"/>
      <c r="L500" s="59"/>
      <c r="M500" s="60"/>
      <c r="N500" s="60"/>
      <c r="O500" s="60"/>
      <c r="P500" s="59"/>
      <c r="Q500" s="59"/>
      <c r="R500" s="60"/>
      <c r="S500" s="60"/>
      <c r="T500" s="60"/>
      <c r="U500" s="60"/>
      <c r="V500" s="60"/>
      <c r="W500" s="60"/>
    </row>
    <row r="501" spans="1:23" ht="13" x14ac:dyDescent="0.3">
      <c r="A501" s="58"/>
      <c r="B501" s="58"/>
      <c r="C501" s="58"/>
      <c r="D501" s="58"/>
      <c r="E501" s="58"/>
      <c r="F501" s="58"/>
      <c r="G501" s="58"/>
      <c r="H501" s="59"/>
      <c r="I501" s="59"/>
      <c r="J501" s="59"/>
      <c r="K501" s="59"/>
      <c r="L501" s="59"/>
      <c r="M501" s="60"/>
      <c r="N501" s="60"/>
      <c r="O501" s="60"/>
      <c r="P501" s="59"/>
      <c r="Q501" s="59"/>
      <c r="R501" s="60"/>
      <c r="S501" s="60"/>
      <c r="T501" s="60"/>
      <c r="U501" s="60"/>
      <c r="V501" s="60"/>
      <c r="W501" s="60"/>
    </row>
    <row r="502" spans="1:23" ht="13" x14ac:dyDescent="0.3">
      <c r="A502" s="58"/>
      <c r="B502" s="58"/>
      <c r="C502" s="58"/>
      <c r="D502" s="58"/>
      <c r="E502" s="58"/>
      <c r="F502" s="58"/>
      <c r="G502" s="58"/>
      <c r="H502" s="59"/>
      <c r="I502" s="59"/>
      <c r="J502" s="59"/>
      <c r="K502" s="59"/>
      <c r="L502" s="59"/>
      <c r="M502" s="60"/>
      <c r="N502" s="60"/>
      <c r="O502" s="60"/>
      <c r="P502" s="59"/>
      <c r="Q502" s="59"/>
      <c r="R502" s="60"/>
      <c r="S502" s="60"/>
      <c r="T502" s="60"/>
      <c r="U502" s="60"/>
      <c r="V502" s="60"/>
      <c r="W502" s="60"/>
    </row>
    <row r="503" spans="1:23" ht="13" x14ac:dyDescent="0.3">
      <c r="A503" s="58"/>
      <c r="B503" s="58"/>
      <c r="C503" s="58"/>
      <c r="D503" s="58"/>
      <c r="E503" s="58"/>
      <c r="F503" s="58"/>
      <c r="G503" s="58"/>
      <c r="H503" s="59"/>
      <c r="I503" s="59"/>
      <c r="J503" s="59"/>
      <c r="K503" s="59"/>
      <c r="L503" s="59"/>
      <c r="M503" s="60"/>
      <c r="N503" s="60"/>
      <c r="O503" s="60"/>
      <c r="P503" s="59"/>
      <c r="Q503" s="59"/>
      <c r="R503" s="60"/>
      <c r="S503" s="60"/>
      <c r="T503" s="60"/>
      <c r="U503" s="60"/>
      <c r="V503" s="60"/>
      <c r="W503" s="60"/>
    </row>
    <row r="504" spans="1:23" ht="13" x14ac:dyDescent="0.3">
      <c r="A504" s="58"/>
      <c r="B504" s="58"/>
      <c r="C504" s="58"/>
      <c r="D504" s="58"/>
      <c r="E504" s="58"/>
      <c r="F504" s="58"/>
      <c r="G504" s="58"/>
      <c r="H504" s="59"/>
      <c r="I504" s="59"/>
      <c r="J504" s="59"/>
      <c r="K504" s="59"/>
      <c r="L504" s="59"/>
      <c r="M504" s="60"/>
      <c r="N504" s="60"/>
      <c r="O504" s="60"/>
      <c r="P504" s="59"/>
      <c r="Q504" s="59"/>
      <c r="R504" s="60"/>
      <c r="S504" s="60"/>
      <c r="T504" s="60"/>
      <c r="U504" s="60"/>
      <c r="V504" s="60"/>
      <c r="W504" s="60"/>
    </row>
    <row r="505" spans="1:23" ht="13" x14ac:dyDescent="0.3">
      <c r="A505" s="58"/>
      <c r="B505" s="58"/>
      <c r="C505" s="58"/>
      <c r="D505" s="58"/>
      <c r="E505" s="58"/>
      <c r="F505" s="58"/>
      <c r="G505" s="58"/>
      <c r="H505" s="59"/>
      <c r="I505" s="59"/>
      <c r="J505" s="59"/>
      <c r="K505" s="59"/>
      <c r="L505" s="59"/>
      <c r="M505" s="60"/>
      <c r="N505" s="60"/>
      <c r="O505" s="60"/>
      <c r="P505" s="59"/>
      <c r="Q505" s="59"/>
      <c r="R505" s="60"/>
      <c r="S505" s="60"/>
      <c r="T505" s="60"/>
      <c r="U505" s="60"/>
      <c r="V505" s="60"/>
      <c r="W505" s="60"/>
    </row>
    <row r="506" spans="1:23" ht="13" x14ac:dyDescent="0.3">
      <c r="A506" s="58"/>
      <c r="B506" s="58"/>
      <c r="C506" s="58"/>
      <c r="D506" s="58"/>
      <c r="E506" s="58"/>
      <c r="F506" s="58"/>
      <c r="G506" s="58"/>
      <c r="H506" s="59"/>
      <c r="I506" s="59"/>
      <c r="J506" s="59"/>
      <c r="K506" s="59"/>
      <c r="L506" s="59"/>
      <c r="M506" s="60"/>
      <c r="N506" s="60"/>
      <c r="O506" s="60"/>
      <c r="P506" s="59"/>
      <c r="Q506" s="59"/>
      <c r="R506" s="60"/>
      <c r="S506" s="60"/>
      <c r="T506" s="60"/>
      <c r="U506" s="60"/>
      <c r="V506" s="60"/>
      <c r="W506" s="60"/>
    </row>
    <row r="507" spans="1:23" ht="13" x14ac:dyDescent="0.3">
      <c r="A507" s="58"/>
      <c r="B507" s="58"/>
      <c r="C507" s="58"/>
      <c r="D507" s="58"/>
      <c r="E507" s="58"/>
      <c r="F507" s="58"/>
      <c r="G507" s="58"/>
      <c r="H507" s="59"/>
      <c r="I507" s="59"/>
      <c r="J507" s="59"/>
      <c r="K507" s="59"/>
      <c r="L507" s="59"/>
      <c r="M507" s="60"/>
      <c r="N507" s="60"/>
      <c r="O507" s="60"/>
      <c r="P507" s="59"/>
      <c r="Q507" s="59"/>
      <c r="R507" s="60"/>
      <c r="S507" s="60"/>
      <c r="T507" s="60"/>
      <c r="U507" s="60"/>
      <c r="V507" s="60"/>
      <c r="W507" s="60"/>
    </row>
    <row r="508" spans="1:23" ht="13" x14ac:dyDescent="0.3">
      <c r="A508" s="58"/>
      <c r="B508" s="58"/>
      <c r="C508" s="58"/>
      <c r="D508" s="58"/>
      <c r="E508" s="58"/>
      <c r="F508" s="58"/>
      <c r="G508" s="58"/>
      <c r="H508" s="59"/>
      <c r="I508" s="59"/>
      <c r="J508" s="59"/>
      <c r="K508" s="59"/>
      <c r="L508" s="59"/>
      <c r="M508" s="60"/>
      <c r="N508" s="60"/>
      <c r="O508" s="60"/>
      <c r="P508" s="59"/>
      <c r="Q508" s="59"/>
      <c r="R508" s="60"/>
      <c r="S508" s="60"/>
      <c r="T508" s="60"/>
      <c r="U508" s="60"/>
      <c r="V508" s="60"/>
      <c r="W508" s="60"/>
    </row>
    <row r="509" spans="1:23" ht="13" x14ac:dyDescent="0.3">
      <c r="A509" s="58"/>
      <c r="B509" s="58"/>
      <c r="C509" s="58"/>
      <c r="D509" s="58"/>
      <c r="E509" s="58"/>
      <c r="F509" s="58"/>
      <c r="G509" s="58"/>
      <c r="H509" s="59"/>
      <c r="I509" s="59"/>
      <c r="J509" s="59"/>
      <c r="K509" s="59"/>
      <c r="L509" s="59"/>
      <c r="M509" s="60"/>
      <c r="N509" s="60"/>
      <c r="O509" s="60"/>
      <c r="P509" s="59"/>
      <c r="Q509" s="59"/>
      <c r="R509" s="60"/>
      <c r="S509" s="60"/>
      <c r="T509" s="60"/>
      <c r="U509" s="60"/>
      <c r="V509" s="60"/>
      <c r="W509" s="60"/>
    </row>
    <row r="510" spans="1:23" ht="13" x14ac:dyDescent="0.3">
      <c r="A510" s="58"/>
      <c r="B510" s="58"/>
      <c r="C510" s="58"/>
      <c r="D510" s="58"/>
      <c r="E510" s="58"/>
      <c r="F510" s="58"/>
      <c r="G510" s="58"/>
      <c r="H510" s="59"/>
      <c r="I510" s="59"/>
      <c r="J510" s="59"/>
      <c r="K510" s="59"/>
      <c r="L510" s="59"/>
      <c r="M510" s="60"/>
      <c r="N510" s="60"/>
      <c r="O510" s="60"/>
      <c r="P510" s="59"/>
      <c r="Q510" s="59"/>
      <c r="R510" s="60"/>
      <c r="S510" s="60"/>
      <c r="T510" s="60"/>
      <c r="U510" s="60"/>
      <c r="V510" s="60"/>
      <c r="W510" s="60"/>
    </row>
    <row r="511" spans="1:23" ht="13" x14ac:dyDescent="0.3">
      <c r="A511" s="58"/>
      <c r="B511" s="58"/>
      <c r="C511" s="58"/>
      <c r="D511" s="58"/>
      <c r="E511" s="58"/>
      <c r="F511" s="58"/>
      <c r="G511" s="58"/>
      <c r="H511" s="59"/>
      <c r="I511" s="59"/>
      <c r="J511" s="59"/>
      <c r="K511" s="59"/>
      <c r="L511" s="59"/>
      <c r="M511" s="60"/>
      <c r="N511" s="60"/>
      <c r="O511" s="60"/>
      <c r="P511" s="59"/>
      <c r="Q511" s="59"/>
      <c r="R511" s="60"/>
      <c r="S511" s="60"/>
      <c r="T511" s="60"/>
      <c r="U511" s="60"/>
      <c r="V511" s="60"/>
      <c r="W511" s="60"/>
    </row>
    <row r="512" spans="1:23" ht="13" x14ac:dyDescent="0.3">
      <c r="A512" s="58"/>
      <c r="B512" s="58"/>
      <c r="C512" s="58"/>
      <c r="D512" s="58"/>
      <c r="E512" s="58"/>
      <c r="F512" s="58"/>
      <c r="G512" s="58"/>
      <c r="H512" s="59"/>
      <c r="I512" s="59"/>
      <c r="J512" s="59"/>
      <c r="K512" s="59"/>
      <c r="L512" s="59"/>
      <c r="M512" s="60"/>
      <c r="N512" s="60"/>
      <c r="O512" s="60"/>
      <c r="P512" s="59"/>
      <c r="Q512" s="59"/>
      <c r="R512" s="60"/>
      <c r="S512" s="60"/>
      <c r="T512" s="60"/>
      <c r="U512" s="60"/>
      <c r="V512" s="60"/>
      <c r="W512" s="60"/>
    </row>
    <row r="513" spans="1:23" ht="13" x14ac:dyDescent="0.3">
      <c r="A513" s="58"/>
      <c r="B513" s="58"/>
      <c r="C513" s="58"/>
      <c r="D513" s="58"/>
      <c r="E513" s="58"/>
      <c r="F513" s="58"/>
      <c r="G513" s="58"/>
      <c r="H513" s="59"/>
      <c r="I513" s="59"/>
      <c r="J513" s="59"/>
      <c r="K513" s="59"/>
      <c r="L513" s="59"/>
      <c r="M513" s="60"/>
      <c r="N513" s="60"/>
      <c r="O513" s="60"/>
      <c r="P513" s="59"/>
      <c r="Q513" s="59"/>
      <c r="R513" s="60"/>
      <c r="S513" s="60"/>
      <c r="T513" s="60"/>
      <c r="U513" s="60"/>
      <c r="V513" s="60"/>
      <c r="W513" s="60"/>
    </row>
    <row r="514" spans="1:23" ht="13" x14ac:dyDescent="0.3">
      <c r="A514" s="58"/>
      <c r="B514" s="58"/>
      <c r="C514" s="58"/>
      <c r="D514" s="58"/>
      <c r="E514" s="58"/>
      <c r="F514" s="58"/>
      <c r="G514" s="58"/>
      <c r="H514" s="59"/>
      <c r="I514" s="59"/>
      <c r="J514" s="59"/>
      <c r="K514" s="59"/>
      <c r="L514" s="59"/>
      <c r="M514" s="60"/>
      <c r="N514" s="60"/>
      <c r="O514" s="60"/>
      <c r="P514" s="59"/>
      <c r="Q514" s="59"/>
      <c r="R514" s="60"/>
      <c r="S514" s="60"/>
      <c r="T514" s="60"/>
      <c r="U514" s="60"/>
      <c r="V514" s="60"/>
      <c r="W514" s="60"/>
    </row>
    <row r="515" spans="1:23" ht="13" x14ac:dyDescent="0.3">
      <c r="A515" s="58"/>
      <c r="B515" s="58"/>
      <c r="C515" s="58"/>
      <c r="D515" s="58"/>
      <c r="E515" s="58"/>
      <c r="F515" s="58"/>
      <c r="G515" s="58"/>
      <c r="H515" s="59"/>
      <c r="I515" s="59"/>
      <c r="J515" s="59"/>
      <c r="K515" s="59"/>
      <c r="L515" s="59"/>
      <c r="M515" s="60"/>
      <c r="N515" s="60"/>
      <c r="O515" s="60"/>
      <c r="P515" s="59"/>
      <c r="Q515" s="59"/>
      <c r="R515" s="60"/>
      <c r="S515" s="60"/>
      <c r="T515" s="60"/>
      <c r="U515" s="60"/>
      <c r="V515" s="60"/>
      <c r="W515" s="60"/>
    </row>
    <row r="516" spans="1:23" ht="13" x14ac:dyDescent="0.3">
      <c r="A516" s="58"/>
      <c r="B516" s="58"/>
      <c r="C516" s="58"/>
      <c r="D516" s="58"/>
      <c r="E516" s="58"/>
      <c r="F516" s="58"/>
      <c r="G516" s="58"/>
      <c r="H516" s="59"/>
      <c r="I516" s="59"/>
      <c r="J516" s="59"/>
      <c r="K516" s="59"/>
      <c r="L516" s="59"/>
      <c r="M516" s="60"/>
      <c r="N516" s="60"/>
      <c r="O516" s="60"/>
      <c r="P516" s="59"/>
      <c r="Q516" s="59"/>
      <c r="R516" s="60"/>
      <c r="S516" s="60"/>
      <c r="T516" s="60"/>
      <c r="U516" s="60"/>
      <c r="V516" s="60"/>
      <c r="W516" s="60"/>
    </row>
    <row r="517" spans="1:23" ht="13" x14ac:dyDescent="0.3">
      <c r="A517" s="58"/>
      <c r="B517" s="58"/>
      <c r="C517" s="58"/>
      <c r="D517" s="58"/>
      <c r="E517" s="58"/>
      <c r="F517" s="58"/>
      <c r="G517" s="58"/>
      <c r="H517" s="59"/>
      <c r="I517" s="59"/>
      <c r="J517" s="59"/>
      <c r="K517" s="59"/>
      <c r="L517" s="59"/>
      <c r="M517" s="60"/>
      <c r="N517" s="60"/>
      <c r="O517" s="60"/>
      <c r="P517" s="59"/>
      <c r="Q517" s="59"/>
      <c r="R517" s="60"/>
      <c r="S517" s="60"/>
      <c r="T517" s="60"/>
      <c r="U517" s="60"/>
      <c r="V517" s="60"/>
      <c r="W517" s="60"/>
    </row>
    <row r="518" spans="1:23" ht="13" x14ac:dyDescent="0.3">
      <c r="A518" s="58"/>
      <c r="B518" s="58"/>
      <c r="C518" s="58"/>
      <c r="D518" s="58"/>
      <c r="E518" s="58"/>
      <c r="F518" s="58"/>
      <c r="G518" s="58"/>
      <c r="H518" s="59"/>
      <c r="I518" s="59"/>
      <c r="J518" s="59"/>
      <c r="K518" s="59"/>
      <c r="L518" s="59"/>
      <c r="M518" s="60"/>
      <c r="N518" s="60"/>
      <c r="O518" s="60"/>
      <c r="P518" s="59"/>
      <c r="Q518" s="59"/>
      <c r="R518" s="60"/>
      <c r="S518" s="60"/>
      <c r="T518" s="60"/>
      <c r="U518" s="60"/>
      <c r="V518" s="60"/>
      <c r="W518" s="60"/>
    </row>
    <row r="519" spans="1:23" ht="13" x14ac:dyDescent="0.3">
      <c r="A519" s="58"/>
      <c r="B519" s="58"/>
      <c r="C519" s="58"/>
      <c r="D519" s="58"/>
      <c r="E519" s="58"/>
      <c r="F519" s="58"/>
      <c r="G519" s="58"/>
      <c r="H519" s="59"/>
      <c r="I519" s="59"/>
      <c r="J519" s="59"/>
      <c r="K519" s="59"/>
      <c r="L519" s="59"/>
      <c r="M519" s="60"/>
      <c r="N519" s="60"/>
      <c r="O519" s="60"/>
      <c r="P519" s="59"/>
      <c r="Q519" s="59"/>
      <c r="R519" s="60"/>
      <c r="S519" s="60"/>
      <c r="T519" s="60"/>
      <c r="U519" s="60"/>
      <c r="V519" s="60"/>
      <c r="W519" s="60"/>
    </row>
    <row r="520" spans="1:23" ht="13" x14ac:dyDescent="0.3">
      <c r="A520" s="58"/>
      <c r="B520" s="58"/>
      <c r="C520" s="58"/>
      <c r="D520" s="58"/>
      <c r="E520" s="58"/>
      <c r="F520" s="58"/>
      <c r="G520" s="58"/>
      <c r="H520" s="59"/>
      <c r="I520" s="59"/>
      <c r="J520" s="59"/>
      <c r="K520" s="59"/>
      <c r="L520" s="59"/>
      <c r="M520" s="60"/>
      <c r="N520" s="60"/>
      <c r="O520" s="60"/>
      <c r="P520" s="59"/>
      <c r="Q520" s="59"/>
      <c r="R520" s="60"/>
      <c r="S520" s="60"/>
      <c r="T520" s="60"/>
      <c r="U520" s="60"/>
      <c r="V520" s="60"/>
      <c r="W520" s="60"/>
    </row>
    <row r="521" spans="1:23" ht="13" x14ac:dyDescent="0.3">
      <c r="A521" s="58"/>
      <c r="B521" s="58"/>
      <c r="C521" s="58"/>
      <c r="D521" s="58"/>
      <c r="E521" s="58"/>
      <c r="F521" s="58"/>
      <c r="G521" s="58"/>
      <c r="H521" s="59"/>
      <c r="I521" s="59"/>
      <c r="J521" s="59"/>
      <c r="K521" s="59"/>
      <c r="L521" s="59"/>
      <c r="M521" s="60"/>
      <c r="N521" s="60"/>
      <c r="O521" s="60"/>
      <c r="P521" s="59"/>
      <c r="Q521" s="59"/>
      <c r="R521" s="60"/>
      <c r="S521" s="60"/>
      <c r="T521" s="60"/>
      <c r="U521" s="60"/>
      <c r="V521" s="60"/>
      <c r="W521" s="60"/>
    </row>
    <row r="522" spans="1:23" ht="13" x14ac:dyDescent="0.3">
      <c r="A522" s="58"/>
      <c r="B522" s="58"/>
      <c r="C522" s="58"/>
      <c r="D522" s="58"/>
      <c r="E522" s="58"/>
      <c r="F522" s="58"/>
      <c r="G522" s="58"/>
      <c r="H522" s="59"/>
      <c r="I522" s="59"/>
      <c r="J522" s="59"/>
      <c r="K522" s="59"/>
      <c r="L522" s="59"/>
      <c r="M522" s="60"/>
      <c r="N522" s="60"/>
      <c r="O522" s="60"/>
      <c r="P522" s="59"/>
      <c r="Q522" s="59"/>
      <c r="R522" s="60"/>
      <c r="S522" s="60"/>
      <c r="T522" s="60"/>
      <c r="U522" s="60"/>
      <c r="V522" s="60"/>
      <c r="W522" s="60"/>
    </row>
    <row r="523" spans="1:23" ht="13" x14ac:dyDescent="0.3">
      <c r="A523" s="58"/>
      <c r="B523" s="58"/>
      <c r="C523" s="58"/>
      <c r="D523" s="58"/>
      <c r="E523" s="58"/>
      <c r="F523" s="58"/>
      <c r="G523" s="58"/>
      <c r="H523" s="59"/>
      <c r="I523" s="59"/>
      <c r="J523" s="59"/>
      <c r="K523" s="59"/>
      <c r="L523" s="59"/>
      <c r="M523" s="60"/>
      <c r="N523" s="60"/>
      <c r="O523" s="60"/>
      <c r="P523" s="59"/>
      <c r="Q523" s="59"/>
      <c r="R523" s="60"/>
      <c r="S523" s="60"/>
      <c r="T523" s="60"/>
      <c r="U523" s="60"/>
      <c r="V523" s="60"/>
      <c r="W523" s="60"/>
    </row>
    <row r="524" spans="1:23" ht="13" x14ac:dyDescent="0.3">
      <c r="A524" s="58"/>
      <c r="B524" s="58"/>
      <c r="C524" s="58"/>
      <c r="D524" s="58"/>
      <c r="E524" s="58"/>
      <c r="F524" s="58"/>
      <c r="G524" s="58"/>
      <c r="H524" s="59"/>
      <c r="I524" s="59"/>
      <c r="J524" s="59"/>
      <c r="K524" s="59"/>
      <c r="L524" s="59"/>
      <c r="M524" s="60"/>
      <c r="N524" s="60"/>
      <c r="O524" s="60"/>
      <c r="P524" s="59"/>
      <c r="Q524" s="59"/>
      <c r="R524" s="60"/>
      <c r="S524" s="60"/>
      <c r="T524" s="60"/>
      <c r="U524" s="60"/>
      <c r="V524" s="60"/>
      <c r="W524" s="60"/>
    </row>
    <row r="525" spans="1:23" ht="13" x14ac:dyDescent="0.3">
      <c r="A525" s="58"/>
      <c r="B525" s="58"/>
      <c r="C525" s="58"/>
      <c r="D525" s="58"/>
      <c r="E525" s="58"/>
      <c r="F525" s="58"/>
      <c r="G525" s="58"/>
      <c r="H525" s="59"/>
      <c r="I525" s="59"/>
      <c r="J525" s="59"/>
      <c r="K525" s="59"/>
      <c r="L525" s="59"/>
      <c r="M525" s="60"/>
      <c r="N525" s="60"/>
      <c r="O525" s="60"/>
      <c r="P525" s="59"/>
      <c r="Q525" s="59"/>
      <c r="R525" s="60"/>
      <c r="S525" s="60"/>
      <c r="T525" s="60"/>
      <c r="U525" s="60"/>
      <c r="V525" s="60"/>
      <c r="W525" s="60"/>
    </row>
    <row r="526" spans="1:23" ht="13" x14ac:dyDescent="0.3">
      <c r="A526" s="58"/>
      <c r="B526" s="58"/>
      <c r="C526" s="58"/>
      <c r="D526" s="58"/>
      <c r="E526" s="58"/>
      <c r="F526" s="58"/>
      <c r="G526" s="58"/>
      <c r="H526" s="59"/>
      <c r="I526" s="59"/>
      <c r="J526" s="59"/>
      <c r="K526" s="59"/>
      <c r="L526" s="59"/>
      <c r="M526" s="60"/>
      <c r="N526" s="60"/>
      <c r="O526" s="60"/>
      <c r="P526" s="59"/>
      <c r="Q526" s="59"/>
      <c r="R526" s="60"/>
      <c r="S526" s="60"/>
      <c r="T526" s="60"/>
      <c r="U526" s="60"/>
      <c r="V526" s="60"/>
      <c r="W526" s="60"/>
    </row>
    <row r="527" spans="1:23" ht="13" x14ac:dyDescent="0.3">
      <c r="A527" s="58"/>
      <c r="B527" s="58"/>
      <c r="C527" s="58"/>
      <c r="D527" s="58"/>
      <c r="E527" s="58"/>
      <c r="F527" s="58"/>
      <c r="G527" s="58"/>
      <c r="H527" s="59"/>
      <c r="I527" s="59"/>
      <c r="J527" s="59"/>
      <c r="K527" s="59"/>
      <c r="L527" s="59"/>
      <c r="M527" s="60"/>
      <c r="N527" s="60"/>
      <c r="O527" s="60"/>
      <c r="P527" s="59"/>
      <c r="Q527" s="59"/>
      <c r="R527" s="60"/>
      <c r="S527" s="60"/>
      <c r="T527" s="60"/>
      <c r="U527" s="60"/>
      <c r="V527" s="60"/>
      <c r="W527" s="60"/>
    </row>
    <row r="528" spans="1:23" ht="13" x14ac:dyDescent="0.3">
      <c r="A528" s="58"/>
      <c r="B528" s="58"/>
      <c r="C528" s="58"/>
      <c r="D528" s="58"/>
      <c r="E528" s="58"/>
      <c r="F528" s="58"/>
      <c r="G528" s="58"/>
      <c r="H528" s="59"/>
      <c r="I528" s="59"/>
      <c r="J528" s="59"/>
      <c r="K528" s="59"/>
      <c r="L528" s="59"/>
      <c r="M528" s="60"/>
      <c r="N528" s="60"/>
      <c r="O528" s="60"/>
      <c r="P528" s="59"/>
      <c r="Q528" s="59"/>
      <c r="R528" s="60"/>
      <c r="S528" s="60"/>
      <c r="T528" s="60"/>
      <c r="U528" s="60"/>
      <c r="V528" s="60"/>
      <c r="W528" s="60"/>
    </row>
    <row r="529" spans="1:23" ht="13" x14ac:dyDescent="0.3">
      <c r="A529" s="58"/>
      <c r="B529" s="58"/>
      <c r="C529" s="58"/>
      <c r="D529" s="58"/>
      <c r="E529" s="58"/>
      <c r="F529" s="58"/>
      <c r="G529" s="58"/>
      <c r="H529" s="59"/>
      <c r="I529" s="59"/>
      <c r="J529" s="59"/>
      <c r="K529" s="59"/>
      <c r="L529" s="59"/>
      <c r="M529" s="60"/>
      <c r="N529" s="60"/>
      <c r="O529" s="60"/>
      <c r="P529" s="59"/>
      <c r="Q529" s="59"/>
      <c r="R529" s="60"/>
      <c r="S529" s="60"/>
      <c r="T529" s="60"/>
      <c r="U529" s="60"/>
      <c r="V529" s="60"/>
      <c r="W529" s="60"/>
    </row>
    <row r="530" spans="1:23" ht="13" x14ac:dyDescent="0.3">
      <c r="A530" s="58"/>
      <c r="B530" s="58"/>
      <c r="C530" s="58"/>
      <c r="D530" s="58"/>
      <c r="E530" s="58"/>
      <c r="F530" s="58"/>
      <c r="G530" s="58"/>
      <c r="H530" s="59"/>
      <c r="I530" s="59"/>
      <c r="J530" s="59"/>
      <c r="K530" s="59"/>
      <c r="L530" s="59"/>
      <c r="M530" s="60"/>
      <c r="N530" s="60"/>
      <c r="O530" s="60"/>
      <c r="P530" s="59"/>
      <c r="Q530" s="59"/>
      <c r="R530" s="60"/>
      <c r="S530" s="60"/>
      <c r="T530" s="60"/>
      <c r="U530" s="60"/>
      <c r="V530" s="60"/>
      <c r="W530" s="60"/>
    </row>
    <row r="531" spans="1:23" ht="13" x14ac:dyDescent="0.3">
      <c r="A531" s="58"/>
      <c r="B531" s="58"/>
      <c r="C531" s="58"/>
      <c r="D531" s="58"/>
      <c r="E531" s="58"/>
      <c r="F531" s="58"/>
      <c r="G531" s="58"/>
      <c r="H531" s="59"/>
      <c r="I531" s="59"/>
      <c r="J531" s="59"/>
      <c r="K531" s="59"/>
      <c r="L531" s="59"/>
      <c r="M531" s="60"/>
      <c r="N531" s="60"/>
      <c r="O531" s="60"/>
      <c r="P531" s="59"/>
      <c r="Q531" s="59"/>
      <c r="R531" s="60"/>
      <c r="S531" s="60"/>
      <c r="T531" s="60"/>
      <c r="U531" s="60"/>
      <c r="V531" s="60"/>
      <c r="W531" s="60"/>
    </row>
    <row r="532" spans="1:23" ht="13" x14ac:dyDescent="0.3">
      <c r="A532" s="58"/>
      <c r="B532" s="58"/>
      <c r="C532" s="58"/>
      <c r="D532" s="58"/>
      <c r="E532" s="58"/>
      <c r="F532" s="58"/>
      <c r="G532" s="58"/>
      <c r="H532" s="59"/>
      <c r="I532" s="59"/>
      <c r="J532" s="59"/>
      <c r="K532" s="59"/>
      <c r="L532" s="59"/>
      <c r="M532" s="60"/>
      <c r="N532" s="60"/>
      <c r="O532" s="60"/>
      <c r="P532" s="59"/>
      <c r="Q532" s="59"/>
      <c r="R532" s="60"/>
      <c r="S532" s="60"/>
      <c r="T532" s="60"/>
      <c r="U532" s="60"/>
      <c r="V532" s="60"/>
      <c r="W532" s="60"/>
    </row>
    <row r="533" spans="1:23" ht="13" x14ac:dyDescent="0.3">
      <c r="A533" s="58"/>
      <c r="B533" s="58"/>
      <c r="C533" s="58"/>
      <c r="D533" s="58"/>
      <c r="E533" s="58"/>
      <c r="F533" s="58"/>
      <c r="G533" s="58"/>
      <c r="H533" s="59"/>
      <c r="I533" s="59"/>
      <c r="J533" s="59"/>
      <c r="K533" s="59"/>
      <c r="L533" s="59"/>
      <c r="M533" s="60"/>
      <c r="N533" s="60"/>
      <c r="O533" s="60"/>
      <c r="P533" s="59"/>
      <c r="Q533" s="59"/>
      <c r="R533" s="60"/>
      <c r="S533" s="60"/>
      <c r="T533" s="60"/>
      <c r="U533" s="60"/>
      <c r="V533" s="60"/>
      <c r="W533" s="60"/>
    </row>
    <row r="534" spans="1:23" ht="13" x14ac:dyDescent="0.3">
      <c r="A534" s="58"/>
      <c r="B534" s="58"/>
      <c r="C534" s="58"/>
      <c r="D534" s="58"/>
      <c r="E534" s="58"/>
      <c r="F534" s="58"/>
      <c r="G534" s="58"/>
      <c r="H534" s="59"/>
      <c r="I534" s="59"/>
      <c r="J534" s="59"/>
      <c r="K534" s="59"/>
      <c r="L534" s="59"/>
      <c r="M534" s="60"/>
      <c r="N534" s="60"/>
      <c r="O534" s="60"/>
      <c r="P534" s="59"/>
      <c r="Q534" s="59"/>
      <c r="R534" s="60"/>
      <c r="S534" s="60"/>
      <c r="T534" s="60"/>
      <c r="U534" s="60"/>
      <c r="V534" s="60"/>
      <c r="W534" s="60"/>
    </row>
    <row r="535" spans="1:23" ht="13" x14ac:dyDescent="0.3">
      <c r="A535" s="58"/>
      <c r="B535" s="58"/>
      <c r="C535" s="58"/>
      <c r="D535" s="58"/>
      <c r="E535" s="58"/>
      <c r="F535" s="58"/>
      <c r="G535" s="58"/>
      <c r="H535" s="59"/>
      <c r="I535" s="59"/>
      <c r="J535" s="59"/>
      <c r="K535" s="59"/>
      <c r="L535" s="59"/>
      <c r="M535" s="60"/>
      <c r="N535" s="60"/>
      <c r="O535" s="60"/>
      <c r="P535" s="59"/>
      <c r="Q535" s="59"/>
      <c r="R535" s="60"/>
      <c r="S535" s="60"/>
      <c r="T535" s="60"/>
      <c r="U535" s="60"/>
      <c r="V535" s="60"/>
      <c r="W535" s="60"/>
    </row>
    <row r="536" spans="1:23" ht="13" x14ac:dyDescent="0.3">
      <c r="A536" s="58"/>
      <c r="B536" s="58"/>
      <c r="C536" s="58"/>
      <c r="D536" s="58"/>
      <c r="E536" s="58"/>
      <c r="F536" s="58"/>
      <c r="G536" s="58"/>
      <c r="H536" s="59"/>
      <c r="I536" s="59"/>
      <c r="J536" s="59"/>
      <c r="K536" s="59"/>
      <c r="L536" s="59"/>
      <c r="M536" s="60"/>
      <c r="N536" s="60"/>
      <c r="O536" s="60"/>
      <c r="P536" s="59"/>
      <c r="Q536" s="59"/>
      <c r="R536" s="60"/>
      <c r="S536" s="60"/>
      <c r="T536" s="60"/>
      <c r="U536" s="60"/>
      <c r="V536" s="60"/>
      <c r="W536" s="60"/>
    </row>
    <row r="537" spans="1:23" ht="13" x14ac:dyDescent="0.3">
      <c r="A537" s="58"/>
      <c r="B537" s="58"/>
      <c r="C537" s="58"/>
      <c r="D537" s="58"/>
      <c r="E537" s="58"/>
      <c r="F537" s="58"/>
      <c r="G537" s="58"/>
      <c r="H537" s="59"/>
      <c r="I537" s="59"/>
      <c r="J537" s="59"/>
      <c r="K537" s="59"/>
      <c r="L537" s="59"/>
      <c r="M537" s="60"/>
      <c r="N537" s="60"/>
      <c r="O537" s="60"/>
      <c r="P537" s="59"/>
      <c r="Q537" s="59"/>
      <c r="R537" s="60"/>
      <c r="S537" s="60"/>
      <c r="T537" s="60"/>
      <c r="U537" s="60"/>
      <c r="V537" s="60"/>
      <c r="W537" s="60"/>
    </row>
    <row r="538" spans="1:23" ht="13" x14ac:dyDescent="0.3">
      <c r="A538" s="58"/>
      <c r="B538" s="58"/>
      <c r="C538" s="58"/>
      <c r="D538" s="58"/>
      <c r="E538" s="58"/>
      <c r="F538" s="58"/>
      <c r="G538" s="58"/>
      <c r="H538" s="59"/>
      <c r="I538" s="59"/>
      <c r="J538" s="59"/>
      <c r="K538" s="59"/>
      <c r="L538" s="59"/>
      <c r="M538" s="60"/>
      <c r="N538" s="60"/>
      <c r="O538" s="60"/>
      <c r="P538" s="59"/>
      <c r="Q538" s="59"/>
      <c r="R538" s="60"/>
      <c r="S538" s="60"/>
      <c r="T538" s="60"/>
      <c r="U538" s="60"/>
      <c r="V538" s="60"/>
      <c r="W538" s="60"/>
    </row>
    <row r="539" spans="1:23" ht="13" x14ac:dyDescent="0.3">
      <c r="A539" s="58"/>
      <c r="B539" s="58"/>
      <c r="C539" s="58"/>
      <c r="D539" s="58"/>
      <c r="E539" s="58"/>
      <c r="F539" s="58"/>
      <c r="G539" s="58"/>
      <c r="H539" s="59"/>
      <c r="I539" s="59"/>
      <c r="J539" s="59"/>
      <c r="K539" s="59"/>
      <c r="L539" s="59"/>
      <c r="M539" s="60"/>
      <c r="N539" s="60"/>
      <c r="O539" s="60"/>
      <c r="P539" s="59"/>
      <c r="Q539" s="59"/>
      <c r="R539" s="60"/>
      <c r="S539" s="60"/>
      <c r="T539" s="60"/>
      <c r="U539" s="60"/>
      <c r="V539" s="60"/>
      <c r="W539" s="60"/>
    </row>
    <row r="540" spans="1:23" ht="13" x14ac:dyDescent="0.3">
      <c r="A540" s="58"/>
      <c r="B540" s="58"/>
      <c r="C540" s="58"/>
      <c r="D540" s="58"/>
      <c r="E540" s="58"/>
      <c r="F540" s="58"/>
      <c r="G540" s="58"/>
      <c r="H540" s="59"/>
      <c r="I540" s="59"/>
      <c r="J540" s="59"/>
      <c r="K540" s="59"/>
      <c r="L540" s="59"/>
      <c r="M540" s="60"/>
      <c r="N540" s="60"/>
      <c r="O540" s="60"/>
      <c r="P540" s="59"/>
      <c r="Q540" s="59"/>
      <c r="R540" s="60"/>
      <c r="S540" s="60"/>
      <c r="T540" s="60"/>
      <c r="U540" s="60"/>
      <c r="V540" s="60"/>
      <c r="W540" s="60"/>
    </row>
    <row r="541" spans="1:23" ht="13" x14ac:dyDescent="0.3">
      <c r="A541" s="58"/>
      <c r="B541" s="58"/>
      <c r="C541" s="58"/>
      <c r="D541" s="58"/>
      <c r="E541" s="58"/>
      <c r="F541" s="58"/>
      <c r="G541" s="58"/>
      <c r="H541" s="59"/>
      <c r="I541" s="59"/>
      <c r="J541" s="59"/>
      <c r="K541" s="59"/>
      <c r="L541" s="59"/>
      <c r="M541" s="60"/>
      <c r="N541" s="60"/>
      <c r="O541" s="60"/>
      <c r="P541" s="59"/>
      <c r="Q541" s="59"/>
      <c r="R541" s="60"/>
      <c r="S541" s="60"/>
      <c r="T541" s="60"/>
      <c r="U541" s="60"/>
      <c r="V541" s="60"/>
      <c r="W541" s="60"/>
    </row>
    <row r="542" spans="1:23" ht="13" x14ac:dyDescent="0.3">
      <c r="A542" s="58"/>
      <c r="B542" s="58"/>
      <c r="C542" s="58"/>
      <c r="D542" s="58"/>
      <c r="E542" s="58"/>
      <c r="F542" s="58"/>
      <c r="G542" s="58"/>
      <c r="H542" s="59"/>
      <c r="I542" s="59"/>
      <c r="J542" s="59"/>
      <c r="K542" s="59"/>
      <c r="L542" s="59"/>
      <c r="M542" s="60"/>
      <c r="N542" s="60"/>
      <c r="O542" s="60"/>
      <c r="P542" s="59"/>
      <c r="Q542" s="59"/>
      <c r="R542" s="60"/>
      <c r="S542" s="60"/>
      <c r="T542" s="60"/>
      <c r="U542" s="60"/>
      <c r="V542" s="60"/>
      <c r="W542" s="60"/>
    </row>
    <row r="543" spans="1:23" ht="13" x14ac:dyDescent="0.3">
      <c r="A543" s="58"/>
      <c r="B543" s="58"/>
      <c r="C543" s="58"/>
      <c r="D543" s="58"/>
      <c r="E543" s="58"/>
      <c r="F543" s="58"/>
      <c r="G543" s="58"/>
      <c r="H543" s="59"/>
      <c r="I543" s="59"/>
      <c r="J543" s="59"/>
      <c r="K543" s="59"/>
      <c r="L543" s="59"/>
      <c r="M543" s="60"/>
      <c r="N543" s="60"/>
      <c r="O543" s="60"/>
      <c r="P543" s="59"/>
      <c r="Q543" s="59"/>
      <c r="R543" s="60"/>
      <c r="S543" s="60"/>
      <c r="T543" s="60"/>
      <c r="U543" s="60"/>
      <c r="V543" s="60"/>
      <c r="W543" s="60"/>
    </row>
    <row r="544" spans="1:23" ht="13" x14ac:dyDescent="0.3">
      <c r="A544" s="58"/>
      <c r="B544" s="58"/>
      <c r="C544" s="58"/>
      <c r="D544" s="58"/>
      <c r="E544" s="58"/>
      <c r="F544" s="58"/>
      <c r="G544" s="58"/>
      <c r="H544" s="59"/>
      <c r="I544" s="59"/>
      <c r="J544" s="59"/>
      <c r="K544" s="59"/>
      <c r="L544" s="59"/>
      <c r="M544" s="60"/>
      <c r="N544" s="60"/>
      <c r="O544" s="60"/>
      <c r="P544" s="59"/>
      <c r="Q544" s="59"/>
      <c r="R544" s="60"/>
      <c r="S544" s="60"/>
      <c r="T544" s="60"/>
      <c r="U544" s="60"/>
      <c r="V544" s="60"/>
      <c r="W544" s="60"/>
    </row>
    <row r="545" spans="1:23" ht="13" x14ac:dyDescent="0.3">
      <c r="A545" s="58"/>
      <c r="B545" s="58"/>
      <c r="C545" s="58"/>
      <c r="D545" s="58"/>
      <c r="E545" s="58"/>
      <c r="F545" s="58"/>
      <c r="G545" s="58"/>
      <c r="H545" s="59"/>
      <c r="I545" s="59"/>
      <c r="J545" s="59"/>
      <c r="K545" s="59"/>
      <c r="L545" s="59"/>
      <c r="M545" s="60"/>
      <c r="N545" s="60"/>
      <c r="O545" s="60"/>
      <c r="P545" s="59"/>
      <c r="Q545" s="59"/>
      <c r="R545" s="60"/>
      <c r="S545" s="60"/>
      <c r="T545" s="60"/>
      <c r="U545" s="60"/>
      <c r="V545" s="60"/>
      <c r="W545" s="60"/>
    </row>
    <row r="546" spans="1:23" ht="13" x14ac:dyDescent="0.3">
      <c r="A546" s="58"/>
      <c r="B546" s="58"/>
      <c r="C546" s="58"/>
      <c r="D546" s="58"/>
      <c r="E546" s="58"/>
      <c r="F546" s="58"/>
      <c r="G546" s="58"/>
      <c r="H546" s="59"/>
      <c r="I546" s="59"/>
      <c r="J546" s="59"/>
      <c r="K546" s="59"/>
      <c r="L546" s="59"/>
      <c r="M546" s="60"/>
      <c r="N546" s="60"/>
      <c r="O546" s="60"/>
      <c r="P546" s="59"/>
      <c r="Q546" s="59"/>
      <c r="R546" s="60"/>
      <c r="S546" s="60"/>
      <c r="T546" s="60"/>
      <c r="U546" s="60"/>
      <c r="V546" s="60"/>
      <c r="W546" s="60"/>
    </row>
    <row r="547" spans="1:23" ht="13" x14ac:dyDescent="0.3">
      <c r="A547" s="58"/>
      <c r="B547" s="58"/>
      <c r="C547" s="58"/>
      <c r="D547" s="58"/>
      <c r="E547" s="58"/>
      <c r="F547" s="58"/>
      <c r="G547" s="58"/>
      <c r="H547" s="59"/>
      <c r="I547" s="59"/>
      <c r="J547" s="59"/>
      <c r="K547" s="59"/>
      <c r="L547" s="59"/>
      <c r="M547" s="60"/>
      <c r="N547" s="60"/>
      <c r="O547" s="60"/>
      <c r="P547" s="59"/>
      <c r="Q547" s="59"/>
      <c r="R547" s="60"/>
      <c r="S547" s="60"/>
      <c r="T547" s="60"/>
      <c r="U547" s="60"/>
      <c r="V547" s="60"/>
      <c r="W547" s="60"/>
    </row>
    <row r="548" spans="1:23" ht="13" x14ac:dyDescent="0.3">
      <c r="A548" s="58"/>
      <c r="B548" s="58"/>
      <c r="C548" s="58"/>
      <c r="D548" s="58"/>
      <c r="E548" s="58"/>
      <c r="F548" s="58"/>
      <c r="G548" s="58"/>
      <c r="H548" s="59"/>
      <c r="I548" s="59"/>
      <c r="J548" s="59"/>
      <c r="K548" s="59"/>
      <c r="L548" s="59"/>
      <c r="M548" s="60"/>
      <c r="N548" s="60"/>
      <c r="O548" s="60"/>
      <c r="P548" s="59"/>
      <c r="Q548" s="59"/>
      <c r="R548" s="60"/>
      <c r="S548" s="60"/>
      <c r="T548" s="60"/>
      <c r="U548" s="60"/>
      <c r="V548" s="60"/>
      <c r="W548" s="60"/>
    </row>
    <row r="549" spans="1:23" ht="13" x14ac:dyDescent="0.3">
      <c r="A549" s="58"/>
      <c r="B549" s="58"/>
      <c r="C549" s="58"/>
      <c r="D549" s="58"/>
      <c r="E549" s="58"/>
      <c r="F549" s="58"/>
      <c r="G549" s="58"/>
      <c r="H549" s="59"/>
      <c r="I549" s="59"/>
      <c r="J549" s="59"/>
      <c r="K549" s="59"/>
      <c r="L549" s="59"/>
      <c r="M549" s="60"/>
      <c r="N549" s="60"/>
      <c r="O549" s="60"/>
      <c r="P549" s="59"/>
      <c r="Q549" s="59"/>
      <c r="R549" s="60"/>
      <c r="S549" s="60"/>
      <c r="T549" s="60"/>
      <c r="U549" s="60"/>
      <c r="V549" s="60"/>
      <c r="W549" s="60"/>
    </row>
    <row r="550" spans="1:23" ht="13" x14ac:dyDescent="0.3">
      <c r="A550" s="58"/>
      <c r="B550" s="58"/>
      <c r="C550" s="58"/>
      <c r="D550" s="58"/>
      <c r="E550" s="58"/>
      <c r="F550" s="58"/>
      <c r="G550" s="58"/>
      <c r="H550" s="59"/>
      <c r="I550" s="59"/>
      <c r="J550" s="59"/>
      <c r="K550" s="59"/>
      <c r="L550" s="59"/>
      <c r="M550" s="60"/>
      <c r="N550" s="60"/>
      <c r="O550" s="60"/>
      <c r="P550" s="59"/>
      <c r="Q550" s="59"/>
      <c r="R550" s="60"/>
      <c r="S550" s="60"/>
      <c r="T550" s="60"/>
      <c r="U550" s="60"/>
      <c r="V550" s="60"/>
      <c r="W550" s="60"/>
    </row>
    <row r="551" spans="1:23" ht="13" x14ac:dyDescent="0.3">
      <c r="A551" s="58"/>
      <c r="B551" s="58"/>
      <c r="C551" s="58"/>
      <c r="D551" s="58"/>
      <c r="E551" s="58"/>
      <c r="F551" s="58"/>
      <c r="G551" s="58"/>
      <c r="H551" s="59"/>
      <c r="I551" s="59"/>
      <c r="J551" s="59"/>
      <c r="K551" s="59"/>
      <c r="L551" s="59"/>
      <c r="M551" s="60"/>
      <c r="N551" s="60"/>
      <c r="O551" s="60"/>
      <c r="P551" s="59"/>
      <c r="Q551" s="59"/>
      <c r="R551" s="60"/>
      <c r="S551" s="60"/>
      <c r="T551" s="60"/>
      <c r="U551" s="60"/>
      <c r="V551" s="60"/>
      <c r="W551" s="60"/>
    </row>
    <row r="552" spans="1:23" ht="13" x14ac:dyDescent="0.3">
      <c r="A552" s="58"/>
      <c r="B552" s="58"/>
      <c r="C552" s="58"/>
      <c r="D552" s="58"/>
      <c r="E552" s="58"/>
      <c r="F552" s="58"/>
      <c r="G552" s="58"/>
      <c r="H552" s="59"/>
      <c r="I552" s="59"/>
      <c r="J552" s="59"/>
      <c r="K552" s="59"/>
      <c r="L552" s="59"/>
      <c r="M552" s="60"/>
      <c r="N552" s="60"/>
      <c r="O552" s="60"/>
      <c r="P552" s="59"/>
      <c r="Q552" s="59"/>
      <c r="R552" s="60"/>
      <c r="S552" s="60"/>
      <c r="T552" s="60"/>
      <c r="U552" s="60"/>
      <c r="V552" s="60"/>
      <c r="W552" s="60"/>
    </row>
    <row r="553" spans="1:23" ht="13" x14ac:dyDescent="0.3">
      <c r="A553" s="58"/>
      <c r="B553" s="58"/>
      <c r="C553" s="58"/>
      <c r="D553" s="58"/>
      <c r="E553" s="58"/>
      <c r="F553" s="58"/>
      <c r="G553" s="58"/>
      <c r="H553" s="59"/>
      <c r="I553" s="59"/>
      <c r="J553" s="59"/>
      <c r="K553" s="59"/>
      <c r="L553" s="59"/>
      <c r="M553" s="60"/>
      <c r="N553" s="60"/>
      <c r="O553" s="60"/>
      <c r="P553" s="59"/>
      <c r="Q553" s="59"/>
      <c r="R553" s="60"/>
      <c r="S553" s="60"/>
      <c r="T553" s="60"/>
      <c r="U553" s="60"/>
      <c r="V553" s="60"/>
      <c r="W553" s="60"/>
    </row>
    <row r="554" spans="1:23" ht="13" x14ac:dyDescent="0.3">
      <c r="A554" s="58"/>
      <c r="B554" s="58"/>
      <c r="C554" s="58"/>
      <c r="D554" s="58"/>
      <c r="E554" s="58"/>
      <c r="F554" s="58"/>
      <c r="G554" s="58"/>
      <c r="H554" s="59"/>
      <c r="I554" s="59"/>
      <c r="J554" s="59"/>
      <c r="K554" s="59"/>
      <c r="L554" s="59"/>
      <c r="M554" s="60"/>
      <c r="N554" s="60"/>
      <c r="O554" s="60"/>
      <c r="P554" s="59"/>
      <c r="Q554" s="59"/>
      <c r="R554" s="60"/>
      <c r="S554" s="60"/>
      <c r="T554" s="60"/>
      <c r="U554" s="60"/>
      <c r="V554" s="60"/>
      <c r="W554" s="60"/>
    </row>
    <row r="555" spans="1:23" ht="13" x14ac:dyDescent="0.3">
      <c r="A555" s="58"/>
      <c r="B555" s="58"/>
      <c r="C555" s="58"/>
      <c r="D555" s="58"/>
      <c r="E555" s="58"/>
      <c r="F555" s="58"/>
      <c r="G555" s="58"/>
      <c r="H555" s="59"/>
      <c r="I555" s="59"/>
      <c r="J555" s="59"/>
      <c r="K555" s="59"/>
      <c r="L555" s="59"/>
      <c r="M555" s="60"/>
      <c r="N555" s="60"/>
      <c r="O555" s="60"/>
      <c r="P555" s="59"/>
      <c r="Q555" s="59"/>
      <c r="R555" s="60"/>
      <c r="S555" s="60"/>
      <c r="T555" s="60"/>
      <c r="U555" s="60"/>
      <c r="V555" s="60"/>
      <c r="W555" s="60"/>
    </row>
    <row r="556" spans="1:23" ht="13" x14ac:dyDescent="0.3">
      <c r="A556" s="58"/>
      <c r="B556" s="58"/>
      <c r="C556" s="58"/>
      <c r="D556" s="58"/>
      <c r="E556" s="58"/>
      <c r="F556" s="58"/>
      <c r="G556" s="58"/>
      <c r="H556" s="59"/>
      <c r="I556" s="59"/>
      <c r="J556" s="59"/>
      <c r="K556" s="59"/>
      <c r="L556" s="59"/>
      <c r="M556" s="60"/>
      <c r="N556" s="60"/>
      <c r="O556" s="60"/>
      <c r="P556" s="59"/>
      <c r="Q556" s="59"/>
      <c r="R556" s="60"/>
      <c r="S556" s="60"/>
      <c r="T556" s="60"/>
      <c r="U556" s="60"/>
      <c r="V556" s="60"/>
      <c r="W556" s="60"/>
    </row>
    <row r="557" spans="1:23" ht="13" x14ac:dyDescent="0.3">
      <c r="A557" s="58"/>
      <c r="B557" s="58"/>
      <c r="C557" s="58"/>
      <c r="D557" s="58"/>
      <c r="E557" s="58"/>
      <c r="F557" s="58"/>
      <c r="G557" s="58"/>
      <c r="H557" s="59"/>
      <c r="I557" s="59"/>
      <c r="J557" s="59"/>
      <c r="K557" s="59"/>
      <c r="L557" s="59"/>
      <c r="M557" s="60"/>
      <c r="N557" s="60"/>
      <c r="O557" s="60"/>
      <c r="P557" s="59"/>
      <c r="Q557" s="59"/>
      <c r="R557" s="60"/>
      <c r="S557" s="60"/>
      <c r="T557" s="60"/>
      <c r="U557" s="60"/>
      <c r="V557" s="60"/>
      <c r="W557" s="60"/>
    </row>
    <row r="558" spans="1:23" ht="13" x14ac:dyDescent="0.3">
      <c r="A558" s="58"/>
      <c r="B558" s="58"/>
      <c r="C558" s="58"/>
      <c r="D558" s="58"/>
      <c r="E558" s="58"/>
      <c r="F558" s="58"/>
      <c r="G558" s="58"/>
      <c r="H558" s="59"/>
      <c r="I558" s="59"/>
      <c r="J558" s="59"/>
      <c r="K558" s="59"/>
      <c r="L558" s="59"/>
      <c r="M558" s="60"/>
      <c r="N558" s="60"/>
      <c r="O558" s="60"/>
      <c r="P558" s="59"/>
      <c r="Q558" s="59"/>
      <c r="R558" s="60"/>
      <c r="S558" s="60"/>
      <c r="T558" s="60"/>
      <c r="U558" s="60"/>
      <c r="V558" s="60"/>
      <c r="W558" s="60"/>
    </row>
    <row r="559" spans="1:23" ht="13" x14ac:dyDescent="0.3">
      <c r="A559" s="58"/>
      <c r="B559" s="58"/>
      <c r="C559" s="58"/>
      <c r="D559" s="58"/>
      <c r="E559" s="58"/>
      <c r="F559" s="58"/>
      <c r="G559" s="58"/>
      <c r="H559" s="59"/>
      <c r="I559" s="59"/>
      <c r="J559" s="59"/>
      <c r="K559" s="59"/>
      <c r="L559" s="59"/>
      <c r="M559" s="60"/>
      <c r="N559" s="60"/>
      <c r="O559" s="60"/>
      <c r="P559" s="59"/>
      <c r="Q559" s="59"/>
      <c r="R559" s="60"/>
      <c r="S559" s="60"/>
      <c r="T559" s="60"/>
      <c r="U559" s="60"/>
      <c r="V559" s="60"/>
      <c r="W559" s="60"/>
    </row>
    <row r="560" spans="1:23" ht="13" x14ac:dyDescent="0.3">
      <c r="A560" s="58"/>
      <c r="B560" s="58"/>
      <c r="C560" s="58"/>
      <c r="D560" s="58"/>
      <c r="E560" s="58"/>
      <c r="F560" s="58"/>
      <c r="G560" s="58"/>
      <c r="H560" s="59"/>
      <c r="I560" s="59"/>
      <c r="J560" s="59"/>
      <c r="K560" s="59"/>
      <c r="L560" s="59"/>
      <c r="M560" s="60"/>
      <c r="N560" s="60"/>
      <c r="O560" s="60"/>
      <c r="P560" s="59"/>
      <c r="Q560" s="59"/>
      <c r="R560" s="60"/>
      <c r="S560" s="60"/>
      <c r="T560" s="60"/>
      <c r="U560" s="60"/>
      <c r="V560" s="60"/>
      <c r="W560" s="60"/>
    </row>
    <row r="561" spans="1:23" ht="13" x14ac:dyDescent="0.3">
      <c r="A561" s="58"/>
      <c r="B561" s="58"/>
      <c r="C561" s="58"/>
      <c r="D561" s="58"/>
      <c r="E561" s="58"/>
      <c r="F561" s="58"/>
      <c r="G561" s="58"/>
      <c r="H561" s="59"/>
      <c r="I561" s="59"/>
      <c r="J561" s="59"/>
      <c r="K561" s="59"/>
      <c r="L561" s="59"/>
      <c r="M561" s="60"/>
      <c r="N561" s="60"/>
      <c r="O561" s="60"/>
      <c r="P561" s="59"/>
      <c r="Q561" s="59"/>
      <c r="R561" s="60"/>
      <c r="S561" s="60"/>
      <c r="T561" s="60"/>
      <c r="U561" s="60"/>
      <c r="V561" s="60"/>
      <c r="W561" s="60"/>
    </row>
    <row r="562" spans="1:23" ht="13" x14ac:dyDescent="0.3">
      <c r="A562" s="58"/>
      <c r="B562" s="58"/>
      <c r="C562" s="58"/>
      <c r="D562" s="58"/>
      <c r="E562" s="58"/>
      <c r="F562" s="58"/>
      <c r="G562" s="58"/>
      <c r="H562" s="59"/>
      <c r="I562" s="59"/>
      <c r="J562" s="59"/>
      <c r="K562" s="59"/>
      <c r="L562" s="59"/>
      <c r="M562" s="60"/>
      <c r="N562" s="60"/>
      <c r="O562" s="60"/>
      <c r="P562" s="59"/>
      <c r="Q562" s="59"/>
      <c r="R562" s="60"/>
      <c r="S562" s="60"/>
      <c r="T562" s="60"/>
      <c r="U562" s="60"/>
      <c r="V562" s="60"/>
      <c r="W562" s="60"/>
    </row>
    <row r="563" spans="1:23" ht="13" x14ac:dyDescent="0.3">
      <c r="A563" s="58"/>
      <c r="B563" s="58"/>
      <c r="C563" s="58"/>
      <c r="D563" s="58"/>
      <c r="E563" s="58"/>
      <c r="F563" s="58"/>
      <c r="G563" s="58"/>
      <c r="H563" s="59"/>
      <c r="I563" s="59"/>
      <c r="J563" s="59"/>
      <c r="K563" s="59"/>
      <c r="L563" s="59"/>
      <c r="M563" s="60"/>
      <c r="N563" s="60"/>
      <c r="O563" s="60"/>
      <c r="P563" s="59"/>
      <c r="Q563" s="59"/>
      <c r="R563" s="60"/>
      <c r="S563" s="60"/>
      <c r="T563" s="60"/>
      <c r="U563" s="60"/>
      <c r="V563" s="60"/>
      <c r="W563" s="60"/>
    </row>
    <row r="564" spans="1:23" ht="13" x14ac:dyDescent="0.3">
      <c r="A564" s="58"/>
      <c r="B564" s="58"/>
      <c r="C564" s="58"/>
      <c r="D564" s="58"/>
      <c r="E564" s="58"/>
      <c r="F564" s="58"/>
      <c r="G564" s="58"/>
      <c r="H564" s="59"/>
      <c r="I564" s="59"/>
      <c r="J564" s="59"/>
      <c r="K564" s="59"/>
      <c r="L564" s="59"/>
      <c r="M564" s="60"/>
      <c r="N564" s="60"/>
      <c r="O564" s="60"/>
      <c r="P564" s="59"/>
      <c r="Q564" s="59"/>
      <c r="R564" s="60"/>
      <c r="S564" s="60"/>
      <c r="T564" s="60"/>
      <c r="U564" s="60"/>
      <c r="V564" s="60"/>
      <c r="W564" s="60"/>
    </row>
    <row r="565" spans="1:23" ht="13" x14ac:dyDescent="0.3">
      <c r="A565" s="58"/>
      <c r="B565" s="58"/>
      <c r="C565" s="58"/>
      <c r="D565" s="58"/>
      <c r="E565" s="58"/>
      <c r="F565" s="58"/>
      <c r="G565" s="58"/>
      <c r="H565" s="59"/>
      <c r="I565" s="59"/>
      <c r="J565" s="59"/>
      <c r="K565" s="59"/>
      <c r="L565" s="59"/>
      <c r="M565" s="60"/>
      <c r="N565" s="60"/>
      <c r="O565" s="60"/>
      <c r="P565" s="59"/>
      <c r="Q565" s="59"/>
      <c r="R565" s="60"/>
      <c r="S565" s="60"/>
      <c r="T565" s="60"/>
      <c r="U565" s="60"/>
      <c r="V565" s="60"/>
      <c r="W565" s="60"/>
    </row>
    <row r="566" spans="1:23" ht="13" x14ac:dyDescent="0.3">
      <c r="A566" s="58"/>
      <c r="B566" s="58"/>
      <c r="C566" s="58"/>
      <c r="D566" s="58"/>
      <c r="E566" s="58"/>
      <c r="F566" s="58"/>
      <c r="G566" s="58"/>
      <c r="H566" s="59"/>
      <c r="I566" s="59"/>
      <c r="J566" s="59"/>
      <c r="K566" s="59"/>
      <c r="L566" s="59"/>
      <c r="M566" s="60"/>
      <c r="N566" s="60"/>
      <c r="O566" s="60"/>
      <c r="P566" s="59"/>
      <c r="Q566" s="59"/>
      <c r="R566" s="60"/>
      <c r="S566" s="60"/>
      <c r="T566" s="60"/>
      <c r="U566" s="60"/>
      <c r="V566" s="60"/>
      <c r="W566" s="60"/>
    </row>
    <row r="567" spans="1:23" ht="13" x14ac:dyDescent="0.3">
      <c r="A567" s="58"/>
      <c r="B567" s="58"/>
      <c r="C567" s="58"/>
      <c r="D567" s="58"/>
      <c r="E567" s="58"/>
      <c r="F567" s="58"/>
      <c r="G567" s="58"/>
      <c r="H567" s="59"/>
      <c r="I567" s="59"/>
      <c r="J567" s="59"/>
      <c r="K567" s="59"/>
      <c r="L567" s="59"/>
      <c r="M567" s="60"/>
      <c r="N567" s="60"/>
      <c r="O567" s="60"/>
      <c r="P567" s="59"/>
      <c r="Q567" s="59"/>
      <c r="R567" s="60"/>
      <c r="S567" s="60"/>
      <c r="T567" s="60"/>
      <c r="U567" s="60"/>
      <c r="V567" s="60"/>
      <c r="W567" s="60"/>
    </row>
    <row r="568" spans="1:23" ht="13" x14ac:dyDescent="0.3">
      <c r="A568" s="58"/>
      <c r="B568" s="58"/>
      <c r="C568" s="58"/>
      <c r="D568" s="58"/>
      <c r="E568" s="58"/>
      <c r="F568" s="58"/>
      <c r="G568" s="58"/>
      <c r="H568" s="59"/>
      <c r="I568" s="59"/>
      <c r="J568" s="59"/>
      <c r="K568" s="59"/>
      <c r="L568" s="59"/>
      <c r="M568" s="60"/>
      <c r="N568" s="60"/>
      <c r="O568" s="60"/>
      <c r="P568" s="59"/>
      <c r="Q568" s="59"/>
      <c r="R568" s="60"/>
      <c r="S568" s="60"/>
      <c r="T568" s="60"/>
      <c r="U568" s="60"/>
      <c r="V568" s="60"/>
      <c r="W568" s="60"/>
    </row>
    <row r="569" spans="1:23" ht="13" x14ac:dyDescent="0.3">
      <c r="A569" s="58"/>
      <c r="B569" s="58"/>
      <c r="C569" s="58"/>
      <c r="D569" s="58"/>
      <c r="E569" s="58"/>
      <c r="F569" s="58"/>
      <c r="G569" s="58"/>
      <c r="H569" s="59"/>
      <c r="I569" s="59"/>
      <c r="J569" s="59"/>
      <c r="K569" s="59"/>
      <c r="L569" s="59"/>
      <c r="M569" s="60"/>
      <c r="N569" s="60"/>
      <c r="O569" s="60"/>
      <c r="P569" s="59"/>
      <c r="Q569" s="59"/>
      <c r="R569" s="60"/>
      <c r="S569" s="60"/>
      <c r="T569" s="60"/>
      <c r="U569" s="60"/>
      <c r="V569" s="60"/>
      <c r="W569" s="60"/>
    </row>
    <row r="570" spans="1:23" ht="13" x14ac:dyDescent="0.3">
      <c r="A570" s="58"/>
      <c r="B570" s="58"/>
      <c r="C570" s="58"/>
      <c r="D570" s="58"/>
      <c r="E570" s="58"/>
      <c r="F570" s="58"/>
      <c r="G570" s="58"/>
      <c r="H570" s="59"/>
      <c r="I570" s="59"/>
      <c r="J570" s="59"/>
      <c r="K570" s="59"/>
      <c r="L570" s="59"/>
      <c r="M570" s="60"/>
      <c r="N570" s="60"/>
      <c r="O570" s="60"/>
      <c r="P570" s="59"/>
      <c r="Q570" s="59"/>
      <c r="R570" s="60"/>
      <c r="S570" s="60"/>
      <c r="T570" s="60"/>
      <c r="U570" s="60"/>
      <c r="V570" s="60"/>
      <c r="W570" s="60"/>
    </row>
    <row r="571" spans="1:23" ht="13" x14ac:dyDescent="0.3">
      <c r="A571" s="58"/>
      <c r="B571" s="58"/>
      <c r="C571" s="58"/>
      <c r="D571" s="58"/>
      <c r="E571" s="58"/>
      <c r="F571" s="58"/>
      <c r="G571" s="58"/>
      <c r="H571" s="59"/>
      <c r="I571" s="59"/>
      <c r="J571" s="59"/>
      <c r="K571" s="59"/>
      <c r="L571" s="59"/>
      <c r="M571" s="60"/>
      <c r="N571" s="60"/>
      <c r="O571" s="60"/>
      <c r="P571" s="59"/>
      <c r="Q571" s="59"/>
      <c r="R571" s="60"/>
      <c r="S571" s="60"/>
      <c r="T571" s="60"/>
      <c r="U571" s="60"/>
      <c r="V571" s="60"/>
      <c r="W571" s="60"/>
    </row>
    <row r="572" spans="1:23" ht="13" x14ac:dyDescent="0.3">
      <c r="A572" s="58"/>
      <c r="B572" s="58"/>
      <c r="C572" s="58"/>
      <c r="D572" s="58"/>
      <c r="E572" s="58"/>
      <c r="F572" s="58"/>
      <c r="G572" s="58"/>
      <c r="H572" s="59"/>
      <c r="I572" s="59"/>
      <c r="J572" s="59"/>
      <c r="K572" s="59"/>
      <c r="L572" s="59"/>
      <c r="M572" s="60"/>
      <c r="N572" s="60"/>
      <c r="O572" s="60"/>
      <c r="P572" s="59"/>
      <c r="Q572" s="59"/>
      <c r="R572" s="60"/>
      <c r="S572" s="60"/>
      <c r="T572" s="60"/>
      <c r="U572" s="60"/>
      <c r="V572" s="60"/>
      <c r="W572" s="60"/>
    </row>
    <row r="573" spans="1:23" ht="13" x14ac:dyDescent="0.3">
      <c r="A573" s="58"/>
      <c r="B573" s="58"/>
      <c r="C573" s="58"/>
      <c r="D573" s="58"/>
      <c r="E573" s="58"/>
      <c r="F573" s="58"/>
      <c r="G573" s="58"/>
      <c r="H573" s="59"/>
      <c r="I573" s="59"/>
      <c r="J573" s="59"/>
      <c r="K573" s="59"/>
      <c r="L573" s="59"/>
      <c r="M573" s="60"/>
      <c r="N573" s="60"/>
      <c r="O573" s="60"/>
      <c r="P573" s="59"/>
      <c r="Q573" s="59"/>
      <c r="R573" s="60"/>
      <c r="S573" s="60"/>
      <c r="T573" s="60"/>
      <c r="U573" s="60"/>
      <c r="V573" s="60"/>
      <c r="W573" s="60"/>
    </row>
    <row r="574" spans="1:23" ht="13" x14ac:dyDescent="0.3">
      <c r="A574" s="58"/>
      <c r="B574" s="58"/>
      <c r="C574" s="58"/>
      <c r="D574" s="58"/>
      <c r="E574" s="58"/>
      <c r="F574" s="58"/>
      <c r="G574" s="58"/>
      <c r="H574" s="59"/>
      <c r="I574" s="59"/>
      <c r="J574" s="59"/>
      <c r="K574" s="59"/>
      <c r="L574" s="59"/>
      <c r="M574" s="60"/>
      <c r="N574" s="60"/>
      <c r="O574" s="60"/>
      <c r="P574" s="59"/>
      <c r="Q574" s="59"/>
      <c r="R574" s="60"/>
      <c r="S574" s="60"/>
      <c r="T574" s="60"/>
      <c r="U574" s="60"/>
      <c r="V574" s="60"/>
      <c r="W574" s="60"/>
    </row>
    <row r="575" spans="1:23" ht="13" x14ac:dyDescent="0.3">
      <c r="A575" s="58"/>
      <c r="B575" s="58"/>
      <c r="C575" s="58"/>
      <c r="D575" s="58"/>
      <c r="E575" s="58"/>
      <c r="F575" s="58"/>
      <c r="G575" s="58"/>
      <c r="H575" s="59"/>
      <c r="I575" s="59"/>
      <c r="J575" s="59"/>
      <c r="K575" s="59"/>
      <c r="L575" s="59"/>
      <c r="M575" s="60"/>
      <c r="N575" s="60"/>
      <c r="O575" s="60"/>
      <c r="P575" s="59"/>
      <c r="Q575" s="59"/>
      <c r="R575" s="60"/>
      <c r="S575" s="60"/>
      <c r="T575" s="60"/>
      <c r="U575" s="60"/>
      <c r="V575" s="60"/>
      <c r="W575" s="60"/>
    </row>
    <row r="576" spans="1:23" ht="13" x14ac:dyDescent="0.3">
      <c r="A576" s="58"/>
      <c r="B576" s="58"/>
      <c r="C576" s="58"/>
      <c r="D576" s="58"/>
      <c r="E576" s="58"/>
      <c r="F576" s="58"/>
      <c r="G576" s="58"/>
      <c r="H576" s="59"/>
      <c r="I576" s="59"/>
      <c r="J576" s="59"/>
      <c r="K576" s="59"/>
      <c r="L576" s="59"/>
      <c r="M576" s="60"/>
      <c r="N576" s="60"/>
      <c r="O576" s="60"/>
      <c r="P576" s="59"/>
      <c r="Q576" s="59"/>
      <c r="R576" s="60"/>
      <c r="S576" s="60"/>
      <c r="T576" s="60"/>
      <c r="U576" s="60"/>
      <c r="V576" s="60"/>
      <c r="W576" s="60"/>
    </row>
    <row r="577" spans="1:23" ht="13" x14ac:dyDescent="0.3">
      <c r="A577" s="58"/>
      <c r="B577" s="58"/>
      <c r="C577" s="58"/>
      <c r="D577" s="58"/>
      <c r="E577" s="58"/>
      <c r="F577" s="58"/>
      <c r="G577" s="58"/>
      <c r="H577" s="59"/>
      <c r="I577" s="59"/>
      <c r="J577" s="59"/>
      <c r="K577" s="59"/>
      <c r="L577" s="59"/>
      <c r="M577" s="60"/>
      <c r="N577" s="60"/>
      <c r="O577" s="60"/>
      <c r="P577" s="59"/>
      <c r="Q577" s="59"/>
      <c r="R577" s="60"/>
      <c r="S577" s="60"/>
      <c r="T577" s="60"/>
      <c r="U577" s="60"/>
      <c r="V577" s="60"/>
      <c r="W577" s="60"/>
    </row>
    <row r="578" spans="1:23" ht="13" x14ac:dyDescent="0.3">
      <c r="A578" s="58"/>
      <c r="B578" s="58"/>
      <c r="C578" s="58"/>
      <c r="D578" s="58"/>
      <c r="E578" s="58"/>
      <c r="F578" s="58"/>
      <c r="G578" s="58"/>
      <c r="H578" s="59"/>
      <c r="I578" s="59"/>
      <c r="J578" s="59"/>
      <c r="K578" s="59"/>
      <c r="L578" s="59"/>
      <c r="M578" s="60"/>
      <c r="N578" s="60"/>
      <c r="O578" s="60"/>
      <c r="P578" s="59"/>
      <c r="Q578" s="59"/>
      <c r="R578" s="60"/>
      <c r="S578" s="60"/>
      <c r="T578" s="60"/>
      <c r="U578" s="60"/>
      <c r="V578" s="60"/>
      <c r="W578" s="60"/>
    </row>
    <row r="579" spans="1:23" ht="13" x14ac:dyDescent="0.3">
      <c r="A579" s="58"/>
      <c r="B579" s="58"/>
      <c r="C579" s="58"/>
      <c r="D579" s="58"/>
      <c r="E579" s="58"/>
      <c r="F579" s="58"/>
      <c r="G579" s="58"/>
      <c r="H579" s="59"/>
      <c r="I579" s="59"/>
      <c r="J579" s="59"/>
      <c r="K579" s="59"/>
      <c r="L579" s="59"/>
      <c r="M579" s="60"/>
      <c r="N579" s="60"/>
      <c r="O579" s="60"/>
      <c r="P579" s="59"/>
      <c r="Q579" s="59"/>
      <c r="R579" s="60"/>
      <c r="S579" s="60"/>
      <c r="T579" s="60"/>
      <c r="U579" s="60"/>
      <c r="V579" s="60"/>
      <c r="W579" s="60"/>
    </row>
    <row r="580" spans="1:23" ht="13" x14ac:dyDescent="0.3">
      <c r="A580" s="58"/>
      <c r="B580" s="58"/>
      <c r="C580" s="58"/>
      <c r="D580" s="58"/>
      <c r="E580" s="58"/>
      <c r="F580" s="58"/>
      <c r="G580" s="58"/>
      <c r="H580" s="59"/>
      <c r="I580" s="59"/>
      <c r="J580" s="59"/>
      <c r="K580" s="59"/>
      <c r="L580" s="59"/>
      <c r="M580" s="60"/>
      <c r="N580" s="60"/>
      <c r="O580" s="60"/>
      <c r="P580" s="59"/>
      <c r="Q580" s="59"/>
      <c r="R580" s="60"/>
      <c r="S580" s="60"/>
      <c r="T580" s="60"/>
      <c r="U580" s="60"/>
      <c r="V580" s="60"/>
      <c r="W580" s="60"/>
    </row>
    <row r="581" spans="1:23" ht="13" x14ac:dyDescent="0.3">
      <c r="A581" s="58"/>
      <c r="B581" s="58"/>
      <c r="C581" s="58"/>
      <c r="D581" s="58"/>
      <c r="E581" s="58"/>
      <c r="F581" s="58"/>
      <c r="G581" s="58"/>
      <c r="H581" s="59"/>
      <c r="I581" s="59"/>
      <c r="J581" s="59"/>
      <c r="K581" s="59"/>
      <c r="L581" s="59"/>
      <c r="M581" s="60"/>
      <c r="N581" s="60"/>
      <c r="O581" s="60"/>
      <c r="P581" s="59"/>
      <c r="Q581" s="59"/>
      <c r="R581" s="60"/>
      <c r="S581" s="60"/>
      <c r="T581" s="60"/>
      <c r="U581" s="60"/>
      <c r="V581" s="60"/>
      <c r="W581" s="60"/>
    </row>
    <row r="582" spans="1:23" ht="13" x14ac:dyDescent="0.3">
      <c r="A582" s="58"/>
      <c r="B582" s="58"/>
      <c r="C582" s="58"/>
      <c r="D582" s="58"/>
      <c r="E582" s="58"/>
      <c r="F582" s="58"/>
      <c r="G582" s="58"/>
      <c r="H582" s="59"/>
      <c r="I582" s="59"/>
      <c r="J582" s="59"/>
      <c r="K582" s="59"/>
      <c r="L582" s="59"/>
      <c r="M582" s="60"/>
      <c r="N582" s="60"/>
      <c r="O582" s="60"/>
      <c r="P582" s="59"/>
      <c r="Q582" s="59"/>
      <c r="R582" s="60"/>
      <c r="S582" s="60"/>
      <c r="T582" s="60"/>
      <c r="U582" s="60"/>
      <c r="V582" s="60"/>
      <c r="W582" s="60"/>
    </row>
    <row r="583" spans="1:23" ht="13" x14ac:dyDescent="0.3">
      <c r="A583" s="58"/>
      <c r="B583" s="58"/>
      <c r="C583" s="58"/>
      <c r="D583" s="58"/>
      <c r="E583" s="58"/>
      <c r="F583" s="58"/>
      <c r="G583" s="58"/>
      <c r="H583" s="59"/>
      <c r="I583" s="59"/>
      <c r="J583" s="59"/>
      <c r="K583" s="59"/>
      <c r="L583" s="59"/>
      <c r="M583" s="60"/>
      <c r="N583" s="60"/>
      <c r="O583" s="60"/>
      <c r="P583" s="59"/>
      <c r="Q583" s="59"/>
      <c r="R583" s="60"/>
      <c r="S583" s="60"/>
      <c r="T583" s="60"/>
      <c r="U583" s="60"/>
      <c r="V583" s="60"/>
      <c r="W583" s="60"/>
    </row>
    <row r="584" spans="1:23" ht="13" x14ac:dyDescent="0.3">
      <c r="A584" s="58"/>
      <c r="B584" s="58"/>
      <c r="C584" s="58"/>
      <c r="D584" s="58"/>
      <c r="E584" s="58"/>
      <c r="F584" s="58"/>
      <c r="G584" s="58"/>
      <c r="H584" s="59"/>
      <c r="I584" s="59"/>
      <c r="J584" s="59"/>
      <c r="K584" s="59"/>
      <c r="L584" s="59"/>
      <c r="M584" s="60"/>
      <c r="N584" s="60"/>
      <c r="O584" s="60"/>
      <c r="P584" s="59"/>
      <c r="Q584" s="59"/>
      <c r="R584" s="60"/>
      <c r="S584" s="60"/>
      <c r="T584" s="60"/>
      <c r="U584" s="60"/>
      <c r="V584" s="60"/>
      <c r="W584" s="60"/>
    </row>
    <row r="585" spans="1:23" ht="13" x14ac:dyDescent="0.3">
      <c r="A585" s="58"/>
      <c r="B585" s="58"/>
      <c r="C585" s="58"/>
      <c r="D585" s="58"/>
      <c r="E585" s="58"/>
      <c r="F585" s="58"/>
      <c r="G585" s="58"/>
      <c r="H585" s="59"/>
      <c r="I585" s="59"/>
      <c r="J585" s="59"/>
      <c r="K585" s="59"/>
      <c r="L585" s="59"/>
      <c r="M585" s="60"/>
      <c r="N585" s="60"/>
      <c r="O585" s="60"/>
      <c r="P585" s="59"/>
      <c r="Q585" s="59"/>
      <c r="R585" s="60"/>
      <c r="S585" s="60"/>
      <c r="T585" s="60"/>
      <c r="U585" s="60"/>
      <c r="V585" s="60"/>
      <c r="W585" s="60"/>
    </row>
    <row r="586" spans="1:23" ht="13" x14ac:dyDescent="0.3">
      <c r="A586" s="58"/>
      <c r="B586" s="58"/>
      <c r="C586" s="58"/>
      <c r="D586" s="58"/>
      <c r="E586" s="58"/>
      <c r="F586" s="58"/>
      <c r="G586" s="58"/>
      <c r="H586" s="59"/>
      <c r="I586" s="59"/>
      <c r="J586" s="59"/>
      <c r="K586" s="59"/>
      <c r="L586" s="59"/>
      <c r="M586" s="60"/>
      <c r="N586" s="60"/>
      <c r="O586" s="60"/>
      <c r="P586" s="59"/>
      <c r="Q586" s="59"/>
      <c r="R586" s="60"/>
      <c r="S586" s="60"/>
      <c r="T586" s="60"/>
      <c r="U586" s="60"/>
      <c r="V586" s="60"/>
      <c r="W586" s="60"/>
    </row>
    <row r="587" spans="1:23" ht="13" x14ac:dyDescent="0.3">
      <c r="A587" s="58"/>
      <c r="B587" s="58"/>
      <c r="C587" s="58"/>
      <c r="D587" s="58"/>
      <c r="E587" s="58"/>
      <c r="F587" s="58"/>
      <c r="G587" s="58"/>
      <c r="H587" s="59"/>
      <c r="I587" s="59"/>
      <c r="J587" s="59"/>
      <c r="K587" s="59"/>
      <c r="L587" s="59"/>
      <c r="M587" s="60"/>
      <c r="N587" s="60"/>
      <c r="O587" s="60"/>
      <c r="P587" s="59"/>
      <c r="Q587" s="59"/>
      <c r="R587" s="60"/>
      <c r="S587" s="60"/>
      <c r="T587" s="60"/>
      <c r="U587" s="60"/>
      <c r="V587" s="60"/>
      <c r="W587" s="60"/>
    </row>
    <row r="588" spans="1:23" ht="13" x14ac:dyDescent="0.3">
      <c r="A588" s="58"/>
      <c r="B588" s="58"/>
      <c r="C588" s="58"/>
      <c r="D588" s="58"/>
      <c r="E588" s="58"/>
      <c r="F588" s="58"/>
      <c r="G588" s="58"/>
      <c r="H588" s="59"/>
      <c r="I588" s="59"/>
      <c r="J588" s="59"/>
      <c r="K588" s="59"/>
      <c r="L588" s="59"/>
      <c r="M588" s="60"/>
      <c r="N588" s="60"/>
      <c r="O588" s="60"/>
      <c r="P588" s="59"/>
      <c r="Q588" s="59"/>
      <c r="R588" s="60"/>
      <c r="S588" s="60"/>
      <c r="T588" s="60"/>
      <c r="U588" s="60"/>
      <c r="V588" s="60"/>
      <c r="W588" s="60"/>
    </row>
    <row r="589" spans="1:23" ht="13" x14ac:dyDescent="0.3">
      <c r="A589" s="58"/>
      <c r="B589" s="58"/>
      <c r="C589" s="58"/>
      <c r="D589" s="58"/>
      <c r="E589" s="58"/>
      <c r="F589" s="58"/>
      <c r="G589" s="58"/>
      <c r="H589" s="59"/>
      <c r="I589" s="59"/>
      <c r="J589" s="59"/>
      <c r="K589" s="59"/>
      <c r="L589" s="59"/>
      <c r="M589" s="60"/>
      <c r="N589" s="60"/>
      <c r="O589" s="60"/>
      <c r="P589" s="59"/>
      <c r="Q589" s="59"/>
      <c r="R589" s="60"/>
      <c r="S589" s="60"/>
      <c r="T589" s="60"/>
      <c r="U589" s="60"/>
      <c r="V589" s="60"/>
      <c r="W589" s="60"/>
    </row>
    <row r="590" spans="1:23" ht="13" x14ac:dyDescent="0.3">
      <c r="A590" s="58"/>
      <c r="B590" s="58"/>
      <c r="C590" s="58"/>
      <c r="D590" s="58"/>
      <c r="E590" s="58"/>
      <c r="F590" s="58"/>
      <c r="G590" s="58"/>
      <c r="H590" s="59"/>
      <c r="I590" s="59"/>
      <c r="J590" s="59"/>
      <c r="K590" s="59"/>
      <c r="L590" s="59"/>
      <c r="M590" s="60"/>
      <c r="N590" s="60"/>
      <c r="O590" s="60"/>
      <c r="P590" s="59"/>
      <c r="Q590" s="59"/>
      <c r="R590" s="60"/>
      <c r="S590" s="60"/>
      <c r="T590" s="60"/>
      <c r="U590" s="60"/>
      <c r="V590" s="60"/>
      <c r="W590" s="60"/>
    </row>
    <row r="591" spans="1:23" ht="13" x14ac:dyDescent="0.3">
      <c r="A591" s="58"/>
      <c r="B591" s="58"/>
      <c r="C591" s="58"/>
      <c r="D591" s="58"/>
      <c r="E591" s="58"/>
      <c r="F591" s="58"/>
      <c r="G591" s="58"/>
      <c r="H591" s="59"/>
      <c r="I591" s="59"/>
      <c r="J591" s="59"/>
      <c r="K591" s="59"/>
      <c r="L591" s="59"/>
      <c r="M591" s="60"/>
      <c r="N591" s="60"/>
      <c r="O591" s="60"/>
      <c r="P591" s="59"/>
      <c r="Q591" s="59"/>
      <c r="R591" s="60"/>
      <c r="S591" s="60"/>
      <c r="T591" s="60"/>
      <c r="U591" s="60"/>
      <c r="V591" s="60"/>
      <c r="W591" s="60"/>
    </row>
    <row r="592" spans="1:23" ht="13" x14ac:dyDescent="0.3">
      <c r="A592" s="58"/>
      <c r="B592" s="58"/>
      <c r="C592" s="58"/>
      <c r="D592" s="58"/>
      <c r="E592" s="58"/>
      <c r="F592" s="58"/>
      <c r="G592" s="58"/>
      <c r="H592" s="59"/>
      <c r="I592" s="59"/>
      <c r="J592" s="59"/>
      <c r="K592" s="59"/>
      <c r="L592" s="59"/>
      <c r="M592" s="60"/>
      <c r="N592" s="60"/>
      <c r="O592" s="60"/>
      <c r="P592" s="59"/>
      <c r="Q592" s="59"/>
      <c r="R592" s="60"/>
      <c r="S592" s="60"/>
      <c r="T592" s="60"/>
      <c r="U592" s="60"/>
      <c r="V592" s="60"/>
      <c r="W592" s="60"/>
    </row>
    <row r="593" spans="1:23" ht="13" x14ac:dyDescent="0.3">
      <c r="A593" s="58"/>
      <c r="B593" s="58"/>
      <c r="C593" s="58"/>
      <c r="D593" s="58"/>
      <c r="E593" s="58"/>
      <c r="F593" s="58"/>
      <c r="G593" s="58"/>
      <c r="H593" s="59"/>
      <c r="I593" s="59"/>
      <c r="J593" s="59"/>
      <c r="K593" s="59"/>
      <c r="L593" s="59"/>
      <c r="M593" s="60"/>
      <c r="N593" s="60"/>
      <c r="O593" s="60"/>
      <c r="P593" s="59"/>
      <c r="Q593" s="59"/>
      <c r="R593" s="60"/>
      <c r="S593" s="60"/>
      <c r="T593" s="60"/>
      <c r="U593" s="60"/>
      <c r="V593" s="60"/>
      <c r="W593" s="60"/>
    </row>
    <row r="594" spans="1:23" ht="13" x14ac:dyDescent="0.3">
      <c r="A594" s="58"/>
      <c r="B594" s="58"/>
      <c r="C594" s="58"/>
      <c r="D594" s="58"/>
      <c r="E594" s="58"/>
      <c r="F594" s="58"/>
      <c r="G594" s="58"/>
      <c r="H594" s="59"/>
      <c r="I594" s="59"/>
      <c r="J594" s="59"/>
      <c r="K594" s="59"/>
      <c r="L594" s="59"/>
      <c r="M594" s="60"/>
      <c r="N594" s="60"/>
      <c r="O594" s="60"/>
      <c r="P594" s="59"/>
      <c r="Q594" s="59"/>
      <c r="R594" s="60"/>
      <c r="S594" s="60"/>
      <c r="T594" s="60"/>
      <c r="U594" s="60"/>
      <c r="V594" s="60"/>
      <c r="W594" s="60"/>
    </row>
    <row r="595" spans="1:23" ht="13" x14ac:dyDescent="0.3">
      <c r="A595" s="58"/>
      <c r="B595" s="58"/>
      <c r="C595" s="58"/>
      <c r="D595" s="58"/>
      <c r="E595" s="58"/>
      <c r="F595" s="58"/>
      <c r="G595" s="58"/>
      <c r="H595" s="59"/>
      <c r="I595" s="59"/>
      <c r="J595" s="59"/>
      <c r="K595" s="59"/>
      <c r="L595" s="59"/>
      <c r="M595" s="60"/>
      <c r="N595" s="60"/>
      <c r="O595" s="60"/>
      <c r="P595" s="59"/>
      <c r="Q595" s="59"/>
      <c r="R595" s="60"/>
      <c r="S595" s="60"/>
      <c r="T595" s="60"/>
      <c r="U595" s="60"/>
      <c r="V595" s="60"/>
      <c r="W595" s="60"/>
    </row>
    <row r="596" spans="1:23" ht="13" x14ac:dyDescent="0.3">
      <c r="A596" s="58"/>
      <c r="B596" s="58"/>
      <c r="C596" s="58"/>
      <c r="D596" s="58"/>
      <c r="E596" s="58"/>
      <c r="F596" s="58"/>
      <c r="G596" s="58"/>
      <c r="H596" s="59"/>
      <c r="I596" s="59"/>
      <c r="J596" s="59"/>
      <c r="K596" s="59"/>
      <c r="L596" s="59"/>
      <c r="M596" s="60"/>
      <c r="N596" s="60"/>
      <c r="O596" s="60"/>
      <c r="P596" s="59"/>
      <c r="Q596" s="59"/>
      <c r="R596" s="60"/>
      <c r="S596" s="60"/>
      <c r="T596" s="60"/>
      <c r="U596" s="60"/>
      <c r="V596" s="60"/>
      <c r="W596" s="60"/>
    </row>
    <row r="597" spans="1:23" ht="13" x14ac:dyDescent="0.3">
      <c r="A597" s="58"/>
      <c r="B597" s="58"/>
      <c r="C597" s="58"/>
      <c r="D597" s="58"/>
      <c r="E597" s="58"/>
      <c r="F597" s="58"/>
      <c r="G597" s="58"/>
      <c r="H597" s="59"/>
      <c r="I597" s="59"/>
      <c r="J597" s="59"/>
      <c r="K597" s="59"/>
      <c r="L597" s="59"/>
      <c r="M597" s="60"/>
      <c r="N597" s="60"/>
      <c r="O597" s="60"/>
      <c r="P597" s="59"/>
      <c r="Q597" s="59"/>
      <c r="R597" s="60"/>
      <c r="S597" s="60"/>
      <c r="T597" s="60"/>
      <c r="U597" s="60"/>
      <c r="V597" s="60"/>
      <c r="W597" s="60"/>
    </row>
    <row r="598" spans="1:23" ht="13" x14ac:dyDescent="0.3">
      <c r="A598" s="58"/>
      <c r="B598" s="58"/>
      <c r="C598" s="58"/>
      <c r="D598" s="58"/>
      <c r="E598" s="58"/>
      <c r="F598" s="58"/>
      <c r="G598" s="58"/>
      <c r="H598" s="59"/>
      <c r="I598" s="59"/>
      <c r="J598" s="59"/>
      <c r="K598" s="59"/>
      <c r="L598" s="59"/>
      <c r="M598" s="60"/>
      <c r="N598" s="60"/>
      <c r="O598" s="60"/>
      <c r="P598" s="59"/>
      <c r="Q598" s="59"/>
      <c r="R598" s="60"/>
      <c r="S598" s="60"/>
      <c r="T598" s="60"/>
      <c r="U598" s="60"/>
      <c r="V598" s="60"/>
      <c r="W598" s="60"/>
    </row>
    <row r="599" spans="1:23" ht="13" x14ac:dyDescent="0.3">
      <c r="A599" s="58"/>
      <c r="B599" s="58"/>
      <c r="C599" s="58"/>
      <c r="D599" s="58"/>
      <c r="E599" s="58"/>
      <c r="F599" s="58"/>
      <c r="G599" s="58"/>
      <c r="H599" s="59"/>
      <c r="I599" s="59"/>
      <c r="J599" s="59"/>
      <c r="K599" s="59"/>
      <c r="L599" s="59"/>
      <c r="M599" s="60"/>
      <c r="N599" s="60"/>
      <c r="O599" s="60"/>
      <c r="P599" s="59"/>
      <c r="Q599" s="59"/>
      <c r="R599" s="60"/>
      <c r="S599" s="60"/>
      <c r="T599" s="60"/>
      <c r="U599" s="60"/>
      <c r="V599" s="60"/>
      <c r="W599" s="60"/>
    </row>
    <row r="600" spans="1:23" ht="13" x14ac:dyDescent="0.3">
      <c r="A600" s="58"/>
      <c r="B600" s="58"/>
      <c r="C600" s="58"/>
      <c r="D600" s="58"/>
      <c r="E600" s="58"/>
      <c r="F600" s="58"/>
      <c r="G600" s="58"/>
      <c r="H600" s="59"/>
      <c r="I600" s="59"/>
      <c r="J600" s="59"/>
      <c r="K600" s="59"/>
      <c r="L600" s="59"/>
      <c r="M600" s="60"/>
      <c r="N600" s="60"/>
      <c r="O600" s="60"/>
      <c r="P600" s="59"/>
      <c r="Q600" s="59"/>
      <c r="R600" s="60"/>
      <c r="S600" s="60"/>
      <c r="T600" s="60"/>
      <c r="U600" s="60"/>
      <c r="V600" s="60"/>
      <c r="W600" s="60"/>
    </row>
    <row r="601" spans="1:23" ht="13" x14ac:dyDescent="0.3">
      <c r="A601" s="58"/>
      <c r="B601" s="58"/>
      <c r="C601" s="58"/>
      <c r="D601" s="58"/>
      <c r="E601" s="58"/>
      <c r="F601" s="58"/>
      <c r="G601" s="58"/>
      <c r="H601" s="59"/>
      <c r="I601" s="59"/>
      <c r="J601" s="59"/>
      <c r="K601" s="59"/>
      <c r="L601" s="59"/>
      <c r="M601" s="60"/>
      <c r="N601" s="60"/>
      <c r="O601" s="60"/>
      <c r="P601" s="59"/>
      <c r="Q601" s="59"/>
      <c r="R601" s="60"/>
      <c r="S601" s="60"/>
      <c r="T601" s="60"/>
      <c r="U601" s="60"/>
      <c r="V601" s="60"/>
      <c r="W601" s="60"/>
    </row>
    <row r="602" spans="1:23" ht="13" x14ac:dyDescent="0.3">
      <c r="A602" s="58"/>
      <c r="B602" s="58"/>
      <c r="C602" s="58"/>
      <c r="D602" s="58"/>
      <c r="E602" s="58"/>
      <c r="F602" s="58"/>
      <c r="G602" s="58"/>
      <c r="H602" s="59"/>
      <c r="I602" s="59"/>
      <c r="J602" s="59"/>
      <c r="K602" s="59"/>
      <c r="L602" s="59"/>
      <c r="M602" s="60"/>
      <c r="N602" s="60"/>
      <c r="O602" s="60"/>
      <c r="P602" s="59"/>
      <c r="Q602" s="59"/>
      <c r="R602" s="60"/>
      <c r="S602" s="60"/>
      <c r="T602" s="60"/>
      <c r="U602" s="60"/>
      <c r="V602" s="60"/>
      <c r="W602" s="60"/>
    </row>
    <row r="603" spans="1:23" ht="13" x14ac:dyDescent="0.3">
      <c r="A603" s="58"/>
      <c r="B603" s="58"/>
      <c r="C603" s="58"/>
      <c r="D603" s="58"/>
      <c r="E603" s="58"/>
      <c r="F603" s="58"/>
      <c r="G603" s="58"/>
      <c r="H603" s="59"/>
      <c r="I603" s="59"/>
      <c r="J603" s="59"/>
      <c r="K603" s="59"/>
      <c r="L603" s="59"/>
      <c r="M603" s="60"/>
      <c r="N603" s="60"/>
      <c r="O603" s="60"/>
      <c r="P603" s="59"/>
      <c r="Q603" s="59"/>
      <c r="R603" s="60"/>
      <c r="S603" s="60"/>
      <c r="T603" s="60"/>
      <c r="U603" s="60"/>
      <c r="V603" s="60"/>
      <c r="W603" s="60"/>
    </row>
    <row r="604" spans="1:23" ht="13" x14ac:dyDescent="0.3">
      <c r="A604" s="58"/>
      <c r="B604" s="58"/>
      <c r="C604" s="58"/>
      <c r="D604" s="58"/>
      <c r="E604" s="58"/>
      <c r="F604" s="58"/>
      <c r="G604" s="58"/>
      <c r="H604" s="59"/>
      <c r="I604" s="59"/>
      <c r="J604" s="59"/>
      <c r="K604" s="59"/>
      <c r="L604" s="59"/>
      <c r="M604" s="60"/>
      <c r="N604" s="60"/>
      <c r="O604" s="60"/>
      <c r="P604" s="59"/>
      <c r="Q604" s="59"/>
      <c r="R604" s="60"/>
      <c r="S604" s="60"/>
      <c r="T604" s="60"/>
      <c r="U604" s="60"/>
      <c r="V604" s="60"/>
      <c r="W604" s="60"/>
    </row>
    <row r="605" spans="1:23" ht="13" x14ac:dyDescent="0.3">
      <c r="A605" s="58"/>
      <c r="B605" s="58"/>
      <c r="C605" s="58"/>
      <c r="D605" s="58"/>
      <c r="E605" s="58"/>
      <c r="F605" s="58"/>
      <c r="G605" s="58"/>
      <c r="H605" s="59"/>
      <c r="I605" s="59"/>
      <c r="J605" s="59"/>
      <c r="K605" s="59"/>
      <c r="L605" s="59"/>
      <c r="M605" s="60"/>
      <c r="N605" s="60"/>
      <c r="O605" s="60"/>
      <c r="P605" s="59"/>
      <c r="Q605" s="59"/>
      <c r="R605" s="60"/>
      <c r="S605" s="60"/>
      <c r="T605" s="60"/>
      <c r="U605" s="60"/>
      <c r="V605" s="60"/>
      <c r="W605" s="60"/>
    </row>
    <row r="606" spans="1:23" ht="13" x14ac:dyDescent="0.3">
      <c r="A606" s="58"/>
      <c r="B606" s="58"/>
      <c r="C606" s="58"/>
      <c r="D606" s="58"/>
      <c r="E606" s="58"/>
      <c r="F606" s="58"/>
      <c r="G606" s="58"/>
      <c r="H606" s="59"/>
      <c r="I606" s="59"/>
      <c r="J606" s="59"/>
      <c r="K606" s="59"/>
      <c r="L606" s="59"/>
      <c r="M606" s="60"/>
      <c r="N606" s="60"/>
      <c r="O606" s="60"/>
      <c r="P606" s="59"/>
      <c r="Q606" s="59"/>
      <c r="R606" s="60"/>
      <c r="S606" s="60"/>
      <c r="T606" s="60"/>
      <c r="U606" s="60"/>
      <c r="V606" s="60"/>
      <c r="W606" s="60"/>
    </row>
    <row r="607" spans="1:23" ht="13" x14ac:dyDescent="0.3">
      <c r="A607" s="58"/>
      <c r="B607" s="58"/>
      <c r="C607" s="58"/>
      <c r="D607" s="58"/>
      <c r="E607" s="58"/>
      <c r="F607" s="58"/>
      <c r="G607" s="58"/>
      <c r="H607" s="59"/>
      <c r="I607" s="59"/>
      <c r="J607" s="59"/>
      <c r="K607" s="59"/>
      <c r="L607" s="59"/>
      <c r="M607" s="60"/>
      <c r="N607" s="60"/>
      <c r="O607" s="60"/>
      <c r="P607" s="59"/>
      <c r="Q607" s="59"/>
      <c r="R607" s="60"/>
      <c r="S607" s="60"/>
      <c r="T607" s="60"/>
      <c r="U607" s="60"/>
      <c r="V607" s="60"/>
      <c r="W607" s="60"/>
    </row>
    <row r="608" spans="1:23" ht="13" x14ac:dyDescent="0.3">
      <c r="A608" s="58"/>
      <c r="B608" s="58"/>
      <c r="C608" s="58"/>
      <c r="D608" s="58"/>
      <c r="E608" s="58"/>
      <c r="F608" s="58"/>
      <c r="G608" s="58"/>
      <c r="H608" s="59"/>
      <c r="I608" s="59"/>
      <c r="J608" s="59"/>
      <c r="K608" s="59"/>
      <c r="L608" s="59"/>
      <c r="M608" s="60"/>
      <c r="N608" s="60"/>
      <c r="O608" s="60"/>
      <c r="P608" s="59"/>
      <c r="Q608" s="59"/>
      <c r="R608" s="60"/>
      <c r="S608" s="60"/>
      <c r="T608" s="60"/>
      <c r="U608" s="60"/>
      <c r="V608" s="60"/>
      <c r="W608" s="60"/>
    </row>
    <row r="609" spans="1:23" ht="13" x14ac:dyDescent="0.3">
      <c r="A609" s="58"/>
      <c r="B609" s="58"/>
      <c r="C609" s="58"/>
      <c r="D609" s="58"/>
      <c r="E609" s="58"/>
      <c r="F609" s="58"/>
      <c r="G609" s="58"/>
      <c r="H609" s="59"/>
      <c r="I609" s="59"/>
      <c r="J609" s="59"/>
      <c r="K609" s="59"/>
      <c r="L609" s="59"/>
      <c r="M609" s="60"/>
      <c r="N609" s="60"/>
      <c r="O609" s="60"/>
      <c r="P609" s="59"/>
      <c r="Q609" s="59"/>
      <c r="R609" s="60"/>
      <c r="S609" s="60"/>
      <c r="T609" s="60"/>
      <c r="U609" s="60"/>
      <c r="V609" s="60"/>
      <c r="W609" s="60"/>
    </row>
    <row r="610" spans="1:23" ht="13" x14ac:dyDescent="0.3">
      <c r="A610" s="58"/>
      <c r="B610" s="58"/>
      <c r="C610" s="58"/>
      <c r="D610" s="58"/>
      <c r="E610" s="58"/>
      <c r="F610" s="58"/>
      <c r="G610" s="58"/>
      <c r="H610" s="59"/>
      <c r="I610" s="59"/>
      <c r="J610" s="59"/>
      <c r="K610" s="59"/>
      <c r="L610" s="59"/>
      <c r="M610" s="60"/>
      <c r="N610" s="60"/>
      <c r="O610" s="60"/>
      <c r="P610" s="59"/>
      <c r="Q610" s="59"/>
      <c r="R610" s="60"/>
      <c r="S610" s="60"/>
      <c r="T610" s="60"/>
      <c r="U610" s="60"/>
      <c r="V610" s="60"/>
      <c r="W610" s="60"/>
    </row>
    <row r="611" spans="1:23" ht="13" x14ac:dyDescent="0.3">
      <c r="A611" s="58"/>
      <c r="B611" s="58"/>
      <c r="C611" s="58"/>
      <c r="D611" s="58"/>
      <c r="E611" s="58"/>
      <c r="F611" s="58"/>
      <c r="G611" s="58"/>
      <c r="H611" s="59"/>
      <c r="I611" s="59"/>
      <c r="J611" s="59"/>
      <c r="K611" s="59"/>
      <c r="L611" s="59"/>
      <c r="M611" s="60"/>
      <c r="N611" s="60"/>
      <c r="O611" s="60"/>
      <c r="P611" s="59"/>
      <c r="Q611" s="59"/>
      <c r="R611" s="60"/>
      <c r="S611" s="60"/>
      <c r="T611" s="60"/>
      <c r="U611" s="60"/>
      <c r="V611" s="60"/>
      <c r="W611" s="60"/>
    </row>
    <row r="612" spans="1:23" ht="13" x14ac:dyDescent="0.3">
      <c r="A612" s="58"/>
      <c r="B612" s="58"/>
      <c r="C612" s="58"/>
      <c r="D612" s="58"/>
      <c r="E612" s="58"/>
      <c r="F612" s="58"/>
      <c r="G612" s="58"/>
      <c r="H612" s="59"/>
      <c r="I612" s="59"/>
      <c r="J612" s="59"/>
      <c r="K612" s="59"/>
      <c r="L612" s="59"/>
      <c r="M612" s="60"/>
      <c r="N612" s="60"/>
      <c r="O612" s="60"/>
      <c r="P612" s="59"/>
      <c r="Q612" s="59"/>
      <c r="R612" s="60"/>
      <c r="S612" s="60"/>
      <c r="T612" s="60"/>
      <c r="U612" s="60"/>
      <c r="V612" s="60"/>
      <c r="W612" s="60"/>
    </row>
    <row r="613" spans="1:23" ht="13" x14ac:dyDescent="0.3">
      <c r="A613" s="58"/>
      <c r="B613" s="58"/>
      <c r="C613" s="58"/>
      <c r="D613" s="58"/>
      <c r="E613" s="58"/>
      <c r="F613" s="58"/>
      <c r="G613" s="58"/>
      <c r="H613" s="59"/>
      <c r="I613" s="59"/>
      <c r="J613" s="59"/>
      <c r="K613" s="59"/>
      <c r="L613" s="59"/>
      <c r="M613" s="60"/>
      <c r="N613" s="60"/>
      <c r="O613" s="60"/>
      <c r="P613" s="59"/>
      <c r="Q613" s="59"/>
      <c r="R613" s="60"/>
      <c r="S613" s="60"/>
      <c r="T613" s="60"/>
      <c r="U613" s="60"/>
      <c r="V613" s="60"/>
      <c r="W613" s="60"/>
    </row>
    <row r="614" spans="1:23" ht="13" x14ac:dyDescent="0.3">
      <c r="A614" s="58"/>
      <c r="B614" s="58"/>
      <c r="C614" s="58"/>
      <c r="D614" s="58"/>
      <c r="E614" s="58"/>
      <c r="F614" s="58"/>
      <c r="G614" s="58"/>
      <c r="H614" s="59"/>
      <c r="I614" s="59"/>
      <c r="J614" s="59"/>
      <c r="K614" s="59"/>
      <c r="L614" s="59"/>
      <c r="M614" s="60"/>
      <c r="N614" s="60"/>
      <c r="O614" s="60"/>
      <c r="P614" s="59"/>
      <c r="Q614" s="59"/>
      <c r="R614" s="60"/>
      <c r="S614" s="60"/>
      <c r="T614" s="60"/>
      <c r="U614" s="60"/>
      <c r="V614" s="60"/>
      <c r="W614" s="60"/>
    </row>
    <row r="615" spans="1:23" ht="13" x14ac:dyDescent="0.3">
      <c r="A615" s="58"/>
      <c r="B615" s="58"/>
      <c r="C615" s="58"/>
      <c r="D615" s="58"/>
      <c r="E615" s="58"/>
      <c r="F615" s="58"/>
      <c r="G615" s="58"/>
      <c r="H615" s="59"/>
      <c r="I615" s="59"/>
      <c r="J615" s="59"/>
      <c r="K615" s="59"/>
      <c r="L615" s="59"/>
      <c r="M615" s="60"/>
      <c r="N615" s="60"/>
      <c r="O615" s="60"/>
      <c r="P615" s="59"/>
      <c r="Q615" s="59"/>
      <c r="R615" s="60"/>
      <c r="S615" s="60"/>
      <c r="T615" s="60"/>
      <c r="U615" s="60"/>
      <c r="V615" s="60"/>
      <c r="W615" s="60"/>
    </row>
    <row r="616" spans="1:23" ht="13" x14ac:dyDescent="0.3">
      <c r="A616" s="58"/>
      <c r="B616" s="58"/>
      <c r="C616" s="58"/>
      <c r="D616" s="58"/>
      <c r="E616" s="58"/>
      <c r="F616" s="58"/>
      <c r="G616" s="58"/>
      <c r="H616" s="59"/>
      <c r="I616" s="59"/>
      <c r="J616" s="59"/>
      <c r="K616" s="59"/>
      <c r="L616" s="59"/>
      <c r="M616" s="60"/>
      <c r="N616" s="60"/>
      <c r="O616" s="60"/>
      <c r="P616" s="59"/>
      <c r="Q616" s="59"/>
      <c r="R616" s="60"/>
      <c r="S616" s="60"/>
      <c r="T616" s="60"/>
      <c r="U616" s="60"/>
      <c r="V616" s="60"/>
      <c r="W616" s="60"/>
    </row>
    <row r="617" spans="1:23" ht="13" x14ac:dyDescent="0.3">
      <c r="A617" s="58"/>
      <c r="B617" s="58"/>
      <c r="C617" s="58"/>
      <c r="D617" s="58"/>
      <c r="E617" s="58"/>
      <c r="F617" s="58"/>
      <c r="G617" s="58"/>
      <c r="H617" s="59"/>
      <c r="I617" s="59"/>
      <c r="J617" s="59"/>
      <c r="K617" s="59"/>
      <c r="L617" s="59"/>
      <c r="M617" s="60"/>
      <c r="N617" s="60"/>
      <c r="O617" s="60"/>
      <c r="P617" s="59"/>
      <c r="Q617" s="59"/>
      <c r="R617" s="60"/>
      <c r="S617" s="60"/>
      <c r="T617" s="60"/>
      <c r="U617" s="60"/>
      <c r="V617" s="60"/>
      <c r="W617" s="60"/>
    </row>
    <row r="618" spans="1:23" ht="13" x14ac:dyDescent="0.3">
      <c r="A618" s="58"/>
      <c r="B618" s="58"/>
      <c r="C618" s="58"/>
      <c r="D618" s="58"/>
      <c r="E618" s="58"/>
      <c r="F618" s="58"/>
      <c r="G618" s="58"/>
      <c r="H618" s="59"/>
      <c r="I618" s="59"/>
      <c r="J618" s="59"/>
      <c r="K618" s="59"/>
      <c r="L618" s="59"/>
      <c r="M618" s="60"/>
      <c r="N618" s="60"/>
      <c r="O618" s="60"/>
      <c r="P618" s="59"/>
      <c r="Q618" s="59"/>
      <c r="R618" s="60"/>
      <c r="S618" s="60"/>
      <c r="T618" s="60"/>
      <c r="U618" s="60"/>
      <c r="V618" s="60"/>
      <c r="W618" s="60"/>
    </row>
    <row r="619" spans="1:23" ht="13" x14ac:dyDescent="0.3">
      <c r="A619" s="58"/>
      <c r="B619" s="58"/>
      <c r="C619" s="58"/>
      <c r="D619" s="58"/>
      <c r="E619" s="58"/>
      <c r="F619" s="58"/>
      <c r="G619" s="58"/>
      <c r="H619" s="59"/>
      <c r="I619" s="59"/>
      <c r="J619" s="59"/>
      <c r="K619" s="59"/>
      <c r="L619" s="59"/>
      <c r="M619" s="60"/>
      <c r="N619" s="60"/>
      <c r="O619" s="60"/>
      <c r="P619" s="59"/>
      <c r="Q619" s="59"/>
      <c r="R619" s="60"/>
      <c r="S619" s="60"/>
      <c r="T619" s="60"/>
      <c r="U619" s="60"/>
      <c r="V619" s="60"/>
      <c r="W619" s="60"/>
    </row>
    <row r="620" spans="1:23" ht="13" x14ac:dyDescent="0.3">
      <c r="A620" s="58"/>
      <c r="B620" s="58"/>
      <c r="C620" s="58"/>
      <c r="D620" s="58"/>
      <c r="E620" s="58"/>
      <c r="F620" s="58"/>
      <c r="G620" s="58"/>
      <c r="H620" s="59"/>
      <c r="I620" s="59"/>
      <c r="J620" s="59"/>
      <c r="K620" s="59"/>
      <c r="L620" s="59"/>
      <c r="M620" s="60"/>
      <c r="N620" s="60"/>
      <c r="O620" s="60"/>
      <c r="P620" s="59"/>
      <c r="Q620" s="59"/>
      <c r="R620" s="60"/>
      <c r="S620" s="60"/>
      <c r="T620" s="60"/>
      <c r="U620" s="60"/>
      <c r="V620" s="60"/>
      <c r="W620" s="60"/>
    </row>
    <row r="621" spans="1:23" ht="13" x14ac:dyDescent="0.3">
      <c r="A621" s="58"/>
      <c r="B621" s="58"/>
      <c r="C621" s="58"/>
      <c r="D621" s="58"/>
      <c r="E621" s="58"/>
      <c r="F621" s="58"/>
      <c r="G621" s="58"/>
      <c r="H621" s="59"/>
      <c r="I621" s="59"/>
      <c r="J621" s="59"/>
      <c r="K621" s="59"/>
      <c r="L621" s="59"/>
      <c r="M621" s="60"/>
      <c r="N621" s="60"/>
      <c r="O621" s="60"/>
      <c r="P621" s="59"/>
      <c r="Q621" s="59"/>
      <c r="R621" s="60"/>
      <c r="S621" s="60"/>
      <c r="T621" s="60"/>
      <c r="U621" s="60"/>
      <c r="V621" s="60"/>
      <c r="W621" s="60"/>
    </row>
    <row r="622" spans="1:23" ht="13" x14ac:dyDescent="0.3">
      <c r="A622" s="58"/>
      <c r="B622" s="58"/>
      <c r="C622" s="58"/>
      <c r="D622" s="58"/>
      <c r="E622" s="58"/>
      <c r="F622" s="58"/>
      <c r="G622" s="58"/>
      <c r="H622" s="59"/>
      <c r="I622" s="59"/>
      <c r="J622" s="59"/>
      <c r="K622" s="59"/>
      <c r="L622" s="59"/>
      <c r="M622" s="60"/>
      <c r="N622" s="60"/>
      <c r="O622" s="60"/>
      <c r="P622" s="59"/>
      <c r="Q622" s="59"/>
      <c r="R622" s="60"/>
      <c r="S622" s="60"/>
      <c r="T622" s="60"/>
      <c r="U622" s="60"/>
      <c r="V622" s="60"/>
      <c r="W622" s="60"/>
    </row>
    <row r="623" spans="1:23" ht="13" x14ac:dyDescent="0.3">
      <c r="A623" s="58"/>
      <c r="B623" s="58"/>
      <c r="C623" s="58"/>
      <c r="D623" s="58"/>
      <c r="E623" s="58"/>
      <c r="F623" s="58"/>
      <c r="G623" s="58"/>
      <c r="H623" s="59"/>
      <c r="I623" s="59"/>
      <c r="J623" s="59"/>
      <c r="K623" s="59"/>
      <c r="L623" s="59"/>
      <c r="M623" s="60"/>
      <c r="N623" s="60"/>
      <c r="O623" s="60"/>
      <c r="P623" s="59"/>
      <c r="Q623" s="59"/>
      <c r="R623" s="60"/>
      <c r="S623" s="60"/>
      <c r="T623" s="60"/>
      <c r="U623" s="60"/>
      <c r="V623" s="60"/>
      <c r="W623" s="60"/>
    </row>
    <row r="624" spans="1:23" ht="13" x14ac:dyDescent="0.3">
      <c r="A624" s="58"/>
      <c r="B624" s="58"/>
      <c r="C624" s="58"/>
      <c r="D624" s="58"/>
      <c r="E624" s="58"/>
      <c r="F624" s="58"/>
      <c r="G624" s="58"/>
      <c r="H624" s="59"/>
      <c r="I624" s="59"/>
      <c r="J624" s="59"/>
      <c r="K624" s="59"/>
      <c r="L624" s="59"/>
      <c r="M624" s="60"/>
      <c r="N624" s="60"/>
      <c r="O624" s="60"/>
      <c r="P624" s="59"/>
      <c r="Q624" s="59"/>
      <c r="R624" s="60"/>
      <c r="S624" s="60"/>
      <c r="T624" s="60"/>
      <c r="U624" s="60"/>
      <c r="V624" s="60"/>
      <c r="W624" s="60"/>
    </row>
    <row r="625" spans="1:23" ht="13" x14ac:dyDescent="0.3">
      <c r="A625" s="58"/>
      <c r="B625" s="58"/>
      <c r="C625" s="58"/>
      <c r="D625" s="58"/>
      <c r="E625" s="58"/>
      <c r="F625" s="58"/>
      <c r="G625" s="58"/>
      <c r="H625" s="59"/>
      <c r="I625" s="59"/>
      <c r="J625" s="59"/>
      <c r="K625" s="59"/>
      <c r="L625" s="59"/>
      <c r="M625" s="60"/>
      <c r="N625" s="60"/>
      <c r="O625" s="60"/>
      <c r="P625" s="59"/>
      <c r="Q625" s="59"/>
      <c r="R625" s="60"/>
      <c r="S625" s="60"/>
      <c r="T625" s="60"/>
      <c r="U625" s="60"/>
      <c r="V625" s="60"/>
      <c r="W625" s="60"/>
    </row>
    <row r="626" spans="1:23" ht="13" x14ac:dyDescent="0.3">
      <c r="A626" s="58"/>
      <c r="B626" s="58"/>
      <c r="C626" s="58"/>
      <c r="D626" s="58"/>
      <c r="E626" s="58"/>
      <c r="F626" s="58"/>
      <c r="G626" s="58"/>
      <c r="H626" s="59"/>
      <c r="I626" s="59"/>
      <c r="J626" s="59"/>
      <c r="K626" s="59"/>
      <c r="L626" s="59"/>
      <c r="M626" s="60"/>
      <c r="N626" s="60"/>
      <c r="O626" s="60"/>
      <c r="P626" s="59"/>
      <c r="Q626" s="59"/>
      <c r="R626" s="60"/>
      <c r="S626" s="60"/>
      <c r="T626" s="60"/>
      <c r="U626" s="60"/>
      <c r="V626" s="60"/>
      <c r="W626" s="60"/>
    </row>
    <row r="627" spans="1:23" ht="13" x14ac:dyDescent="0.3">
      <c r="A627" s="58"/>
      <c r="B627" s="58"/>
      <c r="C627" s="58"/>
      <c r="D627" s="58"/>
      <c r="E627" s="58"/>
      <c r="F627" s="58"/>
      <c r="G627" s="58"/>
      <c r="H627" s="59"/>
      <c r="I627" s="59"/>
      <c r="J627" s="59"/>
      <c r="K627" s="59"/>
      <c r="L627" s="59"/>
      <c r="M627" s="60"/>
      <c r="N627" s="60"/>
      <c r="O627" s="60"/>
      <c r="P627" s="59"/>
      <c r="Q627" s="59"/>
      <c r="R627" s="60"/>
      <c r="S627" s="60"/>
      <c r="T627" s="60"/>
      <c r="U627" s="60"/>
      <c r="V627" s="60"/>
      <c r="W627" s="60"/>
    </row>
    <row r="628" spans="1:23" ht="13" x14ac:dyDescent="0.3">
      <c r="A628" s="58"/>
      <c r="B628" s="58"/>
      <c r="C628" s="58"/>
      <c r="D628" s="58"/>
      <c r="E628" s="58"/>
      <c r="F628" s="58"/>
      <c r="G628" s="58"/>
      <c r="H628" s="59"/>
      <c r="I628" s="59"/>
      <c r="J628" s="59"/>
      <c r="K628" s="59"/>
      <c r="L628" s="59"/>
      <c r="M628" s="60"/>
      <c r="N628" s="60"/>
      <c r="O628" s="60"/>
      <c r="P628" s="59"/>
      <c r="Q628" s="59"/>
      <c r="R628" s="60"/>
      <c r="S628" s="60"/>
      <c r="T628" s="60"/>
      <c r="U628" s="60"/>
      <c r="V628" s="60"/>
      <c r="W628" s="60"/>
    </row>
    <row r="629" spans="1:23" ht="13" x14ac:dyDescent="0.3">
      <c r="A629" s="58"/>
      <c r="B629" s="58"/>
      <c r="C629" s="58"/>
      <c r="D629" s="58"/>
      <c r="E629" s="58"/>
      <c r="F629" s="58"/>
      <c r="G629" s="58"/>
      <c r="H629" s="59"/>
      <c r="I629" s="59"/>
      <c r="J629" s="59"/>
      <c r="K629" s="59"/>
      <c r="L629" s="59"/>
      <c r="M629" s="60"/>
      <c r="N629" s="60"/>
      <c r="O629" s="60"/>
      <c r="P629" s="59"/>
      <c r="Q629" s="59"/>
      <c r="R629" s="60"/>
      <c r="S629" s="60"/>
      <c r="T629" s="60"/>
      <c r="U629" s="60"/>
      <c r="V629" s="60"/>
      <c r="W629" s="60"/>
    </row>
    <row r="630" spans="1:23" ht="13" x14ac:dyDescent="0.3">
      <c r="A630" s="58"/>
      <c r="B630" s="58"/>
      <c r="C630" s="58"/>
      <c r="D630" s="58"/>
      <c r="E630" s="58"/>
      <c r="F630" s="58"/>
      <c r="G630" s="58"/>
      <c r="H630" s="59"/>
      <c r="I630" s="59"/>
      <c r="J630" s="59"/>
      <c r="K630" s="59"/>
      <c r="L630" s="59"/>
      <c r="M630" s="60"/>
      <c r="N630" s="60"/>
      <c r="O630" s="60"/>
      <c r="P630" s="59"/>
      <c r="Q630" s="59"/>
      <c r="R630" s="60"/>
      <c r="S630" s="60"/>
      <c r="T630" s="60"/>
      <c r="U630" s="60"/>
      <c r="V630" s="60"/>
      <c r="W630" s="60"/>
    </row>
    <row r="631" spans="1:23" ht="13" x14ac:dyDescent="0.3">
      <c r="A631" s="58"/>
      <c r="B631" s="58"/>
      <c r="C631" s="58"/>
      <c r="D631" s="58"/>
      <c r="E631" s="58"/>
      <c r="F631" s="58"/>
      <c r="G631" s="58"/>
      <c r="H631" s="59"/>
      <c r="I631" s="59"/>
      <c r="J631" s="59"/>
      <c r="K631" s="59"/>
      <c r="L631" s="59"/>
      <c r="M631" s="60"/>
      <c r="N631" s="60"/>
      <c r="O631" s="60"/>
      <c r="P631" s="59"/>
      <c r="Q631" s="59"/>
      <c r="R631" s="60"/>
      <c r="S631" s="60"/>
      <c r="T631" s="60"/>
      <c r="U631" s="60"/>
      <c r="V631" s="60"/>
      <c r="W631" s="60"/>
    </row>
    <row r="632" spans="1:23" ht="13" x14ac:dyDescent="0.3">
      <c r="A632" s="58"/>
      <c r="B632" s="58"/>
      <c r="C632" s="58"/>
      <c r="D632" s="58"/>
      <c r="E632" s="58"/>
      <c r="F632" s="58"/>
      <c r="G632" s="58"/>
      <c r="H632" s="59"/>
      <c r="I632" s="59"/>
      <c r="J632" s="59"/>
      <c r="K632" s="59"/>
      <c r="L632" s="59"/>
      <c r="M632" s="60"/>
      <c r="N632" s="60"/>
      <c r="O632" s="60"/>
      <c r="P632" s="59"/>
      <c r="Q632" s="59"/>
      <c r="R632" s="60"/>
      <c r="S632" s="60"/>
      <c r="T632" s="60"/>
      <c r="U632" s="60"/>
      <c r="V632" s="60"/>
      <c r="W632" s="60"/>
    </row>
    <row r="633" spans="1:23" ht="13" x14ac:dyDescent="0.3">
      <c r="A633" s="58"/>
      <c r="B633" s="58"/>
      <c r="C633" s="58"/>
      <c r="D633" s="58"/>
      <c r="E633" s="58"/>
      <c r="F633" s="58"/>
      <c r="G633" s="58"/>
      <c r="H633" s="59"/>
      <c r="I633" s="59"/>
      <c r="J633" s="59"/>
      <c r="K633" s="59"/>
      <c r="L633" s="59"/>
      <c r="M633" s="60"/>
      <c r="N633" s="60"/>
      <c r="O633" s="60"/>
      <c r="P633" s="59"/>
      <c r="Q633" s="59"/>
      <c r="R633" s="60"/>
      <c r="S633" s="60"/>
      <c r="T633" s="60"/>
      <c r="U633" s="60"/>
      <c r="V633" s="60"/>
      <c r="W633" s="60"/>
    </row>
    <row r="634" spans="1:23" ht="13" x14ac:dyDescent="0.3">
      <c r="A634" s="58"/>
      <c r="B634" s="58"/>
      <c r="C634" s="58"/>
      <c r="D634" s="58"/>
      <c r="E634" s="58"/>
      <c r="F634" s="58"/>
      <c r="G634" s="58"/>
      <c r="H634" s="59"/>
      <c r="I634" s="59"/>
      <c r="J634" s="59"/>
      <c r="K634" s="59"/>
      <c r="L634" s="59"/>
      <c r="M634" s="60"/>
      <c r="N634" s="60"/>
      <c r="O634" s="60"/>
      <c r="P634" s="59"/>
      <c r="Q634" s="59"/>
      <c r="R634" s="60"/>
      <c r="S634" s="60"/>
      <c r="T634" s="60"/>
      <c r="U634" s="60"/>
      <c r="V634" s="60"/>
      <c r="W634" s="60"/>
    </row>
    <row r="635" spans="1:23" ht="13" x14ac:dyDescent="0.3">
      <c r="A635" s="58"/>
      <c r="B635" s="58"/>
      <c r="C635" s="58"/>
      <c r="D635" s="58"/>
      <c r="E635" s="58"/>
      <c r="F635" s="58"/>
      <c r="G635" s="58"/>
      <c r="H635" s="59"/>
      <c r="I635" s="59"/>
      <c r="J635" s="59"/>
      <c r="K635" s="59"/>
      <c r="L635" s="59"/>
      <c r="M635" s="60"/>
      <c r="N635" s="60"/>
      <c r="O635" s="60"/>
      <c r="P635" s="59"/>
      <c r="Q635" s="59"/>
      <c r="R635" s="60"/>
      <c r="S635" s="60"/>
      <c r="T635" s="60"/>
      <c r="U635" s="60"/>
      <c r="V635" s="60"/>
      <c r="W635" s="60"/>
    </row>
    <row r="636" spans="1:23" ht="13" x14ac:dyDescent="0.3">
      <c r="A636" s="58"/>
      <c r="B636" s="58"/>
      <c r="C636" s="58"/>
      <c r="D636" s="58"/>
      <c r="E636" s="58"/>
      <c r="F636" s="58"/>
      <c r="G636" s="58"/>
      <c r="H636" s="59"/>
      <c r="I636" s="59"/>
      <c r="J636" s="59"/>
      <c r="K636" s="59"/>
      <c r="L636" s="59"/>
      <c r="M636" s="60"/>
      <c r="N636" s="60"/>
      <c r="O636" s="60"/>
      <c r="P636" s="59"/>
      <c r="Q636" s="59"/>
      <c r="R636" s="60"/>
      <c r="S636" s="60"/>
      <c r="T636" s="60"/>
      <c r="U636" s="60"/>
      <c r="V636" s="60"/>
      <c r="W636" s="60"/>
    </row>
    <row r="637" spans="1:23" ht="13" x14ac:dyDescent="0.3">
      <c r="A637" s="58"/>
      <c r="B637" s="58"/>
      <c r="C637" s="58"/>
      <c r="D637" s="58"/>
      <c r="E637" s="58"/>
      <c r="F637" s="58"/>
      <c r="G637" s="58"/>
      <c r="H637" s="59"/>
      <c r="I637" s="59"/>
      <c r="J637" s="59"/>
      <c r="K637" s="59"/>
      <c r="L637" s="59"/>
      <c r="M637" s="60"/>
      <c r="N637" s="60"/>
      <c r="O637" s="60"/>
      <c r="P637" s="59"/>
      <c r="Q637" s="59"/>
      <c r="R637" s="60"/>
      <c r="S637" s="60"/>
      <c r="T637" s="60"/>
      <c r="U637" s="60"/>
      <c r="V637" s="60"/>
      <c r="W637" s="60"/>
    </row>
    <row r="638" spans="1:23" ht="13" x14ac:dyDescent="0.3">
      <c r="A638" s="58"/>
      <c r="B638" s="58"/>
      <c r="C638" s="58"/>
      <c r="D638" s="58"/>
      <c r="E638" s="58"/>
      <c r="F638" s="58"/>
      <c r="G638" s="58"/>
      <c r="H638" s="59"/>
      <c r="I638" s="59"/>
      <c r="J638" s="59"/>
      <c r="K638" s="59"/>
      <c r="L638" s="59"/>
      <c r="M638" s="60"/>
      <c r="N638" s="60"/>
      <c r="O638" s="60"/>
      <c r="P638" s="59"/>
      <c r="Q638" s="59"/>
      <c r="R638" s="60"/>
      <c r="S638" s="60"/>
      <c r="T638" s="60"/>
      <c r="U638" s="60"/>
      <c r="V638" s="60"/>
      <c r="W638" s="60"/>
    </row>
    <row r="639" spans="1:23" ht="13" x14ac:dyDescent="0.3">
      <c r="A639" s="58"/>
      <c r="B639" s="58"/>
      <c r="C639" s="58"/>
      <c r="D639" s="58"/>
      <c r="E639" s="58"/>
      <c r="F639" s="58"/>
      <c r="G639" s="58"/>
      <c r="H639" s="59"/>
      <c r="I639" s="59"/>
      <c r="J639" s="59"/>
      <c r="K639" s="59"/>
      <c r="L639" s="59"/>
      <c r="M639" s="60"/>
      <c r="N639" s="60"/>
      <c r="O639" s="60"/>
      <c r="P639" s="59"/>
      <c r="Q639" s="59"/>
      <c r="R639" s="60"/>
      <c r="S639" s="60"/>
      <c r="T639" s="60"/>
      <c r="U639" s="60"/>
      <c r="V639" s="60"/>
      <c r="W639" s="60"/>
    </row>
    <row r="640" spans="1:23" ht="13" x14ac:dyDescent="0.3">
      <c r="A640" s="58"/>
      <c r="B640" s="58"/>
      <c r="C640" s="58"/>
      <c r="D640" s="58"/>
      <c r="E640" s="58"/>
      <c r="F640" s="58"/>
      <c r="G640" s="58"/>
      <c r="H640" s="59"/>
      <c r="I640" s="59"/>
      <c r="J640" s="59"/>
      <c r="K640" s="59"/>
      <c r="L640" s="59"/>
      <c r="M640" s="60"/>
      <c r="N640" s="60"/>
      <c r="O640" s="60"/>
      <c r="P640" s="59"/>
      <c r="Q640" s="59"/>
      <c r="R640" s="60"/>
      <c r="S640" s="60"/>
      <c r="T640" s="60"/>
      <c r="U640" s="60"/>
      <c r="V640" s="60"/>
      <c r="W640" s="60"/>
    </row>
    <row r="641" spans="1:23" ht="13" x14ac:dyDescent="0.3">
      <c r="A641" s="58"/>
      <c r="B641" s="58"/>
      <c r="C641" s="58"/>
      <c r="D641" s="58"/>
      <c r="E641" s="58"/>
      <c r="F641" s="58"/>
      <c r="G641" s="58"/>
      <c r="H641" s="59"/>
      <c r="I641" s="59"/>
      <c r="J641" s="59"/>
      <c r="K641" s="59"/>
      <c r="L641" s="59"/>
      <c r="M641" s="60"/>
      <c r="N641" s="60"/>
      <c r="O641" s="60"/>
      <c r="P641" s="59"/>
      <c r="Q641" s="59"/>
      <c r="R641" s="60"/>
      <c r="S641" s="60"/>
      <c r="T641" s="60"/>
      <c r="U641" s="60"/>
      <c r="V641" s="60"/>
      <c r="W641" s="60"/>
    </row>
    <row r="642" spans="1:23" ht="13" x14ac:dyDescent="0.3">
      <c r="A642" s="58"/>
      <c r="B642" s="58"/>
      <c r="C642" s="58"/>
      <c r="D642" s="58"/>
      <c r="E642" s="58"/>
      <c r="F642" s="58"/>
      <c r="G642" s="58"/>
      <c r="H642" s="59"/>
      <c r="I642" s="59"/>
      <c r="J642" s="59"/>
      <c r="K642" s="59"/>
      <c r="L642" s="59"/>
      <c r="M642" s="60"/>
      <c r="N642" s="60"/>
      <c r="O642" s="60"/>
      <c r="P642" s="59"/>
      <c r="Q642" s="59"/>
      <c r="R642" s="60"/>
      <c r="S642" s="60"/>
      <c r="T642" s="60"/>
      <c r="U642" s="60"/>
      <c r="V642" s="60"/>
      <c r="W642" s="60"/>
    </row>
    <row r="643" spans="1:23" ht="13" x14ac:dyDescent="0.3">
      <c r="A643" s="58"/>
      <c r="B643" s="58"/>
      <c r="C643" s="58"/>
      <c r="D643" s="58"/>
      <c r="E643" s="58"/>
      <c r="F643" s="58"/>
      <c r="G643" s="58"/>
      <c r="H643" s="59"/>
      <c r="I643" s="59"/>
      <c r="J643" s="59"/>
      <c r="K643" s="59"/>
      <c r="L643" s="59"/>
      <c r="M643" s="60"/>
      <c r="N643" s="60"/>
      <c r="O643" s="60"/>
      <c r="P643" s="59"/>
      <c r="Q643" s="59"/>
      <c r="R643" s="60"/>
      <c r="S643" s="60"/>
      <c r="T643" s="60"/>
      <c r="U643" s="60"/>
      <c r="V643" s="60"/>
      <c r="W643" s="60"/>
    </row>
    <row r="644" spans="1:23" ht="13" x14ac:dyDescent="0.3">
      <c r="A644" s="58"/>
      <c r="B644" s="58"/>
      <c r="C644" s="58"/>
      <c r="D644" s="58"/>
      <c r="E644" s="58"/>
      <c r="F644" s="58"/>
      <c r="G644" s="58"/>
      <c r="H644" s="59"/>
      <c r="I644" s="59"/>
      <c r="J644" s="59"/>
      <c r="K644" s="59"/>
      <c r="L644" s="59"/>
      <c r="M644" s="60"/>
      <c r="N644" s="60"/>
      <c r="O644" s="60"/>
      <c r="P644" s="59"/>
      <c r="Q644" s="59"/>
      <c r="R644" s="60"/>
      <c r="S644" s="60"/>
      <c r="T644" s="60"/>
      <c r="U644" s="60"/>
      <c r="V644" s="60"/>
      <c r="W644" s="60"/>
    </row>
    <row r="645" spans="1:23" ht="13" x14ac:dyDescent="0.3">
      <c r="A645" s="58"/>
      <c r="B645" s="58"/>
      <c r="C645" s="58"/>
      <c r="D645" s="58"/>
      <c r="E645" s="58"/>
      <c r="F645" s="58"/>
      <c r="G645" s="58"/>
      <c r="H645" s="59"/>
      <c r="I645" s="59"/>
      <c r="J645" s="59"/>
      <c r="K645" s="59"/>
      <c r="L645" s="59"/>
      <c r="M645" s="60"/>
      <c r="N645" s="60"/>
      <c r="O645" s="60"/>
      <c r="P645" s="59"/>
      <c r="Q645" s="59"/>
      <c r="R645" s="60"/>
      <c r="S645" s="60"/>
      <c r="T645" s="60"/>
      <c r="U645" s="60"/>
      <c r="V645" s="60"/>
      <c r="W645" s="60"/>
    </row>
    <row r="646" spans="1:23" ht="13" x14ac:dyDescent="0.3">
      <c r="A646" s="58"/>
      <c r="B646" s="58"/>
      <c r="C646" s="58"/>
      <c r="D646" s="58"/>
      <c r="E646" s="58"/>
      <c r="F646" s="58"/>
      <c r="G646" s="58"/>
      <c r="H646" s="59"/>
      <c r="I646" s="59"/>
      <c r="J646" s="59"/>
      <c r="K646" s="59"/>
      <c r="L646" s="59"/>
      <c r="M646" s="60"/>
      <c r="N646" s="60"/>
      <c r="O646" s="60"/>
      <c r="P646" s="59"/>
      <c r="Q646" s="59"/>
      <c r="R646" s="60"/>
      <c r="S646" s="60"/>
      <c r="T646" s="60"/>
      <c r="U646" s="60"/>
      <c r="V646" s="60"/>
      <c r="W646" s="60"/>
    </row>
    <row r="647" spans="1:23" ht="13" x14ac:dyDescent="0.3">
      <c r="A647" s="58"/>
      <c r="B647" s="58"/>
      <c r="C647" s="58"/>
      <c r="D647" s="58"/>
      <c r="E647" s="58"/>
      <c r="F647" s="58"/>
      <c r="G647" s="58"/>
      <c r="H647" s="59"/>
      <c r="I647" s="59"/>
      <c r="J647" s="59"/>
      <c r="K647" s="59"/>
      <c r="L647" s="59"/>
      <c r="M647" s="60"/>
      <c r="N647" s="60"/>
      <c r="O647" s="60"/>
      <c r="P647" s="59"/>
      <c r="Q647" s="59"/>
      <c r="R647" s="60"/>
      <c r="S647" s="60"/>
      <c r="T647" s="60"/>
      <c r="U647" s="60"/>
      <c r="V647" s="60"/>
      <c r="W647" s="60"/>
    </row>
    <row r="648" spans="1:23" ht="13" x14ac:dyDescent="0.3">
      <c r="A648" s="58"/>
      <c r="B648" s="58"/>
      <c r="C648" s="58"/>
      <c r="D648" s="58"/>
      <c r="E648" s="58"/>
      <c r="F648" s="58"/>
      <c r="G648" s="58"/>
      <c r="H648" s="59"/>
      <c r="I648" s="59"/>
      <c r="J648" s="59"/>
      <c r="K648" s="59"/>
      <c r="L648" s="59"/>
      <c r="M648" s="60"/>
      <c r="N648" s="60"/>
      <c r="O648" s="60"/>
      <c r="P648" s="59"/>
      <c r="Q648" s="59"/>
      <c r="R648" s="60"/>
      <c r="S648" s="60"/>
      <c r="T648" s="60"/>
      <c r="U648" s="60"/>
      <c r="V648" s="60"/>
      <c r="W648" s="60"/>
    </row>
    <row r="649" spans="1:23" ht="13" x14ac:dyDescent="0.3">
      <c r="A649" s="58"/>
      <c r="B649" s="58"/>
      <c r="C649" s="58"/>
      <c r="D649" s="58"/>
      <c r="E649" s="58"/>
      <c r="F649" s="58"/>
      <c r="G649" s="58"/>
      <c r="H649" s="59"/>
      <c r="I649" s="59"/>
      <c r="J649" s="59"/>
      <c r="K649" s="59"/>
      <c r="L649" s="59"/>
      <c r="M649" s="60"/>
      <c r="N649" s="60"/>
      <c r="O649" s="60"/>
      <c r="P649" s="59"/>
      <c r="Q649" s="59"/>
      <c r="R649" s="60"/>
      <c r="S649" s="60"/>
      <c r="T649" s="60"/>
      <c r="U649" s="60"/>
      <c r="V649" s="60"/>
      <c r="W649" s="60"/>
    </row>
    <row r="650" spans="1:23" ht="13" x14ac:dyDescent="0.3">
      <c r="A650" s="58"/>
      <c r="B650" s="58"/>
      <c r="C650" s="58"/>
      <c r="D650" s="58"/>
      <c r="E650" s="58"/>
      <c r="F650" s="58"/>
      <c r="G650" s="58"/>
      <c r="H650" s="59"/>
      <c r="I650" s="59"/>
      <c r="J650" s="59"/>
      <c r="K650" s="59"/>
      <c r="L650" s="59"/>
      <c r="M650" s="60"/>
      <c r="N650" s="60"/>
      <c r="O650" s="60"/>
      <c r="P650" s="59"/>
      <c r="Q650" s="59"/>
      <c r="R650" s="60"/>
      <c r="S650" s="60"/>
      <c r="T650" s="60"/>
      <c r="U650" s="60"/>
      <c r="V650" s="60"/>
      <c r="W650" s="60"/>
    </row>
    <row r="651" spans="1:23" ht="13" x14ac:dyDescent="0.3">
      <c r="A651" s="58"/>
      <c r="B651" s="58"/>
      <c r="C651" s="58"/>
      <c r="D651" s="58"/>
      <c r="E651" s="58"/>
      <c r="F651" s="58"/>
      <c r="G651" s="58"/>
      <c r="H651" s="59"/>
      <c r="I651" s="59"/>
      <c r="J651" s="59"/>
      <c r="K651" s="59"/>
      <c r="L651" s="59"/>
      <c r="M651" s="60"/>
      <c r="N651" s="60"/>
      <c r="O651" s="60"/>
      <c r="P651" s="59"/>
      <c r="Q651" s="59"/>
      <c r="R651" s="60"/>
      <c r="S651" s="60"/>
      <c r="T651" s="60"/>
      <c r="U651" s="60"/>
      <c r="V651" s="60"/>
      <c r="W651" s="60"/>
    </row>
    <row r="652" spans="1:23" ht="13" x14ac:dyDescent="0.3">
      <c r="A652" s="58"/>
      <c r="B652" s="58"/>
      <c r="C652" s="58"/>
      <c r="D652" s="58"/>
      <c r="E652" s="58"/>
      <c r="F652" s="58"/>
      <c r="G652" s="58"/>
      <c r="H652" s="59"/>
      <c r="I652" s="59"/>
      <c r="J652" s="59"/>
      <c r="K652" s="59"/>
      <c r="L652" s="59"/>
      <c r="M652" s="60"/>
      <c r="N652" s="60"/>
      <c r="O652" s="60"/>
      <c r="P652" s="59"/>
      <c r="Q652" s="59"/>
      <c r="R652" s="60"/>
      <c r="S652" s="60"/>
      <c r="T652" s="60"/>
      <c r="U652" s="60"/>
      <c r="V652" s="60"/>
      <c r="W652" s="60"/>
    </row>
    <row r="653" spans="1:23" ht="13" x14ac:dyDescent="0.3">
      <c r="A653" s="58"/>
      <c r="B653" s="58"/>
      <c r="C653" s="58"/>
      <c r="D653" s="58"/>
      <c r="E653" s="58"/>
      <c r="F653" s="58"/>
      <c r="G653" s="58"/>
      <c r="H653" s="59"/>
      <c r="I653" s="59"/>
      <c r="J653" s="59"/>
      <c r="K653" s="59"/>
      <c r="L653" s="59"/>
      <c r="M653" s="60"/>
      <c r="N653" s="60"/>
      <c r="O653" s="60"/>
      <c r="P653" s="59"/>
      <c r="Q653" s="59"/>
      <c r="R653" s="60"/>
      <c r="S653" s="60"/>
      <c r="T653" s="60"/>
      <c r="U653" s="60"/>
      <c r="V653" s="60"/>
      <c r="W653" s="60"/>
    </row>
    <row r="654" spans="1:23" ht="13" x14ac:dyDescent="0.3">
      <c r="A654" s="58"/>
      <c r="B654" s="58"/>
      <c r="C654" s="58"/>
      <c r="D654" s="58"/>
      <c r="E654" s="58"/>
      <c r="F654" s="58"/>
      <c r="G654" s="58"/>
      <c r="H654" s="59"/>
      <c r="I654" s="59"/>
      <c r="J654" s="59"/>
      <c r="K654" s="59"/>
      <c r="L654" s="59"/>
      <c r="M654" s="60"/>
      <c r="N654" s="60"/>
      <c r="O654" s="60"/>
      <c r="P654" s="59"/>
      <c r="Q654" s="59"/>
      <c r="R654" s="60"/>
      <c r="S654" s="60"/>
      <c r="T654" s="60"/>
      <c r="U654" s="60"/>
      <c r="V654" s="60"/>
      <c r="W654" s="60"/>
    </row>
    <row r="655" spans="1:23" ht="13" x14ac:dyDescent="0.3">
      <c r="A655" s="58"/>
      <c r="B655" s="58"/>
      <c r="C655" s="58"/>
      <c r="D655" s="58"/>
      <c r="E655" s="58"/>
      <c r="F655" s="58"/>
      <c r="G655" s="58"/>
      <c r="H655" s="59"/>
      <c r="I655" s="59"/>
      <c r="J655" s="59"/>
      <c r="K655" s="59"/>
      <c r="L655" s="59"/>
      <c r="M655" s="60"/>
      <c r="N655" s="60"/>
      <c r="O655" s="60"/>
      <c r="P655" s="59"/>
      <c r="Q655" s="59"/>
      <c r="R655" s="60"/>
      <c r="S655" s="60"/>
      <c r="T655" s="60"/>
      <c r="U655" s="60"/>
      <c r="V655" s="60"/>
      <c r="W655" s="60"/>
    </row>
    <row r="656" spans="1:23" ht="13" x14ac:dyDescent="0.3">
      <c r="A656" s="58"/>
      <c r="B656" s="58"/>
      <c r="C656" s="58"/>
      <c r="D656" s="58"/>
      <c r="E656" s="58"/>
      <c r="F656" s="58"/>
      <c r="G656" s="58"/>
      <c r="H656" s="59"/>
      <c r="I656" s="59"/>
      <c r="J656" s="59"/>
      <c r="K656" s="59"/>
      <c r="L656" s="59"/>
      <c r="M656" s="60"/>
      <c r="N656" s="60"/>
      <c r="O656" s="60"/>
      <c r="P656" s="59"/>
      <c r="Q656" s="59"/>
      <c r="R656" s="60"/>
      <c r="S656" s="60"/>
      <c r="T656" s="60"/>
      <c r="U656" s="60"/>
      <c r="V656" s="60"/>
      <c r="W656" s="60"/>
    </row>
    <row r="657" spans="1:23" ht="13" x14ac:dyDescent="0.3">
      <c r="A657" s="58"/>
      <c r="B657" s="58"/>
      <c r="C657" s="58"/>
      <c r="D657" s="58"/>
      <c r="E657" s="58"/>
      <c r="F657" s="58"/>
      <c r="G657" s="58"/>
      <c r="H657" s="59"/>
      <c r="I657" s="59"/>
      <c r="J657" s="59"/>
      <c r="K657" s="59"/>
      <c r="L657" s="59"/>
      <c r="M657" s="60"/>
      <c r="N657" s="60"/>
      <c r="O657" s="60"/>
      <c r="P657" s="59"/>
      <c r="Q657" s="59"/>
      <c r="R657" s="60"/>
      <c r="S657" s="60"/>
      <c r="T657" s="60"/>
      <c r="U657" s="60"/>
      <c r="V657" s="60"/>
      <c r="W657" s="60"/>
    </row>
    <row r="658" spans="1:23" ht="13" x14ac:dyDescent="0.3">
      <c r="A658" s="58"/>
      <c r="B658" s="58"/>
      <c r="C658" s="58"/>
      <c r="D658" s="58"/>
      <c r="E658" s="58"/>
      <c r="F658" s="58"/>
      <c r="G658" s="58"/>
      <c r="H658" s="59"/>
      <c r="I658" s="59"/>
      <c r="J658" s="59"/>
      <c r="K658" s="59"/>
      <c r="L658" s="59"/>
      <c r="M658" s="60"/>
      <c r="N658" s="60"/>
      <c r="O658" s="60"/>
      <c r="P658" s="59"/>
      <c r="Q658" s="59"/>
      <c r="R658" s="60"/>
      <c r="S658" s="60"/>
      <c r="T658" s="60"/>
      <c r="U658" s="60"/>
      <c r="V658" s="60"/>
      <c r="W658" s="60"/>
    </row>
    <row r="659" spans="1:23" ht="13" x14ac:dyDescent="0.3">
      <c r="A659" s="58"/>
      <c r="B659" s="58"/>
      <c r="C659" s="58"/>
      <c r="D659" s="58"/>
      <c r="E659" s="58"/>
      <c r="F659" s="58"/>
      <c r="G659" s="58"/>
      <c r="H659" s="59"/>
      <c r="I659" s="59"/>
      <c r="J659" s="59"/>
      <c r="K659" s="59"/>
      <c r="L659" s="59"/>
      <c r="M659" s="60"/>
      <c r="N659" s="60"/>
      <c r="O659" s="60"/>
      <c r="P659" s="59"/>
      <c r="Q659" s="59"/>
      <c r="R659" s="60"/>
      <c r="S659" s="60"/>
      <c r="T659" s="60"/>
      <c r="U659" s="60"/>
      <c r="V659" s="60"/>
      <c r="W659" s="60"/>
    </row>
    <row r="660" spans="1:23" ht="13" x14ac:dyDescent="0.3">
      <c r="A660" s="58"/>
      <c r="B660" s="58"/>
      <c r="C660" s="58"/>
      <c r="D660" s="58"/>
      <c r="E660" s="58"/>
      <c r="F660" s="58"/>
      <c r="G660" s="58"/>
      <c r="H660" s="59"/>
      <c r="I660" s="59"/>
      <c r="J660" s="59"/>
      <c r="K660" s="59"/>
      <c r="L660" s="59"/>
      <c r="M660" s="60"/>
      <c r="N660" s="60"/>
      <c r="O660" s="60"/>
      <c r="P660" s="59"/>
      <c r="Q660" s="59"/>
      <c r="R660" s="60"/>
      <c r="S660" s="60"/>
      <c r="T660" s="60"/>
      <c r="U660" s="60"/>
      <c r="V660" s="60"/>
      <c r="W660" s="60"/>
    </row>
    <row r="661" spans="1:23" ht="13" x14ac:dyDescent="0.3">
      <c r="A661" s="58"/>
      <c r="B661" s="58"/>
      <c r="C661" s="58"/>
      <c r="D661" s="58"/>
      <c r="E661" s="58"/>
      <c r="F661" s="58"/>
      <c r="G661" s="58"/>
      <c r="H661" s="59"/>
      <c r="I661" s="59"/>
      <c r="J661" s="59"/>
      <c r="K661" s="59"/>
      <c r="L661" s="59"/>
      <c r="M661" s="60"/>
      <c r="N661" s="60"/>
      <c r="O661" s="60"/>
      <c r="P661" s="59"/>
      <c r="Q661" s="59"/>
      <c r="R661" s="60"/>
      <c r="S661" s="60"/>
      <c r="T661" s="60"/>
      <c r="U661" s="60"/>
      <c r="V661" s="60"/>
      <c r="W661" s="60"/>
    </row>
    <row r="662" spans="1:23" ht="13" x14ac:dyDescent="0.3">
      <c r="A662" s="58"/>
      <c r="B662" s="58"/>
      <c r="C662" s="58"/>
      <c r="D662" s="58"/>
      <c r="E662" s="58"/>
      <c r="F662" s="58"/>
      <c r="G662" s="58"/>
      <c r="H662" s="59"/>
      <c r="I662" s="59"/>
      <c r="J662" s="59"/>
      <c r="K662" s="59"/>
      <c r="L662" s="59"/>
      <c r="M662" s="60"/>
      <c r="N662" s="60"/>
      <c r="O662" s="60"/>
      <c r="P662" s="59"/>
      <c r="Q662" s="59"/>
      <c r="R662" s="60"/>
      <c r="S662" s="60"/>
      <c r="T662" s="60"/>
      <c r="U662" s="60"/>
      <c r="V662" s="60"/>
      <c r="W662" s="60"/>
    </row>
    <row r="663" spans="1:23" ht="13" x14ac:dyDescent="0.3">
      <c r="A663" s="58"/>
      <c r="B663" s="58"/>
      <c r="C663" s="58"/>
      <c r="D663" s="58"/>
      <c r="E663" s="58"/>
      <c r="F663" s="58"/>
      <c r="G663" s="58"/>
      <c r="H663" s="59"/>
      <c r="I663" s="59"/>
      <c r="J663" s="59"/>
      <c r="K663" s="59"/>
      <c r="L663" s="59"/>
      <c r="M663" s="60"/>
      <c r="N663" s="60"/>
      <c r="O663" s="60"/>
      <c r="P663" s="59"/>
      <c r="Q663" s="59"/>
      <c r="R663" s="60"/>
      <c r="S663" s="60"/>
      <c r="T663" s="60"/>
      <c r="U663" s="60"/>
      <c r="V663" s="60"/>
      <c r="W663" s="60"/>
    </row>
    <row r="664" spans="1:23" ht="13" x14ac:dyDescent="0.3">
      <c r="A664" s="58"/>
      <c r="B664" s="58"/>
      <c r="C664" s="58"/>
      <c r="D664" s="58"/>
      <c r="E664" s="58"/>
      <c r="F664" s="58"/>
      <c r="G664" s="58"/>
      <c r="H664" s="59"/>
      <c r="I664" s="59"/>
      <c r="J664" s="59"/>
      <c r="K664" s="59"/>
      <c r="L664" s="59"/>
      <c r="M664" s="60"/>
      <c r="N664" s="60"/>
      <c r="O664" s="60"/>
      <c r="P664" s="59"/>
      <c r="Q664" s="59"/>
      <c r="R664" s="60"/>
      <c r="S664" s="60"/>
      <c r="T664" s="60"/>
      <c r="U664" s="60"/>
      <c r="V664" s="60"/>
      <c r="W664" s="60"/>
    </row>
    <row r="665" spans="1:23" ht="13" x14ac:dyDescent="0.3">
      <c r="A665" s="58"/>
      <c r="B665" s="58"/>
      <c r="C665" s="58"/>
      <c r="D665" s="58"/>
      <c r="E665" s="58"/>
      <c r="F665" s="58"/>
      <c r="G665" s="58"/>
      <c r="H665" s="59"/>
      <c r="I665" s="59"/>
      <c r="J665" s="59"/>
      <c r="K665" s="59"/>
      <c r="L665" s="59"/>
      <c r="M665" s="60"/>
      <c r="N665" s="60"/>
      <c r="O665" s="60"/>
      <c r="P665" s="59"/>
      <c r="Q665" s="59"/>
      <c r="R665" s="60"/>
      <c r="S665" s="60"/>
      <c r="T665" s="60"/>
      <c r="U665" s="60"/>
      <c r="V665" s="60"/>
      <c r="W665" s="60"/>
    </row>
    <row r="666" spans="1:23" ht="13" x14ac:dyDescent="0.3">
      <c r="A666" s="58"/>
      <c r="B666" s="58"/>
      <c r="C666" s="58"/>
      <c r="D666" s="58"/>
      <c r="E666" s="58"/>
      <c r="F666" s="58"/>
      <c r="G666" s="58"/>
      <c r="H666" s="59"/>
      <c r="I666" s="59"/>
      <c r="J666" s="59"/>
      <c r="K666" s="59"/>
      <c r="L666" s="59"/>
      <c r="M666" s="60"/>
      <c r="N666" s="60"/>
      <c r="O666" s="60"/>
      <c r="P666" s="59"/>
      <c r="Q666" s="59"/>
      <c r="R666" s="60"/>
      <c r="S666" s="60"/>
      <c r="T666" s="60"/>
      <c r="U666" s="60"/>
      <c r="V666" s="60"/>
      <c r="W666" s="60"/>
    </row>
    <row r="667" spans="1:23" ht="13" x14ac:dyDescent="0.3">
      <c r="A667" s="58"/>
      <c r="B667" s="58"/>
      <c r="C667" s="58"/>
      <c r="D667" s="58"/>
      <c r="E667" s="58"/>
      <c r="F667" s="58"/>
      <c r="G667" s="58"/>
      <c r="H667" s="59"/>
      <c r="I667" s="59"/>
      <c r="J667" s="59"/>
      <c r="K667" s="59"/>
      <c r="L667" s="59"/>
      <c r="M667" s="60"/>
      <c r="N667" s="60"/>
      <c r="O667" s="60"/>
      <c r="P667" s="59"/>
      <c r="Q667" s="59"/>
      <c r="R667" s="60"/>
      <c r="S667" s="60"/>
      <c r="T667" s="60"/>
      <c r="U667" s="60"/>
      <c r="V667" s="60"/>
      <c r="W667" s="60"/>
    </row>
    <row r="668" spans="1:23" ht="13" x14ac:dyDescent="0.3">
      <c r="A668" s="58"/>
      <c r="B668" s="58"/>
      <c r="C668" s="58"/>
      <c r="D668" s="58"/>
      <c r="E668" s="58"/>
      <c r="F668" s="58"/>
      <c r="G668" s="58"/>
      <c r="H668" s="59"/>
      <c r="I668" s="59"/>
      <c r="J668" s="59"/>
      <c r="K668" s="59"/>
      <c r="L668" s="59"/>
      <c r="M668" s="60"/>
      <c r="N668" s="60"/>
      <c r="O668" s="60"/>
      <c r="P668" s="59"/>
      <c r="Q668" s="59"/>
      <c r="R668" s="60"/>
      <c r="S668" s="60"/>
      <c r="T668" s="60"/>
      <c r="U668" s="60"/>
      <c r="V668" s="60"/>
      <c r="W668" s="60"/>
    </row>
    <row r="669" spans="1:23" ht="13" x14ac:dyDescent="0.3">
      <c r="A669" s="58"/>
      <c r="B669" s="58"/>
      <c r="C669" s="58"/>
      <c r="D669" s="58"/>
      <c r="E669" s="58"/>
      <c r="F669" s="58"/>
      <c r="G669" s="58"/>
      <c r="H669" s="59"/>
      <c r="I669" s="59"/>
      <c r="J669" s="59"/>
      <c r="K669" s="59"/>
      <c r="L669" s="59"/>
      <c r="M669" s="60"/>
      <c r="N669" s="60"/>
      <c r="O669" s="60"/>
      <c r="P669" s="59"/>
      <c r="Q669" s="59"/>
      <c r="R669" s="60"/>
      <c r="S669" s="60"/>
      <c r="T669" s="60"/>
      <c r="U669" s="60"/>
      <c r="V669" s="60"/>
      <c r="W669" s="60"/>
    </row>
    <row r="670" spans="1:23" ht="13" x14ac:dyDescent="0.3">
      <c r="A670" s="58"/>
      <c r="B670" s="58"/>
      <c r="C670" s="58"/>
      <c r="D670" s="58"/>
      <c r="E670" s="58"/>
      <c r="F670" s="58"/>
      <c r="G670" s="58"/>
      <c r="H670" s="59"/>
      <c r="I670" s="59"/>
      <c r="J670" s="59"/>
      <c r="K670" s="59"/>
      <c r="L670" s="59"/>
      <c r="M670" s="60"/>
      <c r="N670" s="60"/>
      <c r="O670" s="60"/>
      <c r="P670" s="59"/>
      <c r="Q670" s="59"/>
      <c r="R670" s="60"/>
      <c r="S670" s="60"/>
      <c r="T670" s="60"/>
      <c r="U670" s="60"/>
      <c r="V670" s="60"/>
      <c r="W670" s="60"/>
    </row>
    <row r="671" spans="1:23" ht="13" x14ac:dyDescent="0.3">
      <c r="A671" s="58"/>
      <c r="B671" s="58"/>
      <c r="C671" s="58"/>
      <c r="D671" s="58"/>
      <c r="E671" s="58"/>
      <c r="F671" s="58"/>
      <c r="G671" s="58"/>
      <c r="H671" s="59"/>
      <c r="I671" s="59"/>
      <c r="J671" s="59"/>
      <c r="K671" s="59"/>
      <c r="L671" s="59"/>
      <c r="M671" s="60"/>
      <c r="N671" s="60"/>
      <c r="O671" s="60"/>
      <c r="P671" s="59"/>
      <c r="Q671" s="59"/>
      <c r="R671" s="60"/>
      <c r="S671" s="60"/>
      <c r="T671" s="60"/>
      <c r="U671" s="60"/>
      <c r="V671" s="60"/>
      <c r="W671" s="60"/>
    </row>
    <row r="672" spans="1:23" ht="13" x14ac:dyDescent="0.3">
      <c r="A672" s="58"/>
      <c r="B672" s="58"/>
      <c r="C672" s="58"/>
      <c r="D672" s="58"/>
      <c r="E672" s="58"/>
      <c r="F672" s="58"/>
      <c r="G672" s="58"/>
      <c r="H672" s="59"/>
      <c r="I672" s="59"/>
      <c r="J672" s="59"/>
      <c r="K672" s="59"/>
      <c r="L672" s="59"/>
      <c r="M672" s="60"/>
      <c r="N672" s="60"/>
      <c r="O672" s="60"/>
      <c r="P672" s="59"/>
      <c r="Q672" s="59"/>
      <c r="R672" s="60"/>
      <c r="S672" s="60"/>
      <c r="T672" s="60"/>
      <c r="U672" s="60"/>
      <c r="V672" s="60"/>
      <c r="W672" s="60"/>
    </row>
    <row r="673" spans="1:23" ht="13" x14ac:dyDescent="0.3">
      <c r="A673" s="58"/>
      <c r="B673" s="58"/>
      <c r="C673" s="58"/>
      <c r="D673" s="58"/>
      <c r="E673" s="58"/>
      <c r="F673" s="58"/>
      <c r="G673" s="58"/>
      <c r="H673" s="59"/>
      <c r="I673" s="59"/>
      <c r="J673" s="59"/>
      <c r="K673" s="59"/>
      <c r="L673" s="59"/>
      <c r="M673" s="60"/>
      <c r="N673" s="60"/>
      <c r="O673" s="60"/>
      <c r="P673" s="59"/>
      <c r="Q673" s="59"/>
      <c r="R673" s="60"/>
      <c r="S673" s="60"/>
      <c r="T673" s="60"/>
      <c r="U673" s="60"/>
      <c r="V673" s="60"/>
      <c r="W673" s="60"/>
    </row>
    <row r="674" spans="1:23" ht="13" x14ac:dyDescent="0.3">
      <c r="A674" s="58"/>
      <c r="B674" s="58"/>
      <c r="C674" s="58"/>
      <c r="D674" s="58"/>
      <c r="E674" s="58"/>
      <c r="F674" s="58"/>
      <c r="G674" s="58"/>
      <c r="H674" s="59"/>
      <c r="I674" s="59"/>
      <c r="J674" s="59"/>
      <c r="K674" s="59"/>
      <c r="L674" s="59"/>
      <c r="M674" s="60"/>
      <c r="N674" s="60"/>
      <c r="O674" s="60"/>
      <c r="P674" s="59"/>
      <c r="Q674" s="59"/>
      <c r="R674" s="60"/>
      <c r="S674" s="60"/>
      <c r="T674" s="60"/>
      <c r="U674" s="60"/>
      <c r="V674" s="60"/>
      <c r="W674" s="60"/>
    </row>
    <row r="675" spans="1:23" ht="13" x14ac:dyDescent="0.3">
      <c r="A675" s="58"/>
      <c r="B675" s="58"/>
      <c r="C675" s="58"/>
      <c r="D675" s="58"/>
      <c r="E675" s="58"/>
      <c r="F675" s="58"/>
      <c r="G675" s="58"/>
      <c r="H675" s="59"/>
      <c r="I675" s="59"/>
      <c r="J675" s="59"/>
      <c r="K675" s="59"/>
      <c r="L675" s="59"/>
      <c r="M675" s="60"/>
      <c r="N675" s="60"/>
      <c r="O675" s="60"/>
      <c r="P675" s="59"/>
      <c r="Q675" s="59"/>
      <c r="R675" s="60"/>
      <c r="S675" s="60"/>
      <c r="T675" s="60"/>
      <c r="U675" s="60"/>
      <c r="V675" s="60"/>
      <c r="W675" s="60"/>
    </row>
    <row r="676" spans="1:23" ht="13" x14ac:dyDescent="0.3">
      <c r="A676" s="58"/>
      <c r="B676" s="58"/>
      <c r="C676" s="58"/>
      <c r="D676" s="58"/>
      <c r="E676" s="58"/>
      <c r="F676" s="58"/>
      <c r="G676" s="58"/>
      <c r="H676" s="59"/>
      <c r="I676" s="59"/>
      <c r="J676" s="59"/>
      <c r="K676" s="59"/>
      <c r="L676" s="59"/>
      <c r="M676" s="60"/>
      <c r="N676" s="60"/>
      <c r="O676" s="60"/>
      <c r="P676" s="59"/>
      <c r="Q676" s="59"/>
      <c r="R676" s="60"/>
      <c r="S676" s="60"/>
      <c r="T676" s="60"/>
      <c r="U676" s="60"/>
      <c r="V676" s="60"/>
      <c r="W676" s="60"/>
    </row>
    <row r="677" spans="1:23" ht="13" x14ac:dyDescent="0.3">
      <c r="A677" s="58"/>
      <c r="B677" s="58"/>
      <c r="C677" s="58"/>
      <c r="D677" s="58"/>
      <c r="E677" s="58"/>
      <c r="F677" s="58"/>
      <c r="G677" s="58"/>
      <c r="H677" s="59"/>
      <c r="I677" s="59"/>
      <c r="J677" s="59"/>
      <c r="K677" s="59"/>
      <c r="L677" s="59"/>
      <c r="M677" s="60"/>
      <c r="N677" s="60"/>
      <c r="O677" s="60"/>
      <c r="P677" s="59"/>
      <c r="Q677" s="59"/>
      <c r="R677" s="60"/>
      <c r="S677" s="60"/>
      <c r="T677" s="60"/>
      <c r="U677" s="60"/>
      <c r="V677" s="60"/>
      <c r="W677" s="60"/>
    </row>
    <row r="678" spans="1:23" ht="13" x14ac:dyDescent="0.3">
      <c r="A678" s="58"/>
      <c r="B678" s="58"/>
      <c r="C678" s="58"/>
      <c r="D678" s="58"/>
      <c r="E678" s="58"/>
      <c r="F678" s="58"/>
      <c r="G678" s="58"/>
      <c r="H678" s="59"/>
      <c r="I678" s="59"/>
      <c r="J678" s="59"/>
      <c r="K678" s="59"/>
      <c r="L678" s="59"/>
      <c r="M678" s="60"/>
      <c r="N678" s="60"/>
      <c r="O678" s="60"/>
      <c r="P678" s="59"/>
      <c r="Q678" s="59"/>
      <c r="R678" s="60"/>
      <c r="S678" s="60"/>
      <c r="T678" s="60"/>
      <c r="U678" s="60"/>
      <c r="V678" s="60"/>
      <c r="W678" s="60"/>
    </row>
    <row r="679" spans="1:23" ht="13" x14ac:dyDescent="0.3">
      <c r="A679" s="58"/>
      <c r="B679" s="58"/>
      <c r="C679" s="58"/>
      <c r="D679" s="58"/>
      <c r="E679" s="58"/>
      <c r="F679" s="58"/>
      <c r="G679" s="58"/>
      <c r="H679" s="59"/>
      <c r="I679" s="59"/>
      <c r="J679" s="59"/>
      <c r="K679" s="59"/>
      <c r="L679" s="59"/>
      <c r="M679" s="60"/>
      <c r="N679" s="60"/>
      <c r="O679" s="60"/>
      <c r="P679" s="59"/>
      <c r="Q679" s="59"/>
      <c r="R679" s="60"/>
      <c r="S679" s="60"/>
      <c r="T679" s="60"/>
      <c r="U679" s="60"/>
      <c r="V679" s="60"/>
      <c r="W679" s="60"/>
    </row>
    <row r="680" spans="1:23" ht="13" x14ac:dyDescent="0.3">
      <c r="A680" s="58"/>
      <c r="B680" s="58"/>
      <c r="C680" s="58"/>
      <c r="D680" s="58"/>
      <c r="E680" s="58"/>
      <c r="F680" s="58"/>
      <c r="G680" s="58"/>
      <c r="H680" s="59"/>
      <c r="I680" s="59"/>
      <c r="J680" s="59"/>
      <c r="K680" s="59"/>
      <c r="L680" s="59"/>
      <c r="M680" s="60"/>
      <c r="N680" s="60"/>
      <c r="O680" s="60"/>
      <c r="P680" s="59"/>
      <c r="Q680" s="59"/>
      <c r="R680" s="60"/>
      <c r="S680" s="60"/>
      <c r="T680" s="60"/>
      <c r="U680" s="60"/>
      <c r="V680" s="60"/>
      <c r="W680" s="60"/>
    </row>
    <row r="681" spans="1:23" ht="13" x14ac:dyDescent="0.3">
      <c r="A681" s="58"/>
      <c r="B681" s="58"/>
      <c r="C681" s="58"/>
      <c r="D681" s="58"/>
      <c r="E681" s="58"/>
      <c r="F681" s="58"/>
      <c r="G681" s="58"/>
      <c r="H681" s="59"/>
      <c r="I681" s="59"/>
      <c r="J681" s="59"/>
      <c r="K681" s="59"/>
      <c r="L681" s="59"/>
      <c r="M681" s="60"/>
      <c r="N681" s="60"/>
      <c r="O681" s="60"/>
      <c r="P681" s="59"/>
      <c r="Q681" s="59"/>
      <c r="R681" s="60"/>
      <c r="S681" s="60"/>
      <c r="T681" s="60"/>
      <c r="U681" s="60"/>
      <c r="V681" s="60"/>
      <c r="W681" s="60"/>
    </row>
    <row r="682" spans="1:23" ht="13" x14ac:dyDescent="0.3">
      <c r="A682" s="58"/>
      <c r="B682" s="58"/>
      <c r="C682" s="58"/>
      <c r="D682" s="58"/>
      <c r="E682" s="58"/>
      <c r="F682" s="58"/>
      <c r="G682" s="58"/>
      <c r="H682" s="59"/>
      <c r="I682" s="59"/>
      <c r="J682" s="59"/>
      <c r="K682" s="59"/>
      <c r="L682" s="59"/>
      <c r="M682" s="60"/>
      <c r="N682" s="60"/>
      <c r="O682" s="60"/>
      <c r="P682" s="59"/>
      <c r="Q682" s="59"/>
      <c r="R682" s="60"/>
      <c r="S682" s="60"/>
      <c r="T682" s="60"/>
      <c r="U682" s="60"/>
      <c r="V682" s="60"/>
      <c r="W682" s="60"/>
    </row>
    <row r="683" spans="1:23" ht="13" x14ac:dyDescent="0.3">
      <c r="A683" s="58"/>
      <c r="B683" s="58"/>
      <c r="C683" s="58"/>
      <c r="D683" s="58"/>
      <c r="E683" s="58"/>
      <c r="F683" s="58"/>
      <c r="G683" s="58"/>
      <c r="H683" s="59"/>
      <c r="I683" s="59"/>
      <c r="J683" s="59"/>
      <c r="K683" s="59"/>
      <c r="L683" s="59"/>
      <c r="M683" s="60"/>
      <c r="N683" s="60"/>
      <c r="O683" s="60"/>
      <c r="P683" s="59"/>
      <c r="Q683" s="59"/>
      <c r="R683" s="60"/>
      <c r="S683" s="60"/>
      <c r="T683" s="60"/>
      <c r="U683" s="60"/>
      <c r="V683" s="60"/>
      <c r="W683" s="60"/>
    </row>
    <row r="684" spans="1:23" ht="13" x14ac:dyDescent="0.3">
      <c r="A684" s="58"/>
      <c r="B684" s="58"/>
      <c r="C684" s="58"/>
      <c r="D684" s="58"/>
      <c r="E684" s="58"/>
      <c r="F684" s="58"/>
      <c r="G684" s="58"/>
      <c r="H684" s="59"/>
      <c r="I684" s="59"/>
      <c r="J684" s="59"/>
      <c r="K684" s="59"/>
      <c r="L684" s="59"/>
      <c r="M684" s="60"/>
      <c r="N684" s="60"/>
      <c r="O684" s="60"/>
      <c r="P684" s="59"/>
      <c r="Q684" s="59"/>
      <c r="R684" s="60"/>
      <c r="S684" s="60"/>
      <c r="T684" s="60"/>
      <c r="U684" s="60"/>
      <c r="V684" s="60"/>
      <c r="W684" s="60"/>
    </row>
    <row r="685" spans="1:23" ht="13" x14ac:dyDescent="0.3">
      <c r="A685" s="58"/>
      <c r="B685" s="58"/>
      <c r="C685" s="58"/>
      <c r="D685" s="58"/>
      <c r="E685" s="58"/>
      <c r="F685" s="58"/>
      <c r="G685" s="58"/>
      <c r="H685" s="59"/>
      <c r="I685" s="59"/>
      <c r="J685" s="59"/>
      <c r="K685" s="59"/>
      <c r="L685" s="59"/>
      <c r="M685" s="60"/>
      <c r="N685" s="60"/>
      <c r="O685" s="60"/>
      <c r="P685" s="59"/>
      <c r="Q685" s="59"/>
      <c r="R685" s="60"/>
      <c r="S685" s="60"/>
      <c r="T685" s="60"/>
      <c r="U685" s="60"/>
      <c r="V685" s="60"/>
      <c r="W685" s="60"/>
    </row>
    <row r="686" spans="1:23" ht="13" x14ac:dyDescent="0.3">
      <c r="A686" s="58"/>
      <c r="B686" s="58"/>
      <c r="C686" s="58"/>
      <c r="D686" s="58"/>
      <c r="E686" s="58"/>
      <c r="F686" s="58"/>
      <c r="G686" s="58"/>
      <c r="H686" s="59"/>
      <c r="I686" s="59"/>
      <c r="J686" s="59"/>
      <c r="K686" s="59"/>
      <c r="L686" s="59"/>
      <c r="M686" s="60"/>
      <c r="N686" s="60"/>
      <c r="O686" s="60"/>
      <c r="P686" s="59"/>
      <c r="Q686" s="59"/>
      <c r="R686" s="60"/>
      <c r="S686" s="60"/>
      <c r="T686" s="60"/>
      <c r="U686" s="60"/>
      <c r="V686" s="60"/>
      <c r="W686" s="60"/>
    </row>
    <row r="687" spans="1:23" ht="13" x14ac:dyDescent="0.3">
      <c r="A687" s="58"/>
      <c r="B687" s="58"/>
      <c r="C687" s="58"/>
      <c r="D687" s="58"/>
      <c r="E687" s="58"/>
      <c r="F687" s="58"/>
      <c r="G687" s="58"/>
      <c r="H687" s="59"/>
      <c r="I687" s="59"/>
      <c r="J687" s="59"/>
      <c r="K687" s="59"/>
      <c r="L687" s="59"/>
      <c r="M687" s="60"/>
      <c r="N687" s="60"/>
      <c r="O687" s="60"/>
      <c r="P687" s="59"/>
      <c r="Q687" s="59"/>
      <c r="R687" s="60"/>
      <c r="S687" s="60"/>
      <c r="T687" s="60"/>
      <c r="U687" s="60"/>
      <c r="V687" s="60"/>
      <c r="W687" s="60"/>
    </row>
    <row r="688" spans="1:23" ht="13" x14ac:dyDescent="0.3">
      <c r="A688" s="58"/>
      <c r="B688" s="58"/>
      <c r="C688" s="58"/>
      <c r="D688" s="58"/>
      <c r="E688" s="58"/>
      <c r="F688" s="58"/>
      <c r="G688" s="58"/>
      <c r="H688" s="59"/>
      <c r="I688" s="59"/>
      <c r="J688" s="59"/>
      <c r="K688" s="59"/>
      <c r="L688" s="59"/>
      <c r="M688" s="60"/>
      <c r="N688" s="60"/>
      <c r="O688" s="60"/>
      <c r="P688" s="59"/>
      <c r="Q688" s="59"/>
      <c r="R688" s="60"/>
      <c r="S688" s="60"/>
      <c r="T688" s="60"/>
      <c r="U688" s="60"/>
      <c r="V688" s="60"/>
      <c r="W688" s="60"/>
    </row>
    <row r="689" spans="1:23" ht="13" x14ac:dyDescent="0.3">
      <c r="A689" s="58"/>
      <c r="B689" s="58"/>
      <c r="C689" s="58"/>
      <c r="D689" s="58"/>
      <c r="E689" s="58"/>
      <c r="F689" s="58"/>
      <c r="G689" s="58"/>
      <c r="H689" s="59"/>
      <c r="I689" s="59"/>
      <c r="J689" s="59"/>
      <c r="K689" s="59"/>
      <c r="L689" s="59"/>
      <c r="M689" s="60"/>
      <c r="N689" s="60"/>
      <c r="O689" s="60"/>
      <c r="P689" s="59"/>
      <c r="Q689" s="59"/>
      <c r="R689" s="60"/>
      <c r="S689" s="60"/>
      <c r="T689" s="60"/>
      <c r="U689" s="60"/>
      <c r="V689" s="60"/>
      <c r="W689" s="60"/>
    </row>
    <row r="690" spans="1:23" ht="13" x14ac:dyDescent="0.3">
      <c r="A690" s="58"/>
      <c r="B690" s="58"/>
      <c r="C690" s="58"/>
      <c r="D690" s="58"/>
      <c r="E690" s="58"/>
      <c r="F690" s="58"/>
      <c r="G690" s="58"/>
      <c r="H690" s="59"/>
      <c r="I690" s="59"/>
      <c r="J690" s="59"/>
      <c r="K690" s="59"/>
      <c r="L690" s="59"/>
      <c r="M690" s="60"/>
      <c r="N690" s="60"/>
      <c r="O690" s="60"/>
      <c r="P690" s="59"/>
      <c r="Q690" s="59"/>
      <c r="R690" s="60"/>
      <c r="S690" s="60"/>
      <c r="T690" s="60"/>
      <c r="U690" s="60"/>
      <c r="V690" s="60"/>
      <c r="W690" s="60"/>
    </row>
    <row r="691" spans="1:23" ht="13" x14ac:dyDescent="0.3">
      <c r="A691" s="58"/>
      <c r="B691" s="58"/>
      <c r="C691" s="58"/>
      <c r="D691" s="58"/>
      <c r="E691" s="58"/>
      <c r="F691" s="58"/>
      <c r="G691" s="58"/>
      <c r="H691" s="59"/>
      <c r="I691" s="59"/>
      <c r="J691" s="59"/>
      <c r="K691" s="59"/>
      <c r="L691" s="59"/>
      <c r="M691" s="60"/>
      <c r="N691" s="60"/>
      <c r="O691" s="60"/>
      <c r="P691" s="59"/>
      <c r="Q691" s="59"/>
      <c r="R691" s="60"/>
      <c r="S691" s="60"/>
      <c r="T691" s="60"/>
      <c r="U691" s="60"/>
      <c r="V691" s="60"/>
      <c r="W691" s="60"/>
    </row>
    <row r="692" spans="1:23" ht="13" x14ac:dyDescent="0.3">
      <c r="A692" s="58"/>
      <c r="B692" s="58"/>
      <c r="C692" s="58"/>
      <c r="D692" s="58"/>
      <c r="E692" s="58"/>
      <c r="F692" s="58"/>
      <c r="G692" s="58"/>
      <c r="H692" s="59"/>
      <c r="I692" s="59"/>
      <c r="J692" s="59"/>
      <c r="K692" s="59"/>
      <c r="L692" s="59"/>
      <c r="M692" s="60"/>
      <c r="N692" s="60"/>
      <c r="O692" s="60"/>
      <c r="P692" s="59"/>
      <c r="Q692" s="59"/>
      <c r="R692" s="60"/>
      <c r="S692" s="60"/>
      <c r="T692" s="60"/>
      <c r="U692" s="60"/>
      <c r="V692" s="60"/>
      <c r="W692" s="60"/>
    </row>
    <row r="693" spans="1:23" ht="13" x14ac:dyDescent="0.3">
      <c r="A693" s="58"/>
      <c r="B693" s="58"/>
      <c r="C693" s="58"/>
      <c r="D693" s="58"/>
      <c r="E693" s="58"/>
      <c r="F693" s="58"/>
      <c r="G693" s="58"/>
      <c r="H693" s="59"/>
      <c r="I693" s="59"/>
      <c r="J693" s="59"/>
      <c r="K693" s="59"/>
      <c r="L693" s="59"/>
      <c r="M693" s="60"/>
      <c r="N693" s="60"/>
      <c r="O693" s="60"/>
      <c r="P693" s="59"/>
      <c r="Q693" s="59"/>
      <c r="R693" s="60"/>
      <c r="S693" s="60"/>
      <c r="T693" s="60"/>
      <c r="U693" s="60"/>
      <c r="V693" s="60"/>
      <c r="W693" s="60"/>
    </row>
    <row r="694" spans="1:23" ht="13" x14ac:dyDescent="0.3">
      <c r="A694" s="58"/>
      <c r="B694" s="58"/>
      <c r="C694" s="58"/>
      <c r="D694" s="58"/>
      <c r="E694" s="58"/>
      <c r="F694" s="58"/>
      <c r="G694" s="58"/>
      <c r="H694" s="59"/>
      <c r="I694" s="59"/>
      <c r="J694" s="59"/>
      <c r="K694" s="59"/>
      <c r="L694" s="59"/>
      <c r="M694" s="60"/>
      <c r="N694" s="60"/>
      <c r="O694" s="60"/>
      <c r="P694" s="59"/>
      <c r="Q694" s="59"/>
      <c r="R694" s="60"/>
      <c r="S694" s="60"/>
      <c r="T694" s="60"/>
      <c r="U694" s="60"/>
      <c r="V694" s="60"/>
      <c r="W694" s="60"/>
    </row>
    <row r="695" spans="1:23" ht="13" x14ac:dyDescent="0.3">
      <c r="A695" s="58"/>
      <c r="B695" s="58"/>
      <c r="C695" s="58"/>
      <c r="D695" s="58"/>
      <c r="E695" s="58"/>
      <c r="F695" s="58"/>
      <c r="G695" s="58"/>
      <c r="H695" s="59"/>
      <c r="I695" s="59"/>
      <c r="J695" s="59"/>
      <c r="K695" s="59"/>
      <c r="L695" s="59"/>
      <c r="M695" s="60"/>
      <c r="N695" s="60"/>
      <c r="O695" s="60"/>
      <c r="P695" s="59"/>
      <c r="Q695" s="59"/>
      <c r="R695" s="60"/>
      <c r="S695" s="60"/>
      <c r="T695" s="60"/>
      <c r="U695" s="60"/>
      <c r="V695" s="60"/>
      <c r="W695" s="60"/>
    </row>
    <row r="696" spans="1:23" ht="13" x14ac:dyDescent="0.3">
      <c r="A696" s="58"/>
      <c r="B696" s="58"/>
      <c r="C696" s="58"/>
      <c r="D696" s="58"/>
      <c r="E696" s="58"/>
      <c r="F696" s="58"/>
      <c r="G696" s="58"/>
      <c r="H696" s="59"/>
      <c r="I696" s="59"/>
      <c r="J696" s="59"/>
      <c r="K696" s="59"/>
      <c r="L696" s="59"/>
      <c r="M696" s="60"/>
      <c r="N696" s="60"/>
      <c r="O696" s="60"/>
      <c r="P696" s="59"/>
      <c r="Q696" s="59"/>
      <c r="R696" s="60"/>
      <c r="S696" s="60"/>
      <c r="T696" s="60"/>
      <c r="U696" s="60"/>
      <c r="V696" s="60"/>
      <c r="W696" s="60"/>
    </row>
    <row r="697" spans="1:23" ht="13" x14ac:dyDescent="0.3">
      <c r="A697" s="58"/>
      <c r="B697" s="58"/>
      <c r="C697" s="58"/>
      <c r="D697" s="58"/>
      <c r="E697" s="58"/>
      <c r="F697" s="58"/>
      <c r="G697" s="58"/>
      <c r="H697" s="59"/>
      <c r="I697" s="59"/>
      <c r="J697" s="59"/>
      <c r="K697" s="59"/>
      <c r="L697" s="59"/>
      <c r="M697" s="60"/>
      <c r="N697" s="60"/>
      <c r="O697" s="60"/>
      <c r="P697" s="59"/>
      <c r="Q697" s="59"/>
      <c r="R697" s="60"/>
      <c r="S697" s="60"/>
      <c r="T697" s="60"/>
      <c r="U697" s="60"/>
      <c r="V697" s="60"/>
      <c r="W697" s="60"/>
    </row>
    <row r="698" spans="1:23" ht="13" x14ac:dyDescent="0.3">
      <c r="A698" s="58"/>
      <c r="B698" s="58"/>
      <c r="C698" s="58"/>
      <c r="D698" s="58"/>
      <c r="E698" s="58"/>
      <c r="F698" s="58"/>
      <c r="G698" s="58"/>
      <c r="H698" s="59"/>
      <c r="I698" s="59"/>
      <c r="J698" s="59"/>
      <c r="K698" s="59"/>
      <c r="L698" s="59"/>
      <c r="M698" s="60"/>
      <c r="N698" s="60"/>
      <c r="O698" s="60"/>
      <c r="P698" s="59"/>
      <c r="Q698" s="59"/>
      <c r="R698" s="60"/>
      <c r="S698" s="60"/>
      <c r="T698" s="60"/>
      <c r="U698" s="60"/>
      <c r="V698" s="60"/>
      <c r="W698" s="60"/>
    </row>
    <row r="699" spans="1:23" ht="13" x14ac:dyDescent="0.3">
      <c r="A699" s="58"/>
      <c r="B699" s="58"/>
      <c r="C699" s="58"/>
      <c r="D699" s="58"/>
      <c r="E699" s="58"/>
      <c r="F699" s="58"/>
      <c r="G699" s="58"/>
      <c r="H699" s="59"/>
      <c r="I699" s="59"/>
      <c r="J699" s="59"/>
      <c r="K699" s="59"/>
      <c r="L699" s="59"/>
      <c r="M699" s="60"/>
      <c r="N699" s="60"/>
      <c r="O699" s="60"/>
      <c r="P699" s="59"/>
      <c r="Q699" s="59"/>
      <c r="R699" s="60"/>
      <c r="S699" s="60"/>
      <c r="T699" s="60"/>
      <c r="U699" s="60"/>
      <c r="V699" s="60"/>
      <c r="W699" s="60"/>
    </row>
    <row r="700" spans="1:23" ht="13" x14ac:dyDescent="0.3">
      <c r="A700" s="58"/>
      <c r="B700" s="58"/>
      <c r="C700" s="58"/>
      <c r="D700" s="58"/>
      <c r="E700" s="58"/>
      <c r="F700" s="58"/>
      <c r="G700" s="58"/>
      <c r="H700" s="59"/>
      <c r="I700" s="59"/>
      <c r="J700" s="59"/>
      <c r="K700" s="59"/>
      <c r="L700" s="59"/>
      <c r="M700" s="60"/>
      <c r="N700" s="60"/>
      <c r="O700" s="60"/>
      <c r="P700" s="59"/>
      <c r="Q700" s="59"/>
      <c r="R700" s="60"/>
      <c r="S700" s="60"/>
      <c r="T700" s="60"/>
      <c r="U700" s="60"/>
      <c r="V700" s="60"/>
      <c r="W700" s="60"/>
    </row>
    <row r="701" spans="1:23" ht="13" x14ac:dyDescent="0.3">
      <c r="A701" s="58"/>
      <c r="B701" s="58"/>
      <c r="C701" s="58"/>
      <c r="D701" s="58"/>
      <c r="E701" s="58"/>
      <c r="F701" s="58"/>
      <c r="G701" s="58"/>
      <c r="H701" s="59"/>
      <c r="I701" s="59"/>
      <c r="J701" s="59"/>
      <c r="K701" s="59"/>
      <c r="L701" s="59"/>
      <c r="M701" s="60"/>
      <c r="N701" s="60"/>
      <c r="O701" s="60"/>
      <c r="P701" s="59"/>
      <c r="Q701" s="59"/>
      <c r="R701" s="60"/>
      <c r="S701" s="60"/>
      <c r="T701" s="60"/>
      <c r="U701" s="60"/>
      <c r="V701" s="60"/>
      <c r="W701" s="60"/>
    </row>
    <row r="702" spans="1:23" ht="13" x14ac:dyDescent="0.3">
      <c r="A702" s="58"/>
      <c r="B702" s="58"/>
      <c r="C702" s="58"/>
      <c r="D702" s="58"/>
      <c r="E702" s="58"/>
      <c r="F702" s="58"/>
      <c r="G702" s="58"/>
      <c r="H702" s="59"/>
      <c r="I702" s="59"/>
      <c r="J702" s="59"/>
      <c r="K702" s="59"/>
      <c r="L702" s="59"/>
      <c r="M702" s="60"/>
      <c r="N702" s="60"/>
      <c r="O702" s="60"/>
      <c r="P702" s="59"/>
      <c r="Q702" s="59"/>
      <c r="R702" s="60"/>
      <c r="S702" s="60"/>
      <c r="T702" s="60"/>
      <c r="U702" s="60"/>
      <c r="V702" s="60"/>
      <c r="W702" s="60"/>
    </row>
    <row r="703" spans="1:23" ht="13" x14ac:dyDescent="0.3">
      <c r="A703" s="58"/>
      <c r="B703" s="58"/>
      <c r="C703" s="58"/>
      <c r="D703" s="58"/>
      <c r="E703" s="58"/>
      <c r="F703" s="58"/>
      <c r="G703" s="58"/>
      <c r="H703" s="59"/>
      <c r="I703" s="59"/>
      <c r="J703" s="59"/>
      <c r="K703" s="59"/>
      <c r="L703" s="59"/>
      <c r="M703" s="60"/>
      <c r="N703" s="60"/>
      <c r="O703" s="60"/>
      <c r="P703" s="59"/>
      <c r="Q703" s="59"/>
      <c r="R703" s="60"/>
      <c r="S703" s="60"/>
      <c r="T703" s="60"/>
      <c r="U703" s="60"/>
      <c r="V703" s="60"/>
      <c r="W703" s="60"/>
    </row>
    <row r="704" spans="1:23" ht="13" x14ac:dyDescent="0.3">
      <c r="A704" s="58"/>
      <c r="B704" s="58"/>
      <c r="C704" s="58"/>
      <c r="D704" s="58"/>
      <c r="E704" s="58"/>
      <c r="F704" s="58"/>
      <c r="G704" s="58"/>
      <c r="H704" s="59"/>
      <c r="I704" s="59"/>
      <c r="J704" s="59"/>
      <c r="K704" s="59"/>
      <c r="L704" s="59"/>
      <c r="M704" s="60"/>
      <c r="N704" s="60"/>
      <c r="O704" s="60"/>
      <c r="P704" s="59"/>
      <c r="Q704" s="59"/>
      <c r="R704" s="60"/>
      <c r="S704" s="60"/>
      <c r="T704" s="60"/>
      <c r="U704" s="60"/>
      <c r="V704" s="60"/>
      <c r="W704" s="60"/>
    </row>
    <row r="705" spans="1:23" ht="13" x14ac:dyDescent="0.3">
      <c r="A705" s="58"/>
      <c r="B705" s="58"/>
      <c r="C705" s="58"/>
      <c r="D705" s="58"/>
      <c r="E705" s="58"/>
      <c r="F705" s="58"/>
      <c r="G705" s="58"/>
      <c r="H705" s="59"/>
      <c r="I705" s="59"/>
      <c r="J705" s="59"/>
      <c r="K705" s="59"/>
      <c r="L705" s="59"/>
      <c r="M705" s="60"/>
      <c r="N705" s="60"/>
      <c r="O705" s="60"/>
      <c r="P705" s="59"/>
      <c r="Q705" s="59"/>
      <c r="R705" s="60"/>
      <c r="S705" s="60"/>
      <c r="T705" s="60"/>
      <c r="U705" s="60"/>
      <c r="V705" s="60"/>
      <c r="W705" s="60"/>
    </row>
    <row r="706" spans="1:23" ht="13" x14ac:dyDescent="0.3">
      <c r="A706" s="58"/>
      <c r="B706" s="58"/>
      <c r="C706" s="58"/>
      <c r="D706" s="58"/>
      <c r="E706" s="58"/>
      <c r="F706" s="58"/>
      <c r="G706" s="58"/>
      <c r="H706" s="59"/>
      <c r="I706" s="59"/>
      <c r="J706" s="59"/>
      <c r="K706" s="59"/>
      <c r="L706" s="59"/>
      <c r="M706" s="60"/>
      <c r="N706" s="60"/>
      <c r="O706" s="60"/>
      <c r="P706" s="59"/>
      <c r="Q706" s="59"/>
      <c r="R706" s="60"/>
      <c r="S706" s="60"/>
      <c r="T706" s="60"/>
      <c r="U706" s="60"/>
      <c r="V706" s="60"/>
      <c r="W706" s="60"/>
    </row>
    <row r="707" spans="1:23" ht="13" x14ac:dyDescent="0.3">
      <c r="A707" s="58"/>
      <c r="B707" s="58"/>
      <c r="C707" s="58"/>
      <c r="D707" s="58"/>
      <c r="E707" s="58"/>
      <c r="F707" s="58"/>
      <c r="G707" s="58"/>
      <c r="H707" s="59"/>
      <c r="I707" s="59"/>
      <c r="J707" s="59"/>
      <c r="K707" s="59"/>
      <c r="L707" s="59"/>
      <c r="M707" s="60"/>
      <c r="N707" s="60"/>
      <c r="O707" s="60"/>
      <c r="P707" s="59"/>
      <c r="Q707" s="59"/>
      <c r="R707" s="60"/>
      <c r="S707" s="60"/>
      <c r="T707" s="60"/>
      <c r="U707" s="60"/>
      <c r="V707" s="60"/>
      <c r="W707" s="60"/>
    </row>
    <row r="708" spans="1:23" ht="13" x14ac:dyDescent="0.3">
      <c r="A708" s="58"/>
      <c r="B708" s="58"/>
      <c r="C708" s="58"/>
      <c r="D708" s="58"/>
      <c r="E708" s="58"/>
      <c r="F708" s="58"/>
      <c r="G708" s="58"/>
      <c r="H708" s="59"/>
      <c r="I708" s="59"/>
      <c r="J708" s="59"/>
      <c r="K708" s="59"/>
      <c r="L708" s="59"/>
      <c r="M708" s="60"/>
      <c r="N708" s="60"/>
      <c r="O708" s="60"/>
      <c r="P708" s="59"/>
      <c r="Q708" s="59"/>
      <c r="R708" s="60"/>
      <c r="S708" s="60"/>
      <c r="T708" s="60"/>
      <c r="U708" s="60"/>
      <c r="V708" s="60"/>
      <c r="W708" s="60"/>
    </row>
    <row r="709" spans="1:23" ht="13" x14ac:dyDescent="0.3">
      <c r="A709" s="58"/>
      <c r="B709" s="58"/>
      <c r="C709" s="58"/>
      <c r="D709" s="58"/>
      <c r="E709" s="58"/>
      <c r="F709" s="58"/>
      <c r="G709" s="58"/>
      <c r="H709" s="59"/>
      <c r="I709" s="59"/>
      <c r="J709" s="59"/>
      <c r="K709" s="59"/>
      <c r="L709" s="59"/>
      <c r="M709" s="60"/>
      <c r="N709" s="60"/>
      <c r="O709" s="60"/>
      <c r="P709" s="59"/>
      <c r="Q709" s="59"/>
      <c r="R709" s="60"/>
      <c r="S709" s="60"/>
      <c r="T709" s="60"/>
      <c r="U709" s="60"/>
      <c r="V709" s="60"/>
      <c r="W709" s="60"/>
    </row>
    <row r="710" spans="1:23" ht="13" x14ac:dyDescent="0.3">
      <c r="A710" s="58"/>
      <c r="B710" s="58"/>
      <c r="C710" s="58"/>
      <c r="D710" s="58"/>
      <c r="E710" s="58"/>
      <c r="F710" s="58"/>
      <c r="G710" s="58"/>
      <c r="H710" s="59"/>
      <c r="I710" s="59"/>
      <c r="J710" s="59"/>
      <c r="K710" s="59"/>
      <c r="L710" s="59"/>
      <c r="M710" s="60"/>
      <c r="N710" s="60"/>
      <c r="O710" s="60"/>
      <c r="P710" s="59"/>
      <c r="Q710" s="59"/>
      <c r="R710" s="60"/>
      <c r="S710" s="60"/>
      <c r="T710" s="60"/>
      <c r="U710" s="60"/>
      <c r="V710" s="60"/>
      <c r="W710" s="60"/>
    </row>
    <row r="711" spans="1:23" ht="13" x14ac:dyDescent="0.3">
      <c r="A711" s="58"/>
      <c r="B711" s="58"/>
      <c r="C711" s="58"/>
      <c r="D711" s="58"/>
      <c r="E711" s="58"/>
      <c r="F711" s="58"/>
      <c r="G711" s="58"/>
      <c r="H711" s="59"/>
      <c r="I711" s="59"/>
      <c r="J711" s="59"/>
      <c r="K711" s="59"/>
      <c r="L711" s="59"/>
      <c r="M711" s="60"/>
      <c r="N711" s="60"/>
      <c r="O711" s="60"/>
      <c r="P711" s="59"/>
      <c r="Q711" s="59"/>
      <c r="R711" s="60"/>
      <c r="S711" s="60"/>
      <c r="T711" s="60"/>
      <c r="U711" s="60"/>
      <c r="V711" s="60"/>
      <c r="W711" s="60"/>
    </row>
    <row r="712" spans="1:23" ht="13" x14ac:dyDescent="0.3">
      <c r="A712" s="58"/>
      <c r="B712" s="58"/>
      <c r="C712" s="58"/>
      <c r="D712" s="58"/>
      <c r="E712" s="58"/>
      <c r="F712" s="58"/>
      <c r="G712" s="58"/>
      <c r="H712" s="59"/>
      <c r="I712" s="59"/>
      <c r="J712" s="59"/>
      <c r="K712" s="59"/>
      <c r="L712" s="59"/>
      <c r="M712" s="60"/>
      <c r="N712" s="60"/>
      <c r="O712" s="60"/>
      <c r="P712" s="59"/>
      <c r="Q712" s="59"/>
      <c r="R712" s="60"/>
      <c r="S712" s="60"/>
      <c r="T712" s="60"/>
      <c r="U712" s="60"/>
      <c r="V712" s="60"/>
      <c r="W712" s="60"/>
    </row>
    <row r="713" spans="1:23" ht="13" x14ac:dyDescent="0.3">
      <c r="A713" s="58"/>
      <c r="B713" s="58"/>
      <c r="C713" s="58"/>
      <c r="D713" s="58"/>
      <c r="E713" s="58"/>
      <c r="F713" s="58"/>
      <c r="G713" s="58"/>
      <c r="H713" s="59"/>
      <c r="I713" s="59"/>
      <c r="J713" s="59"/>
      <c r="K713" s="59"/>
      <c r="L713" s="59"/>
      <c r="M713" s="60"/>
      <c r="N713" s="60"/>
      <c r="O713" s="60"/>
      <c r="P713" s="59"/>
      <c r="Q713" s="59"/>
      <c r="R713" s="60"/>
      <c r="S713" s="60"/>
      <c r="T713" s="60"/>
      <c r="U713" s="60"/>
      <c r="V713" s="60"/>
      <c r="W713" s="60"/>
    </row>
    <row r="714" spans="1:23" ht="13" x14ac:dyDescent="0.3">
      <c r="A714" s="58"/>
      <c r="B714" s="58"/>
      <c r="C714" s="58"/>
      <c r="D714" s="58"/>
      <c r="E714" s="58"/>
      <c r="F714" s="58"/>
      <c r="G714" s="58"/>
      <c r="H714" s="59"/>
      <c r="I714" s="59"/>
      <c r="J714" s="59"/>
      <c r="K714" s="59"/>
      <c r="L714" s="59"/>
      <c r="M714" s="60"/>
      <c r="N714" s="60"/>
      <c r="O714" s="60"/>
      <c r="P714" s="59"/>
      <c r="Q714" s="59"/>
      <c r="R714" s="60"/>
      <c r="S714" s="60"/>
      <c r="T714" s="60"/>
      <c r="U714" s="60"/>
      <c r="V714" s="60"/>
      <c r="W714" s="60"/>
    </row>
    <row r="715" spans="1:23" ht="13" x14ac:dyDescent="0.3">
      <c r="A715" s="58"/>
      <c r="B715" s="58"/>
      <c r="C715" s="58"/>
      <c r="D715" s="58"/>
      <c r="E715" s="58"/>
      <c r="F715" s="58"/>
      <c r="G715" s="58"/>
      <c r="H715" s="59"/>
      <c r="I715" s="59"/>
      <c r="J715" s="59"/>
      <c r="K715" s="59"/>
      <c r="L715" s="59"/>
      <c r="M715" s="60"/>
      <c r="N715" s="60"/>
      <c r="O715" s="60"/>
      <c r="P715" s="59"/>
      <c r="Q715" s="59"/>
      <c r="R715" s="60"/>
      <c r="S715" s="60"/>
      <c r="T715" s="60"/>
      <c r="U715" s="60"/>
      <c r="V715" s="60"/>
      <c r="W715" s="60"/>
    </row>
    <row r="716" spans="1:23" ht="13" x14ac:dyDescent="0.3">
      <c r="A716" s="58"/>
      <c r="B716" s="58"/>
      <c r="C716" s="58"/>
      <c r="D716" s="58"/>
      <c r="E716" s="58"/>
      <c r="F716" s="58"/>
      <c r="G716" s="58"/>
      <c r="H716" s="59"/>
      <c r="I716" s="59"/>
      <c r="J716" s="59"/>
      <c r="K716" s="59"/>
      <c r="L716" s="59"/>
      <c r="M716" s="60"/>
      <c r="N716" s="60"/>
      <c r="O716" s="60"/>
      <c r="P716" s="59"/>
      <c r="Q716" s="59"/>
      <c r="R716" s="60"/>
      <c r="S716" s="60"/>
      <c r="T716" s="60"/>
      <c r="U716" s="60"/>
      <c r="V716" s="60"/>
      <c r="W716" s="60"/>
    </row>
    <row r="717" spans="1:23" ht="13" x14ac:dyDescent="0.3">
      <c r="A717" s="58"/>
      <c r="B717" s="58"/>
      <c r="C717" s="58"/>
      <c r="D717" s="58"/>
      <c r="E717" s="58"/>
      <c r="F717" s="58"/>
      <c r="G717" s="58"/>
      <c r="H717" s="59"/>
      <c r="I717" s="59"/>
      <c r="J717" s="59"/>
      <c r="K717" s="59"/>
      <c r="L717" s="59"/>
      <c r="M717" s="60"/>
      <c r="N717" s="60"/>
      <c r="O717" s="60"/>
      <c r="P717" s="59"/>
      <c r="Q717" s="59"/>
      <c r="R717" s="60"/>
      <c r="S717" s="60"/>
      <c r="T717" s="60"/>
      <c r="U717" s="60"/>
      <c r="V717" s="60"/>
      <c r="W717" s="60"/>
    </row>
    <row r="718" spans="1:23" ht="13" x14ac:dyDescent="0.3">
      <c r="A718" s="58"/>
      <c r="B718" s="58"/>
      <c r="C718" s="58"/>
      <c r="D718" s="58"/>
      <c r="E718" s="58"/>
      <c r="F718" s="58"/>
      <c r="G718" s="58"/>
      <c r="H718" s="59"/>
      <c r="I718" s="59"/>
      <c r="J718" s="59"/>
      <c r="K718" s="59"/>
      <c r="L718" s="59"/>
      <c r="M718" s="60"/>
      <c r="N718" s="60"/>
      <c r="O718" s="60"/>
      <c r="P718" s="59"/>
      <c r="Q718" s="59"/>
      <c r="R718" s="60"/>
      <c r="S718" s="60"/>
      <c r="T718" s="60"/>
      <c r="U718" s="60"/>
      <c r="V718" s="60"/>
      <c r="W718" s="60"/>
    </row>
    <row r="719" spans="1:23" ht="13" x14ac:dyDescent="0.3">
      <c r="A719" s="58"/>
      <c r="B719" s="58"/>
      <c r="C719" s="58"/>
      <c r="D719" s="58"/>
      <c r="E719" s="58"/>
      <c r="F719" s="58"/>
      <c r="G719" s="58"/>
      <c r="H719" s="59"/>
      <c r="I719" s="59"/>
      <c r="J719" s="59"/>
      <c r="K719" s="59"/>
      <c r="L719" s="59"/>
      <c r="M719" s="60"/>
      <c r="N719" s="60"/>
      <c r="O719" s="60"/>
      <c r="P719" s="59"/>
      <c r="Q719" s="59"/>
      <c r="R719" s="60"/>
      <c r="S719" s="60"/>
      <c r="T719" s="60"/>
      <c r="U719" s="60"/>
      <c r="V719" s="60"/>
      <c r="W719" s="60"/>
    </row>
    <row r="720" spans="1:23" ht="13" x14ac:dyDescent="0.3">
      <c r="A720" s="58"/>
      <c r="B720" s="58"/>
      <c r="C720" s="58"/>
      <c r="D720" s="58"/>
      <c r="E720" s="58"/>
      <c r="F720" s="58"/>
      <c r="G720" s="58"/>
      <c r="H720" s="59"/>
      <c r="I720" s="59"/>
      <c r="J720" s="59"/>
      <c r="K720" s="59"/>
      <c r="L720" s="59"/>
      <c r="M720" s="60"/>
      <c r="N720" s="60"/>
      <c r="O720" s="60"/>
      <c r="P720" s="59"/>
      <c r="Q720" s="59"/>
      <c r="R720" s="60"/>
      <c r="S720" s="60"/>
      <c r="T720" s="60"/>
      <c r="U720" s="60"/>
      <c r="V720" s="60"/>
      <c r="W720" s="60"/>
    </row>
    <row r="721" spans="1:23" ht="13" x14ac:dyDescent="0.3">
      <c r="A721" s="58"/>
      <c r="B721" s="58"/>
      <c r="C721" s="58"/>
      <c r="D721" s="58"/>
      <c r="E721" s="58"/>
      <c r="F721" s="58"/>
      <c r="G721" s="58"/>
      <c r="H721" s="59"/>
      <c r="I721" s="59"/>
      <c r="J721" s="59"/>
      <c r="K721" s="59"/>
      <c r="L721" s="59"/>
      <c r="M721" s="60"/>
      <c r="N721" s="60"/>
      <c r="O721" s="60"/>
      <c r="P721" s="59"/>
      <c r="Q721" s="59"/>
      <c r="R721" s="60"/>
      <c r="S721" s="60"/>
      <c r="T721" s="60"/>
      <c r="U721" s="60"/>
      <c r="V721" s="60"/>
      <c r="W721" s="60"/>
    </row>
    <row r="722" spans="1:23" ht="13" x14ac:dyDescent="0.3">
      <c r="A722" s="58"/>
      <c r="B722" s="58"/>
      <c r="C722" s="58"/>
      <c r="D722" s="58"/>
      <c r="E722" s="58"/>
      <c r="F722" s="58"/>
      <c r="G722" s="58"/>
      <c r="H722" s="59"/>
      <c r="I722" s="59"/>
      <c r="J722" s="59"/>
      <c r="K722" s="59"/>
      <c r="L722" s="59"/>
      <c r="M722" s="60"/>
      <c r="N722" s="60"/>
      <c r="O722" s="60"/>
      <c r="P722" s="59"/>
      <c r="Q722" s="59"/>
      <c r="R722" s="60"/>
      <c r="S722" s="60"/>
      <c r="T722" s="60"/>
      <c r="U722" s="60"/>
      <c r="V722" s="60"/>
      <c r="W722" s="60"/>
    </row>
    <row r="723" spans="1:23" ht="13" x14ac:dyDescent="0.3">
      <c r="A723" s="58"/>
      <c r="B723" s="58"/>
      <c r="C723" s="58"/>
      <c r="D723" s="58"/>
      <c r="E723" s="58"/>
      <c r="F723" s="58"/>
      <c r="G723" s="58"/>
      <c r="H723" s="59"/>
      <c r="I723" s="59"/>
      <c r="J723" s="59"/>
      <c r="K723" s="59"/>
      <c r="L723" s="59"/>
      <c r="M723" s="60"/>
      <c r="N723" s="60"/>
      <c r="O723" s="60"/>
      <c r="P723" s="59"/>
      <c r="Q723" s="59"/>
      <c r="R723" s="60"/>
      <c r="S723" s="60"/>
      <c r="T723" s="60"/>
      <c r="U723" s="60"/>
      <c r="V723" s="60"/>
      <c r="W723" s="60"/>
    </row>
    <row r="724" spans="1:23" ht="13" x14ac:dyDescent="0.3">
      <c r="A724" s="58"/>
      <c r="B724" s="58"/>
      <c r="C724" s="58"/>
      <c r="D724" s="58"/>
      <c r="E724" s="58"/>
      <c r="F724" s="58"/>
      <c r="G724" s="58"/>
      <c r="H724" s="59"/>
      <c r="I724" s="59"/>
      <c r="J724" s="59"/>
      <c r="K724" s="59"/>
      <c r="L724" s="59"/>
      <c r="M724" s="60"/>
      <c r="N724" s="60"/>
      <c r="O724" s="60"/>
      <c r="P724" s="59"/>
      <c r="Q724" s="59"/>
      <c r="R724" s="60"/>
      <c r="S724" s="60"/>
      <c r="T724" s="60"/>
      <c r="U724" s="60"/>
      <c r="V724" s="60"/>
      <c r="W724" s="60"/>
    </row>
    <row r="725" spans="1:23" ht="13" x14ac:dyDescent="0.3">
      <c r="A725" s="58"/>
      <c r="B725" s="58"/>
      <c r="C725" s="58"/>
      <c r="D725" s="58"/>
      <c r="E725" s="58"/>
      <c r="F725" s="58"/>
      <c r="G725" s="58"/>
      <c r="H725" s="59"/>
      <c r="I725" s="59"/>
      <c r="J725" s="59"/>
      <c r="K725" s="59"/>
      <c r="L725" s="59"/>
      <c r="M725" s="60"/>
      <c r="N725" s="60"/>
      <c r="O725" s="60"/>
      <c r="P725" s="59"/>
      <c r="Q725" s="59"/>
      <c r="R725" s="60"/>
      <c r="S725" s="60"/>
      <c r="T725" s="60"/>
      <c r="U725" s="60"/>
      <c r="V725" s="60"/>
      <c r="W725" s="60"/>
    </row>
    <row r="726" spans="1:23" ht="13" x14ac:dyDescent="0.3">
      <c r="A726" s="58"/>
      <c r="B726" s="58"/>
      <c r="C726" s="58"/>
      <c r="D726" s="58"/>
      <c r="E726" s="58"/>
      <c r="F726" s="58"/>
      <c r="G726" s="58"/>
      <c r="H726" s="59"/>
      <c r="I726" s="59"/>
      <c r="J726" s="59"/>
      <c r="K726" s="59"/>
      <c r="L726" s="59"/>
      <c r="M726" s="60"/>
      <c r="N726" s="60"/>
      <c r="O726" s="60"/>
      <c r="P726" s="59"/>
      <c r="Q726" s="59"/>
      <c r="R726" s="60"/>
      <c r="S726" s="60"/>
      <c r="T726" s="60"/>
      <c r="U726" s="60"/>
      <c r="V726" s="60"/>
      <c r="W726" s="60"/>
    </row>
    <row r="727" spans="1:23" ht="13" x14ac:dyDescent="0.3">
      <c r="A727" s="58"/>
      <c r="B727" s="58"/>
      <c r="C727" s="58"/>
      <c r="D727" s="58"/>
      <c r="E727" s="58"/>
      <c r="F727" s="58"/>
      <c r="G727" s="58"/>
      <c r="H727" s="59"/>
      <c r="I727" s="59"/>
      <c r="J727" s="59"/>
      <c r="K727" s="59"/>
      <c r="L727" s="59"/>
      <c r="M727" s="60"/>
      <c r="N727" s="60"/>
      <c r="O727" s="60"/>
      <c r="P727" s="59"/>
      <c r="Q727" s="59"/>
      <c r="R727" s="60"/>
      <c r="S727" s="60"/>
      <c r="T727" s="60"/>
      <c r="U727" s="60"/>
      <c r="V727" s="60"/>
      <c r="W727" s="60"/>
    </row>
    <row r="728" spans="1:23" ht="13" x14ac:dyDescent="0.3">
      <c r="A728" s="58"/>
      <c r="B728" s="58"/>
      <c r="C728" s="58"/>
      <c r="D728" s="58"/>
      <c r="E728" s="58"/>
      <c r="F728" s="58"/>
      <c r="G728" s="58"/>
      <c r="H728" s="59"/>
      <c r="I728" s="59"/>
      <c r="J728" s="59"/>
      <c r="K728" s="59"/>
      <c r="L728" s="59"/>
      <c r="M728" s="60"/>
      <c r="N728" s="60"/>
      <c r="O728" s="60"/>
      <c r="P728" s="59"/>
      <c r="Q728" s="59"/>
      <c r="R728" s="60"/>
      <c r="S728" s="60"/>
      <c r="T728" s="60"/>
      <c r="U728" s="60"/>
      <c r="V728" s="60"/>
      <c r="W728" s="60"/>
    </row>
    <row r="729" spans="1:23" ht="13" x14ac:dyDescent="0.3">
      <c r="A729" s="58"/>
      <c r="B729" s="58"/>
      <c r="C729" s="58"/>
      <c r="D729" s="58"/>
      <c r="E729" s="58"/>
      <c r="F729" s="58"/>
      <c r="G729" s="58"/>
      <c r="H729" s="59"/>
      <c r="I729" s="59"/>
      <c r="J729" s="59"/>
      <c r="K729" s="59"/>
      <c r="L729" s="59"/>
      <c r="M729" s="60"/>
      <c r="N729" s="60"/>
      <c r="O729" s="60"/>
      <c r="P729" s="59"/>
      <c r="Q729" s="59"/>
      <c r="R729" s="60"/>
      <c r="S729" s="60"/>
      <c r="T729" s="60"/>
      <c r="U729" s="60"/>
      <c r="V729" s="60"/>
      <c r="W729" s="60"/>
    </row>
    <row r="730" spans="1:23" ht="13" x14ac:dyDescent="0.3">
      <c r="A730" s="58"/>
      <c r="B730" s="58"/>
      <c r="C730" s="58"/>
      <c r="D730" s="58"/>
      <c r="E730" s="58"/>
      <c r="F730" s="58"/>
      <c r="G730" s="58"/>
      <c r="H730" s="59"/>
      <c r="I730" s="59"/>
      <c r="J730" s="59"/>
      <c r="K730" s="59"/>
      <c r="L730" s="59"/>
      <c r="M730" s="60"/>
      <c r="N730" s="60"/>
      <c r="O730" s="60"/>
      <c r="P730" s="59"/>
      <c r="Q730" s="59"/>
      <c r="R730" s="60"/>
      <c r="S730" s="60"/>
      <c r="T730" s="60"/>
      <c r="U730" s="60"/>
      <c r="V730" s="60"/>
      <c r="W730" s="60"/>
    </row>
    <row r="731" spans="1:23" ht="13" x14ac:dyDescent="0.3">
      <c r="A731" s="58"/>
      <c r="B731" s="58"/>
      <c r="C731" s="58"/>
      <c r="D731" s="58"/>
      <c r="E731" s="58"/>
      <c r="F731" s="58"/>
      <c r="G731" s="58"/>
      <c r="H731" s="59"/>
      <c r="I731" s="59"/>
      <c r="J731" s="59"/>
      <c r="K731" s="59"/>
      <c r="L731" s="59"/>
      <c r="M731" s="60"/>
      <c r="N731" s="60"/>
      <c r="O731" s="60"/>
      <c r="P731" s="59"/>
      <c r="Q731" s="59"/>
      <c r="R731" s="60"/>
      <c r="S731" s="60"/>
      <c r="T731" s="60"/>
      <c r="U731" s="60"/>
      <c r="V731" s="60"/>
      <c r="W731" s="60"/>
    </row>
    <row r="732" spans="1:23" ht="13" x14ac:dyDescent="0.3">
      <c r="A732" s="58"/>
      <c r="B732" s="58"/>
      <c r="C732" s="58"/>
      <c r="D732" s="58"/>
      <c r="E732" s="58"/>
      <c r="F732" s="58"/>
      <c r="G732" s="58"/>
      <c r="H732" s="59"/>
      <c r="I732" s="59"/>
      <c r="J732" s="59"/>
      <c r="K732" s="59"/>
      <c r="L732" s="59"/>
      <c r="M732" s="60"/>
      <c r="N732" s="60"/>
      <c r="O732" s="60"/>
      <c r="P732" s="59"/>
      <c r="Q732" s="59"/>
      <c r="R732" s="60"/>
      <c r="S732" s="60"/>
      <c r="T732" s="60"/>
      <c r="U732" s="60"/>
      <c r="V732" s="60"/>
      <c r="W732" s="60"/>
    </row>
    <row r="733" spans="1:23" ht="13" x14ac:dyDescent="0.3">
      <c r="A733" s="58"/>
      <c r="B733" s="58"/>
      <c r="C733" s="58"/>
      <c r="D733" s="58"/>
      <c r="E733" s="58"/>
      <c r="F733" s="58"/>
      <c r="G733" s="58"/>
      <c r="H733" s="59"/>
      <c r="I733" s="59"/>
      <c r="J733" s="59"/>
      <c r="K733" s="59"/>
      <c r="L733" s="59"/>
      <c r="M733" s="60"/>
      <c r="N733" s="60"/>
      <c r="O733" s="60"/>
      <c r="P733" s="59"/>
      <c r="Q733" s="59"/>
      <c r="R733" s="60"/>
      <c r="S733" s="60"/>
      <c r="T733" s="60"/>
      <c r="U733" s="60"/>
      <c r="V733" s="60"/>
      <c r="W733" s="60"/>
    </row>
    <row r="734" spans="1:23" ht="13" x14ac:dyDescent="0.3">
      <c r="A734" s="58"/>
      <c r="B734" s="58"/>
      <c r="C734" s="58"/>
      <c r="D734" s="58"/>
      <c r="E734" s="58"/>
      <c r="F734" s="58"/>
      <c r="G734" s="58"/>
      <c r="H734" s="59"/>
      <c r="I734" s="59"/>
      <c r="J734" s="59"/>
      <c r="K734" s="59"/>
      <c r="L734" s="59"/>
      <c r="M734" s="60"/>
      <c r="N734" s="60"/>
      <c r="O734" s="60"/>
      <c r="P734" s="59"/>
      <c r="Q734" s="59"/>
      <c r="R734" s="60"/>
      <c r="S734" s="60"/>
      <c r="T734" s="60"/>
      <c r="U734" s="60"/>
      <c r="V734" s="60"/>
      <c r="W734" s="60"/>
    </row>
    <row r="735" spans="1:23" ht="13" x14ac:dyDescent="0.3">
      <c r="A735" s="58"/>
      <c r="B735" s="58"/>
      <c r="C735" s="58"/>
      <c r="D735" s="58"/>
      <c r="E735" s="58"/>
      <c r="F735" s="58"/>
      <c r="G735" s="58"/>
      <c r="H735" s="59"/>
      <c r="I735" s="59"/>
      <c r="J735" s="59"/>
      <c r="K735" s="59"/>
      <c r="L735" s="59"/>
      <c r="M735" s="60"/>
      <c r="N735" s="60"/>
      <c r="O735" s="60"/>
      <c r="P735" s="59"/>
      <c r="Q735" s="59"/>
      <c r="R735" s="60"/>
      <c r="S735" s="60"/>
      <c r="T735" s="60"/>
      <c r="U735" s="60"/>
      <c r="V735" s="60"/>
      <c r="W735" s="60"/>
    </row>
    <row r="736" spans="1:23" ht="13" x14ac:dyDescent="0.3">
      <c r="A736" s="58"/>
      <c r="B736" s="58"/>
      <c r="C736" s="58"/>
      <c r="D736" s="58"/>
      <c r="E736" s="58"/>
      <c r="F736" s="58"/>
      <c r="G736" s="58"/>
      <c r="H736" s="59"/>
      <c r="I736" s="59"/>
      <c r="J736" s="59"/>
      <c r="K736" s="59"/>
      <c r="L736" s="59"/>
      <c r="M736" s="60"/>
      <c r="N736" s="60"/>
      <c r="O736" s="60"/>
      <c r="P736" s="59"/>
      <c r="Q736" s="59"/>
      <c r="R736" s="60"/>
      <c r="S736" s="60"/>
      <c r="T736" s="60"/>
      <c r="U736" s="60"/>
      <c r="V736" s="60"/>
      <c r="W736" s="60"/>
    </row>
    <row r="737" spans="1:23" ht="13" x14ac:dyDescent="0.3">
      <c r="A737" s="58"/>
      <c r="B737" s="58"/>
      <c r="C737" s="58"/>
      <c r="D737" s="58"/>
      <c r="E737" s="58"/>
      <c r="F737" s="58"/>
      <c r="G737" s="58"/>
      <c r="H737" s="59"/>
      <c r="I737" s="59"/>
      <c r="J737" s="59"/>
      <c r="K737" s="59"/>
      <c r="L737" s="59"/>
      <c r="M737" s="60"/>
      <c r="N737" s="60"/>
      <c r="O737" s="60"/>
      <c r="P737" s="59"/>
      <c r="Q737" s="59"/>
      <c r="R737" s="60"/>
      <c r="S737" s="60"/>
      <c r="T737" s="60"/>
      <c r="U737" s="60"/>
      <c r="V737" s="60"/>
      <c r="W737" s="60"/>
    </row>
    <row r="738" spans="1:23" ht="13" x14ac:dyDescent="0.3">
      <c r="A738" s="58"/>
      <c r="B738" s="58"/>
      <c r="C738" s="58"/>
      <c r="D738" s="58"/>
      <c r="E738" s="58"/>
      <c r="F738" s="58"/>
      <c r="G738" s="58"/>
      <c r="H738" s="59"/>
      <c r="I738" s="59"/>
      <c r="J738" s="59"/>
      <c r="K738" s="59"/>
      <c r="L738" s="59"/>
      <c r="M738" s="60"/>
      <c r="N738" s="60"/>
      <c r="O738" s="60"/>
      <c r="P738" s="59"/>
      <c r="Q738" s="59"/>
      <c r="R738" s="60"/>
      <c r="S738" s="60"/>
      <c r="T738" s="60"/>
      <c r="U738" s="60"/>
      <c r="V738" s="60"/>
      <c r="W738" s="60"/>
    </row>
    <row r="739" spans="1:23" ht="13" x14ac:dyDescent="0.3">
      <c r="A739" s="58"/>
      <c r="B739" s="58"/>
      <c r="C739" s="58"/>
      <c r="D739" s="58"/>
      <c r="E739" s="58"/>
      <c r="F739" s="58"/>
      <c r="G739" s="58"/>
      <c r="H739" s="59"/>
      <c r="I739" s="59"/>
      <c r="J739" s="59"/>
      <c r="K739" s="59"/>
      <c r="L739" s="59"/>
      <c r="M739" s="60"/>
      <c r="N739" s="60"/>
      <c r="O739" s="60"/>
      <c r="P739" s="59"/>
      <c r="Q739" s="59"/>
      <c r="R739" s="60"/>
      <c r="S739" s="60"/>
      <c r="T739" s="60"/>
      <c r="U739" s="60"/>
      <c r="V739" s="60"/>
      <c r="W739" s="60"/>
    </row>
    <row r="740" spans="1:23" ht="13" x14ac:dyDescent="0.3">
      <c r="A740" s="58"/>
      <c r="B740" s="58"/>
      <c r="C740" s="58"/>
      <c r="D740" s="58"/>
      <c r="E740" s="58"/>
      <c r="F740" s="58"/>
      <c r="G740" s="58"/>
      <c r="H740" s="59"/>
      <c r="I740" s="59"/>
      <c r="J740" s="59"/>
      <c r="K740" s="59"/>
      <c r="L740" s="59"/>
      <c r="M740" s="60"/>
      <c r="N740" s="60"/>
      <c r="O740" s="60"/>
      <c r="P740" s="59"/>
      <c r="Q740" s="59"/>
      <c r="R740" s="60"/>
      <c r="S740" s="60"/>
      <c r="T740" s="60"/>
      <c r="U740" s="60"/>
      <c r="V740" s="60"/>
      <c r="W740" s="60"/>
    </row>
    <row r="741" spans="1:23" ht="13" x14ac:dyDescent="0.3">
      <c r="A741" s="58"/>
      <c r="B741" s="58"/>
      <c r="C741" s="58"/>
      <c r="D741" s="58"/>
      <c r="E741" s="58"/>
      <c r="F741" s="58"/>
      <c r="G741" s="58"/>
      <c r="H741" s="59"/>
      <c r="I741" s="59"/>
      <c r="J741" s="59"/>
      <c r="K741" s="59"/>
      <c r="L741" s="59"/>
      <c r="M741" s="60"/>
      <c r="N741" s="60"/>
      <c r="O741" s="60"/>
      <c r="P741" s="59"/>
      <c r="Q741" s="59"/>
      <c r="R741" s="60"/>
      <c r="S741" s="60"/>
      <c r="T741" s="60"/>
      <c r="U741" s="60"/>
      <c r="V741" s="60"/>
      <c r="W741" s="60"/>
    </row>
    <row r="742" spans="1:23" ht="13" x14ac:dyDescent="0.3">
      <c r="A742" s="58"/>
      <c r="B742" s="58"/>
      <c r="C742" s="58"/>
      <c r="D742" s="58"/>
      <c r="E742" s="58"/>
      <c r="F742" s="58"/>
      <c r="G742" s="58"/>
      <c r="H742" s="59"/>
      <c r="I742" s="59"/>
      <c r="J742" s="59"/>
      <c r="K742" s="59"/>
      <c r="L742" s="59"/>
      <c r="M742" s="60"/>
      <c r="N742" s="60"/>
      <c r="O742" s="60"/>
      <c r="P742" s="59"/>
      <c r="Q742" s="59"/>
      <c r="R742" s="60"/>
      <c r="S742" s="60"/>
      <c r="T742" s="60"/>
      <c r="U742" s="60"/>
      <c r="V742" s="60"/>
      <c r="W742" s="60"/>
    </row>
    <row r="743" spans="1:23" ht="13" x14ac:dyDescent="0.3">
      <c r="A743" s="58"/>
      <c r="B743" s="58"/>
      <c r="C743" s="58"/>
      <c r="D743" s="58"/>
      <c r="E743" s="58"/>
      <c r="F743" s="58"/>
      <c r="G743" s="58"/>
      <c r="H743" s="59"/>
      <c r="I743" s="59"/>
      <c r="J743" s="59"/>
      <c r="K743" s="59"/>
      <c r="L743" s="59"/>
      <c r="M743" s="60"/>
      <c r="N743" s="60"/>
      <c r="O743" s="60"/>
      <c r="P743" s="59"/>
      <c r="Q743" s="59"/>
      <c r="R743" s="60"/>
      <c r="S743" s="60"/>
      <c r="T743" s="60"/>
      <c r="U743" s="60"/>
      <c r="V743" s="60"/>
      <c r="W743" s="60"/>
    </row>
    <row r="744" spans="1:23" ht="13" x14ac:dyDescent="0.3">
      <c r="A744" s="58"/>
      <c r="B744" s="58"/>
      <c r="C744" s="58"/>
      <c r="D744" s="58"/>
      <c r="E744" s="58"/>
      <c r="F744" s="58"/>
      <c r="G744" s="58"/>
      <c r="H744" s="59"/>
      <c r="I744" s="59"/>
      <c r="J744" s="59"/>
      <c r="K744" s="59"/>
      <c r="L744" s="59"/>
      <c r="M744" s="60"/>
      <c r="N744" s="60"/>
      <c r="O744" s="60"/>
      <c r="P744" s="59"/>
      <c r="Q744" s="59"/>
      <c r="R744" s="60"/>
      <c r="S744" s="60"/>
      <c r="T744" s="60"/>
      <c r="U744" s="60"/>
      <c r="V744" s="60"/>
      <c r="W744" s="60"/>
    </row>
    <row r="745" spans="1:23" ht="13" x14ac:dyDescent="0.3">
      <c r="A745" s="58"/>
      <c r="B745" s="58"/>
      <c r="C745" s="58"/>
      <c r="D745" s="58"/>
      <c r="E745" s="58"/>
      <c r="F745" s="58"/>
      <c r="G745" s="58"/>
      <c r="H745" s="59"/>
      <c r="I745" s="59"/>
      <c r="J745" s="59"/>
      <c r="K745" s="59"/>
      <c r="L745" s="59"/>
      <c r="M745" s="60"/>
      <c r="N745" s="60"/>
      <c r="O745" s="60"/>
      <c r="P745" s="59"/>
      <c r="Q745" s="59"/>
      <c r="R745" s="60"/>
      <c r="S745" s="60"/>
      <c r="T745" s="60"/>
      <c r="U745" s="60"/>
      <c r="V745" s="60"/>
      <c r="W745" s="60"/>
    </row>
    <row r="746" spans="1:23" ht="13" x14ac:dyDescent="0.3">
      <c r="A746" s="58"/>
      <c r="B746" s="58"/>
      <c r="C746" s="58"/>
      <c r="D746" s="58"/>
      <c r="E746" s="58"/>
      <c r="F746" s="58"/>
      <c r="G746" s="58"/>
      <c r="H746" s="59"/>
      <c r="I746" s="59"/>
      <c r="J746" s="59"/>
      <c r="K746" s="59"/>
      <c r="L746" s="59"/>
      <c r="M746" s="60"/>
      <c r="N746" s="60"/>
      <c r="O746" s="60"/>
      <c r="P746" s="59"/>
      <c r="Q746" s="59"/>
      <c r="R746" s="60"/>
      <c r="S746" s="60"/>
      <c r="T746" s="60"/>
      <c r="U746" s="60"/>
      <c r="V746" s="60"/>
      <c r="W746" s="60"/>
    </row>
    <row r="747" spans="1:23" ht="13" x14ac:dyDescent="0.3">
      <c r="A747" s="58"/>
      <c r="B747" s="58"/>
      <c r="C747" s="58"/>
      <c r="D747" s="58"/>
      <c r="E747" s="58"/>
      <c r="F747" s="58"/>
      <c r="G747" s="58"/>
      <c r="H747" s="59"/>
      <c r="I747" s="59"/>
      <c r="J747" s="59"/>
      <c r="K747" s="59"/>
      <c r="L747" s="59"/>
      <c r="M747" s="60"/>
      <c r="N747" s="60"/>
      <c r="O747" s="60"/>
      <c r="P747" s="59"/>
      <c r="Q747" s="59"/>
      <c r="R747" s="60"/>
      <c r="S747" s="60"/>
      <c r="T747" s="60"/>
      <c r="U747" s="60"/>
      <c r="V747" s="60"/>
      <c r="W747" s="60"/>
    </row>
    <row r="748" spans="1:23" ht="13" x14ac:dyDescent="0.3">
      <c r="A748" s="58"/>
      <c r="B748" s="58"/>
      <c r="C748" s="58"/>
      <c r="D748" s="58"/>
      <c r="E748" s="58"/>
      <c r="F748" s="58"/>
      <c r="G748" s="58"/>
      <c r="H748" s="59"/>
      <c r="I748" s="59"/>
      <c r="J748" s="59"/>
      <c r="K748" s="59"/>
      <c r="L748" s="59"/>
      <c r="M748" s="60"/>
      <c r="N748" s="60"/>
      <c r="O748" s="60"/>
      <c r="P748" s="59"/>
      <c r="Q748" s="59"/>
      <c r="R748" s="60"/>
      <c r="S748" s="60"/>
      <c r="T748" s="60"/>
      <c r="U748" s="60"/>
      <c r="V748" s="60"/>
      <c r="W748" s="60"/>
    </row>
    <row r="749" spans="1:23" ht="13" x14ac:dyDescent="0.3">
      <c r="A749" s="58"/>
      <c r="B749" s="58"/>
      <c r="C749" s="58"/>
      <c r="D749" s="58"/>
      <c r="E749" s="58"/>
      <c r="F749" s="58"/>
      <c r="G749" s="58"/>
      <c r="H749" s="59"/>
      <c r="I749" s="59"/>
      <c r="J749" s="59"/>
      <c r="K749" s="59"/>
      <c r="L749" s="59"/>
      <c r="M749" s="60"/>
      <c r="N749" s="60"/>
      <c r="O749" s="60"/>
      <c r="P749" s="59"/>
      <c r="Q749" s="59"/>
      <c r="R749" s="60"/>
      <c r="S749" s="60"/>
      <c r="T749" s="60"/>
      <c r="U749" s="60"/>
      <c r="V749" s="60"/>
      <c r="W749" s="60"/>
    </row>
    <row r="750" spans="1:23" ht="13" x14ac:dyDescent="0.3">
      <c r="A750" s="58"/>
      <c r="B750" s="58"/>
      <c r="C750" s="58"/>
      <c r="D750" s="58"/>
      <c r="E750" s="58"/>
      <c r="F750" s="58"/>
      <c r="G750" s="58"/>
      <c r="H750" s="59"/>
      <c r="I750" s="59"/>
      <c r="J750" s="59"/>
      <c r="K750" s="59"/>
      <c r="L750" s="59"/>
      <c r="M750" s="60"/>
      <c r="N750" s="60"/>
      <c r="O750" s="60"/>
      <c r="P750" s="59"/>
      <c r="Q750" s="59"/>
      <c r="R750" s="60"/>
      <c r="S750" s="60"/>
      <c r="T750" s="60"/>
      <c r="U750" s="60"/>
      <c r="V750" s="60"/>
      <c r="W750" s="60"/>
    </row>
    <row r="751" spans="1:23" ht="13" x14ac:dyDescent="0.3">
      <c r="A751" s="58"/>
      <c r="B751" s="58"/>
      <c r="C751" s="58"/>
      <c r="D751" s="58"/>
      <c r="E751" s="58"/>
      <c r="F751" s="58"/>
      <c r="G751" s="58"/>
      <c r="H751" s="59"/>
      <c r="I751" s="59"/>
      <c r="J751" s="59"/>
      <c r="K751" s="59"/>
      <c r="L751" s="59"/>
      <c r="M751" s="60"/>
      <c r="N751" s="60"/>
      <c r="O751" s="60"/>
      <c r="P751" s="59"/>
      <c r="Q751" s="59"/>
      <c r="R751" s="60"/>
      <c r="S751" s="60"/>
      <c r="T751" s="60"/>
      <c r="U751" s="60"/>
      <c r="V751" s="60"/>
      <c r="W751" s="60"/>
    </row>
    <row r="752" spans="1:23" ht="13" x14ac:dyDescent="0.3">
      <c r="A752" s="58"/>
      <c r="B752" s="58"/>
      <c r="C752" s="58"/>
      <c r="D752" s="58"/>
      <c r="E752" s="58"/>
      <c r="F752" s="58"/>
      <c r="G752" s="58"/>
      <c r="H752" s="59"/>
      <c r="I752" s="59"/>
      <c r="J752" s="59"/>
      <c r="K752" s="59"/>
      <c r="L752" s="59"/>
      <c r="M752" s="60"/>
      <c r="N752" s="60"/>
      <c r="O752" s="60"/>
      <c r="P752" s="59"/>
      <c r="Q752" s="59"/>
      <c r="R752" s="60"/>
      <c r="S752" s="60"/>
      <c r="T752" s="60"/>
      <c r="U752" s="60"/>
      <c r="V752" s="60"/>
      <c r="W752" s="60"/>
    </row>
    <row r="753" spans="1:23" ht="13" x14ac:dyDescent="0.3">
      <c r="A753" s="58"/>
      <c r="B753" s="58"/>
      <c r="C753" s="58"/>
      <c r="D753" s="58"/>
      <c r="E753" s="58"/>
      <c r="F753" s="58"/>
      <c r="G753" s="58"/>
      <c r="H753" s="59"/>
      <c r="I753" s="59"/>
      <c r="J753" s="59"/>
      <c r="K753" s="59"/>
      <c r="L753" s="59"/>
      <c r="M753" s="60"/>
      <c r="N753" s="60"/>
      <c r="O753" s="60"/>
      <c r="P753" s="59"/>
      <c r="Q753" s="59"/>
      <c r="R753" s="60"/>
      <c r="S753" s="60"/>
      <c r="T753" s="60"/>
      <c r="U753" s="60"/>
      <c r="V753" s="60"/>
      <c r="W753" s="60"/>
    </row>
    <row r="754" spans="1:23" ht="13" x14ac:dyDescent="0.3">
      <c r="A754" s="58"/>
      <c r="B754" s="58"/>
      <c r="C754" s="58"/>
      <c r="D754" s="58"/>
      <c r="E754" s="58"/>
      <c r="F754" s="58"/>
      <c r="G754" s="58"/>
      <c r="H754" s="59"/>
      <c r="I754" s="59"/>
      <c r="J754" s="59"/>
      <c r="K754" s="59"/>
      <c r="L754" s="59"/>
      <c r="M754" s="60"/>
      <c r="N754" s="60"/>
      <c r="O754" s="60"/>
      <c r="P754" s="59"/>
      <c r="Q754" s="59"/>
      <c r="R754" s="60"/>
      <c r="S754" s="60"/>
      <c r="T754" s="60"/>
      <c r="U754" s="60"/>
      <c r="V754" s="60"/>
      <c r="W754" s="60"/>
    </row>
    <row r="755" spans="1:23" ht="13" x14ac:dyDescent="0.3">
      <c r="A755" s="58"/>
      <c r="B755" s="58"/>
      <c r="C755" s="58"/>
      <c r="D755" s="58"/>
      <c r="E755" s="58"/>
      <c r="F755" s="58"/>
      <c r="G755" s="58"/>
      <c r="H755" s="59"/>
      <c r="I755" s="59"/>
      <c r="J755" s="59"/>
      <c r="K755" s="59"/>
      <c r="L755" s="59"/>
      <c r="M755" s="60"/>
      <c r="N755" s="60"/>
      <c r="O755" s="60"/>
      <c r="P755" s="59"/>
      <c r="Q755" s="59"/>
      <c r="R755" s="60"/>
      <c r="S755" s="60"/>
      <c r="T755" s="60"/>
      <c r="U755" s="60"/>
      <c r="V755" s="60"/>
      <c r="W755" s="60"/>
    </row>
    <row r="756" spans="1:23" ht="13" x14ac:dyDescent="0.3">
      <c r="A756" s="58"/>
      <c r="B756" s="58"/>
      <c r="C756" s="58"/>
      <c r="D756" s="58"/>
      <c r="E756" s="58"/>
      <c r="F756" s="58"/>
      <c r="G756" s="58"/>
      <c r="H756" s="59"/>
      <c r="I756" s="59"/>
      <c r="J756" s="59"/>
      <c r="K756" s="59"/>
      <c r="L756" s="59"/>
      <c r="M756" s="60"/>
      <c r="N756" s="60"/>
      <c r="O756" s="60"/>
      <c r="P756" s="59"/>
      <c r="Q756" s="59"/>
      <c r="R756" s="60"/>
      <c r="S756" s="60"/>
      <c r="T756" s="60"/>
      <c r="U756" s="60"/>
      <c r="V756" s="60"/>
      <c r="W756" s="60"/>
    </row>
    <row r="757" spans="1:23" ht="13" x14ac:dyDescent="0.3">
      <c r="A757" s="58"/>
      <c r="B757" s="58"/>
      <c r="C757" s="58"/>
      <c r="D757" s="58"/>
      <c r="E757" s="58"/>
      <c r="F757" s="58"/>
      <c r="G757" s="58"/>
      <c r="H757" s="59"/>
      <c r="I757" s="59"/>
      <c r="J757" s="59"/>
      <c r="K757" s="59"/>
      <c r="L757" s="59"/>
      <c r="M757" s="60"/>
      <c r="N757" s="60"/>
      <c r="O757" s="60"/>
      <c r="P757" s="59"/>
      <c r="Q757" s="59"/>
      <c r="R757" s="60"/>
      <c r="S757" s="60"/>
      <c r="T757" s="60"/>
      <c r="U757" s="60"/>
      <c r="V757" s="60"/>
      <c r="W757" s="60"/>
    </row>
    <row r="758" spans="1:23" ht="13" x14ac:dyDescent="0.3">
      <c r="A758" s="58"/>
      <c r="B758" s="58"/>
      <c r="C758" s="58"/>
      <c r="D758" s="58"/>
      <c r="E758" s="58"/>
      <c r="F758" s="58"/>
      <c r="G758" s="58"/>
      <c r="H758" s="59"/>
      <c r="I758" s="59"/>
      <c r="J758" s="59"/>
      <c r="K758" s="59"/>
      <c r="L758" s="59"/>
      <c r="M758" s="60"/>
      <c r="N758" s="60"/>
      <c r="O758" s="60"/>
      <c r="P758" s="59"/>
      <c r="Q758" s="59"/>
      <c r="R758" s="60"/>
      <c r="S758" s="60"/>
      <c r="T758" s="60"/>
      <c r="U758" s="60"/>
      <c r="V758" s="60"/>
      <c r="W758" s="60"/>
    </row>
    <row r="759" spans="1:23" ht="13" x14ac:dyDescent="0.3">
      <c r="A759" s="58"/>
      <c r="B759" s="58"/>
      <c r="C759" s="58"/>
      <c r="D759" s="58"/>
      <c r="E759" s="58"/>
      <c r="F759" s="58"/>
      <c r="G759" s="58"/>
      <c r="H759" s="59"/>
      <c r="I759" s="59"/>
      <c r="J759" s="59"/>
      <c r="K759" s="59"/>
      <c r="L759" s="59"/>
      <c r="M759" s="60"/>
      <c r="N759" s="60"/>
      <c r="O759" s="60"/>
      <c r="P759" s="59"/>
      <c r="Q759" s="59"/>
      <c r="R759" s="60"/>
      <c r="S759" s="60"/>
      <c r="T759" s="60"/>
      <c r="U759" s="60"/>
      <c r="V759" s="60"/>
      <c r="W759" s="60"/>
    </row>
    <row r="760" spans="1:23" ht="13" x14ac:dyDescent="0.3">
      <c r="A760" s="58"/>
      <c r="B760" s="58"/>
      <c r="C760" s="58"/>
      <c r="D760" s="58"/>
      <c r="E760" s="58"/>
      <c r="F760" s="58"/>
      <c r="G760" s="58"/>
      <c r="H760" s="59"/>
      <c r="I760" s="59"/>
      <c r="J760" s="59"/>
      <c r="K760" s="59"/>
      <c r="L760" s="59"/>
      <c r="M760" s="60"/>
      <c r="N760" s="60"/>
      <c r="O760" s="60"/>
      <c r="P760" s="59"/>
      <c r="Q760" s="59"/>
      <c r="R760" s="60"/>
      <c r="S760" s="60"/>
      <c r="T760" s="60"/>
      <c r="U760" s="60"/>
      <c r="V760" s="60"/>
      <c r="W760" s="60"/>
    </row>
    <row r="761" spans="1:23" ht="13" x14ac:dyDescent="0.3">
      <c r="A761" s="58"/>
      <c r="B761" s="58"/>
      <c r="C761" s="58"/>
      <c r="D761" s="58"/>
      <c r="E761" s="58"/>
      <c r="F761" s="58"/>
      <c r="G761" s="58"/>
      <c r="H761" s="59"/>
      <c r="I761" s="59"/>
      <c r="J761" s="59"/>
      <c r="K761" s="59"/>
      <c r="L761" s="59"/>
      <c r="M761" s="60"/>
      <c r="N761" s="60"/>
      <c r="O761" s="60"/>
      <c r="P761" s="59"/>
      <c r="Q761" s="59"/>
      <c r="R761" s="60"/>
      <c r="S761" s="60"/>
      <c r="T761" s="60"/>
      <c r="U761" s="60"/>
      <c r="V761" s="60"/>
      <c r="W761" s="60"/>
    </row>
    <row r="762" spans="1:23" ht="13" x14ac:dyDescent="0.3">
      <c r="A762" s="58"/>
      <c r="B762" s="58"/>
      <c r="C762" s="58"/>
      <c r="D762" s="58"/>
      <c r="E762" s="58"/>
      <c r="F762" s="58"/>
      <c r="G762" s="58"/>
      <c r="H762" s="59"/>
      <c r="I762" s="59"/>
      <c r="J762" s="59"/>
      <c r="K762" s="59"/>
      <c r="L762" s="59"/>
      <c r="M762" s="60"/>
      <c r="N762" s="60"/>
      <c r="O762" s="60"/>
      <c r="P762" s="59"/>
      <c r="Q762" s="59"/>
      <c r="R762" s="60"/>
      <c r="S762" s="60"/>
      <c r="T762" s="60"/>
      <c r="U762" s="60"/>
      <c r="V762" s="60"/>
      <c r="W762" s="60"/>
    </row>
    <row r="763" spans="1:23" ht="13" x14ac:dyDescent="0.3">
      <c r="A763" s="58"/>
      <c r="B763" s="58"/>
      <c r="C763" s="58"/>
      <c r="D763" s="58"/>
      <c r="E763" s="58"/>
      <c r="F763" s="58"/>
      <c r="G763" s="58"/>
      <c r="H763" s="59"/>
      <c r="I763" s="59"/>
      <c r="J763" s="59"/>
      <c r="K763" s="59"/>
      <c r="L763" s="59"/>
      <c r="M763" s="60"/>
      <c r="N763" s="60"/>
      <c r="O763" s="60"/>
      <c r="P763" s="59"/>
      <c r="Q763" s="59"/>
      <c r="R763" s="60"/>
      <c r="S763" s="60"/>
      <c r="T763" s="60"/>
      <c r="U763" s="60"/>
      <c r="V763" s="60"/>
      <c r="W763" s="60"/>
    </row>
    <row r="764" spans="1:23" ht="13" x14ac:dyDescent="0.3">
      <c r="A764" s="58"/>
      <c r="B764" s="58"/>
      <c r="C764" s="58"/>
      <c r="D764" s="58"/>
      <c r="E764" s="58"/>
      <c r="F764" s="58"/>
      <c r="G764" s="58"/>
      <c r="H764" s="59"/>
      <c r="I764" s="59"/>
      <c r="J764" s="59"/>
      <c r="K764" s="59"/>
      <c r="L764" s="59"/>
      <c r="M764" s="60"/>
      <c r="N764" s="60"/>
      <c r="O764" s="60"/>
      <c r="P764" s="59"/>
      <c r="Q764" s="59"/>
      <c r="R764" s="60"/>
      <c r="S764" s="60"/>
      <c r="T764" s="60"/>
      <c r="U764" s="60"/>
      <c r="V764" s="60"/>
      <c r="W764" s="60"/>
    </row>
    <row r="765" spans="1:23" ht="13" x14ac:dyDescent="0.3">
      <c r="A765" s="58"/>
      <c r="B765" s="58"/>
      <c r="C765" s="58"/>
      <c r="D765" s="58"/>
      <c r="E765" s="58"/>
      <c r="F765" s="58"/>
      <c r="G765" s="58"/>
      <c r="H765" s="59"/>
      <c r="I765" s="59"/>
      <c r="J765" s="59"/>
      <c r="K765" s="59"/>
      <c r="L765" s="59"/>
      <c r="M765" s="60"/>
      <c r="N765" s="60"/>
      <c r="O765" s="60"/>
      <c r="P765" s="59"/>
      <c r="Q765" s="59"/>
      <c r="R765" s="60"/>
      <c r="S765" s="60"/>
      <c r="T765" s="60"/>
      <c r="U765" s="60"/>
      <c r="V765" s="60"/>
      <c r="W765" s="60"/>
    </row>
    <row r="766" spans="1:23" ht="13" x14ac:dyDescent="0.3">
      <c r="A766" s="58"/>
      <c r="B766" s="58"/>
      <c r="C766" s="58"/>
      <c r="D766" s="58"/>
      <c r="E766" s="58"/>
      <c r="F766" s="58"/>
      <c r="G766" s="58"/>
      <c r="H766" s="59"/>
      <c r="I766" s="59"/>
      <c r="J766" s="59"/>
      <c r="K766" s="59"/>
      <c r="L766" s="59"/>
      <c r="M766" s="60"/>
      <c r="N766" s="60"/>
      <c r="O766" s="60"/>
      <c r="P766" s="59"/>
      <c r="Q766" s="59"/>
      <c r="R766" s="60"/>
      <c r="S766" s="60"/>
      <c r="T766" s="60"/>
      <c r="U766" s="60"/>
      <c r="V766" s="60"/>
      <c r="W766" s="60"/>
    </row>
    <row r="767" spans="1:23" ht="13" x14ac:dyDescent="0.3">
      <c r="A767" s="58"/>
      <c r="B767" s="58"/>
      <c r="C767" s="58"/>
      <c r="D767" s="58"/>
      <c r="E767" s="58"/>
      <c r="F767" s="58"/>
      <c r="G767" s="58"/>
      <c r="H767" s="59"/>
      <c r="I767" s="59"/>
      <c r="J767" s="59"/>
      <c r="K767" s="59"/>
      <c r="L767" s="59"/>
      <c r="M767" s="60"/>
      <c r="N767" s="60"/>
      <c r="O767" s="60"/>
      <c r="P767" s="59"/>
      <c r="Q767" s="59"/>
      <c r="R767" s="60"/>
      <c r="S767" s="60"/>
      <c r="T767" s="60"/>
      <c r="U767" s="60"/>
      <c r="V767" s="60"/>
      <c r="W767" s="60"/>
    </row>
    <row r="768" spans="1:23" ht="13" x14ac:dyDescent="0.3">
      <c r="A768" s="58"/>
      <c r="B768" s="58"/>
      <c r="C768" s="58"/>
      <c r="D768" s="58"/>
      <c r="E768" s="58"/>
      <c r="F768" s="58"/>
      <c r="G768" s="58"/>
      <c r="H768" s="59"/>
      <c r="I768" s="59"/>
      <c r="J768" s="59"/>
      <c r="K768" s="59"/>
      <c r="L768" s="59"/>
      <c r="M768" s="60"/>
      <c r="N768" s="60"/>
      <c r="O768" s="60"/>
      <c r="P768" s="59"/>
      <c r="Q768" s="59"/>
      <c r="R768" s="60"/>
      <c r="S768" s="60"/>
      <c r="T768" s="60"/>
      <c r="U768" s="60"/>
      <c r="V768" s="60"/>
      <c r="W768" s="60"/>
    </row>
    <row r="769" spans="1:23" ht="13" x14ac:dyDescent="0.3">
      <c r="A769" s="58"/>
      <c r="B769" s="58"/>
      <c r="C769" s="58"/>
      <c r="D769" s="58"/>
      <c r="E769" s="58"/>
      <c r="F769" s="58"/>
      <c r="G769" s="58"/>
      <c r="H769" s="59"/>
      <c r="I769" s="59"/>
      <c r="J769" s="59"/>
      <c r="K769" s="59"/>
      <c r="L769" s="59"/>
      <c r="M769" s="60"/>
      <c r="N769" s="60"/>
      <c r="O769" s="60"/>
      <c r="P769" s="59"/>
      <c r="Q769" s="59"/>
      <c r="R769" s="60"/>
      <c r="S769" s="60"/>
      <c r="T769" s="60"/>
      <c r="U769" s="60"/>
      <c r="V769" s="60"/>
      <c r="W769" s="60"/>
    </row>
    <row r="770" spans="1:23" ht="13" x14ac:dyDescent="0.3">
      <c r="A770" s="58"/>
      <c r="B770" s="58"/>
      <c r="C770" s="58"/>
      <c r="D770" s="58"/>
      <c r="E770" s="58"/>
      <c r="F770" s="58"/>
      <c r="G770" s="58"/>
      <c r="H770" s="59"/>
      <c r="I770" s="59"/>
      <c r="J770" s="59"/>
      <c r="K770" s="59"/>
      <c r="L770" s="59"/>
      <c r="M770" s="60"/>
      <c r="N770" s="60"/>
      <c r="O770" s="60"/>
      <c r="P770" s="59"/>
      <c r="Q770" s="59"/>
      <c r="R770" s="60"/>
      <c r="S770" s="60"/>
      <c r="T770" s="60"/>
      <c r="U770" s="60"/>
      <c r="V770" s="60"/>
      <c r="W770" s="60"/>
    </row>
    <row r="771" spans="1:23" ht="13" x14ac:dyDescent="0.3">
      <c r="A771" s="58"/>
      <c r="B771" s="58"/>
      <c r="C771" s="58"/>
      <c r="D771" s="58"/>
      <c r="E771" s="58"/>
      <c r="F771" s="58"/>
      <c r="G771" s="58"/>
      <c r="H771" s="59"/>
      <c r="I771" s="59"/>
      <c r="J771" s="59"/>
      <c r="K771" s="59"/>
      <c r="L771" s="59"/>
      <c r="M771" s="60"/>
      <c r="N771" s="60"/>
      <c r="O771" s="60"/>
      <c r="P771" s="59"/>
      <c r="Q771" s="59"/>
      <c r="R771" s="60"/>
      <c r="S771" s="60"/>
      <c r="T771" s="60"/>
      <c r="U771" s="60"/>
      <c r="V771" s="60"/>
      <c r="W771" s="60"/>
    </row>
    <row r="772" spans="1:23" ht="13" x14ac:dyDescent="0.3">
      <c r="A772" s="58"/>
      <c r="B772" s="58"/>
      <c r="C772" s="58"/>
      <c r="D772" s="58"/>
      <c r="E772" s="58"/>
      <c r="F772" s="58"/>
      <c r="G772" s="58"/>
      <c r="H772" s="59"/>
      <c r="I772" s="59"/>
      <c r="J772" s="59"/>
      <c r="K772" s="59"/>
      <c r="L772" s="59"/>
      <c r="M772" s="60"/>
      <c r="N772" s="60"/>
      <c r="O772" s="60"/>
      <c r="P772" s="59"/>
      <c r="Q772" s="59"/>
      <c r="R772" s="60"/>
      <c r="S772" s="60"/>
      <c r="T772" s="60"/>
      <c r="U772" s="60"/>
      <c r="V772" s="60"/>
      <c r="W772" s="60"/>
    </row>
    <row r="773" spans="1:23" ht="13" x14ac:dyDescent="0.3">
      <c r="A773" s="58"/>
      <c r="B773" s="58"/>
      <c r="C773" s="58"/>
      <c r="D773" s="58"/>
      <c r="E773" s="58"/>
      <c r="F773" s="58"/>
      <c r="G773" s="58"/>
      <c r="H773" s="59"/>
      <c r="I773" s="59"/>
      <c r="J773" s="59"/>
      <c r="K773" s="59"/>
      <c r="L773" s="59"/>
      <c r="M773" s="60"/>
      <c r="N773" s="60"/>
      <c r="O773" s="60"/>
      <c r="P773" s="59"/>
      <c r="Q773" s="59"/>
      <c r="R773" s="60"/>
      <c r="S773" s="60"/>
      <c r="T773" s="60"/>
      <c r="U773" s="60"/>
      <c r="V773" s="60"/>
      <c r="W773" s="60"/>
    </row>
    <row r="774" spans="1:23" ht="13" x14ac:dyDescent="0.3">
      <c r="A774" s="58"/>
      <c r="B774" s="58"/>
      <c r="C774" s="58"/>
      <c r="D774" s="58"/>
      <c r="E774" s="58"/>
      <c r="F774" s="58"/>
      <c r="G774" s="58"/>
      <c r="H774" s="59"/>
      <c r="I774" s="59"/>
      <c r="J774" s="59"/>
      <c r="K774" s="59"/>
      <c r="L774" s="59"/>
      <c r="M774" s="60"/>
      <c r="N774" s="60"/>
      <c r="O774" s="60"/>
      <c r="P774" s="59"/>
      <c r="Q774" s="59"/>
      <c r="R774" s="60"/>
      <c r="S774" s="60"/>
      <c r="T774" s="60"/>
      <c r="U774" s="60"/>
      <c r="V774" s="60"/>
      <c r="W774" s="60"/>
    </row>
    <row r="775" spans="1:23" ht="13" x14ac:dyDescent="0.3">
      <c r="A775" s="58"/>
      <c r="B775" s="58"/>
      <c r="C775" s="58"/>
      <c r="D775" s="58"/>
      <c r="E775" s="58"/>
      <c r="F775" s="58"/>
      <c r="G775" s="58"/>
      <c r="H775" s="59"/>
      <c r="I775" s="59"/>
      <c r="J775" s="59"/>
      <c r="K775" s="59"/>
      <c r="L775" s="59"/>
      <c r="M775" s="60"/>
      <c r="N775" s="60"/>
      <c r="O775" s="60"/>
      <c r="P775" s="59"/>
      <c r="Q775" s="59"/>
      <c r="R775" s="60"/>
      <c r="S775" s="60"/>
      <c r="T775" s="60"/>
      <c r="U775" s="60"/>
      <c r="V775" s="60"/>
      <c r="W775" s="60"/>
    </row>
    <row r="776" spans="1:23" ht="13" x14ac:dyDescent="0.3">
      <c r="A776" s="58"/>
      <c r="B776" s="58"/>
      <c r="C776" s="58"/>
      <c r="D776" s="58"/>
      <c r="E776" s="58"/>
      <c r="F776" s="58"/>
      <c r="G776" s="58"/>
      <c r="H776" s="59"/>
      <c r="I776" s="59"/>
      <c r="J776" s="59"/>
      <c r="K776" s="59"/>
      <c r="L776" s="59"/>
      <c r="M776" s="60"/>
      <c r="N776" s="60"/>
      <c r="O776" s="60"/>
      <c r="P776" s="59"/>
      <c r="Q776" s="59"/>
      <c r="R776" s="60"/>
      <c r="S776" s="60"/>
      <c r="T776" s="60"/>
      <c r="U776" s="60"/>
      <c r="V776" s="60"/>
      <c r="W776" s="60"/>
    </row>
    <row r="777" spans="1:23" ht="13" x14ac:dyDescent="0.3">
      <c r="A777" s="58"/>
      <c r="B777" s="58"/>
      <c r="C777" s="58"/>
      <c r="D777" s="58"/>
      <c r="E777" s="58"/>
      <c r="F777" s="58"/>
      <c r="G777" s="58"/>
      <c r="H777" s="59"/>
      <c r="I777" s="59"/>
      <c r="J777" s="59"/>
      <c r="K777" s="59"/>
      <c r="L777" s="59"/>
      <c r="M777" s="60"/>
      <c r="N777" s="60"/>
      <c r="O777" s="60"/>
      <c r="P777" s="59"/>
      <c r="Q777" s="59"/>
      <c r="R777" s="60"/>
      <c r="S777" s="60"/>
      <c r="T777" s="60"/>
      <c r="U777" s="60"/>
      <c r="V777" s="60"/>
      <c r="W777" s="60"/>
    </row>
    <row r="778" spans="1:23" ht="13" x14ac:dyDescent="0.3">
      <c r="A778" s="58"/>
      <c r="B778" s="58"/>
      <c r="C778" s="58"/>
      <c r="D778" s="58"/>
      <c r="E778" s="58"/>
      <c r="F778" s="58"/>
      <c r="G778" s="58"/>
      <c r="H778" s="59"/>
      <c r="I778" s="59"/>
      <c r="J778" s="59"/>
      <c r="K778" s="59"/>
      <c r="L778" s="59"/>
      <c r="M778" s="60"/>
      <c r="N778" s="60"/>
      <c r="O778" s="60"/>
      <c r="P778" s="59"/>
      <c r="Q778" s="59"/>
      <c r="R778" s="60"/>
      <c r="S778" s="60"/>
      <c r="T778" s="60"/>
      <c r="U778" s="60"/>
      <c r="V778" s="60"/>
      <c r="W778" s="60"/>
    </row>
    <row r="779" spans="1:23" ht="13" x14ac:dyDescent="0.3">
      <c r="A779" s="58"/>
      <c r="B779" s="58"/>
      <c r="C779" s="58"/>
      <c r="D779" s="58"/>
      <c r="E779" s="58"/>
      <c r="F779" s="58"/>
      <c r="G779" s="58"/>
      <c r="H779" s="59"/>
      <c r="I779" s="59"/>
      <c r="J779" s="59"/>
      <c r="K779" s="59"/>
      <c r="L779" s="59"/>
      <c r="M779" s="60"/>
      <c r="N779" s="60"/>
      <c r="O779" s="60"/>
      <c r="P779" s="59"/>
      <c r="Q779" s="59"/>
      <c r="R779" s="60"/>
      <c r="S779" s="60"/>
      <c r="T779" s="60"/>
      <c r="U779" s="60"/>
      <c r="V779" s="60"/>
      <c r="W779" s="60"/>
    </row>
    <row r="780" spans="1:23" ht="13" x14ac:dyDescent="0.3">
      <c r="A780" s="58"/>
      <c r="B780" s="58"/>
      <c r="C780" s="58"/>
      <c r="D780" s="58"/>
      <c r="E780" s="58"/>
      <c r="F780" s="58"/>
      <c r="G780" s="58"/>
      <c r="H780" s="59"/>
      <c r="I780" s="59"/>
      <c r="J780" s="59"/>
      <c r="K780" s="59"/>
      <c r="L780" s="59"/>
      <c r="M780" s="60"/>
      <c r="N780" s="60"/>
      <c r="O780" s="60"/>
      <c r="P780" s="59"/>
      <c r="Q780" s="59"/>
      <c r="R780" s="60"/>
      <c r="S780" s="60"/>
      <c r="T780" s="60"/>
      <c r="U780" s="60"/>
      <c r="V780" s="60"/>
      <c r="W780" s="60"/>
    </row>
    <row r="781" spans="1:23" ht="13" x14ac:dyDescent="0.3">
      <c r="A781" s="58"/>
      <c r="B781" s="58"/>
      <c r="C781" s="58"/>
      <c r="D781" s="58"/>
      <c r="E781" s="58"/>
      <c r="F781" s="58"/>
      <c r="G781" s="58"/>
      <c r="H781" s="59"/>
      <c r="I781" s="59"/>
      <c r="J781" s="59"/>
      <c r="K781" s="59"/>
      <c r="L781" s="59"/>
      <c r="M781" s="60"/>
      <c r="N781" s="60"/>
      <c r="O781" s="60"/>
      <c r="P781" s="59"/>
      <c r="Q781" s="59"/>
      <c r="R781" s="60"/>
      <c r="S781" s="60"/>
      <c r="T781" s="60"/>
      <c r="U781" s="60"/>
      <c r="V781" s="60"/>
      <c r="W781" s="60"/>
    </row>
    <row r="782" spans="1:23" ht="13" x14ac:dyDescent="0.3">
      <c r="A782" s="58"/>
      <c r="B782" s="58"/>
      <c r="C782" s="58"/>
      <c r="D782" s="58"/>
      <c r="E782" s="58"/>
      <c r="F782" s="58"/>
      <c r="G782" s="58"/>
      <c r="H782" s="59"/>
      <c r="I782" s="59"/>
      <c r="J782" s="59"/>
      <c r="K782" s="59"/>
      <c r="L782" s="59"/>
      <c r="M782" s="60"/>
      <c r="N782" s="60"/>
      <c r="O782" s="60"/>
      <c r="P782" s="59"/>
      <c r="Q782" s="59"/>
      <c r="R782" s="60"/>
      <c r="S782" s="60"/>
      <c r="T782" s="60"/>
      <c r="U782" s="60"/>
      <c r="V782" s="60"/>
      <c r="W782" s="60"/>
    </row>
    <row r="783" spans="1:23" ht="13" x14ac:dyDescent="0.3">
      <c r="A783" s="58"/>
      <c r="B783" s="58"/>
      <c r="C783" s="58"/>
      <c r="D783" s="58"/>
      <c r="E783" s="58"/>
      <c r="F783" s="58"/>
      <c r="G783" s="58"/>
      <c r="H783" s="59"/>
      <c r="I783" s="59"/>
      <c r="J783" s="59"/>
      <c r="K783" s="59"/>
      <c r="L783" s="59"/>
      <c r="M783" s="60"/>
      <c r="N783" s="60"/>
      <c r="O783" s="60"/>
      <c r="P783" s="59"/>
      <c r="Q783" s="59"/>
      <c r="R783" s="60"/>
      <c r="S783" s="60"/>
      <c r="T783" s="60"/>
      <c r="U783" s="60"/>
      <c r="V783" s="60"/>
      <c r="W783" s="60"/>
    </row>
    <row r="784" spans="1:23" ht="13" x14ac:dyDescent="0.3">
      <c r="A784" s="58"/>
      <c r="B784" s="58"/>
      <c r="C784" s="58"/>
      <c r="D784" s="58"/>
      <c r="E784" s="58"/>
      <c r="F784" s="58"/>
      <c r="G784" s="58"/>
      <c r="H784" s="59"/>
      <c r="I784" s="59"/>
      <c r="J784" s="59"/>
      <c r="K784" s="59"/>
      <c r="L784" s="59"/>
      <c r="M784" s="60"/>
      <c r="N784" s="60"/>
      <c r="O784" s="60"/>
      <c r="P784" s="59"/>
      <c r="Q784" s="59"/>
      <c r="R784" s="60"/>
      <c r="S784" s="60"/>
      <c r="T784" s="60"/>
      <c r="U784" s="60"/>
      <c r="V784" s="60"/>
      <c r="W784" s="60"/>
    </row>
    <row r="785" spans="1:23" ht="13" x14ac:dyDescent="0.3">
      <c r="A785" s="58"/>
      <c r="B785" s="58"/>
      <c r="C785" s="58"/>
      <c r="D785" s="58"/>
      <c r="E785" s="58"/>
      <c r="F785" s="58"/>
      <c r="G785" s="58"/>
      <c r="H785" s="59"/>
      <c r="I785" s="59"/>
      <c r="J785" s="59"/>
      <c r="K785" s="59"/>
      <c r="L785" s="59"/>
      <c r="M785" s="60"/>
      <c r="N785" s="60"/>
      <c r="O785" s="60"/>
      <c r="P785" s="59"/>
      <c r="Q785" s="59"/>
      <c r="R785" s="60"/>
      <c r="S785" s="60"/>
      <c r="T785" s="60"/>
      <c r="U785" s="60"/>
      <c r="V785" s="60"/>
      <c r="W785" s="60"/>
    </row>
    <row r="786" spans="1:23" ht="13" x14ac:dyDescent="0.3">
      <c r="A786" s="58"/>
      <c r="B786" s="58"/>
      <c r="C786" s="58"/>
      <c r="D786" s="58"/>
      <c r="E786" s="58"/>
      <c r="F786" s="58"/>
      <c r="G786" s="58"/>
      <c r="H786" s="59"/>
      <c r="I786" s="59"/>
      <c r="J786" s="59"/>
      <c r="K786" s="59"/>
      <c r="L786" s="59"/>
      <c r="M786" s="60"/>
      <c r="N786" s="60"/>
      <c r="O786" s="60"/>
      <c r="P786" s="59"/>
      <c r="Q786" s="59"/>
      <c r="R786" s="60"/>
      <c r="S786" s="60"/>
      <c r="T786" s="60"/>
      <c r="U786" s="60"/>
      <c r="V786" s="60"/>
      <c r="W786" s="60"/>
    </row>
    <row r="787" spans="1:23" ht="13" x14ac:dyDescent="0.3">
      <c r="A787" s="58"/>
      <c r="B787" s="58"/>
      <c r="C787" s="58"/>
      <c r="D787" s="58"/>
      <c r="E787" s="58"/>
      <c r="F787" s="58"/>
      <c r="G787" s="58"/>
      <c r="H787" s="59"/>
      <c r="I787" s="59"/>
      <c r="J787" s="59"/>
      <c r="K787" s="59"/>
      <c r="L787" s="59"/>
      <c r="M787" s="60"/>
      <c r="N787" s="60"/>
      <c r="O787" s="60"/>
      <c r="P787" s="59"/>
      <c r="Q787" s="59"/>
      <c r="R787" s="60"/>
      <c r="S787" s="60"/>
      <c r="T787" s="60"/>
      <c r="U787" s="60"/>
      <c r="V787" s="60"/>
      <c r="W787" s="60"/>
    </row>
    <row r="788" spans="1:23" ht="13" x14ac:dyDescent="0.3">
      <c r="A788" s="58"/>
      <c r="B788" s="58"/>
      <c r="C788" s="58"/>
      <c r="D788" s="58"/>
      <c r="E788" s="58"/>
      <c r="F788" s="58"/>
      <c r="G788" s="58"/>
      <c r="H788" s="59"/>
      <c r="I788" s="59"/>
      <c r="J788" s="59"/>
      <c r="K788" s="59"/>
      <c r="L788" s="59"/>
      <c r="M788" s="60"/>
      <c r="N788" s="60"/>
      <c r="O788" s="60"/>
      <c r="P788" s="59"/>
      <c r="Q788" s="59"/>
      <c r="R788" s="60"/>
      <c r="S788" s="60"/>
      <c r="T788" s="60"/>
      <c r="U788" s="60"/>
      <c r="V788" s="60"/>
      <c r="W788" s="60"/>
    </row>
    <row r="789" spans="1:23" ht="13" x14ac:dyDescent="0.3">
      <c r="A789" s="58"/>
      <c r="B789" s="58"/>
      <c r="C789" s="58"/>
      <c r="D789" s="58"/>
      <c r="E789" s="58"/>
      <c r="F789" s="58"/>
      <c r="G789" s="58"/>
      <c r="H789" s="59"/>
      <c r="I789" s="59"/>
      <c r="J789" s="59"/>
      <c r="K789" s="59"/>
      <c r="L789" s="59"/>
      <c r="M789" s="60"/>
      <c r="N789" s="60"/>
      <c r="O789" s="60"/>
      <c r="P789" s="59"/>
      <c r="Q789" s="59"/>
      <c r="R789" s="60"/>
      <c r="S789" s="60"/>
      <c r="T789" s="60"/>
      <c r="U789" s="60"/>
      <c r="V789" s="60"/>
      <c r="W789" s="60"/>
    </row>
    <row r="790" spans="1:23" ht="13" x14ac:dyDescent="0.3">
      <c r="A790" s="58"/>
      <c r="B790" s="58"/>
      <c r="C790" s="58"/>
      <c r="D790" s="58"/>
      <c r="E790" s="58"/>
      <c r="F790" s="58"/>
      <c r="G790" s="58"/>
      <c r="H790" s="59"/>
      <c r="I790" s="59"/>
      <c r="J790" s="59"/>
      <c r="K790" s="59"/>
      <c r="L790" s="59"/>
      <c r="M790" s="60"/>
      <c r="N790" s="60"/>
      <c r="O790" s="60"/>
      <c r="P790" s="59"/>
      <c r="Q790" s="59"/>
      <c r="R790" s="60"/>
      <c r="S790" s="60"/>
      <c r="T790" s="60"/>
      <c r="U790" s="60"/>
      <c r="V790" s="60"/>
      <c r="W790" s="60"/>
    </row>
    <row r="791" spans="1:23" ht="13" x14ac:dyDescent="0.3">
      <c r="A791" s="58"/>
      <c r="B791" s="58"/>
      <c r="C791" s="58"/>
      <c r="D791" s="58"/>
      <c r="E791" s="58"/>
      <c r="F791" s="58"/>
      <c r="G791" s="58"/>
      <c r="H791" s="59"/>
      <c r="I791" s="59"/>
      <c r="J791" s="59"/>
      <c r="K791" s="59"/>
      <c r="L791" s="59"/>
      <c r="M791" s="60"/>
      <c r="N791" s="60"/>
      <c r="O791" s="60"/>
      <c r="P791" s="59"/>
      <c r="Q791" s="59"/>
      <c r="R791" s="60"/>
      <c r="S791" s="60"/>
      <c r="T791" s="60"/>
      <c r="U791" s="60"/>
      <c r="V791" s="60"/>
      <c r="W791" s="60"/>
    </row>
    <row r="792" spans="1:23" ht="13" x14ac:dyDescent="0.3">
      <c r="A792" s="58"/>
      <c r="B792" s="58"/>
      <c r="C792" s="58"/>
      <c r="D792" s="58"/>
      <c r="E792" s="58"/>
      <c r="F792" s="58"/>
      <c r="G792" s="58"/>
      <c r="H792" s="59"/>
      <c r="I792" s="59"/>
      <c r="J792" s="59"/>
      <c r="K792" s="59"/>
      <c r="L792" s="59"/>
      <c r="M792" s="60"/>
      <c r="N792" s="60"/>
      <c r="O792" s="60"/>
      <c r="P792" s="59"/>
      <c r="Q792" s="59"/>
      <c r="R792" s="60"/>
      <c r="S792" s="60"/>
      <c r="T792" s="60"/>
      <c r="U792" s="60"/>
      <c r="V792" s="60"/>
      <c r="W792" s="60"/>
    </row>
    <row r="793" spans="1:23" ht="13" x14ac:dyDescent="0.3">
      <c r="A793" s="58"/>
      <c r="B793" s="58"/>
      <c r="C793" s="58"/>
      <c r="D793" s="58"/>
      <c r="E793" s="58"/>
      <c r="F793" s="58"/>
      <c r="G793" s="58"/>
      <c r="H793" s="59"/>
      <c r="I793" s="59"/>
      <c r="J793" s="59"/>
      <c r="K793" s="59"/>
      <c r="L793" s="59"/>
      <c r="M793" s="60"/>
      <c r="N793" s="60"/>
      <c r="O793" s="60"/>
      <c r="P793" s="59"/>
      <c r="Q793" s="59"/>
      <c r="R793" s="60"/>
      <c r="S793" s="60"/>
      <c r="T793" s="60"/>
      <c r="U793" s="60"/>
      <c r="V793" s="60"/>
      <c r="W793" s="60"/>
    </row>
    <row r="794" spans="1:23" ht="13" x14ac:dyDescent="0.3">
      <c r="A794" s="58"/>
      <c r="B794" s="58"/>
      <c r="C794" s="58"/>
      <c r="D794" s="58"/>
      <c r="E794" s="58"/>
      <c r="F794" s="58"/>
      <c r="G794" s="58"/>
      <c r="H794" s="59"/>
      <c r="I794" s="59"/>
      <c r="J794" s="59"/>
      <c r="K794" s="59"/>
      <c r="L794" s="59"/>
      <c r="M794" s="60"/>
      <c r="N794" s="60"/>
      <c r="O794" s="60"/>
      <c r="P794" s="59"/>
      <c r="Q794" s="59"/>
      <c r="R794" s="60"/>
      <c r="S794" s="60"/>
      <c r="T794" s="60"/>
      <c r="U794" s="60"/>
      <c r="V794" s="60"/>
      <c r="W794" s="60"/>
    </row>
    <row r="795" spans="1:23" ht="13" x14ac:dyDescent="0.3">
      <c r="A795" s="58"/>
      <c r="B795" s="58"/>
      <c r="C795" s="58"/>
      <c r="D795" s="58"/>
      <c r="E795" s="58"/>
      <c r="F795" s="58"/>
      <c r="G795" s="58"/>
      <c r="H795" s="59"/>
      <c r="I795" s="59"/>
      <c r="J795" s="59"/>
      <c r="K795" s="59"/>
      <c r="L795" s="59"/>
      <c r="M795" s="60"/>
      <c r="N795" s="60"/>
      <c r="O795" s="60"/>
      <c r="P795" s="59"/>
      <c r="Q795" s="59"/>
      <c r="R795" s="60"/>
      <c r="S795" s="60"/>
      <c r="T795" s="60"/>
      <c r="U795" s="60"/>
      <c r="V795" s="60"/>
      <c r="W795" s="60"/>
    </row>
    <row r="796" spans="1:23" ht="13" x14ac:dyDescent="0.3">
      <c r="A796" s="58"/>
      <c r="B796" s="58"/>
      <c r="C796" s="58"/>
      <c r="D796" s="58"/>
      <c r="E796" s="58"/>
      <c r="F796" s="58"/>
      <c r="G796" s="58"/>
      <c r="H796" s="59"/>
      <c r="I796" s="59"/>
      <c r="J796" s="59"/>
      <c r="K796" s="59"/>
      <c r="L796" s="59"/>
      <c r="M796" s="60"/>
      <c r="N796" s="60"/>
      <c r="O796" s="60"/>
      <c r="P796" s="59"/>
      <c r="Q796" s="59"/>
      <c r="R796" s="60"/>
      <c r="S796" s="60"/>
      <c r="T796" s="60"/>
      <c r="U796" s="60"/>
      <c r="V796" s="60"/>
      <c r="W796" s="60"/>
    </row>
    <row r="797" spans="1:23" ht="13" x14ac:dyDescent="0.3">
      <c r="A797" s="58"/>
      <c r="B797" s="58"/>
      <c r="C797" s="58"/>
      <c r="D797" s="58"/>
      <c r="E797" s="58"/>
      <c r="F797" s="58"/>
      <c r="G797" s="58"/>
      <c r="H797" s="59"/>
      <c r="I797" s="59"/>
      <c r="J797" s="59"/>
      <c r="K797" s="59"/>
      <c r="L797" s="59"/>
      <c r="M797" s="60"/>
      <c r="N797" s="60"/>
      <c r="O797" s="60"/>
      <c r="P797" s="59"/>
      <c r="Q797" s="59"/>
      <c r="R797" s="60"/>
      <c r="S797" s="60"/>
      <c r="T797" s="60"/>
      <c r="U797" s="60"/>
      <c r="V797" s="60"/>
      <c r="W797" s="60"/>
    </row>
    <row r="798" spans="1:23" ht="13" x14ac:dyDescent="0.3">
      <c r="A798" s="58"/>
      <c r="B798" s="58"/>
      <c r="C798" s="58"/>
      <c r="D798" s="58"/>
      <c r="E798" s="58"/>
      <c r="F798" s="58"/>
      <c r="G798" s="58"/>
      <c r="H798" s="59"/>
      <c r="I798" s="59"/>
      <c r="J798" s="59"/>
      <c r="K798" s="59"/>
      <c r="L798" s="59"/>
      <c r="M798" s="60"/>
      <c r="N798" s="60"/>
      <c r="O798" s="60"/>
      <c r="P798" s="59"/>
      <c r="Q798" s="59"/>
      <c r="R798" s="60"/>
      <c r="S798" s="60"/>
      <c r="T798" s="60"/>
      <c r="U798" s="60"/>
      <c r="V798" s="60"/>
      <c r="W798" s="60"/>
    </row>
    <row r="799" spans="1:23" ht="13" x14ac:dyDescent="0.3">
      <c r="A799" s="58"/>
      <c r="B799" s="58"/>
      <c r="C799" s="58"/>
      <c r="D799" s="58"/>
      <c r="E799" s="58"/>
      <c r="F799" s="58"/>
      <c r="G799" s="58"/>
      <c r="H799" s="59"/>
      <c r="I799" s="59"/>
      <c r="J799" s="59"/>
      <c r="K799" s="59"/>
      <c r="L799" s="59"/>
      <c r="M799" s="60"/>
      <c r="N799" s="60"/>
      <c r="O799" s="60"/>
      <c r="P799" s="59"/>
      <c r="Q799" s="59"/>
      <c r="R799" s="60"/>
      <c r="S799" s="60"/>
      <c r="T799" s="60"/>
      <c r="U799" s="60"/>
      <c r="V799" s="60"/>
      <c r="W799" s="60"/>
    </row>
    <row r="800" spans="1:23" ht="13" x14ac:dyDescent="0.3">
      <c r="A800" s="58"/>
      <c r="B800" s="58"/>
      <c r="C800" s="58"/>
      <c r="D800" s="58"/>
      <c r="E800" s="58"/>
      <c r="F800" s="58"/>
      <c r="G800" s="58"/>
      <c r="H800" s="59"/>
      <c r="I800" s="59"/>
      <c r="J800" s="59"/>
      <c r="K800" s="59"/>
      <c r="L800" s="59"/>
      <c r="M800" s="60"/>
      <c r="N800" s="60"/>
      <c r="O800" s="60"/>
      <c r="P800" s="59"/>
      <c r="Q800" s="59"/>
      <c r="R800" s="60"/>
      <c r="S800" s="60"/>
      <c r="T800" s="60"/>
      <c r="U800" s="60"/>
      <c r="V800" s="60"/>
      <c r="W800" s="60"/>
    </row>
    <row r="801" spans="1:23" ht="13" x14ac:dyDescent="0.3">
      <c r="A801" s="58"/>
      <c r="B801" s="58"/>
      <c r="C801" s="58"/>
      <c r="D801" s="58"/>
      <c r="E801" s="58"/>
      <c r="F801" s="58"/>
      <c r="G801" s="58"/>
      <c r="H801" s="59"/>
      <c r="I801" s="59"/>
      <c r="J801" s="59"/>
      <c r="K801" s="59"/>
      <c r="L801" s="59"/>
      <c r="M801" s="60"/>
      <c r="N801" s="60"/>
      <c r="O801" s="60"/>
      <c r="P801" s="59"/>
      <c r="Q801" s="59"/>
      <c r="R801" s="60"/>
      <c r="S801" s="60"/>
      <c r="T801" s="60"/>
      <c r="U801" s="60"/>
      <c r="V801" s="60"/>
      <c r="W801" s="60"/>
    </row>
    <row r="802" spans="1:23" ht="13" x14ac:dyDescent="0.3">
      <c r="A802" s="58"/>
      <c r="B802" s="58"/>
      <c r="C802" s="58"/>
      <c r="D802" s="58"/>
      <c r="E802" s="58"/>
      <c r="F802" s="58"/>
      <c r="G802" s="58"/>
      <c r="H802" s="59"/>
      <c r="I802" s="59"/>
      <c r="J802" s="59"/>
      <c r="K802" s="59"/>
      <c r="L802" s="59"/>
      <c r="M802" s="60"/>
      <c r="N802" s="60"/>
      <c r="O802" s="60"/>
      <c r="P802" s="59"/>
      <c r="Q802" s="59"/>
      <c r="R802" s="60"/>
      <c r="S802" s="60"/>
      <c r="T802" s="60"/>
      <c r="U802" s="60"/>
      <c r="V802" s="60"/>
      <c r="W802" s="60"/>
    </row>
    <row r="803" spans="1:23" ht="13" x14ac:dyDescent="0.3">
      <c r="A803" s="58"/>
      <c r="B803" s="58"/>
      <c r="C803" s="58"/>
      <c r="D803" s="58"/>
      <c r="E803" s="58"/>
      <c r="F803" s="58"/>
      <c r="G803" s="58"/>
      <c r="H803" s="59"/>
      <c r="I803" s="59"/>
      <c r="J803" s="59"/>
      <c r="K803" s="59"/>
      <c r="L803" s="59"/>
      <c r="M803" s="60"/>
      <c r="N803" s="60"/>
      <c r="O803" s="60"/>
      <c r="P803" s="59"/>
      <c r="Q803" s="59"/>
      <c r="R803" s="60"/>
      <c r="S803" s="60"/>
      <c r="T803" s="60"/>
      <c r="U803" s="60"/>
      <c r="V803" s="60"/>
      <c r="W803" s="60"/>
    </row>
    <row r="804" spans="1:23" ht="13" x14ac:dyDescent="0.3">
      <c r="A804" s="58"/>
      <c r="B804" s="58"/>
      <c r="C804" s="58"/>
      <c r="D804" s="58"/>
      <c r="E804" s="58"/>
      <c r="F804" s="58"/>
      <c r="G804" s="58"/>
      <c r="H804" s="59"/>
      <c r="I804" s="59"/>
      <c r="J804" s="59"/>
      <c r="K804" s="59"/>
      <c r="L804" s="59"/>
      <c r="M804" s="60"/>
      <c r="N804" s="60"/>
      <c r="O804" s="60"/>
      <c r="P804" s="59"/>
      <c r="Q804" s="59"/>
      <c r="R804" s="60"/>
      <c r="S804" s="60"/>
      <c r="T804" s="60"/>
      <c r="U804" s="60"/>
      <c r="V804" s="60"/>
      <c r="W804" s="60"/>
    </row>
    <row r="805" spans="1:23" ht="13" x14ac:dyDescent="0.3">
      <c r="A805" s="58"/>
      <c r="B805" s="58"/>
      <c r="C805" s="58"/>
      <c r="D805" s="58"/>
      <c r="E805" s="58"/>
      <c r="F805" s="58"/>
      <c r="G805" s="58"/>
      <c r="H805" s="59"/>
      <c r="I805" s="59"/>
      <c r="J805" s="59"/>
      <c r="K805" s="59"/>
      <c r="L805" s="59"/>
      <c r="M805" s="60"/>
      <c r="N805" s="60"/>
      <c r="O805" s="60"/>
      <c r="P805" s="59"/>
      <c r="Q805" s="59"/>
      <c r="R805" s="60"/>
      <c r="S805" s="60"/>
      <c r="T805" s="60"/>
      <c r="U805" s="60"/>
      <c r="V805" s="60"/>
      <c r="W805" s="60"/>
    </row>
    <row r="806" spans="1:23" ht="13" x14ac:dyDescent="0.3">
      <c r="A806" s="58"/>
      <c r="B806" s="58"/>
      <c r="C806" s="58"/>
      <c r="D806" s="58"/>
      <c r="E806" s="58"/>
      <c r="F806" s="58"/>
      <c r="G806" s="58"/>
      <c r="H806" s="59"/>
      <c r="I806" s="59"/>
      <c r="J806" s="59"/>
      <c r="K806" s="59"/>
      <c r="L806" s="59"/>
      <c r="M806" s="60"/>
      <c r="N806" s="60"/>
      <c r="O806" s="60"/>
      <c r="P806" s="59"/>
      <c r="Q806" s="59"/>
      <c r="R806" s="60"/>
      <c r="S806" s="60"/>
      <c r="T806" s="60"/>
      <c r="U806" s="60"/>
      <c r="V806" s="60"/>
      <c r="W806" s="60"/>
    </row>
    <row r="807" spans="1:23" ht="13" x14ac:dyDescent="0.3">
      <c r="A807" s="58"/>
      <c r="B807" s="58"/>
      <c r="C807" s="58"/>
      <c r="D807" s="58"/>
      <c r="E807" s="58"/>
      <c r="F807" s="58"/>
      <c r="G807" s="58"/>
      <c r="H807" s="59"/>
      <c r="I807" s="59"/>
      <c r="J807" s="59"/>
      <c r="K807" s="59"/>
      <c r="L807" s="59"/>
      <c r="M807" s="60"/>
      <c r="N807" s="60"/>
      <c r="O807" s="60"/>
      <c r="P807" s="59"/>
      <c r="Q807" s="59"/>
      <c r="R807" s="60"/>
      <c r="S807" s="60"/>
      <c r="T807" s="60"/>
      <c r="U807" s="60"/>
      <c r="V807" s="60"/>
      <c r="W807" s="60"/>
    </row>
    <row r="808" spans="1:23" ht="13" x14ac:dyDescent="0.3">
      <c r="A808" s="58"/>
      <c r="B808" s="58"/>
      <c r="C808" s="58"/>
      <c r="D808" s="58"/>
      <c r="E808" s="58"/>
      <c r="F808" s="58"/>
      <c r="G808" s="58"/>
      <c r="H808" s="59"/>
      <c r="I808" s="59"/>
      <c r="J808" s="59"/>
      <c r="K808" s="59"/>
      <c r="L808" s="59"/>
      <c r="M808" s="60"/>
      <c r="N808" s="60"/>
      <c r="O808" s="60"/>
      <c r="P808" s="59"/>
      <c r="Q808" s="59"/>
      <c r="R808" s="60"/>
      <c r="S808" s="60"/>
      <c r="T808" s="60"/>
      <c r="U808" s="60"/>
      <c r="V808" s="60"/>
      <c r="W808" s="60"/>
    </row>
    <row r="809" spans="1:23" ht="13" x14ac:dyDescent="0.3">
      <c r="A809" s="58"/>
      <c r="B809" s="58"/>
      <c r="C809" s="58"/>
      <c r="D809" s="58"/>
      <c r="E809" s="58"/>
      <c r="F809" s="58"/>
      <c r="G809" s="58"/>
      <c r="H809" s="59"/>
      <c r="I809" s="59"/>
      <c r="J809" s="59"/>
      <c r="K809" s="59"/>
      <c r="L809" s="59"/>
      <c r="M809" s="60"/>
      <c r="N809" s="60"/>
      <c r="O809" s="60"/>
      <c r="P809" s="59"/>
      <c r="Q809" s="59"/>
      <c r="R809" s="60"/>
      <c r="S809" s="60"/>
      <c r="T809" s="60"/>
      <c r="U809" s="60"/>
      <c r="V809" s="60"/>
      <c r="W809" s="60"/>
    </row>
    <row r="810" spans="1:23" ht="13" x14ac:dyDescent="0.3">
      <c r="A810" s="58"/>
      <c r="B810" s="58"/>
      <c r="C810" s="58"/>
      <c r="D810" s="58"/>
      <c r="E810" s="58"/>
      <c r="F810" s="58"/>
      <c r="G810" s="58"/>
      <c r="H810" s="59"/>
      <c r="I810" s="59"/>
      <c r="J810" s="59"/>
      <c r="K810" s="59"/>
      <c r="L810" s="59"/>
      <c r="M810" s="60"/>
      <c r="N810" s="60"/>
      <c r="O810" s="60"/>
      <c r="P810" s="59"/>
      <c r="Q810" s="59"/>
      <c r="R810" s="60"/>
      <c r="S810" s="60"/>
      <c r="T810" s="60"/>
      <c r="U810" s="60"/>
      <c r="V810" s="60"/>
      <c r="W810" s="60"/>
    </row>
    <row r="811" spans="1:23" ht="13" x14ac:dyDescent="0.3">
      <c r="A811" s="58"/>
      <c r="B811" s="58"/>
      <c r="C811" s="58"/>
      <c r="D811" s="58"/>
      <c r="E811" s="58"/>
      <c r="F811" s="58"/>
      <c r="G811" s="58"/>
      <c r="H811" s="59"/>
      <c r="I811" s="59"/>
      <c r="J811" s="59"/>
      <c r="K811" s="59"/>
      <c r="L811" s="59"/>
      <c r="M811" s="60"/>
      <c r="N811" s="60"/>
      <c r="O811" s="60"/>
      <c r="P811" s="59"/>
      <c r="Q811" s="59"/>
      <c r="R811" s="60"/>
      <c r="S811" s="60"/>
      <c r="T811" s="60"/>
      <c r="U811" s="60"/>
      <c r="V811" s="60"/>
      <c r="W811" s="60"/>
    </row>
    <row r="812" spans="1:23" ht="13" x14ac:dyDescent="0.3">
      <c r="A812" s="58"/>
      <c r="B812" s="58"/>
      <c r="C812" s="58"/>
      <c r="D812" s="58"/>
      <c r="E812" s="58"/>
      <c r="F812" s="58"/>
      <c r="G812" s="58"/>
      <c r="H812" s="59"/>
      <c r="I812" s="59"/>
      <c r="J812" s="59"/>
      <c r="K812" s="59"/>
      <c r="L812" s="59"/>
      <c r="M812" s="60"/>
      <c r="N812" s="60"/>
      <c r="O812" s="60"/>
      <c r="P812" s="59"/>
      <c r="Q812" s="59"/>
      <c r="R812" s="60"/>
      <c r="S812" s="60"/>
      <c r="T812" s="60"/>
      <c r="U812" s="60"/>
      <c r="V812" s="60"/>
      <c r="W812" s="60"/>
    </row>
    <row r="813" spans="1:23" ht="13" x14ac:dyDescent="0.3">
      <c r="A813" s="58"/>
      <c r="B813" s="58"/>
      <c r="C813" s="58"/>
      <c r="D813" s="58"/>
      <c r="E813" s="58"/>
      <c r="F813" s="58"/>
      <c r="G813" s="58"/>
      <c r="H813" s="59"/>
      <c r="I813" s="59"/>
      <c r="J813" s="59"/>
      <c r="K813" s="59"/>
      <c r="L813" s="59"/>
      <c r="M813" s="60"/>
      <c r="N813" s="60"/>
      <c r="O813" s="60"/>
      <c r="P813" s="59"/>
      <c r="Q813" s="59"/>
      <c r="R813" s="60"/>
      <c r="S813" s="60"/>
      <c r="T813" s="60"/>
      <c r="U813" s="60"/>
      <c r="V813" s="60"/>
      <c r="W813" s="60"/>
    </row>
    <row r="814" spans="1:23" ht="13" x14ac:dyDescent="0.3">
      <c r="A814" s="58"/>
      <c r="B814" s="58"/>
      <c r="C814" s="58"/>
      <c r="D814" s="58"/>
      <c r="E814" s="58"/>
      <c r="F814" s="58"/>
      <c r="G814" s="58"/>
      <c r="H814" s="59"/>
      <c r="I814" s="59"/>
      <c r="J814" s="59"/>
      <c r="K814" s="59"/>
      <c r="L814" s="59"/>
      <c r="M814" s="60"/>
      <c r="N814" s="60"/>
      <c r="O814" s="60"/>
      <c r="P814" s="59"/>
      <c r="Q814" s="59"/>
      <c r="R814" s="60"/>
      <c r="S814" s="60"/>
      <c r="T814" s="60"/>
      <c r="U814" s="60"/>
      <c r="V814" s="60"/>
      <c r="W814" s="60"/>
    </row>
    <row r="815" spans="1:23" ht="13" x14ac:dyDescent="0.3">
      <c r="A815" s="58"/>
      <c r="B815" s="58"/>
      <c r="C815" s="58"/>
      <c r="D815" s="58"/>
      <c r="E815" s="58"/>
      <c r="F815" s="58"/>
      <c r="G815" s="58"/>
      <c r="H815" s="59"/>
      <c r="I815" s="59"/>
      <c r="J815" s="59"/>
      <c r="K815" s="59"/>
      <c r="L815" s="59"/>
      <c r="M815" s="60"/>
      <c r="N815" s="60"/>
      <c r="O815" s="60"/>
      <c r="P815" s="59"/>
      <c r="Q815" s="59"/>
      <c r="R815" s="60"/>
      <c r="S815" s="60"/>
      <c r="T815" s="60"/>
      <c r="U815" s="60"/>
      <c r="V815" s="60"/>
      <c r="W815" s="60"/>
    </row>
    <row r="816" spans="1:23" ht="13" x14ac:dyDescent="0.3">
      <c r="A816" s="58"/>
      <c r="B816" s="58"/>
      <c r="C816" s="58"/>
      <c r="D816" s="58"/>
      <c r="E816" s="58"/>
      <c r="F816" s="58"/>
      <c r="G816" s="58"/>
      <c r="H816" s="59"/>
      <c r="I816" s="59"/>
      <c r="J816" s="59"/>
      <c r="K816" s="59"/>
      <c r="L816" s="59"/>
      <c r="M816" s="60"/>
      <c r="N816" s="60"/>
      <c r="O816" s="60"/>
      <c r="P816" s="59"/>
      <c r="Q816" s="59"/>
      <c r="R816" s="60"/>
      <c r="S816" s="60"/>
      <c r="T816" s="60"/>
      <c r="U816" s="60"/>
      <c r="V816" s="60"/>
      <c r="W816" s="60"/>
    </row>
    <row r="817" spans="1:23" ht="13" x14ac:dyDescent="0.3">
      <c r="A817" s="58"/>
      <c r="B817" s="58"/>
      <c r="C817" s="58"/>
      <c r="D817" s="58"/>
      <c r="E817" s="58"/>
      <c r="F817" s="58"/>
      <c r="G817" s="58"/>
      <c r="H817" s="59"/>
      <c r="I817" s="59"/>
      <c r="J817" s="59"/>
      <c r="K817" s="59"/>
      <c r="L817" s="59"/>
      <c r="M817" s="60"/>
      <c r="N817" s="60"/>
      <c r="O817" s="60"/>
      <c r="P817" s="59"/>
      <c r="Q817" s="59"/>
      <c r="R817" s="60"/>
      <c r="S817" s="60"/>
      <c r="T817" s="60"/>
      <c r="U817" s="60"/>
      <c r="V817" s="60"/>
      <c r="W817" s="60"/>
    </row>
    <row r="818" spans="1:23" ht="13" x14ac:dyDescent="0.3">
      <c r="A818" s="58"/>
      <c r="B818" s="58"/>
      <c r="C818" s="58"/>
      <c r="D818" s="58"/>
      <c r="E818" s="58"/>
      <c r="F818" s="58"/>
      <c r="G818" s="58"/>
      <c r="H818" s="59"/>
      <c r="I818" s="59"/>
      <c r="J818" s="59"/>
      <c r="K818" s="59"/>
      <c r="L818" s="59"/>
      <c r="M818" s="60"/>
      <c r="N818" s="60"/>
      <c r="O818" s="60"/>
      <c r="P818" s="59"/>
      <c r="Q818" s="59"/>
      <c r="R818" s="60"/>
      <c r="S818" s="60"/>
      <c r="T818" s="60"/>
      <c r="U818" s="60"/>
      <c r="V818" s="60"/>
      <c r="W818" s="60"/>
    </row>
    <row r="819" spans="1:23" ht="13" x14ac:dyDescent="0.3">
      <c r="A819" s="58"/>
      <c r="B819" s="58"/>
      <c r="C819" s="58"/>
      <c r="D819" s="58"/>
      <c r="E819" s="58"/>
      <c r="F819" s="58"/>
      <c r="G819" s="58"/>
      <c r="H819" s="59"/>
      <c r="I819" s="59"/>
      <c r="J819" s="59"/>
      <c r="K819" s="59"/>
      <c r="L819" s="59"/>
      <c r="M819" s="60"/>
      <c r="N819" s="60"/>
      <c r="O819" s="60"/>
      <c r="P819" s="59"/>
      <c r="Q819" s="59"/>
      <c r="R819" s="60"/>
      <c r="S819" s="60"/>
      <c r="T819" s="60"/>
      <c r="U819" s="60"/>
      <c r="V819" s="60"/>
      <c r="W819" s="60"/>
    </row>
    <row r="820" spans="1:23" ht="13" x14ac:dyDescent="0.3">
      <c r="A820" s="58"/>
      <c r="B820" s="58"/>
      <c r="C820" s="58"/>
      <c r="D820" s="58"/>
      <c r="E820" s="58"/>
      <c r="F820" s="58"/>
      <c r="G820" s="58"/>
      <c r="H820" s="59"/>
      <c r="I820" s="59"/>
      <c r="J820" s="59"/>
      <c r="K820" s="59"/>
      <c r="L820" s="59"/>
      <c r="M820" s="60"/>
      <c r="N820" s="60"/>
      <c r="O820" s="60"/>
      <c r="P820" s="59"/>
      <c r="Q820" s="59"/>
      <c r="R820" s="60"/>
      <c r="S820" s="60"/>
      <c r="T820" s="60"/>
      <c r="U820" s="60"/>
      <c r="V820" s="60"/>
      <c r="W820" s="60"/>
    </row>
    <row r="821" spans="1:23" ht="13" x14ac:dyDescent="0.3">
      <c r="A821" s="58"/>
      <c r="B821" s="58"/>
      <c r="C821" s="58"/>
      <c r="D821" s="58"/>
      <c r="E821" s="58"/>
      <c r="F821" s="58"/>
      <c r="G821" s="58"/>
      <c r="H821" s="59"/>
      <c r="I821" s="59"/>
      <c r="J821" s="59"/>
      <c r="K821" s="59"/>
      <c r="L821" s="59"/>
      <c r="M821" s="60"/>
      <c r="N821" s="60"/>
      <c r="O821" s="60"/>
      <c r="P821" s="59"/>
      <c r="Q821" s="59"/>
      <c r="R821" s="60"/>
      <c r="S821" s="60"/>
      <c r="T821" s="60"/>
      <c r="U821" s="60"/>
      <c r="V821" s="60"/>
      <c r="W821" s="60"/>
    </row>
    <row r="822" spans="1:23" ht="13" x14ac:dyDescent="0.3">
      <c r="A822" s="58"/>
      <c r="B822" s="58"/>
      <c r="C822" s="58"/>
      <c r="D822" s="58"/>
      <c r="E822" s="58"/>
      <c r="F822" s="58"/>
      <c r="G822" s="58"/>
      <c r="H822" s="59"/>
      <c r="I822" s="59"/>
      <c r="J822" s="59"/>
      <c r="K822" s="59"/>
      <c r="L822" s="59"/>
      <c r="M822" s="60"/>
      <c r="N822" s="60"/>
      <c r="O822" s="60"/>
      <c r="P822" s="59"/>
      <c r="Q822" s="59"/>
      <c r="R822" s="60"/>
      <c r="S822" s="60"/>
      <c r="T822" s="60"/>
      <c r="U822" s="60"/>
      <c r="V822" s="60"/>
      <c r="W822" s="60"/>
    </row>
    <row r="823" spans="1:23" ht="13" x14ac:dyDescent="0.3">
      <c r="A823" s="58"/>
      <c r="B823" s="58"/>
      <c r="C823" s="58"/>
      <c r="D823" s="58"/>
      <c r="E823" s="58"/>
      <c r="F823" s="58"/>
      <c r="G823" s="58"/>
      <c r="H823" s="59"/>
      <c r="I823" s="59"/>
      <c r="J823" s="59"/>
      <c r="K823" s="59"/>
      <c r="L823" s="59"/>
      <c r="M823" s="60"/>
      <c r="N823" s="60"/>
      <c r="O823" s="60"/>
      <c r="P823" s="59"/>
      <c r="Q823" s="59"/>
      <c r="R823" s="60"/>
      <c r="S823" s="60"/>
      <c r="T823" s="60"/>
      <c r="U823" s="60"/>
      <c r="V823" s="60"/>
      <c r="W823" s="60"/>
    </row>
    <row r="824" spans="1:23" ht="13" x14ac:dyDescent="0.3">
      <c r="A824" s="58"/>
      <c r="B824" s="58"/>
      <c r="C824" s="58"/>
      <c r="D824" s="58"/>
      <c r="E824" s="58"/>
      <c r="F824" s="58"/>
      <c r="G824" s="58"/>
      <c r="H824" s="59"/>
      <c r="I824" s="59"/>
      <c r="J824" s="59"/>
      <c r="K824" s="59"/>
      <c r="L824" s="59"/>
      <c r="M824" s="60"/>
      <c r="N824" s="60"/>
      <c r="O824" s="60"/>
      <c r="P824" s="59"/>
      <c r="Q824" s="59"/>
      <c r="R824" s="60"/>
      <c r="S824" s="60"/>
      <c r="T824" s="60"/>
      <c r="U824" s="60"/>
      <c r="V824" s="60"/>
      <c r="W824" s="60"/>
    </row>
    <row r="825" spans="1:23" ht="13" x14ac:dyDescent="0.3">
      <c r="A825" s="58"/>
      <c r="B825" s="58"/>
      <c r="C825" s="58"/>
      <c r="D825" s="58"/>
      <c r="E825" s="58"/>
      <c r="F825" s="58"/>
      <c r="G825" s="58"/>
      <c r="H825" s="59"/>
      <c r="I825" s="59"/>
      <c r="J825" s="59"/>
      <c r="K825" s="59"/>
      <c r="L825" s="59"/>
      <c r="M825" s="60"/>
      <c r="N825" s="60"/>
      <c r="O825" s="60"/>
      <c r="P825" s="59"/>
      <c r="Q825" s="59"/>
      <c r="R825" s="60"/>
      <c r="S825" s="60"/>
      <c r="T825" s="60"/>
      <c r="U825" s="60"/>
      <c r="V825" s="60"/>
      <c r="W825" s="60"/>
    </row>
    <row r="826" spans="1:23" ht="13" x14ac:dyDescent="0.3">
      <c r="A826" s="58"/>
      <c r="B826" s="58"/>
      <c r="C826" s="58"/>
      <c r="D826" s="58"/>
      <c r="E826" s="58"/>
      <c r="F826" s="58"/>
      <c r="G826" s="58"/>
      <c r="H826" s="59"/>
      <c r="I826" s="59"/>
      <c r="J826" s="59"/>
      <c r="K826" s="59"/>
      <c r="L826" s="59"/>
      <c r="M826" s="60"/>
      <c r="N826" s="60"/>
      <c r="O826" s="60"/>
      <c r="P826" s="59"/>
      <c r="Q826" s="59"/>
      <c r="R826" s="60"/>
      <c r="S826" s="60"/>
      <c r="T826" s="60"/>
      <c r="U826" s="60"/>
      <c r="V826" s="60"/>
      <c r="W826" s="60"/>
    </row>
    <row r="827" spans="1:23" ht="13" x14ac:dyDescent="0.3">
      <c r="A827" s="58"/>
      <c r="B827" s="58"/>
      <c r="C827" s="58"/>
      <c r="D827" s="58"/>
      <c r="E827" s="58"/>
      <c r="F827" s="58"/>
      <c r="G827" s="58"/>
      <c r="H827" s="59"/>
      <c r="I827" s="59"/>
      <c r="J827" s="59"/>
      <c r="K827" s="59"/>
      <c r="L827" s="59"/>
      <c r="M827" s="60"/>
      <c r="N827" s="60"/>
      <c r="O827" s="60"/>
      <c r="P827" s="59"/>
      <c r="Q827" s="59"/>
      <c r="R827" s="60"/>
      <c r="S827" s="60"/>
      <c r="T827" s="60"/>
      <c r="U827" s="60"/>
      <c r="V827" s="60"/>
      <c r="W827" s="60"/>
    </row>
    <row r="828" spans="1:23" ht="13" x14ac:dyDescent="0.3">
      <c r="A828" s="58"/>
      <c r="B828" s="58"/>
      <c r="C828" s="58"/>
      <c r="D828" s="58"/>
      <c r="E828" s="58"/>
      <c r="F828" s="58"/>
      <c r="G828" s="58"/>
      <c r="H828" s="59"/>
      <c r="I828" s="59"/>
      <c r="J828" s="59"/>
      <c r="K828" s="59"/>
      <c r="L828" s="59"/>
      <c r="M828" s="60"/>
      <c r="N828" s="60"/>
      <c r="O828" s="60"/>
      <c r="P828" s="59"/>
      <c r="Q828" s="59"/>
      <c r="R828" s="60"/>
      <c r="S828" s="60"/>
      <c r="T828" s="60"/>
      <c r="U828" s="60"/>
      <c r="V828" s="60"/>
      <c r="W828" s="60"/>
    </row>
    <row r="829" spans="1:23" ht="13" x14ac:dyDescent="0.3">
      <c r="A829" s="58"/>
      <c r="B829" s="58"/>
      <c r="C829" s="58"/>
      <c r="D829" s="58"/>
      <c r="E829" s="58"/>
      <c r="F829" s="58"/>
      <c r="G829" s="58"/>
      <c r="H829" s="59"/>
      <c r="I829" s="59"/>
      <c r="J829" s="59"/>
      <c r="K829" s="59"/>
      <c r="L829" s="59"/>
      <c r="M829" s="60"/>
      <c r="N829" s="60"/>
      <c r="O829" s="60"/>
      <c r="P829" s="59"/>
      <c r="Q829" s="59"/>
      <c r="R829" s="60"/>
      <c r="S829" s="60"/>
      <c r="T829" s="60"/>
      <c r="U829" s="60"/>
      <c r="V829" s="60"/>
      <c r="W829" s="60"/>
    </row>
    <row r="830" spans="1:23" ht="13" x14ac:dyDescent="0.3">
      <c r="A830" s="58"/>
      <c r="B830" s="58"/>
      <c r="C830" s="58"/>
      <c r="D830" s="58"/>
      <c r="E830" s="58"/>
      <c r="F830" s="58"/>
      <c r="G830" s="58"/>
      <c r="H830" s="59"/>
      <c r="I830" s="59"/>
      <c r="J830" s="59"/>
      <c r="K830" s="59"/>
      <c r="L830" s="59"/>
      <c r="M830" s="60"/>
      <c r="N830" s="60"/>
      <c r="O830" s="60"/>
      <c r="P830" s="59"/>
      <c r="Q830" s="59"/>
      <c r="R830" s="60"/>
      <c r="S830" s="60"/>
      <c r="T830" s="60"/>
      <c r="U830" s="60"/>
      <c r="V830" s="60"/>
      <c r="W830" s="60"/>
    </row>
    <row r="831" spans="1:23" ht="13" x14ac:dyDescent="0.3">
      <c r="A831" s="58"/>
      <c r="B831" s="58"/>
      <c r="C831" s="58"/>
      <c r="D831" s="58"/>
      <c r="E831" s="58"/>
      <c r="F831" s="58"/>
      <c r="G831" s="58"/>
      <c r="H831" s="59"/>
      <c r="I831" s="59"/>
      <c r="J831" s="59"/>
      <c r="K831" s="59"/>
      <c r="L831" s="59"/>
      <c r="M831" s="60"/>
      <c r="N831" s="60"/>
      <c r="O831" s="60"/>
      <c r="P831" s="59"/>
      <c r="Q831" s="59"/>
      <c r="R831" s="60"/>
      <c r="S831" s="60"/>
      <c r="T831" s="60"/>
      <c r="U831" s="60"/>
      <c r="V831" s="60"/>
      <c r="W831" s="60"/>
    </row>
    <row r="832" spans="1:23" ht="13" x14ac:dyDescent="0.3">
      <c r="A832" s="58"/>
      <c r="B832" s="58"/>
      <c r="C832" s="58"/>
      <c r="D832" s="58"/>
      <c r="E832" s="58"/>
      <c r="F832" s="58"/>
      <c r="G832" s="58"/>
      <c r="H832" s="59"/>
      <c r="I832" s="59"/>
      <c r="J832" s="59"/>
      <c r="K832" s="59"/>
      <c r="L832" s="59"/>
      <c r="M832" s="60"/>
      <c r="N832" s="60"/>
      <c r="O832" s="60"/>
      <c r="P832" s="59"/>
      <c r="Q832" s="59"/>
      <c r="R832" s="60"/>
      <c r="S832" s="60"/>
      <c r="T832" s="60"/>
      <c r="U832" s="60"/>
      <c r="V832" s="60"/>
      <c r="W832" s="60"/>
    </row>
    <row r="833" spans="1:23" ht="13" x14ac:dyDescent="0.3">
      <c r="A833" s="58"/>
      <c r="B833" s="58"/>
      <c r="C833" s="58"/>
      <c r="D833" s="58"/>
      <c r="E833" s="58"/>
      <c r="F833" s="58"/>
      <c r="G833" s="58"/>
      <c r="H833" s="59"/>
      <c r="I833" s="59"/>
      <c r="J833" s="59"/>
      <c r="K833" s="59"/>
      <c r="L833" s="59"/>
      <c r="M833" s="60"/>
      <c r="N833" s="60"/>
      <c r="O833" s="60"/>
      <c r="P833" s="59"/>
      <c r="Q833" s="59"/>
      <c r="R833" s="60"/>
      <c r="S833" s="60"/>
      <c r="T833" s="60"/>
      <c r="U833" s="60"/>
      <c r="V833" s="60"/>
      <c r="W833" s="60"/>
    </row>
    <row r="834" spans="1:23" ht="13" x14ac:dyDescent="0.3">
      <c r="A834" s="58"/>
      <c r="B834" s="58"/>
      <c r="C834" s="58"/>
      <c r="D834" s="58"/>
      <c r="E834" s="58"/>
      <c r="F834" s="58"/>
      <c r="G834" s="58"/>
      <c r="H834" s="59"/>
      <c r="I834" s="59"/>
      <c r="J834" s="59"/>
      <c r="K834" s="59"/>
      <c r="L834" s="59"/>
      <c r="M834" s="60"/>
      <c r="N834" s="60"/>
      <c r="O834" s="60"/>
      <c r="P834" s="59"/>
      <c r="Q834" s="59"/>
      <c r="R834" s="60"/>
      <c r="S834" s="60"/>
      <c r="T834" s="60"/>
      <c r="U834" s="60"/>
      <c r="V834" s="60"/>
      <c r="W834" s="60"/>
    </row>
    <row r="835" spans="1:23" ht="13" x14ac:dyDescent="0.3">
      <c r="A835" s="58"/>
      <c r="B835" s="58"/>
      <c r="C835" s="58"/>
      <c r="D835" s="58"/>
      <c r="E835" s="58"/>
      <c r="F835" s="58"/>
      <c r="G835" s="58"/>
      <c r="H835" s="59"/>
      <c r="I835" s="59"/>
      <c r="J835" s="59"/>
      <c r="K835" s="59"/>
      <c r="L835" s="59"/>
      <c r="M835" s="60"/>
      <c r="N835" s="60"/>
      <c r="O835" s="60"/>
      <c r="P835" s="59"/>
      <c r="Q835" s="59"/>
      <c r="R835" s="60"/>
      <c r="S835" s="60"/>
      <c r="T835" s="60"/>
      <c r="U835" s="60"/>
      <c r="V835" s="60"/>
      <c r="W835" s="60"/>
    </row>
    <row r="836" spans="1:23" ht="13" x14ac:dyDescent="0.3">
      <c r="A836" s="58"/>
      <c r="B836" s="58"/>
      <c r="C836" s="58"/>
      <c r="D836" s="58"/>
      <c r="E836" s="58"/>
      <c r="F836" s="58"/>
      <c r="G836" s="58"/>
      <c r="H836" s="59"/>
      <c r="I836" s="59"/>
      <c r="J836" s="59"/>
      <c r="K836" s="59"/>
      <c r="L836" s="59"/>
      <c r="M836" s="60"/>
      <c r="N836" s="60"/>
      <c r="O836" s="60"/>
      <c r="P836" s="59"/>
      <c r="Q836" s="59"/>
      <c r="R836" s="60"/>
      <c r="S836" s="60"/>
      <c r="T836" s="60"/>
      <c r="U836" s="60"/>
      <c r="V836" s="60"/>
      <c r="W836" s="60"/>
    </row>
    <row r="837" spans="1:23" ht="13" x14ac:dyDescent="0.3">
      <c r="A837" s="58"/>
      <c r="B837" s="58"/>
      <c r="C837" s="58"/>
      <c r="D837" s="58"/>
      <c r="E837" s="58"/>
      <c r="F837" s="58"/>
      <c r="G837" s="58"/>
      <c r="H837" s="59"/>
      <c r="I837" s="59"/>
      <c r="J837" s="59"/>
      <c r="K837" s="59"/>
      <c r="L837" s="59"/>
      <c r="M837" s="60"/>
      <c r="N837" s="60"/>
      <c r="O837" s="60"/>
      <c r="P837" s="59"/>
      <c r="Q837" s="59"/>
      <c r="R837" s="60"/>
      <c r="S837" s="60"/>
      <c r="T837" s="60"/>
      <c r="U837" s="60"/>
      <c r="V837" s="60"/>
      <c r="W837" s="60"/>
    </row>
    <row r="838" spans="1:23" ht="13" x14ac:dyDescent="0.3">
      <c r="A838" s="58"/>
      <c r="B838" s="58"/>
      <c r="C838" s="58"/>
      <c r="D838" s="58"/>
      <c r="E838" s="58"/>
      <c r="F838" s="58"/>
      <c r="G838" s="58"/>
      <c r="H838" s="59"/>
      <c r="I838" s="59"/>
      <c r="J838" s="59"/>
      <c r="K838" s="59"/>
      <c r="L838" s="59"/>
      <c r="M838" s="60"/>
      <c r="N838" s="60"/>
      <c r="O838" s="60"/>
      <c r="P838" s="59"/>
      <c r="Q838" s="59"/>
      <c r="R838" s="60"/>
      <c r="S838" s="60"/>
      <c r="T838" s="60"/>
      <c r="U838" s="60"/>
      <c r="V838" s="60"/>
      <c r="W838" s="60"/>
    </row>
    <row r="839" spans="1:23" ht="13" x14ac:dyDescent="0.3">
      <c r="A839" s="58"/>
      <c r="B839" s="58"/>
      <c r="C839" s="58"/>
      <c r="D839" s="58"/>
      <c r="E839" s="58"/>
      <c r="F839" s="58"/>
      <c r="G839" s="58"/>
      <c r="H839" s="59"/>
      <c r="I839" s="59"/>
      <c r="J839" s="59"/>
      <c r="K839" s="59"/>
      <c r="L839" s="59"/>
      <c r="M839" s="60"/>
      <c r="N839" s="60"/>
      <c r="O839" s="60"/>
      <c r="P839" s="59"/>
      <c r="Q839" s="59"/>
      <c r="R839" s="60"/>
      <c r="S839" s="60"/>
      <c r="T839" s="60"/>
      <c r="U839" s="60"/>
      <c r="V839" s="60"/>
      <c r="W839" s="60"/>
    </row>
    <row r="840" spans="1:23" ht="13" x14ac:dyDescent="0.3">
      <c r="A840" s="58"/>
      <c r="B840" s="58"/>
      <c r="C840" s="58"/>
      <c r="D840" s="58"/>
      <c r="E840" s="58"/>
      <c r="F840" s="58"/>
      <c r="G840" s="58"/>
      <c r="H840" s="59"/>
      <c r="I840" s="59"/>
      <c r="J840" s="59"/>
      <c r="K840" s="59"/>
      <c r="L840" s="59"/>
      <c r="M840" s="60"/>
      <c r="N840" s="60"/>
      <c r="O840" s="60"/>
      <c r="P840" s="59"/>
      <c r="Q840" s="59"/>
      <c r="R840" s="60"/>
      <c r="S840" s="60"/>
      <c r="T840" s="60"/>
      <c r="U840" s="60"/>
      <c r="V840" s="60"/>
      <c r="W840" s="60"/>
    </row>
    <row r="841" spans="1:23" ht="13" x14ac:dyDescent="0.3">
      <c r="A841" s="58"/>
      <c r="B841" s="58"/>
      <c r="C841" s="58"/>
      <c r="D841" s="58"/>
      <c r="E841" s="58"/>
      <c r="F841" s="58"/>
      <c r="G841" s="58"/>
      <c r="H841" s="59"/>
      <c r="I841" s="59"/>
      <c r="J841" s="59"/>
      <c r="K841" s="59"/>
      <c r="L841" s="59"/>
      <c r="M841" s="60"/>
      <c r="N841" s="60"/>
      <c r="O841" s="60"/>
      <c r="P841" s="59"/>
      <c r="Q841" s="59"/>
      <c r="R841" s="60"/>
      <c r="S841" s="60"/>
      <c r="T841" s="60"/>
      <c r="U841" s="60"/>
      <c r="V841" s="60"/>
      <c r="W841" s="60"/>
    </row>
    <row r="842" spans="1:23" ht="13" x14ac:dyDescent="0.3">
      <c r="A842" s="58"/>
      <c r="B842" s="58"/>
      <c r="C842" s="58"/>
      <c r="D842" s="58"/>
      <c r="E842" s="58"/>
      <c r="F842" s="58"/>
      <c r="G842" s="58"/>
      <c r="H842" s="59"/>
      <c r="I842" s="59"/>
      <c r="J842" s="59"/>
      <c r="K842" s="59"/>
      <c r="L842" s="59"/>
      <c r="M842" s="60"/>
      <c r="N842" s="60"/>
      <c r="O842" s="60"/>
      <c r="P842" s="59"/>
      <c r="Q842" s="59"/>
      <c r="R842" s="60"/>
      <c r="S842" s="60"/>
      <c r="T842" s="60"/>
      <c r="U842" s="60"/>
      <c r="V842" s="60"/>
      <c r="W842" s="60"/>
    </row>
    <row r="843" spans="1:23" ht="13" x14ac:dyDescent="0.3">
      <c r="A843" s="58"/>
      <c r="B843" s="58"/>
      <c r="C843" s="58"/>
      <c r="D843" s="58"/>
      <c r="E843" s="58"/>
      <c r="F843" s="58"/>
      <c r="G843" s="58"/>
      <c r="H843" s="59"/>
      <c r="I843" s="59"/>
      <c r="J843" s="59"/>
      <c r="K843" s="59"/>
      <c r="L843" s="59"/>
      <c r="M843" s="60"/>
      <c r="N843" s="60"/>
      <c r="O843" s="60"/>
      <c r="P843" s="59"/>
      <c r="Q843" s="59"/>
      <c r="R843" s="60"/>
      <c r="S843" s="60"/>
      <c r="T843" s="60"/>
      <c r="U843" s="60"/>
      <c r="V843" s="60"/>
      <c r="W843" s="60"/>
    </row>
    <row r="844" spans="1:23" ht="13" x14ac:dyDescent="0.3">
      <c r="A844" s="58"/>
      <c r="B844" s="58"/>
      <c r="C844" s="58"/>
      <c r="D844" s="58"/>
      <c r="E844" s="58"/>
      <c r="F844" s="58"/>
      <c r="G844" s="58"/>
      <c r="H844" s="59"/>
      <c r="I844" s="59"/>
      <c r="J844" s="59"/>
      <c r="K844" s="59"/>
      <c r="L844" s="59"/>
      <c r="M844" s="60"/>
      <c r="N844" s="60"/>
      <c r="O844" s="60"/>
      <c r="P844" s="59"/>
      <c r="Q844" s="59"/>
      <c r="R844" s="60"/>
      <c r="S844" s="60"/>
      <c r="T844" s="60"/>
      <c r="U844" s="60"/>
      <c r="V844" s="60"/>
      <c r="W844" s="60"/>
    </row>
    <row r="845" spans="1:23" ht="13" x14ac:dyDescent="0.3">
      <c r="A845" s="58"/>
      <c r="B845" s="58"/>
      <c r="C845" s="58"/>
      <c r="D845" s="58"/>
      <c r="E845" s="58"/>
      <c r="F845" s="58"/>
      <c r="G845" s="58"/>
      <c r="H845" s="59"/>
      <c r="I845" s="59"/>
      <c r="J845" s="59"/>
      <c r="K845" s="59"/>
      <c r="L845" s="59"/>
      <c r="M845" s="60"/>
      <c r="N845" s="60"/>
      <c r="O845" s="60"/>
      <c r="P845" s="59"/>
      <c r="Q845" s="59"/>
      <c r="R845" s="60"/>
      <c r="S845" s="60"/>
      <c r="T845" s="60"/>
      <c r="U845" s="60"/>
      <c r="V845" s="60"/>
      <c r="W845" s="60"/>
    </row>
    <row r="846" spans="1:23" ht="13" x14ac:dyDescent="0.3">
      <c r="A846" s="58"/>
      <c r="B846" s="58"/>
      <c r="C846" s="58"/>
      <c r="D846" s="58"/>
      <c r="E846" s="58"/>
      <c r="F846" s="58"/>
      <c r="G846" s="58"/>
      <c r="H846" s="59"/>
      <c r="I846" s="59"/>
      <c r="J846" s="59"/>
      <c r="K846" s="59"/>
      <c r="L846" s="59"/>
      <c r="M846" s="60"/>
      <c r="N846" s="60"/>
      <c r="O846" s="60"/>
      <c r="P846" s="59"/>
      <c r="Q846" s="59"/>
      <c r="R846" s="60"/>
      <c r="S846" s="60"/>
      <c r="T846" s="60"/>
      <c r="U846" s="60"/>
      <c r="V846" s="60"/>
      <c r="W846" s="60"/>
    </row>
    <row r="847" spans="1:23" ht="13" x14ac:dyDescent="0.3">
      <c r="A847" s="58"/>
      <c r="B847" s="58"/>
      <c r="C847" s="58"/>
      <c r="D847" s="58"/>
      <c r="E847" s="58"/>
      <c r="F847" s="58"/>
      <c r="G847" s="58"/>
      <c r="H847" s="59"/>
      <c r="I847" s="59"/>
      <c r="J847" s="59"/>
      <c r="K847" s="59"/>
      <c r="L847" s="59"/>
      <c r="M847" s="60"/>
      <c r="N847" s="60"/>
      <c r="O847" s="60"/>
      <c r="P847" s="59"/>
      <c r="Q847" s="59"/>
      <c r="R847" s="60"/>
      <c r="S847" s="60"/>
      <c r="T847" s="60"/>
      <c r="U847" s="60"/>
      <c r="V847" s="60"/>
      <c r="W847" s="60"/>
    </row>
    <row r="848" spans="1:23" ht="13" x14ac:dyDescent="0.3">
      <c r="A848" s="58"/>
      <c r="B848" s="58"/>
      <c r="C848" s="58"/>
      <c r="D848" s="58"/>
      <c r="E848" s="58"/>
      <c r="F848" s="58"/>
      <c r="G848" s="58"/>
      <c r="H848" s="59"/>
      <c r="I848" s="59"/>
      <c r="J848" s="59"/>
      <c r="K848" s="59"/>
      <c r="L848" s="59"/>
      <c r="M848" s="60"/>
      <c r="N848" s="60"/>
      <c r="O848" s="60"/>
      <c r="P848" s="59"/>
      <c r="Q848" s="59"/>
      <c r="R848" s="60"/>
      <c r="S848" s="60"/>
      <c r="T848" s="60"/>
      <c r="U848" s="60"/>
      <c r="V848" s="60"/>
      <c r="W848" s="60"/>
    </row>
    <row r="849" spans="1:23" ht="13" x14ac:dyDescent="0.3">
      <c r="A849" s="58"/>
      <c r="B849" s="58"/>
      <c r="C849" s="58"/>
      <c r="D849" s="58"/>
      <c r="E849" s="58"/>
      <c r="F849" s="58"/>
      <c r="G849" s="58"/>
      <c r="H849" s="59"/>
      <c r="I849" s="59"/>
      <c r="J849" s="59"/>
      <c r="K849" s="59"/>
      <c r="L849" s="59"/>
      <c r="M849" s="60"/>
      <c r="N849" s="60"/>
      <c r="O849" s="60"/>
      <c r="P849" s="59"/>
      <c r="Q849" s="59"/>
      <c r="R849" s="60"/>
      <c r="S849" s="60"/>
      <c r="T849" s="60"/>
      <c r="U849" s="60"/>
      <c r="V849" s="60"/>
      <c r="W849" s="60"/>
    </row>
    <row r="850" spans="1:23" ht="13" x14ac:dyDescent="0.3">
      <c r="A850" s="58"/>
      <c r="B850" s="58"/>
      <c r="C850" s="58"/>
      <c r="D850" s="58"/>
      <c r="E850" s="58"/>
      <c r="F850" s="58"/>
      <c r="G850" s="58"/>
      <c r="H850" s="59"/>
      <c r="I850" s="59"/>
      <c r="J850" s="59"/>
      <c r="K850" s="59"/>
      <c r="L850" s="59"/>
      <c r="M850" s="60"/>
      <c r="N850" s="60"/>
      <c r="O850" s="60"/>
      <c r="P850" s="59"/>
      <c r="Q850" s="59"/>
      <c r="R850" s="60"/>
      <c r="S850" s="60"/>
      <c r="T850" s="60"/>
      <c r="U850" s="60"/>
      <c r="V850" s="60"/>
      <c r="W850" s="60"/>
    </row>
    <row r="851" spans="1:23" ht="13" x14ac:dyDescent="0.3">
      <c r="A851" s="58"/>
      <c r="B851" s="58"/>
      <c r="C851" s="58"/>
      <c r="D851" s="58"/>
      <c r="E851" s="58"/>
      <c r="F851" s="58"/>
      <c r="G851" s="58"/>
      <c r="H851" s="59"/>
      <c r="I851" s="59"/>
      <c r="J851" s="59"/>
      <c r="K851" s="59"/>
      <c r="L851" s="59"/>
      <c r="M851" s="60"/>
      <c r="N851" s="60"/>
      <c r="O851" s="60"/>
      <c r="P851" s="59"/>
      <c r="Q851" s="59"/>
      <c r="R851" s="60"/>
      <c r="S851" s="60"/>
      <c r="T851" s="60"/>
      <c r="U851" s="60"/>
      <c r="V851" s="60"/>
      <c r="W851" s="60"/>
    </row>
    <row r="852" spans="1:23" ht="13" x14ac:dyDescent="0.3">
      <c r="A852" s="58"/>
      <c r="B852" s="58"/>
      <c r="C852" s="58"/>
      <c r="D852" s="58"/>
      <c r="E852" s="58"/>
      <c r="F852" s="58"/>
      <c r="G852" s="58"/>
      <c r="H852" s="59"/>
      <c r="I852" s="59"/>
      <c r="J852" s="59"/>
      <c r="K852" s="59"/>
      <c r="L852" s="59"/>
      <c r="M852" s="60"/>
      <c r="N852" s="60"/>
      <c r="O852" s="60"/>
      <c r="P852" s="59"/>
      <c r="Q852" s="59"/>
      <c r="R852" s="60"/>
      <c r="S852" s="60"/>
      <c r="T852" s="60"/>
      <c r="U852" s="60"/>
      <c r="V852" s="60"/>
      <c r="W852" s="60"/>
    </row>
    <row r="853" spans="1:23" ht="13" x14ac:dyDescent="0.3">
      <c r="A853" s="58"/>
      <c r="B853" s="58"/>
      <c r="C853" s="58"/>
      <c r="D853" s="58"/>
      <c r="E853" s="58"/>
      <c r="F853" s="58"/>
      <c r="G853" s="58"/>
      <c r="H853" s="59"/>
      <c r="I853" s="59"/>
      <c r="J853" s="59"/>
      <c r="K853" s="59"/>
      <c r="L853" s="59"/>
      <c r="M853" s="60"/>
      <c r="N853" s="60"/>
      <c r="O853" s="60"/>
      <c r="P853" s="59"/>
      <c r="Q853" s="59"/>
      <c r="R853" s="60"/>
      <c r="S853" s="60"/>
      <c r="T853" s="60"/>
      <c r="U853" s="60"/>
      <c r="V853" s="60"/>
      <c r="W853" s="60"/>
    </row>
    <row r="854" spans="1:23" ht="13" x14ac:dyDescent="0.3">
      <c r="A854" s="58"/>
      <c r="B854" s="58"/>
      <c r="C854" s="58"/>
      <c r="D854" s="58"/>
      <c r="E854" s="58"/>
      <c r="F854" s="58"/>
      <c r="G854" s="58"/>
      <c r="H854" s="59"/>
      <c r="I854" s="59"/>
      <c r="J854" s="59"/>
      <c r="K854" s="59"/>
      <c r="L854" s="59"/>
      <c r="M854" s="60"/>
      <c r="N854" s="60"/>
      <c r="O854" s="60"/>
      <c r="P854" s="59"/>
      <c r="Q854" s="59"/>
      <c r="R854" s="60"/>
      <c r="S854" s="60"/>
      <c r="T854" s="60"/>
      <c r="U854" s="60"/>
      <c r="V854" s="60"/>
      <c r="W854" s="60"/>
    </row>
    <row r="855" spans="1:23" ht="13" x14ac:dyDescent="0.3">
      <c r="A855" s="58"/>
      <c r="B855" s="58"/>
      <c r="C855" s="58"/>
      <c r="D855" s="58"/>
      <c r="E855" s="58"/>
      <c r="F855" s="58"/>
      <c r="G855" s="58"/>
      <c r="H855" s="59"/>
      <c r="I855" s="59"/>
      <c r="J855" s="59"/>
      <c r="K855" s="59"/>
      <c r="L855" s="59"/>
      <c r="M855" s="60"/>
      <c r="N855" s="60"/>
      <c r="O855" s="60"/>
      <c r="P855" s="59"/>
      <c r="Q855" s="59"/>
      <c r="R855" s="60"/>
      <c r="S855" s="60"/>
      <c r="T855" s="60"/>
      <c r="U855" s="60"/>
      <c r="V855" s="60"/>
      <c r="W855" s="60"/>
    </row>
    <row r="856" spans="1:23" ht="13" x14ac:dyDescent="0.3">
      <c r="A856" s="58"/>
      <c r="B856" s="58"/>
      <c r="C856" s="58"/>
      <c r="D856" s="58"/>
      <c r="E856" s="58"/>
      <c r="F856" s="58"/>
      <c r="G856" s="58"/>
      <c r="H856" s="59"/>
      <c r="I856" s="59"/>
      <c r="J856" s="59"/>
      <c r="K856" s="59"/>
      <c r="L856" s="59"/>
      <c r="M856" s="60"/>
      <c r="N856" s="60"/>
      <c r="O856" s="60"/>
      <c r="P856" s="59"/>
      <c r="Q856" s="59"/>
      <c r="R856" s="60"/>
      <c r="S856" s="60"/>
      <c r="T856" s="60"/>
      <c r="U856" s="60"/>
      <c r="V856" s="60"/>
      <c r="W856" s="60"/>
    </row>
    <row r="857" spans="1:23" ht="13" x14ac:dyDescent="0.3">
      <c r="A857" s="58"/>
      <c r="B857" s="58"/>
      <c r="C857" s="58"/>
      <c r="D857" s="58"/>
      <c r="E857" s="58"/>
      <c r="F857" s="58"/>
      <c r="G857" s="58"/>
      <c r="H857" s="59"/>
      <c r="I857" s="59"/>
      <c r="J857" s="59"/>
      <c r="K857" s="59"/>
      <c r="L857" s="59"/>
      <c r="M857" s="60"/>
      <c r="N857" s="60"/>
      <c r="O857" s="60"/>
      <c r="P857" s="59"/>
      <c r="Q857" s="59"/>
      <c r="R857" s="60"/>
      <c r="S857" s="60"/>
      <c r="T857" s="60"/>
      <c r="U857" s="60"/>
      <c r="V857" s="60"/>
      <c r="W857" s="60"/>
    </row>
    <row r="858" spans="1:23" ht="13" x14ac:dyDescent="0.3">
      <c r="A858" s="58"/>
      <c r="B858" s="58"/>
      <c r="C858" s="58"/>
      <c r="D858" s="58"/>
      <c r="E858" s="58"/>
      <c r="F858" s="58"/>
      <c r="G858" s="58"/>
      <c r="H858" s="59"/>
      <c r="I858" s="59"/>
      <c r="J858" s="59"/>
      <c r="K858" s="59"/>
      <c r="L858" s="59"/>
      <c r="M858" s="60"/>
      <c r="N858" s="60"/>
      <c r="O858" s="60"/>
      <c r="P858" s="59"/>
      <c r="Q858" s="59"/>
      <c r="R858" s="60"/>
      <c r="S858" s="60"/>
      <c r="T858" s="60"/>
      <c r="U858" s="60"/>
      <c r="V858" s="60"/>
      <c r="W858" s="60"/>
    </row>
    <row r="859" spans="1:23" ht="13" x14ac:dyDescent="0.3">
      <c r="A859" s="58"/>
      <c r="B859" s="58"/>
      <c r="C859" s="58"/>
      <c r="D859" s="58"/>
      <c r="E859" s="58"/>
      <c r="F859" s="58"/>
      <c r="G859" s="58"/>
      <c r="H859" s="59"/>
      <c r="I859" s="59"/>
      <c r="J859" s="59"/>
      <c r="K859" s="59"/>
      <c r="L859" s="59"/>
      <c r="M859" s="60"/>
      <c r="N859" s="60"/>
      <c r="O859" s="60"/>
      <c r="P859" s="59"/>
      <c r="Q859" s="59"/>
      <c r="R859" s="60"/>
      <c r="S859" s="60"/>
      <c r="T859" s="60"/>
      <c r="U859" s="60"/>
      <c r="V859" s="60"/>
      <c r="W859" s="60"/>
    </row>
    <row r="860" spans="1:23" ht="13" x14ac:dyDescent="0.3">
      <c r="A860" s="58"/>
      <c r="B860" s="58"/>
      <c r="C860" s="58"/>
      <c r="D860" s="58"/>
      <c r="E860" s="58"/>
      <c r="F860" s="58"/>
      <c r="G860" s="58"/>
      <c r="H860" s="59"/>
      <c r="I860" s="59"/>
      <c r="J860" s="59"/>
      <c r="K860" s="59"/>
      <c r="L860" s="59"/>
      <c r="M860" s="60"/>
      <c r="N860" s="60"/>
      <c r="O860" s="60"/>
      <c r="P860" s="59"/>
      <c r="Q860" s="59"/>
      <c r="R860" s="60"/>
      <c r="S860" s="60"/>
      <c r="T860" s="60"/>
      <c r="U860" s="60"/>
      <c r="V860" s="60"/>
      <c r="W860" s="60"/>
    </row>
    <row r="861" spans="1:23" ht="13" x14ac:dyDescent="0.3">
      <c r="A861" s="58"/>
      <c r="B861" s="58"/>
      <c r="C861" s="58"/>
      <c r="D861" s="58"/>
      <c r="E861" s="58"/>
      <c r="F861" s="58"/>
      <c r="G861" s="58"/>
      <c r="H861" s="59"/>
      <c r="I861" s="59"/>
      <c r="J861" s="59"/>
      <c r="K861" s="59"/>
      <c r="L861" s="59"/>
      <c r="M861" s="60"/>
      <c r="N861" s="60"/>
      <c r="O861" s="60"/>
      <c r="P861" s="59"/>
      <c r="Q861" s="59"/>
      <c r="R861" s="60"/>
      <c r="S861" s="60"/>
      <c r="T861" s="60"/>
      <c r="U861" s="60"/>
      <c r="V861" s="60"/>
      <c r="W861" s="60"/>
    </row>
    <row r="862" spans="1:23" ht="13" x14ac:dyDescent="0.3">
      <c r="A862" s="58"/>
      <c r="B862" s="58"/>
      <c r="C862" s="58"/>
      <c r="D862" s="58"/>
      <c r="E862" s="58"/>
      <c r="F862" s="58"/>
      <c r="G862" s="58"/>
      <c r="H862" s="59"/>
      <c r="I862" s="59"/>
      <c r="J862" s="59"/>
      <c r="K862" s="59"/>
      <c r="L862" s="59"/>
      <c r="M862" s="60"/>
      <c r="N862" s="60"/>
      <c r="O862" s="60"/>
      <c r="P862" s="59"/>
      <c r="Q862" s="59"/>
      <c r="R862" s="60"/>
      <c r="S862" s="60"/>
      <c r="T862" s="60"/>
      <c r="U862" s="60"/>
      <c r="V862" s="60"/>
      <c r="W862" s="60"/>
    </row>
    <row r="863" spans="1:23" ht="13" x14ac:dyDescent="0.3">
      <c r="A863" s="58"/>
      <c r="B863" s="58"/>
      <c r="C863" s="58"/>
      <c r="D863" s="58"/>
      <c r="E863" s="58"/>
      <c r="F863" s="58"/>
      <c r="G863" s="58"/>
      <c r="H863" s="59"/>
      <c r="I863" s="59"/>
      <c r="J863" s="59"/>
      <c r="K863" s="59"/>
      <c r="L863" s="59"/>
      <c r="M863" s="60"/>
      <c r="N863" s="60"/>
      <c r="O863" s="60"/>
      <c r="P863" s="59"/>
      <c r="Q863" s="59"/>
      <c r="R863" s="60"/>
      <c r="S863" s="60"/>
      <c r="T863" s="60"/>
      <c r="U863" s="60"/>
      <c r="V863" s="60"/>
      <c r="W863" s="60"/>
    </row>
    <row r="864" spans="1:23" ht="13" x14ac:dyDescent="0.3">
      <c r="A864" s="58"/>
      <c r="B864" s="58"/>
      <c r="C864" s="58"/>
      <c r="D864" s="58"/>
      <c r="E864" s="58"/>
      <c r="F864" s="58"/>
      <c r="G864" s="58"/>
      <c r="H864" s="59"/>
      <c r="I864" s="59"/>
      <c r="J864" s="59"/>
      <c r="K864" s="59"/>
      <c r="L864" s="59"/>
      <c r="M864" s="60"/>
      <c r="N864" s="60"/>
      <c r="O864" s="60"/>
      <c r="P864" s="59"/>
      <c r="Q864" s="59"/>
      <c r="R864" s="60"/>
      <c r="S864" s="60"/>
      <c r="T864" s="60"/>
      <c r="U864" s="60"/>
      <c r="V864" s="60"/>
      <c r="W864" s="60"/>
    </row>
    <row r="865" spans="1:23" ht="13" x14ac:dyDescent="0.3">
      <c r="A865" s="58"/>
      <c r="B865" s="58"/>
      <c r="C865" s="58"/>
      <c r="D865" s="58"/>
      <c r="E865" s="58"/>
      <c r="F865" s="58"/>
      <c r="G865" s="58"/>
      <c r="H865" s="59"/>
      <c r="I865" s="59"/>
      <c r="J865" s="59"/>
      <c r="K865" s="59"/>
      <c r="L865" s="59"/>
      <c r="M865" s="60"/>
      <c r="N865" s="60"/>
      <c r="O865" s="60"/>
      <c r="P865" s="59"/>
      <c r="Q865" s="59"/>
      <c r="R865" s="60"/>
      <c r="S865" s="60"/>
      <c r="T865" s="60"/>
      <c r="U865" s="60"/>
      <c r="V865" s="60"/>
      <c r="W865" s="60"/>
    </row>
    <row r="866" spans="1:23" ht="13" x14ac:dyDescent="0.3">
      <c r="A866" s="58"/>
      <c r="B866" s="58"/>
      <c r="C866" s="58"/>
      <c r="D866" s="58"/>
      <c r="E866" s="58"/>
      <c r="F866" s="58"/>
      <c r="G866" s="58"/>
      <c r="H866" s="59"/>
      <c r="I866" s="59"/>
      <c r="J866" s="59"/>
      <c r="K866" s="59"/>
      <c r="L866" s="59"/>
      <c r="M866" s="60"/>
      <c r="N866" s="60"/>
      <c r="O866" s="60"/>
      <c r="P866" s="59"/>
      <c r="Q866" s="59"/>
      <c r="R866" s="60"/>
      <c r="S866" s="60"/>
      <c r="T866" s="60"/>
      <c r="U866" s="60"/>
      <c r="V866" s="60"/>
      <c r="W866" s="60"/>
    </row>
    <row r="867" spans="1:23" ht="13" x14ac:dyDescent="0.3">
      <c r="A867" s="58"/>
      <c r="B867" s="58"/>
      <c r="C867" s="58"/>
      <c r="D867" s="58"/>
      <c r="E867" s="58"/>
      <c r="F867" s="58"/>
      <c r="G867" s="58"/>
      <c r="H867" s="59"/>
      <c r="I867" s="59"/>
      <c r="J867" s="59"/>
      <c r="K867" s="59"/>
      <c r="L867" s="59"/>
      <c r="M867" s="60"/>
      <c r="N867" s="60"/>
      <c r="O867" s="60"/>
      <c r="P867" s="59"/>
      <c r="Q867" s="59"/>
      <c r="R867" s="60"/>
      <c r="S867" s="60"/>
      <c r="T867" s="60"/>
      <c r="U867" s="60"/>
      <c r="V867" s="60"/>
      <c r="W867" s="60"/>
    </row>
    <row r="868" spans="1:23" ht="13" x14ac:dyDescent="0.3">
      <c r="A868" s="58"/>
      <c r="B868" s="58"/>
      <c r="C868" s="58"/>
      <c r="D868" s="58"/>
      <c r="E868" s="58"/>
      <c r="F868" s="58"/>
      <c r="G868" s="58"/>
      <c r="H868" s="59"/>
      <c r="I868" s="59"/>
      <c r="J868" s="59"/>
      <c r="K868" s="59"/>
      <c r="L868" s="59"/>
      <c r="M868" s="60"/>
      <c r="N868" s="60"/>
      <c r="O868" s="60"/>
      <c r="P868" s="59"/>
      <c r="Q868" s="59"/>
      <c r="R868" s="60"/>
      <c r="S868" s="60"/>
      <c r="T868" s="60"/>
      <c r="U868" s="60"/>
      <c r="V868" s="60"/>
      <c r="W868" s="60"/>
    </row>
    <row r="869" spans="1:23" ht="13" x14ac:dyDescent="0.3">
      <c r="A869" s="58"/>
      <c r="B869" s="58"/>
      <c r="C869" s="58"/>
      <c r="D869" s="58"/>
      <c r="E869" s="58"/>
      <c r="F869" s="58"/>
      <c r="G869" s="58"/>
      <c r="H869" s="59"/>
      <c r="I869" s="59"/>
      <c r="J869" s="59"/>
      <c r="K869" s="59"/>
      <c r="L869" s="59"/>
      <c r="M869" s="60"/>
      <c r="N869" s="60"/>
      <c r="O869" s="60"/>
      <c r="P869" s="59"/>
      <c r="Q869" s="59"/>
      <c r="R869" s="60"/>
      <c r="S869" s="60"/>
      <c r="T869" s="60"/>
      <c r="U869" s="60"/>
      <c r="V869" s="60"/>
      <c r="W869" s="60"/>
    </row>
    <row r="870" spans="1:23" ht="13" x14ac:dyDescent="0.3">
      <c r="A870" s="58"/>
      <c r="B870" s="58"/>
      <c r="C870" s="58"/>
      <c r="D870" s="58"/>
      <c r="E870" s="58"/>
      <c r="F870" s="58"/>
      <c r="G870" s="58"/>
      <c r="H870" s="59"/>
      <c r="I870" s="59"/>
      <c r="J870" s="59"/>
      <c r="K870" s="59"/>
      <c r="L870" s="59"/>
      <c r="M870" s="60"/>
      <c r="N870" s="60"/>
      <c r="O870" s="60"/>
      <c r="P870" s="59"/>
      <c r="Q870" s="59"/>
      <c r="R870" s="60"/>
      <c r="S870" s="60"/>
      <c r="T870" s="60"/>
      <c r="U870" s="60"/>
      <c r="V870" s="60"/>
      <c r="W870" s="60"/>
    </row>
    <row r="871" spans="1:23" ht="13" x14ac:dyDescent="0.3">
      <c r="A871" s="58"/>
      <c r="B871" s="58"/>
      <c r="C871" s="58"/>
      <c r="D871" s="58"/>
      <c r="E871" s="58"/>
      <c r="F871" s="58"/>
      <c r="G871" s="58"/>
      <c r="H871" s="59"/>
      <c r="I871" s="59"/>
      <c r="J871" s="59"/>
      <c r="K871" s="59"/>
      <c r="L871" s="59"/>
      <c r="M871" s="60"/>
      <c r="N871" s="60"/>
      <c r="O871" s="60"/>
      <c r="P871" s="59"/>
      <c r="Q871" s="59"/>
      <c r="R871" s="60"/>
      <c r="S871" s="60"/>
      <c r="T871" s="60"/>
      <c r="U871" s="60"/>
      <c r="V871" s="60"/>
      <c r="W871" s="60"/>
    </row>
    <row r="872" spans="1:23" ht="13" x14ac:dyDescent="0.3">
      <c r="A872" s="58"/>
      <c r="B872" s="58"/>
      <c r="C872" s="58"/>
      <c r="D872" s="58"/>
      <c r="E872" s="58"/>
      <c r="F872" s="58"/>
      <c r="G872" s="58"/>
      <c r="H872" s="59"/>
      <c r="I872" s="59"/>
      <c r="J872" s="59"/>
      <c r="K872" s="59"/>
      <c r="L872" s="59"/>
      <c r="M872" s="60"/>
      <c r="N872" s="60"/>
      <c r="O872" s="60"/>
      <c r="P872" s="59"/>
      <c r="Q872" s="59"/>
      <c r="R872" s="60"/>
      <c r="S872" s="60"/>
      <c r="T872" s="60"/>
      <c r="U872" s="60"/>
      <c r="V872" s="60"/>
      <c r="W872" s="60"/>
    </row>
    <row r="873" spans="1:23" ht="13" x14ac:dyDescent="0.3">
      <c r="A873" s="58"/>
      <c r="B873" s="58"/>
      <c r="C873" s="58"/>
      <c r="D873" s="58"/>
      <c r="E873" s="58"/>
      <c r="F873" s="58"/>
      <c r="G873" s="58"/>
      <c r="H873" s="59"/>
      <c r="I873" s="59"/>
      <c r="J873" s="59"/>
      <c r="K873" s="59"/>
      <c r="L873" s="59"/>
      <c r="M873" s="60"/>
      <c r="N873" s="60"/>
      <c r="O873" s="60"/>
      <c r="P873" s="59"/>
      <c r="Q873" s="59"/>
      <c r="R873" s="60"/>
      <c r="S873" s="60"/>
      <c r="T873" s="60"/>
      <c r="U873" s="60"/>
      <c r="V873" s="60"/>
      <c r="W873" s="60"/>
    </row>
    <row r="874" spans="1:23" ht="13" x14ac:dyDescent="0.3">
      <c r="A874" s="58"/>
      <c r="B874" s="58"/>
      <c r="C874" s="58"/>
      <c r="D874" s="58"/>
      <c r="E874" s="58"/>
      <c r="F874" s="58"/>
      <c r="G874" s="58"/>
      <c r="H874" s="59"/>
      <c r="I874" s="59"/>
      <c r="J874" s="59"/>
      <c r="K874" s="59"/>
      <c r="L874" s="59"/>
      <c r="M874" s="60"/>
      <c r="N874" s="60"/>
      <c r="O874" s="60"/>
      <c r="P874" s="59"/>
      <c r="Q874" s="59"/>
      <c r="R874" s="60"/>
      <c r="S874" s="60"/>
      <c r="T874" s="60"/>
      <c r="U874" s="60"/>
      <c r="V874" s="60"/>
      <c r="W874" s="60"/>
    </row>
    <row r="875" spans="1:23" ht="13" x14ac:dyDescent="0.3">
      <c r="A875" s="58"/>
      <c r="B875" s="58"/>
      <c r="C875" s="58"/>
      <c r="D875" s="58"/>
      <c r="E875" s="58"/>
      <c r="F875" s="58"/>
      <c r="G875" s="58"/>
      <c r="H875" s="59"/>
      <c r="I875" s="59"/>
      <c r="J875" s="59"/>
      <c r="K875" s="59"/>
      <c r="L875" s="59"/>
      <c r="M875" s="60"/>
      <c r="N875" s="60"/>
      <c r="O875" s="60"/>
      <c r="P875" s="59"/>
      <c r="Q875" s="59"/>
      <c r="R875" s="60"/>
      <c r="S875" s="60"/>
      <c r="T875" s="60"/>
      <c r="U875" s="60"/>
      <c r="V875" s="60"/>
      <c r="W875" s="60"/>
    </row>
    <row r="876" spans="1:23" ht="13" x14ac:dyDescent="0.3">
      <c r="A876" s="58"/>
      <c r="B876" s="58"/>
      <c r="C876" s="58"/>
      <c r="D876" s="58"/>
      <c r="E876" s="58"/>
      <c r="F876" s="58"/>
      <c r="G876" s="58"/>
      <c r="H876" s="59"/>
      <c r="I876" s="59"/>
      <c r="J876" s="59"/>
      <c r="K876" s="59"/>
      <c r="L876" s="59"/>
      <c r="M876" s="60"/>
      <c r="N876" s="60"/>
      <c r="O876" s="60"/>
      <c r="P876" s="59"/>
      <c r="Q876" s="59"/>
      <c r="R876" s="60"/>
      <c r="S876" s="60"/>
      <c r="T876" s="60"/>
      <c r="U876" s="60"/>
      <c r="V876" s="60"/>
      <c r="W876" s="60"/>
    </row>
    <row r="877" spans="1:23" ht="13" x14ac:dyDescent="0.3">
      <c r="A877" s="58"/>
      <c r="B877" s="58"/>
      <c r="C877" s="58"/>
      <c r="D877" s="58"/>
      <c r="E877" s="58"/>
      <c r="F877" s="58"/>
      <c r="G877" s="58"/>
      <c r="H877" s="59"/>
      <c r="I877" s="59"/>
      <c r="J877" s="59"/>
      <c r="K877" s="59"/>
      <c r="L877" s="59"/>
      <c r="M877" s="60"/>
      <c r="N877" s="60"/>
      <c r="O877" s="60"/>
      <c r="P877" s="59"/>
      <c r="Q877" s="59"/>
      <c r="R877" s="60"/>
      <c r="S877" s="60"/>
      <c r="T877" s="60"/>
      <c r="U877" s="60"/>
      <c r="V877" s="60"/>
      <c r="W877" s="60"/>
    </row>
    <row r="878" spans="1:23" ht="13" x14ac:dyDescent="0.3">
      <c r="A878" s="58"/>
      <c r="B878" s="58"/>
      <c r="C878" s="58"/>
      <c r="D878" s="58"/>
      <c r="E878" s="58"/>
      <c r="F878" s="58"/>
      <c r="G878" s="58"/>
      <c r="H878" s="59"/>
      <c r="I878" s="59"/>
      <c r="J878" s="59"/>
      <c r="K878" s="59"/>
      <c r="L878" s="59"/>
      <c r="M878" s="60"/>
      <c r="N878" s="60"/>
      <c r="O878" s="60"/>
      <c r="P878" s="59"/>
      <c r="Q878" s="59"/>
      <c r="R878" s="60"/>
      <c r="S878" s="60"/>
      <c r="T878" s="60"/>
      <c r="U878" s="60"/>
      <c r="V878" s="60"/>
      <c r="W878" s="60"/>
    </row>
    <row r="879" spans="1:23" ht="13" x14ac:dyDescent="0.3">
      <c r="A879" s="58"/>
      <c r="B879" s="58"/>
      <c r="C879" s="58"/>
      <c r="D879" s="58"/>
      <c r="E879" s="58"/>
      <c r="F879" s="58"/>
      <c r="G879" s="58"/>
      <c r="H879" s="59"/>
      <c r="I879" s="59"/>
      <c r="J879" s="59"/>
      <c r="K879" s="59"/>
      <c r="L879" s="59"/>
      <c r="M879" s="60"/>
      <c r="N879" s="60"/>
      <c r="O879" s="60"/>
      <c r="P879" s="59"/>
      <c r="Q879" s="59"/>
      <c r="R879" s="60"/>
      <c r="S879" s="60"/>
      <c r="T879" s="60"/>
      <c r="U879" s="60"/>
      <c r="V879" s="60"/>
      <c r="W879" s="60"/>
    </row>
    <row r="880" spans="1:23" ht="13" x14ac:dyDescent="0.3">
      <c r="A880" s="58"/>
      <c r="B880" s="58"/>
      <c r="C880" s="58"/>
      <c r="D880" s="58"/>
      <c r="E880" s="58"/>
      <c r="F880" s="58"/>
      <c r="G880" s="58"/>
      <c r="H880" s="59"/>
      <c r="I880" s="59"/>
      <c r="J880" s="59"/>
      <c r="K880" s="59"/>
      <c r="L880" s="59"/>
      <c r="M880" s="60"/>
      <c r="N880" s="60"/>
      <c r="O880" s="60"/>
      <c r="P880" s="59"/>
      <c r="Q880" s="59"/>
      <c r="R880" s="60"/>
      <c r="S880" s="60"/>
      <c r="T880" s="60"/>
      <c r="U880" s="60"/>
      <c r="V880" s="60"/>
      <c r="W880" s="60"/>
    </row>
    <row r="881" spans="1:23" ht="13" x14ac:dyDescent="0.3">
      <c r="A881" s="58"/>
      <c r="B881" s="58"/>
      <c r="C881" s="58"/>
      <c r="D881" s="58"/>
      <c r="E881" s="58"/>
      <c r="F881" s="58"/>
      <c r="G881" s="58"/>
      <c r="H881" s="59"/>
      <c r="I881" s="59"/>
      <c r="J881" s="59"/>
      <c r="K881" s="59"/>
      <c r="L881" s="59"/>
      <c r="M881" s="60"/>
      <c r="N881" s="60"/>
      <c r="O881" s="60"/>
      <c r="P881" s="59"/>
      <c r="Q881" s="59"/>
      <c r="R881" s="60"/>
      <c r="S881" s="60"/>
      <c r="T881" s="60"/>
      <c r="U881" s="60"/>
      <c r="V881" s="60"/>
      <c r="W881" s="60"/>
    </row>
    <row r="882" spans="1:23" ht="13" x14ac:dyDescent="0.3">
      <c r="A882" s="58"/>
      <c r="B882" s="58"/>
      <c r="C882" s="58"/>
      <c r="D882" s="58"/>
      <c r="E882" s="58"/>
      <c r="F882" s="58"/>
      <c r="G882" s="58"/>
      <c r="H882" s="59"/>
      <c r="I882" s="59"/>
      <c r="J882" s="59"/>
      <c r="K882" s="59"/>
      <c r="L882" s="59"/>
      <c r="M882" s="60"/>
      <c r="N882" s="60"/>
      <c r="O882" s="60"/>
      <c r="P882" s="59"/>
      <c r="Q882" s="59"/>
      <c r="R882" s="60"/>
      <c r="S882" s="60"/>
      <c r="T882" s="60"/>
      <c r="U882" s="60"/>
      <c r="V882" s="60"/>
      <c r="W882" s="60"/>
    </row>
    <row r="883" spans="1:23" ht="13" x14ac:dyDescent="0.3">
      <c r="A883" s="58"/>
      <c r="B883" s="58"/>
      <c r="C883" s="58"/>
      <c r="D883" s="58"/>
      <c r="E883" s="58"/>
      <c r="F883" s="58"/>
      <c r="G883" s="58"/>
      <c r="H883" s="59"/>
      <c r="I883" s="59"/>
      <c r="J883" s="59"/>
      <c r="K883" s="59"/>
      <c r="L883" s="59"/>
      <c r="M883" s="60"/>
      <c r="N883" s="60"/>
      <c r="O883" s="60"/>
      <c r="P883" s="59"/>
      <c r="Q883" s="59"/>
      <c r="R883" s="60"/>
      <c r="S883" s="60"/>
      <c r="T883" s="60"/>
      <c r="U883" s="60"/>
      <c r="V883" s="60"/>
      <c r="W883" s="60"/>
    </row>
    <row r="884" spans="1:23" ht="13" x14ac:dyDescent="0.3">
      <c r="A884" s="58"/>
      <c r="B884" s="58"/>
      <c r="C884" s="58"/>
      <c r="D884" s="58"/>
      <c r="E884" s="58"/>
      <c r="F884" s="58"/>
      <c r="G884" s="58"/>
      <c r="H884" s="59"/>
      <c r="I884" s="59"/>
      <c r="J884" s="59"/>
      <c r="K884" s="59"/>
      <c r="L884" s="59"/>
      <c r="M884" s="60"/>
      <c r="N884" s="60"/>
      <c r="O884" s="60"/>
      <c r="P884" s="59"/>
      <c r="Q884" s="59"/>
      <c r="R884" s="60"/>
      <c r="S884" s="60"/>
      <c r="T884" s="60"/>
      <c r="U884" s="60"/>
      <c r="V884" s="60"/>
      <c r="W884" s="60"/>
    </row>
    <row r="885" spans="1:23" ht="13" x14ac:dyDescent="0.3">
      <c r="A885" s="58"/>
      <c r="B885" s="58"/>
      <c r="C885" s="58"/>
      <c r="D885" s="58"/>
      <c r="E885" s="58"/>
      <c r="F885" s="58"/>
      <c r="G885" s="58"/>
      <c r="H885" s="59"/>
      <c r="I885" s="59"/>
      <c r="J885" s="59"/>
      <c r="K885" s="59"/>
      <c r="L885" s="59"/>
      <c r="M885" s="60"/>
      <c r="N885" s="60"/>
      <c r="O885" s="60"/>
      <c r="P885" s="59"/>
      <c r="Q885" s="59"/>
      <c r="R885" s="60"/>
      <c r="S885" s="60"/>
      <c r="T885" s="60"/>
      <c r="U885" s="60"/>
      <c r="V885" s="60"/>
      <c r="W885" s="60"/>
    </row>
    <row r="886" spans="1:23" ht="13" x14ac:dyDescent="0.3">
      <c r="A886" s="58"/>
      <c r="B886" s="58"/>
      <c r="C886" s="58"/>
      <c r="D886" s="58"/>
      <c r="E886" s="58"/>
      <c r="F886" s="58"/>
      <c r="G886" s="58"/>
      <c r="H886" s="59"/>
      <c r="I886" s="59"/>
      <c r="J886" s="59"/>
      <c r="K886" s="59"/>
      <c r="L886" s="59"/>
      <c r="M886" s="60"/>
      <c r="N886" s="60"/>
      <c r="O886" s="60"/>
      <c r="P886" s="59"/>
      <c r="Q886" s="59"/>
      <c r="R886" s="60"/>
      <c r="S886" s="60"/>
      <c r="T886" s="60"/>
      <c r="U886" s="60"/>
      <c r="V886" s="60"/>
      <c r="W886" s="60"/>
    </row>
    <row r="887" spans="1:23" ht="13" x14ac:dyDescent="0.3">
      <c r="A887" s="58"/>
      <c r="B887" s="58"/>
      <c r="C887" s="58"/>
      <c r="D887" s="58"/>
      <c r="E887" s="58"/>
      <c r="F887" s="58"/>
      <c r="G887" s="58"/>
      <c r="H887" s="59"/>
      <c r="I887" s="59"/>
      <c r="J887" s="59"/>
      <c r="K887" s="59"/>
      <c r="L887" s="59"/>
      <c r="M887" s="60"/>
      <c r="N887" s="60"/>
      <c r="O887" s="60"/>
      <c r="P887" s="59"/>
      <c r="Q887" s="59"/>
      <c r="R887" s="60"/>
      <c r="S887" s="60"/>
      <c r="T887" s="60"/>
      <c r="U887" s="60"/>
      <c r="V887" s="60"/>
      <c r="W887" s="60"/>
    </row>
    <row r="888" spans="1:23" ht="13" x14ac:dyDescent="0.3">
      <c r="A888" s="58"/>
      <c r="B888" s="58"/>
      <c r="C888" s="58"/>
      <c r="D888" s="58"/>
      <c r="E888" s="58"/>
      <c r="F888" s="58"/>
      <c r="G888" s="58"/>
      <c r="H888" s="59"/>
      <c r="I888" s="59"/>
      <c r="J888" s="59"/>
      <c r="K888" s="59"/>
      <c r="L888" s="59"/>
      <c r="M888" s="60"/>
      <c r="N888" s="60"/>
      <c r="O888" s="60"/>
      <c r="P888" s="59"/>
      <c r="Q888" s="59"/>
      <c r="R888" s="60"/>
      <c r="S888" s="60"/>
      <c r="T888" s="60"/>
      <c r="U888" s="60"/>
      <c r="V888" s="60"/>
      <c r="W888" s="60"/>
    </row>
    <row r="889" spans="1:23" ht="13" x14ac:dyDescent="0.3">
      <c r="A889" s="58"/>
      <c r="B889" s="58"/>
      <c r="C889" s="58"/>
      <c r="D889" s="58"/>
      <c r="E889" s="58"/>
      <c r="F889" s="58"/>
      <c r="G889" s="58"/>
      <c r="H889" s="59"/>
      <c r="I889" s="59"/>
      <c r="J889" s="59"/>
      <c r="K889" s="59"/>
      <c r="L889" s="59"/>
      <c r="M889" s="60"/>
      <c r="N889" s="60"/>
      <c r="O889" s="60"/>
      <c r="P889" s="59"/>
      <c r="Q889" s="59"/>
      <c r="R889" s="60"/>
      <c r="S889" s="60"/>
      <c r="T889" s="60"/>
      <c r="U889" s="60"/>
      <c r="V889" s="60"/>
      <c r="W889" s="60"/>
    </row>
    <row r="890" spans="1:23" ht="13" x14ac:dyDescent="0.3">
      <c r="A890" s="58"/>
      <c r="B890" s="58"/>
      <c r="C890" s="58"/>
      <c r="D890" s="58"/>
      <c r="E890" s="58"/>
      <c r="F890" s="58"/>
      <c r="G890" s="58"/>
      <c r="H890" s="59"/>
      <c r="I890" s="59"/>
      <c r="J890" s="59"/>
      <c r="K890" s="59"/>
      <c r="L890" s="59"/>
      <c r="M890" s="60"/>
      <c r="N890" s="60"/>
      <c r="O890" s="60"/>
      <c r="P890" s="59"/>
      <c r="Q890" s="59"/>
      <c r="R890" s="60"/>
      <c r="S890" s="60"/>
      <c r="T890" s="60"/>
      <c r="U890" s="60"/>
      <c r="V890" s="60"/>
      <c r="W890" s="60"/>
    </row>
    <row r="891" spans="1:23" ht="13" x14ac:dyDescent="0.3">
      <c r="A891" s="58"/>
      <c r="B891" s="58"/>
      <c r="C891" s="58"/>
      <c r="D891" s="58"/>
      <c r="E891" s="58"/>
      <c r="F891" s="58"/>
      <c r="G891" s="58"/>
      <c r="H891" s="59"/>
      <c r="I891" s="59"/>
      <c r="J891" s="59"/>
      <c r="K891" s="59"/>
      <c r="L891" s="59"/>
      <c r="M891" s="60"/>
      <c r="N891" s="60"/>
      <c r="O891" s="60"/>
      <c r="P891" s="59"/>
      <c r="Q891" s="59"/>
      <c r="R891" s="60"/>
      <c r="S891" s="60"/>
      <c r="T891" s="60"/>
      <c r="U891" s="60"/>
      <c r="V891" s="60"/>
      <c r="W891" s="60"/>
    </row>
    <row r="892" spans="1:23" ht="13" x14ac:dyDescent="0.3">
      <c r="A892" s="58"/>
      <c r="B892" s="58"/>
      <c r="C892" s="58"/>
      <c r="D892" s="58"/>
      <c r="E892" s="58"/>
      <c r="F892" s="58"/>
      <c r="G892" s="58"/>
      <c r="H892" s="59"/>
      <c r="I892" s="59"/>
      <c r="J892" s="59"/>
      <c r="K892" s="59"/>
      <c r="L892" s="59"/>
      <c r="M892" s="60"/>
      <c r="N892" s="60"/>
      <c r="O892" s="60"/>
      <c r="P892" s="59"/>
      <c r="Q892" s="59"/>
      <c r="R892" s="60"/>
      <c r="S892" s="60"/>
      <c r="T892" s="60"/>
      <c r="U892" s="60"/>
      <c r="V892" s="60"/>
      <c r="W892" s="60"/>
    </row>
    <row r="893" spans="1:23" ht="13" x14ac:dyDescent="0.3">
      <c r="A893" s="58"/>
      <c r="B893" s="58"/>
      <c r="C893" s="58"/>
      <c r="D893" s="58"/>
      <c r="E893" s="58"/>
      <c r="F893" s="58"/>
      <c r="G893" s="58"/>
      <c r="H893" s="59"/>
      <c r="I893" s="59"/>
      <c r="J893" s="59"/>
      <c r="K893" s="59"/>
      <c r="L893" s="59"/>
      <c r="M893" s="60"/>
      <c r="N893" s="60"/>
      <c r="O893" s="60"/>
      <c r="P893" s="59"/>
      <c r="Q893" s="59"/>
      <c r="R893" s="60"/>
      <c r="S893" s="60"/>
      <c r="T893" s="60"/>
      <c r="U893" s="60"/>
      <c r="V893" s="60"/>
      <c r="W893" s="60"/>
    </row>
    <row r="894" spans="1:23" ht="13" x14ac:dyDescent="0.3">
      <c r="A894" s="58"/>
      <c r="B894" s="58"/>
      <c r="C894" s="58"/>
      <c r="D894" s="58"/>
      <c r="E894" s="58"/>
      <c r="F894" s="58"/>
      <c r="G894" s="58"/>
      <c r="H894" s="59"/>
      <c r="I894" s="59"/>
      <c r="J894" s="59"/>
      <c r="K894" s="59"/>
      <c r="L894" s="59"/>
      <c r="M894" s="60"/>
      <c r="N894" s="60"/>
      <c r="O894" s="60"/>
      <c r="P894" s="59"/>
      <c r="Q894" s="59"/>
      <c r="R894" s="60"/>
      <c r="S894" s="60"/>
      <c r="T894" s="60"/>
      <c r="U894" s="60"/>
      <c r="V894" s="60"/>
      <c r="W894" s="60"/>
    </row>
    <row r="895" spans="1:23" ht="13" x14ac:dyDescent="0.3">
      <c r="A895" s="58"/>
      <c r="B895" s="58"/>
      <c r="C895" s="58"/>
      <c r="D895" s="58"/>
      <c r="E895" s="58"/>
      <c r="F895" s="58"/>
      <c r="G895" s="58"/>
      <c r="H895" s="59"/>
      <c r="I895" s="59"/>
      <c r="J895" s="59"/>
      <c r="K895" s="59"/>
      <c r="L895" s="59"/>
      <c r="M895" s="60"/>
      <c r="N895" s="60"/>
      <c r="O895" s="60"/>
      <c r="P895" s="59"/>
      <c r="Q895" s="59"/>
      <c r="R895" s="60"/>
      <c r="S895" s="60"/>
      <c r="T895" s="60"/>
      <c r="U895" s="60"/>
      <c r="V895" s="60"/>
      <c r="W895" s="60"/>
    </row>
    <row r="896" spans="1:23" ht="13" x14ac:dyDescent="0.3">
      <c r="A896" s="58"/>
      <c r="B896" s="58"/>
      <c r="C896" s="58"/>
      <c r="D896" s="58"/>
      <c r="E896" s="58"/>
      <c r="F896" s="58"/>
      <c r="G896" s="58"/>
      <c r="H896" s="59"/>
      <c r="I896" s="59"/>
      <c r="J896" s="59"/>
      <c r="K896" s="59"/>
      <c r="L896" s="59"/>
      <c r="M896" s="60"/>
      <c r="N896" s="60"/>
      <c r="O896" s="60"/>
      <c r="P896" s="59"/>
      <c r="Q896" s="59"/>
      <c r="R896" s="60"/>
      <c r="S896" s="60"/>
      <c r="T896" s="60"/>
      <c r="U896" s="60"/>
      <c r="V896" s="60"/>
      <c r="W896" s="60"/>
    </row>
    <row r="897" spans="1:23" ht="13" x14ac:dyDescent="0.3">
      <c r="A897" s="58"/>
      <c r="B897" s="58"/>
      <c r="C897" s="58"/>
      <c r="D897" s="58"/>
      <c r="E897" s="58"/>
      <c r="F897" s="58"/>
      <c r="G897" s="58"/>
      <c r="H897" s="59"/>
      <c r="I897" s="59"/>
      <c r="J897" s="59"/>
      <c r="K897" s="59"/>
      <c r="L897" s="59"/>
      <c r="M897" s="60"/>
      <c r="N897" s="60"/>
      <c r="O897" s="60"/>
      <c r="P897" s="59"/>
      <c r="Q897" s="59"/>
      <c r="R897" s="60"/>
      <c r="S897" s="60"/>
      <c r="T897" s="60"/>
      <c r="U897" s="60"/>
      <c r="V897" s="60"/>
      <c r="W897" s="60"/>
    </row>
    <row r="898" spans="1:23" ht="13" x14ac:dyDescent="0.3">
      <c r="A898" s="58"/>
      <c r="B898" s="58"/>
      <c r="C898" s="58"/>
      <c r="D898" s="58"/>
      <c r="E898" s="58"/>
      <c r="F898" s="58"/>
      <c r="G898" s="58"/>
      <c r="H898" s="59"/>
      <c r="I898" s="59"/>
      <c r="J898" s="59"/>
      <c r="K898" s="59"/>
      <c r="L898" s="59"/>
      <c r="M898" s="60"/>
      <c r="N898" s="60"/>
      <c r="O898" s="60"/>
      <c r="P898" s="59"/>
      <c r="Q898" s="59"/>
      <c r="R898" s="60"/>
      <c r="S898" s="60"/>
      <c r="T898" s="60"/>
      <c r="U898" s="60"/>
      <c r="V898" s="60"/>
      <c r="W898" s="60"/>
    </row>
    <row r="899" spans="1:23" ht="13" x14ac:dyDescent="0.3">
      <c r="A899" s="58"/>
      <c r="B899" s="58"/>
      <c r="C899" s="58"/>
      <c r="D899" s="58"/>
      <c r="E899" s="58"/>
      <c r="F899" s="58"/>
      <c r="G899" s="58"/>
      <c r="H899" s="59"/>
      <c r="I899" s="59"/>
      <c r="J899" s="59"/>
      <c r="K899" s="59"/>
      <c r="L899" s="59"/>
      <c r="M899" s="60"/>
      <c r="N899" s="60"/>
      <c r="O899" s="60"/>
      <c r="P899" s="59"/>
      <c r="Q899" s="59"/>
      <c r="R899" s="60"/>
      <c r="S899" s="60"/>
      <c r="T899" s="60"/>
      <c r="U899" s="60"/>
      <c r="V899" s="60"/>
      <c r="W899" s="60"/>
    </row>
    <row r="900" spans="1:23" ht="13" x14ac:dyDescent="0.3">
      <c r="A900" s="58"/>
      <c r="B900" s="58"/>
      <c r="C900" s="58"/>
      <c r="D900" s="58"/>
      <c r="E900" s="58"/>
      <c r="F900" s="58"/>
      <c r="G900" s="58"/>
      <c r="H900" s="59"/>
      <c r="I900" s="59"/>
      <c r="J900" s="59"/>
      <c r="K900" s="59"/>
      <c r="L900" s="59"/>
      <c r="M900" s="60"/>
      <c r="N900" s="60"/>
      <c r="O900" s="60"/>
      <c r="P900" s="59"/>
      <c r="Q900" s="59"/>
      <c r="R900" s="60"/>
      <c r="S900" s="60"/>
      <c r="T900" s="60"/>
      <c r="U900" s="60"/>
      <c r="V900" s="60"/>
      <c r="W900" s="60"/>
    </row>
    <row r="901" spans="1:23" ht="13" x14ac:dyDescent="0.3">
      <c r="A901" s="58"/>
      <c r="B901" s="58"/>
      <c r="C901" s="58"/>
      <c r="D901" s="58"/>
      <c r="E901" s="58"/>
      <c r="F901" s="58"/>
      <c r="G901" s="58"/>
      <c r="H901" s="59"/>
      <c r="I901" s="59"/>
      <c r="J901" s="59"/>
      <c r="K901" s="59"/>
      <c r="L901" s="59"/>
      <c r="M901" s="60"/>
      <c r="N901" s="60"/>
      <c r="O901" s="60"/>
      <c r="P901" s="59"/>
      <c r="Q901" s="59"/>
      <c r="R901" s="60"/>
      <c r="S901" s="60"/>
      <c r="T901" s="60"/>
      <c r="U901" s="60"/>
      <c r="V901" s="60"/>
      <c r="W901" s="60"/>
    </row>
    <row r="902" spans="1:23" ht="13" x14ac:dyDescent="0.3">
      <c r="A902" s="58"/>
      <c r="B902" s="58"/>
      <c r="C902" s="58"/>
      <c r="D902" s="58"/>
      <c r="E902" s="58"/>
      <c r="F902" s="58"/>
      <c r="G902" s="58"/>
      <c r="H902" s="59"/>
      <c r="I902" s="59"/>
      <c r="J902" s="59"/>
      <c r="K902" s="59"/>
      <c r="L902" s="59"/>
      <c r="M902" s="60"/>
      <c r="N902" s="60"/>
      <c r="O902" s="60"/>
      <c r="P902" s="59"/>
      <c r="Q902" s="59"/>
      <c r="R902" s="60"/>
      <c r="S902" s="60"/>
      <c r="T902" s="60"/>
      <c r="U902" s="60"/>
      <c r="V902" s="60"/>
      <c r="W902" s="60"/>
    </row>
    <row r="903" spans="1:23" ht="13" x14ac:dyDescent="0.3">
      <c r="A903" s="58"/>
      <c r="B903" s="58"/>
      <c r="C903" s="58"/>
      <c r="D903" s="58"/>
      <c r="E903" s="58"/>
      <c r="F903" s="58"/>
      <c r="G903" s="58"/>
      <c r="H903" s="59"/>
      <c r="I903" s="59"/>
      <c r="J903" s="59"/>
      <c r="K903" s="59"/>
      <c r="L903" s="59"/>
      <c r="M903" s="60"/>
      <c r="N903" s="60"/>
      <c r="O903" s="60"/>
      <c r="P903" s="59"/>
      <c r="Q903" s="59"/>
      <c r="R903" s="60"/>
      <c r="S903" s="60"/>
      <c r="T903" s="60"/>
      <c r="U903" s="60"/>
      <c r="V903" s="60"/>
      <c r="W903" s="60"/>
    </row>
    <row r="904" spans="1:23" ht="13" x14ac:dyDescent="0.3">
      <c r="A904" s="58"/>
      <c r="B904" s="58"/>
      <c r="C904" s="58"/>
      <c r="D904" s="58"/>
      <c r="E904" s="58"/>
      <c r="F904" s="58"/>
      <c r="G904" s="58"/>
      <c r="H904" s="59"/>
      <c r="I904" s="59"/>
      <c r="J904" s="59"/>
      <c r="K904" s="59"/>
      <c r="L904" s="59"/>
      <c r="M904" s="60"/>
      <c r="N904" s="60"/>
      <c r="O904" s="60"/>
      <c r="P904" s="59"/>
      <c r="Q904" s="59"/>
      <c r="R904" s="60"/>
      <c r="S904" s="60"/>
      <c r="T904" s="60"/>
      <c r="U904" s="60"/>
      <c r="V904" s="60"/>
      <c r="W904" s="60"/>
    </row>
    <row r="905" spans="1:23" ht="13" x14ac:dyDescent="0.3">
      <c r="A905" s="58"/>
      <c r="B905" s="58"/>
      <c r="C905" s="58"/>
      <c r="D905" s="58"/>
      <c r="E905" s="58"/>
      <c r="F905" s="58"/>
      <c r="G905" s="58"/>
      <c r="H905" s="59"/>
      <c r="I905" s="59"/>
      <c r="J905" s="59"/>
      <c r="K905" s="59"/>
      <c r="L905" s="59"/>
      <c r="M905" s="60"/>
      <c r="N905" s="60"/>
      <c r="O905" s="60"/>
      <c r="P905" s="59"/>
      <c r="Q905" s="59"/>
      <c r="R905" s="60"/>
      <c r="S905" s="60"/>
      <c r="T905" s="60"/>
      <c r="U905" s="60"/>
      <c r="V905" s="60"/>
      <c r="W905" s="60"/>
    </row>
    <row r="906" spans="1:23" ht="13" x14ac:dyDescent="0.3">
      <c r="A906" s="58"/>
      <c r="B906" s="58"/>
      <c r="C906" s="58"/>
      <c r="D906" s="58"/>
      <c r="E906" s="58"/>
      <c r="F906" s="58"/>
      <c r="G906" s="58"/>
      <c r="H906" s="59"/>
      <c r="I906" s="59"/>
      <c r="J906" s="59"/>
      <c r="K906" s="59"/>
      <c r="L906" s="59"/>
      <c r="M906" s="60"/>
      <c r="N906" s="60"/>
      <c r="O906" s="60"/>
      <c r="P906" s="59"/>
      <c r="Q906" s="59"/>
      <c r="R906" s="60"/>
      <c r="S906" s="60"/>
      <c r="T906" s="60"/>
      <c r="U906" s="60"/>
      <c r="V906" s="60"/>
      <c r="W906" s="60"/>
    </row>
    <row r="907" spans="1:23" ht="13" x14ac:dyDescent="0.3">
      <c r="A907" s="58"/>
      <c r="B907" s="58"/>
      <c r="C907" s="58"/>
      <c r="D907" s="58"/>
      <c r="E907" s="58"/>
      <c r="F907" s="58"/>
      <c r="G907" s="58"/>
      <c r="H907" s="59"/>
      <c r="I907" s="59"/>
      <c r="J907" s="59"/>
      <c r="K907" s="59"/>
      <c r="L907" s="59"/>
      <c r="M907" s="60"/>
      <c r="N907" s="60"/>
      <c r="O907" s="60"/>
      <c r="P907" s="59"/>
      <c r="Q907" s="59"/>
      <c r="R907" s="60"/>
      <c r="S907" s="60"/>
      <c r="T907" s="60"/>
      <c r="U907" s="60"/>
      <c r="V907" s="60"/>
      <c r="W907" s="60"/>
    </row>
    <row r="908" spans="1:23" ht="13" x14ac:dyDescent="0.3">
      <c r="A908" s="58"/>
      <c r="B908" s="58"/>
      <c r="C908" s="58"/>
      <c r="D908" s="58"/>
      <c r="E908" s="58"/>
      <c r="F908" s="58"/>
      <c r="G908" s="58"/>
      <c r="H908" s="59"/>
      <c r="I908" s="59"/>
      <c r="J908" s="59"/>
      <c r="K908" s="59"/>
      <c r="L908" s="59"/>
      <c r="M908" s="60"/>
      <c r="N908" s="60"/>
      <c r="O908" s="60"/>
      <c r="P908" s="59"/>
      <c r="Q908" s="59"/>
      <c r="R908" s="60"/>
      <c r="S908" s="60"/>
      <c r="T908" s="60"/>
      <c r="U908" s="60"/>
      <c r="V908" s="60"/>
      <c r="W908" s="60"/>
    </row>
    <row r="909" spans="1:23" ht="13" x14ac:dyDescent="0.3">
      <c r="A909" s="58"/>
      <c r="B909" s="58"/>
      <c r="C909" s="58"/>
      <c r="D909" s="58"/>
      <c r="E909" s="58"/>
      <c r="F909" s="58"/>
      <c r="G909" s="58"/>
      <c r="H909" s="59"/>
      <c r="I909" s="59"/>
      <c r="J909" s="59"/>
      <c r="K909" s="59"/>
      <c r="L909" s="59"/>
      <c r="M909" s="60"/>
      <c r="N909" s="60"/>
      <c r="O909" s="60"/>
      <c r="P909" s="59"/>
      <c r="Q909" s="59"/>
      <c r="R909" s="60"/>
      <c r="S909" s="60"/>
      <c r="T909" s="60"/>
      <c r="U909" s="60"/>
      <c r="V909" s="60"/>
      <c r="W909" s="60"/>
    </row>
    <row r="910" spans="1:23" ht="13" x14ac:dyDescent="0.3">
      <c r="A910" s="58"/>
      <c r="B910" s="58"/>
      <c r="C910" s="58"/>
      <c r="D910" s="58"/>
      <c r="E910" s="58"/>
      <c r="F910" s="58"/>
      <c r="G910" s="58"/>
      <c r="H910" s="59"/>
      <c r="I910" s="59"/>
      <c r="J910" s="59"/>
      <c r="K910" s="59"/>
      <c r="L910" s="59"/>
      <c r="M910" s="60"/>
      <c r="N910" s="60"/>
      <c r="O910" s="60"/>
      <c r="P910" s="59"/>
      <c r="Q910" s="59"/>
      <c r="R910" s="60"/>
      <c r="S910" s="60"/>
      <c r="T910" s="60"/>
      <c r="U910" s="60"/>
      <c r="V910" s="60"/>
      <c r="W910" s="60"/>
    </row>
    <row r="911" spans="1:23" ht="13" x14ac:dyDescent="0.3">
      <c r="A911" s="58"/>
      <c r="B911" s="58"/>
      <c r="C911" s="58"/>
      <c r="D911" s="58"/>
      <c r="E911" s="58"/>
      <c r="F911" s="58"/>
      <c r="G911" s="58"/>
      <c r="H911" s="59"/>
      <c r="I911" s="59"/>
      <c r="J911" s="59"/>
      <c r="K911" s="59"/>
      <c r="L911" s="59"/>
      <c r="M911" s="60"/>
      <c r="N911" s="60"/>
      <c r="O911" s="60"/>
      <c r="P911" s="59"/>
      <c r="Q911" s="59"/>
      <c r="R911" s="60"/>
      <c r="S911" s="60"/>
      <c r="T911" s="60"/>
      <c r="U911" s="60"/>
      <c r="V911" s="60"/>
      <c r="W911" s="60"/>
    </row>
    <row r="912" spans="1:23" ht="13" x14ac:dyDescent="0.3">
      <c r="A912" s="58"/>
      <c r="B912" s="58"/>
      <c r="C912" s="58"/>
      <c r="D912" s="58"/>
      <c r="E912" s="58"/>
      <c r="F912" s="58"/>
      <c r="G912" s="58"/>
      <c r="H912" s="59"/>
      <c r="I912" s="59"/>
      <c r="J912" s="59"/>
      <c r="K912" s="59"/>
      <c r="L912" s="59"/>
      <c r="M912" s="60"/>
      <c r="N912" s="60"/>
      <c r="O912" s="60"/>
      <c r="P912" s="59"/>
      <c r="Q912" s="59"/>
      <c r="R912" s="60"/>
      <c r="S912" s="60"/>
      <c r="T912" s="60"/>
      <c r="U912" s="60"/>
      <c r="V912" s="60"/>
      <c r="W912" s="60"/>
    </row>
    <row r="913" spans="1:23" ht="13" x14ac:dyDescent="0.3">
      <c r="A913" s="58"/>
      <c r="B913" s="58"/>
      <c r="C913" s="58"/>
      <c r="D913" s="58"/>
      <c r="E913" s="58"/>
      <c r="F913" s="58"/>
      <c r="G913" s="58"/>
      <c r="H913" s="59"/>
      <c r="I913" s="59"/>
      <c r="J913" s="59"/>
      <c r="K913" s="59"/>
      <c r="L913" s="59"/>
      <c r="M913" s="60"/>
      <c r="N913" s="60"/>
      <c r="O913" s="60"/>
      <c r="P913" s="59"/>
      <c r="Q913" s="59"/>
      <c r="R913" s="60"/>
      <c r="S913" s="60"/>
      <c r="T913" s="60"/>
      <c r="U913" s="60"/>
      <c r="V913" s="60"/>
      <c r="W913" s="60"/>
    </row>
    <row r="914" spans="1:23" ht="13" x14ac:dyDescent="0.3">
      <c r="A914" s="58"/>
      <c r="B914" s="58"/>
      <c r="C914" s="58"/>
      <c r="D914" s="58"/>
      <c r="E914" s="58"/>
      <c r="F914" s="58"/>
      <c r="G914" s="58"/>
      <c r="H914" s="59"/>
      <c r="I914" s="59"/>
      <c r="J914" s="59"/>
      <c r="K914" s="59"/>
      <c r="L914" s="59"/>
      <c r="M914" s="60"/>
      <c r="N914" s="60"/>
      <c r="O914" s="60"/>
      <c r="P914" s="59"/>
      <c r="Q914" s="59"/>
      <c r="R914" s="60"/>
      <c r="S914" s="60"/>
      <c r="T914" s="60"/>
      <c r="U914" s="60"/>
      <c r="V914" s="60"/>
      <c r="W914" s="60"/>
    </row>
    <row r="915" spans="1:23" ht="13" x14ac:dyDescent="0.3">
      <c r="A915" s="58"/>
      <c r="B915" s="58"/>
      <c r="C915" s="58"/>
      <c r="D915" s="58"/>
      <c r="E915" s="58"/>
      <c r="F915" s="58"/>
      <c r="G915" s="58"/>
      <c r="H915" s="59"/>
      <c r="I915" s="59"/>
      <c r="J915" s="59"/>
      <c r="K915" s="59"/>
      <c r="L915" s="59"/>
      <c r="M915" s="60"/>
      <c r="N915" s="60"/>
      <c r="O915" s="60"/>
      <c r="P915" s="59"/>
      <c r="Q915" s="59"/>
      <c r="R915" s="60"/>
      <c r="S915" s="60"/>
      <c r="T915" s="60"/>
      <c r="U915" s="60"/>
      <c r="V915" s="60"/>
      <c r="W915" s="60"/>
    </row>
    <row r="916" spans="1:23" ht="13" x14ac:dyDescent="0.3">
      <c r="A916" s="58"/>
      <c r="B916" s="58"/>
      <c r="C916" s="58"/>
      <c r="D916" s="58"/>
      <c r="E916" s="58"/>
      <c r="F916" s="58"/>
      <c r="G916" s="58"/>
      <c r="H916" s="59"/>
      <c r="I916" s="59"/>
      <c r="J916" s="59"/>
      <c r="K916" s="59"/>
      <c r="L916" s="59"/>
      <c r="M916" s="60"/>
      <c r="N916" s="60"/>
      <c r="O916" s="60"/>
      <c r="P916" s="59"/>
      <c r="Q916" s="59"/>
      <c r="R916" s="60"/>
      <c r="S916" s="60"/>
      <c r="T916" s="60"/>
      <c r="U916" s="60"/>
      <c r="V916" s="60"/>
      <c r="W916" s="60"/>
    </row>
    <row r="917" spans="1:23" ht="13" x14ac:dyDescent="0.3">
      <c r="A917" s="58"/>
      <c r="B917" s="58"/>
      <c r="C917" s="58"/>
      <c r="D917" s="58"/>
      <c r="E917" s="58"/>
      <c r="F917" s="58"/>
      <c r="G917" s="58"/>
      <c r="H917" s="59"/>
      <c r="I917" s="59"/>
      <c r="J917" s="59"/>
      <c r="K917" s="59"/>
      <c r="L917" s="59"/>
      <c r="M917" s="60"/>
      <c r="N917" s="60"/>
      <c r="O917" s="60"/>
      <c r="P917" s="59"/>
      <c r="Q917" s="59"/>
      <c r="R917" s="60"/>
      <c r="S917" s="60"/>
      <c r="T917" s="60"/>
      <c r="U917" s="60"/>
      <c r="V917" s="60"/>
      <c r="W917" s="60"/>
    </row>
    <row r="918" spans="1:23" ht="13" x14ac:dyDescent="0.3">
      <c r="A918" s="58"/>
      <c r="B918" s="58"/>
      <c r="C918" s="58"/>
      <c r="D918" s="58"/>
      <c r="E918" s="58"/>
      <c r="F918" s="58"/>
      <c r="G918" s="58"/>
      <c r="H918" s="59"/>
      <c r="I918" s="59"/>
      <c r="J918" s="59"/>
      <c r="K918" s="59"/>
      <c r="L918" s="59"/>
      <c r="M918" s="60"/>
      <c r="N918" s="60"/>
      <c r="O918" s="60"/>
      <c r="P918" s="59"/>
      <c r="Q918" s="59"/>
      <c r="R918" s="60"/>
      <c r="S918" s="60"/>
      <c r="T918" s="60"/>
      <c r="U918" s="60"/>
      <c r="V918" s="60"/>
      <c r="W918" s="60"/>
    </row>
    <row r="919" spans="1:23" ht="13" x14ac:dyDescent="0.3">
      <c r="A919" s="58"/>
      <c r="B919" s="58"/>
      <c r="C919" s="58"/>
      <c r="D919" s="58"/>
      <c r="E919" s="58"/>
      <c r="F919" s="58"/>
      <c r="G919" s="58"/>
      <c r="H919" s="59"/>
      <c r="I919" s="59"/>
      <c r="J919" s="59"/>
      <c r="K919" s="59"/>
      <c r="L919" s="59"/>
      <c r="M919" s="60"/>
      <c r="N919" s="60"/>
      <c r="O919" s="60"/>
      <c r="P919" s="59"/>
      <c r="Q919" s="59"/>
      <c r="R919" s="60"/>
      <c r="S919" s="60"/>
      <c r="T919" s="60"/>
      <c r="U919" s="60"/>
      <c r="V919" s="60"/>
      <c r="W919" s="60"/>
    </row>
    <row r="920" spans="1:23" ht="13" x14ac:dyDescent="0.3">
      <c r="A920" s="58"/>
      <c r="B920" s="58"/>
      <c r="C920" s="58"/>
      <c r="D920" s="58"/>
      <c r="E920" s="58"/>
      <c r="F920" s="58"/>
      <c r="G920" s="58"/>
      <c r="H920" s="59"/>
      <c r="I920" s="59"/>
      <c r="J920" s="59"/>
      <c r="K920" s="59"/>
      <c r="L920" s="59"/>
      <c r="M920" s="60"/>
      <c r="N920" s="60"/>
      <c r="O920" s="60"/>
      <c r="P920" s="59"/>
      <c r="Q920" s="59"/>
      <c r="R920" s="60"/>
      <c r="S920" s="60"/>
      <c r="T920" s="60"/>
      <c r="U920" s="60"/>
      <c r="V920" s="60"/>
      <c r="W920" s="60"/>
    </row>
    <row r="921" spans="1:23" ht="13" x14ac:dyDescent="0.3">
      <c r="A921" s="58"/>
      <c r="B921" s="58"/>
      <c r="C921" s="58"/>
      <c r="D921" s="58"/>
      <c r="E921" s="58"/>
      <c r="F921" s="58"/>
      <c r="G921" s="58"/>
      <c r="H921" s="59"/>
      <c r="I921" s="59"/>
      <c r="J921" s="59"/>
      <c r="K921" s="59"/>
      <c r="L921" s="59"/>
      <c r="M921" s="60"/>
      <c r="N921" s="60"/>
      <c r="O921" s="60"/>
      <c r="P921" s="59"/>
      <c r="Q921" s="59"/>
      <c r="R921" s="60"/>
      <c r="S921" s="60"/>
      <c r="T921" s="60"/>
      <c r="U921" s="60"/>
      <c r="V921" s="60"/>
      <c r="W921" s="60"/>
    </row>
    <row r="922" spans="1:23" ht="13" x14ac:dyDescent="0.3">
      <c r="A922" s="58"/>
      <c r="B922" s="58"/>
      <c r="C922" s="58"/>
      <c r="D922" s="58"/>
      <c r="E922" s="58"/>
      <c r="F922" s="58"/>
      <c r="G922" s="58"/>
      <c r="H922" s="59"/>
      <c r="I922" s="59"/>
      <c r="J922" s="59"/>
      <c r="K922" s="59"/>
      <c r="L922" s="59"/>
      <c r="M922" s="60"/>
      <c r="N922" s="60"/>
      <c r="O922" s="60"/>
      <c r="P922" s="59"/>
      <c r="Q922" s="59"/>
      <c r="R922" s="60"/>
      <c r="S922" s="60"/>
      <c r="T922" s="60"/>
      <c r="U922" s="60"/>
      <c r="V922" s="60"/>
      <c r="W922" s="60"/>
    </row>
    <row r="923" spans="1:23" ht="13" x14ac:dyDescent="0.3">
      <c r="A923" s="58"/>
      <c r="B923" s="58"/>
      <c r="C923" s="58"/>
      <c r="D923" s="58"/>
      <c r="E923" s="58"/>
      <c r="F923" s="58"/>
      <c r="G923" s="58"/>
      <c r="H923" s="59"/>
      <c r="I923" s="59"/>
      <c r="J923" s="59"/>
      <c r="K923" s="59"/>
      <c r="L923" s="59"/>
      <c r="M923" s="60"/>
      <c r="N923" s="60"/>
      <c r="O923" s="60"/>
      <c r="P923" s="59"/>
      <c r="Q923" s="59"/>
      <c r="R923" s="60"/>
      <c r="S923" s="60"/>
      <c r="T923" s="60"/>
      <c r="U923" s="60"/>
      <c r="V923" s="60"/>
      <c r="W923" s="60"/>
    </row>
    <row r="924" spans="1:23" ht="13" x14ac:dyDescent="0.3">
      <c r="A924" s="58"/>
      <c r="B924" s="58"/>
      <c r="C924" s="58"/>
      <c r="D924" s="58"/>
      <c r="E924" s="58"/>
      <c r="F924" s="58"/>
      <c r="G924" s="58"/>
      <c r="H924" s="59"/>
      <c r="I924" s="59"/>
      <c r="J924" s="59"/>
      <c r="K924" s="59"/>
      <c r="L924" s="59"/>
      <c r="M924" s="60"/>
      <c r="N924" s="60"/>
      <c r="O924" s="60"/>
      <c r="P924" s="59"/>
      <c r="Q924" s="59"/>
      <c r="R924" s="60"/>
      <c r="S924" s="60"/>
      <c r="T924" s="60"/>
      <c r="U924" s="60"/>
      <c r="V924" s="60"/>
      <c r="W924" s="60"/>
    </row>
    <row r="925" spans="1:23" ht="13" x14ac:dyDescent="0.3">
      <c r="A925" s="58"/>
      <c r="B925" s="58"/>
      <c r="C925" s="58"/>
      <c r="D925" s="58"/>
      <c r="E925" s="58"/>
      <c r="F925" s="58"/>
      <c r="G925" s="58"/>
      <c r="H925" s="59"/>
      <c r="I925" s="59"/>
      <c r="J925" s="59"/>
      <c r="K925" s="59"/>
      <c r="L925" s="59"/>
      <c r="M925" s="60"/>
      <c r="N925" s="60"/>
      <c r="O925" s="60"/>
      <c r="P925" s="59"/>
      <c r="Q925" s="59"/>
      <c r="R925" s="60"/>
      <c r="S925" s="60"/>
      <c r="T925" s="60"/>
      <c r="U925" s="60"/>
      <c r="V925" s="60"/>
      <c r="W925" s="60"/>
    </row>
    <row r="926" spans="1:23" ht="13" x14ac:dyDescent="0.3">
      <c r="A926" s="58"/>
      <c r="B926" s="58"/>
      <c r="C926" s="58"/>
      <c r="D926" s="58"/>
      <c r="E926" s="58"/>
      <c r="F926" s="58"/>
      <c r="G926" s="58"/>
      <c r="H926" s="59"/>
      <c r="I926" s="59"/>
      <c r="J926" s="59"/>
      <c r="K926" s="59"/>
      <c r="L926" s="59"/>
      <c r="M926" s="60"/>
      <c r="N926" s="60"/>
      <c r="O926" s="60"/>
      <c r="P926" s="59"/>
      <c r="Q926" s="59"/>
      <c r="R926" s="60"/>
      <c r="S926" s="60"/>
      <c r="T926" s="60"/>
      <c r="U926" s="60"/>
      <c r="V926" s="60"/>
      <c r="W926" s="60"/>
    </row>
    <row r="927" spans="1:23" ht="13" x14ac:dyDescent="0.3">
      <c r="A927" s="58"/>
      <c r="B927" s="58"/>
      <c r="C927" s="58"/>
      <c r="D927" s="58"/>
      <c r="E927" s="58"/>
      <c r="F927" s="58"/>
      <c r="G927" s="58"/>
      <c r="H927" s="59"/>
      <c r="I927" s="59"/>
      <c r="J927" s="59"/>
      <c r="K927" s="59"/>
      <c r="L927" s="59"/>
      <c r="M927" s="60"/>
      <c r="N927" s="60"/>
      <c r="O927" s="60"/>
      <c r="P927" s="59"/>
      <c r="Q927" s="59"/>
      <c r="R927" s="60"/>
      <c r="S927" s="60"/>
      <c r="T927" s="60"/>
      <c r="U927" s="60"/>
      <c r="V927" s="60"/>
      <c r="W927" s="60"/>
    </row>
    <row r="928" spans="1:23" ht="13" x14ac:dyDescent="0.3">
      <c r="A928" s="58"/>
      <c r="B928" s="58"/>
      <c r="C928" s="58"/>
      <c r="D928" s="58"/>
      <c r="E928" s="58"/>
      <c r="F928" s="58"/>
      <c r="G928" s="58"/>
      <c r="H928" s="59"/>
      <c r="I928" s="59"/>
      <c r="J928" s="59"/>
      <c r="K928" s="59"/>
      <c r="L928" s="59"/>
      <c r="M928" s="60"/>
      <c r="N928" s="60"/>
      <c r="O928" s="60"/>
      <c r="P928" s="59"/>
      <c r="Q928" s="59"/>
      <c r="R928" s="60"/>
      <c r="S928" s="60"/>
      <c r="T928" s="60"/>
      <c r="U928" s="60"/>
      <c r="V928" s="60"/>
      <c r="W928" s="60"/>
    </row>
    <row r="929" spans="1:23" ht="13" x14ac:dyDescent="0.3">
      <c r="A929" s="58"/>
      <c r="B929" s="58"/>
      <c r="C929" s="58"/>
      <c r="D929" s="58"/>
      <c r="E929" s="58"/>
      <c r="F929" s="58"/>
      <c r="G929" s="58"/>
      <c r="H929" s="59"/>
      <c r="I929" s="59"/>
      <c r="J929" s="59"/>
      <c r="K929" s="59"/>
      <c r="L929" s="59"/>
      <c r="M929" s="60"/>
      <c r="N929" s="60"/>
      <c r="O929" s="60"/>
      <c r="P929" s="59"/>
      <c r="Q929" s="59"/>
      <c r="R929" s="60"/>
      <c r="S929" s="60"/>
      <c r="T929" s="60"/>
      <c r="U929" s="60"/>
      <c r="V929" s="60"/>
      <c r="W929" s="60"/>
    </row>
    <row r="930" spans="1:23" ht="13" x14ac:dyDescent="0.3">
      <c r="A930" s="58"/>
      <c r="B930" s="58"/>
      <c r="C930" s="58"/>
      <c r="D930" s="58"/>
      <c r="E930" s="58"/>
      <c r="F930" s="58"/>
      <c r="G930" s="58"/>
      <c r="H930" s="59"/>
      <c r="I930" s="59"/>
      <c r="J930" s="59"/>
      <c r="K930" s="59"/>
      <c r="L930" s="59"/>
      <c r="M930" s="60"/>
      <c r="N930" s="60"/>
      <c r="O930" s="60"/>
      <c r="P930" s="59"/>
      <c r="Q930" s="59"/>
      <c r="R930" s="60"/>
      <c r="S930" s="60"/>
      <c r="T930" s="60"/>
      <c r="U930" s="60"/>
      <c r="V930" s="60"/>
      <c r="W930" s="60"/>
    </row>
    <row r="931" spans="1:23" ht="13" x14ac:dyDescent="0.3">
      <c r="A931" s="58"/>
      <c r="B931" s="58"/>
      <c r="C931" s="58"/>
      <c r="D931" s="58"/>
      <c r="E931" s="58"/>
      <c r="F931" s="58"/>
      <c r="G931" s="58"/>
      <c r="H931" s="59"/>
      <c r="I931" s="59"/>
      <c r="J931" s="59"/>
      <c r="K931" s="59"/>
      <c r="L931" s="59"/>
      <c r="M931" s="60"/>
      <c r="N931" s="60"/>
      <c r="O931" s="60"/>
      <c r="P931" s="59"/>
      <c r="Q931" s="59"/>
      <c r="R931" s="60"/>
      <c r="S931" s="60"/>
      <c r="T931" s="60"/>
      <c r="U931" s="60"/>
      <c r="V931" s="60"/>
      <c r="W931" s="60"/>
    </row>
    <row r="932" spans="1:23" ht="13" x14ac:dyDescent="0.3">
      <c r="A932" s="58"/>
      <c r="B932" s="58"/>
      <c r="C932" s="58"/>
      <c r="D932" s="58"/>
      <c r="E932" s="58"/>
      <c r="F932" s="58"/>
      <c r="G932" s="58"/>
      <c r="H932" s="59"/>
      <c r="I932" s="59"/>
      <c r="J932" s="59"/>
      <c r="K932" s="59"/>
      <c r="L932" s="59"/>
      <c r="M932" s="60"/>
      <c r="N932" s="60"/>
      <c r="O932" s="60"/>
      <c r="P932" s="59"/>
      <c r="Q932" s="59"/>
      <c r="R932" s="60"/>
      <c r="S932" s="60"/>
      <c r="T932" s="60"/>
      <c r="U932" s="60"/>
      <c r="V932" s="60"/>
      <c r="W932" s="60"/>
    </row>
    <row r="933" spans="1:23" ht="13" x14ac:dyDescent="0.3">
      <c r="A933" s="58"/>
      <c r="B933" s="58"/>
      <c r="C933" s="58"/>
      <c r="D933" s="58"/>
      <c r="E933" s="58"/>
      <c r="F933" s="58"/>
      <c r="G933" s="58"/>
      <c r="H933" s="59"/>
      <c r="I933" s="59"/>
      <c r="J933" s="59"/>
      <c r="K933" s="59"/>
      <c r="L933" s="59"/>
      <c r="M933" s="60"/>
      <c r="N933" s="60"/>
      <c r="O933" s="60"/>
      <c r="P933" s="59"/>
      <c r="Q933" s="59"/>
      <c r="R933" s="60"/>
      <c r="S933" s="60"/>
      <c r="T933" s="60"/>
      <c r="U933" s="60"/>
      <c r="V933" s="60"/>
      <c r="W933" s="60"/>
    </row>
    <row r="934" spans="1:23" ht="13" x14ac:dyDescent="0.3">
      <c r="A934" s="58"/>
      <c r="B934" s="58"/>
      <c r="C934" s="58"/>
      <c r="D934" s="58"/>
      <c r="E934" s="58"/>
      <c r="F934" s="58"/>
      <c r="G934" s="58"/>
      <c r="H934" s="59"/>
      <c r="I934" s="59"/>
      <c r="J934" s="59"/>
      <c r="K934" s="59"/>
      <c r="L934" s="59"/>
      <c r="M934" s="60"/>
      <c r="N934" s="60"/>
      <c r="O934" s="60"/>
      <c r="P934" s="59"/>
      <c r="Q934" s="59"/>
      <c r="R934" s="60"/>
      <c r="S934" s="60"/>
      <c r="T934" s="60"/>
      <c r="U934" s="60"/>
      <c r="V934" s="60"/>
      <c r="W934" s="60"/>
    </row>
    <row r="935" spans="1:23" ht="13" x14ac:dyDescent="0.3">
      <c r="A935" s="58"/>
      <c r="B935" s="58"/>
      <c r="C935" s="58"/>
      <c r="D935" s="58"/>
      <c r="E935" s="58"/>
      <c r="F935" s="58"/>
      <c r="G935" s="58"/>
      <c r="H935" s="59"/>
      <c r="I935" s="59"/>
      <c r="J935" s="59"/>
      <c r="K935" s="59"/>
      <c r="L935" s="59"/>
      <c r="M935" s="60"/>
      <c r="N935" s="60"/>
      <c r="O935" s="60"/>
      <c r="P935" s="59"/>
      <c r="Q935" s="59"/>
      <c r="R935" s="60"/>
      <c r="S935" s="60"/>
      <c r="T935" s="60"/>
      <c r="U935" s="60"/>
      <c r="V935" s="60"/>
      <c r="W935" s="60"/>
    </row>
    <row r="936" spans="1:23" ht="13" x14ac:dyDescent="0.3">
      <c r="A936" s="58"/>
      <c r="B936" s="58"/>
      <c r="C936" s="58"/>
      <c r="D936" s="58"/>
      <c r="E936" s="58"/>
      <c r="F936" s="58"/>
      <c r="G936" s="58"/>
      <c r="H936" s="59"/>
      <c r="I936" s="59"/>
      <c r="J936" s="59"/>
      <c r="K936" s="59"/>
      <c r="L936" s="59"/>
      <c r="M936" s="60"/>
      <c r="N936" s="60"/>
      <c r="O936" s="60"/>
      <c r="P936" s="59"/>
      <c r="Q936" s="59"/>
      <c r="R936" s="60"/>
      <c r="S936" s="60"/>
      <c r="T936" s="60"/>
      <c r="U936" s="60"/>
      <c r="V936" s="60"/>
      <c r="W936" s="60"/>
    </row>
    <row r="937" spans="1:23" ht="13" x14ac:dyDescent="0.3">
      <c r="A937" s="58"/>
      <c r="B937" s="58"/>
      <c r="C937" s="58"/>
      <c r="D937" s="58"/>
      <c r="E937" s="58"/>
      <c r="F937" s="58"/>
      <c r="G937" s="58"/>
      <c r="H937" s="59"/>
      <c r="I937" s="59"/>
      <c r="J937" s="59"/>
      <c r="K937" s="59"/>
      <c r="L937" s="59"/>
      <c r="M937" s="60"/>
      <c r="N937" s="60"/>
      <c r="O937" s="60"/>
      <c r="P937" s="59"/>
      <c r="Q937" s="59"/>
      <c r="R937" s="60"/>
      <c r="S937" s="60"/>
      <c r="T937" s="60"/>
      <c r="U937" s="60"/>
      <c r="V937" s="60"/>
      <c r="W937" s="60"/>
    </row>
    <row r="938" spans="1:23" ht="13" x14ac:dyDescent="0.3">
      <c r="A938" s="58"/>
      <c r="B938" s="58"/>
      <c r="C938" s="58"/>
      <c r="D938" s="58"/>
      <c r="E938" s="58"/>
      <c r="F938" s="58"/>
      <c r="G938" s="58"/>
      <c r="H938" s="59"/>
      <c r="I938" s="59"/>
      <c r="J938" s="59"/>
      <c r="K938" s="59"/>
      <c r="L938" s="59"/>
      <c r="M938" s="60"/>
      <c r="N938" s="60"/>
      <c r="O938" s="60"/>
      <c r="P938" s="59"/>
      <c r="Q938" s="59"/>
      <c r="R938" s="60"/>
      <c r="S938" s="60"/>
      <c r="T938" s="60"/>
      <c r="U938" s="60"/>
      <c r="V938" s="60"/>
      <c r="W938" s="60"/>
    </row>
    <row r="939" spans="1:23" ht="13" x14ac:dyDescent="0.3">
      <c r="A939" s="58"/>
      <c r="B939" s="58"/>
      <c r="C939" s="58"/>
      <c r="D939" s="58"/>
      <c r="E939" s="58"/>
      <c r="F939" s="58"/>
      <c r="G939" s="58"/>
      <c r="H939" s="59"/>
      <c r="I939" s="59"/>
      <c r="J939" s="59"/>
      <c r="K939" s="59"/>
      <c r="L939" s="59"/>
      <c r="M939" s="60"/>
      <c r="N939" s="60"/>
      <c r="O939" s="60"/>
      <c r="P939" s="59"/>
      <c r="Q939" s="59"/>
      <c r="R939" s="60"/>
      <c r="S939" s="60"/>
      <c r="T939" s="60"/>
      <c r="U939" s="60"/>
      <c r="V939" s="60"/>
      <c r="W939" s="60"/>
    </row>
    <row r="940" spans="1:23" ht="13" x14ac:dyDescent="0.3">
      <c r="A940" s="58"/>
      <c r="B940" s="58"/>
      <c r="C940" s="58"/>
      <c r="D940" s="58"/>
      <c r="E940" s="58"/>
      <c r="F940" s="58"/>
      <c r="G940" s="58"/>
      <c r="H940" s="59"/>
      <c r="I940" s="59"/>
      <c r="J940" s="59"/>
      <c r="K940" s="59"/>
      <c r="L940" s="59"/>
      <c r="M940" s="60"/>
      <c r="N940" s="60"/>
      <c r="O940" s="60"/>
      <c r="P940" s="59"/>
      <c r="Q940" s="59"/>
      <c r="R940" s="60"/>
      <c r="S940" s="60"/>
      <c r="T940" s="60"/>
      <c r="U940" s="60"/>
      <c r="V940" s="60"/>
      <c r="W940" s="60"/>
    </row>
    <row r="941" spans="1:23" ht="13" x14ac:dyDescent="0.3">
      <c r="A941" s="58"/>
      <c r="B941" s="58"/>
      <c r="C941" s="58"/>
      <c r="D941" s="58"/>
      <c r="E941" s="58"/>
      <c r="F941" s="58"/>
      <c r="G941" s="58"/>
      <c r="H941" s="59"/>
      <c r="I941" s="59"/>
      <c r="J941" s="59"/>
      <c r="K941" s="59"/>
      <c r="L941" s="59"/>
      <c r="M941" s="60"/>
      <c r="N941" s="60"/>
      <c r="O941" s="60"/>
      <c r="P941" s="59"/>
      <c r="Q941" s="59"/>
      <c r="R941" s="60"/>
      <c r="S941" s="60"/>
      <c r="T941" s="60"/>
      <c r="U941" s="60"/>
      <c r="V941" s="60"/>
      <c r="W941" s="60"/>
    </row>
    <row r="942" spans="1:23" ht="13" x14ac:dyDescent="0.3">
      <c r="A942" s="58"/>
      <c r="B942" s="58"/>
      <c r="C942" s="58"/>
      <c r="D942" s="58"/>
      <c r="E942" s="58"/>
      <c r="F942" s="58"/>
      <c r="G942" s="58"/>
      <c r="H942" s="59"/>
      <c r="I942" s="59"/>
      <c r="J942" s="59"/>
      <c r="K942" s="59"/>
      <c r="L942" s="59"/>
      <c r="M942" s="60"/>
      <c r="N942" s="60"/>
      <c r="O942" s="60"/>
      <c r="P942" s="59"/>
      <c r="Q942" s="59"/>
      <c r="R942" s="60"/>
      <c r="S942" s="60"/>
      <c r="T942" s="60"/>
      <c r="U942" s="60"/>
      <c r="V942" s="60"/>
      <c r="W942" s="60"/>
    </row>
    <row r="943" spans="1:23" ht="13" x14ac:dyDescent="0.3">
      <c r="A943" s="58"/>
      <c r="B943" s="58"/>
      <c r="C943" s="58"/>
      <c r="D943" s="58"/>
      <c r="E943" s="58"/>
      <c r="F943" s="58"/>
      <c r="G943" s="58"/>
      <c r="H943" s="59"/>
      <c r="I943" s="59"/>
      <c r="J943" s="59"/>
      <c r="K943" s="59"/>
      <c r="L943" s="59"/>
      <c r="M943" s="60"/>
      <c r="N943" s="60"/>
      <c r="O943" s="60"/>
      <c r="P943" s="59"/>
      <c r="Q943" s="59"/>
      <c r="R943" s="60"/>
      <c r="S943" s="60"/>
      <c r="T943" s="60"/>
      <c r="U943" s="60"/>
      <c r="V943" s="60"/>
      <c r="W943" s="60"/>
    </row>
    <row r="944" spans="1:23" ht="13" x14ac:dyDescent="0.3">
      <c r="A944" s="58"/>
      <c r="B944" s="58"/>
      <c r="C944" s="58"/>
      <c r="D944" s="58"/>
      <c r="E944" s="58"/>
      <c r="F944" s="58"/>
      <c r="G944" s="58"/>
      <c r="H944" s="59"/>
      <c r="I944" s="59"/>
      <c r="J944" s="59"/>
      <c r="K944" s="59"/>
      <c r="L944" s="59"/>
      <c r="M944" s="60"/>
      <c r="N944" s="60"/>
      <c r="O944" s="60"/>
      <c r="P944" s="59"/>
      <c r="Q944" s="59"/>
      <c r="R944" s="60"/>
      <c r="S944" s="60"/>
      <c r="T944" s="60"/>
      <c r="U944" s="60"/>
      <c r="V944" s="60"/>
      <c r="W944" s="60"/>
    </row>
    <row r="945" spans="1:23" ht="13" x14ac:dyDescent="0.3">
      <c r="A945" s="58"/>
      <c r="B945" s="58"/>
      <c r="C945" s="58"/>
      <c r="D945" s="58"/>
      <c r="E945" s="58"/>
      <c r="F945" s="58"/>
      <c r="G945" s="58"/>
      <c r="H945" s="59"/>
      <c r="I945" s="59"/>
      <c r="J945" s="59"/>
      <c r="K945" s="59"/>
      <c r="L945" s="59"/>
      <c r="M945" s="60"/>
      <c r="N945" s="60"/>
      <c r="O945" s="60"/>
      <c r="P945" s="59"/>
      <c r="Q945" s="59"/>
      <c r="R945" s="60"/>
      <c r="S945" s="60"/>
      <c r="T945" s="60"/>
      <c r="U945" s="60"/>
      <c r="V945" s="60"/>
      <c r="W945" s="60"/>
    </row>
    <row r="946" spans="1:23" ht="13" x14ac:dyDescent="0.3">
      <c r="A946" s="58"/>
      <c r="B946" s="58"/>
      <c r="C946" s="58"/>
      <c r="D946" s="58"/>
      <c r="E946" s="58"/>
      <c r="F946" s="58"/>
      <c r="G946" s="58"/>
      <c r="H946" s="59"/>
      <c r="I946" s="59"/>
      <c r="J946" s="59"/>
      <c r="K946" s="59"/>
      <c r="L946" s="59"/>
      <c r="M946" s="60"/>
      <c r="N946" s="60"/>
      <c r="O946" s="60"/>
      <c r="P946" s="59"/>
      <c r="Q946" s="59"/>
      <c r="R946" s="60"/>
      <c r="S946" s="60"/>
      <c r="T946" s="60"/>
      <c r="U946" s="60"/>
      <c r="V946" s="60"/>
      <c r="W946" s="60"/>
    </row>
    <row r="947" spans="1:23" ht="13" x14ac:dyDescent="0.3">
      <c r="A947" s="58"/>
      <c r="B947" s="58"/>
      <c r="C947" s="58"/>
      <c r="D947" s="58"/>
      <c r="E947" s="58"/>
      <c r="F947" s="58"/>
      <c r="G947" s="58"/>
      <c r="H947" s="59"/>
      <c r="I947" s="59"/>
      <c r="J947" s="59"/>
      <c r="K947" s="59"/>
      <c r="L947" s="59"/>
      <c r="M947" s="60"/>
      <c r="N947" s="60"/>
      <c r="O947" s="60"/>
      <c r="P947" s="59"/>
      <c r="Q947" s="59"/>
      <c r="R947" s="60"/>
      <c r="S947" s="60"/>
      <c r="T947" s="60"/>
      <c r="U947" s="60"/>
      <c r="V947" s="60"/>
      <c r="W947" s="60"/>
    </row>
    <row r="948" spans="1:23" ht="13" x14ac:dyDescent="0.3">
      <c r="A948" s="58"/>
      <c r="B948" s="58"/>
      <c r="C948" s="58"/>
      <c r="D948" s="58"/>
      <c r="E948" s="58"/>
      <c r="F948" s="58"/>
      <c r="G948" s="58"/>
      <c r="H948" s="59"/>
      <c r="I948" s="59"/>
      <c r="J948" s="59"/>
      <c r="K948" s="59"/>
      <c r="L948" s="59"/>
      <c r="M948" s="60"/>
      <c r="N948" s="60"/>
      <c r="O948" s="60"/>
      <c r="P948" s="59"/>
      <c r="Q948" s="59"/>
      <c r="R948" s="60"/>
      <c r="S948" s="60"/>
      <c r="T948" s="60"/>
      <c r="U948" s="60"/>
      <c r="V948" s="60"/>
      <c r="W948" s="60"/>
    </row>
    <row r="949" spans="1:23" ht="13" x14ac:dyDescent="0.3">
      <c r="A949" s="58"/>
      <c r="B949" s="58"/>
      <c r="C949" s="58"/>
      <c r="D949" s="58"/>
      <c r="E949" s="58"/>
      <c r="F949" s="58"/>
      <c r="G949" s="58"/>
      <c r="H949" s="59"/>
      <c r="I949" s="59"/>
      <c r="J949" s="59"/>
      <c r="K949" s="59"/>
      <c r="L949" s="59"/>
      <c r="M949" s="60"/>
      <c r="N949" s="60"/>
      <c r="O949" s="60"/>
      <c r="P949" s="59"/>
      <c r="Q949" s="59"/>
      <c r="R949" s="60"/>
      <c r="S949" s="60"/>
      <c r="T949" s="60"/>
      <c r="U949" s="60"/>
      <c r="V949" s="60"/>
      <c r="W949" s="60"/>
    </row>
    <row r="950" spans="1:23" ht="13" x14ac:dyDescent="0.3">
      <c r="A950" s="58"/>
      <c r="B950" s="58"/>
      <c r="C950" s="58"/>
      <c r="D950" s="58"/>
      <c r="E950" s="58"/>
      <c r="F950" s="58"/>
      <c r="G950" s="58"/>
      <c r="H950" s="59"/>
      <c r="I950" s="59"/>
      <c r="J950" s="59"/>
      <c r="K950" s="59"/>
      <c r="L950" s="59"/>
      <c r="M950" s="60"/>
      <c r="N950" s="60"/>
      <c r="O950" s="60"/>
      <c r="P950" s="59"/>
      <c r="Q950" s="59"/>
      <c r="R950" s="60"/>
      <c r="S950" s="60"/>
      <c r="T950" s="60"/>
      <c r="U950" s="60"/>
      <c r="V950" s="60"/>
      <c r="W950" s="60"/>
    </row>
    <row r="951" spans="1:23" ht="13" x14ac:dyDescent="0.3">
      <c r="A951" s="58"/>
      <c r="B951" s="58"/>
      <c r="C951" s="58"/>
      <c r="D951" s="58"/>
      <c r="E951" s="58"/>
      <c r="F951" s="58"/>
      <c r="G951" s="58"/>
      <c r="H951" s="59"/>
      <c r="I951" s="59"/>
      <c r="J951" s="59"/>
      <c r="K951" s="59"/>
      <c r="L951" s="59"/>
      <c r="M951" s="60"/>
      <c r="N951" s="60"/>
      <c r="O951" s="60"/>
      <c r="P951" s="59"/>
      <c r="Q951" s="59"/>
      <c r="R951" s="60"/>
      <c r="S951" s="60"/>
      <c r="T951" s="60"/>
      <c r="U951" s="60"/>
      <c r="V951" s="60"/>
      <c r="W951" s="60"/>
    </row>
    <row r="952" spans="1:23" ht="13" x14ac:dyDescent="0.3">
      <c r="A952" s="58"/>
      <c r="B952" s="58"/>
      <c r="C952" s="58"/>
      <c r="D952" s="58"/>
      <c r="E952" s="58"/>
      <c r="F952" s="58"/>
      <c r="G952" s="58"/>
      <c r="H952" s="59"/>
      <c r="I952" s="59"/>
      <c r="J952" s="59"/>
      <c r="K952" s="59"/>
      <c r="L952" s="59"/>
      <c r="M952" s="60"/>
      <c r="N952" s="60"/>
      <c r="O952" s="60"/>
      <c r="P952" s="59"/>
      <c r="Q952" s="59"/>
      <c r="R952" s="60"/>
      <c r="S952" s="60"/>
      <c r="T952" s="60"/>
      <c r="U952" s="60"/>
      <c r="V952" s="60"/>
      <c r="W952" s="60"/>
    </row>
    <row r="953" spans="1:23" ht="13" x14ac:dyDescent="0.3">
      <c r="A953" s="58"/>
      <c r="B953" s="58"/>
      <c r="C953" s="58"/>
      <c r="D953" s="58"/>
      <c r="E953" s="58"/>
      <c r="F953" s="58"/>
      <c r="G953" s="58"/>
      <c r="H953" s="59"/>
      <c r="I953" s="59"/>
      <c r="J953" s="59"/>
      <c r="K953" s="59"/>
      <c r="L953" s="59"/>
      <c r="M953" s="60"/>
      <c r="N953" s="60"/>
      <c r="O953" s="60"/>
      <c r="P953" s="59"/>
      <c r="Q953" s="59"/>
      <c r="R953" s="60"/>
      <c r="S953" s="60"/>
      <c r="T953" s="60"/>
      <c r="U953" s="60"/>
      <c r="V953" s="60"/>
      <c r="W953" s="60"/>
    </row>
    <row r="954" spans="1:23" ht="13" x14ac:dyDescent="0.3">
      <c r="A954" s="58"/>
      <c r="B954" s="58"/>
      <c r="C954" s="58"/>
      <c r="D954" s="58"/>
      <c r="E954" s="58"/>
      <c r="F954" s="58"/>
      <c r="G954" s="58"/>
      <c r="H954" s="59"/>
      <c r="I954" s="59"/>
      <c r="J954" s="59"/>
      <c r="K954" s="59"/>
      <c r="L954" s="59"/>
      <c r="M954" s="60"/>
      <c r="N954" s="60"/>
      <c r="O954" s="60"/>
      <c r="P954" s="59"/>
      <c r="Q954" s="59"/>
      <c r="R954" s="60"/>
      <c r="S954" s="60"/>
      <c r="T954" s="60"/>
      <c r="U954" s="60"/>
      <c r="V954" s="60"/>
      <c r="W954" s="60"/>
    </row>
    <row r="955" spans="1:23" ht="13" x14ac:dyDescent="0.3">
      <c r="A955" s="58"/>
      <c r="B955" s="58"/>
      <c r="C955" s="58"/>
      <c r="D955" s="58"/>
      <c r="E955" s="58"/>
      <c r="F955" s="58"/>
      <c r="G955" s="58"/>
      <c r="H955" s="59"/>
      <c r="I955" s="59"/>
      <c r="J955" s="59"/>
      <c r="K955" s="59"/>
      <c r="L955" s="59"/>
      <c r="M955" s="60"/>
      <c r="N955" s="60"/>
      <c r="O955" s="60"/>
      <c r="P955" s="59"/>
      <c r="Q955" s="59"/>
      <c r="R955" s="60"/>
      <c r="S955" s="60"/>
      <c r="T955" s="60"/>
      <c r="U955" s="60"/>
      <c r="V955" s="60"/>
      <c r="W955" s="60"/>
    </row>
    <row r="956" spans="1:23" ht="13" x14ac:dyDescent="0.3">
      <c r="A956" s="58"/>
      <c r="B956" s="58"/>
      <c r="C956" s="58"/>
      <c r="D956" s="58"/>
      <c r="E956" s="58"/>
      <c r="F956" s="58"/>
      <c r="G956" s="58"/>
      <c r="H956" s="59"/>
      <c r="I956" s="59"/>
      <c r="J956" s="59"/>
      <c r="K956" s="59"/>
      <c r="L956" s="59"/>
      <c r="M956" s="60"/>
      <c r="N956" s="60"/>
      <c r="O956" s="60"/>
      <c r="P956" s="59"/>
      <c r="Q956" s="59"/>
      <c r="R956" s="60"/>
      <c r="S956" s="60"/>
      <c r="T956" s="60"/>
      <c r="U956" s="60"/>
      <c r="V956" s="60"/>
      <c r="W956" s="60"/>
    </row>
    <row r="957" spans="1:23" ht="13" x14ac:dyDescent="0.3">
      <c r="A957" s="58"/>
      <c r="B957" s="58"/>
      <c r="C957" s="58"/>
      <c r="D957" s="58"/>
      <c r="E957" s="58"/>
      <c r="F957" s="58"/>
      <c r="G957" s="58"/>
      <c r="H957" s="59"/>
      <c r="I957" s="59"/>
      <c r="J957" s="59"/>
      <c r="K957" s="59"/>
      <c r="L957" s="59"/>
      <c r="M957" s="60"/>
      <c r="N957" s="60"/>
      <c r="O957" s="60"/>
      <c r="P957" s="59"/>
      <c r="Q957" s="59"/>
      <c r="R957" s="60"/>
      <c r="S957" s="60"/>
      <c r="T957" s="60"/>
      <c r="U957" s="60"/>
      <c r="V957" s="60"/>
      <c r="W957" s="60"/>
    </row>
    <row r="958" spans="1:23" ht="13" x14ac:dyDescent="0.3">
      <c r="A958" s="58"/>
      <c r="B958" s="58"/>
      <c r="C958" s="58"/>
      <c r="D958" s="58"/>
      <c r="E958" s="58"/>
      <c r="F958" s="58"/>
      <c r="G958" s="58"/>
      <c r="H958" s="59"/>
      <c r="I958" s="59"/>
      <c r="J958" s="59"/>
      <c r="K958" s="59"/>
      <c r="L958" s="59"/>
      <c r="M958" s="60"/>
      <c r="N958" s="60"/>
      <c r="O958" s="60"/>
      <c r="P958" s="59"/>
      <c r="Q958" s="59"/>
      <c r="R958" s="60"/>
      <c r="S958" s="60"/>
      <c r="T958" s="60"/>
      <c r="U958" s="60"/>
      <c r="V958" s="60"/>
      <c r="W958" s="60"/>
    </row>
    <row r="959" spans="1:23" ht="13" x14ac:dyDescent="0.3">
      <c r="A959" s="58"/>
      <c r="B959" s="58"/>
      <c r="C959" s="58"/>
      <c r="D959" s="58"/>
      <c r="E959" s="58"/>
      <c r="F959" s="58"/>
      <c r="G959" s="58"/>
      <c r="H959" s="59"/>
      <c r="I959" s="59"/>
      <c r="J959" s="59"/>
      <c r="K959" s="59"/>
      <c r="L959" s="59"/>
      <c r="M959" s="60"/>
      <c r="N959" s="60"/>
      <c r="O959" s="60"/>
      <c r="P959" s="59"/>
      <c r="Q959" s="59"/>
      <c r="R959" s="60"/>
      <c r="S959" s="60"/>
      <c r="T959" s="60"/>
      <c r="U959" s="60"/>
      <c r="V959" s="60"/>
      <c r="W959" s="60"/>
    </row>
    <row r="960" spans="1:23" ht="13" x14ac:dyDescent="0.3">
      <c r="A960" s="58"/>
      <c r="B960" s="58"/>
      <c r="C960" s="58"/>
      <c r="D960" s="58"/>
      <c r="E960" s="58"/>
      <c r="F960" s="58"/>
      <c r="G960" s="58"/>
      <c r="H960" s="59"/>
      <c r="I960" s="59"/>
      <c r="J960" s="59"/>
      <c r="K960" s="59"/>
      <c r="L960" s="59"/>
      <c r="M960" s="60"/>
      <c r="N960" s="60"/>
      <c r="O960" s="60"/>
      <c r="P960" s="59"/>
      <c r="Q960" s="59"/>
      <c r="R960" s="60"/>
      <c r="S960" s="60"/>
      <c r="T960" s="60"/>
      <c r="U960" s="60"/>
      <c r="V960" s="60"/>
      <c r="W960" s="60"/>
    </row>
    <row r="961" spans="1:23" ht="13" x14ac:dyDescent="0.3">
      <c r="A961" s="58"/>
      <c r="B961" s="58"/>
      <c r="C961" s="58"/>
      <c r="D961" s="58"/>
      <c r="E961" s="58"/>
      <c r="F961" s="58"/>
      <c r="G961" s="58"/>
      <c r="H961" s="59"/>
      <c r="I961" s="59"/>
      <c r="J961" s="59"/>
      <c r="K961" s="59"/>
      <c r="L961" s="59"/>
      <c r="M961" s="60"/>
      <c r="N961" s="60"/>
      <c r="O961" s="60"/>
      <c r="P961" s="59"/>
      <c r="Q961" s="59"/>
      <c r="R961" s="60"/>
      <c r="S961" s="60"/>
      <c r="T961" s="60"/>
      <c r="U961" s="60"/>
      <c r="V961" s="60"/>
      <c r="W961" s="60"/>
    </row>
    <row r="962" spans="1:23" ht="13" x14ac:dyDescent="0.3">
      <c r="A962" s="58"/>
      <c r="B962" s="58"/>
      <c r="C962" s="58"/>
      <c r="D962" s="58"/>
      <c r="E962" s="58"/>
      <c r="F962" s="58"/>
      <c r="G962" s="58"/>
      <c r="H962" s="59"/>
      <c r="I962" s="59"/>
      <c r="J962" s="59"/>
      <c r="K962" s="59"/>
      <c r="L962" s="59"/>
      <c r="M962" s="60"/>
      <c r="N962" s="60"/>
      <c r="O962" s="60"/>
      <c r="P962" s="59"/>
      <c r="Q962" s="59"/>
      <c r="R962" s="60"/>
      <c r="S962" s="60"/>
      <c r="T962" s="60"/>
      <c r="U962" s="60"/>
      <c r="V962" s="60"/>
      <c r="W962" s="60"/>
    </row>
    <row r="963" spans="1:23" ht="13" x14ac:dyDescent="0.3">
      <c r="A963" s="58"/>
      <c r="B963" s="58"/>
      <c r="C963" s="58"/>
      <c r="D963" s="58"/>
      <c r="E963" s="58"/>
      <c r="F963" s="58"/>
      <c r="G963" s="58"/>
      <c r="H963" s="59"/>
      <c r="I963" s="59"/>
      <c r="J963" s="59"/>
      <c r="K963" s="59"/>
      <c r="L963" s="59"/>
      <c r="M963" s="60"/>
      <c r="N963" s="60"/>
      <c r="O963" s="60"/>
      <c r="P963" s="59"/>
      <c r="Q963" s="59"/>
      <c r="R963" s="60"/>
      <c r="S963" s="60"/>
      <c r="T963" s="60"/>
      <c r="U963" s="60"/>
      <c r="V963" s="60"/>
      <c r="W963" s="60"/>
    </row>
    <row r="964" spans="1:23" ht="13" x14ac:dyDescent="0.3">
      <c r="A964" s="58"/>
      <c r="B964" s="58"/>
      <c r="C964" s="58"/>
      <c r="D964" s="58"/>
      <c r="E964" s="58"/>
      <c r="F964" s="58"/>
      <c r="G964" s="58"/>
      <c r="H964" s="59"/>
      <c r="I964" s="59"/>
      <c r="J964" s="59"/>
      <c r="K964" s="59"/>
      <c r="L964" s="59"/>
      <c r="M964" s="60"/>
      <c r="N964" s="60"/>
      <c r="O964" s="60"/>
      <c r="P964" s="59"/>
      <c r="Q964" s="59"/>
      <c r="R964" s="60"/>
      <c r="S964" s="60"/>
      <c r="T964" s="60"/>
      <c r="U964" s="60"/>
      <c r="V964" s="60"/>
      <c r="W964" s="60"/>
    </row>
    <row r="965" spans="1:23" ht="13" x14ac:dyDescent="0.3">
      <c r="A965" s="58"/>
      <c r="B965" s="58"/>
      <c r="C965" s="58"/>
      <c r="D965" s="58"/>
      <c r="E965" s="58"/>
      <c r="F965" s="58"/>
      <c r="G965" s="58"/>
      <c r="H965" s="59"/>
      <c r="I965" s="59"/>
      <c r="J965" s="59"/>
      <c r="K965" s="59"/>
      <c r="L965" s="59"/>
      <c r="M965" s="60"/>
      <c r="N965" s="60"/>
      <c r="O965" s="60"/>
      <c r="P965" s="59"/>
      <c r="Q965" s="59"/>
      <c r="R965" s="60"/>
      <c r="S965" s="60"/>
      <c r="T965" s="60"/>
      <c r="U965" s="60"/>
      <c r="V965" s="60"/>
      <c r="W965" s="60"/>
    </row>
    <row r="966" spans="1:23" ht="13" x14ac:dyDescent="0.3">
      <c r="A966" s="58"/>
      <c r="B966" s="58"/>
      <c r="C966" s="58"/>
      <c r="D966" s="58"/>
      <c r="E966" s="58"/>
      <c r="F966" s="58"/>
      <c r="G966" s="58"/>
      <c r="H966" s="59"/>
      <c r="I966" s="59"/>
      <c r="J966" s="59"/>
      <c r="K966" s="59"/>
      <c r="L966" s="59"/>
      <c r="M966" s="60"/>
      <c r="N966" s="60"/>
      <c r="O966" s="60"/>
      <c r="P966" s="59"/>
      <c r="Q966" s="59"/>
      <c r="R966" s="60"/>
      <c r="S966" s="60"/>
      <c r="T966" s="60"/>
      <c r="U966" s="60"/>
      <c r="V966" s="60"/>
      <c r="W966" s="60"/>
    </row>
    <row r="967" spans="1:23" ht="13" x14ac:dyDescent="0.3">
      <c r="A967" s="58"/>
      <c r="B967" s="58"/>
      <c r="C967" s="58"/>
      <c r="D967" s="58"/>
      <c r="E967" s="58"/>
      <c r="F967" s="58"/>
      <c r="G967" s="58"/>
      <c r="H967" s="59"/>
      <c r="I967" s="59"/>
      <c r="J967" s="59"/>
      <c r="K967" s="59"/>
      <c r="L967" s="59"/>
      <c r="M967" s="60"/>
      <c r="N967" s="60"/>
      <c r="O967" s="60"/>
      <c r="P967" s="59"/>
      <c r="Q967" s="59"/>
      <c r="R967" s="60"/>
      <c r="S967" s="60"/>
      <c r="T967" s="60"/>
      <c r="U967" s="60"/>
      <c r="V967" s="60"/>
      <c r="W967" s="60"/>
    </row>
    <row r="968" spans="1:23" ht="13" x14ac:dyDescent="0.3">
      <c r="A968" s="58"/>
      <c r="B968" s="58"/>
      <c r="C968" s="58"/>
      <c r="D968" s="58"/>
      <c r="E968" s="58"/>
      <c r="F968" s="58"/>
      <c r="G968" s="58"/>
      <c r="H968" s="59"/>
      <c r="I968" s="59"/>
      <c r="J968" s="59"/>
      <c r="K968" s="59"/>
      <c r="L968" s="59"/>
      <c r="M968" s="60"/>
      <c r="N968" s="60"/>
      <c r="O968" s="60"/>
      <c r="P968" s="59"/>
      <c r="Q968" s="59"/>
      <c r="R968" s="60"/>
      <c r="S968" s="60"/>
      <c r="T968" s="60"/>
      <c r="U968" s="60"/>
      <c r="V968" s="60"/>
      <c r="W968" s="60"/>
    </row>
    <row r="969" spans="1:23" ht="13" x14ac:dyDescent="0.3">
      <c r="A969" s="58"/>
      <c r="B969" s="58"/>
      <c r="C969" s="58"/>
      <c r="D969" s="58"/>
      <c r="E969" s="58"/>
      <c r="F969" s="58"/>
      <c r="G969" s="58"/>
      <c r="H969" s="59"/>
      <c r="I969" s="59"/>
      <c r="J969" s="59"/>
      <c r="K969" s="59"/>
      <c r="L969" s="59"/>
      <c r="M969" s="60"/>
      <c r="N969" s="60"/>
      <c r="O969" s="60"/>
      <c r="P969" s="59"/>
      <c r="Q969" s="59"/>
      <c r="R969" s="60"/>
      <c r="S969" s="60"/>
      <c r="T969" s="60"/>
      <c r="U969" s="60"/>
      <c r="V969" s="60"/>
      <c r="W969" s="60"/>
    </row>
    <row r="970" spans="1:23" ht="13" x14ac:dyDescent="0.3">
      <c r="A970" s="58"/>
      <c r="B970" s="58"/>
      <c r="C970" s="58"/>
      <c r="D970" s="58"/>
      <c r="E970" s="58"/>
      <c r="F970" s="58"/>
      <c r="G970" s="58"/>
      <c r="H970" s="59"/>
      <c r="I970" s="59"/>
      <c r="J970" s="59"/>
      <c r="K970" s="59"/>
      <c r="L970" s="59"/>
      <c r="M970" s="60"/>
      <c r="N970" s="60"/>
      <c r="O970" s="60"/>
      <c r="P970" s="59"/>
      <c r="Q970" s="59"/>
      <c r="R970" s="60"/>
      <c r="S970" s="60"/>
      <c r="T970" s="60"/>
      <c r="U970" s="60"/>
      <c r="V970" s="60"/>
      <c r="W970" s="60"/>
    </row>
    <row r="971" spans="1:23" ht="13" x14ac:dyDescent="0.3">
      <c r="A971" s="58"/>
      <c r="B971" s="58"/>
      <c r="C971" s="58"/>
      <c r="D971" s="58"/>
      <c r="E971" s="58"/>
      <c r="F971" s="58"/>
      <c r="G971" s="58"/>
      <c r="H971" s="59"/>
      <c r="I971" s="59"/>
      <c r="J971" s="59"/>
      <c r="K971" s="59"/>
      <c r="L971" s="59"/>
      <c r="M971" s="60"/>
      <c r="N971" s="60"/>
      <c r="O971" s="60"/>
      <c r="P971" s="59"/>
      <c r="Q971" s="59"/>
      <c r="R971" s="60"/>
      <c r="S971" s="60"/>
      <c r="T971" s="60"/>
      <c r="U971" s="60"/>
      <c r="V971" s="60"/>
      <c r="W971" s="60"/>
    </row>
    <row r="972" spans="1:23" ht="13" x14ac:dyDescent="0.3">
      <c r="A972" s="58"/>
      <c r="B972" s="58"/>
      <c r="C972" s="58"/>
      <c r="D972" s="58"/>
      <c r="E972" s="58"/>
      <c r="F972" s="58"/>
      <c r="G972" s="58"/>
      <c r="H972" s="59"/>
      <c r="I972" s="59"/>
      <c r="J972" s="59"/>
      <c r="K972" s="59"/>
      <c r="L972" s="59"/>
      <c r="M972" s="60"/>
      <c r="N972" s="60"/>
      <c r="O972" s="60"/>
      <c r="P972" s="59"/>
      <c r="Q972" s="59"/>
      <c r="R972" s="60"/>
      <c r="S972" s="60"/>
      <c r="T972" s="60"/>
      <c r="U972" s="60"/>
      <c r="V972" s="60"/>
      <c r="W972" s="60"/>
    </row>
    <row r="973" spans="1:23" ht="13" x14ac:dyDescent="0.3">
      <c r="A973" s="58"/>
      <c r="B973" s="58"/>
      <c r="C973" s="58"/>
      <c r="D973" s="58"/>
      <c r="E973" s="58"/>
      <c r="F973" s="58"/>
      <c r="G973" s="58"/>
      <c r="H973" s="59"/>
      <c r="I973" s="59"/>
      <c r="J973" s="59"/>
      <c r="K973" s="59"/>
      <c r="L973" s="59"/>
      <c r="M973" s="60"/>
      <c r="N973" s="60"/>
      <c r="O973" s="60"/>
      <c r="P973" s="59"/>
      <c r="Q973" s="59"/>
      <c r="R973" s="60"/>
      <c r="S973" s="60"/>
      <c r="T973" s="60"/>
      <c r="U973" s="60"/>
      <c r="V973" s="60"/>
      <c r="W973" s="60"/>
    </row>
    <row r="974" spans="1:23" ht="13" x14ac:dyDescent="0.3">
      <c r="A974" s="58"/>
      <c r="B974" s="58"/>
      <c r="C974" s="58"/>
      <c r="D974" s="58"/>
      <c r="E974" s="58"/>
      <c r="F974" s="58"/>
      <c r="G974" s="58"/>
      <c r="H974" s="59"/>
      <c r="I974" s="59"/>
      <c r="J974" s="59"/>
      <c r="K974" s="59"/>
      <c r="L974" s="59"/>
      <c r="M974" s="60"/>
      <c r="N974" s="60"/>
      <c r="O974" s="60"/>
      <c r="P974" s="59"/>
      <c r="Q974" s="59"/>
      <c r="R974" s="60"/>
      <c r="S974" s="60"/>
      <c r="T974" s="60"/>
      <c r="U974" s="60"/>
      <c r="V974" s="60"/>
      <c r="W974" s="60"/>
    </row>
  </sheetData>
  <autoFilter ref="A1:R91" xr:uid="{00000000-0001-0000-0000-000000000000}"/>
  <conditionalFormatting sqref="B64:B90">
    <cfRule type="duplicateValues" dxfId="116" priority="44"/>
    <cfRule type="duplicateValues" dxfId="115" priority="45"/>
  </conditionalFormatting>
  <conditionalFormatting sqref="B91">
    <cfRule type="duplicateValues" dxfId="114" priority="34"/>
    <cfRule type="duplicateValues" dxfId="113" priority="35"/>
  </conditionalFormatting>
  <conditionalFormatting sqref="B92:B1048576 B1:B63">
    <cfRule type="duplicateValues" dxfId="112" priority="123"/>
    <cfRule type="duplicateValues" dxfId="111" priority="124"/>
  </conditionalFormatting>
  <conditionalFormatting sqref="B1:D1048576">
    <cfRule type="duplicateValues" dxfId="110" priority="105"/>
  </conditionalFormatting>
  <conditionalFormatting sqref="B92:D1048576 B1:D63 D3:D91">
    <cfRule type="duplicateValues" dxfId="109" priority="120"/>
  </conditionalFormatting>
  <conditionalFormatting sqref="C64:D90">
    <cfRule type="duplicateValues" dxfId="108" priority="41"/>
    <cfRule type="duplicateValues" dxfId="107" priority="42"/>
    <cfRule type="duplicateValues" dxfId="106" priority="43"/>
  </conditionalFormatting>
  <conditionalFormatting sqref="C91:D91">
    <cfRule type="duplicateValues" dxfId="105" priority="31"/>
    <cfRule type="duplicateValues" dxfId="104" priority="32"/>
    <cfRule type="duplicateValues" dxfId="103" priority="33"/>
  </conditionalFormatting>
  <conditionalFormatting sqref="C92:D1048576 C1:D63 D3:D91">
    <cfRule type="duplicateValues" dxfId="102" priority="108"/>
    <cfRule type="duplicateValues" dxfId="101" priority="109"/>
    <cfRule type="duplicateValues" dxfId="100" priority="110"/>
    <cfRule type="duplicateValues" dxfId="99" priority="111"/>
  </conditionalFormatting>
  <dataValidations count="1">
    <dataValidation type="list" allowBlank="1" showErrorMessage="1" sqref="E31:E63" xr:uid="{CA2B51B1-D33B-47C1-848C-A5E4CF5B5E27}">
      <formula1>"II/a,II/b,II/c,II/d,III/a,III/b,III/c,III/d,IV/a,IV/b,IV/c"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B222-0183-49AE-B3EF-7530E8739D21}">
  <sheetPr>
    <outlinePr summaryBelow="0" summaryRight="0"/>
  </sheetPr>
  <dimension ref="A1:X940"/>
  <sheetViews>
    <sheetView zoomScale="60" zoomScaleNormal="60" workbookViewId="0">
      <pane xSplit="2" ySplit="1" topLeftCell="C86" activePane="bottomRight" state="frozen"/>
      <selection pane="topRight" activeCell="C1" sqref="C1"/>
      <selection pane="bottomLeft" activeCell="A2" sqref="A2"/>
      <selection pane="bottomRight" activeCell="E90" sqref="E90"/>
    </sheetView>
  </sheetViews>
  <sheetFormatPr defaultColWidth="12.6328125" defaultRowHeight="15.75" customHeight="1" x14ac:dyDescent="0.3"/>
  <cols>
    <col min="1" max="1" width="5.26953125" style="11" customWidth="1"/>
    <col min="2" max="2" width="39" style="11" customWidth="1"/>
    <col min="3" max="4" width="24.7265625" style="11" customWidth="1"/>
    <col min="5" max="5" width="25.6328125" style="11" customWidth="1"/>
    <col min="6" max="6" width="44.90625" style="11" customWidth="1"/>
    <col min="7" max="7" width="12.90625" style="11" customWidth="1"/>
    <col min="8" max="9" width="33.26953125" style="61" customWidth="1"/>
    <col min="10" max="10" width="17.7265625" style="56" customWidth="1"/>
    <col min="11" max="11" width="31.81640625" style="61" customWidth="1"/>
    <col min="12" max="12" width="19.54296875" style="56" customWidth="1"/>
    <col min="13" max="14" width="18.7265625" style="11" customWidth="1"/>
    <col min="15" max="15" width="16.6328125" style="11" customWidth="1"/>
    <col min="16" max="17" width="20.90625" style="56" customWidth="1"/>
    <col min="18" max="19" width="20.26953125" style="11" customWidth="1"/>
    <col min="20" max="20" width="37.26953125" style="11" customWidth="1"/>
    <col min="21" max="22" width="36.54296875" style="11" customWidth="1"/>
    <col min="23" max="23" width="31.7265625" style="11" customWidth="1"/>
    <col min="24" max="16384" width="12.6328125" style="11"/>
  </cols>
  <sheetData>
    <row r="1" spans="1:24" ht="112.5" customHeight="1" x14ac:dyDescent="0.3">
      <c r="A1" s="1"/>
      <c r="B1" s="2" t="s">
        <v>0</v>
      </c>
      <c r="C1" s="2" t="s">
        <v>1</v>
      </c>
      <c r="D1" s="2" t="s">
        <v>2930</v>
      </c>
      <c r="E1" s="2" t="s">
        <v>2</v>
      </c>
      <c r="F1" s="2" t="s">
        <v>3</v>
      </c>
      <c r="G1" s="2" t="s">
        <v>4</v>
      </c>
      <c r="H1" s="1" t="s">
        <v>5</v>
      </c>
      <c r="I1" s="3" t="s">
        <v>6</v>
      </c>
      <c r="J1" s="4" t="s">
        <v>7</v>
      </c>
      <c r="K1" s="4" t="s">
        <v>8</v>
      </c>
      <c r="L1" s="5" t="s">
        <v>9</v>
      </c>
      <c r="M1" s="5" t="s">
        <v>10</v>
      </c>
      <c r="N1" s="6" t="s">
        <v>11</v>
      </c>
      <c r="O1" s="6" t="s">
        <v>12</v>
      </c>
      <c r="P1" s="7" t="s">
        <v>13</v>
      </c>
      <c r="Q1" s="7" t="s">
        <v>14</v>
      </c>
      <c r="R1" s="8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10" t="s">
        <v>20</v>
      </c>
    </row>
    <row r="2" spans="1:24" s="17" customFormat="1" ht="28" x14ac:dyDescent="0.35">
      <c r="A2" s="12">
        <v>1</v>
      </c>
      <c r="B2" s="13" t="s">
        <v>586</v>
      </c>
      <c r="C2" s="14" t="s">
        <v>587</v>
      </c>
      <c r="D2" s="26" t="str">
        <f>IF(MID(C2,15,1)="1","Laki-Laki","Perempuan")</f>
        <v>Laki-Laki</v>
      </c>
      <c r="E2" s="13"/>
      <c r="F2" s="13"/>
      <c r="G2" s="13" t="s">
        <v>588</v>
      </c>
      <c r="H2" s="15" t="s">
        <v>589</v>
      </c>
      <c r="I2" s="15" t="s">
        <v>590</v>
      </c>
      <c r="J2" s="12" t="s">
        <v>26</v>
      </c>
      <c r="K2" s="15" t="s">
        <v>591</v>
      </c>
      <c r="L2" s="23" t="s">
        <v>28</v>
      </c>
      <c r="M2" s="21">
        <v>2019</v>
      </c>
      <c r="N2" s="15" t="str">
        <f t="shared" ref="N2:N38" si="0">L2</f>
        <v>September</v>
      </c>
      <c r="O2" s="15">
        <v>2022</v>
      </c>
      <c r="P2" s="15">
        <v>2020</v>
      </c>
      <c r="Q2" s="15"/>
      <c r="R2" s="16" t="s">
        <v>29</v>
      </c>
      <c r="S2" s="15"/>
      <c r="T2" s="15"/>
      <c r="U2" s="15"/>
      <c r="V2" s="15"/>
      <c r="W2" s="15"/>
    </row>
    <row r="3" spans="1:24" s="17" customFormat="1" ht="28" x14ac:dyDescent="0.35">
      <c r="A3" s="12">
        <v>2</v>
      </c>
      <c r="B3" s="13" t="s">
        <v>592</v>
      </c>
      <c r="C3" s="14" t="s">
        <v>593</v>
      </c>
      <c r="D3" s="26" t="str">
        <f t="shared" ref="D3:D66" si="1">IF(MID(C3,15,1)="1","Laki-Laki","Perempuan")</f>
        <v>Laki-Laki</v>
      </c>
      <c r="E3" s="13"/>
      <c r="F3" s="13"/>
      <c r="G3" s="13" t="s">
        <v>588</v>
      </c>
      <c r="H3" s="15" t="s">
        <v>589</v>
      </c>
      <c r="I3" s="15" t="s">
        <v>590</v>
      </c>
      <c r="J3" s="12" t="s">
        <v>26</v>
      </c>
      <c r="K3" s="15" t="s">
        <v>594</v>
      </c>
      <c r="L3" s="23" t="s">
        <v>28</v>
      </c>
      <c r="M3" s="21">
        <v>2019</v>
      </c>
      <c r="N3" s="15" t="str">
        <f t="shared" si="0"/>
        <v>September</v>
      </c>
      <c r="O3" s="15">
        <v>2022</v>
      </c>
      <c r="P3" s="15">
        <v>2020</v>
      </c>
      <c r="Q3" s="15"/>
      <c r="R3" s="16" t="s">
        <v>29</v>
      </c>
      <c r="S3" s="15"/>
      <c r="T3" s="15"/>
      <c r="U3" s="15"/>
      <c r="V3" s="15"/>
      <c r="W3" s="15"/>
    </row>
    <row r="4" spans="1:24" s="17" customFormat="1" ht="28" x14ac:dyDescent="0.35">
      <c r="A4" s="12">
        <v>3</v>
      </c>
      <c r="B4" s="13" t="s">
        <v>595</v>
      </c>
      <c r="C4" s="14" t="s">
        <v>596</v>
      </c>
      <c r="D4" s="26" t="str">
        <f t="shared" si="1"/>
        <v>Laki-Laki</v>
      </c>
      <c r="E4" s="13"/>
      <c r="F4" s="13"/>
      <c r="G4" s="13" t="s">
        <v>588</v>
      </c>
      <c r="H4" s="15" t="s">
        <v>597</v>
      </c>
      <c r="I4" s="15" t="s">
        <v>90</v>
      </c>
      <c r="J4" s="12" t="s">
        <v>26</v>
      </c>
      <c r="K4" s="15" t="s">
        <v>394</v>
      </c>
      <c r="L4" s="15" t="s">
        <v>446</v>
      </c>
      <c r="M4" s="15">
        <v>2019</v>
      </c>
      <c r="N4" s="15" t="str">
        <f t="shared" si="0"/>
        <v xml:space="preserve">Oktober </v>
      </c>
      <c r="O4" s="15">
        <v>2022</v>
      </c>
      <c r="P4" s="15">
        <v>2020</v>
      </c>
      <c r="Q4" s="15"/>
      <c r="R4" s="22" t="s">
        <v>51</v>
      </c>
      <c r="S4" s="23"/>
      <c r="T4" s="23"/>
      <c r="U4" s="23"/>
      <c r="V4" s="23"/>
      <c r="W4" s="23"/>
    </row>
    <row r="5" spans="1:24" s="17" customFormat="1" ht="28" x14ac:dyDescent="0.35">
      <c r="A5" s="12">
        <v>4</v>
      </c>
      <c r="B5" s="13" t="s">
        <v>598</v>
      </c>
      <c r="C5" s="14" t="s">
        <v>599</v>
      </c>
      <c r="D5" s="26" t="str">
        <f t="shared" si="1"/>
        <v>Laki-Laki</v>
      </c>
      <c r="E5" s="13"/>
      <c r="F5" s="13"/>
      <c r="G5" s="13" t="s">
        <v>588</v>
      </c>
      <c r="H5" s="15" t="s">
        <v>597</v>
      </c>
      <c r="I5" s="15" t="s">
        <v>90</v>
      </c>
      <c r="J5" s="12" t="s">
        <v>26</v>
      </c>
      <c r="K5" s="15" t="s">
        <v>394</v>
      </c>
      <c r="L5" s="15" t="s">
        <v>446</v>
      </c>
      <c r="M5" s="15">
        <v>2019</v>
      </c>
      <c r="N5" s="15" t="str">
        <f t="shared" si="0"/>
        <v xml:space="preserve">Oktober </v>
      </c>
      <c r="O5" s="15">
        <v>2023</v>
      </c>
      <c r="P5" s="15">
        <v>2020</v>
      </c>
      <c r="Q5" s="15"/>
      <c r="R5" s="16" t="s">
        <v>29</v>
      </c>
      <c r="S5" s="15"/>
      <c r="T5" s="15"/>
      <c r="U5" s="15"/>
      <c r="V5" s="15"/>
      <c r="W5" s="15"/>
    </row>
    <row r="6" spans="1:24" s="17" customFormat="1" ht="28" x14ac:dyDescent="0.35">
      <c r="A6" s="12">
        <v>5</v>
      </c>
      <c r="B6" s="13" t="s">
        <v>600</v>
      </c>
      <c r="C6" s="14" t="s">
        <v>601</v>
      </c>
      <c r="D6" s="26" t="str">
        <f t="shared" si="1"/>
        <v>Perempuan</v>
      </c>
      <c r="E6" s="13"/>
      <c r="F6" s="13"/>
      <c r="G6" s="13" t="s">
        <v>588</v>
      </c>
      <c r="H6" s="15" t="s">
        <v>602</v>
      </c>
      <c r="I6" s="15" t="s">
        <v>90</v>
      </c>
      <c r="J6" s="12" t="s">
        <v>26</v>
      </c>
      <c r="K6" s="15" t="s">
        <v>394</v>
      </c>
      <c r="L6" s="23" t="s">
        <v>118</v>
      </c>
      <c r="M6" s="21">
        <v>2020</v>
      </c>
      <c r="N6" s="15" t="str">
        <f t="shared" si="0"/>
        <v xml:space="preserve">Januari </v>
      </c>
      <c r="O6" s="15">
        <v>2022</v>
      </c>
      <c r="P6" s="15">
        <v>2020</v>
      </c>
      <c r="Q6" s="15"/>
      <c r="R6" s="16" t="s">
        <v>29</v>
      </c>
      <c r="S6" s="15"/>
      <c r="T6" s="15"/>
      <c r="U6" s="15"/>
      <c r="V6" s="15"/>
      <c r="W6" s="15"/>
    </row>
    <row r="7" spans="1:24" s="17" customFormat="1" ht="28" x14ac:dyDescent="0.35">
      <c r="A7" s="12">
        <v>6</v>
      </c>
      <c r="B7" s="13" t="s">
        <v>603</v>
      </c>
      <c r="C7" s="14" t="s">
        <v>604</v>
      </c>
      <c r="D7" s="26" t="str">
        <f t="shared" si="1"/>
        <v>Laki-Laki</v>
      </c>
      <c r="E7" s="13"/>
      <c r="F7" s="13"/>
      <c r="G7" s="13" t="s">
        <v>588</v>
      </c>
      <c r="H7" s="15" t="s">
        <v>602</v>
      </c>
      <c r="I7" s="15" t="s">
        <v>90</v>
      </c>
      <c r="J7" s="12" t="s">
        <v>45</v>
      </c>
      <c r="K7" s="15" t="s">
        <v>605</v>
      </c>
      <c r="L7" s="21" t="s">
        <v>205</v>
      </c>
      <c r="M7" s="21">
        <v>2019</v>
      </c>
      <c r="N7" s="15" t="str">
        <f t="shared" si="0"/>
        <v xml:space="preserve">September </v>
      </c>
      <c r="O7" s="15">
        <v>2024</v>
      </c>
      <c r="P7" s="15">
        <v>2020</v>
      </c>
      <c r="Q7" s="15"/>
      <c r="R7" s="22" t="s">
        <v>51</v>
      </c>
      <c r="S7" s="23"/>
      <c r="T7" s="23"/>
      <c r="U7" s="23"/>
      <c r="V7" s="23"/>
      <c r="W7" s="23"/>
    </row>
    <row r="8" spans="1:24" s="17" customFormat="1" ht="28" x14ac:dyDescent="0.35">
      <c r="A8" s="12">
        <v>7</v>
      </c>
      <c r="B8" s="13" t="s">
        <v>606</v>
      </c>
      <c r="C8" s="14" t="s">
        <v>607</v>
      </c>
      <c r="D8" s="26" t="str">
        <f t="shared" si="1"/>
        <v>Laki-Laki</v>
      </c>
      <c r="E8" s="13"/>
      <c r="F8" s="46"/>
      <c r="G8" s="13" t="s">
        <v>588</v>
      </c>
      <c r="H8" s="15" t="s">
        <v>608</v>
      </c>
      <c r="I8" s="15" t="s">
        <v>90</v>
      </c>
      <c r="J8" s="12" t="s">
        <v>26</v>
      </c>
      <c r="K8" s="15" t="s">
        <v>394</v>
      </c>
      <c r="L8" s="23" t="s">
        <v>118</v>
      </c>
      <c r="M8" s="21">
        <v>2020</v>
      </c>
      <c r="N8" s="15" t="str">
        <f t="shared" si="0"/>
        <v xml:space="preserve">Januari </v>
      </c>
      <c r="O8" s="15">
        <v>2022</v>
      </c>
      <c r="P8" s="15">
        <v>2020</v>
      </c>
      <c r="Q8" s="15"/>
      <c r="R8" s="16" t="s">
        <v>51</v>
      </c>
      <c r="S8" s="15"/>
      <c r="T8" s="15"/>
      <c r="U8" s="15"/>
      <c r="V8" s="15"/>
      <c r="W8" s="15"/>
      <c r="X8" s="17" t="s">
        <v>609</v>
      </c>
    </row>
    <row r="9" spans="1:24" s="17" customFormat="1" ht="28" x14ac:dyDescent="0.35">
      <c r="A9" s="12">
        <v>8</v>
      </c>
      <c r="B9" s="13" t="s">
        <v>610</v>
      </c>
      <c r="C9" s="14" t="s">
        <v>611</v>
      </c>
      <c r="D9" s="26" t="str">
        <f t="shared" si="1"/>
        <v>Laki-Laki</v>
      </c>
      <c r="E9" s="13"/>
      <c r="F9" s="13"/>
      <c r="G9" s="13" t="s">
        <v>588</v>
      </c>
      <c r="H9" s="15" t="s">
        <v>612</v>
      </c>
      <c r="I9" s="15" t="s">
        <v>90</v>
      </c>
      <c r="J9" s="12" t="s">
        <v>45</v>
      </c>
      <c r="K9" s="15" t="s">
        <v>613</v>
      </c>
      <c r="L9" s="23" t="s">
        <v>614</v>
      </c>
      <c r="M9" s="21">
        <v>2020</v>
      </c>
      <c r="N9" s="15" t="str">
        <f t="shared" si="0"/>
        <v>Juni</v>
      </c>
      <c r="O9" s="15">
        <v>2024</v>
      </c>
      <c r="P9" s="15">
        <v>2020</v>
      </c>
      <c r="Q9" s="15"/>
      <c r="R9" s="34" t="s">
        <v>51</v>
      </c>
      <c r="S9" s="21"/>
      <c r="T9" s="21"/>
      <c r="U9" s="21"/>
      <c r="V9" s="21"/>
      <c r="W9" s="21"/>
    </row>
    <row r="10" spans="1:24" s="17" customFormat="1" ht="28" x14ac:dyDescent="0.35">
      <c r="A10" s="12">
        <v>9</v>
      </c>
      <c r="B10" s="13" t="s">
        <v>615</v>
      </c>
      <c r="C10" s="14" t="s">
        <v>616</v>
      </c>
      <c r="D10" s="26" t="str">
        <f t="shared" si="1"/>
        <v>Laki-Laki</v>
      </c>
      <c r="E10" s="13"/>
      <c r="F10" s="13"/>
      <c r="G10" s="13" t="s">
        <v>588</v>
      </c>
      <c r="H10" s="15" t="s">
        <v>589</v>
      </c>
      <c r="I10" s="15" t="s">
        <v>90</v>
      </c>
      <c r="J10" s="12" t="s">
        <v>45</v>
      </c>
      <c r="K10" s="15" t="s">
        <v>617</v>
      </c>
      <c r="L10" s="12" t="s">
        <v>60</v>
      </c>
      <c r="M10" s="12">
        <v>2020</v>
      </c>
      <c r="N10" s="15" t="str">
        <f t="shared" si="0"/>
        <v>Agustus</v>
      </c>
      <c r="O10" s="15">
        <v>2024</v>
      </c>
      <c r="P10" s="15">
        <v>2021</v>
      </c>
      <c r="Q10" s="15"/>
      <c r="R10" s="34" t="s">
        <v>51</v>
      </c>
      <c r="S10" s="21"/>
      <c r="T10" s="21"/>
      <c r="U10" s="21"/>
      <c r="V10" s="21"/>
      <c r="W10" s="21"/>
    </row>
    <row r="11" spans="1:24" s="17" customFormat="1" ht="28" x14ac:dyDescent="0.35">
      <c r="A11" s="12">
        <v>10</v>
      </c>
      <c r="B11" s="13" t="s">
        <v>618</v>
      </c>
      <c r="C11" s="14" t="s">
        <v>619</v>
      </c>
      <c r="D11" s="26" t="str">
        <f t="shared" si="1"/>
        <v>Laki-Laki</v>
      </c>
      <c r="E11" s="13"/>
      <c r="F11" s="13"/>
      <c r="G11" s="13" t="s">
        <v>588</v>
      </c>
      <c r="H11" s="15" t="s">
        <v>589</v>
      </c>
      <c r="I11" s="15" t="s">
        <v>590</v>
      </c>
      <c r="J11" s="12" t="s">
        <v>26</v>
      </c>
      <c r="K11" s="15" t="s">
        <v>46</v>
      </c>
      <c r="L11" s="12" t="s">
        <v>28</v>
      </c>
      <c r="M11" s="12">
        <v>2020</v>
      </c>
      <c r="N11" s="15" t="str">
        <f t="shared" si="0"/>
        <v>September</v>
      </c>
      <c r="O11" s="15">
        <v>2023</v>
      </c>
      <c r="P11" s="15">
        <v>2021</v>
      </c>
      <c r="Q11" s="15"/>
      <c r="R11" s="34" t="s">
        <v>29</v>
      </c>
      <c r="S11" s="21"/>
      <c r="T11" s="21"/>
      <c r="U11" s="21"/>
      <c r="V11" s="21"/>
      <c r="W11" s="21"/>
    </row>
    <row r="12" spans="1:24" s="17" customFormat="1" ht="28" x14ac:dyDescent="0.35">
      <c r="A12" s="12">
        <v>11</v>
      </c>
      <c r="B12" s="13" t="s">
        <v>620</v>
      </c>
      <c r="C12" s="14" t="s">
        <v>621</v>
      </c>
      <c r="D12" s="26" t="str">
        <f t="shared" si="1"/>
        <v>Laki-Laki</v>
      </c>
      <c r="E12" s="13" t="s">
        <v>188</v>
      </c>
      <c r="F12" s="13" t="s">
        <v>622</v>
      </c>
      <c r="G12" s="13" t="s">
        <v>588</v>
      </c>
      <c r="H12" s="15" t="s">
        <v>597</v>
      </c>
      <c r="I12" s="15" t="s">
        <v>623</v>
      </c>
      <c r="J12" s="12" t="s">
        <v>26</v>
      </c>
      <c r="K12" s="15" t="s">
        <v>624</v>
      </c>
      <c r="L12" s="12" t="s">
        <v>169</v>
      </c>
      <c r="M12" s="12">
        <v>2020</v>
      </c>
      <c r="N12" s="15" t="str">
        <f t="shared" si="0"/>
        <v>Oktober</v>
      </c>
      <c r="O12" s="15">
        <v>2022</v>
      </c>
      <c r="P12" s="15">
        <v>2021</v>
      </c>
      <c r="Q12" s="15"/>
      <c r="R12" s="34" t="s">
        <v>51</v>
      </c>
      <c r="S12" s="21"/>
      <c r="T12" s="21"/>
      <c r="U12" s="21"/>
      <c r="V12" s="21"/>
      <c r="W12" s="21"/>
      <c r="X12" s="17" t="s">
        <v>304</v>
      </c>
    </row>
    <row r="13" spans="1:24" s="17" customFormat="1" ht="28" x14ac:dyDescent="0.35">
      <c r="A13" s="12">
        <v>12</v>
      </c>
      <c r="B13" s="13" t="s">
        <v>625</v>
      </c>
      <c r="C13" s="14" t="s">
        <v>626</v>
      </c>
      <c r="D13" s="26" t="str">
        <f t="shared" si="1"/>
        <v>Perempuan</v>
      </c>
      <c r="E13" s="13" t="s">
        <v>188</v>
      </c>
      <c r="F13" s="13" t="s">
        <v>627</v>
      </c>
      <c r="G13" s="13" t="s">
        <v>588</v>
      </c>
      <c r="H13" s="15" t="s">
        <v>628</v>
      </c>
      <c r="I13" s="15" t="s">
        <v>629</v>
      </c>
      <c r="J13" s="12" t="s">
        <v>26</v>
      </c>
      <c r="K13" s="15" t="s">
        <v>630</v>
      </c>
      <c r="L13" s="12" t="s">
        <v>28</v>
      </c>
      <c r="M13" s="12">
        <v>2020</v>
      </c>
      <c r="N13" s="15" t="str">
        <f t="shared" si="0"/>
        <v>September</v>
      </c>
      <c r="O13" s="15">
        <v>2022</v>
      </c>
      <c r="P13" s="15">
        <v>2021</v>
      </c>
      <c r="Q13" s="15"/>
      <c r="R13" s="34" t="s">
        <v>29</v>
      </c>
      <c r="S13" s="21"/>
      <c r="T13" s="21"/>
      <c r="U13" s="21"/>
      <c r="V13" s="21"/>
      <c r="W13" s="21"/>
    </row>
    <row r="14" spans="1:24" s="17" customFormat="1" ht="28" x14ac:dyDescent="0.35">
      <c r="A14" s="12">
        <v>13</v>
      </c>
      <c r="B14" s="13" t="s">
        <v>631</v>
      </c>
      <c r="C14" s="14" t="s">
        <v>632</v>
      </c>
      <c r="D14" s="26" t="str">
        <f t="shared" si="1"/>
        <v>Perempuan</v>
      </c>
      <c r="E14" s="13"/>
      <c r="F14" s="13"/>
      <c r="G14" s="13" t="s">
        <v>588</v>
      </c>
      <c r="H14" s="15" t="s">
        <v>597</v>
      </c>
      <c r="I14" s="15" t="s">
        <v>633</v>
      </c>
      <c r="J14" s="12" t="s">
        <v>26</v>
      </c>
      <c r="K14" s="15" t="s">
        <v>394</v>
      </c>
      <c r="L14" s="12"/>
      <c r="M14" s="12"/>
      <c r="N14" s="15">
        <f t="shared" si="0"/>
        <v>0</v>
      </c>
      <c r="O14" s="15"/>
      <c r="P14" s="15">
        <v>2021</v>
      </c>
      <c r="Q14" s="15"/>
      <c r="R14" s="34" t="s">
        <v>51</v>
      </c>
      <c r="S14" s="21"/>
      <c r="T14" s="21"/>
      <c r="U14" s="21"/>
      <c r="V14" s="21"/>
      <c r="W14" s="21"/>
    </row>
    <row r="15" spans="1:24" s="17" customFormat="1" ht="28" x14ac:dyDescent="0.35">
      <c r="A15" s="12">
        <v>14</v>
      </c>
      <c r="B15" s="13" t="s">
        <v>634</v>
      </c>
      <c r="C15" s="14" t="s">
        <v>635</v>
      </c>
      <c r="D15" s="26" t="str">
        <f t="shared" si="1"/>
        <v>Laki-Laki</v>
      </c>
      <c r="E15" s="13"/>
      <c r="F15" s="13"/>
      <c r="G15" s="13" t="s">
        <v>588</v>
      </c>
      <c r="H15" s="15" t="s">
        <v>636</v>
      </c>
      <c r="I15" s="15" t="s">
        <v>90</v>
      </c>
      <c r="J15" s="12" t="s">
        <v>45</v>
      </c>
      <c r="K15" s="15" t="s">
        <v>40</v>
      </c>
      <c r="L15" s="12" t="s">
        <v>35</v>
      </c>
      <c r="M15" s="12">
        <v>2021</v>
      </c>
      <c r="N15" s="15" t="str">
        <f t="shared" si="0"/>
        <v>Maret</v>
      </c>
      <c r="O15" s="15">
        <v>2025</v>
      </c>
      <c r="P15" s="15">
        <v>2021</v>
      </c>
      <c r="Q15" s="15"/>
      <c r="R15" s="34" t="s">
        <v>51</v>
      </c>
      <c r="S15" s="21"/>
      <c r="T15" s="21"/>
      <c r="U15" s="21"/>
      <c r="V15" s="21"/>
      <c r="W15" s="21"/>
    </row>
    <row r="16" spans="1:24" s="17" customFormat="1" ht="28" x14ac:dyDescent="0.35">
      <c r="A16" s="12">
        <v>15</v>
      </c>
      <c r="B16" s="13" t="s">
        <v>637</v>
      </c>
      <c r="C16" s="14" t="s">
        <v>638</v>
      </c>
      <c r="D16" s="26" t="str">
        <f t="shared" si="1"/>
        <v>Perempuan</v>
      </c>
      <c r="E16" s="13"/>
      <c r="F16" s="13"/>
      <c r="G16" s="13" t="s">
        <v>588</v>
      </c>
      <c r="H16" s="15" t="s">
        <v>639</v>
      </c>
      <c r="I16" s="15" t="s">
        <v>90</v>
      </c>
      <c r="J16" s="12" t="s">
        <v>45</v>
      </c>
      <c r="K16" s="15" t="s">
        <v>196</v>
      </c>
      <c r="L16" s="12" t="s">
        <v>113</v>
      </c>
      <c r="M16" s="12">
        <v>2021</v>
      </c>
      <c r="N16" s="15" t="str">
        <f t="shared" si="0"/>
        <v>April</v>
      </c>
      <c r="O16" s="15">
        <v>2023</v>
      </c>
      <c r="P16" s="15">
        <v>2021</v>
      </c>
      <c r="Q16" s="15"/>
      <c r="R16" s="34" t="s">
        <v>29</v>
      </c>
      <c r="S16" s="21"/>
      <c r="T16" s="21"/>
      <c r="U16" s="21"/>
      <c r="V16" s="21"/>
      <c r="W16" s="21"/>
    </row>
    <row r="17" spans="1:23" s="17" customFormat="1" ht="28" x14ac:dyDescent="0.35">
      <c r="A17" s="12">
        <v>16</v>
      </c>
      <c r="B17" s="13" t="s">
        <v>640</v>
      </c>
      <c r="C17" s="14" t="s">
        <v>641</v>
      </c>
      <c r="D17" s="26" t="str">
        <f t="shared" si="1"/>
        <v>Laki-Laki</v>
      </c>
      <c r="E17" s="13"/>
      <c r="F17" s="13"/>
      <c r="G17" s="13" t="s">
        <v>588</v>
      </c>
      <c r="H17" s="15" t="s">
        <v>639</v>
      </c>
      <c r="I17" s="15" t="s">
        <v>90</v>
      </c>
      <c r="J17" s="12" t="s">
        <v>26</v>
      </c>
      <c r="K17" s="15" t="s">
        <v>394</v>
      </c>
      <c r="L17" s="12" t="s">
        <v>35</v>
      </c>
      <c r="M17" s="12">
        <v>2021</v>
      </c>
      <c r="N17" s="15" t="str">
        <f t="shared" si="0"/>
        <v>Maret</v>
      </c>
      <c r="O17" s="15">
        <v>2023</v>
      </c>
      <c r="P17" s="15">
        <v>2021</v>
      </c>
      <c r="Q17" s="15"/>
      <c r="R17" s="34" t="s">
        <v>51</v>
      </c>
      <c r="S17" s="21"/>
      <c r="T17" s="21"/>
      <c r="U17" s="21"/>
      <c r="V17" s="21"/>
      <c r="W17" s="21"/>
    </row>
    <row r="18" spans="1:23" s="17" customFormat="1" ht="28" x14ac:dyDescent="0.35">
      <c r="A18" s="12">
        <v>17</v>
      </c>
      <c r="B18" s="13" t="s">
        <v>642</v>
      </c>
      <c r="C18" s="14" t="s">
        <v>643</v>
      </c>
      <c r="D18" s="26" t="str">
        <f t="shared" si="1"/>
        <v>Laki-Laki</v>
      </c>
      <c r="E18" s="13"/>
      <c r="F18" s="13"/>
      <c r="G18" s="13" t="s">
        <v>588</v>
      </c>
      <c r="H18" s="15" t="s">
        <v>639</v>
      </c>
      <c r="I18" s="15" t="s">
        <v>90</v>
      </c>
      <c r="J18" s="12" t="s">
        <v>26</v>
      </c>
      <c r="K18" s="15" t="s">
        <v>394</v>
      </c>
      <c r="L18" s="12" t="s">
        <v>35</v>
      </c>
      <c r="M18" s="12">
        <v>2021</v>
      </c>
      <c r="N18" s="15" t="str">
        <f t="shared" si="0"/>
        <v>Maret</v>
      </c>
      <c r="O18" s="15">
        <v>2023</v>
      </c>
      <c r="P18" s="15">
        <v>2021</v>
      </c>
      <c r="Q18" s="15"/>
      <c r="R18" s="34" t="s">
        <v>51</v>
      </c>
      <c r="S18" s="21"/>
      <c r="T18" s="21"/>
      <c r="U18" s="21"/>
      <c r="V18" s="21"/>
      <c r="W18" s="21"/>
    </row>
    <row r="19" spans="1:23" s="17" customFormat="1" ht="28" x14ac:dyDescent="0.35">
      <c r="A19" s="12">
        <v>18</v>
      </c>
      <c r="B19" s="13" t="s">
        <v>644</v>
      </c>
      <c r="C19" s="14" t="s">
        <v>645</v>
      </c>
      <c r="D19" s="26" t="str">
        <f t="shared" si="1"/>
        <v>Perempuan</v>
      </c>
      <c r="E19" s="13"/>
      <c r="F19" s="13"/>
      <c r="G19" s="13" t="s">
        <v>588</v>
      </c>
      <c r="H19" s="15" t="s">
        <v>646</v>
      </c>
      <c r="I19" s="15" t="s">
        <v>647</v>
      </c>
      <c r="J19" s="12" t="s">
        <v>26</v>
      </c>
      <c r="K19" s="15" t="s">
        <v>648</v>
      </c>
      <c r="L19" s="23" t="s">
        <v>28</v>
      </c>
      <c r="M19" s="21">
        <v>2022</v>
      </c>
      <c r="N19" s="15" t="str">
        <f t="shared" si="0"/>
        <v>September</v>
      </c>
      <c r="O19" s="15">
        <v>2024</v>
      </c>
      <c r="P19" s="15">
        <v>2022</v>
      </c>
      <c r="Q19" s="15"/>
      <c r="R19" s="16" t="s">
        <v>51</v>
      </c>
      <c r="S19" s="15"/>
      <c r="T19" s="15"/>
      <c r="U19" s="15"/>
      <c r="V19" s="15"/>
      <c r="W19" s="15"/>
    </row>
    <row r="20" spans="1:23" s="17" customFormat="1" ht="28" x14ac:dyDescent="0.35">
      <c r="A20" s="12">
        <v>19</v>
      </c>
      <c r="B20" s="13" t="s">
        <v>649</v>
      </c>
      <c r="C20" s="14" t="s">
        <v>650</v>
      </c>
      <c r="D20" s="26" t="str">
        <f t="shared" si="1"/>
        <v>Laki-Laki</v>
      </c>
      <c r="E20" s="13"/>
      <c r="F20" s="13"/>
      <c r="G20" s="13" t="s">
        <v>588</v>
      </c>
      <c r="H20" s="15" t="s">
        <v>639</v>
      </c>
      <c r="I20" s="15" t="s">
        <v>90</v>
      </c>
      <c r="J20" s="12" t="s">
        <v>45</v>
      </c>
      <c r="K20" s="15" t="s">
        <v>651</v>
      </c>
      <c r="L20" s="23" t="s">
        <v>652</v>
      </c>
      <c r="M20" s="21">
        <v>2022</v>
      </c>
      <c r="N20" s="15" t="str">
        <f t="shared" si="0"/>
        <v>Mei</v>
      </c>
      <c r="O20" s="15">
        <v>2026</v>
      </c>
      <c r="P20" s="15">
        <v>2022</v>
      </c>
      <c r="Q20" s="15"/>
      <c r="R20" s="16" t="s">
        <v>51</v>
      </c>
      <c r="S20" s="15"/>
      <c r="T20" s="15"/>
      <c r="U20" s="15"/>
      <c r="V20" s="15"/>
      <c r="W20" s="15"/>
    </row>
    <row r="21" spans="1:23" s="17" customFormat="1" ht="42" x14ac:dyDescent="0.35">
      <c r="A21" s="12">
        <v>20</v>
      </c>
      <c r="B21" s="13" t="s">
        <v>653</v>
      </c>
      <c r="C21" s="14" t="s">
        <v>654</v>
      </c>
      <c r="D21" s="26" t="str">
        <f t="shared" si="1"/>
        <v>Laki-Laki</v>
      </c>
      <c r="E21" s="13"/>
      <c r="F21" s="13"/>
      <c r="G21" s="13" t="s">
        <v>588</v>
      </c>
      <c r="H21" s="15" t="s">
        <v>655</v>
      </c>
      <c r="I21" s="15" t="s">
        <v>647</v>
      </c>
      <c r="J21" s="12" t="s">
        <v>26</v>
      </c>
      <c r="K21" s="15" t="s">
        <v>656</v>
      </c>
      <c r="L21" s="21" t="s">
        <v>60</v>
      </c>
      <c r="M21" s="21">
        <v>2022</v>
      </c>
      <c r="N21" s="15" t="str">
        <f t="shared" si="0"/>
        <v>Agustus</v>
      </c>
      <c r="O21" s="15">
        <v>2024</v>
      </c>
      <c r="P21" s="15">
        <v>2022</v>
      </c>
      <c r="Q21" s="15"/>
      <c r="R21" s="16" t="s">
        <v>51</v>
      </c>
      <c r="S21" s="15"/>
      <c r="T21" s="15"/>
      <c r="U21" s="15"/>
      <c r="V21" s="15"/>
      <c r="W21" s="15"/>
    </row>
    <row r="22" spans="1:23" s="17" customFormat="1" ht="14.5" x14ac:dyDescent="0.35">
      <c r="A22" s="12">
        <v>21</v>
      </c>
      <c r="B22" s="13" t="s">
        <v>657</v>
      </c>
      <c r="C22" s="14"/>
      <c r="D22" s="26" t="str">
        <f t="shared" si="1"/>
        <v>Perempuan</v>
      </c>
      <c r="E22" s="13"/>
      <c r="F22" s="13"/>
      <c r="G22" s="13" t="s">
        <v>588</v>
      </c>
      <c r="H22" s="15"/>
      <c r="I22" s="15" t="s">
        <v>658</v>
      </c>
      <c r="J22" s="12" t="s">
        <v>26</v>
      </c>
      <c r="K22" s="15" t="s">
        <v>659</v>
      </c>
      <c r="L22" s="23"/>
      <c r="M22" s="21"/>
      <c r="N22" s="15">
        <f t="shared" si="0"/>
        <v>0</v>
      </c>
      <c r="O22" s="15"/>
      <c r="P22" s="15">
        <v>2022</v>
      </c>
      <c r="Q22" s="15"/>
      <c r="R22" s="16" t="s">
        <v>51</v>
      </c>
      <c r="S22" s="15"/>
      <c r="T22" s="15"/>
      <c r="U22" s="15"/>
      <c r="V22" s="15"/>
      <c r="W22" s="15"/>
    </row>
    <row r="23" spans="1:23" s="17" customFormat="1" ht="28" x14ac:dyDescent="0.35">
      <c r="A23" s="12">
        <v>22</v>
      </c>
      <c r="B23" s="66" t="s">
        <v>660</v>
      </c>
      <c r="C23" s="63" t="s">
        <v>661</v>
      </c>
      <c r="D23" s="26" t="str">
        <f t="shared" si="1"/>
        <v>Laki-Laki</v>
      </c>
      <c r="E23" s="24" t="s">
        <v>109</v>
      </c>
      <c r="F23" s="64" t="s">
        <v>662</v>
      </c>
      <c r="G23" s="13" t="s">
        <v>588</v>
      </c>
      <c r="H23" s="19" t="s">
        <v>663</v>
      </c>
      <c r="I23" s="19" t="s">
        <v>90</v>
      </c>
      <c r="J23" s="20" t="s">
        <v>26</v>
      </c>
      <c r="K23" s="19" t="s">
        <v>664</v>
      </c>
      <c r="L23" s="65" t="s">
        <v>462</v>
      </c>
      <c r="M23" s="15">
        <v>2023</v>
      </c>
      <c r="N23" s="15" t="str">
        <f t="shared" si="0"/>
        <v xml:space="preserve">Februari </v>
      </c>
      <c r="O23" s="15">
        <v>2025</v>
      </c>
      <c r="P23" s="15">
        <v>2023</v>
      </c>
      <c r="Q23" s="15"/>
      <c r="R23" s="16" t="s">
        <v>51</v>
      </c>
      <c r="S23" s="15"/>
      <c r="T23" s="15"/>
      <c r="U23" s="15"/>
      <c r="V23" s="15"/>
      <c r="W23" s="15"/>
    </row>
    <row r="24" spans="1:23" s="17" customFormat="1" ht="28" x14ac:dyDescent="0.35">
      <c r="A24" s="12">
        <v>23</v>
      </c>
      <c r="B24" s="66" t="s">
        <v>665</v>
      </c>
      <c r="C24" s="67" t="s">
        <v>666</v>
      </c>
      <c r="D24" s="26" t="str">
        <f t="shared" si="1"/>
        <v>Perempuan</v>
      </c>
      <c r="E24" s="24" t="s">
        <v>87</v>
      </c>
      <c r="F24" s="68" t="s">
        <v>88</v>
      </c>
      <c r="G24" s="13" t="s">
        <v>588</v>
      </c>
      <c r="H24" s="19" t="s">
        <v>663</v>
      </c>
      <c r="I24" s="19" t="s">
        <v>90</v>
      </c>
      <c r="J24" s="20" t="s">
        <v>45</v>
      </c>
      <c r="K24" s="19" t="s">
        <v>667</v>
      </c>
      <c r="L24" s="65" t="s">
        <v>92</v>
      </c>
      <c r="M24" s="15">
        <v>2023</v>
      </c>
      <c r="N24" s="15" t="str">
        <f t="shared" si="0"/>
        <v xml:space="preserve">April </v>
      </c>
      <c r="O24" s="15">
        <v>2027</v>
      </c>
      <c r="P24" s="15">
        <v>2023</v>
      </c>
      <c r="Q24" s="15"/>
      <c r="R24" s="16" t="s">
        <v>51</v>
      </c>
      <c r="S24" s="15"/>
      <c r="T24" s="15"/>
      <c r="U24" s="15"/>
      <c r="V24" s="15"/>
      <c r="W24" s="15"/>
    </row>
    <row r="25" spans="1:23" s="17" customFormat="1" ht="28" x14ac:dyDescent="0.35">
      <c r="A25" s="12">
        <v>24</v>
      </c>
      <c r="B25" s="66" t="s">
        <v>668</v>
      </c>
      <c r="C25" s="67" t="s">
        <v>669</v>
      </c>
      <c r="D25" s="26" t="str">
        <f t="shared" si="1"/>
        <v>Perempuan</v>
      </c>
      <c r="E25" s="24" t="s">
        <v>87</v>
      </c>
      <c r="F25" s="68" t="s">
        <v>88</v>
      </c>
      <c r="G25" s="13" t="s">
        <v>588</v>
      </c>
      <c r="H25" s="19" t="s">
        <v>663</v>
      </c>
      <c r="I25" s="19" t="s">
        <v>90</v>
      </c>
      <c r="J25" s="20" t="s">
        <v>45</v>
      </c>
      <c r="K25" s="19" t="s">
        <v>667</v>
      </c>
      <c r="L25" s="65" t="s">
        <v>92</v>
      </c>
      <c r="M25" s="15">
        <v>2023</v>
      </c>
      <c r="N25" s="15" t="str">
        <f t="shared" si="0"/>
        <v xml:space="preserve">April </v>
      </c>
      <c r="O25" s="15">
        <v>2027</v>
      </c>
      <c r="P25" s="15">
        <v>2023</v>
      </c>
      <c r="Q25" s="15"/>
      <c r="R25" s="16" t="s">
        <v>51</v>
      </c>
      <c r="S25" s="15"/>
      <c r="T25" s="15"/>
      <c r="U25" s="15"/>
      <c r="V25" s="15"/>
      <c r="W25" s="15"/>
    </row>
    <row r="26" spans="1:23" s="17" customFormat="1" ht="28" x14ac:dyDescent="0.35">
      <c r="A26" s="12">
        <v>25</v>
      </c>
      <c r="B26" s="66" t="s">
        <v>670</v>
      </c>
      <c r="C26" s="67" t="s">
        <v>671</v>
      </c>
      <c r="D26" s="26" t="str">
        <f t="shared" si="1"/>
        <v>Perempuan</v>
      </c>
      <c r="E26" s="24" t="s">
        <v>109</v>
      </c>
      <c r="F26" s="68" t="s">
        <v>672</v>
      </c>
      <c r="G26" s="13" t="s">
        <v>588</v>
      </c>
      <c r="H26" s="19" t="s">
        <v>673</v>
      </c>
      <c r="I26" s="19" t="s">
        <v>629</v>
      </c>
      <c r="J26" s="20" t="s">
        <v>26</v>
      </c>
      <c r="K26" s="19" t="s">
        <v>674</v>
      </c>
      <c r="L26" s="65" t="s">
        <v>145</v>
      </c>
      <c r="M26" s="15">
        <v>2023</v>
      </c>
      <c r="N26" s="15" t="str">
        <f t="shared" si="0"/>
        <v xml:space="preserve">Agustus </v>
      </c>
      <c r="O26" s="15">
        <v>2025</v>
      </c>
      <c r="P26" s="15">
        <v>2023</v>
      </c>
      <c r="Q26" s="15"/>
      <c r="R26" s="16" t="s">
        <v>51</v>
      </c>
      <c r="S26" s="15"/>
      <c r="T26" s="15"/>
      <c r="U26" s="15"/>
      <c r="V26" s="15"/>
      <c r="W26" s="15"/>
    </row>
    <row r="27" spans="1:23" s="17" customFormat="1" ht="28" x14ac:dyDescent="0.35">
      <c r="A27" s="12">
        <v>26</v>
      </c>
      <c r="B27" s="66" t="s">
        <v>675</v>
      </c>
      <c r="C27" s="67" t="s">
        <v>676</v>
      </c>
      <c r="D27" s="26" t="str">
        <f t="shared" si="1"/>
        <v>Laki-Laki</v>
      </c>
      <c r="E27" s="24" t="s">
        <v>370</v>
      </c>
      <c r="F27" s="68" t="s">
        <v>627</v>
      </c>
      <c r="G27" s="13" t="s">
        <v>588</v>
      </c>
      <c r="H27" s="88" t="s">
        <v>677</v>
      </c>
      <c r="I27" s="19" t="s">
        <v>90</v>
      </c>
      <c r="J27" s="20" t="s">
        <v>26</v>
      </c>
      <c r="K27" s="19" t="s">
        <v>667</v>
      </c>
      <c r="L27" s="65" t="s">
        <v>123</v>
      </c>
      <c r="M27" s="15">
        <v>2023</v>
      </c>
      <c r="N27" s="15" t="str">
        <f t="shared" si="0"/>
        <v xml:space="preserve">Maret </v>
      </c>
      <c r="O27" s="15">
        <v>2025</v>
      </c>
      <c r="P27" s="15">
        <v>2023</v>
      </c>
      <c r="Q27" s="15"/>
      <c r="R27" s="16" t="s">
        <v>51</v>
      </c>
      <c r="S27" s="15"/>
      <c r="T27" s="15"/>
      <c r="U27" s="15"/>
      <c r="V27" s="15"/>
      <c r="W27" s="15"/>
    </row>
    <row r="28" spans="1:23" s="17" customFormat="1" ht="28" x14ac:dyDescent="0.35">
      <c r="A28" s="12">
        <v>27</v>
      </c>
      <c r="B28" s="66" t="s">
        <v>678</v>
      </c>
      <c r="C28" s="63" t="s">
        <v>679</v>
      </c>
      <c r="D28" s="26" t="str">
        <f t="shared" si="1"/>
        <v>Laki-Laki</v>
      </c>
      <c r="E28" s="24" t="s">
        <v>126</v>
      </c>
      <c r="F28" s="64" t="s">
        <v>680</v>
      </c>
      <c r="G28" s="13" t="s">
        <v>588</v>
      </c>
      <c r="H28" s="19" t="s">
        <v>681</v>
      </c>
      <c r="I28" s="19" t="s">
        <v>563</v>
      </c>
      <c r="J28" s="20" t="s">
        <v>26</v>
      </c>
      <c r="K28" s="19" t="s">
        <v>564</v>
      </c>
      <c r="L28" s="65" t="s">
        <v>682</v>
      </c>
      <c r="M28" s="15">
        <v>2023</v>
      </c>
      <c r="N28" s="15" t="str">
        <f t="shared" si="0"/>
        <v xml:space="preserve">September   </v>
      </c>
      <c r="O28" s="15">
        <v>2025</v>
      </c>
      <c r="P28" s="15">
        <v>2023</v>
      </c>
      <c r="Q28" s="15"/>
      <c r="R28" s="16" t="s">
        <v>51</v>
      </c>
      <c r="S28" s="15"/>
      <c r="T28" s="15"/>
      <c r="U28" s="15"/>
      <c r="V28" s="15"/>
      <c r="W28" s="15"/>
    </row>
    <row r="29" spans="1:23" s="17" customFormat="1" ht="28" x14ac:dyDescent="0.35">
      <c r="A29" s="12">
        <v>28</v>
      </c>
      <c r="B29" s="66" t="s">
        <v>683</v>
      </c>
      <c r="C29" s="67" t="s">
        <v>684</v>
      </c>
      <c r="D29" s="26" t="str">
        <f t="shared" si="1"/>
        <v>Laki-Laki</v>
      </c>
      <c r="E29" s="24" t="s">
        <v>471</v>
      </c>
      <c r="F29" s="68" t="s">
        <v>397</v>
      </c>
      <c r="G29" s="13" t="s">
        <v>588</v>
      </c>
      <c r="H29" s="19" t="s">
        <v>685</v>
      </c>
      <c r="I29" s="19" t="s">
        <v>629</v>
      </c>
      <c r="J29" s="20" t="s">
        <v>242</v>
      </c>
      <c r="K29" s="19" t="s">
        <v>686</v>
      </c>
      <c r="L29" s="65" t="s">
        <v>145</v>
      </c>
      <c r="M29" s="15">
        <v>2023</v>
      </c>
      <c r="N29" s="15" t="str">
        <f t="shared" si="0"/>
        <v xml:space="preserve">Agustus </v>
      </c>
      <c r="O29" s="15">
        <v>2026</v>
      </c>
      <c r="P29" s="15">
        <v>2023</v>
      </c>
      <c r="Q29" s="15"/>
      <c r="R29" s="16" t="s">
        <v>51</v>
      </c>
      <c r="S29" s="15"/>
      <c r="T29" s="15"/>
      <c r="U29" s="15"/>
      <c r="V29" s="15"/>
      <c r="W29" s="15"/>
    </row>
    <row r="30" spans="1:23" s="17" customFormat="1" ht="28" x14ac:dyDescent="0.35">
      <c r="A30" s="12">
        <v>29</v>
      </c>
      <c r="B30" s="66" t="s">
        <v>687</v>
      </c>
      <c r="C30" s="67" t="s">
        <v>688</v>
      </c>
      <c r="D30" s="26" t="str">
        <f t="shared" si="1"/>
        <v>Laki-Laki</v>
      </c>
      <c r="E30" s="24" t="s">
        <v>104</v>
      </c>
      <c r="F30" s="68" t="s">
        <v>689</v>
      </c>
      <c r="G30" s="13" t="s">
        <v>588</v>
      </c>
      <c r="H30" s="19" t="s">
        <v>685</v>
      </c>
      <c r="I30" s="19" t="s">
        <v>629</v>
      </c>
      <c r="J30" s="20" t="s">
        <v>26</v>
      </c>
      <c r="K30" s="19" t="s">
        <v>690</v>
      </c>
      <c r="L30" s="65" t="s">
        <v>145</v>
      </c>
      <c r="M30" s="15">
        <v>2023</v>
      </c>
      <c r="N30" s="15" t="str">
        <f t="shared" si="0"/>
        <v xml:space="preserve">Agustus </v>
      </c>
      <c r="O30" s="15">
        <v>2025</v>
      </c>
      <c r="P30" s="15">
        <v>2023</v>
      </c>
      <c r="Q30" s="15"/>
      <c r="R30" s="16" t="s">
        <v>51</v>
      </c>
      <c r="S30" s="15"/>
      <c r="T30" s="15"/>
      <c r="U30" s="15"/>
      <c r="V30" s="15"/>
      <c r="W30" s="15"/>
    </row>
    <row r="31" spans="1:23" s="17" customFormat="1" ht="28" x14ac:dyDescent="0.35">
      <c r="A31" s="12">
        <v>30</v>
      </c>
      <c r="B31" s="66" t="s">
        <v>691</v>
      </c>
      <c r="C31" s="63" t="s">
        <v>692</v>
      </c>
      <c r="D31" s="26" t="str">
        <f t="shared" si="1"/>
        <v>Perempuan</v>
      </c>
      <c r="E31" s="24" t="s">
        <v>126</v>
      </c>
      <c r="F31" s="64" t="s">
        <v>693</v>
      </c>
      <c r="G31" s="13" t="s">
        <v>588</v>
      </c>
      <c r="H31" s="19" t="s">
        <v>681</v>
      </c>
      <c r="I31" s="19" t="s">
        <v>563</v>
      </c>
      <c r="J31" s="20" t="s">
        <v>26</v>
      </c>
      <c r="K31" s="19" t="s">
        <v>694</v>
      </c>
      <c r="L31" s="65" t="s">
        <v>205</v>
      </c>
      <c r="M31" s="15">
        <v>2023</v>
      </c>
      <c r="N31" s="15" t="str">
        <f t="shared" si="0"/>
        <v xml:space="preserve">September </v>
      </c>
      <c r="O31" s="15">
        <v>2025</v>
      </c>
      <c r="P31" s="15">
        <v>2023</v>
      </c>
      <c r="Q31" s="15"/>
      <c r="R31" s="16" t="s">
        <v>51</v>
      </c>
      <c r="S31" s="15"/>
      <c r="T31" s="15"/>
      <c r="U31" s="15"/>
      <c r="V31" s="15"/>
      <c r="W31" s="15"/>
    </row>
    <row r="32" spans="1:23" s="17" customFormat="1" ht="28" x14ac:dyDescent="0.35">
      <c r="A32" s="12">
        <v>31</v>
      </c>
      <c r="B32" s="25" t="s">
        <v>695</v>
      </c>
      <c r="C32" s="69" t="s">
        <v>696</v>
      </c>
      <c r="D32" s="26" t="str">
        <f t="shared" si="1"/>
        <v>Perempuan</v>
      </c>
      <c r="E32" s="24" t="s">
        <v>126</v>
      </c>
      <c r="F32" s="64" t="s">
        <v>697</v>
      </c>
      <c r="G32" s="13" t="s">
        <v>588</v>
      </c>
      <c r="H32" s="19" t="s">
        <v>698</v>
      </c>
      <c r="I32" s="19" t="s">
        <v>90</v>
      </c>
      <c r="J32" s="20" t="s">
        <v>45</v>
      </c>
      <c r="K32" s="19" t="s">
        <v>46</v>
      </c>
      <c r="L32" s="70" t="s">
        <v>28</v>
      </c>
      <c r="M32" s="15">
        <v>2023</v>
      </c>
      <c r="N32" s="15" t="str">
        <f t="shared" si="0"/>
        <v>September</v>
      </c>
      <c r="O32" s="15">
        <v>2027</v>
      </c>
      <c r="P32" s="15">
        <v>2023</v>
      </c>
      <c r="Q32" s="15"/>
      <c r="R32" s="16" t="s">
        <v>51</v>
      </c>
      <c r="S32" s="15"/>
      <c r="T32" s="15"/>
      <c r="U32" s="15"/>
      <c r="V32" s="15"/>
      <c r="W32" s="15"/>
    </row>
    <row r="33" spans="1:23" s="17" customFormat="1" ht="28" x14ac:dyDescent="0.35">
      <c r="A33" s="12">
        <v>32</v>
      </c>
      <c r="B33" s="25" t="s">
        <v>699</v>
      </c>
      <c r="C33" s="69" t="s">
        <v>700</v>
      </c>
      <c r="D33" s="26" t="str">
        <f t="shared" si="1"/>
        <v>Laki-Laki</v>
      </c>
      <c r="E33" s="24" t="s">
        <v>370</v>
      </c>
      <c r="F33" s="64" t="s">
        <v>139</v>
      </c>
      <c r="G33" s="13" t="s">
        <v>588</v>
      </c>
      <c r="H33" s="19" t="s">
        <v>701</v>
      </c>
      <c r="I33" s="19" t="s">
        <v>90</v>
      </c>
      <c r="J33" s="20" t="s">
        <v>45</v>
      </c>
      <c r="K33" s="41" t="s">
        <v>702</v>
      </c>
      <c r="L33" s="70" t="s">
        <v>205</v>
      </c>
      <c r="M33" s="15">
        <v>2023</v>
      </c>
      <c r="N33" s="15" t="str">
        <f t="shared" si="0"/>
        <v xml:space="preserve">September </v>
      </c>
      <c r="O33" s="15">
        <v>2027</v>
      </c>
      <c r="P33" s="15">
        <v>2023</v>
      </c>
      <c r="Q33" s="15"/>
      <c r="R33" s="16" t="s">
        <v>51</v>
      </c>
      <c r="S33" s="15"/>
      <c r="T33" s="15"/>
      <c r="U33" s="15"/>
      <c r="V33" s="15"/>
      <c r="W33" s="15"/>
    </row>
    <row r="34" spans="1:23" s="17" customFormat="1" ht="28" x14ac:dyDescent="0.35">
      <c r="A34" s="12">
        <v>33</v>
      </c>
      <c r="B34" s="25" t="s">
        <v>703</v>
      </c>
      <c r="C34" s="69" t="s">
        <v>704</v>
      </c>
      <c r="D34" s="26" t="str">
        <f t="shared" si="1"/>
        <v>Laki-Laki</v>
      </c>
      <c r="E34" s="24" t="s">
        <v>109</v>
      </c>
      <c r="F34" s="72" t="s">
        <v>662</v>
      </c>
      <c r="G34" s="13" t="s">
        <v>588</v>
      </c>
      <c r="H34" s="19" t="s">
        <v>705</v>
      </c>
      <c r="I34" s="19" t="s">
        <v>485</v>
      </c>
      <c r="J34" s="20" t="s">
        <v>26</v>
      </c>
      <c r="K34" s="19" t="s">
        <v>449</v>
      </c>
      <c r="L34" s="70" t="s">
        <v>60</v>
      </c>
      <c r="M34" s="15">
        <v>2023</v>
      </c>
      <c r="N34" s="15" t="str">
        <f t="shared" si="0"/>
        <v>Agustus</v>
      </c>
      <c r="O34" s="15">
        <v>2025</v>
      </c>
      <c r="P34" s="15">
        <v>2023</v>
      </c>
      <c r="Q34" s="15"/>
      <c r="R34" s="16" t="s">
        <v>51</v>
      </c>
      <c r="S34" s="15"/>
      <c r="T34" s="15"/>
      <c r="U34" s="15"/>
      <c r="V34" s="15"/>
      <c r="W34" s="15"/>
    </row>
    <row r="35" spans="1:23" s="17" customFormat="1" ht="28" x14ac:dyDescent="0.35">
      <c r="A35" s="12">
        <v>34</v>
      </c>
      <c r="B35" s="25" t="s">
        <v>706</v>
      </c>
      <c r="C35" s="69" t="s">
        <v>707</v>
      </c>
      <c r="D35" s="26" t="str">
        <f t="shared" si="1"/>
        <v>Laki-Laki</v>
      </c>
      <c r="E35" s="24" t="s">
        <v>109</v>
      </c>
      <c r="F35" s="72" t="s">
        <v>708</v>
      </c>
      <c r="G35" s="13" t="s">
        <v>588</v>
      </c>
      <c r="H35" s="19" t="s">
        <v>705</v>
      </c>
      <c r="I35" s="19" t="s">
        <v>485</v>
      </c>
      <c r="J35" s="20" t="s">
        <v>26</v>
      </c>
      <c r="K35" s="19" t="s">
        <v>449</v>
      </c>
      <c r="L35" s="70" t="s">
        <v>145</v>
      </c>
      <c r="M35" s="15">
        <v>2023</v>
      </c>
      <c r="N35" s="15" t="str">
        <f t="shared" si="0"/>
        <v xml:space="preserve">Agustus </v>
      </c>
      <c r="O35" s="15">
        <v>2025</v>
      </c>
      <c r="P35" s="15">
        <v>2023</v>
      </c>
      <c r="Q35" s="15"/>
      <c r="R35" s="16" t="s">
        <v>51</v>
      </c>
      <c r="S35" s="15"/>
      <c r="T35" s="15"/>
      <c r="U35" s="15"/>
      <c r="V35" s="15"/>
      <c r="W35" s="15"/>
    </row>
    <row r="36" spans="1:23" s="17" customFormat="1" ht="28" x14ac:dyDescent="0.35">
      <c r="A36" s="12">
        <v>35</v>
      </c>
      <c r="B36" s="25" t="s">
        <v>709</v>
      </c>
      <c r="C36" s="69" t="s">
        <v>710</v>
      </c>
      <c r="D36" s="26" t="str">
        <f t="shared" si="1"/>
        <v>Laki-Laki</v>
      </c>
      <c r="E36" s="24" t="s">
        <v>370</v>
      </c>
      <c r="F36" s="72" t="s">
        <v>711</v>
      </c>
      <c r="G36" s="13" t="s">
        <v>588</v>
      </c>
      <c r="H36" s="19" t="s">
        <v>712</v>
      </c>
      <c r="I36" s="19" t="s">
        <v>563</v>
      </c>
      <c r="J36" s="20" t="s">
        <v>26</v>
      </c>
      <c r="K36" s="19" t="s">
        <v>694</v>
      </c>
      <c r="L36" s="70" t="s">
        <v>205</v>
      </c>
      <c r="M36" s="15">
        <v>2023</v>
      </c>
      <c r="N36" s="15" t="str">
        <f t="shared" si="0"/>
        <v xml:space="preserve">September </v>
      </c>
      <c r="O36" s="15">
        <v>2025</v>
      </c>
      <c r="P36" s="15">
        <v>2023</v>
      </c>
      <c r="Q36" s="15"/>
      <c r="R36" s="16" t="s">
        <v>51</v>
      </c>
      <c r="S36" s="15"/>
      <c r="T36" s="15"/>
      <c r="U36" s="15"/>
      <c r="V36" s="15"/>
      <c r="W36" s="15"/>
    </row>
    <row r="37" spans="1:23" s="17" customFormat="1" ht="28" x14ac:dyDescent="0.35">
      <c r="A37" s="12">
        <v>36</v>
      </c>
      <c r="B37" s="25" t="s">
        <v>713</v>
      </c>
      <c r="C37" s="69" t="s">
        <v>714</v>
      </c>
      <c r="D37" s="26" t="str">
        <f t="shared" si="1"/>
        <v>Laki-Laki</v>
      </c>
      <c r="E37" s="24" t="s">
        <v>126</v>
      </c>
      <c r="F37" s="72" t="s">
        <v>715</v>
      </c>
      <c r="G37" s="13" t="s">
        <v>588</v>
      </c>
      <c r="H37" s="19" t="s">
        <v>712</v>
      </c>
      <c r="I37" s="19" t="s">
        <v>563</v>
      </c>
      <c r="J37" s="20" t="s">
        <v>26</v>
      </c>
      <c r="K37" s="19" t="s">
        <v>694</v>
      </c>
      <c r="L37" s="70" t="s">
        <v>28</v>
      </c>
      <c r="M37" s="15">
        <v>2023</v>
      </c>
      <c r="N37" s="15" t="str">
        <f t="shared" si="0"/>
        <v>September</v>
      </c>
      <c r="O37" s="15">
        <v>2025</v>
      </c>
      <c r="P37" s="15">
        <v>2023</v>
      </c>
      <c r="Q37" s="15"/>
      <c r="R37" s="16" t="s">
        <v>51</v>
      </c>
      <c r="S37" s="15"/>
      <c r="T37" s="15"/>
      <c r="U37" s="15"/>
      <c r="V37" s="15"/>
      <c r="W37" s="15"/>
    </row>
    <row r="38" spans="1:23" s="17" customFormat="1" ht="28" x14ac:dyDescent="0.35">
      <c r="A38" s="12">
        <v>37</v>
      </c>
      <c r="B38" s="25" t="s">
        <v>716</v>
      </c>
      <c r="C38" s="69" t="s">
        <v>717</v>
      </c>
      <c r="D38" s="26" t="str">
        <f t="shared" si="1"/>
        <v>Laki-Laki</v>
      </c>
      <c r="E38" s="24" t="s">
        <v>109</v>
      </c>
      <c r="F38" s="72" t="s">
        <v>715</v>
      </c>
      <c r="G38" s="13" t="s">
        <v>588</v>
      </c>
      <c r="H38" s="19" t="s">
        <v>718</v>
      </c>
      <c r="I38" s="19" t="s">
        <v>719</v>
      </c>
      <c r="J38" s="20" t="s">
        <v>26</v>
      </c>
      <c r="K38" s="19" t="s">
        <v>422</v>
      </c>
      <c r="L38" s="70" t="s">
        <v>205</v>
      </c>
      <c r="M38" s="15">
        <v>2023</v>
      </c>
      <c r="N38" s="15" t="str">
        <f t="shared" si="0"/>
        <v xml:space="preserve">September </v>
      </c>
      <c r="O38" s="15">
        <v>2025</v>
      </c>
      <c r="P38" s="15">
        <v>2023</v>
      </c>
      <c r="Q38" s="15"/>
      <c r="R38" s="16" t="s">
        <v>51</v>
      </c>
      <c r="S38" s="15"/>
      <c r="T38" s="15"/>
      <c r="U38" s="15"/>
      <c r="V38" s="15"/>
      <c r="W38" s="15"/>
    </row>
    <row r="39" spans="1:23" s="17" customFormat="1" ht="28" x14ac:dyDescent="0.35">
      <c r="A39" s="12">
        <v>38</v>
      </c>
      <c r="B39" s="25" t="s">
        <v>720</v>
      </c>
      <c r="C39" s="69" t="s">
        <v>721</v>
      </c>
      <c r="D39" s="26" t="str">
        <f t="shared" si="1"/>
        <v>Laki-Laki</v>
      </c>
      <c r="E39" s="24" t="s">
        <v>104</v>
      </c>
      <c r="F39" s="72" t="s">
        <v>680</v>
      </c>
      <c r="G39" s="13" t="s">
        <v>588</v>
      </c>
      <c r="H39" s="19" t="s">
        <v>722</v>
      </c>
      <c r="I39" s="19" t="s">
        <v>623</v>
      </c>
      <c r="J39" s="20" t="s">
        <v>26</v>
      </c>
      <c r="K39" s="19" t="s">
        <v>723</v>
      </c>
      <c r="L39" s="89" t="s">
        <v>28</v>
      </c>
      <c r="M39" s="15">
        <v>2023</v>
      </c>
      <c r="N39" s="15" t="str">
        <f t="shared" ref="N39:N63" si="2">L39</f>
        <v>September</v>
      </c>
      <c r="O39" s="15">
        <v>2025</v>
      </c>
      <c r="P39" s="15">
        <v>2024</v>
      </c>
      <c r="Q39" s="15"/>
      <c r="R39" s="16" t="s">
        <v>51</v>
      </c>
      <c r="S39" s="15"/>
      <c r="T39" s="15"/>
      <c r="U39" s="15"/>
      <c r="V39" s="15"/>
      <c r="W39" s="15"/>
    </row>
    <row r="40" spans="1:23" s="17" customFormat="1" ht="28" x14ac:dyDescent="0.35">
      <c r="A40" s="12">
        <v>39</v>
      </c>
      <c r="B40" s="25" t="s">
        <v>724</v>
      </c>
      <c r="C40" s="69" t="s">
        <v>725</v>
      </c>
      <c r="D40" s="26" t="str">
        <f t="shared" si="1"/>
        <v>Laki-Laki</v>
      </c>
      <c r="E40" s="24" t="s">
        <v>109</v>
      </c>
      <c r="F40" s="72" t="s">
        <v>672</v>
      </c>
      <c r="G40" s="13" t="s">
        <v>588</v>
      </c>
      <c r="H40" s="19" t="s">
        <v>722</v>
      </c>
      <c r="I40" s="19" t="s">
        <v>623</v>
      </c>
      <c r="J40" s="20" t="s">
        <v>26</v>
      </c>
      <c r="K40" s="19" t="s">
        <v>723</v>
      </c>
      <c r="L40" s="89" t="s">
        <v>28</v>
      </c>
      <c r="M40" s="15">
        <v>2023</v>
      </c>
      <c r="N40" s="15" t="str">
        <f t="shared" si="2"/>
        <v>September</v>
      </c>
      <c r="O40" s="15">
        <v>2025</v>
      </c>
      <c r="P40" s="15">
        <v>2024</v>
      </c>
      <c r="Q40" s="15"/>
      <c r="R40" s="16" t="s">
        <v>51</v>
      </c>
      <c r="S40" s="15"/>
      <c r="T40" s="15"/>
      <c r="U40" s="15"/>
      <c r="V40" s="15"/>
      <c r="W40" s="15"/>
    </row>
    <row r="41" spans="1:23" s="17" customFormat="1" ht="28" x14ac:dyDescent="0.35">
      <c r="A41" s="12">
        <v>40</v>
      </c>
      <c r="B41" s="73" t="s">
        <v>2834</v>
      </c>
      <c r="C41" s="69" t="s">
        <v>726</v>
      </c>
      <c r="D41" s="26" t="str">
        <f t="shared" si="1"/>
        <v>Laki-Laki</v>
      </c>
      <c r="E41" s="24" t="s">
        <v>126</v>
      </c>
      <c r="F41" s="72" t="s">
        <v>727</v>
      </c>
      <c r="G41" s="13" t="s">
        <v>588</v>
      </c>
      <c r="H41" s="19" t="s">
        <v>722</v>
      </c>
      <c r="I41" s="19" t="s">
        <v>90</v>
      </c>
      <c r="J41" s="20" t="s">
        <v>45</v>
      </c>
      <c r="K41" s="19" t="s">
        <v>728</v>
      </c>
      <c r="L41" s="89" t="s">
        <v>28</v>
      </c>
      <c r="M41" s="15">
        <v>2023</v>
      </c>
      <c r="N41" s="15" t="str">
        <f t="shared" si="2"/>
        <v>September</v>
      </c>
      <c r="O41" s="15">
        <v>2027</v>
      </c>
      <c r="P41" s="15">
        <v>2024</v>
      </c>
      <c r="Q41" s="15"/>
      <c r="R41" s="16" t="s">
        <v>51</v>
      </c>
      <c r="S41" s="15"/>
      <c r="T41" s="15"/>
      <c r="U41" s="15"/>
      <c r="V41" s="15"/>
      <c r="W41" s="15"/>
    </row>
    <row r="42" spans="1:23" s="17" customFormat="1" ht="28" x14ac:dyDescent="0.35">
      <c r="A42" s="12">
        <v>41</v>
      </c>
      <c r="B42" s="25" t="s">
        <v>729</v>
      </c>
      <c r="C42" s="69" t="s">
        <v>730</v>
      </c>
      <c r="D42" s="26" t="str">
        <f t="shared" si="1"/>
        <v>Laki-Laki</v>
      </c>
      <c r="E42" s="24" t="s">
        <v>109</v>
      </c>
      <c r="F42" s="72" t="s">
        <v>731</v>
      </c>
      <c r="G42" s="13" t="s">
        <v>588</v>
      </c>
      <c r="H42" s="19" t="s">
        <v>718</v>
      </c>
      <c r="I42" s="19" t="s">
        <v>732</v>
      </c>
      <c r="J42" s="20" t="s">
        <v>26</v>
      </c>
      <c r="K42" s="19" t="s">
        <v>733</v>
      </c>
      <c r="L42" s="70" t="s">
        <v>182</v>
      </c>
      <c r="M42" s="15">
        <v>2021</v>
      </c>
      <c r="N42" s="15" t="str">
        <f t="shared" si="2"/>
        <v xml:space="preserve">Juli </v>
      </c>
      <c r="O42" s="15">
        <v>2023</v>
      </c>
      <c r="P42" s="15">
        <v>2023</v>
      </c>
      <c r="Q42" s="15"/>
      <c r="R42" s="16" t="s">
        <v>51</v>
      </c>
      <c r="S42" s="15"/>
      <c r="T42" s="15"/>
      <c r="U42" s="15"/>
      <c r="V42" s="15"/>
      <c r="W42" s="15"/>
    </row>
    <row r="43" spans="1:23" s="17" customFormat="1" ht="28" x14ac:dyDescent="0.35">
      <c r="A43" s="12">
        <v>42</v>
      </c>
      <c r="B43" s="25" t="s">
        <v>734</v>
      </c>
      <c r="C43" s="69" t="s">
        <v>735</v>
      </c>
      <c r="D43" s="26" t="str">
        <f t="shared" si="1"/>
        <v>Perempuan</v>
      </c>
      <c r="E43" s="24" t="s">
        <v>109</v>
      </c>
      <c r="F43" s="72" t="s">
        <v>736</v>
      </c>
      <c r="G43" s="13" t="s">
        <v>588</v>
      </c>
      <c r="H43" s="19" t="s">
        <v>722</v>
      </c>
      <c r="I43" s="19" t="s">
        <v>623</v>
      </c>
      <c r="J43" s="20" t="s">
        <v>26</v>
      </c>
      <c r="K43" s="19" t="s">
        <v>723</v>
      </c>
      <c r="L43" s="70" t="s">
        <v>145</v>
      </c>
      <c r="M43" s="15">
        <v>2022</v>
      </c>
      <c r="N43" s="15" t="str">
        <f t="shared" si="2"/>
        <v xml:space="preserve">Agustus </v>
      </c>
      <c r="O43" s="15">
        <v>2024</v>
      </c>
      <c r="P43" s="15">
        <v>2022</v>
      </c>
      <c r="Q43" s="15"/>
      <c r="R43" s="16" t="s">
        <v>51</v>
      </c>
      <c r="S43" s="15"/>
      <c r="T43" s="15"/>
      <c r="U43" s="15"/>
      <c r="V43" s="15"/>
      <c r="W43" s="15"/>
    </row>
    <row r="44" spans="1:23" s="17" customFormat="1" ht="28" x14ac:dyDescent="0.35">
      <c r="A44" s="12">
        <v>43</v>
      </c>
      <c r="B44" s="25" t="s">
        <v>737</v>
      </c>
      <c r="C44" s="69" t="s">
        <v>738</v>
      </c>
      <c r="D44" s="26" t="str">
        <f t="shared" si="1"/>
        <v>Laki-Laki</v>
      </c>
      <c r="E44" s="24" t="s">
        <v>126</v>
      </c>
      <c r="F44" s="72" t="s">
        <v>739</v>
      </c>
      <c r="G44" s="13" t="s">
        <v>588</v>
      </c>
      <c r="H44" s="19" t="s">
        <v>722</v>
      </c>
      <c r="I44" s="19" t="s">
        <v>623</v>
      </c>
      <c r="J44" s="20" t="s">
        <v>26</v>
      </c>
      <c r="K44" s="19" t="s">
        <v>723</v>
      </c>
      <c r="L44" s="70" t="s">
        <v>145</v>
      </c>
      <c r="M44" s="15">
        <v>2022</v>
      </c>
      <c r="N44" s="15" t="str">
        <f t="shared" si="2"/>
        <v xml:space="preserve">Agustus </v>
      </c>
      <c r="O44" s="15">
        <v>2024</v>
      </c>
      <c r="P44" s="15">
        <v>2022</v>
      </c>
      <c r="Q44" s="15"/>
      <c r="R44" s="16" t="s">
        <v>51</v>
      </c>
      <c r="S44" s="15"/>
      <c r="T44" s="15"/>
      <c r="U44" s="15"/>
      <c r="V44" s="15"/>
      <c r="W44" s="15"/>
    </row>
    <row r="45" spans="1:23" s="17" customFormat="1" ht="42" x14ac:dyDescent="0.35">
      <c r="A45" s="12">
        <v>44</v>
      </c>
      <c r="B45" s="25" t="s">
        <v>740</v>
      </c>
      <c r="C45" s="69" t="s">
        <v>741</v>
      </c>
      <c r="D45" s="26" t="str">
        <f t="shared" si="1"/>
        <v>Perempuan</v>
      </c>
      <c r="E45" s="24" t="s">
        <v>109</v>
      </c>
      <c r="F45" s="72" t="s">
        <v>742</v>
      </c>
      <c r="G45" s="13" t="s">
        <v>588</v>
      </c>
      <c r="H45" s="19" t="s">
        <v>743</v>
      </c>
      <c r="I45" s="19" t="s">
        <v>744</v>
      </c>
      <c r="J45" s="20" t="s">
        <v>242</v>
      </c>
      <c r="K45" s="19" t="s">
        <v>745</v>
      </c>
      <c r="L45" s="70" t="s">
        <v>145</v>
      </c>
      <c r="M45" s="15">
        <v>2021</v>
      </c>
      <c r="N45" s="15" t="str">
        <f t="shared" si="2"/>
        <v xml:space="preserve">Agustus </v>
      </c>
      <c r="O45" s="15">
        <v>2024</v>
      </c>
      <c r="P45" s="15">
        <v>2022</v>
      </c>
      <c r="Q45" s="15"/>
      <c r="R45" s="16" t="s">
        <v>51</v>
      </c>
      <c r="S45" s="15"/>
      <c r="T45" s="15"/>
      <c r="U45" s="15"/>
      <c r="V45" s="15"/>
      <c r="W45" s="15"/>
    </row>
    <row r="46" spans="1:23" s="17" customFormat="1" ht="42" x14ac:dyDescent="0.35">
      <c r="A46" s="12">
        <v>45</v>
      </c>
      <c r="B46" s="25" t="s">
        <v>746</v>
      </c>
      <c r="C46" s="69" t="s">
        <v>747</v>
      </c>
      <c r="D46" s="26" t="str">
        <f t="shared" si="1"/>
        <v>Perempuan</v>
      </c>
      <c r="E46" s="24" t="s">
        <v>109</v>
      </c>
      <c r="F46" s="72" t="s">
        <v>622</v>
      </c>
      <c r="G46" s="13" t="s">
        <v>588</v>
      </c>
      <c r="H46" s="19" t="s">
        <v>743</v>
      </c>
      <c r="I46" s="19" t="s">
        <v>90</v>
      </c>
      <c r="J46" s="20" t="s">
        <v>26</v>
      </c>
      <c r="K46" s="19" t="s">
        <v>394</v>
      </c>
      <c r="L46" s="70" t="s">
        <v>182</v>
      </c>
      <c r="M46" s="15">
        <v>2021</v>
      </c>
      <c r="N46" s="15" t="str">
        <f t="shared" si="2"/>
        <v xml:space="preserve">Juli </v>
      </c>
      <c r="O46" s="15">
        <v>2023</v>
      </c>
      <c r="P46" s="15">
        <v>2022</v>
      </c>
      <c r="Q46" s="15"/>
      <c r="R46" s="16" t="s">
        <v>51</v>
      </c>
      <c r="S46" s="15"/>
      <c r="T46" s="15"/>
      <c r="U46" s="15"/>
      <c r="V46" s="15"/>
      <c r="W46" s="15"/>
    </row>
    <row r="47" spans="1:23" s="17" customFormat="1" ht="28" x14ac:dyDescent="0.35">
      <c r="A47" s="12">
        <v>46</v>
      </c>
      <c r="B47" s="25" t="s">
        <v>748</v>
      </c>
      <c r="C47" s="69" t="s">
        <v>749</v>
      </c>
      <c r="D47" s="26" t="str">
        <f t="shared" si="1"/>
        <v>Perempuan</v>
      </c>
      <c r="E47" s="24" t="s">
        <v>104</v>
      </c>
      <c r="F47" s="72" t="s">
        <v>750</v>
      </c>
      <c r="G47" s="13" t="s">
        <v>588</v>
      </c>
      <c r="H47" s="19" t="s">
        <v>639</v>
      </c>
      <c r="I47" s="19" t="s">
        <v>90</v>
      </c>
      <c r="J47" s="20" t="s">
        <v>45</v>
      </c>
      <c r="K47" s="19" t="s">
        <v>46</v>
      </c>
      <c r="L47" s="70" t="s">
        <v>446</v>
      </c>
      <c r="M47" s="15">
        <v>2022</v>
      </c>
      <c r="N47" s="15" t="str">
        <f t="shared" si="2"/>
        <v xml:space="preserve">Oktober </v>
      </c>
      <c r="O47" s="15">
        <v>2026</v>
      </c>
      <c r="P47" s="15">
        <v>2022</v>
      </c>
      <c r="Q47" s="15"/>
      <c r="R47" s="16" t="s">
        <v>51</v>
      </c>
      <c r="S47" s="15"/>
      <c r="T47" s="15"/>
      <c r="U47" s="15"/>
      <c r="V47" s="15"/>
      <c r="W47" s="15"/>
    </row>
    <row r="48" spans="1:23" s="17" customFormat="1" ht="28" x14ac:dyDescent="0.35">
      <c r="A48" s="12">
        <v>47</v>
      </c>
      <c r="B48" s="25" t="s">
        <v>751</v>
      </c>
      <c r="C48" s="69" t="s">
        <v>752</v>
      </c>
      <c r="D48" s="26" t="str">
        <f t="shared" si="1"/>
        <v>Laki-Laki</v>
      </c>
      <c r="E48" s="24" t="s">
        <v>109</v>
      </c>
      <c r="F48" s="72" t="s">
        <v>424</v>
      </c>
      <c r="G48" s="13" t="s">
        <v>588</v>
      </c>
      <c r="H48" s="19" t="s">
        <v>753</v>
      </c>
      <c r="I48" s="19" t="s">
        <v>754</v>
      </c>
      <c r="J48" s="20" t="s">
        <v>45</v>
      </c>
      <c r="K48" s="19" t="s">
        <v>46</v>
      </c>
      <c r="L48" s="70" t="s">
        <v>28</v>
      </c>
      <c r="M48" s="15">
        <v>2022</v>
      </c>
      <c r="N48" s="15" t="str">
        <f t="shared" si="2"/>
        <v>September</v>
      </c>
      <c r="O48" s="15">
        <v>2026</v>
      </c>
      <c r="P48" s="15">
        <v>2022</v>
      </c>
      <c r="Q48" s="15"/>
      <c r="R48" s="16" t="s">
        <v>51</v>
      </c>
      <c r="S48" s="15"/>
      <c r="T48" s="15"/>
      <c r="U48" s="15"/>
      <c r="V48" s="15"/>
      <c r="W48" s="15"/>
    </row>
    <row r="49" spans="1:23" s="17" customFormat="1" ht="42" x14ac:dyDescent="0.35">
      <c r="A49" s="12">
        <v>48</v>
      </c>
      <c r="B49" s="25" t="s">
        <v>755</v>
      </c>
      <c r="C49" s="69" t="s">
        <v>756</v>
      </c>
      <c r="D49" s="26" t="str">
        <f t="shared" si="1"/>
        <v>Laki-Laki</v>
      </c>
      <c r="E49" s="24" t="s">
        <v>104</v>
      </c>
      <c r="F49" s="72" t="s">
        <v>727</v>
      </c>
      <c r="G49" s="13" t="s">
        <v>588</v>
      </c>
      <c r="H49" s="19" t="s">
        <v>757</v>
      </c>
      <c r="I49" s="19" t="s">
        <v>90</v>
      </c>
      <c r="J49" s="20" t="s">
        <v>45</v>
      </c>
      <c r="K49" s="19" t="s">
        <v>758</v>
      </c>
      <c r="L49" s="70" t="s">
        <v>446</v>
      </c>
      <c r="M49" s="15">
        <v>2022</v>
      </c>
      <c r="N49" s="15" t="str">
        <f t="shared" si="2"/>
        <v xml:space="preserve">Oktober </v>
      </c>
      <c r="O49" s="15">
        <v>2026</v>
      </c>
      <c r="P49" s="15">
        <v>2022</v>
      </c>
      <c r="Q49" s="15"/>
      <c r="R49" s="16" t="s">
        <v>51</v>
      </c>
      <c r="S49" s="15"/>
      <c r="T49" s="15"/>
      <c r="U49" s="15"/>
      <c r="V49" s="15"/>
      <c r="W49" s="15"/>
    </row>
    <row r="50" spans="1:23" s="17" customFormat="1" ht="28" x14ac:dyDescent="0.35">
      <c r="A50" s="12">
        <v>49</v>
      </c>
      <c r="B50" s="73" t="s">
        <v>2835</v>
      </c>
      <c r="C50" s="63" t="s">
        <v>759</v>
      </c>
      <c r="D50" s="26" t="str">
        <f t="shared" si="1"/>
        <v>Perempuan</v>
      </c>
      <c r="E50" s="24" t="s">
        <v>370</v>
      </c>
      <c r="F50" s="72" t="s">
        <v>736</v>
      </c>
      <c r="G50" s="13" t="s">
        <v>588</v>
      </c>
      <c r="H50" s="19" t="s">
        <v>760</v>
      </c>
      <c r="I50" s="19" t="s">
        <v>629</v>
      </c>
      <c r="J50" s="20" t="s">
        <v>26</v>
      </c>
      <c r="K50" s="19" t="s">
        <v>344</v>
      </c>
      <c r="L50" s="70" t="s">
        <v>145</v>
      </c>
      <c r="M50" s="15">
        <v>2022</v>
      </c>
      <c r="N50" s="15" t="str">
        <f t="shared" si="2"/>
        <v xml:space="preserve">Agustus </v>
      </c>
      <c r="O50" s="15">
        <v>2024</v>
      </c>
      <c r="P50" s="15">
        <v>2022</v>
      </c>
      <c r="Q50" s="15"/>
      <c r="R50" s="16" t="s">
        <v>51</v>
      </c>
      <c r="S50" s="15"/>
      <c r="T50" s="15"/>
      <c r="U50" s="15"/>
      <c r="V50" s="15"/>
      <c r="W50" s="15"/>
    </row>
    <row r="51" spans="1:23" s="17" customFormat="1" ht="28" x14ac:dyDescent="0.35">
      <c r="A51" s="12">
        <v>50</v>
      </c>
      <c r="B51" s="73" t="s">
        <v>2836</v>
      </c>
      <c r="C51" s="69" t="s">
        <v>761</v>
      </c>
      <c r="D51" s="26" t="str">
        <f t="shared" si="1"/>
        <v>Laki-Laki</v>
      </c>
      <c r="E51" s="24" t="s">
        <v>116</v>
      </c>
      <c r="F51" s="72" t="s">
        <v>762</v>
      </c>
      <c r="G51" s="13" t="s">
        <v>588</v>
      </c>
      <c r="H51" s="19" t="s">
        <v>763</v>
      </c>
      <c r="I51" s="19" t="s">
        <v>90</v>
      </c>
      <c r="J51" s="20" t="s">
        <v>45</v>
      </c>
      <c r="K51" s="19" t="s">
        <v>63</v>
      </c>
      <c r="L51" s="70" t="s">
        <v>205</v>
      </c>
      <c r="M51" s="15">
        <v>2022</v>
      </c>
      <c r="N51" s="15" t="str">
        <f t="shared" si="2"/>
        <v xml:space="preserve">September </v>
      </c>
      <c r="O51" s="15">
        <v>2026</v>
      </c>
      <c r="P51" s="15">
        <v>2022</v>
      </c>
      <c r="Q51" s="15"/>
      <c r="R51" s="16" t="s">
        <v>51</v>
      </c>
      <c r="S51" s="15"/>
      <c r="T51" s="15"/>
      <c r="U51" s="15"/>
      <c r="V51" s="15"/>
      <c r="W51" s="15"/>
    </row>
    <row r="52" spans="1:23" s="17" customFormat="1" ht="28" x14ac:dyDescent="0.35">
      <c r="A52" s="12">
        <v>51</v>
      </c>
      <c r="B52" s="25" t="s">
        <v>764</v>
      </c>
      <c r="C52" s="69" t="s">
        <v>765</v>
      </c>
      <c r="D52" s="26" t="str">
        <f t="shared" si="1"/>
        <v>Laki-Laki</v>
      </c>
      <c r="E52" s="24" t="s">
        <v>370</v>
      </c>
      <c r="F52" s="72" t="s">
        <v>766</v>
      </c>
      <c r="G52" s="13" t="s">
        <v>588</v>
      </c>
      <c r="H52" s="19" t="s">
        <v>767</v>
      </c>
      <c r="I52" s="19" t="s">
        <v>485</v>
      </c>
      <c r="J52" s="20" t="s">
        <v>26</v>
      </c>
      <c r="K52" s="19" t="s">
        <v>449</v>
      </c>
      <c r="L52" s="70" t="s">
        <v>60</v>
      </c>
      <c r="M52" s="15">
        <v>2022</v>
      </c>
      <c r="N52" s="15" t="str">
        <f t="shared" si="2"/>
        <v>Agustus</v>
      </c>
      <c r="O52" s="15">
        <v>2024</v>
      </c>
      <c r="P52" s="15">
        <v>2022</v>
      </c>
      <c r="Q52" s="15"/>
      <c r="R52" s="16" t="s">
        <v>51</v>
      </c>
      <c r="S52" s="15"/>
      <c r="T52" s="15"/>
      <c r="U52" s="15"/>
      <c r="V52" s="15"/>
      <c r="W52" s="15"/>
    </row>
    <row r="53" spans="1:23" s="17" customFormat="1" ht="28" x14ac:dyDescent="0.35">
      <c r="A53" s="12">
        <v>52</v>
      </c>
      <c r="B53" s="25" t="s">
        <v>768</v>
      </c>
      <c r="C53" s="69" t="s">
        <v>769</v>
      </c>
      <c r="D53" s="26" t="str">
        <f t="shared" si="1"/>
        <v>Laki-Laki</v>
      </c>
      <c r="E53" s="24" t="s">
        <v>98</v>
      </c>
      <c r="F53" s="72" t="s">
        <v>770</v>
      </c>
      <c r="G53" s="13" t="s">
        <v>588</v>
      </c>
      <c r="H53" s="19" t="s">
        <v>771</v>
      </c>
      <c r="I53" s="19" t="s">
        <v>772</v>
      </c>
      <c r="J53" s="20" t="s">
        <v>45</v>
      </c>
      <c r="K53" s="19" t="s">
        <v>591</v>
      </c>
      <c r="L53" s="70" t="s">
        <v>28</v>
      </c>
      <c r="M53" s="15">
        <v>2022</v>
      </c>
      <c r="N53" s="15" t="str">
        <f t="shared" si="2"/>
        <v>September</v>
      </c>
      <c r="O53" s="15">
        <v>2026</v>
      </c>
      <c r="P53" s="15">
        <v>2022</v>
      </c>
      <c r="Q53" s="15"/>
      <c r="R53" s="16" t="s">
        <v>51</v>
      </c>
      <c r="S53" s="15"/>
      <c r="T53" s="15"/>
      <c r="U53" s="15"/>
      <c r="V53" s="15"/>
      <c r="W53" s="15"/>
    </row>
    <row r="54" spans="1:23" s="17" customFormat="1" ht="28" x14ac:dyDescent="0.35">
      <c r="A54" s="12">
        <v>53</v>
      </c>
      <c r="B54" s="25" t="s">
        <v>773</v>
      </c>
      <c r="C54" s="69" t="s">
        <v>774</v>
      </c>
      <c r="D54" s="26" t="str">
        <f t="shared" si="1"/>
        <v>Perempuan</v>
      </c>
      <c r="E54" s="24" t="s">
        <v>370</v>
      </c>
      <c r="F54" s="72" t="s">
        <v>775</v>
      </c>
      <c r="G54" s="13" t="s">
        <v>588</v>
      </c>
      <c r="H54" s="19" t="s">
        <v>771</v>
      </c>
      <c r="I54" s="19" t="s">
        <v>776</v>
      </c>
      <c r="J54" s="20" t="s">
        <v>26</v>
      </c>
      <c r="K54" s="19" t="s">
        <v>777</v>
      </c>
      <c r="L54" s="70" t="s">
        <v>28</v>
      </c>
      <c r="M54" s="15">
        <v>2022</v>
      </c>
      <c r="N54" s="15" t="str">
        <f t="shared" si="2"/>
        <v>September</v>
      </c>
      <c r="O54" s="15">
        <v>2024</v>
      </c>
      <c r="P54" s="15">
        <v>2022</v>
      </c>
      <c r="Q54" s="15"/>
      <c r="R54" s="16" t="s">
        <v>51</v>
      </c>
      <c r="S54" s="15"/>
      <c r="T54" s="15"/>
      <c r="U54" s="15"/>
      <c r="V54" s="15"/>
      <c r="W54" s="15"/>
    </row>
    <row r="55" spans="1:23" s="17" customFormat="1" ht="28" x14ac:dyDescent="0.35">
      <c r="A55" s="12">
        <v>54</v>
      </c>
      <c r="B55" s="25" t="s">
        <v>778</v>
      </c>
      <c r="C55" s="69" t="s">
        <v>779</v>
      </c>
      <c r="D55" s="26" t="str">
        <f t="shared" si="1"/>
        <v>Laki-Laki</v>
      </c>
      <c r="E55" s="24" t="s">
        <v>370</v>
      </c>
      <c r="F55" s="72" t="s">
        <v>672</v>
      </c>
      <c r="G55" s="13" t="s">
        <v>588</v>
      </c>
      <c r="H55" s="19" t="s">
        <v>771</v>
      </c>
      <c r="I55" s="19" t="s">
        <v>776</v>
      </c>
      <c r="J55" s="20" t="s">
        <v>26</v>
      </c>
      <c r="K55" s="19" t="s">
        <v>777</v>
      </c>
      <c r="L55" s="70" t="s">
        <v>205</v>
      </c>
      <c r="M55" s="15">
        <v>2022</v>
      </c>
      <c r="N55" s="15" t="str">
        <f t="shared" si="2"/>
        <v xml:space="preserve">September </v>
      </c>
      <c r="O55" s="15">
        <v>2024</v>
      </c>
      <c r="P55" s="15">
        <v>2022</v>
      </c>
      <c r="Q55" s="15"/>
      <c r="R55" s="16" t="s">
        <v>51</v>
      </c>
      <c r="S55" s="15"/>
      <c r="T55" s="15"/>
      <c r="U55" s="15"/>
      <c r="V55" s="15"/>
      <c r="W55" s="15"/>
    </row>
    <row r="56" spans="1:23" s="17" customFormat="1" ht="28" x14ac:dyDescent="0.35">
      <c r="A56" s="12">
        <v>55</v>
      </c>
      <c r="B56" s="25" t="s">
        <v>780</v>
      </c>
      <c r="C56" s="69" t="s">
        <v>781</v>
      </c>
      <c r="D56" s="26" t="str">
        <f t="shared" si="1"/>
        <v>Laki-Laki</v>
      </c>
      <c r="E56" s="24" t="s">
        <v>109</v>
      </c>
      <c r="F56" s="72" t="s">
        <v>622</v>
      </c>
      <c r="G56" s="13" t="s">
        <v>588</v>
      </c>
      <c r="H56" s="19" t="s">
        <v>771</v>
      </c>
      <c r="I56" s="19" t="s">
        <v>776</v>
      </c>
      <c r="J56" s="20" t="s">
        <v>26</v>
      </c>
      <c r="K56" s="19" t="s">
        <v>777</v>
      </c>
      <c r="L56" s="70" t="s">
        <v>205</v>
      </c>
      <c r="M56" s="15">
        <v>2022</v>
      </c>
      <c r="N56" s="15" t="str">
        <f t="shared" si="2"/>
        <v xml:space="preserve">September </v>
      </c>
      <c r="O56" s="15">
        <v>2024</v>
      </c>
      <c r="P56" s="15">
        <v>2022</v>
      </c>
      <c r="Q56" s="15"/>
      <c r="R56" s="16" t="s">
        <v>51</v>
      </c>
      <c r="S56" s="15"/>
      <c r="T56" s="15"/>
      <c r="U56" s="15"/>
      <c r="V56" s="15"/>
      <c r="W56" s="15"/>
    </row>
    <row r="57" spans="1:23" s="17" customFormat="1" ht="28" x14ac:dyDescent="0.35">
      <c r="A57" s="12">
        <v>56</v>
      </c>
      <c r="B57" s="73" t="s">
        <v>2837</v>
      </c>
      <c r="C57" s="69" t="s">
        <v>782</v>
      </c>
      <c r="D57" s="26" t="str">
        <f t="shared" si="1"/>
        <v>Perempuan</v>
      </c>
      <c r="E57" s="24" t="s">
        <v>116</v>
      </c>
      <c r="F57" s="72" t="s">
        <v>783</v>
      </c>
      <c r="G57" s="13" t="s">
        <v>588</v>
      </c>
      <c r="H57" s="19" t="s">
        <v>784</v>
      </c>
      <c r="I57" s="19" t="s">
        <v>90</v>
      </c>
      <c r="J57" s="20" t="s">
        <v>45</v>
      </c>
      <c r="K57" s="19" t="s">
        <v>46</v>
      </c>
      <c r="L57" s="70" t="s">
        <v>785</v>
      </c>
      <c r="M57" s="15">
        <v>2022</v>
      </c>
      <c r="N57" s="15" t="str">
        <f t="shared" si="2"/>
        <v xml:space="preserve">Juni </v>
      </c>
      <c r="O57" s="15">
        <v>2026</v>
      </c>
      <c r="P57" s="15">
        <v>2022</v>
      </c>
      <c r="Q57" s="15"/>
      <c r="R57" s="16" t="s">
        <v>51</v>
      </c>
      <c r="S57" s="15"/>
      <c r="T57" s="15"/>
      <c r="U57" s="15"/>
      <c r="V57" s="15"/>
      <c r="W57" s="15"/>
    </row>
    <row r="58" spans="1:23" s="17" customFormat="1" ht="28" x14ac:dyDescent="0.35">
      <c r="A58" s="12">
        <v>57</v>
      </c>
      <c r="B58" s="25" t="s">
        <v>786</v>
      </c>
      <c r="C58" s="69" t="s">
        <v>787</v>
      </c>
      <c r="D58" s="26" t="str">
        <f t="shared" si="1"/>
        <v>Laki-Laki</v>
      </c>
      <c r="E58" s="24" t="s">
        <v>109</v>
      </c>
      <c r="F58" s="72" t="s">
        <v>672</v>
      </c>
      <c r="G58" s="13" t="s">
        <v>588</v>
      </c>
      <c r="H58" s="19" t="s">
        <v>771</v>
      </c>
      <c r="I58" s="19" t="s">
        <v>788</v>
      </c>
      <c r="J58" s="20" t="s">
        <v>26</v>
      </c>
      <c r="K58" s="19" t="s">
        <v>777</v>
      </c>
      <c r="L58" s="70" t="s">
        <v>205</v>
      </c>
      <c r="M58" s="15">
        <v>2022</v>
      </c>
      <c r="N58" s="15" t="str">
        <f t="shared" si="2"/>
        <v xml:space="preserve">September </v>
      </c>
      <c r="O58" s="15">
        <v>2024</v>
      </c>
      <c r="P58" s="15">
        <v>2022</v>
      </c>
      <c r="Q58" s="15"/>
      <c r="R58" s="16" t="s">
        <v>51</v>
      </c>
      <c r="S58" s="15"/>
      <c r="T58" s="15"/>
      <c r="U58" s="15"/>
      <c r="V58" s="15"/>
      <c r="W58" s="15"/>
    </row>
    <row r="59" spans="1:23" s="17" customFormat="1" ht="28" x14ac:dyDescent="0.35">
      <c r="A59" s="12">
        <v>58</v>
      </c>
      <c r="B59" s="25" t="s">
        <v>789</v>
      </c>
      <c r="C59" s="69" t="s">
        <v>790</v>
      </c>
      <c r="D59" s="26" t="str">
        <f t="shared" si="1"/>
        <v>Laki-Laki</v>
      </c>
      <c r="E59" s="24" t="s">
        <v>791</v>
      </c>
      <c r="F59" s="72" t="s">
        <v>792</v>
      </c>
      <c r="G59" s="13" t="s">
        <v>588</v>
      </c>
      <c r="H59" s="19" t="s">
        <v>771</v>
      </c>
      <c r="I59" s="19" t="s">
        <v>788</v>
      </c>
      <c r="J59" s="20" t="s">
        <v>26</v>
      </c>
      <c r="K59" s="19" t="s">
        <v>777</v>
      </c>
      <c r="L59" s="70" t="s">
        <v>205</v>
      </c>
      <c r="M59" s="15">
        <v>2022</v>
      </c>
      <c r="N59" s="15" t="str">
        <f t="shared" si="2"/>
        <v xml:space="preserve">September </v>
      </c>
      <c r="O59" s="15">
        <v>2024</v>
      </c>
      <c r="P59" s="15">
        <v>2022</v>
      </c>
      <c r="Q59" s="15"/>
      <c r="R59" s="16" t="s">
        <v>51</v>
      </c>
      <c r="S59" s="15"/>
      <c r="T59" s="15"/>
      <c r="U59" s="15"/>
      <c r="V59" s="15"/>
      <c r="W59" s="15"/>
    </row>
    <row r="60" spans="1:23" s="17" customFormat="1" ht="28" x14ac:dyDescent="0.35">
      <c r="A60" s="12">
        <v>59</v>
      </c>
      <c r="B60" s="25" t="s">
        <v>793</v>
      </c>
      <c r="C60" s="69" t="s">
        <v>794</v>
      </c>
      <c r="D60" s="26" t="str">
        <f t="shared" si="1"/>
        <v>Laki-Laki</v>
      </c>
      <c r="E60" s="24" t="s">
        <v>370</v>
      </c>
      <c r="F60" s="72" t="s">
        <v>795</v>
      </c>
      <c r="G60" s="13" t="s">
        <v>588</v>
      </c>
      <c r="H60" s="19" t="s">
        <v>771</v>
      </c>
      <c r="I60" s="19" t="s">
        <v>772</v>
      </c>
      <c r="J60" s="20" t="s">
        <v>45</v>
      </c>
      <c r="K60" s="19" t="s">
        <v>591</v>
      </c>
      <c r="L60" s="70" t="s">
        <v>205</v>
      </c>
      <c r="M60" s="15">
        <v>2022</v>
      </c>
      <c r="N60" s="15" t="str">
        <f t="shared" si="2"/>
        <v xml:space="preserve">September </v>
      </c>
      <c r="O60" s="15">
        <v>2026</v>
      </c>
      <c r="P60" s="15">
        <v>2022</v>
      </c>
      <c r="Q60" s="15"/>
      <c r="R60" s="16" t="s">
        <v>51</v>
      </c>
      <c r="S60" s="15"/>
      <c r="T60" s="15"/>
      <c r="U60" s="15"/>
      <c r="V60" s="15"/>
      <c r="W60" s="15"/>
    </row>
    <row r="61" spans="1:23" s="17" customFormat="1" ht="28" x14ac:dyDescent="0.35">
      <c r="A61" s="12">
        <v>60</v>
      </c>
      <c r="B61" s="25" t="s">
        <v>796</v>
      </c>
      <c r="C61" s="69" t="s">
        <v>797</v>
      </c>
      <c r="D61" s="26" t="str">
        <f t="shared" si="1"/>
        <v>Laki-Laki</v>
      </c>
      <c r="E61" s="24" t="s">
        <v>109</v>
      </c>
      <c r="F61" s="72" t="s">
        <v>622</v>
      </c>
      <c r="G61" s="13" t="s">
        <v>588</v>
      </c>
      <c r="H61" s="19" t="s">
        <v>771</v>
      </c>
      <c r="I61" s="19" t="s">
        <v>788</v>
      </c>
      <c r="J61" s="20" t="s">
        <v>26</v>
      </c>
      <c r="K61" s="19" t="s">
        <v>407</v>
      </c>
      <c r="L61" s="70" t="s">
        <v>205</v>
      </c>
      <c r="M61" s="15">
        <v>2022</v>
      </c>
      <c r="N61" s="15" t="str">
        <f t="shared" si="2"/>
        <v xml:space="preserve">September </v>
      </c>
      <c r="O61" s="15">
        <v>2024</v>
      </c>
      <c r="P61" s="15">
        <v>2022</v>
      </c>
      <c r="Q61" s="15"/>
      <c r="R61" s="16" t="s">
        <v>51</v>
      </c>
      <c r="S61" s="15"/>
      <c r="T61" s="15"/>
      <c r="U61" s="15"/>
      <c r="V61" s="15"/>
      <c r="W61" s="15"/>
    </row>
    <row r="62" spans="1:23" s="17" customFormat="1" ht="42" x14ac:dyDescent="0.35">
      <c r="A62" s="12">
        <v>61</v>
      </c>
      <c r="B62" s="25" t="s">
        <v>798</v>
      </c>
      <c r="C62" s="69" t="s">
        <v>799</v>
      </c>
      <c r="D62" s="26" t="str">
        <f t="shared" si="1"/>
        <v>Laki-Laki</v>
      </c>
      <c r="E62" s="24" t="s">
        <v>98</v>
      </c>
      <c r="F62" s="72" t="s">
        <v>800</v>
      </c>
      <c r="G62" s="13" t="s">
        <v>588</v>
      </c>
      <c r="H62" s="19" t="s">
        <v>801</v>
      </c>
      <c r="I62" s="19" t="s">
        <v>90</v>
      </c>
      <c r="J62" s="20" t="s">
        <v>45</v>
      </c>
      <c r="K62" s="19" t="s">
        <v>802</v>
      </c>
      <c r="L62" s="70" t="s">
        <v>92</v>
      </c>
      <c r="M62" s="15">
        <v>2022</v>
      </c>
      <c r="N62" s="15" t="str">
        <f t="shared" si="2"/>
        <v xml:space="preserve">April </v>
      </c>
      <c r="O62" s="15">
        <v>2026</v>
      </c>
      <c r="P62" s="15">
        <v>2022</v>
      </c>
      <c r="Q62" s="15"/>
      <c r="R62" s="16" t="s">
        <v>51</v>
      </c>
      <c r="S62" s="15"/>
      <c r="T62" s="15"/>
      <c r="U62" s="15"/>
      <c r="V62" s="15"/>
      <c r="W62" s="15"/>
    </row>
    <row r="63" spans="1:23" s="17" customFormat="1" ht="28" x14ac:dyDescent="0.35">
      <c r="A63" s="12">
        <v>62</v>
      </c>
      <c r="B63" s="25" t="s">
        <v>803</v>
      </c>
      <c r="C63" s="69" t="s">
        <v>804</v>
      </c>
      <c r="D63" s="26" t="str">
        <f t="shared" si="1"/>
        <v>Laki-Laki</v>
      </c>
      <c r="E63" s="24" t="s">
        <v>109</v>
      </c>
      <c r="F63" s="72" t="s">
        <v>805</v>
      </c>
      <c r="G63" s="13" t="s">
        <v>588</v>
      </c>
      <c r="H63" s="19" t="s">
        <v>806</v>
      </c>
      <c r="I63" s="19" t="s">
        <v>590</v>
      </c>
      <c r="J63" s="20" t="s">
        <v>26</v>
      </c>
      <c r="K63" s="19" t="s">
        <v>591</v>
      </c>
      <c r="L63" s="70" t="s">
        <v>145</v>
      </c>
      <c r="M63" s="15">
        <v>2023</v>
      </c>
      <c r="N63" s="15" t="str">
        <f t="shared" si="2"/>
        <v xml:space="preserve">Agustus </v>
      </c>
      <c r="O63" s="15">
        <v>2027</v>
      </c>
      <c r="P63" s="15">
        <v>2024</v>
      </c>
      <c r="Q63" s="15"/>
      <c r="R63" s="16"/>
      <c r="S63" s="15"/>
      <c r="T63" s="15"/>
      <c r="U63" s="15"/>
      <c r="V63" s="15"/>
      <c r="W63" s="15"/>
    </row>
    <row r="64" spans="1:23" s="17" customFormat="1" ht="28" x14ac:dyDescent="0.35">
      <c r="A64" s="12">
        <v>63</v>
      </c>
      <c r="B64" s="13" t="s">
        <v>807</v>
      </c>
      <c r="C64" s="14" t="s">
        <v>808</v>
      </c>
      <c r="D64" s="26" t="str">
        <f t="shared" si="1"/>
        <v>Perempuan</v>
      </c>
      <c r="E64" s="13" t="s">
        <v>188</v>
      </c>
      <c r="F64" s="18" t="s">
        <v>809</v>
      </c>
      <c r="G64" s="13" t="s">
        <v>588</v>
      </c>
      <c r="H64" s="15" t="s">
        <v>663</v>
      </c>
      <c r="I64" s="15" t="s">
        <v>810</v>
      </c>
      <c r="J64" s="20" t="s">
        <v>26</v>
      </c>
      <c r="K64" s="15" t="s">
        <v>394</v>
      </c>
      <c r="L64" s="15"/>
      <c r="M64" s="15">
        <v>2024</v>
      </c>
      <c r="N64" s="15"/>
      <c r="O64" s="15">
        <v>2026</v>
      </c>
      <c r="P64" s="15">
        <v>2024</v>
      </c>
      <c r="Q64" s="15"/>
      <c r="R64" s="16" t="s">
        <v>51</v>
      </c>
      <c r="S64" s="15"/>
      <c r="T64" s="15"/>
      <c r="U64" s="15"/>
      <c r="V64" s="15"/>
      <c r="W64" s="15"/>
    </row>
    <row r="65" spans="1:23" s="17" customFormat="1" ht="28" x14ac:dyDescent="0.35">
      <c r="A65" s="12">
        <v>64</v>
      </c>
      <c r="B65" s="13" t="s">
        <v>811</v>
      </c>
      <c r="C65" s="14" t="s">
        <v>812</v>
      </c>
      <c r="D65" s="26" t="str">
        <f t="shared" si="1"/>
        <v>Laki-Laki</v>
      </c>
      <c r="E65" s="13" t="s">
        <v>152</v>
      </c>
      <c r="F65" s="18" t="s">
        <v>813</v>
      </c>
      <c r="G65" s="13" t="s">
        <v>588</v>
      </c>
      <c r="H65" s="15" t="s">
        <v>814</v>
      </c>
      <c r="I65" s="15" t="s">
        <v>815</v>
      </c>
      <c r="J65" s="12" t="s">
        <v>45</v>
      </c>
      <c r="K65" s="15" t="s">
        <v>591</v>
      </c>
      <c r="L65" s="15" t="s">
        <v>28</v>
      </c>
      <c r="M65" s="15">
        <v>2024</v>
      </c>
      <c r="N65" s="15" t="str">
        <f t="shared" ref="N65:N71" si="3">L65</f>
        <v>September</v>
      </c>
      <c r="O65" s="15">
        <v>2028</v>
      </c>
      <c r="P65" s="15">
        <v>2024</v>
      </c>
      <c r="Q65" s="15"/>
      <c r="R65" s="16" t="s">
        <v>51</v>
      </c>
      <c r="S65" s="15"/>
      <c r="T65" s="15"/>
      <c r="U65" s="15"/>
      <c r="V65" s="15"/>
      <c r="W65" s="15"/>
    </row>
    <row r="66" spans="1:23" s="17" customFormat="1" ht="28" x14ac:dyDescent="0.35">
      <c r="A66" s="12">
        <v>65</v>
      </c>
      <c r="B66" s="13" t="s">
        <v>816</v>
      </c>
      <c r="C66" s="14" t="s">
        <v>817</v>
      </c>
      <c r="D66" s="26" t="str">
        <f t="shared" si="1"/>
        <v>Laki-Laki</v>
      </c>
      <c r="E66" s="13" t="s">
        <v>152</v>
      </c>
      <c r="F66" s="18" t="s">
        <v>818</v>
      </c>
      <c r="G66" s="13" t="s">
        <v>588</v>
      </c>
      <c r="H66" s="15" t="s">
        <v>814</v>
      </c>
      <c r="I66" s="15" t="s">
        <v>819</v>
      </c>
      <c r="J66" s="12" t="s">
        <v>45</v>
      </c>
      <c r="K66" s="15" t="s">
        <v>651</v>
      </c>
      <c r="L66" s="15" t="s">
        <v>113</v>
      </c>
      <c r="M66" s="15">
        <v>2024</v>
      </c>
      <c r="N66" s="15" t="str">
        <f t="shared" si="3"/>
        <v>April</v>
      </c>
      <c r="O66" s="15">
        <v>2028</v>
      </c>
      <c r="P66" s="15">
        <v>2024</v>
      </c>
      <c r="Q66" s="15"/>
      <c r="R66" s="16" t="s">
        <v>51</v>
      </c>
      <c r="S66" s="15"/>
      <c r="T66" s="15"/>
      <c r="U66" s="15"/>
      <c r="V66" s="15"/>
      <c r="W66" s="15"/>
    </row>
    <row r="67" spans="1:23" s="17" customFormat="1" ht="28" x14ac:dyDescent="0.35">
      <c r="A67" s="12">
        <v>66</v>
      </c>
      <c r="B67" s="13" t="s">
        <v>820</v>
      </c>
      <c r="C67" s="14" t="s">
        <v>821</v>
      </c>
      <c r="D67" s="26" t="str">
        <f t="shared" ref="D67:D91" si="4">IF(MID(C67,15,1)="1","Laki-Laki","Perempuan")</f>
        <v>Laki-Laki</v>
      </c>
      <c r="E67" s="13" t="s">
        <v>822</v>
      </c>
      <c r="F67" s="18" t="s">
        <v>397</v>
      </c>
      <c r="G67" s="13" t="s">
        <v>588</v>
      </c>
      <c r="H67" s="15" t="s">
        <v>639</v>
      </c>
      <c r="I67" s="15" t="s">
        <v>823</v>
      </c>
      <c r="J67" s="20" t="s">
        <v>26</v>
      </c>
      <c r="K67" s="15" t="s">
        <v>46</v>
      </c>
      <c r="L67" s="15" t="s">
        <v>28</v>
      </c>
      <c r="M67" s="15">
        <v>2024</v>
      </c>
      <c r="N67" s="15" t="str">
        <f t="shared" si="3"/>
        <v>September</v>
      </c>
      <c r="O67" s="15">
        <v>2026</v>
      </c>
      <c r="P67" s="15">
        <v>2024</v>
      </c>
      <c r="Q67" s="15"/>
      <c r="R67" s="16" t="s">
        <v>51</v>
      </c>
      <c r="S67" s="15"/>
      <c r="T67" s="15"/>
      <c r="U67" s="15"/>
      <c r="V67" s="15"/>
      <c r="W67" s="15"/>
    </row>
    <row r="68" spans="1:23" s="17" customFormat="1" ht="28" x14ac:dyDescent="0.35">
      <c r="A68" s="12">
        <v>67</v>
      </c>
      <c r="B68" s="13" t="s">
        <v>824</v>
      </c>
      <c r="C68" s="14" t="s">
        <v>825</v>
      </c>
      <c r="D68" s="26" t="str">
        <f t="shared" si="4"/>
        <v>Perempuan</v>
      </c>
      <c r="E68" s="13" t="s">
        <v>826</v>
      </c>
      <c r="F68" s="18" t="s">
        <v>153</v>
      </c>
      <c r="G68" s="13" t="s">
        <v>588</v>
      </c>
      <c r="H68" s="15" t="s">
        <v>639</v>
      </c>
      <c r="I68" s="15" t="s">
        <v>823</v>
      </c>
      <c r="J68" s="20" t="s">
        <v>26</v>
      </c>
      <c r="K68" s="15" t="s">
        <v>46</v>
      </c>
      <c r="L68" s="15" t="s">
        <v>28</v>
      </c>
      <c r="M68" s="15">
        <v>2024</v>
      </c>
      <c r="N68" s="15" t="str">
        <f t="shared" si="3"/>
        <v>September</v>
      </c>
      <c r="O68" s="15">
        <v>2026</v>
      </c>
      <c r="P68" s="15">
        <v>2024</v>
      </c>
      <c r="Q68" s="15"/>
      <c r="R68" s="16" t="s">
        <v>51</v>
      </c>
      <c r="S68" s="15"/>
      <c r="T68" s="15"/>
      <c r="U68" s="15"/>
      <c r="V68" s="15"/>
      <c r="W68" s="15"/>
    </row>
    <row r="69" spans="1:23" s="17" customFormat="1" ht="28" x14ac:dyDescent="0.35">
      <c r="A69" s="12">
        <v>68</v>
      </c>
      <c r="B69" s="13" t="s">
        <v>827</v>
      </c>
      <c r="C69" s="14" t="s">
        <v>828</v>
      </c>
      <c r="D69" s="26" t="str">
        <f t="shared" si="4"/>
        <v>Laki-Laki</v>
      </c>
      <c r="E69" s="13" t="s">
        <v>211</v>
      </c>
      <c r="F69" s="18" t="s">
        <v>795</v>
      </c>
      <c r="G69" s="13" t="s">
        <v>588</v>
      </c>
      <c r="H69" s="15" t="s">
        <v>814</v>
      </c>
      <c r="I69" s="15" t="s">
        <v>829</v>
      </c>
      <c r="J69" s="12" t="s">
        <v>45</v>
      </c>
      <c r="K69" s="15" t="s">
        <v>591</v>
      </c>
      <c r="L69" s="15" t="s">
        <v>28</v>
      </c>
      <c r="M69" s="15">
        <v>2024</v>
      </c>
      <c r="N69" s="15" t="str">
        <f t="shared" si="3"/>
        <v>September</v>
      </c>
      <c r="O69" s="15">
        <v>2028</v>
      </c>
      <c r="P69" s="15">
        <v>2024</v>
      </c>
      <c r="Q69" s="15"/>
      <c r="R69" s="16" t="s">
        <v>51</v>
      </c>
      <c r="S69" s="15"/>
      <c r="T69" s="15"/>
      <c r="U69" s="15"/>
      <c r="V69" s="15"/>
      <c r="W69" s="15"/>
    </row>
    <row r="70" spans="1:23" s="17" customFormat="1" ht="28" x14ac:dyDescent="0.35">
      <c r="A70" s="12">
        <v>69</v>
      </c>
      <c r="B70" s="13" t="s">
        <v>830</v>
      </c>
      <c r="C70" s="14" t="s">
        <v>831</v>
      </c>
      <c r="D70" s="26" t="str">
        <f t="shared" si="4"/>
        <v>Laki-Laki</v>
      </c>
      <c r="E70" s="13" t="s">
        <v>211</v>
      </c>
      <c r="F70" s="18" t="s">
        <v>795</v>
      </c>
      <c r="G70" s="13" t="s">
        <v>588</v>
      </c>
      <c r="H70" s="15" t="s">
        <v>814</v>
      </c>
      <c r="I70" s="15" t="s">
        <v>829</v>
      </c>
      <c r="J70" s="12" t="s">
        <v>45</v>
      </c>
      <c r="K70" s="15" t="s">
        <v>591</v>
      </c>
      <c r="L70" s="15" t="s">
        <v>28</v>
      </c>
      <c r="M70" s="15">
        <v>2024</v>
      </c>
      <c r="N70" s="15" t="str">
        <f t="shared" si="3"/>
        <v>September</v>
      </c>
      <c r="O70" s="15">
        <v>2028</v>
      </c>
      <c r="P70" s="15">
        <v>2024</v>
      </c>
      <c r="Q70" s="15"/>
      <c r="R70" s="16" t="s">
        <v>51</v>
      </c>
      <c r="S70" s="15"/>
      <c r="T70" s="15"/>
      <c r="U70" s="15"/>
      <c r="V70" s="15"/>
      <c r="W70" s="15"/>
    </row>
    <row r="71" spans="1:23" s="17" customFormat="1" ht="28" x14ac:dyDescent="0.35">
      <c r="A71" s="12">
        <v>70</v>
      </c>
      <c r="B71" s="13" t="s">
        <v>832</v>
      </c>
      <c r="C71" s="14" t="s">
        <v>833</v>
      </c>
      <c r="D71" s="26" t="str">
        <f t="shared" si="4"/>
        <v>Laki-Laki</v>
      </c>
      <c r="E71" s="13" t="s">
        <v>211</v>
      </c>
      <c r="F71" s="18" t="s">
        <v>795</v>
      </c>
      <c r="G71" s="13" t="s">
        <v>588</v>
      </c>
      <c r="H71" s="15" t="s">
        <v>814</v>
      </c>
      <c r="I71" s="15" t="s">
        <v>829</v>
      </c>
      <c r="J71" s="12" t="s">
        <v>45</v>
      </c>
      <c r="K71" s="15" t="s">
        <v>591</v>
      </c>
      <c r="L71" s="15" t="s">
        <v>28</v>
      </c>
      <c r="M71" s="15">
        <v>2024</v>
      </c>
      <c r="N71" s="15" t="str">
        <f t="shared" si="3"/>
        <v>September</v>
      </c>
      <c r="O71" s="15">
        <v>2028</v>
      </c>
      <c r="P71" s="15">
        <v>2024</v>
      </c>
      <c r="Q71" s="15"/>
      <c r="R71" s="16" t="s">
        <v>51</v>
      </c>
      <c r="S71" s="15"/>
      <c r="T71" s="15"/>
      <c r="U71" s="15"/>
      <c r="V71" s="15"/>
      <c r="W71" s="15"/>
    </row>
    <row r="72" spans="1:23" s="17" customFormat="1" ht="28" x14ac:dyDescent="0.35">
      <c r="A72" s="12">
        <v>71</v>
      </c>
      <c r="B72" s="13" t="s">
        <v>834</v>
      </c>
      <c r="C72" s="14" t="s">
        <v>835</v>
      </c>
      <c r="D72" s="26" t="str">
        <f t="shared" si="4"/>
        <v>Laki-Laki</v>
      </c>
      <c r="E72" s="13" t="s">
        <v>188</v>
      </c>
      <c r="F72" s="18" t="s">
        <v>836</v>
      </c>
      <c r="G72" s="13" t="s">
        <v>588</v>
      </c>
      <c r="H72" s="15" t="s">
        <v>663</v>
      </c>
      <c r="I72" s="15" t="s">
        <v>810</v>
      </c>
      <c r="J72" s="20" t="s">
        <v>26</v>
      </c>
      <c r="K72" s="15" t="s">
        <v>837</v>
      </c>
      <c r="L72" s="15"/>
      <c r="M72" s="15">
        <v>2024</v>
      </c>
      <c r="N72" s="15"/>
      <c r="O72" s="15">
        <v>2026</v>
      </c>
      <c r="P72" s="15">
        <v>2024</v>
      </c>
      <c r="Q72" s="15"/>
      <c r="R72" s="16" t="s">
        <v>51</v>
      </c>
      <c r="S72" s="15"/>
      <c r="T72" s="15"/>
      <c r="U72" s="15"/>
      <c r="V72" s="15"/>
      <c r="W72" s="15"/>
    </row>
    <row r="73" spans="1:23" s="17" customFormat="1" ht="28" x14ac:dyDescent="0.35">
      <c r="A73" s="12">
        <v>72</v>
      </c>
      <c r="B73" s="13" t="s">
        <v>838</v>
      </c>
      <c r="C73" s="14" t="s">
        <v>839</v>
      </c>
      <c r="D73" s="26" t="str">
        <f t="shared" si="4"/>
        <v>Laki-Laki</v>
      </c>
      <c r="E73" s="13" t="s">
        <v>188</v>
      </c>
      <c r="F73" s="18" t="s">
        <v>809</v>
      </c>
      <c r="G73" s="13" t="s">
        <v>588</v>
      </c>
      <c r="H73" s="15" t="s">
        <v>663</v>
      </c>
      <c r="I73" s="15" t="s">
        <v>810</v>
      </c>
      <c r="J73" s="20" t="s">
        <v>26</v>
      </c>
      <c r="K73" s="15" t="s">
        <v>837</v>
      </c>
      <c r="L73" s="15"/>
      <c r="M73" s="15">
        <v>2024</v>
      </c>
      <c r="N73" s="15"/>
      <c r="O73" s="15">
        <v>2026</v>
      </c>
      <c r="P73" s="15">
        <v>2024</v>
      </c>
      <c r="Q73" s="15"/>
      <c r="R73" s="16" t="s">
        <v>51</v>
      </c>
      <c r="S73" s="15"/>
      <c r="T73" s="15"/>
      <c r="U73" s="15"/>
      <c r="V73" s="15"/>
      <c r="W73" s="15"/>
    </row>
    <row r="74" spans="1:23" s="17" customFormat="1" ht="14.5" x14ac:dyDescent="0.35">
      <c r="A74" s="12">
        <v>73</v>
      </c>
      <c r="B74" s="13" t="s">
        <v>840</v>
      </c>
      <c r="C74" s="14" t="s">
        <v>841</v>
      </c>
      <c r="D74" s="26" t="str">
        <f t="shared" si="4"/>
        <v>Laki-Laki</v>
      </c>
      <c r="E74" s="13" t="s">
        <v>842</v>
      </c>
      <c r="F74" s="18" t="s">
        <v>843</v>
      </c>
      <c r="G74" s="13" t="s">
        <v>588</v>
      </c>
      <c r="H74" s="15" t="s">
        <v>844</v>
      </c>
      <c r="I74" s="15" t="s">
        <v>256</v>
      </c>
      <c r="J74" s="12" t="s">
        <v>242</v>
      </c>
      <c r="K74" s="15" t="s">
        <v>257</v>
      </c>
      <c r="L74" s="15" t="s">
        <v>60</v>
      </c>
      <c r="M74" s="15">
        <v>2024</v>
      </c>
      <c r="N74" s="15" t="str">
        <f>L74</f>
        <v>Agustus</v>
      </c>
      <c r="O74" s="15">
        <v>2027</v>
      </c>
      <c r="P74" s="15">
        <v>2024</v>
      </c>
      <c r="Q74" s="15"/>
      <c r="R74" s="16" t="s">
        <v>51</v>
      </c>
      <c r="S74" s="15"/>
      <c r="T74" s="15"/>
      <c r="U74" s="15"/>
      <c r="V74" s="15"/>
      <c r="W74" s="15"/>
    </row>
    <row r="75" spans="1:23" s="17" customFormat="1" ht="28" x14ac:dyDescent="0.35">
      <c r="A75" s="12">
        <v>74</v>
      </c>
      <c r="B75" s="13" t="s">
        <v>845</v>
      </c>
      <c r="C75" s="14" t="s">
        <v>846</v>
      </c>
      <c r="D75" s="26" t="str">
        <f t="shared" si="4"/>
        <v>Perempuan</v>
      </c>
      <c r="E75" s="13" t="s">
        <v>842</v>
      </c>
      <c r="F75" s="18" t="s">
        <v>847</v>
      </c>
      <c r="G75" s="13" t="s">
        <v>588</v>
      </c>
      <c r="H75" s="15" t="s">
        <v>806</v>
      </c>
      <c r="I75" s="15" t="s">
        <v>848</v>
      </c>
      <c r="J75" s="20" t="s">
        <v>26</v>
      </c>
      <c r="K75" s="15" t="s">
        <v>591</v>
      </c>
      <c r="L75" s="15" t="s">
        <v>28</v>
      </c>
      <c r="M75" s="15">
        <v>2024</v>
      </c>
      <c r="N75" s="15" t="str">
        <f>L75</f>
        <v>September</v>
      </c>
      <c r="O75" s="15">
        <v>2026</v>
      </c>
      <c r="P75" s="15">
        <v>2024</v>
      </c>
      <c r="Q75" s="15"/>
      <c r="R75" s="16" t="s">
        <v>51</v>
      </c>
      <c r="S75" s="15"/>
      <c r="T75" s="15"/>
      <c r="U75" s="15"/>
      <c r="V75" s="15"/>
      <c r="W75" s="15"/>
    </row>
    <row r="76" spans="1:23" s="17" customFormat="1" ht="28" x14ac:dyDescent="0.35">
      <c r="A76" s="12">
        <v>75</v>
      </c>
      <c r="B76" s="13" t="s">
        <v>849</v>
      </c>
      <c r="C76" s="14" t="s">
        <v>850</v>
      </c>
      <c r="D76" s="26" t="str">
        <f t="shared" si="4"/>
        <v>Laki-Laki</v>
      </c>
      <c r="E76" s="13" t="s">
        <v>172</v>
      </c>
      <c r="F76" s="18" t="s">
        <v>851</v>
      </c>
      <c r="G76" s="13" t="s">
        <v>588</v>
      </c>
      <c r="H76" s="15" t="s">
        <v>663</v>
      </c>
      <c r="I76" s="15" t="s">
        <v>852</v>
      </c>
      <c r="J76" s="12" t="s">
        <v>45</v>
      </c>
      <c r="K76" s="15" t="s">
        <v>591</v>
      </c>
      <c r="L76" s="15" t="s">
        <v>28</v>
      </c>
      <c r="M76" s="15">
        <v>2024</v>
      </c>
      <c r="N76" s="15" t="str">
        <f>L76</f>
        <v>September</v>
      </c>
      <c r="O76" s="15">
        <v>2028</v>
      </c>
      <c r="P76" s="15">
        <v>2024</v>
      </c>
      <c r="Q76" s="15"/>
      <c r="R76" s="16" t="s">
        <v>51</v>
      </c>
      <c r="S76" s="15"/>
      <c r="T76" s="15"/>
      <c r="U76" s="15"/>
      <c r="V76" s="15"/>
      <c r="W76" s="15"/>
    </row>
    <row r="77" spans="1:23" s="17" customFormat="1" ht="28" x14ac:dyDescent="0.35">
      <c r="A77" s="12">
        <v>76</v>
      </c>
      <c r="B77" s="25" t="s">
        <v>853</v>
      </c>
      <c r="C77" s="26" t="s">
        <v>854</v>
      </c>
      <c r="D77" s="26" t="str">
        <f t="shared" si="4"/>
        <v>Laki-Laki</v>
      </c>
      <c r="E77" s="25" t="s">
        <v>211</v>
      </c>
      <c r="F77" s="33" t="s">
        <v>855</v>
      </c>
      <c r="G77" s="25" t="s">
        <v>588</v>
      </c>
      <c r="H77" s="19" t="s">
        <v>856</v>
      </c>
      <c r="I77" s="28" t="s">
        <v>857</v>
      </c>
      <c r="J77" s="32" t="s">
        <v>180</v>
      </c>
      <c r="K77" s="28" t="s">
        <v>858</v>
      </c>
      <c r="L77" s="47" t="s">
        <v>169</v>
      </c>
      <c r="M77" s="12">
        <v>2024</v>
      </c>
      <c r="N77" s="15" t="str">
        <f>L77</f>
        <v>Oktober</v>
      </c>
      <c r="O77" s="15">
        <v>2028</v>
      </c>
      <c r="P77" s="15">
        <v>2025</v>
      </c>
      <c r="Q77" s="15"/>
      <c r="R77" s="16" t="s">
        <v>51</v>
      </c>
      <c r="S77" s="15"/>
      <c r="T77" s="15"/>
      <c r="U77" s="15"/>
      <c r="V77" s="15"/>
      <c r="W77" s="15"/>
    </row>
    <row r="78" spans="1:23" s="17" customFormat="1" ht="28" x14ac:dyDescent="0.35">
      <c r="A78" s="12">
        <v>77</v>
      </c>
      <c r="B78" s="25" t="s">
        <v>859</v>
      </c>
      <c r="C78" s="26" t="s">
        <v>860</v>
      </c>
      <c r="D78" s="26" t="str">
        <f t="shared" si="4"/>
        <v>Laki-Laki</v>
      </c>
      <c r="E78" s="25" t="s">
        <v>215</v>
      </c>
      <c r="F78" s="33" t="s">
        <v>851</v>
      </c>
      <c r="G78" s="25" t="s">
        <v>588</v>
      </c>
      <c r="H78" s="19" t="s">
        <v>814</v>
      </c>
      <c r="I78" s="28" t="s">
        <v>861</v>
      </c>
      <c r="J78" s="32" t="s">
        <v>180</v>
      </c>
      <c r="K78" s="28" t="s">
        <v>591</v>
      </c>
      <c r="L78" s="47" t="s">
        <v>28</v>
      </c>
      <c r="M78" s="12">
        <v>2024</v>
      </c>
      <c r="N78" s="15" t="str">
        <f t="shared" ref="N78:N91" si="5">L78</f>
        <v>September</v>
      </c>
      <c r="O78" s="15">
        <v>2028</v>
      </c>
      <c r="P78" s="15">
        <v>2025</v>
      </c>
      <c r="Q78" s="15"/>
      <c r="R78" s="16" t="s">
        <v>51</v>
      </c>
      <c r="S78" s="15"/>
      <c r="T78" s="15"/>
      <c r="U78" s="15"/>
      <c r="V78" s="15"/>
      <c r="W78" s="15"/>
    </row>
    <row r="79" spans="1:23" s="17" customFormat="1" ht="28" x14ac:dyDescent="0.35">
      <c r="A79" s="12">
        <v>78</v>
      </c>
      <c r="B79" s="25" t="s">
        <v>862</v>
      </c>
      <c r="C79" s="26" t="s">
        <v>863</v>
      </c>
      <c r="D79" s="26" t="str">
        <f t="shared" si="4"/>
        <v>Laki-Laki</v>
      </c>
      <c r="E79" s="25" t="s">
        <v>864</v>
      </c>
      <c r="F79" s="33" t="s">
        <v>865</v>
      </c>
      <c r="G79" s="25" t="s">
        <v>588</v>
      </c>
      <c r="H79" s="19" t="s">
        <v>866</v>
      </c>
      <c r="I79" s="28" t="s">
        <v>256</v>
      </c>
      <c r="J79" s="32" t="s">
        <v>509</v>
      </c>
      <c r="K79" s="28" t="s">
        <v>257</v>
      </c>
      <c r="L79" s="47" t="s">
        <v>60</v>
      </c>
      <c r="M79" s="12">
        <v>2024</v>
      </c>
      <c r="N79" s="15" t="str">
        <f t="shared" si="5"/>
        <v>Agustus</v>
      </c>
      <c r="O79" s="15">
        <v>2027</v>
      </c>
      <c r="P79" s="15">
        <v>2025</v>
      </c>
      <c r="Q79" s="15"/>
      <c r="R79" s="16" t="s">
        <v>51</v>
      </c>
      <c r="S79" s="15"/>
      <c r="T79" s="15"/>
      <c r="U79" s="15"/>
      <c r="V79" s="15"/>
      <c r="W79" s="15"/>
    </row>
    <row r="80" spans="1:23" s="17" customFormat="1" ht="14.5" x14ac:dyDescent="0.35">
      <c r="A80" s="12">
        <v>79</v>
      </c>
      <c r="B80" s="25" t="s">
        <v>867</v>
      </c>
      <c r="C80" s="26" t="s">
        <v>868</v>
      </c>
      <c r="D80" s="26" t="str">
        <f t="shared" si="4"/>
        <v>Perempuan</v>
      </c>
      <c r="E80" s="25" t="s">
        <v>869</v>
      </c>
      <c r="F80" s="33" t="s">
        <v>105</v>
      </c>
      <c r="G80" s="25" t="s">
        <v>588</v>
      </c>
      <c r="H80" s="19" t="s">
        <v>870</v>
      </c>
      <c r="I80" s="28" t="s">
        <v>871</v>
      </c>
      <c r="J80" s="32" t="s">
        <v>180</v>
      </c>
      <c r="K80" s="28" t="s">
        <v>46</v>
      </c>
      <c r="L80" s="47" t="s">
        <v>28</v>
      </c>
      <c r="M80" s="12">
        <v>2024</v>
      </c>
      <c r="N80" s="15" t="str">
        <f t="shared" si="5"/>
        <v>September</v>
      </c>
      <c r="O80" s="15">
        <v>2028</v>
      </c>
      <c r="P80" s="15">
        <v>2025</v>
      </c>
      <c r="Q80" s="15"/>
      <c r="R80" s="16" t="s">
        <v>51</v>
      </c>
      <c r="S80" s="15"/>
      <c r="T80" s="15"/>
      <c r="U80" s="15"/>
      <c r="V80" s="15"/>
      <c r="W80" s="15"/>
    </row>
    <row r="81" spans="1:23" s="17" customFormat="1" ht="28" x14ac:dyDescent="0.35">
      <c r="A81" s="12">
        <v>80</v>
      </c>
      <c r="B81" s="25" t="s">
        <v>872</v>
      </c>
      <c r="C81" s="26" t="s">
        <v>873</v>
      </c>
      <c r="D81" s="26" t="str">
        <f t="shared" si="4"/>
        <v>Perempuan</v>
      </c>
      <c r="E81" s="25" t="s">
        <v>188</v>
      </c>
      <c r="F81" s="33" t="s">
        <v>874</v>
      </c>
      <c r="G81" s="25" t="s">
        <v>588</v>
      </c>
      <c r="H81" s="19" t="s">
        <v>814</v>
      </c>
      <c r="I81" s="28" t="s">
        <v>819</v>
      </c>
      <c r="J81" s="32" t="s">
        <v>190</v>
      </c>
      <c r="K81" s="28" t="s">
        <v>394</v>
      </c>
      <c r="L81" s="47" t="s">
        <v>28</v>
      </c>
      <c r="M81" s="12">
        <v>2024</v>
      </c>
      <c r="N81" s="15" t="str">
        <f t="shared" si="5"/>
        <v>September</v>
      </c>
      <c r="O81" s="15">
        <v>2026</v>
      </c>
      <c r="P81" s="15">
        <v>2025</v>
      </c>
      <c r="Q81" s="15"/>
      <c r="R81" s="16" t="s">
        <v>51</v>
      </c>
      <c r="S81" s="15"/>
      <c r="T81" s="15"/>
      <c r="U81" s="15"/>
      <c r="V81" s="15"/>
      <c r="W81" s="15"/>
    </row>
    <row r="82" spans="1:23" s="17" customFormat="1" ht="14.5" x14ac:dyDescent="0.35">
      <c r="A82" s="12">
        <v>81</v>
      </c>
      <c r="B82" s="25" t="s">
        <v>875</v>
      </c>
      <c r="C82" s="26" t="s">
        <v>876</v>
      </c>
      <c r="D82" s="26" t="str">
        <f t="shared" si="4"/>
        <v>Laki-Laki</v>
      </c>
      <c r="E82" s="25" t="s">
        <v>172</v>
      </c>
      <c r="F82" s="33" t="s">
        <v>99</v>
      </c>
      <c r="G82" s="25" t="s">
        <v>588</v>
      </c>
      <c r="H82" s="19" t="s">
        <v>877</v>
      </c>
      <c r="I82" s="28" t="s">
        <v>871</v>
      </c>
      <c r="J82" s="32" t="s">
        <v>180</v>
      </c>
      <c r="K82" s="28" t="s">
        <v>46</v>
      </c>
      <c r="L82" s="47" t="s">
        <v>169</v>
      </c>
      <c r="M82" s="12">
        <v>2024</v>
      </c>
      <c r="N82" s="15" t="str">
        <f t="shared" si="5"/>
        <v>Oktober</v>
      </c>
      <c r="O82" s="15">
        <v>2028</v>
      </c>
      <c r="P82" s="15">
        <v>2025</v>
      </c>
      <c r="Q82" s="15"/>
      <c r="R82" s="16" t="s">
        <v>51</v>
      </c>
      <c r="S82" s="15"/>
      <c r="T82" s="15"/>
      <c r="U82" s="15"/>
      <c r="V82" s="15"/>
      <c r="W82" s="15"/>
    </row>
    <row r="83" spans="1:23" s="17" customFormat="1" ht="28" x14ac:dyDescent="0.35">
      <c r="A83" s="12">
        <v>82</v>
      </c>
      <c r="B83" s="25" t="s">
        <v>878</v>
      </c>
      <c r="C83" s="26" t="s">
        <v>879</v>
      </c>
      <c r="D83" s="26" t="str">
        <f t="shared" si="4"/>
        <v>Perempuan</v>
      </c>
      <c r="E83" s="25" t="s">
        <v>826</v>
      </c>
      <c r="F83" s="33" t="s">
        <v>662</v>
      </c>
      <c r="G83" s="25" t="s">
        <v>588</v>
      </c>
      <c r="H83" s="19" t="s">
        <v>771</v>
      </c>
      <c r="I83" s="28" t="s">
        <v>788</v>
      </c>
      <c r="J83" s="32" t="s">
        <v>190</v>
      </c>
      <c r="K83" s="28" t="s">
        <v>407</v>
      </c>
      <c r="L83" s="47" t="s">
        <v>28</v>
      </c>
      <c r="M83" s="12">
        <v>2024</v>
      </c>
      <c r="N83" s="15" t="str">
        <f t="shared" si="5"/>
        <v>September</v>
      </c>
      <c r="O83" s="15">
        <v>2026</v>
      </c>
      <c r="P83" s="15">
        <v>2025</v>
      </c>
      <c r="Q83" s="15"/>
      <c r="R83" s="16" t="s">
        <v>51</v>
      </c>
      <c r="S83" s="15"/>
      <c r="T83" s="15"/>
      <c r="U83" s="15"/>
      <c r="V83" s="15"/>
      <c r="W83" s="15"/>
    </row>
    <row r="84" spans="1:23" s="17" customFormat="1" ht="28" x14ac:dyDescent="0.35">
      <c r="A84" s="12">
        <v>83</v>
      </c>
      <c r="B84" s="25" t="s">
        <v>880</v>
      </c>
      <c r="C84" s="26" t="s">
        <v>881</v>
      </c>
      <c r="D84" s="26" t="str">
        <f t="shared" si="4"/>
        <v>Laki-Laki</v>
      </c>
      <c r="E84" s="25" t="s">
        <v>882</v>
      </c>
      <c r="F84" s="33" t="s">
        <v>883</v>
      </c>
      <c r="G84" s="25" t="s">
        <v>588</v>
      </c>
      <c r="H84" s="19" t="s">
        <v>884</v>
      </c>
      <c r="I84" s="28" t="s">
        <v>629</v>
      </c>
      <c r="J84" s="32" t="s">
        <v>190</v>
      </c>
      <c r="K84" s="28" t="s">
        <v>46</v>
      </c>
      <c r="L84" s="47" t="s">
        <v>60</v>
      </c>
      <c r="M84" s="12">
        <v>2024</v>
      </c>
      <c r="N84" s="15" t="str">
        <f t="shared" si="5"/>
        <v>Agustus</v>
      </c>
      <c r="O84" s="15">
        <v>2026</v>
      </c>
      <c r="P84" s="15">
        <v>2025</v>
      </c>
      <c r="Q84" s="15"/>
      <c r="R84" s="16" t="s">
        <v>51</v>
      </c>
      <c r="S84" s="15"/>
      <c r="T84" s="15"/>
      <c r="U84" s="15"/>
      <c r="V84" s="15"/>
      <c r="W84" s="15"/>
    </row>
    <row r="85" spans="1:23" s="17" customFormat="1" ht="14.5" x14ac:dyDescent="0.35">
      <c r="A85" s="12">
        <v>84</v>
      </c>
      <c r="B85" s="25" t="s">
        <v>885</v>
      </c>
      <c r="C85" s="26" t="s">
        <v>886</v>
      </c>
      <c r="D85" s="26" t="str">
        <f t="shared" si="4"/>
        <v>Laki-Laki</v>
      </c>
      <c r="E85" s="25" t="s">
        <v>172</v>
      </c>
      <c r="F85" s="33" t="s">
        <v>887</v>
      </c>
      <c r="G85" s="25" t="s">
        <v>588</v>
      </c>
      <c r="H85" s="19" t="s">
        <v>888</v>
      </c>
      <c r="I85" s="28" t="s">
        <v>90</v>
      </c>
      <c r="J85" s="32" t="s">
        <v>180</v>
      </c>
      <c r="K85" s="28" t="s">
        <v>234</v>
      </c>
      <c r="L85" s="47" t="s">
        <v>169</v>
      </c>
      <c r="M85" s="12">
        <v>2024</v>
      </c>
      <c r="N85" s="15" t="str">
        <f t="shared" si="5"/>
        <v>Oktober</v>
      </c>
      <c r="O85" s="15">
        <v>2028</v>
      </c>
      <c r="P85" s="15">
        <v>2025</v>
      </c>
      <c r="Q85" s="15"/>
      <c r="R85" s="16" t="s">
        <v>51</v>
      </c>
      <c r="S85" s="15"/>
      <c r="T85" s="15"/>
      <c r="U85" s="15"/>
      <c r="V85" s="15"/>
      <c r="W85" s="15"/>
    </row>
    <row r="86" spans="1:23" s="17" customFormat="1" ht="14.5" x14ac:dyDescent="0.35">
      <c r="A86" s="12">
        <v>85</v>
      </c>
      <c r="B86" s="25" t="s">
        <v>889</v>
      </c>
      <c r="C86" s="26" t="s">
        <v>825</v>
      </c>
      <c r="D86" s="26" t="str">
        <f t="shared" si="4"/>
        <v>Perempuan</v>
      </c>
      <c r="E86" s="25" t="s">
        <v>211</v>
      </c>
      <c r="F86" s="33" t="s">
        <v>105</v>
      </c>
      <c r="G86" s="25" t="s">
        <v>588</v>
      </c>
      <c r="H86" s="19" t="s">
        <v>877</v>
      </c>
      <c r="I86" s="28" t="s">
        <v>90</v>
      </c>
      <c r="J86" s="32" t="s">
        <v>180</v>
      </c>
      <c r="K86" s="28" t="s">
        <v>234</v>
      </c>
      <c r="L86" s="47" t="s">
        <v>890</v>
      </c>
      <c r="M86" s="12">
        <v>2025</v>
      </c>
      <c r="N86" s="15" t="str">
        <f t="shared" si="5"/>
        <v>Januari</v>
      </c>
      <c r="O86" s="15">
        <v>2028</v>
      </c>
      <c r="P86" s="15">
        <v>2025</v>
      </c>
      <c r="Q86" s="15"/>
      <c r="R86" s="16" t="s">
        <v>51</v>
      </c>
      <c r="S86" s="15"/>
      <c r="T86" s="15"/>
      <c r="U86" s="15"/>
      <c r="V86" s="15"/>
      <c r="W86" s="15"/>
    </row>
    <row r="87" spans="1:23" s="17" customFormat="1" ht="28" x14ac:dyDescent="0.35">
      <c r="A87" s="12">
        <v>86</v>
      </c>
      <c r="B87" s="25" t="s">
        <v>891</v>
      </c>
      <c r="C87" s="26" t="s">
        <v>892</v>
      </c>
      <c r="D87" s="26" t="str">
        <f t="shared" si="4"/>
        <v>Laki-Laki</v>
      </c>
      <c r="E87" s="25" t="s">
        <v>864</v>
      </c>
      <c r="F87" s="33" t="s">
        <v>558</v>
      </c>
      <c r="G87" s="25" t="s">
        <v>588</v>
      </c>
      <c r="H87" s="19" t="s">
        <v>893</v>
      </c>
      <c r="I87" s="28" t="s">
        <v>256</v>
      </c>
      <c r="J87" s="32" t="s">
        <v>509</v>
      </c>
      <c r="K87" s="28" t="s">
        <v>257</v>
      </c>
      <c r="L87" s="47" t="s">
        <v>60</v>
      </c>
      <c r="M87" s="12">
        <v>2024</v>
      </c>
      <c r="N87" s="15" t="str">
        <f t="shared" si="5"/>
        <v>Agustus</v>
      </c>
      <c r="O87" s="15">
        <v>2027</v>
      </c>
      <c r="P87" s="15">
        <v>2025</v>
      </c>
      <c r="Q87" s="15"/>
      <c r="R87" s="16" t="s">
        <v>51</v>
      </c>
      <c r="S87" s="15"/>
      <c r="T87" s="15"/>
      <c r="U87" s="15"/>
      <c r="V87" s="15"/>
      <c r="W87" s="15"/>
    </row>
    <row r="88" spans="1:23" s="17" customFormat="1" ht="28" x14ac:dyDescent="0.35">
      <c r="A88" s="12">
        <v>87</v>
      </c>
      <c r="B88" s="25" t="s">
        <v>894</v>
      </c>
      <c r="C88" s="26" t="s">
        <v>895</v>
      </c>
      <c r="D88" s="26" t="str">
        <f t="shared" si="4"/>
        <v>Laki-Laki</v>
      </c>
      <c r="E88" s="25" t="s">
        <v>896</v>
      </c>
      <c r="F88" s="33" t="s">
        <v>836</v>
      </c>
      <c r="G88" s="25" t="s">
        <v>588</v>
      </c>
      <c r="H88" s="19" t="s">
        <v>763</v>
      </c>
      <c r="I88" s="28" t="s">
        <v>90</v>
      </c>
      <c r="J88" s="32" t="s">
        <v>190</v>
      </c>
      <c r="K88" s="28" t="s">
        <v>394</v>
      </c>
      <c r="L88" s="47" t="s">
        <v>35</v>
      </c>
      <c r="M88" s="12">
        <v>2025</v>
      </c>
      <c r="N88" s="15" t="str">
        <f t="shared" si="5"/>
        <v>Maret</v>
      </c>
      <c r="O88" s="15">
        <v>2026</v>
      </c>
      <c r="P88" s="15">
        <v>2025</v>
      </c>
      <c r="Q88" s="15"/>
      <c r="R88" s="16" t="s">
        <v>51</v>
      </c>
      <c r="S88" s="15"/>
      <c r="T88" s="15"/>
      <c r="U88" s="15"/>
      <c r="V88" s="15"/>
      <c r="W88" s="15"/>
    </row>
    <row r="89" spans="1:23" s="17" customFormat="1" ht="28" x14ac:dyDescent="0.35">
      <c r="A89" s="12">
        <v>88</v>
      </c>
      <c r="B89" s="25" t="s">
        <v>897</v>
      </c>
      <c r="C89" s="26" t="s">
        <v>898</v>
      </c>
      <c r="D89" s="26" t="str">
        <f t="shared" si="4"/>
        <v>Perempuan</v>
      </c>
      <c r="E89" s="25" t="s">
        <v>896</v>
      </c>
      <c r="F89" s="33" t="s">
        <v>836</v>
      </c>
      <c r="G89" s="25" t="s">
        <v>588</v>
      </c>
      <c r="H89" s="19" t="s">
        <v>763</v>
      </c>
      <c r="I89" s="28" t="s">
        <v>90</v>
      </c>
      <c r="J89" s="32" t="s">
        <v>190</v>
      </c>
      <c r="K89" s="28" t="s">
        <v>394</v>
      </c>
      <c r="L89" s="47" t="s">
        <v>35</v>
      </c>
      <c r="M89" s="12">
        <v>2025</v>
      </c>
      <c r="N89" s="15" t="str">
        <f t="shared" si="5"/>
        <v>Maret</v>
      </c>
      <c r="O89" s="15">
        <v>2026</v>
      </c>
      <c r="P89" s="15">
        <v>2025</v>
      </c>
      <c r="Q89" s="15"/>
      <c r="R89" s="16" t="s">
        <v>51</v>
      </c>
      <c r="S89" s="15"/>
      <c r="T89" s="15"/>
      <c r="U89" s="15"/>
      <c r="V89" s="15"/>
      <c r="W89" s="15"/>
    </row>
    <row r="90" spans="1:23" s="17" customFormat="1" ht="28" x14ac:dyDescent="0.35">
      <c r="A90" s="12">
        <v>89</v>
      </c>
      <c r="B90" s="25" t="s">
        <v>899</v>
      </c>
      <c r="C90" s="26" t="s">
        <v>900</v>
      </c>
      <c r="D90" s="26" t="str">
        <f t="shared" si="4"/>
        <v>Perempuan</v>
      </c>
      <c r="E90" s="25" t="s">
        <v>896</v>
      </c>
      <c r="F90" s="33" t="s">
        <v>836</v>
      </c>
      <c r="G90" s="25" t="s">
        <v>588</v>
      </c>
      <c r="H90" s="19" t="s">
        <v>763</v>
      </c>
      <c r="I90" s="28" t="s">
        <v>90</v>
      </c>
      <c r="J90" s="32" t="s">
        <v>190</v>
      </c>
      <c r="K90" s="28" t="s">
        <v>394</v>
      </c>
      <c r="L90" s="47" t="s">
        <v>35</v>
      </c>
      <c r="M90" s="12">
        <v>2025</v>
      </c>
      <c r="N90" s="15" t="str">
        <f t="shared" si="5"/>
        <v>Maret</v>
      </c>
      <c r="O90" s="15">
        <v>2026</v>
      </c>
      <c r="P90" s="15">
        <v>2025</v>
      </c>
      <c r="Q90" s="15"/>
      <c r="R90" s="16" t="s">
        <v>51</v>
      </c>
      <c r="S90" s="15"/>
      <c r="T90" s="15"/>
      <c r="U90" s="15"/>
      <c r="V90" s="15"/>
      <c r="W90" s="15"/>
    </row>
    <row r="91" spans="1:23" s="17" customFormat="1" ht="28" x14ac:dyDescent="0.35">
      <c r="A91" s="12">
        <v>90</v>
      </c>
      <c r="B91" s="25" t="s">
        <v>901</v>
      </c>
      <c r="C91" s="26" t="s">
        <v>902</v>
      </c>
      <c r="D91" s="26" t="str">
        <f t="shared" si="4"/>
        <v>Laki-Laki</v>
      </c>
      <c r="E91" s="25" t="s">
        <v>903</v>
      </c>
      <c r="F91" s="25" t="s">
        <v>904</v>
      </c>
      <c r="G91" s="25" t="s">
        <v>588</v>
      </c>
      <c r="H91" s="19" t="s">
        <v>597</v>
      </c>
      <c r="I91" s="28" t="s">
        <v>90</v>
      </c>
      <c r="J91" s="32" t="s">
        <v>180</v>
      </c>
      <c r="K91" s="28" t="s">
        <v>905</v>
      </c>
      <c r="L91" s="47" t="s">
        <v>906</v>
      </c>
      <c r="M91" s="12">
        <v>2024</v>
      </c>
      <c r="N91" s="15" t="str">
        <f t="shared" si="5"/>
        <v xml:space="preserve">18 Oktober </v>
      </c>
      <c r="O91" s="15">
        <v>2028</v>
      </c>
      <c r="P91" s="15">
        <v>2025</v>
      </c>
      <c r="Q91" s="15"/>
      <c r="R91" s="16" t="s">
        <v>51</v>
      </c>
      <c r="S91" s="15"/>
      <c r="T91" s="15"/>
      <c r="U91" s="15"/>
      <c r="V91" s="15"/>
      <c r="W91" s="15"/>
    </row>
    <row r="92" spans="1:23" ht="13" x14ac:dyDescent="0.3">
      <c r="A92" s="58"/>
      <c r="B92" s="58"/>
      <c r="C92" s="58"/>
      <c r="D92" s="58"/>
      <c r="E92" s="58"/>
      <c r="F92" s="58"/>
      <c r="G92" s="58"/>
      <c r="H92" s="59"/>
      <c r="I92" s="59"/>
      <c r="J92" s="59"/>
      <c r="K92" s="59"/>
      <c r="L92" s="59"/>
      <c r="M92" s="60"/>
      <c r="N92" s="60"/>
      <c r="O92" s="60"/>
      <c r="P92" s="59"/>
      <c r="Q92" s="59"/>
      <c r="R92" s="60"/>
      <c r="S92" s="60"/>
      <c r="T92" s="60"/>
      <c r="U92" s="60"/>
      <c r="V92" s="60"/>
      <c r="W92" s="60"/>
    </row>
    <row r="93" spans="1:23" ht="13" x14ac:dyDescent="0.3">
      <c r="A93" s="58"/>
      <c r="B93" s="58"/>
      <c r="C93" s="58"/>
      <c r="D93" s="58"/>
      <c r="E93" s="58"/>
      <c r="F93" s="58"/>
      <c r="G93" s="58"/>
      <c r="H93" s="59"/>
      <c r="I93" s="59"/>
      <c r="J93" s="59"/>
      <c r="K93" s="59"/>
      <c r="L93" s="59"/>
      <c r="M93" s="60"/>
      <c r="N93" s="60"/>
      <c r="O93" s="60"/>
      <c r="P93" s="59"/>
      <c r="Q93" s="59"/>
      <c r="R93" s="60"/>
      <c r="S93" s="60"/>
      <c r="T93" s="60"/>
      <c r="U93" s="60"/>
      <c r="V93" s="60"/>
      <c r="W93" s="60"/>
    </row>
    <row r="94" spans="1:23" ht="13" x14ac:dyDescent="0.3">
      <c r="A94" s="58"/>
      <c r="B94" s="58"/>
      <c r="C94" s="58"/>
      <c r="D94" s="58"/>
      <c r="E94" s="58"/>
      <c r="F94" s="58"/>
      <c r="G94" s="58"/>
      <c r="H94" s="59"/>
      <c r="I94" s="59"/>
      <c r="J94" s="59"/>
      <c r="K94" s="59"/>
      <c r="L94" s="59"/>
      <c r="M94" s="60"/>
      <c r="N94" s="60"/>
      <c r="O94" s="60"/>
      <c r="P94" s="59"/>
      <c r="Q94" s="59"/>
      <c r="R94" s="60"/>
      <c r="S94" s="60"/>
      <c r="T94" s="60"/>
      <c r="U94" s="60"/>
      <c r="V94" s="60"/>
      <c r="W94" s="60"/>
    </row>
    <row r="95" spans="1:23" ht="13" x14ac:dyDescent="0.3">
      <c r="A95" s="58"/>
      <c r="B95" s="58"/>
      <c r="C95" s="58"/>
      <c r="D95" s="58"/>
      <c r="E95" s="58"/>
      <c r="F95" s="58"/>
      <c r="G95" s="58"/>
      <c r="H95" s="59"/>
      <c r="I95" s="59"/>
      <c r="J95" s="59"/>
      <c r="K95" s="59"/>
      <c r="L95" s="59"/>
      <c r="M95" s="60"/>
      <c r="N95" s="60"/>
      <c r="O95" s="60"/>
      <c r="P95" s="59"/>
      <c r="Q95" s="59"/>
      <c r="R95" s="60"/>
      <c r="S95" s="60"/>
      <c r="T95" s="60"/>
      <c r="U95" s="60"/>
      <c r="V95" s="60"/>
      <c r="W95" s="60"/>
    </row>
    <row r="96" spans="1:23" ht="13" x14ac:dyDescent="0.3">
      <c r="A96" s="58"/>
      <c r="B96" s="58"/>
      <c r="C96" s="58"/>
      <c r="D96" s="58"/>
      <c r="E96" s="58"/>
      <c r="F96" s="58"/>
      <c r="G96" s="58"/>
      <c r="H96" s="59"/>
      <c r="I96" s="59"/>
      <c r="J96" s="59"/>
      <c r="K96" s="59"/>
      <c r="L96" s="59"/>
      <c r="M96" s="60"/>
      <c r="N96" s="60"/>
      <c r="O96" s="60"/>
      <c r="P96" s="59"/>
      <c r="Q96" s="59"/>
      <c r="R96" s="60"/>
      <c r="S96" s="60"/>
      <c r="T96" s="60"/>
      <c r="U96" s="60"/>
      <c r="V96" s="60"/>
      <c r="W96" s="60"/>
    </row>
    <row r="97" spans="1:23" ht="13" x14ac:dyDescent="0.3">
      <c r="A97" s="58"/>
      <c r="B97" s="58"/>
      <c r="C97" s="58"/>
      <c r="D97" s="58"/>
      <c r="E97" s="58"/>
      <c r="F97" s="58"/>
      <c r="G97" s="58"/>
      <c r="H97" s="59"/>
      <c r="I97" s="59"/>
      <c r="J97" s="59"/>
      <c r="K97" s="59"/>
      <c r="L97" s="59"/>
      <c r="M97" s="60"/>
      <c r="N97" s="60"/>
      <c r="O97" s="60"/>
      <c r="P97" s="59"/>
      <c r="Q97" s="59"/>
      <c r="R97" s="60"/>
      <c r="S97" s="60"/>
      <c r="T97" s="60"/>
      <c r="U97" s="60"/>
      <c r="V97" s="60"/>
      <c r="W97" s="60"/>
    </row>
    <row r="98" spans="1:23" ht="13" x14ac:dyDescent="0.3">
      <c r="A98" s="58"/>
      <c r="B98" s="58"/>
      <c r="C98" s="58"/>
      <c r="D98" s="58"/>
      <c r="E98" s="58"/>
      <c r="F98" s="58"/>
      <c r="G98" s="58"/>
      <c r="H98" s="59"/>
      <c r="I98" s="59"/>
      <c r="J98" s="59"/>
      <c r="K98" s="59"/>
      <c r="L98" s="59"/>
      <c r="M98" s="60"/>
      <c r="N98" s="60"/>
      <c r="O98" s="60"/>
      <c r="P98" s="59"/>
      <c r="Q98" s="59"/>
      <c r="R98" s="60"/>
      <c r="S98" s="60"/>
      <c r="T98" s="60"/>
      <c r="U98" s="60"/>
      <c r="V98" s="60"/>
      <c r="W98" s="60"/>
    </row>
    <row r="99" spans="1:23" ht="13" x14ac:dyDescent="0.3">
      <c r="A99" s="58"/>
      <c r="B99" s="58"/>
      <c r="C99" s="58"/>
      <c r="D99" s="58"/>
      <c r="E99" s="58"/>
      <c r="F99" s="58"/>
      <c r="G99" s="58"/>
      <c r="H99" s="59"/>
      <c r="I99" s="59"/>
      <c r="J99" s="59"/>
      <c r="K99" s="59"/>
      <c r="L99" s="59"/>
      <c r="M99" s="60"/>
      <c r="N99" s="60"/>
      <c r="O99" s="60"/>
      <c r="P99" s="59"/>
      <c r="Q99" s="59"/>
      <c r="R99" s="60"/>
      <c r="S99" s="60"/>
      <c r="T99" s="60"/>
      <c r="U99" s="60"/>
      <c r="V99" s="60"/>
      <c r="W99" s="60"/>
    </row>
    <row r="100" spans="1:23" ht="13" x14ac:dyDescent="0.3">
      <c r="A100" s="58"/>
      <c r="B100" s="58"/>
      <c r="C100" s="58"/>
      <c r="D100" s="58"/>
      <c r="E100" s="58"/>
      <c r="F100" s="58"/>
      <c r="G100" s="58"/>
      <c r="H100" s="59"/>
      <c r="I100" s="59"/>
      <c r="J100" s="59"/>
      <c r="K100" s="59"/>
      <c r="L100" s="59"/>
      <c r="M100" s="60"/>
      <c r="N100" s="60"/>
      <c r="O100" s="60"/>
      <c r="P100" s="59"/>
      <c r="Q100" s="59"/>
      <c r="R100" s="60"/>
      <c r="S100" s="60"/>
      <c r="T100" s="60"/>
      <c r="U100" s="60"/>
      <c r="V100" s="60"/>
      <c r="W100" s="60"/>
    </row>
    <row r="101" spans="1:23" ht="13" x14ac:dyDescent="0.3">
      <c r="A101" s="58"/>
      <c r="B101" s="58"/>
      <c r="C101" s="58"/>
      <c r="D101" s="58"/>
      <c r="E101" s="58"/>
      <c r="F101" s="58"/>
      <c r="G101" s="58"/>
      <c r="H101" s="59"/>
      <c r="I101" s="59"/>
      <c r="J101" s="59"/>
      <c r="K101" s="59"/>
      <c r="L101" s="59"/>
      <c r="M101" s="60"/>
      <c r="N101" s="60"/>
      <c r="O101" s="60"/>
      <c r="P101" s="59"/>
      <c r="Q101" s="59"/>
      <c r="R101" s="60"/>
      <c r="S101" s="60"/>
      <c r="T101" s="60"/>
      <c r="U101" s="60"/>
      <c r="V101" s="60"/>
      <c r="W101" s="60"/>
    </row>
    <row r="102" spans="1:23" ht="13" x14ac:dyDescent="0.3">
      <c r="A102" s="58"/>
      <c r="B102" s="58"/>
      <c r="C102" s="58"/>
      <c r="D102" s="58"/>
      <c r="E102" s="58"/>
      <c r="F102" s="58"/>
      <c r="G102" s="58"/>
      <c r="H102" s="59"/>
      <c r="I102" s="59"/>
      <c r="J102" s="59"/>
      <c r="K102" s="59"/>
      <c r="L102" s="59"/>
      <c r="M102" s="60"/>
      <c r="N102" s="60"/>
      <c r="O102" s="60"/>
      <c r="P102" s="59"/>
      <c r="Q102" s="59"/>
      <c r="R102" s="60"/>
      <c r="S102" s="60"/>
      <c r="T102" s="60"/>
      <c r="U102" s="60"/>
      <c r="V102" s="60"/>
      <c r="W102" s="60"/>
    </row>
    <row r="103" spans="1:23" ht="13" x14ac:dyDescent="0.3">
      <c r="A103" s="58"/>
      <c r="B103" s="58"/>
      <c r="C103" s="58"/>
      <c r="D103" s="58"/>
      <c r="E103" s="58"/>
      <c r="F103" s="58"/>
      <c r="G103" s="58"/>
      <c r="H103" s="59"/>
      <c r="I103" s="59"/>
      <c r="J103" s="59"/>
      <c r="K103" s="59"/>
      <c r="L103" s="59"/>
      <c r="M103" s="60"/>
      <c r="N103" s="60"/>
      <c r="O103" s="60"/>
      <c r="P103" s="59"/>
      <c r="Q103" s="59"/>
      <c r="R103" s="60"/>
      <c r="S103" s="60"/>
      <c r="T103" s="60"/>
      <c r="U103" s="60"/>
      <c r="V103" s="60"/>
      <c r="W103" s="60"/>
    </row>
    <row r="104" spans="1:23" ht="13" x14ac:dyDescent="0.3">
      <c r="A104" s="58"/>
      <c r="B104" s="58"/>
      <c r="C104" s="58"/>
      <c r="D104" s="58"/>
      <c r="E104" s="58"/>
      <c r="F104" s="58"/>
      <c r="G104" s="58"/>
      <c r="H104" s="59"/>
      <c r="I104" s="59"/>
      <c r="J104" s="59"/>
      <c r="K104" s="59"/>
      <c r="L104" s="59"/>
      <c r="M104" s="60"/>
      <c r="N104" s="60"/>
      <c r="O104" s="60"/>
      <c r="P104" s="59"/>
      <c r="Q104" s="59"/>
      <c r="R104" s="60"/>
      <c r="S104" s="60"/>
      <c r="T104" s="60"/>
      <c r="U104" s="60"/>
      <c r="V104" s="60"/>
      <c r="W104" s="60"/>
    </row>
    <row r="105" spans="1:23" ht="13" x14ac:dyDescent="0.3">
      <c r="A105" s="58"/>
      <c r="B105" s="58"/>
      <c r="C105" s="58"/>
      <c r="D105" s="58"/>
      <c r="E105" s="58"/>
      <c r="F105" s="58"/>
      <c r="G105" s="58"/>
      <c r="H105" s="59"/>
      <c r="I105" s="59"/>
      <c r="J105" s="59"/>
      <c r="K105" s="59"/>
      <c r="L105" s="59"/>
      <c r="M105" s="60"/>
      <c r="N105" s="60"/>
      <c r="O105" s="60"/>
      <c r="P105" s="59"/>
      <c r="Q105" s="59"/>
      <c r="R105" s="60"/>
      <c r="S105" s="60"/>
      <c r="T105" s="60"/>
      <c r="U105" s="60"/>
      <c r="V105" s="60"/>
      <c r="W105" s="60"/>
    </row>
    <row r="106" spans="1:23" ht="13" x14ac:dyDescent="0.3">
      <c r="A106" s="58"/>
      <c r="B106" s="58"/>
      <c r="C106" s="58"/>
      <c r="D106" s="58"/>
      <c r="E106" s="58"/>
      <c r="F106" s="58"/>
      <c r="G106" s="58"/>
      <c r="H106" s="59"/>
      <c r="I106" s="59"/>
      <c r="J106" s="59"/>
      <c r="K106" s="59"/>
      <c r="L106" s="59"/>
      <c r="M106" s="60"/>
      <c r="N106" s="60"/>
      <c r="O106" s="60"/>
      <c r="P106" s="59"/>
      <c r="Q106" s="59"/>
      <c r="R106" s="60"/>
      <c r="S106" s="60"/>
      <c r="T106" s="60"/>
      <c r="U106" s="60"/>
      <c r="V106" s="60"/>
      <c r="W106" s="60"/>
    </row>
    <row r="107" spans="1:23" ht="13" x14ac:dyDescent="0.3">
      <c r="A107" s="58"/>
      <c r="B107" s="58"/>
      <c r="C107" s="58"/>
      <c r="D107" s="58"/>
      <c r="E107" s="58"/>
      <c r="F107" s="58"/>
      <c r="G107" s="58"/>
      <c r="H107" s="59"/>
      <c r="I107" s="59"/>
      <c r="J107" s="59"/>
      <c r="K107" s="59"/>
      <c r="L107" s="59"/>
      <c r="M107" s="60"/>
      <c r="N107" s="60"/>
      <c r="O107" s="60"/>
      <c r="P107" s="59"/>
      <c r="Q107" s="59"/>
      <c r="R107" s="60"/>
      <c r="S107" s="60"/>
      <c r="T107" s="60"/>
      <c r="U107" s="60"/>
      <c r="V107" s="60"/>
      <c r="W107" s="60"/>
    </row>
    <row r="108" spans="1:23" ht="13" x14ac:dyDescent="0.3">
      <c r="A108" s="58"/>
      <c r="B108" s="58"/>
      <c r="C108" s="58"/>
      <c r="D108" s="58"/>
      <c r="E108" s="58"/>
      <c r="F108" s="58"/>
      <c r="G108" s="58"/>
      <c r="H108" s="59"/>
      <c r="I108" s="59"/>
      <c r="J108" s="59"/>
      <c r="K108" s="59"/>
      <c r="L108" s="59"/>
      <c r="M108" s="60"/>
      <c r="N108" s="60"/>
      <c r="O108" s="60"/>
      <c r="P108" s="59"/>
      <c r="Q108" s="59"/>
      <c r="R108" s="60"/>
      <c r="S108" s="60"/>
      <c r="T108" s="60"/>
      <c r="U108" s="60"/>
      <c r="V108" s="60"/>
      <c r="W108" s="60"/>
    </row>
    <row r="109" spans="1:23" ht="13" x14ac:dyDescent="0.3">
      <c r="A109" s="58"/>
      <c r="B109" s="58"/>
      <c r="C109" s="58"/>
      <c r="D109" s="58"/>
      <c r="E109" s="58"/>
      <c r="F109" s="58"/>
      <c r="G109" s="58"/>
      <c r="H109" s="59"/>
      <c r="I109" s="59"/>
      <c r="J109" s="59"/>
      <c r="K109" s="59"/>
      <c r="L109" s="59"/>
      <c r="M109" s="60"/>
      <c r="N109" s="60"/>
      <c r="O109" s="60"/>
      <c r="P109" s="59"/>
      <c r="Q109" s="59"/>
      <c r="R109" s="60"/>
      <c r="S109" s="60"/>
      <c r="T109" s="60"/>
      <c r="U109" s="60"/>
      <c r="V109" s="60"/>
      <c r="W109" s="60"/>
    </row>
    <row r="110" spans="1:23" ht="13" x14ac:dyDescent="0.3">
      <c r="A110" s="58"/>
      <c r="B110" s="58"/>
      <c r="C110" s="58"/>
      <c r="D110" s="58"/>
      <c r="E110" s="58"/>
      <c r="F110" s="58"/>
      <c r="G110" s="58"/>
      <c r="H110" s="59"/>
      <c r="I110" s="59"/>
      <c r="J110" s="59"/>
      <c r="K110" s="59"/>
      <c r="L110" s="59"/>
      <c r="M110" s="60"/>
      <c r="N110" s="60"/>
      <c r="O110" s="60"/>
      <c r="P110" s="59"/>
      <c r="Q110" s="59"/>
      <c r="R110" s="60"/>
      <c r="S110" s="60"/>
      <c r="T110" s="60"/>
      <c r="U110" s="60"/>
      <c r="V110" s="60"/>
      <c r="W110" s="60"/>
    </row>
    <row r="111" spans="1:23" ht="13" x14ac:dyDescent="0.3">
      <c r="A111" s="58"/>
      <c r="B111" s="58"/>
      <c r="C111" s="58"/>
      <c r="D111" s="58"/>
      <c r="E111" s="58"/>
      <c r="F111" s="58"/>
      <c r="G111" s="58"/>
      <c r="H111" s="59"/>
      <c r="I111" s="59"/>
      <c r="J111" s="59"/>
      <c r="K111" s="59"/>
      <c r="L111" s="59"/>
      <c r="M111" s="60"/>
      <c r="N111" s="60"/>
      <c r="O111" s="60"/>
      <c r="P111" s="59"/>
      <c r="Q111" s="59"/>
      <c r="R111" s="60"/>
      <c r="S111" s="60"/>
      <c r="T111" s="60"/>
      <c r="U111" s="60"/>
      <c r="V111" s="60"/>
      <c r="W111" s="60"/>
    </row>
    <row r="112" spans="1:23" ht="13" x14ac:dyDescent="0.3">
      <c r="A112" s="58"/>
      <c r="B112" s="58"/>
      <c r="C112" s="58"/>
      <c r="D112" s="58"/>
      <c r="E112" s="58"/>
      <c r="F112" s="58"/>
      <c r="G112" s="58"/>
      <c r="H112" s="59"/>
      <c r="I112" s="59"/>
      <c r="J112" s="59"/>
      <c r="K112" s="59"/>
      <c r="L112" s="59"/>
      <c r="M112" s="60"/>
      <c r="N112" s="60"/>
      <c r="O112" s="60"/>
      <c r="P112" s="59"/>
      <c r="Q112" s="59"/>
      <c r="R112" s="60"/>
      <c r="S112" s="60"/>
      <c r="T112" s="60"/>
      <c r="U112" s="60"/>
      <c r="V112" s="60"/>
      <c r="W112" s="60"/>
    </row>
    <row r="113" spans="1:23" ht="13" x14ac:dyDescent="0.3">
      <c r="A113" s="58"/>
      <c r="B113" s="58"/>
      <c r="C113" s="58"/>
      <c r="D113" s="58"/>
      <c r="E113" s="58"/>
      <c r="F113" s="58"/>
      <c r="G113" s="58"/>
      <c r="H113" s="59"/>
      <c r="I113" s="59"/>
      <c r="J113" s="59"/>
      <c r="K113" s="59"/>
      <c r="L113" s="59"/>
      <c r="M113" s="60"/>
      <c r="N113" s="60"/>
      <c r="O113" s="60"/>
      <c r="P113" s="59"/>
      <c r="Q113" s="59"/>
      <c r="R113" s="60"/>
      <c r="S113" s="60"/>
      <c r="T113" s="60"/>
      <c r="U113" s="60"/>
      <c r="V113" s="60"/>
      <c r="W113" s="60"/>
    </row>
    <row r="114" spans="1:23" ht="13" x14ac:dyDescent="0.3">
      <c r="A114" s="58"/>
      <c r="B114" s="58"/>
      <c r="C114" s="58"/>
      <c r="D114" s="58"/>
      <c r="E114" s="58"/>
      <c r="F114" s="58"/>
      <c r="G114" s="58"/>
      <c r="H114" s="59"/>
      <c r="I114" s="59"/>
      <c r="J114" s="59"/>
      <c r="K114" s="59"/>
      <c r="L114" s="59"/>
      <c r="M114" s="60"/>
      <c r="N114" s="60"/>
      <c r="O114" s="60"/>
      <c r="P114" s="59"/>
      <c r="Q114" s="59"/>
      <c r="R114" s="60"/>
      <c r="S114" s="60"/>
      <c r="T114" s="60"/>
      <c r="U114" s="60"/>
      <c r="V114" s="60"/>
      <c r="W114" s="60"/>
    </row>
    <row r="115" spans="1:23" ht="13" x14ac:dyDescent="0.3">
      <c r="A115" s="58"/>
      <c r="B115" s="58"/>
      <c r="C115" s="58"/>
      <c r="D115" s="58"/>
      <c r="E115" s="58"/>
      <c r="F115" s="58"/>
      <c r="G115" s="58"/>
      <c r="H115" s="59"/>
      <c r="I115" s="59"/>
      <c r="J115" s="59"/>
      <c r="K115" s="59"/>
      <c r="L115" s="59"/>
      <c r="M115" s="60"/>
      <c r="N115" s="60"/>
      <c r="O115" s="60"/>
      <c r="P115" s="59"/>
      <c r="Q115" s="59"/>
      <c r="R115" s="60"/>
      <c r="S115" s="60"/>
      <c r="T115" s="60"/>
      <c r="U115" s="60"/>
      <c r="V115" s="60"/>
      <c r="W115" s="60"/>
    </row>
    <row r="116" spans="1:23" ht="13" x14ac:dyDescent="0.3">
      <c r="A116" s="58"/>
      <c r="B116" s="58"/>
      <c r="C116" s="58"/>
      <c r="D116" s="58"/>
      <c r="E116" s="58"/>
      <c r="F116" s="58"/>
      <c r="G116" s="58"/>
      <c r="H116" s="59"/>
      <c r="I116" s="59"/>
      <c r="J116" s="59"/>
      <c r="K116" s="59"/>
      <c r="L116" s="59"/>
      <c r="M116" s="60"/>
      <c r="N116" s="60"/>
      <c r="O116" s="60"/>
      <c r="P116" s="59"/>
      <c r="Q116" s="59"/>
      <c r="R116" s="60"/>
      <c r="S116" s="60"/>
      <c r="T116" s="60"/>
      <c r="U116" s="60"/>
      <c r="V116" s="60"/>
      <c r="W116" s="60"/>
    </row>
    <row r="117" spans="1:23" ht="13" x14ac:dyDescent="0.3">
      <c r="A117" s="58"/>
      <c r="B117" s="58"/>
      <c r="C117" s="58"/>
      <c r="D117" s="58"/>
      <c r="E117" s="58"/>
      <c r="F117" s="58"/>
      <c r="G117" s="58"/>
      <c r="H117" s="59"/>
      <c r="I117" s="59"/>
      <c r="J117" s="59"/>
      <c r="K117" s="59"/>
      <c r="L117" s="59"/>
      <c r="M117" s="60"/>
      <c r="N117" s="60"/>
      <c r="O117" s="60"/>
      <c r="P117" s="59"/>
      <c r="Q117" s="59"/>
      <c r="R117" s="60"/>
      <c r="S117" s="60"/>
      <c r="T117" s="60"/>
      <c r="U117" s="60"/>
      <c r="V117" s="60"/>
      <c r="W117" s="60"/>
    </row>
    <row r="118" spans="1:23" ht="13" x14ac:dyDescent="0.3">
      <c r="A118" s="58"/>
      <c r="B118" s="58"/>
      <c r="C118" s="58"/>
      <c r="D118" s="58"/>
      <c r="E118" s="58"/>
      <c r="F118" s="58"/>
      <c r="G118" s="58"/>
      <c r="H118" s="59"/>
      <c r="I118" s="59"/>
      <c r="J118" s="59"/>
      <c r="K118" s="59"/>
      <c r="L118" s="59"/>
      <c r="M118" s="60"/>
      <c r="N118" s="60"/>
      <c r="O118" s="60"/>
      <c r="P118" s="59"/>
      <c r="Q118" s="59"/>
      <c r="R118" s="60"/>
      <c r="S118" s="60"/>
      <c r="T118" s="60"/>
      <c r="U118" s="60"/>
      <c r="V118" s="60"/>
      <c r="W118" s="60"/>
    </row>
    <row r="119" spans="1:23" ht="13" x14ac:dyDescent="0.3">
      <c r="A119" s="58"/>
      <c r="B119" s="58"/>
      <c r="C119" s="58"/>
      <c r="D119" s="58"/>
      <c r="E119" s="58"/>
      <c r="F119" s="58"/>
      <c r="G119" s="58"/>
      <c r="H119" s="59"/>
      <c r="I119" s="59"/>
      <c r="J119" s="59"/>
      <c r="K119" s="59"/>
      <c r="L119" s="59"/>
      <c r="M119" s="60"/>
      <c r="N119" s="60"/>
      <c r="O119" s="60"/>
      <c r="P119" s="59"/>
      <c r="Q119" s="59"/>
      <c r="R119" s="60"/>
      <c r="S119" s="60"/>
      <c r="T119" s="60"/>
      <c r="U119" s="60"/>
      <c r="V119" s="60"/>
      <c r="W119" s="60"/>
    </row>
    <row r="120" spans="1:23" ht="13" x14ac:dyDescent="0.3">
      <c r="A120" s="58"/>
      <c r="B120" s="58"/>
      <c r="C120" s="58"/>
      <c r="D120" s="58"/>
      <c r="E120" s="58"/>
      <c r="F120" s="58"/>
      <c r="G120" s="58"/>
      <c r="H120" s="59"/>
      <c r="I120" s="59"/>
      <c r="J120" s="59"/>
      <c r="K120" s="59"/>
      <c r="L120" s="59"/>
      <c r="M120" s="60"/>
      <c r="N120" s="60"/>
      <c r="O120" s="60"/>
      <c r="P120" s="59"/>
      <c r="Q120" s="59"/>
      <c r="R120" s="60"/>
      <c r="S120" s="60"/>
      <c r="T120" s="60"/>
      <c r="U120" s="60"/>
      <c r="V120" s="60"/>
      <c r="W120" s="60"/>
    </row>
    <row r="121" spans="1:23" ht="13" x14ac:dyDescent="0.3">
      <c r="A121" s="58"/>
      <c r="B121" s="58"/>
      <c r="C121" s="58"/>
      <c r="D121" s="58"/>
      <c r="E121" s="58"/>
      <c r="F121" s="58"/>
      <c r="G121" s="58"/>
      <c r="H121" s="59"/>
      <c r="I121" s="59"/>
      <c r="J121" s="59"/>
      <c r="K121" s="59"/>
      <c r="L121" s="59"/>
      <c r="M121" s="60"/>
      <c r="N121" s="60"/>
      <c r="O121" s="60"/>
      <c r="P121" s="59"/>
      <c r="Q121" s="59"/>
      <c r="R121" s="60"/>
      <c r="S121" s="60"/>
      <c r="T121" s="60"/>
      <c r="U121" s="60"/>
      <c r="V121" s="60"/>
      <c r="W121" s="60"/>
    </row>
    <row r="122" spans="1:23" ht="13" x14ac:dyDescent="0.3">
      <c r="A122" s="58"/>
      <c r="B122" s="58"/>
      <c r="C122" s="58"/>
      <c r="D122" s="58"/>
      <c r="E122" s="58"/>
      <c r="F122" s="58"/>
      <c r="G122" s="58"/>
      <c r="H122" s="59"/>
      <c r="I122" s="59"/>
      <c r="J122" s="59"/>
      <c r="K122" s="59"/>
      <c r="L122" s="59"/>
      <c r="M122" s="60"/>
      <c r="N122" s="60"/>
      <c r="O122" s="60"/>
      <c r="P122" s="59"/>
      <c r="Q122" s="59"/>
      <c r="R122" s="60"/>
      <c r="S122" s="60"/>
      <c r="T122" s="60"/>
      <c r="U122" s="60"/>
      <c r="V122" s="60"/>
      <c r="W122" s="60"/>
    </row>
    <row r="123" spans="1:23" ht="13" x14ac:dyDescent="0.3">
      <c r="A123" s="58"/>
      <c r="B123" s="58"/>
      <c r="C123" s="58"/>
      <c r="D123" s="58"/>
      <c r="E123" s="58"/>
      <c r="F123" s="58"/>
      <c r="G123" s="58"/>
      <c r="H123" s="59"/>
      <c r="I123" s="59"/>
      <c r="J123" s="59"/>
      <c r="K123" s="59"/>
      <c r="L123" s="59"/>
      <c r="M123" s="60"/>
      <c r="N123" s="60"/>
      <c r="O123" s="60"/>
      <c r="P123" s="59"/>
      <c r="Q123" s="59"/>
      <c r="R123" s="60"/>
      <c r="S123" s="60"/>
      <c r="T123" s="60"/>
      <c r="U123" s="60"/>
      <c r="V123" s="60"/>
      <c r="W123" s="60"/>
    </row>
    <row r="124" spans="1:23" ht="13" x14ac:dyDescent="0.3">
      <c r="A124" s="58"/>
      <c r="B124" s="58"/>
      <c r="C124" s="58"/>
      <c r="D124" s="58"/>
      <c r="E124" s="58"/>
      <c r="F124" s="58"/>
      <c r="G124" s="58"/>
      <c r="H124" s="59"/>
      <c r="I124" s="59"/>
      <c r="J124" s="59"/>
      <c r="K124" s="59"/>
      <c r="L124" s="59"/>
      <c r="M124" s="60"/>
      <c r="N124" s="60"/>
      <c r="O124" s="60"/>
      <c r="P124" s="59"/>
      <c r="Q124" s="59"/>
      <c r="R124" s="60"/>
      <c r="S124" s="60"/>
      <c r="T124" s="60"/>
      <c r="U124" s="60"/>
      <c r="V124" s="60"/>
      <c r="W124" s="60"/>
    </row>
    <row r="125" spans="1:23" ht="13" x14ac:dyDescent="0.3">
      <c r="A125" s="58"/>
      <c r="B125" s="58"/>
      <c r="C125" s="58"/>
      <c r="D125" s="58"/>
      <c r="E125" s="58"/>
      <c r="F125" s="58"/>
      <c r="G125" s="58"/>
      <c r="H125" s="59"/>
      <c r="I125" s="59"/>
      <c r="J125" s="59"/>
      <c r="K125" s="59"/>
      <c r="L125" s="59"/>
      <c r="M125" s="60"/>
      <c r="N125" s="60"/>
      <c r="O125" s="60"/>
      <c r="P125" s="59"/>
      <c r="Q125" s="59"/>
      <c r="R125" s="60"/>
      <c r="S125" s="60"/>
      <c r="T125" s="60"/>
      <c r="U125" s="60"/>
      <c r="V125" s="60"/>
      <c r="W125" s="60"/>
    </row>
    <row r="126" spans="1:23" ht="13" x14ac:dyDescent="0.3">
      <c r="A126" s="58"/>
      <c r="B126" s="58"/>
      <c r="C126" s="58"/>
      <c r="D126" s="58"/>
      <c r="E126" s="58"/>
      <c r="F126" s="58"/>
      <c r="G126" s="58"/>
      <c r="H126" s="59"/>
      <c r="I126" s="59"/>
      <c r="J126" s="59"/>
      <c r="K126" s="59"/>
      <c r="L126" s="59"/>
      <c r="M126" s="60"/>
      <c r="N126" s="60"/>
      <c r="O126" s="60"/>
      <c r="P126" s="59"/>
      <c r="Q126" s="59"/>
      <c r="R126" s="60"/>
      <c r="S126" s="60"/>
      <c r="T126" s="60"/>
      <c r="U126" s="60"/>
      <c r="V126" s="60"/>
      <c r="W126" s="60"/>
    </row>
    <row r="127" spans="1:23" ht="13" x14ac:dyDescent="0.3">
      <c r="A127" s="58"/>
      <c r="B127" s="58"/>
      <c r="C127" s="58"/>
      <c r="D127" s="58"/>
      <c r="E127" s="58"/>
      <c r="F127" s="58"/>
      <c r="G127" s="58"/>
      <c r="H127" s="59"/>
      <c r="I127" s="59"/>
      <c r="J127" s="59"/>
      <c r="K127" s="59"/>
      <c r="L127" s="59"/>
      <c r="M127" s="60"/>
      <c r="N127" s="60"/>
      <c r="O127" s="60"/>
      <c r="P127" s="59"/>
      <c r="Q127" s="59"/>
      <c r="R127" s="60"/>
      <c r="S127" s="60"/>
      <c r="T127" s="60"/>
      <c r="U127" s="60"/>
      <c r="V127" s="60"/>
      <c r="W127" s="60"/>
    </row>
    <row r="128" spans="1:23" ht="13" x14ac:dyDescent="0.3">
      <c r="A128" s="58"/>
      <c r="B128" s="58"/>
      <c r="C128" s="58"/>
      <c r="D128" s="58"/>
      <c r="E128" s="58"/>
      <c r="F128" s="58"/>
      <c r="G128" s="58"/>
      <c r="H128" s="59"/>
      <c r="I128" s="59"/>
      <c r="J128" s="59"/>
      <c r="K128" s="59"/>
      <c r="L128" s="59"/>
      <c r="M128" s="60"/>
      <c r="N128" s="60"/>
      <c r="O128" s="60"/>
      <c r="P128" s="59"/>
      <c r="Q128" s="59"/>
      <c r="R128" s="60"/>
      <c r="S128" s="60"/>
      <c r="T128" s="60"/>
      <c r="U128" s="60"/>
      <c r="V128" s="60"/>
      <c r="W128" s="60"/>
    </row>
    <row r="129" spans="1:23" ht="13" x14ac:dyDescent="0.3">
      <c r="A129" s="58"/>
      <c r="B129" s="58"/>
      <c r="C129" s="58"/>
      <c r="D129" s="58"/>
      <c r="E129" s="58"/>
      <c r="F129" s="58"/>
      <c r="G129" s="58"/>
      <c r="H129" s="59"/>
      <c r="I129" s="59"/>
      <c r="J129" s="59"/>
      <c r="K129" s="59"/>
      <c r="L129" s="59"/>
      <c r="M129" s="60"/>
      <c r="N129" s="60"/>
      <c r="O129" s="60"/>
      <c r="P129" s="59"/>
      <c r="Q129" s="59"/>
      <c r="R129" s="60"/>
      <c r="S129" s="60"/>
      <c r="T129" s="60"/>
      <c r="U129" s="60"/>
      <c r="V129" s="60"/>
      <c r="W129" s="60"/>
    </row>
    <row r="130" spans="1:23" ht="13" x14ac:dyDescent="0.3">
      <c r="A130" s="58"/>
      <c r="B130" s="58"/>
      <c r="C130" s="58"/>
      <c r="D130" s="58"/>
      <c r="E130" s="58"/>
      <c r="F130" s="58"/>
      <c r="G130" s="58"/>
      <c r="H130" s="59"/>
      <c r="I130" s="59"/>
      <c r="J130" s="59"/>
      <c r="K130" s="59"/>
      <c r="L130" s="59"/>
      <c r="M130" s="60"/>
      <c r="N130" s="60"/>
      <c r="O130" s="60"/>
      <c r="P130" s="59"/>
      <c r="Q130" s="59"/>
      <c r="R130" s="60"/>
      <c r="S130" s="60"/>
      <c r="T130" s="60"/>
      <c r="U130" s="60"/>
      <c r="V130" s="60"/>
      <c r="W130" s="60"/>
    </row>
    <row r="131" spans="1:23" ht="13" x14ac:dyDescent="0.3">
      <c r="A131" s="58"/>
      <c r="B131" s="58"/>
      <c r="C131" s="58"/>
      <c r="D131" s="58"/>
      <c r="E131" s="58"/>
      <c r="F131" s="58"/>
      <c r="G131" s="58"/>
      <c r="H131" s="59"/>
      <c r="I131" s="59"/>
      <c r="J131" s="59"/>
      <c r="K131" s="59"/>
      <c r="L131" s="59"/>
      <c r="M131" s="60"/>
      <c r="N131" s="60"/>
      <c r="O131" s="60"/>
      <c r="P131" s="59"/>
      <c r="Q131" s="59"/>
      <c r="R131" s="60"/>
      <c r="S131" s="60"/>
      <c r="T131" s="60"/>
      <c r="U131" s="60"/>
      <c r="V131" s="60"/>
      <c r="W131" s="60"/>
    </row>
    <row r="132" spans="1:23" ht="13" x14ac:dyDescent="0.3">
      <c r="A132" s="58"/>
      <c r="B132" s="58"/>
      <c r="C132" s="58"/>
      <c r="D132" s="58"/>
      <c r="E132" s="58"/>
      <c r="F132" s="58"/>
      <c r="G132" s="58"/>
      <c r="H132" s="59"/>
      <c r="I132" s="59"/>
      <c r="J132" s="59"/>
      <c r="K132" s="59"/>
      <c r="L132" s="59"/>
      <c r="M132" s="60"/>
      <c r="N132" s="60"/>
      <c r="O132" s="60"/>
      <c r="P132" s="59"/>
      <c r="Q132" s="59"/>
      <c r="R132" s="60"/>
      <c r="S132" s="60"/>
      <c r="T132" s="60"/>
      <c r="U132" s="60"/>
      <c r="V132" s="60"/>
      <c r="W132" s="60"/>
    </row>
    <row r="133" spans="1:23" ht="13" x14ac:dyDescent="0.3">
      <c r="A133" s="58"/>
      <c r="B133" s="58"/>
      <c r="C133" s="58"/>
      <c r="D133" s="58"/>
      <c r="E133" s="58"/>
      <c r="F133" s="58"/>
      <c r="G133" s="58"/>
      <c r="H133" s="59"/>
      <c r="I133" s="59"/>
      <c r="J133" s="59"/>
      <c r="K133" s="59"/>
      <c r="L133" s="59"/>
      <c r="M133" s="60"/>
      <c r="N133" s="60"/>
      <c r="O133" s="60"/>
      <c r="P133" s="59"/>
      <c r="Q133" s="59"/>
      <c r="R133" s="60"/>
      <c r="S133" s="60"/>
      <c r="T133" s="60"/>
      <c r="U133" s="60"/>
      <c r="V133" s="60"/>
      <c r="W133" s="60"/>
    </row>
    <row r="134" spans="1:23" ht="13" x14ac:dyDescent="0.3">
      <c r="A134" s="58"/>
      <c r="B134" s="58"/>
      <c r="C134" s="58"/>
      <c r="D134" s="58"/>
      <c r="E134" s="58"/>
      <c r="F134" s="58"/>
      <c r="G134" s="58"/>
      <c r="H134" s="59"/>
      <c r="I134" s="59"/>
      <c r="J134" s="59"/>
      <c r="K134" s="59"/>
      <c r="L134" s="59"/>
      <c r="M134" s="60"/>
      <c r="N134" s="60"/>
      <c r="O134" s="60"/>
      <c r="P134" s="59"/>
      <c r="Q134" s="59"/>
      <c r="R134" s="60"/>
      <c r="S134" s="60"/>
      <c r="T134" s="60"/>
      <c r="U134" s="60"/>
      <c r="V134" s="60"/>
      <c r="W134" s="60"/>
    </row>
    <row r="135" spans="1:23" ht="13" x14ac:dyDescent="0.3">
      <c r="A135" s="58"/>
      <c r="B135" s="58"/>
      <c r="C135" s="58"/>
      <c r="D135" s="58"/>
      <c r="E135" s="58"/>
      <c r="F135" s="58"/>
      <c r="G135" s="58"/>
      <c r="H135" s="59"/>
      <c r="I135" s="59"/>
      <c r="J135" s="59"/>
      <c r="K135" s="59"/>
      <c r="L135" s="59"/>
      <c r="M135" s="60"/>
      <c r="N135" s="60"/>
      <c r="O135" s="60"/>
      <c r="P135" s="59"/>
      <c r="Q135" s="59"/>
      <c r="R135" s="60"/>
      <c r="S135" s="60"/>
      <c r="T135" s="60"/>
      <c r="U135" s="60"/>
      <c r="V135" s="60"/>
      <c r="W135" s="60"/>
    </row>
    <row r="136" spans="1:23" ht="13" x14ac:dyDescent="0.3">
      <c r="A136" s="58"/>
      <c r="B136" s="58"/>
      <c r="C136" s="58"/>
      <c r="D136" s="58"/>
      <c r="E136" s="58"/>
      <c r="F136" s="58"/>
      <c r="G136" s="58"/>
      <c r="H136" s="59"/>
      <c r="I136" s="59"/>
      <c r="J136" s="59"/>
      <c r="K136" s="59"/>
      <c r="L136" s="59"/>
      <c r="M136" s="60"/>
      <c r="N136" s="60"/>
      <c r="O136" s="60"/>
      <c r="P136" s="59"/>
      <c r="Q136" s="59"/>
      <c r="R136" s="60"/>
      <c r="S136" s="60"/>
      <c r="T136" s="60"/>
      <c r="U136" s="60"/>
      <c r="V136" s="60"/>
      <c r="W136" s="60"/>
    </row>
    <row r="137" spans="1:23" ht="13" x14ac:dyDescent="0.3">
      <c r="A137" s="58"/>
      <c r="B137" s="58"/>
      <c r="C137" s="58"/>
      <c r="D137" s="58"/>
      <c r="E137" s="58"/>
      <c r="F137" s="58"/>
      <c r="G137" s="58"/>
      <c r="H137" s="59"/>
      <c r="I137" s="59"/>
      <c r="J137" s="59"/>
      <c r="K137" s="59"/>
      <c r="L137" s="59"/>
      <c r="M137" s="60"/>
      <c r="N137" s="60"/>
      <c r="O137" s="60"/>
      <c r="P137" s="59"/>
      <c r="Q137" s="59"/>
      <c r="R137" s="60"/>
      <c r="S137" s="60"/>
      <c r="T137" s="60"/>
      <c r="U137" s="60"/>
      <c r="V137" s="60"/>
      <c r="W137" s="60"/>
    </row>
    <row r="138" spans="1:23" ht="13" x14ac:dyDescent="0.3">
      <c r="A138" s="58"/>
      <c r="B138" s="58"/>
      <c r="C138" s="58"/>
      <c r="D138" s="58"/>
      <c r="E138" s="58"/>
      <c r="F138" s="58"/>
      <c r="G138" s="58"/>
      <c r="H138" s="59"/>
      <c r="I138" s="59"/>
      <c r="J138" s="59"/>
      <c r="K138" s="59"/>
      <c r="L138" s="59"/>
      <c r="M138" s="60"/>
      <c r="N138" s="60"/>
      <c r="O138" s="60"/>
      <c r="P138" s="59"/>
      <c r="Q138" s="59"/>
      <c r="R138" s="60"/>
      <c r="S138" s="60"/>
      <c r="T138" s="60"/>
      <c r="U138" s="60"/>
      <c r="V138" s="60"/>
      <c r="W138" s="60"/>
    </row>
    <row r="139" spans="1:23" ht="13" x14ac:dyDescent="0.3">
      <c r="A139" s="58"/>
      <c r="B139" s="58"/>
      <c r="C139" s="58"/>
      <c r="D139" s="58"/>
      <c r="E139" s="58"/>
      <c r="F139" s="58"/>
      <c r="G139" s="58"/>
      <c r="H139" s="59"/>
      <c r="I139" s="59"/>
      <c r="J139" s="59"/>
      <c r="K139" s="59"/>
      <c r="L139" s="59"/>
      <c r="M139" s="60"/>
      <c r="N139" s="60"/>
      <c r="O139" s="60"/>
      <c r="P139" s="59"/>
      <c r="Q139" s="59"/>
      <c r="R139" s="60"/>
      <c r="S139" s="60"/>
      <c r="T139" s="60"/>
      <c r="U139" s="60"/>
      <c r="V139" s="60"/>
      <c r="W139" s="60"/>
    </row>
    <row r="140" spans="1:23" ht="13" x14ac:dyDescent="0.3">
      <c r="A140" s="58"/>
      <c r="B140" s="58"/>
      <c r="C140" s="58"/>
      <c r="D140" s="58"/>
      <c r="E140" s="58"/>
      <c r="F140" s="58"/>
      <c r="G140" s="58"/>
      <c r="H140" s="59"/>
      <c r="I140" s="59"/>
      <c r="J140" s="59"/>
      <c r="K140" s="59"/>
      <c r="L140" s="59"/>
      <c r="M140" s="60"/>
      <c r="N140" s="60"/>
      <c r="O140" s="60"/>
      <c r="P140" s="59"/>
      <c r="Q140" s="59"/>
      <c r="R140" s="60"/>
      <c r="S140" s="60"/>
      <c r="T140" s="60"/>
      <c r="U140" s="60"/>
      <c r="V140" s="60"/>
      <c r="W140" s="60"/>
    </row>
    <row r="141" spans="1:23" ht="13" x14ac:dyDescent="0.3">
      <c r="A141" s="58"/>
      <c r="B141" s="58"/>
      <c r="C141" s="58"/>
      <c r="D141" s="58"/>
      <c r="E141" s="58"/>
      <c r="F141" s="58"/>
      <c r="G141" s="58"/>
      <c r="H141" s="59"/>
      <c r="I141" s="59"/>
      <c r="J141" s="59"/>
      <c r="K141" s="59"/>
      <c r="L141" s="59"/>
      <c r="M141" s="60"/>
      <c r="N141" s="60"/>
      <c r="O141" s="60"/>
      <c r="P141" s="59"/>
      <c r="Q141" s="59"/>
      <c r="R141" s="60"/>
      <c r="S141" s="60"/>
      <c r="T141" s="60"/>
      <c r="U141" s="60"/>
      <c r="V141" s="60"/>
      <c r="W141" s="60"/>
    </row>
    <row r="142" spans="1:23" ht="13" x14ac:dyDescent="0.3">
      <c r="A142" s="58"/>
      <c r="B142" s="58"/>
      <c r="C142" s="58"/>
      <c r="D142" s="58"/>
      <c r="E142" s="58"/>
      <c r="F142" s="58"/>
      <c r="G142" s="58"/>
      <c r="H142" s="59"/>
      <c r="I142" s="59"/>
      <c r="J142" s="59"/>
      <c r="K142" s="59"/>
      <c r="L142" s="59"/>
      <c r="M142" s="60"/>
      <c r="N142" s="60"/>
      <c r="O142" s="60"/>
      <c r="P142" s="59"/>
      <c r="Q142" s="59"/>
      <c r="R142" s="60"/>
      <c r="S142" s="60"/>
      <c r="T142" s="60"/>
      <c r="U142" s="60"/>
      <c r="V142" s="60"/>
      <c r="W142" s="60"/>
    </row>
    <row r="143" spans="1:23" ht="13" x14ac:dyDescent="0.3">
      <c r="A143" s="58"/>
      <c r="B143" s="58"/>
      <c r="C143" s="58"/>
      <c r="D143" s="58"/>
      <c r="E143" s="58"/>
      <c r="F143" s="58"/>
      <c r="G143" s="58"/>
      <c r="H143" s="59"/>
      <c r="I143" s="59"/>
      <c r="J143" s="59"/>
      <c r="K143" s="59"/>
      <c r="L143" s="59"/>
      <c r="M143" s="60"/>
      <c r="N143" s="60"/>
      <c r="O143" s="60"/>
      <c r="P143" s="59"/>
      <c r="Q143" s="59"/>
      <c r="R143" s="60"/>
      <c r="S143" s="60"/>
      <c r="T143" s="60"/>
      <c r="U143" s="60"/>
      <c r="V143" s="60"/>
      <c r="W143" s="60"/>
    </row>
    <row r="144" spans="1:23" ht="13" x14ac:dyDescent="0.3">
      <c r="A144" s="58"/>
      <c r="B144" s="58"/>
      <c r="C144" s="58"/>
      <c r="D144" s="58"/>
      <c r="E144" s="58"/>
      <c r="F144" s="58"/>
      <c r="G144" s="58"/>
      <c r="H144" s="59"/>
      <c r="I144" s="59"/>
      <c r="J144" s="59"/>
      <c r="K144" s="59"/>
      <c r="L144" s="59"/>
      <c r="M144" s="60"/>
      <c r="N144" s="60"/>
      <c r="O144" s="60"/>
      <c r="P144" s="59"/>
      <c r="Q144" s="59"/>
      <c r="R144" s="60"/>
      <c r="S144" s="60"/>
      <c r="T144" s="60"/>
      <c r="U144" s="60"/>
      <c r="V144" s="60"/>
      <c r="W144" s="60"/>
    </row>
    <row r="145" spans="1:23" ht="13" x14ac:dyDescent="0.3">
      <c r="A145" s="58"/>
      <c r="B145" s="58"/>
      <c r="C145" s="58"/>
      <c r="D145" s="58"/>
      <c r="E145" s="58"/>
      <c r="F145" s="58"/>
      <c r="G145" s="58"/>
      <c r="H145" s="59"/>
      <c r="I145" s="59"/>
      <c r="J145" s="59"/>
      <c r="K145" s="59"/>
      <c r="L145" s="59"/>
      <c r="M145" s="60"/>
      <c r="N145" s="60"/>
      <c r="O145" s="60"/>
      <c r="P145" s="59"/>
      <c r="Q145" s="59"/>
      <c r="R145" s="60"/>
      <c r="S145" s="60"/>
      <c r="T145" s="60"/>
      <c r="U145" s="60"/>
      <c r="V145" s="60"/>
      <c r="W145" s="60"/>
    </row>
    <row r="146" spans="1:23" ht="13" x14ac:dyDescent="0.3">
      <c r="A146" s="58"/>
      <c r="B146" s="58"/>
      <c r="C146" s="58"/>
      <c r="D146" s="58"/>
      <c r="E146" s="58"/>
      <c r="F146" s="58"/>
      <c r="G146" s="58"/>
      <c r="H146" s="59"/>
      <c r="I146" s="59"/>
      <c r="J146" s="59"/>
      <c r="K146" s="59"/>
      <c r="L146" s="59"/>
      <c r="M146" s="60"/>
      <c r="N146" s="60"/>
      <c r="O146" s="60"/>
      <c r="P146" s="59"/>
      <c r="Q146" s="59"/>
      <c r="R146" s="60"/>
      <c r="S146" s="60"/>
      <c r="T146" s="60"/>
      <c r="U146" s="60"/>
      <c r="V146" s="60"/>
      <c r="W146" s="60"/>
    </row>
    <row r="147" spans="1:23" ht="13" x14ac:dyDescent="0.3">
      <c r="A147" s="58"/>
      <c r="B147" s="58"/>
      <c r="C147" s="58"/>
      <c r="D147" s="58"/>
      <c r="E147" s="58"/>
      <c r="F147" s="58"/>
      <c r="G147" s="58"/>
      <c r="H147" s="59"/>
      <c r="I147" s="59"/>
      <c r="J147" s="59"/>
      <c r="K147" s="59"/>
      <c r="L147" s="59"/>
      <c r="M147" s="60"/>
      <c r="N147" s="60"/>
      <c r="O147" s="60"/>
      <c r="P147" s="59"/>
      <c r="Q147" s="59"/>
      <c r="R147" s="60"/>
      <c r="S147" s="60"/>
      <c r="T147" s="60"/>
      <c r="U147" s="60"/>
      <c r="V147" s="60"/>
      <c r="W147" s="60"/>
    </row>
    <row r="148" spans="1:23" ht="13" x14ac:dyDescent="0.3">
      <c r="A148" s="58"/>
      <c r="B148" s="58"/>
      <c r="C148" s="58"/>
      <c r="D148" s="58"/>
      <c r="E148" s="58"/>
      <c r="F148" s="58"/>
      <c r="G148" s="58"/>
      <c r="H148" s="59"/>
      <c r="I148" s="59"/>
      <c r="J148" s="59"/>
      <c r="K148" s="59"/>
      <c r="L148" s="59"/>
      <c r="M148" s="60"/>
      <c r="N148" s="60"/>
      <c r="O148" s="60"/>
      <c r="P148" s="59"/>
      <c r="Q148" s="59"/>
      <c r="R148" s="60"/>
      <c r="S148" s="60"/>
      <c r="T148" s="60"/>
      <c r="U148" s="60"/>
      <c r="V148" s="60"/>
      <c r="W148" s="60"/>
    </row>
    <row r="149" spans="1:23" ht="13" x14ac:dyDescent="0.3">
      <c r="A149" s="58"/>
      <c r="B149" s="58"/>
      <c r="C149" s="58"/>
      <c r="D149" s="58"/>
      <c r="E149" s="58"/>
      <c r="F149" s="58"/>
      <c r="G149" s="58"/>
      <c r="H149" s="59"/>
      <c r="I149" s="59"/>
      <c r="J149" s="59"/>
      <c r="K149" s="59"/>
      <c r="L149" s="59"/>
      <c r="M149" s="60"/>
      <c r="N149" s="60"/>
      <c r="O149" s="60"/>
      <c r="P149" s="59"/>
      <c r="Q149" s="59"/>
      <c r="R149" s="60"/>
      <c r="S149" s="60"/>
      <c r="T149" s="60"/>
      <c r="U149" s="60"/>
      <c r="V149" s="60"/>
      <c r="W149" s="60"/>
    </row>
    <row r="150" spans="1:23" ht="13" x14ac:dyDescent="0.3">
      <c r="A150" s="58"/>
      <c r="B150" s="58"/>
      <c r="C150" s="58"/>
      <c r="D150" s="58"/>
      <c r="E150" s="58"/>
      <c r="F150" s="58"/>
      <c r="G150" s="58"/>
      <c r="H150" s="59"/>
      <c r="I150" s="59"/>
      <c r="J150" s="59"/>
      <c r="K150" s="59"/>
      <c r="L150" s="59"/>
      <c r="M150" s="60"/>
      <c r="N150" s="60"/>
      <c r="O150" s="60"/>
      <c r="P150" s="59"/>
      <c r="Q150" s="59"/>
      <c r="R150" s="60"/>
      <c r="S150" s="60"/>
      <c r="T150" s="60"/>
      <c r="U150" s="60"/>
      <c r="V150" s="60"/>
      <c r="W150" s="60"/>
    </row>
    <row r="151" spans="1:23" ht="13" x14ac:dyDescent="0.3">
      <c r="A151" s="58"/>
      <c r="B151" s="58"/>
      <c r="C151" s="58"/>
      <c r="D151" s="58"/>
      <c r="E151" s="58"/>
      <c r="F151" s="58"/>
      <c r="G151" s="58"/>
      <c r="H151" s="59"/>
      <c r="I151" s="59"/>
      <c r="J151" s="59"/>
      <c r="K151" s="59"/>
      <c r="L151" s="59"/>
      <c r="M151" s="60"/>
      <c r="N151" s="60"/>
      <c r="O151" s="60"/>
      <c r="P151" s="59"/>
      <c r="Q151" s="59"/>
      <c r="R151" s="60"/>
      <c r="S151" s="60"/>
      <c r="T151" s="60"/>
      <c r="U151" s="60"/>
      <c r="V151" s="60"/>
      <c r="W151" s="60"/>
    </row>
    <row r="152" spans="1:23" ht="13" x14ac:dyDescent="0.3">
      <c r="A152" s="58"/>
      <c r="B152" s="58"/>
      <c r="C152" s="58"/>
      <c r="D152" s="58"/>
      <c r="E152" s="58"/>
      <c r="F152" s="58"/>
      <c r="G152" s="58"/>
      <c r="H152" s="59"/>
      <c r="I152" s="59"/>
      <c r="J152" s="59"/>
      <c r="K152" s="59"/>
      <c r="L152" s="59"/>
      <c r="M152" s="60"/>
      <c r="N152" s="60"/>
      <c r="O152" s="60"/>
      <c r="P152" s="59"/>
      <c r="Q152" s="59"/>
      <c r="R152" s="60"/>
      <c r="S152" s="60"/>
      <c r="T152" s="60"/>
      <c r="U152" s="60"/>
      <c r="V152" s="60"/>
      <c r="W152" s="60"/>
    </row>
    <row r="153" spans="1:23" ht="13" x14ac:dyDescent="0.3">
      <c r="A153" s="58"/>
      <c r="B153" s="58"/>
      <c r="C153" s="58"/>
      <c r="D153" s="58"/>
      <c r="E153" s="58"/>
      <c r="F153" s="58"/>
      <c r="G153" s="58"/>
      <c r="H153" s="59"/>
      <c r="I153" s="59"/>
      <c r="J153" s="59"/>
      <c r="K153" s="59"/>
      <c r="L153" s="59"/>
      <c r="M153" s="60"/>
      <c r="N153" s="60"/>
      <c r="O153" s="60"/>
      <c r="P153" s="59"/>
      <c r="Q153" s="59"/>
      <c r="R153" s="60"/>
      <c r="S153" s="60"/>
      <c r="T153" s="60"/>
      <c r="U153" s="60"/>
      <c r="V153" s="60"/>
      <c r="W153" s="60"/>
    </row>
    <row r="154" spans="1:23" ht="13" x14ac:dyDescent="0.3">
      <c r="A154" s="58"/>
      <c r="B154" s="58"/>
      <c r="C154" s="58"/>
      <c r="D154" s="58"/>
      <c r="E154" s="58"/>
      <c r="F154" s="58"/>
      <c r="G154" s="58"/>
      <c r="H154" s="59"/>
      <c r="I154" s="59"/>
      <c r="J154" s="59"/>
      <c r="K154" s="59"/>
      <c r="L154" s="59"/>
      <c r="M154" s="60"/>
      <c r="N154" s="60"/>
      <c r="O154" s="60"/>
      <c r="P154" s="59"/>
      <c r="Q154" s="59"/>
      <c r="R154" s="60"/>
      <c r="S154" s="60"/>
      <c r="T154" s="60"/>
      <c r="U154" s="60"/>
      <c r="V154" s="60"/>
      <c r="W154" s="60"/>
    </row>
    <row r="155" spans="1:23" ht="13" x14ac:dyDescent="0.3">
      <c r="A155" s="58"/>
      <c r="B155" s="58"/>
      <c r="C155" s="58"/>
      <c r="D155" s="58"/>
      <c r="E155" s="58"/>
      <c r="F155" s="58"/>
      <c r="G155" s="58"/>
      <c r="H155" s="59"/>
      <c r="I155" s="59"/>
      <c r="J155" s="59"/>
      <c r="K155" s="59"/>
      <c r="L155" s="59"/>
      <c r="M155" s="60"/>
      <c r="N155" s="60"/>
      <c r="O155" s="60"/>
      <c r="P155" s="59"/>
      <c r="Q155" s="59"/>
      <c r="R155" s="60"/>
      <c r="S155" s="60"/>
      <c r="T155" s="60"/>
      <c r="U155" s="60"/>
      <c r="V155" s="60"/>
      <c r="W155" s="60"/>
    </row>
    <row r="156" spans="1:23" ht="13" x14ac:dyDescent="0.3">
      <c r="A156" s="58"/>
      <c r="B156" s="58"/>
      <c r="C156" s="58"/>
      <c r="D156" s="58"/>
      <c r="E156" s="58"/>
      <c r="F156" s="58"/>
      <c r="G156" s="58"/>
      <c r="H156" s="59"/>
      <c r="I156" s="59"/>
      <c r="J156" s="59"/>
      <c r="K156" s="59"/>
      <c r="L156" s="59"/>
      <c r="M156" s="60"/>
      <c r="N156" s="60"/>
      <c r="O156" s="60"/>
      <c r="P156" s="59"/>
      <c r="Q156" s="59"/>
      <c r="R156" s="60"/>
      <c r="S156" s="60"/>
      <c r="T156" s="60"/>
      <c r="U156" s="60"/>
      <c r="V156" s="60"/>
      <c r="W156" s="60"/>
    </row>
    <row r="157" spans="1:23" ht="13" x14ac:dyDescent="0.3">
      <c r="A157" s="58"/>
      <c r="B157" s="58"/>
      <c r="C157" s="58"/>
      <c r="D157" s="58"/>
      <c r="E157" s="58"/>
      <c r="F157" s="58"/>
      <c r="G157" s="58"/>
      <c r="H157" s="59"/>
      <c r="I157" s="59"/>
      <c r="J157" s="59"/>
      <c r="K157" s="59"/>
      <c r="L157" s="59"/>
      <c r="M157" s="60"/>
      <c r="N157" s="60"/>
      <c r="O157" s="60"/>
      <c r="P157" s="59"/>
      <c r="Q157" s="59"/>
      <c r="R157" s="60"/>
      <c r="S157" s="60"/>
      <c r="T157" s="60"/>
      <c r="U157" s="60"/>
      <c r="V157" s="60"/>
      <c r="W157" s="60"/>
    </row>
    <row r="158" spans="1:23" ht="13" x14ac:dyDescent="0.3">
      <c r="A158" s="58"/>
      <c r="B158" s="58"/>
      <c r="C158" s="58"/>
      <c r="D158" s="58"/>
      <c r="E158" s="58"/>
      <c r="F158" s="58"/>
      <c r="G158" s="58"/>
      <c r="H158" s="59"/>
      <c r="I158" s="59"/>
      <c r="J158" s="59"/>
      <c r="K158" s="59"/>
      <c r="L158" s="59"/>
      <c r="M158" s="60"/>
      <c r="N158" s="60"/>
      <c r="O158" s="60"/>
      <c r="P158" s="59"/>
      <c r="Q158" s="59"/>
      <c r="R158" s="60"/>
      <c r="S158" s="60"/>
      <c r="T158" s="60"/>
      <c r="U158" s="60"/>
      <c r="V158" s="60"/>
      <c r="W158" s="60"/>
    </row>
    <row r="159" spans="1:23" ht="13" x14ac:dyDescent="0.3">
      <c r="A159" s="58"/>
      <c r="B159" s="58"/>
      <c r="C159" s="58"/>
      <c r="D159" s="58"/>
      <c r="E159" s="58"/>
      <c r="F159" s="58"/>
      <c r="G159" s="58"/>
      <c r="H159" s="59"/>
      <c r="I159" s="59"/>
      <c r="J159" s="59"/>
      <c r="K159" s="59"/>
      <c r="L159" s="59"/>
      <c r="M159" s="60"/>
      <c r="N159" s="60"/>
      <c r="O159" s="60"/>
      <c r="P159" s="59"/>
      <c r="Q159" s="59"/>
      <c r="R159" s="60"/>
      <c r="S159" s="60"/>
      <c r="T159" s="60"/>
      <c r="U159" s="60"/>
      <c r="V159" s="60"/>
      <c r="W159" s="60"/>
    </row>
    <row r="160" spans="1:23" ht="13" x14ac:dyDescent="0.3">
      <c r="A160" s="58"/>
      <c r="B160" s="58"/>
      <c r="C160" s="58"/>
      <c r="D160" s="58"/>
      <c r="E160" s="58"/>
      <c r="F160" s="58"/>
      <c r="G160" s="58"/>
      <c r="H160" s="59"/>
      <c r="I160" s="59"/>
      <c r="J160" s="59"/>
      <c r="K160" s="59"/>
      <c r="L160" s="59"/>
      <c r="M160" s="60"/>
      <c r="N160" s="60"/>
      <c r="O160" s="60"/>
      <c r="P160" s="59"/>
      <c r="Q160" s="59"/>
      <c r="R160" s="60"/>
      <c r="S160" s="60"/>
      <c r="T160" s="60"/>
      <c r="U160" s="60"/>
      <c r="V160" s="60"/>
      <c r="W160" s="60"/>
    </row>
    <row r="161" spans="1:23" ht="13" x14ac:dyDescent="0.3">
      <c r="A161" s="58"/>
      <c r="B161" s="58"/>
      <c r="C161" s="58"/>
      <c r="D161" s="58"/>
      <c r="E161" s="58"/>
      <c r="F161" s="58"/>
      <c r="G161" s="58"/>
      <c r="H161" s="59"/>
      <c r="I161" s="59"/>
      <c r="J161" s="59"/>
      <c r="K161" s="59"/>
      <c r="L161" s="59"/>
      <c r="M161" s="60"/>
      <c r="N161" s="60"/>
      <c r="O161" s="60"/>
      <c r="P161" s="59"/>
      <c r="Q161" s="59"/>
      <c r="R161" s="60"/>
      <c r="S161" s="60"/>
      <c r="T161" s="60"/>
      <c r="U161" s="60"/>
      <c r="V161" s="60"/>
      <c r="W161" s="60"/>
    </row>
    <row r="162" spans="1:23" ht="13" x14ac:dyDescent="0.3">
      <c r="A162" s="58"/>
      <c r="B162" s="58"/>
      <c r="C162" s="58"/>
      <c r="D162" s="58"/>
      <c r="E162" s="58"/>
      <c r="F162" s="58"/>
      <c r="G162" s="58"/>
      <c r="H162" s="59"/>
      <c r="I162" s="59"/>
      <c r="J162" s="59"/>
      <c r="K162" s="59"/>
      <c r="L162" s="59"/>
      <c r="M162" s="60"/>
      <c r="N162" s="60"/>
      <c r="O162" s="60"/>
      <c r="P162" s="59"/>
      <c r="Q162" s="59"/>
      <c r="R162" s="60"/>
      <c r="S162" s="60"/>
      <c r="T162" s="60"/>
      <c r="U162" s="60"/>
      <c r="V162" s="60"/>
      <c r="W162" s="60"/>
    </row>
    <row r="163" spans="1:23" ht="13" x14ac:dyDescent="0.3">
      <c r="A163" s="58"/>
      <c r="B163" s="58"/>
      <c r="C163" s="58"/>
      <c r="D163" s="58"/>
      <c r="E163" s="58"/>
      <c r="F163" s="58"/>
      <c r="G163" s="58"/>
      <c r="H163" s="59"/>
      <c r="I163" s="59"/>
      <c r="J163" s="59"/>
      <c r="K163" s="59"/>
      <c r="L163" s="59"/>
      <c r="M163" s="60"/>
      <c r="N163" s="60"/>
      <c r="O163" s="60"/>
      <c r="P163" s="59"/>
      <c r="Q163" s="59"/>
      <c r="R163" s="60"/>
      <c r="S163" s="60"/>
      <c r="T163" s="60"/>
      <c r="U163" s="60"/>
      <c r="V163" s="60"/>
      <c r="W163" s="60"/>
    </row>
    <row r="164" spans="1:23" ht="13" x14ac:dyDescent="0.3">
      <c r="A164" s="58"/>
      <c r="B164" s="58"/>
      <c r="C164" s="58"/>
      <c r="D164" s="58"/>
      <c r="E164" s="58"/>
      <c r="F164" s="58"/>
      <c r="G164" s="58"/>
      <c r="H164" s="59"/>
      <c r="I164" s="59"/>
      <c r="J164" s="59"/>
      <c r="K164" s="59"/>
      <c r="L164" s="59"/>
      <c r="M164" s="60"/>
      <c r="N164" s="60"/>
      <c r="O164" s="60"/>
      <c r="P164" s="59"/>
      <c r="Q164" s="59"/>
      <c r="R164" s="60"/>
      <c r="S164" s="60"/>
      <c r="T164" s="60"/>
      <c r="U164" s="60"/>
      <c r="V164" s="60"/>
      <c r="W164" s="60"/>
    </row>
    <row r="165" spans="1:23" ht="13" x14ac:dyDescent="0.3">
      <c r="A165" s="58"/>
      <c r="B165" s="58"/>
      <c r="C165" s="58"/>
      <c r="D165" s="58"/>
      <c r="E165" s="58"/>
      <c r="F165" s="58"/>
      <c r="G165" s="58"/>
      <c r="H165" s="59"/>
      <c r="I165" s="59"/>
      <c r="J165" s="59"/>
      <c r="K165" s="59"/>
      <c r="L165" s="59"/>
      <c r="M165" s="60"/>
      <c r="N165" s="60"/>
      <c r="O165" s="60"/>
      <c r="P165" s="59"/>
      <c r="Q165" s="59"/>
      <c r="R165" s="60"/>
      <c r="S165" s="60"/>
      <c r="T165" s="60"/>
      <c r="U165" s="60"/>
      <c r="V165" s="60"/>
      <c r="W165" s="60"/>
    </row>
    <row r="166" spans="1:23" ht="13" x14ac:dyDescent="0.3">
      <c r="A166" s="58"/>
      <c r="B166" s="58"/>
      <c r="C166" s="58"/>
      <c r="D166" s="58"/>
      <c r="E166" s="58"/>
      <c r="F166" s="58"/>
      <c r="G166" s="58"/>
      <c r="H166" s="59"/>
      <c r="I166" s="59"/>
      <c r="J166" s="59"/>
      <c r="K166" s="59"/>
      <c r="L166" s="59"/>
      <c r="M166" s="60"/>
      <c r="N166" s="60"/>
      <c r="O166" s="60"/>
      <c r="P166" s="59"/>
      <c r="Q166" s="59"/>
      <c r="R166" s="60"/>
      <c r="S166" s="60"/>
      <c r="T166" s="60"/>
      <c r="U166" s="60"/>
      <c r="V166" s="60"/>
      <c r="W166" s="60"/>
    </row>
    <row r="167" spans="1:23" ht="13" x14ac:dyDescent="0.3">
      <c r="A167" s="58"/>
      <c r="B167" s="58"/>
      <c r="C167" s="58"/>
      <c r="D167" s="58"/>
      <c r="E167" s="58"/>
      <c r="F167" s="58"/>
      <c r="G167" s="58"/>
      <c r="H167" s="59"/>
      <c r="I167" s="59"/>
      <c r="J167" s="59"/>
      <c r="K167" s="59"/>
      <c r="L167" s="59"/>
      <c r="M167" s="60"/>
      <c r="N167" s="60"/>
      <c r="O167" s="60"/>
      <c r="P167" s="59"/>
      <c r="Q167" s="59"/>
      <c r="R167" s="60"/>
      <c r="S167" s="60"/>
      <c r="T167" s="60"/>
      <c r="U167" s="60"/>
      <c r="V167" s="60"/>
      <c r="W167" s="60"/>
    </row>
    <row r="168" spans="1:23" ht="13" x14ac:dyDescent="0.3">
      <c r="A168" s="58"/>
      <c r="B168" s="58"/>
      <c r="C168" s="58"/>
      <c r="D168" s="58"/>
      <c r="E168" s="58"/>
      <c r="F168" s="58"/>
      <c r="G168" s="58"/>
      <c r="H168" s="59"/>
      <c r="I168" s="59"/>
      <c r="J168" s="59"/>
      <c r="K168" s="59"/>
      <c r="L168" s="59"/>
      <c r="M168" s="60"/>
      <c r="N168" s="60"/>
      <c r="O168" s="60"/>
      <c r="P168" s="59"/>
      <c r="Q168" s="59"/>
      <c r="R168" s="60"/>
      <c r="S168" s="60"/>
      <c r="T168" s="60"/>
      <c r="U168" s="60"/>
      <c r="V168" s="60"/>
      <c r="W168" s="60"/>
    </row>
    <row r="169" spans="1:23" ht="13" x14ac:dyDescent="0.3">
      <c r="A169" s="58"/>
      <c r="B169" s="58"/>
      <c r="C169" s="58"/>
      <c r="D169" s="58"/>
      <c r="E169" s="58"/>
      <c r="F169" s="58"/>
      <c r="G169" s="58"/>
      <c r="H169" s="59"/>
      <c r="I169" s="59"/>
      <c r="J169" s="59"/>
      <c r="K169" s="59"/>
      <c r="L169" s="59"/>
      <c r="M169" s="60"/>
      <c r="N169" s="60"/>
      <c r="O169" s="60"/>
      <c r="P169" s="59"/>
      <c r="Q169" s="59"/>
      <c r="R169" s="60"/>
      <c r="S169" s="60"/>
      <c r="T169" s="60"/>
      <c r="U169" s="60"/>
      <c r="V169" s="60"/>
      <c r="W169" s="60"/>
    </row>
    <row r="170" spans="1:23" ht="13" x14ac:dyDescent="0.3">
      <c r="A170" s="58"/>
      <c r="B170" s="58"/>
      <c r="C170" s="58"/>
      <c r="D170" s="58"/>
      <c r="E170" s="58"/>
      <c r="F170" s="58"/>
      <c r="G170" s="58"/>
      <c r="H170" s="59"/>
      <c r="I170" s="59"/>
      <c r="J170" s="59"/>
      <c r="K170" s="59"/>
      <c r="L170" s="59"/>
      <c r="M170" s="60"/>
      <c r="N170" s="60"/>
      <c r="O170" s="60"/>
      <c r="P170" s="59"/>
      <c r="Q170" s="59"/>
      <c r="R170" s="60"/>
      <c r="S170" s="60"/>
      <c r="T170" s="60"/>
      <c r="U170" s="60"/>
      <c r="V170" s="60"/>
      <c r="W170" s="60"/>
    </row>
    <row r="171" spans="1:23" ht="13" x14ac:dyDescent="0.3">
      <c r="A171" s="58"/>
      <c r="B171" s="58"/>
      <c r="C171" s="58"/>
      <c r="D171" s="58"/>
      <c r="E171" s="58"/>
      <c r="F171" s="58"/>
      <c r="G171" s="58"/>
      <c r="H171" s="59"/>
      <c r="I171" s="59"/>
      <c r="J171" s="59"/>
      <c r="K171" s="59"/>
      <c r="L171" s="59"/>
      <c r="M171" s="60"/>
      <c r="N171" s="60"/>
      <c r="O171" s="60"/>
      <c r="P171" s="59"/>
      <c r="Q171" s="59"/>
      <c r="R171" s="60"/>
      <c r="S171" s="60"/>
      <c r="T171" s="60"/>
      <c r="U171" s="60"/>
      <c r="V171" s="60"/>
      <c r="W171" s="60"/>
    </row>
    <row r="172" spans="1:23" ht="13" x14ac:dyDescent="0.3">
      <c r="A172" s="58"/>
      <c r="B172" s="58"/>
      <c r="C172" s="58"/>
      <c r="D172" s="58"/>
      <c r="E172" s="58"/>
      <c r="F172" s="58"/>
      <c r="G172" s="58"/>
      <c r="H172" s="59"/>
      <c r="I172" s="59"/>
      <c r="J172" s="59"/>
      <c r="K172" s="59"/>
      <c r="L172" s="59"/>
      <c r="M172" s="60"/>
      <c r="N172" s="60"/>
      <c r="O172" s="60"/>
      <c r="P172" s="59"/>
      <c r="Q172" s="59"/>
      <c r="R172" s="60"/>
      <c r="S172" s="60"/>
      <c r="T172" s="60"/>
      <c r="U172" s="60"/>
      <c r="V172" s="60"/>
      <c r="W172" s="60"/>
    </row>
    <row r="173" spans="1:23" ht="13" x14ac:dyDescent="0.3">
      <c r="A173" s="58"/>
      <c r="B173" s="58"/>
      <c r="C173" s="58"/>
      <c r="D173" s="58"/>
      <c r="E173" s="58"/>
      <c r="F173" s="58"/>
      <c r="G173" s="58"/>
      <c r="H173" s="59"/>
      <c r="I173" s="59"/>
      <c r="J173" s="59"/>
      <c r="K173" s="59"/>
      <c r="L173" s="59"/>
      <c r="M173" s="60"/>
      <c r="N173" s="60"/>
      <c r="O173" s="60"/>
      <c r="P173" s="59"/>
      <c r="Q173" s="59"/>
      <c r="R173" s="60"/>
      <c r="S173" s="60"/>
      <c r="T173" s="60"/>
      <c r="U173" s="60"/>
      <c r="V173" s="60"/>
      <c r="W173" s="60"/>
    </row>
    <row r="174" spans="1:23" ht="13" x14ac:dyDescent="0.3">
      <c r="A174" s="58"/>
      <c r="B174" s="58"/>
      <c r="C174" s="58"/>
      <c r="D174" s="58"/>
      <c r="E174" s="58"/>
      <c r="F174" s="58"/>
      <c r="G174" s="58"/>
      <c r="H174" s="59"/>
      <c r="I174" s="59"/>
      <c r="J174" s="59"/>
      <c r="K174" s="59"/>
      <c r="L174" s="59"/>
      <c r="M174" s="60"/>
      <c r="N174" s="60"/>
      <c r="O174" s="60"/>
      <c r="P174" s="59"/>
      <c r="Q174" s="59"/>
      <c r="R174" s="60"/>
      <c r="S174" s="60"/>
      <c r="T174" s="60"/>
      <c r="U174" s="60"/>
      <c r="V174" s="60"/>
      <c r="W174" s="60"/>
    </row>
    <row r="175" spans="1:23" ht="13" x14ac:dyDescent="0.3">
      <c r="A175" s="58"/>
      <c r="B175" s="58"/>
      <c r="C175" s="58"/>
      <c r="D175" s="58"/>
      <c r="E175" s="58"/>
      <c r="F175" s="58"/>
      <c r="G175" s="58"/>
      <c r="H175" s="59"/>
      <c r="I175" s="59"/>
      <c r="J175" s="59"/>
      <c r="K175" s="59"/>
      <c r="L175" s="59"/>
      <c r="M175" s="60"/>
      <c r="N175" s="60"/>
      <c r="O175" s="60"/>
      <c r="P175" s="59"/>
      <c r="Q175" s="59"/>
      <c r="R175" s="60"/>
      <c r="S175" s="60"/>
      <c r="T175" s="60"/>
      <c r="U175" s="60"/>
      <c r="V175" s="60"/>
      <c r="W175" s="60"/>
    </row>
    <row r="176" spans="1:23" ht="13" x14ac:dyDescent="0.3">
      <c r="A176" s="58"/>
      <c r="B176" s="58"/>
      <c r="C176" s="58"/>
      <c r="D176" s="58"/>
      <c r="E176" s="58"/>
      <c r="F176" s="58"/>
      <c r="G176" s="58"/>
      <c r="H176" s="59"/>
      <c r="I176" s="59"/>
      <c r="J176" s="59"/>
      <c r="K176" s="59"/>
      <c r="L176" s="59"/>
      <c r="M176" s="60"/>
      <c r="N176" s="60"/>
      <c r="O176" s="60"/>
      <c r="P176" s="59"/>
      <c r="Q176" s="59"/>
      <c r="R176" s="60"/>
      <c r="S176" s="60"/>
      <c r="T176" s="60"/>
      <c r="U176" s="60"/>
      <c r="V176" s="60"/>
      <c r="W176" s="60"/>
    </row>
    <row r="177" spans="1:23" ht="13" x14ac:dyDescent="0.3">
      <c r="A177" s="58"/>
      <c r="B177" s="58"/>
      <c r="C177" s="58"/>
      <c r="D177" s="58"/>
      <c r="E177" s="58"/>
      <c r="F177" s="58"/>
      <c r="G177" s="58"/>
      <c r="H177" s="59"/>
      <c r="I177" s="59"/>
      <c r="J177" s="59"/>
      <c r="K177" s="59"/>
      <c r="L177" s="59"/>
      <c r="M177" s="60"/>
      <c r="N177" s="60"/>
      <c r="O177" s="60"/>
      <c r="P177" s="59"/>
      <c r="Q177" s="59"/>
      <c r="R177" s="60"/>
      <c r="S177" s="60"/>
      <c r="T177" s="60"/>
      <c r="U177" s="60"/>
      <c r="V177" s="60"/>
      <c r="W177" s="60"/>
    </row>
    <row r="178" spans="1:23" ht="13" x14ac:dyDescent="0.3">
      <c r="A178" s="58"/>
      <c r="B178" s="58"/>
      <c r="C178" s="58"/>
      <c r="D178" s="58"/>
      <c r="E178" s="58"/>
      <c r="F178" s="58"/>
      <c r="G178" s="58"/>
      <c r="H178" s="59"/>
      <c r="I178" s="59"/>
      <c r="J178" s="59"/>
      <c r="K178" s="59"/>
      <c r="L178" s="59"/>
      <c r="M178" s="60"/>
      <c r="N178" s="60"/>
      <c r="O178" s="60"/>
      <c r="P178" s="59"/>
      <c r="Q178" s="59"/>
      <c r="R178" s="60"/>
      <c r="S178" s="60"/>
      <c r="T178" s="60"/>
      <c r="U178" s="60"/>
      <c r="V178" s="60"/>
      <c r="W178" s="60"/>
    </row>
    <row r="179" spans="1:23" ht="13" x14ac:dyDescent="0.3">
      <c r="A179" s="58"/>
      <c r="B179" s="58"/>
      <c r="C179" s="58"/>
      <c r="D179" s="58"/>
      <c r="E179" s="58"/>
      <c r="F179" s="58"/>
      <c r="G179" s="58"/>
      <c r="H179" s="59"/>
      <c r="I179" s="59"/>
      <c r="J179" s="59"/>
      <c r="K179" s="59"/>
      <c r="L179" s="59"/>
      <c r="M179" s="60"/>
      <c r="N179" s="60"/>
      <c r="O179" s="60"/>
      <c r="P179" s="59"/>
      <c r="Q179" s="59"/>
      <c r="R179" s="60"/>
      <c r="S179" s="60"/>
      <c r="T179" s="60"/>
      <c r="U179" s="60"/>
      <c r="V179" s="60"/>
      <c r="W179" s="60"/>
    </row>
    <row r="180" spans="1:23" ht="13" x14ac:dyDescent="0.3">
      <c r="A180" s="58"/>
      <c r="B180" s="58"/>
      <c r="C180" s="58"/>
      <c r="D180" s="58"/>
      <c r="E180" s="58"/>
      <c r="F180" s="58"/>
      <c r="G180" s="58"/>
      <c r="H180" s="59"/>
      <c r="I180" s="59"/>
      <c r="J180" s="59"/>
      <c r="K180" s="59"/>
      <c r="L180" s="59"/>
      <c r="M180" s="60"/>
      <c r="N180" s="60"/>
      <c r="O180" s="60"/>
      <c r="P180" s="59"/>
      <c r="Q180" s="59"/>
      <c r="R180" s="60"/>
      <c r="S180" s="60"/>
      <c r="T180" s="60"/>
      <c r="U180" s="60"/>
      <c r="V180" s="60"/>
      <c r="W180" s="60"/>
    </row>
    <row r="181" spans="1:23" ht="13" x14ac:dyDescent="0.3">
      <c r="A181" s="58"/>
      <c r="B181" s="58"/>
      <c r="C181" s="58"/>
      <c r="D181" s="58"/>
      <c r="E181" s="58"/>
      <c r="F181" s="58"/>
      <c r="G181" s="58"/>
      <c r="H181" s="59"/>
      <c r="I181" s="59"/>
      <c r="J181" s="59"/>
      <c r="K181" s="59"/>
      <c r="L181" s="59"/>
      <c r="M181" s="60"/>
      <c r="N181" s="60"/>
      <c r="O181" s="60"/>
      <c r="P181" s="59"/>
      <c r="Q181" s="59"/>
      <c r="R181" s="60"/>
      <c r="S181" s="60"/>
      <c r="T181" s="60"/>
      <c r="U181" s="60"/>
      <c r="V181" s="60"/>
      <c r="W181" s="60"/>
    </row>
    <row r="182" spans="1:23" ht="13" x14ac:dyDescent="0.3">
      <c r="A182" s="58"/>
      <c r="B182" s="58"/>
      <c r="C182" s="58"/>
      <c r="D182" s="58"/>
      <c r="E182" s="58"/>
      <c r="F182" s="58"/>
      <c r="G182" s="58"/>
      <c r="H182" s="59"/>
      <c r="I182" s="59"/>
      <c r="J182" s="59"/>
      <c r="K182" s="59"/>
      <c r="L182" s="59"/>
      <c r="M182" s="60"/>
      <c r="N182" s="60"/>
      <c r="O182" s="60"/>
      <c r="P182" s="59"/>
      <c r="Q182" s="59"/>
      <c r="R182" s="60"/>
      <c r="S182" s="60"/>
      <c r="T182" s="60"/>
      <c r="U182" s="60"/>
      <c r="V182" s="60"/>
      <c r="W182" s="60"/>
    </row>
    <row r="183" spans="1:23" ht="13" x14ac:dyDescent="0.3">
      <c r="A183" s="58"/>
      <c r="B183" s="58"/>
      <c r="C183" s="58"/>
      <c r="D183" s="58"/>
      <c r="E183" s="58"/>
      <c r="F183" s="58"/>
      <c r="G183" s="58"/>
      <c r="H183" s="59"/>
      <c r="I183" s="59"/>
      <c r="J183" s="59"/>
      <c r="K183" s="59"/>
      <c r="L183" s="59"/>
      <c r="M183" s="60"/>
      <c r="N183" s="60"/>
      <c r="O183" s="60"/>
      <c r="P183" s="59"/>
      <c r="Q183" s="59"/>
      <c r="R183" s="60"/>
      <c r="S183" s="60"/>
      <c r="T183" s="60"/>
      <c r="U183" s="60"/>
      <c r="V183" s="60"/>
      <c r="W183" s="60"/>
    </row>
    <row r="184" spans="1:23" ht="13" x14ac:dyDescent="0.3">
      <c r="A184" s="58"/>
      <c r="B184" s="58"/>
      <c r="C184" s="58"/>
      <c r="D184" s="58"/>
      <c r="E184" s="58"/>
      <c r="F184" s="58"/>
      <c r="G184" s="58"/>
      <c r="H184" s="59"/>
      <c r="I184" s="59"/>
      <c r="J184" s="59"/>
      <c r="K184" s="59"/>
      <c r="L184" s="59"/>
      <c r="M184" s="60"/>
      <c r="N184" s="60"/>
      <c r="O184" s="60"/>
      <c r="P184" s="59"/>
      <c r="Q184" s="59"/>
      <c r="R184" s="60"/>
      <c r="S184" s="60"/>
      <c r="T184" s="60"/>
      <c r="U184" s="60"/>
      <c r="V184" s="60"/>
      <c r="W184" s="60"/>
    </row>
    <row r="185" spans="1:23" ht="13" x14ac:dyDescent="0.3">
      <c r="A185" s="58"/>
      <c r="B185" s="58"/>
      <c r="C185" s="58"/>
      <c r="D185" s="58"/>
      <c r="E185" s="58"/>
      <c r="F185" s="58"/>
      <c r="G185" s="58"/>
      <c r="H185" s="59"/>
      <c r="I185" s="59"/>
      <c r="J185" s="59"/>
      <c r="K185" s="59"/>
      <c r="L185" s="59"/>
      <c r="M185" s="60"/>
      <c r="N185" s="60"/>
      <c r="O185" s="60"/>
      <c r="P185" s="59"/>
      <c r="Q185" s="59"/>
      <c r="R185" s="60"/>
      <c r="S185" s="60"/>
      <c r="T185" s="60"/>
      <c r="U185" s="60"/>
      <c r="V185" s="60"/>
      <c r="W185" s="60"/>
    </row>
    <row r="186" spans="1:23" ht="13" x14ac:dyDescent="0.3">
      <c r="A186" s="58"/>
      <c r="B186" s="58"/>
      <c r="C186" s="58"/>
      <c r="D186" s="58"/>
      <c r="E186" s="58"/>
      <c r="F186" s="58"/>
      <c r="G186" s="58"/>
      <c r="H186" s="59"/>
      <c r="I186" s="59"/>
      <c r="J186" s="59"/>
      <c r="K186" s="59"/>
      <c r="L186" s="59"/>
      <c r="M186" s="60"/>
      <c r="N186" s="60"/>
      <c r="O186" s="60"/>
      <c r="P186" s="59"/>
      <c r="Q186" s="59"/>
      <c r="R186" s="60"/>
      <c r="S186" s="60"/>
      <c r="T186" s="60"/>
      <c r="U186" s="60"/>
      <c r="V186" s="60"/>
      <c r="W186" s="60"/>
    </row>
    <row r="187" spans="1:23" ht="13" x14ac:dyDescent="0.3">
      <c r="A187" s="58"/>
      <c r="B187" s="58"/>
      <c r="C187" s="58"/>
      <c r="D187" s="58"/>
      <c r="E187" s="58"/>
      <c r="F187" s="58"/>
      <c r="G187" s="58"/>
      <c r="H187" s="59"/>
      <c r="I187" s="59"/>
      <c r="J187" s="59"/>
      <c r="K187" s="59"/>
      <c r="L187" s="59"/>
      <c r="M187" s="60"/>
      <c r="N187" s="60"/>
      <c r="O187" s="60"/>
      <c r="P187" s="59"/>
      <c r="Q187" s="59"/>
      <c r="R187" s="60"/>
      <c r="S187" s="60"/>
      <c r="T187" s="60"/>
      <c r="U187" s="60"/>
      <c r="V187" s="60"/>
      <c r="W187" s="60"/>
    </row>
    <row r="188" spans="1:23" ht="13" x14ac:dyDescent="0.3">
      <c r="A188" s="58"/>
      <c r="B188" s="58"/>
      <c r="C188" s="58"/>
      <c r="D188" s="58"/>
      <c r="E188" s="58"/>
      <c r="F188" s="58"/>
      <c r="G188" s="58"/>
      <c r="H188" s="59"/>
      <c r="I188" s="59"/>
      <c r="J188" s="59"/>
      <c r="K188" s="59"/>
      <c r="L188" s="59"/>
      <c r="M188" s="60"/>
      <c r="N188" s="60"/>
      <c r="O188" s="60"/>
      <c r="P188" s="59"/>
      <c r="Q188" s="59"/>
      <c r="R188" s="60"/>
      <c r="S188" s="60"/>
      <c r="T188" s="60"/>
      <c r="U188" s="60"/>
      <c r="V188" s="60"/>
      <c r="W188" s="60"/>
    </row>
    <row r="189" spans="1:23" ht="13" x14ac:dyDescent="0.3">
      <c r="A189" s="58"/>
      <c r="B189" s="58"/>
      <c r="C189" s="58"/>
      <c r="D189" s="58"/>
      <c r="E189" s="58"/>
      <c r="F189" s="58"/>
      <c r="G189" s="58"/>
      <c r="H189" s="59"/>
      <c r="I189" s="59"/>
      <c r="J189" s="59"/>
      <c r="K189" s="59"/>
      <c r="L189" s="59"/>
      <c r="M189" s="60"/>
      <c r="N189" s="60"/>
      <c r="O189" s="60"/>
      <c r="P189" s="59"/>
      <c r="Q189" s="59"/>
      <c r="R189" s="60"/>
      <c r="S189" s="60"/>
      <c r="T189" s="60"/>
      <c r="U189" s="60"/>
      <c r="V189" s="60"/>
      <c r="W189" s="60"/>
    </row>
    <row r="190" spans="1:23" ht="13" x14ac:dyDescent="0.3">
      <c r="A190" s="58"/>
      <c r="B190" s="58"/>
      <c r="C190" s="58"/>
      <c r="D190" s="58"/>
      <c r="E190" s="58"/>
      <c r="F190" s="58"/>
      <c r="G190" s="58"/>
      <c r="H190" s="59"/>
      <c r="I190" s="59"/>
      <c r="J190" s="59"/>
      <c r="K190" s="59"/>
      <c r="L190" s="59"/>
      <c r="M190" s="60"/>
      <c r="N190" s="60"/>
      <c r="O190" s="60"/>
      <c r="P190" s="59"/>
      <c r="Q190" s="59"/>
      <c r="R190" s="60"/>
      <c r="S190" s="60"/>
      <c r="T190" s="60"/>
      <c r="U190" s="60"/>
      <c r="V190" s="60"/>
      <c r="W190" s="60"/>
    </row>
    <row r="191" spans="1:23" ht="13" x14ac:dyDescent="0.3">
      <c r="A191" s="58"/>
      <c r="B191" s="58"/>
      <c r="C191" s="58"/>
      <c r="D191" s="58"/>
      <c r="E191" s="58"/>
      <c r="F191" s="58"/>
      <c r="G191" s="58"/>
      <c r="H191" s="59"/>
      <c r="I191" s="59"/>
      <c r="J191" s="59"/>
      <c r="K191" s="59"/>
      <c r="L191" s="59"/>
      <c r="M191" s="60"/>
      <c r="N191" s="60"/>
      <c r="O191" s="60"/>
      <c r="P191" s="59"/>
      <c r="Q191" s="59"/>
      <c r="R191" s="60"/>
      <c r="S191" s="60"/>
      <c r="T191" s="60"/>
      <c r="U191" s="60"/>
      <c r="V191" s="60"/>
      <c r="W191" s="60"/>
    </row>
    <row r="192" spans="1:23" ht="13" x14ac:dyDescent="0.3">
      <c r="A192" s="58"/>
      <c r="B192" s="58"/>
      <c r="C192" s="58"/>
      <c r="D192" s="58"/>
      <c r="E192" s="58"/>
      <c r="F192" s="58"/>
      <c r="G192" s="58"/>
      <c r="H192" s="59"/>
      <c r="I192" s="59"/>
      <c r="J192" s="59"/>
      <c r="K192" s="59"/>
      <c r="L192" s="59"/>
      <c r="M192" s="60"/>
      <c r="N192" s="60"/>
      <c r="O192" s="60"/>
      <c r="P192" s="59"/>
      <c r="Q192" s="59"/>
      <c r="R192" s="60"/>
      <c r="S192" s="60"/>
      <c r="T192" s="60"/>
      <c r="U192" s="60"/>
      <c r="V192" s="60"/>
      <c r="W192" s="60"/>
    </row>
    <row r="193" spans="1:23" ht="13" x14ac:dyDescent="0.3">
      <c r="A193" s="58"/>
      <c r="B193" s="58"/>
      <c r="C193" s="58"/>
      <c r="D193" s="58"/>
      <c r="E193" s="58"/>
      <c r="F193" s="58"/>
      <c r="G193" s="58"/>
      <c r="H193" s="59"/>
      <c r="I193" s="59"/>
      <c r="J193" s="59"/>
      <c r="K193" s="59"/>
      <c r="L193" s="59"/>
      <c r="M193" s="60"/>
      <c r="N193" s="60"/>
      <c r="O193" s="60"/>
      <c r="P193" s="59"/>
      <c r="Q193" s="59"/>
      <c r="R193" s="60"/>
      <c r="S193" s="60"/>
      <c r="T193" s="60"/>
      <c r="U193" s="60"/>
      <c r="V193" s="60"/>
      <c r="W193" s="60"/>
    </row>
    <row r="194" spans="1:23" ht="13" x14ac:dyDescent="0.3">
      <c r="A194" s="58"/>
      <c r="B194" s="58"/>
      <c r="C194" s="58"/>
      <c r="D194" s="58"/>
      <c r="E194" s="58"/>
      <c r="F194" s="58"/>
      <c r="G194" s="58"/>
      <c r="H194" s="59"/>
      <c r="I194" s="59"/>
      <c r="J194" s="59"/>
      <c r="K194" s="59"/>
      <c r="L194" s="59"/>
      <c r="M194" s="60"/>
      <c r="N194" s="60"/>
      <c r="O194" s="60"/>
      <c r="P194" s="59"/>
      <c r="Q194" s="59"/>
      <c r="R194" s="60"/>
      <c r="S194" s="60"/>
      <c r="T194" s="60"/>
      <c r="U194" s="60"/>
      <c r="V194" s="60"/>
      <c r="W194" s="60"/>
    </row>
    <row r="195" spans="1:23" ht="13" x14ac:dyDescent="0.3">
      <c r="A195" s="58"/>
      <c r="B195" s="58"/>
      <c r="C195" s="58"/>
      <c r="D195" s="58"/>
      <c r="E195" s="58"/>
      <c r="F195" s="58"/>
      <c r="G195" s="58"/>
      <c r="H195" s="59"/>
      <c r="I195" s="59"/>
      <c r="J195" s="59"/>
      <c r="K195" s="59"/>
      <c r="L195" s="59"/>
      <c r="M195" s="60"/>
      <c r="N195" s="60"/>
      <c r="O195" s="60"/>
      <c r="P195" s="59"/>
      <c r="Q195" s="59"/>
      <c r="R195" s="60"/>
      <c r="S195" s="60"/>
      <c r="T195" s="60"/>
      <c r="U195" s="60"/>
      <c r="V195" s="60"/>
      <c r="W195" s="60"/>
    </row>
    <row r="196" spans="1:23" ht="13" x14ac:dyDescent="0.3">
      <c r="A196" s="58"/>
      <c r="B196" s="58"/>
      <c r="C196" s="58"/>
      <c r="D196" s="58"/>
      <c r="E196" s="58"/>
      <c r="F196" s="58"/>
      <c r="G196" s="58"/>
      <c r="H196" s="59"/>
      <c r="I196" s="59"/>
      <c r="J196" s="59"/>
      <c r="K196" s="59"/>
      <c r="L196" s="59"/>
      <c r="M196" s="60"/>
      <c r="N196" s="60"/>
      <c r="O196" s="60"/>
      <c r="P196" s="59"/>
      <c r="Q196" s="59"/>
      <c r="R196" s="60"/>
      <c r="S196" s="60"/>
      <c r="T196" s="60"/>
      <c r="U196" s="60"/>
      <c r="V196" s="60"/>
      <c r="W196" s="60"/>
    </row>
    <row r="197" spans="1:23" ht="13" x14ac:dyDescent="0.3">
      <c r="A197" s="58"/>
      <c r="B197" s="58"/>
      <c r="C197" s="58"/>
      <c r="D197" s="58"/>
      <c r="E197" s="58"/>
      <c r="F197" s="58"/>
      <c r="G197" s="58"/>
      <c r="H197" s="59"/>
      <c r="I197" s="59"/>
      <c r="J197" s="59"/>
      <c r="K197" s="59"/>
      <c r="L197" s="59"/>
      <c r="M197" s="60"/>
      <c r="N197" s="60"/>
      <c r="O197" s="60"/>
      <c r="P197" s="59"/>
      <c r="Q197" s="59"/>
      <c r="R197" s="60"/>
      <c r="S197" s="60"/>
      <c r="T197" s="60"/>
      <c r="U197" s="60"/>
      <c r="V197" s="60"/>
      <c r="W197" s="60"/>
    </row>
    <row r="198" spans="1:23" ht="13" x14ac:dyDescent="0.3">
      <c r="A198" s="58"/>
      <c r="B198" s="58"/>
      <c r="C198" s="58"/>
      <c r="D198" s="58"/>
      <c r="E198" s="58"/>
      <c r="F198" s="58"/>
      <c r="G198" s="58"/>
      <c r="H198" s="59"/>
      <c r="I198" s="59"/>
      <c r="J198" s="59"/>
      <c r="K198" s="59"/>
      <c r="L198" s="59"/>
      <c r="M198" s="60"/>
      <c r="N198" s="60"/>
      <c r="O198" s="60"/>
      <c r="P198" s="59"/>
      <c r="Q198" s="59"/>
      <c r="R198" s="60"/>
      <c r="S198" s="60"/>
      <c r="T198" s="60"/>
      <c r="U198" s="60"/>
      <c r="V198" s="60"/>
      <c r="W198" s="60"/>
    </row>
    <row r="199" spans="1:23" ht="13" x14ac:dyDescent="0.3">
      <c r="A199" s="58"/>
      <c r="B199" s="58"/>
      <c r="C199" s="58"/>
      <c r="D199" s="58"/>
      <c r="E199" s="58"/>
      <c r="F199" s="58"/>
      <c r="G199" s="58"/>
      <c r="H199" s="59"/>
      <c r="I199" s="59"/>
      <c r="J199" s="59"/>
      <c r="K199" s="59"/>
      <c r="L199" s="59"/>
      <c r="M199" s="60"/>
      <c r="N199" s="60"/>
      <c r="O199" s="60"/>
      <c r="P199" s="59"/>
      <c r="Q199" s="59"/>
      <c r="R199" s="60"/>
      <c r="S199" s="60"/>
      <c r="T199" s="60"/>
      <c r="U199" s="60"/>
      <c r="V199" s="60"/>
      <c r="W199" s="60"/>
    </row>
    <row r="200" spans="1:23" ht="13" x14ac:dyDescent="0.3">
      <c r="A200" s="58"/>
      <c r="B200" s="58"/>
      <c r="C200" s="58"/>
      <c r="D200" s="58"/>
      <c r="E200" s="58"/>
      <c r="F200" s="58"/>
      <c r="G200" s="58"/>
      <c r="H200" s="59"/>
      <c r="I200" s="59"/>
      <c r="J200" s="59"/>
      <c r="K200" s="59"/>
      <c r="L200" s="59"/>
      <c r="M200" s="60"/>
      <c r="N200" s="60"/>
      <c r="O200" s="60"/>
      <c r="P200" s="59"/>
      <c r="Q200" s="59"/>
      <c r="R200" s="60"/>
      <c r="S200" s="60"/>
      <c r="T200" s="60"/>
      <c r="U200" s="60"/>
      <c r="V200" s="60"/>
      <c r="W200" s="60"/>
    </row>
    <row r="201" spans="1:23" ht="13" x14ac:dyDescent="0.3">
      <c r="A201" s="58"/>
      <c r="B201" s="58"/>
      <c r="C201" s="58"/>
      <c r="D201" s="58"/>
      <c r="E201" s="58"/>
      <c r="F201" s="58"/>
      <c r="G201" s="58"/>
      <c r="H201" s="59"/>
      <c r="I201" s="59"/>
      <c r="J201" s="59"/>
      <c r="K201" s="59"/>
      <c r="L201" s="59"/>
      <c r="M201" s="60"/>
      <c r="N201" s="60"/>
      <c r="O201" s="60"/>
      <c r="P201" s="59"/>
      <c r="Q201" s="59"/>
      <c r="R201" s="60"/>
      <c r="S201" s="60"/>
      <c r="T201" s="60"/>
      <c r="U201" s="60"/>
      <c r="V201" s="60"/>
      <c r="W201" s="60"/>
    </row>
    <row r="202" spans="1:23" ht="13" x14ac:dyDescent="0.3">
      <c r="A202" s="58"/>
      <c r="B202" s="58"/>
      <c r="C202" s="58"/>
      <c r="D202" s="58"/>
      <c r="E202" s="58"/>
      <c r="F202" s="58"/>
      <c r="G202" s="58"/>
      <c r="H202" s="59"/>
      <c r="I202" s="59"/>
      <c r="J202" s="59"/>
      <c r="K202" s="59"/>
      <c r="L202" s="59"/>
      <c r="M202" s="60"/>
      <c r="N202" s="60"/>
      <c r="O202" s="60"/>
      <c r="P202" s="59"/>
      <c r="Q202" s="59"/>
      <c r="R202" s="60"/>
      <c r="S202" s="60"/>
      <c r="T202" s="60"/>
      <c r="U202" s="60"/>
      <c r="V202" s="60"/>
      <c r="W202" s="60"/>
    </row>
    <row r="203" spans="1:23" ht="13" x14ac:dyDescent="0.3">
      <c r="A203" s="58"/>
      <c r="B203" s="58"/>
      <c r="C203" s="58"/>
      <c r="D203" s="58"/>
      <c r="E203" s="58"/>
      <c r="F203" s="58"/>
      <c r="G203" s="58"/>
      <c r="H203" s="59"/>
      <c r="I203" s="59"/>
      <c r="J203" s="59"/>
      <c r="K203" s="59"/>
      <c r="L203" s="59"/>
      <c r="M203" s="60"/>
      <c r="N203" s="60"/>
      <c r="O203" s="60"/>
      <c r="P203" s="59"/>
      <c r="Q203" s="59"/>
      <c r="R203" s="60"/>
      <c r="S203" s="60"/>
      <c r="T203" s="60"/>
      <c r="U203" s="60"/>
      <c r="V203" s="60"/>
      <c r="W203" s="60"/>
    </row>
    <row r="204" spans="1:23" ht="13" x14ac:dyDescent="0.3">
      <c r="A204" s="58"/>
      <c r="B204" s="58"/>
      <c r="C204" s="58"/>
      <c r="D204" s="58"/>
      <c r="E204" s="58"/>
      <c r="F204" s="58"/>
      <c r="G204" s="58"/>
      <c r="H204" s="59"/>
      <c r="I204" s="59"/>
      <c r="J204" s="59"/>
      <c r="K204" s="59"/>
      <c r="L204" s="59"/>
      <c r="M204" s="60"/>
      <c r="N204" s="60"/>
      <c r="O204" s="60"/>
      <c r="P204" s="59"/>
      <c r="Q204" s="59"/>
      <c r="R204" s="60"/>
      <c r="S204" s="60"/>
      <c r="T204" s="60"/>
      <c r="U204" s="60"/>
      <c r="V204" s="60"/>
      <c r="W204" s="60"/>
    </row>
    <row r="205" spans="1:23" ht="13" x14ac:dyDescent="0.3">
      <c r="A205" s="58"/>
      <c r="B205" s="58"/>
      <c r="C205" s="58"/>
      <c r="D205" s="58"/>
      <c r="E205" s="58"/>
      <c r="F205" s="58"/>
      <c r="G205" s="58"/>
      <c r="H205" s="59"/>
      <c r="I205" s="59"/>
      <c r="J205" s="59"/>
      <c r="K205" s="59"/>
      <c r="L205" s="59"/>
      <c r="M205" s="60"/>
      <c r="N205" s="60"/>
      <c r="O205" s="60"/>
      <c r="P205" s="59"/>
      <c r="Q205" s="59"/>
      <c r="R205" s="60"/>
      <c r="S205" s="60"/>
      <c r="T205" s="60"/>
      <c r="U205" s="60"/>
      <c r="V205" s="60"/>
      <c r="W205" s="60"/>
    </row>
    <row r="206" spans="1:23" ht="13" x14ac:dyDescent="0.3">
      <c r="A206" s="58"/>
      <c r="B206" s="58"/>
      <c r="C206" s="58"/>
      <c r="D206" s="58"/>
      <c r="E206" s="58"/>
      <c r="F206" s="58"/>
      <c r="G206" s="58"/>
      <c r="H206" s="59"/>
      <c r="I206" s="59"/>
      <c r="J206" s="59"/>
      <c r="K206" s="59"/>
      <c r="L206" s="59"/>
      <c r="M206" s="60"/>
      <c r="N206" s="60"/>
      <c r="O206" s="60"/>
      <c r="P206" s="59"/>
      <c r="Q206" s="59"/>
      <c r="R206" s="60"/>
      <c r="S206" s="60"/>
      <c r="T206" s="60"/>
      <c r="U206" s="60"/>
      <c r="V206" s="60"/>
      <c r="W206" s="60"/>
    </row>
    <row r="207" spans="1:23" ht="13" x14ac:dyDescent="0.3">
      <c r="A207" s="58"/>
      <c r="B207" s="58"/>
      <c r="C207" s="58"/>
      <c r="D207" s="58"/>
      <c r="E207" s="58"/>
      <c r="F207" s="58"/>
      <c r="G207" s="58"/>
      <c r="H207" s="59"/>
      <c r="I207" s="59"/>
      <c r="J207" s="59"/>
      <c r="K207" s="59"/>
      <c r="L207" s="59"/>
      <c r="M207" s="60"/>
      <c r="N207" s="60"/>
      <c r="O207" s="60"/>
      <c r="P207" s="59"/>
      <c r="Q207" s="59"/>
      <c r="R207" s="60"/>
      <c r="S207" s="60"/>
      <c r="T207" s="60"/>
      <c r="U207" s="60"/>
      <c r="V207" s="60"/>
      <c r="W207" s="60"/>
    </row>
    <row r="208" spans="1:23" ht="13" x14ac:dyDescent="0.3">
      <c r="A208" s="58"/>
      <c r="B208" s="58"/>
      <c r="C208" s="58"/>
      <c r="D208" s="58"/>
      <c r="E208" s="58"/>
      <c r="F208" s="58"/>
      <c r="G208" s="58"/>
      <c r="H208" s="59"/>
      <c r="I208" s="59"/>
      <c r="J208" s="59"/>
      <c r="K208" s="59"/>
      <c r="L208" s="59"/>
      <c r="M208" s="60"/>
      <c r="N208" s="60"/>
      <c r="O208" s="60"/>
      <c r="P208" s="59"/>
      <c r="Q208" s="59"/>
      <c r="R208" s="60"/>
      <c r="S208" s="60"/>
      <c r="T208" s="60"/>
      <c r="U208" s="60"/>
      <c r="V208" s="60"/>
      <c r="W208" s="60"/>
    </row>
    <row r="209" spans="1:23" ht="13" x14ac:dyDescent="0.3">
      <c r="A209" s="58"/>
      <c r="B209" s="58"/>
      <c r="C209" s="58"/>
      <c r="D209" s="58"/>
      <c r="E209" s="58"/>
      <c r="F209" s="58"/>
      <c r="G209" s="58"/>
      <c r="H209" s="59"/>
      <c r="I209" s="59"/>
      <c r="J209" s="59"/>
      <c r="K209" s="59"/>
      <c r="L209" s="59"/>
      <c r="M209" s="60"/>
      <c r="N209" s="60"/>
      <c r="O209" s="60"/>
      <c r="P209" s="59"/>
      <c r="Q209" s="59"/>
      <c r="R209" s="60"/>
      <c r="S209" s="60"/>
      <c r="T209" s="60"/>
      <c r="U209" s="60"/>
      <c r="V209" s="60"/>
      <c r="W209" s="60"/>
    </row>
    <row r="210" spans="1:23" ht="13" x14ac:dyDescent="0.3">
      <c r="A210" s="58"/>
      <c r="B210" s="58"/>
      <c r="C210" s="58"/>
      <c r="D210" s="58"/>
      <c r="E210" s="58"/>
      <c r="F210" s="58"/>
      <c r="G210" s="58"/>
      <c r="H210" s="59"/>
      <c r="I210" s="59"/>
      <c r="J210" s="59"/>
      <c r="K210" s="59"/>
      <c r="L210" s="59"/>
      <c r="M210" s="60"/>
      <c r="N210" s="60"/>
      <c r="O210" s="60"/>
      <c r="P210" s="59"/>
      <c r="Q210" s="59"/>
      <c r="R210" s="60"/>
      <c r="S210" s="60"/>
      <c r="T210" s="60"/>
      <c r="U210" s="60"/>
      <c r="V210" s="60"/>
      <c r="W210" s="60"/>
    </row>
    <row r="211" spans="1:23" ht="13" x14ac:dyDescent="0.3">
      <c r="A211" s="58"/>
      <c r="B211" s="58"/>
      <c r="C211" s="58"/>
      <c r="D211" s="58"/>
      <c r="E211" s="58"/>
      <c r="F211" s="58"/>
      <c r="G211" s="58"/>
      <c r="H211" s="59"/>
      <c r="I211" s="59"/>
      <c r="J211" s="59"/>
      <c r="K211" s="59"/>
      <c r="L211" s="59"/>
      <c r="M211" s="60"/>
      <c r="N211" s="60"/>
      <c r="O211" s="60"/>
      <c r="P211" s="59"/>
      <c r="Q211" s="59"/>
      <c r="R211" s="60"/>
      <c r="S211" s="60"/>
      <c r="T211" s="60"/>
      <c r="U211" s="60"/>
      <c r="V211" s="60"/>
      <c r="W211" s="60"/>
    </row>
    <row r="212" spans="1:23" ht="13" x14ac:dyDescent="0.3">
      <c r="A212" s="58"/>
      <c r="B212" s="58"/>
      <c r="C212" s="58"/>
      <c r="D212" s="58"/>
      <c r="E212" s="58"/>
      <c r="F212" s="58"/>
      <c r="G212" s="58"/>
      <c r="H212" s="59"/>
      <c r="I212" s="59"/>
      <c r="J212" s="59"/>
      <c r="K212" s="59"/>
      <c r="L212" s="59"/>
      <c r="M212" s="60"/>
      <c r="N212" s="60"/>
      <c r="O212" s="60"/>
      <c r="P212" s="59"/>
      <c r="Q212" s="59"/>
      <c r="R212" s="60"/>
      <c r="S212" s="60"/>
      <c r="T212" s="60"/>
      <c r="U212" s="60"/>
      <c r="V212" s="60"/>
      <c r="W212" s="60"/>
    </row>
    <row r="213" spans="1:23" ht="13" x14ac:dyDescent="0.3">
      <c r="A213" s="58"/>
      <c r="B213" s="58"/>
      <c r="C213" s="58"/>
      <c r="D213" s="58"/>
      <c r="E213" s="58"/>
      <c r="F213" s="58"/>
      <c r="G213" s="58"/>
      <c r="H213" s="59"/>
      <c r="I213" s="59"/>
      <c r="J213" s="59"/>
      <c r="K213" s="59"/>
      <c r="L213" s="59"/>
      <c r="M213" s="60"/>
      <c r="N213" s="60"/>
      <c r="O213" s="60"/>
      <c r="P213" s="59"/>
      <c r="Q213" s="59"/>
      <c r="R213" s="60"/>
      <c r="S213" s="60"/>
      <c r="T213" s="60"/>
      <c r="U213" s="60"/>
      <c r="V213" s="60"/>
      <c r="W213" s="60"/>
    </row>
    <row r="214" spans="1:23" ht="13" x14ac:dyDescent="0.3">
      <c r="A214" s="58"/>
      <c r="B214" s="58"/>
      <c r="C214" s="58"/>
      <c r="D214" s="58"/>
      <c r="E214" s="58"/>
      <c r="F214" s="58"/>
      <c r="G214" s="58"/>
      <c r="H214" s="59"/>
      <c r="I214" s="59"/>
      <c r="J214" s="59"/>
      <c r="K214" s="59"/>
      <c r="L214" s="59"/>
      <c r="M214" s="60"/>
      <c r="N214" s="60"/>
      <c r="O214" s="60"/>
      <c r="P214" s="59"/>
      <c r="Q214" s="59"/>
      <c r="R214" s="60"/>
      <c r="S214" s="60"/>
      <c r="T214" s="60"/>
      <c r="U214" s="60"/>
      <c r="V214" s="60"/>
      <c r="W214" s="60"/>
    </row>
    <row r="215" spans="1:23" ht="13" x14ac:dyDescent="0.3">
      <c r="A215" s="58"/>
      <c r="B215" s="58"/>
      <c r="C215" s="58"/>
      <c r="D215" s="58"/>
      <c r="E215" s="58"/>
      <c r="F215" s="58"/>
      <c r="G215" s="58"/>
      <c r="H215" s="59"/>
      <c r="I215" s="59"/>
      <c r="J215" s="59"/>
      <c r="K215" s="59"/>
      <c r="L215" s="59"/>
      <c r="M215" s="60"/>
      <c r="N215" s="60"/>
      <c r="O215" s="60"/>
      <c r="P215" s="59"/>
      <c r="Q215" s="59"/>
      <c r="R215" s="60"/>
      <c r="S215" s="60"/>
      <c r="T215" s="60"/>
      <c r="U215" s="60"/>
      <c r="V215" s="60"/>
      <c r="W215" s="60"/>
    </row>
    <row r="216" spans="1:23" ht="13" x14ac:dyDescent="0.3">
      <c r="A216" s="58"/>
      <c r="B216" s="58"/>
      <c r="C216" s="58"/>
      <c r="D216" s="58"/>
      <c r="E216" s="58"/>
      <c r="F216" s="58"/>
      <c r="G216" s="58"/>
      <c r="H216" s="59"/>
      <c r="I216" s="59"/>
      <c r="J216" s="59"/>
      <c r="K216" s="59"/>
      <c r="L216" s="59"/>
      <c r="M216" s="60"/>
      <c r="N216" s="60"/>
      <c r="O216" s="60"/>
      <c r="P216" s="59"/>
      <c r="Q216" s="59"/>
      <c r="R216" s="60"/>
      <c r="S216" s="60"/>
      <c r="T216" s="60"/>
      <c r="U216" s="60"/>
      <c r="V216" s="60"/>
      <c r="W216" s="60"/>
    </row>
    <row r="217" spans="1:23" ht="13" x14ac:dyDescent="0.3">
      <c r="A217" s="58"/>
      <c r="B217" s="58"/>
      <c r="C217" s="58"/>
      <c r="D217" s="58"/>
      <c r="E217" s="58"/>
      <c r="F217" s="58"/>
      <c r="G217" s="58"/>
      <c r="H217" s="59"/>
      <c r="I217" s="59"/>
      <c r="J217" s="59"/>
      <c r="K217" s="59"/>
      <c r="L217" s="59"/>
      <c r="M217" s="60"/>
      <c r="N217" s="60"/>
      <c r="O217" s="60"/>
      <c r="P217" s="59"/>
      <c r="Q217" s="59"/>
      <c r="R217" s="60"/>
      <c r="S217" s="60"/>
      <c r="T217" s="60"/>
      <c r="U217" s="60"/>
      <c r="V217" s="60"/>
      <c r="W217" s="60"/>
    </row>
    <row r="218" spans="1:23" ht="13" x14ac:dyDescent="0.3">
      <c r="A218" s="58"/>
      <c r="B218" s="58"/>
      <c r="C218" s="58"/>
      <c r="D218" s="58"/>
      <c r="E218" s="58"/>
      <c r="F218" s="58"/>
      <c r="G218" s="58"/>
      <c r="H218" s="59"/>
      <c r="I218" s="59"/>
      <c r="J218" s="59"/>
      <c r="K218" s="59"/>
      <c r="L218" s="59"/>
      <c r="M218" s="60"/>
      <c r="N218" s="60"/>
      <c r="O218" s="60"/>
      <c r="P218" s="59"/>
      <c r="Q218" s="59"/>
      <c r="R218" s="60"/>
      <c r="S218" s="60"/>
      <c r="T218" s="60"/>
      <c r="U218" s="60"/>
      <c r="V218" s="60"/>
      <c r="W218" s="60"/>
    </row>
    <row r="219" spans="1:23" ht="13" x14ac:dyDescent="0.3">
      <c r="A219" s="58"/>
      <c r="B219" s="58"/>
      <c r="C219" s="58"/>
      <c r="D219" s="58"/>
      <c r="E219" s="58"/>
      <c r="F219" s="58"/>
      <c r="G219" s="58"/>
      <c r="H219" s="59"/>
      <c r="I219" s="59"/>
      <c r="J219" s="59"/>
      <c r="K219" s="59"/>
      <c r="L219" s="59"/>
      <c r="M219" s="60"/>
      <c r="N219" s="60"/>
      <c r="O219" s="60"/>
      <c r="P219" s="59"/>
      <c r="Q219" s="59"/>
      <c r="R219" s="60"/>
      <c r="S219" s="60"/>
      <c r="T219" s="60"/>
      <c r="U219" s="60"/>
      <c r="V219" s="60"/>
      <c r="W219" s="60"/>
    </row>
    <row r="220" spans="1:23" ht="13" x14ac:dyDescent="0.3">
      <c r="A220" s="58"/>
      <c r="B220" s="58"/>
      <c r="C220" s="58"/>
      <c r="D220" s="58"/>
      <c r="E220" s="58"/>
      <c r="F220" s="58"/>
      <c r="G220" s="58"/>
      <c r="H220" s="59"/>
      <c r="I220" s="59"/>
      <c r="J220" s="59"/>
      <c r="K220" s="59"/>
      <c r="L220" s="59"/>
      <c r="M220" s="60"/>
      <c r="N220" s="60"/>
      <c r="O220" s="60"/>
      <c r="P220" s="59"/>
      <c r="Q220" s="59"/>
      <c r="R220" s="60"/>
      <c r="S220" s="60"/>
      <c r="T220" s="60"/>
      <c r="U220" s="60"/>
      <c r="V220" s="60"/>
      <c r="W220" s="60"/>
    </row>
    <row r="221" spans="1:23" ht="13" x14ac:dyDescent="0.3">
      <c r="A221" s="58"/>
      <c r="B221" s="58"/>
      <c r="C221" s="58"/>
      <c r="D221" s="58"/>
      <c r="E221" s="58"/>
      <c r="F221" s="58"/>
      <c r="G221" s="58"/>
      <c r="H221" s="59"/>
      <c r="I221" s="59"/>
      <c r="J221" s="59"/>
      <c r="K221" s="59"/>
      <c r="L221" s="59"/>
      <c r="M221" s="60"/>
      <c r="N221" s="60"/>
      <c r="O221" s="60"/>
      <c r="P221" s="59"/>
      <c r="Q221" s="59"/>
      <c r="R221" s="60"/>
      <c r="S221" s="60"/>
      <c r="T221" s="60"/>
      <c r="U221" s="60"/>
      <c r="V221" s="60"/>
      <c r="W221" s="60"/>
    </row>
    <row r="222" spans="1:23" ht="13" x14ac:dyDescent="0.3">
      <c r="A222" s="58"/>
      <c r="B222" s="58"/>
      <c r="C222" s="58"/>
      <c r="D222" s="58"/>
      <c r="E222" s="58"/>
      <c r="F222" s="58"/>
      <c r="G222" s="58"/>
      <c r="H222" s="59"/>
      <c r="I222" s="59"/>
      <c r="J222" s="59"/>
      <c r="K222" s="59"/>
      <c r="L222" s="59"/>
      <c r="M222" s="60"/>
      <c r="N222" s="60"/>
      <c r="O222" s="60"/>
      <c r="P222" s="59"/>
      <c r="Q222" s="59"/>
      <c r="R222" s="60"/>
      <c r="S222" s="60"/>
      <c r="T222" s="60"/>
      <c r="U222" s="60"/>
      <c r="V222" s="60"/>
      <c r="W222" s="60"/>
    </row>
    <row r="223" spans="1:23" ht="13" x14ac:dyDescent="0.3">
      <c r="A223" s="58"/>
      <c r="B223" s="58"/>
      <c r="C223" s="58"/>
      <c r="D223" s="58"/>
      <c r="E223" s="58"/>
      <c r="F223" s="58"/>
      <c r="G223" s="58"/>
      <c r="H223" s="59"/>
      <c r="I223" s="59"/>
      <c r="J223" s="59"/>
      <c r="K223" s="59"/>
      <c r="L223" s="59"/>
      <c r="M223" s="60"/>
      <c r="N223" s="60"/>
      <c r="O223" s="60"/>
      <c r="P223" s="59"/>
      <c r="Q223" s="59"/>
      <c r="R223" s="60"/>
      <c r="S223" s="60"/>
      <c r="T223" s="60"/>
      <c r="U223" s="60"/>
      <c r="V223" s="60"/>
      <c r="W223" s="60"/>
    </row>
    <row r="224" spans="1:23" ht="13" x14ac:dyDescent="0.3">
      <c r="A224" s="58"/>
      <c r="B224" s="58"/>
      <c r="C224" s="58"/>
      <c r="D224" s="58"/>
      <c r="E224" s="58"/>
      <c r="F224" s="58"/>
      <c r="G224" s="58"/>
      <c r="H224" s="59"/>
      <c r="I224" s="59"/>
      <c r="J224" s="59"/>
      <c r="K224" s="59"/>
      <c r="L224" s="59"/>
      <c r="M224" s="60"/>
      <c r="N224" s="60"/>
      <c r="O224" s="60"/>
      <c r="P224" s="59"/>
      <c r="Q224" s="59"/>
      <c r="R224" s="60"/>
      <c r="S224" s="60"/>
      <c r="T224" s="60"/>
      <c r="U224" s="60"/>
      <c r="V224" s="60"/>
      <c r="W224" s="60"/>
    </row>
    <row r="225" spans="1:23" ht="13" x14ac:dyDescent="0.3">
      <c r="A225" s="58"/>
      <c r="B225" s="58"/>
      <c r="C225" s="58"/>
      <c r="D225" s="58"/>
      <c r="E225" s="58"/>
      <c r="F225" s="58"/>
      <c r="G225" s="58"/>
      <c r="H225" s="59"/>
      <c r="I225" s="59"/>
      <c r="J225" s="59"/>
      <c r="K225" s="59"/>
      <c r="L225" s="59"/>
      <c r="M225" s="60"/>
      <c r="N225" s="60"/>
      <c r="O225" s="60"/>
      <c r="P225" s="59"/>
      <c r="Q225" s="59"/>
      <c r="R225" s="60"/>
      <c r="S225" s="60"/>
      <c r="T225" s="60"/>
      <c r="U225" s="60"/>
      <c r="V225" s="60"/>
      <c r="W225" s="60"/>
    </row>
    <row r="226" spans="1:23" ht="13" x14ac:dyDescent="0.3">
      <c r="A226" s="58"/>
      <c r="B226" s="58"/>
      <c r="C226" s="58"/>
      <c r="D226" s="58"/>
      <c r="E226" s="58"/>
      <c r="F226" s="58"/>
      <c r="G226" s="58"/>
      <c r="H226" s="59"/>
      <c r="I226" s="59"/>
      <c r="J226" s="59"/>
      <c r="K226" s="59"/>
      <c r="L226" s="59"/>
      <c r="M226" s="60"/>
      <c r="N226" s="60"/>
      <c r="O226" s="60"/>
      <c r="P226" s="59"/>
      <c r="Q226" s="59"/>
      <c r="R226" s="60"/>
      <c r="S226" s="60"/>
      <c r="T226" s="60"/>
      <c r="U226" s="60"/>
      <c r="V226" s="60"/>
      <c r="W226" s="60"/>
    </row>
    <row r="227" spans="1:23" ht="13" x14ac:dyDescent="0.3">
      <c r="A227" s="58"/>
      <c r="B227" s="58"/>
      <c r="C227" s="58"/>
      <c r="D227" s="58"/>
      <c r="E227" s="58"/>
      <c r="F227" s="58"/>
      <c r="G227" s="58"/>
      <c r="H227" s="59"/>
      <c r="I227" s="59"/>
      <c r="J227" s="59"/>
      <c r="K227" s="59"/>
      <c r="L227" s="59"/>
      <c r="M227" s="60"/>
      <c r="N227" s="60"/>
      <c r="O227" s="60"/>
      <c r="P227" s="59"/>
      <c r="Q227" s="59"/>
      <c r="R227" s="60"/>
      <c r="S227" s="60"/>
      <c r="T227" s="60"/>
      <c r="U227" s="60"/>
      <c r="V227" s="60"/>
      <c r="W227" s="60"/>
    </row>
    <row r="228" spans="1:23" ht="13" x14ac:dyDescent="0.3">
      <c r="A228" s="58"/>
      <c r="B228" s="58"/>
      <c r="C228" s="58"/>
      <c r="D228" s="58"/>
      <c r="E228" s="58"/>
      <c r="F228" s="58"/>
      <c r="G228" s="58"/>
      <c r="H228" s="59"/>
      <c r="I228" s="59"/>
      <c r="J228" s="59"/>
      <c r="K228" s="59"/>
      <c r="L228" s="59"/>
      <c r="M228" s="60"/>
      <c r="N228" s="60"/>
      <c r="O228" s="60"/>
      <c r="P228" s="59"/>
      <c r="Q228" s="59"/>
      <c r="R228" s="60"/>
      <c r="S228" s="60"/>
      <c r="T228" s="60"/>
      <c r="U228" s="60"/>
      <c r="V228" s="60"/>
      <c r="W228" s="60"/>
    </row>
    <row r="229" spans="1:23" ht="13" x14ac:dyDescent="0.3">
      <c r="A229" s="58"/>
      <c r="B229" s="58"/>
      <c r="C229" s="58"/>
      <c r="D229" s="58"/>
      <c r="E229" s="58"/>
      <c r="F229" s="58"/>
      <c r="G229" s="58"/>
      <c r="H229" s="59"/>
      <c r="I229" s="59"/>
      <c r="J229" s="59"/>
      <c r="K229" s="59"/>
      <c r="L229" s="59"/>
      <c r="M229" s="60"/>
      <c r="N229" s="60"/>
      <c r="O229" s="60"/>
      <c r="P229" s="59"/>
      <c r="Q229" s="59"/>
      <c r="R229" s="60"/>
      <c r="S229" s="60"/>
      <c r="T229" s="60"/>
      <c r="U229" s="60"/>
      <c r="V229" s="60"/>
      <c r="W229" s="60"/>
    </row>
    <row r="230" spans="1:23" ht="13" x14ac:dyDescent="0.3">
      <c r="A230" s="58"/>
      <c r="B230" s="58"/>
      <c r="C230" s="58"/>
      <c r="D230" s="58"/>
      <c r="E230" s="58"/>
      <c r="F230" s="58"/>
      <c r="G230" s="58"/>
      <c r="H230" s="59"/>
      <c r="I230" s="59"/>
      <c r="J230" s="59"/>
      <c r="K230" s="59"/>
      <c r="L230" s="59"/>
      <c r="M230" s="60"/>
      <c r="N230" s="60"/>
      <c r="O230" s="60"/>
      <c r="P230" s="59"/>
      <c r="Q230" s="59"/>
      <c r="R230" s="60"/>
      <c r="S230" s="60"/>
      <c r="T230" s="60"/>
      <c r="U230" s="60"/>
      <c r="V230" s="60"/>
      <c r="W230" s="60"/>
    </row>
    <row r="231" spans="1:23" ht="13" x14ac:dyDescent="0.3">
      <c r="A231" s="58"/>
      <c r="B231" s="58"/>
      <c r="C231" s="58"/>
      <c r="D231" s="58"/>
      <c r="E231" s="58"/>
      <c r="F231" s="58"/>
      <c r="G231" s="58"/>
      <c r="H231" s="59"/>
      <c r="I231" s="59"/>
      <c r="J231" s="59"/>
      <c r="K231" s="59"/>
      <c r="L231" s="59"/>
      <c r="M231" s="60"/>
      <c r="N231" s="60"/>
      <c r="O231" s="60"/>
      <c r="P231" s="59"/>
      <c r="Q231" s="59"/>
      <c r="R231" s="60"/>
      <c r="S231" s="60"/>
      <c r="T231" s="60"/>
      <c r="U231" s="60"/>
      <c r="V231" s="60"/>
      <c r="W231" s="60"/>
    </row>
    <row r="232" spans="1:23" ht="13" x14ac:dyDescent="0.3">
      <c r="A232" s="58"/>
      <c r="B232" s="58"/>
      <c r="C232" s="58"/>
      <c r="D232" s="58"/>
      <c r="E232" s="58"/>
      <c r="F232" s="58"/>
      <c r="G232" s="58"/>
      <c r="H232" s="59"/>
      <c r="I232" s="59"/>
      <c r="J232" s="59"/>
      <c r="K232" s="59"/>
      <c r="L232" s="59"/>
      <c r="M232" s="60"/>
      <c r="N232" s="60"/>
      <c r="O232" s="60"/>
      <c r="P232" s="59"/>
      <c r="Q232" s="59"/>
      <c r="R232" s="60"/>
      <c r="S232" s="60"/>
      <c r="T232" s="60"/>
      <c r="U232" s="60"/>
      <c r="V232" s="60"/>
      <c r="W232" s="60"/>
    </row>
    <row r="233" spans="1:23" ht="13" x14ac:dyDescent="0.3">
      <c r="A233" s="58"/>
      <c r="B233" s="58"/>
      <c r="C233" s="58"/>
      <c r="D233" s="58"/>
      <c r="E233" s="58"/>
      <c r="F233" s="58"/>
      <c r="G233" s="58"/>
      <c r="H233" s="59"/>
      <c r="I233" s="59"/>
      <c r="J233" s="59"/>
      <c r="K233" s="59"/>
      <c r="L233" s="59"/>
      <c r="M233" s="60"/>
      <c r="N233" s="60"/>
      <c r="O233" s="60"/>
      <c r="P233" s="59"/>
      <c r="Q233" s="59"/>
      <c r="R233" s="60"/>
      <c r="S233" s="60"/>
      <c r="T233" s="60"/>
      <c r="U233" s="60"/>
      <c r="V233" s="60"/>
      <c r="W233" s="60"/>
    </row>
    <row r="234" spans="1:23" ht="13" x14ac:dyDescent="0.3">
      <c r="A234" s="58"/>
      <c r="B234" s="58"/>
      <c r="C234" s="58"/>
      <c r="D234" s="58"/>
      <c r="E234" s="58"/>
      <c r="F234" s="58"/>
      <c r="G234" s="58"/>
      <c r="H234" s="59"/>
      <c r="I234" s="59"/>
      <c r="J234" s="59"/>
      <c r="K234" s="59"/>
      <c r="L234" s="59"/>
      <c r="M234" s="60"/>
      <c r="N234" s="60"/>
      <c r="O234" s="60"/>
      <c r="P234" s="59"/>
      <c r="Q234" s="59"/>
      <c r="R234" s="60"/>
      <c r="S234" s="60"/>
      <c r="T234" s="60"/>
      <c r="U234" s="60"/>
      <c r="V234" s="60"/>
      <c r="W234" s="60"/>
    </row>
    <row r="235" spans="1:23" ht="13" x14ac:dyDescent="0.3">
      <c r="A235" s="58"/>
      <c r="B235" s="58"/>
      <c r="C235" s="58"/>
      <c r="D235" s="58"/>
      <c r="E235" s="58"/>
      <c r="F235" s="58"/>
      <c r="G235" s="58"/>
      <c r="H235" s="59"/>
      <c r="I235" s="59"/>
      <c r="J235" s="59"/>
      <c r="K235" s="59"/>
      <c r="L235" s="59"/>
      <c r="M235" s="60"/>
      <c r="N235" s="60"/>
      <c r="O235" s="60"/>
      <c r="P235" s="59"/>
      <c r="Q235" s="59"/>
      <c r="R235" s="60"/>
      <c r="S235" s="60"/>
      <c r="T235" s="60"/>
      <c r="U235" s="60"/>
      <c r="V235" s="60"/>
      <c r="W235" s="60"/>
    </row>
    <row r="236" spans="1:23" ht="13" x14ac:dyDescent="0.3">
      <c r="A236" s="58"/>
      <c r="B236" s="58"/>
      <c r="C236" s="58"/>
      <c r="D236" s="58"/>
      <c r="E236" s="58"/>
      <c r="F236" s="58"/>
      <c r="G236" s="58"/>
      <c r="H236" s="59"/>
      <c r="I236" s="59"/>
      <c r="J236" s="59"/>
      <c r="K236" s="59"/>
      <c r="L236" s="59"/>
      <c r="M236" s="60"/>
      <c r="N236" s="60"/>
      <c r="O236" s="60"/>
      <c r="P236" s="59"/>
      <c r="Q236" s="59"/>
      <c r="R236" s="60"/>
      <c r="S236" s="60"/>
      <c r="T236" s="60"/>
      <c r="U236" s="60"/>
      <c r="V236" s="60"/>
      <c r="W236" s="60"/>
    </row>
    <row r="237" spans="1:23" ht="13" x14ac:dyDescent="0.3">
      <c r="A237" s="58"/>
      <c r="B237" s="58"/>
      <c r="C237" s="58"/>
      <c r="D237" s="58"/>
      <c r="E237" s="58"/>
      <c r="F237" s="58"/>
      <c r="G237" s="58"/>
      <c r="H237" s="59"/>
      <c r="I237" s="59"/>
      <c r="J237" s="59"/>
      <c r="K237" s="59"/>
      <c r="L237" s="59"/>
      <c r="M237" s="60"/>
      <c r="N237" s="60"/>
      <c r="O237" s="60"/>
      <c r="P237" s="59"/>
      <c r="Q237" s="59"/>
      <c r="R237" s="60"/>
      <c r="S237" s="60"/>
      <c r="T237" s="60"/>
      <c r="U237" s="60"/>
      <c r="V237" s="60"/>
      <c r="W237" s="60"/>
    </row>
    <row r="238" spans="1:23" ht="13" x14ac:dyDescent="0.3">
      <c r="A238" s="58"/>
      <c r="B238" s="58"/>
      <c r="C238" s="58"/>
      <c r="D238" s="58"/>
      <c r="E238" s="58"/>
      <c r="F238" s="58"/>
      <c r="G238" s="58"/>
      <c r="H238" s="59"/>
      <c r="I238" s="59"/>
      <c r="J238" s="59"/>
      <c r="K238" s="59"/>
      <c r="L238" s="59"/>
      <c r="M238" s="60"/>
      <c r="N238" s="60"/>
      <c r="O238" s="60"/>
      <c r="P238" s="59"/>
      <c r="Q238" s="59"/>
      <c r="R238" s="60"/>
      <c r="S238" s="60"/>
      <c r="T238" s="60"/>
      <c r="U238" s="60"/>
      <c r="V238" s="60"/>
      <c r="W238" s="60"/>
    </row>
    <row r="239" spans="1:23" ht="13" x14ac:dyDescent="0.3">
      <c r="A239" s="58"/>
      <c r="B239" s="58"/>
      <c r="C239" s="58"/>
      <c r="D239" s="58"/>
      <c r="E239" s="58"/>
      <c r="F239" s="58"/>
      <c r="G239" s="58"/>
      <c r="H239" s="59"/>
      <c r="I239" s="59"/>
      <c r="J239" s="59"/>
      <c r="K239" s="59"/>
      <c r="L239" s="59"/>
      <c r="M239" s="60"/>
      <c r="N239" s="60"/>
      <c r="O239" s="60"/>
      <c r="P239" s="59"/>
      <c r="Q239" s="59"/>
      <c r="R239" s="60"/>
      <c r="S239" s="60"/>
      <c r="T239" s="60"/>
      <c r="U239" s="60"/>
      <c r="V239" s="60"/>
      <c r="W239" s="60"/>
    </row>
    <row r="240" spans="1:23" ht="13" x14ac:dyDescent="0.3">
      <c r="A240" s="58"/>
      <c r="B240" s="58"/>
      <c r="C240" s="58"/>
      <c r="D240" s="58"/>
      <c r="E240" s="58"/>
      <c r="F240" s="58"/>
      <c r="G240" s="58"/>
      <c r="H240" s="59"/>
      <c r="I240" s="59"/>
      <c r="J240" s="59"/>
      <c r="K240" s="59"/>
      <c r="L240" s="59"/>
      <c r="M240" s="60"/>
      <c r="N240" s="60"/>
      <c r="O240" s="60"/>
      <c r="P240" s="59"/>
      <c r="Q240" s="59"/>
      <c r="R240" s="60"/>
      <c r="S240" s="60"/>
      <c r="T240" s="60"/>
      <c r="U240" s="60"/>
      <c r="V240" s="60"/>
      <c r="W240" s="60"/>
    </row>
    <row r="241" spans="1:23" ht="13" x14ac:dyDescent="0.3">
      <c r="A241" s="58"/>
      <c r="B241" s="58"/>
      <c r="C241" s="58"/>
      <c r="D241" s="58"/>
      <c r="E241" s="58"/>
      <c r="F241" s="58"/>
      <c r="G241" s="58"/>
      <c r="H241" s="59"/>
      <c r="I241" s="59"/>
      <c r="J241" s="59"/>
      <c r="K241" s="59"/>
      <c r="L241" s="59"/>
      <c r="M241" s="60"/>
      <c r="N241" s="60"/>
      <c r="O241" s="60"/>
      <c r="P241" s="59"/>
      <c r="Q241" s="59"/>
      <c r="R241" s="60"/>
      <c r="S241" s="60"/>
      <c r="T241" s="60"/>
      <c r="U241" s="60"/>
      <c r="V241" s="60"/>
      <c r="W241" s="60"/>
    </row>
    <row r="242" spans="1:23" ht="13" x14ac:dyDescent="0.3">
      <c r="A242" s="58"/>
      <c r="B242" s="58"/>
      <c r="C242" s="58"/>
      <c r="D242" s="58"/>
      <c r="E242" s="58"/>
      <c r="F242" s="58"/>
      <c r="G242" s="58"/>
      <c r="H242" s="59"/>
      <c r="I242" s="59"/>
      <c r="J242" s="59"/>
      <c r="K242" s="59"/>
      <c r="L242" s="59"/>
      <c r="M242" s="60"/>
      <c r="N242" s="60"/>
      <c r="O242" s="60"/>
      <c r="P242" s="59"/>
      <c r="Q242" s="59"/>
      <c r="R242" s="60"/>
      <c r="S242" s="60"/>
      <c r="T242" s="60"/>
      <c r="U242" s="60"/>
      <c r="V242" s="60"/>
      <c r="W242" s="60"/>
    </row>
    <row r="243" spans="1:23" ht="13" x14ac:dyDescent="0.3">
      <c r="A243" s="58"/>
      <c r="B243" s="58"/>
      <c r="C243" s="58"/>
      <c r="D243" s="58"/>
      <c r="E243" s="58"/>
      <c r="F243" s="58"/>
      <c r="G243" s="58"/>
      <c r="H243" s="59"/>
      <c r="I243" s="59"/>
      <c r="J243" s="59"/>
      <c r="K243" s="59"/>
      <c r="L243" s="59"/>
      <c r="M243" s="60"/>
      <c r="N243" s="60"/>
      <c r="O243" s="60"/>
      <c r="P243" s="59"/>
      <c r="Q243" s="59"/>
      <c r="R243" s="60"/>
      <c r="S243" s="60"/>
      <c r="T243" s="60"/>
      <c r="U243" s="60"/>
      <c r="V243" s="60"/>
      <c r="W243" s="60"/>
    </row>
    <row r="244" spans="1:23" ht="13" x14ac:dyDescent="0.3">
      <c r="A244" s="58"/>
      <c r="B244" s="58"/>
      <c r="C244" s="58"/>
      <c r="D244" s="58"/>
      <c r="E244" s="58"/>
      <c r="F244" s="58"/>
      <c r="G244" s="58"/>
      <c r="H244" s="59"/>
      <c r="I244" s="59"/>
      <c r="J244" s="59"/>
      <c r="K244" s="59"/>
      <c r="L244" s="59"/>
      <c r="M244" s="60"/>
      <c r="N244" s="60"/>
      <c r="O244" s="60"/>
      <c r="P244" s="59"/>
      <c r="Q244" s="59"/>
      <c r="R244" s="60"/>
      <c r="S244" s="60"/>
      <c r="T244" s="60"/>
      <c r="U244" s="60"/>
      <c r="V244" s="60"/>
      <c r="W244" s="60"/>
    </row>
    <row r="245" spans="1:23" ht="13" x14ac:dyDescent="0.3">
      <c r="A245" s="58"/>
      <c r="B245" s="58"/>
      <c r="C245" s="58"/>
      <c r="D245" s="58"/>
      <c r="E245" s="58"/>
      <c r="F245" s="58"/>
      <c r="G245" s="58"/>
      <c r="H245" s="59"/>
      <c r="I245" s="59"/>
      <c r="J245" s="59"/>
      <c r="K245" s="59"/>
      <c r="L245" s="59"/>
      <c r="M245" s="60"/>
      <c r="N245" s="60"/>
      <c r="O245" s="60"/>
      <c r="P245" s="59"/>
      <c r="Q245" s="59"/>
      <c r="R245" s="60"/>
      <c r="S245" s="60"/>
      <c r="T245" s="60"/>
      <c r="U245" s="60"/>
      <c r="V245" s="60"/>
      <c r="W245" s="60"/>
    </row>
    <row r="246" spans="1:23" ht="13" x14ac:dyDescent="0.3">
      <c r="A246" s="58"/>
      <c r="B246" s="58"/>
      <c r="C246" s="58"/>
      <c r="D246" s="58"/>
      <c r="E246" s="58"/>
      <c r="F246" s="58"/>
      <c r="G246" s="58"/>
      <c r="H246" s="59"/>
      <c r="I246" s="59"/>
      <c r="J246" s="59"/>
      <c r="K246" s="59"/>
      <c r="L246" s="59"/>
      <c r="M246" s="60"/>
      <c r="N246" s="60"/>
      <c r="O246" s="60"/>
      <c r="P246" s="59"/>
      <c r="Q246" s="59"/>
      <c r="R246" s="60"/>
      <c r="S246" s="60"/>
      <c r="T246" s="60"/>
      <c r="U246" s="60"/>
      <c r="V246" s="60"/>
      <c r="W246" s="60"/>
    </row>
    <row r="247" spans="1:23" ht="13" x14ac:dyDescent="0.3">
      <c r="A247" s="58"/>
      <c r="B247" s="58"/>
      <c r="C247" s="58"/>
      <c r="D247" s="58"/>
      <c r="E247" s="58"/>
      <c r="F247" s="58"/>
      <c r="G247" s="58"/>
      <c r="H247" s="59"/>
      <c r="I247" s="59"/>
      <c r="J247" s="59"/>
      <c r="K247" s="59"/>
      <c r="L247" s="59"/>
      <c r="M247" s="60"/>
      <c r="N247" s="60"/>
      <c r="O247" s="60"/>
      <c r="P247" s="59"/>
      <c r="Q247" s="59"/>
      <c r="R247" s="60"/>
      <c r="S247" s="60"/>
      <c r="T247" s="60"/>
      <c r="U247" s="60"/>
      <c r="V247" s="60"/>
      <c r="W247" s="60"/>
    </row>
    <row r="248" spans="1:23" ht="13" x14ac:dyDescent="0.3">
      <c r="A248" s="58"/>
      <c r="B248" s="58"/>
      <c r="C248" s="58"/>
      <c r="D248" s="58"/>
      <c r="E248" s="58"/>
      <c r="F248" s="58"/>
      <c r="G248" s="58"/>
      <c r="H248" s="59"/>
      <c r="I248" s="59"/>
      <c r="J248" s="59"/>
      <c r="K248" s="59"/>
      <c r="L248" s="59"/>
      <c r="M248" s="60"/>
      <c r="N248" s="60"/>
      <c r="O248" s="60"/>
      <c r="P248" s="59"/>
      <c r="Q248" s="59"/>
      <c r="R248" s="60"/>
      <c r="S248" s="60"/>
      <c r="T248" s="60"/>
      <c r="U248" s="60"/>
      <c r="V248" s="60"/>
      <c r="W248" s="60"/>
    </row>
    <row r="249" spans="1:23" ht="13" x14ac:dyDescent="0.3">
      <c r="A249" s="58"/>
      <c r="B249" s="58"/>
      <c r="C249" s="58"/>
      <c r="D249" s="58"/>
      <c r="E249" s="58"/>
      <c r="F249" s="58"/>
      <c r="G249" s="58"/>
      <c r="H249" s="59"/>
      <c r="I249" s="59"/>
      <c r="J249" s="59"/>
      <c r="K249" s="59"/>
      <c r="L249" s="59"/>
      <c r="M249" s="60"/>
      <c r="N249" s="60"/>
      <c r="O249" s="60"/>
      <c r="P249" s="59"/>
      <c r="Q249" s="59"/>
      <c r="R249" s="60"/>
      <c r="S249" s="60"/>
      <c r="T249" s="60"/>
      <c r="U249" s="60"/>
      <c r="V249" s="60"/>
      <c r="W249" s="60"/>
    </row>
    <row r="250" spans="1:23" ht="13" x14ac:dyDescent="0.3">
      <c r="A250" s="58"/>
      <c r="B250" s="58"/>
      <c r="C250" s="58"/>
      <c r="D250" s="58"/>
      <c r="E250" s="58"/>
      <c r="F250" s="58"/>
      <c r="G250" s="58"/>
      <c r="H250" s="59"/>
      <c r="I250" s="59"/>
      <c r="J250" s="59"/>
      <c r="K250" s="59"/>
      <c r="L250" s="59"/>
      <c r="M250" s="60"/>
      <c r="N250" s="60"/>
      <c r="O250" s="60"/>
      <c r="P250" s="59"/>
      <c r="Q250" s="59"/>
      <c r="R250" s="60"/>
      <c r="S250" s="60"/>
      <c r="T250" s="60"/>
      <c r="U250" s="60"/>
      <c r="V250" s="60"/>
      <c r="W250" s="60"/>
    </row>
    <row r="251" spans="1:23" ht="13" x14ac:dyDescent="0.3">
      <c r="A251" s="58"/>
      <c r="B251" s="58"/>
      <c r="C251" s="58"/>
      <c r="D251" s="58"/>
      <c r="E251" s="58"/>
      <c r="F251" s="58"/>
      <c r="G251" s="58"/>
      <c r="H251" s="59"/>
      <c r="I251" s="59"/>
      <c r="J251" s="59"/>
      <c r="K251" s="59"/>
      <c r="L251" s="59"/>
      <c r="M251" s="60"/>
      <c r="N251" s="60"/>
      <c r="O251" s="60"/>
      <c r="P251" s="59"/>
      <c r="Q251" s="59"/>
      <c r="R251" s="60"/>
      <c r="S251" s="60"/>
      <c r="T251" s="60"/>
      <c r="U251" s="60"/>
      <c r="V251" s="60"/>
      <c r="W251" s="60"/>
    </row>
    <row r="252" spans="1:23" ht="13" x14ac:dyDescent="0.3">
      <c r="A252" s="58"/>
      <c r="B252" s="58"/>
      <c r="C252" s="58"/>
      <c r="D252" s="58"/>
      <c r="E252" s="58"/>
      <c r="F252" s="58"/>
      <c r="G252" s="58"/>
      <c r="H252" s="59"/>
      <c r="I252" s="59"/>
      <c r="J252" s="59"/>
      <c r="K252" s="59"/>
      <c r="L252" s="59"/>
      <c r="M252" s="60"/>
      <c r="N252" s="60"/>
      <c r="O252" s="60"/>
      <c r="P252" s="59"/>
      <c r="Q252" s="59"/>
      <c r="R252" s="60"/>
      <c r="S252" s="60"/>
      <c r="T252" s="60"/>
      <c r="U252" s="60"/>
      <c r="V252" s="60"/>
      <c r="W252" s="60"/>
    </row>
    <row r="253" spans="1:23" ht="13" x14ac:dyDescent="0.3">
      <c r="A253" s="58"/>
      <c r="B253" s="58"/>
      <c r="C253" s="58"/>
      <c r="D253" s="58"/>
      <c r="E253" s="58"/>
      <c r="F253" s="58"/>
      <c r="G253" s="58"/>
      <c r="H253" s="59"/>
      <c r="I253" s="59"/>
      <c r="J253" s="59"/>
      <c r="K253" s="59"/>
      <c r="L253" s="59"/>
      <c r="M253" s="60"/>
      <c r="N253" s="60"/>
      <c r="O253" s="60"/>
      <c r="P253" s="59"/>
      <c r="Q253" s="59"/>
      <c r="R253" s="60"/>
      <c r="S253" s="60"/>
      <c r="T253" s="60"/>
      <c r="U253" s="60"/>
      <c r="V253" s="60"/>
      <c r="W253" s="60"/>
    </row>
    <row r="254" spans="1:23" ht="13" x14ac:dyDescent="0.3">
      <c r="A254" s="58"/>
      <c r="B254" s="58"/>
      <c r="C254" s="58"/>
      <c r="D254" s="58"/>
      <c r="E254" s="58"/>
      <c r="F254" s="58"/>
      <c r="G254" s="58"/>
      <c r="H254" s="59"/>
      <c r="I254" s="59"/>
      <c r="J254" s="59"/>
      <c r="K254" s="59"/>
      <c r="L254" s="59"/>
      <c r="M254" s="60"/>
      <c r="N254" s="60"/>
      <c r="O254" s="60"/>
      <c r="P254" s="59"/>
      <c r="Q254" s="59"/>
      <c r="R254" s="60"/>
      <c r="S254" s="60"/>
      <c r="T254" s="60"/>
      <c r="U254" s="60"/>
      <c r="V254" s="60"/>
      <c r="W254" s="60"/>
    </row>
    <row r="255" spans="1:23" ht="13" x14ac:dyDescent="0.3">
      <c r="A255" s="58"/>
      <c r="B255" s="58"/>
      <c r="C255" s="58"/>
      <c r="D255" s="58"/>
      <c r="E255" s="58"/>
      <c r="F255" s="58"/>
      <c r="G255" s="58"/>
      <c r="H255" s="59"/>
      <c r="I255" s="59"/>
      <c r="J255" s="59"/>
      <c r="K255" s="59"/>
      <c r="L255" s="59"/>
      <c r="M255" s="60"/>
      <c r="N255" s="60"/>
      <c r="O255" s="60"/>
      <c r="P255" s="59"/>
      <c r="Q255" s="59"/>
      <c r="R255" s="60"/>
      <c r="S255" s="60"/>
      <c r="T255" s="60"/>
      <c r="U255" s="60"/>
      <c r="V255" s="60"/>
      <c r="W255" s="60"/>
    </row>
    <row r="256" spans="1:23" ht="13" x14ac:dyDescent="0.3">
      <c r="A256" s="58"/>
      <c r="B256" s="58"/>
      <c r="C256" s="58"/>
      <c r="D256" s="58"/>
      <c r="E256" s="58"/>
      <c r="F256" s="58"/>
      <c r="G256" s="58"/>
      <c r="H256" s="59"/>
      <c r="I256" s="59"/>
      <c r="J256" s="59"/>
      <c r="K256" s="59"/>
      <c r="L256" s="59"/>
      <c r="M256" s="60"/>
      <c r="N256" s="60"/>
      <c r="O256" s="60"/>
      <c r="P256" s="59"/>
      <c r="Q256" s="59"/>
      <c r="R256" s="60"/>
      <c r="S256" s="60"/>
      <c r="T256" s="60"/>
      <c r="U256" s="60"/>
      <c r="V256" s="60"/>
      <c r="W256" s="60"/>
    </row>
    <row r="257" spans="1:23" ht="13" x14ac:dyDescent="0.3">
      <c r="A257" s="58"/>
      <c r="B257" s="58"/>
      <c r="C257" s="58"/>
      <c r="D257" s="58"/>
      <c r="E257" s="58"/>
      <c r="F257" s="58"/>
      <c r="G257" s="58"/>
      <c r="H257" s="59"/>
      <c r="I257" s="59"/>
      <c r="J257" s="59"/>
      <c r="K257" s="59"/>
      <c r="L257" s="59"/>
      <c r="M257" s="60"/>
      <c r="N257" s="60"/>
      <c r="O257" s="60"/>
      <c r="P257" s="59"/>
      <c r="Q257" s="59"/>
      <c r="R257" s="60"/>
      <c r="S257" s="60"/>
      <c r="T257" s="60"/>
      <c r="U257" s="60"/>
      <c r="V257" s="60"/>
      <c r="W257" s="60"/>
    </row>
    <row r="258" spans="1:23" ht="13" x14ac:dyDescent="0.3">
      <c r="A258" s="58"/>
      <c r="B258" s="58"/>
      <c r="C258" s="58"/>
      <c r="D258" s="58"/>
      <c r="E258" s="58"/>
      <c r="F258" s="58"/>
      <c r="G258" s="58"/>
      <c r="H258" s="59"/>
      <c r="I258" s="59"/>
      <c r="J258" s="59"/>
      <c r="K258" s="59"/>
      <c r="L258" s="59"/>
      <c r="M258" s="60"/>
      <c r="N258" s="60"/>
      <c r="O258" s="60"/>
      <c r="P258" s="59"/>
      <c r="Q258" s="59"/>
      <c r="R258" s="60"/>
      <c r="S258" s="60"/>
      <c r="T258" s="60"/>
      <c r="U258" s="60"/>
      <c r="V258" s="60"/>
      <c r="W258" s="60"/>
    </row>
    <row r="259" spans="1:23" ht="13" x14ac:dyDescent="0.3">
      <c r="A259" s="58"/>
      <c r="B259" s="58"/>
      <c r="C259" s="58"/>
      <c r="D259" s="58"/>
      <c r="E259" s="58"/>
      <c r="F259" s="58"/>
      <c r="G259" s="58"/>
      <c r="H259" s="59"/>
      <c r="I259" s="59"/>
      <c r="J259" s="59"/>
      <c r="K259" s="59"/>
      <c r="L259" s="59"/>
      <c r="M259" s="60"/>
      <c r="N259" s="60"/>
      <c r="O259" s="60"/>
      <c r="P259" s="59"/>
      <c r="Q259" s="59"/>
      <c r="R259" s="60"/>
      <c r="S259" s="60"/>
      <c r="T259" s="60"/>
      <c r="U259" s="60"/>
      <c r="V259" s="60"/>
      <c r="W259" s="60"/>
    </row>
    <row r="260" spans="1:23" ht="13" x14ac:dyDescent="0.3">
      <c r="A260" s="58"/>
      <c r="B260" s="58"/>
      <c r="C260" s="58"/>
      <c r="D260" s="58"/>
      <c r="E260" s="58"/>
      <c r="F260" s="58"/>
      <c r="G260" s="58"/>
      <c r="H260" s="59"/>
      <c r="I260" s="59"/>
      <c r="J260" s="59"/>
      <c r="K260" s="59"/>
      <c r="L260" s="59"/>
      <c r="M260" s="60"/>
      <c r="N260" s="60"/>
      <c r="O260" s="60"/>
      <c r="P260" s="59"/>
      <c r="Q260" s="59"/>
      <c r="R260" s="60"/>
      <c r="S260" s="60"/>
      <c r="T260" s="60"/>
      <c r="U260" s="60"/>
      <c r="V260" s="60"/>
      <c r="W260" s="60"/>
    </row>
    <row r="261" spans="1:23" ht="13" x14ac:dyDescent="0.3">
      <c r="A261" s="58"/>
      <c r="B261" s="58"/>
      <c r="C261" s="58"/>
      <c r="D261" s="58"/>
      <c r="E261" s="58"/>
      <c r="F261" s="58"/>
      <c r="G261" s="58"/>
      <c r="H261" s="59"/>
      <c r="I261" s="59"/>
      <c r="J261" s="59"/>
      <c r="K261" s="59"/>
      <c r="L261" s="59"/>
      <c r="M261" s="60"/>
      <c r="N261" s="60"/>
      <c r="O261" s="60"/>
      <c r="P261" s="59"/>
      <c r="Q261" s="59"/>
      <c r="R261" s="60"/>
      <c r="S261" s="60"/>
      <c r="T261" s="60"/>
      <c r="U261" s="60"/>
      <c r="V261" s="60"/>
      <c r="W261" s="60"/>
    </row>
    <row r="262" spans="1:23" ht="13" x14ac:dyDescent="0.3">
      <c r="A262" s="58"/>
      <c r="B262" s="58"/>
      <c r="C262" s="58"/>
      <c r="D262" s="58"/>
      <c r="E262" s="58"/>
      <c r="F262" s="58"/>
      <c r="G262" s="58"/>
      <c r="H262" s="59"/>
      <c r="I262" s="59"/>
      <c r="J262" s="59"/>
      <c r="K262" s="59"/>
      <c r="L262" s="59"/>
      <c r="M262" s="60"/>
      <c r="N262" s="60"/>
      <c r="O262" s="60"/>
      <c r="P262" s="59"/>
      <c r="Q262" s="59"/>
      <c r="R262" s="60"/>
      <c r="S262" s="60"/>
      <c r="T262" s="60"/>
      <c r="U262" s="60"/>
      <c r="V262" s="60"/>
      <c r="W262" s="60"/>
    </row>
    <row r="263" spans="1:23" ht="13" x14ac:dyDescent="0.3">
      <c r="A263" s="58"/>
      <c r="B263" s="58"/>
      <c r="C263" s="58"/>
      <c r="D263" s="58"/>
      <c r="E263" s="58"/>
      <c r="F263" s="58"/>
      <c r="G263" s="58"/>
      <c r="H263" s="59"/>
      <c r="I263" s="59"/>
      <c r="J263" s="59"/>
      <c r="K263" s="59"/>
      <c r="L263" s="59"/>
      <c r="M263" s="60"/>
      <c r="N263" s="60"/>
      <c r="O263" s="60"/>
      <c r="P263" s="59"/>
      <c r="Q263" s="59"/>
      <c r="R263" s="60"/>
      <c r="S263" s="60"/>
      <c r="T263" s="60"/>
      <c r="U263" s="60"/>
      <c r="V263" s="60"/>
      <c r="W263" s="60"/>
    </row>
    <row r="264" spans="1:23" ht="13" x14ac:dyDescent="0.3">
      <c r="A264" s="58"/>
      <c r="B264" s="58"/>
      <c r="C264" s="58"/>
      <c r="D264" s="58"/>
      <c r="E264" s="58"/>
      <c r="F264" s="58"/>
      <c r="G264" s="58"/>
      <c r="H264" s="59"/>
      <c r="I264" s="59"/>
      <c r="J264" s="59"/>
      <c r="K264" s="59"/>
      <c r="L264" s="59"/>
      <c r="M264" s="60"/>
      <c r="N264" s="60"/>
      <c r="O264" s="60"/>
      <c r="P264" s="59"/>
      <c r="Q264" s="59"/>
      <c r="R264" s="60"/>
      <c r="S264" s="60"/>
      <c r="T264" s="60"/>
      <c r="U264" s="60"/>
      <c r="V264" s="60"/>
      <c r="W264" s="60"/>
    </row>
    <row r="265" spans="1:23" ht="13" x14ac:dyDescent="0.3">
      <c r="A265" s="58"/>
      <c r="B265" s="58"/>
      <c r="C265" s="58"/>
      <c r="D265" s="58"/>
      <c r="E265" s="58"/>
      <c r="F265" s="58"/>
      <c r="G265" s="58"/>
      <c r="H265" s="59"/>
      <c r="I265" s="59"/>
      <c r="J265" s="59"/>
      <c r="K265" s="59"/>
      <c r="L265" s="59"/>
      <c r="M265" s="60"/>
      <c r="N265" s="60"/>
      <c r="O265" s="60"/>
      <c r="P265" s="59"/>
      <c r="Q265" s="59"/>
      <c r="R265" s="60"/>
      <c r="S265" s="60"/>
      <c r="T265" s="60"/>
      <c r="U265" s="60"/>
      <c r="V265" s="60"/>
      <c r="W265" s="60"/>
    </row>
    <row r="266" spans="1:23" ht="13" x14ac:dyDescent="0.3">
      <c r="A266" s="58"/>
      <c r="B266" s="58"/>
      <c r="C266" s="58"/>
      <c r="D266" s="58"/>
      <c r="E266" s="58"/>
      <c r="F266" s="58"/>
      <c r="G266" s="58"/>
      <c r="H266" s="59"/>
      <c r="I266" s="59"/>
      <c r="J266" s="59"/>
      <c r="K266" s="59"/>
      <c r="L266" s="59"/>
      <c r="M266" s="60"/>
      <c r="N266" s="60"/>
      <c r="O266" s="60"/>
      <c r="P266" s="59"/>
      <c r="Q266" s="59"/>
      <c r="R266" s="60"/>
      <c r="S266" s="60"/>
      <c r="T266" s="60"/>
      <c r="U266" s="60"/>
      <c r="V266" s="60"/>
      <c r="W266" s="60"/>
    </row>
    <row r="267" spans="1:23" ht="13" x14ac:dyDescent="0.3">
      <c r="A267" s="58"/>
      <c r="B267" s="58"/>
      <c r="C267" s="58"/>
      <c r="D267" s="58"/>
      <c r="E267" s="58"/>
      <c r="F267" s="58"/>
      <c r="G267" s="58"/>
      <c r="H267" s="59"/>
      <c r="I267" s="59"/>
      <c r="J267" s="59"/>
      <c r="K267" s="59"/>
      <c r="L267" s="59"/>
      <c r="M267" s="60"/>
      <c r="N267" s="60"/>
      <c r="O267" s="60"/>
      <c r="P267" s="59"/>
      <c r="Q267" s="59"/>
      <c r="R267" s="60"/>
      <c r="S267" s="60"/>
      <c r="T267" s="60"/>
      <c r="U267" s="60"/>
      <c r="V267" s="60"/>
      <c r="W267" s="60"/>
    </row>
    <row r="268" spans="1:23" ht="13" x14ac:dyDescent="0.3">
      <c r="A268" s="58"/>
      <c r="B268" s="58"/>
      <c r="C268" s="58"/>
      <c r="D268" s="58"/>
      <c r="E268" s="58"/>
      <c r="F268" s="58"/>
      <c r="G268" s="58"/>
      <c r="H268" s="59"/>
      <c r="I268" s="59"/>
      <c r="J268" s="59"/>
      <c r="K268" s="59"/>
      <c r="L268" s="59"/>
      <c r="M268" s="60"/>
      <c r="N268" s="60"/>
      <c r="O268" s="60"/>
      <c r="P268" s="59"/>
      <c r="Q268" s="59"/>
      <c r="R268" s="60"/>
      <c r="S268" s="60"/>
      <c r="T268" s="60"/>
      <c r="U268" s="60"/>
      <c r="V268" s="60"/>
      <c r="W268" s="60"/>
    </row>
    <row r="269" spans="1:23" ht="13" x14ac:dyDescent="0.3">
      <c r="A269" s="58"/>
      <c r="B269" s="58"/>
      <c r="C269" s="58"/>
      <c r="D269" s="58"/>
      <c r="E269" s="58"/>
      <c r="F269" s="58"/>
      <c r="G269" s="58"/>
      <c r="H269" s="59"/>
      <c r="I269" s="59"/>
      <c r="J269" s="59"/>
      <c r="K269" s="59"/>
      <c r="L269" s="59"/>
      <c r="M269" s="60"/>
      <c r="N269" s="60"/>
      <c r="O269" s="60"/>
      <c r="P269" s="59"/>
      <c r="Q269" s="59"/>
      <c r="R269" s="60"/>
      <c r="S269" s="60"/>
      <c r="T269" s="60"/>
      <c r="U269" s="60"/>
      <c r="V269" s="60"/>
      <c r="W269" s="60"/>
    </row>
    <row r="270" spans="1:23" ht="13" x14ac:dyDescent="0.3">
      <c r="A270" s="58"/>
      <c r="B270" s="58"/>
      <c r="C270" s="58"/>
      <c r="D270" s="58"/>
      <c r="E270" s="58"/>
      <c r="F270" s="58"/>
      <c r="G270" s="58"/>
      <c r="H270" s="59"/>
      <c r="I270" s="59"/>
      <c r="J270" s="59"/>
      <c r="K270" s="59"/>
      <c r="L270" s="59"/>
      <c r="M270" s="60"/>
      <c r="N270" s="60"/>
      <c r="O270" s="60"/>
      <c r="P270" s="59"/>
      <c r="Q270" s="59"/>
      <c r="R270" s="60"/>
      <c r="S270" s="60"/>
      <c r="T270" s="60"/>
      <c r="U270" s="60"/>
      <c r="V270" s="60"/>
      <c r="W270" s="60"/>
    </row>
    <row r="271" spans="1:23" ht="13" x14ac:dyDescent="0.3">
      <c r="A271" s="58"/>
      <c r="B271" s="58"/>
      <c r="C271" s="58"/>
      <c r="D271" s="58"/>
      <c r="E271" s="58"/>
      <c r="F271" s="58"/>
      <c r="G271" s="58"/>
      <c r="H271" s="59"/>
      <c r="I271" s="59"/>
      <c r="J271" s="59"/>
      <c r="K271" s="59"/>
      <c r="L271" s="59"/>
      <c r="M271" s="60"/>
      <c r="N271" s="60"/>
      <c r="O271" s="60"/>
      <c r="P271" s="59"/>
      <c r="Q271" s="59"/>
      <c r="R271" s="60"/>
      <c r="S271" s="60"/>
      <c r="T271" s="60"/>
      <c r="U271" s="60"/>
      <c r="V271" s="60"/>
      <c r="W271" s="60"/>
    </row>
    <row r="272" spans="1:23" ht="13" x14ac:dyDescent="0.3">
      <c r="A272" s="58"/>
      <c r="B272" s="58"/>
      <c r="C272" s="58"/>
      <c r="D272" s="58"/>
      <c r="E272" s="58"/>
      <c r="F272" s="58"/>
      <c r="G272" s="58"/>
      <c r="H272" s="59"/>
      <c r="I272" s="59"/>
      <c r="J272" s="59"/>
      <c r="K272" s="59"/>
      <c r="L272" s="59"/>
      <c r="M272" s="60"/>
      <c r="N272" s="60"/>
      <c r="O272" s="60"/>
      <c r="P272" s="59"/>
      <c r="Q272" s="59"/>
      <c r="R272" s="60"/>
      <c r="S272" s="60"/>
      <c r="T272" s="60"/>
      <c r="U272" s="60"/>
      <c r="V272" s="60"/>
      <c r="W272" s="60"/>
    </row>
    <row r="273" spans="1:23" ht="13" x14ac:dyDescent="0.3">
      <c r="A273" s="58"/>
      <c r="B273" s="58"/>
      <c r="C273" s="58"/>
      <c r="D273" s="58"/>
      <c r="E273" s="58"/>
      <c r="F273" s="58"/>
      <c r="G273" s="58"/>
      <c r="H273" s="59"/>
      <c r="I273" s="59"/>
      <c r="J273" s="59"/>
      <c r="K273" s="59"/>
      <c r="L273" s="59"/>
      <c r="M273" s="60"/>
      <c r="N273" s="60"/>
      <c r="O273" s="60"/>
      <c r="P273" s="59"/>
      <c r="Q273" s="59"/>
      <c r="R273" s="60"/>
      <c r="S273" s="60"/>
      <c r="T273" s="60"/>
      <c r="U273" s="60"/>
      <c r="V273" s="60"/>
      <c r="W273" s="60"/>
    </row>
    <row r="274" spans="1:23" ht="13" x14ac:dyDescent="0.3">
      <c r="A274" s="58"/>
      <c r="B274" s="58"/>
      <c r="C274" s="58"/>
      <c r="D274" s="58"/>
      <c r="E274" s="58"/>
      <c r="F274" s="58"/>
      <c r="G274" s="58"/>
      <c r="H274" s="59"/>
      <c r="I274" s="59"/>
      <c r="J274" s="59"/>
      <c r="K274" s="59"/>
      <c r="L274" s="59"/>
      <c r="M274" s="60"/>
      <c r="N274" s="60"/>
      <c r="O274" s="60"/>
      <c r="P274" s="59"/>
      <c r="Q274" s="59"/>
      <c r="R274" s="60"/>
      <c r="S274" s="60"/>
      <c r="T274" s="60"/>
      <c r="U274" s="60"/>
      <c r="V274" s="60"/>
      <c r="W274" s="60"/>
    </row>
    <row r="275" spans="1:23" ht="13" x14ac:dyDescent="0.3">
      <c r="A275" s="58"/>
      <c r="B275" s="58"/>
      <c r="C275" s="58"/>
      <c r="D275" s="58"/>
      <c r="E275" s="58"/>
      <c r="F275" s="58"/>
      <c r="G275" s="58"/>
      <c r="H275" s="59"/>
      <c r="I275" s="59"/>
      <c r="J275" s="59"/>
      <c r="K275" s="59"/>
      <c r="L275" s="59"/>
      <c r="M275" s="60"/>
      <c r="N275" s="60"/>
      <c r="O275" s="60"/>
      <c r="P275" s="59"/>
      <c r="Q275" s="59"/>
      <c r="R275" s="60"/>
      <c r="S275" s="60"/>
      <c r="T275" s="60"/>
      <c r="U275" s="60"/>
      <c r="V275" s="60"/>
      <c r="W275" s="60"/>
    </row>
    <row r="276" spans="1:23" ht="13" x14ac:dyDescent="0.3">
      <c r="A276" s="58"/>
      <c r="B276" s="58"/>
      <c r="C276" s="58"/>
      <c r="D276" s="58"/>
      <c r="E276" s="58"/>
      <c r="F276" s="58"/>
      <c r="G276" s="58"/>
      <c r="H276" s="59"/>
      <c r="I276" s="59"/>
      <c r="J276" s="59"/>
      <c r="K276" s="59"/>
      <c r="L276" s="59"/>
      <c r="M276" s="60"/>
      <c r="N276" s="60"/>
      <c r="O276" s="60"/>
      <c r="P276" s="59"/>
      <c r="Q276" s="59"/>
      <c r="R276" s="60"/>
      <c r="S276" s="60"/>
      <c r="T276" s="60"/>
      <c r="U276" s="60"/>
      <c r="V276" s="60"/>
      <c r="W276" s="60"/>
    </row>
    <row r="277" spans="1:23" ht="13" x14ac:dyDescent="0.3">
      <c r="A277" s="58"/>
      <c r="B277" s="58"/>
      <c r="C277" s="58"/>
      <c r="D277" s="58"/>
      <c r="E277" s="58"/>
      <c r="F277" s="58"/>
      <c r="G277" s="58"/>
      <c r="H277" s="59"/>
      <c r="I277" s="59"/>
      <c r="J277" s="59"/>
      <c r="K277" s="59"/>
      <c r="L277" s="59"/>
      <c r="M277" s="60"/>
      <c r="N277" s="60"/>
      <c r="O277" s="60"/>
      <c r="P277" s="59"/>
      <c r="Q277" s="59"/>
      <c r="R277" s="60"/>
      <c r="S277" s="60"/>
      <c r="T277" s="60"/>
      <c r="U277" s="60"/>
      <c r="V277" s="60"/>
      <c r="W277" s="60"/>
    </row>
    <row r="278" spans="1:23" ht="13" x14ac:dyDescent="0.3">
      <c r="A278" s="58"/>
      <c r="B278" s="58"/>
      <c r="C278" s="58"/>
      <c r="D278" s="58"/>
      <c r="E278" s="58"/>
      <c r="F278" s="58"/>
      <c r="G278" s="58"/>
      <c r="H278" s="59"/>
      <c r="I278" s="59"/>
      <c r="J278" s="59"/>
      <c r="K278" s="59"/>
      <c r="L278" s="59"/>
      <c r="M278" s="60"/>
      <c r="N278" s="60"/>
      <c r="O278" s="60"/>
      <c r="P278" s="59"/>
      <c r="Q278" s="59"/>
      <c r="R278" s="60"/>
      <c r="S278" s="60"/>
      <c r="T278" s="60"/>
      <c r="U278" s="60"/>
      <c r="V278" s="60"/>
      <c r="W278" s="60"/>
    </row>
    <row r="279" spans="1:23" ht="13" x14ac:dyDescent="0.3">
      <c r="A279" s="58"/>
      <c r="B279" s="58"/>
      <c r="C279" s="58"/>
      <c r="D279" s="58"/>
      <c r="E279" s="58"/>
      <c r="F279" s="58"/>
      <c r="G279" s="58"/>
      <c r="H279" s="59"/>
      <c r="I279" s="59"/>
      <c r="J279" s="59"/>
      <c r="K279" s="59"/>
      <c r="L279" s="59"/>
      <c r="M279" s="60"/>
      <c r="N279" s="60"/>
      <c r="O279" s="60"/>
      <c r="P279" s="59"/>
      <c r="Q279" s="59"/>
      <c r="R279" s="60"/>
      <c r="S279" s="60"/>
      <c r="T279" s="60"/>
      <c r="U279" s="60"/>
      <c r="V279" s="60"/>
      <c r="W279" s="60"/>
    </row>
    <row r="280" spans="1:23" ht="13" x14ac:dyDescent="0.3">
      <c r="A280" s="58"/>
      <c r="B280" s="58"/>
      <c r="C280" s="58"/>
      <c r="D280" s="58"/>
      <c r="E280" s="58"/>
      <c r="F280" s="58"/>
      <c r="G280" s="58"/>
      <c r="H280" s="59"/>
      <c r="I280" s="59"/>
      <c r="J280" s="59"/>
      <c r="K280" s="59"/>
      <c r="L280" s="59"/>
      <c r="M280" s="60"/>
      <c r="N280" s="60"/>
      <c r="O280" s="60"/>
      <c r="P280" s="59"/>
      <c r="Q280" s="59"/>
      <c r="R280" s="60"/>
      <c r="S280" s="60"/>
      <c r="T280" s="60"/>
      <c r="U280" s="60"/>
      <c r="V280" s="60"/>
      <c r="W280" s="60"/>
    </row>
    <row r="281" spans="1:23" ht="13" x14ac:dyDescent="0.3">
      <c r="A281" s="58"/>
      <c r="B281" s="58"/>
      <c r="C281" s="58"/>
      <c r="D281" s="58"/>
      <c r="E281" s="58"/>
      <c r="F281" s="58"/>
      <c r="G281" s="58"/>
      <c r="H281" s="59"/>
      <c r="I281" s="59"/>
      <c r="J281" s="59"/>
      <c r="K281" s="59"/>
      <c r="L281" s="59"/>
      <c r="M281" s="60"/>
      <c r="N281" s="60"/>
      <c r="O281" s="60"/>
      <c r="P281" s="59"/>
      <c r="Q281" s="59"/>
      <c r="R281" s="60"/>
      <c r="S281" s="60"/>
      <c r="T281" s="60"/>
      <c r="U281" s="60"/>
      <c r="V281" s="60"/>
      <c r="W281" s="60"/>
    </row>
    <row r="282" spans="1:23" ht="13" x14ac:dyDescent="0.3">
      <c r="A282" s="58"/>
      <c r="B282" s="58"/>
      <c r="C282" s="58"/>
      <c r="D282" s="58"/>
      <c r="E282" s="58"/>
      <c r="F282" s="58"/>
      <c r="G282" s="58"/>
      <c r="H282" s="59"/>
      <c r="I282" s="59"/>
      <c r="J282" s="59"/>
      <c r="K282" s="59"/>
      <c r="L282" s="59"/>
      <c r="M282" s="60"/>
      <c r="N282" s="60"/>
      <c r="O282" s="60"/>
      <c r="P282" s="59"/>
      <c r="Q282" s="59"/>
      <c r="R282" s="60"/>
      <c r="S282" s="60"/>
      <c r="T282" s="60"/>
      <c r="U282" s="60"/>
      <c r="V282" s="60"/>
      <c r="W282" s="60"/>
    </row>
    <row r="283" spans="1:23" ht="13" x14ac:dyDescent="0.3">
      <c r="A283" s="58"/>
      <c r="B283" s="58"/>
      <c r="C283" s="58"/>
      <c r="D283" s="58"/>
      <c r="E283" s="58"/>
      <c r="F283" s="58"/>
      <c r="G283" s="58"/>
      <c r="H283" s="59"/>
      <c r="I283" s="59"/>
      <c r="J283" s="59"/>
      <c r="K283" s="59"/>
      <c r="L283" s="59"/>
      <c r="M283" s="60"/>
      <c r="N283" s="60"/>
      <c r="O283" s="60"/>
      <c r="P283" s="59"/>
      <c r="Q283" s="59"/>
      <c r="R283" s="60"/>
      <c r="S283" s="60"/>
      <c r="T283" s="60"/>
      <c r="U283" s="60"/>
      <c r="V283" s="60"/>
      <c r="W283" s="60"/>
    </row>
    <row r="284" spans="1:23" ht="13" x14ac:dyDescent="0.3">
      <c r="A284" s="58"/>
      <c r="B284" s="58"/>
      <c r="C284" s="58"/>
      <c r="D284" s="58"/>
      <c r="E284" s="58"/>
      <c r="F284" s="58"/>
      <c r="G284" s="58"/>
      <c r="H284" s="59"/>
      <c r="I284" s="59"/>
      <c r="J284" s="59"/>
      <c r="K284" s="59"/>
      <c r="L284" s="59"/>
      <c r="M284" s="60"/>
      <c r="N284" s="60"/>
      <c r="O284" s="60"/>
      <c r="P284" s="59"/>
      <c r="Q284" s="59"/>
      <c r="R284" s="60"/>
      <c r="S284" s="60"/>
      <c r="T284" s="60"/>
      <c r="U284" s="60"/>
      <c r="V284" s="60"/>
      <c r="W284" s="60"/>
    </row>
    <row r="285" spans="1:23" ht="13" x14ac:dyDescent="0.3">
      <c r="A285" s="58"/>
      <c r="B285" s="58"/>
      <c r="C285" s="58"/>
      <c r="D285" s="58"/>
      <c r="E285" s="58"/>
      <c r="F285" s="58"/>
      <c r="G285" s="58"/>
      <c r="H285" s="59"/>
      <c r="I285" s="59"/>
      <c r="J285" s="59"/>
      <c r="K285" s="59"/>
      <c r="L285" s="59"/>
      <c r="M285" s="60"/>
      <c r="N285" s="60"/>
      <c r="O285" s="60"/>
      <c r="P285" s="59"/>
      <c r="Q285" s="59"/>
      <c r="R285" s="60"/>
      <c r="S285" s="60"/>
      <c r="T285" s="60"/>
      <c r="U285" s="60"/>
      <c r="V285" s="60"/>
      <c r="W285" s="60"/>
    </row>
    <row r="286" spans="1:23" ht="13" x14ac:dyDescent="0.3">
      <c r="A286" s="58"/>
      <c r="B286" s="58"/>
      <c r="C286" s="58"/>
      <c r="D286" s="58"/>
      <c r="E286" s="58"/>
      <c r="F286" s="58"/>
      <c r="G286" s="58"/>
      <c r="H286" s="59"/>
      <c r="I286" s="59"/>
      <c r="J286" s="59"/>
      <c r="K286" s="59"/>
      <c r="L286" s="59"/>
      <c r="M286" s="60"/>
      <c r="N286" s="60"/>
      <c r="O286" s="60"/>
      <c r="P286" s="59"/>
      <c r="Q286" s="59"/>
      <c r="R286" s="60"/>
      <c r="S286" s="60"/>
      <c r="T286" s="60"/>
      <c r="U286" s="60"/>
      <c r="V286" s="60"/>
      <c r="W286" s="60"/>
    </row>
    <row r="287" spans="1:23" ht="13" x14ac:dyDescent="0.3">
      <c r="A287" s="58"/>
      <c r="B287" s="58"/>
      <c r="C287" s="58"/>
      <c r="D287" s="58"/>
      <c r="E287" s="58"/>
      <c r="F287" s="58"/>
      <c r="G287" s="58"/>
      <c r="H287" s="59"/>
      <c r="I287" s="59"/>
      <c r="J287" s="59"/>
      <c r="K287" s="59"/>
      <c r="L287" s="59"/>
      <c r="M287" s="60"/>
      <c r="N287" s="60"/>
      <c r="O287" s="60"/>
      <c r="P287" s="59"/>
      <c r="Q287" s="59"/>
      <c r="R287" s="60"/>
      <c r="S287" s="60"/>
      <c r="T287" s="60"/>
      <c r="U287" s="60"/>
      <c r="V287" s="60"/>
      <c r="W287" s="60"/>
    </row>
    <row r="288" spans="1:23" ht="13" x14ac:dyDescent="0.3">
      <c r="A288" s="58"/>
      <c r="B288" s="58"/>
      <c r="C288" s="58"/>
      <c r="D288" s="58"/>
      <c r="E288" s="58"/>
      <c r="F288" s="58"/>
      <c r="G288" s="58"/>
      <c r="H288" s="59"/>
      <c r="I288" s="59"/>
      <c r="J288" s="59"/>
      <c r="K288" s="59"/>
      <c r="L288" s="59"/>
      <c r="M288" s="60"/>
      <c r="N288" s="60"/>
      <c r="O288" s="60"/>
      <c r="P288" s="59"/>
      <c r="Q288" s="59"/>
      <c r="R288" s="60"/>
      <c r="S288" s="60"/>
      <c r="T288" s="60"/>
      <c r="U288" s="60"/>
      <c r="V288" s="60"/>
      <c r="W288" s="60"/>
    </row>
    <row r="289" spans="1:23" ht="13" x14ac:dyDescent="0.3">
      <c r="A289" s="58"/>
      <c r="B289" s="58"/>
      <c r="C289" s="58"/>
      <c r="D289" s="58"/>
      <c r="E289" s="58"/>
      <c r="F289" s="58"/>
      <c r="G289" s="58"/>
      <c r="H289" s="59"/>
      <c r="I289" s="59"/>
      <c r="J289" s="59"/>
      <c r="K289" s="59"/>
      <c r="L289" s="59"/>
      <c r="M289" s="60"/>
      <c r="N289" s="60"/>
      <c r="O289" s="60"/>
      <c r="P289" s="59"/>
      <c r="Q289" s="59"/>
      <c r="R289" s="60"/>
      <c r="S289" s="60"/>
      <c r="T289" s="60"/>
      <c r="U289" s="60"/>
      <c r="V289" s="60"/>
      <c r="W289" s="60"/>
    </row>
    <row r="290" spans="1:23" ht="13" x14ac:dyDescent="0.3">
      <c r="A290" s="58"/>
      <c r="B290" s="58"/>
      <c r="C290" s="58"/>
      <c r="D290" s="58"/>
      <c r="E290" s="58"/>
      <c r="F290" s="58"/>
      <c r="G290" s="58"/>
      <c r="H290" s="59"/>
      <c r="I290" s="59"/>
      <c r="J290" s="59"/>
      <c r="K290" s="59"/>
      <c r="L290" s="59"/>
      <c r="M290" s="60"/>
      <c r="N290" s="60"/>
      <c r="O290" s="60"/>
      <c r="P290" s="59"/>
      <c r="Q290" s="59"/>
      <c r="R290" s="60"/>
      <c r="S290" s="60"/>
      <c r="T290" s="60"/>
      <c r="U290" s="60"/>
      <c r="V290" s="60"/>
      <c r="W290" s="60"/>
    </row>
    <row r="291" spans="1:23" ht="13" x14ac:dyDescent="0.3">
      <c r="A291" s="58"/>
      <c r="B291" s="58"/>
      <c r="C291" s="58"/>
      <c r="D291" s="58"/>
      <c r="E291" s="58"/>
      <c r="F291" s="58"/>
      <c r="G291" s="58"/>
      <c r="H291" s="59"/>
      <c r="I291" s="59"/>
      <c r="J291" s="59"/>
      <c r="K291" s="59"/>
      <c r="L291" s="59"/>
      <c r="M291" s="60"/>
      <c r="N291" s="60"/>
      <c r="O291" s="60"/>
      <c r="P291" s="59"/>
      <c r="Q291" s="59"/>
      <c r="R291" s="60"/>
      <c r="S291" s="60"/>
      <c r="T291" s="60"/>
      <c r="U291" s="60"/>
      <c r="V291" s="60"/>
      <c r="W291" s="60"/>
    </row>
    <row r="292" spans="1:23" ht="13" x14ac:dyDescent="0.3">
      <c r="A292" s="58"/>
      <c r="B292" s="58"/>
      <c r="C292" s="58"/>
      <c r="D292" s="58"/>
      <c r="E292" s="58"/>
      <c r="F292" s="58"/>
      <c r="G292" s="58"/>
      <c r="H292" s="59"/>
      <c r="I292" s="59"/>
      <c r="J292" s="59"/>
      <c r="K292" s="59"/>
      <c r="L292" s="59"/>
      <c r="M292" s="60"/>
      <c r="N292" s="60"/>
      <c r="O292" s="60"/>
      <c r="P292" s="59"/>
      <c r="Q292" s="59"/>
      <c r="R292" s="60"/>
      <c r="S292" s="60"/>
      <c r="T292" s="60"/>
      <c r="U292" s="60"/>
      <c r="V292" s="60"/>
      <c r="W292" s="60"/>
    </row>
    <row r="293" spans="1:23" ht="13" x14ac:dyDescent="0.3">
      <c r="A293" s="58"/>
      <c r="B293" s="58"/>
      <c r="C293" s="58"/>
      <c r="D293" s="58"/>
      <c r="E293" s="58"/>
      <c r="F293" s="58"/>
      <c r="G293" s="58"/>
      <c r="H293" s="59"/>
      <c r="I293" s="59"/>
      <c r="J293" s="59"/>
      <c r="K293" s="59"/>
      <c r="L293" s="59"/>
      <c r="M293" s="60"/>
      <c r="N293" s="60"/>
      <c r="O293" s="60"/>
      <c r="P293" s="59"/>
      <c r="Q293" s="59"/>
      <c r="R293" s="60"/>
      <c r="S293" s="60"/>
      <c r="T293" s="60"/>
      <c r="U293" s="60"/>
      <c r="V293" s="60"/>
      <c r="W293" s="60"/>
    </row>
    <row r="294" spans="1:23" ht="13" x14ac:dyDescent="0.3">
      <c r="A294" s="58"/>
      <c r="B294" s="58"/>
      <c r="C294" s="58"/>
      <c r="D294" s="58"/>
      <c r="E294" s="58"/>
      <c r="F294" s="58"/>
      <c r="G294" s="58"/>
      <c r="H294" s="59"/>
      <c r="I294" s="59"/>
      <c r="J294" s="59"/>
      <c r="K294" s="59"/>
      <c r="L294" s="59"/>
      <c r="M294" s="60"/>
      <c r="N294" s="60"/>
      <c r="O294" s="60"/>
      <c r="P294" s="59"/>
      <c r="Q294" s="59"/>
      <c r="R294" s="60"/>
      <c r="S294" s="60"/>
      <c r="T294" s="60"/>
      <c r="U294" s="60"/>
      <c r="V294" s="60"/>
      <c r="W294" s="60"/>
    </row>
    <row r="295" spans="1:23" ht="13" x14ac:dyDescent="0.3">
      <c r="A295" s="58"/>
      <c r="B295" s="58"/>
      <c r="C295" s="58"/>
      <c r="D295" s="58"/>
      <c r="E295" s="58"/>
      <c r="F295" s="58"/>
      <c r="G295" s="58"/>
      <c r="H295" s="59"/>
      <c r="I295" s="59"/>
      <c r="J295" s="59"/>
      <c r="K295" s="59"/>
      <c r="L295" s="59"/>
      <c r="M295" s="60"/>
      <c r="N295" s="60"/>
      <c r="O295" s="60"/>
      <c r="P295" s="59"/>
      <c r="Q295" s="59"/>
      <c r="R295" s="60"/>
      <c r="S295" s="60"/>
      <c r="T295" s="60"/>
      <c r="U295" s="60"/>
      <c r="V295" s="60"/>
      <c r="W295" s="60"/>
    </row>
    <row r="296" spans="1:23" ht="13" x14ac:dyDescent="0.3">
      <c r="A296" s="58"/>
      <c r="B296" s="58"/>
      <c r="C296" s="58"/>
      <c r="D296" s="58"/>
      <c r="E296" s="58"/>
      <c r="F296" s="58"/>
      <c r="G296" s="58"/>
      <c r="H296" s="59"/>
      <c r="I296" s="59"/>
      <c r="J296" s="59"/>
      <c r="K296" s="59"/>
      <c r="L296" s="59"/>
      <c r="M296" s="60"/>
      <c r="N296" s="60"/>
      <c r="O296" s="60"/>
      <c r="P296" s="59"/>
      <c r="Q296" s="59"/>
      <c r="R296" s="60"/>
      <c r="S296" s="60"/>
      <c r="T296" s="60"/>
      <c r="U296" s="60"/>
      <c r="V296" s="60"/>
      <c r="W296" s="60"/>
    </row>
    <row r="297" spans="1:23" ht="13" x14ac:dyDescent="0.3">
      <c r="A297" s="58"/>
      <c r="B297" s="58"/>
      <c r="C297" s="58"/>
      <c r="D297" s="58"/>
      <c r="E297" s="58"/>
      <c r="F297" s="58"/>
      <c r="G297" s="58"/>
      <c r="H297" s="59"/>
      <c r="I297" s="59"/>
      <c r="J297" s="59"/>
      <c r="K297" s="59"/>
      <c r="L297" s="59"/>
      <c r="M297" s="60"/>
      <c r="N297" s="60"/>
      <c r="O297" s="60"/>
      <c r="P297" s="59"/>
      <c r="Q297" s="59"/>
      <c r="R297" s="60"/>
      <c r="S297" s="60"/>
      <c r="T297" s="60"/>
      <c r="U297" s="60"/>
      <c r="V297" s="60"/>
      <c r="W297" s="60"/>
    </row>
    <row r="298" spans="1:23" ht="13" x14ac:dyDescent="0.3">
      <c r="A298" s="58"/>
      <c r="B298" s="58"/>
      <c r="C298" s="58"/>
      <c r="D298" s="58"/>
      <c r="E298" s="58"/>
      <c r="F298" s="58"/>
      <c r="G298" s="58"/>
      <c r="H298" s="59"/>
      <c r="I298" s="59"/>
      <c r="J298" s="59"/>
      <c r="K298" s="59"/>
      <c r="L298" s="59"/>
      <c r="M298" s="60"/>
      <c r="N298" s="60"/>
      <c r="O298" s="60"/>
      <c r="P298" s="59"/>
      <c r="Q298" s="59"/>
      <c r="R298" s="60"/>
      <c r="S298" s="60"/>
      <c r="T298" s="60"/>
      <c r="U298" s="60"/>
      <c r="V298" s="60"/>
      <c r="W298" s="60"/>
    </row>
    <row r="299" spans="1:23" ht="13" x14ac:dyDescent="0.3">
      <c r="A299" s="58"/>
      <c r="B299" s="58"/>
      <c r="C299" s="58"/>
      <c r="D299" s="58"/>
      <c r="E299" s="58"/>
      <c r="F299" s="58"/>
      <c r="G299" s="58"/>
      <c r="H299" s="59"/>
      <c r="I299" s="59"/>
      <c r="J299" s="59"/>
      <c r="K299" s="59"/>
      <c r="L299" s="59"/>
      <c r="M299" s="60"/>
      <c r="N299" s="60"/>
      <c r="O299" s="60"/>
      <c r="P299" s="59"/>
      <c r="Q299" s="59"/>
      <c r="R299" s="60"/>
      <c r="S299" s="60"/>
      <c r="T299" s="60"/>
      <c r="U299" s="60"/>
      <c r="V299" s="60"/>
      <c r="W299" s="60"/>
    </row>
    <row r="300" spans="1:23" ht="13" x14ac:dyDescent="0.3">
      <c r="A300" s="58"/>
      <c r="B300" s="58"/>
      <c r="C300" s="58"/>
      <c r="D300" s="58"/>
      <c r="E300" s="58"/>
      <c r="F300" s="58"/>
      <c r="G300" s="58"/>
      <c r="H300" s="59"/>
      <c r="I300" s="59"/>
      <c r="J300" s="59"/>
      <c r="K300" s="59"/>
      <c r="L300" s="59"/>
      <c r="M300" s="60"/>
      <c r="N300" s="60"/>
      <c r="O300" s="60"/>
      <c r="P300" s="59"/>
      <c r="Q300" s="59"/>
      <c r="R300" s="60"/>
      <c r="S300" s="60"/>
      <c r="T300" s="60"/>
      <c r="U300" s="60"/>
      <c r="V300" s="60"/>
      <c r="W300" s="60"/>
    </row>
    <row r="301" spans="1:23" ht="13" x14ac:dyDescent="0.3">
      <c r="A301" s="58"/>
      <c r="B301" s="58"/>
      <c r="C301" s="58"/>
      <c r="D301" s="58"/>
      <c r="E301" s="58"/>
      <c r="F301" s="58"/>
      <c r="G301" s="58"/>
      <c r="H301" s="59"/>
      <c r="I301" s="59"/>
      <c r="J301" s="59"/>
      <c r="K301" s="59"/>
      <c r="L301" s="59"/>
      <c r="M301" s="60"/>
      <c r="N301" s="60"/>
      <c r="O301" s="60"/>
      <c r="P301" s="59"/>
      <c r="Q301" s="59"/>
      <c r="R301" s="60"/>
      <c r="S301" s="60"/>
      <c r="T301" s="60"/>
      <c r="U301" s="60"/>
      <c r="V301" s="60"/>
      <c r="W301" s="60"/>
    </row>
    <row r="302" spans="1:23" ht="13" x14ac:dyDescent="0.3">
      <c r="A302" s="58"/>
      <c r="B302" s="58"/>
      <c r="C302" s="58"/>
      <c r="D302" s="58"/>
      <c r="E302" s="58"/>
      <c r="F302" s="58"/>
      <c r="G302" s="58"/>
      <c r="H302" s="59"/>
      <c r="I302" s="59"/>
      <c r="J302" s="59"/>
      <c r="K302" s="59"/>
      <c r="L302" s="59"/>
      <c r="M302" s="60"/>
      <c r="N302" s="60"/>
      <c r="O302" s="60"/>
      <c r="P302" s="59"/>
      <c r="Q302" s="59"/>
      <c r="R302" s="60"/>
      <c r="S302" s="60"/>
      <c r="T302" s="60"/>
      <c r="U302" s="60"/>
      <c r="V302" s="60"/>
      <c r="W302" s="60"/>
    </row>
    <row r="303" spans="1:23" ht="13" x14ac:dyDescent="0.3">
      <c r="A303" s="58"/>
      <c r="B303" s="58"/>
      <c r="C303" s="58"/>
      <c r="D303" s="58"/>
      <c r="E303" s="58"/>
      <c r="F303" s="58"/>
      <c r="G303" s="58"/>
      <c r="H303" s="59"/>
      <c r="I303" s="59"/>
      <c r="J303" s="59"/>
      <c r="K303" s="59"/>
      <c r="L303" s="59"/>
      <c r="M303" s="60"/>
      <c r="N303" s="60"/>
      <c r="O303" s="60"/>
      <c r="P303" s="59"/>
      <c r="Q303" s="59"/>
      <c r="R303" s="60"/>
      <c r="S303" s="60"/>
      <c r="T303" s="60"/>
      <c r="U303" s="60"/>
      <c r="V303" s="60"/>
      <c r="W303" s="60"/>
    </row>
    <row r="304" spans="1:23" ht="13" x14ac:dyDescent="0.3">
      <c r="A304" s="58"/>
      <c r="B304" s="58"/>
      <c r="C304" s="58"/>
      <c r="D304" s="58"/>
      <c r="E304" s="58"/>
      <c r="F304" s="58"/>
      <c r="G304" s="58"/>
      <c r="H304" s="59"/>
      <c r="I304" s="59"/>
      <c r="J304" s="59"/>
      <c r="K304" s="59"/>
      <c r="L304" s="59"/>
      <c r="M304" s="60"/>
      <c r="N304" s="60"/>
      <c r="O304" s="60"/>
      <c r="P304" s="59"/>
      <c r="Q304" s="59"/>
      <c r="R304" s="60"/>
      <c r="S304" s="60"/>
      <c r="T304" s="60"/>
      <c r="U304" s="60"/>
      <c r="V304" s="60"/>
      <c r="W304" s="60"/>
    </row>
    <row r="305" spans="1:23" ht="13" x14ac:dyDescent="0.3">
      <c r="A305" s="58"/>
      <c r="B305" s="58"/>
      <c r="C305" s="58"/>
      <c r="D305" s="58"/>
      <c r="E305" s="58"/>
      <c r="F305" s="58"/>
      <c r="G305" s="58"/>
      <c r="H305" s="59"/>
      <c r="I305" s="59"/>
      <c r="J305" s="59"/>
      <c r="K305" s="59"/>
      <c r="L305" s="59"/>
      <c r="M305" s="60"/>
      <c r="N305" s="60"/>
      <c r="O305" s="60"/>
      <c r="P305" s="59"/>
      <c r="Q305" s="59"/>
      <c r="R305" s="60"/>
      <c r="S305" s="60"/>
      <c r="T305" s="60"/>
      <c r="U305" s="60"/>
      <c r="V305" s="60"/>
      <c r="W305" s="60"/>
    </row>
    <row r="306" spans="1:23" ht="13" x14ac:dyDescent="0.3">
      <c r="A306" s="58"/>
      <c r="B306" s="58"/>
      <c r="C306" s="58"/>
      <c r="D306" s="58"/>
      <c r="E306" s="58"/>
      <c r="F306" s="58"/>
      <c r="G306" s="58"/>
      <c r="H306" s="59"/>
      <c r="I306" s="59"/>
      <c r="J306" s="59"/>
      <c r="K306" s="59"/>
      <c r="L306" s="59"/>
      <c r="M306" s="60"/>
      <c r="N306" s="60"/>
      <c r="O306" s="60"/>
      <c r="P306" s="59"/>
      <c r="Q306" s="59"/>
      <c r="R306" s="60"/>
      <c r="S306" s="60"/>
      <c r="T306" s="60"/>
      <c r="U306" s="60"/>
      <c r="V306" s="60"/>
      <c r="W306" s="60"/>
    </row>
    <row r="307" spans="1:23" ht="13" x14ac:dyDescent="0.3">
      <c r="A307" s="58"/>
      <c r="B307" s="58"/>
      <c r="C307" s="58"/>
      <c r="D307" s="58"/>
      <c r="E307" s="58"/>
      <c r="F307" s="58"/>
      <c r="G307" s="58"/>
      <c r="H307" s="59"/>
      <c r="I307" s="59"/>
      <c r="J307" s="59"/>
      <c r="K307" s="59"/>
      <c r="L307" s="59"/>
      <c r="M307" s="60"/>
      <c r="N307" s="60"/>
      <c r="O307" s="60"/>
      <c r="P307" s="59"/>
      <c r="Q307" s="59"/>
      <c r="R307" s="60"/>
      <c r="S307" s="60"/>
      <c r="T307" s="60"/>
      <c r="U307" s="60"/>
      <c r="V307" s="60"/>
      <c r="W307" s="60"/>
    </row>
    <row r="308" spans="1:23" ht="13" x14ac:dyDescent="0.3">
      <c r="A308" s="58"/>
      <c r="B308" s="58"/>
      <c r="C308" s="58"/>
      <c r="D308" s="58"/>
      <c r="E308" s="58"/>
      <c r="F308" s="58"/>
      <c r="G308" s="58"/>
      <c r="H308" s="59"/>
      <c r="I308" s="59"/>
      <c r="J308" s="59"/>
      <c r="K308" s="59"/>
      <c r="L308" s="59"/>
      <c r="M308" s="60"/>
      <c r="N308" s="60"/>
      <c r="O308" s="60"/>
      <c r="P308" s="59"/>
      <c r="Q308" s="59"/>
      <c r="R308" s="60"/>
      <c r="S308" s="60"/>
      <c r="T308" s="60"/>
      <c r="U308" s="60"/>
      <c r="V308" s="60"/>
      <c r="W308" s="60"/>
    </row>
    <row r="309" spans="1:23" ht="13" x14ac:dyDescent="0.3">
      <c r="A309" s="58"/>
      <c r="B309" s="58"/>
      <c r="C309" s="58"/>
      <c r="D309" s="58"/>
      <c r="E309" s="58"/>
      <c r="F309" s="58"/>
      <c r="G309" s="58"/>
      <c r="H309" s="59"/>
      <c r="I309" s="59"/>
      <c r="J309" s="59"/>
      <c r="K309" s="59"/>
      <c r="L309" s="59"/>
      <c r="M309" s="60"/>
      <c r="N309" s="60"/>
      <c r="O309" s="60"/>
      <c r="P309" s="59"/>
      <c r="Q309" s="59"/>
      <c r="R309" s="60"/>
      <c r="S309" s="60"/>
      <c r="T309" s="60"/>
      <c r="U309" s="60"/>
      <c r="V309" s="60"/>
      <c r="W309" s="60"/>
    </row>
    <row r="310" spans="1:23" ht="13" x14ac:dyDescent="0.3">
      <c r="A310" s="58"/>
      <c r="B310" s="58"/>
      <c r="C310" s="58"/>
      <c r="D310" s="58"/>
      <c r="E310" s="58"/>
      <c r="F310" s="58"/>
      <c r="G310" s="58"/>
      <c r="H310" s="59"/>
      <c r="I310" s="59"/>
      <c r="J310" s="59"/>
      <c r="K310" s="59"/>
      <c r="L310" s="59"/>
      <c r="M310" s="60"/>
      <c r="N310" s="60"/>
      <c r="O310" s="60"/>
      <c r="P310" s="59"/>
      <c r="Q310" s="59"/>
      <c r="R310" s="60"/>
      <c r="S310" s="60"/>
      <c r="T310" s="60"/>
      <c r="U310" s="60"/>
      <c r="V310" s="60"/>
      <c r="W310" s="60"/>
    </row>
    <row r="311" spans="1:23" ht="13" x14ac:dyDescent="0.3">
      <c r="A311" s="58"/>
      <c r="B311" s="58"/>
      <c r="C311" s="58"/>
      <c r="D311" s="58"/>
      <c r="E311" s="58"/>
      <c r="F311" s="58"/>
      <c r="G311" s="58"/>
      <c r="H311" s="59"/>
      <c r="I311" s="59"/>
      <c r="J311" s="59"/>
      <c r="K311" s="59"/>
      <c r="L311" s="59"/>
      <c r="M311" s="60"/>
      <c r="N311" s="60"/>
      <c r="O311" s="60"/>
      <c r="P311" s="59"/>
      <c r="Q311" s="59"/>
      <c r="R311" s="60"/>
      <c r="S311" s="60"/>
      <c r="T311" s="60"/>
      <c r="U311" s="60"/>
      <c r="V311" s="60"/>
      <c r="W311" s="60"/>
    </row>
    <row r="312" spans="1:23" ht="13" x14ac:dyDescent="0.3">
      <c r="A312" s="58"/>
      <c r="B312" s="58"/>
      <c r="C312" s="58"/>
      <c r="D312" s="58"/>
      <c r="E312" s="58"/>
      <c r="F312" s="58"/>
      <c r="G312" s="58"/>
      <c r="H312" s="59"/>
      <c r="I312" s="59"/>
      <c r="J312" s="59"/>
      <c r="K312" s="59"/>
      <c r="L312" s="59"/>
      <c r="M312" s="60"/>
      <c r="N312" s="60"/>
      <c r="O312" s="60"/>
      <c r="P312" s="59"/>
      <c r="Q312" s="59"/>
      <c r="R312" s="60"/>
      <c r="S312" s="60"/>
      <c r="T312" s="60"/>
      <c r="U312" s="60"/>
      <c r="V312" s="60"/>
      <c r="W312" s="60"/>
    </row>
    <row r="313" spans="1:23" ht="13" x14ac:dyDescent="0.3">
      <c r="A313" s="58"/>
      <c r="B313" s="58"/>
      <c r="C313" s="58"/>
      <c r="D313" s="58"/>
      <c r="E313" s="58"/>
      <c r="F313" s="58"/>
      <c r="G313" s="58"/>
      <c r="H313" s="59"/>
      <c r="I313" s="59"/>
      <c r="J313" s="59"/>
      <c r="K313" s="59"/>
      <c r="L313" s="59"/>
      <c r="M313" s="60"/>
      <c r="N313" s="60"/>
      <c r="O313" s="60"/>
      <c r="P313" s="59"/>
      <c r="Q313" s="59"/>
      <c r="R313" s="60"/>
      <c r="S313" s="60"/>
      <c r="T313" s="60"/>
      <c r="U313" s="60"/>
      <c r="V313" s="60"/>
      <c r="W313" s="60"/>
    </row>
    <row r="314" spans="1:23" ht="13" x14ac:dyDescent="0.3">
      <c r="A314" s="58"/>
      <c r="B314" s="58"/>
      <c r="C314" s="58"/>
      <c r="D314" s="58"/>
      <c r="E314" s="58"/>
      <c r="F314" s="58"/>
      <c r="G314" s="58"/>
      <c r="H314" s="59"/>
      <c r="I314" s="59"/>
      <c r="J314" s="59"/>
      <c r="K314" s="59"/>
      <c r="L314" s="59"/>
      <c r="M314" s="60"/>
      <c r="N314" s="60"/>
      <c r="O314" s="60"/>
      <c r="P314" s="59"/>
      <c r="Q314" s="59"/>
      <c r="R314" s="60"/>
      <c r="S314" s="60"/>
      <c r="T314" s="60"/>
      <c r="U314" s="60"/>
      <c r="V314" s="60"/>
      <c r="W314" s="60"/>
    </row>
    <row r="315" spans="1:23" ht="13" x14ac:dyDescent="0.3">
      <c r="A315" s="58"/>
      <c r="B315" s="58"/>
      <c r="C315" s="58"/>
      <c r="D315" s="58"/>
      <c r="E315" s="58"/>
      <c r="F315" s="58"/>
      <c r="G315" s="58"/>
      <c r="H315" s="59"/>
      <c r="I315" s="59"/>
      <c r="J315" s="59"/>
      <c r="K315" s="59"/>
      <c r="L315" s="59"/>
      <c r="M315" s="60"/>
      <c r="N315" s="60"/>
      <c r="O315" s="60"/>
      <c r="P315" s="59"/>
      <c r="Q315" s="59"/>
      <c r="R315" s="60"/>
      <c r="S315" s="60"/>
      <c r="T315" s="60"/>
      <c r="U315" s="60"/>
      <c r="V315" s="60"/>
      <c r="W315" s="60"/>
    </row>
    <row r="316" spans="1:23" ht="13" x14ac:dyDescent="0.3">
      <c r="A316" s="58"/>
      <c r="B316" s="58"/>
      <c r="C316" s="58"/>
      <c r="D316" s="58"/>
      <c r="E316" s="58"/>
      <c r="F316" s="58"/>
      <c r="G316" s="58"/>
      <c r="H316" s="59"/>
      <c r="I316" s="59"/>
      <c r="J316" s="59"/>
      <c r="K316" s="59"/>
      <c r="L316" s="59"/>
      <c r="M316" s="60"/>
      <c r="N316" s="60"/>
      <c r="O316" s="60"/>
      <c r="P316" s="59"/>
      <c r="Q316" s="59"/>
      <c r="R316" s="60"/>
      <c r="S316" s="60"/>
      <c r="T316" s="60"/>
      <c r="U316" s="60"/>
      <c r="V316" s="60"/>
      <c r="W316" s="60"/>
    </row>
    <row r="317" spans="1:23" ht="13" x14ac:dyDescent="0.3">
      <c r="A317" s="58"/>
      <c r="B317" s="58"/>
      <c r="C317" s="58"/>
      <c r="D317" s="58"/>
      <c r="E317" s="58"/>
      <c r="F317" s="58"/>
      <c r="G317" s="58"/>
      <c r="H317" s="59"/>
      <c r="I317" s="59"/>
      <c r="J317" s="59"/>
      <c r="K317" s="59"/>
      <c r="L317" s="59"/>
      <c r="M317" s="60"/>
      <c r="N317" s="60"/>
      <c r="O317" s="60"/>
      <c r="P317" s="59"/>
      <c r="Q317" s="59"/>
      <c r="R317" s="60"/>
      <c r="S317" s="60"/>
      <c r="T317" s="60"/>
      <c r="U317" s="60"/>
      <c r="V317" s="60"/>
      <c r="W317" s="60"/>
    </row>
    <row r="318" spans="1:23" ht="13" x14ac:dyDescent="0.3">
      <c r="A318" s="58"/>
      <c r="B318" s="58"/>
      <c r="C318" s="58"/>
      <c r="D318" s="58"/>
      <c r="E318" s="58"/>
      <c r="F318" s="58"/>
      <c r="G318" s="58"/>
      <c r="H318" s="59"/>
      <c r="I318" s="59"/>
      <c r="J318" s="59"/>
      <c r="K318" s="59"/>
      <c r="L318" s="59"/>
      <c r="M318" s="60"/>
      <c r="N318" s="60"/>
      <c r="O318" s="60"/>
      <c r="P318" s="59"/>
      <c r="Q318" s="59"/>
      <c r="R318" s="60"/>
      <c r="S318" s="60"/>
      <c r="T318" s="60"/>
      <c r="U318" s="60"/>
      <c r="V318" s="60"/>
      <c r="W318" s="60"/>
    </row>
    <row r="319" spans="1:23" ht="13" x14ac:dyDescent="0.3">
      <c r="A319" s="58"/>
      <c r="B319" s="58"/>
      <c r="C319" s="58"/>
      <c r="D319" s="58"/>
      <c r="E319" s="58"/>
      <c r="F319" s="58"/>
      <c r="G319" s="58"/>
      <c r="H319" s="59"/>
      <c r="I319" s="59"/>
      <c r="J319" s="59"/>
      <c r="K319" s="59"/>
      <c r="L319" s="59"/>
      <c r="M319" s="60"/>
      <c r="N319" s="60"/>
      <c r="O319" s="60"/>
      <c r="P319" s="59"/>
      <c r="Q319" s="59"/>
      <c r="R319" s="60"/>
      <c r="S319" s="60"/>
      <c r="T319" s="60"/>
      <c r="U319" s="60"/>
      <c r="V319" s="60"/>
      <c r="W319" s="60"/>
    </row>
    <row r="320" spans="1:23" ht="13" x14ac:dyDescent="0.3">
      <c r="A320" s="58"/>
      <c r="B320" s="58"/>
      <c r="C320" s="58"/>
      <c r="D320" s="58"/>
      <c r="E320" s="58"/>
      <c r="F320" s="58"/>
      <c r="G320" s="58"/>
      <c r="H320" s="59"/>
      <c r="I320" s="59"/>
      <c r="J320" s="59"/>
      <c r="K320" s="59"/>
      <c r="L320" s="59"/>
      <c r="M320" s="60"/>
      <c r="N320" s="60"/>
      <c r="O320" s="60"/>
      <c r="P320" s="59"/>
      <c r="Q320" s="59"/>
      <c r="R320" s="60"/>
      <c r="S320" s="60"/>
      <c r="T320" s="60"/>
      <c r="U320" s="60"/>
      <c r="V320" s="60"/>
      <c r="W320" s="60"/>
    </row>
    <row r="321" spans="1:23" ht="13" x14ac:dyDescent="0.3">
      <c r="A321" s="58"/>
      <c r="B321" s="58"/>
      <c r="C321" s="58"/>
      <c r="D321" s="58"/>
      <c r="E321" s="58"/>
      <c r="F321" s="58"/>
      <c r="G321" s="58"/>
      <c r="H321" s="59"/>
      <c r="I321" s="59"/>
      <c r="J321" s="59"/>
      <c r="K321" s="59"/>
      <c r="L321" s="59"/>
      <c r="M321" s="60"/>
      <c r="N321" s="60"/>
      <c r="O321" s="60"/>
      <c r="P321" s="59"/>
      <c r="Q321" s="59"/>
      <c r="R321" s="60"/>
      <c r="S321" s="60"/>
      <c r="T321" s="60"/>
      <c r="U321" s="60"/>
      <c r="V321" s="60"/>
      <c r="W321" s="60"/>
    </row>
    <row r="322" spans="1:23" ht="13" x14ac:dyDescent="0.3">
      <c r="A322" s="58"/>
      <c r="B322" s="58"/>
      <c r="C322" s="58"/>
      <c r="D322" s="58"/>
      <c r="E322" s="58"/>
      <c r="F322" s="58"/>
      <c r="G322" s="58"/>
      <c r="H322" s="59"/>
      <c r="I322" s="59"/>
      <c r="J322" s="59"/>
      <c r="K322" s="59"/>
      <c r="L322" s="59"/>
      <c r="M322" s="60"/>
      <c r="N322" s="60"/>
      <c r="O322" s="60"/>
      <c r="P322" s="59"/>
      <c r="Q322" s="59"/>
      <c r="R322" s="60"/>
      <c r="S322" s="60"/>
      <c r="T322" s="60"/>
      <c r="U322" s="60"/>
      <c r="V322" s="60"/>
      <c r="W322" s="60"/>
    </row>
    <row r="323" spans="1:23" ht="13" x14ac:dyDescent="0.3">
      <c r="A323" s="58"/>
      <c r="B323" s="58"/>
      <c r="C323" s="58"/>
      <c r="D323" s="58"/>
      <c r="E323" s="58"/>
      <c r="F323" s="58"/>
      <c r="G323" s="58"/>
      <c r="H323" s="59"/>
      <c r="I323" s="59"/>
      <c r="J323" s="59"/>
      <c r="K323" s="59"/>
      <c r="L323" s="59"/>
      <c r="M323" s="60"/>
      <c r="N323" s="60"/>
      <c r="O323" s="60"/>
      <c r="P323" s="59"/>
      <c r="Q323" s="59"/>
      <c r="R323" s="60"/>
      <c r="S323" s="60"/>
      <c r="T323" s="60"/>
      <c r="U323" s="60"/>
      <c r="V323" s="60"/>
      <c r="W323" s="60"/>
    </row>
    <row r="324" spans="1:23" ht="13" x14ac:dyDescent="0.3">
      <c r="A324" s="58"/>
      <c r="B324" s="58"/>
      <c r="C324" s="58"/>
      <c r="D324" s="58"/>
      <c r="E324" s="58"/>
      <c r="F324" s="58"/>
      <c r="G324" s="58"/>
      <c r="H324" s="59"/>
      <c r="I324" s="59"/>
      <c r="J324" s="59"/>
      <c r="K324" s="59"/>
      <c r="L324" s="59"/>
      <c r="M324" s="60"/>
      <c r="N324" s="60"/>
      <c r="O324" s="60"/>
      <c r="P324" s="59"/>
      <c r="Q324" s="59"/>
      <c r="R324" s="60"/>
      <c r="S324" s="60"/>
      <c r="T324" s="60"/>
      <c r="U324" s="60"/>
      <c r="V324" s="60"/>
      <c r="W324" s="60"/>
    </row>
    <row r="325" spans="1:23" ht="13" x14ac:dyDescent="0.3">
      <c r="A325" s="58"/>
      <c r="B325" s="58"/>
      <c r="C325" s="58"/>
      <c r="D325" s="58"/>
      <c r="E325" s="58"/>
      <c r="F325" s="58"/>
      <c r="G325" s="58"/>
      <c r="H325" s="59"/>
      <c r="I325" s="59"/>
      <c r="J325" s="59"/>
      <c r="K325" s="59"/>
      <c r="L325" s="59"/>
      <c r="M325" s="60"/>
      <c r="N325" s="60"/>
      <c r="O325" s="60"/>
      <c r="P325" s="59"/>
      <c r="Q325" s="59"/>
      <c r="R325" s="60"/>
      <c r="S325" s="60"/>
      <c r="T325" s="60"/>
      <c r="U325" s="60"/>
      <c r="V325" s="60"/>
      <c r="W325" s="60"/>
    </row>
    <row r="326" spans="1:23" ht="13" x14ac:dyDescent="0.3">
      <c r="A326" s="58"/>
      <c r="B326" s="58"/>
      <c r="C326" s="58"/>
      <c r="D326" s="58"/>
      <c r="E326" s="58"/>
      <c r="F326" s="58"/>
      <c r="G326" s="58"/>
      <c r="H326" s="59"/>
      <c r="I326" s="59"/>
      <c r="J326" s="59"/>
      <c r="K326" s="59"/>
      <c r="L326" s="59"/>
      <c r="M326" s="60"/>
      <c r="N326" s="60"/>
      <c r="O326" s="60"/>
      <c r="P326" s="59"/>
      <c r="Q326" s="59"/>
      <c r="R326" s="60"/>
      <c r="S326" s="60"/>
      <c r="T326" s="60"/>
      <c r="U326" s="60"/>
      <c r="V326" s="60"/>
      <c r="W326" s="60"/>
    </row>
    <row r="327" spans="1:23" ht="13" x14ac:dyDescent="0.3">
      <c r="A327" s="58"/>
      <c r="B327" s="58"/>
      <c r="C327" s="58"/>
      <c r="D327" s="58"/>
      <c r="E327" s="58"/>
      <c r="F327" s="58"/>
      <c r="G327" s="58"/>
      <c r="H327" s="59"/>
      <c r="I327" s="59"/>
      <c r="J327" s="59"/>
      <c r="K327" s="59"/>
      <c r="L327" s="59"/>
      <c r="M327" s="60"/>
      <c r="N327" s="60"/>
      <c r="O327" s="60"/>
      <c r="P327" s="59"/>
      <c r="Q327" s="59"/>
      <c r="R327" s="60"/>
      <c r="S327" s="60"/>
      <c r="T327" s="60"/>
      <c r="U327" s="60"/>
      <c r="V327" s="60"/>
      <c r="W327" s="60"/>
    </row>
    <row r="328" spans="1:23" ht="13" x14ac:dyDescent="0.3">
      <c r="A328" s="58"/>
      <c r="B328" s="58"/>
      <c r="C328" s="58"/>
      <c r="D328" s="58"/>
      <c r="E328" s="58"/>
      <c r="F328" s="58"/>
      <c r="G328" s="58"/>
      <c r="H328" s="59"/>
      <c r="I328" s="59"/>
      <c r="J328" s="59"/>
      <c r="K328" s="59"/>
      <c r="L328" s="59"/>
      <c r="M328" s="60"/>
      <c r="N328" s="60"/>
      <c r="O328" s="60"/>
      <c r="P328" s="59"/>
      <c r="Q328" s="59"/>
      <c r="R328" s="60"/>
      <c r="S328" s="60"/>
      <c r="T328" s="60"/>
      <c r="U328" s="60"/>
      <c r="V328" s="60"/>
      <c r="W328" s="60"/>
    </row>
    <row r="329" spans="1:23" ht="13" x14ac:dyDescent="0.3">
      <c r="A329" s="58"/>
      <c r="B329" s="58"/>
      <c r="C329" s="58"/>
      <c r="D329" s="58"/>
      <c r="E329" s="58"/>
      <c r="F329" s="58"/>
      <c r="G329" s="58"/>
      <c r="H329" s="59"/>
      <c r="I329" s="59"/>
      <c r="J329" s="59"/>
      <c r="K329" s="59"/>
      <c r="L329" s="59"/>
      <c r="M329" s="60"/>
      <c r="N329" s="60"/>
      <c r="O329" s="60"/>
      <c r="P329" s="59"/>
      <c r="Q329" s="59"/>
      <c r="R329" s="60"/>
      <c r="S329" s="60"/>
      <c r="T329" s="60"/>
      <c r="U329" s="60"/>
      <c r="V329" s="60"/>
      <c r="W329" s="60"/>
    </row>
    <row r="330" spans="1:23" ht="13" x14ac:dyDescent="0.3">
      <c r="A330" s="58"/>
      <c r="B330" s="58"/>
      <c r="C330" s="58"/>
      <c r="D330" s="58"/>
      <c r="E330" s="58"/>
      <c r="F330" s="58"/>
      <c r="G330" s="58"/>
      <c r="H330" s="59"/>
      <c r="I330" s="59"/>
      <c r="J330" s="59"/>
      <c r="K330" s="59"/>
      <c r="L330" s="59"/>
      <c r="M330" s="60"/>
      <c r="N330" s="60"/>
      <c r="O330" s="60"/>
      <c r="P330" s="59"/>
      <c r="Q330" s="59"/>
      <c r="R330" s="60"/>
      <c r="S330" s="60"/>
      <c r="T330" s="60"/>
      <c r="U330" s="60"/>
      <c r="V330" s="60"/>
      <c r="W330" s="60"/>
    </row>
    <row r="331" spans="1:23" ht="13" x14ac:dyDescent="0.3">
      <c r="A331" s="58"/>
      <c r="B331" s="58"/>
      <c r="C331" s="58"/>
      <c r="D331" s="58"/>
      <c r="E331" s="58"/>
      <c r="F331" s="58"/>
      <c r="G331" s="58"/>
      <c r="H331" s="59"/>
      <c r="I331" s="59"/>
      <c r="J331" s="59"/>
      <c r="K331" s="59"/>
      <c r="L331" s="59"/>
      <c r="M331" s="60"/>
      <c r="N331" s="60"/>
      <c r="O331" s="60"/>
      <c r="P331" s="59"/>
      <c r="Q331" s="59"/>
      <c r="R331" s="60"/>
      <c r="S331" s="60"/>
      <c r="T331" s="60"/>
      <c r="U331" s="60"/>
      <c r="V331" s="60"/>
      <c r="W331" s="60"/>
    </row>
    <row r="332" spans="1:23" ht="13" x14ac:dyDescent="0.3">
      <c r="A332" s="58"/>
      <c r="B332" s="58"/>
      <c r="C332" s="58"/>
      <c r="D332" s="58"/>
      <c r="E332" s="58"/>
      <c r="F332" s="58"/>
      <c r="G332" s="58"/>
      <c r="H332" s="59"/>
      <c r="I332" s="59"/>
      <c r="J332" s="59"/>
      <c r="K332" s="59"/>
      <c r="L332" s="59"/>
      <c r="M332" s="60"/>
      <c r="N332" s="60"/>
      <c r="O332" s="60"/>
      <c r="P332" s="59"/>
      <c r="Q332" s="59"/>
      <c r="R332" s="60"/>
      <c r="S332" s="60"/>
      <c r="T332" s="60"/>
      <c r="U332" s="60"/>
      <c r="V332" s="60"/>
      <c r="W332" s="60"/>
    </row>
    <row r="333" spans="1:23" ht="13" x14ac:dyDescent="0.3">
      <c r="A333" s="58"/>
      <c r="B333" s="58"/>
      <c r="C333" s="58"/>
      <c r="D333" s="58"/>
      <c r="E333" s="58"/>
      <c r="F333" s="58"/>
      <c r="G333" s="58"/>
      <c r="H333" s="59"/>
      <c r="I333" s="59"/>
      <c r="J333" s="59"/>
      <c r="K333" s="59"/>
      <c r="L333" s="59"/>
      <c r="M333" s="60"/>
      <c r="N333" s="60"/>
      <c r="O333" s="60"/>
      <c r="P333" s="59"/>
      <c r="Q333" s="59"/>
      <c r="R333" s="60"/>
      <c r="S333" s="60"/>
      <c r="T333" s="60"/>
      <c r="U333" s="60"/>
      <c r="V333" s="60"/>
      <c r="W333" s="60"/>
    </row>
    <row r="334" spans="1:23" ht="13" x14ac:dyDescent="0.3">
      <c r="A334" s="58"/>
      <c r="B334" s="58"/>
      <c r="C334" s="58"/>
      <c r="D334" s="58"/>
      <c r="E334" s="58"/>
      <c r="F334" s="58"/>
      <c r="G334" s="58"/>
      <c r="H334" s="59"/>
      <c r="I334" s="59"/>
      <c r="J334" s="59"/>
      <c r="K334" s="59"/>
      <c r="L334" s="59"/>
      <c r="M334" s="60"/>
      <c r="N334" s="60"/>
      <c r="O334" s="60"/>
      <c r="P334" s="59"/>
      <c r="Q334" s="59"/>
      <c r="R334" s="60"/>
      <c r="S334" s="60"/>
      <c r="T334" s="60"/>
      <c r="U334" s="60"/>
      <c r="V334" s="60"/>
      <c r="W334" s="60"/>
    </row>
    <row r="335" spans="1:23" ht="13" x14ac:dyDescent="0.3">
      <c r="A335" s="58"/>
      <c r="B335" s="58"/>
      <c r="C335" s="58"/>
      <c r="D335" s="58"/>
      <c r="E335" s="58"/>
      <c r="F335" s="58"/>
      <c r="G335" s="58"/>
      <c r="H335" s="59"/>
      <c r="I335" s="59"/>
      <c r="J335" s="59"/>
      <c r="K335" s="59"/>
      <c r="L335" s="59"/>
      <c r="M335" s="60"/>
      <c r="N335" s="60"/>
      <c r="O335" s="60"/>
      <c r="P335" s="59"/>
      <c r="Q335" s="59"/>
      <c r="R335" s="60"/>
      <c r="S335" s="60"/>
      <c r="T335" s="60"/>
      <c r="U335" s="60"/>
      <c r="V335" s="60"/>
      <c r="W335" s="60"/>
    </row>
    <row r="336" spans="1:23" ht="13" x14ac:dyDescent="0.3">
      <c r="A336" s="58"/>
      <c r="B336" s="58"/>
      <c r="C336" s="58"/>
      <c r="D336" s="58"/>
      <c r="E336" s="58"/>
      <c r="F336" s="58"/>
      <c r="G336" s="58"/>
      <c r="H336" s="59"/>
      <c r="I336" s="59"/>
      <c r="J336" s="59"/>
      <c r="K336" s="59"/>
      <c r="L336" s="59"/>
      <c r="M336" s="60"/>
      <c r="N336" s="60"/>
      <c r="O336" s="60"/>
      <c r="P336" s="59"/>
      <c r="Q336" s="59"/>
      <c r="R336" s="60"/>
      <c r="S336" s="60"/>
      <c r="T336" s="60"/>
      <c r="U336" s="60"/>
      <c r="V336" s="60"/>
      <c r="W336" s="60"/>
    </row>
    <row r="337" spans="1:23" ht="13" x14ac:dyDescent="0.3">
      <c r="A337" s="58"/>
      <c r="B337" s="58"/>
      <c r="C337" s="58"/>
      <c r="D337" s="58"/>
      <c r="E337" s="58"/>
      <c r="F337" s="58"/>
      <c r="G337" s="58"/>
      <c r="H337" s="59"/>
      <c r="I337" s="59"/>
      <c r="J337" s="59"/>
      <c r="K337" s="59"/>
      <c r="L337" s="59"/>
      <c r="M337" s="60"/>
      <c r="N337" s="60"/>
      <c r="O337" s="60"/>
      <c r="P337" s="59"/>
      <c r="Q337" s="59"/>
      <c r="R337" s="60"/>
      <c r="S337" s="60"/>
      <c r="T337" s="60"/>
      <c r="U337" s="60"/>
      <c r="V337" s="60"/>
      <c r="W337" s="60"/>
    </row>
    <row r="338" spans="1:23" ht="13" x14ac:dyDescent="0.3">
      <c r="A338" s="58"/>
      <c r="B338" s="58"/>
      <c r="C338" s="58"/>
      <c r="D338" s="58"/>
      <c r="E338" s="58"/>
      <c r="F338" s="58"/>
      <c r="G338" s="58"/>
      <c r="H338" s="59"/>
      <c r="I338" s="59"/>
      <c r="J338" s="59"/>
      <c r="K338" s="59"/>
      <c r="L338" s="59"/>
      <c r="M338" s="60"/>
      <c r="N338" s="60"/>
      <c r="O338" s="60"/>
      <c r="P338" s="59"/>
      <c r="Q338" s="59"/>
      <c r="R338" s="60"/>
      <c r="S338" s="60"/>
      <c r="T338" s="60"/>
      <c r="U338" s="60"/>
      <c r="V338" s="60"/>
      <c r="W338" s="60"/>
    </row>
    <row r="339" spans="1:23" ht="13" x14ac:dyDescent="0.3">
      <c r="A339" s="58"/>
      <c r="B339" s="58"/>
      <c r="C339" s="58"/>
      <c r="D339" s="58"/>
      <c r="E339" s="58"/>
      <c r="F339" s="58"/>
      <c r="G339" s="58"/>
      <c r="H339" s="59"/>
      <c r="I339" s="59"/>
      <c r="J339" s="59"/>
      <c r="K339" s="59"/>
      <c r="L339" s="59"/>
      <c r="M339" s="60"/>
      <c r="N339" s="60"/>
      <c r="O339" s="60"/>
      <c r="P339" s="59"/>
      <c r="Q339" s="59"/>
      <c r="R339" s="60"/>
      <c r="S339" s="60"/>
      <c r="T339" s="60"/>
      <c r="U339" s="60"/>
      <c r="V339" s="60"/>
      <c r="W339" s="60"/>
    </row>
    <row r="340" spans="1:23" ht="13" x14ac:dyDescent="0.3">
      <c r="A340" s="58"/>
      <c r="B340" s="58"/>
      <c r="C340" s="58"/>
      <c r="D340" s="58"/>
      <c r="E340" s="58"/>
      <c r="F340" s="58"/>
      <c r="G340" s="58"/>
      <c r="H340" s="59"/>
      <c r="I340" s="59"/>
      <c r="J340" s="59"/>
      <c r="K340" s="59"/>
      <c r="L340" s="59"/>
      <c r="M340" s="60"/>
      <c r="N340" s="60"/>
      <c r="O340" s="60"/>
      <c r="P340" s="59"/>
      <c r="Q340" s="59"/>
      <c r="R340" s="60"/>
      <c r="S340" s="60"/>
      <c r="T340" s="60"/>
      <c r="U340" s="60"/>
      <c r="V340" s="60"/>
      <c r="W340" s="60"/>
    </row>
    <row r="341" spans="1:23" ht="13" x14ac:dyDescent="0.3">
      <c r="A341" s="58"/>
      <c r="B341" s="58"/>
      <c r="C341" s="58"/>
      <c r="D341" s="58"/>
      <c r="E341" s="58"/>
      <c r="F341" s="58"/>
      <c r="G341" s="58"/>
      <c r="H341" s="59"/>
      <c r="I341" s="59"/>
      <c r="J341" s="59"/>
      <c r="K341" s="59"/>
      <c r="L341" s="59"/>
      <c r="M341" s="60"/>
      <c r="N341" s="60"/>
      <c r="O341" s="60"/>
      <c r="P341" s="59"/>
      <c r="Q341" s="59"/>
      <c r="R341" s="60"/>
      <c r="S341" s="60"/>
      <c r="T341" s="60"/>
      <c r="U341" s="60"/>
      <c r="V341" s="60"/>
      <c r="W341" s="60"/>
    </row>
    <row r="342" spans="1:23" ht="13" x14ac:dyDescent="0.3">
      <c r="A342" s="58"/>
      <c r="B342" s="58"/>
      <c r="C342" s="58"/>
      <c r="D342" s="58"/>
      <c r="E342" s="58"/>
      <c r="F342" s="58"/>
      <c r="G342" s="58"/>
      <c r="H342" s="59"/>
      <c r="I342" s="59"/>
      <c r="J342" s="59"/>
      <c r="K342" s="59"/>
      <c r="L342" s="59"/>
      <c r="M342" s="60"/>
      <c r="N342" s="60"/>
      <c r="O342" s="60"/>
      <c r="P342" s="59"/>
      <c r="Q342" s="59"/>
      <c r="R342" s="60"/>
      <c r="S342" s="60"/>
      <c r="T342" s="60"/>
      <c r="U342" s="60"/>
      <c r="V342" s="60"/>
      <c r="W342" s="60"/>
    </row>
    <row r="343" spans="1:23" ht="13" x14ac:dyDescent="0.3">
      <c r="A343" s="58"/>
      <c r="B343" s="58"/>
      <c r="C343" s="58"/>
      <c r="D343" s="58"/>
      <c r="E343" s="58"/>
      <c r="F343" s="58"/>
      <c r="G343" s="58"/>
      <c r="H343" s="59"/>
      <c r="I343" s="59"/>
      <c r="J343" s="59"/>
      <c r="K343" s="59"/>
      <c r="L343" s="59"/>
      <c r="M343" s="60"/>
      <c r="N343" s="60"/>
      <c r="O343" s="60"/>
      <c r="P343" s="59"/>
      <c r="Q343" s="59"/>
      <c r="R343" s="60"/>
      <c r="S343" s="60"/>
      <c r="T343" s="60"/>
      <c r="U343" s="60"/>
      <c r="V343" s="60"/>
      <c r="W343" s="60"/>
    </row>
    <row r="344" spans="1:23" ht="13" x14ac:dyDescent="0.3">
      <c r="A344" s="58"/>
      <c r="B344" s="58"/>
      <c r="C344" s="58"/>
      <c r="D344" s="58"/>
      <c r="E344" s="58"/>
      <c r="F344" s="58"/>
      <c r="G344" s="58"/>
      <c r="H344" s="59"/>
      <c r="I344" s="59"/>
      <c r="J344" s="59"/>
      <c r="K344" s="59"/>
      <c r="L344" s="59"/>
      <c r="M344" s="60"/>
      <c r="N344" s="60"/>
      <c r="O344" s="60"/>
      <c r="P344" s="59"/>
      <c r="Q344" s="59"/>
      <c r="R344" s="60"/>
      <c r="S344" s="60"/>
      <c r="T344" s="60"/>
      <c r="U344" s="60"/>
      <c r="V344" s="60"/>
      <c r="W344" s="60"/>
    </row>
    <row r="345" spans="1:23" ht="13" x14ac:dyDescent="0.3">
      <c r="A345" s="58"/>
      <c r="B345" s="58"/>
      <c r="C345" s="58"/>
      <c r="D345" s="58"/>
      <c r="E345" s="58"/>
      <c r="F345" s="58"/>
      <c r="G345" s="58"/>
      <c r="H345" s="59"/>
      <c r="I345" s="59"/>
      <c r="J345" s="59"/>
      <c r="K345" s="59"/>
      <c r="L345" s="59"/>
      <c r="M345" s="60"/>
      <c r="N345" s="60"/>
      <c r="O345" s="60"/>
      <c r="P345" s="59"/>
      <c r="Q345" s="59"/>
      <c r="R345" s="60"/>
      <c r="S345" s="60"/>
      <c r="T345" s="60"/>
      <c r="U345" s="60"/>
      <c r="V345" s="60"/>
      <c r="W345" s="60"/>
    </row>
    <row r="346" spans="1:23" ht="13" x14ac:dyDescent="0.3">
      <c r="A346" s="58"/>
      <c r="B346" s="58"/>
      <c r="C346" s="58"/>
      <c r="D346" s="58"/>
      <c r="E346" s="58"/>
      <c r="F346" s="58"/>
      <c r="G346" s="58"/>
      <c r="H346" s="59"/>
      <c r="I346" s="59"/>
      <c r="J346" s="59"/>
      <c r="K346" s="59"/>
      <c r="L346" s="59"/>
      <c r="M346" s="60"/>
      <c r="N346" s="60"/>
      <c r="O346" s="60"/>
      <c r="P346" s="59"/>
      <c r="Q346" s="59"/>
      <c r="R346" s="60"/>
      <c r="S346" s="60"/>
      <c r="T346" s="60"/>
      <c r="U346" s="60"/>
      <c r="V346" s="60"/>
      <c r="W346" s="60"/>
    </row>
    <row r="347" spans="1:23" ht="13" x14ac:dyDescent="0.3">
      <c r="A347" s="58"/>
      <c r="B347" s="58"/>
      <c r="C347" s="58"/>
      <c r="D347" s="58"/>
      <c r="E347" s="58"/>
      <c r="F347" s="58"/>
      <c r="G347" s="58"/>
      <c r="H347" s="59"/>
      <c r="I347" s="59"/>
      <c r="J347" s="59"/>
      <c r="K347" s="59"/>
      <c r="L347" s="59"/>
      <c r="M347" s="60"/>
      <c r="N347" s="60"/>
      <c r="O347" s="60"/>
      <c r="P347" s="59"/>
      <c r="Q347" s="59"/>
      <c r="R347" s="60"/>
      <c r="S347" s="60"/>
      <c r="T347" s="60"/>
      <c r="U347" s="60"/>
      <c r="V347" s="60"/>
      <c r="W347" s="60"/>
    </row>
    <row r="348" spans="1:23" ht="13" x14ac:dyDescent="0.3">
      <c r="A348" s="58"/>
      <c r="B348" s="58"/>
      <c r="C348" s="58"/>
      <c r="D348" s="58"/>
      <c r="E348" s="58"/>
      <c r="F348" s="58"/>
      <c r="G348" s="58"/>
      <c r="H348" s="59"/>
      <c r="I348" s="59"/>
      <c r="J348" s="59"/>
      <c r="K348" s="59"/>
      <c r="L348" s="59"/>
      <c r="M348" s="60"/>
      <c r="N348" s="60"/>
      <c r="O348" s="60"/>
      <c r="P348" s="59"/>
      <c r="Q348" s="59"/>
      <c r="R348" s="60"/>
      <c r="S348" s="60"/>
      <c r="T348" s="60"/>
      <c r="U348" s="60"/>
      <c r="V348" s="60"/>
      <c r="W348" s="60"/>
    </row>
    <row r="349" spans="1:23" ht="13" x14ac:dyDescent="0.3">
      <c r="A349" s="58"/>
      <c r="B349" s="58"/>
      <c r="C349" s="58"/>
      <c r="D349" s="58"/>
      <c r="E349" s="58"/>
      <c r="F349" s="58"/>
      <c r="G349" s="58"/>
      <c r="H349" s="59"/>
      <c r="I349" s="59"/>
      <c r="J349" s="59"/>
      <c r="K349" s="59"/>
      <c r="L349" s="59"/>
      <c r="M349" s="60"/>
      <c r="N349" s="60"/>
      <c r="O349" s="60"/>
      <c r="P349" s="59"/>
      <c r="Q349" s="59"/>
      <c r="R349" s="60"/>
      <c r="S349" s="60"/>
      <c r="T349" s="60"/>
      <c r="U349" s="60"/>
      <c r="V349" s="60"/>
      <c r="W349" s="60"/>
    </row>
    <row r="350" spans="1:23" ht="13" x14ac:dyDescent="0.3">
      <c r="A350" s="58"/>
      <c r="B350" s="58"/>
      <c r="C350" s="58"/>
      <c r="D350" s="58"/>
      <c r="E350" s="58"/>
      <c r="F350" s="58"/>
      <c r="G350" s="58"/>
      <c r="H350" s="59"/>
      <c r="I350" s="59"/>
      <c r="J350" s="59"/>
      <c r="K350" s="59"/>
      <c r="L350" s="59"/>
      <c r="M350" s="60"/>
      <c r="N350" s="60"/>
      <c r="O350" s="60"/>
      <c r="P350" s="59"/>
      <c r="Q350" s="59"/>
      <c r="R350" s="60"/>
      <c r="S350" s="60"/>
      <c r="T350" s="60"/>
      <c r="U350" s="60"/>
      <c r="V350" s="60"/>
      <c r="W350" s="60"/>
    </row>
    <row r="351" spans="1:23" ht="13" x14ac:dyDescent="0.3">
      <c r="A351" s="58"/>
      <c r="B351" s="58"/>
      <c r="C351" s="58"/>
      <c r="D351" s="58"/>
      <c r="E351" s="58"/>
      <c r="F351" s="58"/>
      <c r="G351" s="58"/>
      <c r="H351" s="59"/>
      <c r="I351" s="59"/>
      <c r="J351" s="59"/>
      <c r="K351" s="59"/>
      <c r="L351" s="59"/>
      <c r="M351" s="60"/>
      <c r="N351" s="60"/>
      <c r="O351" s="60"/>
      <c r="P351" s="59"/>
      <c r="Q351" s="59"/>
      <c r="R351" s="60"/>
      <c r="S351" s="60"/>
      <c r="T351" s="60"/>
      <c r="U351" s="60"/>
      <c r="V351" s="60"/>
      <c r="W351" s="60"/>
    </row>
    <row r="352" spans="1:23" ht="13" x14ac:dyDescent="0.3">
      <c r="A352" s="58"/>
      <c r="B352" s="58"/>
      <c r="C352" s="58"/>
      <c r="D352" s="58"/>
      <c r="E352" s="58"/>
      <c r="F352" s="58"/>
      <c r="G352" s="58"/>
      <c r="H352" s="59"/>
      <c r="I352" s="59"/>
      <c r="J352" s="59"/>
      <c r="K352" s="59"/>
      <c r="L352" s="59"/>
      <c r="M352" s="60"/>
      <c r="N352" s="60"/>
      <c r="O352" s="60"/>
      <c r="P352" s="59"/>
      <c r="Q352" s="59"/>
      <c r="R352" s="60"/>
      <c r="S352" s="60"/>
      <c r="T352" s="60"/>
      <c r="U352" s="60"/>
      <c r="V352" s="60"/>
      <c r="W352" s="60"/>
    </row>
    <row r="353" spans="1:23" ht="13" x14ac:dyDescent="0.3">
      <c r="A353" s="58"/>
      <c r="B353" s="58"/>
      <c r="C353" s="58"/>
      <c r="D353" s="58"/>
      <c r="E353" s="58"/>
      <c r="F353" s="58"/>
      <c r="G353" s="58"/>
      <c r="H353" s="59"/>
      <c r="I353" s="59"/>
      <c r="J353" s="59"/>
      <c r="K353" s="59"/>
      <c r="L353" s="59"/>
      <c r="M353" s="60"/>
      <c r="N353" s="60"/>
      <c r="O353" s="60"/>
      <c r="P353" s="59"/>
      <c r="Q353" s="59"/>
      <c r="R353" s="60"/>
      <c r="S353" s="60"/>
      <c r="T353" s="60"/>
      <c r="U353" s="60"/>
      <c r="V353" s="60"/>
      <c r="W353" s="60"/>
    </row>
    <row r="354" spans="1:23" ht="13" x14ac:dyDescent="0.3">
      <c r="A354" s="58"/>
      <c r="B354" s="58"/>
      <c r="C354" s="58"/>
      <c r="D354" s="58"/>
      <c r="E354" s="58"/>
      <c r="F354" s="58"/>
      <c r="G354" s="58"/>
      <c r="H354" s="59"/>
      <c r="I354" s="59"/>
      <c r="J354" s="59"/>
      <c r="K354" s="59"/>
      <c r="L354" s="59"/>
      <c r="M354" s="60"/>
      <c r="N354" s="60"/>
      <c r="O354" s="60"/>
      <c r="P354" s="59"/>
      <c r="Q354" s="59"/>
      <c r="R354" s="60"/>
      <c r="S354" s="60"/>
      <c r="T354" s="60"/>
      <c r="U354" s="60"/>
      <c r="V354" s="60"/>
      <c r="W354" s="60"/>
    </row>
    <row r="355" spans="1:23" ht="13" x14ac:dyDescent="0.3">
      <c r="A355" s="58"/>
      <c r="B355" s="58"/>
      <c r="C355" s="58"/>
      <c r="D355" s="58"/>
      <c r="E355" s="58"/>
      <c r="F355" s="58"/>
      <c r="G355" s="58"/>
      <c r="H355" s="59"/>
      <c r="I355" s="59"/>
      <c r="J355" s="59"/>
      <c r="K355" s="59"/>
      <c r="L355" s="59"/>
      <c r="M355" s="60"/>
      <c r="N355" s="60"/>
      <c r="O355" s="60"/>
      <c r="P355" s="59"/>
      <c r="Q355" s="59"/>
      <c r="R355" s="60"/>
      <c r="S355" s="60"/>
      <c r="T355" s="60"/>
      <c r="U355" s="60"/>
      <c r="V355" s="60"/>
      <c r="W355" s="60"/>
    </row>
    <row r="356" spans="1:23" ht="13" x14ac:dyDescent="0.3">
      <c r="A356" s="58"/>
      <c r="B356" s="58"/>
      <c r="C356" s="58"/>
      <c r="D356" s="58"/>
      <c r="E356" s="58"/>
      <c r="F356" s="58"/>
      <c r="G356" s="58"/>
      <c r="H356" s="59"/>
      <c r="I356" s="59"/>
      <c r="J356" s="59"/>
      <c r="K356" s="59"/>
      <c r="L356" s="59"/>
      <c r="M356" s="60"/>
      <c r="N356" s="60"/>
      <c r="O356" s="60"/>
      <c r="P356" s="59"/>
      <c r="Q356" s="59"/>
      <c r="R356" s="60"/>
      <c r="S356" s="60"/>
      <c r="T356" s="60"/>
      <c r="U356" s="60"/>
      <c r="V356" s="60"/>
      <c r="W356" s="60"/>
    </row>
    <row r="357" spans="1:23" ht="13" x14ac:dyDescent="0.3">
      <c r="A357" s="58"/>
      <c r="B357" s="58"/>
      <c r="C357" s="58"/>
      <c r="D357" s="58"/>
      <c r="E357" s="58"/>
      <c r="F357" s="58"/>
      <c r="G357" s="58"/>
      <c r="H357" s="59"/>
      <c r="I357" s="59"/>
      <c r="J357" s="59"/>
      <c r="K357" s="59"/>
      <c r="L357" s="59"/>
      <c r="M357" s="60"/>
      <c r="N357" s="60"/>
      <c r="O357" s="60"/>
      <c r="P357" s="59"/>
      <c r="Q357" s="59"/>
      <c r="R357" s="60"/>
      <c r="S357" s="60"/>
      <c r="T357" s="60"/>
      <c r="U357" s="60"/>
      <c r="V357" s="60"/>
      <c r="W357" s="60"/>
    </row>
    <row r="358" spans="1:23" ht="13" x14ac:dyDescent="0.3">
      <c r="A358" s="58"/>
      <c r="B358" s="58"/>
      <c r="C358" s="58"/>
      <c r="D358" s="58"/>
      <c r="E358" s="58"/>
      <c r="F358" s="58"/>
      <c r="G358" s="58"/>
      <c r="H358" s="59"/>
      <c r="I358" s="59"/>
      <c r="J358" s="59"/>
      <c r="K358" s="59"/>
      <c r="L358" s="59"/>
      <c r="M358" s="60"/>
      <c r="N358" s="60"/>
      <c r="O358" s="60"/>
      <c r="P358" s="59"/>
      <c r="Q358" s="59"/>
      <c r="R358" s="60"/>
      <c r="S358" s="60"/>
      <c r="T358" s="60"/>
      <c r="U358" s="60"/>
      <c r="V358" s="60"/>
      <c r="W358" s="60"/>
    </row>
    <row r="359" spans="1:23" ht="13" x14ac:dyDescent="0.3">
      <c r="A359" s="58"/>
      <c r="B359" s="58"/>
      <c r="C359" s="58"/>
      <c r="D359" s="58"/>
      <c r="E359" s="58"/>
      <c r="F359" s="58"/>
      <c r="G359" s="58"/>
      <c r="H359" s="59"/>
      <c r="I359" s="59"/>
      <c r="J359" s="59"/>
      <c r="K359" s="59"/>
      <c r="L359" s="59"/>
      <c r="M359" s="60"/>
      <c r="N359" s="60"/>
      <c r="O359" s="60"/>
      <c r="P359" s="59"/>
      <c r="Q359" s="59"/>
      <c r="R359" s="60"/>
      <c r="S359" s="60"/>
      <c r="T359" s="60"/>
      <c r="U359" s="60"/>
      <c r="V359" s="60"/>
      <c r="W359" s="60"/>
    </row>
    <row r="360" spans="1:23" ht="13" x14ac:dyDescent="0.3">
      <c r="A360" s="58"/>
      <c r="B360" s="58"/>
      <c r="C360" s="58"/>
      <c r="D360" s="58"/>
      <c r="E360" s="58"/>
      <c r="F360" s="58"/>
      <c r="G360" s="58"/>
      <c r="H360" s="59"/>
      <c r="I360" s="59"/>
      <c r="J360" s="59"/>
      <c r="K360" s="59"/>
      <c r="L360" s="59"/>
      <c r="M360" s="60"/>
      <c r="N360" s="60"/>
      <c r="O360" s="60"/>
      <c r="P360" s="59"/>
      <c r="Q360" s="59"/>
      <c r="R360" s="60"/>
      <c r="S360" s="60"/>
      <c r="T360" s="60"/>
      <c r="U360" s="60"/>
      <c r="V360" s="60"/>
      <c r="W360" s="60"/>
    </row>
    <row r="361" spans="1:23" ht="13" x14ac:dyDescent="0.3">
      <c r="A361" s="58"/>
      <c r="B361" s="58"/>
      <c r="C361" s="58"/>
      <c r="D361" s="58"/>
      <c r="E361" s="58"/>
      <c r="F361" s="58"/>
      <c r="G361" s="58"/>
      <c r="H361" s="59"/>
      <c r="I361" s="59"/>
      <c r="J361" s="59"/>
      <c r="K361" s="59"/>
      <c r="L361" s="59"/>
      <c r="M361" s="60"/>
      <c r="N361" s="60"/>
      <c r="O361" s="60"/>
      <c r="P361" s="59"/>
      <c r="Q361" s="59"/>
      <c r="R361" s="60"/>
      <c r="S361" s="60"/>
      <c r="T361" s="60"/>
      <c r="U361" s="60"/>
      <c r="V361" s="60"/>
      <c r="W361" s="60"/>
    </row>
    <row r="362" spans="1:23" ht="13" x14ac:dyDescent="0.3">
      <c r="A362" s="58"/>
      <c r="B362" s="58"/>
      <c r="C362" s="58"/>
      <c r="D362" s="58"/>
      <c r="E362" s="58"/>
      <c r="F362" s="58"/>
      <c r="G362" s="58"/>
      <c r="H362" s="59"/>
      <c r="I362" s="59"/>
      <c r="J362" s="59"/>
      <c r="K362" s="59"/>
      <c r="L362" s="59"/>
      <c r="M362" s="60"/>
      <c r="N362" s="60"/>
      <c r="O362" s="60"/>
      <c r="P362" s="59"/>
      <c r="Q362" s="59"/>
      <c r="R362" s="60"/>
      <c r="S362" s="60"/>
      <c r="T362" s="60"/>
      <c r="U362" s="60"/>
      <c r="V362" s="60"/>
      <c r="W362" s="60"/>
    </row>
    <row r="363" spans="1:23" ht="13" x14ac:dyDescent="0.3">
      <c r="A363" s="58"/>
      <c r="B363" s="58"/>
      <c r="C363" s="58"/>
      <c r="D363" s="58"/>
      <c r="E363" s="58"/>
      <c r="F363" s="58"/>
      <c r="G363" s="58"/>
      <c r="H363" s="59"/>
      <c r="I363" s="59"/>
      <c r="J363" s="59"/>
      <c r="K363" s="59"/>
      <c r="L363" s="59"/>
      <c r="M363" s="60"/>
      <c r="N363" s="60"/>
      <c r="O363" s="60"/>
      <c r="P363" s="59"/>
      <c r="Q363" s="59"/>
      <c r="R363" s="60"/>
      <c r="S363" s="60"/>
      <c r="T363" s="60"/>
      <c r="U363" s="60"/>
      <c r="V363" s="60"/>
      <c r="W363" s="60"/>
    </row>
    <row r="364" spans="1:23" ht="13" x14ac:dyDescent="0.3">
      <c r="A364" s="58"/>
      <c r="B364" s="58"/>
      <c r="C364" s="58"/>
      <c r="D364" s="58"/>
      <c r="E364" s="58"/>
      <c r="F364" s="58"/>
      <c r="G364" s="58"/>
      <c r="H364" s="59"/>
      <c r="I364" s="59"/>
      <c r="J364" s="59"/>
      <c r="K364" s="59"/>
      <c r="L364" s="59"/>
      <c r="M364" s="60"/>
      <c r="N364" s="60"/>
      <c r="O364" s="60"/>
      <c r="P364" s="59"/>
      <c r="Q364" s="59"/>
      <c r="R364" s="60"/>
      <c r="S364" s="60"/>
      <c r="T364" s="60"/>
      <c r="U364" s="60"/>
      <c r="V364" s="60"/>
      <c r="W364" s="60"/>
    </row>
    <row r="365" spans="1:23" ht="13" x14ac:dyDescent="0.3">
      <c r="A365" s="58"/>
      <c r="B365" s="58"/>
      <c r="C365" s="58"/>
      <c r="D365" s="58"/>
      <c r="E365" s="58"/>
      <c r="F365" s="58"/>
      <c r="G365" s="58"/>
      <c r="H365" s="59"/>
      <c r="I365" s="59"/>
      <c r="J365" s="59"/>
      <c r="K365" s="59"/>
      <c r="L365" s="59"/>
      <c r="M365" s="60"/>
      <c r="N365" s="60"/>
      <c r="O365" s="60"/>
      <c r="P365" s="59"/>
      <c r="Q365" s="59"/>
      <c r="R365" s="60"/>
      <c r="S365" s="60"/>
      <c r="T365" s="60"/>
      <c r="U365" s="60"/>
      <c r="V365" s="60"/>
      <c r="W365" s="60"/>
    </row>
    <row r="366" spans="1:23" ht="13" x14ac:dyDescent="0.3">
      <c r="A366" s="58"/>
      <c r="B366" s="58"/>
      <c r="C366" s="58"/>
      <c r="D366" s="58"/>
      <c r="E366" s="58"/>
      <c r="F366" s="58"/>
      <c r="G366" s="58"/>
      <c r="H366" s="59"/>
      <c r="I366" s="59"/>
      <c r="J366" s="59"/>
      <c r="K366" s="59"/>
      <c r="L366" s="59"/>
      <c r="M366" s="60"/>
      <c r="N366" s="60"/>
      <c r="O366" s="60"/>
      <c r="P366" s="59"/>
      <c r="Q366" s="59"/>
      <c r="R366" s="60"/>
      <c r="S366" s="60"/>
      <c r="T366" s="60"/>
      <c r="U366" s="60"/>
      <c r="V366" s="60"/>
      <c r="W366" s="60"/>
    </row>
    <row r="367" spans="1:23" ht="13" x14ac:dyDescent="0.3">
      <c r="A367" s="58"/>
      <c r="B367" s="58"/>
      <c r="C367" s="58"/>
      <c r="D367" s="58"/>
      <c r="E367" s="58"/>
      <c r="F367" s="58"/>
      <c r="G367" s="58"/>
      <c r="H367" s="59"/>
      <c r="I367" s="59"/>
      <c r="J367" s="59"/>
      <c r="K367" s="59"/>
      <c r="L367" s="59"/>
      <c r="M367" s="60"/>
      <c r="N367" s="60"/>
      <c r="O367" s="60"/>
      <c r="P367" s="59"/>
      <c r="Q367" s="59"/>
      <c r="R367" s="60"/>
      <c r="S367" s="60"/>
      <c r="T367" s="60"/>
      <c r="U367" s="60"/>
      <c r="V367" s="60"/>
      <c r="W367" s="60"/>
    </row>
    <row r="368" spans="1:23" ht="13" x14ac:dyDescent="0.3">
      <c r="A368" s="58"/>
      <c r="B368" s="58"/>
      <c r="C368" s="58"/>
      <c r="D368" s="58"/>
      <c r="E368" s="58"/>
      <c r="F368" s="58"/>
      <c r="G368" s="58"/>
      <c r="H368" s="59"/>
      <c r="I368" s="59"/>
      <c r="J368" s="59"/>
      <c r="K368" s="59"/>
      <c r="L368" s="59"/>
      <c r="M368" s="60"/>
      <c r="N368" s="60"/>
      <c r="O368" s="60"/>
      <c r="P368" s="59"/>
      <c r="Q368" s="59"/>
      <c r="R368" s="60"/>
      <c r="S368" s="60"/>
      <c r="T368" s="60"/>
      <c r="U368" s="60"/>
      <c r="V368" s="60"/>
      <c r="W368" s="60"/>
    </row>
    <row r="369" spans="1:23" ht="13" x14ac:dyDescent="0.3">
      <c r="A369" s="58"/>
      <c r="B369" s="58"/>
      <c r="C369" s="58"/>
      <c r="D369" s="58"/>
      <c r="E369" s="58"/>
      <c r="F369" s="58"/>
      <c r="G369" s="58"/>
      <c r="H369" s="59"/>
      <c r="I369" s="59"/>
      <c r="J369" s="59"/>
      <c r="K369" s="59"/>
      <c r="L369" s="59"/>
      <c r="M369" s="60"/>
      <c r="N369" s="60"/>
      <c r="O369" s="60"/>
      <c r="P369" s="59"/>
      <c r="Q369" s="59"/>
      <c r="R369" s="60"/>
      <c r="S369" s="60"/>
      <c r="T369" s="60"/>
      <c r="U369" s="60"/>
      <c r="V369" s="60"/>
      <c r="W369" s="60"/>
    </row>
    <row r="370" spans="1:23" ht="13" x14ac:dyDescent="0.3">
      <c r="A370" s="58"/>
      <c r="B370" s="58"/>
      <c r="C370" s="58"/>
      <c r="D370" s="58"/>
      <c r="E370" s="58"/>
      <c r="F370" s="58"/>
      <c r="G370" s="58"/>
      <c r="H370" s="59"/>
      <c r="I370" s="59"/>
      <c r="J370" s="59"/>
      <c r="K370" s="59"/>
      <c r="L370" s="59"/>
      <c r="M370" s="60"/>
      <c r="N370" s="60"/>
      <c r="O370" s="60"/>
      <c r="P370" s="59"/>
      <c r="Q370" s="59"/>
      <c r="R370" s="60"/>
      <c r="S370" s="60"/>
      <c r="T370" s="60"/>
      <c r="U370" s="60"/>
      <c r="V370" s="60"/>
      <c r="W370" s="60"/>
    </row>
    <row r="371" spans="1:23" ht="13" x14ac:dyDescent="0.3">
      <c r="A371" s="58"/>
      <c r="B371" s="58"/>
      <c r="C371" s="58"/>
      <c r="D371" s="58"/>
      <c r="E371" s="58"/>
      <c r="F371" s="58"/>
      <c r="G371" s="58"/>
      <c r="H371" s="59"/>
      <c r="I371" s="59"/>
      <c r="J371" s="59"/>
      <c r="K371" s="59"/>
      <c r="L371" s="59"/>
      <c r="M371" s="60"/>
      <c r="N371" s="60"/>
      <c r="O371" s="60"/>
      <c r="P371" s="59"/>
      <c r="Q371" s="59"/>
      <c r="R371" s="60"/>
      <c r="S371" s="60"/>
      <c r="T371" s="60"/>
      <c r="U371" s="60"/>
      <c r="V371" s="60"/>
      <c r="W371" s="60"/>
    </row>
    <row r="372" spans="1:23" ht="13" x14ac:dyDescent="0.3">
      <c r="A372" s="58"/>
      <c r="B372" s="58"/>
      <c r="C372" s="58"/>
      <c r="D372" s="58"/>
      <c r="E372" s="58"/>
      <c r="F372" s="58"/>
      <c r="G372" s="58"/>
      <c r="H372" s="59"/>
      <c r="I372" s="59"/>
      <c r="J372" s="59"/>
      <c r="K372" s="59"/>
      <c r="L372" s="59"/>
      <c r="M372" s="60"/>
      <c r="N372" s="60"/>
      <c r="O372" s="60"/>
      <c r="P372" s="59"/>
      <c r="Q372" s="59"/>
      <c r="R372" s="60"/>
      <c r="S372" s="60"/>
      <c r="T372" s="60"/>
      <c r="U372" s="60"/>
      <c r="V372" s="60"/>
      <c r="W372" s="60"/>
    </row>
    <row r="373" spans="1:23" ht="13" x14ac:dyDescent="0.3">
      <c r="A373" s="58"/>
      <c r="B373" s="58"/>
      <c r="C373" s="58"/>
      <c r="D373" s="58"/>
      <c r="E373" s="58"/>
      <c r="F373" s="58"/>
      <c r="G373" s="58"/>
      <c r="H373" s="59"/>
      <c r="I373" s="59"/>
      <c r="J373" s="59"/>
      <c r="K373" s="59"/>
      <c r="L373" s="59"/>
      <c r="M373" s="60"/>
      <c r="N373" s="60"/>
      <c r="O373" s="60"/>
      <c r="P373" s="59"/>
      <c r="Q373" s="59"/>
      <c r="R373" s="60"/>
      <c r="S373" s="60"/>
      <c r="T373" s="60"/>
      <c r="U373" s="60"/>
      <c r="V373" s="60"/>
      <c r="W373" s="60"/>
    </row>
    <row r="374" spans="1:23" ht="13" x14ac:dyDescent="0.3">
      <c r="A374" s="58"/>
      <c r="B374" s="58"/>
      <c r="C374" s="58"/>
      <c r="D374" s="58"/>
      <c r="E374" s="58"/>
      <c r="F374" s="58"/>
      <c r="G374" s="58"/>
      <c r="H374" s="59"/>
      <c r="I374" s="59"/>
      <c r="J374" s="59"/>
      <c r="K374" s="59"/>
      <c r="L374" s="59"/>
      <c r="M374" s="60"/>
      <c r="N374" s="60"/>
      <c r="O374" s="60"/>
      <c r="P374" s="59"/>
      <c r="Q374" s="59"/>
      <c r="R374" s="60"/>
      <c r="S374" s="60"/>
      <c r="T374" s="60"/>
      <c r="U374" s="60"/>
      <c r="V374" s="60"/>
      <c r="W374" s="60"/>
    </row>
    <row r="375" spans="1:23" ht="13" x14ac:dyDescent="0.3">
      <c r="A375" s="58"/>
      <c r="B375" s="58"/>
      <c r="C375" s="58"/>
      <c r="D375" s="58"/>
      <c r="E375" s="58"/>
      <c r="F375" s="58"/>
      <c r="G375" s="58"/>
      <c r="H375" s="59"/>
      <c r="I375" s="59"/>
      <c r="J375" s="59"/>
      <c r="K375" s="59"/>
      <c r="L375" s="59"/>
      <c r="M375" s="60"/>
      <c r="N375" s="60"/>
      <c r="O375" s="60"/>
      <c r="P375" s="59"/>
      <c r="Q375" s="59"/>
      <c r="R375" s="60"/>
      <c r="S375" s="60"/>
      <c r="T375" s="60"/>
      <c r="U375" s="60"/>
      <c r="V375" s="60"/>
      <c r="W375" s="60"/>
    </row>
    <row r="376" spans="1:23" ht="13" x14ac:dyDescent="0.3">
      <c r="A376" s="58"/>
      <c r="B376" s="58"/>
      <c r="C376" s="58"/>
      <c r="D376" s="58"/>
      <c r="E376" s="58"/>
      <c r="F376" s="58"/>
      <c r="G376" s="58"/>
      <c r="H376" s="59"/>
      <c r="I376" s="59"/>
      <c r="J376" s="59"/>
      <c r="K376" s="59"/>
      <c r="L376" s="59"/>
      <c r="M376" s="60"/>
      <c r="N376" s="60"/>
      <c r="O376" s="60"/>
      <c r="P376" s="59"/>
      <c r="Q376" s="59"/>
      <c r="R376" s="60"/>
      <c r="S376" s="60"/>
      <c r="T376" s="60"/>
      <c r="U376" s="60"/>
      <c r="V376" s="60"/>
      <c r="W376" s="60"/>
    </row>
    <row r="377" spans="1:23" ht="13" x14ac:dyDescent="0.3">
      <c r="A377" s="58"/>
      <c r="B377" s="58"/>
      <c r="C377" s="58"/>
      <c r="D377" s="58"/>
      <c r="E377" s="58"/>
      <c r="F377" s="58"/>
      <c r="G377" s="58"/>
      <c r="H377" s="59"/>
      <c r="I377" s="59"/>
      <c r="J377" s="59"/>
      <c r="K377" s="59"/>
      <c r="L377" s="59"/>
      <c r="M377" s="60"/>
      <c r="N377" s="60"/>
      <c r="O377" s="60"/>
      <c r="P377" s="59"/>
      <c r="Q377" s="59"/>
      <c r="R377" s="60"/>
      <c r="S377" s="60"/>
      <c r="T377" s="60"/>
      <c r="U377" s="60"/>
      <c r="V377" s="60"/>
      <c r="W377" s="60"/>
    </row>
    <row r="378" spans="1:23" ht="13" x14ac:dyDescent="0.3">
      <c r="A378" s="58"/>
      <c r="B378" s="58"/>
      <c r="C378" s="58"/>
      <c r="D378" s="58"/>
      <c r="E378" s="58"/>
      <c r="F378" s="58"/>
      <c r="G378" s="58"/>
      <c r="H378" s="59"/>
      <c r="I378" s="59"/>
      <c r="J378" s="59"/>
      <c r="K378" s="59"/>
      <c r="L378" s="59"/>
      <c r="M378" s="60"/>
      <c r="N378" s="60"/>
      <c r="O378" s="60"/>
      <c r="P378" s="59"/>
      <c r="Q378" s="59"/>
      <c r="R378" s="60"/>
      <c r="S378" s="60"/>
      <c r="T378" s="60"/>
      <c r="U378" s="60"/>
      <c r="V378" s="60"/>
      <c r="W378" s="60"/>
    </row>
    <row r="379" spans="1:23" ht="13" x14ac:dyDescent="0.3">
      <c r="A379" s="58"/>
      <c r="B379" s="58"/>
      <c r="C379" s="58"/>
      <c r="D379" s="58"/>
      <c r="E379" s="58"/>
      <c r="F379" s="58"/>
      <c r="G379" s="58"/>
      <c r="H379" s="59"/>
      <c r="I379" s="59"/>
      <c r="J379" s="59"/>
      <c r="K379" s="59"/>
      <c r="L379" s="59"/>
      <c r="M379" s="60"/>
      <c r="N379" s="60"/>
      <c r="O379" s="60"/>
      <c r="P379" s="59"/>
      <c r="Q379" s="59"/>
      <c r="R379" s="60"/>
      <c r="S379" s="60"/>
      <c r="T379" s="60"/>
      <c r="U379" s="60"/>
      <c r="V379" s="60"/>
      <c r="W379" s="60"/>
    </row>
    <row r="380" spans="1:23" ht="13" x14ac:dyDescent="0.3">
      <c r="A380" s="58"/>
      <c r="B380" s="58"/>
      <c r="C380" s="58"/>
      <c r="D380" s="58"/>
      <c r="E380" s="58"/>
      <c r="F380" s="58"/>
      <c r="G380" s="58"/>
      <c r="H380" s="59"/>
      <c r="I380" s="59"/>
      <c r="J380" s="59"/>
      <c r="K380" s="59"/>
      <c r="L380" s="59"/>
      <c r="M380" s="60"/>
      <c r="N380" s="60"/>
      <c r="O380" s="60"/>
      <c r="P380" s="59"/>
      <c r="Q380" s="59"/>
      <c r="R380" s="60"/>
      <c r="S380" s="60"/>
      <c r="T380" s="60"/>
      <c r="U380" s="60"/>
      <c r="V380" s="60"/>
      <c r="W380" s="60"/>
    </row>
    <row r="381" spans="1:23" ht="13" x14ac:dyDescent="0.3">
      <c r="A381" s="58"/>
      <c r="B381" s="58"/>
      <c r="C381" s="58"/>
      <c r="D381" s="58"/>
      <c r="E381" s="58"/>
      <c r="F381" s="58"/>
      <c r="G381" s="58"/>
      <c r="H381" s="59"/>
      <c r="I381" s="59"/>
      <c r="J381" s="59"/>
      <c r="K381" s="59"/>
      <c r="L381" s="59"/>
      <c r="M381" s="60"/>
      <c r="N381" s="60"/>
      <c r="O381" s="60"/>
      <c r="P381" s="59"/>
      <c r="Q381" s="59"/>
      <c r="R381" s="60"/>
      <c r="S381" s="60"/>
      <c r="T381" s="60"/>
      <c r="U381" s="60"/>
      <c r="V381" s="60"/>
      <c r="W381" s="60"/>
    </row>
    <row r="382" spans="1:23" ht="13" x14ac:dyDescent="0.3">
      <c r="A382" s="58"/>
      <c r="B382" s="58"/>
      <c r="C382" s="58"/>
      <c r="D382" s="58"/>
      <c r="E382" s="58"/>
      <c r="F382" s="58"/>
      <c r="G382" s="58"/>
      <c r="H382" s="59"/>
      <c r="I382" s="59"/>
      <c r="J382" s="59"/>
      <c r="K382" s="59"/>
      <c r="L382" s="59"/>
      <c r="M382" s="60"/>
      <c r="N382" s="60"/>
      <c r="O382" s="60"/>
      <c r="P382" s="59"/>
      <c r="Q382" s="59"/>
      <c r="R382" s="60"/>
      <c r="S382" s="60"/>
      <c r="T382" s="60"/>
      <c r="U382" s="60"/>
      <c r="V382" s="60"/>
      <c r="W382" s="60"/>
    </row>
    <row r="383" spans="1:23" ht="13" x14ac:dyDescent="0.3">
      <c r="A383" s="58"/>
      <c r="B383" s="58"/>
      <c r="C383" s="58"/>
      <c r="D383" s="58"/>
      <c r="E383" s="58"/>
      <c r="F383" s="58"/>
      <c r="G383" s="58"/>
      <c r="H383" s="59"/>
      <c r="I383" s="59"/>
      <c r="J383" s="59"/>
      <c r="K383" s="59"/>
      <c r="L383" s="59"/>
      <c r="M383" s="60"/>
      <c r="N383" s="60"/>
      <c r="O383" s="60"/>
      <c r="P383" s="59"/>
      <c r="Q383" s="59"/>
      <c r="R383" s="60"/>
      <c r="S383" s="60"/>
      <c r="T383" s="60"/>
      <c r="U383" s="60"/>
      <c r="V383" s="60"/>
      <c r="W383" s="60"/>
    </row>
    <row r="384" spans="1:23" ht="13" x14ac:dyDescent="0.3">
      <c r="A384" s="58"/>
      <c r="B384" s="58"/>
      <c r="C384" s="58"/>
      <c r="D384" s="58"/>
      <c r="E384" s="58"/>
      <c r="F384" s="58"/>
      <c r="G384" s="58"/>
      <c r="H384" s="59"/>
      <c r="I384" s="59"/>
      <c r="J384" s="59"/>
      <c r="K384" s="59"/>
      <c r="L384" s="59"/>
      <c r="M384" s="60"/>
      <c r="N384" s="60"/>
      <c r="O384" s="60"/>
      <c r="P384" s="59"/>
      <c r="Q384" s="59"/>
      <c r="R384" s="60"/>
      <c r="S384" s="60"/>
      <c r="T384" s="60"/>
      <c r="U384" s="60"/>
      <c r="V384" s="60"/>
      <c r="W384" s="60"/>
    </row>
    <row r="385" spans="1:23" ht="13" x14ac:dyDescent="0.3">
      <c r="A385" s="58"/>
      <c r="B385" s="58"/>
      <c r="C385" s="58"/>
      <c r="D385" s="58"/>
      <c r="E385" s="58"/>
      <c r="F385" s="58"/>
      <c r="G385" s="58"/>
      <c r="H385" s="59"/>
      <c r="I385" s="59"/>
      <c r="J385" s="59"/>
      <c r="K385" s="59"/>
      <c r="L385" s="59"/>
      <c r="M385" s="60"/>
      <c r="N385" s="60"/>
      <c r="O385" s="60"/>
      <c r="P385" s="59"/>
      <c r="Q385" s="59"/>
      <c r="R385" s="60"/>
      <c r="S385" s="60"/>
      <c r="T385" s="60"/>
      <c r="U385" s="60"/>
      <c r="V385" s="60"/>
      <c r="W385" s="60"/>
    </row>
    <row r="386" spans="1:23" ht="13" x14ac:dyDescent="0.3">
      <c r="A386" s="58"/>
      <c r="B386" s="58"/>
      <c r="C386" s="58"/>
      <c r="D386" s="58"/>
      <c r="E386" s="58"/>
      <c r="F386" s="58"/>
      <c r="G386" s="58"/>
      <c r="H386" s="59"/>
      <c r="I386" s="59"/>
      <c r="J386" s="59"/>
      <c r="K386" s="59"/>
      <c r="L386" s="59"/>
      <c r="M386" s="60"/>
      <c r="N386" s="60"/>
      <c r="O386" s="60"/>
      <c r="P386" s="59"/>
      <c r="Q386" s="59"/>
      <c r="R386" s="60"/>
      <c r="S386" s="60"/>
      <c r="T386" s="60"/>
      <c r="U386" s="60"/>
      <c r="V386" s="60"/>
      <c r="W386" s="60"/>
    </row>
    <row r="387" spans="1:23" ht="13" x14ac:dyDescent="0.3">
      <c r="A387" s="58"/>
      <c r="B387" s="58"/>
      <c r="C387" s="58"/>
      <c r="D387" s="58"/>
      <c r="E387" s="58"/>
      <c r="F387" s="58"/>
      <c r="G387" s="58"/>
      <c r="H387" s="59"/>
      <c r="I387" s="59"/>
      <c r="J387" s="59"/>
      <c r="K387" s="59"/>
      <c r="L387" s="59"/>
      <c r="M387" s="60"/>
      <c r="N387" s="60"/>
      <c r="O387" s="60"/>
      <c r="P387" s="59"/>
      <c r="Q387" s="59"/>
      <c r="R387" s="60"/>
      <c r="S387" s="60"/>
      <c r="T387" s="60"/>
      <c r="U387" s="60"/>
      <c r="V387" s="60"/>
      <c r="W387" s="60"/>
    </row>
    <row r="388" spans="1:23" ht="13" x14ac:dyDescent="0.3">
      <c r="A388" s="58"/>
      <c r="B388" s="58"/>
      <c r="C388" s="58"/>
      <c r="D388" s="58"/>
      <c r="E388" s="58"/>
      <c r="F388" s="58"/>
      <c r="G388" s="58"/>
      <c r="H388" s="59"/>
      <c r="I388" s="59"/>
      <c r="J388" s="59"/>
      <c r="K388" s="59"/>
      <c r="L388" s="59"/>
      <c r="M388" s="60"/>
      <c r="N388" s="60"/>
      <c r="O388" s="60"/>
      <c r="P388" s="59"/>
      <c r="Q388" s="59"/>
      <c r="R388" s="60"/>
      <c r="S388" s="60"/>
      <c r="T388" s="60"/>
      <c r="U388" s="60"/>
      <c r="V388" s="60"/>
      <c r="W388" s="60"/>
    </row>
    <row r="389" spans="1:23" ht="13" x14ac:dyDescent="0.3">
      <c r="A389" s="58"/>
      <c r="B389" s="58"/>
      <c r="C389" s="58"/>
      <c r="D389" s="58"/>
      <c r="E389" s="58"/>
      <c r="F389" s="58"/>
      <c r="G389" s="58"/>
      <c r="H389" s="59"/>
      <c r="I389" s="59"/>
      <c r="J389" s="59"/>
      <c r="K389" s="59"/>
      <c r="L389" s="59"/>
      <c r="M389" s="60"/>
      <c r="N389" s="60"/>
      <c r="O389" s="60"/>
      <c r="P389" s="59"/>
      <c r="Q389" s="59"/>
      <c r="R389" s="60"/>
      <c r="S389" s="60"/>
      <c r="T389" s="60"/>
      <c r="U389" s="60"/>
      <c r="V389" s="60"/>
      <c r="W389" s="60"/>
    </row>
    <row r="390" spans="1:23" ht="13" x14ac:dyDescent="0.3">
      <c r="A390" s="58"/>
      <c r="B390" s="58"/>
      <c r="C390" s="58"/>
      <c r="D390" s="58"/>
      <c r="E390" s="58"/>
      <c r="F390" s="58"/>
      <c r="G390" s="58"/>
      <c r="H390" s="59"/>
      <c r="I390" s="59"/>
      <c r="J390" s="59"/>
      <c r="K390" s="59"/>
      <c r="L390" s="59"/>
      <c r="M390" s="60"/>
      <c r="N390" s="60"/>
      <c r="O390" s="60"/>
      <c r="P390" s="59"/>
      <c r="Q390" s="59"/>
      <c r="R390" s="60"/>
      <c r="S390" s="60"/>
      <c r="T390" s="60"/>
      <c r="U390" s="60"/>
      <c r="V390" s="60"/>
      <c r="W390" s="60"/>
    </row>
    <row r="391" spans="1:23" ht="13" x14ac:dyDescent="0.3">
      <c r="A391" s="58"/>
      <c r="B391" s="58"/>
      <c r="C391" s="58"/>
      <c r="D391" s="58"/>
      <c r="E391" s="58"/>
      <c r="F391" s="58"/>
      <c r="G391" s="58"/>
      <c r="H391" s="59"/>
      <c r="I391" s="59"/>
      <c r="J391" s="59"/>
      <c r="K391" s="59"/>
      <c r="L391" s="59"/>
      <c r="M391" s="60"/>
      <c r="N391" s="60"/>
      <c r="O391" s="60"/>
      <c r="P391" s="59"/>
      <c r="Q391" s="59"/>
      <c r="R391" s="60"/>
      <c r="S391" s="60"/>
      <c r="T391" s="60"/>
      <c r="U391" s="60"/>
      <c r="V391" s="60"/>
      <c r="W391" s="60"/>
    </row>
    <row r="392" spans="1:23" ht="13" x14ac:dyDescent="0.3">
      <c r="A392" s="58"/>
      <c r="B392" s="58"/>
      <c r="C392" s="58"/>
      <c r="D392" s="58"/>
      <c r="E392" s="58"/>
      <c r="F392" s="58"/>
      <c r="G392" s="58"/>
      <c r="H392" s="59"/>
      <c r="I392" s="59"/>
      <c r="J392" s="59"/>
      <c r="K392" s="59"/>
      <c r="L392" s="59"/>
      <c r="M392" s="60"/>
      <c r="N392" s="60"/>
      <c r="O392" s="60"/>
      <c r="P392" s="59"/>
      <c r="Q392" s="59"/>
      <c r="R392" s="60"/>
      <c r="S392" s="60"/>
      <c r="T392" s="60"/>
      <c r="U392" s="60"/>
      <c r="V392" s="60"/>
      <c r="W392" s="60"/>
    </row>
    <row r="393" spans="1:23" ht="13" x14ac:dyDescent="0.3">
      <c r="A393" s="58"/>
      <c r="B393" s="58"/>
      <c r="C393" s="58"/>
      <c r="D393" s="58"/>
      <c r="E393" s="58"/>
      <c r="F393" s="58"/>
      <c r="G393" s="58"/>
      <c r="H393" s="59"/>
      <c r="I393" s="59"/>
      <c r="J393" s="59"/>
      <c r="K393" s="59"/>
      <c r="L393" s="59"/>
      <c r="M393" s="60"/>
      <c r="N393" s="60"/>
      <c r="O393" s="60"/>
      <c r="P393" s="59"/>
      <c r="Q393" s="59"/>
      <c r="R393" s="60"/>
      <c r="S393" s="60"/>
      <c r="T393" s="60"/>
      <c r="U393" s="60"/>
      <c r="V393" s="60"/>
      <c r="W393" s="60"/>
    </row>
    <row r="394" spans="1:23" ht="13" x14ac:dyDescent="0.3">
      <c r="A394" s="58"/>
      <c r="B394" s="58"/>
      <c r="C394" s="58"/>
      <c r="D394" s="58"/>
      <c r="E394" s="58"/>
      <c r="F394" s="58"/>
      <c r="G394" s="58"/>
      <c r="H394" s="59"/>
      <c r="I394" s="59"/>
      <c r="J394" s="59"/>
      <c r="K394" s="59"/>
      <c r="L394" s="59"/>
      <c r="M394" s="60"/>
      <c r="N394" s="60"/>
      <c r="O394" s="60"/>
      <c r="P394" s="59"/>
      <c r="Q394" s="59"/>
      <c r="R394" s="60"/>
      <c r="S394" s="60"/>
      <c r="T394" s="60"/>
      <c r="U394" s="60"/>
      <c r="V394" s="60"/>
      <c r="W394" s="60"/>
    </row>
    <row r="395" spans="1:23" ht="13" x14ac:dyDescent="0.3">
      <c r="A395" s="58"/>
      <c r="B395" s="58"/>
      <c r="C395" s="58"/>
      <c r="D395" s="58"/>
      <c r="E395" s="58"/>
      <c r="F395" s="58"/>
      <c r="G395" s="58"/>
      <c r="H395" s="59"/>
      <c r="I395" s="59"/>
      <c r="J395" s="59"/>
      <c r="K395" s="59"/>
      <c r="L395" s="59"/>
      <c r="M395" s="60"/>
      <c r="N395" s="60"/>
      <c r="O395" s="60"/>
      <c r="P395" s="59"/>
      <c r="Q395" s="59"/>
      <c r="R395" s="60"/>
      <c r="S395" s="60"/>
      <c r="T395" s="60"/>
      <c r="U395" s="60"/>
      <c r="V395" s="60"/>
      <c r="W395" s="60"/>
    </row>
    <row r="396" spans="1:23" ht="13" x14ac:dyDescent="0.3">
      <c r="A396" s="58"/>
      <c r="B396" s="58"/>
      <c r="C396" s="58"/>
      <c r="D396" s="58"/>
      <c r="E396" s="58"/>
      <c r="F396" s="58"/>
      <c r="G396" s="58"/>
      <c r="H396" s="59"/>
      <c r="I396" s="59"/>
      <c r="J396" s="59"/>
      <c r="K396" s="59"/>
      <c r="L396" s="59"/>
      <c r="M396" s="60"/>
      <c r="N396" s="60"/>
      <c r="O396" s="60"/>
      <c r="P396" s="59"/>
      <c r="Q396" s="59"/>
      <c r="R396" s="60"/>
      <c r="S396" s="60"/>
      <c r="T396" s="60"/>
      <c r="U396" s="60"/>
      <c r="V396" s="60"/>
      <c r="W396" s="60"/>
    </row>
    <row r="397" spans="1:23" ht="13" x14ac:dyDescent="0.3">
      <c r="A397" s="58"/>
      <c r="B397" s="58"/>
      <c r="C397" s="58"/>
      <c r="D397" s="58"/>
      <c r="E397" s="58"/>
      <c r="F397" s="58"/>
      <c r="G397" s="58"/>
      <c r="H397" s="59"/>
      <c r="I397" s="59"/>
      <c r="J397" s="59"/>
      <c r="K397" s="59"/>
      <c r="L397" s="59"/>
      <c r="M397" s="60"/>
      <c r="N397" s="60"/>
      <c r="O397" s="60"/>
      <c r="P397" s="59"/>
      <c r="Q397" s="59"/>
      <c r="R397" s="60"/>
      <c r="S397" s="60"/>
      <c r="T397" s="60"/>
      <c r="U397" s="60"/>
      <c r="V397" s="60"/>
      <c r="W397" s="60"/>
    </row>
    <row r="398" spans="1:23" ht="13" x14ac:dyDescent="0.3">
      <c r="A398" s="58"/>
      <c r="B398" s="58"/>
      <c r="C398" s="58"/>
      <c r="D398" s="58"/>
      <c r="E398" s="58"/>
      <c r="F398" s="58"/>
      <c r="G398" s="58"/>
      <c r="H398" s="59"/>
      <c r="I398" s="59"/>
      <c r="J398" s="59"/>
      <c r="K398" s="59"/>
      <c r="L398" s="59"/>
      <c r="M398" s="60"/>
      <c r="N398" s="60"/>
      <c r="O398" s="60"/>
      <c r="P398" s="59"/>
      <c r="Q398" s="59"/>
      <c r="R398" s="60"/>
      <c r="S398" s="60"/>
      <c r="T398" s="60"/>
      <c r="U398" s="60"/>
      <c r="V398" s="60"/>
      <c r="W398" s="60"/>
    </row>
    <row r="399" spans="1:23" ht="13" x14ac:dyDescent="0.3">
      <c r="A399" s="58"/>
      <c r="B399" s="58"/>
      <c r="C399" s="58"/>
      <c r="D399" s="58"/>
      <c r="E399" s="58"/>
      <c r="F399" s="58"/>
      <c r="G399" s="58"/>
      <c r="H399" s="59"/>
      <c r="I399" s="59"/>
      <c r="J399" s="59"/>
      <c r="K399" s="59"/>
      <c r="L399" s="59"/>
      <c r="M399" s="60"/>
      <c r="N399" s="60"/>
      <c r="O399" s="60"/>
      <c r="P399" s="59"/>
      <c r="Q399" s="59"/>
      <c r="R399" s="60"/>
      <c r="S399" s="60"/>
      <c r="T399" s="60"/>
      <c r="U399" s="60"/>
      <c r="V399" s="60"/>
      <c r="W399" s="60"/>
    </row>
    <row r="400" spans="1:23" ht="13" x14ac:dyDescent="0.3">
      <c r="A400" s="58"/>
      <c r="B400" s="58"/>
      <c r="C400" s="58"/>
      <c r="D400" s="58"/>
      <c r="E400" s="58"/>
      <c r="F400" s="58"/>
      <c r="G400" s="58"/>
      <c r="H400" s="59"/>
      <c r="I400" s="59"/>
      <c r="J400" s="59"/>
      <c r="K400" s="59"/>
      <c r="L400" s="59"/>
      <c r="M400" s="60"/>
      <c r="N400" s="60"/>
      <c r="O400" s="60"/>
      <c r="P400" s="59"/>
      <c r="Q400" s="59"/>
      <c r="R400" s="60"/>
      <c r="S400" s="60"/>
      <c r="T400" s="60"/>
      <c r="U400" s="60"/>
      <c r="V400" s="60"/>
      <c r="W400" s="60"/>
    </row>
    <row r="401" spans="1:23" ht="13" x14ac:dyDescent="0.3">
      <c r="A401" s="58"/>
      <c r="B401" s="58"/>
      <c r="C401" s="58"/>
      <c r="D401" s="58"/>
      <c r="E401" s="58"/>
      <c r="F401" s="58"/>
      <c r="G401" s="58"/>
      <c r="H401" s="59"/>
      <c r="I401" s="59"/>
      <c r="J401" s="59"/>
      <c r="K401" s="59"/>
      <c r="L401" s="59"/>
      <c r="M401" s="60"/>
      <c r="N401" s="60"/>
      <c r="O401" s="60"/>
      <c r="P401" s="59"/>
      <c r="Q401" s="59"/>
      <c r="R401" s="60"/>
      <c r="S401" s="60"/>
      <c r="T401" s="60"/>
      <c r="U401" s="60"/>
      <c r="V401" s="60"/>
      <c r="W401" s="60"/>
    </row>
    <row r="402" spans="1:23" ht="13" x14ac:dyDescent="0.3">
      <c r="A402" s="58"/>
      <c r="B402" s="58"/>
      <c r="C402" s="58"/>
      <c r="D402" s="58"/>
      <c r="E402" s="58"/>
      <c r="F402" s="58"/>
      <c r="G402" s="58"/>
      <c r="H402" s="59"/>
      <c r="I402" s="59"/>
      <c r="J402" s="59"/>
      <c r="K402" s="59"/>
      <c r="L402" s="59"/>
      <c r="M402" s="60"/>
      <c r="N402" s="60"/>
      <c r="O402" s="60"/>
      <c r="P402" s="59"/>
      <c r="Q402" s="59"/>
      <c r="R402" s="60"/>
      <c r="S402" s="60"/>
      <c r="T402" s="60"/>
      <c r="U402" s="60"/>
      <c r="V402" s="60"/>
      <c r="W402" s="60"/>
    </row>
    <row r="403" spans="1:23" ht="13" x14ac:dyDescent="0.3">
      <c r="A403" s="58"/>
      <c r="B403" s="58"/>
      <c r="C403" s="58"/>
      <c r="D403" s="58"/>
      <c r="E403" s="58"/>
      <c r="F403" s="58"/>
      <c r="G403" s="58"/>
      <c r="H403" s="59"/>
      <c r="I403" s="59"/>
      <c r="J403" s="59"/>
      <c r="K403" s="59"/>
      <c r="L403" s="59"/>
      <c r="M403" s="60"/>
      <c r="N403" s="60"/>
      <c r="O403" s="60"/>
      <c r="P403" s="59"/>
      <c r="Q403" s="59"/>
      <c r="R403" s="60"/>
      <c r="S403" s="60"/>
      <c r="T403" s="60"/>
      <c r="U403" s="60"/>
      <c r="V403" s="60"/>
      <c r="W403" s="60"/>
    </row>
    <row r="404" spans="1:23" ht="13" x14ac:dyDescent="0.3">
      <c r="A404" s="58"/>
      <c r="B404" s="58"/>
      <c r="C404" s="58"/>
      <c r="D404" s="58"/>
      <c r="E404" s="58"/>
      <c r="F404" s="58"/>
      <c r="G404" s="58"/>
      <c r="H404" s="59"/>
      <c r="I404" s="59"/>
      <c r="J404" s="59"/>
      <c r="K404" s="59"/>
      <c r="L404" s="59"/>
      <c r="M404" s="60"/>
      <c r="N404" s="60"/>
      <c r="O404" s="60"/>
      <c r="P404" s="59"/>
      <c r="Q404" s="59"/>
      <c r="R404" s="60"/>
      <c r="S404" s="60"/>
      <c r="T404" s="60"/>
      <c r="U404" s="60"/>
      <c r="V404" s="60"/>
      <c r="W404" s="60"/>
    </row>
    <row r="405" spans="1:23" ht="13" x14ac:dyDescent="0.3">
      <c r="A405" s="58"/>
      <c r="B405" s="58"/>
      <c r="C405" s="58"/>
      <c r="D405" s="58"/>
      <c r="E405" s="58"/>
      <c r="F405" s="58"/>
      <c r="G405" s="58"/>
      <c r="H405" s="59"/>
      <c r="I405" s="59"/>
      <c r="J405" s="59"/>
      <c r="K405" s="59"/>
      <c r="L405" s="59"/>
      <c r="M405" s="60"/>
      <c r="N405" s="60"/>
      <c r="O405" s="60"/>
      <c r="P405" s="59"/>
      <c r="Q405" s="59"/>
      <c r="R405" s="60"/>
      <c r="S405" s="60"/>
      <c r="T405" s="60"/>
      <c r="U405" s="60"/>
      <c r="V405" s="60"/>
      <c r="W405" s="60"/>
    </row>
    <row r="406" spans="1:23" ht="13" x14ac:dyDescent="0.3">
      <c r="A406" s="58"/>
      <c r="B406" s="58"/>
      <c r="C406" s="58"/>
      <c r="D406" s="58"/>
      <c r="E406" s="58"/>
      <c r="F406" s="58"/>
      <c r="G406" s="58"/>
      <c r="H406" s="59"/>
      <c r="I406" s="59"/>
      <c r="J406" s="59"/>
      <c r="K406" s="59"/>
      <c r="L406" s="59"/>
      <c r="M406" s="60"/>
      <c r="N406" s="60"/>
      <c r="O406" s="60"/>
      <c r="P406" s="59"/>
      <c r="Q406" s="59"/>
      <c r="R406" s="60"/>
      <c r="S406" s="60"/>
      <c r="T406" s="60"/>
      <c r="U406" s="60"/>
      <c r="V406" s="60"/>
      <c r="W406" s="60"/>
    </row>
    <row r="407" spans="1:23" ht="13" x14ac:dyDescent="0.3">
      <c r="A407" s="58"/>
      <c r="B407" s="58"/>
      <c r="C407" s="58"/>
      <c r="D407" s="58"/>
      <c r="E407" s="58"/>
      <c r="F407" s="58"/>
      <c r="G407" s="58"/>
      <c r="H407" s="59"/>
      <c r="I407" s="59"/>
      <c r="J407" s="59"/>
      <c r="K407" s="59"/>
      <c r="L407" s="59"/>
      <c r="M407" s="60"/>
      <c r="N407" s="60"/>
      <c r="O407" s="60"/>
      <c r="P407" s="59"/>
      <c r="Q407" s="59"/>
      <c r="R407" s="60"/>
      <c r="S407" s="60"/>
      <c r="T407" s="60"/>
      <c r="U407" s="60"/>
      <c r="V407" s="60"/>
      <c r="W407" s="60"/>
    </row>
    <row r="408" spans="1:23" ht="13" x14ac:dyDescent="0.3">
      <c r="A408" s="58"/>
      <c r="B408" s="58"/>
      <c r="C408" s="58"/>
      <c r="D408" s="58"/>
      <c r="E408" s="58"/>
      <c r="F408" s="58"/>
      <c r="G408" s="58"/>
      <c r="H408" s="59"/>
      <c r="I408" s="59"/>
      <c r="J408" s="59"/>
      <c r="K408" s="59"/>
      <c r="L408" s="59"/>
      <c r="M408" s="60"/>
      <c r="N408" s="60"/>
      <c r="O408" s="60"/>
      <c r="P408" s="59"/>
      <c r="Q408" s="59"/>
      <c r="R408" s="60"/>
      <c r="S408" s="60"/>
      <c r="T408" s="60"/>
      <c r="U408" s="60"/>
      <c r="V408" s="60"/>
      <c r="W408" s="60"/>
    </row>
    <row r="409" spans="1:23" ht="13" x14ac:dyDescent="0.3">
      <c r="A409" s="58"/>
      <c r="B409" s="58"/>
      <c r="C409" s="58"/>
      <c r="D409" s="58"/>
      <c r="E409" s="58"/>
      <c r="F409" s="58"/>
      <c r="G409" s="58"/>
      <c r="H409" s="59"/>
      <c r="I409" s="59"/>
      <c r="J409" s="59"/>
      <c r="K409" s="59"/>
      <c r="L409" s="59"/>
      <c r="M409" s="60"/>
      <c r="N409" s="60"/>
      <c r="O409" s="60"/>
      <c r="P409" s="59"/>
      <c r="Q409" s="59"/>
      <c r="R409" s="60"/>
      <c r="S409" s="60"/>
      <c r="T409" s="60"/>
      <c r="U409" s="60"/>
      <c r="V409" s="60"/>
      <c r="W409" s="60"/>
    </row>
    <row r="410" spans="1:23" ht="13" x14ac:dyDescent="0.3">
      <c r="A410" s="58"/>
      <c r="B410" s="58"/>
      <c r="C410" s="58"/>
      <c r="D410" s="58"/>
      <c r="E410" s="58"/>
      <c r="F410" s="58"/>
      <c r="G410" s="58"/>
      <c r="H410" s="59"/>
      <c r="I410" s="59"/>
      <c r="J410" s="59"/>
      <c r="K410" s="59"/>
      <c r="L410" s="59"/>
      <c r="M410" s="60"/>
      <c r="N410" s="60"/>
      <c r="O410" s="60"/>
      <c r="P410" s="59"/>
      <c r="Q410" s="59"/>
      <c r="R410" s="60"/>
      <c r="S410" s="60"/>
      <c r="T410" s="60"/>
      <c r="U410" s="60"/>
      <c r="V410" s="60"/>
      <c r="W410" s="60"/>
    </row>
    <row r="411" spans="1:23" ht="13" x14ac:dyDescent="0.3">
      <c r="A411" s="58"/>
      <c r="B411" s="58"/>
      <c r="C411" s="58"/>
      <c r="D411" s="58"/>
      <c r="E411" s="58"/>
      <c r="F411" s="58"/>
      <c r="G411" s="58"/>
      <c r="H411" s="59"/>
      <c r="I411" s="59"/>
      <c r="J411" s="59"/>
      <c r="K411" s="59"/>
      <c r="L411" s="59"/>
      <c r="M411" s="60"/>
      <c r="N411" s="60"/>
      <c r="O411" s="60"/>
      <c r="P411" s="59"/>
      <c r="Q411" s="59"/>
      <c r="R411" s="60"/>
      <c r="S411" s="60"/>
      <c r="T411" s="60"/>
      <c r="U411" s="60"/>
      <c r="V411" s="60"/>
      <c r="W411" s="60"/>
    </row>
    <row r="412" spans="1:23" ht="13" x14ac:dyDescent="0.3">
      <c r="A412" s="58"/>
      <c r="B412" s="58"/>
      <c r="C412" s="58"/>
      <c r="D412" s="58"/>
      <c r="E412" s="58"/>
      <c r="F412" s="58"/>
      <c r="G412" s="58"/>
      <c r="H412" s="59"/>
      <c r="I412" s="59"/>
      <c r="J412" s="59"/>
      <c r="K412" s="59"/>
      <c r="L412" s="59"/>
      <c r="M412" s="60"/>
      <c r="N412" s="60"/>
      <c r="O412" s="60"/>
      <c r="P412" s="59"/>
      <c r="Q412" s="59"/>
      <c r="R412" s="60"/>
      <c r="S412" s="60"/>
      <c r="T412" s="60"/>
      <c r="U412" s="60"/>
      <c r="V412" s="60"/>
      <c r="W412" s="60"/>
    </row>
    <row r="413" spans="1:23" ht="13" x14ac:dyDescent="0.3">
      <c r="A413" s="58"/>
      <c r="B413" s="58"/>
      <c r="C413" s="58"/>
      <c r="D413" s="58"/>
      <c r="E413" s="58"/>
      <c r="F413" s="58"/>
      <c r="G413" s="58"/>
      <c r="H413" s="59"/>
      <c r="I413" s="59"/>
      <c r="J413" s="59"/>
      <c r="K413" s="59"/>
      <c r="L413" s="59"/>
      <c r="M413" s="60"/>
      <c r="N413" s="60"/>
      <c r="O413" s="60"/>
      <c r="P413" s="59"/>
      <c r="Q413" s="59"/>
      <c r="R413" s="60"/>
      <c r="S413" s="60"/>
      <c r="T413" s="60"/>
      <c r="U413" s="60"/>
      <c r="V413" s="60"/>
      <c r="W413" s="60"/>
    </row>
    <row r="414" spans="1:23" ht="13" x14ac:dyDescent="0.3">
      <c r="A414" s="58"/>
      <c r="B414" s="58"/>
      <c r="C414" s="58"/>
      <c r="D414" s="58"/>
      <c r="E414" s="58"/>
      <c r="F414" s="58"/>
      <c r="G414" s="58"/>
      <c r="H414" s="59"/>
      <c r="I414" s="59"/>
      <c r="J414" s="59"/>
      <c r="K414" s="59"/>
      <c r="L414" s="59"/>
      <c r="M414" s="60"/>
      <c r="N414" s="60"/>
      <c r="O414" s="60"/>
      <c r="P414" s="59"/>
      <c r="Q414" s="59"/>
      <c r="R414" s="60"/>
      <c r="S414" s="60"/>
      <c r="T414" s="60"/>
      <c r="U414" s="60"/>
      <c r="V414" s="60"/>
      <c r="W414" s="60"/>
    </row>
    <row r="415" spans="1:23" ht="13" x14ac:dyDescent="0.3">
      <c r="A415" s="58"/>
      <c r="B415" s="58"/>
      <c r="C415" s="58"/>
      <c r="D415" s="58"/>
      <c r="E415" s="58"/>
      <c r="F415" s="58"/>
      <c r="G415" s="58"/>
      <c r="H415" s="59"/>
      <c r="I415" s="59"/>
      <c r="J415" s="59"/>
      <c r="K415" s="59"/>
      <c r="L415" s="59"/>
      <c r="M415" s="60"/>
      <c r="N415" s="60"/>
      <c r="O415" s="60"/>
      <c r="P415" s="59"/>
      <c r="Q415" s="59"/>
      <c r="R415" s="60"/>
      <c r="S415" s="60"/>
      <c r="T415" s="60"/>
      <c r="U415" s="60"/>
      <c r="V415" s="60"/>
      <c r="W415" s="60"/>
    </row>
    <row r="416" spans="1:23" ht="13" x14ac:dyDescent="0.3">
      <c r="A416" s="58"/>
      <c r="B416" s="58"/>
      <c r="C416" s="58"/>
      <c r="D416" s="58"/>
      <c r="E416" s="58"/>
      <c r="F416" s="58"/>
      <c r="G416" s="58"/>
      <c r="H416" s="59"/>
      <c r="I416" s="59"/>
      <c r="J416" s="59"/>
      <c r="K416" s="59"/>
      <c r="L416" s="59"/>
      <c r="M416" s="60"/>
      <c r="N416" s="60"/>
      <c r="O416" s="60"/>
      <c r="P416" s="59"/>
      <c r="Q416" s="59"/>
      <c r="R416" s="60"/>
      <c r="S416" s="60"/>
      <c r="T416" s="60"/>
      <c r="U416" s="60"/>
      <c r="V416" s="60"/>
      <c r="W416" s="60"/>
    </row>
    <row r="417" spans="1:23" ht="13" x14ac:dyDescent="0.3">
      <c r="A417" s="58"/>
      <c r="B417" s="58"/>
      <c r="C417" s="58"/>
      <c r="D417" s="58"/>
      <c r="E417" s="58"/>
      <c r="F417" s="58"/>
      <c r="G417" s="58"/>
      <c r="H417" s="59"/>
      <c r="I417" s="59"/>
      <c r="J417" s="59"/>
      <c r="K417" s="59"/>
      <c r="L417" s="59"/>
      <c r="M417" s="60"/>
      <c r="N417" s="60"/>
      <c r="O417" s="60"/>
      <c r="P417" s="59"/>
      <c r="Q417" s="59"/>
      <c r="R417" s="60"/>
      <c r="S417" s="60"/>
      <c r="T417" s="60"/>
      <c r="U417" s="60"/>
      <c r="V417" s="60"/>
      <c r="W417" s="60"/>
    </row>
    <row r="418" spans="1:23" ht="13" x14ac:dyDescent="0.3">
      <c r="A418" s="58"/>
      <c r="B418" s="58"/>
      <c r="C418" s="58"/>
      <c r="D418" s="58"/>
      <c r="E418" s="58"/>
      <c r="F418" s="58"/>
      <c r="G418" s="58"/>
      <c r="H418" s="59"/>
      <c r="I418" s="59"/>
      <c r="J418" s="59"/>
      <c r="K418" s="59"/>
      <c r="L418" s="59"/>
      <c r="M418" s="60"/>
      <c r="N418" s="60"/>
      <c r="O418" s="60"/>
      <c r="P418" s="59"/>
      <c r="Q418" s="59"/>
      <c r="R418" s="60"/>
      <c r="S418" s="60"/>
      <c r="T418" s="60"/>
      <c r="U418" s="60"/>
      <c r="V418" s="60"/>
      <c r="W418" s="60"/>
    </row>
    <row r="419" spans="1:23" ht="13" x14ac:dyDescent="0.3">
      <c r="A419" s="58"/>
      <c r="B419" s="58"/>
      <c r="C419" s="58"/>
      <c r="D419" s="58"/>
      <c r="E419" s="58"/>
      <c r="F419" s="58"/>
      <c r="G419" s="58"/>
      <c r="H419" s="59"/>
      <c r="I419" s="59"/>
      <c r="J419" s="59"/>
      <c r="K419" s="59"/>
      <c r="L419" s="59"/>
      <c r="M419" s="60"/>
      <c r="N419" s="60"/>
      <c r="O419" s="60"/>
      <c r="P419" s="59"/>
      <c r="Q419" s="59"/>
      <c r="R419" s="60"/>
      <c r="S419" s="60"/>
      <c r="T419" s="60"/>
      <c r="U419" s="60"/>
      <c r="V419" s="60"/>
      <c r="W419" s="60"/>
    </row>
    <row r="420" spans="1:23" ht="13" x14ac:dyDescent="0.3">
      <c r="A420" s="58"/>
      <c r="B420" s="58"/>
      <c r="C420" s="58"/>
      <c r="D420" s="58"/>
      <c r="E420" s="58"/>
      <c r="F420" s="58"/>
      <c r="G420" s="58"/>
      <c r="H420" s="59"/>
      <c r="I420" s="59"/>
      <c r="J420" s="59"/>
      <c r="K420" s="59"/>
      <c r="L420" s="59"/>
      <c r="M420" s="60"/>
      <c r="N420" s="60"/>
      <c r="O420" s="60"/>
      <c r="P420" s="59"/>
      <c r="Q420" s="59"/>
      <c r="R420" s="60"/>
      <c r="S420" s="60"/>
      <c r="T420" s="60"/>
      <c r="U420" s="60"/>
      <c r="V420" s="60"/>
      <c r="W420" s="60"/>
    </row>
    <row r="421" spans="1:23" ht="13" x14ac:dyDescent="0.3">
      <c r="A421" s="58"/>
      <c r="B421" s="58"/>
      <c r="C421" s="58"/>
      <c r="D421" s="58"/>
      <c r="E421" s="58"/>
      <c r="F421" s="58"/>
      <c r="G421" s="58"/>
      <c r="H421" s="59"/>
      <c r="I421" s="59"/>
      <c r="J421" s="59"/>
      <c r="K421" s="59"/>
      <c r="L421" s="59"/>
      <c r="M421" s="60"/>
      <c r="N421" s="60"/>
      <c r="O421" s="60"/>
      <c r="P421" s="59"/>
      <c r="Q421" s="59"/>
      <c r="R421" s="60"/>
      <c r="S421" s="60"/>
      <c r="T421" s="60"/>
      <c r="U421" s="60"/>
      <c r="V421" s="60"/>
      <c r="W421" s="60"/>
    </row>
    <row r="422" spans="1:23" ht="13" x14ac:dyDescent="0.3">
      <c r="A422" s="58"/>
      <c r="B422" s="58"/>
      <c r="C422" s="58"/>
      <c r="D422" s="58"/>
      <c r="E422" s="58"/>
      <c r="F422" s="58"/>
      <c r="G422" s="58"/>
      <c r="H422" s="59"/>
      <c r="I422" s="59"/>
      <c r="J422" s="59"/>
      <c r="K422" s="59"/>
      <c r="L422" s="59"/>
      <c r="M422" s="60"/>
      <c r="N422" s="60"/>
      <c r="O422" s="60"/>
      <c r="P422" s="59"/>
      <c r="Q422" s="59"/>
      <c r="R422" s="60"/>
      <c r="S422" s="60"/>
      <c r="T422" s="60"/>
      <c r="U422" s="60"/>
      <c r="V422" s="60"/>
      <c r="W422" s="60"/>
    </row>
    <row r="423" spans="1:23" ht="13" x14ac:dyDescent="0.3">
      <c r="A423" s="58"/>
      <c r="B423" s="58"/>
      <c r="C423" s="58"/>
      <c r="D423" s="58"/>
      <c r="E423" s="58"/>
      <c r="F423" s="58"/>
      <c r="G423" s="58"/>
      <c r="H423" s="59"/>
      <c r="I423" s="59"/>
      <c r="J423" s="59"/>
      <c r="K423" s="59"/>
      <c r="L423" s="59"/>
      <c r="M423" s="60"/>
      <c r="N423" s="60"/>
      <c r="O423" s="60"/>
      <c r="P423" s="59"/>
      <c r="Q423" s="59"/>
      <c r="R423" s="60"/>
      <c r="S423" s="60"/>
      <c r="T423" s="60"/>
      <c r="U423" s="60"/>
      <c r="V423" s="60"/>
      <c r="W423" s="60"/>
    </row>
    <row r="424" spans="1:23" ht="13" x14ac:dyDescent="0.3">
      <c r="A424" s="58"/>
      <c r="B424" s="58"/>
      <c r="C424" s="58"/>
      <c r="D424" s="58"/>
      <c r="E424" s="58"/>
      <c r="F424" s="58"/>
      <c r="G424" s="58"/>
      <c r="H424" s="59"/>
      <c r="I424" s="59"/>
      <c r="J424" s="59"/>
      <c r="K424" s="59"/>
      <c r="L424" s="59"/>
      <c r="M424" s="60"/>
      <c r="N424" s="60"/>
      <c r="O424" s="60"/>
      <c r="P424" s="59"/>
      <c r="Q424" s="59"/>
      <c r="R424" s="60"/>
      <c r="S424" s="60"/>
      <c r="T424" s="60"/>
      <c r="U424" s="60"/>
      <c r="V424" s="60"/>
      <c r="W424" s="60"/>
    </row>
    <row r="425" spans="1:23" ht="13" x14ac:dyDescent="0.3">
      <c r="A425" s="58"/>
      <c r="B425" s="58"/>
      <c r="C425" s="58"/>
      <c r="D425" s="58"/>
      <c r="E425" s="58"/>
      <c r="F425" s="58"/>
      <c r="G425" s="58"/>
      <c r="H425" s="59"/>
      <c r="I425" s="59"/>
      <c r="J425" s="59"/>
      <c r="K425" s="59"/>
      <c r="L425" s="59"/>
      <c r="M425" s="60"/>
      <c r="N425" s="60"/>
      <c r="O425" s="60"/>
      <c r="P425" s="59"/>
      <c r="Q425" s="59"/>
      <c r="R425" s="60"/>
      <c r="S425" s="60"/>
      <c r="T425" s="60"/>
      <c r="U425" s="60"/>
      <c r="V425" s="60"/>
      <c r="W425" s="60"/>
    </row>
    <row r="426" spans="1:23" ht="13" x14ac:dyDescent="0.3">
      <c r="A426" s="58"/>
      <c r="B426" s="58"/>
      <c r="C426" s="58"/>
      <c r="D426" s="58"/>
      <c r="E426" s="58"/>
      <c r="F426" s="58"/>
      <c r="G426" s="58"/>
      <c r="H426" s="59"/>
      <c r="I426" s="59"/>
      <c r="J426" s="59"/>
      <c r="K426" s="59"/>
      <c r="L426" s="59"/>
      <c r="M426" s="60"/>
      <c r="N426" s="60"/>
      <c r="O426" s="60"/>
      <c r="P426" s="59"/>
      <c r="Q426" s="59"/>
      <c r="R426" s="60"/>
      <c r="S426" s="60"/>
      <c r="T426" s="60"/>
      <c r="U426" s="60"/>
      <c r="V426" s="60"/>
      <c r="W426" s="60"/>
    </row>
    <row r="427" spans="1:23" ht="13" x14ac:dyDescent="0.3">
      <c r="A427" s="58"/>
      <c r="B427" s="58"/>
      <c r="C427" s="58"/>
      <c r="D427" s="58"/>
      <c r="E427" s="58"/>
      <c r="F427" s="58"/>
      <c r="G427" s="58"/>
      <c r="H427" s="59"/>
      <c r="I427" s="59"/>
      <c r="J427" s="59"/>
      <c r="K427" s="59"/>
      <c r="L427" s="59"/>
      <c r="M427" s="60"/>
      <c r="N427" s="60"/>
      <c r="O427" s="60"/>
      <c r="P427" s="59"/>
      <c r="Q427" s="59"/>
      <c r="R427" s="60"/>
      <c r="S427" s="60"/>
      <c r="T427" s="60"/>
      <c r="U427" s="60"/>
      <c r="V427" s="60"/>
      <c r="W427" s="60"/>
    </row>
    <row r="428" spans="1:23" ht="13" x14ac:dyDescent="0.3">
      <c r="A428" s="58"/>
      <c r="B428" s="58"/>
      <c r="C428" s="58"/>
      <c r="D428" s="58"/>
      <c r="E428" s="58"/>
      <c r="F428" s="58"/>
      <c r="G428" s="58"/>
      <c r="H428" s="59"/>
      <c r="I428" s="59"/>
      <c r="J428" s="59"/>
      <c r="K428" s="59"/>
      <c r="L428" s="59"/>
      <c r="M428" s="60"/>
      <c r="N428" s="60"/>
      <c r="O428" s="60"/>
      <c r="P428" s="59"/>
      <c r="Q428" s="59"/>
      <c r="R428" s="60"/>
      <c r="S428" s="60"/>
      <c r="T428" s="60"/>
      <c r="U428" s="60"/>
      <c r="V428" s="60"/>
      <c r="W428" s="60"/>
    </row>
    <row r="429" spans="1:23" ht="13" x14ac:dyDescent="0.3">
      <c r="A429" s="58"/>
      <c r="B429" s="58"/>
      <c r="C429" s="58"/>
      <c r="D429" s="58"/>
      <c r="E429" s="58"/>
      <c r="F429" s="58"/>
      <c r="G429" s="58"/>
      <c r="H429" s="59"/>
      <c r="I429" s="59"/>
      <c r="J429" s="59"/>
      <c r="K429" s="59"/>
      <c r="L429" s="59"/>
      <c r="M429" s="60"/>
      <c r="N429" s="60"/>
      <c r="O429" s="60"/>
      <c r="P429" s="59"/>
      <c r="Q429" s="59"/>
      <c r="R429" s="60"/>
      <c r="S429" s="60"/>
      <c r="T429" s="60"/>
      <c r="U429" s="60"/>
      <c r="V429" s="60"/>
      <c r="W429" s="60"/>
    </row>
    <row r="430" spans="1:23" ht="13" x14ac:dyDescent="0.3">
      <c r="A430" s="58"/>
      <c r="B430" s="58"/>
      <c r="C430" s="58"/>
      <c r="D430" s="58"/>
      <c r="E430" s="58"/>
      <c r="F430" s="58"/>
      <c r="G430" s="58"/>
      <c r="H430" s="59"/>
      <c r="I430" s="59"/>
      <c r="J430" s="59"/>
      <c r="K430" s="59"/>
      <c r="L430" s="59"/>
      <c r="M430" s="60"/>
      <c r="N430" s="60"/>
      <c r="O430" s="60"/>
      <c r="P430" s="59"/>
      <c r="Q430" s="59"/>
      <c r="R430" s="60"/>
      <c r="S430" s="60"/>
      <c r="T430" s="60"/>
      <c r="U430" s="60"/>
      <c r="V430" s="60"/>
      <c r="W430" s="60"/>
    </row>
    <row r="431" spans="1:23" ht="13" x14ac:dyDescent="0.3">
      <c r="A431" s="58"/>
      <c r="B431" s="58"/>
      <c r="C431" s="58"/>
      <c r="D431" s="58"/>
      <c r="E431" s="58"/>
      <c r="F431" s="58"/>
      <c r="G431" s="58"/>
      <c r="H431" s="59"/>
      <c r="I431" s="59"/>
      <c r="J431" s="59"/>
      <c r="K431" s="59"/>
      <c r="L431" s="59"/>
      <c r="M431" s="60"/>
      <c r="N431" s="60"/>
      <c r="O431" s="60"/>
      <c r="P431" s="59"/>
      <c r="Q431" s="59"/>
      <c r="R431" s="60"/>
      <c r="S431" s="60"/>
      <c r="T431" s="60"/>
      <c r="U431" s="60"/>
      <c r="V431" s="60"/>
      <c r="W431" s="60"/>
    </row>
    <row r="432" spans="1:23" ht="13" x14ac:dyDescent="0.3">
      <c r="A432" s="58"/>
      <c r="B432" s="58"/>
      <c r="C432" s="58"/>
      <c r="D432" s="58"/>
      <c r="E432" s="58"/>
      <c r="F432" s="58"/>
      <c r="G432" s="58"/>
      <c r="H432" s="59"/>
      <c r="I432" s="59"/>
      <c r="J432" s="59"/>
      <c r="K432" s="59"/>
      <c r="L432" s="59"/>
      <c r="M432" s="60"/>
      <c r="N432" s="60"/>
      <c r="O432" s="60"/>
      <c r="P432" s="59"/>
      <c r="Q432" s="59"/>
      <c r="R432" s="60"/>
      <c r="S432" s="60"/>
      <c r="T432" s="60"/>
      <c r="U432" s="60"/>
      <c r="V432" s="60"/>
      <c r="W432" s="60"/>
    </row>
    <row r="433" spans="1:23" ht="13" x14ac:dyDescent="0.3">
      <c r="A433" s="58"/>
      <c r="B433" s="58"/>
      <c r="C433" s="58"/>
      <c r="D433" s="58"/>
      <c r="E433" s="58"/>
      <c r="F433" s="58"/>
      <c r="G433" s="58"/>
      <c r="H433" s="59"/>
      <c r="I433" s="59"/>
      <c r="J433" s="59"/>
      <c r="K433" s="59"/>
      <c r="L433" s="59"/>
      <c r="M433" s="60"/>
      <c r="N433" s="60"/>
      <c r="O433" s="60"/>
      <c r="P433" s="59"/>
      <c r="Q433" s="59"/>
      <c r="R433" s="60"/>
      <c r="S433" s="60"/>
      <c r="T433" s="60"/>
      <c r="U433" s="60"/>
      <c r="V433" s="60"/>
      <c r="W433" s="60"/>
    </row>
    <row r="434" spans="1:23" ht="13" x14ac:dyDescent="0.3">
      <c r="A434" s="58"/>
      <c r="B434" s="58"/>
      <c r="C434" s="58"/>
      <c r="D434" s="58"/>
      <c r="E434" s="58"/>
      <c r="F434" s="58"/>
      <c r="G434" s="58"/>
      <c r="H434" s="59"/>
      <c r="I434" s="59"/>
      <c r="J434" s="59"/>
      <c r="K434" s="59"/>
      <c r="L434" s="59"/>
      <c r="M434" s="60"/>
      <c r="N434" s="60"/>
      <c r="O434" s="60"/>
      <c r="P434" s="59"/>
      <c r="Q434" s="59"/>
      <c r="R434" s="60"/>
      <c r="S434" s="60"/>
      <c r="T434" s="60"/>
      <c r="U434" s="60"/>
      <c r="V434" s="60"/>
      <c r="W434" s="60"/>
    </row>
    <row r="435" spans="1:23" ht="13" x14ac:dyDescent="0.3">
      <c r="A435" s="58"/>
      <c r="B435" s="58"/>
      <c r="C435" s="58"/>
      <c r="D435" s="58"/>
      <c r="E435" s="58"/>
      <c r="F435" s="58"/>
      <c r="G435" s="58"/>
      <c r="H435" s="59"/>
      <c r="I435" s="59"/>
      <c r="J435" s="59"/>
      <c r="K435" s="59"/>
      <c r="L435" s="59"/>
      <c r="M435" s="60"/>
      <c r="N435" s="60"/>
      <c r="O435" s="60"/>
      <c r="P435" s="59"/>
      <c r="Q435" s="59"/>
      <c r="R435" s="60"/>
      <c r="S435" s="60"/>
      <c r="T435" s="60"/>
      <c r="U435" s="60"/>
      <c r="V435" s="60"/>
      <c r="W435" s="60"/>
    </row>
    <row r="436" spans="1:23" ht="13" x14ac:dyDescent="0.3">
      <c r="A436" s="58"/>
      <c r="B436" s="58"/>
      <c r="C436" s="58"/>
      <c r="D436" s="58"/>
      <c r="E436" s="58"/>
      <c r="F436" s="58"/>
      <c r="G436" s="58"/>
      <c r="H436" s="59"/>
      <c r="I436" s="59"/>
      <c r="J436" s="59"/>
      <c r="K436" s="59"/>
      <c r="L436" s="59"/>
      <c r="M436" s="60"/>
      <c r="N436" s="60"/>
      <c r="O436" s="60"/>
      <c r="P436" s="59"/>
      <c r="Q436" s="59"/>
      <c r="R436" s="60"/>
      <c r="S436" s="60"/>
      <c r="T436" s="60"/>
      <c r="U436" s="60"/>
      <c r="V436" s="60"/>
      <c r="W436" s="60"/>
    </row>
    <row r="437" spans="1:23" ht="13" x14ac:dyDescent="0.3">
      <c r="A437" s="58"/>
      <c r="B437" s="58"/>
      <c r="C437" s="58"/>
      <c r="D437" s="58"/>
      <c r="E437" s="58"/>
      <c r="F437" s="58"/>
      <c r="G437" s="58"/>
      <c r="H437" s="59"/>
      <c r="I437" s="59"/>
      <c r="J437" s="59"/>
      <c r="K437" s="59"/>
      <c r="L437" s="59"/>
      <c r="M437" s="60"/>
      <c r="N437" s="60"/>
      <c r="O437" s="60"/>
      <c r="P437" s="59"/>
      <c r="Q437" s="59"/>
      <c r="R437" s="60"/>
      <c r="S437" s="60"/>
      <c r="T437" s="60"/>
      <c r="U437" s="60"/>
      <c r="V437" s="60"/>
      <c r="W437" s="60"/>
    </row>
    <row r="438" spans="1:23" ht="13" x14ac:dyDescent="0.3">
      <c r="A438" s="58"/>
      <c r="B438" s="58"/>
      <c r="C438" s="58"/>
      <c r="D438" s="58"/>
      <c r="E438" s="58"/>
      <c r="F438" s="58"/>
      <c r="G438" s="58"/>
      <c r="H438" s="59"/>
      <c r="I438" s="59"/>
      <c r="J438" s="59"/>
      <c r="K438" s="59"/>
      <c r="L438" s="59"/>
      <c r="M438" s="60"/>
      <c r="N438" s="60"/>
      <c r="O438" s="60"/>
      <c r="P438" s="59"/>
      <c r="Q438" s="59"/>
      <c r="R438" s="60"/>
      <c r="S438" s="60"/>
      <c r="T438" s="60"/>
      <c r="U438" s="60"/>
      <c r="V438" s="60"/>
      <c r="W438" s="60"/>
    </row>
    <row r="439" spans="1:23" ht="13" x14ac:dyDescent="0.3">
      <c r="A439" s="58"/>
      <c r="B439" s="58"/>
      <c r="C439" s="58"/>
      <c r="D439" s="58"/>
      <c r="E439" s="58"/>
      <c r="F439" s="58"/>
      <c r="G439" s="58"/>
      <c r="H439" s="59"/>
      <c r="I439" s="59"/>
      <c r="J439" s="59"/>
      <c r="K439" s="59"/>
      <c r="L439" s="59"/>
      <c r="M439" s="60"/>
      <c r="N439" s="60"/>
      <c r="O439" s="60"/>
      <c r="P439" s="59"/>
      <c r="Q439" s="59"/>
      <c r="R439" s="60"/>
      <c r="S439" s="60"/>
      <c r="T439" s="60"/>
      <c r="U439" s="60"/>
      <c r="V439" s="60"/>
      <c r="W439" s="60"/>
    </row>
    <row r="440" spans="1:23" ht="13" x14ac:dyDescent="0.3">
      <c r="A440" s="58"/>
      <c r="B440" s="58"/>
      <c r="C440" s="58"/>
      <c r="D440" s="58"/>
      <c r="E440" s="58"/>
      <c r="F440" s="58"/>
      <c r="G440" s="58"/>
      <c r="H440" s="59"/>
      <c r="I440" s="59"/>
      <c r="J440" s="59"/>
      <c r="K440" s="59"/>
      <c r="L440" s="59"/>
      <c r="M440" s="60"/>
      <c r="N440" s="60"/>
      <c r="O440" s="60"/>
      <c r="P440" s="59"/>
      <c r="Q440" s="59"/>
      <c r="R440" s="60"/>
      <c r="S440" s="60"/>
      <c r="T440" s="60"/>
      <c r="U440" s="60"/>
      <c r="V440" s="60"/>
      <c r="W440" s="60"/>
    </row>
    <row r="441" spans="1:23" ht="13" x14ac:dyDescent="0.3">
      <c r="A441" s="58"/>
      <c r="B441" s="58"/>
      <c r="C441" s="58"/>
      <c r="D441" s="58"/>
      <c r="E441" s="58"/>
      <c r="F441" s="58"/>
      <c r="G441" s="58"/>
      <c r="H441" s="59"/>
      <c r="I441" s="59"/>
      <c r="J441" s="59"/>
      <c r="K441" s="59"/>
      <c r="L441" s="59"/>
      <c r="M441" s="60"/>
      <c r="N441" s="60"/>
      <c r="O441" s="60"/>
      <c r="P441" s="59"/>
      <c r="Q441" s="59"/>
      <c r="R441" s="60"/>
      <c r="S441" s="60"/>
      <c r="T441" s="60"/>
      <c r="U441" s="60"/>
      <c r="V441" s="60"/>
      <c r="W441" s="60"/>
    </row>
    <row r="442" spans="1:23" ht="13" x14ac:dyDescent="0.3">
      <c r="A442" s="58"/>
      <c r="B442" s="58"/>
      <c r="C442" s="58"/>
      <c r="D442" s="58"/>
      <c r="E442" s="58"/>
      <c r="F442" s="58"/>
      <c r="G442" s="58"/>
      <c r="H442" s="59"/>
      <c r="I442" s="59"/>
      <c r="J442" s="59"/>
      <c r="K442" s="59"/>
      <c r="L442" s="59"/>
      <c r="M442" s="60"/>
      <c r="N442" s="60"/>
      <c r="O442" s="60"/>
      <c r="P442" s="59"/>
      <c r="Q442" s="59"/>
      <c r="R442" s="60"/>
      <c r="S442" s="60"/>
      <c r="T442" s="60"/>
      <c r="U442" s="60"/>
      <c r="V442" s="60"/>
      <c r="W442" s="60"/>
    </row>
    <row r="443" spans="1:23" ht="13" x14ac:dyDescent="0.3">
      <c r="A443" s="58"/>
      <c r="B443" s="58"/>
      <c r="C443" s="58"/>
      <c r="D443" s="58"/>
      <c r="E443" s="58"/>
      <c r="F443" s="58"/>
      <c r="G443" s="58"/>
      <c r="H443" s="59"/>
      <c r="I443" s="59"/>
      <c r="J443" s="59"/>
      <c r="K443" s="59"/>
      <c r="L443" s="59"/>
      <c r="M443" s="60"/>
      <c r="N443" s="60"/>
      <c r="O443" s="60"/>
      <c r="P443" s="59"/>
      <c r="Q443" s="59"/>
      <c r="R443" s="60"/>
      <c r="S443" s="60"/>
      <c r="T443" s="60"/>
      <c r="U443" s="60"/>
      <c r="V443" s="60"/>
      <c r="W443" s="60"/>
    </row>
    <row r="444" spans="1:23" ht="13" x14ac:dyDescent="0.3">
      <c r="A444" s="58"/>
      <c r="B444" s="58"/>
      <c r="C444" s="58"/>
      <c r="D444" s="58"/>
      <c r="E444" s="58"/>
      <c r="F444" s="58"/>
      <c r="G444" s="58"/>
      <c r="H444" s="59"/>
      <c r="I444" s="59"/>
      <c r="J444" s="59"/>
      <c r="K444" s="59"/>
      <c r="L444" s="59"/>
      <c r="M444" s="60"/>
      <c r="N444" s="60"/>
      <c r="O444" s="60"/>
      <c r="P444" s="59"/>
      <c r="Q444" s="59"/>
      <c r="R444" s="60"/>
      <c r="S444" s="60"/>
      <c r="T444" s="60"/>
      <c r="U444" s="60"/>
      <c r="V444" s="60"/>
      <c r="W444" s="60"/>
    </row>
    <row r="445" spans="1:23" ht="13" x14ac:dyDescent="0.3">
      <c r="A445" s="58"/>
      <c r="B445" s="58"/>
      <c r="C445" s="58"/>
      <c r="D445" s="58"/>
      <c r="E445" s="58"/>
      <c r="F445" s="58"/>
      <c r="G445" s="58"/>
      <c r="H445" s="59"/>
      <c r="I445" s="59"/>
      <c r="J445" s="59"/>
      <c r="K445" s="59"/>
      <c r="L445" s="59"/>
      <c r="M445" s="60"/>
      <c r="N445" s="60"/>
      <c r="O445" s="60"/>
      <c r="P445" s="59"/>
      <c r="Q445" s="59"/>
      <c r="R445" s="60"/>
      <c r="S445" s="60"/>
      <c r="T445" s="60"/>
      <c r="U445" s="60"/>
      <c r="V445" s="60"/>
      <c r="W445" s="60"/>
    </row>
    <row r="446" spans="1:23" ht="13" x14ac:dyDescent="0.3">
      <c r="A446" s="58"/>
      <c r="B446" s="58"/>
      <c r="C446" s="58"/>
      <c r="D446" s="58"/>
      <c r="E446" s="58"/>
      <c r="F446" s="58"/>
      <c r="G446" s="58"/>
      <c r="H446" s="59"/>
      <c r="I446" s="59"/>
      <c r="J446" s="59"/>
      <c r="K446" s="59"/>
      <c r="L446" s="59"/>
      <c r="M446" s="60"/>
      <c r="N446" s="60"/>
      <c r="O446" s="60"/>
      <c r="P446" s="59"/>
      <c r="Q446" s="59"/>
      <c r="R446" s="60"/>
      <c r="S446" s="60"/>
      <c r="T446" s="60"/>
      <c r="U446" s="60"/>
      <c r="V446" s="60"/>
      <c r="W446" s="60"/>
    </row>
    <row r="447" spans="1:23" ht="13" x14ac:dyDescent="0.3">
      <c r="A447" s="58"/>
      <c r="B447" s="58"/>
      <c r="C447" s="58"/>
      <c r="D447" s="58"/>
      <c r="E447" s="58"/>
      <c r="F447" s="58"/>
      <c r="G447" s="58"/>
      <c r="H447" s="59"/>
      <c r="I447" s="59"/>
      <c r="J447" s="59"/>
      <c r="K447" s="59"/>
      <c r="L447" s="59"/>
      <c r="M447" s="60"/>
      <c r="N447" s="60"/>
      <c r="O447" s="60"/>
      <c r="P447" s="59"/>
      <c r="Q447" s="59"/>
      <c r="R447" s="60"/>
      <c r="S447" s="60"/>
      <c r="T447" s="60"/>
      <c r="U447" s="60"/>
      <c r="V447" s="60"/>
      <c r="W447" s="60"/>
    </row>
    <row r="448" spans="1:23" ht="13" x14ac:dyDescent="0.3">
      <c r="A448" s="58"/>
      <c r="B448" s="58"/>
      <c r="C448" s="58"/>
      <c r="D448" s="58"/>
      <c r="E448" s="58"/>
      <c r="F448" s="58"/>
      <c r="G448" s="58"/>
      <c r="H448" s="59"/>
      <c r="I448" s="59"/>
      <c r="J448" s="59"/>
      <c r="K448" s="59"/>
      <c r="L448" s="59"/>
      <c r="M448" s="60"/>
      <c r="N448" s="60"/>
      <c r="O448" s="60"/>
      <c r="P448" s="59"/>
      <c r="Q448" s="59"/>
      <c r="R448" s="60"/>
      <c r="S448" s="60"/>
      <c r="T448" s="60"/>
      <c r="U448" s="60"/>
      <c r="V448" s="60"/>
      <c r="W448" s="60"/>
    </row>
    <row r="449" spans="1:23" ht="13" x14ac:dyDescent="0.3">
      <c r="A449" s="58"/>
      <c r="B449" s="58"/>
      <c r="C449" s="58"/>
      <c r="D449" s="58"/>
      <c r="E449" s="58"/>
      <c r="F449" s="58"/>
      <c r="G449" s="58"/>
      <c r="H449" s="59"/>
      <c r="I449" s="59"/>
      <c r="J449" s="59"/>
      <c r="K449" s="59"/>
      <c r="L449" s="59"/>
      <c r="M449" s="60"/>
      <c r="N449" s="60"/>
      <c r="O449" s="60"/>
      <c r="P449" s="59"/>
      <c r="Q449" s="59"/>
      <c r="R449" s="60"/>
      <c r="S449" s="60"/>
      <c r="T449" s="60"/>
      <c r="U449" s="60"/>
      <c r="V449" s="60"/>
      <c r="W449" s="60"/>
    </row>
    <row r="450" spans="1:23" ht="13" x14ac:dyDescent="0.3">
      <c r="A450" s="58"/>
      <c r="B450" s="58"/>
      <c r="C450" s="58"/>
      <c r="D450" s="58"/>
      <c r="E450" s="58"/>
      <c r="F450" s="58"/>
      <c r="G450" s="58"/>
      <c r="H450" s="59"/>
      <c r="I450" s="59"/>
      <c r="J450" s="59"/>
      <c r="K450" s="59"/>
      <c r="L450" s="59"/>
      <c r="M450" s="60"/>
      <c r="N450" s="60"/>
      <c r="O450" s="60"/>
      <c r="P450" s="59"/>
      <c r="Q450" s="59"/>
      <c r="R450" s="60"/>
      <c r="S450" s="60"/>
      <c r="T450" s="60"/>
      <c r="U450" s="60"/>
      <c r="V450" s="60"/>
      <c r="W450" s="60"/>
    </row>
    <row r="451" spans="1:23" ht="13" x14ac:dyDescent="0.3">
      <c r="A451" s="58"/>
      <c r="B451" s="58"/>
      <c r="C451" s="58"/>
      <c r="D451" s="58"/>
      <c r="E451" s="58"/>
      <c r="F451" s="58"/>
      <c r="G451" s="58"/>
      <c r="H451" s="59"/>
      <c r="I451" s="59"/>
      <c r="J451" s="59"/>
      <c r="K451" s="59"/>
      <c r="L451" s="59"/>
      <c r="M451" s="60"/>
      <c r="N451" s="60"/>
      <c r="O451" s="60"/>
      <c r="P451" s="59"/>
      <c r="Q451" s="59"/>
      <c r="R451" s="60"/>
      <c r="S451" s="60"/>
      <c r="T451" s="60"/>
      <c r="U451" s="60"/>
      <c r="V451" s="60"/>
      <c r="W451" s="60"/>
    </row>
    <row r="452" spans="1:23" ht="13" x14ac:dyDescent="0.3">
      <c r="A452" s="58"/>
      <c r="B452" s="58"/>
      <c r="C452" s="58"/>
      <c r="D452" s="58"/>
      <c r="E452" s="58"/>
      <c r="F452" s="58"/>
      <c r="G452" s="58"/>
      <c r="H452" s="59"/>
      <c r="I452" s="59"/>
      <c r="J452" s="59"/>
      <c r="K452" s="59"/>
      <c r="L452" s="59"/>
      <c r="M452" s="60"/>
      <c r="N452" s="60"/>
      <c r="O452" s="60"/>
      <c r="P452" s="59"/>
      <c r="Q452" s="59"/>
      <c r="R452" s="60"/>
      <c r="S452" s="60"/>
      <c r="T452" s="60"/>
      <c r="U452" s="60"/>
      <c r="V452" s="60"/>
      <c r="W452" s="60"/>
    </row>
    <row r="453" spans="1:23" ht="13" x14ac:dyDescent="0.3">
      <c r="A453" s="58"/>
      <c r="B453" s="58"/>
      <c r="C453" s="58"/>
      <c r="D453" s="58"/>
      <c r="E453" s="58"/>
      <c r="F453" s="58"/>
      <c r="G453" s="58"/>
      <c r="H453" s="59"/>
      <c r="I453" s="59"/>
      <c r="J453" s="59"/>
      <c r="K453" s="59"/>
      <c r="L453" s="59"/>
      <c r="M453" s="60"/>
      <c r="N453" s="60"/>
      <c r="O453" s="60"/>
      <c r="P453" s="59"/>
      <c r="Q453" s="59"/>
      <c r="R453" s="60"/>
      <c r="S453" s="60"/>
      <c r="T453" s="60"/>
      <c r="U453" s="60"/>
      <c r="V453" s="60"/>
      <c r="W453" s="60"/>
    </row>
    <row r="454" spans="1:23" ht="13" x14ac:dyDescent="0.3">
      <c r="A454" s="58"/>
      <c r="B454" s="58"/>
      <c r="C454" s="58"/>
      <c r="D454" s="58"/>
      <c r="E454" s="58"/>
      <c r="F454" s="58"/>
      <c r="G454" s="58"/>
      <c r="H454" s="59"/>
      <c r="I454" s="59"/>
      <c r="J454" s="59"/>
      <c r="K454" s="59"/>
      <c r="L454" s="59"/>
      <c r="M454" s="60"/>
      <c r="N454" s="60"/>
      <c r="O454" s="60"/>
      <c r="P454" s="59"/>
      <c r="Q454" s="59"/>
      <c r="R454" s="60"/>
      <c r="S454" s="60"/>
      <c r="T454" s="60"/>
      <c r="U454" s="60"/>
      <c r="V454" s="60"/>
      <c r="W454" s="60"/>
    </row>
    <row r="455" spans="1:23" ht="13" x14ac:dyDescent="0.3">
      <c r="A455" s="58"/>
      <c r="B455" s="58"/>
      <c r="C455" s="58"/>
      <c r="D455" s="58"/>
      <c r="E455" s="58"/>
      <c r="F455" s="58"/>
      <c r="G455" s="58"/>
      <c r="H455" s="59"/>
      <c r="I455" s="59"/>
      <c r="J455" s="59"/>
      <c r="K455" s="59"/>
      <c r="L455" s="59"/>
      <c r="M455" s="60"/>
      <c r="N455" s="60"/>
      <c r="O455" s="60"/>
      <c r="P455" s="59"/>
      <c r="Q455" s="59"/>
      <c r="R455" s="60"/>
      <c r="S455" s="60"/>
      <c r="T455" s="60"/>
      <c r="U455" s="60"/>
      <c r="V455" s="60"/>
      <c r="W455" s="60"/>
    </row>
    <row r="456" spans="1:23" ht="13" x14ac:dyDescent="0.3">
      <c r="A456" s="58"/>
      <c r="B456" s="58"/>
      <c r="C456" s="58"/>
      <c r="D456" s="58"/>
      <c r="E456" s="58"/>
      <c r="F456" s="58"/>
      <c r="G456" s="58"/>
      <c r="H456" s="59"/>
      <c r="I456" s="59"/>
      <c r="J456" s="59"/>
      <c r="K456" s="59"/>
      <c r="L456" s="59"/>
      <c r="M456" s="60"/>
      <c r="N456" s="60"/>
      <c r="O456" s="60"/>
      <c r="P456" s="59"/>
      <c r="Q456" s="59"/>
      <c r="R456" s="60"/>
      <c r="S456" s="60"/>
      <c r="T456" s="60"/>
      <c r="U456" s="60"/>
      <c r="V456" s="60"/>
      <c r="W456" s="60"/>
    </row>
    <row r="457" spans="1:23" ht="13" x14ac:dyDescent="0.3">
      <c r="A457" s="58"/>
      <c r="B457" s="58"/>
      <c r="C457" s="58"/>
      <c r="D457" s="58"/>
      <c r="E457" s="58"/>
      <c r="F457" s="58"/>
      <c r="G457" s="58"/>
      <c r="H457" s="59"/>
      <c r="I457" s="59"/>
      <c r="J457" s="59"/>
      <c r="K457" s="59"/>
      <c r="L457" s="59"/>
      <c r="M457" s="60"/>
      <c r="N457" s="60"/>
      <c r="O457" s="60"/>
      <c r="P457" s="59"/>
      <c r="Q457" s="59"/>
      <c r="R457" s="60"/>
      <c r="S457" s="60"/>
      <c r="T457" s="60"/>
      <c r="U457" s="60"/>
      <c r="V457" s="60"/>
      <c r="W457" s="60"/>
    </row>
    <row r="458" spans="1:23" ht="13" x14ac:dyDescent="0.3">
      <c r="A458" s="58"/>
      <c r="B458" s="58"/>
      <c r="C458" s="58"/>
      <c r="D458" s="58"/>
      <c r="E458" s="58"/>
      <c r="F458" s="58"/>
      <c r="G458" s="58"/>
      <c r="H458" s="59"/>
      <c r="I458" s="59"/>
      <c r="J458" s="59"/>
      <c r="K458" s="59"/>
      <c r="L458" s="59"/>
      <c r="M458" s="60"/>
      <c r="N458" s="60"/>
      <c r="O458" s="60"/>
      <c r="P458" s="59"/>
      <c r="Q458" s="59"/>
      <c r="R458" s="60"/>
      <c r="S458" s="60"/>
      <c r="T458" s="60"/>
      <c r="U458" s="60"/>
      <c r="V458" s="60"/>
      <c r="W458" s="60"/>
    </row>
    <row r="459" spans="1:23" ht="13" x14ac:dyDescent="0.3">
      <c r="A459" s="58"/>
      <c r="B459" s="58"/>
      <c r="C459" s="58"/>
      <c r="D459" s="58"/>
      <c r="E459" s="58"/>
      <c r="F459" s="58"/>
      <c r="G459" s="58"/>
      <c r="H459" s="59"/>
      <c r="I459" s="59"/>
      <c r="J459" s="59"/>
      <c r="K459" s="59"/>
      <c r="L459" s="59"/>
      <c r="M459" s="60"/>
      <c r="N459" s="60"/>
      <c r="O459" s="60"/>
      <c r="P459" s="59"/>
      <c r="Q459" s="59"/>
      <c r="R459" s="60"/>
      <c r="S459" s="60"/>
      <c r="T459" s="60"/>
      <c r="U459" s="60"/>
      <c r="V459" s="60"/>
      <c r="W459" s="60"/>
    </row>
    <row r="460" spans="1:23" ht="13" x14ac:dyDescent="0.3">
      <c r="A460" s="58"/>
      <c r="B460" s="58"/>
      <c r="C460" s="58"/>
      <c r="D460" s="58"/>
      <c r="E460" s="58"/>
      <c r="F460" s="58"/>
      <c r="G460" s="58"/>
      <c r="H460" s="59"/>
      <c r="I460" s="59"/>
      <c r="J460" s="59"/>
      <c r="K460" s="59"/>
      <c r="L460" s="59"/>
      <c r="M460" s="60"/>
      <c r="N460" s="60"/>
      <c r="O460" s="60"/>
      <c r="P460" s="59"/>
      <c r="Q460" s="59"/>
      <c r="R460" s="60"/>
      <c r="S460" s="60"/>
      <c r="T460" s="60"/>
      <c r="U460" s="60"/>
      <c r="V460" s="60"/>
      <c r="W460" s="60"/>
    </row>
    <row r="461" spans="1:23" ht="13" x14ac:dyDescent="0.3">
      <c r="A461" s="58"/>
      <c r="B461" s="58"/>
      <c r="C461" s="58"/>
      <c r="D461" s="58"/>
      <c r="E461" s="58"/>
      <c r="F461" s="58"/>
      <c r="G461" s="58"/>
      <c r="H461" s="59"/>
      <c r="I461" s="59"/>
      <c r="J461" s="59"/>
      <c r="K461" s="59"/>
      <c r="L461" s="59"/>
      <c r="M461" s="60"/>
      <c r="N461" s="60"/>
      <c r="O461" s="60"/>
      <c r="P461" s="59"/>
      <c r="Q461" s="59"/>
      <c r="R461" s="60"/>
      <c r="S461" s="60"/>
      <c r="T461" s="60"/>
      <c r="U461" s="60"/>
      <c r="V461" s="60"/>
      <c r="W461" s="60"/>
    </row>
    <row r="462" spans="1:23" ht="13" x14ac:dyDescent="0.3">
      <c r="A462" s="58"/>
      <c r="B462" s="58"/>
      <c r="C462" s="58"/>
      <c r="D462" s="58"/>
      <c r="E462" s="58"/>
      <c r="F462" s="58"/>
      <c r="G462" s="58"/>
      <c r="H462" s="59"/>
      <c r="I462" s="59"/>
      <c r="J462" s="59"/>
      <c r="K462" s="59"/>
      <c r="L462" s="59"/>
      <c r="M462" s="60"/>
      <c r="N462" s="60"/>
      <c r="O462" s="60"/>
      <c r="P462" s="59"/>
      <c r="Q462" s="59"/>
      <c r="R462" s="60"/>
      <c r="S462" s="60"/>
      <c r="T462" s="60"/>
      <c r="U462" s="60"/>
      <c r="V462" s="60"/>
      <c r="W462" s="60"/>
    </row>
    <row r="463" spans="1:23" ht="13" x14ac:dyDescent="0.3">
      <c r="A463" s="58"/>
      <c r="B463" s="58"/>
      <c r="C463" s="58"/>
      <c r="D463" s="58"/>
      <c r="E463" s="58"/>
      <c r="F463" s="58"/>
      <c r="G463" s="58"/>
      <c r="H463" s="59"/>
      <c r="I463" s="59"/>
      <c r="J463" s="59"/>
      <c r="K463" s="59"/>
      <c r="L463" s="59"/>
      <c r="M463" s="60"/>
      <c r="N463" s="60"/>
      <c r="O463" s="60"/>
      <c r="P463" s="59"/>
      <c r="Q463" s="59"/>
      <c r="R463" s="60"/>
      <c r="S463" s="60"/>
      <c r="T463" s="60"/>
      <c r="U463" s="60"/>
      <c r="V463" s="60"/>
      <c r="W463" s="60"/>
    </row>
    <row r="464" spans="1:23" ht="13" x14ac:dyDescent="0.3">
      <c r="A464" s="58"/>
      <c r="B464" s="58"/>
      <c r="C464" s="58"/>
      <c r="D464" s="58"/>
      <c r="E464" s="58"/>
      <c r="F464" s="58"/>
      <c r="G464" s="58"/>
      <c r="H464" s="59"/>
      <c r="I464" s="59"/>
      <c r="J464" s="59"/>
      <c r="K464" s="59"/>
      <c r="L464" s="59"/>
      <c r="M464" s="60"/>
      <c r="N464" s="60"/>
      <c r="O464" s="60"/>
      <c r="P464" s="59"/>
      <c r="Q464" s="59"/>
      <c r="R464" s="60"/>
      <c r="S464" s="60"/>
      <c r="T464" s="60"/>
      <c r="U464" s="60"/>
      <c r="V464" s="60"/>
      <c r="W464" s="60"/>
    </row>
    <row r="465" spans="1:23" ht="13" x14ac:dyDescent="0.3">
      <c r="A465" s="58"/>
      <c r="B465" s="58"/>
      <c r="C465" s="58"/>
      <c r="D465" s="58"/>
      <c r="E465" s="58"/>
      <c r="F465" s="58"/>
      <c r="G465" s="58"/>
      <c r="H465" s="59"/>
      <c r="I465" s="59"/>
      <c r="J465" s="59"/>
      <c r="K465" s="59"/>
      <c r="L465" s="59"/>
      <c r="M465" s="60"/>
      <c r="N465" s="60"/>
      <c r="O465" s="60"/>
      <c r="P465" s="59"/>
      <c r="Q465" s="59"/>
      <c r="R465" s="60"/>
      <c r="S465" s="60"/>
      <c r="T465" s="60"/>
      <c r="U465" s="60"/>
      <c r="V465" s="60"/>
      <c r="W465" s="60"/>
    </row>
    <row r="466" spans="1:23" ht="13" x14ac:dyDescent="0.3">
      <c r="A466" s="58"/>
      <c r="B466" s="58"/>
      <c r="C466" s="58"/>
      <c r="D466" s="58"/>
      <c r="E466" s="58"/>
      <c r="F466" s="58"/>
      <c r="G466" s="58"/>
      <c r="H466" s="59"/>
      <c r="I466" s="59"/>
      <c r="J466" s="59"/>
      <c r="K466" s="59"/>
      <c r="L466" s="59"/>
      <c r="M466" s="60"/>
      <c r="N466" s="60"/>
      <c r="O466" s="60"/>
      <c r="P466" s="59"/>
      <c r="Q466" s="59"/>
      <c r="R466" s="60"/>
      <c r="S466" s="60"/>
      <c r="T466" s="60"/>
      <c r="U466" s="60"/>
      <c r="V466" s="60"/>
      <c r="W466" s="60"/>
    </row>
    <row r="467" spans="1:23" ht="13" x14ac:dyDescent="0.3">
      <c r="A467" s="58"/>
      <c r="B467" s="58"/>
      <c r="C467" s="58"/>
      <c r="D467" s="58"/>
      <c r="E467" s="58"/>
      <c r="F467" s="58"/>
      <c r="G467" s="58"/>
      <c r="H467" s="59"/>
      <c r="I467" s="59"/>
      <c r="J467" s="59"/>
      <c r="K467" s="59"/>
      <c r="L467" s="59"/>
      <c r="M467" s="60"/>
      <c r="N467" s="60"/>
      <c r="O467" s="60"/>
      <c r="P467" s="59"/>
      <c r="Q467" s="59"/>
      <c r="R467" s="60"/>
      <c r="S467" s="60"/>
      <c r="T467" s="60"/>
      <c r="U467" s="60"/>
      <c r="V467" s="60"/>
      <c r="W467" s="60"/>
    </row>
    <row r="468" spans="1:23" ht="13" x14ac:dyDescent="0.3">
      <c r="A468" s="58"/>
      <c r="B468" s="58"/>
      <c r="C468" s="58"/>
      <c r="D468" s="58"/>
      <c r="E468" s="58"/>
      <c r="F468" s="58"/>
      <c r="G468" s="58"/>
      <c r="H468" s="59"/>
      <c r="I468" s="59"/>
      <c r="J468" s="59"/>
      <c r="K468" s="59"/>
      <c r="L468" s="59"/>
      <c r="M468" s="60"/>
      <c r="N468" s="60"/>
      <c r="O468" s="60"/>
      <c r="P468" s="59"/>
      <c r="Q468" s="59"/>
      <c r="R468" s="60"/>
      <c r="S468" s="60"/>
      <c r="T468" s="60"/>
      <c r="U468" s="60"/>
      <c r="V468" s="60"/>
      <c r="W468" s="60"/>
    </row>
    <row r="469" spans="1:23" ht="13" x14ac:dyDescent="0.3">
      <c r="A469" s="58"/>
      <c r="B469" s="58"/>
      <c r="C469" s="58"/>
      <c r="D469" s="58"/>
      <c r="E469" s="58"/>
      <c r="F469" s="58"/>
      <c r="G469" s="58"/>
      <c r="H469" s="59"/>
      <c r="I469" s="59"/>
      <c r="J469" s="59"/>
      <c r="K469" s="59"/>
      <c r="L469" s="59"/>
      <c r="M469" s="60"/>
      <c r="N469" s="60"/>
      <c r="O469" s="60"/>
      <c r="P469" s="59"/>
      <c r="Q469" s="59"/>
      <c r="R469" s="60"/>
      <c r="S469" s="60"/>
      <c r="T469" s="60"/>
      <c r="U469" s="60"/>
      <c r="V469" s="60"/>
      <c r="W469" s="60"/>
    </row>
    <row r="470" spans="1:23" ht="13" x14ac:dyDescent="0.3">
      <c r="A470" s="58"/>
      <c r="B470" s="58"/>
      <c r="C470" s="58"/>
      <c r="D470" s="58"/>
      <c r="E470" s="58"/>
      <c r="F470" s="58"/>
      <c r="G470" s="58"/>
      <c r="H470" s="59"/>
      <c r="I470" s="59"/>
      <c r="J470" s="59"/>
      <c r="K470" s="59"/>
      <c r="L470" s="59"/>
      <c r="M470" s="60"/>
      <c r="N470" s="60"/>
      <c r="O470" s="60"/>
      <c r="P470" s="59"/>
      <c r="Q470" s="59"/>
      <c r="R470" s="60"/>
      <c r="S470" s="60"/>
      <c r="T470" s="60"/>
      <c r="U470" s="60"/>
      <c r="V470" s="60"/>
      <c r="W470" s="60"/>
    </row>
    <row r="471" spans="1:23" ht="13" x14ac:dyDescent="0.3">
      <c r="A471" s="58"/>
      <c r="B471" s="58"/>
      <c r="C471" s="58"/>
      <c r="D471" s="58"/>
      <c r="E471" s="58"/>
      <c r="F471" s="58"/>
      <c r="G471" s="58"/>
      <c r="H471" s="59"/>
      <c r="I471" s="59"/>
      <c r="J471" s="59"/>
      <c r="K471" s="59"/>
      <c r="L471" s="59"/>
      <c r="M471" s="60"/>
      <c r="N471" s="60"/>
      <c r="O471" s="60"/>
      <c r="P471" s="59"/>
      <c r="Q471" s="59"/>
      <c r="R471" s="60"/>
      <c r="S471" s="60"/>
      <c r="T471" s="60"/>
      <c r="U471" s="60"/>
      <c r="V471" s="60"/>
      <c r="W471" s="60"/>
    </row>
    <row r="472" spans="1:23" ht="13" x14ac:dyDescent="0.3">
      <c r="A472" s="58"/>
      <c r="B472" s="58"/>
      <c r="C472" s="58"/>
      <c r="D472" s="58"/>
      <c r="E472" s="58"/>
      <c r="F472" s="58"/>
      <c r="G472" s="58"/>
      <c r="H472" s="59"/>
      <c r="I472" s="59"/>
      <c r="J472" s="59"/>
      <c r="K472" s="59"/>
      <c r="L472" s="59"/>
      <c r="M472" s="60"/>
      <c r="N472" s="60"/>
      <c r="O472" s="60"/>
      <c r="P472" s="59"/>
      <c r="Q472" s="59"/>
      <c r="R472" s="60"/>
      <c r="S472" s="60"/>
      <c r="T472" s="60"/>
      <c r="U472" s="60"/>
      <c r="V472" s="60"/>
      <c r="W472" s="60"/>
    </row>
    <row r="473" spans="1:23" ht="13" x14ac:dyDescent="0.3">
      <c r="A473" s="58"/>
      <c r="B473" s="58"/>
      <c r="C473" s="58"/>
      <c r="D473" s="58"/>
      <c r="E473" s="58"/>
      <c r="F473" s="58"/>
      <c r="G473" s="58"/>
      <c r="H473" s="59"/>
      <c r="I473" s="59"/>
      <c r="J473" s="59"/>
      <c r="K473" s="59"/>
      <c r="L473" s="59"/>
      <c r="M473" s="60"/>
      <c r="N473" s="60"/>
      <c r="O473" s="60"/>
      <c r="P473" s="59"/>
      <c r="Q473" s="59"/>
      <c r="R473" s="60"/>
      <c r="S473" s="60"/>
      <c r="T473" s="60"/>
      <c r="U473" s="60"/>
      <c r="V473" s="60"/>
      <c r="W473" s="60"/>
    </row>
    <row r="474" spans="1:23" ht="13" x14ac:dyDescent="0.3">
      <c r="A474" s="58"/>
      <c r="B474" s="58"/>
      <c r="C474" s="58"/>
      <c r="D474" s="58"/>
      <c r="E474" s="58"/>
      <c r="F474" s="58"/>
      <c r="G474" s="58"/>
      <c r="H474" s="59"/>
      <c r="I474" s="59"/>
      <c r="J474" s="59"/>
      <c r="K474" s="59"/>
      <c r="L474" s="59"/>
      <c r="M474" s="60"/>
      <c r="N474" s="60"/>
      <c r="O474" s="60"/>
      <c r="P474" s="59"/>
      <c r="Q474" s="59"/>
      <c r="R474" s="60"/>
      <c r="S474" s="60"/>
      <c r="T474" s="60"/>
      <c r="U474" s="60"/>
      <c r="V474" s="60"/>
      <c r="W474" s="60"/>
    </row>
    <row r="475" spans="1:23" ht="13" x14ac:dyDescent="0.3">
      <c r="A475" s="58"/>
      <c r="B475" s="58"/>
      <c r="C475" s="58"/>
      <c r="D475" s="58"/>
      <c r="E475" s="58"/>
      <c r="F475" s="58"/>
      <c r="G475" s="58"/>
      <c r="H475" s="59"/>
      <c r="I475" s="59"/>
      <c r="J475" s="59"/>
      <c r="K475" s="59"/>
      <c r="L475" s="59"/>
      <c r="M475" s="60"/>
      <c r="N475" s="60"/>
      <c r="O475" s="60"/>
      <c r="P475" s="59"/>
      <c r="Q475" s="59"/>
      <c r="R475" s="60"/>
      <c r="S475" s="60"/>
      <c r="T475" s="60"/>
      <c r="U475" s="60"/>
      <c r="V475" s="60"/>
      <c r="W475" s="60"/>
    </row>
    <row r="476" spans="1:23" ht="13" x14ac:dyDescent="0.3">
      <c r="A476" s="58"/>
      <c r="B476" s="58"/>
      <c r="C476" s="58"/>
      <c r="D476" s="58"/>
      <c r="E476" s="58"/>
      <c r="F476" s="58"/>
      <c r="G476" s="58"/>
      <c r="H476" s="59"/>
      <c r="I476" s="59"/>
      <c r="J476" s="59"/>
      <c r="K476" s="59"/>
      <c r="L476" s="59"/>
      <c r="M476" s="60"/>
      <c r="N476" s="60"/>
      <c r="O476" s="60"/>
      <c r="P476" s="59"/>
      <c r="Q476" s="59"/>
      <c r="R476" s="60"/>
      <c r="S476" s="60"/>
      <c r="T476" s="60"/>
      <c r="U476" s="60"/>
      <c r="V476" s="60"/>
      <c r="W476" s="60"/>
    </row>
    <row r="477" spans="1:23" ht="13" x14ac:dyDescent="0.3">
      <c r="A477" s="58"/>
      <c r="B477" s="58"/>
      <c r="C477" s="58"/>
      <c r="D477" s="58"/>
      <c r="E477" s="58"/>
      <c r="F477" s="58"/>
      <c r="G477" s="58"/>
      <c r="H477" s="59"/>
      <c r="I477" s="59"/>
      <c r="J477" s="59"/>
      <c r="K477" s="59"/>
      <c r="L477" s="59"/>
      <c r="M477" s="60"/>
      <c r="N477" s="60"/>
      <c r="O477" s="60"/>
      <c r="P477" s="59"/>
      <c r="Q477" s="59"/>
      <c r="R477" s="60"/>
      <c r="S477" s="60"/>
      <c r="T477" s="60"/>
      <c r="U477" s="60"/>
      <c r="V477" s="60"/>
      <c r="W477" s="60"/>
    </row>
    <row r="478" spans="1:23" ht="13" x14ac:dyDescent="0.3">
      <c r="A478" s="58"/>
      <c r="B478" s="58"/>
      <c r="C478" s="58"/>
      <c r="D478" s="58"/>
      <c r="E478" s="58"/>
      <c r="F478" s="58"/>
      <c r="G478" s="58"/>
      <c r="H478" s="59"/>
      <c r="I478" s="59"/>
      <c r="J478" s="59"/>
      <c r="K478" s="59"/>
      <c r="L478" s="59"/>
      <c r="M478" s="60"/>
      <c r="N478" s="60"/>
      <c r="O478" s="60"/>
      <c r="P478" s="59"/>
      <c r="Q478" s="59"/>
      <c r="R478" s="60"/>
      <c r="S478" s="60"/>
      <c r="T478" s="60"/>
      <c r="U478" s="60"/>
      <c r="V478" s="60"/>
      <c r="W478" s="60"/>
    </row>
    <row r="479" spans="1:23" ht="13" x14ac:dyDescent="0.3">
      <c r="A479" s="58"/>
      <c r="B479" s="58"/>
      <c r="C479" s="58"/>
      <c r="D479" s="58"/>
      <c r="E479" s="58"/>
      <c r="F479" s="58"/>
      <c r="G479" s="58"/>
      <c r="H479" s="59"/>
      <c r="I479" s="59"/>
      <c r="J479" s="59"/>
      <c r="K479" s="59"/>
      <c r="L479" s="59"/>
      <c r="M479" s="60"/>
      <c r="N479" s="60"/>
      <c r="O479" s="60"/>
      <c r="P479" s="59"/>
      <c r="Q479" s="59"/>
      <c r="R479" s="60"/>
      <c r="S479" s="60"/>
      <c r="T479" s="60"/>
      <c r="U479" s="60"/>
      <c r="V479" s="60"/>
      <c r="W479" s="60"/>
    </row>
    <row r="480" spans="1:23" ht="13" x14ac:dyDescent="0.3">
      <c r="A480" s="58"/>
      <c r="B480" s="58"/>
      <c r="C480" s="58"/>
      <c r="D480" s="58"/>
      <c r="E480" s="58"/>
      <c r="F480" s="58"/>
      <c r="G480" s="58"/>
      <c r="H480" s="59"/>
      <c r="I480" s="59"/>
      <c r="J480" s="59"/>
      <c r="K480" s="59"/>
      <c r="L480" s="59"/>
      <c r="M480" s="60"/>
      <c r="N480" s="60"/>
      <c r="O480" s="60"/>
      <c r="P480" s="59"/>
      <c r="Q480" s="59"/>
      <c r="R480" s="60"/>
      <c r="S480" s="60"/>
      <c r="T480" s="60"/>
      <c r="U480" s="60"/>
      <c r="V480" s="60"/>
      <c r="W480" s="60"/>
    </row>
    <row r="481" spans="1:23" ht="13" x14ac:dyDescent="0.3">
      <c r="A481" s="58"/>
      <c r="B481" s="58"/>
      <c r="C481" s="58"/>
      <c r="D481" s="58"/>
      <c r="E481" s="58"/>
      <c r="F481" s="58"/>
      <c r="G481" s="58"/>
      <c r="H481" s="59"/>
      <c r="I481" s="59"/>
      <c r="J481" s="59"/>
      <c r="K481" s="59"/>
      <c r="L481" s="59"/>
      <c r="M481" s="60"/>
      <c r="N481" s="60"/>
      <c r="O481" s="60"/>
      <c r="P481" s="59"/>
      <c r="Q481" s="59"/>
      <c r="R481" s="60"/>
      <c r="S481" s="60"/>
      <c r="T481" s="60"/>
      <c r="U481" s="60"/>
      <c r="V481" s="60"/>
      <c r="W481" s="60"/>
    </row>
    <row r="482" spans="1:23" ht="13" x14ac:dyDescent="0.3">
      <c r="A482" s="58"/>
      <c r="B482" s="58"/>
      <c r="C482" s="58"/>
      <c r="D482" s="58"/>
      <c r="E482" s="58"/>
      <c r="F482" s="58"/>
      <c r="G482" s="58"/>
      <c r="H482" s="59"/>
      <c r="I482" s="59"/>
      <c r="J482" s="59"/>
      <c r="K482" s="59"/>
      <c r="L482" s="59"/>
      <c r="M482" s="60"/>
      <c r="N482" s="60"/>
      <c r="O482" s="60"/>
      <c r="P482" s="59"/>
      <c r="Q482" s="59"/>
      <c r="R482" s="60"/>
      <c r="S482" s="60"/>
      <c r="T482" s="60"/>
      <c r="U482" s="60"/>
      <c r="V482" s="60"/>
      <c r="W482" s="60"/>
    </row>
    <row r="483" spans="1:23" ht="13" x14ac:dyDescent="0.3">
      <c r="A483" s="58"/>
      <c r="B483" s="58"/>
      <c r="C483" s="58"/>
      <c r="D483" s="58"/>
      <c r="E483" s="58"/>
      <c r="F483" s="58"/>
      <c r="G483" s="58"/>
      <c r="H483" s="59"/>
      <c r="I483" s="59"/>
      <c r="J483" s="59"/>
      <c r="K483" s="59"/>
      <c r="L483" s="59"/>
      <c r="M483" s="60"/>
      <c r="N483" s="60"/>
      <c r="O483" s="60"/>
      <c r="P483" s="59"/>
      <c r="Q483" s="59"/>
      <c r="R483" s="60"/>
      <c r="S483" s="60"/>
      <c r="T483" s="60"/>
      <c r="U483" s="60"/>
      <c r="V483" s="60"/>
      <c r="W483" s="60"/>
    </row>
    <row r="484" spans="1:23" ht="13" x14ac:dyDescent="0.3">
      <c r="A484" s="58"/>
      <c r="B484" s="58"/>
      <c r="C484" s="58"/>
      <c r="D484" s="58"/>
      <c r="E484" s="58"/>
      <c r="F484" s="58"/>
      <c r="G484" s="58"/>
      <c r="H484" s="59"/>
      <c r="I484" s="59"/>
      <c r="J484" s="59"/>
      <c r="K484" s="59"/>
      <c r="L484" s="59"/>
      <c r="M484" s="60"/>
      <c r="N484" s="60"/>
      <c r="O484" s="60"/>
      <c r="P484" s="59"/>
      <c r="Q484" s="59"/>
      <c r="R484" s="60"/>
      <c r="S484" s="60"/>
      <c r="T484" s="60"/>
      <c r="U484" s="60"/>
      <c r="V484" s="60"/>
      <c r="W484" s="60"/>
    </row>
    <row r="485" spans="1:23" ht="13" x14ac:dyDescent="0.3">
      <c r="A485" s="58"/>
      <c r="B485" s="58"/>
      <c r="C485" s="58"/>
      <c r="D485" s="58"/>
      <c r="E485" s="58"/>
      <c r="F485" s="58"/>
      <c r="G485" s="58"/>
      <c r="H485" s="59"/>
      <c r="I485" s="59"/>
      <c r="J485" s="59"/>
      <c r="K485" s="59"/>
      <c r="L485" s="59"/>
      <c r="M485" s="60"/>
      <c r="N485" s="60"/>
      <c r="O485" s="60"/>
      <c r="P485" s="59"/>
      <c r="Q485" s="59"/>
      <c r="R485" s="60"/>
      <c r="S485" s="60"/>
      <c r="T485" s="60"/>
      <c r="U485" s="60"/>
      <c r="V485" s="60"/>
      <c r="W485" s="60"/>
    </row>
    <row r="486" spans="1:23" ht="13" x14ac:dyDescent="0.3">
      <c r="A486" s="58"/>
      <c r="B486" s="58"/>
      <c r="C486" s="58"/>
      <c r="D486" s="58"/>
      <c r="E486" s="58"/>
      <c r="F486" s="58"/>
      <c r="G486" s="58"/>
      <c r="H486" s="59"/>
      <c r="I486" s="59"/>
      <c r="J486" s="59"/>
      <c r="K486" s="59"/>
      <c r="L486" s="59"/>
      <c r="M486" s="60"/>
      <c r="N486" s="60"/>
      <c r="O486" s="60"/>
      <c r="P486" s="59"/>
      <c r="Q486" s="59"/>
      <c r="R486" s="60"/>
      <c r="S486" s="60"/>
      <c r="T486" s="60"/>
      <c r="U486" s="60"/>
      <c r="V486" s="60"/>
      <c r="W486" s="60"/>
    </row>
    <row r="487" spans="1:23" ht="13" x14ac:dyDescent="0.3">
      <c r="A487" s="58"/>
      <c r="B487" s="58"/>
      <c r="C487" s="58"/>
      <c r="D487" s="58"/>
      <c r="E487" s="58"/>
      <c r="F487" s="58"/>
      <c r="G487" s="58"/>
      <c r="H487" s="59"/>
      <c r="I487" s="59"/>
      <c r="J487" s="59"/>
      <c r="K487" s="59"/>
      <c r="L487" s="59"/>
      <c r="M487" s="60"/>
      <c r="N487" s="60"/>
      <c r="O487" s="60"/>
      <c r="P487" s="59"/>
      <c r="Q487" s="59"/>
      <c r="R487" s="60"/>
      <c r="S487" s="60"/>
      <c r="T487" s="60"/>
      <c r="U487" s="60"/>
      <c r="V487" s="60"/>
      <c r="W487" s="60"/>
    </row>
    <row r="488" spans="1:23" ht="13" x14ac:dyDescent="0.3">
      <c r="A488" s="58"/>
      <c r="B488" s="58"/>
      <c r="C488" s="58"/>
      <c r="D488" s="58"/>
      <c r="E488" s="58"/>
      <c r="F488" s="58"/>
      <c r="G488" s="58"/>
      <c r="H488" s="59"/>
      <c r="I488" s="59"/>
      <c r="J488" s="59"/>
      <c r="K488" s="59"/>
      <c r="L488" s="59"/>
      <c r="M488" s="60"/>
      <c r="N488" s="60"/>
      <c r="O488" s="60"/>
      <c r="P488" s="59"/>
      <c r="Q488" s="59"/>
      <c r="R488" s="60"/>
      <c r="S488" s="60"/>
      <c r="T488" s="60"/>
      <c r="U488" s="60"/>
      <c r="V488" s="60"/>
      <c r="W488" s="60"/>
    </row>
    <row r="489" spans="1:23" ht="13" x14ac:dyDescent="0.3">
      <c r="A489" s="58"/>
      <c r="B489" s="58"/>
      <c r="C489" s="58"/>
      <c r="D489" s="58"/>
      <c r="E489" s="58"/>
      <c r="F489" s="58"/>
      <c r="G489" s="58"/>
      <c r="H489" s="59"/>
      <c r="I489" s="59"/>
      <c r="J489" s="59"/>
      <c r="K489" s="59"/>
      <c r="L489" s="59"/>
      <c r="M489" s="60"/>
      <c r="N489" s="60"/>
      <c r="O489" s="60"/>
      <c r="P489" s="59"/>
      <c r="Q489" s="59"/>
      <c r="R489" s="60"/>
      <c r="S489" s="60"/>
      <c r="T489" s="60"/>
      <c r="U489" s="60"/>
      <c r="V489" s="60"/>
      <c r="W489" s="60"/>
    </row>
    <row r="490" spans="1:23" ht="13" x14ac:dyDescent="0.3">
      <c r="A490" s="58"/>
      <c r="B490" s="58"/>
      <c r="C490" s="58"/>
      <c r="D490" s="58"/>
      <c r="E490" s="58"/>
      <c r="F490" s="58"/>
      <c r="G490" s="58"/>
      <c r="H490" s="59"/>
      <c r="I490" s="59"/>
      <c r="J490" s="59"/>
      <c r="K490" s="59"/>
      <c r="L490" s="59"/>
      <c r="M490" s="60"/>
      <c r="N490" s="60"/>
      <c r="O490" s="60"/>
      <c r="P490" s="59"/>
      <c r="Q490" s="59"/>
      <c r="R490" s="60"/>
      <c r="S490" s="60"/>
      <c r="T490" s="60"/>
      <c r="U490" s="60"/>
      <c r="V490" s="60"/>
      <c r="W490" s="60"/>
    </row>
    <row r="491" spans="1:23" ht="13" x14ac:dyDescent="0.3">
      <c r="A491" s="58"/>
      <c r="B491" s="58"/>
      <c r="C491" s="58"/>
      <c r="D491" s="58"/>
      <c r="E491" s="58"/>
      <c r="F491" s="58"/>
      <c r="G491" s="58"/>
      <c r="H491" s="59"/>
      <c r="I491" s="59"/>
      <c r="J491" s="59"/>
      <c r="K491" s="59"/>
      <c r="L491" s="59"/>
      <c r="M491" s="60"/>
      <c r="N491" s="60"/>
      <c r="O491" s="60"/>
      <c r="P491" s="59"/>
      <c r="Q491" s="59"/>
      <c r="R491" s="60"/>
      <c r="S491" s="60"/>
      <c r="T491" s="60"/>
      <c r="U491" s="60"/>
      <c r="V491" s="60"/>
      <c r="W491" s="60"/>
    </row>
    <row r="492" spans="1:23" ht="13" x14ac:dyDescent="0.3">
      <c r="A492" s="58"/>
      <c r="B492" s="58"/>
      <c r="C492" s="58"/>
      <c r="D492" s="58"/>
      <c r="E492" s="58"/>
      <c r="F492" s="58"/>
      <c r="G492" s="58"/>
      <c r="H492" s="59"/>
      <c r="I492" s="59"/>
      <c r="J492" s="59"/>
      <c r="K492" s="59"/>
      <c r="L492" s="59"/>
      <c r="M492" s="60"/>
      <c r="N492" s="60"/>
      <c r="O492" s="60"/>
      <c r="P492" s="59"/>
      <c r="Q492" s="59"/>
      <c r="R492" s="60"/>
      <c r="S492" s="60"/>
      <c r="T492" s="60"/>
      <c r="U492" s="60"/>
      <c r="V492" s="60"/>
      <c r="W492" s="60"/>
    </row>
    <row r="493" spans="1:23" ht="13" x14ac:dyDescent="0.3">
      <c r="A493" s="58"/>
      <c r="B493" s="58"/>
      <c r="C493" s="58"/>
      <c r="D493" s="58"/>
      <c r="E493" s="58"/>
      <c r="F493" s="58"/>
      <c r="G493" s="58"/>
      <c r="H493" s="59"/>
      <c r="I493" s="59"/>
      <c r="J493" s="59"/>
      <c r="K493" s="59"/>
      <c r="L493" s="59"/>
      <c r="M493" s="60"/>
      <c r="N493" s="60"/>
      <c r="O493" s="60"/>
      <c r="P493" s="59"/>
      <c r="Q493" s="59"/>
      <c r="R493" s="60"/>
      <c r="S493" s="60"/>
      <c r="T493" s="60"/>
      <c r="U493" s="60"/>
      <c r="V493" s="60"/>
      <c r="W493" s="60"/>
    </row>
    <row r="494" spans="1:23" ht="13" x14ac:dyDescent="0.3">
      <c r="A494" s="58"/>
      <c r="B494" s="58"/>
      <c r="C494" s="58"/>
      <c r="D494" s="58"/>
      <c r="E494" s="58"/>
      <c r="F494" s="58"/>
      <c r="G494" s="58"/>
      <c r="H494" s="59"/>
      <c r="I494" s="59"/>
      <c r="J494" s="59"/>
      <c r="K494" s="59"/>
      <c r="L494" s="59"/>
      <c r="M494" s="60"/>
      <c r="N494" s="60"/>
      <c r="O494" s="60"/>
      <c r="P494" s="59"/>
      <c r="Q494" s="59"/>
      <c r="R494" s="60"/>
      <c r="S494" s="60"/>
      <c r="T494" s="60"/>
      <c r="U494" s="60"/>
      <c r="V494" s="60"/>
      <c r="W494" s="60"/>
    </row>
    <row r="495" spans="1:23" ht="13" x14ac:dyDescent="0.3">
      <c r="A495" s="58"/>
      <c r="B495" s="58"/>
      <c r="C495" s="58"/>
      <c r="D495" s="58"/>
      <c r="E495" s="58"/>
      <c r="F495" s="58"/>
      <c r="G495" s="58"/>
      <c r="H495" s="59"/>
      <c r="I495" s="59"/>
      <c r="J495" s="59"/>
      <c r="K495" s="59"/>
      <c r="L495" s="59"/>
      <c r="M495" s="60"/>
      <c r="N495" s="60"/>
      <c r="O495" s="60"/>
      <c r="P495" s="59"/>
      <c r="Q495" s="59"/>
      <c r="R495" s="60"/>
      <c r="S495" s="60"/>
      <c r="T495" s="60"/>
      <c r="U495" s="60"/>
      <c r="V495" s="60"/>
      <c r="W495" s="60"/>
    </row>
    <row r="496" spans="1:23" ht="13" x14ac:dyDescent="0.3">
      <c r="A496" s="58"/>
      <c r="B496" s="58"/>
      <c r="C496" s="58"/>
      <c r="D496" s="58"/>
      <c r="E496" s="58"/>
      <c r="F496" s="58"/>
      <c r="G496" s="58"/>
      <c r="H496" s="59"/>
      <c r="I496" s="59"/>
      <c r="J496" s="59"/>
      <c r="K496" s="59"/>
      <c r="L496" s="59"/>
      <c r="M496" s="60"/>
      <c r="N496" s="60"/>
      <c r="O496" s="60"/>
      <c r="P496" s="59"/>
      <c r="Q496" s="59"/>
      <c r="R496" s="60"/>
      <c r="S496" s="60"/>
      <c r="T496" s="60"/>
      <c r="U496" s="60"/>
      <c r="V496" s="60"/>
      <c r="W496" s="60"/>
    </row>
    <row r="497" spans="1:23" ht="13" x14ac:dyDescent="0.3">
      <c r="A497" s="58"/>
      <c r="B497" s="58"/>
      <c r="C497" s="58"/>
      <c r="D497" s="58"/>
      <c r="E497" s="58"/>
      <c r="F497" s="58"/>
      <c r="G497" s="58"/>
      <c r="H497" s="59"/>
      <c r="I497" s="59"/>
      <c r="J497" s="59"/>
      <c r="K497" s="59"/>
      <c r="L497" s="59"/>
      <c r="M497" s="60"/>
      <c r="N497" s="60"/>
      <c r="O497" s="60"/>
      <c r="P497" s="59"/>
      <c r="Q497" s="59"/>
      <c r="R497" s="60"/>
      <c r="S497" s="60"/>
      <c r="T497" s="60"/>
      <c r="U497" s="60"/>
      <c r="V497" s="60"/>
      <c r="W497" s="60"/>
    </row>
    <row r="498" spans="1:23" ht="13" x14ac:dyDescent="0.3">
      <c r="A498" s="58"/>
      <c r="B498" s="58"/>
      <c r="C498" s="58"/>
      <c r="D498" s="58"/>
      <c r="E498" s="58"/>
      <c r="F498" s="58"/>
      <c r="G498" s="58"/>
      <c r="H498" s="59"/>
      <c r="I498" s="59"/>
      <c r="J498" s="59"/>
      <c r="K498" s="59"/>
      <c r="L498" s="59"/>
      <c r="M498" s="60"/>
      <c r="N498" s="60"/>
      <c r="O498" s="60"/>
      <c r="P498" s="59"/>
      <c r="Q498" s="59"/>
      <c r="R498" s="60"/>
      <c r="S498" s="60"/>
      <c r="T498" s="60"/>
      <c r="U498" s="60"/>
      <c r="V498" s="60"/>
      <c r="W498" s="60"/>
    </row>
    <row r="499" spans="1:23" ht="13" x14ac:dyDescent="0.3">
      <c r="A499" s="58"/>
      <c r="B499" s="58"/>
      <c r="C499" s="58"/>
      <c r="D499" s="58"/>
      <c r="E499" s="58"/>
      <c r="F499" s="58"/>
      <c r="G499" s="58"/>
      <c r="H499" s="59"/>
      <c r="I499" s="59"/>
      <c r="J499" s="59"/>
      <c r="K499" s="59"/>
      <c r="L499" s="59"/>
      <c r="M499" s="60"/>
      <c r="N499" s="60"/>
      <c r="O499" s="60"/>
      <c r="P499" s="59"/>
      <c r="Q499" s="59"/>
      <c r="R499" s="60"/>
      <c r="S499" s="60"/>
      <c r="T499" s="60"/>
      <c r="U499" s="60"/>
      <c r="V499" s="60"/>
      <c r="W499" s="60"/>
    </row>
    <row r="500" spans="1:23" ht="13" x14ac:dyDescent="0.3">
      <c r="A500" s="58"/>
      <c r="B500" s="58"/>
      <c r="C500" s="58"/>
      <c r="D500" s="58"/>
      <c r="E500" s="58"/>
      <c r="F500" s="58"/>
      <c r="G500" s="58"/>
      <c r="H500" s="59"/>
      <c r="I500" s="59"/>
      <c r="J500" s="59"/>
      <c r="K500" s="59"/>
      <c r="L500" s="59"/>
      <c r="M500" s="60"/>
      <c r="N500" s="60"/>
      <c r="O500" s="60"/>
      <c r="P500" s="59"/>
      <c r="Q500" s="59"/>
      <c r="R500" s="60"/>
      <c r="S500" s="60"/>
      <c r="T500" s="60"/>
      <c r="U500" s="60"/>
      <c r="V500" s="60"/>
      <c r="W500" s="60"/>
    </row>
    <row r="501" spans="1:23" ht="13" x14ac:dyDescent="0.3">
      <c r="A501" s="58"/>
      <c r="B501" s="58"/>
      <c r="C501" s="58"/>
      <c r="D501" s="58"/>
      <c r="E501" s="58"/>
      <c r="F501" s="58"/>
      <c r="G501" s="58"/>
      <c r="H501" s="59"/>
      <c r="I501" s="59"/>
      <c r="J501" s="59"/>
      <c r="K501" s="59"/>
      <c r="L501" s="59"/>
      <c r="M501" s="60"/>
      <c r="N501" s="60"/>
      <c r="O501" s="60"/>
      <c r="P501" s="59"/>
      <c r="Q501" s="59"/>
      <c r="R501" s="60"/>
      <c r="S501" s="60"/>
      <c r="T501" s="60"/>
      <c r="U501" s="60"/>
      <c r="V501" s="60"/>
      <c r="W501" s="60"/>
    </row>
    <row r="502" spans="1:23" ht="13" x14ac:dyDescent="0.3">
      <c r="A502" s="58"/>
      <c r="B502" s="58"/>
      <c r="C502" s="58"/>
      <c r="D502" s="58"/>
      <c r="E502" s="58"/>
      <c r="F502" s="58"/>
      <c r="G502" s="58"/>
      <c r="H502" s="59"/>
      <c r="I502" s="59"/>
      <c r="J502" s="59"/>
      <c r="K502" s="59"/>
      <c r="L502" s="59"/>
      <c r="M502" s="60"/>
      <c r="N502" s="60"/>
      <c r="O502" s="60"/>
      <c r="P502" s="59"/>
      <c r="Q502" s="59"/>
      <c r="R502" s="60"/>
      <c r="S502" s="60"/>
      <c r="T502" s="60"/>
      <c r="U502" s="60"/>
      <c r="V502" s="60"/>
      <c r="W502" s="60"/>
    </row>
    <row r="503" spans="1:23" ht="13" x14ac:dyDescent="0.3">
      <c r="A503" s="58"/>
      <c r="B503" s="58"/>
      <c r="C503" s="58"/>
      <c r="D503" s="58"/>
      <c r="E503" s="58"/>
      <c r="F503" s="58"/>
      <c r="G503" s="58"/>
      <c r="H503" s="59"/>
      <c r="I503" s="59"/>
      <c r="J503" s="59"/>
      <c r="K503" s="59"/>
      <c r="L503" s="59"/>
      <c r="M503" s="60"/>
      <c r="N503" s="60"/>
      <c r="O503" s="60"/>
      <c r="P503" s="59"/>
      <c r="Q503" s="59"/>
      <c r="R503" s="60"/>
      <c r="S503" s="60"/>
      <c r="T503" s="60"/>
      <c r="U503" s="60"/>
      <c r="V503" s="60"/>
      <c r="W503" s="60"/>
    </row>
    <row r="504" spans="1:23" ht="13" x14ac:dyDescent="0.3">
      <c r="A504" s="58"/>
      <c r="B504" s="58"/>
      <c r="C504" s="58"/>
      <c r="D504" s="58"/>
      <c r="E504" s="58"/>
      <c r="F504" s="58"/>
      <c r="G504" s="58"/>
      <c r="H504" s="59"/>
      <c r="I504" s="59"/>
      <c r="J504" s="59"/>
      <c r="K504" s="59"/>
      <c r="L504" s="59"/>
      <c r="M504" s="60"/>
      <c r="N504" s="60"/>
      <c r="O504" s="60"/>
      <c r="P504" s="59"/>
      <c r="Q504" s="59"/>
      <c r="R504" s="60"/>
      <c r="S504" s="60"/>
      <c r="T504" s="60"/>
      <c r="U504" s="60"/>
      <c r="V504" s="60"/>
      <c r="W504" s="60"/>
    </row>
    <row r="505" spans="1:23" ht="13" x14ac:dyDescent="0.3">
      <c r="A505" s="58"/>
      <c r="B505" s="58"/>
      <c r="C505" s="58"/>
      <c r="D505" s="58"/>
      <c r="E505" s="58"/>
      <c r="F505" s="58"/>
      <c r="G505" s="58"/>
      <c r="H505" s="59"/>
      <c r="I505" s="59"/>
      <c r="J505" s="59"/>
      <c r="K505" s="59"/>
      <c r="L505" s="59"/>
      <c r="M505" s="60"/>
      <c r="N505" s="60"/>
      <c r="O505" s="60"/>
      <c r="P505" s="59"/>
      <c r="Q505" s="59"/>
      <c r="R505" s="60"/>
      <c r="S505" s="60"/>
      <c r="T505" s="60"/>
      <c r="U505" s="60"/>
      <c r="V505" s="60"/>
      <c r="W505" s="60"/>
    </row>
    <row r="506" spans="1:23" ht="13" x14ac:dyDescent="0.3">
      <c r="A506" s="58"/>
      <c r="B506" s="58"/>
      <c r="C506" s="58"/>
      <c r="D506" s="58"/>
      <c r="E506" s="58"/>
      <c r="F506" s="58"/>
      <c r="G506" s="58"/>
      <c r="H506" s="59"/>
      <c r="I506" s="59"/>
      <c r="J506" s="59"/>
      <c r="K506" s="59"/>
      <c r="L506" s="59"/>
      <c r="M506" s="60"/>
      <c r="N506" s="60"/>
      <c r="O506" s="60"/>
      <c r="P506" s="59"/>
      <c r="Q506" s="59"/>
      <c r="R506" s="60"/>
      <c r="S506" s="60"/>
      <c r="T506" s="60"/>
      <c r="U506" s="60"/>
      <c r="V506" s="60"/>
      <c r="W506" s="60"/>
    </row>
    <row r="507" spans="1:23" ht="13" x14ac:dyDescent="0.3">
      <c r="A507" s="58"/>
      <c r="B507" s="58"/>
      <c r="C507" s="58"/>
      <c r="D507" s="58"/>
      <c r="E507" s="58"/>
      <c r="F507" s="58"/>
      <c r="G507" s="58"/>
      <c r="H507" s="59"/>
      <c r="I507" s="59"/>
      <c r="J507" s="59"/>
      <c r="K507" s="59"/>
      <c r="L507" s="59"/>
      <c r="M507" s="60"/>
      <c r="N507" s="60"/>
      <c r="O507" s="60"/>
      <c r="P507" s="59"/>
      <c r="Q507" s="59"/>
      <c r="R507" s="60"/>
      <c r="S507" s="60"/>
      <c r="T507" s="60"/>
      <c r="U507" s="60"/>
      <c r="V507" s="60"/>
      <c r="W507" s="60"/>
    </row>
    <row r="508" spans="1:23" ht="13" x14ac:dyDescent="0.3">
      <c r="A508" s="58"/>
      <c r="B508" s="58"/>
      <c r="C508" s="58"/>
      <c r="D508" s="58"/>
      <c r="E508" s="58"/>
      <c r="F508" s="58"/>
      <c r="G508" s="58"/>
      <c r="H508" s="59"/>
      <c r="I508" s="59"/>
      <c r="J508" s="59"/>
      <c r="K508" s="59"/>
      <c r="L508" s="59"/>
      <c r="M508" s="60"/>
      <c r="N508" s="60"/>
      <c r="O508" s="60"/>
      <c r="P508" s="59"/>
      <c r="Q508" s="59"/>
      <c r="R508" s="60"/>
      <c r="S508" s="60"/>
      <c r="T508" s="60"/>
      <c r="U508" s="60"/>
      <c r="V508" s="60"/>
      <c r="W508" s="60"/>
    </row>
    <row r="509" spans="1:23" ht="13" x14ac:dyDescent="0.3">
      <c r="A509" s="58"/>
      <c r="B509" s="58"/>
      <c r="C509" s="58"/>
      <c r="D509" s="58"/>
      <c r="E509" s="58"/>
      <c r="F509" s="58"/>
      <c r="G509" s="58"/>
      <c r="H509" s="59"/>
      <c r="I509" s="59"/>
      <c r="J509" s="59"/>
      <c r="K509" s="59"/>
      <c r="L509" s="59"/>
      <c r="M509" s="60"/>
      <c r="N509" s="60"/>
      <c r="O509" s="60"/>
      <c r="P509" s="59"/>
      <c r="Q509" s="59"/>
      <c r="R509" s="60"/>
      <c r="S509" s="60"/>
      <c r="T509" s="60"/>
      <c r="U509" s="60"/>
      <c r="V509" s="60"/>
      <c r="W509" s="60"/>
    </row>
    <row r="510" spans="1:23" ht="13" x14ac:dyDescent="0.3">
      <c r="A510" s="58"/>
      <c r="B510" s="58"/>
      <c r="C510" s="58"/>
      <c r="D510" s="58"/>
      <c r="E510" s="58"/>
      <c r="F510" s="58"/>
      <c r="G510" s="58"/>
      <c r="H510" s="59"/>
      <c r="I510" s="59"/>
      <c r="J510" s="59"/>
      <c r="K510" s="59"/>
      <c r="L510" s="59"/>
      <c r="M510" s="60"/>
      <c r="N510" s="60"/>
      <c r="O510" s="60"/>
      <c r="P510" s="59"/>
      <c r="Q510" s="59"/>
      <c r="R510" s="60"/>
      <c r="S510" s="60"/>
      <c r="T510" s="60"/>
      <c r="U510" s="60"/>
      <c r="V510" s="60"/>
      <c r="W510" s="60"/>
    </row>
    <row r="511" spans="1:23" ht="13" x14ac:dyDescent="0.3">
      <c r="A511" s="58"/>
      <c r="B511" s="58"/>
      <c r="C511" s="58"/>
      <c r="D511" s="58"/>
      <c r="E511" s="58"/>
      <c r="F511" s="58"/>
      <c r="G511" s="58"/>
      <c r="H511" s="59"/>
      <c r="I511" s="59"/>
      <c r="J511" s="59"/>
      <c r="K511" s="59"/>
      <c r="L511" s="59"/>
      <c r="M511" s="60"/>
      <c r="N511" s="60"/>
      <c r="O511" s="60"/>
      <c r="P511" s="59"/>
      <c r="Q511" s="59"/>
      <c r="R511" s="60"/>
      <c r="S511" s="60"/>
      <c r="T511" s="60"/>
      <c r="U511" s="60"/>
      <c r="V511" s="60"/>
      <c r="W511" s="60"/>
    </row>
    <row r="512" spans="1:23" ht="13" x14ac:dyDescent="0.3">
      <c r="A512" s="58"/>
      <c r="B512" s="58"/>
      <c r="C512" s="58"/>
      <c r="D512" s="58"/>
      <c r="E512" s="58"/>
      <c r="F512" s="58"/>
      <c r="G512" s="58"/>
      <c r="H512" s="59"/>
      <c r="I512" s="59"/>
      <c r="J512" s="59"/>
      <c r="K512" s="59"/>
      <c r="L512" s="59"/>
      <c r="M512" s="60"/>
      <c r="N512" s="60"/>
      <c r="O512" s="60"/>
      <c r="P512" s="59"/>
      <c r="Q512" s="59"/>
      <c r="R512" s="60"/>
      <c r="S512" s="60"/>
      <c r="T512" s="60"/>
      <c r="U512" s="60"/>
      <c r="V512" s="60"/>
      <c r="W512" s="60"/>
    </row>
    <row r="513" spans="1:23" ht="13" x14ac:dyDescent="0.3">
      <c r="A513" s="58"/>
      <c r="B513" s="58"/>
      <c r="C513" s="58"/>
      <c r="D513" s="58"/>
      <c r="E513" s="58"/>
      <c r="F513" s="58"/>
      <c r="G513" s="58"/>
      <c r="H513" s="59"/>
      <c r="I513" s="59"/>
      <c r="J513" s="59"/>
      <c r="K513" s="59"/>
      <c r="L513" s="59"/>
      <c r="M513" s="60"/>
      <c r="N513" s="60"/>
      <c r="O513" s="60"/>
      <c r="P513" s="59"/>
      <c r="Q513" s="59"/>
      <c r="R513" s="60"/>
      <c r="S513" s="60"/>
      <c r="T513" s="60"/>
      <c r="U513" s="60"/>
      <c r="V513" s="60"/>
      <c r="W513" s="60"/>
    </row>
    <row r="514" spans="1:23" ht="13" x14ac:dyDescent="0.3">
      <c r="A514" s="58"/>
      <c r="B514" s="58"/>
      <c r="C514" s="58"/>
      <c r="D514" s="58"/>
      <c r="E514" s="58"/>
      <c r="F514" s="58"/>
      <c r="G514" s="58"/>
      <c r="H514" s="59"/>
      <c r="I514" s="59"/>
      <c r="J514" s="59"/>
      <c r="K514" s="59"/>
      <c r="L514" s="59"/>
      <c r="M514" s="60"/>
      <c r="N514" s="60"/>
      <c r="O514" s="60"/>
      <c r="P514" s="59"/>
      <c r="Q514" s="59"/>
      <c r="R514" s="60"/>
      <c r="S514" s="60"/>
      <c r="T514" s="60"/>
      <c r="U514" s="60"/>
      <c r="V514" s="60"/>
      <c r="W514" s="60"/>
    </row>
    <row r="515" spans="1:23" ht="13" x14ac:dyDescent="0.3">
      <c r="A515" s="58"/>
      <c r="B515" s="58"/>
      <c r="C515" s="58"/>
      <c r="D515" s="58"/>
      <c r="E515" s="58"/>
      <c r="F515" s="58"/>
      <c r="G515" s="58"/>
      <c r="H515" s="59"/>
      <c r="I515" s="59"/>
      <c r="J515" s="59"/>
      <c r="K515" s="59"/>
      <c r="L515" s="59"/>
      <c r="M515" s="60"/>
      <c r="N515" s="60"/>
      <c r="O515" s="60"/>
      <c r="P515" s="59"/>
      <c r="Q515" s="59"/>
      <c r="R515" s="60"/>
      <c r="S515" s="60"/>
      <c r="T515" s="60"/>
      <c r="U515" s="60"/>
      <c r="V515" s="60"/>
      <c r="W515" s="60"/>
    </row>
    <row r="516" spans="1:23" ht="13" x14ac:dyDescent="0.3">
      <c r="A516" s="58"/>
      <c r="B516" s="58"/>
      <c r="C516" s="58"/>
      <c r="D516" s="58"/>
      <c r="E516" s="58"/>
      <c r="F516" s="58"/>
      <c r="G516" s="58"/>
      <c r="H516" s="59"/>
      <c r="I516" s="59"/>
      <c r="J516" s="59"/>
      <c r="K516" s="59"/>
      <c r="L516" s="59"/>
      <c r="M516" s="60"/>
      <c r="N516" s="60"/>
      <c r="O516" s="60"/>
      <c r="P516" s="59"/>
      <c r="Q516" s="59"/>
      <c r="R516" s="60"/>
      <c r="S516" s="60"/>
      <c r="T516" s="60"/>
      <c r="U516" s="60"/>
      <c r="V516" s="60"/>
      <c r="W516" s="60"/>
    </row>
    <row r="517" spans="1:23" ht="13" x14ac:dyDescent="0.3">
      <c r="A517" s="58"/>
      <c r="B517" s="58"/>
      <c r="C517" s="58"/>
      <c r="D517" s="58"/>
      <c r="E517" s="58"/>
      <c r="F517" s="58"/>
      <c r="G517" s="58"/>
      <c r="H517" s="59"/>
      <c r="I517" s="59"/>
      <c r="J517" s="59"/>
      <c r="K517" s="59"/>
      <c r="L517" s="59"/>
      <c r="M517" s="60"/>
      <c r="N517" s="60"/>
      <c r="O517" s="60"/>
      <c r="P517" s="59"/>
      <c r="Q517" s="59"/>
      <c r="R517" s="60"/>
      <c r="S517" s="60"/>
      <c r="T517" s="60"/>
      <c r="U517" s="60"/>
      <c r="V517" s="60"/>
      <c r="W517" s="60"/>
    </row>
    <row r="518" spans="1:23" ht="13" x14ac:dyDescent="0.3">
      <c r="A518" s="58"/>
      <c r="B518" s="58"/>
      <c r="C518" s="58"/>
      <c r="D518" s="58"/>
      <c r="E518" s="58"/>
      <c r="F518" s="58"/>
      <c r="G518" s="58"/>
      <c r="H518" s="59"/>
      <c r="I518" s="59"/>
      <c r="J518" s="59"/>
      <c r="K518" s="59"/>
      <c r="L518" s="59"/>
      <c r="M518" s="60"/>
      <c r="N518" s="60"/>
      <c r="O518" s="60"/>
      <c r="P518" s="59"/>
      <c r="Q518" s="59"/>
      <c r="R518" s="60"/>
      <c r="S518" s="60"/>
      <c r="T518" s="60"/>
      <c r="U518" s="60"/>
      <c r="V518" s="60"/>
      <c r="W518" s="60"/>
    </row>
    <row r="519" spans="1:23" ht="13" x14ac:dyDescent="0.3">
      <c r="A519" s="58"/>
      <c r="B519" s="58"/>
      <c r="C519" s="58"/>
      <c r="D519" s="58"/>
      <c r="E519" s="58"/>
      <c r="F519" s="58"/>
      <c r="G519" s="58"/>
      <c r="H519" s="59"/>
      <c r="I519" s="59"/>
      <c r="J519" s="59"/>
      <c r="K519" s="59"/>
      <c r="L519" s="59"/>
      <c r="M519" s="60"/>
      <c r="N519" s="60"/>
      <c r="O519" s="60"/>
      <c r="P519" s="59"/>
      <c r="Q519" s="59"/>
      <c r="R519" s="60"/>
      <c r="S519" s="60"/>
      <c r="T519" s="60"/>
      <c r="U519" s="60"/>
      <c r="V519" s="60"/>
      <c r="W519" s="60"/>
    </row>
    <row r="520" spans="1:23" ht="13" x14ac:dyDescent="0.3">
      <c r="A520" s="58"/>
      <c r="B520" s="58"/>
      <c r="C520" s="58"/>
      <c r="D520" s="58"/>
      <c r="E520" s="58"/>
      <c r="F520" s="58"/>
      <c r="G520" s="58"/>
      <c r="H520" s="59"/>
      <c r="I520" s="59"/>
      <c r="J520" s="59"/>
      <c r="K520" s="59"/>
      <c r="L520" s="59"/>
      <c r="M520" s="60"/>
      <c r="N520" s="60"/>
      <c r="O520" s="60"/>
      <c r="P520" s="59"/>
      <c r="Q520" s="59"/>
      <c r="R520" s="60"/>
      <c r="S520" s="60"/>
      <c r="T520" s="60"/>
      <c r="U520" s="60"/>
      <c r="V520" s="60"/>
      <c r="W520" s="60"/>
    </row>
    <row r="521" spans="1:23" ht="13" x14ac:dyDescent="0.3">
      <c r="A521" s="58"/>
      <c r="B521" s="58"/>
      <c r="C521" s="58"/>
      <c r="D521" s="58"/>
      <c r="E521" s="58"/>
      <c r="F521" s="58"/>
      <c r="G521" s="58"/>
      <c r="H521" s="59"/>
      <c r="I521" s="59"/>
      <c r="J521" s="59"/>
      <c r="K521" s="59"/>
      <c r="L521" s="59"/>
      <c r="M521" s="60"/>
      <c r="N521" s="60"/>
      <c r="O521" s="60"/>
      <c r="P521" s="59"/>
      <c r="Q521" s="59"/>
      <c r="R521" s="60"/>
      <c r="S521" s="60"/>
      <c r="T521" s="60"/>
      <c r="U521" s="60"/>
      <c r="V521" s="60"/>
      <c r="W521" s="60"/>
    </row>
    <row r="522" spans="1:23" ht="13" x14ac:dyDescent="0.3">
      <c r="A522" s="58"/>
      <c r="B522" s="58"/>
      <c r="C522" s="58"/>
      <c r="D522" s="58"/>
      <c r="E522" s="58"/>
      <c r="F522" s="58"/>
      <c r="G522" s="58"/>
      <c r="H522" s="59"/>
      <c r="I522" s="59"/>
      <c r="J522" s="59"/>
      <c r="K522" s="59"/>
      <c r="L522" s="59"/>
      <c r="M522" s="60"/>
      <c r="N522" s="60"/>
      <c r="O522" s="60"/>
      <c r="P522" s="59"/>
      <c r="Q522" s="59"/>
      <c r="R522" s="60"/>
      <c r="S522" s="60"/>
      <c r="T522" s="60"/>
      <c r="U522" s="60"/>
      <c r="V522" s="60"/>
      <c r="W522" s="60"/>
    </row>
    <row r="523" spans="1:23" ht="13" x14ac:dyDescent="0.3">
      <c r="A523" s="58"/>
      <c r="B523" s="58"/>
      <c r="C523" s="58"/>
      <c r="D523" s="58"/>
      <c r="E523" s="58"/>
      <c r="F523" s="58"/>
      <c r="G523" s="58"/>
      <c r="H523" s="59"/>
      <c r="I523" s="59"/>
      <c r="J523" s="59"/>
      <c r="K523" s="59"/>
      <c r="L523" s="59"/>
      <c r="M523" s="60"/>
      <c r="N523" s="60"/>
      <c r="O523" s="60"/>
      <c r="P523" s="59"/>
      <c r="Q523" s="59"/>
      <c r="R523" s="60"/>
      <c r="S523" s="60"/>
      <c r="T523" s="60"/>
      <c r="U523" s="60"/>
      <c r="V523" s="60"/>
      <c r="W523" s="60"/>
    </row>
    <row r="524" spans="1:23" ht="13" x14ac:dyDescent="0.3">
      <c r="A524" s="58"/>
      <c r="B524" s="58"/>
      <c r="C524" s="58"/>
      <c r="D524" s="58"/>
      <c r="E524" s="58"/>
      <c r="F524" s="58"/>
      <c r="G524" s="58"/>
      <c r="H524" s="59"/>
      <c r="I524" s="59"/>
      <c r="J524" s="59"/>
      <c r="K524" s="59"/>
      <c r="L524" s="59"/>
      <c r="M524" s="60"/>
      <c r="N524" s="60"/>
      <c r="O524" s="60"/>
      <c r="P524" s="59"/>
      <c r="Q524" s="59"/>
      <c r="R524" s="60"/>
      <c r="S524" s="60"/>
      <c r="T524" s="60"/>
      <c r="U524" s="60"/>
      <c r="V524" s="60"/>
      <c r="W524" s="60"/>
    </row>
    <row r="525" spans="1:23" ht="13" x14ac:dyDescent="0.3">
      <c r="A525" s="58"/>
      <c r="B525" s="58"/>
      <c r="C525" s="58"/>
      <c r="D525" s="58"/>
      <c r="E525" s="58"/>
      <c r="F525" s="58"/>
      <c r="G525" s="58"/>
      <c r="H525" s="59"/>
      <c r="I525" s="59"/>
      <c r="J525" s="59"/>
      <c r="K525" s="59"/>
      <c r="L525" s="59"/>
      <c r="M525" s="60"/>
      <c r="N525" s="60"/>
      <c r="O525" s="60"/>
      <c r="P525" s="59"/>
      <c r="Q525" s="59"/>
      <c r="R525" s="60"/>
      <c r="S525" s="60"/>
      <c r="T525" s="60"/>
      <c r="U525" s="60"/>
      <c r="V525" s="60"/>
      <c r="W525" s="60"/>
    </row>
    <row r="526" spans="1:23" ht="13" x14ac:dyDescent="0.3">
      <c r="A526" s="58"/>
      <c r="B526" s="58"/>
      <c r="C526" s="58"/>
      <c r="D526" s="58"/>
      <c r="E526" s="58"/>
      <c r="F526" s="58"/>
      <c r="G526" s="58"/>
      <c r="H526" s="59"/>
      <c r="I526" s="59"/>
      <c r="J526" s="59"/>
      <c r="K526" s="59"/>
      <c r="L526" s="59"/>
      <c r="M526" s="60"/>
      <c r="N526" s="60"/>
      <c r="O526" s="60"/>
      <c r="P526" s="59"/>
      <c r="Q526" s="59"/>
      <c r="R526" s="60"/>
      <c r="S526" s="60"/>
      <c r="T526" s="60"/>
      <c r="U526" s="60"/>
      <c r="V526" s="60"/>
      <c r="W526" s="60"/>
    </row>
    <row r="527" spans="1:23" ht="13" x14ac:dyDescent="0.3">
      <c r="A527" s="58"/>
      <c r="B527" s="58"/>
      <c r="C527" s="58"/>
      <c r="D527" s="58"/>
      <c r="E527" s="58"/>
      <c r="F527" s="58"/>
      <c r="G527" s="58"/>
      <c r="H527" s="59"/>
      <c r="I527" s="59"/>
      <c r="J527" s="59"/>
      <c r="K527" s="59"/>
      <c r="L527" s="59"/>
      <c r="M527" s="60"/>
      <c r="N527" s="60"/>
      <c r="O527" s="60"/>
      <c r="P527" s="59"/>
      <c r="Q527" s="59"/>
      <c r="R527" s="60"/>
      <c r="S527" s="60"/>
      <c r="T527" s="60"/>
      <c r="U527" s="60"/>
      <c r="V527" s="60"/>
      <c r="W527" s="60"/>
    </row>
    <row r="528" spans="1:23" ht="13" x14ac:dyDescent="0.3">
      <c r="A528" s="58"/>
      <c r="B528" s="58"/>
      <c r="C528" s="58"/>
      <c r="D528" s="58"/>
      <c r="E528" s="58"/>
      <c r="F528" s="58"/>
      <c r="G528" s="58"/>
      <c r="H528" s="59"/>
      <c r="I528" s="59"/>
      <c r="J528" s="59"/>
      <c r="K528" s="59"/>
      <c r="L528" s="59"/>
      <c r="M528" s="60"/>
      <c r="N528" s="60"/>
      <c r="O528" s="60"/>
      <c r="P528" s="59"/>
      <c r="Q528" s="59"/>
      <c r="R528" s="60"/>
      <c r="S528" s="60"/>
      <c r="T528" s="60"/>
      <c r="U528" s="60"/>
      <c r="V528" s="60"/>
      <c r="W528" s="60"/>
    </row>
    <row r="529" spans="1:23" ht="13" x14ac:dyDescent="0.3">
      <c r="A529" s="58"/>
      <c r="B529" s="58"/>
      <c r="C529" s="58"/>
      <c r="D529" s="58"/>
      <c r="E529" s="58"/>
      <c r="F529" s="58"/>
      <c r="G529" s="58"/>
      <c r="H529" s="59"/>
      <c r="I529" s="59"/>
      <c r="J529" s="59"/>
      <c r="K529" s="59"/>
      <c r="L529" s="59"/>
      <c r="M529" s="60"/>
      <c r="N529" s="60"/>
      <c r="O529" s="60"/>
      <c r="P529" s="59"/>
      <c r="Q529" s="59"/>
      <c r="R529" s="60"/>
      <c r="S529" s="60"/>
      <c r="T529" s="60"/>
      <c r="U529" s="60"/>
      <c r="V529" s="60"/>
      <c r="W529" s="60"/>
    </row>
    <row r="530" spans="1:23" ht="13" x14ac:dyDescent="0.3">
      <c r="A530" s="58"/>
      <c r="B530" s="58"/>
      <c r="C530" s="58"/>
      <c r="D530" s="58"/>
      <c r="E530" s="58"/>
      <c r="F530" s="58"/>
      <c r="G530" s="58"/>
      <c r="H530" s="59"/>
      <c r="I530" s="59"/>
      <c r="J530" s="59"/>
      <c r="K530" s="59"/>
      <c r="L530" s="59"/>
      <c r="M530" s="60"/>
      <c r="N530" s="60"/>
      <c r="O530" s="60"/>
      <c r="P530" s="59"/>
      <c r="Q530" s="59"/>
      <c r="R530" s="60"/>
      <c r="S530" s="60"/>
      <c r="T530" s="60"/>
      <c r="U530" s="60"/>
      <c r="V530" s="60"/>
      <c r="W530" s="60"/>
    </row>
    <row r="531" spans="1:23" ht="13" x14ac:dyDescent="0.3">
      <c r="A531" s="58"/>
      <c r="B531" s="58"/>
      <c r="C531" s="58"/>
      <c r="D531" s="58"/>
      <c r="E531" s="58"/>
      <c r="F531" s="58"/>
      <c r="G531" s="58"/>
      <c r="H531" s="59"/>
      <c r="I531" s="59"/>
      <c r="J531" s="59"/>
      <c r="K531" s="59"/>
      <c r="L531" s="59"/>
      <c r="M531" s="60"/>
      <c r="N531" s="60"/>
      <c r="O531" s="60"/>
      <c r="P531" s="59"/>
      <c r="Q531" s="59"/>
      <c r="R531" s="60"/>
      <c r="S531" s="60"/>
      <c r="T531" s="60"/>
      <c r="U531" s="60"/>
      <c r="V531" s="60"/>
      <c r="W531" s="60"/>
    </row>
    <row r="532" spans="1:23" ht="13" x14ac:dyDescent="0.3">
      <c r="A532" s="58"/>
      <c r="B532" s="58"/>
      <c r="C532" s="58"/>
      <c r="D532" s="58"/>
      <c r="E532" s="58"/>
      <c r="F532" s="58"/>
      <c r="G532" s="58"/>
      <c r="H532" s="59"/>
      <c r="I532" s="59"/>
      <c r="J532" s="59"/>
      <c r="K532" s="59"/>
      <c r="L532" s="59"/>
      <c r="M532" s="60"/>
      <c r="N532" s="60"/>
      <c r="O532" s="60"/>
      <c r="P532" s="59"/>
      <c r="Q532" s="59"/>
      <c r="R532" s="60"/>
      <c r="S532" s="60"/>
      <c r="T532" s="60"/>
      <c r="U532" s="60"/>
      <c r="V532" s="60"/>
      <c r="W532" s="60"/>
    </row>
    <row r="533" spans="1:23" ht="13" x14ac:dyDescent="0.3">
      <c r="A533" s="58"/>
      <c r="B533" s="58"/>
      <c r="C533" s="58"/>
      <c r="D533" s="58"/>
      <c r="E533" s="58"/>
      <c r="F533" s="58"/>
      <c r="G533" s="58"/>
      <c r="H533" s="59"/>
      <c r="I533" s="59"/>
      <c r="J533" s="59"/>
      <c r="K533" s="59"/>
      <c r="L533" s="59"/>
      <c r="M533" s="60"/>
      <c r="N533" s="60"/>
      <c r="O533" s="60"/>
      <c r="P533" s="59"/>
      <c r="Q533" s="59"/>
      <c r="R533" s="60"/>
      <c r="S533" s="60"/>
      <c r="T533" s="60"/>
      <c r="U533" s="60"/>
      <c r="V533" s="60"/>
      <c r="W533" s="60"/>
    </row>
    <row r="534" spans="1:23" ht="13" x14ac:dyDescent="0.3">
      <c r="A534" s="58"/>
      <c r="B534" s="58"/>
      <c r="C534" s="58"/>
      <c r="D534" s="58"/>
      <c r="E534" s="58"/>
      <c r="F534" s="58"/>
      <c r="G534" s="58"/>
      <c r="H534" s="59"/>
      <c r="I534" s="59"/>
      <c r="J534" s="59"/>
      <c r="K534" s="59"/>
      <c r="L534" s="59"/>
      <c r="M534" s="60"/>
      <c r="N534" s="60"/>
      <c r="O534" s="60"/>
      <c r="P534" s="59"/>
      <c r="Q534" s="59"/>
      <c r="R534" s="60"/>
      <c r="S534" s="60"/>
      <c r="T534" s="60"/>
      <c r="U534" s="60"/>
      <c r="V534" s="60"/>
      <c r="W534" s="60"/>
    </row>
    <row r="535" spans="1:23" ht="13" x14ac:dyDescent="0.3">
      <c r="A535" s="58"/>
      <c r="B535" s="58"/>
      <c r="C535" s="58"/>
      <c r="D535" s="58"/>
      <c r="E535" s="58"/>
      <c r="F535" s="58"/>
      <c r="G535" s="58"/>
      <c r="H535" s="59"/>
      <c r="I535" s="59"/>
      <c r="J535" s="59"/>
      <c r="K535" s="59"/>
      <c r="L535" s="59"/>
      <c r="M535" s="60"/>
      <c r="N535" s="60"/>
      <c r="O535" s="60"/>
      <c r="P535" s="59"/>
      <c r="Q535" s="59"/>
      <c r="R535" s="60"/>
      <c r="S535" s="60"/>
      <c r="T535" s="60"/>
      <c r="U535" s="60"/>
      <c r="V535" s="60"/>
      <c r="W535" s="60"/>
    </row>
    <row r="536" spans="1:23" ht="13" x14ac:dyDescent="0.3">
      <c r="A536" s="58"/>
      <c r="B536" s="58"/>
      <c r="C536" s="58"/>
      <c r="D536" s="58"/>
      <c r="E536" s="58"/>
      <c r="F536" s="58"/>
      <c r="G536" s="58"/>
      <c r="H536" s="59"/>
      <c r="I536" s="59"/>
      <c r="J536" s="59"/>
      <c r="K536" s="59"/>
      <c r="L536" s="59"/>
      <c r="M536" s="60"/>
      <c r="N536" s="60"/>
      <c r="O536" s="60"/>
      <c r="P536" s="59"/>
      <c r="Q536" s="59"/>
      <c r="R536" s="60"/>
      <c r="S536" s="60"/>
      <c r="T536" s="60"/>
      <c r="U536" s="60"/>
      <c r="V536" s="60"/>
      <c r="W536" s="60"/>
    </row>
    <row r="537" spans="1:23" ht="13" x14ac:dyDescent="0.3">
      <c r="A537" s="58"/>
      <c r="B537" s="58"/>
      <c r="C537" s="58"/>
      <c r="D537" s="58"/>
      <c r="E537" s="58"/>
      <c r="F537" s="58"/>
      <c r="G537" s="58"/>
      <c r="H537" s="59"/>
      <c r="I537" s="59"/>
      <c r="J537" s="59"/>
      <c r="K537" s="59"/>
      <c r="L537" s="59"/>
      <c r="M537" s="60"/>
      <c r="N537" s="60"/>
      <c r="O537" s="60"/>
      <c r="P537" s="59"/>
      <c r="Q537" s="59"/>
      <c r="R537" s="60"/>
      <c r="S537" s="60"/>
      <c r="T537" s="60"/>
      <c r="U537" s="60"/>
      <c r="V537" s="60"/>
      <c r="W537" s="60"/>
    </row>
    <row r="538" spans="1:23" ht="13" x14ac:dyDescent="0.3">
      <c r="A538" s="58"/>
      <c r="B538" s="58"/>
      <c r="C538" s="58"/>
      <c r="D538" s="58"/>
      <c r="E538" s="58"/>
      <c r="F538" s="58"/>
      <c r="G538" s="58"/>
      <c r="H538" s="59"/>
      <c r="I538" s="59"/>
      <c r="J538" s="59"/>
      <c r="K538" s="59"/>
      <c r="L538" s="59"/>
      <c r="M538" s="60"/>
      <c r="N538" s="60"/>
      <c r="O538" s="60"/>
      <c r="P538" s="59"/>
      <c r="Q538" s="59"/>
      <c r="R538" s="60"/>
      <c r="S538" s="60"/>
      <c r="T538" s="60"/>
      <c r="U538" s="60"/>
      <c r="V538" s="60"/>
      <c r="W538" s="60"/>
    </row>
    <row r="539" spans="1:23" ht="13" x14ac:dyDescent="0.3">
      <c r="A539" s="58"/>
      <c r="B539" s="58"/>
      <c r="C539" s="58"/>
      <c r="D539" s="58"/>
      <c r="E539" s="58"/>
      <c r="F539" s="58"/>
      <c r="G539" s="58"/>
      <c r="H539" s="59"/>
      <c r="I539" s="59"/>
      <c r="J539" s="59"/>
      <c r="K539" s="59"/>
      <c r="L539" s="59"/>
      <c r="M539" s="60"/>
      <c r="N539" s="60"/>
      <c r="O539" s="60"/>
      <c r="P539" s="59"/>
      <c r="Q539" s="59"/>
      <c r="R539" s="60"/>
      <c r="S539" s="60"/>
      <c r="T539" s="60"/>
      <c r="U539" s="60"/>
      <c r="V539" s="60"/>
      <c r="W539" s="60"/>
    </row>
    <row r="540" spans="1:23" ht="13" x14ac:dyDescent="0.3">
      <c r="A540" s="58"/>
      <c r="B540" s="58"/>
      <c r="C540" s="58"/>
      <c r="D540" s="58"/>
      <c r="E540" s="58"/>
      <c r="F540" s="58"/>
      <c r="G540" s="58"/>
      <c r="H540" s="59"/>
      <c r="I540" s="59"/>
      <c r="J540" s="59"/>
      <c r="K540" s="59"/>
      <c r="L540" s="59"/>
      <c r="M540" s="60"/>
      <c r="N540" s="60"/>
      <c r="O540" s="60"/>
      <c r="P540" s="59"/>
      <c r="Q540" s="59"/>
      <c r="R540" s="60"/>
      <c r="S540" s="60"/>
      <c r="T540" s="60"/>
      <c r="U540" s="60"/>
      <c r="V540" s="60"/>
      <c r="W540" s="60"/>
    </row>
    <row r="541" spans="1:23" ht="13" x14ac:dyDescent="0.3">
      <c r="A541" s="58"/>
      <c r="B541" s="58"/>
      <c r="C541" s="58"/>
      <c r="D541" s="58"/>
      <c r="E541" s="58"/>
      <c r="F541" s="58"/>
      <c r="G541" s="58"/>
      <c r="H541" s="59"/>
      <c r="I541" s="59"/>
      <c r="J541" s="59"/>
      <c r="K541" s="59"/>
      <c r="L541" s="59"/>
      <c r="M541" s="60"/>
      <c r="N541" s="60"/>
      <c r="O541" s="60"/>
      <c r="P541" s="59"/>
      <c r="Q541" s="59"/>
      <c r="R541" s="60"/>
      <c r="S541" s="60"/>
      <c r="T541" s="60"/>
      <c r="U541" s="60"/>
      <c r="V541" s="60"/>
      <c r="W541" s="60"/>
    </row>
    <row r="542" spans="1:23" ht="13" x14ac:dyDescent="0.3">
      <c r="A542" s="58"/>
      <c r="B542" s="58"/>
      <c r="C542" s="58"/>
      <c r="D542" s="58"/>
      <c r="E542" s="58"/>
      <c r="F542" s="58"/>
      <c r="G542" s="58"/>
      <c r="H542" s="59"/>
      <c r="I542" s="59"/>
      <c r="J542" s="59"/>
      <c r="K542" s="59"/>
      <c r="L542" s="59"/>
      <c r="M542" s="60"/>
      <c r="N542" s="60"/>
      <c r="O542" s="60"/>
      <c r="P542" s="59"/>
      <c r="Q542" s="59"/>
      <c r="R542" s="60"/>
      <c r="S542" s="60"/>
      <c r="T542" s="60"/>
      <c r="U542" s="60"/>
      <c r="V542" s="60"/>
      <c r="W542" s="60"/>
    </row>
    <row r="543" spans="1:23" ht="13" x14ac:dyDescent="0.3">
      <c r="A543" s="58"/>
      <c r="B543" s="58"/>
      <c r="C543" s="58"/>
      <c r="D543" s="58"/>
      <c r="E543" s="58"/>
      <c r="F543" s="58"/>
      <c r="G543" s="58"/>
      <c r="H543" s="59"/>
      <c r="I543" s="59"/>
      <c r="J543" s="59"/>
      <c r="K543" s="59"/>
      <c r="L543" s="59"/>
      <c r="M543" s="60"/>
      <c r="N543" s="60"/>
      <c r="O543" s="60"/>
      <c r="P543" s="59"/>
      <c r="Q543" s="59"/>
      <c r="R543" s="60"/>
      <c r="S543" s="60"/>
      <c r="T543" s="60"/>
      <c r="U543" s="60"/>
      <c r="V543" s="60"/>
      <c r="W543" s="60"/>
    </row>
    <row r="544" spans="1:23" ht="13" x14ac:dyDescent="0.3">
      <c r="A544" s="58"/>
      <c r="B544" s="58"/>
      <c r="C544" s="58"/>
      <c r="D544" s="58"/>
      <c r="E544" s="58"/>
      <c r="F544" s="58"/>
      <c r="G544" s="58"/>
      <c r="H544" s="59"/>
      <c r="I544" s="59"/>
      <c r="J544" s="59"/>
      <c r="K544" s="59"/>
      <c r="L544" s="59"/>
      <c r="M544" s="60"/>
      <c r="N544" s="60"/>
      <c r="O544" s="60"/>
      <c r="P544" s="59"/>
      <c r="Q544" s="59"/>
      <c r="R544" s="60"/>
      <c r="S544" s="60"/>
      <c r="T544" s="60"/>
      <c r="U544" s="60"/>
      <c r="V544" s="60"/>
      <c r="W544" s="60"/>
    </row>
    <row r="545" spans="1:23" ht="13" x14ac:dyDescent="0.3">
      <c r="A545" s="58"/>
      <c r="B545" s="58"/>
      <c r="C545" s="58"/>
      <c r="D545" s="58"/>
      <c r="E545" s="58"/>
      <c r="F545" s="58"/>
      <c r="G545" s="58"/>
      <c r="H545" s="59"/>
      <c r="I545" s="59"/>
      <c r="J545" s="59"/>
      <c r="K545" s="59"/>
      <c r="L545" s="59"/>
      <c r="M545" s="60"/>
      <c r="N545" s="60"/>
      <c r="O545" s="60"/>
      <c r="P545" s="59"/>
      <c r="Q545" s="59"/>
      <c r="R545" s="60"/>
      <c r="S545" s="60"/>
      <c r="T545" s="60"/>
      <c r="U545" s="60"/>
      <c r="V545" s="60"/>
      <c r="W545" s="60"/>
    </row>
    <row r="546" spans="1:23" ht="13" x14ac:dyDescent="0.3">
      <c r="A546" s="58"/>
      <c r="B546" s="58"/>
      <c r="C546" s="58"/>
      <c r="D546" s="58"/>
      <c r="E546" s="58"/>
      <c r="F546" s="58"/>
      <c r="G546" s="58"/>
      <c r="H546" s="59"/>
      <c r="I546" s="59"/>
      <c r="J546" s="59"/>
      <c r="K546" s="59"/>
      <c r="L546" s="59"/>
      <c r="M546" s="60"/>
      <c r="N546" s="60"/>
      <c r="O546" s="60"/>
      <c r="P546" s="59"/>
      <c r="Q546" s="59"/>
      <c r="R546" s="60"/>
      <c r="S546" s="60"/>
      <c r="T546" s="60"/>
      <c r="U546" s="60"/>
      <c r="V546" s="60"/>
      <c r="W546" s="60"/>
    </row>
    <row r="547" spans="1:23" ht="13" x14ac:dyDescent="0.3">
      <c r="A547" s="58"/>
      <c r="B547" s="58"/>
      <c r="C547" s="58"/>
      <c r="D547" s="58"/>
      <c r="E547" s="58"/>
      <c r="F547" s="58"/>
      <c r="G547" s="58"/>
      <c r="H547" s="59"/>
      <c r="I547" s="59"/>
      <c r="J547" s="59"/>
      <c r="K547" s="59"/>
      <c r="L547" s="59"/>
      <c r="M547" s="60"/>
      <c r="N547" s="60"/>
      <c r="O547" s="60"/>
      <c r="P547" s="59"/>
      <c r="Q547" s="59"/>
      <c r="R547" s="60"/>
      <c r="S547" s="60"/>
      <c r="T547" s="60"/>
      <c r="U547" s="60"/>
      <c r="V547" s="60"/>
      <c r="W547" s="60"/>
    </row>
    <row r="548" spans="1:23" ht="13" x14ac:dyDescent="0.3">
      <c r="A548" s="58"/>
      <c r="B548" s="58"/>
      <c r="C548" s="58"/>
      <c r="D548" s="58"/>
      <c r="E548" s="58"/>
      <c r="F548" s="58"/>
      <c r="G548" s="58"/>
      <c r="H548" s="59"/>
      <c r="I548" s="59"/>
      <c r="J548" s="59"/>
      <c r="K548" s="59"/>
      <c r="L548" s="59"/>
      <c r="M548" s="60"/>
      <c r="N548" s="60"/>
      <c r="O548" s="60"/>
      <c r="P548" s="59"/>
      <c r="Q548" s="59"/>
      <c r="R548" s="60"/>
      <c r="S548" s="60"/>
      <c r="T548" s="60"/>
      <c r="U548" s="60"/>
      <c r="V548" s="60"/>
      <c r="W548" s="60"/>
    </row>
    <row r="549" spans="1:23" ht="13" x14ac:dyDescent="0.3">
      <c r="A549" s="58"/>
      <c r="B549" s="58"/>
      <c r="C549" s="58"/>
      <c r="D549" s="58"/>
      <c r="E549" s="58"/>
      <c r="F549" s="58"/>
      <c r="G549" s="58"/>
      <c r="H549" s="59"/>
      <c r="I549" s="59"/>
      <c r="J549" s="59"/>
      <c r="K549" s="59"/>
      <c r="L549" s="59"/>
      <c r="M549" s="60"/>
      <c r="N549" s="60"/>
      <c r="O549" s="60"/>
      <c r="P549" s="59"/>
      <c r="Q549" s="59"/>
      <c r="R549" s="60"/>
      <c r="S549" s="60"/>
      <c r="T549" s="60"/>
      <c r="U549" s="60"/>
      <c r="V549" s="60"/>
      <c r="W549" s="60"/>
    </row>
    <row r="550" spans="1:23" ht="13" x14ac:dyDescent="0.3">
      <c r="A550" s="58"/>
      <c r="B550" s="58"/>
      <c r="C550" s="58"/>
      <c r="D550" s="58"/>
      <c r="E550" s="58"/>
      <c r="F550" s="58"/>
      <c r="G550" s="58"/>
      <c r="H550" s="59"/>
      <c r="I550" s="59"/>
      <c r="J550" s="59"/>
      <c r="K550" s="59"/>
      <c r="L550" s="59"/>
      <c r="M550" s="60"/>
      <c r="N550" s="60"/>
      <c r="O550" s="60"/>
      <c r="P550" s="59"/>
      <c r="Q550" s="59"/>
      <c r="R550" s="60"/>
      <c r="S550" s="60"/>
      <c r="T550" s="60"/>
      <c r="U550" s="60"/>
      <c r="V550" s="60"/>
      <c r="W550" s="60"/>
    </row>
    <row r="551" spans="1:23" ht="13" x14ac:dyDescent="0.3">
      <c r="A551" s="58"/>
      <c r="B551" s="58"/>
      <c r="C551" s="58"/>
      <c r="D551" s="58"/>
      <c r="E551" s="58"/>
      <c r="F551" s="58"/>
      <c r="G551" s="58"/>
      <c r="H551" s="59"/>
      <c r="I551" s="59"/>
      <c r="J551" s="59"/>
      <c r="K551" s="59"/>
      <c r="L551" s="59"/>
      <c r="M551" s="60"/>
      <c r="N551" s="60"/>
      <c r="O551" s="60"/>
      <c r="P551" s="59"/>
      <c r="Q551" s="59"/>
      <c r="R551" s="60"/>
      <c r="S551" s="60"/>
      <c r="T551" s="60"/>
      <c r="U551" s="60"/>
      <c r="V551" s="60"/>
      <c r="W551" s="60"/>
    </row>
    <row r="552" spans="1:23" ht="13" x14ac:dyDescent="0.3">
      <c r="A552" s="58"/>
      <c r="B552" s="58"/>
      <c r="C552" s="58"/>
      <c r="D552" s="58"/>
      <c r="E552" s="58"/>
      <c r="F552" s="58"/>
      <c r="G552" s="58"/>
      <c r="H552" s="59"/>
      <c r="I552" s="59"/>
      <c r="J552" s="59"/>
      <c r="K552" s="59"/>
      <c r="L552" s="59"/>
      <c r="M552" s="60"/>
      <c r="N552" s="60"/>
      <c r="O552" s="60"/>
      <c r="P552" s="59"/>
      <c r="Q552" s="59"/>
      <c r="R552" s="60"/>
      <c r="S552" s="60"/>
      <c r="T552" s="60"/>
      <c r="U552" s="60"/>
      <c r="V552" s="60"/>
      <c r="W552" s="60"/>
    </row>
    <row r="553" spans="1:23" ht="13" x14ac:dyDescent="0.3">
      <c r="A553" s="58"/>
      <c r="B553" s="58"/>
      <c r="C553" s="58"/>
      <c r="D553" s="58"/>
      <c r="E553" s="58"/>
      <c r="F553" s="58"/>
      <c r="G553" s="58"/>
      <c r="H553" s="59"/>
      <c r="I553" s="59"/>
      <c r="J553" s="59"/>
      <c r="K553" s="59"/>
      <c r="L553" s="59"/>
      <c r="M553" s="60"/>
      <c r="N553" s="60"/>
      <c r="O553" s="60"/>
      <c r="P553" s="59"/>
      <c r="Q553" s="59"/>
      <c r="R553" s="60"/>
      <c r="S553" s="60"/>
      <c r="T553" s="60"/>
      <c r="U553" s="60"/>
      <c r="V553" s="60"/>
      <c r="W553" s="60"/>
    </row>
    <row r="554" spans="1:23" ht="13" x14ac:dyDescent="0.3">
      <c r="A554" s="58"/>
      <c r="B554" s="58"/>
      <c r="C554" s="58"/>
      <c r="D554" s="58"/>
      <c r="E554" s="58"/>
      <c r="F554" s="58"/>
      <c r="G554" s="58"/>
      <c r="H554" s="59"/>
      <c r="I554" s="59"/>
      <c r="J554" s="59"/>
      <c r="K554" s="59"/>
      <c r="L554" s="59"/>
      <c r="M554" s="60"/>
      <c r="N554" s="60"/>
      <c r="O554" s="60"/>
      <c r="P554" s="59"/>
      <c r="Q554" s="59"/>
      <c r="R554" s="60"/>
      <c r="S554" s="60"/>
      <c r="T554" s="60"/>
      <c r="U554" s="60"/>
      <c r="V554" s="60"/>
      <c r="W554" s="60"/>
    </row>
    <row r="555" spans="1:23" ht="13" x14ac:dyDescent="0.3">
      <c r="A555" s="58"/>
      <c r="B555" s="58"/>
      <c r="C555" s="58"/>
      <c r="D555" s="58"/>
      <c r="E555" s="58"/>
      <c r="F555" s="58"/>
      <c r="G555" s="58"/>
      <c r="H555" s="59"/>
      <c r="I555" s="59"/>
      <c r="J555" s="59"/>
      <c r="K555" s="59"/>
      <c r="L555" s="59"/>
      <c r="M555" s="60"/>
      <c r="N555" s="60"/>
      <c r="O555" s="60"/>
      <c r="P555" s="59"/>
      <c r="Q555" s="59"/>
      <c r="R555" s="60"/>
      <c r="S555" s="60"/>
      <c r="T555" s="60"/>
      <c r="U555" s="60"/>
      <c r="V555" s="60"/>
      <c r="W555" s="60"/>
    </row>
    <row r="556" spans="1:23" ht="13" x14ac:dyDescent="0.3">
      <c r="A556" s="58"/>
      <c r="B556" s="58"/>
      <c r="C556" s="58"/>
      <c r="D556" s="58"/>
      <c r="E556" s="58"/>
      <c r="F556" s="58"/>
      <c r="G556" s="58"/>
      <c r="H556" s="59"/>
      <c r="I556" s="59"/>
      <c r="J556" s="59"/>
      <c r="K556" s="59"/>
      <c r="L556" s="59"/>
      <c r="M556" s="60"/>
      <c r="N556" s="60"/>
      <c r="O556" s="60"/>
      <c r="P556" s="59"/>
      <c r="Q556" s="59"/>
      <c r="R556" s="60"/>
      <c r="S556" s="60"/>
      <c r="T556" s="60"/>
      <c r="U556" s="60"/>
      <c r="V556" s="60"/>
      <c r="W556" s="60"/>
    </row>
    <row r="557" spans="1:23" ht="13" x14ac:dyDescent="0.3">
      <c r="A557" s="58"/>
      <c r="B557" s="58"/>
      <c r="C557" s="58"/>
      <c r="D557" s="58"/>
      <c r="E557" s="58"/>
      <c r="F557" s="58"/>
      <c r="G557" s="58"/>
      <c r="H557" s="59"/>
      <c r="I557" s="59"/>
      <c r="J557" s="59"/>
      <c r="K557" s="59"/>
      <c r="L557" s="59"/>
      <c r="M557" s="60"/>
      <c r="N557" s="60"/>
      <c r="O557" s="60"/>
      <c r="P557" s="59"/>
      <c r="Q557" s="59"/>
      <c r="R557" s="60"/>
      <c r="S557" s="60"/>
      <c r="T557" s="60"/>
      <c r="U557" s="60"/>
      <c r="V557" s="60"/>
      <c r="W557" s="60"/>
    </row>
    <row r="558" spans="1:23" ht="13" x14ac:dyDescent="0.3">
      <c r="A558" s="58"/>
      <c r="B558" s="58"/>
      <c r="C558" s="58"/>
      <c r="D558" s="58"/>
      <c r="E558" s="58"/>
      <c r="F558" s="58"/>
      <c r="G558" s="58"/>
      <c r="H558" s="59"/>
      <c r="I558" s="59"/>
      <c r="J558" s="59"/>
      <c r="K558" s="59"/>
      <c r="L558" s="59"/>
      <c r="M558" s="60"/>
      <c r="N558" s="60"/>
      <c r="O558" s="60"/>
      <c r="P558" s="59"/>
      <c r="Q558" s="59"/>
      <c r="R558" s="60"/>
      <c r="S558" s="60"/>
      <c r="T558" s="60"/>
      <c r="U558" s="60"/>
      <c r="V558" s="60"/>
      <c r="W558" s="60"/>
    </row>
    <row r="559" spans="1:23" ht="13" x14ac:dyDescent="0.3">
      <c r="A559" s="58"/>
      <c r="B559" s="58"/>
      <c r="C559" s="58"/>
      <c r="D559" s="58"/>
      <c r="E559" s="58"/>
      <c r="F559" s="58"/>
      <c r="G559" s="58"/>
      <c r="H559" s="59"/>
      <c r="I559" s="59"/>
      <c r="J559" s="59"/>
      <c r="K559" s="59"/>
      <c r="L559" s="59"/>
      <c r="M559" s="60"/>
      <c r="N559" s="60"/>
      <c r="O559" s="60"/>
      <c r="P559" s="59"/>
      <c r="Q559" s="59"/>
      <c r="R559" s="60"/>
      <c r="S559" s="60"/>
      <c r="T559" s="60"/>
      <c r="U559" s="60"/>
      <c r="V559" s="60"/>
      <c r="W559" s="60"/>
    </row>
    <row r="560" spans="1:23" ht="13" x14ac:dyDescent="0.3">
      <c r="A560" s="58"/>
      <c r="B560" s="58"/>
      <c r="C560" s="58"/>
      <c r="D560" s="58"/>
      <c r="E560" s="58"/>
      <c r="F560" s="58"/>
      <c r="G560" s="58"/>
      <c r="H560" s="59"/>
      <c r="I560" s="59"/>
      <c r="J560" s="59"/>
      <c r="K560" s="59"/>
      <c r="L560" s="59"/>
      <c r="M560" s="60"/>
      <c r="N560" s="60"/>
      <c r="O560" s="60"/>
      <c r="P560" s="59"/>
      <c r="Q560" s="59"/>
      <c r="R560" s="60"/>
      <c r="S560" s="60"/>
      <c r="T560" s="60"/>
      <c r="U560" s="60"/>
      <c r="V560" s="60"/>
      <c r="W560" s="60"/>
    </row>
    <row r="561" spans="1:23" ht="13" x14ac:dyDescent="0.3">
      <c r="A561" s="58"/>
      <c r="B561" s="58"/>
      <c r="C561" s="58"/>
      <c r="D561" s="58"/>
      <c r="E561" s="58"/>
      <c r="F561" s="58"/>
      <c r="G561" s="58"/>
      <c r="H561" s="59"/>
      <c r="I561" s="59"/>
      <c r="J561" s="59"/>
      <c r="K561" s="59"/>
      <c r="L561" s="59"/>
      <c r="M561" s="60"/>
      <c r="N561" s="60"/>
      <c r="O561" s="60"/>
      <c r="P561" s="59"/>
      <c r="Q561" s="59"/>
      <c r="R561" s="60"/>
      <c r="S561" s="60"/>
      <c r="T561" s="60"/>
      <c r="U561" s="60"/>
      <c r="V561" s="60"/>
      <c r="W561" s="60"/>
    </row>
    <row r="562" spans="1:23" ht="13" x14ac:dyDescent="0.3">
      <c r="A562" s="58"/>
      <c r="B562" s="58"/>
      <c r="C562" s="58"/>
      <c r="D562" s="58"/>
      <c r="E562" s="58"/>
      <c r="F562" s="58"/>
      <c r="G562" s="58"/>
      <c r="H562" s="59"/>
      <c r="I562" s="59"/>
      <c r="J562" s="59"/>
      <c r="K562" s="59"/>
      <c r="L562" s="59"/>
      <c r="M562" s="60"/>
      <c r="N562" s="60"/>
      <c r="O562" s="60"/>
      <c r="P562" s="59"/>
      <c r="Q562" s="59"/>
      <c r="R562" s="60"/>
      <c r="S562" s="60"/>
      <c r="T562" s="60"/>
      <c r="U562" s="60"/>
      <c r="V562" s="60"/>
      <c r="W562" s="60"/>
    </row>
    <row r="563" spans="1:23" ht="13" x14ac:dyDescent="0.3">
      <c r="A563" s="58"/>
      <c r="B563" s="58"/>
      <c r="C563" s="58"/>
      <c r="D563" s="58"/>
      <c r="E563" s="58"/>
      <c r="F563" s="58"/>
      <c r="G563" s="58"/>
      <c r="H563" s="59"/>
      <c r="I563" s="59"/>
      <c r="J563" s="59"/>
      <c r="K563" s="59"/>
      <c r="L563" s="59"/>
      <c r="M563" s="60"/>
      <c r="N563" s="60"/>
      <c r="O563" s="60"/>
      <c r="P563" s="59"/>
      <c r="Q563" s="59"/>
      <c r="R563" s="60"/>
      <c r="S563" s="60"/>
      <c r="T563" s="60"/>
      <c r="U563" s="60"/>
      <c r="V563" s="60"/>
      <c r="W563" s="60"/>
    </row>
    <row r="564" spans="1:23" ht="13" x14ac:dyDescent="0.3">
      <c r="A564" s="58"/>
      <c r="B564" s="58"/>
      <c r="C564" s="58"/>
      <c r="D564" s="58"/>
      <c r="E564" s="58"/>
      <c r="F564" s="58"/>
      <c r="G564" s="58"/>
      <c r="H564" s="59"/>
      <c r="I564" s="59"/>
      <c r="J564" s="59"/>
      <c r="K564" s="59"/>
      <c r="L564" s="59"/>
      <c r="M564" s="60"/>
      <c r="N564" s="60"/>
      <c r="O564" s="60"/>
      <c r="P564" s="59"/>
      <c r="Q564" s="59"/>
      <c r="R564" s="60"/>
      <c r="S564" s="60"/>
      <c r="T564" s="60"/>
      <c r="U564" s="60"/>
      <c r="V564" s="60"/>
      <c r="W564" s="60"/>
    </row>
    <row r="565" spans="1:23" ht="13" x14ac:dyDescent="0.3">
      <c r="A565" s="58"/>
      <c r="B565" s="58"/>
      <c r="C565" s="58"/>
      <c r="D565" s="58"/>
      <c r="E565" s="58"/>
      <c r="F565" s="58"/>
      <c r="G565" s="58"/>
      <c r="H565" s="59"/>
      <c r="I565" s="59"/>
      <c r="J565" s="59"/>
      <c r="K565" s="59"/>
      <c r="L565" s="59"/>
      <c r="M565" s="60"/>
      <c r="N565" s="60"/>
      <c r="O565" s="60"/>
      <c r="P565" s="59"/>
      <c r="Q565" s="59"/>
      <c r="R565" s="60"/>
      <c r="S565" s="60"/>
      <c r="T565" s="60"/>
      <c r="U565" s="60"/>
      <c r="V565" s="60"/>
      <c r="W565" s="60"/>
    </row>
    <row r="566" spans="1:23" ht="13" x14ac:dyDescent="0.3">
      <c r="A566" s="58"/>
      <c r="B566" s="58"/>
      <c r="C566" s="58"/>
      <c r="D566" s="58"/>
      <c r="E566" s="58"/>
      <c r="F566" s="58"/>
      <c r="G566" s="58"/>
      <c r="H566" s="59"/>
      <c r="I566" s="59"/>
      <c r="J566" s="59"/>
      <c r="K566" s="59"/>
      <c r="L566" s="59"/>
      <c r="M566" s="60"/>
      <c r="N566" s="60"/>
      <c r="O566" s="60"/>
      <c r="P566" s="59"/>
      <c r="Q566" s="59"/>
      <c r="R566" s="60"/>
      <c r="S566" s="60"/>
      <c r="T566" s="60"/>
      <c r="U566" s="60"/>
      <c r="V566" s="60"/>
      <c r="W566" s="60"/>
    </row>
    <row r="567" spans="1:23" ht="13" x14ac:dyDescent="0.3">
      <c r="A567" s="58"/>
      <c r="B567" s="58"/>
      <c r="C567" s="58"/>
      <c r="D567" s="58"/>
      <c r="E567" s="58"/>
      <c r="F567" s="58"/>
      <c r="G567" s="58"/>
      <c r="H567" s="59"/>
      <c r="I567" s="59"/>
      <c r="J567" s="59"/>
      <c r="K567" s="59"/>
      <c r="L567" s="59"/>
      <c r="M567" s="60"/>
      <c r="N567" s="60"/>
      <c r="O567" s="60"/>
      <c r="P567" s="59"/>
      <c r="Q567" s="59"/>
      <c r="R567" s="60"/>
      <c r="S567" s="60"/>
      <c r="T567" s="60"/>
      <c r="U567" s="60"/>
      <c r="V567" s="60"/>
      <c r="W567" s="60"/>
    </row>
    <row r="568" spans="1:23" ht="13" x14ac:dyDescent="0.3">
      <c r="A568" s="58"/>
      <c r="B568" s="58"/>
      <c r="C568" s="58"/>
      <c r="D568" s="58"/>
      <c r="E568" s="58"/>
      <c r="F568" s="58"/>
      <c r="G568" s="58"/>
      <c r="H568" s="59"/>
      <c r="I568" s="59"/>
      <c r="J568" s="59"/>
      <c r="K568" s="59"/>
      <c r="L568" s="59"/>
      <c r="M568" s="60"/>
      <c r="N568" s="60"/>
      <c r="O568" s="60"/>
      <c r="P568" s="59"/>
      <c r="Q568" s="59"/>
      <c r="R568" s="60"/>
      <c r="S568" s="60"/>
      <c r="T568" s="60"/>
      <c r="U568" s="60"/>
      <c r="V568" s="60"/>
      <c r="W568" s="60"/>
    </row>
    <row r="569" spans="1:23" ht="13" x14ac:dyDescent="0.3">
      <c r="A569" s="58"/>
      <c r="B569" s="58"/>
      <c r="C569" s="58"/>
      <c r="D569" s="58"/>
      <c r="E569" s="58"/>
      <c r="F569" s="58"/>
      <c r="G569" s="58"/>
      <c r="H569" s="59"/>
      <c r="I569" s="59"/>
      <c r="J569" s="59"/>
      <c r="K569" s="59"/>
      <c r="L569" s="59"/>
      <c r="M569" s="60"/>
      <c r="N569" s="60"/>
      <c r="O569" s="60"/>
      <c r="P569" s="59"/>
      <c r="Q569" s="59"/>
      <c r="R569" s="60"/>
      <c r="S569" s="60"/>
      <c r="T569" s="60"/>
      <c r="U569" s="60"/>
      <c r="V569" s="60"/>
      <c r="W569" s="60"/>
    </row>
    <row r="570" spans="1:23" ht="13" x14ac:dyDescent="0.3">
      <c r="A570" s="58"/>
      <c r="B570" s="58"/>
      <c r="C570" s="58"/>
      <c r="D570" s="58"/>
      <c r="E570" s="58"/>
      <c r="F570" s="58"/>
      <c r="G570" s="58"/>
      <c r="H570" s="59"/>
      <c r="I570" s="59"/>
      <c r="J570" s="59"/>
      <c r="K570" s="59"/>
      <c r="L570" s="59"/>
      <c r="M570" s="60"/>
      <c r="N570" s="60"/>
      <c r="O570" s="60"/>
      <c r="P570" s="59"/>
      <c r="Q570" s="59"/>
      <c r="R570" s="60"/>
      <c r="S570" s="60"/>
      <c r="T570" s="60"/>
      <c r="U570" s="60"/>
      <c r="V570" s="60"/>
      <c r="W570" s="60"/>
    </row>
    <row r="571" spans="1:23" ht="13" x14ac:dyDescent="0.3">
      <c r="A571" s="58"/>
      <c r="B571" s="58"/>
      <c r="C571" s="58"/>
      <c r="D571" s="58"/>
      <c r="E571" s="58"/>
      <c r="F571" s="58"/>
      <c r="G571" s="58"/>
      <c r="H571" s="59"/>
      <c r="I571" s="59"/>
      <c r="J571" s="59"/>
      <c r="K571" s="59"/>
      <c r="L571" s="59"/>
      <c r="M571" s="60"/>
      <c r="N571" s="60"/>
      <c r="O571" s="60"/>
      <c r="P571" s="59"/>
      <c r="Q571" s="59"/>
      <c r="R571" s="60"/>
      <c r="S571" s="60"/>
      <c r="T571" s="60"/>
      <c r="U571" s="60"/>
      <c r="V571" s="60"/>
      <c r="W571" s="60"/>
    </row>
    <row r="572" spans="1:23" ht="13" x14ac:dyDescent="0.3">
      <c r="A572" s="58"/>
      <c r="B572" s="58"/>
      <c r="C572" s="58"/>
      <c r="D572" s="58"/>
      <c r="E572" s="58"/>
      <c r="F572" s="58"/>
      <c r="G572" s="58"/>
      <c r="H572" s="59"/>
      <c r="I572" s="59"/>
      <c r="J572" s="59"/>
      <c r="K572" s="59"/>
      <c r="L572" s="59"/>
      <c r="M572" s="60"/>
      <c r="N572" s="60"/>
      <c r="O572" s="60"/>
      <c r="P572" s="59"/>
      <c r="Q572" s="59"/>
      <c r="R572" s="60"/>
      <c r="S572" s="60"/>
      <c r="T572" s="60"/>
      <c r="U572" s="60"/>
      <c r="V572" s="60"/>
      <c r="W572" s="60"/>
    </row>
    <row r="573" spans="1:23" ht="13" x14ac:dyDescent="0.3">
      <c r="A573" s="58"/>
      <c r="B573" s="58"/>
      <c r="C573" s="58"/>
      <c r="D573" s="58"/>
      <c r="E573" s="58"/>
      <c r="F573" s="58"/>
      <c r="G573" s="58"/>
      <c r="H573" s="59"/>
      <c r="I573" s="59"/>
      <c r="J573" s="59"/>
      <c r="K573" s="59"/>
      <c r="L573" s="59"/>
      <c r="M573" s="60"/>
      <c r="N573" s="60"/>
      <c r="O573" s="60"/>
      <c r="P573" s="59"/>
      <c r="Q573" s="59"/>
      <c r="R573" s="60"/>
      <c r="S573" s="60"/>
      <c r="T573" s="60"/>
      <c r="U573" s="60"/>
      <c r="V573" s="60"/>
      <c r="W573" s="60"/>
    </row>
    <row r="574" spans="1:23" ht="13" x14ac:dyDescent="0.3">
      <c r="A574" s="58"/>
      <c r="B574" s="58"/>
      <c r="C574" s="58"/>
      <c r="D574" s="58"/>
      <c r="E574" s="58"/>
      <c r="F574" s="58"/>
      <c r="G574" s="58"/>
      <c r="H574" s="59"/>
      <c r="I574" s="59"/>
      <c r="J574" s="59"/>
      <c r="K574" s="59"/>
      <c r="L574" s="59"/>
      <c r="M574" s="60"/>
      <c r="N574" s="60"/>
      <c r="O574" s="60"/>
      <c r="P574" s="59"/>
      <c r="Q574" s="59"/>
      <c r="R574" s="60"/>
      <c r="S574" s="60"/>
      <c r="T574" s="60"/>
      <c r="U574" s="60"/>
      <c r="V574" s="60"/>
      <c r="W574" s="60"/>
    </row>
    <row r="575" spans="1:23" ht="13" x14ac:dyDescent="0.3">
      <c r="A575" s="58"/>
      <c r="B575" s="58"/>
      <c r="C575" s="58"/>
      <c r="D575" s="58"/>
      <c r="E575" s="58"/>
      <c r="F575" s="58"/>
      <c r="G575" s="58"/>
      <c r="H575" s="59"/>
      <c r="I575" s="59"/>
      <c r="J575" s="59"/>
      <c r="K575" s="59"/>
      <c r="L575" s="59"/>
      <c r="M575" s="60"/>
      <c r="N575" s="60"/>
      <c r="O575" s="60"/>
      <c r="P575" s="59"/>
      <c r="Q575" s="59"/>
      <c r="R575" s="60"/>
      <c r="S575" s="60"/>
      <c r="T575" s="60"/>
      <c r="U575" s="60"/>
      <c r="V575" s="60"/>
      <c r="W575" s="60"/>
    </row>
    <row r="576" spans="1:23" ht="13" x14ac:dyDescent="0.3">
      <c r="A576" s="58"/>
      <c r="B576" s="58"/>
      <c r="C576" s="58"/>
      <c r="D576" s="58"/>
      <c r="E576" s="58"/>
      <c r="F576" s="58"/>
      <c r="G576" s="58"/>
      <c r="H576" s="59"/>
      <c r="I576" s="59"/>
      <c r="J576" s="59"/>
      <c r="K576" s="59"/>
      <c r="L576" s="59"/>
      <c r="M576" s="60"/>
      <c r="N576" s="60"/>
      <c r="O576" s="60"/>
      <c r="P576" s="59"/>
      <c r="Q576" s="59"/>
      <c r="R576" s="60"/>
      <c r="S576" s="60"/>
      <c r="T576" s="60"/>
      <c r="U576" s="60"/>
      <c r="V576" s="60"/>
      <c r="W576" s="60"/>
    </row>
    <row r="577" spans="1:23" ht="13" x14ac:dyDescent="0.3">
      <c r="A577" s="58"/>
      <c r="B577" s="58"/>
      <c r="C577" s="58"/>
      <c r="D577" s="58"/>
      <c r="E577" s="58"/>
      <c r="F577" s="58"/>
      <c r="G577" s="58"/>
      <c r="H577" s="59"/>
      <c r="I577" s="59"/>
      <c r="J577" s="59"/>
      <c r="K577" s="59"/>
      <c r="L577" s="59"/>
      <c r="M577" s="60"/>
      <c r="N577" s="60"/>
      <c r="O577" s="60"/>
      <c r="P577" s="59"/>
      <c r="Q577" s="59"/>
      <c r="R577" s="60"/>
      <c r="S577" s="60"/>
      <c r="T577" s="60"/>
      <c r="U577" s="60"/>
      <c r="V577" s="60"/>
      <c r="W577" s="60"/>
    </row>
    <row r="578" spans="1:23" ht="13" x14ac:dyDescent="0.3">
      <c r="A578" s="58"/>
      <c r="B578" s="58"/>
      <c r="C578" s="58"/>
      <c r="D578" s="58"/>
      <c r="E578" s="58"/>
      <c r="F578" s="58"/>
      <c r="G578" s="58"/>
      <c r="H578" s="59"/>
      <c r="I578" s="59"/>
      <c r="J578" s="59"/>
      <c r="K578" s="59"/>
      <c r="L578" s="59"/>
      <c r="M578" s="60"/>
      <c r="N578" s="60"/>
      <c r="O578" s="60"/>
      <c r="P578" s="59"/>
      <c r="Q578" s="59"/>
      <c r="R578" s="60"/>
      <c r="S578" s="60"/>
      <c r="T578" s="60"/>
      <c r="U578" s="60"/>
      <c r="V578" s="60"/>
      <c r="W578" s="60"/>
    </row>
    <row r="579" spans="1:23" ht="13" x14ac:dyDescent="0.3">
      <c r="A579" s="58"/>
      <c r="B579" s="58"/>
      <c r="C579" s="58"/>
      <c r="D579" s="58"/>
      <c r="E579" s="58"/>
      <c r="F579" s="58"/>
      <c r="G579" s="58"/>
      <c r="H579" s="59"/>
      <c r="I579" s="59"/>
      <c r="J579" s="59"/>
      <c r="K579" s="59"/>
      <c r="L579" s="59"/>
      <c r="M579" s="60"/>
      <c r="N579" s="60"/>
      <c r="O579" s="60"/>
      <c r="P579" s="59"/>
      <c r="Q579" s="59"/>
      <c r="R579" s="60"/>
      <c r="S579" s="60"/>
      <c r="T579" s="60"/>
      <c r="U579" s="60"/>
      <c r="V579" s="60"/>
      <c r="W579" s="60"/>
    </row>
    <row r="580" spans="1:23" ht="13" x14ac:dyDescent="0.3">
      <c r="A580" s="58"/>
      <c r="B580" s="58"/>
      <c r="C580" s="58"/>
      <c r="D580" s="58"/>
      <c r="E580" s="58"/>
      <c r="F580" s="58"/>
      <c r="G580" s="58"/>
      <c r="H580" s="59"/>
      <c r="I580" s="59"/>
      <c r="J580" s="59"/>
      <c r="K580" s="59"/>
      <c r="L580" s="59"/>
      <c r="M580" s="60"/>
      <c r="N580" s="60"/>
      <c r="O580" s="60"/>
      <c r="P580" s="59"/>
      <c r="Q580" s="59"/>
      <c r="R580" s="60"/>
      <c r="S580" s="60"/>
      <c r="T580" s="60"/>
      <c r="U580" s="60"/>
      <c r="V580" s="60"/>
      <c r="W580" s="60"/>
    </row>
    <row r="581" spans="1:23" ht="13" x14ac:dyDescent="0.3">
      <c r="A581" s="58"/>
      <c r="B581" s="58"/>
      <c r="C581" s="58"/>
      <c r="D581" s="58"/>
      <c r="E581" s="58"/>
      <c r="F581" s="58"/>
      <c r="G581" s="58"/>
      <c r="H581" s="59"/>
      <c r="I581" s="59"/>
      <c r="J581" s="59"/>
      <c r="K581" s="59"/>
      <c r="L581" s="59"/>
      <c r="M581" s="60"/>
      <c r="N581" s="60"/>
      <c r="O581" s="60"/>
      <c r="P581" s="59"/>
      <c r="Q581" s="59"/>
      <c r="R581" s="60"/>
      <c r="S581" s="60"/>
      <c r="T581" s="60"/>
      <c r="U581" s="60"/>
      <c r="V581" s="60"/>
      <c r="W581" s="60"/>
    </row>
    <row r="582" spans="1:23" ht="13" x14ac:dyDescent="0.3">
      <c r="A582" s="58"/>
      <c r="B582" s="58"/>
      <c r="C582" s="58"/>
      <c r="D582" s="58"/>
      <c r="E582" s="58"/>
      <c r="F582" s="58"/>
      <c r="G582" s="58"/>
      <c r="H582" s="59"/>
      <c r="I582" s="59"/>
      <c r="J582" s="59"/>
      <c r="K582" s="59"/>
      <c r="L582" s="59"/>
      <c r="M582" s="60"/>
      <c r="N582" s="60"/>
      <c r="O582" s="60"/>
      <c r="P582" s="59"/>
      <c r="Q582" s="59"/>
      <c r="R582" s="60"/>
      <c r="S582" s="60"/>
      <c r="T582" s="60"/>
      <c r="U582" s="60"/>
      <c r="V582" s="60"/>
      <c r="W582" s="60"/>
    </row>
    <row r="583" spans="1:23" ht="13" x14ac:dyDescent="0.3">
      <c r="A583" s="58"/>
      <c r="B583" s="58"/>
      <c r="C583" s="58"/>
      <c r="D583" s="58"/>
      <c r="E583" s="58"/>
      <c r="F583" s="58"/>
      <c r="G583" s="58"/>
      <c r="H583" s="59"/>
      <c r="I583" s="59"/>
      <c r="J583" s="59"/>
      <c r="K583" s="59"/>
      <c r="L583" s="59"/>
      <c r="M583" s="60"/>
      <c r="N583" s="60"/>
      <c r="O583" s="60"/>
      <c r="P583" s="59"/>
      <c r="Q583" s="59"/>
      <c r="R583" s="60"/>
      <c r="S583" s="60"/>
      <c r="T583" s="60"/>
      <c r="U583" s="60"/>
      <c r="V583" s="60"/>
      <c r="W583" s="60"/>
    </row>
    <row r="584" spans="1:23" ht="13" x14ac:dyDescent="0.3">
      <c r="A584" s="58"/>
      <c r="B584" s="58"/>
      <c r="C584" s="58"/>
      <c r="D584" s="58"/>
      <c r="E584" s="58"/>
      <c r="F584" s="58"/>
      <c r="G584" s="58"/>
      <c r="H584" s="59"/>
      <c r="I584" s="59"/>
      <c r="J584" s="59"/>
      <c r="K584" s="59"/>
      <c r="L584" s="59"/>
      <c r="M584" s="60"/>
      <c r="N584" s="60"/>
      <c r="O584" s="60"/>
      <c r="P584" s="59"/>
      <c r="Q584" s="59"/>
      <c r="R584" s="60"/>
      <c r="S584" s="60"/>
      <c r="T584" s="60"/>
      <c r="U584" s="60"/>
      <c r="V584" s="60"/>
      <c r="W584" s="60"/>
    </row>
    <row r="585" spans="1:23" ht="13" x14ac:dyDescent="0.3">
      <c r="A585" s="58"/>
      <c r="B585" s="58"/>
      <c r="C585" s="58"/>
      <c r="D585" s="58"/>
      <c r="E585" s="58"/>
      <c r="F585" s="58"/>
      <c r="G585" s="58"/>
      <c r="H585" s="59"/>
      <c r="I585" s="59"/>
      <c r="J585" s="59"/>
      <c r="K585" s="59"/>
      <c r="L585" s="59"/>
      <c r="M585" s="60"/>
      <c r="N585" s="60"/>
      <c r="O585" s="60"/>
      <c r="P585" s="59"/>
      <c r="Q585" s="59"/>
      <c r="R585" s="60"/>
      <c r="S585" s="60"/>
      <c r="T585" s="60"/>
      <c r="U585" s="60"/>
      <c r="V585" s="60"/>
      <c r="W585" s="60"/>
    </row>
    <row r="586" spans="1:23" ht="13" x14ac:dyDescent="0.3">
      <c r="A586" s="58"/>
      <c r="B586" s="58"/>
      <c r="C586" s="58"/>
      <c r="D586" s="58"/>
      <c r="E586" s="58"/>
      <c r="F586" s="58"/>
      <c r="G586" s="58"/>
      <c r="H586" s="59"/>
      <c r="I586" s="59"/>
      <c r="J586" s="59"/>
      <c r="K586" s="59"/>
      <c r="L586" s="59"/>
      <c r="M586" s="60"/>
      <c r="N586" s="60"/>
      <c r="O586" s="60"/>
      <c r="P586" s="59"/>
      <c r="Q586" s="59"/>
      <c r="R586" s="60"/>
      <c r="S586" s="60"/>
      <c r="T586" s="60"/>
      <c r="U586" s="60"/>
      <c r="V586" s="60"/>
      <c r="W586" s="60"/>
    </row>
    <row r="587" spans="1:23" ht="13" x14ac:dyDescent="0.3">
      <c r="A587" s="58"/>
      <c r="B587" s="58"/>
      <c r="C587" s="58"/>
      <c r="D587" s="58"/>
      <c r="E587" s="58"/>
      <c r="F587" s="58"/>
      <c r="G587" s="58"/>
      <c r="H587" s="59"/>
      <c r="I587" s="59"/>
      <c r="J587" s="59"/>
      <c r="K587" s="59"/>
      <c r="L587" s="59"/>
      <c r="M587" s="60"/>
      <c r="N587" s="60"/>
      <c r="O587" s="60"/>
      <c r="P587" s="59"/>
      <c r="Q587" s="59"/>
      <c r="R587" s="60"/>
      <c r="S587" s="60"/>
      <c r="T587" s="60"/>
      <c r="U587" s="60"/>
      <c r="V587" s="60"/>
      <c r="W587" s="60"/>
    </row>
    <row r="588" spans="1:23" ht="13" x14ac:dyDescent="0.3">
      <c r="A588" s="58"/>
      <c r="B588" s="58"/>
      <c r="C588" s="58"/>
      <c r="D588" s="58"/>
      <c r="E588" s="58"/>
      <c r="F588" s="58"/>
      <c r="G588" s="58"/>
      <c r="H588" s="59"/>
      <c r="I588" s="59"/>
      <c r="J588" s="59"/>
      <c r="K588" s="59"/>
      <c r="L588" s="59"/>
      <c r="M588" s="60"/>
      <c r="N588" s="60"/>
      <c r="O588" s="60"/>
      <c r="P588" s="59"/>
      <c r="Q588" s="59"/>
      <c r="R588" s="60"/>
      <c r="S588" s="60"/>
      <c r="T588" s="60"/>
      <c r="U588" s="60"/>
      <c r="V588" s="60"/>
      <c r="W588" s="60"/>
    </row>
    <row r="589" spans="1:23" ht="13" x14ac:dyDescent="0.3">
      <c r="A589" s="58"/>
      <c r="B589" s="58"/>
      <c r="C589" s="58"/>
      <c r="D589" s="58"/>
      <c r="E589" s="58"/>
      <c r="F589" s="58"/>
      <c r="G589" s="58"/>
      <c r="H589" s="59"/>
      <c r="I589" s="59"/>
      <c r="J589" s="59"/>
      <c r="K589" s="59"/>
      <c r="L589" s="59"/>
      <c r="M589" s="60"/>
      <c r="N589" s="60"/>
      <c r="O589" s="60"/>
      <c r="P589" s="59"/>
      <c r="Q589" s="59"/>
      <c r="R589" s="60"/>
      <c r="S589" s="60"/>
      <c r="T589" s="60"/>
      <c r="U589" s="60"/>
      <c r="V589" s="60"/>
      <c r="W589" s="60"/>
    </row>
    <row r="590" spans="1:23" ht="13" x14ac:dyDescent="0.3">
      <c r="A590" s="58"/>
      <c r="B590" s="58"/>
      <c r="C590" s="58"/>
      <c r="D590" s="58"/>
      <c r="E590" s="58"/>
      <c r="F590" s="58"/>
      <c r="G590" s="58"/>
      <c r="H590" s="59"/>
      <c r="I590" s="59"/>
      <c r="J590" s="59"/>
      <c r="K590" s="59"/>
      <c r="L590" s="59"/>
      <c r="M590" s="60"/>
      <c r="N590" s="60"/>
      <c r="O590" s="60"/>
      <c r="P590" s="59"/>
      <c r="Q590" s="59"/>
      <c r="R590" s="60"/>
      <c r="S590" s="60"/>
      <c r="T590" s="60"/>
      <c r="U590" s="60"/>
      <c r="V590" s="60"/>
      <c r="W590" s="60"/>
    </row>
    <row r="591" spans="1:23" ht="13" x14ac:dyDescent="0.3">
      <c r="A591" s="58"/>
      <c r="B591" s="58"/>
      <c r="C591" s="58"/>
      <c r="D591" s="58"/>
      <c r="E591" s="58"/>
      <c r="F591" s="58"/>
      <c r="G591" s="58"/>
      <c r="H591" s="59"/>
      <c r="I591" s="59"/>
      <c r="J591" s="59"/>
      <c r="K591" s="59"/>
      <c r="L591" s="59"/>
      <c r="M591" s="60"/>
      <c r="N591" s="60"/>
      <c r="O591" s="60"/>
      <c r="P591" s="59"/>
      <c r="Q591" s="59"/>
      <c r="R591" s="60"/>
      <c r="S591" s="60"/>
      <c r="T591" s="60"/>
      <c r="U591" s="60"/>
      <c r="V591" s="60"/>
      <c r="W591" s="60"/>
    </row>
    <row r="592" spans="1:23" ht="13" x14ac:dyDescent="0.3">
      <c r="A592" s="58"/>
      <c r="B592" s="58"/>
      <c r="C592" s="58"/>
      <c r="D592" s="58"/>
      <c r="E592" s="58"/>
      <c r="F592" s="58"/>
      <c r="G592" s="58"/>
      <c r="H592" s="59"/>
      <c r="I592" s="59"/>
      <c r="J592" s="59"/>
      <c r="K592" s="59"/>
      <c r="L592" s="59"/>
      <c r="M592" s="60"/>
      <c r="N592" s="60"/>
      <c r="O592" s="60"/>
      <c r="P592" s="59"/>
      <c r="Q592" s="59"/>
      <c r="R592" s="60"/>
      <c r="S592" s="60"/>
      <c r="T592" s="60"/>
      <c r="U592" s="60"/>
      <c r="V592" s="60"/>
      <c r="W592" s="60"/>
    </row>
    <row r="593" spans="1:23" ht="13" x14ac:dyDescent="0.3">
      <c r="A593" s="58"/>
      <c r="B593" s="58"/>
      <c r="C593" s="58"/>
      <c r="D593" s="58"/>
      <c r="E593" s="58"/>
      <c r="F593" s="58"/>
      <c r="G593" s="58"/>
      <c r="H593" s="59"/>
      <c r="I593" s="59"/>
      <c r="J593" s="59"/>
      <c r="K593" s="59"/>
      <c r="L593" s="59"/>
      <c r="M593" s="60"/>
      <c r="N593" s="60"/>
      <c r="O593" s="60"/>
      <c r="P593" s="59"/>
      <c r="Q593" s="59"/>
      <c r="R593" s="60"/>
      <c r="S593" s="60"/>
      <c r="T593" s="60"/>
      <c r="U593" s="60"/>
      <c r="V593" s="60"/>
      <c r="W593" s="60"/>
    </row>
    <row r="594" spans="1:23" ht="13" x14ac:dyDescent="0.3">
      <c r="A594" s="58"/>
      <c r="B594" s="58"/>
      <c r="C594" s="58"/>
      <c r="D594" s="58"/>
      <c r="E594" s="58"/>
      <c r="F594" s="58"/>
      <c r="G594" s="58"/>
      <c r="H594" s="59"/>
      <c r="I594" s="59"/>
      <c r="J594" s="59"/>
      <c r="K594" s="59"/>
      <c r="L594" s="59"/>
      <c r="M594" s="60"/>
      <c r="N594" s="60"/>
      <c r="O594" s="60"/>
      <c r="P594" s="59"/>
      <c r="Q594" s="59"/>
      <c r="R594" s="60"/>
      <c r="S594" s="60"/>
      <c r="T594" s="60"/>
      <c r="U594" s="60"/>
      <c r="V594" s="60"/>
      <c r="W594" s="60"/>
    </row>
    <row r="595" spans="1:23" ht="13" x14ac:dyDescent="0.3">
      <c r="A595" s="58"/>
      <c r="B595" s="58"/>
      <c r="C595" s="58"/>
      <c r="D595" s="58"/>
      <c r="E595" s="58"/>
      <c r="F595" s="58"/>
      <c r="G595" s="58"/>
      <c r="H595" s="59"/>
      <c r="I595" s="59"/>
      <c r="J595" s="59"/>
      <c r="K595" s="59"/>
      <c r="L595" s="59"/>
      <c r="M595" s="60"/>
      <c r="N595" s="60"/>
      <c r="O595" s="60"/>
      <c r="P595" s="59"/>
      <c r="Q595" s="59"/>
      <c r="R595" s="60"/>
      <c r="S595" s="60"/>
      <c r="T595" s="60"/>
      <c r="U595" s="60"/>
      <c r="V595" s="60"/>
      <c r="W595" s="60"/>
    </row>
    <row r="596" spans="1:23" ht="13" x14ac:dyDescent="0.3">
      <c r="A596" s="58"/>
      <c r="B596" s="58"/>
      <c r="C596" s="58"/>
      <c r="D596" s="58"/>
      <c r="E596" s="58"/>
      <c r="F596" s="58"/>
      <c r="G596" s="58"/>
      <c r="H596" s="59"/>
      <c r="I596" s="59"/>
      <c r="J596" s="59"/>
      <c r="K596" s="59"/>
      <c r="L596" s="59"/>
      <c r="M596" s="60"/>
      <c r="N596" s="60"/>
      <c r="O596" s="60"/>
      <c r="P596" s="59"/>
      <c r="Q596" s="59"/>
      <c r="R596" s="60"/>
      <c r="S596" s="60"/>
      <c r="T596" s="60"/>
      <c r="U596" s="60"/>
      <c r="V596" s="60"/>
      <c r="W596" s="60"/>
    </row>
    <row r="597" spans="1:23" ht="13" x14ac:dyDescent="0.3">
      <c r="A597" s="58"/>
      <c r="B597" s="58"/>
      <c r="C597" s="58"/>
      <c r="D597" s="58"/>
      <c r="E597" s="58"/>
      <c r="F597" s="58"/>
      <c r="G597" s="58"/>
      <c r="H597" s="59"/>
      <c r="I597" s="59"/>
      <c r="J597" s="59"/>
      <c r="K597" s="59"/>
      <c r="L597" s="59"/>
      <c r="M597" s="60"/>
      <c r="N597" s="60"/>
      <c r="O597" s="60"/>
      <c r="P597" s="59"/>
      <c r="Q597" s="59"/>
      <c r="R597" s="60"/>
      <c r="S597" s="60"/>
      <c r="T597" s="60"/>
      <c r="U597" s="60"/>
      <c r="V597" s="60"/>
      <c r="W597" s="60"/>
    </row>
    <row r="598" spans="1:23" ht="13" x14ac:dyDescent="0.3">
      <c r="A598" s="58"/>
      <c r="B598" s="58"/>
      <c r="C598" s="58"/>
      <c r="D598" s="58"/>
      <c r="E598" s="58"/>
      <c r="F598" s="58"/>
      <c r="G598" s="58"/>
      <c r="H598" s="59"/>
      <c r="I598" s="59"/>
      <c r="J598" s="59"/>
      <c r="K598" s="59"/>
      <c r="L598" s="59"/>
      <c r="M598" s="60"/>
      <c r="N598" s="60"/>
      <c r="O598" s="60"/>
      <c r="P598" s="59"/>
      <c r="Q598" s="59"/>
      <c r="R598" s="60"/>
      <c r="S598" s="60"/>
      <c r="T598" s="60"/>
      <c r="U598" s="60"/>
      <c r="V598" s="60"/>
      <c r="W598" s="60"/>
    </row>
    <row r="599" spans="1:23" ht="13" x14ac:dyDescent="0.3">
      <c r="A599" s="58"/>
      <c r="B599" s="58"/>
      <c r="C599" s="58"/>
      <c r="D599" s="58"/>
      <c r="E599" s="58"/>
      <c r="F599" s="58"/>
      <c r="G599" s="58"/>
      <c r="H599" s="59"/>
      <c r="I599" s="59"/>
      <c r="J599" s="59"/>
      <c r="K599" s="59"/>
      <c r="L599" s="59"/>
      <c r="M599" s="60"/>
      <c r="N599" s="60"/>
      <c r="O599" s="60"/>
      <c r="P599" s="59"/>
      <c r="Q599" s="59"/>
      <c r="R599" s="60"/>
      <c r="S599" s="60"/>
      <c r="T599" s="60"/>
      <c r="U599" s="60"/>
      <c r="V599" s="60"/>
      <c r="W599" s="60"/>
    </row>
    <row r="600" spans="1:23" ht="13" x14ac:dyDescent="0.3">
      <c r="A600" s="58"/>
      <c r="B600" s="58"/>
      <c r="C600" s="58"/>
      <c r="D600" s="58"/>
      <c r="E600" s="58"/>
      <c r="F600" s="58"/>
      <c r="G600" s="58"/>
      <c r="H600" s="59"/>
      <c r="I600" s="59"/>
      <c r="J600" s="59"/>
      <c r="K600" s="59"/>
      <c r="L600" s="59"/>
      <c r="M600" s="60"/>
      <c r="N600" s="60"/>
      <c r="O600" s="60"/>
      <c r="P600" s="59"/>
      <c r="Q600" s="59"/>
      <c r="R600" s="60"/>
      <c r="S600" s="60"/>
      <c r="T600" s="60"/>
      <c r="U600" s="60"/>
      <c r="V600" s="60"/>
      <c r="W600" s="60"/>
    </row>
    <row r="601" spans="1:23" ht="13" x14ac:dyDescent="0.3">
      <c r="A601" s="58"/>
      <c r="B601" s="58"/>
      <c r="C601" s="58"/>
      <c r="D601" s="58"/>
      <c r="E601" s="58"/>
      <c r="F601" s="58"/>
      <c r="G601" s="58"/>
      <c r="H601" s="59"/>
      <c r="I601" s="59"/>
      <c r="J601" s="59"/>
      <c r="K601" s="59"/>
      <c r="L601" s="59"/>
      <c r="M601" s="60"/>
      <c r="N601" s="60"/>
      <c r="O601" s="60"/>
      <c r="P601" s="59"/>
      <c r="Q601" s="59"/>
      <c r="R601" s="60"/>
      <c r="S601" s="60"/>
      <c r="T601" s="60"/>
      <c r="U601" s="60"/>
      <c r="V601" s="60"/>
      <c r="W601" s="60"/>
    </row>
    <row r="602" spans="1:23" ht="13" x14ac:dyDescent="0.3">
      <c r="A602" s="58"/>
      <c r="B602" s="58"/>
      <c r="C602" s="58"/>
      <c r="D602" s="58"/>
      <c r="E602" s="58"/>
      <c r="F602" s="58"/>
      <c r="G602" s="58"/>
      <c r="H602" s="59"/>
      <c r="I602" s="59"/>
      <c r="J602" s="59"/>
      <c r="K602" s="59"/>
      <c r="L602" s="59"/>
      <c r="M602" s="60"/>
      <c r="N602" s="60"/>
      <c r="O602" s="60"/>
      <c r="P602" s="59"/>
      <c r="Q602" s="59"/>
      <c r="R602" s="60"/>
      <c r="S602" s="60"/>
      <c r="T602" s="60"/>
      <c r="U602" s="60"/>
      <c r="V602" s="60"/>
      <c r="W602" s="60"/>
    </row>
    <row r="603" spans="1:23" ht="13" x14ac:dyDescent="0.3">
      <c r="A603" s="58"/>
      <c r="B603" s="58"/>
      <c r="C603" s="58"/>
      <c r="D603" s="58"/>
      <c r="E603" s="58"/>
      <c r="F603" s="58"/>
      <c r="G603" s="58"/>
      <c r="H603" s="59"/>
      <c r="I603" s="59"/>
      <c r="J603" s="59"/>
      <c r="K603" s="59"/>
      <c r="L603" s="59"/>
      <c r="M603" s="60"/>
      <c r="N603" s="60"/>
      <c r="O603" s="60"/>
      <c r="P603" s="59"/>
      <c r="Q603" s="59"/>
      <c r="R603" s="60"/>
      <c r="S603" s="60"/>
      <c r="T603" s="60"/>
      <c r="U603" s="60"/>
      <c r="V603" s="60"/>
      <c r="W603" s="60"/>
    </row>
    <row r="604" spans="1:23" ht="13" x14ac:dyDescent="0.3">
      <c r="A604" s="58"/>
      <c r="B604" s="58"/>
      <c r="C604" s="58"/>
      <c r="D604" s="58"/>
      <c r="E604" s="58"/>
      <c r="F604" s="58"/>
      <c r="G604" s="58"/>
      <c r="H604" s="59"/>
      <c r="I604" s="59"/>
      <c r="J604" s="59"/>
      <c r="K604" s="59"/>
      <c r="L604" s="59"/>
      <c r="M604" s="60"/>
      <c r="N604" s="60"/>
      <c r="O604" s="60"/>
      <c r="P604" s="59"/>
      <c r="Q604" s="59"/>
      <c r="R604" s="60"/>
      <c r="S604" s="60"/>
      <c r="T604" s="60"/>
      <c r="U604" s="60"/>
      <c r="V604" s="60"/>
      <c r="W604" s="60"/>
    </row>
    <row r="605" spans="1:23" ht="13" x14ac:dyDescent="0.3">
      <c r="A605" s="58"/>
      <c r="B605" s="58"/>
      <c r="C605" s="58"/>
      <c r="D605" s="58"/>
      <c r="E605" s="58"/>
      <c r="F605" s="58"/>
      <c r="G605" s="58"/>
      <c r="H605" s="59"/>
      <c r="I605" s="59"/>
      <c r="J605" s="59"/>
      <c r="K605" s="59"/>
      <c r="L605" s="59"/>
      <c r="M605" s="60"/>
      <c r="N605" s="60"/>
      <c r="O605" s="60"/>
      <c r="P605" s="59"/>
      <c r="Q605" s="59"/>
      <c r="R605" s="60"/>
      <c r="S605" s="60"/>
      <c r="T605" s="60"/>
      <c r="U605" s="60"/>
      <c r="V605" s="60"/>
      <c r="W605" s="60"/>
    </row>
    <row r="606" spans="1:23" ht="13" x14ac:dyDescent="0.3">
      <c r="A606" s="58"/>
      <c r="B606" s="58"/>
      <c r="C606" s="58"/>
      <c r="D606" s="58"/>
      <c r="E606" s="58"/>
      <c r="F606" s="58"/>
      <c r="G606" s="58"/>
      <c r="H606" s="59"/>
      <c r="I606" s="59"/>
      <c r="J606" s="59"/>
      <c r="K606" s="59"/>
      <c r="L606" s="59"/>
      <c r="M606" s="60"/>
      <c r="N606" s="60"/>
      <c r="O606" s="60"/>
      <c r="P606" s="59"/>
      <c r="Q606" s="59"/>
      <c r="R606" s="60"/>
      <c r="S606" s="60"/>
      <c r="T606" s="60"/>
      <c r="U606" s="60"/>
      <c r="V606" s="60"/>
      <c r="W606" s="60"/>
    </row>
    <row r="607" spans="1:23" ht="13" x14ac:dyDescent="0.3">
      <c r="A607" s="58"/>
      <c r="B607" s="58"/>
      <c r="C607" s="58"/>
      <c r="D607" s="58"/>
      <c r="E607" s="58"/>
      <c r="F607" s="58"/>
      <c r="G607" s="58"/>
      <c r="H607" s="59"/>
      <c r="I607" s="59"/>
      <c r="J607" s="59"/>
      <c r="K607" s="59"/>
      <c r="L607" s="59"/>
      <c r="M607" s="60"/>
      <c r="N607" s="60"/>
      <c r="O607" s="60"/>
      <c r="P607" s="59"/>
      <c r="Q607" s="59"/>
      <c r="R607" s="60"/>
      <c r="S607" s="60"/>
      <c r="T607" s="60"/>
      <c r="U607" s="60"/>
      <c r="V607" s="60"/>
      <c r="W607" s="60"/>
    </row>
    <row r="608" spans="1:23" ht="13" x14ac:dyDescent="0.3">
      <c r="A608" s="58"/>
      <c r="B608" s="58"/>
      <c r="C608" s="58"/>
      <c r="D608" s="58"/>
      <c r="E608" s="58"/>
      <c r="F608" s="58"/>
      <c r="G608" s="58"/>
      <c r="H608" s="59"/>
      <c r="I608" s="59"/>
      <c r="J608" s="59"/>
      <c r="K608" s="59"/>
      <c r="L608" s="59"/>
      <c r="M608" s="60"/>
      <c r="N608" s="60"/>
      <c r="O608" s="60"/>
      <c r="P608" s="59"/>
      <c r="Q608" s="59"/>
      <c r="R608" s="60"/>
      <c r="S608" s="60"/>
      <c r="T608" s="60"/>
      <c r="U608" s="60"/>
      <c r="V608" s="60"/>
      <c r="W608" s="60"/>
    </row>
    <row r="609" spans="1:23" ht="13" x14ac:dyDescent="0.3">
      <c r="A609" s="58"/>
      <c r="B609" s="58"/>
      <c r="C609" s="58"/>
      <c r="D609" s="58"/>
      <c r="E609" s="58"/>
      <c r="F609" s="58"/>
      <c r="G609" s="58"/>
      <c r="H609" s="59"/>
      <c r="I609" s="59"/>
      <c r="J609" s="59"/>
      <c r="K609" s="59"/>
      <c r="L609" s="59"/>
      <c r="M609" s="60"/>
      <c r="N609" s="60"/>
      <c r="O609" s="60"/>
      <c r="P609" s="59"/>
      <c r="Q609" s="59"/>
      <c r="R609" s="60"/>
      <c r="S609" s="60"/>
      <c r="T609" s="60"/>
      <c r="U609" s="60"/>
      <c r="V609" s="60"/>
      <c r="W609" s="60"/>
    </row>
    <row r="610" spans="1:23" ht="13" x14ac:dyDescent="0.3">
      <c r="A610" s="58"/>
      <c r="B610" s="58"/>
      <c r="C610" s="58"/>
      <c r="D610" s="58"/>
      <c r="E610" s="58"/>
      <c r="F610" s="58"/>
      <c r="G610" s="58"/>
      <c r="H610" s="59"/>
      <c r="I610" s="59"/>
      <c r="J610" s="59"/>
      <c r="K610" s="59"/>
      <c r="L610" s="59"/>
      <c r="M610" s="60"/>
      <c r="N610" s="60"/>
      <c r="O610" s="60"/>
      <c r="P610" s="59"/>
      <c r="Q610" s="59"/>
      <c r="R610" s="60"/>
      <c r="S610" s="60"/>
      <c r="T610" s="60"/>
      <c r="U610" s="60"/>
      <c r="V610" s="60"/>
      <c r="W610" s="60"/>
    </row>
    <row r="611" spans="1:23" ht="13" x14ac:dyDescent="0.3">
      <c r="A611" s="58"/>
      <c r="B611" s="58"/>
      <c r="C611" s="58"/>
      <c r="D611" s="58"/>
      <c r="E611" s="58"/>
      <c r="F611" s="58"/>
      <c r="G611" s="58"/>
      <c r="H611" s="59"/>
      <c r="I611" s="59"/>
      <c r="J611" s="59"/>
      <c r="K611" s="59"/>
      <c r="L611" s="59"/>
      <c r="M611" s="60"/>
      <c r="N611" s="60"/>
      <c r="O611" s="60"/>
      <c r="P611" s="59"/>
      <c r="Q611" s="59"/>
      <c r="R611" s="60"/>
      <c r="S611" s="60"/>
      <c r="T611" s="60"/>
      <c r="U611" s="60"/>
      <c r="V611" s="60"/>
      <c r="W611" s="60"/>
    </row>
    <row r="612" spans="1:23" ht="13" x14ac:dyDescent="0.3">
      <c r="A612" s="58"/>
      <c r="B612" s="58"/>
      <c r="C612" s="58"/>
      <c r="D612" s="58"/>
      <c r="E612" s="58"/>
      <c r="F612" s="58"/>
      <c r="G612" s="58"/>
      <c r="H612" s="59"/>
      <c r="I612" s="59"/>
      <c r="J612" s="59"/>
      <c r="K612" s="59"/>
      <c r="L612" s="59"/>
      <c r="M612" s="60"/>
      <c r="N612" s="60"/>
      <c r="O612" s="60"/>
      <c r="P612" s="59"/>
      <c r="Q612" s="59"/>
      <c r="R612" s="60"/>
      <c r="S612" s="60"/>
      <c r="T612" s="60"/>
      <c r="U612" s="60"/>
      <c r="V612" s="60"/>
      <c r="W612" s="60"/>
    </row>
    <row r="613" spans="1:23" ht="13" x14ac:dyDescent="0.3">
      <c r="A613" s="58"/>
      <c r="B613" s="58"/>
      <c r="C613" s="58"/>
      <c r="D613" s="58"/>
      <c r="E613" s="58"/>
      <c r="F613" s="58"/>
      <c r="G613" s="58"/>
      <c r="H613" s="59"/>
      <c r="I613" s="59"/>
      <c r="J613" s="59"/>
      <c r="K613" s="59"/>
      <c r="L613" s="59"/>
      <c r="M613" s="60"/>
      <c r="N613" s="60"/>
      <c r="O613" s="60"/>
      <c r="P613" s="59"/>
      <c r="Q613" s="59"/>
      <c r="R613" s="60"/>
      <c r="S613" s="60"/>
      <c r="T613" s="60"/>
      <c r="U613" s="60"/>
      <c r="V613" s="60"/>
      <c r="W613" s="60"/>
    </row>
    <row r="614" spans="1:23" ht="13" x14ac:dyDescent="0.3">
      <c r="A614" s="58"/>
      <c r="B614" s="58"/>
      <c r="C614" s="58"/>
      <c r="D614" s="58"/>
      <c r="E614" s="58"/>
      <c r="F614" s="58"/>
      <c r="G614" s="58"/>
      <c r="H614" s="59"/>
      <c r="I614" s="59"/>
      <c r="J614" s="59"/>
      <c r="K614" s="59"/>
      <c r="L614" s="59"/>
      <c r="M614" s="60"/>
      <c r="N614" s="60"/>
      <c r="O614" s="60"/>
      <c r="P614" s="59"/>
      <c r="Q614" s="59"/>
      <c r="R614" s="60"/>
      <c r="S614" s="60"/>
      <c r="T614" s="60"/>
      <c r="U614" s="60"/>
      <c r="V614" s="60"/>
      <c r="W614" s="60"/>
    </row>
    <row r="615" spans="1:23" ht="13" x14ac:dyDescent="0.3">
      <c r="A615" s="58"/>
      <c r="B615" s="58"/>
      <c r="C615" s="58"/>
      <c r="D615" s="58"/>
      <c r="E615" s="58"/>
      <c r="F615" s="58"/>
      <c r="G615" s="58"/>
      <c r="H615" s="59"/>
      <c r="I615" s="59"/>
      <c r="J615" s="59"/>
      <c r="K615" s="59"/>
      <c r="L615" s="59"/>
      <c r="M615" s="60"/>
      <c r="N615" s="60"/>
      <c r="O615" s="60"/>
      <c r="P615" s="59"/>
      <c r="Q615" s="59"/>
      <c r="R615" s="60"/>
      <c r="S615" s="60"/>
      <c r="T615" s="60"/>
      <c r="U615" s="60"/>
      <c r="V615" s="60"/>
      <c r="W615" s="60"/>
    </row>
    <row r="616" spans="1:23" ht="13" x14ac:dyDescent="0.3">
      <c r="A616" s="58"/>
      <c r="B616" s="58"/>
      <c r="C616" s="58"/>
      <c r="D616" s="58"/>
      <c r="E616" s="58"/>
      <c r="F616" s="58"/>
      <c r="G616" s="58"/>
      <c r="H616" s="59"/>
      <c r="I616" s="59"/>
      <c r="J616" s="59"/>
      <c r="K616" s="59"/>
      <c r="L616" s="59"/>
      <c r="M616" s="60"/>
      <c r="N616" s="60"/>
      <c r="O616" s="60"/>
      <c r="P616" s="59"/>
      <c r="Q616" s="59"/>
      <c r="R616" s="60"/>
      <c r="S616" s="60"/>
      <c r="T616" s="60"/>
      <c r="U616" s="60"/>
      <c r="V616" s="60"/>
      <c r="W616" s="60"/>
    </row>
    <row r="617" spans="1:23" ht="13" x14ac:dyDescent="0.3">
      <c r="A617" s="58"/>
      <c r="B617" s="58"/>
      <c r="C617" s="58"/>
      <c r="D617" s="58"/>
      <c r="E617" s="58"/>
      <c r="F617" s="58"/>
      <c r="G617" s="58"/>
      <c r="H617" s="59"/>
      <c r="I617" s="59"/>
      <c r="J617" s="59"/>
      <c r="K617" s="59"/>
      <c r="L617" s="59"/>
      <c r="M617" s="60"/>
      <c r="N617" s="60"/>
      <c r="O617" s="60"/>
      <c r="P617" s="59"/>
      <c r="Q617" s="59"/>
      <c r="R617" s="60"/>
      <c r="S617" s="60"/>
      <c r="T617" s="60"/>
      <c r="U617" s="60"/>
      <c r="V617" s="60"/>
      <c r="W617" s="60"/>
    </row>
    <row r="618" spans="1:23" ht="13" x14ac:dyDescent="0.3">
      <c r="A618" s="58"/>
      <c r="B618" s="58"/>
      <c r="C618" s="58"/>
      <c r="D618" s="58"/>
      <c r="E618" s="58"/>
      <c r="F618" s="58"/>
      <c r="G618" s="58"/>
      <c r="H618" s="59"/>
      <c r="I618" s="59"/>
      <c r="J618" s="59"/>
      <c r="K618" s="59"/>
      <c r="L618" s="59"/>
      <c r="M618" s="60"/>
      <c r="N618" s="60"/>
      <c r="O618" s="60"/>
      <c r="P618" s="59"/>
      <c r="Q618" s="59"/>
      <c r="R618" s="60"/>
      <c r="S618" s="60"/>
      <c r="T618" s="60"/>
      <c r="U618" s="60"/>
      <c r="V618" s="60"/>
      <c r="W618" s="60"/>
    </row>
    <row r="619" spans="1:23" ht="13" x14ac:dyDescent="0.3">
      <c r="A619" s="58"/>
      <c r="B619" s="58"/>
      <c r="C619" s="58"/>
      <c r="D619" s="58"/>
      <c r="E619" s="58"/>
      <c r="F619" s="58"/>
      <c r="G619" s="58"/>
      <c r="H619" s="59"/>
      <c r="I619" s="59"/>
      <c r="J619" s="59"/>
      <c r="K619" s="59"/>
      <c r="L619" s="59"/>
      <c r="M619" s="60"/>
      <c r="N619" s="60"/>
      <c r="O619" s="60"/>
      <c r="P619" s="59"/>
      <c r="Q619" s="59"/>
      <c r="R619" s="60"/>
      <c r="S619" s="60"/>
      <c r="T619" s="60"/>
      <c r="U619" s="60"/>
      <c r="V619" s="60"/>
      <c r="W619" s="60"/>
    </row>
    <row r="620" spans="1:23" ht="13" x14ac:dyDescent="0.3">
      <c r="A620" s="58"/>
      <c r="B620" s="58"/>
      <c r="C620" s="58"/>
      <c r="D620" s="58"/>
      <c r="E620" s="58"/>
      <c r="F620" s="58"/>
      <c r="G620" s="58"/>
      <c r="H620" s="59"/>
      <c r="I620" s="59"/>
      <c r="J620" s="59"/>
      <c r="K620" s="59"/>
      <c r="L620" s="59"/>
      <c r="M620" s="60"/>
      <c r="N620" s="60"/>
      <c r="O620" s="60"/>
      <c r="P620" s="59"/>
      <c r="Q620" s="59"/>
      <c r="R620" s="60"/>
      <c r="S620" s="60"/>
      <c r="T620" s="60"/>
      <c r="U620" s="60"/>
      <c r="V620" s="60"/>
      <c r="W620" s="60"/>
    </row>
    <row r="621" spans="1:23" ht="13" x14ac:dyDescent="0.3">
      <c r="A621" s="58"/>
      <c r="B621" s="58"/>
      <c r="C621" s="58"/>
      <c r="D621" s="58"/>
      <c r="E621" s="58"/>
      <c r="F621" s="58"/>
      <c r="G621" s="58"/>
      <c r="H621" s="59"/>
      <c r="I621" s="59"/>
      <c r="J621" s="59"/>
      <c r="K621" s="59"/>
      <c r="L621" s="59"/>
      <c r="M621" s="60"/>
      <c r="N621" s="60"/>
      <c r="O621" s="60"/>
      <c r="P621" s="59"/>
      <c r="Q621" s="59"/>
      <c r="R621" s="60"/>
      <c r="S621" s="60"/>
      <c r="T621" s="60"/>
      <c r="U621" s="60"/>
      <c r="V621" s="60"/>
      <c r="W621" s="60"/>
    </row>
    <row r="622" spans="1:23" ht="13" x14ac:dyDescent="0.3">
      <c r="A622" s="58"/>
      <c r="B622" s="58"/>
      <c r="C622" s="58"/>
      <c r="D622" s="58"/>
      <c r="E622" s="58"/>
      <c r="F622" s="58"/>
      <c r="G622" s="58"/>
      <c r="H622" s="59"/>
      <c r="I622" s="59"/>
      <c r="J622" s="59"/>
      <c r="K622" s="59"/>
      <c r="L622" s="59"/>
      <c r="M622" s="60"/>
      <c r="N622" s="60"/>
      <c r="O622" s="60"/>
      <c r="P622" s="59"/>
      <c r="Q622" s="59"/>
      <c r="R622" s="60"/>
      <c r="S622" s="60"/>
      <c r="T622" s="60"/>
      <c r="U622" s="60"/>
      <c r="V622" s="60"/>
      <c r="W622" s="60"/>
    </row>
    <row r="623" spans="1:23" ht="13" x14ac:dyDescent="0.3">
      <c r="A623" s="58"/>
      <c r="B623" s="58"/>
      <c r="C623" s="58"/>
      <c r="D623" s="58"/>
      <c r="E623" s="58"/>
      <c r="F623" s="58"/>
      <c r="G623" s="58"/>
      <c r="H623" s="59"/>
      <c r="I623" s="59"/>
      <c r="J623" s="59"/>
      <c r="K623" s="59"/>
      <c r="L623" s="59"/>
      <c r="M623" s="60"/>
      <c r="N623" s="60"/>
      <c r="O623" s="60"/>
      <c r="P623" s="59"/>
      <c r="Q623" s="59"/>
      <c r="R623" s="60"/>
      <c r="S623" s="60"/>
      <c r="T623" s="60"/>
      <c r="U623" s="60"/>
      <c r="V623" s="60"/>
      <c r="W623" s="60"/>
    </row>
    <row r="624" spans="1:23" ht="13" x14ac:dyDescent="0.3">
      <c r="A624" s="58"/>
      <c r="B624" s="58"/>
      <c r="C624" s="58"/>
      <c r="D624" s="58"/>
      <c r="E624" s="58"/>
      <c r="F624" s="58"/>
      <c r="G624" s="58"/>
      <c r="H624" s="59"/>
      <c r="I624" s="59"/>
      <c r="J624" s="59"/>
      <c r="K624" s="59"/>
      <c r="L624" s="59"/>
      <c r="M624" s="60"/>
      <c r="N624" s="60"/>
      <c r="O624" s="60"/>
      <c r="P624" s="59"/>
      <c r="Q624" s="59"/>
      <c r="R624" s="60"/>
      <c r="S624" s="60"/>
      <c r="T624" s="60"/>
      <c r="U624" s="60"/>
      <c r="V624" s="60"/>
      <c r="W624" s="60"/>
    </row>
    <row r="625" spans="1:23" ht="13" x14ac:dyDescent="0.3">
      <c r="A625" s="58"/>
      <c r="B625" s="58"/>
      <c r="C625" s="58"/>
      <c r="D625" s="58"/>
      <c r="E625" s="58"/>
      <c r="F625" s="58"/>
      <c r="G625" s="58"/>
      <c r="H625" s="59"/>
      <c r="I625" s="59"/>
      <c r="J625" s="59"/>
      <c r="K625" s="59"/>
      <c r="L625" s="59"/>
      <c r="M625" s="60"/>
      <c r="N625" s="60"/>
      <c r="O625" s="60"/>
      <c r="P625" s="59"/>
      <c r="Q625" s="59"/>
      <c r="R625" s="60"/>
      <c r="S625" s="60"/>
      <c r="T625" s="60"/>
      <c r="U625" s="60"/>
      <c r="V625" s="60"/>
      <c r="W625" s="60"/>
    </row>
    <row r="626" spans="1:23" ht="13" x14ac:dyDescent="0.3">
      <c r="A626" s="58"/>
      <c r="B626" s="58"/>
      <c r="C626" s="58"/>
      <c r="D626" s="58"/>
      <c r="E626" s="58"/>
      <c r="F626" s="58"/>
      <c r="G626" s="58"/>
      <c r="H626" s="59"/>
      <c r="I626" s="59"/>
      <c r="J626" s="59"/>
      <c r="K626" s="59"/>
      <c r="L626" s="59"/>
      <c r="M626" s="60"/>
      <c r="N626" s="60"/>
      <c r="O626" s="60"/>
      <c r="P626" s="59"/>
      <c r="Q626" s="59"/>
      <c r="R626" s="60"/>
      <c r="S626" s="60"/>
      <c r="T626" s="60"/>
      <c r="U626" s="60"/>
      <c r="V626" s="60"/>
      <c r="W626" s="60"/>
    </row>
    <row r="627" spans="1:23" ht="13" x14ac:dyDescent="0.3">
      <c r="A627" s="58"/>
      <c r="B627" s="58"/>
      <c r="C627" s="58"/>
      <c r="D627" s="58"/>
      <c r="E627" s="58"/>
      <c r="F627" s="58"/>
      <c r="G627" s="58"/>
      <c r="H627" s="59"/>
      <c r="I627" s="59"/>
      <c r="J627" s="59"/>
      <c r="K627" s="59"/>
      <c r="L627" s="59"/>
      <c r="M627" s="60"/>
      <c r="N627" s="60"/>
      <c r="O627" s="60"/>
      <c r="P627" s="59"/>
      <c r="Q627" s="59"/>
      <c r="R627" s="60"/>
      <c r="S627" s="60"/>
      <c r="T627" s="60"/>
      <c r="U627" s="60"/>
      <c r="V627" s="60"/>
      <c r="W627" s="60"/>
    </row>
    <row r="628" spans="1:23" ht="13" x14ac:dyDescent="0.3">
      <c r="A628" s="58"/>
      <c r="B628" s="58"/>
      <c r="C628" s="58"/>
      <c r="D628" s="58"/>
      <c r="E628" s="58"/>
      <c r="F628" s="58"/>
      <c r="G628" s="58"/>
      <c r="H628" s="59"/>
      <c r="I628" s="59"/>
      <c r="J628" s="59"/>
      <c r="K628" s="59"/>
      <c r="L628" s="59"/>
      <c r="M628" s="60"/>
      <c r="N628" s="60"/>
      <c r="O628" s="60"/>
      <c r="P628" s="59"/>
      <c r="Q628" s="59"/>
      <c r="R628" s="60"/>
      <c r="S628" s="60"/>
      <c r="T628" s="60"/>
      <c r="U628" s="60"/>
      <c r="V628" s="60"/>
      <c r="W628" s="60"/>
    </row>
    <row r="629" spans="1:23" ht="13" x14ac:dyDescent="0.3">
      <c r="A629" s="58"/>
      <c r="B629" s="58"/>
      <c r="C629" s="58"/>
      <c r="D629" s="58"/>
      <c r="E629" s="58"/>
      <c r="F629" s="58"/>
      <c r="G629" s="58"/>
      <c r="H629" s="59"/>
      <c r="I629" s="59"/>
      <c r="J629" s="59"/>
      <c r="K629" s="59"/>
      <c r="L629" s="59"/>
      <c r="M629" s="60"/>
      <c r="N629" s="60"/>
      <c r="O629" s="60"/>
      <c r="P629" s="59"/>
      <c r="Q629" s="59"/>
      <c r="R629" s="60"/>
      <c r="S629" s="60"/>
      <c r="T629" s="60"/>
      <c r="U629" s="60"/>
      <c r="V629" s="60"/>
      <c r="W629" s="60"/>
    </row>
    <row r="630" spans="1:23" ht="13" x14ac:dyDescent="0.3">
      <c r="A630" s="58"/>
      <c r="B630" s="58"/>
      <c r="C630" s="58"/>
      <c r="D630" s="58"/>
      <c r="E630" s="58"/>
      <c r="F630" s="58"/>
      <c r="G630" s="58"/>
      <c r="H630" s="59"/>
      <c r="I630" s="59"/>
      <c r="J630" s="59"/>
      <c r="K630" s="59"/>
      <c r="L630" s="59"/>
      <c r="M630" s="60"/>
      <c r="N630" s="60"/>
      <c r="O630" s="60"/>
      <c r="P630" s="59"/>
      <c r="Q630" s="59"/>
      <c r="R630" s="60"/>
      <c r="S630" s="60"/>
      <c r="T630" s="60"/>
      <c r="U630" s="60"/>
      <c r="V630" s="60"/>
      <c r="W630" s="60"/>
    </row>
    <row r="631" spans="1:23" ht="13" x14ac:dyDescent="0.3">
      <c r="A631" s="58"/>
      <c r="B631" s="58"/>
      <c r="C631" s="58"/>
      <c r="D631" s="58"/>
      <c r="E631" s="58"/>
      <c r="F631" s="58"/>
      <c r="G631" s="58"/>
      <c r="H631" s="59"/>
      <c r="I631" s="59"/>
      <c r="J631" s="59"/>
      <c r="K631" s="59"/>
      <c r="L631" s="59"/>
      <c r="M631" s="60"/>
      <c r="N631" s="60"/>
      <c r="O631" s="60"/>
      <c r="P631" s="59"/>
      <c r="Q631" s="59"/>
      <c r="R631" s="60"/>
      <c r="S631" s="60"/>
      <c r="T631" s="60"/>
      <c r="U631" s="60"/>
      <c r="V631" s="60"/>
      <c r="W631" s="60"/>
    </row>
    <row r="632" spans="1:23" ht="13" x14ac:dyDescent="0.3">
      <c r="A632" s="58"/>
      <c r="B632" s="58"/>
      <c r="C632" s="58"/>
      <c r="D632" s="58"/>
      <c r="E632" s="58"/>
      <c r="F632" s="58"/>
      <c r="G632" s="58"/>
      <c r="H632" s="59"/>
      <c r="I632" s="59"/>
      <c r="J632" s="59"/>
      <c r="K632" s="59"/>
      <c r="L632" s="59"/>
      <c r="M632" s="60"/>
      <c r="N632" s="60"/>
      <c r="O632" s="60"/>
      <c r="P632" s="59"/>
      <c r="Q632" s="59"/>
      <c r="R632" s="60"/>
      <c r="S632" s="60"/>
      <c r="T632" s="60"/>
      <c r="U632" s="60"/>
      <c r="V632" s="60"/>
      <c r="W632" s="60"/>
    </row>
    <row r="633" spans="1:23" ht="13" x14ac:dyDescent="0.3">
      <c r="A633" s="58"/>
      <c r="B633" s="58"/>
      <c r="C633" s="58"/>
      <c r="D633" s="58"/>
      <c r="E633" s="58"/>
      <c r="F633" s="58"/>
      <c r="G633" s="58"/>
      <c r="H633" s="59"/>
      <c r="I633" s="59"/>
      <c r="J633" s="59"/>
      <c r="K633" s="59"/>
      <c r="L633" s="59"/>
      <c r="M633" s="60"/>
      <c r="N633" s="60"/>
      <c r="O633" s="60"/>
      <c r="P633" s="59"/>
      <c r="Q633" s="59"/>
      <c r="R633" s="60"/>
      <c r="S633" s="60"/>
      <c r="T633" s="60"/>
      <c r="U633" s="60"/>
      <c r="V633" s="60"/>
      <c r="W633" s="60"/>
    </row>
    <row r="634" spans="1:23" ht="13" x14ac:dyDescent="0.3">
      <c r="A634" s="58"/>
      <c r="B634" s="58"/>
      <c r="C634" s="58"/>
      <c r="D634" s="58"/>
      <c r="E634" s="58"/>
      <c r="F634" s="58"/>
      <c r="G634" s="58"/>
      <c r="H634" s="59"/>
      <c r="I634" s="59"/>
      <c r="J634" s="59"/>
      <c r="K634" s="59"/>
      <c r="L634" s="59"/>
      <c r="M634" s="60"/>
      <c r="N634" s="60"/>
      <c r="O634" s="60"/>
      <c r="P634" s="59"/>
      <c r="Q634" s="59"/>
      <c r="R634" s="60"/>
      <c r="S634" s="60"/>
      <c r="T634" s="60"/>
      <c r="U634" s="60"/>
      <c r="V634" s="60"/>
      <c r="W634" s="60"/>
    </row>
    <row r="635" spans="1:23" ht="13" x14ac:dyDescent="0.3">
      <c r="A635" s="58"/>
      <c r="B635" s="58"/>
      <c r="C635" s="58"/>
      <c r="D635" s="58"/>
      <c r="E635" s="58"/>
      <c r="F635" s="58"/>
      <c r="G635" s="58"/>
      <c r="H635" s="59"/>
      <c r="I635" s="59"/>
      <c r="J635" s="59"/>
      <c r="K635" s="59"/>
      <c r="L635" s="59"/>
      <c r="M635" s="60"/>
      <c r="N635" s="60"/>
      <c r="O635" s="60"/>
      <c r="P635" s="59"/>
      <c r="Q635" s="59"/>
      <c r="R635" s="60"/>
      <c r="S635" s="60"/>
      <c r="T635" s="60"/>
      <c r="U635" s="60"/>
      <c r="V635" s="60"/>
      <c r="W635" s="60"/>
    </row>
    <row r="636" spans="1:23" ht="13" x14ac:dyDescent="0.3">
      <c r="A636" s="58"/>
      <c r="B636" s="58"/>
      <c r="C636" s="58"/>
      <c r="D636" s="58"/>
      <c r="E636" s="58"/>
      <c r="F636" s="58"/>
      <c r="G636" s="58"/>
      <c r="H636" s="59"/>
      <c r="I636" s="59"/>
      <c r="J636" s="59"/>
      <c r="K636" s="59"/>
      <c r="L636" s="59"/>
      <c r="M636" s="60"/>
      <c r="N636" s="60"/>
      <c r="O636" s="60"/>
      <c r="P636" s="59"/>
      <c r="Q636" s="59"/>
      <c r="R636" s="60"/>
      <c r="S636" s="60"/>
      <c r="T636" s="60"/>
      <c r="U636" s="60"/>
      <c r="V636" s="60"/>
      <c r="W636" s="60"/>
    </row>
    <row r="637" spans="1:23" ht="13" x14ac:dyDescent="0.3">
      <c r="A637" s="58"/>
      <c r="B637" s="58"/>
      <c r="C637" s="58"/>
      <c r="D637" s="58"/>
      <c r="E637" s="58"/>
      <c r="F637" s="58"/>
      <c r="G637" s="58"/>
      <c r="H637" s="59"/>
      <c r="I637" s="59"/>
      <c r="J637" s="59"/>
      <c r="K637" s="59"/>
      <c r="L637" s="59"/>
      <c r="M637" s="60"/>
      <c r="N637" s="60"/>
      <c r="O637" s="60"/>
      <c r="P637" s="59"/>
      <c r="Q637" s="59"/>
      <c r="R637" s="60"/>
      <c r="S637" s="60"/>
      <c r="T637" s="60"/>
      <c r="U637" s="60"/>
      <c r="V637" s="60"/>
      <c r="W637" s="60"/>
    </row>
    <row r="638" spans="1:23" ht="13" x14ac:dyDescent="0.3">
      <c r="A638" s="58"/>
      <c r="B638" s="58"/>
      <c r="C638" s="58"/>
      <c r="D638" s="58"/>
      <c r="E638" s="58"/>
      <c r="F638" s="58"/>
      <c r="G638" s="58"/>
      <c r="H638" s="59"/>
      <c r="I638" s="59"/>
      <c r="J638" s="59"/>
      <c r="K638" s="59"/>
      <c r="L638" s="59"/>
      <c r="M638" s="60"/>
      <c r="N638" s="60"/>
      <c r="O638" s="60"/>
      <c r="P638" s="59"/>
      <c r="Q638" s="59"/>
      <c r="R638" s="60"/>
      <c r="S638" s="60"/>
      <c r="T638" s="60"/>
      <c r="U638" s="60"/>
      <c r="V638" s="60"/>
      <c r="W638" s="60"/>
    </row>
    <row r="639" spans="1:23" ht="13" x14ac:dyDescent="0.3">
      <c r="A639" s="58"/>
      <c r="B639" s="58"/>
      <c r="C639" s="58"/>
      <c r="D639" s="58"/>
      <c r="E639" s="58"/>
      <c r="F639" s="58"/>
      <c r="G639" s="58"/>
      <c r="H639" s="59"/>
      <c r="I639" s="59"/>
      <c r="J639" s="59"/>
      <c r="K639" s="59"/>
      <c r="L639" s="59"/>
      <c r="M639" s="60"/>
      <c r="N639" s="60"/>
      <c r="O639" s="60"/>
      <c r="P639" s="59"/>
      <c r="Q639" s="59"/>
      <c r="R639" s="60"/>
      <c r="S639" s="60"/>
      <c r="T639" s="60"/>
      <c r="U639" s="60"/>
      <c r="V639" s="60"/>
      <c r="W639" s="60"/>
    </row>
    <row r="640" spans="1:23" ht="13" x14ac:dyDescent="0.3">
      <c r="A640" s="58"/>
      <c r="B640" s="58"/>
      <c r="C640" s="58"/>
      <c r="D640" s="58"/>
      <c r="E640" s="58"/>
      <c r="F640" s="58"/>
      <c r="G640" s="58"/>
      <c r="H640" s="59"/>
      <c r="I640" s="59"/>
      <c r="J640" s="59"/>
      <c r="K640" s="59"/>
      <c r="L640" s="59"/>
      <c r="M640" s="60"/>
      <c r="N640" s="60"/>
      <c r="O640" s="60"/>
      <c r="P640" s="59"/>
      <c r="Q640" s="59"/>
      <c r="R640" s="60"/>
      <c r="S640" s="60"/>
      <c r="T640" s="60"/>
      <c r="U640" s="60"/>
      <c r="V640" s="60"/>
      <c r="W640" s="60"/>
    </row>
    <row r="641" spans="1:23" ht="13" x14ac:dyDescent="0.3">
      <c r="A641" s="58"/>
      <c r="B641" s="58"/>
      <c r="C641" s="58"/>
      <c r="D641" s="58"/>
      <c r="E641" s="58"/>
      <c r="F641" s="58"/>
      <c r="G641" s="58"/>
      <c r="H641" s="59"/>
      <c r="I641" s="59"/>
      <c r="J641" s="59"/>
      <c r="K641" s="59"/>
      <c r="L641" s="59"/>
      <c r="M641" s="60"/>
      <c r="N641" s="60"/>
      <c r="O641" s="60"/>
      <c r="P641" s="59"/>
      <c r="Q641" s="59"/>
      <c r="R641" s="60"/>
      <c r="S641" s="60"/>
      <c r="T641" s="60"/>
      <c r="U641" s="60"/>
      <c r="V641" s="60"/>
      <c r="W641" s="60"/>
    </row>
    <row r="642" spans="1:23" ht="13" x14ac:dyDescent="0.3">
      <c r="A642" s="58"/>
      <c r="B642" s="58"/>
      <c r="C642" s="58"/>
      <c r="D642" s="58"/>
      <c r="E642" s="58"/>
      <c r="F642" s="58"/>
      <c r="G642" s="58"/>
      <c r="H642" s="59"/>
      <c r="I642" s="59"/>
      <c r="J642" s="59"/>
      <c r="K642" s="59"/>
      <c r="L642" s="59"/>
      <c r="M642" s="60"/>
      <c r="N642" s="60"/>
      <c r="O642" s="60"/>
      <c r="P642" s="59"/>
      <c r="Q642" s="59"/>
      <c r="R642" s="60"/>
      <c r="S642" s="60"/>
      <c r="T642" s="60"/>
      <c r="U642" s="60"/>
      <c r="V642" s="60"/>
      <c r="W642" s="60"/>
    </row>
    <row r="643" spans="1:23" ht="13" x14ac:dyDescent="0.3">
      <c r="A643" s="58"/>
      <c r="B643" s="58"/>
      <c r="C643" s="58"/>
      <c r="D643" s="58"/>
      <c r="E643" s="58"/>
      <c r="F643" s="58"/>
      <c r="G643" s="58"/>
      <c r="H643" s="59"/>
      <c r="I643" s="59"/>
      <c r="J643" s="59"/>
      <c r="K643" s="59"/>
      <c r="L643" s="59"/>
      <c r="M643" s="60"/>
      <c r="N643" s="60"/>
      <c r="O643" s="60"/>
      <c r="P643" s="59"/>
      <c r="Q643" s="59"/>
      <c r="R643" s="60"/>
      <c r="S643" s="60"/>
      <c r="T643" s="60"/>
      <c r="U643" s="60"/>
      <c r="V643" s="60"/>
      <c r="W643" s="60"/>
    </row>
    <row r="644" spans="1:23" ht="13" x14ac:dyDescent="0.3">
      <c r="A644" s="58"/>
      <c r="B644" s="58"/>
      <c r="C644" s="58"/>
      <c r="D644" s="58"/>
      <c r="E644" s="58"/>
      <c r="F644" s="58"/>
      <c r="G644" s="58"/>
      <c r="H644" s="59"/>
      <c r="I644" s="59"/>
      <c r="J644" s="59"/>
      <c r="K644" s="59"/>
      <c r="L644" s="59"/>
      <c r="M644" s="60"/>
      <c r="N644" s="60"/>
      <c r="O644" s="60"/>
      <c r="P644" s="59"/>
      <c r="Q644" s="59"/>
      <c r="R644" s="60"/>
      <c r="S644" s="60"/>
      <c r="T644" s="60"/>
      <c r="U644" s="60"/>
      <c r="V644" s="60"/>
      <c r="W644" s="60"/>
    </row>
    <row r="645" spans="1:23" ht="13" x14ac:dyDescent="0.3">
      <c r="A645" s="58"/>
      <c r="B645" s="58"/>
      <c r="C645" s="58"/>
      <c r="D645" s="58"/>
      <c r="E645" s="58"/>
      <c r="F645" s="58"/>
      <c r="G645" s="58"/>
      <c r="H645" s="59"/>
      <c r="I645" s="59"/>
      <c r="J645" s="59"/>
      <c r="K645" s="59"/>
      <c r="L645" s="59"/>
      <c r="M645" s="60"/>
      <c r="N645" s="60"/>
      <c r="O645" s="60"/>
      <c r="P645" s="59"/>
      <c r="Q645" s="59"/>
      <c r="R645" s="60"/>
      <c r="S645" s="60"/>
      <c r="T645" s="60"/>
      <c r="U645" s="60"/>
      <c r="V645" s="60"/>
      <c r="W645" s="60"/>
    </row>
    <row r="646" spans="1:23" ht="13" x14ac:dyDescent="0.3">
      <c r="A646" s="58"/>
      <c r="B646" s="58"/>
      <c r="C646" s="58"/>
      <c r="D646" s="58"/>
      <c r="E646" s="58"/>
      <c r="F646" s="58"/>
      <c r="G646" s="58"/>
      <c r="H646" s="59"/>
      <c r="I646" s="59"/>
      <c r="J646" s="59"/>
      <c r="K646" s="59"/>
      <c r="L646" s="59"/>
      <c r="M646" s="60"/>
      <c r="N646" s="60"/>
      <c r="O646" s="60"/>
      <c r="P646" s="59"/>
      <c r="Q646" s="59"/>
      <c r="R646" s="60"/>
      <c r="S646" s="60"/>
      <c r="T646" s="60"/>
      <c r="U646" s="60"/>
      <c r="V646" s="60"/>
      <c r="W646" s="60"/>
    </row>
    <row r="647" spans="1:23" ht="13" x14ac:dyDescent="0.3">
      <c r="A647" s="58"/>
      <c r="B647" s="58"/>
      <c r="C647" s="58"/>
      <c r="D647" s="58"/>
      <c r="E647" s="58"/>
      <c r="F647" s="58"/>
      <c r="G647" s="58"/>
      <c r="H647" s="59"/>
      <c r="I647" s="59"/>
      <c r="J647" s="59"/>
      <c r="K647" s="59"/>
      <c r="L647" s="59"/>
      <c r="M647" s="60"/>
      <c r="N647" s="60"/>
      <c r="O647" s="60"/>
      <c r="P647" s="59"/>
      <c r="Q647" s="59"/>
      <c r="R647" s="60"/>
      <c r="S647" s="60"/>
      <c r="T647" s="60"/>
      <c r="U647" s="60"/>
      <c r="V647" s="60"/>
      <c r="W647" s="60"/>
    </row>
    <row r="648" spans="1:23" ht="13" x14ac:dyDescent="0.3">
      <c r="A648" s="58"/>
      <c r="B648" s="58"/>
      <c r="C648" s="58"/>
      <c r="D648" s="58"/>
      <c r="E648" s="58"/>
      <c r="F648" s="58"/>
      <c r="G648" s="58"/>
      <c r="H648" s="59"/>
      <c r="I648" s="59"/>
      <c r="J648" s="59"/>
      <c r="K648" s="59"/>
      <c r="L648" s="59"/>
      <c r="M648" s="60"/>
      <c r="N648" s="60"/>
      <c r="O648" s="60"/>
      <c r="P648" s="59"/>
      <c r="Q648" s="59"/>
      <c r="R648" s="60"/>
      <c r="S648" s="60"/>
      <c r="T648" s="60"/>
      <c r="U648" s="60"/>
      <c r="V648" s="60"/>
      <c r="W648" s="60"/>
    </row>
    <row r="649" spans="1:23" ht="13" x14ac:dyDescent="0.3">
      <c r="A649" s="58"/>
      <c r="B649" s="58"/>
      <c r="C649" s="58"/>
      <c r="D649" s="58"/>
      <c r="E649" s="58"/>
      <c r="F649" s="58"/>
      <c r="G649" s="58"/>
      <c r="H649" s="59"/>
      <c r="I649" s="59"/>
      <c r="J649" s="59"/>
      <c r="K649" s="59"/>
      <c r="L649" s="59"/>
      <c r="M649" s="60"/>
      <c r="N649" s="60"/>
      <c r="O649" s="60"/>
      <c r="P649" s="59"/>
      <c r="Q649" s="59"/>
      <c r="R649" s="60"/>
      <c r="S649" s="60"/>
      <c r="T649" s="60"/>
      <c r="U649" s="60"/>
      <c r="V649" s="60"/>
      <c r="W649" s="60"/>
    </row>
    <row r="650" spans="1:23" ht="13" x14ac:dyDescent="0.3">
      <c r="A650" s="58"/>
      <c r="B650" s="58"/>
      <c r="C650" s="58"/>
      <c r="D650" s="58"/>
      <c r="E650" s="58"/>
      <c r="F650" s="58"/>
      <c r="G650" s="58"/>
      <c r="H650" s="59"/>
      <c r="I650" s="59"/>
      <c r="J650" s="59"/>
      <c r="K650" s="59"/>
      <c r="L650" s="59"/>
      <c r="M650" s="60"/>
      <c r="N650" s="60"/>
      <c r="O650" s="60"/>
      <c r="P650" s="59"/>
      <c r="Q650" s="59"/>
      <c r="R650" s="60"/>
      <c r="S650" s="60"/>
      <c r="T650" s="60"/>
      <c r="U650" s="60"/>
      <c r="V650" s="60"/>
      <c r="W650" s="60"/>
    </row>
    <row r="651" spans="1:23" ht="13" x14ac:dyDescent="0.3">
      <c r="A651" s="58"/>
      <c r="B651" s="58"/>
      <c r="C651" s="58"/>
      <c r="D651" s="58"/>
      <c r="E651" s="58"/>
      <c r="F651" s="58"/>
      <c r="G651" s="58"/>
      <c r="H651" s="59"/>
      <c r="I651" s="59"/>
      <c r="J651" s="59"/>
      <c r="K651" s="59"/>
      <c r="L651" s="59"/>
      <c r="M651" s="60"/>
      <c r="N651" s="60"/>
      <c r="O651" s="60"/>
      <c r="P651" s="59"/>
      <c r="Q651" s="59"/>
      <c r="R651" s="60"/>
      <c r="S651" s="60"/>
      <c r="T651" s="60"/>
      <c r="U651" s="60"/>
      <c r="V651" s="60"/>
      <c r="W651" s="60"/>
    </row>
    <row r="652" spans="1:23" ht="13" x14ac:dyDescent="0.3">
      <c r="A652" s="58"/>
      <c r="B652" s="58"/>
      <c r="C652" s="58"/>
      <c r="D652" s="58"/>
      <c r="E652" s="58"/>
      <c r="F652" s="58"/>
      <c r="G652" s="58"/>
      <c r="H652" s="59"/>
      <c r="I652" s="59"/>
      <c r="J652" s="59"/>
      <c r="K652" s="59"/>
      <c r="L652" s="59"/>
      <c r="M652" s="60"/>
      <c r="N652" s="60"/>
      <c r="O652" s="60"/>
      <c r="P652" s="59"/>
      <c r="Q652" s="59"/>
      <c r="R652" s="60"/>
      <c r="S652" s="60"/>
      <c r="T652" s="60"/>
      <c r="U652" s="60"/>
      <c r="V652" s="60"/>
      <c r="W652" s="60"/>
    </row>
    <row r="653" spans="1:23" ht="13" x14ac:dyDescent="0.3">
      <c r="A653" s="58"/>
      <c r="B653" s="58"/>
      <c r="C653" s="58"/>
      <c r="D653" s="58"/>
      <c r="E653" s="58"/>
      <c r="F653" s="58"/>
      <c r="G653" s="58"/>
      <c r="H653" s="59"/>
      <c r="I653" s="59"/>
      <c r="J653" s="59"/>
      <c r="K653" s="59"/>
      <c r="L653" s="59"/>
      <c r="M653" s="60"/>
      <c r="N653" s="60"/>
      <c r="O653" s="60"/>
      <c r="P653" s="59"/>
      <c r="Q653" s="59"/>
      <c r="R653" s="60"/>
      <c r="S653" s="60"/>
      <c r="T653" s="60"/>
      <c r="U653" s="60"/>
      <c r="V653" s="60"/>
      <c r="W653" s="60"/>
    </row>
    <row r="654" spans="1:23" ht="13" x14ac:dyDescent="0.3">
      <c r="A654" s="58"/>
      <c r="B654" s="58"/>
      <c r="C654" s="58"/>
      <c r="D654" s="58"/>
      <c r="E654" s="58"/>
      <c r="F654" s="58"/>
      <c r="G654" s="58"/>
      <c r="H654" s="59"/>
      <c r="I654" s="59"/>
      <c r="J654" s="59"/>
      <c r="K654" s="59"/>
      <c r="L654" s="59"/>
      <c r="M654" s="60"/>
      <c r="N654" s="60"/>
      <c r="O654" s="60"/>
      <c r="P654" s="59"/>
      <c r="Q654" s="59"/>
      <c r="R654" s="60"/>
      <c r="S654" s="60"/>
      <c r="T654" s="60"/>
      <c r="U654" s="60"/>
      <c r="V654" s="60"/>
      <c r="W654" s="60"/>
    </row>
    <row r="655" spans="1:23" ht="13" x14ac:dyDescent="0.3">
      <c r="A655" s="58"/>
      <c r="B655" s="58"/>
      <c r="C655" s="58"/>
      <c r="D655" s="58"/>
      <c r="E655" s="58"/>
      <c r="F655" s="58"/>
      <c r="G655" s="58"/>
      <c r="H655" s="59"/>
      <c r="I655" s="59"/>
      <c r="J655" s="59"/>
      <c r="K655" s="59"/>
      <c r="L655" s="59"/>
      <c r="M655" s="60"/>
      <c r="N655" s="60"/>
      <c r="O655" s="60"/>
      <c r="P655" s="59"/>
      <c r="Q655" s="59"/>
      <c r="R655" s="60"/>
      <c r="S655" s="60"/>
      <c r="T655" s="60"/>
      <c r="U655" s="60"/>
      <c r="V655" s="60"/>
      <c r="W655" s="60"/>
    </row>
    <row r="656" spans="1:23" ht="13" x14ac:dyDescent="0.3">
      <c r="A656" s="58"/>
      <c r="B656" s="58"/>
      <c r="C656" s="58"/>
      <c r="D656" s="58"/>
      <c r="E656" s="58"/>
      <c r="F656" s="58"/>
      <c r="G656" s="58"/>
      <c r="H656" s="59"/>
      <c r="I656" s="59"/>
      <c r="J656" s="59"/>
      <c r="K656" s="59"/>
      <c r="L656" s="59"/>
      <c r="M656" s="60"/>
      <c r="N656" s="60"/>
      <c r="O656" s="60"/>
      <c r="P656" s="59"/>
      <c r="Q656" s="59"/>
      <c r="R656" s="60"/>
      <c r="S656" s="60"/>
      <c r="T656" s="60"/>
      <c r="U656" s="60"/>
      <c r="V656" s="60"/>
      <c r="W656" s="60"/>
    </row>
    <row r="657" spans="1:23" ht="13" x14ac:dyDescent="0.3">
      <c r="A657" s="58"/>
      <c r="B657" s="58"/>
      <c r="C657" s="58"/>
      <c r="D657" s="58"/>
      <c r="E657" s="58"/>
      <c r="F657" s="58"/>
      <c r="G657" s="58"/>
      <c r="H657" s="59"/>
      <c r="I657" s="59"/>
      <c r="J657" s="59"/>
      <c r="K657" s="59"/>
      <c r="L657" s="59"/>
      <c r="M657" s="60"/>
      <c r="N657" s="60"/>
      <c r="O657" s="60"/>
      <c r="P657" s="59"/>
      <c r="Q657" s="59"/>
      <c r="R657" s="60"/>
      <c r="S657" s="60"/>
      <c r="T657" s="60"/>
      <c r="U657" s="60"/>
      <c r="V657" s="60"/>
      <c r="W657" s="60"/>
    </row>
    <row r="658" spans="1:23" ht="13" x14ac:dyDescent="0.3">
      <c r="A658" s="58"/>
      <c r="B658" s="58"/>
      <c r="C658" s="58"/>
      <c r="D658" s="58"/>
      <c r="E658" s="58"/>
      <c r="F658" s="58"/>
      <c r="G658" s="58"/>
      <c r="H658" s="59"/>
      <c r="I658" s="59"/>
      <c r="J658" s="59"/>
      <c r="K658" s="59"/>
      <c r="L658" s="59"/>
      <c r="M658" s="60"/>
      <c r="N658" s="60"/>
      <c r="O658" s="60"/>
      <c r="P658" s="59"/>
      <c r="Q658" s="59"/>
      <c r="R658" s="60"/>
      <c r="S658" s="60"/>
      <c r="T658" s="60"/>
      <c r="U658" s="60"/>
      <c r="V658" s="60"/>
      <c r="W658" s="60"/>
    </row>
    <row r="659" spans="1:23" ht="13" x14ac:dyDescent="0.3">
      <c r="A659" s="58"/>
      <c r="B659" s="58"/>
      <c r="C659" s="58"/>
      <c r="D659" s="58"/>
      <c r="E659" s="58"/>
      <c r="F659" s="58"/>
      <c r="G659" s="58"/>
      <c r="H659" s="59"/>
      <c r="I659" s="59"/>
      <c r="J659" s="59"/>
      <c r="K659" s="59"/>
      <c r="L659" s="59"/>
      <c r="M659" s="60"/>
      <c r="N659" s="60"/>
      <c r="O659" s="60"/>
      <c r="P659" s="59"/>
      <c r="Q659" s="59"/>
      <c r="R659" s="60"/>
      <c r="S659" s="60"/>
      <c r="T659" s="60"/>
      <c r="U659" s="60"/>
      <c r="V659" s="60"/>
      <c r="W659" s="60"/>
    </row>
    <row r="660" spans="1:23" ht="13" x14ac:dyDescent="0.3">
      <c r="A660" s="58"/>
      <c r="B660" s="58"/>
      <c r="C660" s="58"/>
      <c r="D660" s="58"/>
      <c r="E660" s="58"/>
      <c r="F660" s="58"/>
      <c r="G660" s="58"/>
      <c r="H660" s="59"/>
      <c r="I660" s="59"/>
      <c r="J660" s="59"/>
      <c r="K660" s="59"/>
      <c r="L660" s="59"/>
      <c r="M660" s="60"/>
      <c r="N660" s="60"/>
      <c r="O660" s="60"/>
      <c r="P660" s="59"/>
      <c r="Q660" s="59"/>
      <c r="R660" s="60"/>
      <c r="S660" s="60"/>
      <c r="T660" s="60"/>
      <c r="U660" s="60"/>
      <c r="V660" s="60"/>
      <c r="W660" s="60"/>
    </row>
    <row r="661" spans="1:23" ht="13" x14ac:dyDescent="0.3">
      <c r="A661" s="58"/>
      <c r="B661" s="58"/>
      <c r="C661" s="58"/>
      <c r="D661" s="58"/>
      <c r="E661" s="58"/>
      <c r="F661" s="58"/>
      <c r="G661" s="58"/>
      <c r="H661" s="59"/>
      <c r="I661" s="59"/>
      <c r="J661" s="59"/>
      <c r="K661" s="59"/>
      <c r="L661" s="59"/>
      <c r="M661" s="60"/>
      <c r="N661" s="60"/>
      <c r="O661" s="60"/>
      <c r="P661" s="59"/>
      <c r="Q661" s="59"/>
      <c r="R661" s="60"/>
      <c r="S661" s="60"/>
      <c r="T661" s="60"/>
      <c r="U661" s="60"/>
      <c r="V661" s="60"/>
      <c r="W661" s="60"/>
    </row>
    <row r="662" spans="1:23" ht="13" x14ac:dyDescent="0.3">
      <c r="A662" s="58"/>
      <c r="B662" s="58"/>
      <c r="C662" s="58"/>
      <c r="D662" s="58"/>
      <c r="E662" s="58"/>
      <c r="F662" s="58"/>
      <c r="G662" s="58"/>
      <c r="H662" s="59"/>
      <c r="I662" s="59"/>
      <c r="J662" s="59"/>
      <c r="K662" s="59"/>
      <c r="L662" s="59"/>
      <c r="M662" s="60"/>
      <c r="N662" s="60"/>
      <c r="O662" s="60"/>
      <c r="P662" s="59"/>
      <c r="Q662" s="59"/>
      <c r="R662" s="60"/>
      <c r="S662" s="60"/>
      <c r="T662" s="60"/>
      <c r="U662" s="60"/>
      <c r="V662" s="60"/>
      <c r="W662" s="60"/>
    </row>
    <row r="663" spans="1:23" ht="13" x14ac:dyDescent="0.3">
      <c r="A663" s="58"/>
      <c r="B663" s="58"/>
      <c r="C663" s="58"/>
      <c r="D663" s="58"/>
      <c r="E663" s="58"/>
      <c r="F663" s="58"/>
      <c r="G663" s="58"/>
      <c r="H663" s="59"/>
      <c r="I663" s="59"/>
      <c r="J663" s="59"/>
      <c r="K663" s="59"/>
      <c r="L663" s="59"/>
      <c r="M663" s="60"/>
      <c r="N663" s="60"/>
      <c r="O663" s="60"/>
      <c r="P663" s="59"/>
      <c r="Q663" s="59"/>
      <c r="R663" s="60"/>
      <c r="S663" s="60"/>
      <c r="T663" s="60"/>
      <c r="U663" s="60"/>
      <c r="V663" s="60"/>
      <c r="W663" s="60"/>
    </row>
    <row r="664" spans="1:23" ht="13" x14ac:dyDescent="0.3">
      <c r="A664" s="58"/>
      <c r="B664" s="58"/>
      <c r="C664" s="58"/>
      <c r="D664" s="58"/>
      <c r="E664" s="58"/>
      <c r="F664" s="58"/>
      <c r="G664" s="58"/>
      <c r="H664" s="59"/>
      <c r="I664" s="59"/>
      <c r="J664" s="59"/>
      <c r="K664" s="59"/>
      <c r="L664" s="59"/>
      <c r="M664" s="60"/>
      <c r="N664" s="60"/>
      <c r="O664" s="60"/>
      <c r="P664" s="59"/>
      <c r="Q664" s="59"/>
      <c r="R664" s="60"/>
      <c r="S664" s="60"/>
      <c r="T664" s="60"/>
      <c r="U664" s="60"/>
      <c r="V664" s="60"/>
      <c r="W664" s="60"/>
    </row>
    <row r="665" spans="1:23" ht="13" x14ac:dyDescent="0.3">
      <c r="A665" s="58"/>
      <c r="B665" s="58"/>
      <c r="C665" s="58"/>
      <c r="D665" s="58"/>
      <c r="E665" s="58"/>
      <c r="F665" s="58"/>
      <c r="G665" s="58"/>
      <c r="H665" s="59"/>
      <c r="I665" s="59"/>
      <c r="J665" s="59"/>
      <c r="K665" s="59"/>
      <c r="L665" s="59"/>
      <c r="M665" s="60"/>
      <c r="N665" s="60"/>
      <c r="O665" s="60"/>
      <c r="P665" s="59"/>
      <c r="Q665" s="59"/>
      <c r="R665" s="60"/>
      <c r="S665" s="60"/>
      <c r="T665" s="60"/>
      <c r="U665" s="60"/>
      <c r="V665" s="60"/>
      <c r="W665" s="60"/>
    </row>
    <row r="666" spans="1:23" ht="13" x14ac:dyDescent="0.3">
      <c r="A666" s="58"/>
      <c r="B666" s="58"/>
      <c r="C666" s="58"/>
      <c r="D666" s="58"/>
      <c r="E666" s="58"/>
      <c r="F666" s="58"/>
      <c r="G666" s="58"/>
      <c r="H666" s="59"/>
      <c r="I666" s="59"/>
      <c r="J666" s="59"/>
      <c r="K666" s="59"/>
      <c r="L666" s="59"/>
      <c r="M666" s="60"/>
      <c r="N666" s="60"/>
      <c r="O666" s="60"/>
      <c r="P666" s="59"/>
      <c r="Q666" s="59"/>
      <c r="R666" s="60"/>
      <c r="S666" s="60"/>
      <c r="T666" s="60"/>
      <c r="U666" s="60"/>
      <c r="V666" s="60"/>
      <c r="W666" s="60"/>
    </row>
    <row r="667" spans="1:23" ht="13" x14ac:dyDescent="0.3">
      <c r="A667" s="58"/>
      <c r="B667" s="58"/>
      <c r="C667" s="58"/>
      <c r="D667" s="58"/>
      <c r="E667" s="58"/>
      <c r="F667" s="58"/>
      <c r="G667" s="58"/>
      <c r="H667" s="59"/>
      <c r="I667" s="59"/>
      <c r="J667" s="59"/>
      <c r="K667" s="59"/>
      <c r="L667" s="59"/>
      <c r="M667" s="60"/>
      <c r="N667" s="60"/>
      <c r="O667" s="60"/>
      <c r="P667" s="59"/>
      <c r="Q667" s="59"/>
      <c r="R667" s="60"/>
      <c r="S667" s="60"/>
      <c r="T667" s="60"/>
      <c r="U667" s="60"/>
      <c r="V667" s="60"/>
      <c r="W667" s="60"/>
    </row>
    <row r="668" spans="1:23" ht="13" x14ac:dyDescent="0.3">
      <c r="A668" s="58"/>
      <c r="B668" s="58"/>
      <c r="C668" s="58"/>
      <c r="D668" s="58"/>
      <c r="E668" s="58"/>
      <c r="F668" s="58"/>
      <c r="G668" s="58"/>
      <c r="H668" s="59"/>
      <c r="I668" s="59"/>
      <c r="J668" s="59"/>
      <c r="K668" s="59"/>
      <c r="L668" s="59"/>
      <c r="M668" s="60"/>
      <c r="N668" s="60"/>
      <c r="O668" s="60"/>
      <c r="P668" s="59"/>
      <c r="Q668" s="59"/>
      <c r="R668" s="60"/>
      <c r="S668" s="60"/>
      <c r="T668" s="60"/>
      <c r="U668" s="60"/>
      <c r="V668" s="60"/>
      <c r="W668" s="60"/>
    </row>
    <row r="669" spans="1:23" ht="13" x14ac:dyDescent="0.3">
      <c r="A669" s="58"/>
      <c r="B669" s="58"/>
      <c r="C669" s="58"/>
      <c r="D669" s="58"/>
      <c r="E669" s="58"/>
      <c r="F669" s="58"/>
      <c r="G669" s="58"/>
      <c r="H669" s="59"/>
      <c r="I669" s="59"/>
      <c r="J669" s="59"/>
      <c r="K669" s="59"/>
      <c r="L669" s="59"/>
      <c r="M669" s="60"/>
      <c r="N669" s="60"/>
      <c r="O669" s="60"/>
      <c r="P669" s="59"/>
      <c r="Q669" s="59"/>
      <c r="R669" s="60"/>
      <c r="S669" s="60"/>
      <c r="T669" s="60"/>
      <c r="U669" s="60"/>
      <c r="V669" s="60"/>
      <c r="W669" s="60"/>
    </row>
    <row r="670" spans="1:23" ht="13" x14ac:dyDescent="0.3">
      <c r="A670" s="58"/>
      <c r="B670" s="58"/>
      <c r="C670" s="58"/>
      <c r="D670" s="58"/>
      <c r="E670" s="58"/>
      <c r="F670" s="58"/>
      <c r="G670" s="58"/>
      <c r="H670" s="59"/>
      <c r="I670" s="59"/>
      <c r="J670" s="59"/>
      <c r="K670" s="59"/>
      <c r="L670" s="59"/>
      <c r="M670" s="60"/>
      <c r="N670" s="60"/>
      <c r="O670" s="60"/>
      <c r="P670" s="59"/>
      <c r="Q670" s="59"/>
      <c r="R670" s="60"/>
      <c r="S670" s="60"/>
      <c r="T670" s="60"/>
      <c r="U670" s="60"/>
      <c r="V670" s="60"/>
      <c r="W670" s="60"/>
    </row>
    <row r="671" spans="1:23" ht="13" x14ac:dyDescent="0.3">
      <c r="A671" s="58"/>
      <c r="B671" s="58"/>
      <c r="C671" s="58"/>
      <c r="D671" s="58"/>
      <c r="E671" s="58"/>
      <c r="F671" s="58"/>
      <c r="G671" s="58"/>
      <c r="H671" s="59"/>
      <c r="I671" s="59"/>
      <c r="J671" s="59"/>
      <c r="K671" s="59"/>
      <c r="L671" s="59"/>
      <c r="M671" s="60"/>
      <c r="N671" s="60"/>
      <c r="O671" s="60"/>
      <c r="P671" s="59"/>
      <c r="Q671" s="59"/>
      <c r="R671" s="60"/>
      <c r="S671" s="60"/>
      <c r="T671" s="60"/>
      <c r="U671" s="60"/>
      <c r="V671" s="60"/>
      <c r="W671" s="60"/>
    </row>
    <row r="672" spans="1:23" ht="13" x14ac:dyDescent="0.3">
      <c r="A672" s="58"/>
      <c r="B672" s="58"/>
      <c r="C672" s="58"/>
      <c r="D672" s="58"/>
      <c r="E672" s="58"/>
      <c r="F672" s="58"/>
      <c r="G672" s="58"/>
      <c r="H672" s="59"/>
      <c r="I672" s="59"/>
      <c r="J672" s="59"/>
      <c r="K672" s="59"/>
      <c r="L672" s="59"/>
      <c r="M672" s="60"/>
      <c r="N672" s="60"/>
      <c r="O672" s="60"/>
      <c r="P672" s="59"/>
      <c r="Q672" s="59"/>
      <c r="R672" s="60"/>
      <c r="S672" s="60"/>
      <c r="T672" s="60"/>
      <c r="U672" s="60"/>
      <c r="V672" s="60"/>
      <c r="W672" s="60"/>
    </row>
    <row r="673" spans="1:23" ht="13" x14ac:dyDescent="0.3">
      <c r="A673" s="58"/>
      <c r="B673" s="58"/>
      <c r="C673" s="58"/>
      <c r="D673" s="58"/>
      <c r="E673" s="58"/>
      <c r="F673" s="58"/>
      <c r="G673" s="58"/>
      <c r="H673" s="59"/>
      <c r="I673" s="59"/>
      <c r="J673" s="59"/>
      <c r="K673" s="59"/>
      <c r="L673" s="59"/>
      <c r="M673" s="60"/>
      <c r="N673" s="60"/>
      <c r="O673" s="60"/>
      <c r="P673" s="59"/>
      <c r="Q673" s="59"/>
      <c r="R673" s="60"/>
      <c r="S673" s="60"/>
      <c r="T673" s="60"/>
      <c r="U673" s="60"/>
      <c r="V673" s="60"/>
      <c r="W673" s="60"/>
    </row>
    <row r="674" spans="1:23" ht="13" x14ac:dyDescent="0.3">
      <c r="A674" s="58"/>
      <c r="B674" s="58"/>
      <c r="C674" s="58"/>
      <c r="D674" s="58"/>
      <c r="E674" s="58"/>
      <c r="F674" s="58"/>
      <c r="G674" s="58"/>
      <c r="H674" s="59"/>
      <c r="I674" s="59"/>
      <c r="J674" s="59"/>
      <c r="K674" s="59"/>
      <c r="L674" s="59"/>
      <c r="M674" s="60"/>
      <c r="N674" s="60"/>
      <c r="O674" s="60"/>
      <c r="P674" s="59"/>
      <c r="Q674" s="59"/>
      <c r="R674" s="60"/>
      <c r="S674" s="60"/>
      <c r="T674" s="60"/>
      <c r="U674" s="60"/>
      <c r="V674" s="60"/>
      <c r="W674" s="60"/>
    </row>
    <row r="675" spans="1:23" ht="13" x14ac:dyDescent="0.3">
      <c r="A675" s="58"/>
      <c r="B675" s="58"/>
      <c r="C675" s="58"/>
      <c r="D675" s="58"/>
      <c r="E675" s="58"/>
      <c r="F675" s="58"/>
      <c r="G675" s="58"/>
      <c r="H675" s="59"/>
      <c r="I675" s="59"/>
      <c r="J675" s="59"/>
      <c r="K675" s="59"/>
      <c r="L675" s="59"/>
      <c r="M675" s="60"/>
      <c r="N675" s="60"/>
      <c r="O675" s="60"/>
      <c r="P675" s="59"/>
      <c r="Q675" s="59"/>
      <c r="R675" s="60"/>
      <c r="S675" s="60"/>
      <c r="T675" s="60"/>
      <c r="U675" s="60"/>
      <c r="V675" s="60"/>
      <c r="W675" s="60"/>
    </row>
    <row r="676" spans="1:23" ht="13" x14ac:dyDescent="0.3">
      <c r="A676" s="58"/>
      <c r="B676" s="58"/>
      <c r="C676" s="58"/>
      <c r="D676" s="58"/>
      <c r="E676" s="58"/>
      <c r="F676" s="58"/>
      <c r="G676" s="58"/>
      <c r="H676" s="59"/>
      <c r="I676" s="59"/>
      <c r="J676" s="59"/>
      <c r="K676" s="59"/>
      <c r="L676" s="59"/>
      <c r="M676" s="60"/>
      <c r="N676" s="60"/>
      <c r="O676" s="60"/>
      <c r="P676" s="59"/>
      <c r="Q676" s="59"/>
      <c r="R676" s="60"/>
      <c r="S676" s="60"/>
      <c r="T676" s="60"/>
      <c r="U676" s="60"/>
      <c r="V676" s="60"/>
      <c r="W676" s="60"/>
    </row>
    <row r="677" spans="1:23" ht="13" x14ac:dyDescent="0.3">
      <c r="A677" s="58"/>
      <c r="B677" s="58"/>
      <c r="C677" s="58"/>
      <c r="D677" s="58"/>
      <c r="E677" s="58"/>
      <c r="F677" s="58"/>
      <c r="G677" s="58"/>
      <c r="H677" s="59"/>
      <c r="I677" s="59"/>
      <c r="J677" s="59"/>
      <c r="K677" s="59"/>
      <c r="L677" s="59"/>
      <c r="M677" s="60"/>
      <c r="N677" s="60"/>
      <c r="O677" s="60"/>
      <c r="P677" s="59"/>
      <c r="Q677" s="59"/>
      <c r="R677" s="60"/>
      <c r="S677" s="60"/>
      <c r="T677" s="60"/>
      <c r="U677" s="60"/>
      <c r="V677" s="60"/>
      <c r="W677" s="60"/>
    </row>
    <row r="678" spans="1:23" ht="13" x14ac:dyDescent="0.3">
      <c r="A678" s="58"/>
      <c r="B678" s="58"/>
      <c r="C678" s="58"/>
      <c r="D678" s="58"/>
      <c r="E678" s="58"/>
      <c r="F678" s="58"/>
      <c r="G678" s="58"/>
      <c r="H678" s="59"/>
      <c r="I678" s="59"/>
      <c r="J678" s="59"/>
      <c r="K678" s="59"/>
      <c r="L678" s="59"/>
      <c r="M678" s="60"/>
      <c r="N678" s="60"/>
      <c r="O678" s="60"/>
      <c r="P678" s="59"/>
      <c r="Q678" s="59"/>
      <c r="R678" s="60"/>
      <c r="S678" s="60"/>
      <c r="T678" s="60"/>
      <c r="U678" s="60"/>
      <c r="V678" s="60"/>
      <c r="W678" s="60"/>
    </row>
    <row r="679" spans="1:23" ht="13" x14ac:dyDescent="0.3">
      <c r="A679" s="58"/>
      <c r="B679" s="58"/>
      <c r="C679" s="58"/>
      <c r="D679" s="58"/>
      <c r="E679" s="58"/>
      <c r="F679" s="58"/>
      <c r="G679" s="58"/>
      <c r="H679" s="59"/>
      <c r="I679" s="59"/>
      <c r="J679" s="59"/>
      <c r="K679" s="59"/>
      <c r="L679" s="59"/>
      <c r="M679" s="60"/>
      <c r="N679" s="60"/>
      <c r="O679" s="60"/>
      <c r="P679" s="59"/>
      <c r="Q679" s="59"/>
      <c r="R679" s="60"/>
      <c r="S679" s="60"/>
      <c r="T679" s="60"/>
      <c r="U679" s="60"/>
      <c r="V679" s="60"/>
      <c r="W679" s="60"/>
    </row>
    <row r="680" spans="1:23" ht="13" x14ac:dyDescent="0.3">
      <c r="A680" s="58"/>
      <c r="B680" s="58"/>
      <c r="C680" s="58"/>
      <c r="D680" s="58"/>
      <c r="E680" s="58"/>
      <c r="F680" s="58"/>
      <c r="G680" s="58"/>
      <c r="H680" s="59"/>
      <c r="I680" s="59"/>
      <c r="J680" s="59"/>
      <c r="K680" s="59"/>
      <c r="L680" s="59"/>
      <c r="M680" s="60"/>
      <c r="N680" s="60"/>
      <c r="O680" s="60"/>
      <c r="P680" s="59"/>
      <c r="Q680" s="59"/>
      <c r="R680" s="60"/>
      <c r="S680" s="60"/>
      <c r="T680" s="60"/>
      <c r="U680" s="60"/>
      <c r="V680" s="60"/>
      <c r="W680" s="60"/>
    </row>
    <row r="681" spans="1:23" ht="13" x14ac:dyDescent="0.3">
      <c r="A681" s="58"/>
      <c r="B681" s="58"/>
      <c r="C681" s="58"/>
      <c r="D681" s="58"/>
      <c r="E681" s="58"/>
      <c r="F681" s="58"/>
      <c r="G681" s="58"/>
      <c r="H681" s="59"/>
      <c r="I681" s="59"/>
      <c r="J681" s="59"/>
      <c r="K681" s="59"/>
      <c r="L681" s="59"/>
      <c r="M681" s="60"/>
      <c r="N681" s="60"/>
      <c r="O681" s="60"/>
      <c r="P681" s="59"/>
      <c r="Q681" s="59"/>
      <c r="R681" s="60"/>
      <c r="S681" s="60"/>
      <c r="T681" s="60"/>
      <c r="U681" s="60"/>
      <c r="V681" s="60"/>
      <c r="W681" s="60"/>
    </row>
    <row r="682" spans="1:23" ht="13" x14ac:dyDescent="0.3">
      <c r="A682" s="58"/>
      <c r="B682" s="58"/>
      <c r="C682" s="58"/>
      <c r="D682" s="58"/>
      <c r="E682" s="58"/>
      <c r="F682" s="58"/>
      <c r="G682" s="58"/>
      <c r="H682" s="59"/>
      <c r="I682" s="59"/>
      <c r="J682" s="59"/>
      <c r="K682" s="59"/>
      <c r="L682" s="59"/>
      <c r="M682" s="60"/>
      <c r="N682" s="60"/>
      <c r="O682" s="60"/>
      <c r="P682" s="59"/>
      <c r="Q682" s="59"/>
      <c r="R682" s="60"/>
      <c r="S682" s="60"/>
      <c r="T682" s="60"/>
      <c r="U682" s="60"/>
      <c r="V682" s="60"/>
      <c r="W682" s="60"/>
    </row>
    <row r="683" spans="1:23" ht="13" x14ac:dyDescent="0.3">
      <c r="A683" s="58"/>
      <c r="B683" s="58"/>
      <c r="C683" s="58"/>
      <c r="D683" s="58"/>
      <c r="E683" s="58"/>
      <c r="F683" s="58"/>
      <c r="G683" s="58"/>
      <c r="H683" s="59"/>
      <c r="I683" s="59"/>
      <c r="J683" s="59"/>
      <c r="K683" s="59"/>
      <c r="L683" s="59"/>
      <c r="M683" s="60"/>
      <c r="N683" s="60"/>
      <c r="O683" s="60"/>
      <c r="P683" s="59"/>
      <c r="Q683" s="59"/>
      <c r="R683" s="60"/>
      <c r="S683" s="60"/>
      <c r="T683" s="60"/>
      <c r="U683" s="60"/>
      <c r="V683" s="60"/>
      <c r="W683" s="60"/>
    </row>
    <row r="684" spans="1:23" ht="13" x14ac:dyDescent="0.3">
      <c r="A684" s="58"/>
      <c r="B684" s="58"/>
      <c r="C684" s="58"/>
      <c r="D684" s="58"/>
      <c r="E684" s="58"/>
      <c r="F684" s="58"/>
      <c r="G684" s="58"/>
      <c r="H684" s="59"/>
      <c r="I684" s="59"/>
      <c r="J684" s="59"/>
      <c r="K684" s="59"/>
      <c r="L684" s="59"/>
      <c r="M684" s="60"/>
      <c r="N684" s="60"/>
      <c r="O684" s="60"/>
      <c r="P684" s="59"/>
      <c r="Q684" s="59"/>
      <c r="R684" s="60"/>
      <c r="S684" s="60"/>
      <c r="T684" s="60"/>
      <c r="U684" s="60"/>
      <c r="V684" s="60"/>
      <c r="W684" s="60"/>
    </row>
    <row r="685" spans="1:23" ht="13" x14ac:dyDescent="0.3">
      <c r="A685" s="58"/>
      <c r="B685" s="58"/>
      <c r="C685" s="58"/>
      <c r="D685" s="58"/>
      <c r="E685" s="58"/>
      <c r="F685" s="58"/>
      <c r="G685" s="58"/>
      <c r="H685" s="59"/>
      <c r="I685" s="59"/>
      <c r="J685" s="59"/>
      <c r="K685" s="59"/>
      <c r="L685" s="59"/>
      <c r="M685" s="60"/>
      <c r="N685" s="60"/>
      <c r="O685" s="60"/>
      <c r="P685" s="59"/>
      <c r="Q685" s="59"/>
      <c r="R685" s="60"/>
      <c r="S685" s="60"/>
      <c r="T685" s="60"/>
      <c r="U685" s="60"/>
      <c r="V685" s="60"/>
      <c r="W685" s="60"/>
    </row>
    <row r="686" spans="1:23" ht="13" x14ac:dyDescent="0.3">
      <c r="A686" s="58"/>
      <c r="B686" s="58"/>
      <c r="C686" s="58"/>
      <c r="D686" s="58"/>
      <c r="E686" s="58"/>
      <c r="F686" s="58"/>
      <c r="G686" s="58"/>
      <c r="H686" s="59"/>
      <c r="I686" s="59"/>
      <c r="J686" s="59"/>
      <c r="K686" s="59"/>
      <c r="L686" s="59"/>
      <c r="M686" s="60"/>
      <c r="N686" s="60"/>
      <c r="O686" s="60"/>
      <c r="P686" s="59"/>
      <c r="Q686" s="59"/>
      <c r="R686" s="60"/>
      <c r="S686" s="60"/>
      <c r="T686" s="60"/>
      <c r="U686" s="60"/>
      <c r="V686" s="60"/>
      <c r="W686" s="60"/>
    </row>
    <row r="687" spans="1:23" ht="13" x14ac:dyDescent="0.3">
      <c r="A687" s="58"/>
      <c r="B687" s="58"/>
      <c r="C687" s="58"/>
      <c r="D687" s="58"/>
      <c r="E687" s="58"/>
      <c r="F687" s="58"/>
      <c r="G687" s="58"/>
      <c r="H687" s="59"/>
      <c r="I687" s="59"/>
      <c r="J687" s="59"/>
      <c r="K687" s="59"/>
      <c r="L687" s="59"/>
      <c r="M687" s="60"/>
      <c r="N687" s="60"/>
      <c r="O687" s="60"/>
      <c r="P687" s="59"/>
      <c r="Q687" s="59"/>
      <c r="R687" s="60"/>
      <c r="S687" s="60"/>
      <c r="T687" s="60"/>
      <c r="U687" s="60"/>
      <c r="V687" s="60"/>
      <c r="W687" s="60"/>
    </row>
    <row r="688" spans="1:23" ht="13" x14ac:dyDescent="0.3">
      <c r="A688" s="58"/>
      <c r="B688" s="58"/>
      <c r="C688" s="58"/>
      <c r="D688" s="58"/>
      <c r="E688" s="58"/>
      <c r="F688" s="58"/>
      <c r="G688" s="58"/>
      <c r="H688" s="59"/>
      <c r="I688" s="59"/>
      <c r="J688" s="59"/>
      <c r="K688" s="59"/>
      <c r="L688" s="59"/>
      <c r="M688" s="60"/>
      <c r="N688" s="60"/>
      <c r="O688" s="60"/>
      <c r="P688" s="59"/>
      <c r="Q688" s="59"/>
      <c r="R688" s="60"/>
      <c r="S688" s="60"/>
      <c r="T688" s="60"/>
      <c r="U688" s="60"/>
      <c r="V688" s="60"/>
      <c r="W688" s="60"/>
    </row>
    <row r="689" spans="1:23" ht="13" x14ac:dyDescent="0.3">
      <c r="A689" s="58"/>
      <c r="B689" s="58"/>
      <c r="C689" s="58"/>
      <c r="D689" s="58"/>
      <c r="E689" s="58"/>
      <c r="F689" s="58"/>
      <c r="G689" s="58"/>
      <c r="H689" s="59"/>
      <c r="I689" s="59"/>
      <c r="J689" s="59"/>
      <c r="K689" s="59"/>
      <c r="L689" s="59"/>
      <c r="M689" s="60"/>
      <c r="N689" s="60"/>
      <c r="O689" s="60"/>
      <c r="P689" s="59"/>
      <c r="Q689" s="59"/>
      <c r="R689" s="60"/>
      <c r="S689" s="60"/>
      <c r="T689" s="60"/>
      <c r="U689" s="60"/>
      <c r="V689" s="60"/>
      <c r="W689" s="60"/>
    </row>
    <row r="690" spans="1:23" ht="13" x14ac:dyDescent="0.3">
      <c r="A690" s="58"/>
      <c r="B690" s="58"/>
      <c r="C690" s="58"/>
      <c r="D690" s="58"/>
      <c r="E690" s="58"/>
      <c r="F690" s="58"/>
      <c r="G690" s="58"/>
      <c r="H690" s="59"/>
      <c r="I690" s="59"/>
      <c r="J690" s="59"/>
      <c r="K690" s="59"/>
      <c r="L690" s="59"/>
      <c r="M690" s="60"/>
      <c r="N690" s="60"/>
      <c r="O690" s="60"/>
      <c r="P690" s="59"/>
      <c r="Q690" s="59"/>
      <c r="R690" s="60"/>
      <c r="S690" s="60"/>
      <c r="T690" s="60"/>
      <c r="U690" s="60"/>
      <c r="V690" s="60"/>
      <c r="W690" s="60"/>
    </row>
    <row r="691" spans="1:23" ht="13" x14ac:dyDescent="0.3">
      <c r="A691" s="58"/>
      <c r="B691" s="58"/>
      <c r="C691" s="58"/>
      <c r="D691" s="58"/>
      <c r="E691" s="58"/>
      <c r="F691" s="58"/>
      <c r="G691" s="58"/>
      <c r="H691" s="59"/>
      <c r="I691" s="59"/>
      <c r="J691" s="59"/>
      <c r="K691" s="59"/>
      <c r="L691" s="59"/>
      <c r="M691" s="60"/>
      <c r="N691" s="60"/>
      <c r="O691" s="60"/>
      <c r="P691" s="59"/>
      <c r="Q691" s="59"/>
      <c r="R691" s="60"/>
      <c r="S691" s="60"/>
      <c r="T691" s="60"/>
      <c r="U691" s="60"/>
      <c r="V691" s="60"/>
      <c r="W691" s="60"/>
    </row>
    <row r="692" spans="1:23" ht="13" x14ac:dyDescent="0.3">
      <c r="A692" s="58"/>
      <c r="B692" s="58"/>
      <c r="C692" s="58"/>
      <c r="D692" s="58"/>
      <c r="E692" s="58"/>
      <c r="F692" s="58"/>
      <c r="G692" s="58"/>
      <c r="H692" s="59"/>
      <c r="I692" s="59"/>
      <c r="J692" s="59"/>
      <c r="K692" s="59"/>
      <c r="L692" s="59"/>
      <c r="M692" s="60"/>
      <c r="N692" s="60"/>
      <c r="O692" s="60"/>
      <c r="P692" s="59"/>
      <c r="Q692" s="59"/>
      <c r="R692" s="60"/>
      <c r="S692" s="60"/>
      <c r="T692" s="60"/>
      <c r="U692" s="60"/>
      <c r="V692" s="60"/>
      <c r="W692" s="60"/>
    </row>
    <row r="693" spans="1:23" ht="13" x14ac:dyDescent="0.3">
      <c r="A693" s="58"/>
      <c r="B693" s="58"/>
      <c r="C693" s="58"/>
      <c r="D693" s="58"/>
      <c r="E693" s="58"/>
      <c r="F693" s="58"/>
      <c r="G693" s="58"/>
      <c r="H693" s="59"/>
      <c r="I693" s="59"/>
      <c r="J693" s="59"/>
      <c r="K693" s="59"/>
      <c r="L693" s="59"/>
      <c r="M693" s="60"/>
      <c r="N693" s="60"/>
      <c r="O693" s="60"/>
      <c r="P693" s="59"/>
      <c r="Q693" s="59"/>
      <c r="R693" s="60"/>
      <c r="S693" s="60"/>
      <c r="T693" s="60"/>
      <c r="U693" s="60"/>
      <c r="V693" s="60"/>
      <c r="W693" s="60"/>
    </row>
    <row r="694" spans="1:23" ht="13" x14ac:dyDescent="0.3">
      <c r="A694" s="58"/>
      <c r="B694" s="58"/>
      <c r="C694" s="58"/>
      <c r="D694" s="58"/>
      <c r="E694" s="58"/>
      <c r="F694" s="58"/>
      <c r="G694" s="58"/>
      <c r="H694" s="59"/>
      <c r="I694" s="59"/>
      <c r="J694" s="59"/>
      <c r="K694" s="59"/>
      <c r="L694" s="59"/>
      <c r="M694" s="60"/>
      <c r="N694" s="60"/>
      <c r="O694" s="60"/>
      <c r="P694" s="59"/>
      <c r="Q694" s="59"/>
      <c r="R694" s="60"/>
      <c r="S694" s="60"/>
      <c r="T694" s="60"/>
      <c r="U694" s="60"/>
      <c r="V694" s="60"/>
      <c r="W694" s="60"/>
    </row>
    <row r="695" spans="1:23" ht="13" x14ac:dyDescent="0.3">
      <c r="A695" s="58"/>
      <c r="B695" s="58"/>
      <c r="C695" s="58"/>
      <c r="D695" s="58"/>
      <c r="E695" s="58"/>
      <c r="F695" s="58"/>
      <c r="G695" s="58"/>
      <c r="H695" s="59"/>
      <c r="I695" s="59"/>
      <c r="J695" s="59"/>
      <c r="K695" s="59"/>
      <c r="L695" s="59"/>
      <c r="M695" s="60"/>
      <c r="N695" s="60"/>
      <c r="O695" s="60"/>
      <c r="P695" s="59"/>
      <c r="Q695" s="59"/>
      <c r="R695" s="60"/>
      <c r="S695" s="60"/>
      <c r="T695" s="60"/>
      <c r="U695" s="60"/>
      <c r="V695" s="60"/>
      <c r="W695" s="60"/>
    </row>
    <row r="696" spans="1:23" ht="13" x14ac:dyDescent="0.3">
      <c r="A696" s="58"/>
      <c r="B696" s="58"/>
      <c r="C696" s="58"/>
      <c r="D696" s="58"/>
      <c r="E696" s="58"/>
      <c r="F696" s="58"/>
      <c r="G696" s="58"/>
      <c r="H696" s="59"/>
      <c r="I696" s="59"/>
      <c r="J696" s="59"/>
      <c r="K696" s="59"/>
      <c r="L696" s="59"/>
      <c r="M696" s="60"/>
      <c r="N696" s="60"/>
      <c r="O696" s="60"/>
      <c r="P696" s="59"/>
      <c r="Q696" s="59"/>
      <c r="R696" s="60"/>
      <c r="S696" s="60"/>
      <c r="T696" s="60"/>
      <c r="U696" s="60"/>
      <c r="V696" s="60"/>
      <c r="W696" s="60"/>
    </row>
    <row r="697" spans="1:23" ht="13" x14ac:dyDescent="0.3">
      <c r="A697" s="58"/>
      <c r="B697" s="58"/>
      <c r="C697" s="58"/>
      <c r="D697" s="58"/>
      <c r="E697" s="58"/>
      <c r="F697" s="58"/>
      <c r="G697" s="58"/>
      <c r="H697" s="59"/>
      <c r="I697" s="59"/>
      <c r="J697" s="59"/>
      <c r="K697" s="59"/>
      <c r="L697" s="59"/>
      <c r="M697" s="60"/>
      <c r="N697" s="60"/>
      <c r="O697" s="60"/>
      <c r="P697" s="59"/>
      <c r="Q697" s="59"/>
      <c r="R697" s="60"/>
      <c r="S697" s="60"/>
      <c r="T697" s="60"/>
      <c r="U697" s="60"/>
      <c r="V697" s="60"/>
      <c r="W697" s="60"/>
    </row>
    <row r="698" spans="1:23" ht="13" x14ac:dyDescent="0.3">
      <c r="A698" s="58"/>
      <c r="B698" s="58"/>
      <c r="C698" s="58"/>
      <c r="D698" s="58"/>
      <c r="E698" s="58"/>
      <c r="F698" s="58"/>
      <c r="G698" s="58"/>
      <c r="H698" s="59"/>
      <c r="I698" s="59"/>
      <c r="J698" s="59"/>
      <c r="K698" s="59"/>
      <c r="L698" s="59"/>
      <c r="M698" s="60"/>
      <c r="N698" s="60"/>
      <c r="O698" s="60"/>
      <c r="P698" s="59"/>
      <c r="Q698" s="59"/>
      <c r="R698" s="60"/>
      <c r="S698" s="60"/>
      <c r="T698" s="60"/>
      <c r="U698" s="60"/>
      <c r="V698" s="60"/>
      <c r="W698" s="60"/>
    </row>
    <row r="699" spans="1:23" ht="13" x14ac:dyDescent="0.3">
      <c r="A699" s="58"/>
      <c r="B699" s="58"/>
      <c r="C699" s="58"/>
      <c r="D699" s="58"/>
      <c r="E699" s="58"/>
      <c r="F699" s="58"/>
      <c r="G699" s="58"/>
      <c r="H699" s="59"/>
      <c r="I699" s="59"/>
      <c r="J699" s="59"/>
      <c r="K699" s="59"/>
      <c r="L699" s="59"/>
      <c r="M699" s="60"/>
      <c r="N699" s="60"/>
      <c r="O699" s="60"/>
      <c r="P699" s="59"/>
      <c r="Q699" s="59"/>
      <c r="R699" s="60"/>
      <c r="S699" s="60"/>
      <c r="T699" s="60"/>
      <c r="U699" s="60"/>
      <c r="V699" s="60"/>
      <c r="W699" s="60"/>
    </row>
    <row r="700" spans="1:23" ht="13" x14ac:dyDescent="0.3">
      <c r="A700" s="58"/>
      <c r="B700" s="58"/>
      <c r="C700" s="58"/>
      <c r="D700" s="58"/>
      <c r="E700" s="58"/>
      <c r="F700" s="58"/>
      <c r="G700" s="58"/>
      <c r="H700" s="59"/>
      <c r="I700" s="59"/>
      <c r="J700" s="59"/>
      <c r="K700" s="59"/>
      <c r="L700" s="59"/>
      <c r="M700" s="60"/>
      <c r="N700" s="60"/>
      <c r="O700" s="60"/>
      <c r="P700" s="59"/>
      <c r="Q700" s="59"/>
      <c r="R700" s="60"/>
      <c r="S700" s="60"/>
      <c r="T700" s="60"/>
      <c r="U700" s="60"/>
      <c r="V700" s="60"/>
      <c r="W700" s="60"/>
    </row>
    <row r="701" spans="1:23" ht="13" x14ac:dyDescent="0.3">
      <c r="A701" s="58"/>
      <c r="B701" s="58"/>
      <c r="C701" s="58"/>
      <c r="D701" s="58"/>
      <c r="E701" s="58"/>
      <c r="F701" s="58"/>
      <c r="G701" s="58"/>
      <c r="H701" s="59"/>
      <c r="I701" s="59"/>
      <c r="J701" s="59"/>
      <c r="K701" s="59"/>
      <c r="L701" s="59"/>
      <c r="M701" s="60"/>
      <c r="N701" s="60"/>
      <c r="O701" s="60"/>
      <c r="P701" s="59"/>
      <c r="Q701" s="59"/>
      <c r="R701" s="60"/>
      <c r="S701" s="60"/>
      <c r="T701" s="60"/>
      <c r="U701" s="60"/>
      <c r="V701" s="60"/>
      <c r="W701" s="60"/>
    </row>
    <row r="702" spans="1:23" ht="13" x14ac:dyDescent="0.3">
      <c r="A702" s="58"/>
      <c r="B702" s="58"/>
      <c r="C702" s="58"/>
      <c r="D702" s="58"/>
      <c r="E702" s="58"/>
      <c r="F702" s="58"/>
      <c r="G702" s="58"/>
      <c r="H702" s="59"/>
      <c r="I702" s="59"/>
      <c r="J702" s="59"/>
      <c r="K702" s="59"/>
      <c r="L702" s="59"/>
      <c r="M702" s="60"/>
      <c r="N702" s="60"/>
      <c r="O702" s="60"/>
      <c r="P702" s="59"/>
      <c r="Q702" s="59"/>
      <c r="R702" s="60"/>
      <c r="S702" s="60"/>
      <c r="T702" s="60"/>
      <c r="U702" s="60"/>
      <c r="V702" s="60"/>
      <c r="W702" s="60"/>
    </row>
    <row r="703" spans="1:23" ht="13" x14ac:dyDescent="0.3">
      <c r="A703" s="58"/>
      <c r="B703" s="58"/>
      <c r="C703" s="58"/>
      <c r="D703" s="58"/>
      <c r="E703" s="58"/>
      <c r="F703" s="58"/>
      <c r="G703" s="58"/>
      <c r="H703" s="59"/>
      <c r="I703" s="59"/>
      <c r="J703" s="59"/>
      <c r="K703" s="59"/>
      <c r="L703" s="59"/>
      <c r="M703" s="60"/>
      <c r="N703" s="60"/>
      <c r="O703" s="60"/>
      <c r="P703" s="59"/>
      <c r="Q703" s="59"/>
      <c r="R703" s="60"/>
      <c r="S703" s="60"/>
      <c r="T703" s="60"/>
      <c r="U703" s="60"/>
      <c r="V703" s="60"/>
      <c r="W703" s="60"/>
    </row>
    <row r="704" spans="1:23" ht="13" x14ac:dyDescent="0.3">
      <c r="A704" s="58"/>
      <c r="B704" s="58"/>
      <c r="C704" s="58"/>
      <c r="D704" s="58"/>
      <c r="E704" s="58"/>
      <c r="F704" s="58"/>
      <c r="G704" s="58"/>
      <c r="H704" s="59"/>
      <c r="I704" s="59"/>
      <c r="J704" s="59"/>
      <c r="K704" s="59"/>
      <c r="L704" s="59"/>
      <c r="M704" s="60"/>
      <c r="N704" s="60"/>
      <c r="O704" s="60"/>
      <c r="P704" s="59"/>
      <c r="Q704" s="59"/>
      <c r="R704" s="60"/>
      <c r="S704" s="60"/>
      <c r="T704" s="60"/>
      <c r="U704" s="60"/>
      <c r="V704" s="60"/>
      <c r="W704" s="60"/>
    </row>
    <row r="705" spans="1:23" ht="13" x14ac:dyDescent="0.3">
      <c r="A705" s="58"/>
      <c r="B705" s="58"/>
      <c r="C705" s="58"/>
      <c r="D705" s="58"/>
      <c r="E705" s="58"/>
      <c r="F705" s="58"/>
      <c r="G705" s="58"/>
      <c r="H705" s="59"/>
      <c r="I705" s="59"/>
      <c r="J705" s="59"/>
      <c r="K705" s="59"/>
      <c r="L705" s="59"/>
      <c r="M705" s="60"/>
      <c r="N705" s="60"/>
      <c r="O705" s="60"/>
      <c r="P705" s="59"/>
      <c r="Q705" s="59"/>
      <c r="R705" s="60"/>
      <c r="S705" s="60"/>
      <c r="T705" s="60"/>
      <c r="U705" s="60"/>
      <c r="V705" s="60"/>
      <c r="W705" s="60"/>
    </row>
    <row r="706" spans="1:23" ht="13" x14ac:dyDescent="0.3">
      <c r="A706" s="58"/>
      <c r="B706" s="58"/>
      <c r="C706" s="58"/>
      <c r="D706" s="58"/>
      <c r="E706" s="58"/>
      <c r="F706" s="58"/>
      <c r="G706" s="58"/>
      <c r="H706" s="59"/>
      <c r="I706" s="59"/>
      <c r="J706" s="59"/>
      <c r="K706" s="59"/>
      <c r="L706" s="59"/>
      <c r="M706" s="60"/>
      <c r="N706" s="60"/>
      <c r="O706" s="60"/>
      <c r="P706" s="59"/>
      <c r="Q706" s="59"/>
      <c r="R706" s="60"/>
      <c r="S706" s="60"/>
      <c r="T706" s="60"/>
      <c r="U706" s="60"/>
      <c r="V706" s="60"/>
      <c r="W706" s="60"/>
    </row>
    <row r="707" spans="1:23" ht="13" x14ac:dyDescent="0.3">
      <c r="A707" s="58"/>
      <c r="B707" s="58"/>
      <c r="C707" s="58"/>
      <c r="D707" s="58"/>
      <c r="E707" s="58"/>
      <c r="F707" s="58"/>
      <c r="G707" s="58"/>
      <c r="H707" s="59"/>
      <c r="I707" s="59"/>
      <c r="J707" s="59"/>
      <c r="K707" s="59"/>
      <c r="L707" s="59"/>
      <c r="M707" s="60"/>
      <c r="N707" s="60"/>
      <c r="O707" s="60"/>
      <c r="P707" s="59"/>
      <c r="Q707" s="59"/>
      <c r="R707" s="60"/>
      <c r="S707" s="60"/>
      <c r="T707" s="60"/>
      <c r="U707" s="60"/>
      <c r="V707" s="60"/>
      <c r="W707" s="60"/>
    </row>
    <row r="708" spans="1:23" ht="13" x14ac:dyDescent="0.3">
      <c r="A708" s="58"/>
      <c r="B708" s="58"/>
      <c r="C708" s="58"/>
      <c r="D708" s="58"/>
      <c r="E708" s="58"/>
      <c r="F708" s="58"/>
      <c r="G708" s="58"/>
      <c r="H708" s="59"/>
      <c r="I708" s="59"/>
      <c r="J708" s="59"/>
      <c r="K708" s="59"/>
      <c r="L708" s="59"/>
      <c r="M708" s="60"/>
      <c r="N708" s="60"/>
      <c r="O708" s="60"/>
      <c r="P708" s="59"/>
      <c r="Q708" s="59"/>
      <c r="R708" s="60"/>
      <c r="S708" s="60"/>
      <c r="T708" s="60"/>
      <c r="U708" s="60"/>
      <c r="V708" s="60"/>
      <c r="W708" s="60"/>
    </row>
    <row r="709" spans="1:23" ht="13" x14ac:dyDescent="0.3">
      <c r="A709" s="58"/>
      <c r="B709" s="58"/>
      <c r="C709" s="58"/>
      <c r="D709" s="58"/>
      <c r="E709" s="58"/>
      <c r="F709" s="58"/>
      <c r="G709" s="58"/>
      <c r="H709" s="59"/>
      <c r="I709" s="59"/>
      <c r="J709" s="59"/>
      <c r="K709" s="59"/>
      <c r="L709" s="59"/>
      <c r="M709" s="60"/>
      <c r="N709" s="60"/>
      <c r="O709" s="60"/>
      <c r="P709" s="59"/>
      <c r="Q709" s="59"/>
      <c r="R709" s="60"/>
      <c r="S709" s="60"/>
      <c r="T709" s="60"/>
      <c r="U709" s="60"/>
      <c r="V709" s="60"/>
      <c r="W709" s="60"/>
    </row>
    <row r="710" spans="1:23" ht="13" x14ac:dyDescent="0.3">
      <c r="A710" s="58"/>
      <c r="B710" s="58"/>
      <c r="C710" s="58"/>
      <c r="D710" s="58"/>
      <c r="E710" s="58"/>
      <c r="F710" s="58"/>
      <c r="G710" s="58"/>
      <c r="H710" s="59"/>
      <c r="I710" s="59"/>
      <c r="J710" s="59"/>
      <c r="K710" s="59"/>
      <c r="L710" s="59"/>
      <c r="M710" s="60"/>
      <c r="N710" s="60"/>
      <c r="O710" s="60"/>
      <c r="P710" s="59"/>
      <c r="Q710" s="59"/>
      <c r="R710" s="60"/>
      <c r="S710" s="60"/>
      <c r="T710" s="60"/>
      <c r="U710" s="60"/>
      <c r="V710" s="60"/>
      <c r="W710" s="60"/>
    </row>
    <row r="711" spans="1:23" ht="13" x14ac:dyDescent="0.3">
      <c r="A711" s="58"/>
      <c r="B711" s="58"/>
      <c r="C711" s="58"/>
      <c r="D711" s="58"/>
      <c r="E711" s="58"/>
      <c r="F711" s="58"/>
      <c r="G711" s="58"/>
      <c r="H711" s="59"/>
      <c r="I711" s="59"/>
      <c r="J711" s="59"/>
      <c r="K711" s="59"/>
      <c r="L711" s="59"/>
      <c r="M711" s="60"/>
      <c r="N711" s="60"/>
      <c r="O711" s="60"/>
      <c r="P711" s="59"/>
      <c r="Q711" s="59"/>
      <c r="R711" s="60"/>
      <c r="S711" s="60"/>
      <c r="T711" s="60"/>
      <c r="U711" s="60"/>
      <c r="V711" s="60"/>
      <c r="W711" s="60"/>
    </row>
    <row r="712" spans="1:23" ht="13" x14ac:dyDescent="0.3">
      <c r="A712" s="58"/>
      <c r="B712" s="58"/>
      <c r="C712" s="58"/>
      <c r="D712" s="58"/>
      <c r="E712" s="58"/>
      <c r="F712" s="58"/>
      <c r="G712" s="58"/>
      <c r="H712" s="59"/>
      <c r="I712" s="59"/>
      <c r="J712" s="59"/>
      <c r="K712" s="59"/>
      <c r="L712" s="59"/>
      <c r="M712" s="60"/>
      <c r="N712" s="60"/>
      <c r="O712" s="60"/>
      <c r="P712" s="59"/>
      <c r="Q712" s="59"/>
      <c r="R712" s="60"/>
      <c r="S712" s="60"/>
      <c r="T712" s="60"/>
      <c r="U712" s="60"/>
      <c r="V712" s="60"/>
      <c r="W712" s="60"/>
    </row>
    <row r="713" spans="1:23" ht="13" x14ac:dyDescent="0.3">
      <c r="A713" s="58"/>
      <c r="B713" s="58"/>
      <c r="C713" s="58"/>
      <c r="D713" s="58"/>
      <c r="E713" s="58"/>
      <c r="F713" s="58"/>
      <c r="G713" s="58"/>
      <c r="H713" s="59"/>
      <c r="I713" s="59"/>
      <c r="J713" s="59"/>
      <c r="K713" s="59"/>
      <c r="L713" s="59"/>
      <c r="M713" s="60"/>
      <c r="N713" s="60"/>
      <c r="O713" s="60"/>
      <c r="P713" s="59"/>
      <c r="Q713" s="59"/>
      <c r="R713" s="60"/>
      <c r="S713" s="60"/>
      <c r="T713" s="60"/>
      <c r="U713" s="60"/>
      <c r="V713" s="60"/>
      <c r="W713" s="60"/>
    </row>
    <row r="714" spans="1:23" ht="13" x14ac:dyDescent="0.3">
      <c r="A714" s="58"/>
      <c r="B714" s="58"/>
      <c r="C714" s="58"/>
      <c r="D714" s="58"/>
      <c r="E714" s="58"/>
      <c r="F714" s="58"/>
      <c r="G714" s="58"/>
      <c r="H714" s="59"/>
      <c r="I714" s="59"/>
      <c r="J714" s="59"/>
      <c r="K714" s="59"/>
      <c r="L714" s="59"/>
      <c r="M714" s="60"/>
      <c r="N714" s="60"/>
      <c r="O714" s="60"/>
      <c r="P714" s="59"/>
      <c r="Q714" s="59"/>
      <c r="R714" s="60"/>
      <c r="S714" s="60"/>
      <c r="T714" s="60"/>
      <c r="U714" s="60"/>
      <c r="V714" s="60"/>
      <c r="W714" s="60"/>
    </row>
    <row r="715" spans="1:23" ht="13" x14ac:dyDescent="0.3">
      <c r="A715" s="58"/>
      <c r="B715" s="58"/>
      <c r="C715" s="58"/>
      <c r="D715" s="58"/>
      <c r="E715" s="58"/>
      <c r="F715" s="58"/>
      <c r="G715" s="58"/>
      <c r="H715" s="59"/>
      <c r="I715" s="59"/>
      <c r="J715" s="59"/>
      <c r="K715" s="59"/>
      <c r="L715" s="59"/>
      <c r="M715" s="60"/>
      <c r="N715" s="60"/>
      <c r="O715" s="60"/>
      <c r="P715" s="59"/>
      <c r="Q715" s="59"/>
      <c r="R715" s="60"/>
      <c r="S715" s="60"/>
      <c r="T715" s="60"/>
      <c r="U715" s="60"/>
      <c r="V715" s="60"/>
      <c r="W715" s="60"/>
    </row>
    <row r="716" spans="1:23" ht="13" x14ac:dyDescent="0.3">
      <c r="A716" s="58"/>
      <c r="B716" s="58"/>
      <c r="C716" s="58"/>
      <c r="D716" s="58"/>
      <c r="E716" s="58"/>
      <c r="F716" s="58"/>
      <c r="G716" s="58"/>
      <c r="H716" s="59"/>
      <c r="I716" s="59"/>
      <c r="J716" s="59"/>
      <c r="K716" s="59"/>
      <c r="L716" s="59"/>
      <c r="M716" s="60"/>
      <c r="N716" s="60"/>
      <c r="O716" s="60"/>
      <c r="P716" s="59"/>
      <c r="Q716" s="59"/>
      <c r="R716" s="60"/>
      <c r="S716" s="60"/>
      <c r="T716" s="60"/>
      <c r="U716" s="60"/>
      <c r="V716" s="60"/>
      <c r="W716" s="60"/>
    </row>
    <row r="717" spans="1:23" ht="13" x14ac:dyDescent="0.3">
      <c r="A717" s="58"/>
      <c r="B717" s="58"/>
      <c r="C717" s="58"/>
      <c r="D717" s="58"/>
      <c r="E717" s="58"/>
      <c r="F717" s="58"/>
      <c r="G717" s="58"/>
      <c r="H717" s="59"/>
      <c r="I717" s="59"/>
      <c r="J717" s="59"/>
      <c r="K717" s="59"/>
      <c r="L717" s="59"/>
      <c r="M717" s="60"/>
      <c r="N717" s="60"/>
      <c r="O717" s="60"/>
      <c r="P717" s="59"/>
      <c r="Q717" s="59"/>
      <c r="R717" s="60"/>
      <c r="S717" s="60"/>
      <c r="T717" s="60"/>
      <c r="U717" s="60"/>
      <c r="V717" s="60"/>
      <c r="W717" s="60"/>
    </row>
    <row r="718" spans="1:23" ht="13" x14ac:dyDescent="0.3">
      <c r="A718" s="58"/>
      <c r="B718" s="58"/>
      <c r="C718" s="58"/>
      <c r="D718" s="58"/>
      <c r="E718" s="58"/>
      <c r="F718" s="58"/>
      <c r="G718" s="58"/>
      <c r="H718" s="59"/>
      <c r="I718" s="59"/>
      <c r="J718" s="59"/>
      <c r="K718" s="59"/>
      <c r="L718" s="59"/>
      <c r="M718" s="60"/>
      <c r="N718" s="60"/>
      <c r="O718" s="60"/>
      <c r="P718" s="59"/>
      <c r="Q718" s="59"/>
      <c r="R718" s="60"/>
      <c r="S718" s="60"/>
      <c r="T718" s="60"/>
      <c r="U718" s="60"/>
      <c r="V718" s="60"/>
      <c r="W718" s="60"/>
    </row>
    <row r="719" spans="1:23" ht="13" x14ac:dyDescent="0.3">
      <c r="A719" s="58"/>
      <c r="B719" s="58"/>
      <c r="C719" s="58"/>
      <c r="D719" s="58"/>
      <c r="E719" s="58"/>
      <c r="F719" s="58"/>
      <c r="G719" s="58"/>
      <c r="H719" s="59"/>
      <c r="I719" s="59"/>
      <c r="J719" s="59"/>
      <c r="K719" s="59"/>
      <c r="L719" s="59"/>
      <c r="M719" s="60"/>
      <c r="N719" s="60"/>
      <c r="O719" s="60"/>
      <c r="P719" s="59"/>
      <c r="Q719" s="59"/>
      <c r="R719" s="60"/>
      <c r="S719" s="60"/>
      <c r="T719" s="60"/>
      <c r="U719" s="60"/>
      <c r="V719" s="60"/>
      <c r="W719" s="60"/>
    </row>
    <row r="720" spans="1:23" ht="13" x14ac:dyDescent="0.3">
      <c r="A720" s="58"/>
      <c r="B720" s="58"/>
      <c r="C720" s="58"/>
      <c r="D720" s="58"/>
      <c r="E720" s="58"/>
      <c r="F720" s="58"/>
      <c r="G720" s="58"/>
      <c r="H720" s="59"/>
      <c r="I720" s="59"/>
      <c r="J720" s="59"/>
      <c r="K720" s="59"/>
      <c r="L720" s="59"/>
      <c r="M720" s="60"/>
      <c r="N720" s="60"/>
      <c r="O720" s="60"/>
      <c r="P720" s="59"/>
      <c r="Q720" s="59"/>
      <c r="R720" s="60"/>
      <c r="S720" s="60"/>
      <c r="T720" s="60"/>
      <c r="U720" s="60"/>
      <c r="V720" s="60"/>
      <c r="W720" s="60"/>
    </row>
    <row r="721" spans="1:23" ht="13" x14ac:dyDescent="0.3">
      <c r="A721" s="58"/>
      <c r="B721" s="58"/>
      <c r="C721" s="58"/>
      <c r="D721" s="58"/>
      <c r="E721" s="58"/>
      <c r="F721" s="58"/>
      <c r="G721" s="58"/>
      <c r="H721" s="59"/>
      <c r="I721" s="59"/>
      <c r="J721" s="59"/>
      <c r="K721" s="59"/>
      <c r="L721" s="59"/>
      <c r="M721" s="60"/>
      <c r="N721" s="60"/>
      <c r="O721" s="60"/>
      <c r="P721" s="59"/>
      <c r="Q721" s="59"/>
      <c r="R721" s="60"/>
      <c r="S721" s="60"/>
      <c r="T721" s="60"/>
      <c r="U721" s="60"/>
      <c r="V721" s="60"/>
      <c r="W721" s="60"/>
    </row>
    <row r="722" spans="1:23" ht="13" x14ac:dyDescent="0.3">
      <c r="A722" s="58"/>
      <c r="B722" s="58"/>
      <c r="C722" s="58"/>
      <c r="D722" s="58"/>
      <c r="E722" s="58"/>
      <c r="F722" s="58"/>
      <c r="G722" s="58"/>
      <c r="H722" s="59"/>
      <c r="I722" s="59"/>
      <c r="J722" s="59"/>
      <c r="K722" s="59"/>
      <c r="L722" s="59"/>
      <c r="M722" s="60"/>
      <c r="N722" s="60"/>
      <c r="O722" s="60"/>
      <c r="P722" s="59"/>
      <c r="Q722" s="59"/>
      <c r="R722" s="60"/>
      <c r="S722" s="60"/>
      <c r="T722" s="60"/>
      <c r="U722" s="60"/>
      <c r="V722" s="60"/>
      <c r="W722" s="60"/>
    </row>
    <row r="723" spans="1:23" ht="13" x14ac:dyDescent="0.3">
      <c r="A723" s="58"/>
      <c r="B723" s="58"/>
      <c r="C723" s="58"/>
      <c r="D723" s="58"/>
      <c r="E723" s="58"/>
      <c r="F723" s="58"/>
      <c r="G723" s="58"/>
      <c r="H723" s="59"/>
      <c r="I723" s="59"/>
      <c r="J723" s="59"/>
      <c r="K723" s="59"/>
      <c r="L723" s="59"/>
      <c r="M723" s="60"/>
      <c r="N723" s="60"/>
      <c r="O723" s="60"/>
      <c r="P723" s="59"/>
      <c r="Q723" s="59"/>
      <c r="R723" s="60"/>
      <c r="S723" s="60"/>
      <c r="T723" s="60"/>
      <c r="U723" s="60"/>
      <c r="V723" s="60"/>
      <c r="W723" s="60"/>
    </row>
    <row r="724" spans="1:23" ht="13" x14ac:dyDescent="0.3">
      <c r="A724" s="58"/>
      <c r="B724" s="58"/>
      <c r="C724" s="58"/>
      <c r="D724" s="58"/>
      <c r="E724" s="58"/>
      <c r="F724" s="58"/>
      <c r="G724" s="58"/>
      <c r="H724" s="59"/>
      <c r="I724" s="59"/>
      <c r="J724" s="59"/>
      <c r="K724" s="59"/>
      <c r="L724" s="59"/>
      <c r="M724" s="60"/>
      <c r="N724" s="60"/>
      <c r="O724" s="60"/>
      <c r="P724" s="59"/>
      <c r="Q724" s="59"/>
      <c r="R724" s="60"/>
      <c r="S724" s="60"/>
      <c r="T724" s="60"/>
      <c r="U724" s="60"/>
      <c r="V724" s="60"/>
      <c r="W724" s="60"/>
    </row>
    <row r="725" spans="1:23" ht="13" x14ac:dyDescent="0.3">
      <c r="A725" s="58"/>
      <c r="B725" s="58"/>
      <c r="C725" s="58"/>
      <c r="D725" s="58"/>
      <c r="E725" s="58"/>
      <c r="F725" s="58"/>
      <c r="G725" s="58"/>
      <c r="H725" s="59"/>
      <c r="I725" s="59"/>
      <c r="J725" s="59"/>
      <c r="K725" s="59"/>
      <c r="L725" s="59"/>
      <c r="M725" s="60"/>
      <c r="N725" s="60"/>
      <c r="O725" s="60"/>
      <c r="P725" s="59"/>
      <c r="Q725" s="59"/>
      <c r="R725" s="60"/>
      <c r="S725" s="60"/>
      <c r="T725" s="60"/>
      <c r="U725" s="60"/>
      <c r="V725" s="60"/>
      <c r="W725" s="60"/>
    </row>
    <row r="726" spans="1:23" ht="13" x14ac:dyDescent="0.3">
      <c r="A726" s="58"/>
      <c r="B726" s="58"/>
      <c r="C726" s="58"/>
      <c r="D726" s="58"/>
      <c r="E726" s="58"/>
      <c r="F726" s="58"/>
      <c r="G726" s="58"/>
      <c r="H726" s="59"/>
      <c r="I726" s="59"/>
      <c r="J726" s="59"/>
      <c r="K726" s="59"/>
      <c r="L726" s="59"/>
      <c r="M726" s="60"/>
      <c r="N726" s="60"/>
      <c r="O726" s="60"/>
      <c r="P726" s="59"/>
      <c r="Q726" s="59"/>
      <c r="R726" s="60"/>
      <c r="S726" s="60"/>
      <c r="T726" s="60"/>
      <c r="U726" s="60"/>
      <c r="V726" s="60"/>
      <c r="W726" s="60"/>
    </row>
    <row r="727" spans="1:23" ht="13" x14ac:dyDescent="0.3">
      <c r="A727" s="58"/>
      <c r="B727" s="58"/>
      <c r="C727" s="58"/>
      <c r="D727" s="58"/>
      <c r="E727" s="58"/>
      <c r="F727" s="58"/>
      <c r="G727" s="58"/>
      <c r="H727" s="59"/>
      <c r="I727" s="59"/>
      <c r="J727" s="59"/>
      <c r="K727" s="59"/>
      <c r="L727" s="59"/>
      <c r="M727" s="60"/>
      <c r="N727" s="60"/>
      <c r="O727" s="60"/>
      <c r="P727" s="59"/>
      <c r="Q727" s="59"/>
      <c r="R727" s="60"/>
      <c r="S727" s="60"/>
      <c r="T727" s="60"/>
      <c r="U727" s="60"/>
      <c r="V727" s="60"/>
      <c r="W727" s="60"/>
    </row>
    <row r="728" spans="1:23" ht="13" x14ac:dyDescent="0.3">
      <c r="A728" s="58"/>
      <c r="B728" s="58"/>
      <c r="C728" s="58"/>
      <c r="D728" s="58"/>
      <c r="E728" s="58"/>
      <c r="F728" s="58"/>
      <c r="G728" s="58"/>
      <c r="H728" s="59"/>
      <c r="I728" s="59"/>
      <c r="J728" s="59"/>
      <c r="K728" s="59"/>
      <c r="L728" s="59"/>
      <c r="M728" s="60"/>
      <c r="N728" s="60"/>
      <c r="O728" s="60"/>
      <c r="P728" s="59"/>
      <c r="Q728" s="59"/>
      <c r="R728" s="60"/>
      <c r="S728" s="60"/>
      <c r="T728" s="60"/>
      <c r="U728" s="60"/>
      <c r="V728" s="60"/>
      <c r="W728" s="60"/>
    </row>
    <row r="729" spans="1:23" ht="13" x14ac:dyDescent="0.3">
      <c r="A729" s="58"/>
      <c r="B729" s="58"/>
      <c r="C729" s="58"/>
      <c r="D729" s="58"/>
      <c r="E729" s="58"/>
      <c r="F729" s="58"/>
      <c r="G729" s="58"/>
      <c r="H729" s="59"/>
      <c r="I729" s="59"/>
      <c r="J729" s="59"/>
      <c r="K729" s="59"/>
      <c r="L729" s="59"/>
      <c r="M729" s="60"/>
      <c r="N729" s="60"/>
      <c r="O729" s="60"/>
      <c r="P729" s="59"/>
      <c r="Q729" s="59"/>
      <c r="R729" s="60"/>
      <c r="S729" s="60"/>
      <c r="T729" s="60"/>
      <c r="U729" s="60"/>
      <c r="V729" s="60"/>
      <c r="W729" s="60"/>
    </row>
    <row r="730" spans="1:23" ht="13" x14ac:dyDescent="0.3">
      <c r="A730" s="58"/>
      <c r="B730" s="58"/>
      <c r="C730" s="58"/>
      <c r="D730" s="58"/>
      <c r="E730" s="58"/>
      <c r="F730" s="58"/>
      <c r="G730" s="58"/>
      <c r="H730" s="59"/>
      <c r="I730" s="59"/>
      <c r="J730" s="59"/>
      <c r="K730" s="59"/>
      <c r="L730" s="59"/>
      <c r="M730" s="60"/>
      <c r="N730" s="60"/>
      <c r="O730" s="60"/>
      <c r="P730" s="59"/>
      <c r="Q730" s="59"/>
      <c r="R730" s="60"/>
      <c r="S730" s="60"/>
      <c r="T730" s="60"/>
      <c r="U730" s="60"/>
      <c r="V730" s="60"/>
      <c r="W730" s="60"/>
    </row>
    <row r="731" spans="1:23" ht="13" x14ac:dyDescent="0.3">
      <c r="A731" s="58"/>
      <c r="B731" s="58"/>
      <c r="C731" s="58"/>
      <c r="D731" s="58"/>
      <c r="E731" s="58"/>
      <c r="F731" s="58"/>
      <c r="G731" s="58"/>
      <c r="H731" s="59"/>
      <c r="I731" s="59"/>
      <c r="J731" s="59"/>
      <c r="K731" s="59"/>
      <c r="L731" s="59"/>
      <c r="M731" s="60"/>
      <c r="N731" s="60"/>
      <c r="O731" s="60"/>
      <c r="P731" s="59"/>
      <c r="Q731" s="59"/>
      <c r="R731" s="60"/>
      <c r="S731" s="60"/>
      <c r="T731" s="60"/>
      <c r="U731" s="60"/>
      <c r="V731" s="60"/>
      <c r="W731" s="60"/>
    </row>
    <row r="732" spans="1:23" ht="13" x14ac:dyDescent="0.3">
      <c r="A732" s="58"/>
      <c r="B732" s="58"/>
      <c r="C732" s="58"/>
      <c r="D732" s="58"/>
      <c r="E732" s="58"/>
      <c r="F732" s="58"/>
      <c r="G732" s="58"/>
      <c r="H732" s="59"/>
      <c r="I732" s="59"/>
      <c r="J732" s="59"/>
      <c r="K732" s="59"/>
      <c r="L732" s="59"/>
      <c r="M732" s="60"/>
      <c r="N732" s="60"/>
      <c r="O732" s="60"/>
      <c r="P732" s="59"/>
      <c r="Q732" s="59"/>
      <c r="R732" s="60"/>
      <c r="S732" s="60"/>
      <c r="T732" s="60"/>
      <c r="U732" s="60"/>
      <c r="V732" s="60"/>
      <c r="W732" s="60"/>
    </row>
    <row r="733" spans="1:23" ht="13" x14ac:dyDescent="0.3">
      <c r="A733" s="58"/>
      <c r="B733" s="58"/>
      <c r="C733" s="58"/>
      <c r="D733" s="58"/>
      <c r="E733" s="58"/>
      <c r="F733" s="58"/>
      <c r="G733" s="58"/>
      <c r="H733" s="59"/>
      <c r="I733" s="59"/>
      <c r="J733" s="59"/>
      <c r="K733" s="59"/>
      <c r="L733" s="59"/>
      <c r="M733" s="60"/>
      <c r="N733" s="60"/>
      <c r="O733" s="60"/>
      <c r="P733" s="59"/>
      <c r="Q733" s="59"/>
      <c r="R733" s="60"/>
      <c r="S733" s="60"/>
      <c r="T733" s="60"/>
      <c r="U733" s="60"/>
      <c r="V733" s="60"/>
      <c r="W733" s="60"/>
    </row>
    <row r="734" spans="1:23" ht="13" x14ac:dyDescent="0.3">
      <c r="A734" s="58"/>
      <c r="B734" s="58"/>
      <c r="C734" s="58"/>
      <c r="D734" s="58"/>
      <c r="E734" s="58"/>
      <c r="F734" s="58"/>
      <c r="G734" s="58"/>
      <c r="H734" s="59"/>
      <c r="I734" s="59"/>
      <c r="J734" s="59"/>
      <c r="K734" s="59"/>
      <c r="L734" s="59"/>
      <c r="M734" s="60"/>
      <c r="N734" s="60"/>
      <c r="O734" s="60"/>
      <c r="P734" s="59"/>
      <c r="Q734" s="59"/>
      <c r="R734" s="60"/>
      <c r="S734" s="60"/>
      <c r="T734" s="60"/>
      <c r="U734" s="60"/>
      <c r="V734" s="60"/>
      <c r="W734" s="60"/>
    </row>
    <row r="735" spans="1:23" ht="13" x14ac:dyDescent="0.3">
      <c r="A735" s="58"/>
      <c r="B735" s="58"/>
      <c r="C735" s="58"/>
      <c r="D735" s="58"/>
      <c r="E735" s="58"/>
      <c r="F735" s="58"/>
      <c r="G735" s="58"/>
      <c r="H735" s="59"/>
      <c r="I735" s="59"/>
      <c r="J735" s="59"/>
      <c r="K735" s="59"/>
      <c r="L735" s="59"/>
      <c r="M735" s="60"/>
      <c r="N735" s="60"/>
      <c r="O735" s="60"/>
      <c r="P735" s="59"/>
      <c r="Q735" s="59"/>
      <c r="R735" s="60"/>
      <c r="S735" s="60"/>
      <c r="T735" s="60"/>
      <c r="U735" s="60"/>
      <c r="V735" s="60"/>
      <c r="W735" s="60"/>
    </row>
    <row r="736" spans="1:23" ht="13" x14ac:dyDescent="0.3">
      <c r="A736" s="58"/>
      <c r="B736" s="58"/>
      <c r="C736" s="58"/>
      <c r="D736" s="58"/>
      <c r="E736" s="58"/>
      <c r="F736" s="58"/>
      <c r="G736" s="58"/>
      <c r="H736" s="59"/>
      <c r="I736" s="59"/>
      <c r="J736" s="59"/>
      <c r="K736" s="59"/>
      <c r="L736" s="59"/>
      <c r="M736" s="60"/>
      <c r="N736" s="60"/>
      <c r="O736" s="60"/>
      <c r="P736" s="59"/>
      <c r="Q736" s="59"/>
      <c r="R736" s="60"/>
      <c r="S736" s="60"/>
      <c r="T736" s="60"/>
      <c r="U736" s="60"/>
      <c r="V736" s="60"/>
      <c r="W736" s="60"/>
    </row>
    <row r="737" spans="1:23" ht="13" x14ac:dyDescent="0.3">
      <c r="A737" s="58"/>
      <c r="B737" s="58"/>
      <c r="C737" s="58"/>
      <c r="D737" s="58"/>
      <c r="E737" s="58"/>
      <c r="F737" s="58"/>
      <c r="G737" s="58"/>
      <c r="H737" s="59"/>
      <c r="I737" s="59"/>
      <c r="J737" s="59"/>
      <c r="K737" s="59"/>
      <c r="L737" s="59"/>
      <c r="M737" s="60"/>
      <c r="N737" s="60"/>
      <c r="O737" s="60"/>
      <c r="P737" s="59"/>
      <c r="Q737" s="59"/>
      <c r="R737" s="60"/>
      <c r="S737" s="60"/>
      <c r="T737" s="60"/>
      <c r="U737" s="60"/>
      <c r="V737" s="60"/>
      <c r="W737" s="60"/>
    </row>
    <row r="738" spans="1:23" ht="13" x14ac:dyDescent="0.3">
      <c r="A738" s="58"/>
      <c r="B738" s="58"/>
      <c r="C738" s="58"/>
      <c r="D738" s="58"/>
      <c r="E738" s="58"/>
      <c r="F738" s="58"/>
      <c r="G738" s="58"/>
      <c r="H738" s="59"/>
      <c r="I738" s="59"/>
      <c r="J738" s="59"/>
      <c r="K738" s="59"/>
      <c r="L738" s="59"/>
      <c r="M738" s="60"/>
      <c r="N738" s="60"/>
      <c r="O738" s="60"/>
      <c r="P738" s="59"/>
      <c r="Q738" s="59"/>
      <c r="R738" s="60"/>
      <c r="S738" s="60"/>
      <c r="T738" s="60"/>
      <c r="U738" s="60"/>
      <c r="V738" s="60"/>
      <c r="W738" s="60"/>
    </row>
    <row r="739" spans="1:23" ht="13" x14ac:dyDescent="0.3">
      <c r="A739" s="58"/>
      <c r="B739" s="58"/>
      <c r="C739" s="58"/>
      <c r="D739" s="58"/>
      <c r="E739" s="58"/>
      <c r="F739" s="58"/>
      <c r="G739" s="58"/>
      <c r="H739" s="59"/>
      <c r="I739" s="59"/>
      <c r="J739" s="59"/>
      <c r="K739" s="59"/>
      <c r="L739" s="59"/>
      <c r="M739" s="60"/>
      <c r="N739" s="60"/>
      <c r="O739" s="60"/>
      <c r="P739" s="59"/>
      <c r="Q739" s="59"/>
      <c r="R739" s="60"/>
      <c r="S739" s="60"/>
      <c r="T739" s="60"/>
      <c r="U739" s="60"/>
      <c r="V739" s="60"/>
      <c r="W739" s="60"/>
    </row>
    <row r="740" spans="1:23" ht="13" x14ac:dyDescent="0.3">
      <c r="A740" s="58"/>
      <c r="B740" s="58"/>
      <c r="C740" s="58"/>
      <c r="D740" s="58"/>
      <c r="E740" s="58"/>
      <c r="F740" s="58"/>
      <c r="G740" s="58"/>
      <c r="H740" s="59"/>
      <c r="I740" s="59"/>
      <c r="J740" s="59"/>
      <c r="K740" s="59"/>
      <c r="L740" s="59"/>
      <c r="M740" s="60"/>
      <c r="N740" s="60"/>
      <c r="O740" s="60"/>
      <c r="P740" s="59"/>
      <c r="Q740" s="59"/>
      <c r="R740" s="60"/>
      <c r="S740" s="60"/>
      <c r="T740" s="60"/>
      <c r="U740" s="60"/>
      <c r="V740" s="60"/>
      <c r="W740" s="60"/>
    </row>
    <row r="741" spans="1:23" ht="13" x14ac:dyDescent="0.3">
      <c r="A741" s="58"/>
      <c r="B741" s="58"/>
      <c r="C741" s="58"/>
      <c r="D741" s="58"/>
      <c r="E741" s="58"/>
      <c r="F741" s="58"/>
      <c r="G741" s="58"/>
      <c r="H741" s="59"/>
      <c r="I741" s="59"/>
      <c r="J741" s="59"/>
      <c r="K741" s="59"/>
      <c r="L741" s="59"/>
      <c r="M741" s="60"/>
      <c r="N741" s="60"/>
      <c r="O741" s="60"/>
      <c r="P741" s="59"/>
      <c r="Q741" s="59"/>
      <c r="R741" s="60"/>
      <c r="S741" s="60"/>
      <c r="T741" s="60"/>
      <c r="U741" s="60"/>
      <c r="V741" s="60"/>
      <c r="W741" s="60"/>
    </row>
    <row r="742" spans="1:23" ht="13" x14ac:dyDescent="0.3">
      <c r="A742" s="58"/>
      <c r="B742" s="58"/>
      <c r="C742" s="58"/>
      <c r="D742" s="58"/>
      <c r="E742" s="58"/>
      <c r="F742" s="58"/>
      <c r="G742" s="58"/>
      <c r="H742" s="59"/>
      <c r="I742" s="59"/>
      <c r="J742" s="59"/>
      <c r="K742" s="59"/>
      <c r="L742" s="59"/>
      <c r="M742" s="60"/>
      <c r="N742" s="60"/>
      <c r="O742" s="60"/>
      <c r="P742" s="59"/>
      <c r="Q742" s="59"/>
      <c r="R742" s="60"/>
      <c r="S742" s="60"/>
      <c r="T742" s="60"/>
      <c r="U742" s="60"/>
      <c r="V742" s="60"/>
      <c r="W742" s="60"/>
    </row>
    <row r="743" spans="1:23" ht="13" x14ac:dyDescent="0.3">
      <c r="A743" s="58"/>
      <c r="B743" s="58"/>
      <c r="C743" s="58"/>
      <c r="D743" s="58"/>
      <c r="E743" s="58"/>
      <c r="F743" s="58"/>
      <c r="G743" s="58"/>
      <c r="H743" s="59"/>
      <c r="I743" s="59"/>
      <c r="J743" s="59"/>
      <c r="K743" s="59"/>
      <c r="L743" s="59"/>
      <c r="M743" s="60"/>
      <c r="N743" s="60"/>
      <c r="O743" s="60"/>
      <c r="P743" s="59"/>
      <c r="Q743" s="59"/>
      <c r="R743" s="60"/>
      <c r="S743" s="60"/>
      <c r="T743" s="60"/>
      <c r="U743" s="60"/>
      <c r="V743" s="60"/>
      <c r="W743" s="60"/>
    </row>
    <row r="744" spans="1:23" ht="13" x14ac:dyDescent="0.3">
      <c r="A744" s="58"/>
      <c r="B744" s="58"/>
      <c r="C744" s="58"/>
      <c r="D744" s="58"/>
      <c r="E744" s="58"/>
      <c r="F744" s="58"/>
      <c r="G744" s="58"/>
      <c r="H744" s="59"/>
      <c r="I744" s="59"/>
      <c r="J744" s="59"/>
      <c r="K744" s="59"/>
      <c r="L744" s="59"/>
      <c r="M744" s="60"/>
      <c r="N744" s="60"/>
      <c r="O744" s="60"/>
      <c r="P744" s="59"/>
      <c r="Q744" s="59"/>
      <c r="R744" s="60"/>
      <c r="S744" s="60"/>
      <c r="T744" s="60"/>
      <c r="U744" s="60"/>
      <c r="V744" s="60"/>
      <c r="W744" s="60"/>
    </row>
    <row r="745" spans="1:23" ht="13" x14ac:dyDescent="0.3">
      <c r="A745" s="58"/>
      <c r="B745" s="58"/>
      <c r="C745" s="58"/>
      <c r="D745" s="58"/>
      <c r="E745" s="58"/>
      <c r="F745" s="58"/>
      <c r="G745" s="58"/>
      <c r="H745" s="59"/>
      <c r="I745" s="59"/>
      <c r="J745" s="59"/>
      <c r="K745" s="59"/>
      <c r="L745" s="59"/>
      <c r="M745" s="60"/>
      <c r="N745" s="60"/>
      <c r="O745" s="60"/>
      <c r="P745" s="59"/>
      <c r="Q745" s="59"/>
      <c r="R745" s="60"/>
      <c r="S745" s="60"/>
      <c r="T745" s="60"/>
      <c r="U745" s="60"/>
      <c r="V745" s="60"/>
      <c r="W745" s="60"/>
    </row>
    <row r="746" spans="1:23" ht="13" x14ac:dyDescent="0.3">
      <c r="A746" s="58"/>
      <c r="B746" s="58"/>
      <c r="C746" s="58"/>
      <c r="D746" s="58"/>
      <c r="E746" s="58"/>
      <c r="F746" s="58"/>
      <c r="G746" s="58"/>
      <c r="H746" s="59"/>
      <c r="I746" s="59"/>
      <c r="J746" s="59"/>
      <c r="K746" s="59"/>
      <c r="L746" s="59"/>
      <c r="M746" s="60"/>
      <c r="N746" s="60"/>
      <c r="O746" s="60"/>
      <c r="P746" s="59"/>
      <c r="Q746" s="59"/>
      <c r="R746" s="60"/>
      <c r="S746" s="60"/>
      <c r="T746" s="60"/>
      <c r="U746" s="60"/>
      <c r="V746" s="60"/>
      <c r="W746" s="60"/>
    </row>
    <row r="747" spans="1:23" ht="13" x14ac:dyDescent="0.3">
      <c r="A747" s="58"/>
      <c r="B747" s="58"/>
      <c r="C747" s="58"/>
      <c r="D747" s="58"/>
      <c r="E747" s="58"/>
      <c r="F747" s="58"/>
      <c r="G747" s="58"/>
      <c r="H747" s="59"/>
      <c r="I747" s="59"/>
      <c r="J747" s="59"/>
      <c r="K747" s="59"/>
      <c r="L747" s="59"/>
      <c r="M747" s="60"/>
      <c r="N747" s="60"/>
      <c r="O747" s="60"/>
      <c r="P747" s="59"/>
      <c r="Q747" s="59"/>
      <c r="R747" s="60"/>
      <c r="S747" s="60"/>
      <c r="T747" s="60"/>
      <c r="U747" s="60"/>
      <c r="V747" s="60"/>
      <c r="W747" s="60"/>
    </row>
    <row r="748" spans="1:23" ht="13" x14ac:dyDescent="0.3">
      <c r="A748" s="58"/>
      <c r="B748" s="58"/>
      <c r="C748" s="58"/>
      <c r="D748" s="58"/>
      <c r="E748" s="58"/>
      <c r="F748" s="58"/>
      <c r="G748" s="58"/>
      <c r="H748" s="59"/>
      <c r="I748" s="59"/>
      <c r="J748" s="59"/>
      <c r="K748" s="59"/>
      <c r="L748" s="59"/>
      <c r="M748" s="60"/>
      <c r="N748" s="60"/>
      <c r="O748" s="60"/>
      <c r="P748" s="59"/>
      <c r="Q748" s="59"/>
      <c r="R748" s="60"/>
      <c r="S748" s="60"/>
      <c r="T748" s="60"/>
      <c r="U748" s="60"/>
      <c r="V748" s="60"/>
      <c r="W748" s="60"/>
    </row>
    <row r="749" spans="1:23" ht="13" x14ac:dyDescent="0.3">
      <c r="A749" s="58"/>
      <c r="B749" s="58"/>
      <c r="C749" s="58"/>
      <c r="D749" s="58"/>
      <c r="E749" s="58"/>
      <c r="F749" s="58"/>
      <c r="G749" s="58"/>
      <c r="H749" s="59"/>
      <c r="I749" s="59"/>
      <c r="J749" s="59"/>
      <c r="K749" s="59"/>
      <c r="L749" s="59"/>
      <c r="M749" s="60"/>
      <c r="N749" s="60"/>
      <c r="O749" s="60"/>
      <c r="P749" s="59"/>
      <c r="Q749" s="59"/>
      <c r="R749" s="60"/>
      <c r="S749" s="60"/>
      <c r="T749" s="60"/>
      <c r="U749" s="60"/>
      <c r="V749" s="60"/>
      <c r="W749" s="60"/>
    </row>
    <row r="750" spans="1:23" ht="13" x14ac:dyDescent="0.3">
      <c r="A750" s="58"/>
      <c r="B750" s="58"/>
      <c r="C750" s="58"/>
      <c r="D750" s="58"/>
      <c r="E750" s="58"/>
      <c r="F750" s="58"/>
      <c r="G750" s="58"/>
      <c r="H750" s="59"/>
      <c r="I750" s="59"/>
      <c r="J750" s="59"/>
      <c r="K750" s="59"/>
      <c r="L750" s="59"/>
      <c r="M750" s="60"/>
      <c r="N750" s="60"/>
      <c r="O750" s="60"/>
      <c r="P750" s="59"/>
      <c r="Q750" s="59"/>
      <c r="R750" s="60"/>
      <c r="S750" s="60"/>
      <c r="T750" s="60"/>
      <c r="U750" s="60"/>
      <c r="V750" s="60"/>
      <c r="W750" s="60"/>
    </row>
    <row r="751" spans="1:23" ht="13" x14ac:dyDescent="0.3">
      <c r="A751" s="58"/>
      <c r="B751" s="58"/>
      <c r="C751" s="58"/>
      <c r="D751" s="58"/>
      <c r="E751" s="58"/>
      <c r="F751" s="58"/>
      <c r="G751" s="58"/>
      <c r="H751" s="59"/>
      <c r="I751" s="59"/>
      <c r="J751" s="59"/>
      <c r="K751" s="59"/>
      <c r="L751" s="59"/>
      <c r="M751" s="60"/>
      <c r="N751" s="60"/>
      <c r="O751" s="60"/>
      <c r="P751" s="59"/>
      <c r="Q751" s="59"/>
      <c r="R751" s="60"/>
      <c r="S751" s="60"/>
      <c r="T751" s="60"/>
      <c r="U751" s="60"/>
      <c r="V751" s="60"/>
      <c r="W751" s="60"/>
    </row>
    <row r="752" spans="1:23" ht="13" x14ac:dyDescent="0.3">
      <c r="A752" s="58"/>
      <c r="B752" s="58"/>
      <c r="C752" s="58"/>
      <c r="D752" s="58"/>
      <c r="E752" s="58"/>
      <c r="F752" s="58"/>
      <c r="G752" s="58"/>
      <c r="H752" s="59"/>
      <c r="I752" s="59"/>
      <c r="J752" s="59"/>
      <c r="K752" s="59"/>
      <c r="L752" s="59"/>
      <c r="M752" s="60"/>
      <c r="N752" s="60"/>
      <c r="O752" s="60"/>
      <c r="P752" s="59"/>
      <c r="Q752" s="59"/>
      <c r="R752" s="60"/>
      <c r="S752" s="60"/>
      <c r="T752" s="60"/>
      <c r="U752" s="60"/>
      <c r="V752" s="60"/>
      <c r="W752" s="60"/>
    </row>
    <row r="753" spans="1:23" ht="13" x14ac:dyDescent="0.3">
      <c r="A753" s="58"/>
      <c r="B753" s="58"/>
      <c r="C753" s="58"/>
      <c r="D753" s="58"/>
      <c r="E753" s="58"/>
      <c r="F753" s="58"/>
      <c r="G753" s="58"/>
      <c r="H753" s="59"/>
      <c r="I753" s="59"/>
      <c r="J753" s="59"/>
      <c r="K753" s="59"/>
      <c r="L753" s="59"/>
      <c r="M753" s="60"/>
      <c r="N753" s="60"/>
      <c r="O753" s="60"/>
      <c r="P753" s="59"/>
      <c r="Q753" s="59"/>
      <c r="R753" s="60"/>
      <c r="S753" s="60"/>
      <c r="T753" s="60"/>
      <c r="U753" s="60"/>
      <c r="V753" s="60"/>
      <c r="W753" s="60"/>
    </row>
    <row r="754" spans="1:23" ht="13" x14ac:dyDescent="0.3">
      <c r="A754" s="58"/>
      <c r="B754" s="58"/>
      <c r="C754" s="58"/>
      <c r="D754" s="58"/>
      <c r="E754" s="58"/>
      <c r="F754" s="58"/>
      <c r="G754" s="58"/>
      <c r="H754" s="59"/>
      <c r="I754" s="59"/>
      <c r="J754" s="59"/>
      <c r="K754" s="59"/>
      <c r="L754" s="59"/>
      <c r="M754" s="60"/>
      <c r="N754" s="60"/>
      <c r="O754" s="60"/>
      <c r="P754" s="59"/>
      <c r="Q754" s="59"/>
      <c r="R754" s="60"/>
      <c r="S754" s="60"/>
      <c r="T754" s="60"/>
      <c r="U754" s="60"/>
      <c r="V754" s="60"/>
      <c r="W754" s="60"/>
    </row>
    <row r="755" spans="1:23" ht="13" x14ac:dyDescent="0.3">
      <c r="A755" s="58"/>
      <c r="B755" s="58"/>
      <c r="C755" s="58"/>
      <c r="D755" s="58"/>
      <c r="E755" s="58"/>
      <c r="F755" s="58"/>
      <c r="G755" s="58"/>
      <c r="H755" s="59"/>
      <c r="I755" s="59"/>
      <c r="J755" s="59"/>
      <c r="K755" s="59"/>
      <c r="L755" s="59"/>
      <c r="M755" s="60"/>
      <c r="N755" s="60"/>
      <c r="O755" s="60"/>
      <c r="P755" s="59"/>
      <c r="Q755" s="59"/>
      <c r="R755" s="60"/>
      <c r="S755" s="60"/>
      <c r="T755" s="60"/>
      <c r="U755" s="60"/>
      <c r="V755" s="60"/>
      <c r="W755" s="60"/>
    </row>
    <row r="756" spans="1:23" ht="13" x14ac:dyDescent="0.3">
      <c r="A756" s="58"/>
      <c r="B756" s="58"/>
      <c r="C756" s="58"/>
      <c r="D756" s="58"/>
      <c r="E756" s="58"/>
      <c r="F756" s="58"/>
      <c r="G756" s="58"/>
      <c r="H756" s="59"/>
      <c r="I756" s="59"/>
      <c r="J756" s="59"/>
      <c r="K756" s="59"/>
      <c r="L756" s="59"/>
      <c r="M756" s="60"/>
      <c r="N756" s="60"/>
      <c r="O756" s="60"/>
      <c r="P756" s="59"/>
      <c r="Q756" s="59"/>
      <c r="R756" s="60"/>
      <c r="S756" s="60"/>
      <c r="T756" s="60"/>
      <c r="U756" s="60"/>
      <c r="V756" s="60"/>
      <c r="W756" s="60"/>
    </row>
    <row r="757" spans="1:23" ht="13" x14ac:dyDescent="0.3">
      <c r="A757" s="58"/>
      <c r="B757" s="58"/>
      <c r="C757" s="58"/>
      <c r="D757" s="58"/>
      <c r="E757" s="58"/>
      <c r="F757" s="58"/>
      <c r="G757" s="58"/>
      <c r="H757" s="59"/>
      <c r="I757" s="59"/>
      <c r="J757" s="59"/>
      <c r="K757" s="59"/>
      <c r="L757" s="59"/>
      <c r="M757" s="60"/>
      <c r="N757" s="60"/>
      <c r="O757" s="60"/>
      <c r="P757" s="59"/>
      <c r="Q757" s="59"/>
      <c r="R757" s="60"/>
      <c r="S757" s="60"/>
      <c r="T757" s="60"/>
      <c r="U757" s="60"/>
      <c r="V757" s="60"/>
      <c r="W757" s="60"/>
    </row>
    <row r="758" spans="1:23" ht="13" x14ac:dyDescent="0.3">
      <c r="A758" s="58"/>
      <c r="B758" s="58"/>
      <c r="C758" s="58"/>
      <c r="D758" s="58"/>
      <c r="E758" s="58"/>
      <c r="F758" s="58"/>
      <c r="G758" s="58"/>
      <c r="H758" s="59"/>
      <c r="I758" s="59"/>
      <c r="J758" s="59"/>
      <c r="K758" s="59"/>
      <c r="L758" s="59"/>
      <c r="M758" s="60"/>
      <c r="N758" s="60"/>
      <c r="O758" s="60"/>
      <c r="P758" s="59"/>
      <c r="Q758" s="59"/>
      <c r="R758" s="60"/>
      <c r="S758" s="60"/>
      <c r="T758" s="60"/>
      <c r="U758" s="60"/>
      <c r="V758" s="60"/>
      <c r="W758" s="60"/>
    </row>
    <row r="759" spans="1:23" ht="13" x14ac:dyDescent="0.3">
      <c r="A759" s="58"/>
      <c r="B759" s="58"/>
      <c r="C759" s="58"/>
      <c r="D759" s="58"/>
      <c r="E759" s="58"/>
      <c r="F759" s="58"/>
      <c r="G759" s="58"/>
      <c r="H759" s="59"/>
      <c r="I759" s="59"/>
      <c r="J759" s="59"/>
      <c r="K759" s="59"/>
      <c r="L759" s="59"/>
      <c r="M759" s="60"/>
      <c r="N759" s="60"/>
      <c r="O759" s="60"/>
      <c r="P759" s="59"/>
      <c r="Q759" s="59"/>
      <c r="R759" s="60"/>
      <c r="S759" s="60"/>
      <c r="T759" s="60"/>
      <c r="U759" s="60"/>
      <c r="V759" s="60"/>
      <c r="W759" s="60"/>
    </row>
    <row r="760" spans="1:23" ht="13" x14ac:dyDescent="0.3">
      <c r="A760" s="58"/>
      <c r="B760" s="58"/>
      <c r="C760" s="58"/>
      <c r="D760" s="58"/>
      <c r="E760" s="58"/>
      <c r="F760" s="58"/>
      <c r="G760" s="58"/>
      <c r="H760" s="59"/>
      <c r="I760" s="59"/>
      <c r="J760" s="59"/>
      <c r="K760" s="59"/>
      <c r="L760" s="59"/>
      <c r="M760" s="60"/>
      <c r="N760" s="60"/>
      <c r="O760" s="60"/>
      <c r="P760" s="59"/>
      <c r="Q760" s="59"/>
      <c r="R760" s="60"/>
      <c r="S760" s="60"/>
      <c r="T760" s="60"/>
      <c r="U760" s="60"/>
      <c r="V760" s="60"/>
      <c r="W760" s="60"/>
    </row>
    <row r="761" spans="1:23" ht="13" x14ac:dyDescent="0.3">
      <c r="A761" s="58"/>
      <c r="B761" s="58"/>
      <c r="C761" s="58"/>
      <c r="D761" s="58"/>
      <c r="E761" s="58"/>
      <c r="F761" s="58"/>
      <c r="G761" s="58"/>
      <c r="H761" s="59"/>
      <c r="I761" s="59"/>
      <c r="J761" s="59"/>
      <c r="K761" s="59"/>
      <c r="L761" s="59"/>
      <c r="M761" s="60"/>
      <c r="N761" s="60"/>
      <c r="O761" s="60"/>
      <c r="P761" s="59"/>
      <c r="Q761" s="59"/>
      <c r="R761" s="60"/>
      <c r="S761" s="60"/>
      <c r="T761" s="60"/>
      <c r="U761" s="60"/>
      <c r="V761" s="60"/>
      <c r="W761" s="60"/>
    </row>
    <row r="762" spans="1:23" ht="13" x14ac:dyDescent="0.3">
      <c r="A762" s="58"/>
      <c r="B762" s="58"/>
      <c r="C762" s="58"/>
      <c r="D762" s="58"/>
      <c r="E762" s="58"/>
      <c r="F762" s="58"/>
      <c r="G762" s="58"/>
      <c r="H762" s="59"/>
      <c r="I762" s="59"/>
      <c r="J762" s="59"/>
      <c r="K762" s="59"/>
      <c r="L762" s="59"/>
      <c r="M762" s="60"/>
      <c r="N762" s="60"/>
      <c r="O762" s="60"/>
      <c r="P762" s="59"/>
      <c r="Q762" s="59"/>
      <c r="R762" s="60"/>
      <c r="S762" s="60"/>
      <c r="T762" s="60"/>
      <c r="U762" s="60"/>
      <c r="V762" s="60"/>
      <c r="W762" s="60"/>
    </row>
    <row r="763" spans="1:23" ht="13" x14ac:dyDescent="0.3">
      <c r="A763" s="58"/>
      <c r="B763" s="58"/>
      <c r="C763" s="58"/>
      <c r="D763" s="58"/>
      <c r="E763" s="58"/>
      <c r="F763" s="58"/>
      <c r="G763" s="58"/>
      <c r="H763" s="59"/>
      <c r="I763" s="59"/>
      <c r="J763" s="59"/>
      <c r="K763" s="59"/>
      <c r="L763" s="59"/>
      <c r="M763" s="60"/>
      <c r="N763" s="60"/>
      <c r="O763" s="60"/>
      <c r="P763" s="59"/>
      <c r="Q763" s="59"/>
      <c r="R763" s="60"/>
      <c r="S763" s="60"/>
      <c r="T763" s="60"/>
      <c r="U763" s="60"/>
      <c r="V763" s="60"/>
      <c r="W763" s="60"/>
    </row>
    <row r="764" spans="1:23" ht="13" x14ac:dyDescent="0.3">
      <c r="A764" s="58"/>
      <c r="B764" s="58"/>
      <c r="C764" s="58"/>
      <c r="D764" s="58"/>
      <c r="E764" s="58"/>
      <c r="F764" s="58"/>
      <c r="G764" s="58"/>
      <c r="H764" s="59"/>
      <c r="I764" s="59"/>
      <c r="J764" s="59"/>
      <c r="K764" s="59"/>
      <c r="L764" s="59"/>
      <c r="M764" s="60"/>
      <c r="N764" s="60"/>
      <c r="O764" s="60"/>
      <c r="P764" s="59"/>
      <c r="Q764" s="59"/>
      <c r="R764" s="60"/>
      <c r="S764" s="60"/>
      <c r="T764" s="60"/>
      <c r="U764" s="60"/>
      <c r="V764" s="60"/>
      <c r="W764" s="60"/>
    </row>
    <row r="765" spans="1:23" ht="13" x14ac:dyDescent="0.3">
      <c r="A765" s="58"/>
      <c r="B765" s="58"/>
      <c r="C765" s="58"/>
      <c r="D765" s="58"/>
      <c r="E765" s="58"/>
      <c r="F765" s="58"/>
      <c r="G765" s="58"/>
      <c r="H765" s="59"/>
      <c r="I765" s="59"/>
      <c r="J765" s="59"/>
      <c r="K765" s="59"/>
      <c r="L765" s="59"/>
      <c r="M765" s="60"/>
      <c r="N765" s="60"/>
      <c r="O765" s="60"/>
      <c r="P765" s="59"/>
      <c r="Q765" s="59"/>
      <c r="R765" s="60"/>
      <c r="S765" s="60"/>
      <c r="T765" s="60"/>
      <c r="U765" s="60"/>
      <c r="V765" s="60"/>
      <c r="W765" s="60"/>
    </row>
    <row r="766" spans="1:23" ht="13" x14ac:dyDescent="0.3">
      <c r="A766" s="58"/>
      <c r="B766" s="58"/>
      <c r="C766" s="58"/>
      <c r="D766" s="58"/>
      <c r="E766" s="58"/>
      <c r="F766" s="58"/>
      <c r="G766" s="58"/>
      <c r="H766" s="59"/>
      <c r="I766" s="59"/>
      <c r="J766" s="59"/>
      <c r="K766" s="59"/>
      <c r="L766" s="59"/>
      <c r="M766" s="60"/>
      <c r="N766" s="60"/>
      <c r="O766" s="60"/>
      <c r="P766" s="59"/>
      <c r="Q766" s="59"/>
      <c r="R766" s="60"/>
      <c r="S766" s="60"/>
      <c r="T766" s="60"/>
      <c r="U766" s="60"/>
      <c r="V766" s="60"/>
      <c r="W766" s="60"/>
    </row>
    <row r="767" spans="1:23" ht="13" x14ac:dyDescent="0.3">
      <c r="A767" s="58"/>
      <c r="B767" s="58"/>
      <c r="C767" s="58"/>
      <c r="D767" s="58"/>
      <c r="E767" s="58"/>
      <c r="F767" s="58"/>
      <c r="G767" s="58"/>
      <c r="H767" s="59"/>
      <c r="I767" s="59"/>
      <c r="J767" s="59"/>
      <c r="K767" s="59"/>
      <c r="L767" s="59"/>
      <c r="M767" s="60"/>
      <c r="N767" s="60"/>
      <c r="O767" s="60"/>
      <c r="P767" s="59"/>
      <c r="Q767" s="59"/>
      <c r="R767" s="60"/>
      <c r="S767" s="60"/>
      <c r="T767" s="60"/>
      <c r="U767" s="60"/>
      <c r="V767" s="60"/>
      <c r="W767" s="60"/>
    </row>
    <row r="768" spans="1:23" ht="13" x14ac:dyDescent="0.3">
      <c r="A768" s="58"/>
      <c r="B768" s="58"/>
      <c r="C768" s="58"/>
      <c r="D768" s="58"/>
      <c r="E768" s="58"/>
      <c r="F768" s="58"/>
      <c r="G768" s="58"/>
      <c r="H768" s="59"/>
      <c r="I768" s="59"/>
      <c r="J768" s="59"/>
      <c r="K768" s="59"/>
      <c r="L768" s="59"/>
      <c r="M768" s="60"/>
      <c r="N768" s="60"/>
      <c r="O768" s="60"/>
      <c r="P768" s="59"/>
      <c r="Q768" s="59"/>
      <c r="R768" s="60"/>
      <c r="S768" s="60"/>
      <c r="T768" s="60"/>
      <c r="U768" s="60"/>
      <c r="V768" s="60"/>
      <c r="W768" s="60"/>
    </row>
    <row r="769" spans="1:23" ht="13" x14ac:dyDescent="0.3">
      <c r="A769" s="58"/>
      <c r="B769" s="58"/>
      <c r="C769" s="58"/>
      <c r="D769" s="58"/>
      <c r="E769" s="58"/>
      <c r="F769" s="58"/>
      <c r="G769" s="58"/>
      <c r="H769" s="59"/>
      <c r="I769" s="59"/>
      <c r="J769" s="59"/>
      <c r="K769" s="59"/>
      <c r="L769" s="59"/>
      <c r="M769" s="60"/>
      <c r="N769" s="60"/>
      <c r="O769" s="60"/>
      <c r="P769" s="59"/>
      <c r="Q769" s="59"/>
      <c r="R769" s="60"/>
      <c r="S769" s="60"/>
      <c r="T769" s="60"/>
      <c r="U769" s="60"/>
      <c r="V769" s="60"/>
      <c r="W769" s="60"/>
    </row>
    <row r="770" spans="1:23" ht="13" x14ac:dyDescent="0.3">
      <c r="A770" s="58"/>
      <c r="B770" s="58"/>
      <c r="C770" s="58"/>
      <c r="D770" s="58"/>
      <c r="E770" s="58"/>
      <c r="F770" s="58"/>
      <c r="G770" s="58"/>
      <c r="H770" s="59"/>
      <c r="I770" s="59"/>
      <c r="J770" s="59"/>
      <c r="K770" s="59"/>
      <c r="L770" s="59"/>
      <c r="M770" s="60"/>
      <c r="N770" s="60"/>
      <c r="O770" s="60"/>
      <c r="P770" s="59"/>
      <c r="Q770" s="59"/>
      <c r="R770" s="60"/>
      <c r="S770" s="60"/>
      <c r="T770" s="60"/>
      <c r="U770" s="60"/>
      <c r="V770" s="60"/>
      <c r="W770" s="60"/>
    </row>
    <row r="771" spans="1:23" ht="13" x14ac:dyDescent="0.3">
      <c r="A771" s="58"/>
      <c r="B771" s="58"/>
      <c r="C771" s="58"/>
      <c r="D771" s="58"/>
      <c r="E771" s="58"/>
      <c r="F771" s="58"/>
      <c r="G771" s="58"/>
      <c r="H771" s="59"/>
      <c r="I771" s="59"/>
      <c r="J771" s="59"/>
      <c r="K771" s="59"/>
      <c r="L771" s="59"/>
      <c r="M771" s="60"/>
      <c r="N771" s="60"/>
      <c r="O771" s="60"/>
      <c r="P771" s="59"/>
      <c r="Q771" s="59"/>
      <c r="R771" s="60"/>
      <c r="S771" s="60"/>
      <c r="T771" s="60"/>
      <c r="U771" s="60"/>
      <c r="V771" s="60"/>
      <c r="W771" s="60"/>
    </row>
    <row r="772" spans="1:23" ht="13" x14ac:dyDescent="0.3">
      <c r="A772" s="58"/>
      <c r="B772" s="58"/>
      <c r="C772" s="58"/>
      <c r="D772" s="58"/>
      <c r="E772" s="58"/>
      <c r="F772" s="58"/>
      <c r="G772" s="58"/>
      <c r="H772" s="59"/>
      <c r="I772" s="59"/>
      <c r="J772" s="59"/>
      <c r="K772" s="59"/>
      <c r="L772" s="59"/>
      <c r="M772" s="60"/>
      <c r="N772" s="60"/>
      <c r="O772" s="60"/>
      <c r="P772" s="59"/>
      <c r="Q772" s="59"/>
      <c r="R772" s="60"/>
      <c r="S772" s="60"/>
      <c r="T772" s="60"/>
      <c r="U772" s="60"/>
      <c r="V772" s="60"/>
      <c r="W772" s="60"/>
    </row>
    <row r="773" spans="1:23" ht="13" x14ac:dyDescent="0.3">
      <c r="A773" s="58"/>
      <c r="B773" s="58"/>
      <c r="C773" s="58"/>
      <c r="D773" s="58"/>
      <c r="E773" s="58"/>
      <c r="F773" s="58"/>
      <c r="G773" s="58"/>
      <c r="H773" s="59"/>
      <c r="I773" s="59"/>
      <c r="J773" s="59"/>
      <c r="K773" s="59"/>
      <c r="L773" s="59"/>
      <c r="M773" s="60"/>
      <c r="N773" s="60"/>
      <c r="O773" s="60"/>
      <c r="P773" s="59"/>
      <c r="Q773" s="59"/>
      <c r="R773" s="60"/>
      <c r="S773" s="60"/>
      <c r="T773" s="60"/>
      <c r="U773" s="60"/>
      <c r="V773" s="60"/>
      <c r="W773" s="60"/>
    </row>
    <row r="774" spans="1:23" ht="13" x14ac:dyDescent="0.3">
      <c r="A774" s="58"/>
      <c r="B774" s="58"/>
      <c r="C774" s="58"/>
      <c r="D774" s="58"/>
      <c r="E774" s="58"/>
      <c r="F774" s="58"/>
      <c r="G774" s="58"/>
      <c r="H774" s="59"/>
      <c r="I774" s="59"/>
      <c r="J774" s="59"/>
      <c r="K774" s="59"/>
      <c r="L774" s="59"/>
      <c r="M774" s="60"/>
      <c r="N774" s="60"/>
      <c r="O774" s="60"/>
      <c r="P774" s="59"/>
      <c r="Q774" s="59"/>
      <c r="R774" s="60"/>
      <c r="S774" s="60"/>
      <c r="T774" s="60"/>
      <c r="U774" s="60"/>
      <c r="V774" s="60"/>
      <c r="W774" s="60"/>
    </row>
    <row r="775" spans="1:23" ht="13" x14ac:dyDescent="0.3">
      <c r="A775" s="58"/>
      <c r="B775" s="58"/>
      <c r="C775" s="58"/>
      <c r="D775" s="58"/>
      <c r="E775" s="58"/>
      <c r="F775" s="58"/>
      <c r="G775" s="58"/>
      <c r="H775" s="59"/>
      <c r="I775" s="59"/>
      <c r="J775" s="59"/>
      <c r="K775" s="59"/>
      <c r="L775" s="59"/>
      <c r="M775" s="60"/>
      <c r="N775" s="60"/>
      <c r="O775" s="60"/>
      <c r="P775" s="59"/>
      <c r="Q775" s="59"/>
      <c r="R775" s="60"/>
      <c r="S775" s="60"/>
      <c r="T775" s="60"/>
      <c r="U775" s="60"/>
      <c r="V775" s="60"/>
      <c r="W775" s="60"/>
    </row>
    <row r="776" spans="1:23" ht="13" x14ac:dyDescent="0.3">
      <c r="A776" s="58"/>
      <c r="B776" s="58"/>
      <c r="C776" s="58"/>
      <c r="D776" s="58"/>
      <c r="E776" s="58"/>
      <c r="F776" s="58"/>
      <c r="G776" s="58"/>
      <c r="H776" s="59"/>
      <c r="I776" s="59"/>
      <c r="J776" s="59"/>
      <c r="K776" s="59"/>
      <c r="L776" s="59"/>
      <c r="M776" s="60"/>
      <c r="N776" s="60"/>
      <c r="O776" s="60"/>
      <c r="P776" s="59"/>
      <c r="Q776" s="59"/>
      <c r="R776" s="60"/>
      <c r="S776" s="60"/>
      <c r="T776" s="60"/>
      <c r="U776" s="60"/>
      <c r="V776" s="60"/>
      <c r="W776" s="60"/>
    </row>
    <row r="777" spans="1:23" ht="13" x14ac:dyDescent="0.3">
      <c r="A777" s="58"/>
      <c r="B777" s="58"/>
      <c r="C777" s="58"/>
      <c r="D777" s="58"/>
      <c r="E777" s="58"/>
      <c r="F777" s="58"/>
      <c r="G777" s="58"/>
      <c r="H777" s="59"/>
      <c r="I777" s="59"/>
      <c r="J777" s="59"/>
      <c r="K777" s="59"/>
      <c r="L777" s="59"/>
      <c r="M777" s="60"/>
      <c r="N777" s="60"/>
      <c r="O777" s="60"/>
      <c r="P777" s="59"/>
      <c r="Q777" s="59"/>
      <c r="R777" s="60"/>
      <c r="S777" s="60"/>
      <c r="T777" s="60"/>
      <c r="U777" s="60"/>
      <c r="V777" s="60"/>
      <c r="W777" s="60"/>
    </row>
    <row r="778" spans="1:23" ht="13" x14ac:dyDescent="0.3">
      <c r="A778" s="58"/>
      <c r="B778" s="58"/>
      <c r="C778" s="58"/>
      <c r="D778" s="58"/>
      <c r="E778" s="58"/>
      <c r="F778" s="58"/>
      <c r="G778" s="58"/>
      <c r="H778" s="59"/>
      <c r="I778" s="59"/>
      <c r="J778" s="59"/>
      <c r="K778" s="59"/>
      <c r="L778" s="59"/>
      <c r="M778" s="60"/>
      <c r="N778" s="60"/>
      <c r="O778" s="60"/>
      <c r="P778" s="59"/>
      <c r="Q778" s="59"/>
      <c r="R778" s="60"/>
      <c r="S778" s="60"/>
      <c r="T778" s="60"/>
      <c r="U778" s="60"/>
      <c r="V778" s="60"/>
      <c r="W778" s="60"/>
    </row>
    <row r="779" spans="1:23" ht="13" x14ac:dyDescent="0.3">
      <c r="A779" s="58"/>
      <c r="B779" s="58"/>
      <c r="C779" s="58"/>
      <c r="D779" s="58"/>
      <c r="E779" s="58"/>
      <c r="F779" s="58"/>
      <c r="G779" s="58"/>
      <c r="H779" s="59"/>
      <c r="I779" s="59"/>
      <c r="J779" s="59"/>
      <c r="K779" s="59"/>
      <c r="L779" s="59"/>
      <c r="M779" s="60"/>
      <c r="N779" s="60"/>
      <c r="O779" s="60"/>
      <c r="P779" s="59"/>
      <c r="Q779" s="59"/>
      <c r="R779" s="60"/>
      <c r="S779" s="60"/>
      <c r="T779" s="60"/>
      <c r="U779" s="60"/>
      <c r="V779" s="60"/>
      <c r="W779" s="60"/>
    </row>
    <row r="780" spans="1:23" ht="13" x14ac:dyDescent="0.3">
      <c r="A780" s="58"/>
      <c r="B780" s="58"/>
      <c r="C780" s="58"/>
      <c r="D780" s="58"/>
      <c r="E780" s="58"/>
      <c r="F780" s="58"/>
      <c r="G780" s="58"/>
      <c r="H780" s="59"/>
      <c r="I780" s="59"/>
      <c r="J780" s="59"/>
      <c r="K780" s="59"/>
      <c r="L780" s="59"/>
      <c r="M780" s="60"/>
      <c r="N780" s="60"/>
      <c r="O780" s="60"/>
      <c r="P780" s="59"/>
      <c r="Q780" s="59"/>
      <c r="R780" s="60"/>
      <c r="S780" s="60"/>
      <c r="T780" s="60"/>
      <c r="U780" s="60"/>
      <c r="V780" s="60"/>
      <c r="W780" s="60"/>
    </row>
    <row r="781" spans="1:23" ht="13" x14ac:dyDescent="0.3">
      <c r="A781" s="58"/>
      <c r="B781" s="58"/>
      <c r="C781" s="58"/>
      <c r="D781" s="58"/>
      <c r="E781" s="58"/>
      <c r="F781" s="58"/>
      <c r="G781" s="58"/>
      <c r="H781" s="59"/>
      <c r="I781" s="59"/>
      <c r="J781" s="59"/>
      <c r="K781" s="59"/>
      <c r="L781" s="59"/>
      <c r="M781" s="60"/>
      <c r="N781" s="60"/>
      <c r="O781" s="60"/>
      <c r="P781" s="59"/>
      <c r="Q781" s="59"/>
      <c r="R781" s="60"/>
      <c r="S781" s="60"/>
      <c r="T781" s="60"/>
      <c r="U781" s="60"/>
      <c r="V781" s="60"/>
      <c r="W781" s="60"/>
    </row>
    <row r="782" spans="1:23" ht="13" x14ac:dyDescent="0.3">
      <c r="A782" s="58"/>
      <c r="B782" s="58"/>
      <c r="C782" s="58"/>
      <c r="D782" s="58"/>
      <c r="E782" s="58"/>
      <c r="F782" s="58"/>
      <c r="G782" s="58"/>
      <c r="H782" s="59"/>
      <c r="I782" s="59"/>
      <c r="J782" s="59"/>
      <c r="K782" s="59"/>
      <c r="L782" s="59"/>
      <c r="M782" s="60"/>
      <c r="N782" s="60"/>
      <c r="O782" s="60"/>
      <c r="P782" s="59"/>
      <c r="Q782" s="59"/>
      <c r="R782" s="60"/>
      <c r="S782" s="60"/>
      <c r="T782" s="60"/>
      <c r="U782" s="60"/>
      <c r="V782" s="60"/>
      <c r="W782" s="60"/>
    </row>
    <row r="783" spans="1:23" ht="13" x14ac:dyDescent="0.3">
      <c r="A783" s="58"/>
      <c r="B783" s="58"/>
      <c r="C783" s="58"/>
      <c r="D783" s="58"/>
      <c r="E783" s="58"/>
      <c r="F783" s="58"/>
      <c r="G783" s="58"/>
      <c r="H783" s="59"/>
      <c r="I783" s="59"/>
      <c r="J783" s="59"/>
      <c r="K783" s="59"/>
      <c r="L783" s="59"/>
      <c r="M783" s="60"/>
      <c r="N783" s="60"/>
      <c r="O783" s="60"/>
      <c r="P783" s="59"/>
      <c r="Q783" s="59"/>
      <c r="R783" s="60"/>
      <c r="S783" s="60"/>
      <c r="T783" s="60"/>
      <c r="U783" s="60"/>
      <c r="V783" s="60"/>
      <c r="W783" s="60"/>
    </row>
    <row r="784" spans="1:23" ht="13" x14ac:dyDescent="0.3">
      <c r="A784" s="58"/>
      <c r="B784" s="58"/>
      <c r="C784" s="58"/>
      <c r="D784" s="58"/>
      <c r="E784" s="58"/>
      <c r="F784" s="58"/>
      <c r="G784" s="58"/>
      <c r="H784" s="59"/>
      <c r="I784" s="59"/>
      <c r="J784" s="59"/>
      <c r="K784" s="59"/>
      <c r="L784" s="59"/>
      <c r="M784" s="60"/>
      <c r="N784" s="60"/>
      <c r="O784" s="60"/>
      <c r="P784" s="59"/>
      <c r="Q784" s="59"/>
      <c r="R784" s="60"/>
      <c r="S784" s="60"/>
      <c r="T784" s="60"/>
      <c r="U784" s="60"/>
      <c r="V784" s="60"/>
      <c r="W784" s="60"/>
    </row>
    <row r="785" spans="1:23" ht="13" x14ac:dyDescent="0.3">
      <c r="A785" s="58"/>
      <c r="B785" s="58"/>
      <c r="C785" s="58"/>
      <c r="D785" s="58"/>
      <c r="E785" s="58"/>
      <c r="F785" s="58"/>
      <c r="G785" s="58"/>
      <c r="H785" s="59"/>
      <c r="I785" s="59"/>
      <c r="J785" s="59"/>
      <c r="K785" s="59"/>
      <c r="L785" s="59"/>
      <c r="M785" s="60"/>
      <c r="N785" s="60"/>
      <c r="O785" s="60"/>
      <c r="P785" s="59"/>
      <c r="Q785" s="59"/>
      <c r="R785" s="60"/>
      <c r="S785" s="60"/>
      <c r="T785" s="60"/>
      <c r="U785" s="60"/>
      <c r="V785" s="60"/>
      <c r="W785" s="60"/>
    </row>
    <row r="786" spans="1:23" ht="13" x14ac:dyDescent="0.3">
      <c r="A786" s="58"/>
      <c r="B786" s="58"/>
      <c r="C786" s="58"/>
      <c r="D786" s="58"/>
      <c r="E786" s="58"/>
      <c r="F786" s="58"/>
      <c r="G786" s="58"/>
      <c r="H786" s="59"/>
      <c r="I786" s="59"/>
      <c r="J786" s="59"/>
      <c r="K786" s="59"/>
      <c r="L786" s="59"/>
      <c r="M786" s="60"/>
      <c r="N786" s="60"/>
      <c r="O786" s="60"/>
      <c r="P786" s="59"/>
      <c r="Q786" s="59"/>
      <c r="R786" s="60"/>
      <c r="S786" s="60"/>
      <c r="T786" s="60"/>
      <c r="U786" s="60"/>
      <c r="V786" s="60"/>
      <c r="W786" s="60"/>
    </row>
    <row r="787" spans="1:23" ht="13" x14ac:dyDescent="0.3">
      <c r="A787" s="58"/>
      <c r="B787" s="58"/>
      <c r="C787" s="58"/>
      <c r="D787" s="58"/>
      <c r="E787" s="58"/>
      <c r="F787" s="58"/>
      <c r="G787" s="58"/>
      <c r="H787" s="59"/>
      <c r="I787" s="59"/>
      <c r="J787" s="59"/>
      <c r="K787" s="59"/>
      <c r="L787" s="59"/>
      <c r="M787" s="60"/>
      <c r="N787" s="60"/>
      <c r="O787" s="60"/>
      <c r="P787" s="59"/>
      <c r="Q787" s="59"/>
      <c r="R787" s="60"/>
      <c r="S787" s="60"/>
      <c r="T787" s="60"/>
      <c r="U787" s="60"/>
      <c r="V787" s="60"/>
      <c r="W787" s="60"/>
    </row>
    <row r="788" spans="1:23" ht="13" x14ac:dyDescent="0.3">
      <c r="A788" s="58"/>
      <c r="B788" s="58"/>
      <c r="C788" s="58"/>
      <c r="D788" s="58"/>
      <c r="E788" s="58"/>
      <c r="F788" s="58"/>
      <c r="G788" s="58"/>
      <c r="H788" s="59"/>
      <c r="I788" s="59"/>
      <c r="J788" s="59"/>
      <c r="K788" s="59"/>
      <c r="L788" s="59"/>
      <c r="M788" s="60"/>
      <c r="N788" s="60"/>
      <c r="O788" s="60"/>
      <c r="P788" s="59"/>
      <c r="Q788" s="59"/>
      <c r="R788" s="60"/>
      <c r="S788" s="60"/>
      <c r="T788" s="60"/>
      <c r="U788" s="60"/>
      <c r="V788" s="60"/>
      <c r="W788" s="60"/>
    </row>
    <row r="789" spans="1:23" ht="13" x14ac:dyDescent="0.3">
      <c r="A789" s="58"/>
      <c r="B789" s="58"/>
      <c r="C789" s="58"/>
      <c r="D789" s="58"/>
      <c r="E789" s="58"/>
      <c r="F789" s="58"/>
      <c r="G789" s="58"/>
      <c r="H789" s="59"/>
      <c r="I789" s="59"/>
      <c r="J789" s="59"/>
      <c r="K789" s="59"/>
      <c r="L789" s="59"/>
      <c r="M789" s="60"/>
      <c r="N789" s="60"/>
      <c r="O789" s="60"/>
      <c r="P789" s="59"/>
      <c r="Q789" s="59"/>
      <c r="R789" s="60"/>
      <c r="S789" s="60"/>
      <c r="T789" s="60"/>
      <c r="U789" s="60"/>
      <c r="V789" s="60"/>
      <c r="W789" s="60"/>
    </row>
    <row r="790" spans="1:23" ht="13" x14ac:dyDescent="0.3">
      <c r="A790" s="58"/>
      <c r="B790" s="58"/>
      <c r="C790" s="58"/>
      <c r="D790" s="58"/>
      <c r="E790" s="58"/>
      <c r="F790" s="58"/>
      <c r="G790" s="58"/>
      <c r="H790" s="59"/>
      <c r="I790" s="59"/>
      <c r="J790" s="59"/>
      <c r="K790" s="59"/>
      <c r="L790" s="59"/>
      <c r="M790" s="60"/>
      <c r="N790" s="60"/>
      <c r="O790" s="60"/>
      <c r="P790" s="59"/>
      <c r="Q790" s="59"/>
      <c r="R790" s="60"/>
      <c r="S790" s="60"/>
      <c r="T790" s="60"/>
      <c r="U790" s="60"/>
      <c r="V790" s="60"/>
      <c r="W790" s="60"/>
    </row>
    <row r="791" spans="1:23" ht="13" x14ac:dyDescent="0.3">
      <c r="A791" s="58"/>
      <c r="B791" s="58"/>
      <c r="C791" s="58"/>
      <c r="D791" s="58"/>
      <c r="E791" s="58"/>
      <c r="F791" s="58"/>
      <c r="G791" s="58"/>
      <c r="H791" s="59"/>
      <c r="I791" s="59"/>
      <c r="J791" s="59"/>
      <c r="K791" s="59"/>
      <c r="L791" s="59"/>
      <c r="M791" s="60"/>
      <c r="N791" s="60"/>
      <c r="O791" s="60"/>
      <c r="P791" s="59"/>
      <c r="Q791" s="59"/>
      <c r="R791" s="60"/>
      <c r="S791" s="60"/>
      <c r="T791" s="60"/>
      <c r="U791" s="60"/>
      <c r="V791" s="60"/>
      <c r="W791" s="60"/>
    </row>
    <row r="792" spans="1:23" ht="13" x14ac:dyDescent="0.3">
      <c r="A792" s="58"/>
      <c r="B792" s="58"/>
      <c r="C792" s="58"/>
      <c r="D792" s="58"/>
      <c r="E792" s="58"/>
      <c r="F792" s="58"/>
      <c r="G792" s="58"/>
      <c r="H792" s="59"/>
      <c r="I792" s="59"/>
      <c r="J792" s="59"/>
      <c r="K792" s="59"/>
      <c r="L792" s="59"/>
      <c r="M792" s="60"/>
      <c r="N792" s="60"/>
      <c r="O792" s="60"/>
      <c r="P792" s="59"/>
      <c r="Q792" s="59"/>
      <c r="R792" s="60"/>
      <c r="S792" s="60"/>
      <c r="T792" s="60"/>
      <c r="U792" s="60"/>
      <c r="V792" s="60"/>
      <c r="W792" s="60"/>
    </row>
    <row r="793" spans="1:23" ht="13" x14ac:dyDescent="0.3">
      <c r="A793" s="58"/>
      <c r="B793" s="58"/>
      <c r="C793" s="58"/>
      <c r="D793" s="58"/>
      <c r="E793" s="58"/>
      <c r="F793" s="58"/>
      <c r="G793" s="58"/>
      <c r="H793" s="59"/>
      <c r="I793" s="59"/>
      <c r="J793" s="59"/>
      <c r="K793" s="59"/>
      <c r="L793" s="59"/>
      <c r="M793" s="60"/>
      <c r="N793" s="60"/>
      <c r="O793" s="60"/>
      <c r="P793" s="59"/>
      <c r="Q793" s="59"/>
      <c r="R793" s="60"/>
      <c r="S793" s="60"/>
      <c r="T793" s="60"/>
      <c r="U793" s="60"/>
      <c r="V793" s="60"/>
      <c r="W793" s="60"/>
    </row>
    <row r="794" spans="1:23" ht="13" x14ac:dyDescent="0.3">
      <c r="A794" s="58"/>
      <c r="B794" s="58"/>
      <c r="C794" s="58"/>
      <c r="D794" s="58"/>
      <c r="E794" s="58"/>
      <c r="F794" s="58"/>
      <c r="G794" s="58"/>
      <c r="H794" s="59"/>
      <c r="I794" s="59"/>
      <c r="J794" s="59"/>
      <c r="K794" s="59"/>
      <c r="L794" s="59"/>
      <c r="M794" s="60"/>
      <c r="N794" s="60"/>
      <c r="O794" s="60"/>
      <c r="P794" s="59"/>
      <c r="Q794" s="59"/>
      <c r="R794" s="60"/>
      <c r="S794" s="60"/>
      <c r="T794" s="60"/>
      <c r="U794" s="60"/>
      <c r="V794" s="60"/>
      <c r="W794" s="60"/>
    </row>
    <row r="795" spans="1:23" ht="13" x14ac:dyDescent="0.3">
      <c r="A795" s="58"/>
      <c r="B795" s="58"/>
      <c r="C795" s="58"/>
      <c r="D795" s="58"/>
      <c r="E795" s="58"/>
      <c r="F795" s="58"/>
      <c r="G795" s="58"/>
      <c r="H795" s="59"/>
      <c r="I795" s="59"/>
      <c r="J795" s="59"/>
      <c r="K795" s="59"/>
      <c r="L795" s="59"/>
      <c r="M795" s="60"/>
      <c r="N795" s="60"/>
      <c r="O795" s="60"/>
      <c r="P795" s="59"/>
      <c r="Q795" s="59"/>
      <c r="R795" s="60"/>
      <c r="S795" s="60"/>
      <c r="T795" s="60"/>
      <c r="U795" s="60"/>
      <c r="V795" s="60"/>
      <c r="W795" s="60"/>
    </row>
    <row r="796" spans="1:23" ht="13" x14ac:dyDescent="0.3">
      <c r="A796" s="58"/>
      <c r="B796" s="58"/>
      <c r="C796" s="58"/>
      <c r="D796" s="58"/>
      <c r="E796" s="58"/>
      <c r="F796" s="58"/>
      <c r="G796" s="58"/>
      <c r="H796" s="59"/>
      <c r="I796" s="59"/>
      <c r="J796" s="59"/>
      <c r="K796" s="59"/>
      <c r="L796" s="59"/>
      <c r="M796" s="60"/>
      <c r="N796" s="60"/>
      <c r="O796" s="60"/>
      <c r="P796" s="59"/>
      <c r="Q796" s="59"/>
      <c r="R796" s="60"/>
      <c r="S796" s="60"/>
      <c r="T796" s="60"/>
      <c r="U796" s="60"/>
      <c r="V796" s="60"/>
      <c r="W796" s="60"/>
    </row>
    <row r="797" spans="1:23" ht="13" x14ac:dyDescent="0.3">
      <c r="A797" s="58"/>
      <c r="B797" s="58"/>
      <c r="C797" s="58"/>
      <c r="D797" s="58"/>
      <c r="E797" s="58"/>
      <c r="F797" s="58"/>
      <c r="G797" s="58"/>
      <c r="H797" s="59"/>
      <c r="I797" s="59"/>
      <c r="J797" s="59"/>
      <c r="K797" s="59"/>
      <c r="L797" s="59"/>
      <c r="M797" s="60"/>
      <c r="N797" s="60"/>
      <c r="O797" s="60"/>
      <c r="P797" s="59"/>
      <c r="Q797" s="59"/>
      <c r="R797" s="60"/>
      <c r="S797" s="60"/>
      <c r="T797" s="60"/>
      <c r="U797" s="60"/>
      <c r="V797" s="60"/>
      <c r="W797" s="60"/>
    </row>
    <row r="798" spans="1:23" ht="13" x14ac:dyDescent="0.3">
      <c r="A798" s="58"/>
      <c r="B798" s="58"/>
      <c r="C798" s="58"/>
      <c r="D798" s="58"/>
      <c r="E798" s="58"/>
      <c r="F798" s="58"/>
      <c r="G798" s="58"/>
      <c r="H798" s="59"/>
      <c r="I798" s="59"/>
      <c r="J798" s="59"/>
      <c r="K798" s="59"/>
      <c r="L798" s="59"/>
      <c r="M798" s="60"/>
      <c r="N798" s="60"/>
      <c r="O798" s="60"/>
      <c r="P798" s="59"/>
      <c r="Q798" s="59"/>
      <c r="R798" s="60"/>
      <c r="S798" s="60"/>
      <c r="T798" s="60"/>
      <c r="U798" s="60"/>
      <c r="V798" s="60"/>
      <c r="W798" s="60"/>
    </row>
    <row r="799" spans="1:23" ht="13" x14ac:dyDescent="0.3">
      <c r="A799" s="58"/>
      <c r="B799" s="58"/>
      <c r="C799" s="58"/>
      <c r="D799" s="58"/>
      <c r="E799" s="58"/>
      <c r="F799" s="58"/>
      <c r="G799" s="58"/>
      <c r="H799" s="59"/>
      <c r="I799" s="59"/>
      <c r="J799" s="59"/>
      <c r="K799" s="59"/>
      <c r="L799" s="59"/>
      <c r="M799" s="60"/>
      <c r="N799" s="60"/>
      <c r="O799" s="60"/>
      <c r="P799" s="59"/>
      <c r="Q799" s="59"/>
      <c r="R799" s="60"/>
      <c r="S799" s="60"/>
      <c r="T799" s="60"/>
      <c r="U799" s="60"/>
      <c r="V799" s="60"/>
      <c r="W799" s="60"/>
    </row>
    <row r="800" spans="1:23" ht="13" x14ac:dyDescent="0.3">
      <c r="A800" s="58"/>
      <c r="B800" s="58"/>
      <c r="C800" s="58"/>
      <c r="D800" s="58"/>
      <c r="E800" s="58"/>
      <c r="F800" s="58"/>
      <c r="G800" s="58"/>
      <c r="H800" s="59"/>
      <c r="I800" s="59"/>
      <c r="J800" s="59"/>
      <c r="K800" s="59"/>
      <c r="L800" s="59"/>
      <c r="M800" s="60"/>
      <c r="N800" s="60"/>
      <c r="O800" s="60"/>
      <c r="P800" s="59"/>
      <c r="Q800" s="59"/>
      <c r="R800" s="60"/>
      <c r="S800" s="60"/>
      <c r="T800" s="60"/>
      <c r="U800" s="60"/>
      <c r="V800" s="60"/>
      <c r="W800" s="60"/>
    </row>
    <row r="801" spans="1:23" ht="13" x14ac:dyDescent="0.3">
      <c r="A801" s="58"/>
      <c r="B801" s="58"/>
      <c r="C801" s="58"/>
      <c r="D801" s="58"/>
      <c r="E801" s="58"/>
      <c r="F801" s="58"/>
      <c r="G801" s="58"/>
      <c r="H801" s="59"/>
      <c r="I801" s="59"/>
      <c r="J801" s="59"/>
      <c r="K801" s="59"/>
      <c r="L801" s="59"/>
      <c r="M801" s="60"/>
      <c r="N801" s="60"/>
      <c r="O801" s="60"/>
      <c r="P801" s="59"/>
      <c r="Q801" s="59"/>
      <c r="R801" s="60"/>
      <c r="S801" s="60"/>
      <c r="T801" s="60"/>
      <c r="U801" s="60"/>
      <c r="V801" s="60"/>
      <c r="W801" s="60"/>
    </row>
    <row r="802" spans="1:23" ht="13" x14ac:dyDescent="0.3">
      <c r="A802" s="58"/>
      <c r="B802" s="58"/>
      <c r="C802" s="58"/>
      <c r="D802" s="58"/>
      <c r="E802" s="58"/>
      <c r="F802" s="58"/>
      <c r="G802" s="58"/>
      <c r="H802" s="59"/>
      <c r="I802" s="59"/>
      <c r="J802" s="59"/>
      <c r="K802" s="59"/>
      <c r="L802" s="59"/>
      <c r="M802" s="60"/>
      <c r="N802" s="60"/>
      <c r="O802" s="60"/>
      <c r="P802" s="59"/>
      <c r="Q802" s="59"/>
      <c r="R802" s="60"/>
      <c r="S802" s="60"/>
      <c r="T802" s="60"/>
      <c r="U802" s="60"/>
      <c r="V802" s="60"/>
      <c r="W802" s="60"/>
    </row>
    <row r="803" spans="1:23" ht="13" x14ac:dyDescent="0.3">
      <c r="A803" s="58"/>
      <c r="B803" s="58"/>
      <c r="C803" s="58"/>
      <c r="D803" s="58"/>
      <c r="E803" s="58"/>
      <c r="F803" s="58"/>
      <c r="G803" s="58"/>
      <c r="H803" s="59"/>
      <c r="I803" s="59"/>
      <c r="J803" s="59"/>
      <c r="K803" s="59"/>
      <c r="L803" s="59"/>
      <c r="M803" s="60"/>
      <c r="N803" s="60"/>
      <c r="O803" s="60"/>
      <c r="P803" s="59"/>
      <c r="Q803" s="59"/>
      <c r="R803" s="60"/>
      <c r="S803" s="60"/>
      <c r="T803" s="60"/>
      <c r="U803" s="60"/>
      <c r="V803" s="60"/>
      <c r="W803" s="60"/>
    </row>
    <row r="804" spans="1:23" ht="13" x14ac:dyDescent="0.3">
      <c r="A804" s="58"/>
      <c r="B804" s="58"/>
      <c r="C804" s="58"/>
      <c r="D804" s="58"/>
      <c r="E804" s="58"/>
      <c r="F804" s="58"/>
      <c r="G804" s="58"/>
      <c r="H804" s="59"/>
      <c r="I804" s="59"/>
      <c r="J804" s="59"/>
      <c r="K804" s="59"/>
      <c r="L804" s="59"/>
      <c r="M804" s="60"/>
      <c r="N804" s="60"/>
      <c r="O804" s="60"/>
      <c r="P804" s="59"/>
      <c r="Q804" s="59"/>
      <c r="R804" s="60"/>
      <c r="S804" s="60"/>
      <c r="T804" s="60"/>
      <c r="U804" s="60"/>
      <c r="V804" s="60"/>
      <c r="W804" s="60"/>
    </row>
    <row r="805" spans="1:23" ht="13" x14ac:dyDescent="0.3">
      <c r="A805" s="58"/>
      <c r="B805" s="58"/>
      <c r="C805" s="58"/>
      <c r="D805" s="58"/>
      <c r="E805" s="58"/>
      <c r="F805" s="58"/>
      <c r="G805" s="58"/>
      <c r="H805" s="59"/>
      <c r="I805" s="59"/>
      <c r="J805" s="59"/>
      <c r="K805" s="59"/>
      <c r="L805" s="59"/>
      <c r="M805" s="60"/>
      <c r="N805" s="60"/>
      <c r="O805" s="60"/>
      <c r="P805" s="59"/>
      <c r="Q805" s="59"/>
      <c r="R805" s="60"/>
      <c r="S805" s="60"/>
      <c r="T805" s="60"/>
      <c r="U805" s="60"/>
      <c r="V805" s="60"/>
      <c r="W805" s="60"/>
    </row>
    <row r="806" spans="1:23" ht="13" x14ac:dyDescent="0.3">
      <c r="A806" s="58"/>
      <c r="B806" s="58"/>
      <c r="C806" s="58"/>
      <c r="D806" s="58"/>
      <c r="E806" s="58"/>
      <c r="F806" s="58"/>
      <c r="G806" s="58"/>
      <c r="H806" s="59"/>
      <c r="I806" s="59"/>
      <c r="J806" s="59"/>
      <c r="K806" s="59"/>
      <c r="L806" s="59"/>
      <c r="M806" s="60"/>
      <c r="N806" s="60"/>
      <c r="O806" s="60"/>
      <c r="P806" s="59"/>
      <c r="Q806" s="59"/>
      <c r="R806" s="60"/>
      <c r="S806" s="60"/>
      <c r="T806" s="60"/>
      <c r="U806" s="60"/>
      <c r="V806" s="60"/>
      <c r="W806" s="60"/>
    </row>
    <row r="807" spans="1:23" ht="13" x14ac:dyDescent="0.3">
      <c r="A807" s="58"/>
      <c r="B807" s="58"/>
      <c r="C807" s="58"/>
      <c r="D807" s="58"/>
      <c r="E807" s="58"/>
      <c r="F807" s="58"/>
      <c r="G807" s="58"/>
      <c r="H807" s="59"/>
      <c r="I807" s="59"/>
      <c r="J807" s="59"/>
      <c r="K807" s="59"/>
      <c r="L807" s="59"/>
      <c r="M807" s="60"/>
      <c r="N807" s="60"/>
      <c r="O807" s="60"/>
      <c r="P807" s="59"/>
      <c r="Q807" s="59"/>
      <c r="R807" s="60"/>
      <c r="S807" s="60"/>
      <c r="T807" s="60"/>
      <c r="U807" s="60"/>
      <c r="V807" s="60"/>
      <c r="W807" s="60"/>
    </row>
    <row r="808" spans="1:23" ht="13" x14ac:dyDescent="0.3">
      <c r="A808" s="58"/>
      <c r="B808" s="58"/>
      <c r="C808" s="58"/>
      <c r="D808" s="58"/>
      <c r="E808" s="58"/>
      <c r="F808" s="58"/>
      <c r="G808" s="58"/>
      <c r="H808" s="59"/>
      <c r="I808" s="59"/>
      <c r="J808" s="59"/>
      <c r="K808" s="59"/>
      <c r="L808" s="59"/>
      <c r="M808" s="60"/>
      <c r="N808" s="60"/>
      <c r="O808" s="60"/>
      <c r="P808" s="59"/>
      <c r="Q808" s="59"/>
      <c r="R808" s="60"/>
      <c r="S808" s="60"/>
      <c r="T808" s="60"/>
      <c r="U808" s="60"/>
      <c r="V808" s="60"/>
      <c r="W808" s="60"/>
    </row>
    <row r="809" spans="1:23" ht="13" x14ac:dyDescent="0.3">
      <c r="A809" s="58"/>
      <c r="B809" s="58"/>
      <c r="C809" s="58"/>
      <c r="D809" s="58"/>
      <c r="E809" s="58"/>
      <c r="F809" s="58"/>
      <c r="G809" s="58"/>
      <c r="H809" s="59"/>
      <c r="I809" s="59"/>
      <c r="J809" s="59"/>
      <c r="K809" s="59"/>
      <c r="L809" s="59"/>
      <c r="M809" s="60"/>
      <c r="N809" s="60"/>
      <c r="O809" s="60"/>
      <c r="P809" s="59"/>
      <c r="Q809" s="59"/>
      <c r="R809" s="60"/>
      <c r="S809" s="60"/>
      <c r="T809" s="60"/>
      <c r="U809" s="60"/>
      <c r="V809" s="60"/>
      <c r="W809" s="60"/>
    </row>
    <row r="810" spans="1:23" ht="13" x14ac:dyDescent="0.3">
      <c r="A810" s="58"/>
      <c r="B810" s="58"/>
      <c r="C810" s="58"/>
      <c r="D810" s="58"/>
      <c r="E810" s="58"/>
      <c r="F810" s="58"/>
      <c r="G810" s="58"/>
      <c r="H810" s="59"/>
      <c r="I810" s="59"/>
      <c r="J810" s="59"/>
      <c r="K810" s="59"/>
      <c r="L810" s="59"/>
      <c r="M810" s="60"/>
      <c r="N810" s="60"/>
      <c r="O810" s="60"/>
      <c r="P810" s="59"/>
      <c r="Q810" s="59"/>
      <c r="R810" s="60"/>
      <c r="S810" s="60"/>
      <c r="T810" s="60"/>
      <c r="U810" s="60"/>
      <c r="V810" s="60"/>
      <c r="W810" s="60"/>
    </row>
    <row r="811" spans="1:23" ht="13" x14ac:dyDescent="0.3">
      <c r="A811" s="58"/>
      <c r="B811" s="58"/>
      <c r="C811" s="58"/>
      <c r="D811" s="58"/>
      <c r="E811" s="58"/>
      <c r="F811" s="58"/>
      <c r="G811" s="58"/>
      <c r="H811" s="59"/>
      <c r="I811" s="59"/>
      <c r="J811" s="59"/>
      <c r="K811" s="59"/>
      <c r="L811" s="59"/>
      <c r="M811" s="60"/>
      <c r="N811" s="60"/>
      <c r="O811" s="60"/>
      <c r="P811" s="59"/>
      <c r="Q811" s="59"/>
      <c r="R811" s="60"/>
      <c r="S811" s="60"/>
      <c r="T811" s="60"/>
      <c r="U811" s="60"/>
      <c r="V811" s="60"/>
      <c r="W811" s="60"/>
    </row>
    <row r="812" spans="1:23" ht="13" x14ac:dyDescent="0.3">
      <c r="A812" s="58"/>
      <c r="B812" s="58"/>
      <c r="C812" s="58"/>
      <c r="D812" s="58"/>
      <c r="E812" s="58"/>
      <c r="F812" s="58"/>
      <c r="G812" s="58"/>
      <c r="H812" s="59"/>
      <c r="I812" s="59"/>
      <c r="J812" s="59"/>
      <c r="K812" s="59"/>
      <c r="L812" s="59"/>
      <c r="M812" s="60"/>
      <c r="N812" s="60"/>
      <c r="O812" s="60"/>
      <c r="P812" s="59"/>
      <c r="Q812" s="59"/>
      <c r="R812" s="60"/>
      <c r="S812" s="60"/>
      <c r="T812" s="60"/>
      <c r="U812" s="60"/>
      <c r="V812" s="60"/>
      <c r="W812" s="60"/>
    </row>
    <row r="813" spans="1:23" ht="13" x14ac:dyDescent="0.3">
      <c r="A813" s="58"/>
      <c r="B813" s="58"/>
      <c r="C813" s="58"/>
      <c r="D813" s="58"/>
      <c r="E813" s="58"/>
      <c r="F813" s="58"/>
      <c r="G813" s="58"/>
      <c r="H813" s="59"/>
      <c r="I813" s="59"/>
      <c r="J813" s="59"/>
      <c r="K813" s="59"/>
      <c r="L813" s="59"/>
      <c r="M813" s="60"/>
      <c r="N813" s="60"/>
      <c r="O813" s="60"/>
      <c r="P813" s="59"/>
      <c r="Q813" s="59"/>
      <c r="R813" s="60"/>
      <c r="S813" s="60"/>
      <c r="T813" s="60"/>
      <c r="U813" s="60"/>
      <c r="V813" s="60"/>
      <c r="W813" s="60"/>
    </row>
    <row r="814" spans="1:23" ht="13" x14ac:dyDescent="0.3">
      <c r="A814" s="58"/>
      <c r="B814" s="58"/>
      <c r="C814" s="58"/>
      <c r="D814" s="58"/>
      <c r="E814" s="58"/>
      <c r="F814" s="58"/>
      <c r="G814" s="58"/>
      <c r="H814" s="59"/>
      <c r="I814" s="59"/>
      <c r="J814" s="59"/>
      <c r="K814" s="59"/>
      <c r="L814" s="59"/>
      <c r="M814" s="60"/>
      <c r="N814" s="60"/>
      <c r="O814" s="60"/>
      <c r="P814" s="59"/>
      <c r="Q814" s="59"/>
      <c r="R814" s="60"/>
      <c r="S814" s="60"/>
      <c r="T814" s="60"/>
      <c r="U814" s="60"/>
      <c r="V814" s="60"/>
      <c r="W814" s="60"/>
    </row>
    <row r="815" spans="1:23" ht="13" x14ac:dyDescent="0.3">
      <c r="A815" s="58"/>
      <c r="B815" s="58"/>
      <c r="C815" s="58"/>
      <c r="D815" s="58"/>
      <c r="E815" s="58"/>
      <c r="F815" s="58"/>
      <c r="G815" s="58"/>
      <c r="H815" s="59"/>
      <c r="I815" s="59"/>
      <c r="J815" s="59"/>
      <c r="K815" s="59"/>
      <c r="L815" s="59"/>
      <c r="M815" s="60"/>
      <c r="N815" s="60"/>
      <c r="O815" s="60"/>
      <c r="P815" s="59"/>
      <c r="Q815" s="59"/>
      <c r="R815" s="60"/>
      <c r="S815" s="60"/>
      <c r="T815" s="60"/>
      <c r="U815" s="60"/>
      <c r="V815" s="60"/>
      <c r="W815" s="60"/>
    </row>
    <row r="816" spans="1:23" ht="13" x14ac:dyDescent="0.3">
      <c r="A816" s="58"/>
      <c r="B816" s="58"/>
      <c r="C816" s="58"/>
      <c r="D816" s="58"/>
      <c r="E816" s="58"/>
      <c r="F816" s="58"/>
      <c r="G816" s="58"/>
      <c r="H816" s="59"/>
      <c r="I816" s="59"/>
      <c r="J816" s="59"/>
      <c r="K816" s="59"/>
      <c r="L816" s="59"/>
      <c r="M816" s="60"/>
      <c r="N816" s="60"/>
      <c r="O816" s="60"/>
      <c r="P816" s="59"/>
      <c r="Q816" s="59"/>
      <c r="R816" s="60"/>
      <c r="S816" s="60"/>
      <c r="T816" s="60"/>
      <c r="U816" s="60"/>
      <c r="V816" s="60"/>
      <c r="W816" s="60"/>
    </row>
    <row r="817" spans="1:23" ht="13" x14ac:dyDescent="0.3">
      <c r="A817" s="58"/>
      <c r="B817" s="58"/>
      <c r="C817" s="58"/>
      <c r="D817" s="58"/>
      <c r="E817" s="58"/>
      <c r="F817" s="58"/>
      <c r="G817" s="58"/>
      <c r="H817" s="59"/>
      <c r="I817" s="59"/>
      <c r="J817" s="59"/>
      <c r="K817" s="59"/>
      <c r="L817" s="59"/>
      <c r="M817" s="60"/>
      <c r="N817" s="60"/>
      <c r="O817" s="60"/>
      <c r="P817" s="59"/>
      <c r="Q817" s="59"/>
      <c r="R817" s="60"/>
      <c r="S817" s="60"/>
      <c r="T817" s="60"/>
      <c r="U817" s="60"/>
      <c r="V817" s="60"/>
      <c r="W817" s="60"/>
    </row>
    <row r="818" spans="1:23" ht="13" x14ac:dyDescent="0.3">
      <c r="A818" s="58"/>
      <c r="B818" s="58"/>
      <c r="C818" s="58"/>
      <c r="D818" s="58"/>
      <c r="E818" s="58"/>
      <c r="F818" s="58"/>
      <c r="G818" s="58"/>
      <c r="H818" s="59"/>
      <c r="I818" s="59"/>
      <c r="J818" s="59"/>
      <c r="K818" s="59"/>
      <c r="L818" s="59"/>
      <c r="M818" s="60"/>
      <c r="N818" s="60"/>
      <c r="O818" s="60"/>
      <c r="P818" s="59"/>
      <c r="Q818" s="59"/>
      <c r="R818" s="60"/>
      <c r="S818" s="60"/>
      <c r="T818" s="60"/>
      <c r="U818" s="60"/>
      <c r="V818" s="60"/>
      <c r="W818" s="60"/>
    </row>
    <row r="819" spans="1:23" ht="13" x14ac:dyDescent="0.3">
      <c r="A819" s="58"/>
      <c r="B819" s="58"/>
      <c r="C819" s="58"/>
      <c r="D819" s="58"/>
      <c r="E819" s="58"/>
      <c r="F819" s="58"/>
      <c r="G819" s="58"/>
      <c r="H819" s="59"/>
      <c r="I819" s="59"/>
      <c r="J819" s="59"/>
      <c r="K819" s="59"/>
      <c r="L819" s="59"/>
      <c r="M819" s="60"/>
      <c r="N819" s="60"/>
      <c r="O819" s="60"/>
      <c r="P819" s="59"/>
      <c r="Q819" s="59"/>
      <c r="R819" s="60"/>
      <c r="S819" s="60"/>
      <c r="T819" s="60"/>
      <c r="U819" s="60"/>
      <c r="V819" s="60"/>
      <c r="W819" s="60"/>
    </row>
    <row r="820" spans="1:23" ht="13" x14ac:dyDescent="0.3">
      <c r="A820" s="58"/>
      <c r="B820" s="58"/>
      <c r="C820" s="58"/>
      <c r="D820" s="58"/>
      <c r="E820" s="58"/>
      <c r="F820" s="58"/>
      <c r="G820" s="58"/>
      <c r="H820" s="59"/>
      <c r="I820" s="59"/>
      <c r="J820" s="59"/>
      <c r="K820" s="59"/>
      <c r="L820" s="59"/>
      <c r="M820" s="60"/>
      <c r="N820" s="60"/>
      <c r="O820" s="60"/>
      <c r="P820" s="59"/>
      <c r="Q820" s="59"/>
      <c r="R820" s="60"/>
      <c r="S820" s="60"/>
      <c r="T820" s="60"/>
      <c r="U820" s="60"/>
      <c r="V820" s="60"/>
      <c r="W820" s="60"/>
    </row>
    <row r="821" spans="1:23" ht="13" x14ac:dyDescent="0.3">
      <c r="A821" s="58"/>
      <c r="B821" s="58"/>
      <c r="C821" s="58"/>
      <c r="D821" s="58"/>
      <c r="E821" s="58"/>
      <c r="F821" s="58"/>
      <c r="G821" s="58"/>
      <c r="H821" s="59"/>
      <c r="I821" s="59"/>
      <c r="J821" s="59"/>
      <c r="K821" s="59"/>
      <c r="L821" s="59"/>
      <c r="M821" s="60"/>
      <c r="N821" s="60"/>
      <c r="O821" s="60"/>
      <c r="P821" s="59"/>
      <c r="Q821" s="59"/>
      <c r="R821" s="60"/>
      <c r="S821" s="60"/>
      <c r="T821" s="60"/>
      <c r="U821" s="60"/>
      <c r="V821" s="60"/>
      <c r="W821" s="60"/>
    </row>
    <row r="822" spans="1:23" ht="13" x14ac:dyDescent="0.3">
      <c r="A822" s="58"/>
      <c r="B822" s="58"/>
      <c r="C822" s="58"/>
      <c r="D822" s="58"/>
      <c r="E822" s="58"/>
      <c r="F822" s="58"/>
      <c r="G822" s="58"/>
      <c r="H822" s="59"/>
      <c r="I822" s="59"/>
      <c r="J822" s="59"/>
      <c r="K822" s="59"/>
      <c r="L822" s="59"/>
      <c r="M822" s="60"/>
      <c r="N822" s="60"/>
      <c r="O822" s="60"/>
      <c r="P822" s="59"/>
      <c r="Q822" s="59"/>
      <c r="R822" s="60"/>
      <c r="S822" s="60"/>
      <c r="T822" s="60"/>
      <c r="U822" s="60"/>
      <c r="V822" s="60"/>
      <c r="W822" s="60"/>
    </row>
    <row r="823" spans="1:23" ht="13" x14ac:dyDescent="0.3">
      <c r="A823" s="58"/>
      <c r="B823" s="58"/>
      <c r="C823" s="58"/>
      <c r="D823" s="58"/>
      <c r="E823" s="58"/>
      <c r="F823" s="58"/>
      <c r="G823" s="58"/>
      <c r="H823" s="59"/>
      <c r="I823" s="59"/>
      <c r="J823" s="59"/>
      <c r="K823" s="59"/>
      <c r="L823" s="59"/>
      <c r="M823" s="60"/>
      <c r="N823" s="60"/>
      <c r="O823" s="60"/>
      <c r="P823" s="59"/>
      <c r="Q823" s="59"/>
      <c r="R823" s="60"/>
      <c r="S823" s="60"/>
      <c r="T823" s="60"/>
      <c r="U823" s="60"/>
      <c r="V823" s="60"/>
      <c r="W823" s="60"/>
    </row>
    <row r="824" spans="1:23" ht="13" x14ac:dyDescent="0.3">
      <c r="A824" s="58"/>
      <c r="B824" s="58"/>
      <c r="C824" s="58"/>
      <c r="D824" s="58"/>
      <c r="E824" s="58"/>
      <c r="F824" s="58"/>
      <c r="G824" s="58"/>
      <c r="H824" s="59"/>
      <c r="I824" s="59"/>
      <c r="J824" s="59"/>
      <c r="K824" s="59"/>
      <c r="L824" s="59"/>
      <c r="M824" s="60"/>
      <c r="N824" s="60"/>
      <c r="O824" s="60"/>
      <c r="P824" s="59"/>
      <c r="Q824" s="59"/>
      <c r="R824" s="60"/>
      <c r="S824" s="60"/>
      <c r="T824" s="60"/>
      <c r="U824" s="60"/>
      <c r="V824" s="60"/>
      <c r="W824" s="60"/>
    </row>
    <row r="825" spans="1:23" ht="13" x14ac:dyDescent="0.3">
      <c r="A825" s="58"/>
      <c r="B825" s="58"/>
      <c r="C825" s="58"/>
      <c r="D825" s="58"/>
      <c r="E825" s="58"/>
      <c r="F825" s="58"/>
      <c r="G825" s="58"/>
      <c r="H825" s="59"/>
      <c r="I825" s="59"/>
      <c r="J825" s="59"/>
      <c r="K825" s="59"/>
      <c r="L825" s="59"/>
      <c r="M825" s="60"/>
      <c r="N825" s="60"/>
      <c r="O825" s="60"/>
      <c r="P825" s="59"/>
      <c r="Q825" s="59"/>
      <c r="R825" s="60"/>
      <c r="S825" s="60"/>
      <c r="T825" s="60"/>
      <c r="U825" s="60"/>
      <c r="V825" s="60"/>
      <c r="W825" s="60"/>
    </row>
    <row r="826" spans="1:23" ht="13" x14ac:dyDescent="0.3">
      <c r="A826" s="58"/>
      <c r="B826" s="58"/>
      <c r="C826" s="58"/>
      <c r="D826" s="58"/>
      <c r="E826" s="58"/>
      <c r="F826" s="58"/>
      <c r="G826" s="58"/>
      <c r="H826" s="59"/>
      <c r="I826" s="59"/>
      <c r="J826" s="59"/>
      <c r="K826" s="59"/>
      <c r="L826" s="59"/>
      <c r="M826" s="60"/>
      <c r="N826" s="60"/>
      <c r="O826" s="60"/>
      <c r="P826" s="59"/>
      <c r="Q826" s="59"/>
      <c r="R826" s="60"/>
      <c r="S826" s="60"/>
      <c r="T826" s="60"/>
      <c r="U826" s="60"/>
      <c r="V826" s="60"/>
      <c r="W826" s="60"/>
    </row>
    <row r="827" spans="1:23" ht="13" x14ac:dyDescent="0.3">
      <c r="A827" s="58"/>
      <c r="B827" s="58"/>
      <c r="C827" s="58"/>
      <c r="D827" s="58"/>
      <c r="E827" s="58"/>
      <c r="F827" s="58"/>
      <c r="G827" s="58"/>
      <c r="H827" s="59"/>
      <c r="I827" s="59"/>
      <c r="J827" s="59"/>
      <c r="K827" s="59"/>
      <c r="L827" s="59"/>
      <c r="M827" s="60"/>
      <c r="N827" s="60"/>
      <c r="O827" s="60"/>
      <c r="P827" s="59"/>
      <c r="Q827" s="59"/>
      <c r="R827" s="60"/>
      <c r="S827" s="60"/>
      <c r="T827" s="60"/>
      <c r="U827" s="60"/>
      <c r="V827" s="60"/>
      <c r="W827" s="60"/>
    </row>
    <row r="828" spans="1:23" ht="13" x14ac:dyDescent="0.3">
      <c r="A828" s="58"/>
      <c r="B828" s="58"/>
      <c r="C828" s="58"/>
      <c r="D828" s="58"/>
      <c r="E828" s="58"/>
      <c r="F828" s="58"/>
      <c r="G828" s="58"/>
      <c r="H828" s="59"/>
      <c r="I828" s="59"/>
      <c r="J828" s="59"/>
      <c r="K828" s="59"/>
      <c r="L828" s="59"/>
      <c r="M828" s="60"/>
      <c r="N828" s="60"/>
      <c r="O828" s="60"/>
      <c r="P828" s="59"/>
      <c r="Q828" s="59"/>
      <c r="R828" s="60"/>
      <c r="S828" s="60"/>
      <c r="T828" s="60"/>
      <c r="U828" s="60"/>
      <c r="V828" s="60"/>
      <c r="W828" s="60"/>
    </row>
    <row r="829" spans="1:23" ht="13" x14ac:dyDescent="0.3">
      <c r="A829" s="58"/>
      <c r="B829" s="58"/>
      <c r="C829" s="58"/>
      <c r="D829" s="58"/>
      <c r="E829" s="58"/>
      <c r="F829" s="58"/>
      <c r="G829" s="58"/>
      <c r="H829" s="59"/>
      <c r="I829" s="59"/>
      <c r="J829" s="59"/>
      <c r="K829" s="59"/>
      <c r="L829" s="59"/>
      <c r="M829" s="60"/>
      <c r="N829" s="60"/>
      <c r="O829" s="60"/>
      <c r="P829" s="59"/>
      <c r="Q829" s="59"/>
      <c r="R829" s="60"/>
      <c r="S829" s="60"/>
      <c r="T829" s="60"/>
      <c r="U829" s="60"/>
      <c r="V829" s="60"/>
      <c r="W829" s="60"/>
    </row>
    <row r="830" spans="1:23" ht="13" x14ac:dyDescent="0.3">
      <c r="A830" s="58"/>
      <c r="B830" s="58"/>
      <c r="C830" s="58"/>
      <c r="D830" s="58"/>
      <c r="E830" s="58"/>
      <c r="F830" s="58"/>
      <c r="G830" s="58"/>
      <c r="H830" s="59"/>
      <c r="I830" s="59"/>
      <c r="J830" s="59"/>
      <c r="K830" s="59"/>
      <c r="L830" s="59"/>
      <c r="M830" s="60"/>
      <c r="N830" s="60"/>
      <c r="O830" s="60"/>
      <c r="P830" s="59"/>
      <c r="Q830" s="59"/>
      <c r="R830" s="60"/>
      <c r="S830" s="60"/>
      <c r="T830" s="60"/>
      <c r="U830" s="60"/>
      <c r="V830" s="60"/>
      <c r="W830" s="60"/>
    </row>
    <row r="831" spans="1:23" ht="13" x14ac:dyDescent="0.3">
      <c r="A831" s="58"/>
      <c r="B831" s="58"/>
      <c r="C831" s="58"/>
      <c r="D831" s="58"/>
      <c r="E831" s="58"/>
      <c r="F831" s="58"/>
      <c r="G831" s="58"/>
      <c r="H831" s="59"/>
      <c r="I831" s="59"/>
      <c r="J831" s="59"/>
      <c r="K831" s="59"/>
      <c r="L831" s="59"/>
      <c r="M831" s="60"/>
      <c r="N831" s="60"/>
      <c r="O831" s="60"/>
      <c r="P831" s="59"/>
      <c r="Q831" s="59"/>
      <c r="R831" s="60"/>
      <c r="S831" s="60"/>
      <c r="T831" s="60"/>
      <c r="U831" s="60"/>
      <c r="V831" s="60"/>
      <c r="W831" s="60"/>
    </row>
    <row r="832" spans="1:23" ht="13" x14ac:dyDescent="0.3">
      <c r="A832" s="58"/>
      <c r="B832" s="58"/>
      <c r="C832" s="58"/>
      <c r="D832" s="58"/>
      <c r="E832" s="58"/>
      <c r="F832" s="58"/>
      <c r="G832" s="58"/>
      <c r="H832" s="59"/>
      <c r="I832" s="59"/>
      <c r="J832" s="59"/>
      <c r="K832" s="59"/>
      <c r="L832" s="59"/>
      <c r="M832" s="60"/>
      <c r="N832" s="60"/>
      <c r="O832" s="60"/>
      <c r="P832" s="59"/>
      <c r="Q832" s="59"/>
      <c r="R832" s="60"/>
      <c r="S832" s="60"/>
      <c r="T832" s="60"/>
      <c r="U832" s="60"/>
      <c r="V832" s="60"/>
      <c r="W832" s="60"/>
    </row>
    <row r="833" spans="1:23" ht="13" x14ac:dyDescent="0.3">
      <c r="A833" s="58"/>
      <c r="B833" s="58"/>
      <c r="C833" s="58"/>
      <c r="D833" s="58"/>
      <c r="E833" s="58"/>
      <c r="F833" s="58"/>
      <c r="G833" s="58"/>
      <c r="H833" s="59"/>
      <c r="I833" s="59"/>
      <c r="J833" s="59"/>
      <c r="K833" s="59"/>
      <c r="L833" s="59"/>
      <c r="M833" s="60"/>
      <c r="N833" s="60"/>
      <c r="O833" s="60"/>
      <c r="P833" s="59"/>
      <c r="Q833" s="59"/>
      <c r="R833" s="60"/>
      <c r="S833" s="60"/>
      <c r="T833" s="60"/>
      <c r="U833" s="60"/>
      <c r="V833" s="60"/>
      <c r="W833" s="60"/>
    </row>
    <row r="834" spans="1:23" ht="13" x14ac:dyDescent="0.3">
      <c r="A834" s="58"/>
      <c r="B834" s="58"/>
      <c r="C834" s="58"/>
      <c r="D834" s="58"/>
      <c r="E834" s="58"/>
      <c r="F834" s="58"/>
      <c r="G834" s="58"/>
      <c r="H834" s="59"/>
      <c r="I834" s="59"/>
      <c r="J834" s="59"/>
      <c r="K834" s="59"/>
      <c r="L834" s="59"/>
      <c r="M834" s="60"/>
      <c r="N834" s="60"/>
      <c r="O834" s="60"/>
      <c r="P834" s="59"/>
      <c r="Q834" s="59"/>
      <c r="R834" s="60"/>
      <c r="S834" s="60"/>
      <c r="T834" s="60"/>
      <c r="U834" s="60"/>
      <c r="V834" s="60"/>
      <c r="W834" s="60"/>
    </row>
    <row r="835" spans="1:23" ht="13" x14ac:dyDescent="0.3">
      <c r="A835" s="58"/>
      <c r="B835" s="58"/>
      <c r="C835" s="58"/>
      <c r="D835" s="58"/>
      <c r="E835" s="58"/>
      <c r="F835" s="58"/>
      <c r="G835" s="58"/>
      <c r="H835" s="59"/>
      <c r="I835" s="59"/>
      <c r="J835" s="59"/>
      <c r="K835" s="59"/>
      <c r="L835" s="59"/>
      <c r="M835" s="60"/>
      <c r="N835" s="60"/>
      <c r="O835" s="60"/>
      <c r="P835" s="59"/>
      <c r="Q835" s="59"/>
      <c r="R835" s="60"/>
      <c r="S835" s="60"/>
      <c r="T835" s="60"/>
      <c r="U835" s="60"/>
      <c r="V835" s="60"/>
      <c r="W835" s="60"/>
    </row>
    <row r="836" spans="1:23" ht="13" x14ac:dyDescent="0.3">
      <c r="A836" s="58"/>
      <c r="B836" s="58"/>
      <c r="C836" s="58"/>
      <c r="D836" s="58"/>
      <c r="E836" s="58"/>
      <c r="F836" s="58"/>
      <c r="G836" s="58"/>
      <c r="H836" s="59"/>
      <c r="I836" s="59"/>
      <c r="J836" s="59"/>
      <c r="K836" s="59"/>
      <c r="L836" s="59"/>
      <c r="M836" s="60"/>
      <c r="N836" s="60"/>
      <c r="O836" s="60"/>
      <c r="P836" s="59"/>
      <c r="Q836" s="59"/>
      <c r="R836" s="60"/>
      <c r="S836" s="60"/>
      <c r="T836" s="60"/>
      <c r="U836" s="60"/>
      <c r="V836" s="60"/>
      <c r="W836" s="60"/>
    </row>
    <row r="837" spans="1:23" ht="13" x14ac:dyDescent="0.3">
      <c r="A837" s="58"/>
      <c r="B837" s="58"/>
      <c r="C837" s="58"/>
      <c r="D837" s="58"/>
      <c r="E837" s="58"/>
      <c r="F837" s="58"/>
      <c r="G837" s="58"/>
      <c r="H837" s="59"/>
      <c r="I837" s="59"/>
      <c r="J837" s="59"/>
      <c r="K837" s="59"/>
      <c r="L837" s="59"/>
      <c r="M837" s="60"/>
      <c r="N837" s="60"/>
      <c r="O837" s="60"/>
      <c r="P837" s="59"/>
      <c r="Q837" s="59"/>
      <c r="R837" s="60"/>
      <c r="S837" s="60"/>
      <c r="T837" s="60"/>
      <c r="U837" s="60"/>
      <c r="V837" s="60"/>
      <c r="W837" s="60"/>
    </row>
    <row r="838" spans="1:23" ht="13" x14ac:dyDescent="0.3">
      <c r="A838" s="58"/>
      <c r="B838" s="58"/>
      <c r="C838" s="58"/>
      <c r="D838" s="58"/>
      <c r="E838" s="58"/>
      <c r="F838" s="58"/>
      <c r="G838" s="58"/>
      <c r="H838" s="59"/>
      <c r="I838" s="59"/>
      <c r="J838" s="59"/>
      <c r="K838" s="59"/>
      <c r="L838" s="59"/>
      <c r="M838" s="60"/>
      <c r="N838" s="60"/>
      <c r="O838" s="60"/>
      <c r="P838" s="59"/>
      <c r="Q838" s="59"/>
      <c r="R838" s="60"/>
      <c r="S838" s="60"/>
      <c r="T838" s="60"/>
      <c r="U838" s="60"/>
      <c r="V838" s="60"/>
      <c r="W838" s="60"/>
    </row>
    <row r="839" spans="1:23" ht="13" x14ac:dyDescent="0.3">
      <c r="A839" s="58"/>
      <c r="B839" s="58"/>
      <c r="C839" s="58"/>
      <c r="D839" s="58"/>
      <c r="E839" s="58"/>
      <c r="F839" s="58"/>
      <c r="G839" s="58"/>
      <c r="H839" s="59"/>
      <c r="I839" s="59"/>
      <c r="J839" s="59"/>
      <c r="K839" s="59"/>
      <c r="L839" s="59"/>
      <c r="M839" s="60"/>
      <c r="N839" s="60"/>
      <c r="O839" s="60"/>
      <c r="P839" s="59"/>
      <c r="Q839" s="59"/>
      <c r="R839" s="60"/>
      <c r="S839" s="60"/>
      <c r="T839" s="60"/>
      <c r="U839" s="60"/>
      <c r="V839" s="60"/>
      <c r="W839" s="60"/>
    </row>
    <row r="840" spans="1:23" ht="13" x14ac:dyDescent="0.3">
      <c r="A840" s="58"/>
      <c r="B840" s="58"/>
      <c r="C840" s="58"/>
      <c r="D840" s="58"/>
      <c r="E840" s="58"/>
      <c r="F840" s="58"/>
      <c r="G840" s="58"/>
      <c r="H840" s="59"/>
      <c r="I840" s="59"/>
      <c r="J840" s="59"/>
      <c r="K840" s="59"/>
      <c r="L840" s="59"/>
      <c r="M840" s="60"/>
      <c r="N840" s="60"/>
      <c r="O840" s="60"/>
      <c r="P840" s="59"/>
      <c r="Q840" s="59"/>
      <c r="R840" s="60"/>
      <c r="S840" s="60"/>
      <c r="T840" s="60"/>
      <c r="U840" s="60"/>
      <c r="V840" s="60"/>
      <c r="W840" s="60"/>
    </row>
    <row r="841" spans="1:23" ht="13" x14ac:dyDescent="0.3">
      <c r="A841" s="58"/>
      <c r="B841" s="58"/>
      <c r="C841" s="58"/>
      <c r="D841" s="58"/>
      <c r="E841" s="58"/>
      <c r="F841" s="58"/>
      <c r="G841" s="58"/>
      <c r="H841" s="59"/>
      <c r="I841" s="59"/>
      <c r="J841" s="59"/>
      <c r="K841" s="59"/>
      <c r="L841" s="59"/>
      <c r="M841" s="60"/>
      <c r="N841" s="60"/>
      <c r="O841" s="60"/>
      <c r="P841" s="59"/>
      <c r="Q841" s="59"/>
      <c r="R841" s="60"/>
      <c r="S841" s="60"/>
      <c r="T841" s="60"/>
      <c r="U841" s="60"/>
      <c r="V841" s="60"/>
      <c r="W841" s="60"/>
    </row>
    <row r="842" spans="1:23" ht="13" x14ac:dyDescent="0.3">
      <c r="A842" s="58"/>
      <c r="B842" s="58"/>
      <c r="C842" s="58"/>
      <c r="D842" s="58"/>
      <c r="E842" s="58"/>
      <c r="F842" s="58"/>
      <c r="G842" s="58"/>
      <c r="H842" s="59"/>
      <c r="I842" s="59"/>
      <c r="J842" s="59"/>
      <c r="K842" s="59"/>
      <c r="L842" s="59"/>
      <c r="M842" s="60"/>
      <c r="N842" s="60"/>
      <c r="O842" s="60"/>
      <c r="P842" s="59"/>
      <c r="Q842" s="59"/>
      <c r="R842" s="60"/>
      <c r="S842" s="60"/>
      <c r="T842" s="60"/>
      <c r="U842" s="60"/>
      <c r="V842" s="60"/>
      <c r="W842" s="60"/>
    </row>
    <row r="843" spans="1:23" ht="13" x14ac:dyDescent="0.3">
      <c r="A843" s="58"/>
      <c r="B843" s="58"/>
      <c r="C843" s="58"/>
      <c r="D843" s="58"/>
      <c r="E843" s="58"/>
      <c r="F843" s="58"/>
      <c r="G843" s="58"/>
      <c r="H843" s="59"/>
      <c r="I843" s="59"/>
      <c r="J843" s="59"/>
      <c r="K843" s="59"/>
      <c r="L843" s="59"/>
      <c r="M843" s="60"/>
      <c r="N843" s="60"/>
      <c r="O843" s="60"/>
      <c r="P843" s="59"/>
      <c r="Q843" s="59"/>
      <c r="R843" s="60"/>
      <c r="S843" s="60"/>
      <c r="T843" s="60"/>
      <c r="U843" s="60"/>
      <c r="V843" s="60"/>
      <c r="W843" s="60"/>
    </row>
    <row r="844" spans="1:23" ht="13" x14ac:dyDescent="0.3">
      <c r="A844" s="58"/>
      <c r="B844" s="58"/>
      <c r="C844" s="58"/>
      <c r="D844" s="58"/>
      <c r="E844" s="58"/>
      <c r="F844" s="58"/>
      <c r="G844" s="58"/>
      <c r="H844" s="59"/>
      <c r="I844" s="59"/>
      <c r="J844" s="59"/>
      <c r="K844" s="59"/>
      <c r="L844" s="59"/>
      <c r="M844" s="60"/>
      <c r="N844" s="60"/>
      <c r="O844" s="60"/>
      <c r="P844" s="59"/>
      <c r="Q844" s="59"/>
      <c r="R844" s="60"/>
      <c r="S844" s="60"/>
      <c r="T844" s="60"/>
      <c r="U844" s="60"/>
      <c r="V844" s="60"/>
      <c r="W844" s="60"/>
    </row>
    <row r="845" spans="1:23" ht="13" x14ac:dyDescent="0.3">
      <c r="A845" s="58"/>
      <c r="B845" s="58"/>
      <c r="C845" s="58"/>
      <c r="D845" s="58"/>
      <c r="E845" s="58"/>
      <c r="F845" s="58"/>
      <c r="G845" s="58"/>
      <c r="H845" s="59"/>
      <c r="I845" s="59"/>
      <c r="J845" s="59"/>
      <c r="K845" s="59"/>
      <c r="L845" s="59"/>
      <c r="M845" s="60"/>
      <c r="N845" s="60"/>
      <c r="O845" s="60"/>
      <c r="P845" s="59"/>
      <c r="Q845" s="59"/>
      <c r="R845" s="60"/>
      <c r="S845" s="60"/>
      <c r="T845" s="60"/>
      <c r="U845" s="60"/>
      <c r="V845" s="60"/>
      <c r="W845" s="60"/>
    </row>
    <row r="846" spans="1:23" ht="13" x14ac:dyDescent="0.3">
      <c r="A846" s="58"/>
      <c r="B846" s="58"/>
      <c r="C846" s="58"/>
      <c r="D846" s="58"/>
      <c r="E846" s="58"/>
      <c r="F846" s="58"/>
      <c r="G846" s="58"/>
      <c r="H846" s="59"/>
      <c r="I846" s="59"/>
      <c r="J846" s="59"/>
      <c r="K846" s="59"/>
      <c r="L846" s="59"/>
      <c r="M846" s="60"/>
      <c r="N846" s="60"/>
      <c r="O846" s="60"/>
      <c r="P846" s="59"/>
      <c r="Q846" s="59"/>
      <c r="R846" s="60"/>
      <c r="S846" s="60"/>
      <c r="T846" s="60"/>
      <c r="U846" s="60"/>
      <c r="V846" s="60"/>
      <c r="W846" s="60"/>
    </row>
    <row r="847" spans="1:23" ht="13" x14ac:dyDescent="0.3">
      <c r="A847" s="58"/>
      <c r="B847" s="58"/>
      <c r="C847" s="58"/>
      <c r="D847" s="58"/>
      <c r="E847" s="58"/>
      <c r="F847" s="58"/>
      <c r="G847" s="58"/>
      <c r="H847" s="59"/>
      <c r="I847" s="59"/>
      <c r="J847" s="59"/>
      <c r="K847" s="59"/>
      <c r="L847" s="59"/>
      <c r="M847" s="60"/>
      <c r="N847" s="60"/>
      <c r="O847" s="60"/>
      <c r="P847" s="59"/>
      <c r="Q847" s="59"/>
      <c r="R847" s="60"/>
      <c r="S847" s="60"/>
      <c r="T847" s="60"/>
      <c r="U847" s="60"/>
      <c r="V847" s="60"/>
      <c r="W847" s="60"/>
    </row>
    <row r="848" spans="1:23" ht="13" x14ac:dyDescent="0.3">
      <c r="A848" s="58"/>
      <c r="B848" s="58"/>
      <c r="C848" s="58"/>
      <c r="D848" s="58"/>
      <c r="E848" s="58"/>
      <c r="F848" s="58"/>
      <c r="G848" s="58"/>
      <c r="H848" s="59"/>
      <c r="I848" s="59"/>
      <c r="J848" s="59"/>
      <c r="K848" s="59"/>
      <c r="L848" s="59"/>
      <c r="M848" s="60"/>
      <c r="N848" s="60"/>
      <c r="O848" s="60"/>
      <c r="P848" s="59"/>
      <c r="Q848" s="59"/>
      <c r="R848" s="60"/>
      <c r="S848" s="60"/>
      <c r="T848" s="60"/>
      <c r="U848" s="60"/>
      <c r="V848" s="60"/>
      <c r="W848" s="60"/>
    </row>
    <row r="849" spans="1:23" ht="13" x14ac:dyDescent="0.3">
      <c r="A849" s="58"/>
      <c r="B849" s="58"/>
      <c r="C849" s="58"/>
      <c r="D849" s="58"/>
      <c r="E849" s="58"/>
      <c r="F849" s="58"/>
      <c r="G849" s="58"/>
      <c r="H849" s="59"/>
      <c r="I849" s="59"/>
      <c r="J849" s="59"/>
      <c r="K849" s="59"/>
      <c r="L849" s="59"/>
      <c r="M849" s="60"/>
      <c r="N849" s="60"/>
      <c r="O849" s="60"/>
      <c r="P849" s="59"/>
      <c r="Q849" s="59"/>
      <c r="R849" s="60"/>
      <c r="S849" s="60"/>
      <c r="T849" s="60"/>
      <c r="U849" s="60"/>
      <c r="V849" s="60"/>
      <c r="W849" s="60"/>
    </row>
    <row r="850" spans="1:23" ht="13" x14ac:dyDescent="0.3">
      <c r="A850" s="58"/>
      <c r="B850" s="58"/>
      <c r="C850" s="58"/>
      <c r="D850" s="58"/>
      <c r="E850" s="58"/>
      <c r="F850" s="58"/>
      <c r="G850" s="58"/>
      <c r="H850" s="59"/>
      <c r="I850" s="59"/>
      <c r="J850" s="59"/>
      <c r="K850" s="59"/>
      <c r="L850" s="59"/>
      <c r="M850" s="60"/>
      <c r="N850" s="60"/>
      <c r="O850" s="60"/>
      <c r="P850" s="59"/>
      <c r="Q850" s="59"/>
      <c r="R850" s="60"/>
      <c r="S850" s="60"/>
      <c r="T850" s="60"/>
      <c r="U850" s="60"/>
      <c r="V850" s="60"/>
      <c r="W850" s="60"/>
    </row>
    <row r="851" spans="1:23" ht="13" x14ac:dyDescent="0.3">
      <c r="A851" s="58"/>
      <c r="B851" s="58"/>
      <c r="C851" s="58"/>
      <c r="D851" s="58"/>
      <c r="E851" s="58"/>
      <c r="F851" s="58"/>
      <c r="G851" s="58"/>
      <c r="H851" s="59"/>
      <c r="I851" s="59"/>
      <c r="J851" s="59"/>
      <c r="K851" s="59"/>
      <c r="L851" s="59"/>
      <c r="M851" s="60"/>
      <c r="N851" s="60"/>
      <c r="O851" s="60"/>
      <c r="P851" s="59"/>
      <c r="Q851" s="59"/>
      <c r="R851" s="60"/>
      <c r="S851" s="60"/>
      <c r="T851" s="60"/>
      <c r="U851" s="60"/>
      <c r="V851" s="60"/>
      <c r="W851" s="60"/>
    </row>
    <row r="852" spans="1:23" ht="13" x14ac:dyDescent="0.3">
      <c r="A852" s="58"/>
      <c r="B852" s="58"/>
      <c r="C852" s="58"/>
      <c r="D852" s="58"/>
      <c r="E852" s="58"/>
      <c r="F852" s="58"/>
      <c r="G852" s="58"/>
      <c r="H852" s="59"/>
      <c r="I852" s="59"/>
      <c r="J852" s="59"/>
      <c r="K852" s="59"/>
      <c r="L852" s="59"/>
      <c r="M852" s="60"/>
      <c r="N852" s="60"/>
      <c r="O852" s="60"/>
      <c r="P852" s="59"/>
      <c r="Q852" s="59"/>
      <c r="R852" s="60"/>
      <c r="S852" s="60"/>
      <c r="T852" s="60"/>
      <c r="U852" s="60"/>
      <c r="V852" s="60"/>
      <c r="W852" s="60"/>
    </row>
    <row r="853" spans="1:23" ht="13" x14ac:dyDescent="0.3">
      <c r="A853" s="58"/>
      <c r="B853" s="58"/>
      <c r="C853" s="58"/>
      <c r="D853" s="58"/>
      <c r="E853" s="58"/>
      <c r="F853" s="58"/>
      <c r="G853" s="58"/>
      <c r="H853" s="59"/>
      <c r="I853" s="59"/>
      <c r="J853" s="59"/>
      <c r="K853" s="59"/>
      <c r="L853" s="59"/>
      <c r="M853" s="60"/>
      <c r="N853" s="60"/>
      <c r="O853" s="60"/>
      <c r="P853" s="59"/>
      <c r="Q853" s="59"/>
      <c r="R853" s="60"/>
      <c r="S853" s="60"/>
      <c r="T853" s="60"/>
      <c r="U853" s="60"/>
      <c r="V853" s="60"/>
      <c r="W853" s="60"/>
    </row>
    <row r="854" spans="1:23" ht="13" x14ac:dyDescent="0.3">
      <c r="A854" s="58"/>
      <c r="B854" s="58"/>
      <c r="C854" s="58"/>
      <c r="D854" s="58"/>
      <c r="E854" s="58"/>
      <c r="F854" s="58"/>
      <c r="G854" s="58"/>
      <c r="H854" s="59"/>
      <c r="I854" s="59"/>
      <c r="J854" s="59"/>
      <c r="K854" s="59"/>
      <c r="L854" s="59"/>
      <c r="M854" s="60"/>
      <c r="N854" s="60"/>
      <c r="O854" s="60"/>
      <c r="P854" s="59"/>
      <c r="Q854" s="59"/>
      <c r="R854" s="60"/>
      <c r="S854" s="60"/>
      <c r="T854" s="60"/>
      <c r="U854" s="60"/>
      <c r="V854" s="60"/>
      <c r="W854" s="60"/>
    </row>
    <row r="855" spans="1:23" ht="13" x14ac:dyDescent="0.3">
      <c r="A855" s="58"/>
      <c r="B855" s="58"/>
      <c r="C855" s="58"/>
      <c r="D855" s="58"/>
      <c r="E855" s="58"/>
      <c r="F855" s="58"/>
      <c r="G855" s="58"/>
      <c r="H855" s="59"/>
      <c r="I855" s="59"/>
      <c r="J855" s="59"/>
      <c r="K855" s="59"/>
      <c r="L855" s="59"/>
      <c r="M855" s="60"/>
      <c r="N855" s="60"/>
      <c r="O855" s="60"/>
      <c r="P855" s="59"/>
      <c r="Q855" s="59"/>
      <c r="R855" s="60"/>
      <c r="S855" s="60"/>
      <c r="T855" s="60"/>
      <c r="U855" s="60"/>
      <c r="V855" s="60"/>
      <c r="W855" s="60"/>
    </row>
    <row r="856" spans="1:23" ht="13" x14ac:dyDescent="0.3">
      <c r="A856" s="58"/>
      <c r="B856" s="58"/>
      <c r="C856" s="58"/>
      <c r="D856" s="58"/>
      <c r="E856" s="58"/>
      <c r="F856" s="58"/>
      <c r="G856" s="58"/>
      <c r="H856" s="59"/>
      <c r="I856" s="59"/>
      <c r="J856" s="59"/>
      <c r="K856" s="59"/>
      <c r="L856" s="59"/>
      <c r="M856" s="60"/>
      <c r="N856" s="60"/>
      <c r="O856" s="60"/>
      <c r="P856" s="59"/>
      <c r="Q856" s="59"/>
      <c r="R856" s="60"/>
      <c r="S856" s="60"/>
      <c r="T856" s="60"/>
      <c r="U856" s="60"/>
      <c r="V856" s="60"/>
      <c r="W856" s="60"/>
    </row>
    <row r="857" spans="1:23" ht="13" x14ac:dyDescent="0.3">
      <c r="A857" s="58"/>
      <c r="B857" s="58"/>
      <c r="C857" s="58"/>
      <c r="D857" s="58"/>
      <c r="E857" s="58"/>
      <c r="F857" s="58"/>
      <c r="G857" s="58"/>
      <c r="H857" s="59"/>
      <c r="I857" s="59"/>
      <c r="J857" s="59"/>
      <c r="K857" s="59"/>
      <c r="L857" s="59"/>
      <c r="M857" s="60"/>
      <c r="N857" s="60"/>
      <c r="O857" s="60"/>
      <c r="P857" s="59"/>
      <c r="Q857" s="59"/>
      <c r="R857" s="60"/>
      <c r="S857" s="60"/>
      <c r="T857" s="60"/>
      <c r="U857" s="60"/>
      <c r="V857" s="60"/>
      <c r="W857" s="60"/>
    </row>
    <row r="858" spans="1:23" ht="13" x14ac:dyDescent="0.3">
      <c r="A858" s="58"/>
      <c r="B858" s="58"/>
      <c r="C858" s="58"/>
      <c r="D858" s="58"/>
      <c r="E858" s="58"/>
      <c r="F858" s="58"/>
      <c r="G858" s="58"/>
      <c r="H858" s="59"/>
      <c r="I858" s="59"/>
      <c r="J858" s="59"/>
      <c r="K858" s="59"/>
      <c r="L858" s="59"/>
      <c r="M858" s="60"/>
      <c r="N858" s="60"/>
      <c r="O858" s="60"/>
      <c r="P858" s="59"/>
      <c r="Q858" s="59"/>
      <c r="R858" s="60"/>
      <c r="S858" s="60"/>
      <c r="T858" s="60"/>
      <c r="U858" s="60"/>
      <c r="V858" s="60"/>
      <c r="W858" s="60"/>
    </row>
    <row r="859" spans="1:23" ht="13" x14ac:dyDescent="0.3">
      <c r="A859" s="58"/>
      <c r="B859" s="58"/>
      <c r="C859" s="58"/>
      <c r="D859" s="58"/>
      <c r="E859" s="58"/>
      <c r="F859" s="58"/>
      <c r="G859" s="58"/>
      <c r="H859" s="59"/>
      <c r="I859" s="59"/>
      <c r="J859" s="59"/>
      <c r="K859" s="59"/>
      <c r="L859" s="59"/>
      <c r="M859" s="60"/>
      <c r="N859" s="60"/>
      <c r="O859" s="60"/>
      <c r="P859" s="59"/>
      <c r="Q859" s="59"/>
      <c r="R859" s="60"/>
      <c r="S859" s="60"/>
      <c r="T859" s="60"/>
      <c r="U859" s="60"/>
      <c r="V859" s="60"/>
      <c r="W859" s="60"/>
    </row>
    <row r="860" spans="1:23" ht="13" x14ac:dyDescent="0.3">
      <c r="A860" s="58"/>
      <c r="B860" s="58"/>
      <c r="C860" s="58"/>
      <c r="D860" s="58"/>
      <c r="E860" s="58"/>
      <c r="F860" s="58"/>
      <c r="G860" s="58"/>
      <c r="H860" s="59"/>
      <c r="I860" s="59"/>
      <c r="J860" s="59"/>
      <c r="K860" s="59"/>
      <c r="L860" s="59"/>
      <c r="M860" s="60"/>
      <c r="N860" s="60"/>
      <c r="O860" s="60"/>
      <c r="P860" s="59"/>
      <c r="Q860" s="59"/>
      <c r="R860" s="60"/>
      <c r="S860" s="60"/>
      <c r="T860" s="60"/>
      <c r="U860" s="60"/>
      <c r="V860" s="60"/>
      <c r="W860" s="60"/>
    </row>
    <row r="861" spans="1:23" ht="13" x14ac:dyDescent="0.3">
      <c r="A861" s="58"/>
      <c r="B861" s="58"/>
      <c r="C861" s="58"/>
      <c r="D861" s="58"/>
      <c r="E861" s="58"/>
      <c r="F861" s="58"/>
      <c r="G861" s="58"/>
      <c r="H861" s="59"/>
      <c r="I861" s="59"/>
      <c r="J861" s="59"/>
      <c r="K861" s="59"/>
      <c r="L861" s="59"/>
      <c r="M861" s="60"/>
      <c r="N861" s="60"/>
      <c r="O861" s="60"/>
      <c r="P861" s="59"/>
      <c r="Q861" s="59"/>
      <c r="R861" s="60"/>
      <c r="S861" s="60"/>
      <c r="T861" s="60"/>
      <c r="U861" s="60"/>
      <c r="V861" s="60"/>
      <c r="W861" s="60"/>
    </row>
    <row r="862" spans="1:23" ht="13" x14ac:dyDescent="0.3">
      <c r="A862" s="58"/>
      <c r="B862" s="58"/>
      <c r="C862" s="58"/>
      <c r="D862" s="58"/>
      <c r="E862" s="58"/>
      <c r="F862" s="58"/>
      <c r="G862" s="58"/>
      <c r="H862" s="59"/>
      <c r="I862" s="59"/>
      <c r="J862" s="59"/>
      <c r="K862" s="59"/>
      <c r="L862" s="59"/>
      <c r="M862" s="60"/>
      <c r="N862" s="60"/>
      <c r="O862" s="60"/>
      <c r="P862" s="59"/>
      <c r="Q862" s="59"/>
      <c r="R862" s="60"/>
      <c r="S862" s="60"/>
      <c r="T862" s="60"/>
      <c r="U862" s="60"/>
      <c r="V862" s="60"/>
      <c r="W862" s="60"/>
    </row>
    <row r="863" spans="1:23" ht="13" x14ac:dyDescent="0.3">
      <c r="A863" s="58"/>
      <c r="B863" s="58"/>
      <c r="C863" s="58"/>
      <c r="D863" s="58"/>
      <c r="E863" s="58"/>
      <c r="F863" s="58"/>
      <c r="G863" s="58"/>
      <c r="H863" s="59"/>
      <c r="I863" s="59"/>
      <c r="J863" s="59"/>
      <c r="K863" s="59"/>
      <c r="L863" s="59"/>
      <c r="M863" s="60"/>
      <c r="N863" s="60"/>
      <c r="O863" s="60"/>
      <c r="P863" s="59"/>
      <c r="Q863" s="59"/>
      <c r="R863" s="60"/>
      <c r="S863" s="60"/>
      <c r="T863" s="60"/>
      <c r="U863" s="60"/>
      <c r="V863" s="60"/>
      <c r="W863" s="60"/>
    </row>
    <row r="864" spans="1:23" ht="13" x14ac:dyDescent="0.3">
      <c r="A864" s="58"/>
      <c r="B864" s="58"/>
      <c r="C864" s="58"/>
      <c r="D864" s="58"/>
      <c r="E864" s="58"/>
      <c r="F864" s="58"/>
      <c r="G864" s="58"/>
      <c r="H864" s="59"/>
      <c r="I864" s="59"/>
      <c r="J864" s="59"/>
      <c r="K864" s="59"/>
      <c r="L864" s="59"/>
      <c r="M864" s="60"/>
      <c r="N864" s="60"/>
      <c r="O864" s="60"/>
      <c r="P864" s="59"/>
      <c r="Q864" s="59"/>
      <c r="R864" s="60"/>
      <c r="S864" s="60"/>
      <c r="T864" s="60"/>
      <c r="U864" s="60"/>
      <c r="V864" s="60"/>
      <c r="W864" s="60"/>
    </row>
    <row r="865" spans="1:23" ht="13" x14ac:dyDescent="0.3">
      <c r="A865" s="58"/>
      <c r="B865" s="58"/>
      <c r="C865" s="58"/>
      <c r="D865" s="58"/>
      <c r="E865" s="58"/>
      <c r="F865" s="58"/>
      <c r="G865" s="58"/>
      <c r="H865" s="59"/>
      <c r="I865" s="59"/>
      <c r="J865" s="59"/>
      <c r="K865" s="59"/>
      <c r="L865" s="59"/>
      <c r="M865" s="60"/>
      <c r="N865" s="60"/>
      <c r="O865" s="60"/>
      <c r="P865" s="59"/>
      <c r="Q865" s="59"/>
      <c r="R865" s="60"/>
      <c r="S865" s="60"/>
      <c r="T865" s="60"/>
      <c r="U865" s="60"/>
      <c r="V865" s="60"/>
      <c r="W865" s="60"/>
    </row>
    <row r="866" spans="1:23" ht="13" x14ac:dyDescent="0.3">
      <c r="A866" s="58"/>
      <c r="B866" s="58"/>
      <c r="C866" s="58"/>
      <c r="D866" s="58"/>
      <c r="E866" s="58"/>
      <c r="F866" s="58"/>
      <c r="G866" s="58"/>
      <c r="H866" s="59"/>
      <c r="I866" s="59"/>
      <c r="J866" s="59"/>
      <c r="K866" s="59"/>
      <c r="L866" s="59"/>
      <c r="M866" s="60"/>
      <c r="N866" s="60"/>
      <c r="O866" s="60"/>
      <c r="P866" s="59"/>
      <c r="Q866" s="59"/>
      <c r="R866" s="60"/>
      <c r="S866" s="60"/>
      <c r="T866" s="60"/>
      <c r="U866" s="60"/>
      <c r="V866" s="60"/>
      <c r="W866" s="60"/>
    </row>
    <row r="867" spans="1:23" ht="13" x14ac:dyDescent="0.3">
      <c r="A867" s="58"/>
      <c r="B867" s="58"/>
      <c r="C867" s="58"/>
      <c r="D867" s="58"/>
      <c r="E867" s="58"/>
      <c r="F867" s="58"/>
      <c r="G867" s="58"/>
      <c r="H867" s="59"/>
      <c r="I867" s="59"/>
      <c r="J867" s="59"/>
      <c r="K867" s="59"/>
      <c r="L867" s="59"/>
      <c r="M867" s="60"/>
      <c r="N867" s="60"/>
      <c r="O867" s="60"/>
      <c r="P867" s="59"/>
      <c r="Q867" s="59"/>
      <c r="R867" s="60"/>
      <c r="S867" s="60"/>
      <c r="T867" s="60"/>
      <c r="U867" s="60"/>
      <c r="V867" s="60"/>
      <c r="W867" s="60"/>
    </row>
    <row r="868" spans="1:23" ht="13" x14ac:dyDescent="0.3">
      <c r="A868" s="58"/>
      <c r="B868" s="58"/>
      <c r="C868" s="58"/>
      <c r="D868" s="58"/>
      <c r="E868" s="58"/>
      <c r="F868" s="58"/>
      <c r="G868" s="58"/>
      <c r="H868" s="59"/>
      <c r="I868" s="59"/>
      <c r="J868" s="59"/>
      <c r="K868" s="59"/>
      <c r="L868" s="59"/>
      <c r="M868" s="60"/>
      <c r="N868" s="60"/>
      <c r="O868" s="60"/>
      <c r="P868" s="59"/>
      <c r="Q868" s="59"/>
      <c r="R868" s="60"/>
      <c r="S868" s="60"/>
      <c r="T868" s="60"/>
      <c r="U868" s="60"/>
      <c r="V868" s="60"/>
      <c r="W868" s="60"/>
    </row>
    <row r="869" spans="1:23" ht="13" x14ac:dyDescent="0.3">
      <c r="A869" s="58"/>
      <c r="B869" s="58"/>
      <c r="C869" s="58"/>
      <c r="D869" s="58"/>
      <c r="E869" s="58"/>
      <c r="F869" s="58"/>
      <c r="G869" s="58"/>
      <c r="H869" s="59"/>
      <c r="I869" s="59"/>
      <c r="J869" s="59"/>
      <c r="K869" s="59"/>
      <c r="L869" s="59"/>
      <c r="M869" s="60"/>
      <c r="N869" s="60"/>
      <c r="O869" s="60"/>
      <c r="P869" s="59"/>
      <c r="Q869" s="59"/>
      <c r="R869" s="60"/>
      <c r="S869" s="60"/>
      <c r="T869" s="60"/>
      <c r="U869" s="60"/>
      <c r="V869" s="60"/>
      <c r="W869" s="60"/>
    </row>
    <row r="870" spans="1:23" ht="13" x14ac:dyDescent="0.3">
      <c r="A870" s="58"/>
      <c r="B870" s="58"/>
      <c r="C870" s="58"/>
      <c r="D870" s="58"/>
      <c r="E870" s="58"/>
      <c r="F870" s="58"/>
      <c r="G870" s="58"/>
      <c r="H870" s="59"/>
      <c r="I870" s="59"/>
      <c r="J870" s="59"/>
      <c r="K870" s="59"/>
      <c r="L870" s="59"/>
      <c r="M870" s="60"/>
      <c r="N870" s="60"/>
      <c r="O870" s="60"/>
      <c r="P870" s="59"/>
      <c r="Q870" s="59"/>
      <c r="R870" s="60"/>
      <c r="S870" s="60"/>
      <c r="T870" s="60"/>
      <c r="U870" s="60"/>
      <c r="V870" s="60"/>
      <c r="W870" s="60"/>
    </row>
    <row r="871" spans="1:23" ht="13" x14ac:dyDescent="0.3">
      <c r="A871" s="58"/>
      <c r="B871" s="58"/>
      <c r="C871" s="58"/>
      <c r="D871" s="58"/>
      <c r="E871" s="58"/>
      <c r="F871" s="58"/>
      <c r="G871" s="58"/>
      <c r="H871" s="59"/>
      <c r="I871" s="59"/>
      <c r="J871" s="59"/>
      <c r="K871" s="59"/>
      <c r="L871" s="59"/>
      <c r="M871" s="60"/>
      <c r="N871" s="60"/>
      <c r="O871" s="60"/>
      <c r="P871" s="59"/>
      <c r="Q871" s="59"/>
      <c r="R871" s="60"/>
      <c r="S871" s="60"/>
      <c r="T871" s="60"/>
      <c r="U871" s="60"/>
      <c r="V871" s="60"/>
      <c r="W871" s="60"/>
    </row>
    <row r="872" spans="1:23" ht="13" x14ac:dyDescent="0.3">
      <c r="A872" s="58"/>
      <c r="B872" s="58"/>
      <c r="C872" s="58"/>
      <c r="D872" s="58"/>
      <c r="E872" s="58"/>
      <c r="F872" s="58"/>
      <c r="G872" s="58"/>
      <c r="H872" s="59"/>
      <c r="I872" s="59"/>
      <c r="J872" s="59"/>
      <c r="K872" s="59"/>
      <c r="L872" s="59"/>
      <c r="M872" s="60"/>
      <c r="N872" s="60"/>
      <c r="O872" s="60"/>
      <c r="P872" s="59"/>
      <c r="Q872" s="59"/>
      <c r="R872" s="60"/>
      <c r="S872" s="60"/>
      <c r="T872" s="60"/>
      <c r="U872" s="60"/>
      <c r="V872" s="60"/>
      <c r="W872" s="60"/>
    </row>
    <row r="873" spans="1:23" ht="13" x14ac:dyDescent="0.3">
      <c r="A873" s="58"/>
      <c r="B873" s="58"/>
      <c r="C873" s="58"/>
      <c r="D873" s="58"/>
      <c r="E873" s="58"/>
      <c r="F873" s="58"/>
      <c r="G873" s="58"/>
      <c r="H873" s="59"/>
      <c r="I873" s="59"/>
      <c r="J873" s="59"/>
      <c r="K873" s="59"/>
      <c r="L873" s="59"/>
      <c r="M873" s="60"/>
      <c r="N873" s="60"/>
      <c r="O873" s="60"/>
      <c r="P873" s="59"/>
      <c r="Q873" s="59"/>
      <c r="R873" s="60"/>
      <c r="S873" s="60"/>
      <c r="T873" s="60"/>
      <c r="U873" s="60"/>
      <c r="V873" s="60"/>
      <c r="W873" s="60"/>
    </row>
    <row r="874" spans="1:23" ht="13" x14ac:dyDescent="0.3">
      <c r="A874" s="58"/>
      <c r="B874" s="58"/>
      <c r="C874" s="58"/>
      <c r="D874" s="58"/>
      <c r="E874" s="58"/>
      <c r="F874" s="58"/>
      <c r="G874" s="58"/>
      <c r="H874" s="59"/>
      <c r="I874" s="59"/>
      <c r="J874" s="59"/>
      <c r="K874" s="59"/>
      <c r="L874" s="59"/>
      <c r="M874" s="60"/>
      <c r="N874" s="60"/>
      <c r="O874" s="60"/>
      <c r="P874" s="59"/>
      <c r="Q874" s="59"/>
      <c r="R874" s="60"/>
      <c r="S874" s="60"/>
      <c r="T874" s="60"/>
      <c r="U874" s="60"/>
      <c r="V874" s="60"/>
      <c r="W874" s="60"/>
    </row>
    <row r="875" spans="1:23" ht="13" x14ac:dyDescent="0.3">
      <c r="A875" s="58"/>
      <c r="B875" s="58"/>
      <c r="C875" s="58"/>
      <c r="D875" s="58"/>
      <c r="E875" s="58"/>
      <c r="F875" s="58"/>
      <c r="G875" s="58"/>
      <c r="H875" s="59"/>
      <c r="I875" s="59"/>
      <c r="J875" s="59"/>
      <c r="K875" s="59"/>
      <c r="L875" s="59"/>
      <c r="M875" s="60"/>
      <c r="N875" s="60"/>
      <c r="O875" s="60"/>
      <c r="P875" s="59"/>
      <c r="Q875" s="59"/>
      <c r="R875" s="60"/>
      <c r="S875" s="60"/>
      <c r="T875" s="60"/>
      <c r="U875" s="60"/>
      <c r="V875" s="60"/>
      <c r="W875" s="60"/>
    </row>
    <row r="876" spans="1:23" ht="13" x14ac:dyDescent="0.3">
      <c r="A876" s="58"/>
      <c r="B876" s="58"/>
      <c r="C876" s="58"/>
      <c r="D876" s="58"/>
      <c r="E876" s="58"/>
      <c r="F876" s="58"/>
      <c r="G876" s="58"/>
      <c r="H876" s="59"/>
      <c r="I876" s="59"/>
      <c r="J876" s="59"/>
      <c r="K876" s="59"/>
      <c r="L876" s="59"/>
      <c r="M876" s="60"/>
      <c r="N876" s="60"/>
      <c r="O876" s="60"/>
      <c r="P876" s="59"/>
      <c r="Q876" s="59"/>
      <c r="R876" s="60"/>
      <c r="S876" s="60"/>
      <c r="T876" s="60"/>
      <c r="U876" s="60"/>
      <c r="V876" s="60"/>
      <c r="W876" s="60"/>
    </row>
    <row r="877" spans="1:23" ht="13" x14ac:dyDescent="0.3">
      <c r="A877" s="58"/>
      <c r="B877" s="58"/>
      <c r="C877" s="58"/>
      <c r="D877" s="58"/>
      <c r="E877" s="58"/>
      <c r="F877" s="58"/>
      <c r="G877" s="58"/>
      <c r="H877" s="59"/>
      <c r="I877" s="59"/>
      <c r="J877" s="59"/>
      <c r="K877" s="59"/>
      <c r="L877" s="59"/>
      <c r="M877" s="60"/>
      <c r="N877" s="60"/>
      <c r="O877" s="60"/>
      <c r="P877" s="59"/>
      <c r="Q877" s="59"/>
      <c r="R877" s="60"/>
      <c r="S877" s="60"/>
      <c r="T877" s="60"/>
      <c r="U877" s="60"/>
      <c r="V877" s="60"/>
      <c r="W877" s="60"/>
    </row>
    <row r="878" spans="1:23" ht="13" x14ac:dyDescent="0.3">
      <c r="A878" s="58"/>
      <c r="B878" s="58"/>
      <c r="C878" s="58"/>
      <c r="D878" s="58"/>
      <c r="E878" s="58"/>
      <c r="F878" s="58"/>
      <c r="G878" s="58"/>
      <c r="H878" s="59"/>
      <c r="I878" s="59"/>
      <c r="J878" s="59"/>
      <c r="K878" s="59"/>
      <c r="L878" s="59"/>
      <c r="M878" s="60"/>
      <c r="N878" s="60"/>
      <c r="O878" s="60"/>
      <c r="P878" s="59"/>
      <c r="Q878" s="59"/>
      <c r="R878" s="60"/>
      <c r="S878" s="60"/>
      <c r="T878" s="60"/>
      <c r="U878" s="60"/>
      <c r="V878" s="60"/>
      <c r="W878" s="60"/>
    </row>
    <row r="879" spans="1:23" ht="13" x14ac:dyDescent="0.3">
      <c r="A879" s="58"/>
      <c r="B879" s="58"/>
      <c r="C879" s="58"/>
      <c r="D879" s="58"/>
      <c r="E879" s="58"/>
      <c r="F879" s="58"/>
      <c r="G879" s="58"/>
      <c r="H879" s="59"/>
      <c r="I879" s="59"/>
      <c r="J879" s="59"/>
      <c r="K879" s="59"/>
      <c r="L879" s="59"/>
      <c r="M879" s="60"/>
      <c r="N879" s="60"/>
      <c r="O879" s="60"/>
      <c r="P879" s="59"/>
      <c r="Q879" s="59"/>
      <c r="R879" s="60"/>
      <c r="S879" s="60"/>
      <c r="T879" s="60"/>
      <c r="U879" s="60"/>
      <c r="V879" s="60"/>
      <c r="W879" s="60"/>
    </row>
    <row r="880" spans="1:23" ht="13" x14ac:dyDescent="0.3">
      <c r="A880" s="58"/>
      <c r="B880" s="58"/>
      <c r="C880" s="58"/>
      <c r="D880" s="58"/>
      <c r="E880" s="58"/>
      <c r="F880" s="58"/>
      <c r="G880" s="58"/>
      <c r="H880" s="59"/>
      <c r="I880" s="59"/>
      <c r="J880" s="59"/>
      <c r="K880" s="59"/>
      <c r="L880" s="59"/>
      <c r="M880" s="60"/>
      <c r="N880" s="60"/>
      <c r="O880" s="60"/>
      <c r="P880" s="59"/>
      <c r="Q880" s="59"/>
      <c r="R880" s="60"/>
      <c r="S880" s="60"/>
      <c r="T880" s="60"/>
      <c r="U880" s="60"/>
      <c r="V880" s="60"/>
      <c r="W880" s="60"/>
    </row>
    <row r="881" spans="1:23" ht="13" x14ac:dyDescent="0.3">
      <c r="A881" s="58"/>
      <c r="B881" s="58"/>
      <c r="C881" s="58"/>
      <c r="D881" s="58"/>
      <c r="E881" s="58"/>
      <c r="F881" s="58"/>
      <c r="G881" s="58"/>
      <c r="H881" s="59"/>
      <c r="I881" s="59"/>
      <c r="J881" s="59"/>
      <c r="K881" s="59"/>
      <c r="L881" s="59"/>
      <c r="M881" s="60"/>
      <c r="N881" s="60"/>
      <c r="O881" s="60"/>
      <c r="P881" s="59"/>
      <c r="Q881" s="59"/>
      <c r="R881" s="60"/>
      <c r="S881" s="60"/>
      <c r="T881" s="60"/>
      <c r="U881" s="60"/>
      <c r="V881" s="60"/>
      <c r="W881" s="60"/>
    </row>
    <row r="882" spans="1:23" ht="13" x14ac:dyDescent="0.3">
      <c r="A882" s="58"/>
      <c r="B882" s="58"/>
      <c r="C882" s="58"/>
      <c r="D882" s="58"/>
      <c r="E882" s="58"/>
      <c r="F882" s="58"/>
      <c r="G882" s="58"/>
      <c r="H882" s="59"/>
      <c r="I882" s="59"/>
      <c r="J882" s="59"/>
      <c r="K882" s="59"/>
      <c r="L882" s="59"/>
      <c r="M882" s="60"/>
      <c r="N882" s="60"/>
      <c r="O882" s="60"/>
      <c r="P882" s="59"/>
      <c r="Q882" s="59"/>
      <c r="R882" s="60"/>
      <c r="S882" s="60"/>
      <c r="T882" s="60"/>
      <c r="U882" s="60"/>
      <c r="V882" s="60"/>
      <c r="W882" s="60"/>
    </row>
    <row r="883" spans="1:23" ht="13" x14ac:dyDescent="0.3">
      <c r="A883" s="58"/>
      <c r="B883" s="58"/>
      <c r="C883" s="58"/>
      <c r="D883" s="58"/>
      <c r="E883" s="58"/>
      <c r="F883" s="58"/>
      <c r="G883" s="58"/>
      <c r="H883" s="59"/>
      <c r="I883" s="59"/>
      <c r="J883" s="59"/>
      <c r="K883" s="59"/>
      <c r="L883" s="59"/>
      <c r="M883" s="60"/>
      <c r="N883" s="60"/>
      <c r="O883" s="60"/>
      <c r="P883" s="59"/>
      <c r="Q883" s="59"/>
      <c r="R883" s="60"/>
      <c r="S883" s="60"/>
      <c r="T883" s="60"/>
      <c r="U883" s="60"/>
      <c r="V883" s="60"/>
      <c r="W883" s="60"/>
    </row>
    <row r="884" spans="1:23" ht="13" x14ac:dyDescent="0.3">
      <c r="A884" s="58"/>
      <c r="B884" s="58"/>
      <c r="C884" s="58"/>
      <c r="D884" s="58"/>
      <c r="E884" s="58"/>
      <c r="F884" s="58"/>
      <c r="G884" s="58"/>
      <c r="H884" s="59"/>
      <c r="I884" s="59"/>
      <c r="J884" s="59"/>
      <c r="K884" s="59"/>
      <c r="L884" s="59"/>
      <c r="M884" s="60"/>
      <c r="N884" s="60"/>
      <c r="O884" s="60"/>
      <c r="P884" s="59"/>
      <c r="Q884" s="59"/>
      <c r="R884" s="60"/>
      <c r="S884" s="60"/>
      <c r="T884" s="60"/>
      <c r="U884" s="60"/>
      <c r="V884" s="60"/>
      <c r="W884" s="60"/>
    </row>
    <row r="885" spans="1:23" ht="13" x14ac:dyDescent="0.3">
      <c r="A885" s="58"/>
      <c r="B885" s="58"/>
      <c r="C885" s="58"/>
      <c r="D885" s="58"/>
      <c r="E885" s="58"/>
      <c r="F885" s="58"/>
      <c r="G885" s="58"/>
      <c r="H885" s="59"/>
      <c r="I885" s="59"/>
      <c r="J885" s="59"/>
      <c r="K885" s="59"/>
      <c r="L885" s="59"/>
      <c r="M885" s="60"/>
      <c r="N885" s="60"/>
      <c r="O885" s="60"/>
      <c r="P885" s="59"/>
      <c r="Q885" s="59"/>
      <c r="R885" s="60"/>
      <c r="S885" s="60"/>
      <c r="T885" s="60"/>
      <c r="U885" s="60"/>
      <c r="V885" s="60"/>
      <c r="W885" s="60"/>
    </row>
    <row r="886" spans="1:23" ht="13" x14ac:dyDescent="0.3">
      <c r="A886" s="58"/>
      <c r="B886" s="58"/>
      <c r="C886" s="58"/>
      <c r="D886" s="58"/>
      <c r="E886" s="58"/>
      <c r="F886" s="58"/>
      <c r="G886" s="58"/>
      <c r="H886" s="59"/>
      <c r="I886" s="59"/>
      <c r="J886" s="59"/>
      <c r="K886" s="59"/>
      <c r="L886" s="59"/>
      <c r="M886" s="60"/>
      <c r="N886" s="60"/>
      <c r="O886" s="60"/>
      <c r="P886" s="59"/>
      <c r="Q886" s="59"/>
      <c r="R886" s="60"/>
      <c r="S886" s="60"/>
      <c r="T886" s="60"/>
      <c r="U886" s="60"/>
      <c r="V886" s="60"/>
      <c r="W886" s="60"/>
    </row>
    <row r="887" spans="1:23" ht="13" x14ac:dyDescent="0.3">
      <c r="A887" s="58"/>
      <c r="B887" s="58"/>
      <c r="C887" s="58"/>
      <c r="D887" s="58"/>
      <c r="E887" s="58"/>
      <c r="F887" s="58"/>
      <c r="G887" s="58"/>
      <c r="H887" s="59"/>
      <c r="I887" s="59"/>
      <c r="J887" s="59"/>
      <c r="K887" s="59"/>
      <c r="L887" s="59"/>
      <c r="M887" s="60"/>
      <c r="N887" s="60"/>
      <c r="O887" s="60"/>
      <c r="P887" s="59"/>
      <c r="Q887" s="59"/>
      <c r="R887" s="60"/>
      <c r="S887" s="60"/>
      <c r="T887" s="60"/>
      <c r="U887" s="60"/>
      <c r="V887" s="60"/>
      <c r="W887" s="60"/>
    </row>
    <row r="888" spans="1:23" ht="13" x14ac:dyDescent="0.3">
      <c r="A888" s="58"/>
      <c r="B888" s="58"/>
      <c r="C888" s="58"/>
      <c r="D888" s="58"/>
      <c r="E888" s="58"/>
      <c r="F888" s="58"/>
      <c r="G888" s="58"/>
      <c r="H888" s="59"/>
      <c r="I888" s="59"/>
      <c r="J888" s="59"/>
      <c r="K888" s="59"/>
      <c r="L888" s="59"/>
      <c r="M888" s="60"/>
      <c r="N888" s="60"/>
      <c r="O888" s="60"/>
      <c r="P888" s="59"/>
      <c r="Q888" s="59"/>
      <c r="R888" s="60"/>
      <c r="S888" s="60"/>
      <c r="T888" s="60"/>
      <c r="U888" s="60"/>
      <c r="V888" s="60"/>
      <c r="W888" s="60"/>
    </row>
    <row r="889" spans="1:23" ht="13" x14ac:dyDescent="0.3">
      <c r="A889" s="58"/>
      <c r="B889" s="58"/>
      <c r="C889" s="58"/>
      <c r="D889" s="58"/>
      <c r="E889" s="58"/>
      <c r="F889" s="58"/>
      <c r="G889" s="58"/>
      <c r="H889" s="59"/>
      <c r="I889" s="59"/>
      <c r="J889" s="59"/>
      <c r="K889" s="59"/>
      <c r="L889" s="59"/>
      <c r="M889" s="60"/>
      <c r="N889" s="60"/>
      <c r="O889" s="60"/>
      <c r="P889" s="59"/>
      <c r="Q889" s="59"/>
      <c r="R889" s="60"/>
      <c r="S889" s="60"/>
      <c r="T889" s="60"/>
      <c r="U889" s="60"/>
      <c r="V889" s="60"/>
      <c r="W889" s="60"/>
    </row>
    <row r="890" spans="1:23" ht="13" x14ac:dyDescent="0.3">
      <c r="A890" s="58"/>
      <c r="B890" s="58"/>
      <c r="C890" s="58"/>
      <c r="D890" s="58"/>
      <c r="E890" s="58"/>
      <c r="F890" s="58"/>
      <c r="G890" s="58"/>
      <c r="H890" s="59"/>
      <c r="I890" s="59"/>
      <c r="J890" s="59"/>
      <c r="K890" s="59"/>
      <c r="L890" s="59"/>
      <c r="M890" s="60"/>
      <c r="N890" s="60"/>
      <c r="O890" s="60"/>
      <c r="P890" s="59"/>
      <c r="Q890" s="59"/>
      <c r="R890" s="60"/>
      <c r="S890" s="60"/>
      <c r="T890" s="60"/>
      <c r="U890" s="60"/>
      <c r="V890" s="60"/>
      <c r="W890" s="60"/>
    </row>
    <row r="891" spans="1:23" ht="13" x14ac:dyDescent="0.3">
      <c r="A891" s="58"/>
      <c r="B891" s="58"/>
      <c r="C891" s="58"/>
      <c r="D891" s="58"/>
      <c r="E891" s="58"/>
      <c r="F891" s="58"/>
      <c r="G891" s="58"/>
      <c r="H891" s="59"/>
      <c r="I891" s="59"/>
      <c r="J891" s="59"/>
      <c r="K891" s="59"/>
      <c r="L891" s="59"/>
      <c r="M891" s="60"/>
      <c r="N891" s="60"/>
      <c r="O891" s="60"/>
      <c r="P891" s="59"/>
      <c r="Q891" s="59"/>
      <c r="R891" s="60"/>
      <c r="S891" s="60"/>
      <c r="T891" s="60"/>
      <c r="U891" s="60"/>
      <c r="V891" s="60"/>
      <c r="W891" s="60"/>
    </row>
    <row r="892" spans="1:23" ht="13" x14ac:dyDescent="0.3">
      <c r="A892" s="58"/>
      <c r="B892" s="58"/>
      <c r="C892" s="58"/>
      <c r="D892" s="58"/>
      <c r="E892" s="58"/>
      <c r="F892" s="58"/>
      <c r="G892" s="58"/>
      <c r="H892" s="59"/>
      <c r="I892" s="59"/>
      <c r="J892" s="59"/>
      <c r="K892" s="59"/>
      <c r="L892" s="59"/>
      <c r="M892" s="60"/>
      <c r="N892" s="60"/>
      <c r="O892" s="60"/>
      <c r="P892" s="59"/>
      <c r="Q892" s="59"/>
      <c r="R892" s="60"/>
      <c r="S892" s="60"/>
      <c r="T892" s="60"/>
      <c r="U892" s="60"/>
      <c r="V892" s="60"/>
      <c r="W892" s="60"/>
    </row>
    <row r="893" spans="1:23" ht="13" x14ac:dyDescent="0.3">
      <c r="A893" s="58"/>
      <c r="B893" s="58"/>
      <c r="C893" s="58"/>
      <c r="D893" s="58"/>
      <c r="E893" s="58"/>
      <c r="F893" s="58"/>
      <c r="G893" s="58"/>
      <c r="H893" s="59"/>
      <c r="I893" s="59"/>
      <c r="J893" s="59"/>
      <c r="K893" s="59"/>
      <c r="L893" s="59"/>
      <c r="M893" s="60"/>
      <c r="N893" s="60"/>
      <c r="O893" s="60"/>
      <c r="P893" s="59"/>
      <c r="Q893" s="59"/>
      <c r="R893" s="60"/>
      <c r="S893" s="60"/>
      <c r="T893" s="60"/>
      <c r="U893" s="60"/>
      <c r="V893" s="60"/>
      <c r="W893" s="60"/>
    </row>
    <row r="894" spans="1:23" ht="13" x14ac:dyDescent="0.3">
      <c r="A894" s="58"/>
      <c r="B894" s="58"/>
      <c r="C894" s="58"/>
      <c r="D894" s="58"/>
      <c r="E894" s="58"/>
      <c r="F894" s="58"/>
      <c r="G894" s="58"/>
      <c r="H894" s="59"/>
      <c r="I894" s="59"/>
      <c r="J894" s="59"/>
      <c r="K894" s="59"/>
      <c r="L894" s="59"/>
      <c r="M894" s="60"/>
      <c r="N894" s="60"/>
      <c r="O894" s="60"/>
      <c r="P894" s="59"/>
      <c r="Q894" s="59"/>
      <c r="R894" s="60"/>
      <c r="S894" s="60"/>
      <c r="T894" s="60"/>
      <c r="U894" s="60"/>
      <c r="V894" s="60"/>
      <c r="W894" s="60"/>
    </row>
    <row r="895" spans="1:23" ht="13" x14ac:dyDescent="0.3">
      <c r="A895" s="58"/>
      <c r="B895" s="58"/>
      <c r="C895" s="58"/>
      <c r="D895" s="58"/>
      <c r="E895" s="58"/>
      <c r="F895" s="58"/>
      <c r="G895" s="58"/>
      <c r="H895" s="59"/>
      <c r="I895" s="59"/>
      <c r="J895" s="59"/>
      <c r="K895" s="59"/>
      <c r="L895" s="59"/>
      <c r="M895" s="60"/>
      <c r="N895" s="60"/>
      <c r="O895" s="60"/>
      <c r="P895" s="59"/>
      <c r="Q895" s="59"/>
      <c r="R895" s="60"/>
      <c r="S895" s="60"/>
      <c r="T895" s="60"/>
      <c r="U895" s="60"/>
      <c r="V895" s="60"/>
      <c r="W895" s="60"/>
    </row>
    <row r="896" spans="1:23" ht="13" x14ac:dyDescent="0.3">
      <c r="A896" s="58"/>
      <c r="B896" s="58"/>
      <c r="C896" s="58"/>
      <c r="D896" s="58"/>
      <c r="E896" s="58"/>
      <c r="F896" s="58"/>
      <c r="G896" s="58"/>
      <c r="H896" s="59"/>
      <c r="I896" s="59"/>
      <c r="J896" s="59"/>
      <c r="K896" s="59"/>
      <c r="L896" s="59"/>
      <c r="M896" s="60"/>
      <c r="N896" s="60"/>
      <c r="O896" s="60"/>
      <c r="P896" s="59"/>
      <c r="Q896" s="59"/>
      <c r="R896" s="60"/>
      <c r="S896" s="60"/>
      <c r="T896" s="60"/>
      <c r="U896" s="60"/>
      <c r="V896" s="60"/>
      <c r="W896" s="60"/>
    </row>
    <row r="897" spans="1:23" ht="13" x14ac:dyDescent="0.3">
      <c r="A897" s="58"/>
      <c r="B897" s="58"/>
      <c r="C897" s="58"/>
      <c r="D897" s="58"/>
      <c r="E897" s="58"/>
      <c r="F897" s="58"/>
      <c r="G897" s="58"/>
      <c r="H897" s="59"/>
      <c r="I897" s="59"/>
      <c r="J897" s="59"/>
      <c r="K897" s="59"/>
      <c r="L897" s="59"/>
      <c r="M897" s="60"/>
      <c r="N897" s="60"/>
      <c r="O897" s="60"/>
      <c r="P897" s="59"/>
      <c r="Q897" s="59"/>
      <c r="R897" s="60"/>
      <c r="S897" s="60"/>
      <c r="T897" s="60"/>
      <c r="U897" s="60"/>
      <c r="V897" s="60"/>
      <c r="W897" s="60"/>
    </row>
    <row r="898" spans="1:23" ht="13" x14ac:dyDescent="0.3">
      <c r="A898" s="58"/>
      <c r="B898" s="58"/>
      <c r="C898" s="58"/>
      <c r="D898" s="58"/>
      <c r="E898" s="58"/>
      <c r="F898" s="58"/>
      <c r="G898" s="58"/>
      <c r="H898" s="59"/>
      <c r="I898" s="59"/>
      <c r="J898" s="59"/>
      <c r="K898" s="59"/>
      <c r="L898" s="59"/>
      <c r="M898" s="60"/>
      <c r="N898" s="60"/>
      <c r="O898" s="60"/>
      <c r="P898" s="59"/>
      <c r="Q898" s="59"/>
      <c r="R898" s="60"/>
      <c r="S898" s="60"/>
      <c r="T898" s="60"/>
      <c r="U898" s="60"/>
      <c r="V898" s="60"/>
      <c r="W898" s="60"/>
    </row>
    <row r="899" spans="1:23" ht="13" x14ac:dyDescent="0.3">
      <c r="A899" s="58"/>
      <c r="B899" s="58"/>
      <c r="C899" s="58"/>
      <c r="D899" s="58"/>
      <c r="E899" s="58"/>
      <c r="F899" s="58"/>
      <c r="G899" s="58"/>
      <c r="H899" s="59"/>
      <c r="I899" s="59"/>
      <c r="J899" s="59"/>
      <c r="K899" s="59"/>
      <c r="L899" s="59"/>
      <c r="M899" s="60"/>
      <c r="N899" s="60"/>
      <c r="O899" s="60"/>
      <c r="P899" s="59"/>
      <c r="Q899" s="59"/>
      <c r="R899" s="60"/>
      <c r="S899" s="60"/>
      <c r="T899" s="60"/>
      <c r="U899" s="60"/>
      <c r="V899" s="60"/>
      <c r="W899" s="60"/>
    </row>
    <row r="900" spans="1:23" ht="13" x14ac:dyDescent="0.3">
      <c r="A900" s="58"/>
      <c r="B900" s="58"/>
      <c r="C900" s="58"/>
      <c r="D900" s="58"/>
      <c r="E900" s="58"/>
      <c r="F900" s="58"/>
      <c r="G900" s="58"/>
      <c r="H900" s="59"/>
      <c r="I900" s="59"/>
      <c r="J900" s="59"/>
      <c r="K900" s="59"/>
      <c r="L900" s="59"/>
      <c r="M900" s="60"/>
      <c r="N900" s="60"/>
      <c r="O900" s="60"/>
      <c r="P900" s="59"/>
      <c r="Q900" s="59"/>
      <c r="R900" s="60"/>
      <c r="S900" s="60"/>
      <c r="T900" s="60"/>
      <c r="U900" s="60"/>
      <c r="V900" s="60"/>
      <c r="W900" s="60"/>
    </row>
    <row r="901" spans="1:23" ht="13" x14ac:dyDescent="0.3">
      <c r="A901" s="58"/>
      <c r="B901" s="58"/>
      <c r="C901" s="58"/>
      <c r="D901" s="58"/>
      <c r="E901" s="58"/>
      <c r="F901" s="58"/>
      <c r="G901" s="58"/>
      <c r="H901" s="59"/>
      <c r="I901" s="59"/>
      <c r="J901" s="59"/>
      <c r="K901" s="59"/>
      <c r="L901" s="59"/>
      <c r="M901" s="60"/>
      <c r="N901" s="60"/>
      <c r="O901" s="60"/>
      <c r="P901" s="59"/>
      <c r="Q901" s="59"/>
      <c r="R901" s="60"/>
      <c r="S901" s="60"/>
      <c r="T901" s="60"/>
      <c r="U901" s="60"/>
      <c r="V901" s="60"/>
      <c r="W901" s="60"/>
    </row>
    <row r="902" spans="1:23" ht="13" x14ac:dyDescent="0.3">
      <c r="A902" s="58"/>
      <c r="B902" s="58"/>
      <c r="C902" s="58"/>
      <c r="D902" s="58"/>
      <c r="E902" s="58"/>
      <c r="F902" s="58"/>
      <c r="G902" s="58"/>
      <c r="H902" s="59"/>
      <c r="I902" s="59"/>
      <c r="J902" s="59"/>
      <c r="K902" s="59"/>
      <c r="L902" s="59"/>
      <c r="M902" s="60"/>
      <c r="N902" s="60"/>
      <c r="O902" s="60"/>
      <c r="P902" s="59"/>
      <c r="Q902" s="59"/>
      <c r="R902" s="60"/>
      <c r="S902" s="60"/>
      <c r="T902" s="60"/>
      <c r="U902" s="60"/>
      <c r="V902" s="60"/>
      <c r="W902" s="60"/>
    </row>
    <row r="903" spans="1:23" ht="13" x14ac:dyDescent="0.3">
      <c r="A903" s="58"/>
      <c r="B903" s="58"/>
      <c r="C903" s="58"/>
      <c r="D903" s="58"/>
      <c r="E903" s="58"/>
      <c r="F903" s="58"/>
      <c r="G903" s="58"/>
      <c r="H903" s="59"/>
      <c r="I903" s="59"/>
      <c r="J903" s="59"/>
      <c r="K903" s="59"/>
      <c r="L903" s="59"/>
      <c r="M903" s="60"/>
      <c r="N903" s="60"/>
      <c r="O903" s="60"/>
      <c r="P903" s="59"/>
      <c r="Q903" s="59"/>
      <c r="R903" s="60"/>
      <c r="S903" s="60"/>
      <c r="T903" s="60"/>
      <c r="U903" s="60"/>
      <c r="V903" s="60"/>
      <c r="W903" s="60"/>
    </row>
    <row r="904" spans="1:23" ht="13" x14ac:dyDescent="0.3">
      <c r="A904" s="58"/>
      <c r="B904" s="58"/>
      <c r="C904" s="58"/>
      <c r="D904" s="58"/>
      <c r="E904" s="58"/>
      <c r="F904" s="58"/>
      <c r="G904" s="58"/>
      <c r="H904" s="59"/>
      <c r="I904" s="59"/>
      <c r="J904" s="59"/>
      <c r="K904" s="59"/>
      <c r="L904" s="59"/>
      <c r="M904" s="60"/>
      <c r="N904" s="60"/>
      <c r="O904" s="60"/>
      <c r="P904" s="59"/>
      <c r="Q904" s="59"/>
      <c r="R904" s="60"/>
      <c r="S904" s="60"/>
      <c r="T904" s="60"/>
      <c r="U904" s="60"/>
      <c r="V904" s="60"/>
      <c r="W904" s="60"/>
    </row>
    <row r="905" spans="1:23" ht="13" x14ac:dyDescent="0.3">
      <c r="A905" s="58"/>
      <c r="B905" s="58"/>
      <c r="C905" s="58"/>
      <c r="D905" s="58"/>
      <c r="E905" s="58"/>
      <c r="F905" s="58"/>
      <c r="G905" s="58"/>
      <c r="H905" s="59"/>
      <c r="I905" s="59"/>
      <c r="J905" s="59"/>
      <c r="K905" s="59"/>
      <c r="L905" s="59"/>
      <c r="M905" s="60"/>
      <c r="N905" s="60"/>
      <c r="O905" s="60"/>
      <c r="P905" s="59"/>
      <c r="Q905" s="59"/>
      <c r="R905" s="60"/>
      <c r="S905" s="60"/>
      <c r="T905" s="60"/>
      <c r="U905" s="60"/>
      <c r="V905" s="60"/>
      <c r="W905" s="60"/>
    </row>
    <row r="906" spans="1:23" ht="13" x14ac:dyDescent="0.3">
      <c r="A906" s="58"/>
      <c r="B906" s="58"/>
      <c r="C906" s="58"/>
      <c r="D906" s="58"/>
      <c r="E906" s="58"/>
      <c r="F906" s="58"/>
      <c r="G906" s="58"/>
      <c r="H906" s="59"/>
      <c r="I906" s="59"/>
      <c r="J906" s="59"/>
      <c r="K906" s="59"/>
      <c r="L906" s="59"/>
      <c r="M906" s="60"/>
      <c r="N906" s="60"/>
      <c r="O906" s="60"/>
      <c r="P906" s="59"/>
      <c r="Q906" s="59"/>
      <c r="R906" s="60"/>
      <c r="S906" s="60"/>
      <c r="T906" s="60"/>
      <c r="U906" s="60"/>
      <c r="V906" s="60"/>
      <c r="W906" s="60"/>
    </row>
    <row r="907" spans="1:23" ht="13" x14ac:dyDescent="0.3">
      <c r="A907" s="58"/>
      <c r="B907" s="58"/>
      <c r="C907" s="58"/>
      <c r="D907" s="58"/>
      <c r="E907" s="58"/>
      <c r="F907" s="58"/>
      <c r="G907" s="58"/>
      <c r="H907" s="59"/>
      <c r="I907" s="59"/>
      <c r="J907" s="59"/>
      <c r="K907" s="59"/>
      <c r="L907" s="59"/>
      <c r="M907" s="60"/>
      <c r="N907" s="60"/>
      <c r="O907" s="60"/>
      <c r="P907" s="59"/>
      <c r="Q907" s="59"/>
      <c r="R907" s="60"/>
      <c r="S907" s="60"/>
      <c r="T907" s="60"/>
      <c r="U907" s="60"/>
      <c r="V907" s="60"/>
      <c r="W907" s="60"/>
    </row>
    <row r="908" spans="1:23" ht="13" x14ac:dyDescent="0.3">
      <c r="A908" s="58"/>
      <c r="B908" s="58"/>
      <c r="C908" s="58"/>
      <c r="D908" s="58"/>
      <c r="E908" s="58"/>
      <c r="F908" s="58"/>
      <c r="G908" s="58"/>
      <c r="H908" s="59"/>
      <c r="I908" s="59"/>
      <c r="J908" s="59"/>
      <c r="K908" s="59"/>
      <c r="L908" s="59"/>
      <c r="M908" s="60"/>
      <c r="N908" s="60"/>
      <c r="O908" s="60"/>
      <c r="P908" s="59"/>
      <c r="Q908" s="59"/>
      <c r="R908" s="60"/>
      <c r="S908" s="60"/>
      <c r="T908" s="60"/>
      <c r="U908" s="60"/>
      <c r="V908" s="60"/>
      <c r="W908" s="60"/>
    </row>
    <row r="909" spans="1:23" ht="13" x14ac:dyDescent="0.3">
      <c r="A909" s="58"/>
      <c r="B909" s="58"/>
      <c r="C909" s="58"/>
      <c r="D909" s="58"/>
      <c r="E909" s="58"/>
      <c r="F909" s="58"/>
      <c r="G909" s="58"/>
      <c r="H909" s="59"/>
      <c r="I909" s="59"/>
      <c r="J909" s="59"/>
      <c r="K909" s="59"/>
      <c r="L909" s="59"/>
      <c r="M909" s="60"/>
      <c r="N909" s="60"/>
      <c r="O909" s="60"/>
      <c r="P909" s="59"/>
      <c r="Q909" s="59"/>
      <c r="R909" s="60"/>
      <c r="S909" s="60"/>
      <c r="T909" s="60"/>
      <c r="U909" s="60"/>
      <c r="V909" s="60"/>
      <c r="W909" s="60"/>
    </row>
    <row r="910" spans="1:23" ht="13" x14ac:dyDescent="0.3">
      <c r="A910" s="58"/>
      <c r="B910" s="58"/>
      <c r="C910" s="58"/>
      <c r="D910" s="58"/>
      <c r="E910" s="58"/>
      <c r="F910" s="58"/>
      <c r="G910" s="58"/>
      <c r="H910" s="59"/>
      <c r="I910" s="59"/>
      <c r="J910" s="59"/>
      <c r="K910" s="59"/>
      <c r="L910" s="59"/>
      <c r="M910" s="60"/>
      <c r="N910" s="60"/>
      <c r="O910" s="60"/>
      <c r="P910" s="59"/>
      <c r="Q910" s="59"/>
      <c r="R910" s="60"/>
      <c r="S910" s="60"/>
      <c r="T910" s="60"/>
      <c r="U910" s="60"/>
      <c r="V910" s="60"/>
      <c r="W910" s="60"/>
    </row>
    <row r="911" spans="1:23" ht="13" x14ac:dyDescent="0.3">
      <c r="A911" s="58"/>
      <c r="B911" s="58"/>
      <c r="C911" s="58"/>
      <c r="D911" s="58"/>
      <c r="E911" s="58"/>
      <c r="F911" s="58"/>
      <c r="G911" s="58"/>
      <c r="H911" s="59"/>
      <c r="I911" s="59"/>
      <c r="J911" s="59"/>
      <c r="K911" s="59"/>
      <c r="L911" s="59"/>
      <c r="M911" s="60"/>
      <c r="N911" s="60"/>
      <c r="O911" s="60"/>
      <c r="P911" s="59"/>
      <c r="Q911" s="59"/>
      <c r="R911" s="60"/>
      <c r="S911" s="60"/>
      <c r="T911" s="60"/>
      <c r="U911" s="60"/>
      <c r="V911" s="60"/>
      <c r="W911" s="60"/>
    </row>
    <row r="912" spans="1:23" ht="13" x14ac:dyDescent="0.3">
      <c r="A912" s="58"/>
      <c r="B912" s="58"/>
      <c r="C912" s="58"/>
      <c r="D912" s="58"/>
      <c r="E912" s="58"/>
      <c r="F912" s="58"/>
      <c r="G912" s="58"/>
      <c r="H912" s="59"/>
      <c r="I912" s="59"/>
      <c r="J912" s="59"/>
      <c r="K912" s="59"/>
      <c r="L912" s="59"/>
      <c r="M912" s="60"/>
      <c r="N912" s="60"/>
      <c r="O912" s="60"/>
      <c r="P912" s="59"/>
      <c r="Q912" s="59"/>
      <c r="R912" s="60"/>
      <c r="S912" s="60"/>
      <c r="T912" s="60"/>
      <c r="U912" s="60"/>
      <c r="V912" s="60"/>
      <c r="W912" s="60"/>
    </row>
    <row r="913" spans="1:23" ht="13" x14ac:dyDescent="0.3">
      <c r="A913" s="58"/>
      <c r="B913" s="58"/>
      <c r="C913" s="58"/>
      <c r="D913" s="58"/>
      <c r="E913" s="58"/>
      <c r="F913" s="58"/>
      <c r="G913" s="58"/>
      <c r="H913" s="59"/>
      <c r="I913" s="59"/>
      <c r="J913" s="59"/>
      <c r="K913" s="59"/>
      <c r="L913" s="59"/>
      <c r="M913" s="60"/>
      <c r="N913" s="60"/>
      <c r="O913" s="60"/>
      <c r="P913" s="59"/>
      <c r="Q913" s="59"/>
      <c r="R913" s="60"/>
      <c r="S913" s="60"/>
      <c r="T913" s="60"/>
      <c r="U913" s="60"/>
      <c r="V913" s="60"/>
      <c r="W913" s="60"/>
    </row>
    <row r="914" spans="1:23" ht="13" x14ac:dyDescent="0.3">
      <c r="A914" s="58"/>
      <c r="B914" s="58"/>
      <c r="C914" s="58"/>
      <c r="D914" s="58"/>
      <c r="E914" s="58"/>
      <c r="F914" s="58"/>
      <c r="G914" s="58"/>
      <c r="H914" s="59"/>
      <c r="I914" s="59"/>
      <c r="J914" s="59"/>
      <c r="K914" s="59"/>
      <c r="L914" s="59"/>
      <c r="M914" s="60"/>
      <c r="N914" s="60"/>
      <c r="O914" s="60"/>
      <c r="P914" s="59"/>
      <c r="Q914" s="59"/>
      <c r="R914" s="60"/>
      <c r="S914" s="60"/>
      <c r="T914" s="60"/>
      <c r="U914" s="60"/>
      <c r="V914" s="60"/>
      <c r="W914" s="60"/>
    </row>
    <row r="915" spans="1:23" ht="13" x14ac:dyDescent="0.3">
      <c r="A915" s="58"/>
      <c r="B915" s="58"/>
      <c r="C915" s="58"/>
      <c r="D915" s="58"/>
      <c r="E915" s="58"/>
      <c r="F915" s="58"/>
      <c r="G915" s="58"/>
      <c r="H915" s="59"/>
      <c r="I915" s="59"/>
      <c r="J915" s="59"/>
      <c r="K915" s="59"/>
      <c r="L915" s="59"/>
      <c r="M915" s="60"/>
      <c r="N915" s="60"/>
      <c r="O915" s="60"/>
      <c r="P915" s="59"/>
      <c r="Q915" s="59"/>
      <c r="R915" s="60"/>
      <c r="S915" s="60"/>
      <c r="T915" s="60"/>
      <c r="U915" s="60"/>
      <c r="V915" s="60"/>
      <c r="W915" s="60"/>
    </row>
    <row r="916" spans="1:23" ht="13" x14ac:dyDescent="0.3">
      <c r="A916" s="58"/>
      <c r="B916" s="58"/>
      <c r="C916" s="58"/>
      <c r="D916" s="58"/>
      <c r="E916" s="58"/>
      <c r="F916" s="58"/>
      <c r="G916" s="58"/>
      <c r="H916" s="59"/>
      <c r="I916" s="59"/>
      <c r="J916" s="59"/>
      <c r="K916" s="59"/>
      <c r="L916" s="59"/>
      <c r="M916" s="60"/>
      <c r="N916" s="60"/>
      <c r="O916" s="60"/>
      <c r="P916" s="59"/>
      <c r="Q916" s="59"/>
      <c r="R916" s="60"/>
      <c r="S916" s="60"/>
      <c r="T916" s="60"/>
      <c r="U916" s="60"/>
      <c r="V916" s="60"/>
      <c r="W916" s="60"/>
    </row>
    <row r="917" spans="1:23" ht="13" x14ac:dyDescent="0.3">
      <c r="A917" s="58"/>
      <c r="B917" s="58"/>
      <c r="C917" s="58"/>
      <c r="D917" s="58"/>
      <c r="E917" s="58"/>
      <c r="F917" s="58"/>
      <c r="G917" s="58"/>
      <c r="H917" s="59"/>
      <c r="I917" s="59"/>
      <c r="J917" s="59"/>
      <c r="K917" s="59"/>
      <c r="L917" s="59"/>
      <c r="M917" s="60"/>
      <c r="N917" s="60"/>
      <c r="O917" s="60"/>
      <c r="P917" s="59"/>
      <c r="Q917" s="59"/>
      <c r="R917" s="60"/>
      <c r="S917" s="60"/>
      <c r="T917" s="60"/>
      <c r="U917" s="60"/>
      <c r="V917" s="60"/>
      <c r="W917" s="60"/>
    </row>
    <row r="918" spans="1:23" ht="13" x14ac:dyDescent="0.3">
      <c r="A918" s="58"/>
      <c r="B918" s="58"/>
      <c r="C918" s="58"/>
      <c r="D918" s="58"/>
      <c r="E918" s="58"/>
      <c r="F918" s="58"/>
      <c r="G918" s="58"/>
      <c r="H918" s="59"/>
      <c r="I918" s="59"/>
      <c r="J918" s="59"/>
      <c r="K918" s="59"/>
      <c r="L918" s="59"/>
      <c r="M918" s="60"/>
      <c r="N918" s="60"/>
      <c r="O918" s="60"/>
      <c r="P918" s="59"/>
      <c r="Q918" s="59"/>
      <c r="R918" s="60"/>
      <c r="S918" s="60"/>
      <c r="T918" s="60"/>
      <c r="U918" s="60"/>
      <c r="V918" s="60"/>
      <c r="W918" s="60"/>
    </row>
    <row r="919" spans="1:23" ht="13" x14ac:dyDescent="0.3">
      <c r="A919" s="58"/>
      <c r="B919" s="58"/>
      <c r="C919" s="58"/>
      <c r="D919" s="58"/>
      <c r="E919" s="58"/>
      <c r="F919" s="58"/>
      <c r="G919" s="58"/>
      <c r="H919" s="59"/>
      <c r="I919" s="59"/>
      <c r="J919" s="59"/>
      <c r="K919" s="59"/>
      <c r="L919" s="59"/>
      <c r="M919" s="60"/>
      <c r="N919" s="60"/>
      <c r="O919" s="60"/>
      <c r="P919" s="59"/>
      <c r="Q919" s="59"/>
      <c r="R919" s="60"/>
      <c r="S919" s="60"/>
      <c r="T919" s="60"/>
      <c r="U919" s="60"/>
      <c r="V919" s="60"/>
      <c r="W919" s="60"/>
    </row>
    <row r="920" spans="1:23" ht="13" x14ac:dyDescent="0.3">
      <c r="A920" s="58"/>
      <c r="B920" s="58"/>
      <c r="C920" s="58"/>
      <c r="D920" s="58"/>
      <c r="E920" s="58"/>
      <c r="F920" s="58"/>
      <c r="G920" s="58"/>
      <c r="H920" s="59"/>
      <c r="I920" s="59"/>
      <c r="J920" s="59"/>
      <c r="K920" s="59"/>
      <c r="L920" s="59"/>
      <c r="M920" s="60"/>
      <c r="N920" s="60"/>
      <c r="O920" s="60"/>
      <c r="P920" s="59"/>
      <c r="Q920" s="59"/>
      <c r="R920" s="60"/>
      <c r="S920" s="60"/>
      <c r="T920" s="60"/>
      <c r="U920" s="60"/>
      <c r="V920" s="60"/>
      <c r="W920" s="60"/>
    </row>
    <row r="921" spans="1:23" ht="13" x14ac:dyDescent="0.3">
      <c r="A921" s="58"/>
      <c r="B921" s="58"/>
      <c r="C921" s="58"/>
      <c r="D921" s="58"/>
      <c r="E921" s="58"/>
      <c r="F921" s="58"/>
      <c r="G921" s="58"/>
      <c r="H921" s="59"/>
      <c r="I921" s="59"/>
      <c r="J921" s="59"/>
      <c r="K921" s="59"/>
      <c r="L921" s="59"/>
      <c r="M921" s="60"/>
      <c r="N921" s="60"/>
      <c r="O921" s="60"/>
      <c r="P921" s="59"/>
      <c r="Q921" s="59"/>
      <c r="R921" s="60"/>
      <c r="S921" s="60"/>
      <c r="T921" s="60"/>
      <c r="U921" s="60"/>
      <c r="V921" s="60"/>
      <c r="W921" s="60"/>
    </row>
    <row r="922" spans="1:23" ht="13" x14ac:dyDescent="0.3">
      <c r="A922" s="58"/>
      <c r="B922" s="58"/>
      <c r="C922" s="58"/>
      <c r="D922" s="58"/>
      <c r="E922" s="58"/>
      <c r="F922" s="58"/>
      <c r="G922" s="58"/>
      <c r="H922" s="59"/>
      <c r="I922" s="59"/>
      <c r="J922" s="59"/>
      <c r="K922" s="59"/>
      <c r="L922" s="59"/>
      <c r="M922" s="60"/>
      <c r="N922" s="60"/>
      <c r="O922" s="60"/>
      <c r="P922" s="59"/>
      <c r="Q922" s="59"/>
      <c r="R922" s="60"/>
      <c r="S922" s="60"/>
      <c r="T922" s="60"/>
      <c r="U922" s="60"/>
      <c r="V922" s="60"/>
      <c r="W922" s="60"/>
    </row>
    <row r="923" spans="1:23" ht="13" x14ac:dyDescent="0.3">
      <c r="A923" s="58"/>
      <c r="B923" s="58"/>
      <c r="C923" s="58"/>
      <c r="D923" s="58"/>
      <c r="E923" s="58"/>
      <c r="F923" s="58"/>
      <c r="G923" s="58"/>
      <c r="H923" s="59"/>
      <c r="I923" s="59"/>
      <c r="J923" s="59"/>
      <c r="K923" s="59"/>
      <c r="L923" s="59"/>
      <c r="M923" s="60"/>
      <c r="N923" s="60"/>
      <c r="O923" s="60"/>
      <c r="P923" s="59"/>
      <c r="Q923" s="59"/>
      <c r="R923" s="60"/>
      <c r="S923" s="60"/>
      <c r="T923" s="60"/>
      <c r="U923" s="60"/>
      <c r="V923" s="60"/>
      <c r="W923" s="60"/>
    </row>
    <row r="924" spans="1:23" ht="13" x14ac:dyDescent="0.3">
      <c r="A924" s="58"/>
      <c r="B924" s="58"/>
      <c r="C924" s="58"/>
      <c r="D924" s="58"/>
      <c r="E924" s="58"/>
      <c r="F924" s="58"/>
      <c r="G924" s="58"/>
      <c r="H924" s="59"/>
      <c r="I924" s="59"/>
      <c r="J924" s="59"/>
      <c r="K924" s="59"/>
      <c r="L924" s="59"/>
      <c r="M924" s="60"/>
      <c r="N924" s="60"/>
      <c r="O924" s="60"/>
      <c r="P924" s="59"/>
      <c r="Q924" s="59"/>
      <c r="R924" s="60"/>
      <c r="S924" s="60"/>
      <c r="T924" s="60"/>
      <c r="U924" s="60"/>
      <c r="V924" s="60"/>
      <c r="W924" s="60"/>
    </row>
    <row r="925" spans="1:23" ht="13" x14ac:dyDescent="0.3">
      <c r="A925" s="58"/>
      <c r="B925" s="58"/>
      <c r="C925" s="58"/>
      <c r="D925" s="58"/>
      <c r="E925" s="58"/>
      <c r="F925" s="58"/>
      <c r="G925" s="58"/>
      <c r="H925" s="59"/>
      <c r="I925" s="59"/>
      <c r="J925" s="59"/>
      <c r="K925" s="59"/>
      <c r="L925" s="59"/>
      <c r="M925" s="60"/>
      <c r="N925" s="60"/>
      <c r="O925" s="60"/>
      <c r="P925" s="59"/>
      <c r="Q925" s="59"/>
      <c r="R925" s="60"/>
      <c r="S925" s="60"/>
      <c r="T925" s="60"/>
      <c r="U925" s="60"/>
      <c r="V925" s="60"/>
      <c r="W925" s="60"/>
    </row>
    <row r="926" spans="1:23" ht="13" x14ac:dyDescent="0.3">
      <c r="A926" s="58"/>
      <c r="B926" s="58"/>
      <c r="C926" s="58"/>
      <c r="D926" s="58"/>
      <c r="E926" s="58"/>
      <c r="F926" s="58"/>
      <c r="G926" s="58"/>
      <c r="H926" s="59"/>
      <c r="I926" s="59"/>
      <c r="J926" s="59"/>
      <c r="K926" s="59"/>
      <c r="L926" s="59"/>
      <c r="M926" s="60"/>
      <c r="N926" s="60"/>
      <c r="O926" s="60"/>
      <c r="P926" s="59"/>
      <c r="Q926" s="59"/>
      <c r="R926" s="60"/>
      <c r="S926" s="60"/>
      <c r="T926" s="60"/>
      <c r="U926" s="60"/>
      <c r="V926" s="60"/>
      <c r="W926" s="60"/>
    </row>
    <row r="927" spans="1:23" ht="13" x14ac:dyDescent="0.3">
      <c r="A927" s="58"/>
      <c r="B927" s="58"/>
      <c r="C927" s="58"/>
      <c r="D927" s="58"/>
      <c r="E927" s="58"/>
      <c r="F927" s="58"/>
      <c r="G927" s="58"/>
      <c r="H927" s="59"/>
      <c r="I927" s="59"/>
      <c r="J927" s="59"/>
      <c r="K927" s="59"/>
      <c r="L927" s="59"/>
      <c r="M927" s="60"/>
      <c r="N927" s="60"/>
      <c r="O927" s="60"/>
      <c r="P927" s="59"/>
      <c r="Q927" s="59"/>
      <c r="R927" s="60"/>
      <c r="S927" s="60"/>
      <c r="T927" s="60"/>
      <c r="U927" s="60"/>
      <c r="V927" s="60"/>
      <c r="W927" s="60"/>
    </row>
    <row r="928" spans="1:23" ht="13" x14ac:dyDescent="0.3">
      <c r="A928" s="58"/>
      <c r="B928" s="58"/>
      <c r="C928" s="58"/>
      <c r="D928" s="58"/>
      <c r="E928" s="58"/>
      <c r="F928" s="58"/>
      <c r="G928" s="58"/>
      <c r="H928" s="59"/>
      <c r="I928" s="59"/>
      <c r="J928" s="59"/>
      <c r="K928" s="59"/>
      <c r="L928" s="59"/>
      <c r="M928" s="60"/>
      <c r="N928" s="60"/>
      <c r="O928" s="60"/>
      <c r="P928" s="59"/>
      <c r="Q928" s="59"/>
      <c r="R928" s="60"/>
      <c r="S928" s="60"/>
      <c r="T928" s="60"/>
      <c r="U928" s="60"/>
      <c r="V928" s="60"/>
      <c r="W928" s="60"/>
    </row>
    <row r="929" spans="1:23" ht="13" x14ac:dyDescent="0.3">
      <c r="A929" s="58"/>
      <c r="B929" s="58"/>
      <c r="C929" s="58"/>
      <c r="D929" s="58"/>
      <c r="E929" s="58"/>
      <c r="F929" s="58"/>
      <c r="G929" s="58"/>
      <c r="H929" s="59"/>
      <c r="I929" s="59"/>
      <c r="J929" s="59"/>
      <c r="K929" s="59"/>
      <c r="L929" s="59"/>
      <c r="M929" s="60"/>
      <c r="N929" s="60"/>
      <c r="O929" s="60"/>
      <c r="P929" s="59"/>
      <c r="Q929" s="59"/>
      <c r="R929" s="60"/>
      <c r="S929" s="60"/>
      <c r="T929" s="60"/>
      <c r="U929" s="60"/>
      <c r="V929" s="60"/>
      <c r="W929" s="60"/>
    </row>
    <row r="930" spans="1:23" ht="13" x14ac:dyDescent="0.3">
      <c r="A930" s="58"/>
      <c r="B930" s="58"/>
      <c r="C930" s="58"/>
      <c r="D930" s="58"/>
      <c r="E930" s="58"/>
      <c r="F930" s="58"/>
      <c r="G930" s="58"/>
      <c r="H930" s="59"/>
      <c r="I930" s="59"/>
      <c r="J930" s="59"/>
      <c r="K930" s="59"/>
      <c r="L930" s="59"/>
      <c r="M930" s="60"/>
      <c r="N930" s="60"/>
      <c r="O930" s="60"/>
      <c r="P930" s="59"/>
      <c r="Q930" s="59"/>
      <c r="R930" s="60"/>
      <c r="S930" s="60"/>
      <c r="T930" s="60"/>
      <c r="U930" s="60"/>
      <c r="V930" s="60"/>
      <c r="W930" s="60"/>
    </row>
    <row r="931" spans="1:23" ht="13" x14ac:dyDescent="0.3">
      <c r="A931" s="58"/>
      <c r="B931" s="58"/>
      <c r="C931" s="58"/>
      <c r="D931" s="58"/>
      <c r="E931" s="58"/>
      <c r="F931" s="58"/>
      <c r="G931" s="58"/>
      <c r="H931" s="59"/>
      <c r="I931" s="59"/>
      <c r="J931" s="59"/>
      <c r="K931" s="59"/>
      <c r="L931" s="59"/>
      <c r="M931" s="60"/>
      <c r="N931" s="60"/>
      <c r="O931" s="60"/>
      <c r="P931" s="59"/>
      <c r="Q931" s="59"/>
      <c r="R931" s="60"/>
      <c r="S931" s="60"/>
      <c r="T931" s="60"/>
      <c r="U931" s="60"/>
      <c r="V931" s="60"/>
      <c r="W931" s="60"/>
    </row>
    <row r="932" spans="1:23" ht="13" x14ac:dyDescent="0.3">
      <c r="A932" s="58"/>
      <c r="B932" s="58"/>
      <c r="C932" s="58"/>
      <c r="D932" s="58"/>
      <c r="E932" s="58"/>
      <c r="F932" s="58"/>
      <c r="G932" s="58"/>
      <c r="H932" s="59"/>
      <c r="I932" s="59"/>
      <c r="J932" s="59"/>
      <c r="K932" s="59"/>
      <c r="L932" s="59"/>
      <c r="M932" s="60"/>
      <c r="N932" s="60"/>
      <c r="O932" s="60"/>
      <c r="P932" s="59"/>
      <c r="Q932" s="59"/>
      <c r="R932" s="60"/>
      <c r="S932" s="60"/>
      <c r="T932" s="60"/>
      <c r="U932" s="60"/>
      <c r="V932" s="60"/>
      <c r="W932" s="60"/>
    </row>
    <row r="933" spans="1:23" ht="13" x14ac:dyDescent="0.3">
      <c r="A933" s="58"/>
      <c r="B933" s="58"/>
      <c r="C933" s="58"/>
      <c r="D933" s="58"/>
      <c r="E933" s="58"/>
      <c r="F933" s="58"/>
      <c r="G933" s="58"/>
      <c r="H933" s="59"/>
      <c r="I933" s="59"/>
      <c r="J933" s="59"/>
      <c r="K933" s="59"/>
      <c r="L933" s="59"/>
      <c r="M933" s="60"/>
      <c r="N933" s="60"/>
      <c r="O933" s="60"/>
      <c r="P933" s="59"/>
      <c r="Q933" s="59"/>
      <c r="R933" s="60"/>
      <c r="S933" s="60"/>
      <c r="T933" s="60"/>
      <c r="U933" s="60"/>
      <c r="V933" s="60"/>
      <c r="W933" s="60"/>
    </row>
    <row r="934" spans="1:23" ht="13" x14ac:dyDescent="0.3">
      <c r="A934" s="58"/>
      <c r="B934" s="58"/>
      <c r="C934" s="58"/>
      <c r="D934" s="58"/>
      <c r="E934" s="58"/>
      <c r="F934" s="58"/>
      <c r="G934" s="58"/>
      <c r="H934" s="59"/>
      <c r="I934" s="59"/>
      <c r="J934" s="59"/>
      <c r="K934" s="59"/>
      <c r="L934" s="59"/>
      <c r="M934" s="60"/>
      <c r="N934" s="60"/>
      <c r="O934" s="60"/>
      <c r="P934" s="59"/>
      <c r="Q934" s="59"/>
      <c r="R934" s="60"/>
      <c r="S934" s="60"/>
      <c r="T934" s="60"/>
      <c r="U934" s="60"/>
      <c r="V934" s="60"/>
      <c r="W934" s="60"/>
    </row>
    <row r="935" spans="1:23" ht="13" x14ac:dyDescent="0.3">
      <c r="A935" s="58"/>
      <c r="B935" s="58"/>
      <c r="C935" s="58"/>
      <c r="D935" s="58"/>
      <c r="E935" s="58"/>
      <c r="F935" s="58"/>
      <c r="G935" s="58"/>
      <c r="H935" s="59"/>
      <c r="I935" s="59"/>
      <c r="J935" s="59"/>
      <c r="K935" s="59"/>
      <c r="L935" s="59"/>
      <c r="M935" s="60"/>
      <c r="N935" s="60"/>
      <c r="O935" s="60"/>
      <c r="P935" s="59"/>
      <c r="Q935" s="59"/>
      <c r="R935" s="60"/>
      <c r="S935" s="60"/>
      <c r="T935" s="60"/>
      <c r="U935" s="60"/>
      <c r="V935" s="60"/>
      <c r="W935" s="60"/>
    </row>
    <row r="936" spans="1:23" ht="13" x14ac:dyDescent="0.3">
      <c r="A936" s="58"/>
      <c r="B936" s="58"/>
      <c r="C936" s="58"/>
      <c r="D936" s="58"/>
      <c r="E936" s="58"/>
      <c r="F936" s="58"/>
      <c r="G936" s="58"/>
      <c r="H936" s="59"/>
      <c r="I936" s="59"/>
      <c r="J936" s="59"/>
      <c r="K936" s="59"/>
      <c r="L936" s="59"/>
      <c r="M936" s="60"/>
      <c r="N936" s="60"/>
      <c r="O936" s="60"/>
      <c r="P936" s="59"/>
      <c r="Q936" s="59"/>
      <c r="R936" s="60"/>
      <c r="S936" s="60"/>
      <c r="T936" s="60"/>
      <c r="U936" s="60"/>
      <c r="V936" s="60"/>
      <c r="W936" s="60"/>
    </row>
    <row r="937" spans="1:23" ht="13" x14ac:dyDescent="0.3">
      <c r="A937" s="58"/>
      <c r="B937" s="58"/>
      <c r="C937" s="58"/>
      <c r="D937" s="58"/>
      <c r="E937" s="58"/>
      <c r="F937" s="58"/>
      <c r="G937" s="58"/>
      <c r="H937" s="59"/>
      <c r="I937" s="59"/>
      <c r="J937" s="59"/>
      <c r="K937" s="59"/>
      <c r="L937" s="59"/>
      <c r="M937" s="60"/>
      <c r="N937" s="60"/>
      <c r="O937" s="60"/>
      <c r="P937" s="59"/>
      <c r="Q937" s="59"/>
      <c r="R937" s="60"/>
      <c r="S937" s="60"/>
      <c r="T937" s="60"/>
      <c r="U937" s="60"/>
      <c r="V937" s="60"/>
      <c r="W937" s="60"/>
    </row>
    <row r="938" spans="1:23" ht="13" x14ac:dyDescent="0.3">
      <c r="A938" s="58"/>
      <c r="B938" s="58"/>
      <c r="C938" s="58"/>
      <c r="D938" s="58"/>
      <c r="E938" s="58"/>
      <c r="F938" s="58"/>
      <c r="G938" s="58"/>
      <c r="H938" s="59"/>
      <c r="I938" s="59"/>
      <c r="J938" s="59"/>
      <c r="K938" s="59"/>
      <c r="L938" s="59"/>
      <c r="M938" s="60"/>
      <c r="N938" s="60"/>
      <c r="O938" s="60"/>
      <c r="P938" s="59"/>
      <c r="Q938" s="59"/>
      <c r="R938" s="60"/>
      <c r="S938" s="60"/>
      <c r="T938" s="60"/>
      <c r="U938" s="60"/>
      <c r="V938" s="60"/>
      <c r="W938" s="60"/>
    </row>
    <row r="939" spans="1:23" ht="13" x14ac:dyDescent="0.3">
      <c r="A939" s="58"/>
      <c r="B939" s="58"/>
      <c r="C939" s="58"/>
      <c r="D939" s="58"/>
      <c r="E939" s="58"/>
      <c r="F939" s="58"/>
      <c r="G939" s="58"/>
      <c r="H939" s="59"/>
      <c r="I939" s="59"/>
      <c r="J939" s="59"/>
      <c r="K939" s="59"/>
      <c r="L939" s="59"/>
      <c r="M939" s="60"/>
      <c r="N939" s="60"/>
      <c r="O939" s="60"/>
      <c r="P939" s="59"/>
      <c r="Q939" s="59"/>
      <c r="R939" s="60"/>
      <c r="S939" s="60"/>
      <c r="T939" s="60"/>
      <c r="U939" s="60"/>
      <c r="V939" s="60"/>
      <c r="W939" s="60"/>
    </row>
    <row r="940" spans="1:23" ht="13" x14ac:dyDescent="0.3">
      <c r="A940" s="58"/>
      <c r="B940" s="58"/>
      <c r="C940" s="58"/>
      <c r="D940" s="58"/>
      <c r="E940" s="58"/>
      <c r="F940" s="58"/>
      <c r="G940" s="58"/>
      <c r="H940" s="59"/>
      <c r="I940" s="59"/>
      <c r="J940" s="59"/>
      <c r="K940" s="59"/>
      <c r="L940" s="59"/>
      <c r="M940" s="60"/>
      <c r="N940" s="60"/>
      <c r="O940" s="60"/>
      <c r="P940" s="59"/>
      <c r="Q940" s="59"/>
      <c r="R940" s="60"/>
      <c r="S940" s="60"/>
      <c r="T940" s="60"/>
      <c r="U940" s="60"/>
      <c r="V940" s="60"/>
      <c r="W940" s="60"/>
    </row>
  </sheetData>
  <autoFilter ref="A1:R91" xr:uid="{00000000-0001-0000-0000-000000000000}"/>
  <conditionalFormatting sqref="B77:B91">
    <cfRule type="duplicateValues" dxfId="98" priority="39"/>
    <cfRule type="duplicateValues" dxfId="97" priority="40"/>
  </conditionalFormatting>
  <conditionalFormatting sqref="B92:B1048576 B1:B76">
    <cfRule type="duplicateValues" dxfId="96" priority="143"/>
    <cfRule type="duplicateValues" dxfId="95" priority="144"/>
  </conditionalFormatting>
  <conditionalFormatting sqref="B1:D1048576">
    <cfRule type="duplicateValues" dxfId="94" priority="125"/>
  </conditionalFormatting>
  <conditionalFormatting sqref="B92:D1048576 B1:D76 D3:D91">
    <cfRule type="duplicateValues" dxfId="93" priority="140"/>
  </conditionalFormatting>
  <conditionalFormatting sqref="C77:D91 D2:D91">
    <cfRule type="duplicateValues" dxfId="92" priority="36"/>
    <cfRule type="duplicateValues" dxfId="91" priority="37"/>
    <cfRule type="duplicateValues" dxfId="90" priority="38"/>
  </conditionalFormatting>
  <conditionalFormatting sqref="C92:D1048576 C1:D76 D3:D91">
    <cfRule type="duplicateValues" dxfId="89" priority="128"/>
    <cfRule type="duplicateValues" dxfId="88" priority="129"/>
    <cfRule type="duplicateValues" dxfId="87" priority="130"/>
    <cfRule type="duplicateValues" dxfId="86" priority="131"/>
  </conditionalFormatting>
  <dataValidations count="1">
    <dataValidation type="list" allowBlank="1" showErrorMessage="1" sqref="E23:E63" xr:uid="{A3833909-379C-4B4B-8F51-6411775260B3}">
      <formula1>"II/a,II/b,II/c,II/d,III/a,III/b,III/c,III/d,IV/a,IV/b,IV/c"</formula1>
    </dataValidation>
  </dataValidations>
  <hyperlinks>
    <hyperlink ref="B41" r:id="rId1" xr:uid="{9D2DE018-49B8-4221-90D2-DB1E86DF64F9}"/>
    <hyperlink ref="B50" r:id="rId2" xr:uid="{0DB12238-B0B1-4D82-BA91-4C8DB562F675}"/>
    <hyperlink ref="B51" r:id="rId3" xr:uid="{B9889B6F-CF59-4344-8BD6-E18B518F3FD8}"/>
    <hyperlink ref="B57" r:id="rId4" xr:uid="{80179AC2-C095-4778-9B61-BEED8BACF565}"/>
  </hyperlinks>
  <pageMargins left="0.7" right="0.7" top="0.75" bottom="0.75" header="0.3" footer="0.3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3D37-DDDE-4CEE-88B0-D846747012A6}">
  <sheetPr>
    <outlinePr summaryBelow="0" summaryRight="0"/>
  </sheetPr>
  <dimension ref="A1:X1002"/>
  <sheetViews>
    <sheetView zoomScale="60" zoomScaleNormal="6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W124"/>
    </sheetView>
  </sheetViews>
  <sheetFormatPr defaultColWidth="12.6328125" defaultRowHeight="15.75" customHeight="1" x14ac:dyDescent="0.3"/>
  <cols>
    <col min="1" max="1" width="5.26953125" style="11" customWidth="1"/>
    <col min="2" max="2" width="39" style="11" customWidth="1"/>
    <col min="3" max="4" width="24.7265625" style="11" customWidth="1"/>
    <col min="5" max="5" width="25.6328125" style="11" customWidth="1"/>
    <col min="6" max="6" width="44.90625" style="11" customWidth="1"/>
    <col min="7" max="7" width="12.90625" style="11" customWidth="1"/>
    <col min="8" max="9" width="33.26953125" style="61" customWidth="1"/>
    <col min="10" max="10" width="17.7265625" style="56" customWidth="1"/>
    <col min="11" max="11" width="31.81640625" style="61" customWidth="1"/>
    <col min="12" max="12" width="19.54296875" style="56" customWidth="1"/>
    <col min="13" max="14" width="18.7265625" style="11" customWidth="1"/>
    <col min="15" max="15" width="16.6328125" style="11" customWidth="1"/>
    <col min="16" max="17" width="20.90625" style="56" customWidth="1"/>
    <col min="18" max="19" width="20.26953125" style="11" customWidth="1"/>
    <col min="20" max="20" width="37.26953125" style="11" customWidth="1"/>
    <col min="21" max="22" width="36.54296875" style="11" customWidth="1"/>
    <col min="23" max="23" width="31.7265625" style="11" customWidth="1"/>
    <col min="24" max="16384" width="12.6328125" style="11"/>
  </cols>
  <sheetData>
    <row r="1" spans="1:24" ht="112.5" customHeight="1" x14ac:dyDescent="0.3">
      <c r="A1" s="1"/>
      <c r="B1" s="2" t="s">
        <v>0</v>
      </c>
      <c r="C1" s="2" t="s">
        <v>1</v>
      </c>
      <c r="D1" s="2" t="s">
        <v>2930</v>
      </c>
      <c r="E1" s="2" t="s">
        <v>2</v>
      </c>
      <c r="F1" s="2" t="s">
        <v>3</v>
      </c>
      <c r="G1" s="2" t="s">
        <v>4</v>
      </c>
      <c r="H1" s="1" t="s">
        <v>5</v>
      </c>
      <c r="I1" s="3" t="s">
        <v>6</v>
      </c>
      <c r="J1" s="4" t="s">
        <v>7</v>
      </c>
      <c r="K1" s="4" t="s">
        <v>8</v>
      </c>
      <c r="L1" s="5" t="s">
        <v>9</v>
      </c>
      <c r="M1" s="5" t="s">
        <v>10</v>
      </c>
      <c r="N1" s="6" t="s">
        <v>11</v>
      </c>
      <c r="O1" s="6" t="s">
        <v>12</v>
      </c>
      <c r="P1" s="7" t="s">
        <v>13</v>
      </c>
      <c r="Q1" s="7" t="s">
        <v>14</v>
      </c>
      <c r="R1" s="8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10" t="s">
        <v>20</v>
      </c>
    </row>
    <row r="2" spans="1:24" s="17" customFormat="1" ht="14.5" x14ac:dyDescent="0.35">
      <c r="A2" s="12">
        <v>1</v>
      </c>
      <c r="B2" s="13" t="s">
        <v>907</v>
      </c>
      <c r="C2" s="14" t="s">
        <v>908</v>
      </c>
      <c r="D2" s="26" t="str">
        <f t="shared" ref="D2:D65" si="0">IF(MID(C2,15,1)="1","Laki-Laki","Perempuan")</f>
        <v>Laki-Laki</v>
      </c>
      <c r="E2" s="13"/>
      <c r="F2" s="13"/>
      <c r="G2" s="13" t="s">
        <v>909</v>
      </c>
      <c r="H2" s="15" t="s">
        <v>910</v>
      </c>
      <c r="I2" s="15" t="s">
        <v>911</v>
      </c>
      <c r="J2" s="12" t="s">
        <v>26</v>
      </c>
      <c r="K2" s="15" t="s">
        <v>221</v>
      </c>
      <c r="L2" s="23" t="s">
        <v>912</v>
      </c>
      <c r="M2" s="21">
        <v>2020</v>
      </c>
      <c r="N2" s="15" t="str">
        <f t="shared" ref="N2:N19" si="1">L2</f>
        <v xml:space="preserve">Februari  </v>
      </c>
      <c r="O2" s="15">
        <v>2023</v>
      </c>
      <c r="P2" s="15">
        <v>2020</v>
      </c>
      <c r="Q2" s="15"/>
      <c r="R2" s="34" t="s">
        <v>29</v>
      </c>
      <c r="S2" s="21"/>
      <c r="T2" s="21"/>
      <c r="U2" s="21"/>
      <c r="V2" s="21"/>
      <c r="W2" s="21"/>
    </row>
    <row r="3" spans="1:24" s="17" customFormat="1" ht="28" x14ac:dyDescent="0.35">
      <c r="A3" s="12">
        <v>2</v>
      </c>
      <c r="B3" s="13" t="s">
        <v>913</v>
      </c>
      <c r="C3" s="14" t="s">
        <v>914</v>
      </c>
      <c r="D3" s="26" t="str">
        <f t="shared" si="0"/>
        <v>Laki-Laki</v>
      </c>
      <c r="E3" s="13"/>
      <c r="F3" s="13"/>
      <c r="G3" s="13" t="s">
        <v>909</v>
      </c>
      <c r="H3" s="15" t="s">
        <v>915</v>
      </c>
      <c r="I3" s="15" t="s">
        <v>320</v>
      </c>
      <c r="J3" s="12" t="s">
        <v>45</v>
      </c>
      <c r="K3" s="15" t="s">
        <v>916</v>
      </c>
      <c r="L3" s="23" t="s">
        <v>462</v>
      </c>
      <c r="M3" s="21">
        <v>2020</v>
      </c>
      <c r="N3" s="15" t="str">
        <f t="shared" si="1"/>
        <v xml:space="preserve">Februari </v>
      </c>
      <c r="O3" s="15">
        <v>2022</v>
      </c>
      <c r="P3" s="15">
        <v>2020</v>
      </c>
      <c r="Q3" s="15"/>
      <c r="R3" s="34" t="s">
        <v>29</v>
      </c>
      <c r="S3" s="21"/>
      <c r="T3" s="21"/>
      <c r="U3" s="21"/>
      <c r="V3" s="21"/>
      <c r="W3" s="21"/>
    </row>
    <row r="4" spans="1:24" s="17" customFormat="1" ht="14.5" x14ac:dyDescent="0.35">
      <c r="A4" s="12">
        <v>3</v>
      </c>
      <c r="B4" s="13" t="s">
        <v>917</v>
      </c>
      <c r="C4" s="14" t="s">
        <v>918</v>
      </c>
      <c r="D4" s="26" t="str">
        <f t="shared" si="0"/>
        <v>Laki-Laki</v>
      </c>
      <c r="E4" s="13"/>
      <c r="F4" s="13"/>
      <c r="G4" s="13" t="s">
        <v>909</v>
      </c>
      <c r="H4" s="15" t="s">
        <v>919</v>
      </c>
      <c r="I4" s="15" t="s">
        <v>90</v>
      </c>
      <c r="J4" s="12" t="s">
        <v>26</v>
      </c>
      <c r="K4" s="15" t="s">
        <v>394</v>
      </c>
      <c r="L4" s="23" t="s">
        <v>123</v>
      </c>
      <c r="M4" s="21">
        <v>2020</v>
      </c>
      <c r="N4" s="15" t="str">
        <f t="shared" si="1"/>
        <v xml:space="preserve">Maret </v>
      </c>
      <c r="O4" s="15">
        <v>2024</v>
      </c>
      <c r="P4" s="15">
        <v>2020</v>
      </c>
      <c r="Q4" s="15"/>
      <c r="R4" s="34" t="s">
        <v>29</v>
      </c>
      <c r="S4" s="21"/>
      <c r="T4" s="21"/>
      <c r="U4" s="21"/>
      <c r="V4" s="21"/>
      <c r="W4" s="21"/>
    </row>
    <row r="5" spans="1:24" s="17" customFormat="1" ht="14.5" x14ac:dyDescent="0.35">
      <c r="A5" s="12">
        <v>4</v>
      </c>
      <c r="B5" s="13" t="s">
        <v>920</v>
      </c>
      <c r="C5" s="14" t="s">
        <v>921</v>
      </c>
      <c r="D5" s="26" t="str">
        <f t="shared" si="0"/>
        <v>Laki-Laki</v>
      </c>
      <c r="E5" s="13"/>
      <c r="F5" s="13"/>
      <c r="G5" s="13" t="s">
        <v>909</v>
      </c>
      <c r="H5" s="15" t="s">
        <v>922</v>
      </c>
      <c r="I5" s="15" t="s">
        <v>90</v>
      </c>
      <c r="J5" s="12" t="s">
        <v>45</v>
      </c>
      <c r="K5" s="15" t="s">
        <v>221</v>
      </c>
      <c r="L5" s="23" t="s">
        <v>118</v>
      </c>
      <c r="M5" s="21">
        <v>2020</v>
      </c>
      <c r="N5" s="15" t="str">
        <f t="shared" si="1"/>
        <v xml:space="preserve">Januari </v>
      </c>
      <c r="O5" s="15">
        <v>2024</v>
      </c>
      <c r="P5" s="15">
        <v>2020</v>
      </c>
      <c r="Q5" s="15"/>
      <c r="R5" s="16" t="s">
        <v>51</v>
      </c>
      <c r="S5" s="15"/>
      <c r="T5" s="15"/>
      <c r="U5" s="15"/>
      <c r="V5" s="15"/>
      <c r="W5" s="15"/>
      <c r="X5" s="17" t="s">
        <v>304</v>
      </c>
    </row>
    <row r="6" spans="1:24" s="17" customFormat="1" ht="14.5" x14ac:dyDescent="0.35">
      <c r="A6" s="12">
        <v>5</v>
      </c>
      <c r="B6" s="13" t="s">
        <v>923</v>
      </c>
      <c r="C6" s="14" t="s">
        <v>924</v>
      </c>
      <c r="D6" s="26" t="str">
        <f t="shared" si="0"/>
        <v>Laki-Laki</v>
      </c>
      <c r="E6" s="13"/>
      <c r="F6" s="13"/>
      <c r="G6" s="13" t="s">
        <v>909</v>
      </c>
      <c r="H6" s="15" t="s">
        <v>925</v>
      </c>
      <c r="I6" s="15" t="s">
        <v>926</v>
      </c>
      <c r="J6" s="12" t="s">
        <v>26</v>
      </c>
      <c r="K6" s="15" t="s">
        <v>221</v>
      </c>
      <c r="L6" s="23" t="s">
        <v>123</v>
      </c>
      <c r="M6" s="21">
        <v>2020</v>
      </c>
      <c r="N6" s="15" t="str">
        <f t="shared" si="1"/>
        <v xml:space="preserve">Maret </v>
      </c>
      <c r="O6" s="15">
        <v>2022</v>
      </c>
      <c r="P6" s="15">
        <v>2020</v>
      </c>
      <c r="Q6" s="15"/>
      <c r="R6" s="34" t="s">
        <v>29</v>
      </c>
      <c r="S6" s="21"/>
      <c r="T6" s="21"/>
      <c r="U6" s="21"/>
      <c r="V6" s="21"/>
      <c r="W6" s="21"/>
    </row>
    <row r="7" spans="1:24" s="17" customFormat="1" ht="28" x14ac:dyDescent="0.35">
      <c r="A7" s="12">
        <v>6</v>
      </c>
      <c r="B7" s="13" t="s">
        <v>927</v>
      </c>
      <c r="C7" s="14" t="s">
        <v>928</v>
      </c>
      <c r="D7" s="26" t="str">
        <f t="shared" si="0"/>
        <v>Laki-Laki</v>
      </c>
      <c r="E7" s="13"/>
      <c r="F7" s="13"/>
      <c r="G7" s="13" t="s">
        <v>909</v>
      </c>
      <c r="H7" s="15" t="s">
        <v>922</v>
      </c>
      <c r="I7" s="15" t="s">
        <v>90</v>
      </c>
      <c r="J7" s="12" t="s">
        <v>45</v>
      </c>
      <c r="K7" s="15" t="s">
        <v>613</v>
      </c>
      <c r="L7" s="23" t="s">
        <v>511</v>
      </c>
      <c r="M7" s="21">
        <v>2020</v>
      </c>
      <c r="N7" s="15" t="str">
        <f t="shared" si="1"/>
        <v xml:space="preserve">Agustus  </v>
      </c>
      <c r="O7" s="15">
        <v>2024</v>
      </c>
      <c r="P7" s="15">
        <v>2020</v>
      </c>
      <c r="Q7" s="15"/>
      <c r="R7" s="16" t="s">
        <v>29</v>
      </c>
      <c r="S7" s="15"/>
      <c r="T7" s="15"/>
      <c r="U7" s="15"/>
      <c r="V7" s="15"/>
      <c r="W7" s="15"/>
    </row>
    <row r="8" spans="1:24" s="17" customFormat="1" ht="28" x14ac:dyDescent="0.35">
      <c r="A8" s="12">
        <v>7</v>
      </c>
      <c r="B8" s="13" t="s">
        <v>929</v>
      </c>
      <c r="C8" s="14" t="s">
        <v>930</v>
      </c>
      <c r="D8" s="26" t="str">
        <f t="shared" si="0"/>
        <v>Laki-Laki</v>
      </c>
      <c r="E8" s="13"/>
      <c r="F8" s="13"/>
      <c r="G8" s="13" t="s">
        <v>909</v>
      </c>
      <c r="H8" s="15" t="s">
        <v>931</v>
      </c>
      <c r="I8" s="15" t="s">
        <v>90</v>
      </c>
      <c r="J8" s="12" t="s">
        <v>45</v>
      </c>
      <c r="K8" s="15" t="s">
        <v>613</v>
      </c>
      <c r="L8" s="23" t="s">
        <v>205</v>
      </c>
      <c r="M8" s="21">
        <v>2020</v>
      </c>
      <c r="N8" s="15" t="str">
        <f t="shared" si="1"/>
        <v xml:space="preserve">September </v>
      </c>
      <c r="O8" s="15">
        <v>2024</v>
      </c>
      <c r="P8" s="15">
        <v>2020</v>
      </c>
      <c r="Q8" s="15"/>
      <c r="R8" s="16" t="s">
        <v>29</v>
      </c>
      <c r="S8" s="15"/>
      <c r="T8" s="15"/>
      <c r="U8" s="15"/>
      <c r="V8" s="15"/>
      <c r="W8" s="15"/>
    </row>
    <row r="9" spans="1:24" s="17" customFormat="1" ht="28" x14ac:dyDescent="0.35">
      <c r="A9" s="12">
        <v>8</v>
      </c>
      <c r="B9" s="13" t="s">
        <v>932</v>
      </c>
      <c r="C9" s="14" t="s">
        <v>933</v>
      </c>
      <c r="D9" s="26" t="str">
        <f t="shared" si="0"/>
        <v>Laki-Laki</v>
      </c>
      <c r="E9" s="13"/>
      <c r="F9" s="13"/>
      <c r="G9" s="13" t="s">
        <v>909</v>
      </c>
      <c r="H9" s="15" t="s">
        <v>931</v>
      </c>
      <c r="I9" s="15" t="s">
        <v>90</v>
      </c>
      <c r="J9" s="12" t="s">
        <v>45</v>
      </c>
      <c r="K9" s="15" t="s">
        <v>613</v>
      </c>
      <c r="L9" s="23" t="s">
        <v>28</v>
      </c>
      <c r="M9" s="21">
        <v>2020</v>
      </c>
      <c r="N9" s="15" t="str">
        <f t="shared" si="1"/>
        <v>September</v>
      </c>
      <c r="O9" s="15">
        <v>2023</v>
      </c>
      <c r="P9" s="15">
        <v>2020</v>
      </c>
      <c r="Q9" s="15"/>
      <c r="R9" s="16" t="s">
        <v>29</v>
      </c>
      <c r="S9" s="15"/>
      <c r="T9" s="15"/>
      <c r="U9" s="15"/>
      <c r="V9" s="15"/>
      <c r="W9" s="15"/>
    </row>
    <row r="10" spans="1:24" s="17" customFormat="1" ht="14.5" x14ac:dyDescent="0.35">
      <c r="A10" s="12">
        <v>9</v>
      </c>
      <c r="B10" s="13" t="s">
        <v>934</v>
      </c>
      <c r="C10" s="14" t="s">
        <v>935</v>
      </c>
      <c r="D10" s="26" t="str">
        <f t="shared" si="0"/>
        <v>Laki-Laki</v>
      </c>
      <c r="E10" s="13"/>
      <c r="F10" s="13"/>
      <c r="G10" s="13" t="s">
        <v>909</v>
      </c>
      <c r="H10" s="15" t="s">
        <v>936</v>
      </c>
      <c r="I10" s="15" t="s">
        <v>90</v>
      </c>
      <c r="J10" s="12" t="s">
        <v>26</v>
      </c>
      <c r="K10" s="15" t="s">
        <v>221</v>
      </c>
      <c r="L10" s="15" t="s">
        <v>205</v>
      </c>
      <c r="M10" s="15">
        <v>2020</v>
      </c>
      <c r="N10" s="15" t="str">
        <f t="shared" si="1"/>
        <v xml:space="preserve">September </v>
      </c>
      <c r="O10" s="15">
        <v>2022</v>
      </c>
      <c r="P10" s="15">
        <v>2020</v>
      </c>
      <c r="Q10" s="15"/>
      <c r="R10" s="16" t="s">
        <v>29</v>
      </c>
      <c r="S10" s="15"/>
      <c r="T10" s="15"/>
      <c r="U10" s="15"/>
      <c r="V10" s="15"/>
      <c r="W10" s="15"/>
    </row>
    <row r="11" spans="1:24" s="17" customFormat="1" ht="14.5" x14ac:dyDescent="0.35">
      <c r="A11" s="12">
        <v>10</v>
      </c>
      <c r="B11" s="13" t="s">
        <v>937</v>
      </c>
      <c r="C11" s="14" t="s">
        <v>938</v>
      </c>
      <c r="D11" s="26" t="str">
        <f t="shared" si="0"/>
        <v>Laki-Laki</v>
      </c>
      <c r="E11" s="13"/>
      <c r="F11" s="13"/>
      <c r="G11" s="13" t="s">
        <v>909</v>
      </c>
      <c r="H11" s="15" t="s">
        <v>922</v>
      </c>
      <c r="I11" s="15" t="s">
        <v>90</v>
      </c>
      <c r="J11" s="12" t="s">
        <v>26</v>
      </c>
      <c r="K11" s="15" t="s">
        <v>394</v>
      </c>
      <c r="L11" s="15" t="s">
        <v>145</v>
      </c>
      <c r="M11" s="15">
        <v>2020</v>
      </c>
      <c r="N11" s="15" t="str">
        <f t="shared" si="1"/>
        <v xml:space="preserve">Agustus </v>
      </c>
      <c r="O11" s="15">
        <v>2024</v>
      </c>
      <c r="P11" s="15">
        <v>2020</v>
      </c>
      <c r="Q11" s="15"/>
      <c r="R11" s="16" t="s">
        <v>29</v>
      </c>
      <c r="S11" s="15"/>
      <c r="T11" s="15"/>
      <c r="U11" s="15"/>
      <c r="V11" s="15"/>
      <c r="W11" s="15"/>
    </row>
    <row r="12" spans="1:24" s="17" customFormat="1" ht="28" x14ac:dyDescent="0.35">
      <c r="A12" s="12">
        <v>11</v>
      </c>
      <c r="B12" s="13" t="s">
        <v>939</v>
      </c>
      <c r="C12" s="14" t="s">
        <v>940</v>
      </c>
      <c r="D12" s="26" t="str">
        <f t="shared" si="0"/>
        <v>Laki-Laki</v>
      </c>
      <c r="E12" s="13"/>
      <c r="F12" s="13"/>
      <c r="G12" s="13" t="s">
        <v>909</v>
      </c>
      <c r="H12" s="15" t="s">
        <v>931</v>
      </c>
      <c r="I12" s="15" t="s">
        <v>90</v>
      </c>
      <c r="J12" s="12" t="s">
        <v>45</v>
      </c>
      <c r="K12" s="15" t="s">
        <v>613</v>
      </c>
      <c r="L12" s="15" t="s">
        <v>123</v>
      </c>
      <c r="M12" s="15">
        <v>2020</v>
      </c>
      <c r="N12" s="15" t="str">
        <f t="shared" si="1"/>
        <v xml:space="preserve">Maret </v>
      </c>
      <c r="O12" s="15">
        <v>2024</v>
      </c>
      <c r="P12" s="15">
        <v>2020</v>
      </c>
      <c r="Q12" s="15"/>
      <c r="R12" s="16" t="s">
        <v>51</v>
      </c>
      <c r="S12" s="15"/>
      <c r="T12" s="15"/>
      <c r="U12" s="15"/>
      <c r="V12" s="15"/>
      <c r="W12" s="15"/>
    </row>
    <row r="13" spans="1:24" s="17" customFormat="1" ht="28" x14ac:dyDescent="0.35">
      <c r="A13" s="12">
        <v>12</v>
      </c>
      <c r="B13" s="13" t="s">
        <v>941</v>
      </c>
      <c r="C13" s="14" t="s">
        <v>942</v>
      </c>
      <c r="D13" s="26" t="str">
        <f t="shared" si="0"/>
        <v>Laki-Laki</v>
      </c>
      <c r="E13" s="13"/>
      <c r="F13" s="13"/>
      <c r="G13" s="13" t="s">
        <v>909</v>
      </c>
      <c r="H13" s="15" t="s">
        <v>931</v>
      </c>
      <c r="I13" s="15" t="s">
        <v>90</v>
      </c>
      <c r="J13" s="12" t="s">
        <v>45</v>
      </c>
      <c r="K13" s="15" t="s">
        <v>943</v>
      </c>
      <c r="L13" s="15" t="s">
        <v>205</v>
      </c>
      <c r="M13" s="15">
        <v>2020</v>
      </c>
      <c r="N13" s="15" t="str">
        <f t="shared" si="1"/>
        <v xml:space="preserve">September </v>
      </c>
      <c r="O13" s="15">
        <v>2024</v>
      </c>
      <c r="P13" s="15">
        <v>2020</v>
      </c>
      <c r="Q13" s="15"/>
      <c r="R13" s="16" t="s">
        <v>51</v>
      </c>
      <c r="S13" s="15"/>
      <c r="T13" s="15"/>
      <c r="U13" s="15"/>
      <c r="V13" s="15"/>
      <c r="W13" s="15"/>
    </row>
    <row r="14" spans="1:24" s="17" customFormat="1" ht="14.5" x14ac:dyDescent="0.35">
      <c r="A14" s="12">
        <v>13</v>
      </c>
      <c r="B14" s="13" t="s">
        <v>944</v>
      </c>
      <c r="C14" s="14" t="s">
        <v>945</v>
      </c>
      <c r="D14" s="26" t="str">
        <f t="shared" si="0"/>
        <v>Laki-Laki</v>
      </c>
      <c r="E14" s="13"/>
      <c r="F14" s="13"/>
      <c r="G14" s="13" t="s">
        <v>909</v>
      </c>
      <c r="H14" s="15" t="s">
        <v>946</v>
      </c>
      <c r="I14" s="15" t="s">
        <v>90</v>
      </c>
      <c r="J14" s="12" t="s">
        <v>26</v>
      </c>
      <c r="K14" s="15" t="s">
        <v>394</v>
      </c>
      <c r="L14" s="15" t="s">
        <v>205</v>
      </c>
      <c r="M14" s="15">
        <v>2020</v>
      </c>
      <c r="N14" s="15" t="str">
        <f t="shared" si="1"/>
        <v xml:space="preserve">September </v>
      </c>
      <c r="O14" s="15">
        <v>2022</v>
      </c>
      <c r="P14" s="15">
        <v>2020</v>
      </c>
      <c r="Q14" s="15"/>
      <c r="R14" s="16" t="s">
        <v>51</v>
      </c>
      <c r="S14" s="15"/>
      <c r="T14" s="15"/>
      <c r="U14" s="15"/>
      <c r="V14" s="15"/>
      <c r="W14" s="15"/>
    </row>
    <row r="15" spans="1:24" s="17" customFormat="1" ht="28" x14ac:dyDescent="0.35">
      <c r="A15" s="12">
        <v>14</v>
      </c>
      <c r="B15" s="13" t="s">
        <v>947</v>
      </c>
      <c r="C15" s="14" t="s">
        <v>948</v>
      </c>
      <c r="D15" s="26" t="str">
        <f t="shared" si="0"/>
        <v>Laki-Laki</v>
      </c>
      <c r="E15" s="13"/>
      <c r="F15" s="13"/>
      <c r="G15" s="13" t="s">
        <v>909</v>
      </c>
      <c r="H15" s="15" t="s">
        <v>931</v>
      </c>
      <c r="I15" s="15" t="s">
        <v>90</v>
      </c>
      <c r="J15" s="12" t="s">
        <v>45</v>
      </c>
      <c r="K15" s="15" t="s">
        <v>905</v>
      </c>
      <c r="L15" s="15" t="s">
        <v>145</v>
      </c>
      <c r="M15" s="15">
        <v>2020</v>
      </c>
      <c r="N15" s="15" t="str">
        <f t="shared" si="1"/>
        <v xml:space="preserve">Agustus </v>
      </c>
      <c r="O15" s="15">
        <v>2024</v>
      </c>
      <c r="P15" s="15">
        <v>2020</v>
      </c>
      <c r="Q15" s="15"/>
      <c r="R15" s="16" t="s">
        <v>29</v>
      </c>
      <c r="S15" s="15"/>
      <c r="T15" s="15"/>
      <c r="U15" s="15"/>
      <c r="V15" s="15"/>
      <c r="W15" s="15"/>
    </row>
    <row r="16" spans="1:24" s="17" customFormat="1" ht="28" x14ac:dyDescent="0.35">
      <c r="A16" s="12">
        <v>15</v>
      </c>
      <c r="B16" s="13" t="s">
        <v>949</v>
      </c>
      <c r="C16" s="14" t="s">
        <v>950</v>
      </c>
      <c r="D16" s="26" t="str">
        <f t="shared" si="0"/>
        <v>Laki-Laki</v>
      </c>
      <c r="E16" s="13"/>
      <c r="F16" s="13"/>
      <c r="G16" s="13" t="s">
        <v>909</v>
      </c>
      <c r="H16" s="15" t="s">
        <v>931</v>
      </c>
      <c r="I16" s="15" t="s">
        <v>90</v>
      </c>
      <c r="J16" s="12" t="s">
        <v>45</v>
      </c>
      <c r="K16" s="15" t="s">
        <v>905</v>
      </c>
      <c r="L16" s="15" t="s">
        <v>182</v>
      </c>
      <c r="M16" s="15">
        <v>2017</v>
      </c>
      <c r="N16" s="15" t="str">
        <f t="shared" si="1"/>
        <v xml:space="preserve">Juli </v>
      </c>
      <c r="O16" s="15">
        <v>2024</v>
      </c>
      <c r="P16" s="15">
        <v>2020</v>
      </c>
      <c r="Q16" s="15"/>
      <c r="R16" s="16" t="s">
        <v>51</v>
      </c>
      <c r="S16" s="15"/>
      <c r="T16" s="15"/>
      <c r="U16" s="15"/>
      <c r="V16" s="15"/>
      <c r="W16" s="15"/>
    </row>
    <row r="17" spans="1:23" s="17" customFormat="1" ht="14.5" x14ac:dyDescent="0.35">
      <c r="A17" s="12">
        <v>16</v>
      </c>
      <c r="B17" s="13" t="s">
        <v>951</v>
      </c>
      <c r="C17" s="14" t="s">
        <v>952</v>
      </c>
      <c r="D17" s="26" t="str">
        <f t="shared" si="0"/>
        <v>Laki-Laki</v>
      </c>
      <c r="E17" s="13"/>
      <c r="F17" s="13"/>
      <c r="G17" s="13" t="s">
        <v>909</v>
      </c>
      <c r="H17" s="15" t="s">
        <v>910</v>
      </c>
      <c r="I17" s="15" t="s">
        <v>241</v>
      </c>
      <c r="J17" s="12" t="s">
        <v>26</v>
      </c>
      <c r="K17" s="15" t="s">
        <v>953</v>
      </c>
      <c r="L17" s="12" t="s">
        <v>890</v>
      </c>
      <c r="M17" s="12">
        <v>2021</v>
      </c>
      <c r="N17" s="15" t="str">
        <f t="shared" si="1"/>
        <v>Januari</v>
      </c>
      <c r="O17" s="15">
        <v>2024</v>
      </c>
      <c r="P17" s="15">
        <v>2021</v>
      </c>
      <c r="Q17" s="15"/>
      <c r="R17" s="34" t="s">
        <v>29</v>
      </c>
      <c r="S17" s="21"/>
      <c r="T17" s="21"/>
      <c r="U17" s="21"/>
      <c r="V17" s="21"/>
      <c r="W17" s="21"/>
    </row>
    <row r="18" spans="1:23" s="17" customFormat="1" ht="28" x14ac:dyDescent="0.35">
      <c r="A18" s="12">
        <v>17</v>
      </c>
      <c r="B18" s="13" t="s">
        <v>954</v>
      </c>
      <c r="C18" s="14" t="s">
        <v>955</v>
      </c>
      <c r="D18" s="26" t="str">
        <f t="shared" si="0"/>
        <v>Laki-Laki</v>
      </c>
      <c r="E18" s="13"/>
      <c r="F18" s="13"/>
      <c r="G18" s="13" t="s">
        <v>909</v>
      </c>
      <c r="H18" s="15" t="s">
        <v>915</v>
      </c>
      <c r="I18" s="15" t="s">
        <v>90</v>
      </c>
      <c r="J18" s="12" t="s">
        <v>45</v>
      </c>
      <c r="K18" s="15" t="s">
        <v>956</v>
      </c>
      <c r="L18" s="12" t="s">
        <v>890</v>
      </c>
      <c r="M18" s="12">
        <v>2021</v>
      </c>
      <c r="N18" s="15" t="str">
        <f t="shared" si="1"/>
        <v>Januari</v>
      </c>
      <c r="O18" s="15">
        <v>2025</v>
      </c>
      <c r="P18" s="15">
        <v>2021</v>
      </c>
      <c r="Q18" s="15"/>
      <c r="R18" s="34" t="s">
        <v>51</v>
      </c>
      <c r="S18" s="21"/>
      <c r="T18" s="21"/>
      <c r="U18" s="21"/>
      <c r="V18" s="21"/>
      <c r="W18" s="21"/>
    </row>
    <row r="19" spans="1:23" s="17" customFormat="1" ht="14.5" x14ac:dyDescent="0.35">
      <c r="A19" s="12">
        <v>18</v>
      </c>
      <c r="B19" s="13" t="s">
        <v>957</v>
      </c>
      <c r="C19" s="14" t="s">
        <v>958</v>
      </c>
      <c r="D19" s="26" t="str">
        <f t="shared" si="0"/>
        <v>Laki-Laki</v>
      </c>
      <c r="E19" s="13"/>
      <c r="F19" s="13"/>
      <c r="G19" s="13" t="s">
        <v>909</v>
      </c>
      <c r="H19" s="15" t="s">
        <v>910</v>
      </c>
      <c r="I19" s="15" t="s">
        <v>911</v>
      </c>
      <c r="J19" s="12" t="s">
        <v>26</v>
      </c>
      <c r="K19" s="15" t="s">
        <v>221</v>
      </c>
      <c r="L19" s="12" t="s">
        <v>72</v>
      </c>
      <c r="M19" s="12">
        <v>2021</v>
      </c>
      <c r="N19" s="15" t="str">
        <f t="shared" si="1"/>
        <v>Februari</v>
      </c>
      <c r="O19" s="15">
        <v>2023</v>
      </c>
      <c r="P19" s="15">
        <v>2021</v>
      </c>
      <c r="Q19" s="15"/>
      <c r="R19" s="34" t="s">
        <v>29</v>
      </c>
      <c r="S19" s="21"/>
      <c r="T19" s="21"/>
      <c r="U19" s="21"/>
      <c r="V19" s="21"/>
      <c r="W19" s="21"/>
    </row>
    <row r="20" spans="1:23" s="17" customFormat="1" ht="14.5" x14ac:dyDescent="0.35">
      <c r="A20" s="12">
        <v>19</v>
      </c>
      <c r="B20" s="13" t="s">
        <v>959</v>
      </c>
      <c r="C20" s="14" t="s">
        <v>960</v>
      </c>
      <c r="D20" s="26" t="str">
        <f t="shared" si="0"/>
        <v>Laki-Laki</v>
      </c>
      <c r="E20" s="13"/>
      <c r="F20" s="13"/>
      <c r="G20" s="13" t="s">
        <v>909</v>
      </c>
      <c r="H20" s="15" t="s">
        <v>961</v>
      </c>
      <c r="I20" s="15" t="s">
        <v>241</v>
      </c>
      <c r="J20" s="12" t="s">
        <v>242</v>
      </c>
      <c r="K20" s="15" t="s">
        <v>962</v>
      </c>
      <c r="L20" s="12" t="s">
        <v>72</v>
      </c>
      <c r="M20" s="12">
        <v>2021</v>
      </c>
      <c r="N20" s="15" t="s">
        <v>890</v>
      </c>
      <c r="O20" s="15">
        <v>2024</v>
      </c>
      <c r="P20" s="15">
        <v>2021</v>
      </c>
      <c r="Q20" s="15"/>
      <c r="R20" s="34" t="s">
        <v>29</v>
      </c>
      <c r="S20" s="21"/>
      <c r="T20" s="21"/>
      <c r="U20" s="21"/>
      <c r="V20" s="21"/>
      <c r="W20" s="21"/>
    </row>
    <row r="21" spans="1:23" s="17" customFormat="1" ht="28" x14ac:dyDescent="0.35">
      <c r="A21" s="12">
        <v>20</v>
      </c>
      <c r="B21" s="13" t="s">
        <v>963</v>
      </c>
      <c r="C21" s="14" t="s">
        <v>964</v>
      </c>
      <c r="D21" s="26" t="str">
        <f t="shared" si="0"/>
        <v>Perempuan</v>
      </c>
      <c r="E21" s="13"/>
      <c r="F21" s="13"/>
      <c r="G21" s="13" t="s">
        <v>909</v>
      </c>
      <c r="H21" s="15" t="s">
        <v>965</v>
      </c>
      <c r="I21" s="15" t="s">
        <v>90</v>
      </c>
      <c r="J21" s="12" t="s">
        <v>45</v>
      </c>
      <c r="K21" s="15" t="s">
        <v>905</v>
      </c>
      <c r="L21" s="12" t="s">
        <v>113</v>
      </c>
      <c r="M21" s="12">
        <v>2021</v>
      </c>
      <c r="N21" s="15" t="str">
        <f t="shared" ref="N21:N57" si="2">L21</f>
        <v>April</v>
      </c>
      <c r="O21" s="15">
        <v>2023</v>
      </c>
      <c r="P21" s="15">
        <v>2021</v>
      </c>
      <c r="Q21" s="15"/>
      <c r="R21" s="34" t="s">
        <v>29</v>
      </c>
      <c r="S21" s="21"/>
      <c r="T21" s="21"/>
      <c r="U21" s="21"/>
      <c r="V21" s="21"/>
      <c r="W21" s="21"/>
    </row>
    <row r="22" spans="1:23" s="17" customFormat="1" ht="28" x14ac:dyDescent="0.35">
      <c r="A22" s="12">
        <v>21</v>
      </c>
      <c r="B22" s="13" t="s">
        <v>966</v>
      </c>
      <c r="C22" s="14" t="s">
        <v>967</v>
      </c>
      <c r="D22" s="26" t="str">
        <f t="shared" si="0"/>
        <v>Perempuan</v>
      </c>
      <c r="E22" s="13"/>
      <c r="F22" s="13"/>
      <c r="G22" s="13" t="s">
        <v>909</v>
      </c>
      <c r="H22" s="15" t="s">
        <v>931</v>
      </c>
      <c r="I22" s="15" t="s">
        <v>968</v>
      </c>
      <c r="J22" s="12" t="s">
        <v>26</v>
      </c>
      <c r="K22" s="15" t="s">
        <v>57</v>
      </c>
      <c r="L22" s="23" t="s">
        <v>60</v>
      </c>
      <c r="M22" s="21">
        <v>2022</v>
      </c>
      <c r="N22" s="15" t="str">
        <f t="shared" si="2"/>
        <v>Agustus</v>
      </c>
      <c r="O22" s="15">
        <v>2024</v>
      </c>
      <c r="P22" s="15">
        <v>2022</v>
      </c>
      <c r="Q22" s="15"/>
      <c r="R22" s="16" t="s">
        <v>29</v>
      </c>
      <c r="S22" s="15"/>
      <c r="T22" s="15"/>
      <c r="U22" s="15"/>
      <c r="V22" s="15"/>
      <c r="W22" s="15"/>
    </row>
    <row r="23" spans="1:23" s="17" customFormat="1" ht="28" x14ac:dyDescent="0.35">
      <c r="A23" s="12">
        <v>22</v>
      </c>
      <c r="B23" s="13" t="s">
        <v>969</v>
      </c>
      <c r="C23" s="14" t="s">
        <v>970</v>
      </c>
      <c r="D23" s="26" t="str">
        <f t="shared" si="0"/>
        <v>Laki-Laki</v>
      </c>
      <c r="E23" s="13"/>
      <c r="F23" s="13"/>
      <c r="G23" s="13" t="s">
        <v>909</v>
      </c>
      <c r="H23" s="15" t="s">
        <v>971</v>
      </c>
      <c r="I23" s="15" t="s">
        <v>968</v>
      </c>
      <c r="J23" s="12" t="s">
        <v>26</v>
      </c>
      <c r="K23" s="15" t="s">
        <v>57</v>
      </c>
      <c r="L23" s="23" t="s">
        <v>60</v>
      </c>
      <c r="M23" s="21">
        <v>2022</v>
      </c>
      <c r="N23" s="15" t="str">
        <f t="shared" si="2"/>
        <v>Agustus</v>
      </c>
      <c r="O23" s="15">
        <v>2024</v>
      </c>
      <c r="P23" s="15">
        <v>2022</v>
      </c>
      <c r="Q23" s="15"/>
      <c r="R23" s="16" t="s">
        <v>29</v>
      </c>
      <c r="S23" s="15"/>
      <c r="T23" s="15"/>
      <c r="U23" s="15"/>
      <c r="V23" s="15"/>
      <c r="W23" s="15"/>
    </row>
    <row r="24" spans="1:23" s="17" customFormat="1" ht="28" x14ac:dyDescent="0.35">
      <c r="A24" s="12">
        <v>23</v>
      </c>
      <c r="B24" s="13" t="s">
        <v>972</v>
      </c>
      <c r="C24" s="14" t="s">
        <v>973</v>
      </c>
      <c r="D24" s="26" t="str">
        <f t="shared" si="0"/>
        <v>Perempuan</v>
      </c>
      <c r="E24" s="13"/>
      <c r="F24" s="13"/>
      <c r="G24" s="13" t="s">
        <v>909</v>
      </c>
      <c r="H24" s="15" t="s">
        <v>931</v>
      </c>
      <c r="I24" s="15" t="s">
        <v>90</v>
      </c>
      <c r="J24" s="12" t="s">
        <v>45</v>
      </c>
      <c r="K24" s="15" t="s">
        <v>196</v>
      </c>
      <c r="L24" s="23" t="s">
        <v>72</v>
      </c>
      <c r="M24" s="21">
        <v>2022</v>
      </c>
      <c r="N24" s="15" t="str">
        <f t="shared" si="2"/>
        <v>Februari</v>
      </c>
      <c r="O24" s="15">
        <v>2026</v>
      </c>
      <c r="P24" s="15">
        <v>2022</v>
      </c>
      <c r="Q24" s="15"/>
      <c r="R24" s="16" t="s">
        <v>51</v>
      </c>
      <c r="S24" s="15"/>
      <c r="T24" s="15"/>
      <c r="U24" s="15"/>
      <c r="V24" s="15"/>
      <c r="W24" s="15"/>
    </row>
    <row r="25" spans="1:23" s="17" customFormat="1" ht="28" x14ac:dyDescent="0.35">
      <c r="A25" s="12">
        <v>24</v>
      </c>
      <c r="B25" s="13" t="s">
        <v>974</v>
      </c>
      <c r="C25" s="14" t="s">
        <v>975</v>
      </c>
      <c r="D25" s="26" t="str">
        <f t="shared" si="0"/>
        <v>Laki-Laki</v>
      </c>
      <c r="E25" s="13"/>
      <c r="F25" s="13"/>
      <c r="G25" s="13" t="s">
        <v>909</v>
      </c>
      <c r="H25" s="15" t="s">
        <v>931</v>
      </c>
      <c r="I25" s="15" t="s">
        <v>90</v>
      </c>
      <c r="J25" s="12" t="s">
        <v>45</v>
      </c>
      <c r="K25" s="15" t="s">
        <v>905</v>
      </c>
      <c r="L25" s="23" t="s">
        <v>72</v>
      </c>
      <c r="M25" s="21">
        <v>2022</v>
      </c>
      <c r="N25" s="15" t="str">
        <f t="shared" si="2"/>
        <v>Februari</v>
      </c>
      <c r="O25" s="15">
        <v>2026</v>
      </c>
      <c r="P25" s="15">
        <v>2022</v>
      </c>
      <c r="Q25" s="15"/>
      <c r="R25" s="16" t="s">
        <v>51</v>
      </c>
      <c r="S25" s="15"/>
      <c r="T25" s="15"/>
      <c r="U25" s="15"/>
      <c r="V25" s="15"/>
      <c r="W25" s="15"/>
    </row>
    <row r="26" spans="1:23" s="17" customFormat="1" ht="14.5" x14ac:dyDescent="0.35">
      <c r="A26" s="12">
        <v>25</v>
      </c>
      <c r="B26" s="13" t="s">
        <v>976</v>
      </c>
      <c r="C26" s="14" t="s">
        <v>977</v>
      </c>
      <c r="D26" s="26" t="str">
        <f t="shared" si="0"/>
        <v>Laki-Laki</v>
      </c>
      <c r="E26" s="13"/>
      <c r="F26" s="13"/>
      <c r="G26" s="13" t="s">
        <v>909</v>
      </c>
      <c r="H26" s="15" t="s">
        <v>910</v>
      </c>
      <c r="I26" s="15" t="s">
        <v>90</v>
      </c>
      <c r="J26" s="12" t="s">
        <v>26</v>
      </c>
      <c r="K26" s="15" t="s">
        <v>394</v>
      </c>
      <c r="L26" s="23" t="s">
        <v>28</v>
      </c>
      <c r="M26" s="21">
        <v>2022</v>
      </c>
      <c r="N26" s="15" t="str">
        <f t="shared" si="2"/>
        <v>September</v>
      </c>
      <c r="O26" s="15">
        <v>2024</v>
      </c>
      <c r="P26" s="15">
        <v>2022</v>
      </c>
      <c r="Q26" s="15"/>
      <c r="R26" s="16" t="s">
        <v>51</v>
      </c>
      <c r="S26" s="15"/>
      <c r="T26" s="15"/>
      <c r="U26" s="15"/>
      <c r="V26" s="15"/>
      <c r="W26" s="15"/>
    </row>
    <row r="27" spans="1:23" s="17" customFormat="1" ht="14.5" x14ac:dyDescent="0.35">
      <c r="A27" s="12">
        <v>26</v>
      </c>
      <c r="B27" s="13" t="s">
        <v>978</v>
      </c>
      <c r="C27" s="14" t="s">
        <v>979</v>
      </c>
      <c r="D27" s="26" t="str">
        <f t="shared" si="0"/>
        <v>Perempuan</v>
      </c>
      <c r="E27" s="13"/>
      <c r="F27" s="13"/>
      <c r="G27" s="13" t="s">
        <v>909</v>
      </c>
      <c r="H27" s="15" t="s">
        <v>980</v>
      </c>
      <c r="I27" s="15" t="s">
        <v>39</v>
      </c>
      <c r="J27" s="12" t="s">
        <v>26</v>
      </c>
      <c r="K27" s="15" t="s">
        <v>46</v>
      </c>
      <c r="L27" s="15" t="s">
        <v>60</v>
      </c>
      <c r="M27" s="21">
        <v>2022</v>
      </c>
      <c r="N27" s="15" t="str">
        <f t="shared" si="2"/>
        <v>Agustus</v>
      </c>
      <c r="O27" s="15">
        <v>2024</v>
      </c>
      <c r="P27" s="15">
        <v>2022</v>
      </c>
      <c r="Q27" s="15"/>
      <c r="R27" s="16" t="s">
        <v>29</v>
      </c>
      <c r="S27" s="15"/>
      <c r="T27" s="15"/>
      <c r="U27" s="15"/>
      <c r="V27" s="15"/>
      <c r="W27" s="15"/>
    </row>
    <row r="28" spans="1:23" s="17" customFormat="1" ht="14.5" x14ac:dyDescent="0.35">
      <c r="A28" s="12">
        <v>27</v>
      </c>
      <c r="B28" s="62" t="s">
        <v>981</v>
      </c>
      <c r="C28" s="63" t="s">
        <v>982</v>
      </c>
      <c r="D28" s="26" t="str">
        <f t="shared" si="0"/>
        <v>Laki-Laki</v>
      </c>
      <c r="E28" s="24" t="s">
        <v>382</v>
      </c>
      <c r="F28" s="64" t="s">
        <v>983</v>
      </c>
      <c r="G28" s="13" t="s">
        <v>909</v>
      </c>
      <c r="H28" s="19" t="s">
        <v>984</v>
      </c>
      <c r="I28" s="19" t="s">
        <v>90</v>
      </c>
      <c r="J28" s="20" t="s">
        <v>45</v>
      </c>
      <c r="K28" s="19" t="s">
        <v>985</v>
      </c>
      <c r="L28" s="65" t="s">
        <v>912</v>
      </c>
      <c r="M28" s="15">
        <v>2023</v>
      </c>
      <c r="N28" s="15" t="str">
        <f t="shared" si="2"/>
        <v xml:space="preserve">Februari  </v>
      </c>
      <c r="O28" s="15">
        <v>2027</v>
      </c>
      <c r="P28" s="15">
        <v>2023</v>
      </c>
      <c r="Q28" s="15"/>
      <c r="R28" s="16" t="s">
        <v>51</v>
      </c>
      <c r="S28" s="15"/>
      <c r="T28" s="15"/>
      <c r="U28" s="15"/>
      <c r="V28" s="15"/>
      <c r="W28" s="15"/>
    </row>
    <row r="29" spans="1:23" s="17" customFormat="1" ht="14.5" x14ac:dyDescent="0.35">
      <c r="A29" s="12">
        <v>28</v>
      </c>
      <c r="B29" s="66" t="s">
        <v>986</v>
      </c>
      <c r="C29" s="63" t="s">
        <v>987</v>
      </c>
      <c r="D29" s="26" t="str">
        <f t="shared" si="0"/>
        <v>Laki-Laki</v>
      </c>
      <c r="E29" s="24" t="s">
        <v>109</v>
      </c>
      <c r="F29" s="64" t="s">
        <v>672</v>
      </c>
      <c r="G29" s="13" t="s">
        <v>909</v>
      </c>
      <c r="H29" s="19" t="s">
        <v>988</v>
      </c>
      <c r="I29" s="19" t="s">
        <v>989</v>
      </c>
      <c r="J29" s="12" t="s">
        <v>26</v>
      </c>
      <c r="K29" s="19" t="s">
        <v>985</v>
      </c>
      <c r="L29" s="65" t="s">
        <v>682</v>
      </c>
      <c r="M29" s="15">
        <v>2023</v>
      </c>
      <c r="N29" s="15" t="str">
        <f t="shared" si="2"/>
        <v xml:space="preserve">September   </v>
      </c>
      <c r="O29" s="15">
        <v>2025</v>
      </c>
      <c r="P29" s="15">
        <v>2023</v>
      </c>
      <c r="Q29" s="15"/>
      <c r="R29" s="16" t="s">
        <v>51</v>
      </c>
      <c r="S29" s="15"/>
      <c r="T29" s="15"/>
      <c r="U29" s="15"/>
      <c r="V29" s="15"/>
      <c r="W29" s="15"/>
    </row>
    <row r="30" spans="1:23" s="17" customFormat="1" ht="14.5" x14ac:dyDescent="0.35">
      <c r="A30" s="12">
        <v>29</v>
      </c>
      <c r="B30" s="62" t="s">
        <v>990</v>
      </c>
      <c r="C30" s="63" t="s">
        <v>991</v>
      </c>
      <c r="D30" s="26" t="str">
        <f t="shared" si="0"/>
        <v>Laki-Laki</v>
      </c>
      <c r="E30" s="24" t="s">
        <v>791</v>
      </c>
      <c r="F30" s="64" t="s">
        <v>992</v>
      </c>
      <c r="G30" s="13" t="s">
        <v>909</v>
      </c>
      <c r="H30" s="19" t="s">
        <v>993</v>
      </c>
      <c r="I30" s="19" t="s">
        <v>989</v>
      </c>
      <c r="J30" s="12" t="s">
        <v>26</v>
      </c>
      <c r="K30" s="19" t="s">
        <v>985</v>
      </c>
      <c r="L30" s="65" t="s">
        <v>682</v>
      </c>
      <c r="M30" s="15">
        <v>2023</v>
      </c>
      <c r="N30" s="15" t="str">
        <f t="shared" si="2"/>
        <v xml:space="preserve">September   </v>
      </c>
      <c r="O30" s="15">
        <v>2025</v>
      </c>
      <c r="P30" s="15">
        <v>2023</v>
      </c>
      <c r="Q30" s="15"/>
      <c r="R30" s="16" t="s">
        <v>51</v>
      </c>
      <c r="S30" s="15"/>
      <c r="T30" s="15"/>
      <c r="U30" s="15"/>
      <c r="V30" s="15"/>
      <c r="W30" s="15"/>
    </row>
    <row r="31" spans="1:23" s="17" customFormat="1" ht="14.5" x14ac:dyDescent="0.35">
      <c r="A31" s="12">
        <v>30</v>
      </c>
      <c r="B31" s="62" t="s">
        <v>994</v>
      </c>
      <c r="C31" s="67" t="s">
        <v>995</v>
      </c>
      <c r="D31" s="26" t="str">
        <f t="shared" si="0"/>
        <v>Laki-Laki</v>
      </c>
      <c r="E31" s="24" t="s">
        <v>116</v>
      </c>
      <c r="F31" s="68" t="s">
        <v>996</v>
      </c>
      <c r="G31" s="13" t="s">
        <v>909</v>
      </c>
      <c r="H31" s="19" t="s">
        <v>997</v>
      </c>
      <c r="I31" s="19" t="s">
        <v>90</v>
      </c>
      <c r="J31" s="20" t="s">
        <v>45</v>
      </c>
      <c r="K31" s="19" t="s">
        <v>985</v>
      </c>
      <c r="L31" s="65" t="s">
        <v>92</v>
      </c>
      <c r="M31" s="15">
        <v>2023</v>
      </c>
      <c r="N31" s="15" t="str">
        <f t="shared" si="2"/>
        <v xml:space="preserve">April </v>
      </c>
      <c r="O31" s="15"/>
      <c r="P31" s="15">
        <v>2023</v>
      </c>
      <c r="Q31" s="15"/>
      <c r="R31" s="16" t="s">
        <v>51</v>
      </c>
      <c r="S31" s="15"/>
      <c r="T31" s="15"/>
      <c r="U31" s="15"/>
      <c r="V31" s="15"/>
      <c r="W31" s="15"/>
    </row>
    <row r="32" spans="1:23" s="17" customFormat="1" ht="28" x14ac:dyDescent="0.35">
      <c r="A32" s="12">
        <v>31</v>
      </c>
      <c r="B32" s="62" t="s">
        <v>998</v>
      </c>
      <c r="C32" s="63" t="s">
        <v>999</v>
      </c>
      <c r="D32" s="26" t="str">
        <f t="shared" si="0"/>
        <v>Laki-Laki</v>
      </c>
      <c r="E32" s="24" t="s">
        <v>791</v>
      </c>
      <c r="F32" s="64" t="s">
        <v>992</v>
      </c>
      <c r="G32" s="13" t="s">
        <v>909</v>
      </c>
      <c r="H32" s="19" t="s">
        <v>1000</v>
      </c>
      <c r="I32" s="19" t="s">
        <v>1001</v>
      </c>
      <c r="J32" s="12" t="s">
        <v>26</v>
      </c>
      <c r="K32" s="19" t="s">
        <v>1002</v>
      </c>
      <c r="L32" s="65" t="s">
        <v>1003</v>
      </c>
      <c r="M32" s="15">
        <v>2023</v>
      </c>
      <c r="N32" s="15" t="str">
        <f t="shared" si="2"/>
        <v xml:space="preserve">Mei </v>
      </c>
      <c r="O32" s="15">
        <v>2025</v>
      </c>
      <c r="P32" s="15">
        <v>2023</v>
      </c>
      <c r="Q32" s="15"/>
      <c r="R32" s="16" t="s">
        <v>29</v>
      </c>
      <c r="S32" s="15"/>
      <c r="T32" s="15"/>
      <c r="U32" s="15"/>
      <c r="V32" s="15"/>
      <c r="W32" s="15"/>
    </row>
    <row r="33" spans="1:23" s="17" customFormat="1" ht="14.5" x14ac:dyDescent="0.35">
      <c r="A33" s="12">
        <v>32</v>
      </c>
      <c r="B33" s="62" t="s">
        <v>1004</v>
      </c>
      <c r="C33" s="63" t="s">
        <v>1005</v>
      </c>
      <c r="D33" s="26" t="str">
        <f t="shared" si="0"/>
        <v>Laki-Laki</v>
      </c>
      <c r="E33" s="24" t="s">
        <v>116</v>
      </c>
      <c r="F33" s="64" t="s">
        <v>1006</v>
      </c>
      <c r="G33" s="13" t="s">
        <v>909</v>
      </c>
      <c r="H33" s="19" t="s">
        <v>1007</v>
      </c>
      <c r="I33" s="19" t="s">
        <v>90</v>
      </c>
      <c r="J33" s="20" t="s">
        <v>45</v>
      </c>
      <c r="K33" s="19" t="s">
        <v>728</v>
      </c>
      <c r="L33" s="65" t="s">
        <v>123</v>
      </c>
      <c r="M33" s="15">
        <v>2023</v>
      </c>
      <c r="N33" s="15" t="str">
        <f t="shared" si="2"/>
        <v xml:space="preserve">Maret </v>
      </c>
      <c r="O33" s="15">
        <v>2027</v>
      </c>
      <c r="P33" s="15">
        <v>2023</v>
      </c>
      <c r="Q33" s="15"/>
      <c r="R33" s="16" t="s">
        <v>51</v>
      </c>
      <c r="S33" s="15"/>
      <c r="T33" s="15"/>
      <c r="U33" s="15"/>
      <c r="V33" s="15"/>
      <c r="W33" s="15"/>
    </row>
    <row r="34" spans="1:23" s="17" customFormat="1" ht="14.5" x14ac:dyDescent="0.35">
      <c r="A34" s="12">
        <v>33</v>
      </c>
      <c r="B34" s="62" t="s">
        <v>1008</v>
      </c>
      <c r="C34" s="63" t="s">
        <v>1009</v>
      </c>
      <c r="D34" s="26" t="str">
        <f t="shared" si="0"/>
        <v>Laki-Laki</v>
      </c>
      <c r="E34" s="24" t="s">
        <v>370</v>
      </c>
      <c r="F34" s="64" t="s">
        <v>1010</v>
      </c>
      <c r="G34" s="13" t="s">
        <v>909</v>
      </c>
      <c r="H34" s="19" t="s">
        <v>1011</v>
      </c>
      <c r="I34" s="19" t="s">
        <v>90</v>
      </c>
      <c r="J34" s="20" t="s">
        <v>45</v>
      </c>
      <c r="K34" s="19" t="s">
        <v>728</v>
      </c>
      <c r="L34" s="65" t="s">
        <v>123</v>
      </c>
      <c r="M34" s="15">
        <v>2023</v>
      </c>
      <c r="N34" s="15" t="str">
        <f t="shared" si="2"/>
        <v xml:space="preserve">Maret </v>
      </c>
      <c r="O34" s="15">
        <v>2027</v>
      </c>
      <c r="P34" s="15">
        <v>2023</v>
      </c>
      <c r="Q34" s="15"/>
      <c r="R34" s="16" t="s">
        <v>51</v>
      </c>
      <c r="S34" s="15"/>
      <c r="T34" s="15"/>
      <c r="U34" s="15"/>
      <c r="V34" s="15"/>
      <c r="W34" s="15"/>
    </row>
    <row r="35" spans="1:23" s="17" customFormat="1" ht="28" x14ac:dyDescent="0.35">
      <c r="A35" s="12">
        <v>34</v>
      </c>
      <c r="B35" s="62" t="s">
        <v>1012</v>
      </c>
      <c r="C35" s="63" t="s">
        <v>1013</v>
      </c>
      <c r="D35" s="26" t="str">
        <f t="shared" si="0"/>
        <v>Laki-Laki</v>
      </c>
      <c r="E35" s="24" t="s">
        <v>382</v>
      </c>
      <c r="F35" s="64" t="s">
        <v>1014</v>
      </c>
      <c r="G35" s="13" t="s">
        <v>909</v>
      </c>
      <c r="H35" s="19" t="s">
        <v>1015</v>
      </c>
      <c r="I35" s="19" t="s">
        <v>90</v>
      </c>
      <c r="J35" s="20" t="s">
        <v>45</v>
      </c>
      <c r="K35" s="19" t="s">
        <v>1016</v>
      </c>
      <c r="L35" s="65" t="s">
        <v>1017</v>
      </c>
      <c r="M35" s="15">
        <v>2023</v>
      </c>
      <c r="N35" s="15" t="str">
        <f t="shared" si="2"/>
        <v>April 2023</v>
      </c>
      <c r="O35" s="15">
        <v>2027</v>
      </c>
      <c r="P35" s="15">
        <v>2023</v>
      </c>
      <c r="Q35" s="15"/>
      <c r="R35" s="16" t="s">
        <v>51</v>
      </c>
      <c r="S35" s="15"/>
      <c r="T35" s="15"/>
      <c r="U35" s="15"/>
      <c r="V35" s="15"/>
      <c r="W35" s="15"/>
    </row>
    <row r="36" spans="1:23" s="17" customFormat="1" ht="28" x14ac:dyDescent="0.35">
      <c r="A36" s="12">
        <v>35</v>
      </c>
      <c r="B36" s="62" t="s">
        <v>1018</v>
      </c>
      <c r="C36" s="63" t="s">
        <v>1019</v>
      </c>
      <c r="D36" s="26" t="str">
        <f t="shared" si="0"/>
        <v>Laki-Laki</v>
      </c>
      <c r="E36" s="24" t="s">
        <v>104</v>
      </c>
      <c r="F36" s="64" t="s">
        <v>1020</v>
      </c>
      <c r="G36" s="13" t="s">
        <v>909</v>
      </c>
      <c r="H36" s="19" t="s">
        <v>1015</v>
      </c>
      <c r="I36" s="19" t="s">
        <v>90</v>
      </c>
      <c r="J36" s="12" t="s">
        <v>26</v>
      </c>
      <c r="K36" s="19" t="s">
        <v>1021</v>
      </c>
      <c r="L36" s="65" t="s">
        <v>682</v>
      </c>
      <c r="M36" s="15">
        <v>2023</v>
      </c>
      <c r="N36" s="15" t="str">
        <f t="shared" si="2"/>
        <v xml:space="preserve">September   </v>
      </c>
      <c r="O36" s="15">
        <v>2025</v>
      </c>
      <c r="P36" s="15">
        <v>2023</v>
      </c>
      <c r="Q36" s="15"/>
      <c r="R36" s="16" t="s">
        <v>51</v>
      </c>
      <c r="S36" s="15"/>
      <c r="T36" s="15"/>
      <c r="U36" s="15"/>
      <c r="V36" s="15"/>
      <c r="W36" s="15"/>
    </row>
    <row r="37" spans="1:23" s="17" customFormat="1" ht="28" x14ac:dyDescent="0.35">
      <c r="A37" s="12">
        <v>36</v>
      </c>
      <c r="B37" s="62" t="s">
        <v>1022</v>
      </c>
      <c r="C37" s="63" t="s">
        <v>1023</v>
      </c>
      <c r="D37" s="26" t="str">
        <f t="shared" si="0"/>
        <v>Laki-Laki</v>
      </c>
      <c r="E37" s="24" t="s">
        <v>116</v>
      </c>
      <c r="F37" s="64" t="s">
        <v>1024</v>
      </c>
      <c r="G37" s="13" t="s">
        <v>909</v>
      </c>
      <c r="H37" s="19" t="s">
        <v>1025</v>
      </c>
      <c r="I37" s="19" t="s">
        <v>90</v>
      </c>
      <c r="J37" s="20" t="s">
        <v>45</v>
      </c>
      <c r="K37" s="19" t="s">
        <v>1016</v>
      </c>
      <c r="L37" s="65" t="s">
        <v>92</v>
      </c>
      <c r="M37" s="15">
        <v>2023</v>
      </c>
      <c r="N37" s="15" t="str">
        <f t="shared" si="2"/>
        <v xml:space="preserve">April </v>
      </c>
      <c r="O37" s="15">
        <v>2027</v>
      </c>
      <c r="P37" s="15">
        <v>2023</v>
      </c>
      <c r="Q37" s="15"/>
      <c r="R37" s="16" t="s">
        <v>51</v>
      </c>
      <c r="S37" s="15"/>
      <c r="T37" s="15"/>
      <c r="U37" s="15"/>
      <c r="V37" s="15"/>
      <c r="W37" s="15"/>
    </row>
    <row r="38" spans="1:23" s="17" customFormat="1" ht="28" x14ac:dyDescent="0.35">
      <c r="A38" s="12">
        <v>37</v>
      </c>
      <c r="B38" s="62" t="s">
        <v>1026</v>
      </c>
      <c r="C38" s="63" t="s">
        <v>1027</v>
      </c>
      <c r="D38" s="26" t="str">
        <f t="shared" si="0"/>
        <v>Laki-Laki</v>
      </c>
      <c r="E38" s="24" t="s">
        <v>109</v>
      </c>
      <c r="F38" s="64" t="s">
        <v>809</v>
      </c>
      <c r="G38" s="13" t="s">
        <v>909</v>
      </c>
      <c r="H38" s="19" t="s">
        <v>910</v>
      </c>
      <c r="I38" s="19" t="s">
        <v>1028</v>
      </c>
      <c r="J38" s="12" t="s">
        <v>26</v>
      </c>
      <c r="K38" s="19" t="s">
        <v>985</v>
      </c>
      <c r="L38" s="65" t="s">
        <v>169</v>
      </c>
      <c r="M38" s="15">
        <v>2023</v>
      </c>
      <c r="N38" s="15" t="str">
        <f t="shared" si="2"/>
        <v>Oktober</v>
      </c>
      <c r="O38" s="15">
        <v>2025</v>
      </c>
      <c r="P38" s="15">
        <v>2023</v>
      </c>
      <c r="Q38" s="15"/>
      <c r="R38" s="16" t="s">
        <v>51</v>
      </c>
      <c r="S38" s="15"/>
      <c r="T38" s="15"/>
      <c r="U38" s="15"/>
      <c r="V38" s="15"/>
      <c r="W38" s="15"/>
    </row>
    <row r="39" spans="1:23" s="17" customFormat="1" ht="28" x14ac:dyDescent="0.35">
      <c r="A39" s="12">
        <v>38</v>
      </c>
      <c r="B39" s="62" t="s">
        <v>1029</v>
      </c>
      <c r="C39" s="63" t="s">
        <v>1030</v>
      </c>
      <c r="D39" s="26" t="str">
        <f t="shared" si="0"/>
        <v>Laki-Laki</v>
      </c>
      <c r="E39" s="24" t="s">
        <v>98</v>
      </c>
      <c r="F39" s="64" t="s">
        <v>1031</v>
      </c>
      <c r="G39" s="13" t="s">
        <v>909</v>
      </c>
      <c r="H39" s="19" t="s">
        <v>946</v>
      </c>
      <c r="I39" s="19" t="s">
        <v>90</v>
      </c>
      <c r="J39" s="20" t="s">
        <v>45</v>
      </c>
      <c r="K39" s="19" t="s">
        <v>1016</v>
      </c>
      <c r="L39" s="65" t="s">
        <v>123</v>
      </c>
      <c r="M39" s="15">
        <v>2023</v>
      </c>
      <c r="N39" s="15" t="str">
        <f t="shared" si="2"/>
        <v xml:space="preserve">Maret </v>
      </c>
      <c r="O39" s="15">
        <v>2027</v>
      </c>
      <c r="P39" s="15">
        <v>2023</v>
      </c>
      <c r="Q39" s="15"/>
      <c r="R39" s="16" t="s">
        <v>51</v>
      </c>
      <c r="S39" s="15"/>
      <c r="T39" s="15"/>
      <c r="U39" s="15"/>
      <c r="V39" s="15"/>
      <c r="W39" s="15"/>
    </row>
    <row r="40" spans="1:23" s="17" customFormat="1" ht="42" x14ac:dyDescent="0.35">
      <c r="A40" s="12">
        <v>39</v>
      </c>
      <c r="B40" s="25" t="s">
        <v>1032</v>
      </c>
      <c r="C40" s="69" t="s">
        <v>1033</v>
      </c>
      <c r="D40" s="26" t="str">
        <f t="shared" si="0"/>
        <v>Laki-Laki</v>
      </c>
      <c r="E40" s="24" t="s">
        <v>109</v>
      </c>
      <c r="F40" s="64" t="s">
        <v>1034</v>
      </c>
      <c r="G40" s="13" t="s">
        <v>909</v>
      </c>
      <c r="H40" s="19" t="s">
        <v>1035</v>
      </c>
      <c r="I40" s="19" t="s">
        <v>485</v>
      </c>
      <c r="J40" s="12" t="s">
        <v>26</v>
      </c>
      <c r="K40" s="19" t="s">
        <v>1036</v>
      </c>
      <c r="L40" s="70" t="s">
        <v>145</v>
      </c>
      <c r="M40" s="15">
        <v>2023</v>
      </c>
      <c r="N40" s="15" t="str">
        <f t="shared" si="2"/>
        <v xml:space="preserve">Agustus </v>
      </c>
      <c r="O40" s="15">
        <v>2025</v>
      </c>
      <c r="P40" s="15">
        <v>2023</v>
      </c>
      <c r="Q40" s="15"/>
      <c r="R40" s="16" t="s">
        <v>51</v>
      </c>
      <c r="S40" s="15"/>
      <c r="T40" s="15"/>
      <c r="U40" s="15"/>
      <c r="V40" s="15"/>
      <c r="W40" s="15"/>
    </row>
    <row r="41" spans="1:23" s="17" customFormat="1" ht="14.5" x14ac:dyDescent="0.35">
      <c r="A41" s="12">
        <v>40</v>
      </c>
      <c r="B41" s="71" t="s">
        <v>1037</v>
      </c>
      <c r="C41" s="69" t="s">
        <v>1038</v>
      </c>
      <c r="D41" s="26" t="str">
        <f t="shared" si="0"/>
        <v>Laki-Laki</v>
      </c>
      <c r="E41" s="24" t="s">
        <v>98</v>
      </c>
      <c r="F41" s="64" t="s">
        <v>1039</v>
      </c>
      <c r="G41" s="13" t="s">
        <v>909</v>
      </c>
      <c r="H41" s="19" t="s">
        <v>1040</v>
      </c>
      <c r="I41" s="19" t="s">
        <v>90</v>
      </c>
      <c r="J41" s="20" t="s">
        <v>45</v>
      </c>
      <c r="K41" s="19" t="s">
        <v>985</v>
      </c>
      <c r="L41" s="65" t="s">
        <v>682</v>
      </c>
      <c r="M41" s="15">
        <v>2023</v>
      </c>
      <c r="N41" s="15" t="str">
        <f t="shared" si="2"/>
        <v xml:space="preserve">September   </v>
      </c>
      <c r="O41" s="15">
        <v>2027</v>
      </c>
      <c r="P41" s="15">
        <v>2023</v>
      </c>
      <c r="Q41" s="15"/>
      <c r="R41" s="16" t="s">
        <v>51</v>
      </c>
      <c r="S41" s="15"/>
      <c r="T41" s="15"/>
      <c r="U41" s="15"/>
      <c r="V41" s="15"/>
      <c r="W41" s="15"/>
    </row>
    <row r="42" spans="1:23" s="17" customFormat="1" ht="14.5" x14ac:dyDescent="0.35">
      <c r="A42" s="12">
        <v>41</v>
      </c>
      <c r="B42" s="25" t="s">
        <v>1041</v>
      </c>
      <c r="C42" s="69" t="s">
        <v>1042</v>
      </c>
      <c r="D42" s="26" t="str">
        <f t="shared" si="0"/>
        <v>Laki-Laki</v>
      </c>
      <c r="E42" s="24" t="s">
        <v>370</v>
      </c>
      <c r="F42" s="64" t="s">
        <v>1043</v>
      </c>
      <c r="G42" s="13" t="s">
        <v>909</v>
      </c>
      <c r="H42" s="19" t="s">
        <v>984</v>
      </c>
      <c r="I42" s="19" t="s">
        <v>90</v>
      </c>
      <c r="J42" s="20" t="s">
        <v>45</v>
      </c>
      <c r="K42" s="19" t="s">
        <v>728</v>
      </c>
      <c r="L42" s="70" t="s">
        <v>462</v>
      </c>
      <c r="M42" s="15">
        <v>2023</v>
      </c>
      <c r="N42" s="15" t="str">
        <f t="shared" si="2"/>
        <v xml:space="preserve">Februari </v>
      </c>
      <c r="O42" s="15">
        <v>2027</v>
      </c>
      <c r="P42" s="15">
        <v>2023</v>
      </c>
      <c r="Q42" s="15"/>
      <c r="R42" s="16" t="s">
        <v>51</v>
      </c>
      <c r="S42" s="15"/>
      <c r="T42" s="15"/>
      <c r="U42" s="15"/>
      <c r="V42" s="15"/>
      <c r="W42" s="15"/>
    </row>
    <row r="43" spans="1:23" s="17" customFormat="1" ht="28" x14ac:dyDescent="0.35">
      <c r="A43" s="12">
        <v>42</v>
      </c>
      <c r="B43" s="25" t="s">
        <v>1044</v>
      </c>
      <c r="C43" s="69" t="s">
        <v>1045</v>
      </c>
      <c r="D43" s="26" t="str">
        <f t="shared" si="0"/>
        <v>Laki-Laki</v>
      </c>
      <c r="E43" s="24" t="s">
        <v>104</v>
      </c>
      <c r="F43" s="72" t="s">
        <v>1046</v>
      </c>
      <c r="G43" s="13" t="s">
        <v>909</v>
      </c>
      <c r="H43" s="19" t="s">
        <v>1047</v>
      </c>
      <c r="I43" s="19" t="s">
        <v>90</v>
      </c>
      <c r="J43" s="20" t="s">
        <v>45</v>
      </c>
      <c r="K43" s="19" t="s">
        <v>728</v>
      </c>
      <c r="L43" s="70" t="s">
        <v>462</v>
      </c>
      <c r="M43" s="15">
        <v>2023</v>
      </c>
      <c r="N43" s="15" t="str">
        <f t="shared" si="2"/>
        <v xml:space="preserve">Februari </v>
      </c>
      <c r="O43" s="15">
        <v>2027</v>
      </c>
      <c r="P43" s="15">
        <v>2023</v>
      </c>
      <c r="Q43" s="15"/>
      <c r="R43" s="16" t="s">
        <v>51</v>
      </c>
      <c r="S43" s="15"/>
      <c r="T43" s="15"/>
      <c r="U43" s="15"/>
      <c r="V43" s="15"/>
      <c r="W43" s="15"/>
    </row>
    <row r="44" spans="1:23" s="17" customFormat="1" ht="28" x14ac:dyDescent="0.35">
      <c r="A44" s="12">
        <v>43</v>
      </c>
      <c r="B44" s="25" t="s">
        <v>1048</v>
      </c>
      <c r="C44" s="69" t="s">
        <v>1049</v>
      </c>
      <c r="D44" s="26" t="str">
        <f t="shared" si="0"/>
        <v>Laki-Laki</v>
      </c>
      <c r="E44" s="24" t="s">
        <v>104</v>
      </c>
      <c r="F44" s="72" t="s">
        <v>1050</v>
      </c>
      <c r="G44" s="13" t="s">
        <v>909</v>
      </c>
      <c r="H44" s="19" t="s">
        <v>1047</v>
      </c>
      <c r="I44" s="19" t="s">
        <v>90</v>
      </c>
      <c r="J44" s="20" t="s">
        <v>45</v>
      </c>
      <c r="K44" s="19" t="s">
        <v>728</v>
      </c>
      <c r="L44" s="70" t="s">
        <v>160</v>
      </c>
      <c r="M44" s="15">
        <v>2023</v>
      </c>
      <c r="N44" s="15" t="str">
        <f t="shared" si="2"/>
        <v>Juli</v>
      </c>
      <c r="O44" s="15">
        <v>2027</v>
      </c>
      <c r="P44" s="15">
        <v>2023</v>
      </c>
      <c r="Q44" s="15"/>
      <c r="R44" s="16" t="s">
        <v>51</v>
      </c>
      <c r="S44" s="15"/>
      <c r="T44" s="15"/>
      <c r="U44" s="15"/>
      <c r="V44" s="15"/>
      <c r="W44" s="15"/>
    </row>
    <row r="45" spans="1:23" s="17" customFormat="1" ht="28" x14ac:dyDescent="0.35">
      <c r="A45" s="12">
        <v>44</v>
      </c>
      <c r="B45" s="25" t="s">
        <v>1051</v>
      </c>
      <c r="C45" s="69" t="s">
        <v>1052</v>
      </c>
      <c r="D45" s="26" t="str">
        <f t="shared" si="0"/>
        <v>Laki-Laki</v>
      </c>
      <c r="E45" s="24" t="s">
        <v>370</v>
      </c>
      <c r="F45" s="72" t="s">
        <v>1053</v>
      </c>
      <c r="G45" s="13" t="s">
        <v>909</v>
      </c>
      <c r="H45" s="19" t="s">
        <v>1047</v>
      </c>
      <c r="I45" s="19" t="s">
        <v>90</v>
      </c>
      <c r="J45" s="20" t="s">
        <v>45</v>
      </c>
      <c r="K45" s="19" t="s">
        <v>728</v>
      </c>
      <c r="L45" s="70" t="s">
        <v>145</v>
      </c>
      <c r="M45" s="15">
        <v>2023</v>
      </c>
      <c r="N45" s="15" t="str">
        <f t="shared" si="2"/>
        <v xml:space="preserve">Agustus </v>
      </c>
      <c r="O45" s="15">
        <v>2027</v>
      </c>
      <c r="P45" s="15">
        <v>2023</v>
      </c>
      <c r="Q45" s="15"/>
      <c r="R45" s="16" t="s">
        <v>51</v>
      </c>
      <c r="S45" s="15"/>
      <c r="T45" s="15"/>
      <c r="U45" s="15"/>
      <c r="V45" s="15"/>
      <c r="W45" s="15"/>
    </row>
    <row r="46" spans="1:23" s="17" customFormat="1" ht="14.5" x14ac:dyDescent="0.35">
      <c r="A46" s="12">
        <v>45</v>
      </c>
      <c r="B46" s="25" t="s">
        <v>1054</v>
      </c>
      <c r="C46" s="72">
        <v>1.9830129200604099E+17</v>
      </c>
      <c r="D46" s="26" t="str">
        <f t="shared" si="0"/>
        <v>Laki-Laki</v>
      </c>
      <c r="E46" s="24" t="s">
        <v>104</v>
      </c>
      <c r="F46" s="72" t="s">
        <v>1055</v>
      </c>
      <c r="G46" s="13" t="s">
        <v>909</v>
      </c>
      <c r="H46" s="19" t="s">
        <v>1056</v>
      </c>
      <c r="I46" s="19" t="s">
        <v>90</v>
      </c>
      <c r="J46" s="20" t="s">
        <v>45</v>
      </c>
      <c r="K46" s="19" t="s">
        <v>985</v>
      </c>
      <c r="L46" s="70" t="s">
        <v>145</v>
      </c>
      <c r="M46" s="15">
        <v>2023</v>
      </c>
      <c r="N46" s="15" t="str">
        <f t="shared" si="2"/>
        <v xml:space="preserve">Agustus </v>
      </c>
      <c r="O46" s="15">
        <v>2027</v>
      </c>
      <c r="P46" s="15">
        <v>2024</v>
      </c>
      <c r="Q46" s="15"/>
      <c r="R46" s="16" t="s">
        <v>51</v>
      </c>
      <c r="S46" s="15"/>
      <c r="T46" s="15"/>
      <c r="U46" s="15"/>
      <c r="V46" s="15"/>
      <c r="W46" s="15"/>
    </row>
    <row r="47" spans="1:23" s="17" customFormat="1" ht="14.5" x14ac:dyDescent="0.35">
      <c r="A47" s="12">
        <v>46</v>
      </c>
      <c r="B47" s="25" t="s">
        <v>1057</v>
      </c>
      <c r="C47" s="69" t="s">
        <v>1058</v>
      </c>
      <c r="D47" s="26" t="str">
        <f t="shared" si="0"/>
        <v>Laki-Laki</v>
      </c>
      <c r="E47" s="24" t="s">
        <v>98</v>
      </c>
      <c r="F47" s="72" t="s">
        <v>1059</v>
      </c>
      <c r="G47" s="13" t="s">
        <v>909</v>
      </c>
      <c r="H47" s="19" t="s">
        <v>1056</v>
      </c>
      <c r="I47" s="19" t="s">
        <v>90</v>
      </c>
      <c r="J47" s="20" t="s">
        <v>45</v>
      </c>
      <c r="K47" s="19" t="s">
        <v>985</v>
      </c>
      <c r="L47" s="70" t="s">
        <v>145</v>
      </c>
      <c r="M47" s="15">
        <v>2023</v>
      </c>
      <c r="N47" s="15" t="str">
        <f t="shared" si="2"/>
        <v xml:space="preserve">Agustus </v>
      </c>
      <c r="O47" s="15">
        <v>2027</v>
      </c>
      <c r="P47" s="15">
        <v>2024</v>
      </c>
      <c r="Q47" s="15"/>
      <c r="R47" s="16" t="s">
        <v>51</v>
      </c>
      <c r="S47" s="15"/>
      <c r="T47" s="15"/>
      <c r="U47" s="15"/>
      <c r="V47" s="15"/>
      <c r="W47" s="15"/>
    </row>
    <row r="48" spans="1:23" s="17" customFormat="1" ht="14.5" x14ac:dyDescent="0.35">
      <c r="A48" s="12">
        <v>47</v>
      </c>
      <c r="B48" s="25" t="s">
        <v>1060</v>
      </c>
      <c r="C48" s="69" t="s">
        <v>1061</v>
      </c>
      <c r="D48" s="26" t="str">
        <f t="shared" si="0"/>
        <v>Laki-Laki</v>
      </c>
      <c r="E48" s="24" t="s">
        <v>126</v>
      </c>
      <c r="F48" s="72" t="s">
        <v>1062</v>
      </c>
      <c r="G48" s="13" t="s">
        <v>909</v>
      </c>
      <c r="H48" s="19" t="s">
        <v>1056</v>
      </c>
      <c r="I48" s="19" t="s">
        <v>90</v>
      </c>
      <c r="J48" s="20" t="s">
        <v>45</v>
      </c>
      <c r="K48" s="19" t="s">
        <v>728</v>
      </c>
      <c r="L48" s="70" t="s">
        <v>785</v>
      </c>
      <c r="M48" s="15">
        <v>2023</v>
      </c>
      <c r="N48" s="15" t="str">
        <f t="shared" si="2"/>
        <v xml:space="preserve">Juni </v>
      </c>
      <c r="O48" s="15">
        <v>2027</v>
      </c>
      <c r="P48" s="15">
        <v>2024</v>
      </c>
      <c r="Q48" s="15"/>
      <c r="R48" s="16" t="s">
        <v>51</v>
      </c>
      <c r="S48" s="15"/>
      <c r="T48" s="15"/>
      <c r="U48" s="15"/>
      <c r="V48" s="15"/>
      <c r="W48" s="15"/>
    </row>
    <row r="49" spans="1:23" s="17" customFormat="1" ht="14.5" x14ac:dyDescent="0.35">
      <c r="A49" s="12">
        <v>48</v>
      </c>
      <c r="B49" s="73" t="s">
        <v>2833</v>
      </c>
      <c r="C49" s="69" t="s">
        <v>1063</v>
      </c>
      <c r="D49" s="26" t="str">
        <f t="shared" si="0"/>
        <v>Laki-Laki</v>
      </c>
      <c r="E49" s="24" t="s">
        <v>791</v>
      </c>
      <c r="F49" s="25" t="s">
        <v>1064</v>
      </c>
      <c r="G49" s="13" t="s">
        <v>909</v>
      </c>
      <c r="H49" s="19" t="s">
        <v>1065</v>
      </c>
      <c r="I49" s="19" t="s">
        <v>1066</v>
      </c>
      <c r="J49" s="20" t="s">
        <v>242</v>
      </c>
      <c r="K49" s="19" t="s">
        <v>344</v>
      </c>
      <c r="L49" s="70" t="s">
        <v>145</v>
      </c>
      <c r="M49" s="15">
        <v>2023</v>
      </c>
      <c r="N49" s="15" t="str">
        <f t="shared" si="2"/>
        <v xml:space="preserve">Agustus </v>
      </c>
      <c r="O49" s="15">
        <v>2026</v>
      </c>
      <c r="P49" s="15">
        <v>2024</v>
      </c>
      <c r="Q49" s="15"/>
      <c r="R49" s="16" t="s">
        <v>51</v>
      </c>
      <c r="S49" s="15"/>
      <c r="T49" s="15"/>
      <c r="U49" s="15"/>
      <c r="V49" s="15"/>
      <c r="W49" s="15"/>
    </row>
    <row r="50" spans="1:23" s="17" customFormat="1" ht="28" x14ac:dyDescent="0.35">
      <c r="A50" s="12">
        <v>49</v>
      </c>
      <c r="B50" s="25" t="s">
        <v>1067</v>
      </c>
      <c r="C50" s="69" t="s">
        <v>1068</v>
      </c>
      <c r="D50" s="26" t="str">
        <f t="shared" si="0"/>
        <v>Laki-Laki</v>
      </c>
      <c r="E50" s="24" t="s">
        <v>109</v>
      </c>
      <c r="F50" s="72" t="s">
        <v>1069</v>
      </c>
      <c r="G50" s="13" t="s">
        <v>909</v>
      </c>
      <c r="H50" s="19" t="s">
        <v>1070</v>
      </c>
      <c r="I50" s="19" t="s">
        <v>90</v>
      </c>
      <c r="J50" s="12" t="s">
        <v>26</v>
      </c>
      <c r="K50" s="19" t="s">
        <v>1071</v>
      </c>
      <c r="L50" s="70" t="s">
        <v>182</v>
      </c>
      <c r="M50" s="15">
        <v>2023</v>
      </c>
      <c r="N50" s="15" t="str">
        <f t="shared" si="2"/>
        <v xml:space="preserve">Juli </v>
      </c>
      <c r="O50" s="15">
        <v>2025</v>
      </c>
      <c r="P50" s="15">
        <v>2024</v>
      </c>
      <c r="Q50" s="15"/>
      <c r="R50" s="16" t="s">
        <v>51</v>
      </c>
      <c r="S50" s="15"/>
      <c r="T50" s="15"/>
      <c r="U50" s="15"/>
      <c r="V50" s="15"/>
      <c r="W50" s="15"/>
    </row>
    <row r="51" spans="1:23" s="17" customFormat="1" ht="28" x14ac:dyDescent="0.35">
      <c r="A51" s="12">
        <v>50</v>
      </c>
      <c r="B51" s="25" t="s">
        <v>1072</v>
      </c>
      <c r="C51" s="69" t="s">
        <v>1073</v>
      </c>
      <c r="D51" s="26" t="str">
        <f t="shared" si="0"/>
        <v>Laki-Laki</v>
      </c>
      <c r="E51" s="24" t="s">
        <v>104</v>
      </c>
      <c r="F51" s="72" t="s">
        <v>1074</v>
      </c>
      <c r="G51" s="13" t="s">
        <v>909</v>
      </c>
      <c r="H51" s="19" t="s">
        <v>1047</v>
      </c>
      <c r="I51" s="19" t="s">
        <v>90</v>
      </c>
      <c r="J51" s="20" t="s">
        <v>45</v>
      </c>
      <c r="K51" s="19" t="s">
        <v>905</v>
      </c>
      <c r="L51" s="65" t="s">
        <v>1003</v>
      </c>
      <c r="M51" s="15">
        <v>2023</v>
      </c>
      <c r="N51" s="15" t="str">
        <f t="shared" si="2"/>
        <v xml:space="preserve">Mei </v>
      </c>
      <c r="O51" s="15">
        <v>2027</v>
      </c>
      <c r="P51" s="15">
        <v>2023</v>
      </c>
      <c r="Q51" s="15"/>
      <c r="R51" s="16" t="s">
        <v>51</v>
      </c>
      <c r="S51" s="15"/>
      <c r="T51" s="15"/>
      <c r="U51" s="15"/>
      <c r="V51" s="15"/>
      <c r="W51" s="15"/>
    </row>
    <row r="52" spans="1:23" s="17" customFormat="1" ht="14.5" x14ac:dyDescent="0.35">
      <c r="A52" s="12">
        <v>51</v>
      </c>
      <c r="B52" s="25" t="s">
        <v>1075</v>
      </c>
      <c r="C52" s="69" t="s">
        <v>1076</v>
      </c>
      <c r="D52" s="26" t="str">
        <f t="shared" si="0"/>
        <v>Laki-Laki</v>
      </c>
      <c r="E52" s="24" t="s">
        <v>109</v>
      </c>
      <c r="F52" s="72" t="s">
        <v>1077</v>
      </c>
      <c r="G52" s="13" t="s">
        <v>909</v>
      </c>
      <c r="H52" s="19" t="s">
        <v>1035</v>
      </c>
      <c r="I52" s="19" t="s">
        <v>485</v>
      </c>
      <c r="J52" s="12" t="s">
        <v>26</v>
      </c>
      <c r="K52" s="19" t="s">
        <v>221</v>
      </c>
      <c r="L52" s="65" t="s">
        <v>682</v>
      </c>
      <c r="M52" s="15">
        <v>2022</v>
      </c>
      <c r="N52" s="15" t="str">
        <f t="shared" si="2"/>
        <v xml:space="preserve">September   </v>
      </c>
      <c r="O52" s="15">
        <v>2024</v>
      </c>
      <c r="P52" s="15">
        <v>2022</v>
      </c>
      <c r="Q52" s="15"/>
      <c r="R52" s="16" t="s">
        <v>51</v>
      </c>
      <c r="S52" s="15"/>
      <c r="T52" s="15"/>
      <c r="U52" s="15"/>
      <c r="V52" s="15"/>
      <c r="W52" s="15"/>
    </row>
    <row r="53" spans="1:23" s="17" customFormat="1" ht="14.5" x14ac:dyDescent="0.35">
      <c r="A53" s="12">
        <v>52</v>
      </c>
      <c r="B53" s="25" t="s">
        <v>1078</v>
      </c>
      <c r="C53" s="69" t="s">
        <v>1079</v>
      </c>
      <c r="D53" s="26" t="str">
        <f t="shared" si="0"/>
        <v>Laki-Laki</v>
      </c>
      <c r="E53" s="24" t="s">
        <v>116</v>
      </c>
      <c r="F53" s="72" t="s">
        <v>1080</v>
      </c>
      <c r="G53" s="13" t="s">
        <v>909</v>
      </c>
      <c r="H53" s="19" t="s">
        <v>1035</v>
      </c>
      <c r="I53" s="19" t="s">
        <v>90</v>
      </c>
      <c r="J53" s="20" t="s">
        <v>45</v>
      </c>
      <c r="K53" s="19" t="s">
        <v>905</v>
      </c>
      <c r="L53" s="70" t="s">
        <v>60</v>
      </c>
      <c r="M53" s="15">
        <v>2022</v>
      </c>
      <c r="N53" s="15" t="str">
        <f t="shared" si="2"/>
        <v>Agustus</v>
      </c>
      <c r="O53" s="15">
        <v>2026</v>
      </c>
      <c r="P53" s="15">
        <v>2022</v>
      </c>
      <c r="Q53" s="15"/>
      <c r="R53" s="16" t="s">
        <v>51</v>
      </c>
      <c r="S53" s="15"/>
      <c r="T53" s="15"/>
      <c r="U53" s="15"/>
      <c r="V53" s="15"/>
      <c r="W53" s="15"/>
    </row>
    <row r="54" spans="1:23" s="17" customFormat="1" ht="28" x14ac:dyDescent="0.35">
      <c r="A54" s="12">
        <v>53</v>
      </c>
      <c r="B54" s="25" t="s">
        <v>1081</v>
      </c>
      <c r="C54" s="69" t="s">
        <v>1082</v>
      </c>
      <c r="D54" s="26" t="str">
        <f t="shared" si="0"/>
        <v>Laki-Laki</v>
      </c>
      <c r="E54" s="24" t="s">
        <v>109</v>
      </c>
      <c r="F54" s="72" t="s">
        <v>1083</v>
      </c>
      <c r="G54" s="13" t="s">
        <v>909</v>
      </c>
      <c r="H54" s="19" t="s">
        <v>1084</v>
      </c>
      <c r="I54" s="19" t="s">
        <v>1085</v>
      </c>
      <c r="J54" s="12" t="s">
        <v>26</v>
      </c>
      <c r="K54" s="19" t="s">
        <v>221</v>
      </c>
      <c r="L54" s="70" t="s">
        <v>156</v>
      </c>
      <c r="M54" s="15">
        <v>2022</v>
      </c>
      <c r="N54" s="15" t="str">
        <f t="shared" si="2"/>
        <v>November</v>
      </c>
      <c r="O54" s="15">
        <v>2023</v>
      </c>
      <c r="P54" s="15">
        <v>2022</v>
      </c>
      <c r="Q54" s="15"/>
      <c r="R54" s="16" t="s">
        <v>29</v>
      </c>
      <c r="S54" s="15"/>
      <c r="T54" s="15"/>
      <c r="U54" s="15"/>
      <c r="V54" s="15"/>
      <c r="W54" s="15"/>
    </row>
    <row r="55" spans="1:23" s="17" customFormat="1" ht="14.5" x14ac:dyDescent="0.35">
      <c r="A55" s="12">
        <v>54</v>
      </c>
      <c r="B55" s="25" t="s">
        <v>1086</v>
      </c>
      <c r="C55" s="69" t="s">
        <v>1087</v>
      </c>
      <c r="D55" s="26" t="str">
        <f t="shared" si="0"/>
        <v>Laki-Laki</v>
      </c>
      <c r="E55" s="24" t="s">
        <v>116</v>
      </c>
      <c r="F55" s="72" t="s">
        <v>1088</v>
      </c>
      <c r="G55" s="13" t="s">
        <v>909</v>
      </c>
      <c r="H55" s="19" t="s">
        <v>946</v>
      </c>
      <c r="I55" s="19" t="s">
        <v>90</v>
      </c>
      <c r="J55" s="20" t="s">
        <v>45</v>
      </c>
      <c r="K55" s="19" t="s">
        <v>905</v>
      </c>
      <c r="L55" s="65" t="s">
        <v>682</v>
      </c>
      <c r="M55" s="15">
        <v>2022</v>
      </c>
      <c r="N55" s="15" t="str">
        <f t="shared" si="2"/>
        <v xml:space="preserve">September   </v>
      </c>
      <c r="O55" s="15">
        <v>2026</v>
      </c>
      <c r="P55" s="15">
        <v>2022</v>
      </c>
      <c r="Q55" s="15"/>
      <c r="R55" s="16" t="s">
        <v>51</v>
      </c>
      <c r="S55" s="15"/>
      <c r="T55" s="15"/>
      <c r="U55" s="15"/>
      <c r="V55" s="15"/>
      <c r="W55" s="15"/>
    </row>
    <row r="56" spans="1:23" s="17" customFormat="1" ht="14.5" x14ac:dyDescent="0.35">
      <c r="A56" s="12">
        <v>55</v>
      </c>
      <c r="B56" s="25" t="s">
        <v>1089</v>
      </c>
      <c r="C56" s="69" t="s">
        <v>1090</v>
      </c>
      <c r="D56" s="26" t="str">
        <f t="shared" si="0"/>
        <v>Laki-Laki</v>
      </c>
      <c r="E56" s="24" t="s">
        <v>109</v>
      </c>
      <c r="F56" s="72" t="s">
        <v>1091</v>
      </c>
      <c r="G56" s="13" t="s">
        <v>909</v>
      </c>
      <c r="H56" s="19" t="s">
        <v>993</v>
      </c>
      <c r="I56" s="19" t="s">
        <v>1092</v>
      </c>
      <c r="J56" s="12" t="s">
        <v>26</v>
      </c>
      <c r="K56" s="19" t="s">
        <v>46</v>
      </c>
      <c r="L56" s="70" t="s">
        <v>145</v>
      </c>
      <c r="M56" s="15">
        <v>2022</v>
      </c>
      <c r="N56" s="15" t="str">
        <f t="shared" si="2"/>
        <v xml:space="preserve">Agustus </v>
      </c>
      <c r="O56" s="15">
        <v>2024</v>
      </c>
      <c r="P56" s="15">
        <v>2022</v>
      </c>
      <c r="Q56" s="15"/>
      <c r="R56" s="16" t="s">
        <v>29</v>
      </c>
      <c r="S56" s="15"/>
      <c r="T56" s="15"/>
      <c r="U56" s="15"/>
      <c r="V56" s="15"/>
      <c r="W56" s="15"/>
    </row>
    <row r="57" spans="1:23" s="17" customFormat="1" ht="28" x14ac:dyDescent="0.35">
      <c r="A57" s="12">
        <v>56</v>
      </c>
      <c r="B57" s="25" t="s">
        <v>1093</v>
      </c>
      <c r="C57" s="69" t="s">
        <v>1094</v>
      </c>
      <c r="D57" s="26" t="str">
        <f t="shared" si="0"/>
        <v>Laki-Laki</v>
      </c>
      <c r="E57" s="24" t="s">
        <v>109</v>
      </c>
      <c r="F57" s="72" t="s">
        <v>672</v>
      </c>
      <c r="G57" s="13" t="s">
        <v>909</v>
      </c>
      <c r="H57" s="19" t="s">
        <v>961</v>
      </c>
      <c r="I57" s="19" t="s">
        <v>1095</v>
      </c>
      <c r="J57" s="12" t="s">
        <v>26</v>
      </c>
      <c r="K57" s="19" t="s">
        <v>1096</v>
      </c>
      <c r="L57" s="70" t="s">
        <v>123</v>
      </c>
      <c r="M57" s="15">
        <v>2022</v>
      </c>
      <c r="N57" s="15" t="str">
        <f t="shared" si="2"/>
        <v xml:space="preserve">Maret </v>
      </c>
      <c r="O57" s="15">
        <v>2024</v>
      </c>
      <c r="P57" s="15">
        <v>2022</v>
      </c>
      <c r="Q57" s="15"/>
      <c r="R57" s="16" t="s">
        <v>29</v>
      </c>
      <c r="S57" s="15"/>
      <c r="T57" s="15"/>
      <c r="U57" s="15"/>
      <c r="V57" s="15"/>
      <c r="W57" s="15"/>
    </row>
    <row r="58" spans="1:23" s="17" customFormat="1" ht="28" x14ac:dyDescent="0.35">
      <c r="A58" s="12">
        <v>57</v>
      </c>
      <c r="B58" s="13" t="s">
        <v>1097</v>
      </c>
      <c r="C58" s="14" t="s">
        <v>1098</v>
      </c>
      <c r="D58" s="26" t="str">
        <f t="shared" si="0"/>
        <v>Perempuan</v>
      </c>
      <c r="E58" s="13"/>
      <c r="F58" s="13"/>
      <c r="G58" s="13" t="s">
        <v>909</v>
      </c>
      <c r="H58" s="15" t="s">
        <v>961</v>
      </c>
      <c r="I58" s="15" t="s">
        <v>580</v>
      </c>
      <c r="J58" s="12" t="s">
        <v>45</v>
      </c>
      <c r="K58" s="15" t="s">
        <v>40</v>
      </c>
      <c r="L58" s="23" t="s">
        <v>446</v>
      </c>
      <c r="M58" s="21">
        <v>2021</v>
      </c>
      <c r="N58" s="15" t="str">
        <f>L58</f>
        <v xml:space="preserve">Oktober </v>
      </c>
      <c r="O58" s="15">
        <v>2025</v>
      </c>
      <c r="P58" s="15">
        <v>2022</v>
      </c>
      <c r="Q58" s="15"/>
      <c r="R58" s="16" t="s">
        <v>51</v>
      </c>
      <c r="S58" s="15"/>
      <c r="T58" s="15"/>
      <c r="U58" s="15"/>
      <c r="V58" s="15"/>
      <c r="W58" s="15"/>
    </row>
    <row r="59" spans="1:23" s="17" customFormat="1" ht="14.5" x14ac:dyDescent="0.35">
      <c r="A59" s="12">
        <v>58</v>
      </c>
      <c r="B59" s="13" t="s">
        <v>1099</v>
      </c>
      <c r="C59" s="14" t="s">
        <v>1100</v>
      </c>
      <c r="D59" s="26" t="str">
        <f t="shared" si="0"/>
        <v>Laki-Laki</v>
      </c>
      <c r="E59" s="13" t="s">
        <v>507</v>
      </c>
      <c r="F59" s="18" t="s">
        <v>189</v>
      </c>
      <c r="G59" s="13" t="s">
        <v>909</v>
      </c>
      <c r="H59" s="15" t="s">
        <v>1101</v>
      </c>
      <c r="I59" s="15" t="s">
        <v>549</v>
      </c>
      <c r="J59" s="12" t="s">
        <v>26</v>
      </c>
      <c r="K59" s="15" t="s">
        <v>46</v>
      </c>
      <c r="L59" s="15"/>
      <c r="M59" s="15">
        <v>2024</v>
      </c>
      <c r="N59" s="15"/>
      <c r="O59" s="15">
        <v>2026</v>
      </c>
      <c r="P59" s="15">
        <v>2024</v>
      </c>
      <c r="Q59" s="15"/>
      <c r="R59" s="16" t="s">
        <v>51</v>
      </c>
      <c r="S59" s="15"/>
      <c r="T59" s="15"/>
      <c r="U59" s="15"/>
      <c r="V59" s="15"/>
      <c r="W59" s="15"/>
    </row>
    <row r="60" spans="1:23" s="17" customFormat="1" ht="14.5" x14ac:dyDescent="0.35">
      <c r="A60" s="12">
        <v>59</v>
      </c>
      <c r="B60" s="13" t="s">
        <v>1102</v>
      </c>
      <c r="C60" s="14" t="s">
        <v>1103</v>
      </c>
      <c r="D60" s="26" t="str">
        <f t="shared" si="0"/>
        <v>Laki-Laki</v>
      </c>
      <c r="E60" s="13" t="s">
        <v>188</v>
      </c>
      <c r="F60" s="18" t="s">
        <v>189</v>
      </c>
      <c r="G60" s="13" t="s">
        <v>909</v>
      </c>
      <c r="H60" s="15" t="s">
        <v>1101</v>
      </c>
      <c r="I60" s="15" t="s">
        <v>549</v>
      </c>
      <c r="J60" s="12" t="s">
        <v>26</v>
      </c>
      <c r="K60" s="15" t="s">
        <v>46</v>
      </c>
      <c r="L60" s="15" t="s">
        <v>28</v>
      </c>
      <c r="M60" s="15">
        <v>2024</v>
      </c>
      <c r="N60" s="15" t="str">
        <f>L60</f>
        <v>September</v>
      </c>
      <c r="O60" s="15">
        <v>2026</v>
      </c>
      <c r="P60" s="15">
        <v>2024</v>
      </c>
      <c r="Q60" s="15"/>
      <c r="R60" s="16" t="s">
        <v>51</v>
      </c>
      <c r="S60" s="15"/>
      <c r="T60" s="15"/>
      <c r="U60" s="15"/>
      <c r="V60" s="15"/>
      <c r="W60" s="15"/>
    </row>
    <row r="61" spans="1:23" s="17" customFormat="1" ht="28" x14ac:dyDescent="0.35">
      <c r="A61" s="12">
        <v>60</v>
      </c>
      <c r="B61" s="13" t="s">
        <v>1104</v>
      </c>
      <c r="C61" s="14" t="s">
        <v>1105</v>
      </c>
      <c r="D61" s="26" t="str">
        <f t="shared" si="0"/>
        <v>Perempuan</v>
      </c>
      <c r="E61" s="13" t="s">
        <v>172</v>
      </c>
      <c r="F61" s="18" t="s">
        <v>1106</v>
      </c>
      <c r="G61" s="13" t="s">
        <v>909</v>
      </c>
      <c r="H61" s="15" t="s">
        <v>1107</v>
      </c>
      <c r="I61" s="15" t="s">
        <v>1108</v>
      </c>
      <c r="J61" s="20" t="s">
        <v>45</v>
      </c>
      <c r="K61" s="15" t="s">
        <v>57</v>
      </c>
      <c r="L61" s="15" t="s">
        <v>60</v>
      </c>
      <c r="M61" s="15">
        <v>2024</v>
      </c>
      <c r="N61" s="15" t="str">
        <f>L61</f>
        <v>Agustus</v>
      </c>
      <c r="O61" s="15">
        <v>2028</v>
      </c>
      <c r="P61" s="15">
        <v>2024</v>
      </c>
      <c r="Q61" s="15"/>
      <c r="R61" s="16" t="s">
        <v>51</v>
      </c>
      <c r="S61" s="15"/>
      <c r="T61" s="15"/>
      <c r="U61" s="15"/>
      <c r="V61" s="15"/>
      <c r="W61" s="15"/>
    </row>
    <row r="62" spans="1:23" s="17" customFormat="1" ht="14.5" x14ac:dyDescent="0.35">
      <c r="A62" s="12">
        <v>61</v>
      </c>
      <c r="B62" s="13" t="s">
        <v>1109</v>
      </c>
      <c r="C62" s="14" t="s">
        <v>1110</v>
      </c>
      <c r="D62" s="26" t="str">
        <f t="shared" si="0"/>
        <v>Perempuan</v>
      </c>
      <c r="E62" s="13" t="s">
        <v>172</v>
      </c>
      <c r="F62" s="18" t="s">
        <v>99</v>
      </c>
      <c r="G62" s="13" t="s">
        <v>909</v>
      </c>
      <c r="H62" s="15" t="s">
        <v>1101</v>
      </c>
      <c r="I62" s="15" t="s">
        <v>90</v>
      </c>
      <c r="J62" s="20" t="s">
        <v>45</v>
      </c>
      <c r="K62" s="15" t="s">
        <v>95</v>
      </c>
      <c r="L62" s="15" t="s">
        <v>28</v>
      </c>
      <c r="M62" s="15">
        <v>2024</v>
      </c>
      <c r="N62" s="15" t="str">
        <f t="shared" ref="N62:N83" si="3">L62</f>
        <v>September</v>
      </c>
      <c r="O62" s="15">
        <v>2028</v>
      </c>
      <c r="P62" s="15">
        <v>2024</v>
      </c>
      <c r="Q62" s="15"/>
      <c r="R62" s="16" t="s">
        <v>51</v>
      </c>
      <c r="S62" s="15"/>
      <c r="T62" s="15"/>
      <c r="U62" s="15"/>
      <c r="V62" s="15"/>
      <c r="W62" s="15"/>
    </row>
    <row r="63" spans="1:23" s="17" customFormat="1" ht="14.5" x14ac:dyDescent="0.35">
      <c r="A63" s="12">
        <v>62</v>
      </c>
      <c r="B63" s="13" t="s">
        <v>1111</v>
      </c>
      <c r="C63" s="14" t="s">
        <v>1112</v>
      </c>
      <c r="D63" s="26" t="str">
        <f t="shared" si="0"/>
        <v>Laki-Laki</v>
      </c>
      <c r="E63" s="13" t="s">
        <v>188</v>
      </c>
      <c r="F63" s="18" t="s">
        <v>672</v>
      </c>
      <c r="G63" s="13" t="s">
        <v>909</v>
      </c>
      <c r="H63" s="15" t="s">
        <v>1113</v>
      </c>
      <c r="I63" s="15" t="s">
        <v>90</v>
      </c>
      <c r="J63" s="12" t="s">
        <v>26</v>
      </c>
      <c r="K63" s="15" t="s">
        <v>394</v>
      </c>
      <c r="L63" s="15" t="s">
        <v>28</v>
      </c>
      <c r="M63" s="15">
        <v>2024</v>
      </c>
      <c r="N63" s="15" t="str">
        <f t="shared" si="3"/>
        <v>September</v>
      </c>
      <c r="O63" s="15">
        <v>2026</v>
      </c>
      <c r="P63" s="15">
        <v>2024</v>
      </c>
      <c r="Q63" s="15"/>
      <c r="R63" s="16" t="s">
        <v>51</v>
      </c>
      <c r="S63" s="15"/>
      <c r="T63" s="15"/>
      <c r="U63" s="15"/>
      <c r="V63" s="15"/>
      <c r="W63" s="15"/>
    </row>
    <row r="64" spans="1:23" s="17" customFormat="1" ht="14.5" x14ac:dyDescent="0.35">
      <c r="A64" s="12">
        <v>63</v>
      </c>
      <c r="B64" s="13" t="s">
        <v>1114</v>
      </c>
      <c r="C64" s="14" t="s">
        <v>1115</v>
      </c>
      <c r="D64" s="26" t="str">
        <f t="shared" si="0"/>
        <v>Laki-Laki</v>
      </c>
      <c r="E64" s="13" t="s">
        <v>152</v>
      </c>
      <c r="F64" s="18" t="s">
        <v>142</v>
      </c>
      <c r="G64" s="13" t="s">
        <v>909</v>
      </c>
      <c r="H64" s="15" t="s">
        <v>1107</v>
      </c>
      <c r="I64" s="15" t="s">
        <v>90</v>
      </c>
      <c r="J64" s="20" t="s">
        <v>45</v>
      </c>
      <c r="K64" s="15" t="s">
        <v>95</v>
      </c>
      <c r="L64" s="15" t="s">
        <v>169</v>
      </c>
      <c r="M64" s="15">
        <v>2024</v>
      </c>
      <c r="N64" s="15" t="str">
        <f t="shared" si="3"/>
        <v>Oktober</v>
      </c>
      <c r="O64" s="15">
        <v>2028</v>
      </c>
      <c r="P64" s="15">
        <v>2024</v>
      </c>
      <c r="Q64" s="15"/>
      <c r="R64" s="16" t="s">
        <v>51</v>
      </c>
      <c r="S64" s="15"/>
      <c r="T64" s="15"/>
      <c r="U64" s="15"/>
      <c r="V64" s="15"/>
      <c r="W64" s="15"/>
    </row>
    <row r="65" spans="1:23" s="17" customFormat="1" ht="14.5" x14ac:dyDescent="0.35">
      <c r="A65" s="12">
        <v>64</v>
      </c>
      <c r="B65" s="13" t="s">
        <v>1116</v>
      </c>
      <c r="C65" s="14" t="s">
        <v>1117</v>
      </c>
      <c r="D65" s="26" t="str">
        <f t="shared" si="0"/>
        <v>Laki-Laki</v>
      </c>
      <c r="E65" s="13" t="s">
        <v>188</v>
      </c>
      <c r="F65" s="18" t="s">
        <v>189</v>
      </c>
      <c r="G65" s="13" t="s">
        <v>909</v>
      </c>
      <c r="H65" s="15" t="s">
        <v>1101</v>
      </c>
      <c r="I65" s="15" t="s">
        <v>549</v>
      </c>
      <c r="J65" s="12" t="s">
        <v>26</v>
      </c>
      <c r="K65" s="15" t="s">
        <v>234</v>
      </c>
      <c r="L65" s="15"/>
      <c r="M65" s="15">
        <v>2024</v>
      </c>
      <c r="N65" s="15">
        <f t="shared" si="3"/>
        <v>0</v>
      </c>
      <c r="O65" s="15">
        <v>2026</v>
      </c>
      <c r="P65" s="15">
        <v>2024</v>
      </c>
      <c r="Q65" s="15"/>
      <c r="R65" s="16" t="s">
        <v>51</v>
      </c>
      <c r="S65" s="15"/>
      <c r="T65" s="15"/>
      <c r="U65" s="15"/>
      <c r="V65" s="15"/>
      <c r="W65" s="15"/>
    </row>
    <row r="66" spans="1:23" s="17" customFormat="1" ht="14.5" x14ac:dyDescent="0.35">
      <c r="A66" s="12">
        <v>65</v>
      </c>
      <c r="B66" s="13" t="s">
        <v>1118</v>
      </c>
      <c r="C66" s="14" t="s">
        <v>1119</v>
      </c>
      <c r="D66" s="26" t="str">
        <f t="shared" ref="D66:D115" si="4">IF(MID(C66,15,1)="1","Laki-Laki","Perempuan")</f>
        <v>Laki-Laki</v>
      </c>
      <c r="E66" s="13" t="s">
        <v>188</v>
      </c>
      <c r="F66" s="18" t="s">
        <v>672</v>
      </c>
      <c r="G66" s="13" t="s">
        <v>909</v>
      </c>
      <c r="H66" s="15" t="s">
        <v>1120</v>
      </c>
      <c r="I66" s="15" t="s">
        <v>1121</v>
      </c>
      <c r="J66" s="12" t="s">
        <v>26</v>
      </c>
      <c r="K66" s="15" t="s">
        <v>394</v>
      </c>
      <c r="L66" s="15" t="s">
        <v>28</v>
      </c>
      <c r="M66" s="15">
        <v>2024</v>
      </c>
      <c r="N66" s="15" t="str">
        <f t="shared" si="3"/>
        <v>September</v>
      </c>
      <c r="O66" s="15">
        <v>2026</v>
      </c>
      <c r="P66" s="15">
        <v>2024</v>
      </c>
      <c r="Q66" s="15"/>
      <c r="R66" s="16" t="s">
        <v>51</v>
      </c>
      <c r="S66" s="15"/>
      <c r="T66" s="15"/>
      <c r="U66" s="15"/>
      <c r="V66" s="15"/>
      <c r="W66" s="15"/>
    </row>
    <row r="67" spans="1:23" s="17" customFormat="1" ht="14.5" x14ac:dyDescent="0.35">
      <c r="A67" s="12">
        <v>66</v>
      </c>
      <c r="B67" s="13" t="s">
        <v>1122</v>
      </c>
      <c r="C67" s="14" t="s">
        <v>1123</v>
      </c>
      <c r="D67" s="26" t="str">
        <f t="shared" si="4"/>
        <v>Perempuan</v>
      </c>
      <c r="E67" s="13" t="s">
        <v>903</v>
      </c>
      <c r="F67" s="18" t="s">
        <v>99</v>
      </c>
      <c r="G67" s="13" t="s">
        <v>909</v>
      </c>
      <c r="H67" s="15" t="s">
        <v>1101</v>
      </c>
      <c r="I67" s="15" t="s">
        <v>90</v>
      </c>
      <c r="J67" s="20" t="s">
        <v>45</v>
      </c>
      <c r="K67" s="15" t="s">
        <v>40</v>
      </c>
      <c r="L67" s="15" t="s">
        <v>28</v>
      </c>
      <c r="M67" s="15">
        <v>2024</v>
      </c>
      <c r="N67" s="15" t="str">
        <f t="shared" si="3"/>
        <v>September</v>
      </c>
      <c r="O67" s="15">
        <v>2028</v>
      </c>
      <c r="P67" s="15">
        <v>2024</v>
      </c>
      <c r="Q67" s="15"/>
      <c r="R67" s="16" t="s">
        <v>51</v>
      </c>
      <c r="S67" s="15"/>
      <c r="T67" s="15"/>
      <c r="U67" s="15"/>
      <c r="V67" s="15"/>
      <c r="W67" s="15"/>
    </row>
    <row r="68" spans="1:23" s="17" customFormat="1" ht="28" x14ac:dyDescent="0.35">
      <c r="A68" s="12">
        <v>67</v>
      </c>
      <c r="B68" s="13" t="s">
        <v>1124</v>
      </c>
      <c r="C68" s="14" t="s">
        <v>1125</v>
      </c>
      <c r="D68" s="26" t="str">
        <f t="shared" si="4"/>
        <v>Laki-Laki</v>
      </c>
      <c r="E68" s="13" t="s">
        <v>215</v>
      </c>
      <c r="F68" s="18" t="s">
        <v>1126</v>
      </c>
      <c r="G68" s="13" t="s">
        <v>909</v>
      </c>
      <c r="H68" s="15" t="s">
        <v>1101</v>
      </c>
      <c r="I68" s="15" t="s">
        <v>1108</v>
      </c>
      <c r="J68" s="12" t="s">
        <v>26</v>
      </c>
      <c r="K68" s="15" t="s">
        <v>57</v>
      </c>
      <c r="L68" s="74" t="s">
        <v>60</v>
      </c>
      <c r="M68" s="15">
        <v>2024</v>
      </c>
      <c r="N68" s="15" t="str">
        <f t="shared" si="3"/>
        <v>Agustus</v>
      </c>
      <c r="O68" s="15">
        <v>2026</v>
      </c>
      <c r="P68" s="15">
        <v>2024</v>
      </c>
      <c r="Q68" s="15"/>
      <c r="R68" s="16" t="s">
        <v>51</v>
      </c>
      <c r="S68" s="15"/>
      <c r="T68" s="15"/>
      <c r="U68" s="15"/>
      <c r="V68" s="15"/>
      <c r="W68" s="15"/>
    </row>
    <row r="69" spans="1:23" s="17" customFormat="1" ht="14.5" x14ac:dyDescent="0.35">
      <c r="A69" s="12">
        <v>68</v>
      </c>
      <c r="B69" s="13" t="s">
        <v>1127</v>
      </c>
      <c r="C69" s="14" t="s">
        <v>1128</v>
      </c>
      <c r="D69" s="26" t="str">
        <f t="shared" si="4"/>
        <v>Perempuan</v>
      </c>
      <c r="E69" s="13" t="s">
        <v>188</v>
      </c>
      <c r="F69" s="18" t="s">
        <v>548</v>
      </c>
      <c r="G69" s="13" t="s">
        <v>909</v>
      </c>
      <c r="H69" s="15" t="s">
        <v>1101</v>
      </c>
      <c r="I69" s="15" t="s">
        <v>1129</v>
      </c>
      <c r="J69" s="12" t="s">
        <v>26</v>
      </c>
      <c r="K69" s="15" t="s">
        <v>46</v>
      </c>
      <c r="L69" s="15" t="s">
        <v>28</v>
      </c>
      <c r="M69" s="15">
        <v>2024</v>
      </c>
      <c r="N69" s="15" t="str">
        <f t="shared" si="3"/>
        <v>September</v>
      </c>
      <c r="O69" s="15">
        <v>2026</v>
      </c>
      <c r="P69" s="15">
        <v>2024</v>
      </c>
      <c r="Q69" s="15"/>
      <c r="R69" s="16" t="s">
        <v>51</v>
      </c>
      <c r="S69" s="15"/>
      <c r="T69" s="15"/>
      <c r="U69" s="15"/>
      <c r="V69" s="15"/>
      <c r="W69" s="15"/>
    </row>
    <row r="70" spans="1:23" s="17" customFormat="1" ht="14.5" x14ac:dyDescent="0.35">
      <c r="A70" s="12">
        <v>69</v>
      </c>
      <c r="B70" s="13" t="s">
        <v>1130</v>
      </c>
      <c r="C70" s="14" t="s">
        <v>1131</v>
      </c>
      <c r="D70" s="26" t="str">
        <f t="shared" si="4"/>
        <v>Perempuan</v>
      </c>
      <c r="E70" s="13" t="s">
        <v>554</v>
      </c>
      <c r="F70" s="18" t="s">
        <v>843</v>
      </c>
      <c r="G70" s="13" t="s">
        <v>909</v>
      </c>
      <c r="H70" s="15" t="s">
        <v>1101</v>
      </c>
      <c r="I70" s="15" t="s">
        <v>256</v>
      </c>
      <c r="J70" s="12" t="s">
        <v>242</v>
      </c>
      <c r="K70" s="15" t="s">
        <v>257</v>
      </c>
      <c r="L70" s="15" t="s">
        <v>60</v>
      </c>
      <c r="M70" s="15">
        <v>2024</v>
      </c>
      <c r="N70" s="15" t="str">
        <f t="shared" si="3"/>
        <v>Agustus</v>
      </c>
      <c r="O70" s="15">
        <v>2027</v>
      </c>
      <c r="P70" s="15">
        <v>2024</v>
      </c>
      <c r="Q70" s="15"/>
      <c r="R70" s="16" t="s">
        <v>51</v>
      </c>
      <c r="S70" s="15"/>
      <c r="T70" s="15"/>
      <c r="U70" s="15"/>
      <c r="V70" s="15"/>
      <c r="W70" s="15"/>
    </row>
    <row r="71" spans="1:23" s="17" customFormat="1" ht="14.5" x14ac:dyDescent="0.35">
      <c r="A71" s="12">
        <v>70</v>
      </c>
      <c r="B71" s="13" t="s">
        <v>1132</v>
      </c>
      <c r="C71" s="14" t="s">
        <v>1133</v>
      </c>
      <c r="D71" s="26" t="str">
        <f t="shared" si="4"/>
        <v>Perempuan</v>
      </c>
      <c r="E71" s="13" t="s">
        <v>188</v>
      </c>
      <c r="F71" s="18" t="s">
        <v>1134</v>
      </c>
      <c r="G71" s="13" t="s">
        <v>909</v>
      </c>
      <c r="H71" s="15" t="s">
        <v>1101</v>
      </c>
      <c r="I71" s="15" t="s">
        <v>1135</v>
      </c>
      <c r="J71" s="12" t="s">
        <v>26</v>
      </c>
      <c r="K71" s="15" t="s">
        <v>221</v>
      </c>
      <c r="L71" s="15" t="s">
        <v>28</v>
      </c>
      <c r="M71" s="15">
        <v>2024</v>
      </c>
      <c r="N71" s="15" t="str">
        <f t="shared" si="3"/>
        <v>September</v>
      </c>
      <c r="O71" s="15">
        <v>2026</v>
      </c>
      <c r="P71" s="15">
        <v>2024</v>
      </c>
      <c r="Q71" s="15"/>
      <c r="R71" s="16" t="s">
        <v>51</v>
      </c>
      <c r="S71" s="15"/>
      <c r="T71" s="15"/>
      <c r="U71" s="15"/>
      <c r="V71" s="15"/>
      <c r="W71" s="15"/>
    </row>
    <row r="72" spans="1:23" s="17" customFormat="1" ht="14.5" x14ac:dyDescent="0.35">
      <c r="A72" s="12">
        <v>71</v>
      </c>
      <c r="B72" s="25" t="s">
        <v>1136</v>
      </c>
      <c r="C72" s="26" t="s">
        <v>1137</v>
      </c>
      <c r="D72" s="26" t="str">
        <f t="shared" si="4"/>
        <v>Laki-Laki</v>
      </c>
      <c r="E72" s="25" t="s">
        <v>903</v>
      </c>
      <c r="F72" s="25" t="s">
        <v>1138</v>
      </c>
      <c r="G72" s="25" t="s">
        <v>909</v>
      </c>
      <c r="H72" s="19" t="s">
        <v>1113</v>
      </c>
      <c r="I72" s="28" t="s">
        <v>90</v>
      </c>
      <c r="J72" s="32" t="s">
        <v>180</v>
      </c>
      <c r="K72" s="32" t="s">
        <v>905</v>
      </c>
      <c r="L72" s="47" t="s">
        <v>169</v>
      </c>
      <c r="M72" s="12">
        <v>2024</v>
      </c>
      <c r="N72" s="15" t="str">
        <f t="shared" si="3"/>
        <v>Oktober</v>
      </c>
      <c r="O72" s="15">
        <v>2028</v>
      </c>
      <c r="P72" s="15">
        <v>2025</v>
      </c>
      <c r="Q72" s="15"/>
      <c r="R72" s="16" t="s">
        <v>51</v>
      </c>
      <c r="S72" s="15"/>
      <c r="T72" s="15"/>
      <c r="U72" s="15"/>
      <c r="V72" s="15"/>
      <c r="W72" s="15"/>
    </row>
    <row r="73" spans="1:23" s="17" customFormat="1" ht="14.5" x14ac:dyDescent="0.35">
      <c r="A73" s="12">
        <v>72</v>
      </c>
      <c r="B73" s="25" t="s">
        <v>1139</v>
      </c>
      <c r="C73" s="26" t="s">
        <v>1140</v>
      </c>
      <c r="D73" s="26" t="str">
        <f t="shared" si="4"/>
        <v>Laki-Laki</v>
      </c>
      <c r="E73" s="25" t="s">
        <v>172</v>
      </c>
      <c r="F73" s="25" t="s">
        <v>1141</v>
      </c>
      <c r="G73" s="25" t="s">
        <v>909</v>
      </c>
      <c r="H73" s="19" t="s">
        <v>1113</v>
      </c>
      <c r="I73" s="28" t="s">
        <v>90</v>
      </c>
      <c r="J73" s="32" t="s">
        <v>180</v>
      </c>
      <c r="K73" s="32" t="s">
        <v>905</v>
      </c>
      <c r="L73" s="47" t="s">
        <v>28</v>
      </c>
      <c r="M73" s="12">
        <v>2024</v>
      </c>
      <c r="N73" s="15" t="str">
        <f t="shared" si="3"/>
        <v>September</v>
      </c>
      <c r="O73" s="15">
        <v>2028</v>
      </c>
      <c r="P73" s="15">
        <v>2025</v>
      </c>
      <c r="Q73" s="15"/>
      <c r="R73" s="16" t="s">
        <v>51</v>
      </c>
      <c r="S73" s="15"/>
      <c r="T73" s="15"/>
      <c r="U73" s="15"/>
      <c r="V73" s="15"/>
      <c r="W73" s="15"/>
    </row>
    <row r="74" spans="1:23" s="17" customFormat="1" ht="14.5" x14ac:dyDescent="0.35">
      <c r="A74" s="12">
        <v>73</v>
      </c>
      <c r="B74" s="25" t="s">
        <v>1142</v>
      </c>
      <c r="C74" s="26" t="s">
        <v>1143</v>
      </c>
      <c r="D74" s="26" t="str">
        <f t="shared" si="4"/>
        <v>Laki-Laki</v>
      </c>
      <c r="E74" s="25" t="s">
        <v>172</v>
      </c>
      <c r="F74" s="25" t="s">
        <v>1144</v>
      </c>
      <c r="G74" s="25" t="s">
        <v>909</v>
      </c>
      <c r="H74" s="19" t="s">
        <v>1113</v>
      </c>
      <c r="I74" s="28" t="s">
        <v>90</v>
      </c>
      <c r="J74" s="32" t="s">
        <v>180</v>
      </c>
      <c r="K74" s="32" t="s">
        <v>905</v>
      </c>
      <c r="L74" s="47" t="s">
        <v>72</v>
      </c>
      <c r="M74" s="12">
        <v>2024</v>
      </c>
      <c r="N74" s="15" t="str">
        <f t="shared" si="3"/>
        <v>Februari</v>
      </c>
      <c r="O74" s="15">
        <v>2028</v>
      </c>
      <c r="P74" s="15">
        <v>2025</v>
      </c>
      <c r="Q74" s="15"/>
      <c r="R74" s="16" t="s">
        <v>51</v>
      </c>
      <c r="S74" s="15"/>
      <c r="T74" s="15"/>
      <c r="U74" s="15"/>
      <c r="V74" s="15"/>
      <c r="W74" s="15"/>
    </row>
    <row r="75" spans="1:23" s="17" customFormat="1" ht="14.5" x14ac:dyDescent="0.35">
      <c r="A75" s="12">
        <v>74</v>
      </c>
      <c r="B75" s="25" t="s">
        <v>1145</v>
      </c>
      <c r="C75" s="26" t="s">
        <v>1146</v>
      </c>
      <c r="D75" s="26" t="str">
        <f t="shared" si="4"/>
        <v>Laki-Laki</v>
      </c>
      <c r="E75" s="25" t="s">
        <v>172</v>
      </c>
      <c r="F75" s="25" t="s">
        <v>1147</v>
      </c>
      <c r="G75" s="25" t="s">
        <v>909</v>
      </c>
      <c r="H75" s="19" t="s">
        <v>1113</v>
      </c>
      <c r="I75" s="28" t="s">
        <v>90</v>
      </c>
      <c r="J75" s="32" t="s">
        <v>180</v>
      </c>
      <c r="K75" s="32" t="s">
        <v>905</v>
      </c>
      <c r="L75" s="47" t="s">
        <v>890</v>
      </c>
      <c r="M75" s="12">
        <v>2024</v>
      </c>
      <c r="N75" s="15" t="str">
        <f t="shared" si="3"/>
        <v>Januari</v>
      </c>
      <c r="O75" s="15">
        <v>2028</v>
      </c>
      <c r="P75" s="15">
        <v>2025</v>
      </c>
      <c r="Q75" s="15"/>
      <c r="R75" s="16" t="s">
        <v>51</v>
      </c>
      <c r="S75" s="15"/>
      <c r="T75" s="15"/>
      <c r="U75" s="15"/>
      <c r="V75" s="15"/>
      <c r="W75" s="15"/>
    </row>
    <row r="76" spans="1:23" s="17" customFormat="1" ht="14.5" x14ac:dyDescent="0.35">
      <c r="A76" s="12">
        <v>75</v>
      </c>
      <c r="B76" s="25" t="s">
        <v>1148</v>
      </c>
      <c r="C76" s="26" t="s">
        <v>1149</v>
      </c>
      <c r="D76" s="26" t="str">
        <f t="shared" si="4"/>
        <v>Laki-Laki</v>
      </c>
      <c r="E76" s="25" t="s">
        <v>172</v>
      </c>
      <c r="F76" s="25" t="s">
        <v>1150</v>
      </c>
      <c r="G76" s="25" t="s">
        <v>909</v>
      </c>
      <c r="H76" s="19" t="s">
        <v>1113</v>
      </c>
      <c r="I76" s="28" t="s">
        <v>90</v>
      </c>
      <c r="J76" s="32" t="s">
        <v>180</v>
      </c>
      <c r="K76" s="32" t="s">
        <v>905</v>
      </c>
      <c r="L76" s="47" t="s">
        <v>28</v>
      </c>
      <c r="M76" s="12">
        <v>2024</v>
      </c>
      <c r="N76" s="15" t="str">
        <f t="shared" si="3"/>
        <v>September</v>
      </c>
      <c r="O76" s="15">
        <v>2028</v>
      </c>
      <c r="P76" s="15">
        <v>2025</v>
      </c>
      <c r="Q76" s="15"/>
      <c r="R76" s="16" t="s">
        <v>51</v>
      </c>
      <c r="S76" s="15"/>
      <c r="T76" s="15"/>
      <c r="U76" s="15"/>
      <c r="V76" s="15"/>
      <c r="W76" s="15"/>
    </row>
    <row r="77" spans="1:23" s="17" customFormat="1" ht="14.5" x14ac:dyDescent="0.35">
      <c r="A77" s="12">
        <v>76</v>
      </c>
      <c r="B77" s="25" t="s">
        <v>1151</v>
      </c>
      <c r="C77" s="26" t="s">
        <v>1152</v>
      </c>
      <c r="D77" s="26" t="str">
        <f t="shared" si="4"/>
        <v>Laki-Laki</v>
      </c>
      <c r="E77" s="25" t="s">
        <v>172</v>
      </c>
      <c r="F77" s="25" t="s">
        <v>1153</v>
      </c>
      <c r="G77" s="25" t="s">
        <v>909</v>
      </c>
      <c r="H77" s="19" t="s">
        <v>1113</v>
      </c>
      <c r="I77" s="28" t="s">
        <v>90</v>
      </c>
      <c r="J77" s="32" t="s">
        <v>180</v>
      </c>
      <c r="K77" s="32" t="s">
        <v>905</v>
      </c>
      <c r="L77" s="47" t="s">
        <v>169</v>
      </c>
      <c r="M77" s="12">
        <v>2024</v>
      </c>
      <c r="N77" s="15" t="str">
        <f t="shared" si="3"/>
        <v>Oktober</v>
      </c>
      <c r="O77" s="15">
        <v>2028</v>
      </c>
      <c r="P77" s="15">
        <v>2025</v>
      </c>
      <c r="Q77" s="15"/>
      <c r="R77" s="16" t="s">
        <v>51</v>
      </c>
      <c r="S77" s="15"/>
      <c r="T77" s="15"/>
      <c r="U77" s="15"/>
      <c r="V77" s="15"/>
      <c r="W77" s="15"/>
    </row>
    <row r="78" spans="1:23" s="17" customFormat="1" ht="14.5" x14ac:dyDescent="0.35">
      <c r="A78" s="12">
        <v>77</v>
      </c>
      <c r="B78" s="25" t="s">
        <v>1154</v>
      </c>
      <c r="C78" s="26" t="s">
        <v>1155</v>
      </c>
      <c r="D78" s="26" t="str">
        <f t="shared" si="4"/>
        <v>Laki-Laki</v>
      </c>
      <c r="E78" s="25" t="s">
        <v>903</v>
      </c>
      <c r="F78" s="25" t="s">
        <v>1147</v>
      </c>
      <c r="G78" s="25" t="s">
        <v>909</v>
      </c>
      <c r="H78" s="19" t="s">
        <v>1113</v>
      </c>
      <c r="I78" s="28" t="s">
        <v>90</v>
      </c>
      <c r="J78" s="32" t="s">
        <v>180</v>
      </c>
      <c r="K78" s="32" t="s">
        <v>221</v>
      </c>
      <c r="L78" s="47" t="s">
        <v>28</v>
      </c>
      <c r="M78" s="12">
        <v>2024</v>
      </c>
      <c r="N78" s="15" t="str">
        <f t="shared" si="3"/>
        <v>September</v>
      </c>
      <c r="O78" s="15">
        <v>2028</v>
      </c>
      <c r="P78" s="15">
        <v>2025</v>
      </c>
      <c r="Q78" s="15"/>
      <c r="R78" s="16" t="s">
        <v>51</v>
      </c>
      <c r="S78" s="15"/>
      <c r="T78" s="15"/>
      <c r="U78" s="15"/>
      <c r="V78" s="15"/>
      <c r="W78" s="15"/>
    </row>
    <row r="79" spans="1:23" s="17" customFormat="1" ht="14.5" x14ac:dyDescent="0.35">
      <c r="A79" s="12">
        <v>78</v>
      </c>
      <c r="B79" s="25" t="s">
        <v>1156</v>
      </c>
      <c r="C79" s="26" t="s">
        <v>1157</v>
      </c>
      <c r="D79" s="26" t="str">
        <f t="shared" si="4"/>
        <v>Laki-Laki</v>
      </c>
      <c r="E79" s="25" t="s">
        <v>172</v>
      </c>
      <c r="F79" s="25" t="s">
        <v>1147</v>
      </c>
      <c r="G79" s="25" t="s">
        <v>909</v>
      </c>
      <c r="H79" s="19" t="s">
        <v>1113</v>
      </c>
      <c r="I79" s="28" t="s">
        <v>90</v>
      </c>
      <c r="J79" s="32" t="s">
        <v>180</v>
      </c>
      <c r="K79" s="32" t="s">
        <v>221</v>
      </c>
      <c r="L79" s="47" t="s">
        <v>113</v>
      </c>
      <c r="M79" s="12">
        <v>2024</v>
      </c>
      <c r="N79" s="15" t="str">
        <f t="shared" si="3"/>
        <v>April</v>
      </c>
      <c r="O79" s="15">
        <v>2028</v>
      </c>
      <c r="P79" s="15">
        <v>2025</v>
      </c>
      <c r="Q79" s="15"/>
      <c r="R79" s="16" t="s">
        <v>51</v>
      </c>
      <c r="S79" s="15"/>
      <c r="T79" s="15"/>
      <c r="U79" s="15"/>
      <c r="V79" s="15"/>
      <c r="W79" s="15"/>
    </row>
    <row r="80" spans="1:23" s="17" customFormat="1" ht="14.5" x14ac:dyDescent="0.35">
      <c r="A80" s="12">
        <v>79</v>
      </c>
      <c r="B80" s="25" t="s">
        <v>1158</v>
      </c>
      <c r="C80" s="26" t="s">
        <v>1159</v>
      </c>
      <c r="D80" s="26" t="str">
        <f t="shared" si="4"/>
        <v>Laki-Laki</v>
      </c>
      <c r="E80" s="25" t="s">
        <v>152</v>
      </c>
      <c r="F80" s="25" t="s">
        <v>1160</v>
      </c>
      <c r="G80" s="25" t="s">
        <v>909</v>
      </c>
      <c r="H80" s="19" t="s">
        <v>1113</v>
      </c>
      <c r="I80" s="28" t="s">
        <v>90</v>
      </c>
      <c r="J80" s="32" t="s">
        <v>180</v>
      </c>
      <c r="K80" s="32" t="s">
        <v>905</v>
      </c>
      <c r="L80" s="47" t="s">
        <v>169</v>
      </c>
      <c r="M80" s="12">
        <v>2024</v>
      </c>
      <c r="N80" s="15" t="str">
        <f t="shared" si="3"/>
        <v>Oktober</v>
      </c>
      <c r="O80" s="15">
        <v>2028</v>
      </c>
      <c r="P80" s="15">
        <v>2025</v>
      </c>
      <c r="Q80" s="15"/>
      <c r="R80" s="16" t="s">
        <v>51</v>
      </c>
      <c r="S80" s="15"/>
      <c r="T80" s="15"/>
      <c r="U80" s="15"/>
      <c r="V80" s="15"/>
      <c r="W80" s="15"/>
    </row>
    <row r="81" spans="1:23" s="17" customFormat="1" ht="14.5" x14ac:dyDescent="0.35">
      <c r="A81" s="12">
        <v>80</v>
      </c>
      <c r="B81" s="25" t="s">
        <v>1161</v>
      </c>
      <c r="C81" s="26" t="s">
        <v>1162</v>
      </c>
      <c r="D81" s="26" t="str">
        <f t="shared" si="4"/>
        <v>Laki-Laki</v>
      </c>
      <c r="E81" s="25" t="s">
        <v>172</v>
      </c>
      <c r="F81" s="25" t="s">
        <v>1163</v>
      </c>
      <c r="G81" s="25" t="s">
        <v>909</v>
      </c>
      <c r="H81" s="19" t="s">
        <v>1113</v>
      </c>
      <c r="I81" s="28" t="s">
        <v>90</v>
      </c>
      <c r="J81" s="32" t="s">
        <v>180</v>
      </c>
      <c r="K81" s="32" t="s">
        <v>905</v>
      </c>
      <c r="L81" s="47" t="s">
        <v>169</v>
      </c>
      <c r="M81" s="12">
        <v>2024</v>
      </c>
      <c r="N81" s="15" t="str">
        <f t="shared" si="3"/>
        <v>Oktober</v>
      </c>
      <c r="O81" s="15">
        <v>2028</v>
      </c>
      <c r="P81" s="15">
        <v>2025</v>
      </c>
      <c r="Q81" s="15"/>
      <c r="R81" s="16" t="s">
        <v>51</v>
      </c>
      <c r="S81" s="15"/>
      <c r="T81" s="15"/>
      <c r="U81" s="15"/>
      <c r="V81" s="15"/>
      <c r="W81" s="15"/>
    </row>
    <row r="82" spans="1:23" s="17" customFormat="1" ht="28" x14ac:dyDescent="0.35">
      <c r="A82" s="12">
        <v>81</v>
      </c>
      <c r="B82" s="25" t="s">
        <v>1164</v>
      </c>
      <c r="C82" s="26" t="s">
        <v>1165</v>
      </c>
      <c r="D82" s="26" t="str">
        <f t="shared" si="4"/>
        <v>Perempuan</v>
      </c>
      <c r="E82" s="25" t="s">
        <v>188</v>
      </c>
      <c r="F82" s="25" t="s">
        <v>672</v>
      </c>
      <c r="G82" s="25" t="s">
        <v>909</v>
      </c>
      <c r="H82" s="19" t="s">
        <v>1166</v>
      </c>
      <c r="I82" s="28" t="s">
        <v>1167</v>
      </c>
      <c r="J82" s="32" t="s">
        <v>190</v>
      </c>
      <c r="K82" s="32" t="s">
        <v>221</v>
      </c>
      <c r="L82" s="47" t="s">
        <v>28</v>
      </c>
      <c r="M82" s="12">
        <v>2024</v>
      </c>
      <c r="N82" s="15" t="str">
        <f t="shared" si="3"/>
        <v>September</v>
      </c>
      <c r="O82" s="15">
        <v>2026</v>
      </c>
      <c r="P82" s="15">
        <v>2025</v>
      </c>
      <c r="Q82" s="15"/>
      <c r="R82" s="16" t="s">
        <v>51</v>
      </c>
      <c r="S82" s="15"/>
      <c r="T82" s="15"/>
      <c r="U82" s="15"/>
      <c r="V82" s="15"/>
      <c r="W82" s="15"/>
    </row>
    <row r="83" spans="1:23" s="17" customFormat="1" ht="28" x14ac:dyDescent="0.35">
      <c r="A83" s="12">
        <v>82</v>
      </c>
      <c r="B83" s="25" t="s">
        <v>1168</v>
      </c>
      <c r="C83" s="26" t="s">
        <v>1169</v>
      </c>
      <c r="D83" s="26" t="str">
        <f t="shared" si="4"/>
        <v>Laki-Laki</v>
      </c>
      <c r="E83" s="25" t="s">
        <v>583</v>
      </c>
      <c r="F83" s="25" t="s">
        <v>1170</v>
      </c>
      <c r="G83" s="25" t="s">
        <v>909</v>
      </c>
      <c r="H83" s="19" t="s">
        <v>1171</v>
      </c>
      <c r="I83" s="28" t="s">
        <v>256</v>
      </c>
      <c r="J83" s="32" t="s">
        <v>509</v>
      </c>
      <c r="K83" s="32" t="s">
        <v>1172</v>
      </c>
      <c r="L83" s="47" t="s">
        <v>614</v>
      </c>
      <c r="M83" s="12">
        <v>2024</v>
      </c>
      <c r="N83" s="15" t="str">
        <f t="shared" si="3"/>
        <v>Juni</v>
      </c>
      <c r="O83" s="15">
        <v>2027</v>
      </c>
      <c r="P83" s="15">
        <v>2025</v>
      </c>
      <c r="Q83" s="15"/>
      <c r="R83" s="16" t="s">
        <v>51</v>
      </c>
      <c r="S83" s="15"/>
      <c r="T83" s="15"/>
      <c r="U83" s="15"/>
      <c r="V83" s="15"/>
      <c r="W83" s="15"/>
    </row>
    <row r="84" spans="1:23" s="17" customFormat="1" ht="14.5" x14ac:dyDescent="0.35">
      <c r="A84" s="12">
        <v>83</v>
      </c>
      <c r="B84" s="25" t="s">
        <v>1173</v>
      </c>
      <c r="C84" s="26" t="s">
        <v>1174</v>
      </c>
      <c r="D84" s="26" t="str">
        <f t="shared" si="4"/>
        <v>Laki-Laki</v>
      </c>
      <c r="E84" s="25" t="s">
        <v>903</v>
      </c>
      <c r="F84" s="25" t="s">
        <v>1175</v>
      </c>
      <c r="G84" s="25" t="s">
        <v>909</v>
      </c>
      <c r="H84" s="19" t="s">
        <v>925</v>
      </c>
      <c r="I84" s="28" t="s">
        <v>90</v>
      </c>
      <c r="J84" s="32" t="s">
        <v>180</v>
      </c>
      <c r="K84" s="32" t="s">
        <v>905</v>
      </c>
      <c r="L84" s="47" t="s">
        <v>28</v>
      </c>
      <c r="M84" s="12">
        <v>2024</v>
      </c>
      <c r="N84" s="15" t="str">
        <f>L84</f>
        <v>September</v>
      </c>
      <c r="O84" s="15">
        <v>2028</v>
      </c>
      <c r="P84" s="15">
        <v>2025</v>
      </c>
      <c r="Q84" s="15"/>
      <c r="R84" s="16" t="s">
        <v>51</v>
      </c>
      <c r="S84" s="15"/>
      <c r="T84" s="15"/>
      <c r="U84" s="15"/>
      <c r="V84" s="15"/>
      <c r="W84" s="15"/>
    </row>
    <row r="85" spans="1:23" s="17" customFormat="1" ht="14.5" x14ac:dyDescent="0.35">
      <c r="A85" s="12">
        <v>84</v>
      </c>
      <c r="B85" s="25" t="s">
        <v>1176</v>
      </c>
      <c r="C85" s="26" t="s">
        <v>1177</v>
      </c>
      <c r="D85" s="26" t="str">
        <f t="shared" si="4"/>
        <v>Laki-Laki</v>
      </c>
      <c r="E85" s="25" t="s">
        <v>152</v>
      </c>
      <c r="F85" s="25" t="s">
        <v>1088</v>
      </c>
      <c r="G85" s="25" t="s">
        <v>909</v>
      </c>
      <c r="H85" s="19" t="s">
        <v>925</v>
      </c>
      <c r="I85" s="28" t="s">
        <v>90</v>
      </c>
      <c r="J85" s="32" t="s">
        <v>180</v>
      </c>
      <c r="K85" s="32" t="s">
        <v>221</v>
      </c>
      <c r="L85" s="47" t="s">
        <v>28</v>
      </c>
      <c r="M85" s="12">
        <v>2024</v>
      </c>
      <c r="N85" s="15" t="str">
        <f t="shared" ref="N85:N124" si="5">L85</f>
        <v>September</v>
      </c>
      <c r="O85" s="15">
        <v>2028</v>
      </c>
      <c r="P85" s="15">
        <v>2025</v>
      </c>
      <c r="Q85" s="15"/>
      <c r="R85" s="16" t="s">
        <v>51</v>
      </c>
      <c r="S85" s="15"/>
      <c r="T85" s="15"/>
      <c r="U85" s="15"/>
      <c r="V85" s="15"/>
      <c r="W85" s="15"/>
    </row>
    <row r="86" spans="1:23" s="17" customFormat="1" ht="14.5" x14ac:dyDescent="0.35">
      <c r="A86" s="12">
        <v>85</v>
      </c>
      <c r="B86" s="25" t="s">
        <v>1178</v>
      </c>
      <c r="C86" s="26" t="s">
        <v>1179</v>
      </c>
      <c r="D86" s="26" t="str">
        <f t="shared" si="4"/>
        <v>Laki-Laki</v>
      </c>
      <c r="E86" s="25" t="s">
        <v>188</v>
      </c>
      <c r="F86" s="25" t="s">
        <v>1180</v>
      </c>
      <c r="G86" s="25" t="s">
        <v>909</v>
      </c>
      <c r="H86" s="19" t="s">
        <v>925</v>
      </c>
      <c r="I86" s="28" t="s">
        <v>1181</v>
      </c>
      <c r="J86" s="32" t="s">
        <v>190</v>
      </c>
      <c r="K86" s="32" t="s">
        <v>1182</v>
      </c>
      <c r="L86" s="47" t="s">
        <v>35</v>
      </c>
      <c r="M86" s="12">
        <v>2024</v>
      </c>
      <c r="N86" s="15" t="str">
        <f t="shared" si="5"/>
        <v>Maret</v>
      </c>
      <c r="O86" s="15">
        <v>2026</v>
      </c>
      <c r="P86" s="15">
        <v>2025</v>
      </c>
      <c r="Q86" s="15"/>
      <c r="R86" s="16" t="s">
        <v>51</v>
      </c>
      <c r="S86" s="15"/>
      <c r="T86" s="15"/>
      <c r="U86" s="15"/>
      <c r="V86" s="15"/>
      <c r="W86" s="15"/>
    </row>
    <row r="87" spans="1:23" s="17" customFormat="1" ht="14.5" x14ac:dyDescent="0.35">
      <c r="A87" s="12">
        <v>86</v>
      </c>
      <c r="B87" s="25" t="s">
        <v>1183</v>
      </c>
      <c r="C87" s="26" t="s">
        <v>1184</v>
      </c>
      <c r="D87" s="26" t="str">
        <f t="shared" si="4"/>
        <v>Laki-Laki</v>
      </c>
      <c r="E87" s="25" t="s">
        <v>188</v>
      </c>
      <c r="F87" s="25" t="s">
        <v>1185</v>
      </c>
      <c r="G87" s="25" t="s">
        <v>909</v>
      </c>
      <c r="H87" s="19" t="s">
        <v>993</v>
      </c>
      <c r="I87" s="28" t="s">
        <v>1135</v>
      </c>
      <c r="J87" s="32" t="s">
        <v>190</v>
      </c>
      <c r="K87" s="32" t="s">
        <v>1182</v>
      </c>
      <c r="L87" s="47" t="s">
        <v>28</v>
      </c>
      <c r="M87" s="12">
        <v>2024</v>
      </c>
      <c r="N87" s="15" t="str">
        <f t="shared" si="5"/>
        <v>September</v>
      </c>
      <c r="O87" s="15">
        <v>2026</v>
      </c>
      <c r="P87" s="15">
        <v>2025</v>
      </c>
      <c r="Q87" s="15"/>
      <c r="R87" s="16" t="s">
        <v>51</v>
      </c>
      <c r="S87" s="15"/>
      <c r="T87" s="15"/>
      <c r="U87" s="15"/>
      <c r="V87" s="15"/>
      <c r="W87" s="15"/>
    </row>
    <row r="88" spans="1:23" s="17" customFormat="1" ht="14.5" x14ac:dyDescent="0.35">
      <c r="A88" s="12">
        <v>87</v>
      </c>
      <c r="B88" s="25" t="s">
        <v>1186</v>
      </c>
      <c r="C88" s="26" t="s">
        <v>1187</v>
      </c>
      <c r="D88" s="26" t="str">
        <f t="shared" si="4"/>
        <v>Laki-Laki</v>
      </c>
      <c r="E88" s="25" t="s">
        <v>215</v>
      </c>
      <c r="F88" s="25" t="s">
        <v>1188</v>
      </c>
      <c r="G88" s="25" t="s">
        <v>909</v>
      </c>
      <c r="H88" s="19" t="s">
        <v>993</v>
      </c>
      <c r="I88" s="28" t="s">
        <v>1135</v>
      </c>
      <c r="J88" s="32" t="s">
        <v>190</v>
      </c>
      <c r="K88" s="32" t="s">
        <v>1182</v>
      </c>
      <c r="L88" s="47" t="s">
        <v>28</v>
      </c>
      <c r="M88" s="12">
        <v>2024</v>
      </c>
      <c r="N88" s="15" t="str">
        <f t="shared" si="5"/>
        <v>September</v>
      </c>
      <c r="O88" s="15">
        <v>2026</v>
      </c>
      <c r="P88" s="15">
        <v>2025</v>
      </c>
      <c r="Q88" s="15"/>
      <c r="R88" s="16" t="s">
        <v>51</v>
      </c>
      <c r="S88" s="15"/>
      <c r="T88" s="15"/>
      <c r="U88" s="15"/>
      <c r="V88" s="15"/>
      <c r="W88" s="15"/>
    </row>
    <row r="89" spans="1:23" s="17" customFormat="1" ht="14.5" x14ac:dyDescent="0.35">
      <c r="A89" s="12">
        <v>88</v>
      </c>
      <c r="B89" s="25" t="s">
        <v>1189</v>
      </c>
      <c r="C89" s="26" t="s">
        <v>1190</v>
      </c>
      <c r="D89" s="26" t="str">
        <f t="shared" si="4"/>
        <v>Perempuan</v>
      </c>
      <c r="E89" s="25" t="s">
        <v>211</v>
      </c>
      <c r="F89" s="25" t="s">
        <v>874</v>
      </c>
      <c r="G89" s="25" t="s">
        <v>909</v>
      </c>
      <c r="H89" s="19" t="s">
        <v>993</v>
      </c>
      <c r="I89" s="28" t="s">
        <v>426</v>
      </c>
      <c r="J89" s="32" t="s">
        <v>190</v>
      </c>
      <c r="K89" s="32" t="s">
        <v>1191</v>
      </c>
      <c r="L89" s="47" t="s">
        <v>28</v>
      </c>
      <c r="M89" s="12">
        <v>2024</v>
      </c>
      <c r="N89" s="15" t="str">
        <f t="shared" si="5"/>
        <v>September</v>
      </c>
      <c r="O89" s="15">
        <v>2026</v>
      </c>
      <c r="P89" s="15">
        <v>2025</v>
      </c>
      <c r="Q89" s="15"/>
      <c r="R89" s="16" t="s">
        <v>51</v>
      </c>
      <c r="S89" s="15"/>
      <c r="T89" s="15"/>
      <c r="U89" s="15"/>
      <c r="V89" s="15"/>
      <c r="W89" s="15"/>
    </row>
    <row r="90" spans="1:23" s="17" customFormat="1" ht="14.5" x14ac:dyDescent="0.35">
      <c r="A90" s="12">
        <v>89</v>
      </c>
      <c r="B90" s="25" t="s">
        <v>1192</v>
      </c>
      <c r="C90" s="26" t="s">
        <v>1193</v>
      </c>
      <c r="D90" s="26" t="str">
        <f t="shared" si="4"/>
        <v>Laki-Laki</v>
      </c>
      <c r="E90" s="25" t="s">
        <v>172</v>
      </c>
      <c r="F90" s="25" t="s">
        <v>1141</v>
      </c>
      <c r="G90" s="25" t="s">
        <v>909</v>
      </c>
      <c r="H90" s="19" t="s">
        <v>993</v>
      </c>
      <c r="I90" s="28" t="s">
        <v>90</v>
      </c>
      <c r="J90" s="32" t="s">
        <v>180</v>
      </c>
      <c r="K90" s="32" t="s">
        <v>905</v>
      </c>
      <c r="L90" s="47"/>
      <c r="M90" s="12">
        <v>2024</v>
      </c>
      <c r="N90" s="15">
        <f t="shared" si="5"/>
        <v>0</v>
      </c>
      <c r="O90" s="15">
        <v>2028</v>
      </c>
      <c r="P90" s="15">
        <v>2025</v>
      </c>
      <c r="Q90" s="15"/>
      <c r="R90" s="16" t="s">
        <v>51</v>
      </c>
      <c r="S90" s="15"/>
      <c r="T90" s="15"/>
      <c r="U90" s="15"/>
      <c r="V90" s="15"/>
      <c r="W90" s="15"/>
    </row>
    <row r="91" spans="1:23" s="17" customFormat="1" ht="14.5" x14ac:dyDescent="0.35">
      <c r="A91" s="12">
        <v>90</v>
      </c>
      <c r="B91" s="25" t="s">
        <v>1194</v>
      </c>
      <c r="C91" s="26" t="s">
        <v>1195</v>
      </c>
      <c r="D91" s="26" t="str">
        <f t="shared" si="4"/>
        <v>Laki-Laki</v>
      </c>
      <c r="E91" s="25" t="s">
        <v>188</v>
      </c>
      <c r="F91" s="25" t="s">
        <v>1185</v>
      </c>
      <c r="G91" s="25" t="s">
        <v>909</v>
      </c>
      <c r="H91" s="19" t="s">
        <v>1196</v>
      </c>
      <c r="I91" s="28" t="s">
        <v>90</v>
      </c>
      <c r="J91" s="32" t="s">
        <v>190</v>
      </c>
      <c r="K91" s="32" t="s">
        <v>1197</v>
      </c>
      <c r="L91" s="47" t="s">
        <v>60</v>
      </c>
      <c r="M91" s="12">
        <v>2024</v>
      </c>
      <c r="N91" s="15" t="str">
        <f t="shared" si="5"/>
        <v>Agustus</v>
      </c>
      <c r="O91" s="15">
        <v>2026</v>
      </c>
      <c r="P91" s="15">
        <v>2025</v>
      </c>
      <c r="Q91" s="15"/>
      <c r="R91" s="16" t="s">
        <v>51</v>
      </c>
      <c r="S91" s="15"/>
      <c r="T91" s="15"/>
      <c r="U91" s="15"/>
      <c r="V91" s="15"/>
      <c r="W91" s="15"/>
    </row>
    <row r="92" spans="1:23" s="17" customFormat="1" ht="28" x14ac:dyDescent="0.35">
      <c r="A92" s="12">
        <v>91</v>
      </c>
      <c r="B92" s="25" t="s">
        <v>1198</v>
      </c>
      <c r="C92" s="26" t="s">
        <v>1199</v>
      </c>
      <c r="D92" s="26" t="str">
        <f t="shared" si="4"/>
        <v>Perempuan</v>
      </c>
      <c r="E92" s="25" t="s">
        <v>188</v>
      </c>
      <c r="F92" s="25" t="s">
        <v>672</v>
      </c>
      <c r="G92" s="25" t="s">
        <v>909</v>
      </c>
      <c r="H92" s="19" t="s">
        <v>993</v>
      </c>
      <c r="I92" s="28" t="s">
        <v>1200</v>
      </c>
      <c r="J92" s="32" t="s">
        <v>190</v>
      </c>
      <c r="K92" s="32" t="s">
        <v>1182</v>
      </c>
      <c r="L92" s="47" t="s">
        <v>169</v>
      </c>
      <c r="M92" s="12">
        <v>2024</v>
      </c>
      <c r="N92" s="15" t="str">
        <f t="shared" si="5"/>
        <v>Oktober</v>
      </c>
      <c r="O92" s="15">
        <v>2026</v>
      </c>
      <c r="P92" s="15">
        <v>2025</v>
      </c>
      <c r="Q92" s="15"/>
      <c r="R92" s="16" t="s">
        <v>51</v>
      </c>
      <c r="S92" s="15"/>
      <c r="T92" s="15"/>
      <c r="U92" s="15"/>
      <c r="V92" s="15"/>
      <c r="W92" s="15"/>
    </row>
    <row r="93" spans="1:23" s="17" customFormat="1" ht="14.5" x14ac:dyDescent="0.35">
      <c r="A93" s="12">
        <v>92</v>
      </c>
      <c r="B93" s="25" t="s">
        <v>1201</v>
      </c>
      <c r="C93" s="26" t="s">
        <v>1202</v>
      </c>
      <c r="D93" s="26" t="str">
        <f t="shared" si="4"/>
        <v>Laki-Laki</v>
      </c>
      <c r="E93" s="25" t="s">
        <v>172</v>
      </c>
      <c r="F93" s="25" t="s">
        <v>1147</v>
      </c>
      <c r="G93" s="25" t="s">
        <v>909</v>
      </c>
      <c r="H93" s="19" t="s">
        <v>925</v>
      </c>
      <c r="I93" s="28" t="s">
        <v>90</v>
      </c>
      <c r="J93" s="32" t="s">
        <v>180</v>
      </c>
      <c r="K93" s="32" t="s">
        <v>905</v>
      </c>
      <c r="L93" s="47" t="s">
        <v>28</v>
      </c>
      <c r="M93" s="12">
        <v>2024</v>
      </c>
      <c r="N93" s="15" t="str">
        <f t="shared" si="5"/>
        <v>September</v>
      </c>
      <c r="O93" s="15">
        <v>2028</v>
      </c>
      <c r="P93" s="15">
        <v>2025</v>
      </c>
      <c r="Q93" s="15"/>
      <c r="R93" s="16" t="s">
        <v>51</v>
      </c>
      <c r="S93" s="15"/>
      <c r="T93" s="15"/>
      <c r="U93" s="15"/>
      <c r="V93" s="15"/>
      <c r="W93" s="15"/>
    </row>
    <row r="94" spans="1:23" s="17" customFormat="1" ht="14.5" x14ac:dyDescent="0.35">
      <c r="A94" s="12">
        <v>93</v>
      </c>
      <c r="B94" s="25" t="s">
        <v>1203</v>
      </c>
      <c r="C94" s="26" t="s">
        <v>1204</v>
      </c>
      <c r="D94" s="26" t="str">
        <f t="shared" si="4"/>
        <v>Laki-Laki</v>
      </c>
      <c r="E94" s="25" t="s">
        <v>188</v>
      </c>
      <c r="F94" s="25" t="s">
        <v>1180</v>
      </c>
      <c r="G94" s="25" t="s">
        <v>909</v>
      </c>
      <c r="H94" s="19" t="s">
        <v>1101</v>
      </c>
      <c r="I94" s="28" t="s">
        <v>1001</v>
      </c>
      <c r="J94" s="32" t="s">
        <v>190</v>
      </c>
      <c r="K94" s="32" t="s">
        <v>1205</v>
      </c>
      <c r="L94" s="47" t="s">
        <v>28</v>
      </c>
      <c r="M94" s="12">
        <v>2024</v>
      </c>
      <c r="N94" s="15" t="str">
        <f t="shared" si="5"/>
        <v>September</v>
      </c>
      <c r="O94" s="15">
        <v>2026</v>
      </c>
      <c r="P94" s="15">
        <v>2025</v>
      </c>
      <c r="Q94" s="15"/>
      <c r="R94" s="16" t="s">
        <v>51</v>
      </c>
      <c r="S94" s="15"/>
      <c r="T94" s="15"/>
      <c r="U94" s="15"/>
      <c r="V94" s="15"/>
      <c r="W94" s="15"/>
    </row>
    <row r="95" spans="1:23" s="17" customFormat="1" ht="14.5" x14ac:dyDescent="0.35">
      <c r="A95" s="12">
        <v>94</v>
      </c>
      <c r="B95" s="25" t="s">
        <v>1206</v>
      </c>
      <c r="C95" s="26" t="s">
        <v>1207</v>
      </c>
      <c r="D95" s="26" t="str">
        <f t="shared" si="4"/>
        <v>Laki-Laki</v>
      </c>
      <c r="E95" s="25" t="s">
        <v>172</v>
      </c>
      <c r="F95" s="25" t="s">
        <v>1208</v>
      </c>
      <c r="G95" s="25" t="s">
        <v>909</v>
      </c>
      <c r="H95" s="19" t="s">
        <v>1209</v>
      </c>
      <c r="I95" s="28" t="s">
        <v>1210</v>
      </c>
      <c r="J95" s="32" t="s">
        <v>180</v>
      </c>
      <c r="K95" s="32" t="s">
        <v>221</v>
      </c>
      <c r="L95" s="27" t="s">
        <v>446</v>
      </c>
      <c r="M95" s="15">
        <v>2024</v>
      </c>
      <c r="N95" s="15" t="str">
        <f t="shared" si="5"/>
        <v xml:space="preserve">Oktober </v>
      </c>
      <c r="O95" s="15">
        <v>2028</v>
      </c>
      <c r="P95" s="15">
        <v>2025</v>
      </c>
      <c r="Q95" s="15"/>
      <c r="R95" s="16" t="s">
        <v>51</v>
      </c>
      <c r="S95" s="15"/>
      <c r="T95" s="15"/>
      <c r="U95" s="15"/>
      <c r="V95" s="15"/>
      <c r="W95" s="15"/>
    </row>
    <row r="96" spans="1:23" s="17" customFormat="1" ht="28" x14ac:dyDescent="0.35">
      <c r="A96" s="12">
        <v>95</v>
      </c>
      <c r="B96" s="25" t="s">
        <v>1211</v>
      </c>
      <c r="C96" s="26" t="s">
        <v>1212</v>
      </c>
      <c r="D96" s="26" t="str">
        <f t="shared" si="4"/>
        <v>Laki-Laki</v>
      </c>
      <c r="E96" s="25" t="s">
        <v>188</v>
      </c>
      <c r="F96" s="25" t="s">
        <v>672</v>
      </c>
      <c r="G96" s="25" t="s">
        <v>909</v>
      </c>
      <c r="H96" s="19" t="s">
        <v>925</v>
      </c>
      <c r="I96" s="28" t="s">
        <v>1213</v>
      </c>
      <c r="J96" s="32" t="s">
        <v>190</v>
      </c>
      <c r="K96" s="32" t="s">
        <v>943</v>
      </c>
      <c r="L96" s="27" t="s">
        <v>123</v>
      </c>
      <c r="M96" s="15">
        <v>2025</v>
      </c>
      <c r="N96" s="15" t="str">
        <f t="shared" si="5"/>
        <v xml:space="preserve">Maret </v>
      </c>
      <c r="O96" s="15">
        <v>2027</v>
      </c>
      <c r="P96" s="15">
        <v>2025</v>
      </c>
      <c r="Q96" s="15"/>
      <c r="R96" s="16" t="s">
        <v>51</v>
      </c>
      <c r="S96" s="15"/>
      <c r="T96" s="15"/>
      <c r="U96" s="15"/>
      <c r="V96" s="15"/>
      <c r="W96" s="15"/>
    </row>
    <row r="97" spans="1:23" s="17" customFormat="1" ht="14.5" x14ac:dyDescent="0.35">
      <c r="A97" s="12">
        <v>96</v>
      </c>
      <c r="B97" s="25" t="s">
        <v>1214</v>
      </c>
      <c r="C97" s="26" t="s">
        <v>1215</v>
      </c>
      <c r="D97" s="26" t="str">
        <f t="shared" si="4"/>
        <v>Laki-Laki</v>
      </c>
      <c r="E97" s="25" t="s">
        <v>211</v>
      </c>
      <c r="F97" s="25" t="s">
        <v>1216</v>
      </c>
      <c r="G97" s="25" t="s">
        <v>909</v>
      </c>
      <c r="H97" s="19" t="s">
        <v>919</v>
      </c>
      <c r="I97" s="28" t="s">
        <v>90</v>
      </c>
      <c r="J97" s="32" t="s">
        <v>190</v>
      </c>
      <c r="K97" s="32" t="s">
        <v>1197</v>
      </c>
      <c r="L97" s="35" t="s">
        <v>182</v>
      </c>
      <c r="M97" s="21">
        <v>2025</v>
      </c>
      <c r="N97" s="15" t="str">
        <f t="shared" si="5"/>
        <v xml:space="preserve">Juli </v>
      </c>
      <c r="O97" s="15">
        <v>2027</v>
      </c>
      <c r="P97" s="15">
        <v>2025</v>
      </c>
      <c r="Q97" s="15"/>
      <c r="R97" s="16" t="s">
        <v>51</v>
      </c>
      <c r="S97" s="15"/>
      <c r="T97" s="15"/>
      <c r="U97" s="15"/>
      <c r="V97" s="15"/>
      <c r="W97" s="15"/>
    </row>
    <row r="98" spans="1:23" s="17" customFormat="1" ht="14.5" x14ac:dyDescent="0.35">
      <c r="A98" s="12">
        <v>97</v>
      </c>
      <c r="B98" s="25" t="s">
        <v>1217</v>
      </c>
      <c r="C98" s="26" t="s">
        <v>1218</v>
      </c>
      <c r="D98" s="26" t="str">
        <f t="shared" si="4"/>
        <v>Laki-Laki</v>
      </c>
      <c r="E98" s="25" t="s">
        <v>211</v>
      </c>
      <c r="F98" s="25" t="s">
        <v>1219</v>
      </c>
      <c r="G98" s="25" t="s">
        <v>909</v>
      </c>
      <c r="H98" s="19" t="s">
        <v>922</v>
      </c>
      <c r="I98" s="28" t="s">
        <v>90</v>
      </c>
      <c r="J98" s="32" t="s">
        <v>190</v>
      </c>
      <c r="K98" s="32" t="s">
        <v>1197</v>
      </c>
      <c r="L98" s="35" t="s">
        <v>785</v>
      </c>
      <c r="M98" s="21">
        <v>2025</v>
      </c>
      <c r="N98" s="15" t="str">
        <f t="shared" si="5"/>
        <v xml:space="preserve">Juni </v>
      </c>
      <c r="O98" s="15">
        <v>2027</v>
      </c>
      <c r="P98" s="15">
        <v>2025</v>
      </c>
      <c r="Q98" s="15"/>
      <c r="R98" s="16" t="s">
        <v>51</v>
      </c>
      <c r="S98" s="15"/>
      <c r="T98" s="15"/>
      <c r="U98" s="15"/>
      <c r="V98" s="15"/>
      <c r="W98" s="15"/>
    </row>
    <row r="99" spans="1:23" s="17" customFormat="1" ht="14.5" x14ac:dyDescent="0.35">
      <c r="A99" s="12">
        <v>98</v>
      </c>
      <c r="B99" s="33" t="s">
        <v>1220</v>
      </c>
      <c r="C99" s="26" t="s">
        <v>1221</v>
      </c>
      <c r="D99" s="26" t="str">
        <f t="shared" si="4"/>
        <v>Laki-Laki</v>
      </c>
      <c r="E99" s="25" t="s">
        <v>215</v>
      </c>
      <c r="F99" s="25" t="s">
        <v>1147</v>
      </c>
      <c r="G99" s="25" t="s">
        <v>909</v>
      </c>
      <c r="H99" s="19" t="s">
        <v>922</v>
      </c>
      <c r="I99" s="28" t="s">
        <v>90</v>
      </c>
      <c r="J99" s="32" t="s">
        <v>190</v>
      </c>
      <c r="K99" s="32" t="s">
        <v>1197</v>
      </c>
      <c r="L99" s="35" t="s">
        <v>785</v>
      </c>
      <c r="M99" s="21">
        <v>2025</v>
      </c>
      <c r="N99" s="15" t="str">
        <f t="shared" si="5"/>
        <v xml:space="preserve">Juni </v>
      </c>
      <c r="O99" s="15">
        <v>2027</v>
      </c>
      <c r="P99" s="15">
        <v>2025</v>
      </c>
      <c r="Q99" s="15"/>
      <c r="R99" s="16" t="s">
        <v>51</v>
      </c>
      <c r="S99" s="15"/>
      <c r="T99" s="15"/>
      <c r="U99" s="15"/>
      <c r="V99" s="15"/>
      <c r="W99" s="15"/>
    </row>
    <row r="100" spans="1:23" s="17" customFormat="1" ht="14.5" x14ac:dyDescent="0.35">
      <c r="A100" s="12">
        <v>99</v>
      </c>
      <c r="B100" s="25" t="s">
        <v>1222</v>
      </c>
      <c r="C100" s="26" t="s">
        <v>1223</v>
      </c>
      <c r="D100" s="26" t="str">
        <f t="shared" si="4"/>
        <v>Laki-Laki</v>
      </c>
      <c r="E100" s="25" t="s">
        <v>172</v>
      </c>
      <c r="F100" s="25" t="s">
        <v>1147</v>
      </c>
      <c r="G100" s="25" t="s">
        <v>909</v>
      </c>
      <c r="H100" s="19" t="s">
        <v>1040</v>
      </c>
      <c r="I100" s="28" t="s">
        <v>90</v>
      </c>
      <c r="J100" s="32" t="s">
        <v>180</v>
      </c>
      <c r="K100" s="32" t="s">
        <v>905</v>
      </c>
      <c r="L100" s="27" t="s">
        <v>123</v>
      </c>
      <c r="M100" s="15">
        <v>2025</v>
      </c>
      <c r="N100" s="15" t="str">
        <f t="shared" si="5"/>
        <v xml:space="preserve">Maret </v>
      </c>
      <c r="O100" s="15">
        <v>2027</v>
      </c>
      <c r="P100" s="15">
        <v>2025</v>
      </c>
      <c r="Q100" s="15"/>
      <c r="R100" s="16" t="s">
        <v>51</v>
      </c>
      <c r="S100" s="15"/>
      <c r="T100" s="15"/>
      <c r="U100" s="15"/>
      <c r="V100" s="15"/>
      <c r="W100" s="15"/>
    </row>
    <row r="101" spans="1:23" s="17" customFormat="1" ht="14.5" x14ac:dyDescent="0.35">
      <c r="A101" s="12">
        <v>100</v>
      </c>
      <c r="B101" s="25" t="s">
        <v>1224</v>
      </c>
      <c r="C101" s="26" t="s">
        <v>1225</v>
      </c>
      <c r="D101" s="26" t="str">
        <f t="shared" si="4"/>
        <v>Laki-Laki</v>
      </c>
      <c r="E101" s="25" t="s">
        <v>211</v>
      </c>
      <c r="F101" s="25" t="s">
        <v>1226</v>
      </c>
      <c r="G101" s="25" t="s">
        <v>909</v>
      </c>
      <c r="H101" s="19" t="s">
        <v>910</v>
      </c>
      <c r="I101" s="28" t="s">
        <v>90</v>
      </c>
      <c r="J101" s="32" t="s">
        <v>486</v>
      </c>
      <c r="K101" s="32" t="s">
        <v>1197</v>
      </c>
      <c r="L101" s="27" t="s">
        <v>123</v>
      </c>
      <c r="M101" s="15">
        <v>2025</v>
      </c>
      <c r="N101" s="15" t="str">
        <f t="shared" si="5"/>
        <v xml:space="preserve">Maret </v>
      </c>
      <c r="O101" s="15">
        <v>2027</v>
      </c>
      <c r="P101" s="15">
        <v>2025</v>
      </c>
      <c r="Q101" s="15"/>
      <c r="R101" s="16" t="s">
        <v>51</v>
      </c>
      <c r="S101" s="15"/>
      <c r="T101" s="15"/>
      <c r="U101" s="15"/>
      <c r="V101" s="15"/>
      <c r="W101" s="15"/>
    </row>
    <row r="102" spans="1:23" s="17" customFormat="1" ht="28" x14ac:dyDescent="0.35">
      <c r="A102" s="12">
        <v>101</v>
      </c>
      <c r="B102" s="25" t="s">
        <v>1227</v>
      </c>
      <c r="C102" s="26" t="s">
        <v>1228</v>
      </c>
      <c r="D102" s="26" t="str">
        <f t="shared" si="4"/>
        <v>Laki-Laki</v>
      </c>
      <c r="E102" s="25" t="s">
        <v>152</v>
      </c>
      <c r="F102" s="25" t="s">
        <v>1229</v>
      </c>
      <c r="G102" s="25" t="s">
        <v>909</v>
      </c>
      <c r="H102" s="19" t="s">
        <v>1230</v>
      </c>
      <c r="I102" s="28" t="s">
        <v>580</v>
      </c>
      <c r="J102" s="32" t="s">
        <v>180</v>
      </c>
      <c r="K102" s="32" t="s">
        <v>905</v>
      </c>
      <c r="L102" s="27" t="s">
        <v>118</v>
      </c>
      <c r="M102" s="15">
        <v>2025</v>
      </c>
      <c r="N102" s="15" t="str">
        <f t="shared" si="5"/>
        <v xml:space="preserve">Januari </v>
      </c>
      <c r="O102" s="15">
        <v>2029</v>
      </c>
      <c r="P102" s="15">
        <v>2025</v>
      </c>
      <c r="Q102" s="15"/>
      <c r="R102" s="16" t="s">
        <v>51</v>
      </c>
      <c r="S102" s="15"/>
      <c r="T102" s="15"/>
      <c r="U102" s="15"/>
      <c r="V102" s="15"/>
      <c r="W102" s="15"/>
    </row>
    <row r="103" spans="1:23" s="17" customFormat="1" ht="28" x14ac:dyDescent="0.35">
      <c r="A103" s="12">
        <v>102</v>
      </c>
      <c r="B103" s="25" t="s">
        <v>1231</v>
      </c>
      <c r="C103" s="26" t="s">
        <v>1232</v>
      </c>
      <c r="D103" s="26" t="str">
        <f t="shared" si="4"/>
        <v>Laki-Laki</v>
      </c>
      <c r="E103" s="25" t="s">
        <v>211</v>
      </c>
      <c r="F103" s="25" t="s">
        <v>1233</v>
      </c>
      <c r="G103" s="25" t="s">
        <v>909</v>
      </c>
      <c r="H103" s="19" t="s">
        <v>1230</v>
      </c>
      <c r="I103" s="28" t="s">
        <v>580</v>
      </c>
      <c r="J103" s="32" t="s">
        <v>486</v>
      </c>
      <c r="K103" s="32" t="s">
        <v>394</v>
      </c>
      <c r="L103" s="27" t="s">
        <v>118</v>
      </c>
      <c r="M103" s="15">
        <v>2025</v>
      </c>
      <c r="N103" s="15" t="str">
        <f t="shared" si="5"/>
        <v xml:space="preserve">Januari </v>
      </c>
      <c r="O103" s="15">
        <v>2027</v>
      </c>
      <c r="P103" s="15">
        <v>2025</v>
      </c>
      <c r="Q103" s="15"/>
      <c r="R103" s="16" t="s">
        <v>51</v>
      </c>
      <c r="S103" s="15"/>
      <c r="T103" s="15"/>
      <c r="U103" s="15"/>
      <c r="V103" s="15"/>
      <c r="W103" s="15"/>
    </row>
    <row r="104" spans="1:23" s="17" customFormat="1" ht="28" x14ac:dyDescent="0.35">
      <c r="A104" s="12">
        <v>103</v>
      </c>
      <c r="B104" s="25" t="s">
        <v>1234</v>
      </c>
      <c r="C104" s="26" t="s">
        <v>1235</v>
      </c>
      <c r="D104" s="26" t="str">
        <f t="shared" si="4"/>
        <v>Laki-Laki</v>
      </c>
      <c r="E104" s="25" t="s">
        <v>172</v>
      </c>
      <c r="F104" s="25" t="s">
        <v>1236</v>
      </c>
      <c r="G104" s="25" t="s">
        <v>909</v>
      </c>
      <c r="H104" s="19" t="s">
        <v>1040</v>
      </c>
      <c r="I104" s="28" t="s">
        <v>1237</v>
      </c>
      <c r="J104" s="47" t="s">
        <v>180</v>
      </c>
      <c r="K104" s="32" t="s">
        <v>1238</v>
      </c>
      <c r="L104" s="35" t="s">
        <v>205</v>
      </c>
      <c r="M104" s="21">
        <v>2024</v>
      </c>
      <c r="N104" s="15" t="str">
        <f t="shared" si="5"/>
        <v xml:space="preserve">September </v>
      </c>
      <c r="O104" s="15">
        <v>2028</v>
      </c>
      <c r="P104" s="15">
        <v>2025</v>
      </c>
      <c r="Q104" s="15"/>
      <c r="R104" s="16" t="s">
        <v>51</v>
      </c>
      <c r="S104" s="15"/>
      <c r="T104" s="15"/>
      <c r="U104" s="15"/>
      <c r="V104" s="15"/>
      <c r="W104" s="15"/>
    </row>
    <row r="105" spans="1:23" s="17" customFormat="1" ht="14.5" x14ac:dyDescent="0.35">
      <c r="A105" s="12">
        <v>104</v>
      </c>
      <c r="B105" s="25" t="s">
        <v>1239</v>
      </c>
      <c r="C105" s="26" t="s">
        <v>1240</v>
      </c>
      <c r="D105" s="26" t="str">
        <f t="shared" si="4"/>
        <v>Laki-Laki</v>
      </c>
      <c r="E105" s="25" t="s">
        <v>172</v>
      </c>
      <c r="F105" s="25" t="s">
        <v>1241</v>
      </c>
      <c r="G105" s="25" t="s">
        <v>909</v>
      </c>
      <c r="H105" s="19" t="s">
        <v>919</v>
      </c>
      <c r="I105" s="28" t="s">
        <v>1242</v>
      </c>
      <c r="J105" s="47" t="s">
        <v>190</v>
      </c>
      <c r="K105" s="32" t="s">
        <v>1243</v>
      </c>
      <c r="L105" s="35" t="s">
        <v>418</v>
      </c>
      <c r="M105" s="21">
        <v>2024</v>
      </c>
      <c r="N105" s="15" t="str">
        <f t="shared" si="5"/>
        <v xml:space="preserve"> Agustus </v>
      </c>
      <c r="O105" s="15">
        <v>2026</v>
      </c>
      <c r="P105" s="15">
        <v>2025</v>
      </c>
      <c r="Q105" s="15"/>
      <c r="R105" s="16" t="s">
        <v>51</v>
      </c>
      <c r="S105" s="15"/>
      <c r="T105" s="15"/>
      <c r="U105" s="15"/>
      <c r="V105" s="15"/>
      <c r="W105" s="15"/>
    </row>
    <row r="106" spans="1:23" s="17" customFormat="1" ht="28" x14ac:dyDescent="0.35">
      <c r="A106" s="12">
        <v>105</v>
      </c>
      <c r="B106" s="25" t="s">
        <v>1244</v>
      </c>
      <c r="C106" s="26" t="s">
        <v>1245</v>
      </c>
      <c r="D106" s="26" t="str">
        <f t="shared" si="4"/>
        <v>Laki-Laki</v>
      </c>
      <c r="E106" s="25" t="s">
        <v>519</v>
      </c>
      <c r="F106" s="25" t="s">
        <v>1246</v>
      </c>
      <c r="G106" s="25" t="s">
        <v>909</v>
      </c>
      <c r="H106" s="19" t="s">
        <v>1230</v>
      </c>
      <c r="I106" s="28" t="s">
        <v>90</v>
      </c>
      <c r="J106" s="47" t="s">
        <v>180</v>
      </c>
      <c r="K106" s="32" t="s">
        <v>905</v>
      </c>
      <c r="L106" s="35" t="s">
        <v>118</v>
      </c>
      <c r="M106" s="21">
        <v>2025</v>
      </c>
      <c r="N106" s="15" t="str">
        <f t="shared" si="5"/>
        <v xml:space="preserve">Januari </v>
      </c>
      <c r="O106" s="15">
        <v>2029</v>
      </c>
      <c r="P106" s="15">
        <v>2025</v>
      </c>
      <c r="Q106" s="15"/>
      <c r="R106" s="16" t="s">
        <v>51</v>
      </c>
      <c r="S106" s="15"/>
      <c r="T106" s="15"/>
      <c r="U106" s="15"/>
      <c r="V106" s="15"/>
      <c r="W106" s="15"/>
    </row>
    <row r="107" spans="1:23" s="17" customFormat="1" ht="28" x14ac:dyDescent="0.35">
      <c r="A107" s="12">
        <v>106</v>
      </c>
      <c r="B107" s="25" t="s">
        <v>1247</v>
      </c>
      <c r="C107" s="26" t="s">
        <v>1248</v>
      </c>
      <c r="D107" s="26" t="str">
        <f t="shared" si="4"/>
        <v>Laki-Laki</v>
      </c>
      <c r="E107" s="25" t="s">
        <v>211</v>
      </c>
      <c r="F107" s="25" t="s">
        <v>1249</v>
      </c>
      <c r="G107" s="25" t="s">
        <v>909</v>
      </c>
      <c r="H107" s="19" t="s">
        <v>1230</v>
      </c>
      <c r="I107" s="28" t="s">
        <v>90</v>
      </c>
      <c r="J107" s="47" t="s">
        <v>190</v>
      </c>
      <c r="K107" s="32" t="s">
        <v>394</v>
      </c>
      <c r="L107" s="35" t="s">
        <v>118</v>
      </c>
      <c r="M107" s="21">
        <v>2025</v>
      </c>
      <c r="N107" s="15" t="str">
        <f t="shared" si="5"/>
        <v xml:space="preserve">Januari </v>
      </c>
      <c r="O107" s="15">
        <v>2027</v>
      </c>
      <c r="P107" s="15">
        <v>2025</v>
      </c>
      <c r="Q107" s="15"/>
      <c r="R107" s="16" t="s">
        <v>51</v>
      </c>
      <c r="S107" s="15"/>
      <c r="T107" s="15"/>
      <c r="U107" s="15"/>
      <c r="V107" s="15"/>
      <c r="W107" s="15"/>
    </row>
    <row r="108" spans="1:23" s="17" customFormat="1" ht="14.5" x14ac:dyDescent="0.35">
      <c r="A108" s="12">
        <v>107</v>
      </c>
      <c r="B108" s="25" t="s">
        <v>1250</v>
      </c>
      <c r="C108" s="26" t="s">
        <v>1251</v>
      </c>
      <c r="D108" s="26" t="str">
        <f t="shared" si="4"/>
        <v>Laki-Laki</v>
      </c>
      <c r="E108" s="25" t="s">
        <v>188</v>
      </c>
      <c r="F108" s="25" t="s">
        <v>1252</v>
      </c>
      <c r="G108" s="25" t="s">
        <v>909</v>
      </c>
      <c r="H108" s="19" t="s">
        <v>1253</v>
      </c>
      <c r="I108" s="28" t="s">
        <v>90</v>
      </c>
      <c r="J108" s="47" t="s">
        <v>190</v>
      </c>
      <c r="K108" s="32" t="s">
        <v>394</v>
      </c>
      <c r="L108" s="35" t="s">
        <v>118</v>
      </c>
      <c r="M108" s="21">
        <v>2025</v>
      </c>
      <c r="N108" s="15" t="str">
        <f t="shared" si="5"/>
        <v xml:space="preserve">Januari </v>
      </c>
      <c r="O108" s="15">
        <v>2027</v>
      </c>
      <c r="P108" s="15">
        <v>2025</v>
      </c>
      <c r="Q108" s="15"/>
      <c r="R108" s="16" t="s">
        <v>51</v>
      </c>
      <c r="S108" s="15"/>
      <c r="T108" s="15"/>
      <c r="U108" s="15"/>
      <c r="V108" s="15"/>
      <c r="W108" s="15"/>
    </row>
    <row r="109" spans="1:23" s="17" customFormat="1" ht="14.5" x14ac:dyDescent="0.35">
      <c r="A109" s="12">
        <v>108</v>
      </c>
      <c r="B109" s="25" t="s">
        <v>1254</v>
      </c>
      <c r="C109" s="26" t="s">
        <v>1255</v>
      </c>
      <c r="D109" s="26" t="str">
        <f t="shared" si="4"/>
        <v>Laki-Laki</v>
      </c>
      <c r="E109" s="25" t="s">
        <v>188</v>
      </c>
      <c r="F109" s="25" t="s">
        <v>672</v>
      </c>
      <c r="G109" s="25" t="s">
        <v>909</v>
      </c>
      <c r="H109" s="19" t="s">
        <v>1256</v>
      </c>
      <c r="I109" s="28" t="s">
        <v>1257</v>
      </c>
      <c r="J109" s="47" t="s">
        <v>190</v>
      </c>
      <c r="K109" s="32" t="s">
        <v>221</v>
      </c>
      <c r="L109" s="35" t="s">
        <v>446</v>
      </c>
      <c r="M109" s="21">
        <v>2024</v>
      </c>
      <c r="N109" s="15" t="str">
        <f t="shared" si="5"/>
        <v xml:space="preserve">Oktober </v>
      </c>
      <c r="O109" s="15">
        <v>2026</v>
      </c>
      <c r="P109" s="15">
        <v>2025</v>
      </c>
      <c r="Q109" s="15"/>
      <c r="R109" s="16" t="s">
        <v>51</v>
      </c>
      <c r="S109" s="15"/>
      <c r="T109" s="15"/>
      <c r="U109" s="15"/>
      <c r="V109" s="15"/>
      <c r="W109" s="15"/>
    </row>
    <row r="110" spans="1:23" s="17" customFormat="1" ht="28" x14ac:dyDescent="0.35">
      <c r="A110" s="12">
        <v>109</v>
      </c>
      <c r="B110" s="25" t="s">
        <v>1258</v>
      </c>
      <c r="C110" s="26" t="s">
        <v>1259</v>
      </c>
      <c r="D110" s="26" t="str">
        <f t="shared" si="4"/>
        <v>Laki-Laki</v>
      </c>
      <c r="E110" s="25" t="s">
        <v>172</v>
      </c>
      <c r="F110" s="25" t="s">
        <v>1260</v>
      </c>
      <c r="G110" s="25" t="s">
        <v>909</v>
      </c>
      <c r="H110" s="19" t="s">
        <v>1230</v>
      </c>
      <c r="I110" s="28" t="s">
        <v>90</v>
      </c>
      <c r="J110" s="47" t="s">
        <v>180</v>
      </c>
      <c r="K110" s="32" t="s">
        <v>905</v>
      </c>
      <c r="L110" s="35" t="s">
        <v>106</v>
      </c>
      <c r="M110" s="21">
        <v>2024</v>
      </c>
      <c r="N110" s="15" t="str">
        <f t="shared" si="5"/>
        <v xml:space="preserve">Desember </v>
      </c>
      <c r="O110" s="15">
        <v>2028</v>
      </c>
      <c r="P110" s="15">
        <v>2025</v>
      </c>
      <c r="Q110" s="15"/>
      <c r="R110" s="16" t="s">
        <v>51</v>
      </c>
      <c r="S110" s="15"/>
      <c r="T110" s="15"/>
      <c r="U110" s="15"/>
      <c r="V110" s="15"/>
      <c r="W110" s="15"/>
    </row>
    <row r="111" spans="1:23" s="17" customFormat="1" ht="28" x14ac:dyDescent="0.35">
      <c r="A111" s="12">
        <v>110</v>
      </c>
      <c r="B111" s="25" t="s">
        <v>1261</v>
      </c>
      <c r="C111" s="26" t="s">
        <v>1262</v>
      </c>
      <c r="D111" s="26" t="str">
        <f t="shared" si="4"/>
        <v>Laki-Laki</v>
      </c>
      <c r="E111" s="25" t="s">
        <v>211</v>
      </c>
      <c r="F111" s="25" t="s">
        <v>1144</v>
      </c>
      <c r="G111" s="25" t="s">
        <v>909</v>
      </c>
      <c r="H111" s="19" t="s">
        <v>1230</v>
      </c>
      <c r="I111" s="28" t="s">
        <v>90</v>
      </c>
      <c r="J111" s="48" t="s">
        <v>190</v>
      </c>
      <c r="K111" s="32" t="s">
        <v>394</v>
      </c>
      <c r="L111" s="35" t="s">
        <v>1263</v>
      </c>
      <c r="M111" s="21">
        <v>2025</v>
      </c>
      <c r="N111" s="15" t="str">
        <f t="shared" si="5"/>
        <v xml:space="preserve"> Januari </v>
      </c>
      <c r="O111" s="15">
        <v>2029</v>
      </c>
      <c r="P111" s="15">
        <v>2025</v>
      </c>
      <c r="Q111" s="15"/>
      <c r="R111" s="16" t="s">
        <v>51</v>
      </c>
      <c r="S111" s="15"/>
      <c r="T111" s="15"/>
      <c r="U111" s="15"/>
      <c r="V111" s="15"/>
      <c r="W111" s="15"/>
    </row>
    <row r="112" spans="1:23" s="17" customFormat="1" ht="14.5" x14ac:dyDescent="0.35">
      <c r="A112" s="12">
        <v>111</v>
      </c>
      <c r="B112" s="25" t="s">
        <v>1264</v>
      </c>
      <c r="C112" s="26" t="s">
        <v>1265</v>
      </c>
      <c r="D112" s="26" t="str">
        <f t="shared" si="4"/>
        <v>Laki-Laki</v>
      </c>
      <c r="E112" s="25" t="s">
        <v>172</v>
      </c>
      <c r="F112" s="25" t="s">
        <v>1266</v>
      </c>
      <c r="G112" s="25" t="s">
        <v>909</v>
      </c>
      <c r="H112" s="19" t="s">
        <v>1025</v>
      </c>
      <c r="I112" s="27" t="s">
        <v>90</v>
      </c>
      <c r="J112" s="12" t="s">
        <v>180</v>
      </c>
      <c r="K112" s="32" t="s">
        <v>221</v>
      </c>
      <c r="L112" s="35" t="s">
        <v>118</v>
      </c>
      <c r="M112" s="21">
        <v>2025</v>
      </c>
      <c r="N112" s="15" t="str">
        <f t="shared" si="5"/>
        <v xml:space="preserve">Januari </v>
      </c>
      <c r="O112" s="15">
        <v>2029</v>
      </c>
      <c r="P112" s="15">
        <v>2025</v>
      </c>
      <c r="Q112" s="15"/>
      <c r="R112" s="16" t="s">
        <v>51</v>
      </c>
      <c r="S112" s="15"/>
      <c r="T112" s="15"/>
      <c r="U112" s="15"/>
      <c r="V112" s="15"/>
      <c r="W112" s="15"/>
    </row>
    <row r="113" spans="1:23" s="17" customFormat="1" ht="14.5" x14ac:dyDescent="0.35">
      <c r="A113" s="12">
        <v>112</v>
      </c>
      <c r="B113" s="25" t="s">
        <v>1267</v>
      </c>
      <c r="C113" s="26" t="s">
        <v>1268</v>
      </c>
      <c r="D113" s="26" t="str">
        <f t="shared" si="4"/>
        <v>Laki-Laki</v>
      </c>
      <c r="E113" s="25" t="s">
        <v>519</v>
      </c>
      <c r="F113" s="25" t="s">
        <v>1246</v>
      </c>
      <c r="G113" s="25" t="s">
        <v>909</v>
      </c>
      <c r="H113" s="19" t="s">
        <v>925</v>
      </c>
      <c r="I113" s="27" t="s">
        <v>90</v>
      </c>
      <c r="J113" s="12" t="s">
        <v>180</v>
      </c>
      <c r="K113" s="32" t="s">
        <v>221</v>
      </c>
      <c r="L113" s="29" t="s">
        <v>226</v>
      </c>
      <c r="M113" s="21">
        <v>2024</v>
      </c>
      <c r="N113" s="15" t="str">
        <f t="shared" si="5"/>
        <v xml:space="preserve">November </v>
      </c>
      <c r="O113" s="15">
        <v>2028</v>
      </c>
      <c r="P113" s="15">
        <v>2025</v>
      </c>
      <c r="Q113" s="15"/>
      <c r="R113" s="16" t="s">
        <v>51</v>
      </c>
      <c r="S113" s="15"/>
      <c r="T113" s="15"/>
      <c r="U113" s="15"/>
      <c r="V113" s="15"/>
      <c r="W113" s="15"/>
    </row>
    <row r="114" spans="1:23" s="17" customFormat="1" ht="28" x14ac:dyDescent="0.35">
      <c r="A114" s="12">
        <v>113</v>
      </c>
      <c r="B114" s="25" t="s">
        <v>1269</v>
      </c>
      <c r="C114" s="26" t="s">
        <v>1270</v>
      </c>
      <c r="D114" s="26" t="str">
        <f t="shared" si="4"/>
        <v>Laki-Laki</v>
      </c>
      <c r="E114" s="25" t="s">
        <v>188</v>
      </c>
      <c r="F114" s="25" t="s">
        <v>1180</v>
      </c>
      <c r="G114" s="25" t="s">
        <v>909</v>
      </c>
      <c r="H114" s="19" t="s">
        <v>1271</v>
      </c>
      <c r="I114" s="27" t="s">
        <v>1135</v>
      </c>
      <c r="J114" s="12" t="s">
        <v>190</v>
      </c>
      <c r="K114" s="32" t="s">
        <v>221</v>
      </c>
      <c r="L114" s="29" t="s">
        <v>504</v>
      </c>
      <c r="M114" s="21">
        <v>2024</v>
      </c>
      <c r="N114" s="15" t="str">
        <f t="shared" si="5"/>
        <v xml:space="preserve">September  </v>
      </c>
      <c r="O114" s="15">
        <v>2026</v>
      </c>
      <c r="P114" s="15">
        <v>2025</v>
      </c>
      <c r="Q114" s="15"/>
      <c r="R114" s="16" t="s">
        <v>51</v>
      </c>
      <c r="S114" s="15"/>
      <c r="T114" s="15"/>
      <c r="U114" s="15"/>
      <c r="V114" s="15"/>
      <c r="W114" s="15"/>
    </row>
    <row r="115" spans="1:23" s="17" customFormat="1" ht="14.5" x14ac:dyDescent="0.35">
      <c r="A115" s="12">
        <v>114</v>
      </c>
      <c r="B115" s="25" t="s">
        <v>1272</v>
      </c>
      <c r="C115" s="26" t="s">
        <v>1273</v>
      </c>
      <c r="D115" s="26" t="str">
        <f t="shared" si="4"/>
        <v>Laki-Laki</v>
      </c>
      <c r="E115" s="25" t="s">
        <v>172</v>
      </c>
      <c r="F115" s="25" t="s">
        <v>1147</v>
      </c>
      <c r="G115" s="25" t="s">
        <v>909</v>
      </c>
      <c r="H115" s="19" t="s">
        <v>1035</v>
      </c>
      <c r="I115" s="27" t="s">
        <v>90</v>
      </c>
      <c r="J115" s="12" t="s">
        <v>180</v>
      </c>
      <c r="K115" s="32" t="s">
        <v>221</v>
      </c>
      <c r="L115" s="29" t="s">
        <v>92</v>
      </c>
      <c r="M115" s="21">
        <v>2024</v>
      </c>
      <c r="N115" s="15" t="str">
        <f t="shared" si="5"/>
        <v xml:space="preserve">April </v>
      </c>
      <c r="O115" s="15">
        <v>2028</v>
      </c>
      <c r="P115" s="15">
        <v>2025</v>
      </c>
      <c r="Q115" s="15"/>
      <c r="R115" s="16" t="s">
        <v>51</v>
      </c>
      <c r="S115" s="15"/>
      <c r="T115" s="15"/>
      <c r="U115" s="15"/>
      <c r="V115" s="15"/>
      <c r="W115" s="15"/>
    </row>
    <row r="116" spans="1:23" s="17" customFormat="1" ht="14.5" x14ac:dyDescent="0.35">
      <c r="A116" s="12">
        <v>115</v>
      </c>
      <c r="B116" s="25" t="s">
        <v>1274</v>
      </c>
      <c r="C116" s="26" t="s">
        <v>1275</v>
      </c>
      <c r="D116" s="26" t="str">
        <f>IF(MID(C116,15,1)="1","Laki-Laki","Perempuan")</f>
        <v>Laki-Laki</v>
      </c>
      <c r="E116" s="25" t="s">
        <v>519</v>
      </c>
      <c r="F116" s="25" t="s">
        <v>1276</v>
      </c>
      <c r="G116" s="25" t="s">
        <v>909</v>
      </c>
      <c r="H116" s="19" t="s">
        <v>922</v>
      </c>
      <c r="I116" s="27" t="s">
        <v>90</v>
      </c>
      <c r="J116" s="12" t="s">
        <v>180</v>
      </c>
      <c r="K116" s="32" t="s">
        <v>221</v>
      </c>
      <c r="L116" s="29" t="s">
        <v>1277</v>
      </c>
      <c r="M116" s="21">
        <v>2024</v>
      </c>
      <c r="N116" s="15" t="str">
        <f t="shared" si="5"/>
        <v/>
      </c>
      <c r="O116" s="15">
        <v>2028</v>
      </c>
      <c r="P116" s="15">
        <v>2025</v>
      </c>
      <c r="Q116" s="15"/>
      <c r="R116" s="16" t="s">
        <v>51</v>
      </c>
      <c r="S116" s="15"/>
      <c r="T116" s="15"/>
      <c r="U116" s="15"/>
      <c r="V116" s="15"/>
      <c r="W116" s="15"/>
    </row>
    <row r="117" spans="1:23" s="17" customFormat="1" ht="14.5" x14ac:dyDescent="0.35">
      <c r="A117" s="12">
        <v>116</v>
      </c>
      <c r="B117" s="25" t="s">
        <v>1278</v>
      </c>
      <c r="C117" s="26" t="s">
        <v>1279</v>
      </c>
      <c r="D117" s="26" t="str">
        <f t="shared" ref="D117:D124" si="6">IF(MID(C117,15,1)="1","Laki-Laki","Perempuan")</f>
        <v>Perempuan</v>
      </c>
      <c r="E117" s="25" t="s">
        <v>188</v>
      </c>
      <c r="F117" s="25" t="s">
        <v>1180</v>
      </c>
      <c r="G117" s="25" t="s">
        <v>909</v>
      </c>
      <c r="H117" s="19" t="s">
        <v>1280</v>
      </c>
      <c r="I117" s="27" t="s">
        <v>1135</v>
      </c>
      <c r="J117" s="12" t="s">
        <v>190</v>
      </c>
      <c r="K117" s="32" t="s">
        <v>221</v>
      </c>
      <c r="L117" s="29" t="s">
        <v>504</v>
      </c>
      <c r="M117" s="21">
        <v>2024</v>
      </c>
      <c r="N117" s="15" t="str">
        <f t="shared" si="5"/>
        <v xml:space="preserve">September  </v>
      </c>
      <c r="O117" s="15">
        <v>2026</v>
      </c>
      <c r="P117" s="15">
        <v>2025</v>
      </c>
      <c r="Q117" s="15"/>
      <c r="R117" s="16" t="s">
        <v>51</v>
      </c>
      <c r="S117" s="15"/>
      <c r="T117" s="15"/>
      <c r="U117" s="15"/>
      <c r="V117" s="15"/>
      <c r="W117" s="15"/>
    </row>
    <row r="118" spans="1:23" s="17" customFormat="1" ht="14.5" x14ac:dyDescent="0.35">
      <c r="A118" s="12">
        <v>117</v>
      </c>
      <c r="B118" s="25" t="s">
        <v>1281</v>
      </c>
      <c r="C118" s="26" t="s">
        <v>1282</v>
      </c>
      <c r="D118" s="26" t="str">
        <f t="shared" si="6"/>
        <v>Laki-Laki</v>
      </c>
      <c r="E118" s="25" t="s">
        <v>172</v>
      </c>
      <c r="F118" s="25" t="s">
        <v>1141</v>
      </c>
      <c r="G118" s="25" t="s">
        <v>909</v>
      </c>
      <c r="H118" s="19" t="s">
        <v>910</v>
      </c>
      <c r="I118" s="27" t="s">
        <v>90</v>
      </c>
      <c r="J118" s="12" t="s">
        <v>180</v>
      </c>
      <c r="K118" s="32" t="s">
        <v>1283</v>
      </c>
      <c r="L118" s="29" t="s">
        <v>156</v>
      </c>
      <c r="M118" s="21">
        <v>2024</v>
      </c>
      <c r="N118" s="15" t="str">
        <f t="shared" si="5"/>
        <v>November</v>
      </c>
      <c r="O118" s="15">
        <v>2028</v>
      </c>
      <c r="P118" s="15">
        <v>2025</v>
      </c>
      <c r="Q118" s="15"/>
      <c r="R118" s="16" t="s">
        <v>51</v>
      </c>
      <c r="S118" s="15"/>
      <c r="T118" s="15"/>
      <c r="U118" s="15"/>
      <c r="V118" s="15"/>
      <c r="W118" s="15"/>
    </row>
    <row r="119" spans="1:23" s="17" customFormat="1" ht="14.5" x14ac:dyDescent="0.35">
      <c r="A119" s="12">
        <v>118</v>
      </c>
      <c r="B119" s="25" t="s">
        <v>1284</v>
      </c>
      <c r="C119" s="26" t="s">
        <v>1285</v>
      </c>
      <c r="D119" s="26" t="str">
        <f t="shared" si="6"/>
        <v>Perempuan</v>
      </c>
      <c r="E119" s="25" t="s">
        <v>152</v>
      </c>
      <c r="F119" s="25" t="s">
        <v>1286</v>
      </c>
      <c r="G119" s="25" t="s">
        <v>909</v>
      </c>
      <c r="H119" s="19" t="s">
        <v>984</v>
      </c>
      <c r="I119" s="27" t="s">
        <v>90</v>
      </c>
      <c r="J119" s="12" t="s">
        <v>180</v>
      </c>
      <c r="K119" s="32" t="s">
        <v>46</v>
      </c>
      <c r="L119" s="29" t="s">
        <v>28</v>
      </c>
      <c r="M119" s="21">
        <v>2024</v>
      </c>
      <c r="N119" s="15" t="str">
        <f t="shared" si="5"/>
        <v>September</v>
      </c>
      <c r="O119" s="15">
        <v>2028</v>
      </c>
      <c r="P119" s="15">
        <v>2025</v>
      </c>
      <c r="Q119" s="15"/>
      <c r="R119" s="16" t="s">
        <v>51</v>
      </c>
      <c r="S119" s="15"/>
      <c r="T119" s="15"/>
      <c r="U119" s="15"/>
      <c r="V119" s="15"/>
      <c r="W119" s="15"/>
    </row>
    <row r="120" spans="1:23" s="17" customFormat="1" ht="14.5" x14ac:dyDescent="0.35">
      <c r="A120" s="12">
        <v>119</v>
      </c>
      <c r="B120" s="25" t="s">
        <v>1287</v>
      </c>
      <c r="C120" s="26" t="s">
        <v>1288</v>
      </c>
      <c r="D120" s="26" t="str">
        <f t="shared" si="6"/>
        <v>Laki-Laki</v>
      </c>
      <c r="E120" s="25" t="s">
        <v>211</v>
      </c>
      <c r="F120" s="25" t="s">
        <v>1289</v>
      </c>
      <c r="G120" s="25" t="s">
        <v>909</v>
      </c>
      <c r="H120" s="19" t="s">
        <v>984</v>
      </c>
      <c r="I120" s="27" t="s">
        <v>1290</v>
      </c>
      <c r="J120" s="12" t="s">
        <v>180</v>
      </c>
      <c r="K120" s="32" t="s">
        <v>905</v>
      </c>
      <c r="L120" s="29" t="s">
        <v>226</v>
      </c>
      <c r="M120" s="21">
        <v>2024</v>
      </c>
      <c r="N120" s="15" t="str">
        <f t="shared" si="5"/>
        <v xml:space="preserve">November </v>
      </c>
      <c r="O120" s="15">
        <v>2028</v>
      </c>
      <c r="P120" s="15">
        <v>2025</v>
      </c>
      <c r="Q120" s="15"/>
      <c r="R120" s="16" t="s">
        <v>51</v>
      </c>
      <c r="S120" s="15"/>
      <c r="T120" s="15"/>
      <c r="U120" s="15"/>
      <c r="V120" s="15"/>
      <c r="W120" s="15"/>
    </row>
    <row r="121" spans="1:23" s="17" customFormat="1" ht="14.5" x14ac:dyDescent="0.35">
      <c r="A121" s="12">
        <v>120</v>
      </c>
      <c r="B121" s="25" t="s">
        <v>1291</v>
      </c>
      <c r="C121" s="26" t="s">
        <v>1292</v>
      </c>
      <c r="D121" s="26" t="str">
        <f t="shared" si="6"/>
        <v>Laki-Laki</v>
      </c>
      <c r="E121" s="25" t="s">
        <v>188</v>
      </c>
      <c r="F121" s="25" t="s">
        <v>672</v>
      </c>
      <c r="G121" s="25" t="s">
        <v>909</v>
      </c>
      <c r="H121" s="19" t="s">
        <v>984</v>
      </c>
      <c r="I121" s="27" t="s">
        <v>1290</v>
      </c>
      <c r="J121" s="12" t="s">
        <v>190</v>
      </c>
      <c r="K121" s="32" t="s">
        <v>1293</v>
      </c>
      <c r="L121" s="29" t="s">
        <v>912</v>
      </c>
      <c r="M121" s="21">
        <v>2025</v>
      </c>
      <c r="N121" s="15" t="str">
        <f t="shared" si="5"/>
        <v xml:space="preserve">Februari  </v>
      </c>
      <c r="O121" s="15">
        <v>2027</v>
      </c>
      <c r="P121" s="15">
        <v>2025</v>
      </c>
      <c r="Q121" s="15"/>
      <c r="R121" s="16" t="s">
        <v>51</v>
      </c>
      <c r="S121" s="15"/>
      <c r="T121" s="15"/>
      <c r="U121" s="15"/>
      <c r="V121" s="15"/>
      <c r="W121" s="15"/>
    </row>
    <row r="122" spans="1:23" s="17" customFormat="1" ht="14.5" x14ac:dyDescent="0.35">
      <c r="A122" s="12">
        <v>121</v>
      </c>
      <c r="B122" s="25" t="s">
        <v>1294</v>
      </c>
      <c r="C122" s="26" t="s">
        <v>1295</v>
      </c>
      <c r="D122" s="26" t="str">
        <f t="shared" si="6"/>
        <v>Perempuan</v>
      </c>
      <c r="E122" s="25" t="s">
        <v>519</v>
      </c>
      <c r="F122" s="25" t="s">
        <v>1175</v>
      </c>
      <c r="G122" s="25" t="s">
        <v>909</v>
      </c>
      <c r="H122" s="19" t="s">
        <v>984</v>
      </c>
      <c r="I122" s="27" t="s">
        <v>90</v>
      </c>
      <c r="J122" s="12" t="s">
        <v>180</v>
      </c>
      <c r="K122" s="32" t="s">
        <v>905</v>
      </c>
      <c r="L122" s="29" t="s">
        <v>205</v>
      </c>
      <c r="M122" s="21">
        <v>2024</v>
      </c>
      <c r="N122" s="15" t="str">
        <f t="shared" si="5"/>
        <v xml:space="preserve">September </v>
      </c>
      <c r="O122" s="15">
        <v>2028</v>
      </c>
      <c r="P122" s="15">
        <v>2025</v>
      </c>
      <c r="Q122" s="15"/>
      <c r="R122" s="16" t="s">
        <v>51</v>
      </c>
      <c r="S122" s="15"/>
      <c r="T122" s="15"/>
      <c r="U122" s="15"/>
      <c r="V122" s="15"/>
      <c r="W122" s="15"/>
    </row>
    <row r="123" spans="1:23" s="17" customFormat="1" ht="28" x14ac:dyDescent="0.35">
      <c r="A123" s="12">
        <v>122</v>
      </c>
      <c r="B123" s="25" t="s">
        <v>1296</v>
      </c>
      <c r="C123" s="26" t="s">
        <v>1297</v>
      </c>
      <c r="D123" s="26" t="str">
        <f t="shared" si="6"/>
        <v>Laki-Laki</v>
      </c>
      <c r="E123" s="25" t="s">
        <v>539</v>
      </c>
      <c r="F123" s="25" t="s">
        <v>672</v>
      </c>
      <c r="G123" s="25" t="s">
        <v>909</v>
      </c>
      <c r="H123" s="19" t="s">
        <v>1298</v>
      </c>
      <c r="I123" s="27" t="s">
        <v>1299</v>
      </c>
      <c r="J123" s="12" t="s">
        <v>486</v>
      </c>
      <c r="K123" s="28" t="s">
        <v>1300</v>
      </c>
      <c r="L123" s="29" t="s">
        <v>182</v>
      </c>
      <c r="M123" s="21">
        <v>2024</v>
      </c>
      <c r="N123" s="15" t="str">
        <f t="shared" si="5"/>
        <v xml:space="preserve">Juli </v>
      </c>
      <c r="O123" s="15">
        <v>2026</v>
      </c>
      <c r="P123" s="15">
        <v>2025</v>
      </c>
      <c r="Q123" s="15"/>
      <c r="R123" s="16" t="s">
        <v>51</v>
      </c>
      <c r="S123" s="15"/>
      <c r="T123" s="15"/>
      <c r="U123" s="15"/>
      <c r="V123" s="15"/>
      <c r="W123" s="15"/>
    </row>
    <row r="124" spans="1:23" s="17" customFormat="1" ht="14.5" x14ac:dyDescent="0.35">
      <c r="A124" s="12">
        <v>123</v>
      </c>
      <c r="B124" s="25" t="s">
        <v>1301</v>
      </c>
      <c r="C124" s="26" t="s">
        <v>1302</v>
      </c>
      <c r="D124" s="26" t="str">
        <f t="shared" si="6"/>
        <v>Laki-Laki</v>
      </c>
      <c r="E124" s="25" t="s">
        <v>188</v>
      </c>
      <c r="F124" s="25" t="s">
        <v>1180</v>
      </c>
      <c r="G124" s="25" t="s">
        <v>909</v>
      </c>
      <c r="H124" s="19" t="s">
        <v>984</v>
      </c>
      <c r="I124" s="28" t="s">
        <v>563</v>
      </c>
      <c r="J124" s="32" t="s">
        <v>190</v>
      </c>
      <c r="K124" s="32" t="s">
        <v>1293</v>
      </c>
      <c r="L124" s="35" t="s">
        <v>182</v>
      </c>
      <c r="M124" s="21">
        <v>2025</v>
      </c>
      <c r="N124" s="15" t="str">
        <f t="shared" si="5"/>
        <v xml:space="preserve">Juli </v>
      </c>
      <c r="O124" s="15">
        <v>2027</v>
      </c>
      <c r="P124" s="15">
        <v>2025</v>
      </c>
      <c r="Q124" s="15"/>
      <c r="R124" s="16"/>
      <c r="S124" s="15"/>
      <c r="T124" s="15"/>
      <c r="U124" s="15"/>
      <c r="V124" s="15"/>
      <c r="W124" s="15"/>
    </row>
    <row r="125" spans="1:23" ht="13" x14ac:dyDescent="0.3">
      <c r="A125" s="58"/>
      <c r="B125" s="58"/>
      <c r="C125" s="58"/>
      <c r="D125" s="58"/>
      <c r="E125" s="58"/>
      <c r="F125" s="58"/>
      <c r="G125" s="58"/>
      <c r="H125" s="59"/>
      <c r="I125" s="59"/>
      <c r="J125" s="59"/>
      <c r="K125" s="59"/>
      <c r="L125" s="59"/>
      <c r="M125" s="60"/>
      <c r="N125" s="60"/>
      <c r="O125" s="60"/>
      <c r="P125" s="59"/>
      <c r="Q125" s="59"/>
      <c r="R125" s="60"/>
      <c r="S125" s="60"/>
      <c r="T125" s="60"/>
      <c r="U125" s="60"/>
      <c r="V125" s="60"/>
      <c r="W125" s="60"/>
    </row>
    <row r="126" spans="1:23" ht="13" x14ac:dyDescent="0.3">
      <c r="A126" s="58"/>
      <c r="B126" s="58"/>
      <c r="C126" s="58"/>
      <c r="D126" s="58"/>
      <c r="E126" s="58"/>
      <c r="F126" s="58"/>
      <c r="G126" s="58"/>
      <c r="H126" s="59"/>
      <c r="I126" s="59"/>
      <c r="J126" s="59"/>
      <c r="K126" s="59"/>
      <c r="L126" s="59"/>
      <c r="M126" s="60"/>
      <c r="N126" s="60"/>
      <c r="O126" s="60"/>
      <c r="P126" s="59"/>
      <c r="Q126" s="59"/>
      <c r="R126" s="60"/>
      <c r="S126" s="60"/>
      <c r="T126" s="60"/>
      <c r="U126" s="60"/>
      <c r="V126" s="60"/>
      <c r="W126" s="60"/>
    </row>
    <row r="127" spans="1:23" ht="13" x14ac:dyDescent="0.3">
      <c r="A127" s="58"/>
      <c r="B127" s="58"/>
      <c r="C127" s="58"/>
      <c r="D127" s="58"/>
      <c r="E127" s="58"/>
      <c r="F127" s="58"/>
      <c r="G127" s="58"/>
      <c r="H127" s="59"/>
      <c r="I127" s="59"/>
      <c r="J127" s="59"/>
      <c r="K127" s="59"/>
      <c r="L127" s="59"/>
      <c r="M127" s="60"/>
      <c r="N127" s="60"/>
      <c r="O127" s="60"/>
      <c r="P127" s="59"/>
      <c r="Q127" s="59"/>
      <c r="R127" s="60"/>
      <c r="S127" s="60"/>
      <c r="T127" s="60"/>
      <c r="U127" s="60"/>
      <c r="V127" s="60"/>
      <c r="W127" s="60"/>
    </row>
    <row r="128" spans="1:23" ht="13" x14ac:dyDescent="0.3">
      <c r="A128" s="58"/>
      <c r="B128" s="58"/>
      <c r="C128" s="58"/>
      <c r="D128" s="58"/>
      <c r="E128" s="58"/>
      <c r="F128" s="58"/>
      <c r="G128" s="58"/>
      <c r="H128" s="59"/>
      <c r="I128" s="59"/>
      <c r="J128" s="59"/>
      <c r="K128" s="59"/>
      <c r="L128" s="59"/>
      <c r="M128" s="60"/>
      <c r="N128" s="60"/>
      <c r="O128" s="60"/>
      <c r="P128" s="59"/>
      <c r="Q128" s="59"/>
      <c r="R128" s="60"/>
      <c r="S128" s="60"/>
      <c r="T128" s="60"/>
      <c r="U128" s="60"/>
      <c r="V128" s="60"/>
      <c r="W128" s="60"/>
    </row>
    <row r="129" spans="1:23" ht="13" x14ac:dyDescent="0.3">
      <c r="A129" s="58"/>
      <c r="B129" s="58"/>
      <c r="C129" s="58"/>
      <c r="D129" s="58"/>
      <c r="E129" s="58"/>
      <c r="F129" s="58"/>
      <c r="G129" s="58"/>
      <c r="H129" s="59"/>
      <c r="I129" s="59"/>
      <c r="J129" s="59"/>
      <c r="K129" s="59"/>
      <c r="L129" s="59"/>
      <c r="M129" s="60"/>
      <c r="N129" s="60"/>
      <c r="O129" s="60"/>
      <c r="P129" s="59"/>
      <c r="Q129" s="59"/>
      <c r="R129" s="60"/>
      <c r="S129" s="60"/>
      <c r="T129" s="60"/>
      <c r="U129" s="60"/>
      <c r="V129" s="60"/>
      <c r="W129" s="60"/>
    </row>
    <row r="130" spans="1:23" ht="13" x14ac:dyDescent="0.3">
      <c r="A130" s="58"/>
      <c r="B130" s="58"/>
      <c r="C130" s="58"/>
      <c r="D130" s="58"/>
      <c r="E130" s="58"/>
      <c r="F130" s="58"/>
      <c r="G130" s="58"/>
      <c r="H130" s="59"/>
      <c r="I130" s="59"/>
      <c r="J130" s="59"/>
      <c r="K130" s="59"/>
      <c r="L130" s="59"/>
      <c r="M130" s="60"/>
      <c r="N130" s="60"/>
      <c r="O130" s="60"/>
      <c r="P130" s="59"/>
      <c r="Q130" s="59"/>
      <c r="R130" s="60"/>
      <c r="S130" s="60"/>
      <c r="T130" s="60"/>
      <c r="U130" s="60"/>
      <c r="V130" s="60"/>
      <c r="W130" s="60"/>
    </row>
    <row r="131" spans="1:23" ht="13" x14ac:dyDescent="0.3">
      <c r="A131" s="58"/>
      <c r="B131" s="58"/>
      <c r="C131" s="58"/>
      <c r="D131" s="58"/>
      <c r="E131" s="58"/>
      <c r="F131" s="58"/>
      <c r="G131" s="58"/>
      <c r="H131" s="59"/>
      <c r="I131" s="59"/>
      <c r="J131" s="59"/>
      <c r="K131" s="59"/>
      <c r="L131" s="59"/>
      <c r="M131" s="60"/>
      <c r="N131" s="60"/>
      <c r="O131" s="60"/>
      <c r="P131" s="59"/>
      <c r="Q131" s="59"/>
      <c r="R131" s="60"/>
      <c r="S131" s="60"/>
      <c r="T131" s="60"/>
      <c r="U131" s="60"/>
      <c r="V131" s="60"/>
      <c r="W131" s="60"/>
    </row>
    <row r="132" spans="1:23" ht="13" x14ac:dyDescent="0.3">
      <c r="A132" s="58"/>
      <c r="B132" s="58"/>
      <c r="C132" s="58"/>
      <c r="D132" s="58"/>
      <c r="E132" s="58"/>
      <c r="F132" s="58"/>
      <c r="G132" s="58"/>
      <c r="H132" s="59"/>
      <c r="I132" s="59"/>
      <c r="J132" s="59"/>
      <c r="K132" s="59"/>
      <c r="L132" s="59"/>
      <c r="M132" s="60"/>
      <c r="N132" s="60"/>
      <c r="O132" s="60"/>
      <c r="P132" s="59"/>
      <c r="Q132" s="59"/>
      <c r="R132" s="60"/>
      <c r="S132" s="60"/>
      <c r="T132" s="60"/>
      <c r="U132" s="60"/>
      <c r="V132" s="60"/>
      <c r="W132" s="60"/>
    </row>
    <row r="133" spans="1:23" ht="13" x14ac:dyDescent="0.3">
      <c r="A133" s="58"/>
      <c r="B133" s="58"/>
      <c r="C133" s="58"/>
      <c r="D133" s="58"/>
      <c r="E133" s="58"/>
      <c r="F133" s="58"/>
      <c r="G133" s="58"/>
      <c r="H133" s="59"/>
      <c r="I133" s="59"/>
      <c r="J133" s="59"/>
      <c r="K133" s="59"/>
      <c r="L133" s="59"/>
      <c r="M133" s="60"/>
      <c r="N133" s="60"/>
      <c r="O133" s="60"/>
      <c r="P133" s="59"/>
      <c r="Q133" s="59"/>
      <c r="R133" s="60"/>
      <c r="S133" s="60"/>
      <c r="T133" s="60"/>
      <c r="U133" s="60"/>
      <c r="V133" s="60"/>
      <c r="W133" s="60"/>
    </row>
    <row r="134" spans="1:23" ht="13" x14ac:dyDescent="0.3">
      <c r="A134" s="58"/>
      <c r="B134" s="58"/>
      <c r="C134" s="58"/>
      <c r="D134" s="58"/>
      <c r="E134" s="58"/>
      <c r="F134" s="58"/>
      <c r="G134" s="58"/>
      <c r="H134" s="59"/>
      <c r="I134" s="59"/>
      <c r="J134" s="59"/>
      <c r="K134" s="59"/>
      <c r="L134" s="59"/>
      <c r="M134" s="60"/>
      <c r="N134" s="60"/>
      <c r="O134" s="60"/>
      <c r="P134" s="59"/>
      <c r="Q134" s="59"/>
      <c r="R134" s="60"/>
      <c r="S134" s="60"/>
      <c r="T134" s="60"/>
      <c r="U134" s="60"/>
      <c r="V134" s="60"/>
      <c r="W134" s="60"/>
    </row>
    <row r="135" spans="1:23" ht="13" x14ac:dyDescent="0.3">
      <c r="A135" s="58"/>
      <c r="B135" s="58"/>
      <c r="C135" s="58"/>
      <c r="D135" s="58"/>
      <c r="E135" s="58"/>
      <c r="F135" s="58"/>
      <c r="G135" s="58"/>
      <c r="H135" s="59"/>
      <c r="I135" s="59"/>
      <c r="J135" s="59"/>
      <c r="K135" s="59"/>
      <c r="L135" s="59"/>
      <c r="M135" s="60"/>
      <c r="N135" s="60"/>
      <c r="O135" s="60"/>
      <c r="P135" s="59"/>
      <c r="Q135" s="59"/>
      <c r="R135" s="60"/>
      <c r="S135" s="60"/>
      <c r="T135" s="60"/>
      <c r="U135" s="60"/>
      <c r="V135" s="60"/>
      <c r="W135" s="60"/>
    </row>
    <row r="136" spans="1:23" ht="13" x14ac:dyDescent="0.3">
      <c r="A136" s="58"/>
      <c r="B136" s="58"/>
      <c r="C136" s="58"/>
      <c r="D136" s="58"/>
      <c r="E136" s="58"/>
      <c r="F136" s="58"/>
      <c r="G136" s="58"/>
      <c r="H136" s="59"/>
      <c r="I136" s="59"/>
      <c r="J136" s="59"/>
      <c r="K136" s="59"/>
      <c r="L136" s="59"/>
      <c r="M136" s="60"/>
      <c r="N136" s="60"/>
      <c r="O136" s="60"/>
      <c r="P136" s="59"/>
      <c r="Q136" s="59"/>
      <c r="R136" s="60"/>
      <c r="S136" s="60"/>
      <c r="T136" s="60"/>
      <c r="U136" s="60"/>
      <c r="V136" s="60"/>
      <c r="W136" s="60"/>
    </row>
    <row r="137" spans="1:23" ht="13" x14ac:dyDescent="0.3">
      <c r="A137" s="58"/>
      <c r="B137" s="58"/>
      <c r="C137" s="58"/>
      <c r="D137" s="58"/>
      <c r="E137" s="58"/>
      <c r="F137" s="58"/>
      <c r="G137" s="58"/>
      <c r="H137" s="59"/>
      <c r="I137" s="59"/>
      <c r="J137" s="59"/>
      <c r="K137" s="59"/>
      <c r="L137" s="59"/>
      <c r="M137" s="60"/>
      <c r="N137" s="60"/>
      <c r="O137" s="60"/>
      <c r="P137" s="59"/>
      <c r="Q137" s="59"/>
      <c r="R137" s="60"/>
      <c r="S137" s="60"/>
      <c r="T137" s="60"/>
      <c r="U137" s="60"/>
      <c r="V137" s="60"/>
      <c r="W137" s="60"/>
    </row>
    <row r="138" spans="1:23" ht="13" x14ac:dyDescent="0.3">
      <c r="A138" s="58"/>
      <c r="B138" s="58"/>
      <c r="C138" s="58"/>
      <c r="D138" s="58"/>
      <c r="E138" s="58"/>
      <c r="F138" s="58"/>
      <c r="G138" s="58"/>
      <c r="H138" s="59"/>
      <c r="I138" s="59"/>
      <c r="J138" s="59"/>
      <c r="K138" s="59"/>
      <c r="L138" s="59"/>
      <c r="M138" s="60"/>
      <c r="N138" s="60"/>
      <c r="O138" s="60"/>
      <c r="P138" s="59"/>
      <c r="Q138" s="59"/>
      <c r="R138" s="60"/>
      <c r="S138" s="60"/>
      <c r="T138" s="60"/>
      <c r="U138" s="60"/>
      <c r="V138" s="60"/>
      <c r="W138" s="60"/>
    </row>
    <row r="139" spans="1:23" ht="13" x14ac:dyDescent="0.3">
      <c r="A139" s="58"/>
      <c r="B139" s="58"/>
      <c r="C139" s="58"/>
      <c r="D139" s="58"/>
      <c r="E139" s="58"/>
      <c r="F139" s="58"/>
      <c r="G139" s="58"/>
      <c r="H139" s="59"/>
      <c r="I139" s="59"/>
      <c r="J139" s="59"/>
      <c r="K139" s="59"/>
      <c r="L139" s="59"/>
      <c r="M139" s="60"/>
      <c r="N139" s="60"/>
      <c r="O139" s="60"/>
      <c r="P139" s="59"/>
      <c r="Q139" s="59"/>
      <c r="R139" s="60"/>
      <c r="S139" s="60"/>
      <c r="T139" s="60"/>
      <c r="U139" s="60"/>
      <c r="V139" s="60"/>
      <c r="W139" s="60"/>
    </row>
    <row r="140" spans="1:23" ht="13" x14ac:dyDescent="0.3">
      <c r="A140" s="58"/>
      <c r="B140" s="58"/>
      <c r="C140" s="58"/>
      <c r="D140" s="58"/>
      <c r="E140" s="58"/>
      <c r="F140" s="58"/>
      <c r="G140" s="58"/>
      <c r="H140" s="59"/>
      <c r="I140" s="59"/>
      <c r="J140" s="59"/>
      <c r="K140" s="59"/>
      <c r="L140" s="59"/>
      <c r="M140" s="60"/>
      <c r="N140" s="60"/>
      <c r="O140" s="60"/>
      <c r="P140" s="59"/>
      <c r="Q140" s="59"/>
      <c r="R140" s="60"/>
      <c r="S140" s="60"/>
      <c r="T140" s="60"/>
      <c r="U140" s="60"/>
      <c r="V140" s="60"/>
      <c r="W140" s="60"/>
    </row>
    <row r="141" spans="1:23" ht="13" x14ac:dyDescent="0.3">
      <c r="A141" s="58"/>
      <c r="B141" s="58"/>
      <c r="C141" s="58"/>
      <c r="D141" s="58"/>
      <c r="E141" s="58"/>
      <c r="F141" s="58"/>
      <c r="G141" s="58"/>
      <c r="H141" s="59"/>
      <c r="I141" s="59"/>
      <c r="J141" s="59"/>
      <c r="K141" s="59"/>
      <c r="L141" s="59"/>
      <c r="M141" s="60"/>
      <c r="N141" s="60"/>
      <c r="O141" s="60"/>
      <c r="P141" s="59"/>
      <c r="Q141" s="59"/>
      <c r="R141" s="60"/>
      <c r="S141" s="60"/>
      <c r="T141" s="60"/>
      <c r="U141" s="60"/>
      <c r="V141" s="60"/>
      <c r="W141" s="60"/>
    </row>
    <row r="142" spans="1:23" ht="13" x14ac:dyDescent="0.3">
      <c r="A142" s="58"/>
      <c r="B142" s="58"/>
      <c r="C142" s="58"/>
      <c r="D142" s="58"/>
      <c r="E142" s="58"/>
      <c r="F142" s="58"/>
      <c r="G142" s="58"/>
      <c r="H142" s="59"/>
      <c r="I142" s="59"/>
      <c r="J142" s="59"/>
      <c r="K142" s="59"/>
      <c r="L142" s="59"/>
      <c r="M142" s="60"/>
      <c r="N142" s="60"/>
      <c r="O142" s="60"/>
      <c r="P142" s="59"/>
      <c r="Q142" s="59"/>
      <c r="R142" s="60"/>
      <c r="S142" s="60"/>
      <c r="T142" s="60"/>
      <c r="U142" s="60"/>
      <c r="V142" s="60"/>
      <c r="W142" s="60"/>
    </row>
    <row r="143" spans="1:23" ht="13" x14ac:dyDescent="0.3">
      <c r="A143" s="58"/>
      <c r="B143" s="58"/>
      <c r="C143" s="58"/>
      <c r="D143" s="58"/>
      <c r="E143" s="58"/>
      <c r="F143" s="58"/>
      <c r="G143" s="58"/>
      <c r="H143" s="59"/>
      <c r="I143" s="59"/>
      <c r="J143" s="59"/>
      <c r="K143" s="59"/>
      <c r="L143" s="59"/>
      <c r="M143" s="60"/>
      <c r="N143" s="60"/>
      <c r="O143" s="60"/>
      <c r="P143" s="59"/>
      <c r="Q143" s="59"/>
      <c r="R143" s="60"/>
      <c r="S143" s="60"/>
      <c r="T143" s="60"/>
      <c r="U143" s="60"/>
      <c r="V143" s="60"/>
      <c r="W143" s="60"/>
    </row>
    <row r="144" spans="1:23" ht="13" x14ac:dyDescent="0.3">
      <c r="A144" s="58"/>
      <c r="B144" s="58"/>
      <c r="C144" s="58"/>
      <c r="D144" s="58"/>
      <c r="E144" s="58"/>
      <c r="F144" s="58"/>
      <c r="G144" s="58"/>
      <c r="H144" s="59"/>
      <c r="I144" s="59"/>
      <c r="J144" s="59"/>
      <c r="K144" s="59"/>
      <c r="L144" s="59"/>
      <c r="M144" s="60"/>
      <c r="N144" s="60"/>
      <c r="O144" s="60"/>
      <c r="P144" s="59"/>
      <c r="Q144" s="59"/>
      <c r="R144" s="60"/>
      <c r="S144" s="60"/>
      <c r="T144" s="60"/>
      <c r="U144" s="60"/>
      <c r="V144" s="60"/>
      <c r="W144" s="60"/>
    </row>
    <row r="145" spans="1:23" ht="13" x14ac:dyDescent="0.3">
      <c r="A145" s="58"/>
      <c r="B145" s="58"/>
      <c r="C145" s="58"/>
      <c r="D145" s="58"/>
      <c r="E145" s="58"/>
      <c r="F145" s="58"/>
      <c r="G145" s="58"/>
      <c r="H145" s="59"/>
      <c r="I145" s="59"/>
      <c r="J145" s="59"/>
      <c r="K145" s="59"/>
      <c r="L145" s="59"/>
      <c r="M145" s="60"/>
      <c r="N145" s="60"/>
      <c r="O145" s="60"/>
      <c r="P145" s="59"/>
      <c r="Q145" s="59"/>
      <c r="R145" s="60"/>
      <c r="S145" s="60"/>
      <c r="T145" s="60"/>
      <c r="U145" s="60"/>
      <c r="V145" s="60"/>
      <c r="W145" s="60"/>
    </row>
    <row r="146" spans="1:23" ht="13" x14ac:dyDescent="0.3">
      <c r="A146" s="58"/>
      <c r="B146" s="58"/>
      <c r="C146" s="58"/>
      <c r="D146" s="58"/>
      <c r="E146" s="58"/>
      <c r="F146" s="58"/>
      <c r="G146" s="58"/>
      <c r="H146" s="59"/>
      <c r="I146" s="59"/>
      <c r="J146" s="59"/>
      <c r="K146" s="59"/>
      <c r="L146" s="59"/>
      <c r="M146" s="60"/>
      <c r="N146" s="60"/>
      <c r="O146" s="60"/>
      <c r="P146" s="59"/>
      <c r="Q146" s="59"/>
      <c r="R146" s="60"/>
      <c r="S146" s="60"/>
      <c r="T146" s="60"/>
      <c r="U146" s="60"/>
      <c r="V146" s="60"/>
      <c r="W146" s="60"/>
    </row>
    <row r="147" spans="1:23" ht="13" x14ac:dyDescent="0.3">
      <c r="A147" s="58"/>
      <c r="B147" s="58"/>
      <c r="C147" s="58"/>
      <c r="D147" s="58"/>
      <c r="E147" s="58"/>
      <c r="F147" s="58"/>
      <c r="G147" s="58"/>
      <c r="H147" s="59"/>
      <c r="I147" s="59"/>
      <c r="J147" s="59"/>
      <c r="K147" s="59"/>
      <c r="L147" s="59"/>
      <c r="M147" s="60"/>
      <c r="N147" s="60"/>
      <c r="O147" s="60"/>
      <c r="P147" s="59"/>
      <c r="Q147" s="59"/>
      <c r="R147" s="60"/>
      <c r="S147" s="60"/>
      <c r="T147" s="60"/>
      <c r="U147" s="60"/>
      <c r="V147" s="60"/>
      <c r="W147" s="60"/>
    </row>
    <row r="148" spans="1:23" ht="13" x14ac:dyDescent="0.3">
      <c r="A148" s="58"/>
      <c r="B148" s="58"/>
      <c r="C148" s="58"/>
      <c r="D148" s="58"/>
      <c r="E148" s="58"/>
      <c r="F148" s="58"/>
      <c r="G148" s="58"/>
      <c r="H148" s="59"/>
      <c r="I148" s="59"/>
      <c r="J148" s="59"/>
      <c r="K148" s="59"/>
      <c r="L148" s="59"/>
      <c r="M148" s="60"/>
      <c r="N148" s="60"/>
      <c r="O148" s="60"/>
      <c r="P148" s="59"/>
      <c r="Q148" s="59"/>
      <c r="R148" s="60"/>
      <c r="S148" s="60"/>
      <c r="T148" s="60"/>
      <c r="U148" s="60"/>
      <c r="V148" s="60"/>
      <c r="W148" s="60"/>
    </row>
    <row r="149" spans="1:23" ht="13" x14ac:dyDescent="0.3">
      <c r="A149" s="58"/>
      <c r="B149" s="58"/>
      <c r="C149" s="58"/>
      <c r="D149" s="58"/>
      <c r="E149" s="58"/>
      <c r="F149" s="58"/>
      <c r="G149" s="58"/>
      <c r="H149" s="59"/>
      <c r="I149" s="59"/>
      <c r="J149" s="59"/>
      <c r="K149" s="59"/>
      <c r="L149" s="59"/>
      <c r="M149" s="60"/>
      <c r="N149" s="60"/>
      <c r="O149" s="60"/>
      <c r="P149" s="59"/>
      <c r="Q149" s="59"/>
      <c r="R149" s="60"/>
      <c r="S149" s="60"/>
      <c r="T149" s="60"/>
      <c r="U149" s="60"/>
      <c r="V149" s="60"/>
      <c r="W149" s="60"/>
    </row>
    <row r="150" spans="1:23" ht="13" x14ac:dyDescent="0.3">
      <c r="A150" s="58"/>
      <c r="B150" s="58"/>
      <c r="C150" s="58"/>
      <c r="D150" s="58"/>
      <c r="E150" s="58"/>
      <c r="F150" s="58"/>
      <c r="G150" s="58"/>
      <c r="H150" s="59"/>
      <c r="I150" s="59"/>
      <c r="J150" s="59"/>
      <c r="K150" s="59"/>
      <c r="L150" s="59"/>
      <c r="M150" s="60"/>
      <c r="N150" s="60"/>
      <c r="O150" s="60"/>
      <c r="P150" s="59"/>
      <c r="Q150" s="59"/>
      <c r="R150" s="60"/>
      <c r="S150" s="60"/>
      <c r="T150" s="60"/>
      <c r="U150" s="60"/>
      <c r="V150" s="60"/>
      <c r="W150" s="60"/>
    </row>
    <row r="151" spans="1:23" ht="13" x14ac:dyDescent="0.3">
      <c r="A151" s="58"/>
      <c r="B151" s="58"/>
      <c r="C151" s="58"/>
      <c r="D151" s="58"/>
      <c r="E151" s="58"/>
      <c r="F151" s="58"/>
      <c r="G151" s="58"/>
      <c r="H151" s="59"/>
      <c r="I151" s="59"/>
      <c r="J151" s="59"/>
      <c r="K151" s="59"/>
      <c r="L151" s="59"/>
      <c r="M151" s="60"/>
      <c r="N151" s="60"/>
      <c r="O151" s="60"/>
      <c r="P151" s="59"/>
      <c r="Q151" s="59"/>
      <c r="R151" s="60"/>
      <c r="S151" s="60"/>
      <c r="T151" s="60"/>
      <c r="U151" s="60"/>
      <c r="V151" s="60"/>
      <c r="W151" s="60"/>
    </row>
    <row r="152" spans="1:23" ht="13" x14ac:dyDescent="0.3">
      <c r="A152" s="58"/>
      <c r="B152" s="58"/>
      <c r="C152" s="58"/>
      <c r="D152" s="58"/>
      <c r="E152" s="58"/>
      <c r="F152" s="58"/>
      <c r="G152" s="58"/>
      <c r="H152" s="59"/>
      <c r="I152" s="59"/>
      <c r="J152" s="59"/>
      <c r="K152" s="59"/>
      <c r="L152" s="59"/>
      <c r="M152" s="60"/>
      <c r="N152" s="60"/>
      <c r="O152" s="60"/>
      <c r="P152" s="59"/>
      <c r="Q152" s="59"/>
      <c r="R152" s="60"/>
      <c r="S152" s="60"/>
      <c r="T152" s="60"/>
      <c r="U152" s="60"/>
      <c r="V152" s="60"/>
      <c r="W152" s="60"/>
    </row>
    <row r="153" spans="1:23" ht="13" x14ac:dyDescent="0.3">
      <c r="A153" s="58"/>
      <c r="B153" s="58"/>
      <c r="C153" s="58"/>
      <c r="D153" s="58"/>
      <c r="E153" s="58"/>
      <c r="F153" s="58"/>
      <c r="G153" s="58"/>
      <c r="H153" s="59"/>
      <c r="I153" s="59"/>
      <c r="J153" s="59"/>
      <c r="K153" s="59"/>
      <c r="L153" s="59"/>
      <c r="M153" s="60"/>
      <c r="N153" s="60"/>
      <c r="O153" s="60"/>
      <c r="P153" s="59"/>
      <c r="Q153" s="59"/>
      <c r="R153" s="60"/>
      <c r="S153" s="60"/>
      <c r="T153" s="60"/>
      <c r="U153" s="60"/>
      <c r="V153" s="60"/>
      <c r="W153" s="60"/>
    </row>
    <row r="154" spans="1:23" ht="13" x14ac:dyDescent="0.3">
      <c r="A154" s="58"/>
      <c r="B154" s="58"/>
      <c r="C154" s="58"/>
      <c r="D154" s="58"/>
      <c r="E154" s="58"/>
      <c r="F154" s="58"/>
      <c r="G154" s="58"/>
      <c r="H154" s="59"/>
      <c r="I154" s="59"/>
      <c r="J154" s="59"/>
      <c r="K154" s="59"/>
      <c r="L154" s="59"/>
      <c r="M154" s="60"/>
      <c r="N154" s="60"/>
      <c r="O154" s="60"/>
      <c r="P154" s="59"/>
      <c r="Q154" s="59"/>
      <c r="R154" s="60"/>
      <c r="S154" s="60"/>
      <c r="T154" s="60"/>
      <c r="U154" s="60"/>
      <c r="V154" s="60"/>
      <c r="W154" s="60"/>
    </row>
    <row r="155" spans="1:23" ht="13" x14ac:dyDescent="0.3">
      <c r="A155" s="58"/>
      <c r="B155" s="58"/>
      <c r="C155" s="58"/>
      <c r="D155" s="58"/>
      <c r="E155" s="58"/>
      <c r="F155" s="58"/>
      <c r="G155" s="58"/>
      <c r="H155" s="59"/>
      <c r="I155" s="59"/>
      <c r="J155" s="59"/>
      <c r="K155" s="59"/>
      <c r="L155" s="59"/>
      <c r="M155" s="60"/>
      <c r="N155" s="60"/>
      <c r="O155" s="60"/>
      <c r="P155" s="59"/>
      <c r="Q155" s="59"/>
      <c r="R155" s="60"/>
      <c r="S155" s="60"/>
      <c r="T155" s="60"/>
      <c r="U155" s="60"/>
      <c r="V155" s="60"/>
      <c r="W155" s="60"/>
    </row>
    <row r="156" spans="1:23" ht="13" x14ac:dyDescent="0.3">
      <c r="A156" s="58"/>
      <c r="B156" s="58"/>
      <c r="C156" s="58"/>
      <c r="D156" s="58"/>
      <c r="E156" s="58"/>
      <c r="F156" s="58"/>
      <c r="G156" s="58"/>
      <c r="H156" s="59"/>
      <c r="I156" s="59"/>
      <c r="J156" s="59"/>
      <c r="K156" s="59"/>
      <c r="L156" s="59"/>
      <c r="M156" s="60"/>
      <c r="N156" s="60"/>
      <c r="O156" s="60"/>
      <c r="P156" s="59"/>
      <c r="Q156" s="59"/>
      <c r="R156" s="60"/>
      <c r="S156" s="60"/>
      <c r="T156" s="60"/>
      <c r="U156" s="60"/>
      <c r="V156" s="60"/>
      <c r="W156" s="60"/>
    </row>
    <row r="157" spans="1:23" ht="13" x14ac:dyDescent="0.3">
      <c r="A157" s="58"/>
      <c r="B157" s="58"/>
      <c r="C157" s="58"/>
      <c r="D157" s="58"/>
      <c r="E157" s="58"/>
      <c r="F157" s="58"/>
      <c r="G157" s="58"/>
      <c r="H157" s="59"/>
      <c r="I157" s="59"/>
      <c r="J157" s="59"/>
      <c r="K157" s="59"/>
      <c r="L157" s="59"/>
      <c r="M157" s="60"/>
      <c r="N157" s="60"/>
      <c r="O157" s="60"/>
      <c r="P157" s="59"/>
      <c r="Q157" s="59"/>
      <c r="R157" s="60"/>
      <c r="S157" s="60"/>
      <c r="T157" s="60"/>
      <c r="U157" s="60"/>
      <c r="V157" s="60"/>
      <c r="W157" s="60"/>
    </row>
    <row r="158" spans="1:23" ht="13" x14ac:dyDescent="0.3">
      <c r="A158" s="58"/>
      <c r="B158" s="58"/>
      <c r="C158" s="58"/>
      <c r="D158" s="58"/>
      <c r="E158" s="58"/>
      <c r="F158" s="58"/>
      <c r="G158" s="58"/>
      <c r="H158" s="59"/>
      <c r="I158" s="59"/>
      <c r="J158" s="59"/>
      <c r="K158" s="59"/>
      <c r="L158" s="59"/>
      <c r="M158" s="60"/>
      <c r="N158" s="60"/>
      <c r="O158" s="60"/>
      <c r="P158" s="59"/>
      <c r="Q158" s="59"/>
      <c r="R158" s="60"/>
      <c r="S158" s="60"/>
      <c r="T158" s="60"/>
      <c r="U158" s="60"/>
      <c r="V158" s="60"/>
      <c r="W158" s="60"/>
    </row>
    <row r="159" spans="1:23" ht="13" x14ac:dyDescent="0.3">
      <c r="A159" s="58"/>
      <c r="B159" s="58"/>
      <c r="C159" s="58"/>
      <c r="D159" s="58"/>
      <c r="E159" s="58"/>
      <c r="F159" s="58"/>
      <c r="G159" s="58"/>
      <c r="H159" s="59"/>
      <c r="I159" s="59"/>
      <c r="J159" s="59"/>
      <c r="K159" s="59"/>
      <c r="L159" s="59"/>
      <c r="M159" s="60"/>
      <c r="N159" s="60"/>
      <c r="O159" s="60"/>
      <c r="P159" s="59"/>
      <c r="Q159" s="59"/>
      <c r="R159" s="60"/>
      <c r="S159" s="60"/>
      <c r="T159" s="60"/>
      <c r="U159" s="60"/>
      <c r="V159" s="60"/>
      <c r="W159" s="60"/>
    </row>
    <row r="160" spans="1:23" ht="13" x14ac:dyDescent="0.3">
      <c r="A160" s="58"/>
      <c r="B160" s="58"/>
      <c r="C160" s="58"/>
      <c r="D160" s="58"/>
      <c r="E160" s="58"/>
      <c r="F160" s="58"/>
      <c r="G160" s="58"/>
      <c r="H160" s="59"/>
      <c r="I160" s="59"/>
      <c r="J160" s="59"/>
      <c r="K160" s="59"/>
      <c r="L160" s="59"/>
      <c r="M160" s="60"/>
      <c r="N160" s="60"/>
      <c r="O160" s="60"/>
      <c r="P160" s="59"/>
      <c r="Q160" s="59"/>
      <c r="R160" s="60"/>
      <c r="S160" s="60"/>
      <c r="T160" s="60"/>
      <c r="U160" s="60"/>
      <c r="V160" s="60"/>
      <c r="W160" s="60"/>
    </row>
    <row r="161" spans="1:23" ht="13" x14ac:dyDescent="0.3">
      <c r="A161" s="58"/>
      <c r="B161" s="58"/>
      <c r="C161" s="58"/>
      <c r="D161" s="58"/>
      <c r="E161" s="58"/>
      <c r="F161" s="58"/>
      <c r="G161" s="58"/>
      <c r="H161" s="59"/>
      <c r="I161" s="59"/>
      <c r="J161" s="59"/>
      <c r="K161" s="59"/>
      <c r="L161" s="59"/>
      <c r="M161" s="60"/>
      <c r="N161" s="60"/>
      <c r="O161" s="60"/>
      <c r="P161" s="59"/>
      <c r="Q161" s="59"/>
      <c r="R161" s="60"/>
      <c r="S161" s="60"/>
      <c r="T161" s="60"/>
      <c r="U161" s="60"/>
      <c r="V161" s="60"/>
      <c r="W161" s="60"/>
    </row>
    <row r="162" spans="1:23" ht="13" x14ac:dyDescent="0.3">
      <c r="A162" s="58"/>
      <c r="B162" s="58"/>
      <c r="C162" s="58"/>
      <c r="D162" s="58"/>
      <c r="E162" s="58"/>
      <c r="F162" s="58"/>
      <c r="G162" s="58"/>
      <c r="H162" s="59"/>
      <c r="I162" s="59"/>
      <c r="J162" s="59"/>
      <c r="K162" s="59"/>
      <c r="L162" s="59"/>
      <c r="M162" s="60"/>
      <c r="N162" s="60"/>
      <c r="O162" s="60"/>
      <c r="P162" s="59"/>
      <c r="Q162" s="59"/>
      <c r="R162" s="60"/>
      <c r="S162" s="60"/>
      <c r="T162" s="60"/>
      <c r="U162" s="60"/>
      <c r="V162" s="60"/>
      <c r="W162" s="60"/>
    </row>
    <row r="163" spans="1:23" ht="13" x14ac:dyDescent="0.3">
      <c r="A163" s="58"/>
      <c r="B163" s="58"/>
      <c r="C163" s="58"/>
      <c r="D163" s="58"/>
      <c r="E163" s="58"/>
      <c r="F163" s="58"/>
      <c r="G163" s="58"/>
      <c r="H163" s="59"/>
      <c r="I163" s="59"/>
      <c r="J163" s="59"/>
      <c r="K163" s="59"/>
      <c r="L163" s="59"/>
      <c r="M163" s="60"/>
      <c r="N163" s="60"/>
      <c r="O163" s="60"/>
      <c r="P163" s="59"/>
      <c r="Q163" s="59"/>
      <c r="R163" s="60"/>
      <c r="S163" s="60"/>
      <c r="T163" s="60"/>
      <c r="U163" s="60"/>
      <c r="V163" s="60"/>
      <c r="W163" s="60"/>
    </row>
    <row r="164" spans="1:23" ht="13" x14ac:dyDescent="0.3">
      <c r="A164" s="58"/>
      <c r="B164" s="58"/>
      <c r="C164" s="58"/>
      <c r="D164" s="58"/>
      <c r="E164" s="58"/>
      <c r="F164" s="58"/>
      <c r="G164" s="58"/>
      <c r="H164" s="59"/>
      <c r="I164" s="59"/>
      <c r="J164" s="59"/>
      <c r="K164" s="59"/>
      <c r="L164" s="59"/>
      <c r="M164" s="60"/>
      <c r="N164" s="60"/>
      <c r="O164" s="60"/>
      <c r="P164" s="59"/>
      <c r="Q164" s="59"/>
      <c r="R164" s="60"/>
      <c r="S164" s="60"/>
      <c r="T164" s="60"/>
      <c r="U164" s="60"/>
      <c r="V164" s="60"/>
      <c r="W164" s="60"/>
    </row>
    <row r="165" spans="1:23" ht="13" x14ac:dyDescent="0.3">
      <c r="A165" s="58"/>
      <c r="B165" s="58"/>
      <c r="C165" s="58"/>
      <c r="D165" s="58"/>
      <c r="E165" s="58"/>
      <c r="F165" s="58"/>
      <c r="G165" s="58"/>
      <c r="H165" s="59"/>
      <c r="I165" s="59"/>
      <c r="J165" s="59"/>
      <c r="K165" s="59"/>
      <c r="L165" s="59"/>
      <c r="M165" s="60"/>
      <c r="N165" s="60"/>
      <c r="O165" s="60"/>
      <c r="P165" s="59"/>
      <c r="Q165" s="59"/>
      <c r="R165" s="60"/>
      <c r="S165" s="60"/>
      <c r="T165" s="60"/>
      <c r="U165" s="60"/>
      <c r="V165" s="60"/>
      <c r="W165" s="60"/>
    </row>
    <row r="166" spans="1:23" ht="13" x14ac:dyDescent="0.3">
      <c r="A166" s="58"/>
      <c r="B166" s="58"/>
      <c r="C166" s="58"/>
      <c r="D166" s="58"/>
      <c r="E166" s="58"/>
      <c r="F166" s="58"/>
      <c r="G166" s="58"/>
      <c r="H166" s="59"/>
      <c r="I166" s="59"/>
      <c r="J166" s="59"/>
      <c r="K166" s="59"/>
      <c r="L166" s="59"/>
      <c r="M166" s="60"/>
      <c r="N166" s="60"/>
      <c r="O166" s="60"/>
      <c r="P166" s="59"/>
      <c r="Q166" s="59"/>
      <c r="R166" s="60"/>
      <c r="S166" s="60"/>
      <c r="T166" s="60"/>
      <c r="U166" s="60"/>
      <c r="V166" s="60"/>
      <c r="W166" s="60"/>
    </row>
    <row r="167" spans="1:23" ht="13" x14ac:dyDescent="0.3">
      <c r="A167" s="58"/>
      <c r="B167" s="58"/>
      <c r="C167" s="58"/>
      <c r="D167" s="58"/>
      <c r="E167" s="58"/>
      <c r="F167" s="58"/>
      <c r="G167" s="58"/>
      <c r="H167" s="59"/>
      <c r="I167" s="59"/>
      <c r="J167" s="59"/>
      <c r="K167" s="59"/>
      <c r="L167" s="59"/>
      <c r="M167" s="60"/>
      <c r="N167" s="60"/>
      <c r="O167" s="60"/>
      <c r="P167" s="59"/>
      <c r="Q167" s="59"/>
      <c r="R167" s="60"/>
      <c r="S167" s="60"/>
      <c r="T167" s="60"/>
      <c r="U167" s="60"/>
      <c r="V167" s="60"/>
      <c r="W167" s="60"/>
    </row>
    <row r="168" spans="1:23" ht="13" x14ac:dyDescent="0.3">
      <c r="A168" s="58"/>
      <c r="B168" s="58"/>
      <c r="C168" s="58"/>
      <c r="D168" s="58"/>
      <c r="E168" s="58"/>
      <c r="F168" s="58"/>
      <c r="G168" s="58"/>
      <c r="H168" s="59"/>
      <c r="I168" s="59"/>
      <c r="J168" s="59"/>
      <c r="K168" s="59"/>
      <c r="L168" s="59"/>
      <c r="M168" s="60"/>
      <c r="N168" s="60"/>
      <c r="O168" s="60"/>
      <c r="P168" s="59"/>
      <c r="Q168" s="59"/>
      <c r="R168" s="60"/>
      <c r="S168" s="60"/>
      <c r="T168" s="60"/>
      <c r="U168" s="60"/>
      <c r="V168" s="60"/>
      <c r="W168" s="60"/>
    </row>
    <row r="169" spans="1:23" ht="13" x14ac:dyDescent="0.3">
      <c r="A169" s="58"/>
      <c r="B169" s="58"/>
      <c r="C169" s="58"/>
      <c r="D169" s="58"/>
      <c r="E169" s="58"/>
      <c r="F169" s="58"/>
      <c r="G169" s="58"/>
      <c r="H169" s="59"/>
      <c r="I169" s="59"/>
      <c r="J169" s="59"/>
      <c r="K169" s="59"/>
      <c r="L169" s="59"/>
      <c r="M169" s="60"/>
      <c r="N169" s="60"/>
      <c r="O169" s="60"/>
      <c r="P169" s="59"/>
      <c r="Q169" s="59"/>
      <c r="R169" s="60"/>
      <c r="S169" s="60"/>
      <c r="T169" s="60"/>
      <c r="U169" s="60"/>
      <c r="V169" s="60"/>
      <c r="W169" s="60"/>
    </row>
    <row r="170" spans="1:23" ht="13" x14ac:dyDescent="0.3">
      <c r="A170" s="58"/>
      <c r="B170" s="58"/>
      <c r="C170" s="58"/>
      <c r="D170" s="58"/>
      <c r="E170" s="58"/>
      <c r="F170" s="58"/>
      <c r="G170" s="58"/>
      <c r="H170" s="59"/>
      <c r="I170" s="59"/>
      <c r="J170" s="59"/>
      <c r="K170" s="59"/>
      <c r="L170" s="59"/>
      <c r="M170" s="60"/>
      <c r="N170" s="60"/>
      <c r="O170" s="60"/>
      <c r="P170" s="59"/>
      <c r="Q170" s="59"/>
      <c r="R170" s="60"/>
      <c r="S170" s="60"/>
      <c r="T170" s="60"/>
      <c r="U170" s="60"/>
      <c r="V170" s="60"/>
      <c r="W170" s="60"/>
    </row>
    <row r="171" spans="1:23" ht="13" x14ac:dyDescent="0.3">
      <c r="A171" s="58"/>
      <c r="B171" s="58"/>
      <c r="C171" s="58"/>
      <c r="D171" s="58"/>
      <c r="E171" s="58"/>
      <c r="F171" s="58"/>
      <c r="G171" s="58"/>
      <c r="H171" s="59"/>
      <c r="I171" s="59"/>
      <c r="J171" s="59"/>
      <c r="K171" s="59"/>
      <c r="L171" s="59"/>
      <c r="M171" s="60"/>
      <c r="N171" s="60"/>
      <c r="O171" s="60"/>
      <c r="P171" s="59"/>
      <c r="Q171" s="59"/>
      <c r="R171" s="60"/>
      <c r="S171" s="60"/>
      <c r="T171" s="60"/>
      <c r="U171" s="60"/>
      <c r="V171" s="60"/>
      <c r="W171" s="60"/>
    </row>
    <row r="172" spans="1:23" ht="13" x14ac:dyDescent="0.3">
      <c r="A172" s="58"/>
      <c r="B172" s="58"/>
      <c r="C172" s="58"/>
      <c r="D172" s="58"/>
      <c r="E172" s="58"/>
      <c r="F172" s="58"/>
      <c r="G172" s="58"/>
      <c r="H172" s="59"/>
      <c r="I172" s="59"/>
      <c r="J172" s="59"/>
      <c r="K172" s="59"/>
      <c r="L172" s="59"/>
      <c r="M172" s="60"/>
      <c r="N172" s="60"/>
      <c r="O172" s="60"/>
      <c r="P172" s="59"/>
      <c r="Q172" s="59"/>
      <c r="R172" s="60"/>
      <c r="S172" s="60"/>
      <c r="T172" s="60"/>
      <c r="U172" s="60"/>
      <c r="V172" s="60"/>
      <c r="W172" s="60"/>
    </row>
    <row r="173" spans="1:23" ht="13" x14ac:dyDescent="0.3">
      <c r="A173" s="58"/>
      <c r="B173" s="58"/>
      <c r="C173" s="58"/>
      <c r="D173" s="58"/>
      <c r="E173" s="58"/>
      <c r="F173" s="58"/>
      <c r="G173" s="58"/>
      <c r="H173" s="59"/>
      <c r="I173" s="59"/>
      <c r="J173" s="59"/>
      <c r="K173" s="59"/>
      <c r="L173" s="59"/>
      <c r="M173" s="60"/>
      <c r="N173" s="60"/>
      <c r="O173" s="60"/>
      <c r="P173" s="59"/>
      <c r="Q173" s="59"/>
      <c r="R173" s="60"/>
      <c r="S173" s="60"/>
      <c r="T173" s="60"/>
      <c r="U173" s="60"/>
      <c r="V173" s="60"/>
      <c r="W173" s="60"/>
    </row>
    <row r="174" spans="1:23" ht="13" x14ac:dyDescent="0.3">
      <c r="A174" s="58"/>
      <c r="B174" s="58"/>
      <c r="C174" s="58"/>
      <c r="D174" s="58"/>
      <c r="E174" s="58"/>
      <c r="F174" s="58"/>
      <c r="G174" s="58"/>
      <c r="H174" s="59"/>
      <c r="I174" s="59"/>
      <c r="J174" s="59"/>
      <c r="K174" s="59"/>
      <c r="L174" s="59"/>
      <c r="M174" s="60"/>
      <c r="N174" s="60"/>
      <c r="O174" s="60"/>
      <c r="P174" s="59"/>
      <c r="Q174" s="59"/>
      <c r="R174" s="60"/>
      <c r="S174" s="60"/>
      <c r="T174" s="60"/>
      <c r="U174" s="60"/>
      <c r="V174" s="60"/>
      <c r="W174" s="60"/>
    </row>
    <row r="175" spans="1:23" ht="13" x14ac:dyDescent="0.3">
      <c r="A175" s="58"/>
      <c r="B175" s="58"/>
      <c r="C175" s="58"/>
      <c r="D175" s="58"/>
      <c r="E175" s="58"/>
      <c r="F175" s="58"/>
      <c r="G175" s="58"/>
      <c r="H175" s="59"/>
      <c r="I175" s="59"/>
      <c r="J175" s="59"/>
      <c r="K175" s="59"/>
      <c r="L175" s="59"/>
      <c r="M175" s="60"/>
      <c r="N175" s="60"/>
      <c r="O175" s="60"/>
      <c r="P175" s="59"/>
      <c r="Q175" s="59"/>
      <c r="R175" s="60"/>
      <c r="S175" s="60"/>
      <c r="T175" s="60"/>
      <c r="U175" s="60"/>
      <c r="V175" s="60"/>
      <c r="W175" s="60"/>
    </row>
    <row r="176" spans="1:23" ht="13" x14ac:dyDescent="0.3">
      <c r="A176" s="58"/>
      <c r="B176" s="58"/>
      <c r="C176" s="58"/>
      <c r="D176" s="58"/>
      <c r="E176" s="58"/>
      <c r="F176" s="58"/>
      <c r="G176" s="58"/>
      <c r="H176" s="59"/>
      <c r="I176" s="59"/>
      <c r="J176" s="59"/>
      <c r="K176" s="59"/>
      <c r="L176" s="59"/>
      <c r="M176" s="60"/>
      <c r="N176" s="60"/>
      <c r="O176" s="60"/>
      <c r="P176" s="59"/>
      <c r="Q176" s="59"/>
      <c r="R176" s="60"/>
      <c r="S176" s="60"/>
      <c r="T176" s="60"/>
      <c r="U176" s="60"/>
      <c r="V176" s="60"/>
      <c r="W176" s="60"/>
    </row>
    <row r="177" spans="1:23" ht="13" x14ac:dyDescent="0.3">
      <c r="A177" s="58"/>
      <c r="B177" s="58"/>
      <c r="C177" s="58"/>
      <c r="D177" s="58"/>
      <c r="E177" s="58"/>
      <c r="F177" s="58"/>
      <c r="G177" s="58"/>
      <c r="H177" s="59"/>
      <c r="I177" s="59"/>
      <c r="J177" s="59"/>
      <c r="K177" s="59"/>
      <c r="L177" s="59"/>
      <c r="M177" s="60"/>
      <c r="N177" s="60"/>
      <c r="O177" s="60"/>
      <c r="P177" s="59"/>
      <c r="Q177" s="59"/>
      <c r="R177" s="60"/>
      <c r="S177" s="60"/>
      <c r="T177" s="60"/>
      <c r="U177" s="60"/>
      <c r="V177" s="60"/>
      <c r="W177" s="60"/>
    </row>
    <row r="178" spans="1:23" ht="13" x14ac:dyDescent="0.3">
      <c r="A178" s="58"/>
      <c r="B178" s="58"/>
      <c r="C178" s="58"/>
      <c r="D178" s="58"/>
      <c r="E178" s="58"/>
      <c r="F178" s="58"/>
      <c r="G178" s="58"/>
      <c r="H178" s="59"/>
      <c r="I178" s="59"/>
      <c r="J178" s="59"/>
      <c r="K178" s="59"/>
      <c r="L178" s="59"/>
      <c r="M178" s="60"/>
      <c r="N178" s="60"/>
      <c r="O178" s="60"/>
      <c r="P178" s="59"/>
      <c r="Q178" s="59"/>
      <c r="R178" s="60"/>
      <c r="S178" s="60"/>
      <c r="T178" s="60"/>
      <c r="U178" s="60"/>
      <c r="V178" s="60"/>
      <c r="W178" s="60"/>
    </row>
    <row r="179" spans="1:23" ht="13" x14ac:dyDescent="0.3">
      <c r="A179" s="58"/>
      <c r="B179" s="58"/>
      <c r="C179" s="58"/>
      <c r="D179" s="58"/>
      <c r="E179" s="58"/>
      <c r="F179" s="58"/>
      <c r="G179" s="58"/>
      <c r="H179" s="59"/>
      <c r="I179" s="59"/>
      <c r="J179" s="59"/>
      <c r="K179" s="59"/>
      <c r="L179" s="59"/>
      <c r="M179" s="60"/>
      <c r="N179" s="60"/>
      <c r="O179" s="60"/>
      <c r="P179" s="59"/>
      <c r="Q179" s="59"/>
      <c r="R179" s="60"/>
      <c r="S179" s="60"/>
      <c r="T179" s="60"/>
      <c r="U179" s="60"/>
      <c r="V179" s="60"/>
      <c r="W179" s="60"/>
    </row>
    <row r="180" spans="1:23" ht="13" x14ac:dyDescent="0.3">
      <c r="A180" s="58"/>
      <c r="B180" s="58"/>
      <c r="C180" s="58"/>
      <c r="D180" s="58"/>
      <c r="E180" s="58"/>
      <c r="F180" s="58"/>
      <c r="G180" s="58"/>
      <c r="H180" s="59"/>
      <c r="I180" s="59"/>
      <c r="J180" s="59"/>
      <c r="K180" s="59"/>
      <c r="L180" s="59"/>
      <c r="M180" s="60"/>
      <c r="N180" s="60"/>
      <c r="O180" s="60"/>
      <c r="P180" s="59"/>
      <c r="Q180" s="59"/>
      <c r="R180" s="60"/>
      <c r="S180" s="60"/>
      <c r="T180" s="60"/>
      <c r="U180" s="60"/>
      <c r="V180" s="60"/>
      <c r="W180" s="60"/>
    </row>
    <row r="181" spans="1:23" ht="13" x14ac:dyDescent="0.3">
      <c r="A181" s="58"/>
      <c r="B181" s="58"/>
      <c r="C181" s="58"/>
      <c r="D181" s="58"/>
      <c r="E181" s="58"/>
      <c r="F181" s="58"/>
      <c r="G181" s="58"/>
      <c r="H181" s="59"/>
      <c r="I181" s="59"/>
      <c r="J181" s="59"/>
      <c r="K181" s="59"/>
      <c r="L181" s="59"/>
      <c r="M181" s="60"/>
      <c r="N181" s="60"/>
      <c r="O181" s="60"/>
      <c r="P181" s="59"/>
      <c r="Q181" s="59"/>
      <c r="R181" s="60"/>
      <c r="S181" s="60"/>
      <c r="T181" s="60"/>
      <c r="U181" s="60"/>
      <c r="V181" s="60"/>
      <c r="W181" s="60"/>
    </row>
    <row r="182" spans="1:23" ht="13" x14ac:dyDescent="0.3">
      <c r="A182" s="58"/>
      <c r="B182" s="58"/>
      <c r="C182" s="58"/>
      <c r="D182" s="58"/>
      <c r="E182" s="58"/>
      <c r="F182" s="58"/>
      <c r="G182" s="58"/>
      <c r="H182" s="59"/>
      <c r="I182" s="59"/>
      <c r="J182" s="59"/>
      <c r="K182" s="59"/>
      <c r="L182" s="59"/>
      <c r="M182" s="60"/>
      <c r="N182" s="60"/>
      <c r="O182" s="60"/>
      <c r="P182" s="59"/>
      <c r="Q182" s="59"/>
      <c r="R182" s="60"/>
      <c r="S182" s="60"/>
      <c r="T182" s="60"/>
      <c r="U182" s="60"/>
      <c r="V182" s="60"/>
      <c r="W182" s="60"/>
    </row>
    <row r="183" spans="1:23" ht="13" x14ac:dyDescent="0.3">
      <c r="A183" s="58"/>
      <c r="B183" s="58"/>
      <c r="C183" s="58"/>
      <c r="D183" s="58"/>
      <c r="E183" s="58"/>
      <c r="F183" s="58"/>
      <c r="G183" s="58"/>
      <c r="H183" s="59"/>
      <c r="I183" s="59"/>
      <c r="J183" s="59"/>
      <c r="K183" s="59"/>
      <c r="L183" s="59"/>
      <c r="M183" s="60"/>
      <c r="N183" s="60"/>
      <c r="O183" s="60"/>
      <c r="P183" s="59"/>
      <c r="Q183" s="59"/>
      <c r="R183" s="60"/>
      <c r="S183" s="60"/>
      <c r="T183" s="60"/>
      <c r="U183" s="60"/>
      <c r="V183" s="60"/>
      <c r="W183" s="60"/>
    </row>
    <row r="184" spans="1:23" ht="13" x14ac:dyDescent="0.3">
      <c r="A184" s="58"/>
      <c r="B184" s="58"/>
      <c r="C184" s="58"/>
      <c r="D184" s="58"/>
      <c r="E184" s="58"/>
      <c r="F184" s="58"/>
      <c r="G184" s="58"/>
      <c r="H184" s="59"/>
      <c r="I184" s="59"/>
      <c r="J184" s="59"/>
      <c r="K184" s="59"/>
      <c r="L184" s="59"/>
      <c r="M184" s="60"/>
      <c r="N184" s="60"/>
      <c r="O184" s="60"/>
      <c r="P184" s="59"/>
      <c r="Q184" s="59"/>
      <c r="R184" s="60"/>
      <c r="S184" s="60"/>
      <c r="T184" s="60"/>
      <c r="U184" s="60"/>
      <c r="V184" s="60"/>
      <c r="W184" s="60"/>
    </row>
    <row r="185" spans="1:23" ht="13" x14ac:dyDescent="0.3">
      <c r="A185" s="58"/>
      <c r="B185" s="58"/>
      <c r="C185" s="58"/>
      <c r="D185" s="58"/>
      <c r="E185" s="58"/>
      <c r="F185" s="58"/>
      <c r="G185" s="58"/>
      <c r="H185" s="59"/>
      <c r="I185" s="59"/>
      <c r="J185" s="59"/>
      <c r="K185" s="59"/>
      <c r="L185" s="59"/>
      <c r="M185" s="60"/>
      <c r="N185" s="60"/>
      <c r="O185" s="60"/>
      <c r="P185" s="59"/>
      <c r="Q185" s="59"/>
      <c r="R185" s="60"/>
      <c r="S185" s="60"/>
      <c r="T185" s="60"/>
      <c r="U185" s="60"/>
      <c r="V185" s="60"/>
      <c r="W185" s="60"/>
    </row>
    <row r="186" spans="1:23" ht="13" x14ac:dyDescent="0.3">
      <c r="A186" s="58"/>
      <c r="B186" s="58"/>
      <c r="C186" s="58"/>
      <c r="D186" s="58"/>
      <c r="E186" s="58"/>
      <c r="F186" s="58"/>
      <c r="G186" s="58"/>
      <c r="H186" s="59"/>
      <c r="I186" s="59"/>
      <c r="J186" s="59"/>
      <c r="K186" s="59"/>
      <c r="L186" s="59"/>
      <c r="M186" s="60"/>
      <c r="N186" s="60"/>
      <c r="O186" s="60"/>
      <c r="P186" s="59"/>
      <c r="Q186" s="59"/>
      <c r="R186" s="60"/>
      <c r="S186" s="60"/>
      <c r="T186" s="60"/>
      <c r="U186" s="60"/>
      <c r="V186" s="60"/>
      <c r="W186" s="60"/>
    </row>
    <row r="187" spans="1:23" ht="13" x14ac:dyDescent="0.3">
      <c r="A187" s="58"/>
      <c r="B187" s="58"/>
      <c r="C187" s="58"/>
      <c r="D187" s="58"/>
      <c r="E187" s="58"/>
      <c r="F187" s="58"/>
      <c r="G187" s="58"/>
      <c r="H187" s="59"/>
      <c r="I187" s="59"/>
      <c r="J187" s="59"/>
      <c r="K187" s="59"/>
      <c r="L187" s="59"/>
      <c r="M187" s="60"/>
      <c r="N187" s="60"/>
      <c r="O187" s="60"/>
      <c r="P187" s="59"/>
      <c r="Q187" s="59"/>
      <c r="R187" s="60"/>
      <c r="S187" s="60"/>
      <c r="T187" s="60"/>
      <c r="U187" s="60"/>
      <c r="V187" s="60"/>
      <c r="W187" s="60"/>
    </row>
    <row r="188" spans="1:23" ht="13" x14ac:dyDescent="0.3">
      <c r="A188" s="58"/>
      <c r="B188" s="58"/>
      <c r="C188" s="58"/>
      <c r="D188" s="58"/>
      <c r="E188" s="58"/>
      <c r="F188" s="58"/>
      <c r="G188" s="58"/>
      <c r="H188" s="59"/>
      <c r="I188" s="59"/>
      <c r="J188" s="59"/>
      <c r="K188" s="59"/>
      <c r="L188" s="59"/>
      <c r="M188" s="60"/>
      <c r="N188" s="60"/>
      <c r="O188" s="60"/>
      <c r="P188" s="59"/>
      <c r="Q188" s="59"/>
      <c r="R188" s="60"/>
      <c r="S188" s="60"/>
      <c r="T188" s="60"/>
      <c r="U188" s="60"/>
      <c r="V188" s="60"/>
      <c r="W188" s="60"/>
    </row>
    <row r="189" spans="1:23" ht="13" x14ac:dyDescent="0.3">
      <c r="A189" s="58"/>
      <c r="B189" s="58"/>
      <c r="C189" s="58"/>
      <c r="D189" s="58"/>
      <c r="E189" s="58"/>
      <c r="F189" s="58"/>
      <c r="G189" s="58"/>
      <c r="H189" s="59"/>
      <c r="I189" s="59"/>
      <c r="J189" s="59"/>
      <c r="K189" s="59"/>
      <c r="L189" s="59"/>
      <c r="M189" s="60"/>
      <c r="N189" s="60"/>
      <c r="O189" s="60"/>
      <c r="P189" s="59"/>
      <c r="Q189" s="59"/>
      <c r="R189" s="60"/>
      <c r="S189" s="60"/>
      <c r="T189" s="60"/>
      <c r="U189" s="60"/>
      <c r="V189" s="60"/>
      <c r="W189" s="60"/>
    </row>
    <row r="190" spans="1:23" ht="13" x14ac:dyDescent="0.3">
      <c r="A190" s="58"/>
      <c r="B190" s="58"/>
      <c r="C190" s="58"/>
      <c r="D190" s="58"/>
      <c r="E190" s="58"/>
      <c r="F190" s="58"/>
      <c r="G190" s="58"/>
      <c r="H190" s="59"/>
      <c r="I190" s="59"/>
      <c r="J190" s="59"/>
      <c r="K190" s="59"/>
      <c r="L190" s="59"/>
      <c r="M190" s="60"/>
      <c r="N190" s="60"/>
      <c r="O190" s="60"/>
      <c r="P190" s="59"/>
      <c r="Q190" s="59"/>
      <c r="R190" s="60"/>
      <c r="S190" s="60"/>
      <c r="T190" s="60"/>
      <c r="U190" s="60"/>
      <c r="V190" s="60"/>
      <c r="W190" s="60"/>
    </row>
    <row r="191" spans="1:23" ht="13" x14ac:dyDescent="0.3">
      <c r="A191" s="58"/>
      <c r="B191" s="58"/>
      <c r="C191" s="58"/>
      <c r="D191" s="58"/>
      <c r="E191" s="58"/>
      <c r="F191" s="58"/>
      <c r="G191" s="58"/>
      <c r="H191" s="59"/>
      <c r="I191" s="59"/>
      <c r="J191" s="59"/>
      <c r="K191" s="59"/>
      <c r="L191" s="59"/>
      <c r="M191" s="60"/>
      <c r="N191" s="60"/>
      <c r="O191" s="60"/>
      <c r="P191" s="59"/>
      <c r="Q191" s="59"/>
      <c r="R191" s="60"/>
      <c r="S191" s="60"/>
      <c r="T191" s="60"/>
      <c r="U191" s="60"/>
      <c r="V191" s="60"/>
      <c r="W191" s="60"/>
    </row>
    <row r="192" spans="1:23" ht="13" x14ac:dyDescent="0.3">
      <c r="A192" s="58"/>
      <c r="B192" s="58"/>
      <c r="C192" s="58"/>
      <c r="D192" s="58"/>
      <c r="E192" s="58"/>
      <c r="F192" s="58"/>
      <c r="G192" s="58"/>
      <c r="H192" s="59"/>
      <c r="I192" s="59"/>
      <c r="J192" s="59"/>
      <c r="K192" s="59"/>
      <c r="L192" s="59"/>
      <c r="M192" s="60"/>
      <c r="N192" s="60"/>
      <c r="O192" s="60"/>
      <c r="P192" s="59"/>
      <c r="Q192" s="59"/>
      <c r="R192" s="60"/>
      <c r="S192" s="60"/>
      <c r="T192" s="60"/>
      <c r="U192" s="60"/>
      <c r="V192" s="60"/>
      <c r="W192" s="60"/>
    </row>
    <row r="193" spans="1:23" ht="13" x14ac:dyDescent="0.3">
      <c r="A193" s="58"/>
      <c r="B193" s="58"/>
      <c r="C193" s="58"/>
      <c r="D193" s="58"/>
      <c r="E193" s="58"/>
      <c r="F193" s="58"/>
      <c r="G193" s="58"/>
      <c r="H193" s="59"/>
      <c r="I193" s="59"/>
      <c r="J193" s="59"/>
      <c r="K193" s="59"/>
      <c r="L193" s="59"/>
      <c r="M193" s="60"/>
      <c r="N193" s="60"/>
      <c r="O193" s="60"/>
      <c r="P193" s="59"/>
      <c r="Q193" s="59"/>
      <c r="R193" s="60"/>
      <c r="S193" s="60"/>
      <c r="T193" s="60"/>
      <c r="U193" s="60"/>
      <c r="V193" s="60"/>
      <c r="W193" s="60"/>
    </row>
    <row r="194" spans="1:23" ht="13" x14ac:dyDescent="0.3">
      <c r="A194" s="58"/>
      <c r="B194" s="58"/>
      <c r="C194" s="58"/>
      <c r="D194" s="58"/>
      <c r="E194" s="58"/>
      <c r="F194" s="58"/>
      <c r="G194" s="58"/>
      <c r="H194" s="59"/>
      <c r="I194" s="59"/>
      <c r="J194" s="59"/>
      <c r="K194" s="59"/>
      <c r="L194" s="59"/>
      <c r="M194" s="60"/>
      <c r="N194" s="60"/>
      <c r="O194" s="60"/>
      <c r="P194" s="59"/>
      <c r="Q194" s="59"/>
      <c r="R194" s="60"/>
      <c r="S194" s="60"/>
      <c r="T194" s="60"/>
      <c r="U194" s="60"/>
      <c r="V194" s="60"/>
      <c r="W194" s="60"/>
    </row>
    <row r="195" spans="1:23" ht="13" x14ac:dyDescent="0.3">
      <c r="A195" s="58"/>
      <c r="B195" s="58"/>
      <c r="C195" s="58"/>
      <c r="D195" s="58"/>
      <c r="E195" s="58"/>
      <c r="F195" s="58"/>
      <c r="G195" s="58"/>
      <c r="H195" s="59"/>
      <c r="I195" s="59"/>
      <c r="J195" s="59"/>
      <c r="K195" s="59"/>
      <c r="L195" s="59"/>
      <c r="M195" s="60"/>
      <c r="N195" s="60"/>
      <c r="O195" s="60"/>
      <c r="P195" s="59"/>
      <c r="Q195" s="59"/>
      <c r="R195" s="60"/>
      <c r="S195" s="60"/>
      <c r="T195" s="60"/>
      <c r="U195" s="60"/>
      <c r="V195" s="60"/>
      <c r="W195" s="60"/>
    </row>
    <row r="196" spans="1:23" ht="13" x14ac:dyDescent="0.3">
      <c r="A196" s="58"/>
      <c r="B196" s="58"/>
      <c r="C196" s="58"/>
      <c r="D196" s="58"/>
      <c r="E196" s="58"/>
      <c r="F196" s="58"/>
      <c r="G196" s="58"/>
      <c r="H196" s="59"/>
      <c r="I196" s="59"/>
      <c r="J196" s="59"/>
      <c r="K196" s="59"/>
      <c r="L196" s="59"/>
      <c r="M196" s="60"/>
      <c r="N196" s="60"/>
      <c r="O196" s="60"/>
      <c r="P196" s="59"/>
      <c r="Q196" s="59"/>
      <c r="R196" s="60"/>
      <c r="S196" s="60"/>
      <c r="T196" s="60"/>
      <c r="U196" s="60"/>
      <c r="V196" s="60"/>
      <c r="W196" s="60"/>
    </row>
    <row r="197" spans="1:23" ht="13" x14ac:dyDescent="0.3">
      <c r="A197" s="58"/>
      <c r="B197" s="58"/>
      <c r="C197" s="58"/>
      <c r="D197" s="58"/>
      <c r="E197" s="58"/>
      <c r="F197" s="58"/>
      <c r="G197" s="58"/>
      <c r="H197" s="59"/>
      <c r="I197" s="59"/>
      <c r="J197" s="59"/>
      <c r="K197" s="59"/>
      <c r="L197" s="59"/>
      <c r="M197" s="60"/>
      <c r="N197" s="60"/>
      <c r="O197" s="60"/>
      <c r="P197" s="59"/>
      <c r="Q197" s="59"/>
      <c r="R197" s="60"/>
      <c r="S197" s="60"/>
      <c r="T197" s="60"/>
      <c r="U197" s="60"/>
      <c r="V197" s="60"/>
      <c r="W197" s="60"/>
    </row>
    <row r="198" spans="1:23" ht="13" x14ac:dyDescent="0.3">
      <c r="A198" s="58"/>
      <c r="B198" s="58"/>
      <c r="C198" s="58"/>
      <c r="D198" s="58"/>
      <c r="E198" s="58"/>
      <c r="F198" s="58"/>
      <c r="G198" s="58"/>
      <c r="H198" s="59"/>
      <c r="I198" s="59"/>
      <c r="J198" s="59"/>
      <c r="K198" s="59"/>
      <c r="L198" s="59"/>
      <c r="M198" s="60"/>
      <c r="N198" s="60"/>
      <c r="O198" s="60"/>
      <c r="P198" s="59"/>
      <c r="Q198" s="59"/>
      <c r="R198" s="60"/>
      <c r="S198" s="60"/>
      <c r="T198" s="60"/>
      <c r="U198" s="60"/>
      <c r="V198" s="60"/>
      <c r="W198" s="60"/>
    </row>
    <row r="199" spans="1:23" ht="13" x14ac:dyDescent="0.3">
      <c r="A199" s="58"/>
      <c r="B199" s="58"/>
      <c r="C199" s="58"/>
      <c r="D199" s="58"/>
      <c r="E199" s="58"/>
      <c r="F199" s="58"/>
      <c r="G199" s="58"/>
      <c r="H199" s="59"/>
      <c r="I199" s="59"/>
      <c r="J199" s="59"/>
      <c r="K199" s="59"/>
      <c r="L199" s="59"/>
      <c r="M199" s="60"/>
      <c r="N199" s="60"/>
      <c r="O199" s="60"/>
      <c r="P199" s="59"/>
      <c r="Q199" s="59"/>
      <c r="R199" s="60"/>
      <c r="S199" s="60"/>
      <c r="T199" s="60"/>
      <c r="U199" s="60"/>
      <c r="V199" s="60"/>
      <c r="W199" s="60"/>
    </row>
    <row r="200" spans="1:23" ht="13" x14ac:dyDescent="0.3">
      <c r="A200" s="58"/>
      <c r="B200" s="58"/>
      <c r="C200" s="58"/>
      <c r="D200" s="58"/>
      <c r="E200" s="58"/>
      <c r="F200" s="58"/>
      <c r="G200" s="58"/>
      <c r="H200" s="59"/>
      <c r="I200" s="59"/>
      <c r="J200" s="59"/>
      <c r="K200" s="59"/>
      <c r="L200" s="59"/>
      <c r="M200" s="60"/>
      <c r="N200" s="60"/>
      <c r="O200" s="60"/>
      <c r="P200" s="59"/>
      <c r="Q200" s="59"/>
      <c r="R200" s="60"/>
      <c r="S200" s="60"/>
      <c r="T200" s="60"/>
      <c r="U200" s="60"/>
      <c r="V200" s="60"/>
      <c r="W200" s="60"/>
    </row>
    <row r="201" spans="1:23" ht="13" x14ac:dyDescent="0.3">
      <c r="A201" s="58"/>
      <c r="B201" s="58"/>
      <c r="C201" s="58"/>
      <c r="D201" s="58"/>
      <c r="E201" s="58"/>
      <c r="F201" s="58"/>
      <c r="G201" s="58"/>
      <c r="H201" s="59"/>
      <c r="I201" s="59"/>
      <c r="J201" s="59"/>
      <c r="K201" s="59"/>
      <c r="L201" s="59"/>
      <c r="M201" s="60"/>
      <c r="N201" s="60"/>
      <c r="O201" s="60"/>
      <c r="P201" s="59"/>
      <c r="Q201" s="59"/>
      <c r="R201" s="60"/>
      <c r="S201" s="60"/>
      <c r="T201" s="60"/>
      <c r="U201" s="60"/>
      <c r="V201" s="60"/>
      <c r="W201" s="60"/>
    </row>
    <row r="202" spans="1:23" ht="13" x14ac:dyDescent="0.3">
      <c r="A202" s="58"/>
      <c r="B202" s="58"/>
      <c r="C202" s="58"/>
      <c r="D202" s="58"/>
      <c r="E202" s="58"/>
      <c r="F202" s="58"/>
      <c r="G202" s="58"/>
      <c r="H202" s="59"/>
      <c r="I202" s="59"/>
      <c r="J202" s="59"/>
      <c r="K202" s="59"/>
      <c r="L202" s="59"/>
      <c r="M202" s="60"/>
      <c r="N202" s="60"/>
      <c r="O202" s="60"/>
      <c r="P202" s="59"/>
      <c r="Q202" s="59"/>
      <c r="R202" s="60"/>
      <c r="S202" s="60"/>
      <c r="T202" s="60"/>
      <c r="U202" s="60"/>
      <c r="V202" s="60"/>
      <c r="W202" s="60"/>
    </row>
    <row r="203" spans="1:23" ht="13" x14ac:dyDescent="0.3">
      <c r="A203" s="58"/>
      <c r="B203" s="58"/>
      <c r="C203" s="58"/>
      <c r="D203" s="58"/>
      <c r="E203" s="58"/>
      <c r="F203" s="58"/>
      <c r="G203" s="58"/>
      <c r="H203" s="59"/>
      <c r="I203" s="59"/>
      <c r="J203" s="59"/>
      <c r="K203" s="59"/>
      <c r="L203" s="59"/>
      <c r="M203" s="60"/>
      <c r="N203" s="60"/>
      <c r="O203" s="60"/>
      <c r="P203" s="59"/>
      <c r="Q203" s="59"/>
      <c r="R203" s="60"/>
      <c r="S203" s="60"/>
      <c r="T203" s="60"/>
      <c r="U203" s="60"/>
      <c r="V203" s="60"/>
      <c r="W203" s="60"/>
    </row>
    <row r="204" spans="1:23" ht="13" x14ac:dyDescent="0.3">
      <c r="A204" s="58"/>
      <c r="B204" s="58"/>
      <c r="C204" s="58"/>
      <c r="D204" s="58"/>
      <c r="E204" s="58"/>
      <c r="F204" s="58"/>
      <c r="G204" s="58"/>
      <c r="H204" s="59"/>
      <c r="I204" s="59"/>
      <c r="J204" s="59"/>
      <c r="K204" s="59"/>
      <c r="L204" s="59"/>
      <c r="M204" s="60"/>
      <c r="N204" s="60"/>
      <c r="O204" s="60"/>
      <c r="P204" s="59"/>
      <c r="Q204" s="59"/>
      <c r="R204" s="60"/>
      <c r="S204" s="60"/>
      <c r="T204" s="60"/>
      <c r="U204" s="60"/>
      <c r="V204" s="60"/>
      <c r="W204" s="60"/>
    </row>
    <row r="205" spans="1:23" ht="13" x14ac:dyDescent="0.3">
      <c r="A205" s="58"/>
      <c r="B205" s="58"/>
      <c r="C205" s="58"/>
      <c r="D205" s="58"/>
      <c r="E205" s="58"/>
      <c r="F205" s="58"/>
      <c r="G205" s="58"/>
      <c r="H205" s="59"/>
      <c r="I205" s="59"/>
      <c r="J205" s="59"/>
      <c r="K205" s="59"/>
      <c r="L205" s="59"/>
      <c r="M205" s="60"/>
      <c r="N205" s="60"/>
      <c r="O205" s="60"/>
      <c r="P205" s="59"/>
      <c r="Q205" s="59"/>
      <c r="R205" s="60"/>
      <c r="S205" s="60"/>
      <c r="T205" s="60"/>
      <c r="U205" s="60"/>
      <c r="V205" s="60"/>
      <c r="W205" s="60"/>
    </row>
    <row r="206" spans="1:23" ht="13" x14ac:dyDescent="0.3">
      <c r="A206" s="58"/>
      <c r="B206" s="58"/>
      <c r="C206" s="58"/>
      <c r="D206" s="58"/>
      <c r="E206" s="58"/>
      <c r="F206" s="58"/>
      <c r="G206" s="58"/>
      <c r="H206" s="59"/>
      <c r="I206" s="59"/>
      <c r="J206" s="59"/>
      <c r="K206" s="59"/>
      <c r="L206" s="59"/>
      <c r="M206" s="60"/>
      <c r="N206" s="60"/>
      <c r="O206" s="60"/>
      <c r="P206" s="59"/>
      <c r="Q206" s="59"/>
      <c r="R206" s="60"/>
      <c r="S206" s="60"/>
      <c r="T206" s="60"/>
      <c r="U206" s="60"/>
      <c r="V206" s="60"/>
      <c r="W206" s="60"/>
    </row>
    <row r="207" spans="1:23" ht="13" x14ac:dyDescent="0.3">
      <c r="A207" s="58"/>
      <c r="B207" s="58"/>
      <c r="C207" s="58"/>
      <c r="D207" s="58"/>
      <c r="E207" s="58"/>
      <c r="F207" s="58"/>
      <c r="G207" s="58"/>
      <c r="H207" s="59"/>
      <c r="I207" s="59"/>
      <c r="J207" s="59"/>
      <c r="K207" s="59"/>
      <c r="L207" s="59"/>
      <c r="M207" s="60"/>
      <c r="N207" s="60"/>
      <c r="O207" s="60"/>
      <c r="P207" s="59"/>
      <c r="Q207" s="59"/>
      <c r="R207" s="60"/>
      <c r="S207" s="60"/>
      <c r="T207" s="60"/>
      <c r="U207" s="60"/>
      <c r="V207" s="60"/>
      <c r="W207" s="60"/>
    </row>
    <row r="208" spans="1:23" ht="13" x14ac:dyDescent="0.3">
      <c r="A208" s="58"/>
      <c r="B208" s="58"/>
      <c r="C208" s="58"/>
      <c r="D208" s="58"/>
      <c r="E208" s="58"/>
      <c r="F208" s="58"/>
      <c r="G208" s="58"/>
      <c r="H208" s="59"/>
      <c r="I208" s="59"/>
      <c r="J208" s="59"/>
      <c r="K208" s="59"/>
      <c r="L208" s="59"/>
      <c r="M208" s="60"/>
      <c r="N208" s="60"/>
      <c r="O208" s="60"/>
      <c r="P208" s="59"/>
      <c r="Q208" s="59"/>
      <c r="R208" s="60"/>
      <c r="S208" s="60"/>
      <c r="T208" s="60"/>
      <c r="U208" s="60"/>
      <c r="V208" s="60"/>
      <c r="W208" s="60"/>
    </row>
    <row r="209" spans="1:23" ht="13" x14ac:dyDescent="0.3">
      <c r="A209" s="58"/>
      <c r="B209" s="58"/>
      <c r="C209" s="58"/>
      <c r="D209" s="58"/>
      <c r="E209" s="58"/>
      <c r="F209" s="58"/>
      <c r="G209" s="58"/>
      <c r="H209" s="59"/>
      <c r="I209" s="59"/>
      <c r="J209" s="59"/>
      <c r="K209" s="59"/>
      <c r="L209" s="59"/>
      <c r="M209" s="60"/>
      <c r="N209" s="60"/>
      <c r="O209" s="60"/>
      <c r="P209" s="59"/>
      <c r="Q209" s="59"/>
      <c r="R209" s="60"/>
      <c r="S209" s="60"/>
      <c r="T209" s="60"/>
      <c r="U209" s="60"/>
      <c r="V209" s="60"/>
      <c r="W209" s="60"/>
    </row>
    <row r="210" spans="1:23" ht="13" x14ac:dyDescent="0.3">
      <c r="A210" s="58"/>
      <c r="B210" s="58"/>
      <c r="C210" s="58"/>
      <c r="D210" s="58"/>
      <c r="E210" s="58"/>
      <c r="F210" s="58"/>
      <c r="G210" s="58"/>
      <c r="H210" s="59"/>
      <c r="I210" s="59"/>
      <c r="J210" s="59"/>
      <c r="K210" s="59"/>
      <c r="L210" s="59"/>
      <c r="M210" s="60"/>
      <c r="N210" s="60"/>
      <c r="O210" s="60"/>
      <c r="P210" s="59"/>
      <c r="Q210" s="59"/>
      <c r="R210" s="60"/>
      <c r="S210" s="60"/>
      <c r="T210" s="60"/>
      <c r="U210" s="60"/>
      <c r="V210" s="60"/>
      <c r="W210" s="60"/>
    </row>
    <row r="211" spans="1:23" ht="13" x14ac:dyDescent="0.3">
      <c r="A211" s="58"/>
      <c r="B211" s="58"/>
      <c r="C211" s="58"/>
      <c r="D211" s="58"/>
      <c r="E211" s="58"/>
      <c r="F211" s="58"/>
      <c r="G211" s="58"/>
      <c r="H211" s="59"/>
      <c r="I211" s="59"/>
      <c r="J211" s="59"/>
      <c r="K211" s="59"/>
      <c r="L211" s="59"/>
      <c r="M211" s="60"/>
      <c r="N211" s="60"/>
      <c r="O211" s="60"/>
      <c r="P211" s="59"/>
      <c r="Q211" s="59"/>
      <c r="R211" s="60"/>
      <c r="S211" s="60"/>
      <c r="T211" s="60"/>
      <c r="U211" s="60"/>
      <c r="V211" s="60"/>
      <c r="W211" s="60"/>
    </row>
    <row r="212" spans="1:23" ht="13" x14ac:dyDescent="0.3">
      <c r="A212" s="58"/>
      <c r="B212" s="58"/>
      <c r="C212" s="58"/>
      <c r="D212" s="58"/>
      <c r="E212" s="58"/>
      <c r="F212" s="58"/>
      <c r="G212" s="58"/>
      <c r="H212" s="59"/>
      <c r="I212" s="59"/>
      <c r="J212" s="59"/>
      <c r="K212" s="59"/>
      <c r="L212" s="59"/>
      <c r="M212" s="60"/>
      <c r="N212" s="60"/>
      <c r="O212" s="60"/>
      <c r="P212" s="59"/>
      <c r="Q212" s="59"/>
      <c r="R212" s="60"/>
      <c r="S212" s="60"/>
      <c r="T212" s="60"/>
      <c r="U212" s="60"/>
      <c r="V212" s="60"/>
      <c r="W212" s="60"/>
    </row>
    <row r="213" spans="1:23" ht="13" x14ac:dyDescent="0.3">
      <c r="A213" s="58"/>
      <c r="B213" s="58"/>
      <c r="C213" s="58"/>
      <c r="D213" s="58"/>
      <c r="E213" s="58"/>
      <c r="F213" s="58"/>
      <c r="G213" s="58"/>
      <c r="H213" s="59"/>
      <c r="I213" s="59"/>
      <c r="J213" s="59"/>
      <c r="K213" s="59"/>
      <c r="L213" s="59"/>
      <c r="M213" s="60"/>
      <c r="N213" s="60"/>
      <c r="O213" s="60"/>
      <c r="P213" s="59"/>
      <c r="Q213" s="59"/>
      <c r="R213" s="60"/>
      <c r="S213" s="60"/>
      <c r="T213" s="60"/>
      <c r="U213" s="60"/>
      <c r="V213" s="60"/>
      <c r="W213" s="60"/>
    </row>
    <row r="214" spans="1:23" ht="13" x14ac:dyDescent="0.3">
      <c r="A214" s="58"/>
      <c r="B214" s="58"/>
      <c r="C214" s="58"/>
      <c r="D214" s="58"/>
      <c r="E214" s="58"/>
      <c r="F214" s="58"/>
      <c r="G214" s="58"/>
      <c r="H214" s="59"/>
      <c r="I214" s="59"/>
      <c r="J214" s="59"/>
      <c r="K214" s="59"/>
      <c r="L214" s="59"/>
      <c r="M214" s="60"/>
      <c r="N214" s="60"/>
      <c r="O214" s="60"/>
      <c r="P214" s="59"/>
      <c r="Q214" s="59"/>
      <c r="R214" s="60"/>
      <c r="S214" s="60"/>
      <c r="T214" s="60"/>
      <c r="U214" s="60"/>
      <c r="V214" s="60"/>
      <c r="W214" s="60"/>
    </row>
    <row r="215" spans="1:23" ht="13" x14ac:dyDescent="0.3">
      <c r="A215" s="58"/>
      <c r="B215" s="58"/>
      <c r="C215" s="58"/>
      <c r="D215" s="58"/>
      <c r="E215" s="58"/>
      <c r="F215" s="58"/>
      <c r="G215" s="58"/>
      <c r="H215" s="59"/>
      <c r="I215" s="59"/>
      <c r="J215" s="59"/>
      <c r="K215" s="59"/>
      <c r="L215" s="59"/>
      <c r="M215" s="60"/>
      <c r="N215" s="60"/>
      <c r="O215" s="60"/>
      <c r="P215" s="59"/>
      <c r="Q215" s="59"/>
      <c r="R215" s="60"/>
      <c r="S215" s="60"/>
      <c r="T215" s="60"/>
      <c r="U215" s="60"/>
      <c r="V215" s="60"/>
      <c r="W215" s="60"/>
    </row>
    <row r="216" spans="1:23" ht="13" x14ac:dyDescent="0.3">
      <c r="A216" s="58"/>
      <c r="B216" s="58"/>
      <c r="C216" s="58"/>
      <c r="D216" s="58"/>
      <c r="E216" s="58"/>
      <c r="F216" s="58"/>
      <c r="G216" s="58"/>
      <c r="H216" s="59"/>
      <c r="I216" s="59"/>
      <c r="J216" s="59"/>
      <c r="K216" s="59"/>
      <c r="L216" s="59"/>
      <c r="M216" s="60"/>
      <c r="N216" s="60"/>
      <c r="O216" s="60"/>
      <c r="P216" s="59"/>
      <c r="Q216" s="59"/>
      <c r="R216" s="60"/>
      <c r="S216" s="60"/>
      <c r="T216" s="60"/>
      <c r="U216" s="60"/>
      <c r="V216" s="60"/>
      <c r="W216" s="60"/>
    </row>
    <row r="217" spans="1:23" ht="13" x14ac:dyDescent="0.3">
      <c r="A217" s="58"/>
      <c r="B217" s="58"/>
      <c r="C217" s="58"/>
      <c r="D217" s="58"/>
      <c r="E217" s="58"/>
      <c r="F217" s="58"/>
      <c r="G217" s="58"/>
      <c r="H217" s="59"/>
      <c r="I217" s="59"/>
      <c r="J217" s="59"/>
      <c r="K217" s="59"/>
      <c r="L217" s="59"/>
      <c r="M217" s="60"/>
      <c r="N217" s="60"/>
      <c r="O217" s="60"/>
      <c r="P217" s="59"/>
      <c r="Q217" s="59"/>
      <c r="R217" s="60"/>
      <c r="S217" s="60"/>
      <c r="T217" s="60"/>
      <c r="U217" s="60"/>
      <c r="V217" s="60"/>
      <c r="W217" s="60"/>
    </row>
    <row r="218" spans="1:23" ht="13" x14ac:dyDescent="0.3">
      <c r="A218" s="58"/>
      <c r="B218" s="58"/>
      <c r="C218" s="58"/>
      <c r="D218" s="58"/>
      <c r="E218" s="58"/>
      <c r="F218" s="58"/>
      <c r="G218" s="58"/>
      <c r="H218" s="59"/>
      <c r="I218" s="59"/>
      <c r="J218" s="59"/>
      <c r="K218" s="59"/>
      <c r="L218" s="59"/>
      <c r="M218" s="60"/>
      <c r="N218" s="60"/>
      <c r="O218" s="60"/>
      <c r="P218" s="59"/>
      <c r="Q218" s="59"/>
      <c r="R218" s="60"/>
      <c r="S218" s="60"/>
      <c r="T218" s="60"/>
      <c r="U218" s="60"/>
      <c r="V218" s="60"/>
      <c r="W218" s="60"/>
    </row>
    <row r="219" spans="1:23" ht="13" x14ac:dyDescent="0.3">
      <c r="A219" s="58"/>
      <c r="B219" s="58"/>
      <c r="C219" s="58"/>
      <c r="D219" s="58"/>
      <c r="E219" s="58"/>
      <c r="F219" s="58"/>
      <c r="G219" s="58"/>
      <c r="H219" s="59"/>
      <c r="I219" s="59"/>
      <c r="J219" s="59"/>
      <c r="K219" s="59"/>
      <c r="L219" s="59"/>
      <c r="M219" s="60"/>
      <c r="N219" s="60"/>
      <c r="O219" s="60"/>
      <c r="P219" s="59"/>
      <c r="Q219" s="59"/>
      <c r="R219" s="60"/>
      <c r="S219" s="60"/>
      <c r="T219" s="60"/>
      <c r="U219" s="60"/>
      <c r="V219" s="60"/>
      <c r="W219" s="60"/>
    </row>
    <row r="220" spans="1:23" ht="13" x14ac:dyDescent="0.3">
      <c r="A220" s="58"/>
      <c r="B220" s="58"/>
      <c r="C220" s="58"/>
      <c r="D220" s="58"/>
      <c r="E220" s="58"/>
      <c r="F220" s="58"/>
      <c r="G220" s="58"/>
      <c r="H220" s="59"/>
      <c r="I220" s="59"/>
      <c r="J220" s="59"/>
      <c r="K220" s="59"/>
      <c r="L220" s="59"/>
      <c r="M220" s="60"/>
      <c r="N220" s="60"/>
      <c r="O220" s="60"/>
      <c r="P220" s="59"/>
      <c r="Q220" s="59"/>
      <c r="R220" s="60"/>
      <c r="S220" s="60"/>
      <c r="T220" s="60"/>
      <c r="U220" s="60"/>
      <c r="V220" s="60"/>
      <c r="W220" s="60"/>
    </row>
    <row r="221" spans="1:23" ht="13" x14ac:dyDescent="0.3">
      <c r="A221" s="58"/>
      <c r="B221" s="58"/>
      <c r="C221" s="58"/>
      <c r="D221" s="58"/>
      <c r="E221" s="58"/>
      <c r="F221" s="58"/>
      <c r="G221" s="58"/>
      <c r="H221" s="59"/>
      <c r="I221" s="59"/>
      <c r="J221" s="59"/>
      <c r="K221" s="59"/>
      <c r="L221" s="59"/>
      <c r="M221" s="60"/>
      <c r="N221" s="60"/>
      <c r="O221" s="60"/>
      <c r="P221" s="59"/>
      <c r="Q221" s="59"/>
      <c r="R221" s="60"/>
      <c r="S221" s="60"/>
      <c r="T221" s="60"/>
      <c r="U221" s="60"/>
      <c r="V221" s="60"/>
      <c r="W221" s="60"/>
    </row>
    <row r="222" spans="1:23" ht="13" x14ac:dyDescent="0.3">
      <c r="A222" s="58"/>
      <c r="B222" s="58"/>
      <c r="C222" s="58"/>
      <c r="D222" s="58"/>
      <c r="E222" s="58"/>
      <c r="F222" s="58"/>
      <c r="G222" s="58"/>
      <c r="H222" s="59"/>
      <c r="I222" s="59"/>
      <c r="J222" s="59"/>
      <c r="K222" s="59"/>
      <c r="L222" s="59"/>
      <c r="M222" s="60"/>
      <c r="N222" s="60"/>
      <c r="O222" s="60"/>
      <c r="P222" s="59"/>
      <c r="Q222" s="59"/>
      <c r="R222" s="60"/>
      <c r="S222" s="60"/>
      <c r="T222" s="60"/>
      <c r="U222" s="60"/>
      <c r="V222" s="60"/>
      <c r="W222" s="60"/>
    </row>
    <row r="223" spans="1:23" ht="13" x14ac:dyDescent="0.3">
      <c r="A223" s="58"/>
      <c r="B223" s="58"/>
      <c r="C223" s="58"/>
      <c r="D223" s="58"/>
      <c r="E223" s="58"/>
      <c r="F223" s="58"/>
      <c r="G223" s="58"/>
      <c r="H223" s="59"/>
      <c r="I223" s="59"/>
      <c r="J223" s="59"/>
      <c r="K223" s="59"/>
      <c r="L223" s="59"/>
      <c r="M223" s="60"/>
      <c r="N223" s="60"/>
      <c r="O223" s="60"/>
      <c r="P223" s="59"/>
      <c r="Q223" s="59"/>
      <c r="R223" s="60"/>
      <c r="S223" s="60"/>
      <c r="T223" s="60"/>
      <c r="U223" s="60"/>
      <c r="V223" s="60"/>
      <c r="W223" s="60"/>
    </row>
    <row r="224" spans="1:23" ht="13" x14ac:dyDescent="0.3">
      <c r="A224" s="58"/>
      <c r="B224" s="58"/>
      <c r="C224" s="58"/>
      <c r="D224" s="58"/>
      <c r="E224" s="58"/>
      <c r="F224" s="58"/>
      <c r="G224" s="58"/>
      <c r="H224" s="59"/>
      <c r="I224" s="59"/>
      <c r="J224" s="59"/>
      <c r="K224" s="59"/>
      <c r="L224" s="59"/>
      <c r="M224" s="60"/>
      <c r="N224" s="60"/>
      <c r="O224" s="60"/>
      <c r="P224" s="59"/>
      <c r="Q224" s="59"/>
      <c r="R224" s="60"/>
      <c r="S224" s="60"/>
      <c r="T224" s="60"/>
      <c r="U224" s="60"/>
      <c r="V224" s="60"/>
      <c r="W224" s="60"/>
    </row>
    <row r="225" spans="1:23" ht="13" x14ac:dyDescent="0.3">
      <c r="A225" s="58"/>
      <c r="B225" s="58"/>
      <c r="C225" s="58"/>
      <c r="D225" s="58"/>
      <c r="E225" s="58"/>
      <c r="F225" s="58"/>
      <c r="G225" s="58"/>
      <c r="H225" s="59"/>
      <c r="I225" s="59"/>
      <c r="J225" s="59"/>
      <c r="K225" s="59"/>
      <c r="L225" s="59"/>
      <c r="M225" s="60"/>
      <c r="N225" s="60"/>
      <c r="O225" s="60"/>
      <c r="P225" s="59"/>
      <c r="Q225" s="59"/>
      <c r="R225" s="60"/>
      <c r="S225" s="60"/>
      <c r="T225" s="60"/>
      <c r="U225" s="60"/>
      <c r="V225" s="60"/>
      <c r="W225" s="60"/>
    </row>
    <row r="226" spans="1:23" ht="13" x14ac:dyDescent="0.3">
      <c r="A226" s="58"/>
      <c r="B226" s="58"/>
      <c r="C226" s="58"/>
      <c r="D226" s="58"/>
      <c r="E226" s="58"/>
      <c r="F226" s="58"/>
      <c r="G226" s="58"/>
      <c r="H226" s="59"/>
      <c r="I226" s="59"/>
      <c r="J226" s="59"/>
      <c r="K226" s="59"/>
      <c r="L226" s="59"/>
      <c r="M226" s="60"/>
      <c r="N226" s="60"/>
      <c r="O226" s="60"/>
      <c r="P226" s="59"/>
      <c r="Q226" s="59"/>
      <c r="R226" s="60"/>
      <c r="S226" s="60"/>
      <c r="T226" s="60"/>
      <c r="U226" s="60"/>
      <c r="V226" s="60"/>
      <c r="W226" s="60"/>
    </row>
    <row r="227" spans="1:23" ht="13" x14ac:dyDescent="0.3">
      <c r="A227" s="58"/>
      <c r="B227" s="58"/>
      <c r="C227" s="58"/>
      <c r="D227" s="58"/>
      <c r="E227" s="58"/>
      <c r="F227" s="58"/>
      <c r="G227" s="58"/>
      <c r="H227" s="59"/>
      <c r="I227" s="59"/>
      <c r="J227" s="59"/>
      <c r="K227" s="59"/>
      <c r="L227" s="59"/>
      <c r="M227" s="60"/>
      <c r="N227" s="60"/>
      <c r="O227" s="60"/>
      <c r="P227" s="59"/>
      <c r="Q227" s="59"/>
      <c r="R227" s="60"/>
      <c r="S227" s="60"/>
      <c r="T227" s="60"/>
      <c r="U227" s="60"/>
      <c r="V227" s="60"/>
      <c r="W227" s="60"/>
    </row>
    <row r="228" spans="1:23" ht="13" x14ac:dyDescent="0.3">
      <c r="A228" s="58"/>
      <c r="B228" s="58"/>
      <c r="C228" s="58"/>
      <c r="D228" s="58"/>
      <c r="E228" s="58"/>
      <c r="F228" s="58"/>
      <c r="G228" s="58"/>
      <c r="H228" s="59"/>
      <c r="I228" s="59"/>
      <c r="J228" s="59"/>
      <c r="K228" s="59"/>
      <c r="L228" s="59"/>
      <c r="M228" s="60"/>
      <c r="N228" s="60"/>
      <c r="O228" s="60"/>
      <c r="P228" s="59"/>
      <c r="Q228" s="59"/>
      <c r="R228" s="60"/>
      <c r="S228" s="60"/>
      <c r="T228" s="60"/>
      <c r="U228" s="60"/>
      <c r="V228" s="60"/>
      <c r="W228" s="60"/>
    </row>
    <row r="229" spans="1:23" ht="13" x14ac:dyDescent="0.3">
      <c r="A229" s="58"/>
      <c r="B229" s="58"/>
      <c r="C229" s="58"/>
      <c r="D229" s="58"/>
      <c r="E229" s="58"/>
      <c r="F229" s="58"/>
      <c r="G229" s="58"/>
      <c r="H229" s="59"/>
      <c r="I229" s="59"/>
      <c r="J229" s="59"/>
      <c r="K229" s="59"/>
      <c r="L229" s="59"/>
      <c r="M229" s="60"/>
      <c r="N229" s="60"/>
      <c r="O229" s="60"/>
      <c r="P229" s="59"/>
      <c r="Q229" s="59"/>
      <c r="R229" s="60"/>
      <c r="S229" s="60"/>
      <c r="T229" s="60"/>
      <c r="U229" s="60"/>
      <c r="V229" s="60"/>
      <c r="W229" s="60"/>
    </row>
    <row r="230" spans="1:23" ht="13" x14ac:dyDescent="0.3">
      <c r="A230" s="58"/>
      <c r="B230" s="58"/>
      <c r="C230" s="58"/>
      <c r="D230" s="58"/>
      <c r="E230" s="58"/>
      <c r="F230" s="58"/>
      <c r="G230" s="58"/>
      <c r="H230" s="59"/>
      <c r="I230" s="59"/>
      <c r="J230" s="59"/>
      <c r="K230" s="59"/>
      <c r="L230" s="59"/>
      <c r="M230" s="60"/>
      <c r="N230" s="60"/>
      <c r="O230" s="60"/>
      <c r="P230" s="59"/>
      <c r="Q230" s="59"/>
      <c r="R230" s="60"/>
      <c r="S230" s="60"/>
      <c r="T230" s="60"/>
      <c r="U230" s="60"/>
      <c r="V230" s="60"/>
      <c r="W230" s="60"/>
    </row>
    <row r="231" spans="1:23" ht="13" x14ac:dyDescent="0.3">
      <c r="A231" s="58"/>
      <c r="B231" s="58"/>
      <c r="C231" s="58"/>
      <c r="D231" s="58"/>
      <c r="E231" s="58"/>
      <c r="F231" s="58"/>
      <c r="G231" s="58"/>
      <c r="H231" s="59"/>
      <c r="I231" s="59"/>
      <c r="J231" s="59"/>
      <c r="K231" s="59"/>
      <c r="L231" s="59"/>
      <c r="M231" s="60"/>
      <c r="N231" s="60"/>
      <c r="O231" s="60"/>
      <c r="P231" s="59"/>
      <c r="Q231" s="59"/>
      <c r="R231" s="60"/>
      <c r="S231" s="60"/>
      <c r="T231" s="60"/>
      <c r="U231" s="60"/>
      <c r="V231" s="60"/>
      <c r="W231" s="60"/>
    </row>
    <row r="232" spans="1:23" ht="13" x14ac:dyDescent="0.3">
      <c r="A232" s="58"/>
      <c r="B232" s="58"/>
      <c r="C232" s="58"/>
      <c r="D232" s="58"/>
      <c r="E232" s="58"/>
      <c r="F232" s="58"/>
      <c r="G232" s="58"/>
      <c r="H232" s="59"/>
      <c r="I232" s="59"/>
      <c r="J232" s="59"/>
      <c r="K232" s="59"/>
      <c r="L232" s="59"/>
      <c r="M232" s="60"/>
      <c r="N232" s="60"/>
      <c r="O232" s="60"/>
      <c r="P232" s="59"/>
      <c r="Q232" s="59"/>
      <c r="R232" s="60"/>
      <c r="S232" s="60"/>
      <c r="T232" s="60"/>
      <c r="U232" s="60"/>
      <c r="V232" s="60"/>
      <c r="W232" s="60"/>
    </row>
    <row r="233" spans="1:23" ht="13" x14ac:dyDescent="0.3">
      <c r="A233" s="58"/>
      <c r="B233" s="58"/>
      <c r="C233" s="58"/>
      <c r="D233" s="58"/>
      <c r="E233" s="58"/>
      <c r="F233" s="58"/>
      <c r="G233" s="58"/>
      <c r="H233" s="59"/>
      <c r="I233" s="59"/>
      <c r="J233" s="59"/>
      <c r="K233" s="59"/>
      <c r="L233" s="59"/>
      <c r="M233" s="60"/>
      <c r="N233" s="60"/>
      <c r="O233" s="60"/>
      <c r="P233" s="59"/>
      <c r="Q233" s="59"/>
      <c r="R233" s="60"/>
      <c r="S233" s="60"/>
      <c r="T233" s="60"/>
      <c r="U233" s="60"/>
      <c r="V233" s="60"/>
      <c r="W233" s="60"/>
    </row>
    <row r="234" spans="1:23" ht="13" x14ac:dyDescent="0.3">
      <c r="A234" s="58"/>
      <c r="B234" s="58"/>
      <c r="C234" s="58"/>
      <c r="D234" s="58"/>
      <c r="E234" s="58"/>
      <c r="F234" s="58"/>
      <c r="G234" s="58"/>
      <c r="H234" s="59"/>
      <c r="I234" s="59"/>
      <c r="J234" s="59"/>
      <c r="K234" s="59"/>
      <c r="L234" s="59"/>
      <c r="M234" s="60"/>
      <c r="N234" s="60"/>
      <c r="O234" s="60"/>
      <c r="P234" s="59"/>
      <c r="Q234" s="59"/>
      <c r="R234" s="60"/>
      <c r="S234" s="60"/>
      <c r="T234" s="60"/>
      <c r="U234" s="60"/>
      <c r="V234" s="60"/>
      <c r="W234" s="60"/>
    </row>
    <row r="235" spans="1:23" ht="13" x14ac:dyDescent="0.3">
      <c r="A235" s="58"/>
      <c r="B235" s="58"/>
      <c r="C235" s="58"/>
      <c r="D235" s="58"/>
      <c r="E235" s="58"/>
      <c r="F235" s="58"/>
      <c r="G235" s="58"/>
      <c r="H235" s="59"/>
      <c r="I235" s="59"/>
      <c r="J235" s="59"/>
      <c r="K235" s="59"/>
      <c r="L235" s="59"/>
      <c r="M235" s="60"/>
      <c r="N235" s="60"/>
      <c r="O235" s="60"/>
      <c r="P235" s="59"/>
      <c r="Q235" s="59"/>
      <c r="R235" s="60"/>
      <c r="S235" s="60"/>
      <c r="T235" s="60"/>
      <c r="U235" s="60"/>
      <c r="V235" s="60"/>
      <c r="W235" s="60"/>
    </row>
    <row r="236" spans="1:23" ht="13" x14ac:dyDescent="0.3">
      <c r="A236" s="58"/>
      <c r="B236" s="58"/>
      <c r="C236" s="58"/>
      <c r="D236" s="58"/>
      <c r="E236" s="58"/>
      <c r="F236" s="58"/>
      <c r="G236" s="58"/>
      <c r="H236" s="59"/>
      <c r="I236" s="59"/>
      <c r="J236" s="59"/>
      <c r="K236" s="59"/>
      <c r="L236" s="59"/>
      <c r="M236" s="60"/>
      <c r="N236" s="60"/>
      <c r="O236" s="60"/>
      <c r="P236" s="59"/>
      <c r="Q236" s="59"/>
      <c r="R236" s="60"/>
      <c r="S236" s="60"/>
      <c r="T236" s="60"/>
      <c r="U236" s="60"/>
      <c r="V236" s="60"/>
      <c r="W236" s="60"/>
    </row>
    <row r="237" spans="1:23" ht="13" x14ac:dyDescent="0.3">
      <c r="A237" s="58"/>
      <c r="B237" s="58"/>
      <c r="C237" s="58"/>
      <c r="D237" s="58"/>
      <c r="E237" s="58"/>
      <c r="F237" s="58"/>
      <c r="G237" s="58"/>
      <c r="H237" s="59"/>
      <c r="I237" s="59"/>
      <c r="J237" s="59"/>
      <c r="K237" s="59"/>
      <c r="L237" s="59"/>
      <c r="M237" s="60"/>
      <c r="N237" s="60"/>
      <c r="O237" s="60"/>
      <c r="P237" s="59"/>
      <c r="Q237" s="59"/>
      <c r="R237" s="60"/>
      <c r="S237" s="60"/>
      <c r="T237" s="60"/>
      <c r="U237" s="60"/>
      <c r="V237" s="60"/>
      <c r="W237" s="60"/>
    </row>
    <row r="238" spans="1:23" ht="13" x14ac:dyDescent="0.3">
      <c r="A238" s="58"/>
      <c r="B238" s="58"/>
      <c r="C238" s="58"/>
      <c r="D238" s="58"/>
      <c r="E238" s="58"/>
      <c r="F238" s="58"/>
      <c r="G238" s="58"/>
      <c r="H238" s="59"/>
      <c r="I238" s="59"/>
      <c r="J238" s="59"/>
      <c r="K238" s="59"/>
      <c r="L238" s="59"/>
      <c r="M238" s="60"/>
      <c r="N238" s="60"/>
      <c r="O238" s="60"/>
      <c r="P238" s="59"/>
      <c r="Q238" s="59"/>
      <c r="R238" s="60"/>
      <c r="S238" s="60"/>
      <c r="T238" s="60"/>
      <c r="U238" s="60"/>
      <c r="V238" s="60"/>
      <c r="W238" s="60"/>
    </row>
    <row r="239" spans="1:23" ht="13" x14ac:dyDescent="0.3">
      <c r="A239" s="58"/>
      <c r="B239" s="58"/>
      <c r="C239" s="58"/>
      <c r="D239" s="58"/>
      <c r="E239" s="58"/>
      <c r="F239" s="58"/>
      <c r="G239" s="58"/>
      <c r="H239" s="59"/>
      <c r="I239" s="59"/>
      <c r="J239" s="59"/>
      <c r="K239" s="59"/>
      <c r="L239" s="59"/>
      <c r="M239" s="60"/>
      <c r="N239" s="60"/>
      <c r="O239" s="60"/>
      <c r="P239" s="59"/>
      <c r="Q239" s="59"/>
      <c r="R239" s="60"/>
      <c r="S239" s="60"/>
      <c r="T239" s="60"/>
      <c r="U239" s="60"/>
      <c r="V239" s="60"/>
      <c r="W239" s="60"/>
    </row>
    <row r="240" spans="1:23" ht="13" x14ac:dyDescent="0.3">
      <c r="A240" s="58"/>
      <c r="B240" s="58"/>
      <c r="C240" s="58"/>
      <c r="D240" s="58"/>
      <c r="E240" s="58"/>
      <c r="F240" s="58"/>
      <c r="G240" s="58"/>
      <c r="H240" s="59"/>
      <c r="I240" s="59"/>
      <c r="J240" s="59"/>
      <c r="K240" s="59"/>
      <c r="L240" s="59"/>
      <c r="M240" s="60"/>
      <c r="N240" s="60"/>
      <c r="O240" s="60"/>
      <c r="P240" s="59"/>
      <c r="Q240" s="59"/>
      <c r="R240" s="60"/>
      <c r="S240" s="60"/>
      <c r="T240" s="60"/>
      <c r="U240" s="60"/>
      <c r="V240" s="60"/>
      <c r="W240" s="60"/>
    </row>
    <row r="241" spans="1:23" ht="13" x14ac:dyDescent="0.3">
      <c r="A241" s="58"/>
      <c r="B241" s="58"/>
      <c r="C241" s="58"/>
      <c r="D241" s="58"/>
      <c r="E241" s="58"/>
      <c r="F241" s="58"/>
      <c r="G241" s="58"/>
      <c r="H241" s="59"/>
      <c r="I241" s="59"/>
      <c r="J241" s="59"/>
      <c r="K241" s="59"/>
      <c r="L241" s="59"/>
      <c r="M241" s="60"/>
      <c r="N241" s="60"/>
      <c r="O241" s="60"/>
      <c r="P241" s="59"/>
      <c r="Q241" s="59"/>
      <c r="R241" s="60"/>
      <c r="S241" s="60"/>
      <c r="T241" s="60"/>
      <c r="U241" s="60"/>
      <c r="V241" s="60"/>
      <c r="W241" s="60"/>
    </row>
    <row r="242" spans="1:23" ht="13" x14ac:dyDescent="0.3">
      <c r="A242" s="58"/>
      <c r="B242" s="58"/>
      <c r="C242" s="58"/>
      <c r="D242" s="58"/>
      <c r="E242" s="58"/>
      <c r="F242" s="58"/>
      <c r="G242" s="58"/>
      <c r="H242" s="59"/>
      <c r="I242" s="59"/>
      <c r="J242" s="59"/>
      <c r="K242" s="59"/>
      <c r="L242" s="59"/>
      <c r="M242" s="60"/>
      <c r="N242" s="60"/>
      <c r="O242" s="60"/>
      <c r="P242" s="59"/>
      <c r="Q242" s="59"/>
      <c r="R242" s="60"/>
      <c r="S242" s="60"/>
      <c r="T242" s="60"/>
      <c r="U242" s="60"/>
      <c r="V242" s="60"/>
      <c r="W242" s="60"/>
    </row>
    <row r="243" spans="1:23" ht="13" x14ac:dyDescent="0.3">
      <c r="A243" s="58"/>
      <c r="B243" s="58"/>
      <c r="C243" s="58"/>
      <c r="D243" s="58"/>
      <c r="E243" s="58"/>
      <c r="F243" s="58"/>
      <c r="G243" s="58"/>
      <c r="H243" s="59"/>
      <c r="I243" s="59"/>
      <c r="J243" s="59"/>
      <c r="K243" s="59"/>
      <c r="L243" s="59"/>
      <c r="M243" s="60"/>
      <c r="N243" s="60"/>
      <c r="O243" s="60"/>
      <c r="P243" s="59"/>
      <c r="Q243" s="59"/>
      <c r="R243" s="60"/>
      <c r="S243" s="60"/>
      <c r="T243" s="60"/>
      <c r="U243" s="60"/>
      <c r="V243" s="60"/>
      <c r="W243" s="60"/>
    </row>
    <row r="244" spans="1:23" ht="13" x14ac:dyDescent="0.3">
      <c r="A244" s="58"/>
      <c r="B244" s="58"/>
      <c r="C244" s="58"/>
      <c r="D244" s="58"/>
      <c r="E244" s="58"/>
      <c r="F244" s="58"/>
      <c r="G244" s="58"/>
      <c r="H244" s="59"/>
      <c r="I244" s="59"/>
      <c r="J244" s="59"/>
      <c r="K244" s="59"/>
      <c r="L244" s="59"/>
      <c r="M244" s="60"/>
      <c r="N244" s="60"/>
      <c r="O244" s="60"/>
      <c r="P244" s="59"/>
      <c r="Q244" s="59"/>
      <c r="R244" s="60"/>
      <c r="S244" s="60"/>
      <c r="T244" s="60"/>
      <c r="U244" s="60"/>
      <c r="V244" s="60"/>
      <c r="W244" s="60"/>
    </row>
    <row r="245" spans="1:23" ht="13" x14ac:dyDescent="0.3">
      <c r="A245" s="58"/>
      <c r="B245" s="58"/>
      <c r="C245" s="58"/>
      <c r="D245" s="58"/>
      <c r="E245" s="58"/>
      <c r="F245" s="58"/>
      <c r="G245" s="58"/>
      <c r="H245" s="59"/>
      <c r="I245" s="59"/>
      <c r="J245" s="59"/>
      <c r="K245" s="59"/>
      <c r="L245" s="59"/>
      <c r="M245" s="60"/>
      <c r="N245" s="60"/>
      <c r="O245" s="60"/>
      <c r="P245" s="59"/>
      <c r="Q245" s="59"/>
      <c r="R245" s="60"/>
      <c r="S245" s="60"/>
      <c r="T245" s="60"/>
      <c r="U245" s="60"/>
      <c r="V245" s="60"/>
      <c r="W245" s="60"/>
    </row>
    <row r="246" spans="1:23" ht="13" x14ac:dyDescent="0.3">
      <c r="A246" s="58"/>
      <c r="B246" s="58"/>
      <c r="C246" s="58"/>
      <c r="D246" s="58"/>
      <c r="E246" s="58"/>
      <c r="F246" s="58"/>
      <c r="G246" s="58"/>
      <c r="H246" s="59"/>
      <c r="I246" s="59"/>
      <c r="J246" s="59"/>
      <c r="K246" s="59"/>
      <c r="L246" s="59"/>
      <c r="M246" s="60"/>
      <c r="N246" s="60"/>
      <c r="O246" s="60"/>
      <c r="P246" s="59"/>
      <c r="Q246" s="59"/>
      <c r="R246" s="60"/>
      <c r="S246" s="60"/>
      <c r="T246" s="60"/>
      <c r="U246" s="60"/>
      <c r="V246" s="60"/>
      <c r="W246" s="60"/>
    </row>
    <row r="247" spans="1:23" ht="13" x14ac:dyDescent="0.3">
      <c r="A247" s="58"/>
      <c r="B247" s="58"/>
      <c r="C247" s="58"/>
      <c r="D247" s="58"/>
      <c r="E247" s="58"/>
      <c r="F247" s="58"/>
      <c r="G247" s="58"/>
      <c r="H247" s="59"/>
      <c r="I247" s="59"/>
      <c r="J247" s="59"/>
      <c r="K247" s="59"/>
      <c r="L247" s="59"/>
      <c r="M247" s="60"/>
      <c r="N247" s="60"/>
      <c r="O247" s="60"/>
      <c r="P247" s="59"/>
      <c r="Q247" s="59"/>
      <c r="R247" s="60"/>
      <c r="S247" s="60"/>
      <c r="T247" s="60"/>
      <c r="U247" s="60"/>
      <c r="V247" s="60"/>
      <c r="W247" s="60"/>
    </row>
    <row r="248" spans="1:23" ht="13" x14ac:dyDescent="0.3">
      <c r="A248" s="58"/>
      <c r="B248" s="58"/>
      <c r="C248" s="58"/>
      <c r="D248" s="58"/>
      <c r="E248" s="58"/>
      <c r="F248" s="58"/>
      <c r="G248" s="58"/>
      <c r="H248" s="59"/>
      <c r="I248" s="59"/>
      <c r="J248" s="59"/>
      <c r="K248" s="59"/>
      <c r="L248" s="59"/>
      <c r="M248" s="60"/>
      <c r="N248" s="60"/>
      <c r="O248" s="60"/>
      <c r="P248" s="59"/>
      <c r="Q248" s="59"/>
      <c r="R248" s="60"/>
      <c r="S248" s="60"/>
      <c r="T248" s="60"/>
      <c r="U248" s="60"/>
      <c r="V248" s="60"/>
      <c r="W248" s="60"/>
    </row>
    <row r="249" spans="1:23" ht="13" x14ac:dyDescent="0.3">
      <c r="A249" s="58"/>
      <c r="B249" s="58"/>
      <c r="C249" s="58"/>
      <c r="D249" s="58"/>
      <c r="E249" s="58"/>
      <c r="F249" s="58"/>
      <c r="G249" s="58"/>
      <c r="H249" s="59"/>
      <c r="I249" s="59"/>
      <c r="J249" s="59"/>
      <c r="K249" s="59"/>
      <c r="L249" s="59"/>
      <c r="M249" s="60"/>
      <c r="N249" s="60"/>
      <c r="O249" s="60"/>
      <c r="P249" s="59"/>
      <c r="Q249" s="59"/>
      <c r="R249" s="60"/>
      <c r="S249" s="60"/>
      <c r="T249" s="60"/>
      <c r="U249" s="60"/>
      <c r="V249" s="60"/>
      <c r="W249" s="60"/>
    </row>
    <row r="250" spans="1:23" ht="13" x14ac:dyDescent="0.3">
      <c r="A250" s="58"/>
      <c r="B250" s="58"/>
      <c r="C250" s="58"/>
      <c r="D250" s="58"/>
      <c r="E250" s="58"/>
      <c r="F250" s="58"/>
      <c r="G250" s="58"/>
      <c r="H250" s="59"/>
      <c r="I250" s="59"/>
      <c r="J250" s="59"/>
      <c r="K250" s="59"/>
      <c r="L250" s="59"/>
      <c r="M250" s="60"/>
      <c r="N250" s="60"/>
      <c r="O250" s="60"/>
      <c r="P250" s="59"/>
      <c r="Q250" s="59"/>
      <c r="R250" s="60"/>
      <c r="S250" s="60"/>
      <c r="T250" s="60"/>
      <c r="U250" s="60"/>
      <c r="V250" s="60"/>
      <c r="W250" s="60"/>
    </row>
    <row r="251" spans="1:23" ht="13" x14ac:dyDescent="0.3">
      <c r="A251" s="58"/>
      <c r="B251" s="58"/>
      <c r="C251" s="58"/>
      <c r="D251" s="58"/>
      <c r="E251" s="58"/>
      <c r="F251" s="58"/>
      <c r="G251" s="58"/>
      <c r="H251" s="59"/>
      <c r="I251" s="59"/>
      <c r="J251" s="59"/>
      <c r="K251" s="59"/>
      <c r="L251" s="59"/>
      <c r="M251" s="60"/>
      <c r="N251" s="60"/>
      <c r="O251" s="60"/>
      <c r="P251" s="59"/>
      <c r="Q251" s="59"/>
      <c r="R251" s="60"/>
      <c r="S251" s="60"/>
      <c r="T251" s="60"/>
      <c r="U251" s="60"/>
      <c r="V251" s="60"/>
      <c r="W251" s="60"/>
    </row>
    <row r="252" spans="1:23" ht="13" x14ac:dyDescent="0.3">
      <c r="A252" s="58"/>
      <c r="B252" s="58"/>
      <c r="C252" s="58"/>
      <c r="D252" s="58"/>
      <c r="E252" s="58"/>
      <c r="F252" s="58"/>
      <c r="G252" s="58"/>
      <c r="H252" s="59"/>
      <c r="I252" s="59"/>
      <c r="J252" s="59"/>
      <c r="K252" s="59"/>
      <c r="L252" s="59"/>
      <c r="M252" s="60"/>
      <c r="N252" s="60"/>
      <c r="O252" s="60"/>
      <c r="P252" s="59"/>
      <c r="Q252" s="59"/>
      <c r="R252" s="60"/>
      <c r="S252" s="60"/>
      <c r="T252" s="60"/>
      <c r="U252" s="60"/>
      <c r="V252" s="60"/>
      <c r="W252" s="60"/>
    </row>
    <row r="253" spans="1:23" ht="13" x14ac:dyDescent="0.3">
      <c r="A253" s="58"/>
      <c r="B253" s="58"/>
      <c r="C253" s="58"/>
      <c r="D253" s="58"/>
      <c r="E253" s="58"/>
      <c r="F253" s="58"/>
      <c r="G253" s="58"/>
      <c r="H253" s="59"/>
      <c r="I253" s="59"/>
      <c r="J253" s="59"/>
      <c r="K253" s="59"/>
      <c r="L253" s="59"/>
      <c r="M253" s="60"/>
      <c r="N253" s="60"/>
      <c r="O253" s="60"/>
      <c r="P253" s="59"/>
      <c r="Q253" s="59"/>
      <c r="R253" s="60"/>
      <c r="S253" s="60"/>
      <c r="T253" s="60"/>
      <c r="U253" s="60"/>
      <c r="V253" s="60"/>
      <c r="W253" s="60"/>
    </row>
    <row r="254" spans="1:23" ht="13" x14ac:dyDescent="0.3">
      <c r="A254" s="58"/>
      <c r="B254" s="58"/>
      <c r="C254" s="58"/>
      <c r="D254" s="58"/>
      <c r="E254" s="58"/>
      <c r="F254" s="58"/>
      <c r="G254" s="58"/>
      <c r="H254" s="59"/>
      <c r="I254" s="59"/>
      <c r="J254" s="59"/>
      <c r="K254" s="59"/>
      <c r="L254" s="59"/>
      <c r="M254" s="60"/>
      <c r="N254" s="60"/>
      <c r="O254" s="60"/>
      <c r="P254" s="59"/>
      <c r="Q254" s="59"/>
      <c r="R254" s="60"/>
      <c r="S254" s="60"/>
      <c r="T254" s="60"/>
      <c r="U254" s="60"/>
      <c r="V254" s="60"/>
      <c r="W254" s="60"/>
    </row>
    <row r="255" spans="1:23" ht="13" x14ac:dyDescent="0.3">
      <c r="A255" s="58"/>
      <c r="B255" s="58"/>
      <c r="C255" s="58"/>
      <c r="D255" s="58"/>
      <c r="E255" s="58"/>
      <c r="F255" s="58"/>
      <c r="G255" s="58"/>
      <c r="H255" s="59"/>
      <c r="I255" s="59"/>
      <c r="J255" s="59"/>
      <c r="K255" s="59"/>
      <c r="L255" s="59"/>
      <c r="M255" s="60"/>
      <c r="N255" s="60"/>
      <c r="O255" s="60"/>
      <c r="P255" s="59"/>
      <c r="Q255" s="59"/>
      <c r="R255" s="60"/>
      <c r="S255" s="60"/>
      <c r="T255" s="60"/>
      <c r="U255" s="60"/>
      <c r="V255" s="60"/>
      <c r="W255" s="60"/>
    </row>
    <row r="256" spans="1:23" ht="13" x14ac:dyDescent="0.3">
      <c r="A256" s="58"/>
      <c r="B256" s="58"/>
      <c r="C256" s="58"/>
      <c r="D256" s="58"/>
      <c r="E256" s="58"/>
      <c r="F256" s="58"/>
      <c r="G256" s="58"/>
      <c r="H256" s="59"/>
      <c r="I256" s="59"/>
      <c r="J256" s="59"/>
      <c r="K256" s="59"/>
      <c r="L256" s="59"/>
      <c r="M256" s="60"/>
      <c r="N256" s="60"/>
      <c r="O256" s="60"/>
      <c r="P256" s="59"/>
      <c r="Q256" s="59"/>
      <c r="R256" s="60"/>
      <c r="S256" s="60"/>
      <c r="T256" s="60"/>
      <c r="U256" s="60"/>
      <c r="V256" s="60"/>
      <c r="W256" s="60"/>
    </row>
    <row r="257" spans="1:23" ht="13" x14ac:dyDescent="0.3">
      <c r="A257" s="58"/>
      <c r="B257" s="58"/>
      <c r="C257" s="58"/>
      <c r="D257" s="58"/>
      <c r="E257" s="58"/>
      <c r="F257" s="58"/>
      <c r="G257" s="58"/>
      <c r="H257" s="59"/>
      <c r="I257" s="59"/>
      <c r="J257" s="59"/>
      <c r="K257" s="59"/>
      <c r="L257" s="59"/>
      <c r="M257" s="60"/>
      <c r="N257" s="60"/>
      <c r="O257" s="60"/>
      <c r="P257" s="59"/>
      <c r="Q257" s="59"/>
      <c r="R257" s="60"/>
      <c r="S257" s="60"/>
      <c r="T257" s="60"/>
      <c r="U257" s="60"/>
      <c r="V257" s="60"/>
      <c r="W257" s="60"/>
    </row>
    <row r="258" spans="1:23" ht="13" x14ac:dyDescent="0.3">
      <c r="A258" s="58"/>
      <c r="B258" s="58"/>
      <c r="C258" s="58"/>
      <c r="D258" s="58"/>
      <c r="E258" s="58"/>
      <c r="F258" s="58"/>
      <c r="G258" s="58"/>
      <c r="H258" s="59"/>
      <c r="I258" s="59"/>
      <c r="J258" s="59"/>
      <c r="K258" s="59"/>
      <c r="L258" s="59"/>
      <c r="M258" s="60"/>
      <c r="N258" s="60"/>
      <c r="O258" s="60"/>
      <c r="P258" s="59"/>
      <c r="Q258" s="59"/>
      <c r="R258" s="60"/>
      <c r="S258" s="60"/>
      <c r="T258" s="60"/>
      <c r="U258" s="60"/>
      <c r="V258" s="60"/>
      <c r="W258" s="60"/>
    </row>
    <row r="259" spans="1:23" ht="13" x14ac:dyDescent="0.3">
      <c r="A259" s="58"/>
      <c r="B259" s="58"/>
      <c r="C259" s="58"/>
      <c r="D259" s="58"/>
      <c r="E259" s="58"/>
      <c r="F259" s="58"/>
      <c r="G259" s="58"/>
      <c r="H259" s="59"/>
      <c r="I259" s="59"/>
      <c r="J259" s="59"/>
      <c r="K259" s="59"/>
      <c r="L259" s="59"/>
      <c r="M259" s="60"/>
      <c r="N259" s="60"/>
      <c r="O259" s="60"/>
      <c r="P259" s="59"/>
      <c r="Q259" s="59"/>
      <c r="R259" s="60"/>
      <c r="S259" s="60"/>
      <c r="T259" s="60"/>
      <c r="U259" s="60"/>
      <c r="V259" s="60"/>
      <c r="W259" s="60"/>
    </row>
    <row r="260" spans="1:23" ht="13" x14ac:dyDescent="0.3">
      <c r="A260" s="58"/>
      <c r="B260" s="58"/>
      <c r="C260" s="58"/>
      <c r="D260" s="58"/>
      <c r="E260" s="58"/>
      <c r="F260" s="58"/>
      <c r="G260" s="58"/>
      <c r="H260" s="59"/>
      <c r="I260" s="59"/>
      <c r="J260" s="59"/>
      <c r="K260" s="59"/>
      <c r="L260" s="59"/>
      <c r="M260" s="60"/>
      <c r="N260" s="60"/>
      <c r="O260" s="60"/>
      <c r="P260" s="59"/>
      <c r="Q260" s="59"/>
      <c r="R260" s="60"/>
      <c r="S260" s="60"/>
      <c r="T260" s="60"/>
      <c r="U260" s="60"/>
      <c r="V260" s="60"/>
      <c r="W260" s="60"/>
    </row>
    <row r="261" spans="1:23" ht="13" x14ac:dyDescent="0.3">
      <c r="A261" s="58"/>
      <c r="B261" s="58"/>
      <c r="C261" s="58"/>
      <c r="D261" s="58"/>
      <c r="E261" s="58"/>
      <c r="F261" s="58"/>
      <c r="G261" s="58"/>
      <c r="H261" s="59"/>
      <c r="I261" s="59"/>
      <c r="J261" s="59"/>
      <c r="K261" s="59"/>
      <c r="L261" s="59"/>
      <c r="M261" s="60"/>
      <c r="N261" s="60"/>
      <c r="O261" s="60"/>
      <c r="P261" s="59"/>
      <c r="Q261" s="59"/>
      <c r="R261" s="60"/>
      <c r="S261" s="60"/>
      <c r="T261" s="60"/>
      <c r="U261" s="60"/>
      <c r="V261" s="60"/>
      <c r="W261" s="60"/>
    </row>
    <row r="262" spans="1:23" ht="13" x14ac:dyDescent="0.3">
      <c r="A262" s="58"/>
      <c r="B262" s="58"/>
      <c r="C262" s="58"/>
      <c r="D262" s="58"/>
      <c r="E262" s="58"/>
      <c r="F262" s="58"/>
      <c r="G262" s="58"/>
      <c r="H262" s="59"/>
      <c r="I262" s="59"/>
      <c r="J262" s="59"/>
      <c r="K262" s="59"/>
      <c r="L262" s="59"/>
      <c r="M262" s="60"/>
      <c r="N262" s="60"/>
      <c r="O262" s="60"/>
      <c r="P262" s="59"/>
      <c r="Q262" s="59"/>
      <c r="R262" s="60"/>
      <c r="S262" s="60"/>
      <c r="T262" s="60"/>
      <c r="U262" s="60"/>
      <c r="V262" s="60"/>
      <c r="W262" s="60"/>
    </row>
    <row r="263" spans="1:23" ht="13" x14ac:dyDescent="0.3">
      <c r="A263" s="58"/>
      <c r="B263" s="58"/>
      <c r="C263" s="58"/>
      <c r="D263" s="58"/>
      <c r="E263" s="58"/>
      <c r="F263" s="58"/>
      <c r="G263" s="58"/>
      <c r="H263" s="59"/>
      <c r="I263" s="59"/>
      <c r="J263" s="59"/>
      <c r="K263" s="59"/>
      <c r="L263" s="59"/>
      <c r="M263" s="60"/>
      <c r="N263" s="60"/>
      <c r="O263" s="60"/>
      <c r="P263" s="59"/>
      <c r="Q263" s="59"/>
      <c r="R263" s="60"/>
      <c r="S263" s="60"/>
      <c r="T263" s="60"/>
      <c r="U263" s="60"/>
      <c r="V263" s="60"/>
      <c r="W263" s="60"/>
    </row>
    <row r="264" spans="1:23" ht="13" x14ac:dyDescent="0.3">
      <c r="A264" s="58"/>
      <c r="B264" s="58"/>
      <c r="C264" s="58"/>
      <c r="D264" s="58"/>
      <c r="E264" s="58"/>
      <c r="F264" s="58"/>
      <c r="G264" s="58"/>
      <c r="H264" s="59"/>
      <c r="I264" s="59"/>
      <c r="J264" s="59"/>
      <c r="K264" s="59"/>
      <c r="L264" s="59"/>
      <c r="M264" s="60"/>
      <c r="N264" s="60"/>
      <c r="O264" s="60"/>
      <c r="P264" s="59"/>
      <c r="Q264" s="59"/>
      <c r="R264" s="60"/>
      <c r="S264" s="60"/>
      <c r="T264" s="60"/>
      <c r="U264" s="60"/>
      <c r="V264" s="60"/>
      <c r="W264" s="60"/>
    </row>
    <row r="265" spans="1:23" ht="13" x14ac:dyDescent="0.3">
      <c r="A265" s="58"/>
      <c r="B265" s="58"/>
      <c r="C265" s="58"/>
      <c r="D265" s="58"/>
      <c r="E265" s="58"/>
      <c r="F265" s="58"/>
      <c r="G265" s="58"/>
      <c r="H265" s="59"/>
      <c r="I265" s="59"/>
      <c r="J265" s="59"/>
      <c r="K265" s="59"/>
      <c r="L265" s="59"/>
      <c r="M265" s="60"/>
      <c r="N265" s="60"/>
      <c r="O265" s="60"/>
      <c r="P265" s="59"/>
      <c r="Q265" s="59"/>
      <c r="R265" s="60"/>
      <c r="S265" s="60"/>
      <c r="T265" s="60"/>
      <c r="U265" s="60"/>
      <c r="V265" s="60"/>
      <c r="W265" s="60"/>
    </row>
    <row r="266" spans="1:23" ht="13" x14ac:dyDescent="0.3">
      <c r="A266" s="58"/>
      <c r="B266" s="58"/>
      <c r="C266" s="58"/>
      <c r="D266" s="58"/>
      <c r="E266" s="58"/>
      <c r="F266" s="58"/>
      <c r="G266" s="58"/>
      <c r="H266" s="59"/>
      <c r="I266" s="59"/>
      <c r="J266" s="59"/>
      <c r="K266" s="59"/>
      <c r="L266" s="59"/>
      <c r="M266" s="60"/>
      <c r="N266" s="60"/>
      <c r="O266" s="60"/>
      <c r="P266" s="59"/>
      <c r="Q266" s="59"/>
      <c r="R266" s="60"/>
      <c r="S266" s="60"/>
      <c r="T266" s="60"/>
      <c r="U266" s="60"/>
      <c r="V266" s="60"/>
      <c r="W266" s="60"/>
    </row>
    <row r="267" spans="1:23" ht="13" x14ac:dyDescent="0.3">
      <c r="A267" s="58"/>
      <c r="B267" s="58"/>
      <c r="C267" s="58"/>
      <c r="D267" s="58"/>
      <c r="E267" s="58"/>
      <c r="F267" s="58"/>
      <c r="G267" s="58"/>
      <c r="H267" s="59"/>
      <c r="I267" s="59"/>
      <c r="J267" s="59"/>
      <c r="K267" s="59"/>
      <c r="L267" s="59"/>
      <c r="M267" s="60"/>
      <c r="N267" s="60"/>
      <c r="O267" s="60"/>
      <c r="P267" s="59"/>
      <c r="Q267" s="59"/>
      <c r="R267" s="60"/>
      <c r="S267" s="60"/>
      <c r="T267" s="60"/>
      <c r="U267" s="60"/>
      <c r="V267" s="60"/>
      <c r="W267" s="60"/>
    </row>
    <row r="268" spans="1:23" ht="13" x14ac:dyDescent="0.3">
      <c r="A268" s="58"/>
      <c r="B268" s="58"/>
      <c r="C268" s="58"/>
      <c r="D268" s="58"/>
      <c r="E268" s="58"/>
      <c r="F268" s="58"/>
      <c r="G268" s="58"/>
      <c r="H268" s="59"/>
      <c r="I268" s="59"/>
      <c r="J268" s="59"/>
      <c r="K268" s="59"/>
      <c r="L268" s="59"/>
      <c r="M268" s="60"/>
      <c r="N268" s="60"/>
      <c r="O268" s="60"/>
      <c r="P268" s="59"/>
      <c r="Q268" s="59"/>
      <c r="R268" s="60"/>
      <c r="S268" s="60"/>
      <c r="T268" s="60"/>
      <c r="U268" s="60"/>
      <c r="V268" s="60"/>
      <c r="W268" s="60"/>
    </row>
    <row r="269" spans="1:23" ht="13" x14ac:dyDescent="0.3">
      <c r="A269" s="58"/>
      <c r="B269" s="58"/>
      <c r="C269" s="58"/>
      <c r="D269" s="58"/>
      <c r="E269" s="58"/>
      <c r="F269" s="58"/>
      <c r="G269" s="58"/>
      <c r="H269" s="59"/>
      <c r="I269" s="59"/>
      <c r="J269" s="59"/>
      <c r="K269" s="59"/>
      <c r="L269" s="59"/>
      <c r="M269" s="60"/>
      <c r="N269" s="60"/>
      <c r="O269" s="60"/>
      <c r="P269" s="59"/>
      <c r="Q269" s="59"/>
      <c r="R269" s="60"/>
      <c r="S269" s="60"/>
      <c r="T269" s="60"/>
      <c r="U269" s="60"/>
      <c r="V269" s="60"/>
      <c r="W269" s="60"/>
    </row>
    <row r="270" spans="1:23" ht="13" x14ac:dyDescent="0.3">
      <c r="A270" s="58"/>
      <c r="B270" s="58"/>
      <c r="C270" s="58"/>
      <c r="D270" s="58"/>
      <c r="E270" s="58"/>
      <c r="F270" s="58"/>
      <c r="G270" s="58"/>
      <c r="H270" s="59"/>
      <c r="I270" s="59"/>
      <c r="J270" s="59"/>
      <c r="K270" s="59"/>
      <c r="L270" s="59"/>
      <c r="M270" s="60"/>
      <c r="N270" s="60"/>
      <c r="O270" s="60"/>
      <c r="P270" s="59"/>
      <c r="Q270" s="59"/>
      <c r="R270" s="60"/>
      <c r="S270" s="60"/>
      <c r="T270" s="60"/>
      <c r="U270" s="60"/>
      <c r="V270" s="60"/>
      <c r="W270" s="60"/>
    </row>
    <row r="271" spans="1:23" ht="13" x14ac:dyDescent="0.3">
      <c r="A271" s="58"/>
      <c r="B271" s="58"/>
      <c r="C271" s="58"/>
      <c r="D271" s="58"/>
      <c r="E271" s="58"/>
      <c r="F271" s="58"/>
      <c r="G271" s="58"/>
      <c r="H271" s="59"/>
      <c r="I271" s="59"/>
      <c r="J271" s="59"/>
      <c r="K271" s="59"/>
      <c r="L271" s="59"/>
      <c r="M271" s="60"/>
      <c r="N271" s="60"/>
      <c r="O271" s="60"/>
      <c r="P271" s="59"/>
      <c r="Q271" s="59"/>
      <c r="R271" s="60"/>
      <c r="S271" s="60"/>
      <c r="T271" s="60"/>
      <c r="U271" s="60"/>
      <c r="V271" s="60"/>
      <c r="W271" s="60"/>
    </row>
    <row r="272" spans="1:23" ht="13" x14ac:dyDescent="0.3">
      <c r="A272" s="58"/>
      <c r="B272" s="58"/>
      <c r="C272" s="58"/>
      <c r="D272" s="58"/>
      <c r="E272" s="58"/>
      <c r="F272" s="58"/>
      <c r="G272" s="58"/>
      <c r="H272" s="59"/>
      <c r="I272" s="59"/>
      <c r="J272" s="59"/>
      <c r="K272" s="59"/>
      <c r="L272" s="59"/>
      <c r="M272" s="60"/>
      <c r="N272" s="60"/>
      <c r="O272" s="60"/>
      <c r="P272" s="59"/>
      <c r="Q272" s="59"/>
      <c r="R272" s="60"/>
      <c r="S272" s="60"/>
      <c r="T272" s="60"/>
      <c r="U272" s="60"/>
      <c r="V272" s="60"/>
      <c r="W272" s="60"/>
    </row>
    <row r="273" spans="1:23" ht="13" x14ac:dyDescent="0.3">
      <c r="A273" s="58"/>
      <c r="B273" s="58"/>
      <c r="C273" s="58"/>
      <c r="D273" s="58"/>
      <c r="E273" s="58"/>
      <c r="F273" s="58"/>
      <c r="G273" s="58"/>
      <c r="H273" s="59"/>
      <c r="I273" s="59"/>
      <c r="J273" s="59"/>
      <c r="K273" s="59"/>
      <c r="L273" s="59"/>
      <c r="M273" s="60"/>
      <c r="N273" s="60"/>
      <c r="O273" s="60"/>
      <c r="P273" s="59"/>
      <c r="Q273" s="59"/>
      <c r="R273" s="60"/>
      <c r="S273" s="60"/>
      <c r="T273" s="60"/>
      <c r="U273" s="60"/>
      <c r="V273" s="60"/>
      <c r="W273" s="60"/>
    </row>
    <row r="274" spans="1:23" ht="13" x14ac:dyDescent="0.3">
      <c r="A274" s="58"/>
      <c r="B274" s="58"/>
      <c r="C274" s="58"/>
      <c r="D274" s="58"/>
      <c r="E274" s="58"/>
      <c r="F274" s="58"/>
      <c r="G274" s="58"/>
      <c r="H274" s="59"/>
      <c r="I274" s="59"/>
      <c r="J274" s="59"/>
      <c r="K274" s="59"/>
      <c r="L274" s="59"/>
      <c r="M274" s="60"/>
      <c r="N274" s="60"/>
      <c r="O274" s="60"/>
      <c r="P274" s="59"/>
      <c r="Q274" s="59"/>
      <c r="R274" s="60"/>
      <c r="S274" s="60"/>
      <c r="T274" s="60"/>
      <c r="U274" s="60"/>
      <c r="V274" s="60"/>
      <c r="W274" s="60"/>
    </row>
    <row r="275" spans="1:23" ht="13" x14ac:dyDescent="0.3">
      <c r="A275" s="58"/>
      <c r="B275" s="58"/>
      <c r="C275" s="58"/>
      <c r="D275" s="58"/>
      <c r="E275" s="58"/>
      <c r="F275" s="58"/>
      <c r="G275" s="58"/>
      <c r="H275" s="59"/>
      <c r="I275" s="59"/>
      <c r="J275" s="59"/>
      <c r="K275" s="59"/>
      <c r="L275" s="59"/>
      <c r="M275" s="60"/>
      <c r="N275" s="60"/>
      <c r="O275" s="60"/>
      <c r="P275" s="59"/>
      <c r="Q275" s="59"/>
      <c r="R275" s="60"/>
      <c r="S275" s="60"/>
      <c r="T275" s="60"/>
      <c r="U275" s="60"/>
      <c r="V275" s="60"/>
      <c r="W275" s="60"/>
    </row>
    <row r="276" spans="1:23" ht="13" x14ac:dyDescent="0.3">
      <c r="A276" s="58"/>
      <c r="B276" s="58"/>
      <c r="C276" s="58"/>
      <c r="D276" s="58"/>
      <c r="E276" s="58"/>
      <c r="F276" s="58"/>
      <c r="G276" s="58"/>
      <c r="H276" s="59"/>
      <c r="I276" s="59"/>
      <c r="J276" s="59"/>
      <c r="K276" s="59"/>
      <c r="L276" s="59"/>
      <c r="M276" s="60"/>
      <c r="N276" s="60"/>
      <c r="O276" s="60"/>
      <c r="P276" s="59"/>
      <c r="Q276" s="59"/>
      <c r="R276" s="60"/>
      <c r="S276" s="60"/>
      <c r="T276" s="60"/>
      <c r="U276" s="60"/>
      <c r="V276" s="60"/>
      <c r="W276" s="60"/>
    </row>
    <row r="277" spans="1:23" ht="13" x14ac:dyDescent="0.3">
      <c r="A277" s="58"/>
      <c r="B277" s="58"/>
      <c r="C277" s="58"/>
      <c r="D277" s="58"/>
      <c r="E277" s="58"/>
      <c r="F277" s="58"/>
      <c r="G277" s="58"/>
      <c r="H277" s="59"/>
      <c r="I277" s="59"/>
      <c r="J277" s="59"/>
      <c r="K277" s="59"/>
      <c r="L277" s="59"/>
      <c r="M277" s="60"/>
      <c r="N277" s="60"/>
      <c r="O277" s="60"/>
      <c r="P277" s="59"/>
      <c r="Q277" s="59"/>
      <c r="R277" s="60"/>
      <c r="S277" s="60"/>
      <c r="T277" s="60"/>
      <c r="U277" s="60"/>
      <c r="V277" s="60"/>
      <c r="W277" s="60"/>
    </row>
    <row r="278" spans="1:23" ht="13" x14ac:dyDescent="0.3">
      <c r="A278" s="58"/>
      <c r="B278" s="58"/>
      <c r="C278" s="58"/>
      <c r="D278" s="58"/>
      <c r="E278" s="58"/>
      <c r="F278" s="58"/>
      <c r="G278" s="58"/>
      <c r="H278" s="59"/>
      <c r="I278" s="59"/>
      <c r="J278" s="59"/>
      <c r="K278" s="59"/>
      <c r="L278" s="59"/>
      <c r="M278" s="60"/>
      <c r="N278" s="60"/>
      <c r="O278" s="60"/>
      <c r="P278" s="59"/>
      <c r="Q278" s="59"/>
      <c r="R278" s="60"/>
      <c r="S278" s="60"/>
      <c r="T278" s="60"/>
      <c r="U278" s="60"/>
      <c r="V278" s="60"/>
      <c r="W278" s="60"/>
    </row>
    <row r="279" spans="1:23" ht="13" x14ac:dyDescent="0.3">
      <c r="A279" s="58"/>
      <c r="B279" s="58"/>
      <c r="C279" s="58"/>
      <c r="D279" s="58"/>
      <c r="E279" s="58"/>
      <c r="F279" s="58"/>
      <c r="G279" s="58"/>
      <c r="H279" s="59"/>
      <c r="I279" s="59"/>
      <c r="J279" s="59"/>
      <c r="K279" s="59"/>
      <c r="L279" s="59"/>
      <c r="M279" s="60"/>
      <c r="N279" s="60"/>
      <c r="O279" s="60"/>
      <c r="P279" s="59"/>
      <c r="Q279" s="59"/>
      <c r="R279" s="60"/>
      <c r="S279" s="60"/>
      <c r="T279" s="60"/>
      <c r="U279" s="60"/>
      <c r="V279" s="60"/>
      <c r="W279" s="60"/>
    </row>
    <row r="280" spans="1:23" ht="13" x14ac:dyDescent="0.3">
      <c r="A280" s="58"/>
      <c r="B280" s="58"/>
      <c r="C280" s="58"/>
      <c r="D280" s="58"/>
      <c r="E280" s="58"/>
      <c r="F280" s="58"/>
      <c r="G280" s="58"/>
      <c r="H280" s="59"/>
      <c r="I280" s="59"/>
      <c r="J280" s="59"/>
      <c r="K280" s="59"/>
      <c r="L280" s="59"/>
      <c r="M280" s="60"/>
      <c r="N280" s="60"/>
      <c r="O280" s="60"/>
      <c r="P280" s="59"/>
      <c r="Q280" s="59"/>
      <c r="R280" s="60"/>
      <c r="S280" s="60"/>
      <c r="T280" s="60"/>
      <c r="U280" s="60"/>
      <c r="V280" s="60"/>
      <c r="W280" s="60"/>
    </row>
    <row r="281" spans="1:23" ht="13" x14ac:dyDescent="0.3">
      <c r="A281" s="58"/>
      <c r="B281" s="58"/>
      <c r="C281" s="58"/>
      <c r="D281" s="58"/>
      <c r="E281" s="58"/>
      <c r="F281" s="58"/>
      <c r="G281" s="58"/>
      <c r="H281" s="59"/>
      <c r="I281" s="59"/>
      <c r="J281" s="59"/>
      <c r="K281" s="59"/>
      <c r="L281" s="59"/>
      <c r="M281" s="60"/>
      <c r="N281" s="60"/>
      <c r="O281" s="60"/>
      <c r="P281" s="59"/>
      <c r="Q281" s="59"/>
      <c r="R281" s="60"/>
      <c r="S281" s="60"/>
      <c r="T281" s="60"/>
      <c r="U281" s="60"/>
      <c r="V281" s="60"/>
      <c r="W281" s="60"/>
    </row>
    <row r="282" spans="1:23" ht="13" x14ac:dyDescent="0.3">
      <c r="A282" s="58"/>
      <c r="B282" s="58"/>
      <c r="C282" s="58"/>
      <c r="D282" s="58"/>
      <c r="E282" s="58"/>
      <c r="F282" s="58"/>
      <c r="G282" s="58"/>
      <c r="H282" s="59"/>
      <c r="I282" s="59"/>
      <c r="J282" s="59"/>
      <c r="K282" s="59"/>
      <c r="L282" s="59"/>
      <c r="M282" s="60"/>
      <c r="N282" s="60"/>
      <c r="O282" s="60"/>
      <c r="P282" s="59"/>
      <c r="Q282" s="59"/>
      <c r="R282" s="60"/>
      <c r="S282" s="60"/>
      <c r="T282" s="60"/>
      <c r="U282" s="60"/>
      <c r="V282" s="60"/>
      <c r="W282" s="60"/>
    </row>
    <row r="283" spans="1:23" ht="13" x14ac:dyDescent="0.3">
      <c r="A283" s="58"/>
      <c r="B283" s="58"/>
      <c r="C283" s="58"/>
      <c r="D283" s="58"/>
      <c r="E283" s="58"/>
      <c r="F283" s="58"/>
      <c r="G283" s="58"/>
      <c r="H283" s="59"/>
      <c r="I283" s="59"/>
      <c r="J283" s="59"/>
      <c r="K283" s="59"/>
      <c r="L283" s="59"/>
      <c r="M283" s="60"/>
      <c r="N283" s="60"/>
      <c r="O283" s="60"/>
      <c r="P283" s="59"/>
      <c r="Q283" s="59"/>
      <c r="R283" s="60"/>
      <c r="S283" s="60"/>
      <c r="T283" s="60"/>
      <c r="U283" s="60"/>
      <c r="V283" s="60"/>
      <c r="W283" s="60"/>
    </row>
    <row r="284" spans="1:23" ht="13" x14ac:dyDescent="0.3">
      <c r="A284" s="58"/>
      <c r="B284" s="58"/>
      <c r="C284" s="58"/>
      <c r="D284" s="58"/>
      <c r="E284" s="58"/>
      <c r="F284" s="58"/>
      <c r="G284" s="58"/>
      <c r="H284" s="59"/>
      <c r="I284" s="59"/>
      <c r="J284" s="59"/>
      <c r="K284" s="59"/>
      <c r="L284" s="59"/>
      <c r="M284" s="60"/>
      <c r="N284" s="60"/>
      <c r="O284" s="60"/>
      <c r="P284" s="59"/>
      <c r="Q284" s="59"/>
      <c r="R284" s="60"/>
      <c r="S284" s="60"/>
      <c r="T284" s="60"/>
      <c r="U284" s="60"/>
      <c r="V284" s="60"/>
      <c r="W284" s="60"/>
    </row>
    <row r="285" spans="1:23" ht="13" x14ac:dyDescent="0.3">
      <c r="A285" s="58"/>
      <c r="B285" s="58"/>
      <c r="C285" s="58"/>
      <c r="D285" s="58"/>
      <c r="E285" s="58"/>
      <c r="F285" s="58"/>
      <c r="G285" s="58"/>
      <c r="H285" s="59"/>
      <c r="I285" s="59"/>
      <c r="J285" s="59"/>
      <c r="K285" s="59"/>
      <c r="L285" s="59"/>
      <c r="M285" s="60"/>
      <c r="N285" s="60"/>
      <c r="O285" s="60"/>
      <c r="P285" s="59"/>
      <c r="Q285" s="59"/>
      <c r="R285" s="60"/>
      <c r="S285" s="60"/>
      <c r="T285" s="60"/>
      <c r="U285" s="60"/>
      <c r="V285" s="60"/>
      <c r="W285" s="60"/>
    </row>
    <row r="286" spans="1:23" ht="13" x14ac:dyDescent="0.3">
      <c r="A286" s="58"/>
      <c r="B286" s="58"/>
      <c r="C286" s="58"/>
      <c r="D286" s="58"/>
      <c r="E286" s="58"/>
      <c r="F286" s="58"/>
      <c r="G286" s="58"/>
      <c r="H286" s="59"/>
      <c r="I286" s="59"/>
      <c r="J286" s="59"/>
      <c r="K286" s="59"/>
      <c r="L286" s="59"/>
      <c r="M286" s="60"/>
      <c r="N286" s="60"/>
      <c r="O286" s="60"/>
      <c r="P286" s="59"/>
      <c r="Q286" s="59"/>
      <c r="R286" s="60"/>
      <c r="S286" s="60"/>
      <c r="T286" s="60"/>
      <c r="U286" s="60"/>
      <c r="V286" s="60"/>
      <c r="W286" s="60"/>
    </row>
    <row r="287" spans="1:23" ht="13" x14ac:dyDescent="0.3">
      <c r="A287" s="58"/>
      <c r="B287" s="58"/>
      <c r="C287" s="58"/>
      <c r="D287" s="58"/>
      <c r="E287" s="58"/>
      <c r="F287" s="58"/>
      <c r="G287" s="58"/>
      <c r="H287" s="59"/>
      <c r="I287" s="59"/>
      <c r="J287" s="59"/>
      <c r="K287" s="59"/>
      <c r="L287" s="59"/>
      <c r="M287" s="60"/>
      <c r="N287" s="60"/>
      <c r="O287" s="60"/>
      <c r="P287" s="59"/>
      <c r="Q287" s="59"/>
      <c r="R287" s="60"/>
      <c r="S287" s="60"/>
      <c r="T287" s="60"/>
      <c r="U287" s="60"/>
      <c r="V287" s="60"/>
      <c r="W287" s="60"/>
    </row>
    <row r="288" spans="1:23" ht="13" x14ac:dyDescent="0.3">
      <c r="A288" s="58"/>
      <c r="B288" s="58"/>
      <c r="C288" s="58"/>
      <c r="D288" s="58"/>
      <c r="E288" s="58"/>
      <c r="F288" s="58"/>
      <c r="G288" s="58"/>
      <c r="H288" s="59"/>
      <c r="I288" s="59"/>
      <c r="J288" s="59"/>
      <c r="K288" s="59"/>
      <c r="L288" s="59"/>
      <c r="M288" s="60"/>
      <c r="N288" s="60"/>
      <c r="O288" s="60"/>
      <c r="P288" s="59"/>
      <c r="Q288" s="59"/>
      <c r="R288" s="60"/>
      <c r="S288" s="60"/>
      <c r="T288" s="60"/>
      <c r="U288" s="60"/>
      <c r="V288" s="60"/>
      <c r="W288" s="60"/>
    </row>
    <row r="289" spans="1:23" ht="13" x14ac:dyDescent="0.3">
      <c r="A289" s="58"/>
      <c r="B289" s="58"/>
      <c r="C289" s="58"/>
      <c r="D289" s="58"/>
      <c r="E289" s="58"/>
      <c r="F289" s="58"/>
      <c r="G289" s="58"/>
      <c r="H289" s="59"/>
      <c r="I289" s="59"/>
      <c r="J289" s="59"/>
      <c r="K289" s="59"/>
      <c r="L289" s="59"/>
      <c r="M289" s="60"/>
      <c r="N289" s="60"/>
      <c r="O289" s="60"/>
      <c r="P289" s="59"/>
      <c r="Q289" s="59"/>
      <c r="R289" s="60"/>
      <c r="S289" s="60"/>
      <c r="T289" s="60"/>
      <c r="U289" s="60"/>
      <c r="V289" s="60"/>
      <c r="W289" s="60"/>
    </row>
    <row r="290" spans="1:23" ht="13" x14ac:dyDescent="0.3">
      <c r="A290" s="58"/>
      <c r="B290" s="58"/>
      <c r="C290" s="58"/>
      <c r="D290" s="58"/>
      <c r="E290" s="58"/>
      <c r="F290" s="58"/>
      <c r="G290" s="58"/>
      <c r="H290" s="59"/>
      <c r="I290" s="59"/>
      <c r="J290" s="59"/>
      <c r="K290" s="59"/>
      <c r="L290" s="59"/>
      <c r="M290" s="60"/>
      <c r="N290" s="60"/>
      <c r="O290" s="60"/>
      <c r="P290" s="59"/>
      <c r="Q290" s="59"/>
      <c r="R290" s="60"/>
      <c r="S290" s="60"/>
      <c r="T290" s="60"/>
      <c r="U290" s="60"/>
      <c r="V290" s="60"/>
      <c r="W290" s="60"/>
    </row>
    <row r="291" spans="1:23" ht="13" x14ac:dyDescent="0.3">
      <c r="A291" s="58"/>
      <c r="B291" s="58"/>
      <c r="C291" s="58"/>
      <c r="D291" s="58"/>
      <c r="E291" s="58"/>
      <c r="F291" s="58"/>
      <c r="G291" s="58"/>
      <c r="H291" s="59"/>
      <c r="I291" s="59"/>
      <c r="J291" s="59"/>
      <c r="K291" s="59"/>
      <c r="L291" s="59"/>
      <c r="M291" s="60"/>
      <c r="N291" s="60"/>
      <c r="O291" s="60"/>
      <c r="P291" s="59"/>
      <c r="Q291" s="59"/>
      <c r="R291" s="60"/>
      <c r="S291" s="60"/>
      <c r="T291" s="60"/>
      <c r="U291" s="60"/>
      <c r="V291" s="60"/>
      <c r="W291" s="60"/>
    </row>
    <row r="292" spans="1:23" ht="13" x14ac:dyDescent="0.3">
      <c r="A292" s="58"/>
      <c r="B292" s="58"/>
      <c r="C292" s="58"/>
      <c r="D292" s="58"/>
      <c r="E292" s="58"/>
      <c r="F292" s="58"/>
      <c r="G292" s="58"/>
      <c r="H292" s="59"/>
      <c r="I292" s="59"/>
      <c r="J292" s="59"/>
      <c r="K292" s="59"/>
      <c r="L292" s="59"/>
      <c r="M292" s="60"/>
      <c r="N292" s="60"/>
      <c r="O292" s="60"/>
      <c r="P292" s="59"/>
      <c r="Q292" s="59"/>
      <c r="R292" s="60"/>
      <c r="S292" s="60"/>
      <c r="T292" s="60"/>
      <c r="U292" s="60"/>
      <c r="V292" s="60"/>
      <c r="W292" s="60"/>
    </row>
    <row r="293" spans="1:23" ht="13" x14ac:dyDescent="0.3">
      <c r="A293" s="58"/>
      <c r="B293" s="58"/>
      <c r="C293" s="58"/>
      <c r="D293" s="58"/>
      <c r="E293" s="58"/>
      <c r="F293" s="58"/>
      <c r="G293" s="58"/>
      <c r="H293" s="59"/>
      <c r="I293" s="59"/>
      <c r="J293" s="59"/>
      <c r="K293" s="59"/>
      <c r="L293" s="59"/>
      <c r="M293" s="60"/>
      <c r="N293" s="60"/>
      <c r="O293" s="60"/>
      <c r="P293" s="59"/>
      <c r="Q293" s="59"/>
      <c r="R293" s="60"/>
      <c r="S293" s="60"/>
      <c r="T293" s="60"/>
      <c r="U293" s="60"/>
      <c r="V293" s="60"/>
      <c r="W293" s="60"/>
    </row>
    <row r="294" spans="1:23" ht="13" x14ac:dyDescent="0.3">
      <c r="A294" s="58"/>
      <c r="B294" s="58"/>
      <c r="C294" s="58"/>
      <c r="D294" s="58"/>
      <c r="E294" s="58"/>
      <c r="F294" s="58"/>
      <c r="G294" s="58"/>
      <c r="H294" s="59"/>
      <c r="I294" s="59"/>
      <c r="J294" s="59"/>
      <c r="K294" s="59"/>
      <c r="L294" s="59"/>
      <c r="M294" s="60"/>
      <c r="N294" s="60"/>
      <c r="O294" s="60"/>
      <c r="P294" s="59"/>
      <c r="Q294" s="59"/>
      <c r="R294" s="60"/>
      <c r="S294" s="60"/>
      <c r="T294" s="60"/>
      <c r="U294" s="60"/>
      <c r="V294" s="60"/>
      <c r="W294" s="60"/>
    </row>
    <row r="295" spans="1:23" ht="13" x14ac:dyDescent="0.3">
      <c r="A295" s="58"/>
      <c r="B295" s="58"/>
      <c r="C295" s="58"/>
      <c r="D295" s="58"/>
      <c r="E295" s="58"/>
      <c r="F295" s="58"/>
      <c r="G295" s="58"/>
      <c r="H295" s="59"/>
      <c r="I295" s="59"/>
      <c r="J295" s="59"/>
      <c r="K295" s="59"/>
      <c r="L295" s="59"/>
      <c r="M295" s="60"/>
      <c r="N295" s="60"/>
      <c r="O295" s="60"/>
      <c r="P295" s="59"/>
      <c r="Q295" s="59"/>
      <c r="R295" s="60"/>
      <c r="S295" s="60"/>
      <c r="T295" s="60"/>
      <c r="U295" s="60"/>
      <c r="V295" s="60"/>
      <c r="W295" s="60"/>
    </row>
    <row r="296" spans="1:23" ht="13" x14ac:dyDescent="0.3">
      <c r="A296" s="58"/>
      <c r="B296" s="58"/>
      <c r="C296" s="58"/>
      <c r="D296" s="58"/>
      <c r="E296" s="58"/>
      <c r="F296" s="58"/>
      <c r="G296" s="58"/>
      <c r="H296" s="59"/>
      <c r="I296" s="59"/>
      <c r="J296" s="59"/>
      <c r="K296" s="59"/>
      <c r="L296" s="59"/>
      <c r="M296" s="60"/>
      <c r="N296" s="60"/>
      <c r="O296" s="60"/>
      <c r="P296" s="59"/>
      <c r="Q296" s="59"/>
      <c r="R296" s="60"/>
      <c r="S296" s="60"/>
      <c r="T296" s="60"/>
      <c r="U296" s="60"/>
      <c r="V296" s="60"/>
      <c r="W296" s="60"/>
    </row>
    <row r="297" spans="1:23" ht="13" x14ac:dyDescent="0.3">
      <c r="A297" s="58"/>
      <c r="B297" s="58"/>
      <c r="C297" s="58"/>
      <c r="D297" s="58"/>
      <c r="E297" s="58"/>
      <c r="F297" s="58"/>
      <c r="G297" s="58"/>
      <c r="H297" s="59"/>
      <c r="I297" s="59"/>
      <c r="J297" s="59"/>
      <c r="K297" s="59"/>
      <c r="L297" s="59"/>
      <c r="M297" s="60"/>
      <c r="N297" s="60"/>
      <c r="O297" s="60"/>
      <c r="P297" s="59"/>
      <c r="Q297" s="59"/>
      <c r="R297" s="60"/>
      <c r="S297" s="60"/>
      <c r="T297" s="60"/>
      <c r="U297" s="60"/>
      <c r="V297" s="60"/>
      <c r="W297" s="60"/>
    </row>
    <row r="298" spans="1:23" ht="13" x14ac:dyDescent="0.3">
      <c r="A298" s="58"/>
      <c r="B298" s="58"/>
      <c r="C298" s="58"/>
      <c r="D298" s="58"/>
      <c r="E298" s="58"/>
      <c r="F298" s="58"/>
      <c r="G298" s="58"/>
      <c r="H298" s="59"/>
      <c r="I298" s="59"/>
      <c r="J298" s="59"/>
      <c r="K298" s="59"/>
      <c r="L298" s="59"/>
      <c r="M298" s="60"/>
      <c r="N298" s="60"/>
      <c r="O298" s="60"/>
      <c r="P298" s="59"/>
      <c r="Q298" s="59"/>
      <c r="R298" s="60"/>
      <c r="S298" s="60"/>
      <c r="T298" s="60"/>
      <c r="U298" s="60"/>
      <c r="V298" s="60"/>
      <c r="W298" s="60"/>
    </row>
    <row r="299" spans="1:23" ht="13" x14ac:dyDescent="0.3">
      <c r="A299" s="58"/>
      <c r="B299" s="58"/>
      <c r="C299" s="58"/>
      <c r="D299" s="58"/>
      <c r="E299" s="58"/>
      <c r="F299" s="58"/>
      <c r="G299" s="58"/>
      <c r="H299" s="59"/>
      <c r="I299" s="59"/>
      <c r="J299" s="59"/>
      <c r="K299" s="59"/>
      <c r="L299" s="59"/>
      <c r="M299" s="60"/>
      <c r="N299" s="60"/>
      <c r="O299" s="60"/>
      <c r="P299" s="59"/>
      <c r="Q299" s="59"/>
      <c r="R299" s="60"/>
      <c r="S299" s="60"/>
      <c r="T299" s="60"/>
      <c r="U299" s="60"/>
      <c r="V299" s="60"/>
      <c r="W299" s="60"/>
    </row>
    <row r="300" spans="1:23" ht="13" x14ac:dyDescent="0.3">
      <c r="A300" s="58"/>
      <c r="B300" s="58"/>
      <c r="C300" s="58"/>
      <c r="D300" s="58"/>
      <c r="E300" s="58"/>
      <c r="F300" s="58"/>
      <c r="G300" s="58"/>
      <c r="H300" s="59"/>
      <c r="I300" s="59"/>
      <c r="J300" s="59"/>
      <c r="K300" s="59"/>
      <c r="L300" s="59"/>
      <c r="M300" s="60"/>
      <c r="N300" s="60"/>
      <c r="O300" s="60"/>
      <c r="P300" s="59"/>
      <c r="Q300" s="59"/>
      <c r="R300" s="60"/>
      <c r="S300" s="60"/>
      <c r="T300" s="60"/>
      <c r="U300" s="60"/>
      <c r="V300" s="60"/>
      <c r="W300" s="60"/>
    </row>
    <row r="301" spans="1:23" ht="13" x14ac:dyDescent="0.3">
      <c r="A301" s="58"/>
      <c r="B301" s="58"/>
      <c r="C301" s="58"/>
      <c r="D301" s="58"/>
      <c r="E301" s="58"/>
      <c r="F301" s="58"/>
      <c r="G301" s="58"/>
      <c r="H301" s="59"/>
      <c r="I301" s="59"/>
      <c r="J301" s="59"/>
      <c r="K301" s="59"/>
      <c r="L301" s="59"/>
      <c r="M301" s="60"/>
      <c r="N301" s="60"/>
      <c r="O301" s="60"/>
      <c r="P301" s="59"/>
      <c r="Q301" s="59"/>
      <c r="R301" s="60"/>
      <c r="S301" s="60"/>
      <c r="T301" s="60"/>
      <c r="U301" s="60"/>
      <c r="V301" s="60"/>
      <c r="W301" s="60"/>
    </row>
    <row r="302" spans="1:23" ht="13" x14ac:dyDescent="0.3">
      <c r="A302" s="58"/>
      <c r="B302" s="58"/>
      <c r="C302" s="58"/>
      <c r="D302" s="58"/>
      <c r="E302" s="58"/>
      <c r="F302" s="58"/>
      <c r="G302" s="58"/>
      <c r="H302" s="59"/>
      <c r="I302" s="59"/>
      <c r="J302" s="59"/>
      <c r="K302" s="59"/>
      <c r="L302" s="59"/>
      <c r="M302" s="60"/>
      <c r="N302" s="60"/>
      <c r="O302" s="60"/>
      <c r="P302" s="59"/>
      <c r="Q302" s="59"/>
      <c r="R302" s="60"/>
      <c r="S302" s="60"/>
      <c r="T302" s="60"/>
      <c r="U302" s="60"/>
      <c r="V302" s="60"/>
      <c r="W302" s="60"/>
    </row>
    <row r="303" spans="1:23" ht="13" x14ac:dyDescent="0.3">
      <c r="A303" s="58"/>
      <c r="B303" s="58"/>
      <c r="C303" s="58"/>
      <c r="D303" s="58"/>
      <c r="E303" s="58"/>
      <c r="F303" s="58"/>
      <c r="G303" s="58"/>
      <c r="H303" s="59"/>
      <c r="I303" s="59"/>
      <c r="J303" s="59"/>
      <c r="K303" s="59"/>
      <c r="L303" s="59"/>
      <c r="M303" s="60"/>
      <c r="N303" s="60"/>
      <c r="O303" s="60"/>
      <c r="P303" s="59"/>
      <c r="Q303" s="59"/>
      <c r="R303" s="60"/>
      <c r="S303" s="60"/>
      <c r="T303" s="60"/>
      <c r="U303" s="60"/>
      <c r="V303" s="60"/>
      <c r="W303" s="60"/>
    </row>
    <row r="304" spans="1:23" ht="13" x14ac:dyDescent="0.3">
      <c r="A304" s="58"/>
      <c r="B304" s="58"/>
      <c r="C304" s="58"/>
      <c r="D304" s="58"/>
      <c r="E304" s="58"/>
      <c r="F304" s="58"/>
      <c r="G304" s="58"/>
      <c r="H304" s="59"/>
      <c r="I304" s="59"/>
      <c r="J304" s="59"/>
      <c r="K304" s="59"/>
      <c r="L304" s="59"/>
      <c r="M304" s="60"/>
      <c r="N304" s="60"/>
      <c r="O304" s="60"/>
      <c r="P304" s="59"/>
      <c r="Q304" s="59"/>
      <c r="R304" s="60"/>
      <c r="S304" s="60"/>
      <c r="T304" s="60"/>
      <c r="U304" s="60"/>
      <c r="V304" s="60"/>
      <c r="W304" s="60"/>
    </row>
    <row r="305" spans="1:23" ht="13" x14ac:dyDescent="0.3">
      <c r="A305" s="58"/>
      <c r="B305" s="58"/>
      <c r="C305" s="58"/>
      <c r="D305" s="58"/>
      <c r="E305" s="58"/>
      <c r="F305" s="58"/>
      <c r="G305" s="58"/>
      <c r="H305" s="59"/>
      <c r="I305" s="59"/>
      <c r="J305" s="59"/>
      <c r="K305" s="59"/>
      <c r="L305" s="59"/>
      <c r="M305" s="60"/>
      <c r="N305" s="60"/>
      <c r="O305" s="60"/>
      <c r="P305" s="59"/>
      <c r="Q305" s="59"/>
      <c r="R305" s="60"/>
      <c r="S305" s="60"/>
      <c r="T305" s="60"/>
      <c r="U305" s="60"/>
      <c r="V305" s="60"/>
      <c r="W305" s="60"/>
    </row>
    <row r="306" spans="1:23" ht="13" x14ac:dyDescent="0.3">
      <c r="A306" s="58"/>
      <c r="B306" s="58"/>
      <c r="C306" s="58"/>
      <c r="D306" s="58"/>
      <c r="E306" s="58"/>
      <c r="F306" s="58"/>
      <c r="G306" s="58"/>
      <c r="H306" s="59"/>
      <c r="I306" s="59"/>
      <c r="J306" s="59"/>
      <c r="K306" s="59"/>
      <c r="L306" s="59"/>
      <c r="M306" s="60"/>
      <c r="N306" s="60"/>
      <c r="O306" s="60"/>
      <c r="P306" s="59"/>
      <c r="Q306" s="59"/>
      <c r="R306" s="60"/>
      <c r="S306" s="60"/>
      <c r="T306" s="60"/>
      <c r="U306" s="60"/>
      <c r="V306" s="60"/>
      <c r="W306" s="60"/>
    </row>
    <row r="307" spans="1:23" ht="13" x14ac:dyDescent="0.3">
      <c r="A307" s="58"/>
      <c r="B307" s="58"/>
      <c r="C307" s="58"/>
      <c r="D307" s="58"/>
      <c r="E307" s="58"/>
      <c r="F307" s="58"/>
      <c r="G307" s="58"/>
      <c r="H307" s="59"/>
      <c r="I307" s="59"/>
      <c r="J307" s="59"/>
      <c r="K307" s="59"/>
      <c r="L307" s="59"/>
      <c r="M307" s="60"/>
      <c r="N307" s="60"/>
      <c r="O307" s="60"/>
      <c r="P307" s="59"/>
      <c r="Q307" s="59"/>
      <c r="R307" s="60"/>
      <c r="S307" s="60"/>
      <c r="T307" s="60"/>
      <c r="U307" s="60"/>
      <c r="V307" s="60"/>
      <c r="W307" s="60"/>
    </row>
    <row r="308" spans="1:23" ht="13" x14ac:dyDescent="0.3">
      <c r="A308" s="58"/>
      <c r="B308" s="58"/>
      <c r="C308" s="58"/>
      <c r="D308" s="58"/>
      <c r="E308" s="58"/>
      <c r="F308" s="58"/>
      <c r="G308" s="58"/>
      <c r="H308" s="59"/>
      <c r="I308" s="59"/>
      <c r="J308" s="59"/>
      <c r="K308" s="59"/>
      <c r="L308" s="59"/>
      <c r="M308" s="60"/>
      <c r="N308" s="60"/>
      <c r="O308" s="60"/>
      <c r="P308" s="59"/>
      <c r="Q308" s="59"/>
      <c r="R308" s="60"/>
      <c r="S308" s="60"/>
      <c r="T308" s="60"/>
      <c r="U308" s="60"/>
      <c r="V308" s="60"/>
      <c r="W308" s="60"/>
    </row>
    <row r="309" spans="1:23" ht="13" x14ac:dyDescent="0.3">
      <c r="A309" s="58"/>
      <c r="B309" s="58"/>
      <c r="C309" s="58"/>
      <c r="D309" s="58"/>
      <c r="E309" s="58"/>
      <c r="F309" s="58"/>
      <c r="G309" s="58"/>
      <c r="H309" s="59"/>
      <c r="I309" s="59"/>
      <c r="J309" s="59"/>
      <c r="K309" s="59"/>
      <c r="L309" s="59"/>
      <c r="M309" s="60"/>
      <c r="N309" s="60"/>
      <c r="O309" s="60"/>
      <c r="P309" s="59"/>
      <c r="Q309" s="59"/>
      <c r="R309" s="60"/>
      <c r="S309" s="60"/>
      <c r="T309" s="60"/>
      <c r="U309" s="60"/>
      <c r="V309" s="60"/>
      <c r="W309" s="60"/>
    </row>
    <row r="310" spans="1:23" ht="13" x14ac:dyDescent="0.3">
      <c r="A310" s="58"/>
      <c r="B310" s="58"/>
      <c r="C310" s="58"/>
      <c r="D310" s="58"/>
      <c r="E310" s="58"/>
      <c r="F310" s="58"/>
      <c r="G310" s="58"/>
      <c r="H310" s="59"/>
      <c r="I310" s="59"/>
      <c r="J310" s="59"/>
      <c r="K310" s="59"/>
      <c r="L310" s="59"/>
      <c r="M310" s="60"/>
      <c r="N310" s="60"/>
      <c r="O310" s="60"/>
      <c r="P310" s="59"/>
      <c r="Q310" s="59"/>
      <c r="R310" s="60"/>
      <c r="S310" s="60"/>
      <c r="T310" s="60"/>
      <c r="U310" s="60"/>
      <c r="V310" s="60"/>
      <c r="W310" s="60"/>
    </row>
    <row r="311" spans="1:23" ht="13" x14ac:dyDescent="0.3">
      <c r="A311" s="58"/>
      <c r="B311" s="58"/>
      <c r="C311" s="58"/>
      <c r="D311" s="58"/>
      <c r="E311" s="58"/>
      <c r="F311" s="58"/>
      <c r="G311" s="58"/>
      <c r="H311" s="59"/>
      <c r="I311" s="59"/>
      <c r="J311" s="59"/>
      <c r="K311" s="59"/>
      <c r="L311" s="59"/>
      <c r="M311" s="60"/>
      <c r="N311" s="60"/>
      <c r="O311" s="60"/>
      <c r="P311" s="59"/>
      <c r="Q311" s="59"/>
      <c r="R311" s="60"/>
      <c r="S311" s="60"/>
      <c r="T311" s="60"/>
      <c r="U311" s="60"/>
      <c r="V311" s="60"/>
      <c r="W311" s="60"/>
    </row>
    <row r="312" spans="1:23" ht="13" x14ac:dyDescent="0.3">
      <c r="A312" s="58"/>
      <c r="B312" s="58"/>
      <c r="C312" s="58"/>
      <c r="D312" s="58"/>
      <c r="E312" s="58"/>
      <c r="F312" s="58"/>
      <c r="G312" s="58"/>
      <c r="H312" s="59"/>
      <c r="I312" s="59"/>
      <c r="J312" s="59"/>
      <c r="K312" s="59"/>
      <c r="L312" s="59"/>
      <c r="M312" s="60"/>
      <c r="N312" s="60"/>
      <c r="O312" s="60"/>
      <c r="P312" s="59"/>
      <c r="Q312" s="59"/>
      <c r="R312" s="60"/>
      <c r="S312" s="60"/>
      <c r="T312" s="60"/>
      <c r="U312" s="60"/>
      <c r="V312" s="60"/>
      <c r="W312" s="60"/>
    </row>
    <row r="313" spans="1:23" ht="13" x14ac:dyDescent="0.3">
      <c r="A313" s="58"/>
      <c r="B313" s="58"/>
      <c r="C313" s="58"/>
      <c r="D313" s="58"/>
      <c r="E313" s="58"/>
      <c r="F313" s="58"/>
      <c r="G313" s="58"/>
      <c r="H313" s="59"/>
      <c r="I313" s="59"/>
      <c r="J313" s="59"/>
      <c r="K313" s="59"/>
      <c r="L313" s="59"/>
      <c r="M313" s="60"/>
      <c r="N313" s="60"/>
      <c r="O313" s="60"/>
      <c r="P313" s="59"/>
      <c r="Q313" s="59"/>
      <c r="R313" s="60"/>
      <c r="S313" s="60"/>
      <c r="T313" s="60"/>
      <c r="U313" s="60"/>
      <c r="V313" s="60"/>
      <c r="W313" s="60"/>
    </row>
    <row r="314" spans="1:23" ht="13" x14ac:dyDescent="0.3">
      <c r="A314" s="58"/>
      <c r="B314" s="58"/>
      <c r="C314" s="58"/>
      <c r="D314" s="58"/>
      <c r="E314" s="58"/>
      <c r="F314" s="58"/>
      <c r="G314" s="58"/>
      <c r="H314" s="59"/>
      <c r="I314" s="59"/>
      <c r="J314" s="59"/>
      <c r="K314" s="59"/>
      <c r="L314" s="59"/>
      <c r="M314" s="60"/>
      <c r="N314" s="60"/>
      <c r="O314" s="60"/>
      <c r="P314" s="59"/>
      <c r="Q314" s="59"/>
      <c r="R314" s="60"/>
      <c r="S314" s="60"/>
      <c r="T314" s="60"/>
      <c r="U314" s="60"/>
      <c r="V314" s="60"/>
      <c r="W314" s="60"/>
    </row>
    <row r="315" spans="1:23" ht="13" x14ac:dyDescent="0.3">
      <c r="A315" s="58"/>
      <c r="B315" s="58"/>
      <c r="C315" s="58"/>
      <c r="D315" s="58"/>
      <c r="E315" s="58"/>
      <c r="F315" s="58"/>
      <c r="G315" s="58"/>
      <c r="H315" s="59"/>
      <c r="I315" s="59"/>
      <c r="J315" s="59"/>
      <c r="K315" s="59"/>
      <c r="L315" s="59"/>
      <c r="M315" s="60"/>
      <c r="N315" s="60"/>
      <c r="O315" s="60"/>
      <c r="P315" s="59"/>
      <c r="Q315" s="59"/>
      <c r="R315" s="60"/>
      <c r="S315" s="60"/>
      <c r="T315" s="60"/>
      <c r="U315" s="60"/>
      <c r="V315" s="60"/>
      <c r="W315" s="60"/>
    </row>
    <row r="316" spans="1:23" ht="13" x14ac:dyDescent="0.3">
      <c r="A316" s="58"/>
      <c r="B316" s="58"/>
      <c r="C316" s="58"/>
      <c r="D316" s="58"/>
      <c r="E316" s="58"/>
      <c r="F316" s="58"/>
      <c r="G316" s="58"/>
      <c r="H316" s="59"/>
      <c r="I316" s="59"/>
      <c r="J316" s="59"/>
      <c r="K316" s="59"/>
      <c r="L316" s="59"/>
      <c r="M316" s="60"/>
      <c r="N316" s="60"/>
      <c r="O316" s="60"/>
      <c r="P316" s="59"/>
      <c r="Q316" s="59"/>
      <c r="R316" s="60"/>
      <c r="S316" s="60"/>
      <c r="T316" s="60"/>
      <c r="U316" s="60"/>
      <c r="V316" s="60"/>
      <c r="W316" s="60"/>
    </row>
    <row r="317" spans="1:23" ht="13" x14ac:dyDescent="0.3">
      <c r="A317" s="58"/>
      <c r="B317" s="58"/>
      <c r="C317" s="58"/>
      <c r="D317" s="58"/>
      <c r="E317" s="58"/>
      <c r="F317" s="58"/>
      <c r="G317" s="58"/>
      <c r="H317" s="59"/>
      <c r="I317" s="59"/>
      <c r="J317" s="59"/>
      <c r="K317" s="59"/>
      <c r="L317" s="59"/>
      <c r="M317" s="60"/>
      <c r="N317" s="60"/>
      <c r="O317" s="60"/>
      <c r="P317" s="59"/>
      <c r="Q317" s="59"/>
      <c r="R317" s="60"/>
      <c r="S317" s="60"/>
      <c r="T317" s="60"/>
      <c r="U317" s="60"/>
      <c r="V317" s="60"/>
      <c r="W317" s="60"/>
    </row>
    <row r="318" spans="1:23" ht="13" x14ac:dyDescent="0.3">
      <c r="A318" s="58"/>
      <c r="B318" s="58"/>
      <c r="C318" s="58"/>
      <c r="D318" s="58"/>
      <c r="E318" s="58"/>
      <c r="F318" s="58"/>
      <c r="G318" s="58"/>
      <c r="H318" s="59"/>
      <c r="I318" s="59"/>
      <c r="J318" s="59"/>
      <c r="K318" s="59"/>
      <c r="L318" s="59"/>
      <c r="M318" s="60"/>
      <c r="N318" s="60"/>
      <c r="O318" s="60"/>
      <c r="P318" s="59"/>
      <c r="Q318" s="59"/>
      <c r="R318" s="60"/>
      <c r="S318" s="60"/>
      <c r="T318" s="60"/>
      <c r="U318" s="60"/>
      <c r="V318" s="60"/>
      <c r="W318" s="60"/>
    </row>
    <row r="319" spans="1:23" ht="13" x14ac:dyDescent="0.3">
      <c r="A319" s="58"/>
      <c r="B319" s="58"/>
      <c r="C319" s="58"/>
      <c r="D319" s="58"/>
      <c r="E319" s="58"/>
      <c r="F319" s="58"/>
      <c r="G319" s="58"/>
      <c r="H319" s="59"/>
      <c r="I319" s="59"/>
      <c r="J319" s="59"/>
      <c r="K319" s="59"/>
      <c r="L319" s="59"/>
      <c r="M319" s="60"/>
      <c r="N319" s="60"/>
      <c r="O319" s="60"/>
      <c r="P319" s="59"/>
      <c r="Q319" s="59"/>
      <c r="R319" s="60"/>
      <c r="S319" s="60"/>
      <c r="T319" s="60"/>
      <c r="U319" s="60"/>
      <c r="V319" s="60"/>
      <c r="W319" s="60"/>
    </row>
    <row r="320" spans="1:23" ht="13" x14ac:dyDescent="0.3">
      <c r="A320" s="58"/>
      <c r="B320" s="58"/>
      <c r="C320" s="58"/>
      <c r="D320" s="58"/>
      <c r="E320" s="58"/>
      <c r="F320" s="58"/>
      <c r="G320" s="58"/>
      <c r="H320" s="59"/>
      <c r="I320" s="59"/>
      <c r="J320" s="59"/>
      <c r="K320" s="59"/>
      <c r="L320" s="59"/>
      <c r="M320" s="60"/>
      <c r="N320" s="60"/>
      <c r="O320" s="60"/>
      <c r="P320" s="59"/>
      <c r="Q320" s="59"/>
      <c r="R320" s="60"/>
      <c r="S320" s="60"/>
      <c r="T320" s="60"/>
      <c r="U320" s="60"/>
      <c r="V320" s="60"/>
      <c r="W320" s="60"/>
    </row>
    <row r="321" spans="1:23" ht="13" x14ac:dyDescent="0.3">
      <c r="A321" s="58"/>
      <c r="B321" s="58"/>
      <c r="C321" s="58"/>
      <c r="D321" s="58"/>
      <c r="E321" s="58"/>
      <c r="F321" s="58"/>
      <c r="G321" s="58"/>
      <c r="H321" s="59"/>
      <c r="I321" s="59"/>
      <c r="J321" s="59"/>
      <c r="K321" s="59"/>
      <c r="L321" s="59"/>
      <c r="M321" s="60"/>
      <c r="N321" s="60"/>
      <c r="O321" s="60"/>
      <c r="P321" s="59"/>
      <c r="Q321" s="59"/>
      <c r="R321" s="60"/>
      <c r="S321" s="60"/>
      <c r="T321" s="60"/>
      <c r="U321" s="60"/>
      <c r="V321" s="60"/>
      <c r="W321" s="60"/>
    </row>
    <row r="322" spans="1:23" ht="13" x14ac:dyDescent="0.3">
      <c r="A322" s="58"/>
      <c r="B322" s="58"/>
      <c r="C322" s="58"/>
      <c r="D322" s="58"/>
      <c r="E322" s="58"/>
      <c r="F322" s="58"/>
      <c r="G322" s="58"/>
      <c r="H322" s="59"/>
      <c r="I322" s="59"/>
      <c r="J322" s="59"/>
      <c r="K322" s="59"/>
      <c r="L322" s="59"/>
      <c r="M322" s="60"/>
      <c r="N322" s="60"/>
      <c r="O322" s="60"/>
      <c r="P322" s="59"/>
      <c r="Q322" s="59"/>
      <c r="R322" s="60"/>
      <c r="S322" s="60"/>
      <c r="T322" s="60"/>
      <c r="U322" s="60"/>
      <c r="V322" s="60"/>
      <c r="W322" s="60"/>
    </row>
    <row r="323" spans="1:23" ht="13" x14ac:dyDescent="0.3">
      <c r="A323" s="58"/>
      <c r="B323" s="58"/>
      <c r="C323" s="58"/>
      <c r="D323" s="58"/>
      <c r="E323" s="58"/>
      <c r="F323" s="58"/>
      <c r="G323" s="58"/>
      <c r="H323" s="59"/>
      <c r="I323" s="59"/>
      <c r="J323" s="59"/>
      <c r="K323" s="59"/>
      <c r="L323" s="59"/>
      <c r="M323" s="60"/>
      <c r="N323" s="60"/>
      <c r="O323" s="60"/>
      <c r="P323" s="59"/>
      <c r="Q323" s="59"/>
      <c r="R323" s="60"/>
      <c r="S323" s="60"/>
      <c r="T323" s="60"/>
      <c r="U323" s="60"/>
      <c r="V323" s="60"/>
      <c r="W323" s="60"/>
    </row>
    <row r="324" spans="1:23" ht="13" x14ac:dyDescent="0.3">
      <c r="A324" s="58"/>
      <c r="B324" s="58"/>
      <c r="C324" s="58"/>
      <c r="D324" s="58"/>
      <c r="E324" s="58"/>
      <c r="F324" s="58"/>
      <c r="G324" s="58"/>
      <c r="H324" s="59"/>
      <c r="I324" s="59"/>
      <c r="J324" s="59"/>
      <c r="K324" s="59"/>
      <c r="L324" s="59"/>
      <c r="M324" s="60"/>
      <c r="N324" s="60"/>
      <c r="O324" s="60"/>
      <c r="P324" s="59"/>
      <c r="Q324" s="59"/>
      <c r="R324" s="60"/>
      <c r="S324" s="60"/>
      <c r="T324" s="60"/>
      <c r="U324" s="60"/>
      <c r="V324" s="60"/>
      <c r="W324" s="60"/>
    </row>
    <row r="325" spans="1:23" ht="13" x14ac:dyDescent="0.3">
      <c r="A325" s="58"/>
      <c r="B325" s="58"/>
      <c r="C325" s="58"/>
      <c r="D325" s="58"/>
      <c r="E325" s="58"/>
      <c r="F325" s="58"/>
      <c r="G325" s="58"/>
      <c r="H325" s="59"/>
      <c r="I325" s="59"/>
      <c r="J325" s="59"/>
      <c r="K325" s="59"/>
      <c r="L325" s="59"/>
      <c r="M325" s="60"/>
      <c r="N325" s="60"/>
      <c r="O325" s="60"/>
      <c r="P325" s="59"/>
      <c r="Q325" s="59"/>
      <c r="R325" s="60"/>
      <c r="S325" s="60"/>
      <c r="T325" s="60"/>
      <c r="U325" s="60"/>
      <c r="V325" s="60"/>
      <c r="W325" s="60"/>
    </row>
    <row r="326" spans="1:23" ht="13" x14ac:dyDescent="0.3">
      <c r="A326" s="58"/>
      <c r="B326" s="58"/>
      <c r="C326" s="58"/>
      <c r="D326" s="58"/>
      <c r="E326" s="58"/>
      <c r="F326" s="58"/>
      <c r="G326" s="58"/>
      <c r="H326" s="59"/>
      <c r="I326" s="59"/>
      <c r="J326" s="59"/>
      <c r="K326" s="59"/>
      <c r="L326" s="59"/>
      <c r="M326" s="60"/>
      <c r="N326" s="60"/>
      <c r="O326" s="60"/>
      <c r="P326" s="59"/>
      <c r="Q326" s="59"/>
      <c r="R326" s="60"/>
      <c r="S326" s="60"/>
      <c r="T326" s="60"/>
      <c r="U326" s="60"/>
      <c r="V326" s="60"/>
      <c r="W326" s="60"/>
    </row>
    <row r="327" spans="1:23" ht="13" x14ac:dyDescent="0.3">
      <c r="A327" s="58"/>
      <c r="B327" s="58"/>
      <c r="C327" s="58"/>
      <c r="D327" s="58"/>
      <c r="E327" s="58"/>
      <c r="F327" s="58"/>
      <c r="G327" s="58"/>
      <c r="H327" s="59"/>
      <c r="I327" s="59"/>
      <c r="J327" s="59"/>
      <c r="K327" s="59"/>
      <c r="L327" s="59"/>
      <c r="M327" s="60"/>
      <c r="N327" s="60"/>
      <c r="O327" s="60"/>
      <c r="P327" s="59"/>
      <c r="Q327" s="59"/>
      <c r="R327" s="60"/>
      <c r="S327" s="60"/>
      <c r="T327" s="60"/>
      <c r="U327" s="60"/>
      <c r="V327" s="60"/>
      <c r="W327" s="60"/>
    </row>
    <row r="328" spans="1:23" ht="13" x14ac:dyDescent="0.3">
      <c r="A328" s="58"/>
      <c r="B328" s="58"/>
      <c r="C328" s="58"/>
      <c r="D328" s="58"/>
      <c r="E328" s="58"/>
      <c r="F328" s="58"/>
      <c r="G328" s="58"/>
      <c r="H328" s="59"/>
      <c r="I328" s="59"/>
      <c r="J328" s="59"/>
      <c r="K328" s="59"/>
      <c r="L328" s="59"/>
      <c r="M328" s="60"/>
      <c r="N328" s="60"/>
      <c r="O328" s="60"/>
      <c r="P328" s="59"/>
      <c r="Q328" s="59"/>
      <c r="R328" s="60"/>
      <c r="S328" s="60"/>
      <c r="T328" s="60"/>
      <c r="U328" s="60"/>
      <c r="V328" s="60"/>
      <c r="W328" s="60"/>
    </row>
    <row r="329" spans="1:23" ht="13" x14ac:dyDescent="0.3">
      <c r="A329" s="58"/>
      <c r="B329" s="58"/>
      <c r="C329" s="58"/>
      <c r="D329" s="58"/>
      <c r="E329" s="58"/>
      <c r="F329" s="58"/>
      <c r="G329" s="58"/>
      <c r="H329" s="59"/>
      <c r="I329" s="59"/>
      <c r="J329" s="59"/>
      <c r="K329" s="59"/>
      <c r="L329" s="59"/>
      <c r="M329" s="60"/>
      <c r="N329" s="60"/>
      <c r="O329" s="60"/>
      <c r="P329" s="59"/>
      <c r="Q329" s="59"/>
      <c r="R329" s="60"/>
      <c r="S329" s="60"/>
      <c r="T329" s="60"/>
      <c r="U329" s="60"/>
      <c r="V329" s="60"/>
      <c r="W329" s="60"/>
    </row>
    <row r="330" spans="1:23" ht="13" x14ac:dyDescent="0.3">
      <c r="A330" s="58"/>
      <c r="B330" s="58"/>
      <c r="C330" s="58"/>
      <c r="D330" s="58"/>
      <c r="E330" s="58"/>
      <c r="F330" s="58"/>
      <c r="G330" s="58"/>
      <c r="H330" s="59"/>
      <c r="I330" s="59"/>
      <c r="J330" s="59"/>
      <c r="K330" s="59"/>
      <c r="L330" s="59"/>
      <c r="M330" s="60"/>
      <c r="N330" s="60"/>
      <c r="O330" s="60"/>
      <c r="P330" s="59"/>
      <c r="Q330" s="59"/>
      <c r="R330" s="60"/>
      <c r="S330" s="60"/>
      <c r="T330" s="60"/>
      <c r="U330" s="60"/>
      <c r="V330" s="60"/>
      <c r="W330" s="60"/>
    </row>
    <row r="331" spans="1:23" ht="13" x14ac:dyDescent="0.3">
      <c r="A331" s="58"/>
      <c r="B331" s="58"/>
      <c r="C331" s="58"/>
      <c r="D331" s="58"/>
      <c r="E331" s="58"/>
      <c r="F331" s="58"/>
      <c r="G331" s="58"/>
      <c r="H331" s="59"/>
      <c r="I331" s="59"/>
      <c r="J331" s="59"/>
      <c r="K331" s="59"/>
      <c r="L331" s="59"/>
      <c r="M331" s="60"/>
      <c r="N331" s="60"/>
      <c r="O331" s="60"/>
      <c r="P331" s="59"/>
      <c r="Q331" s="59"/>
      <c r="R331" s="60"/>
      <c r="S331" s="60"/>
      <c r="T331" s="60"/>
      <c r="U331" s="60"/>
      <c r="V331" s="60"/>
      <c r="W331" s="60"/>
    </row>
    <row r="332" spans="1:23" ht="13" x14ac:dyDescent="0.3">
      <c r="A332" s="58"/>
      <c r="B332" s="58"/>
      <c r="C332" s="58"/>
      <c r="D332" s="58"/>
      <c r="E332" s="58"/>
      <c r="F332" s="58"/>
      <c r="G332" s="58"/>
      <c r="H332" s="59"/>
      <c r="I332" s="59"/>
      <c r="J332" s="59"/>
      <c r="K332" s="59"/>
      <c r="L332" s="59"/>
      <c r="M332" s="60"/>
      <c r="N332" s="60"/>
      <c r="O332" s="60"/>
      <c r="P332" s="59"/>
      <c r="Q332" s="59"/>
      <c r="R332" s="60"/>
      <c r="S332" s="60"/>
      <c r="T332" s="60"/>
      <c r="U332" s="60"/>
      <c r="V332" s="60"/>
      <c r="W332" s="60"/>
    </row>
    <row r="333" spans="1:23" ht="13" x14ac:dyDescent="0.3">
      <c r="A333" s="58"/>
      <c r="B333" s="58"/>
      <c r="C333" s="58"/>
      <c r="D333" s="58"/>
      <c r="E333" s="58"/>
      <c r="F333" s="58"/>
      <c r="G333" s="58"/>
      <c r="H333" s="59"/>
      <c r="I333" s="59"/>
      <c r="J333" s="59"/>
      <c r="K333" s="59"/>
      <c r="L333" s="59"/>
      <c r="M333" s="60"/>
      <c r="N333" s="60"/>
      <c r="O333" s="60"/>
      <c r="P333" s="59"/>
      <c r="Q333" s="59"/>
      <c r="R333" s="60"/>
      <c r="S333" s="60"/>
      <c r="T333" s="60"/>
      <c r="U333" s="60"/>
      <c r="V333" s="60"/>
      <c r="W333" s="60"/>
    </row>
    <row r="334" spans="1:23" ht="13" x14ac:dyDescent="0.3">
      <c r="A334" s="58"/>
      <c r="B334" s="58"/>
      <c r="C334" s="58"/>
      <c r="D334" s="58"/>
      <c r="E334" s="58"/>
      <c r="F334" s="58"/>
      <c r="G334" s="58"/>
      <c r="H334" s="59"/>
      <c r="I334" s="59"/>
      <c r="J334" s="59"/>
      <c r="K334" s="59"/>
      <c r="L334" s="59"/>
      <c r="M334" s="60"/>
      <c r="N334" s="60"/>
      <c r="O334" s="60"/>
      <c r="P334" s="59"/>
      <c r="Q334" s="59"/>
      <c r="R334" s="60"/>
      <c r="S334" s="60"/>
      <c r="T334" s="60"/>
      <c r="U334" s="60"/>
      <c r="V334" s="60"/>
      <c r="W334" s="60"/>
    </row>
    <row r="335" spans="1:23" ht="13" x14ac:dyDescent="0.3">
      <c r="A335" s="58"/>
      <c r="B335" s="58"/>
      <c r="C335" s="58"/>
      <c r="D335" s="58"/>
      <c r="E335" s="58"/>
      <c r="F335" s="58"/>
      <c r="G335" s="58"/>
      <c r="H335" s="59"/>
      <c r="I335" s="59"/>
      <c r="J335" s="59"/>
      <c r="K335" s="59"/>
      <c r="L335" s="59"/>
      <c r="M335" s="60"/>
      <c r="N335" s="60"/>
      <c r="O335" s="60"/>
      <c r="P335" s="59"/>
      <c r="Q335" s="59"/>
      <c r="R335" s="60"/>
      <c r="S335" s="60"/>
      <c r="T335" s="60"/>
      <c r="U335" s="60"/>
      <c r="V335" s="60"/>
      <c r="W335" s="60"/>
    </row>
    <row r="336" spans="1:23" ht="13" x14ac:dyDescent="0.3">
      <c r="A336" s="58"/>
      <c r="B336" s="58"/>
      <c r="C336" s="58"/>
      <c r="D336" s="58"/>
      <c r="E336" s="58"/>
      <c r="F336" s="58"/>
      <c r="G336" s="58"/>
      <c r="H336" s="59"/>
      <c r="I336" s="59"/>
      <c r="J336" s="59"/>
      <c r="K336" s="59"/>
      <c r="L336" s="59"/>
      <c r="M336" s="60"/>
      <c r="N336" s="60"/>
      <c r="O336" s="60"/>
      <c r="P336" s="59"/>
      <c r="Q336" s="59"/>
      <c r="R336" s="60"/>
      <c r="S336" s="60"/>
      <c r="T336" s="60"/>
      <c r="U336" s="60"/>
      <c r="V336" s="60"/>
      <c r="W336" s="60"/>
    </row>
    <row r="337" spans="1:23" ht="13" x14ac:dyDescent="0.3">
      <c r="A337" s="58"/>
      <c r="B337" s="58"/>
      <c r="C337" s="58"/>
      <c r="D337" s="58"/>
      <c r="E337" s="58"/>
      <c r="F337" s="58"/>
      <c r="G337" s="58"/>
      <c r="H337" s="59"/>
      <c r="I337" s="59"/>
      <c r="J337" s="59"/>
      <c r="K337" s="59"/>
      <c r="L337" s="59"/>
      <c r="M337" s="60"/>
      <c r="N337" s="60"/>
      <c r="O337" s="60"/>
      <c r="P337" s="59"/>
      <c r="Q337" s="59"/>
      <c r="R337" s="60"/>
      <c r="S337" s="60"/>
      <c r="T337" s="60"/>
      <c r="U337" s="60"/>
      <c r="V337" s="60"/>
      <c r="W337" s="60"/>
    </row>
    <row r="338" spans="1:23" ht="13" x14ac:dyDescent="0.3">
      <c r="A338" s="58"/>
      <c r="B338" s="58"/>
      <c r="C338" s="58"/>
      <c r="D338" s="58"/>
      <c r="E338" s="58"/>
      <c r="F338" s="58"/>
      <c r="G338" s="58"/>
      <c r="H338" s="59"/>
      <c r="I338" s="59"/>
      <c r="J338" s="59"/>
      <c r="K338" s="59"/>
      <c r="L338" s="59"/>
      <c r="M338" s="60"/>
      <c r="N338" s="60"/>
      <c r="O338" s="60"/>
      <c r="P338" s="59"/>
      <c r="Q338" s="59"/>
      <c r="R338" s="60"/>
      <c r="S338" s="60"/>
      <c r="T338" s="60"/>
      <c r="U338" s="60"/>
      <c r="V338" s="60"/>
      <c r="W338" s="60"/>
    </row>
    <row r="339" spans="1:23" ht="13" x14ac:dyDescent="0.3">
      <c r="A339" s="58"/>
      <c r="B339" s="58"/>
      <c r="C339" s="58"/>
      <c r="D339" s="58"/>
      <c r="E339" s="58"/>
      <c r="F339" s="58"/>
      <c r="G339" s="58"/>
      <c r="H339" s="59"/>
      <c r="I339" s="59"/>
      <c r="J339" s="59"/>
      <c r="K339" s="59"/>
      <c r="L339" s="59"/>
      <c r="M339" s="60"/>
      <c r="N339" s="60"/>
      <c r="O339" s="60"/>
      <c r="P339" s="59"/>
      <c r="Q339" s="59"/>
      <c r="R339" s="60"/>
      <c r="S339" s="60"/>
      <c r="T339" s="60"/>
      <c r="U339" s="60"/>
      <c r="V339" s="60"/>
      <c r="W339" s="60"/>
    </row>
    <row r="340" spans="1:23" ht="13" x14ac:dyDescent="0.3">
      <c r="A340" s="58"/>
      <c r="B340" s="58"/>
      <c r="C340" s="58"/>
      <c r="D340" s="58"/>
      <c r="E340" s="58"/>
      <c r="F340" s="58"/>
      <c r="G340" s="58"/>
      <c r="H340" s="59"/>
      <c r="I340" s="59"/>
      <c r="J340" s="59"/>
      <c r="K340" s="59"/>
      <c r="L340" s="59"/>
      <c r="M340" s="60"/>
      <c r="N340" s="60"/>
      <c r="O340" s="60"/>
      <c r="P340" s="59"/>
      <c r="Q340" s="59"/>
      <c r="R340" s="60"/>
      <c r="S340" s="60"/>
      <c r="T340" s="60"/>
      <c r="U340" s="60"/>
      <c r="V340" s="60"/>
      <c r="W340" s="60"/>
    </row>
    <row r="341" spans="1:23" ht="13" x14ac:dyDescent="0.3">
      <c r="A341" s="58"/>
      <c r="B341" s="58"/>
      <c r="C341" s="58"/>
      <c r="D341" s="58"/>
      <c r="E341" s="58"/>
      <c r="F341" s="58"/>
      <c r="G341" s="58"/>
      <c r="H341" s="59"/>
      <c r="I341" s="59"/>
      <c r="J341" s="59"/>
      <c r="K341" s="59"/>
      <c r="L341" s="59"/>
      <c r="M341" s="60"/>
      <c r="N341" s="60"/>
      <c r="O341" s="60"/>
      <c r="P341" s="59"/>
      <c r="Q341" s="59"/>
      <c r="R341" s="60"/>
      <c r="S341" s="60"/>
      <c r="T341" s="60"/>
      <c r="U341" s="60"/>
      <c r="V341" s="60"/>
      <c r="W341" s="60"/>
    </row>
    <row r="342" spans="1:23" ht="13" x14ac:dyDescent="0.3">
      <c r="A342" s="58"/>
      <c r="B342" s="58"/>
      <c r="C342" s="58"/>
      <c r="D342" s="58"/>
      <c r="E342" s="58"/>
      <c r="F342" s="58"/>
      <c r="G342" s="58"/>
      <c r="H342" s="59"/>
      <c r="I342" s="59"/>
      <c r="J342" s="59"/>
      <c r="K342" s="59"/>
      <c r="L342" s="59"/>
      <c r="M342" s="60"/>
      <c r="N342" s="60"/>
      <c r="O342" s="60"/>
      <c r="P342" s="59"/>
      <c r="Q342" s="59"/>
      <c r="R342" s="60"/>
      <c r="S342" s="60"/>
      <c r="T342" s="60"/>
      <c r="U342" s="60"/>
      <c r="V342" s="60"/>
      <c r="W342" s="60"/>
    </row>
    <row r="343" spans="1:23" ht="13" x14ac:dyDescent="0.3">
      <c r="A343" s="58"/>
      <c r="B343" s="58"/>
      <c r="C343" s="58"/>
      <c r="D343" s="58"/>
      <c r="E343" s="58"/>
      <c r="F343" s="58"/>
      <c r="G343" s="58"/>
      <c r="H343" s="59"/>
      <c r="I343" s="59"/>
      <c r="J343" s="59"/>
      <c r="K343" s="59"/>
      <c r="L343" s="59"/>
      <c r="M343" s="60"/>
      <c r="N343" s="60"/>
      <c r="O343" s="60"/>
      <c r="P343" s="59"/>
      <c r="Q343" s="59"/>
      <c r="R343" s="60"/>
      <c r="S343" s="60"/>
      <c r="T343" s="60"/>
      <c r="U343" s="60"/>
      <c r="V343" s="60"/>
      <c r="W343" s="60"/>
    </row>
    <row r="344" spans="1:23" ht="13" x14ac:dyDescent="0.3">
      <c r="A344" s="58"/>
      <c r="B344" s="58"/>
      <c r="C344" s="58"/>
      <c r="D344" s="58"/>
      <c r="E344" s="58"/>
      <c r="F344" s="58"/>
      <c r="G344" s="58"/>
      <c r="H344" s="59"/>
      <c r="I344" s="59"/>
      <c r="J344" s="59"/>
      <c r="K344" s="59"/>
      <c r="L344" s="59"/>
      <c r="M344" s="60"/>
      <c r="N344" s="60"/>
      <c r="O344" s="60"/>
      <c r="P344" s="59"/>
      <c r="Q344" s="59"/>
      <c r="R344" s="60"/>
      <c r="S344" s="60"/>
      <c r="T344" s="60"/>
      <c r="U344" s="60"/>
      <c r="V344" s="60"/>
      <c r="W344" s="60"/>
    </row>
    <row r="345" spans="1:23" ht="13" x14ac:dyDescent="0.3">
      <c r="A345" s="58"/>
      <c r="B345" s="58"/>
      <c r="C345" s="58"/>
      <c r="D345" s="58"/>
      <c r="E345" s="58"/>
      <c r="F345" s="58"/>
      <c r="G345" s="58"/>
      <c r="H345" s="59"/>
      <c r="I345" s="59"/>
      <c r="J345" s="59"/>
      <c r="K345" s="59"/>
      <c r="L345" s="59"/>
      <c r="M345" s="60"/>
      <c r="N345" s="60"/>
      <c r="O345" s="60"/>
      <c r="P345" s="59"/>
      <c r="Q345" s="59"/>
      <c r="R345" s="60"/>
      <c r="S345" s="60"/>
      <c r="T345" s="60"/>
      <c r="U345" s="60"/>
      <c r="V345" s="60"/>
      <c r="W345" s="60"/>
    </row>
    <row r="346" spans="1:23" ht="13" x14ac:dyDescent="0.3">
      <c r="A346" s="58"/>
      <c r="B346" s="58"/>
      <c r="C346" s="58"/>
      <c r="D346" s="58"/>
      <c r="E346" s="58"/>
      <c r="F346" s="58"/>
      <c r="G346" s="58"/>
      <c r="H346" s="59"/>
      <c r="I346" s="59"/>
      <c r="J346" s="59"/>
      <c r="K346" s="59"/>
      <c r="L346" s="59"/>
      <c r="M346" s="60"/>
      <c r="N346" s="60"/>
      <c r="O346" s="60"/>
      <c r="P346" s="59"/>
      <c r="Q346" s="59"/>
      <c r="R346" s="60"/>
      <c r="S346" s="60"/>
      <c r="T346" s="60"/>
      <c r="U346" s="60"/>
      <c r="V346" s="60"/>
      <c r="W346" s="60"/>
    </row>
    <row r="347" spans="1:23" ht="13" x14ac:dyDescent="0.3">
      <c r="A347" s="58"/>
      <c r="B347" s="58"/>
      <c r="C347" s="58"/>
      <c r="D347" s="58"/>
      <c r="E347" s="58"/>
      <c r="F347" s="58"/>
      <c r="G347" s="58"/>
      <c r="H347" s="59"/>
      <c r="I347" s="59"/>
      <c r="J347" s="59"/>
      <c r="K347" s="59"/>
      <c r="L347" s="59"/>
      <c r="M347" s="60"/>
      <c r="N347" s="60"/>
      <c r="O347" s="60"/>
      <c r="P347" s="59"/>
      <c r="Q347" s="59"/>
      <c r="R347" s="60"/>
      <c r="S347" s="60"/>
      <c r="T347" s="60"/>
      <c r="U347" s="60"/>
      <c r="V347" s="60"/>
      <c r="W347" s="60"/>
    </row>
    <row r="348" spans="1:23" ht="13" x14ac:dyDescent="0.3">
      <c r="A348" s="58"/>
      <c r="B348" s="58"/>
      <c r="C348" s="58"/>
      <c r="D348" s="58"/>
      <c r="E348" s="58"/>
      <c r="F348" s="58"/>
      <c r="G348" s="58"/>
      <c r="H348" s="59"/>
      <c r="I348" s="59"/>
      <c r="J348" s="59"/>
      <c r="K348" s="59"/>
      <c r="L348" s="59"/>
      <c r="M348" s="60"/>
      <c r="N348" s="60"/>
      <c r="O348" s="60"/>
      <c r="P348" s="59"/>
      <c r="Q348" s="59"/>
      <c r="R348" s="60"/>
      <c r="S348" s="60"/>
      <c r="T348" s="60"/>
      <c r="U348" s="60"/>
      <c r="V348" s="60"/>
      <c r="W348" s="60"/>
    </row>
    <row r="349" spans="1:23" ht="13" x14ac:dyDescent="0.3">
      <c r="A349" s="58"/>
      <c r="B349" s="58"/>
      <c r="C349" s="58"/>
      <c r="D349" s="58"/>
      <c r="E349" s="58"/>
      <c r="F349" s="58"/>
      <c r="G349" s="58"/>
      <c r="H349" s="59"/>
      <c r="I349" s="59"/>
      <c r="J349" s="59"/>
      <c r="K349" s="59"/>
      <c r="L349" s="59"/>
      <c r="M349" s="60"/>
      <c r="N349" s="60"/>
      <c r="O349" s="60"/>
      <c r="P349" s="59"/>
      <c r="Q349" s="59"/>
      <c r="R349" s="60"/>
      <c r="S349" s="60"/>
      <c r="T349" s="60"/>
      <c r="U349" s="60"/>
      <c r="V349" s="60"/>
      <c r="W349" s="60"/>
    </row>
    <row r="350" spans="1:23" ht="13" x14ac:dyDescent="0.3">
      <c r="A350" s="58"/>
      <c r="B350" s="58"/>
      <c r="C350" s="58"/>
      <c r="D350" s="58"/>
      <c r="E350" s="58"/>
      <c r="F350" s="58"/>
      <c r="G350" s="58"/>
      <c r="H350" s="59"/>
      <c r="I350" s="59"/>
      <c r="J350" s="59"/>
      <c r="K350" s="59"/>
      <c r="L350" s="59"/>
      <c r="M350" s="60"/>
      <c r="N350" s="60"/>
      <c r="O350" s="60"/>
      <c r="P350" s="59"/>
      <c r="Q350" s="59"/>
      <c r="R350" s="60"/>
      <c r="S350" s="60"/>
      <c r="T350" s="60"/>
      <c r="U350" s="60"/>
      <c r="V350" s="60"/>
      <c r="W350" s="60"/>
    </row>
    <row r="351" spans="1:23" ht="13" x14ac:dyDescent="0.3">
      <c r="A351" s="58"/>
      <c r="B351" s="58"/>
      <c r="C351" s="58"/>
      <c r="D351" s="58"/>
      <c r="E351" s="58"/>
      <c r="F351" s="58"/>
      <c r="G351" s="58"/>
      <c r="H351" s="59"/>
      <c r="I351" s="59"/>
      <c r="J351" s="59"/>
      <c r="K351" s="59"/>
      <c r="L351" s="59"/>
      <c r="M351" s="60"/>
      <c r="N351" s="60"/>
      <c r="O351" s="60"/>
      <c r="P351" s="59"/>
      <c r="Q351" s="59"/>
      <c r="R351" s="60"/>
      <c r="S351" s="60"/>
      <c r="T351" s="60"/>
      <c r="U351" s="60"/>
      <c r="V351" s="60"/>
      <c r="W351" s="60"/>
    </row>
    <row r="352" spans="1:23" ht="13" x14ac:dyDescent="0.3">
      <c r="A352" s="58"/>
      <c r="B352" s="58"/>
      <c r="C352" s="58"/>
      <c r="D352" s="58"/>
      <c r="E352" s="58"/>
      <c r="F352" s="58"/>
      <c r="G352" s="58"/>
      <c r="H352" s="59"/>
      <c r="I352" s="59"/>
      <c r="J352" s="59"/>
      <c r="K352" s="59"/>
      <c r="L352" s="59"/>
      <c r="M352" s="60"/>
      <c r="N352" s="60"/>
      <c r="O352" s="60"/>
      <c r="P352" s="59"/>
      <c r="Q352" s="59"/>
      <c r="R352" s="60"/>
      <c r="S352" s="60"/>
      <c r="T352" s="60"/>
      <c r="U352" s="60"/>
      <c r="V352" s="60"/>
      <c r="W352" s="60"/>
    </row>
    <row r="353" spans="1:23" ht="13" x14ac:dyDescent="0.3">
      <c r="A353" s="58"/>
      <c r="B353" s="58"/>
      <c r="C353" s="58"/>
      <c r="D353" s="58"/>
      <c r="E353" s="58"/>
      <c r="F353" s="58"/>
      <c r="G353" s="58"/>
      <c r="H353" s="59"/>
      <c r="I353" s="59"/>
      <c r="J353" s="59"/>
      <c r="K353" s="59"/>
      <c r="L353" s="59"/>
      <c r="M353" s="60"/>
      <c r="N353" s="60"/>
      <c r="O353" s="60"/>
      <c r="P353" s="59"/>
      <c r="Q353" s="59"/>
      <c r="R353" s="60"/>
      <c r="S353" s="60"/>
      <c r="T353" s="60"/>
      <c r="U353" s="60"/>
      <c r="V353" s="60"/>
      <c r="W353" s="60"/>
    </row>
    <row r="354" spans="1:23" ht="13" x14ac:dyDescent="0.3">
      <c r="A354" s="58"/>
      <c r="B354" s="58"/>
      <c r="C354" s="58"/>
      <c r="D354" s="58"/>
      <c r="E354" s="58"/>
      <c r="F354" s="58"/>
      <c r="G354" s="58"/>
      <c r="H354" s="59"/>
      <c r="I354" s="59"/>
      <c r="J354" s="59"/>
      <c r="K354" s="59"/>
      <c r="L354" s="59"/>
      <c r="M354" s="60"/>
      <c r="N354" s="60"/>
      <c r="O354" s="60"/>
      <c r="P354" s="59"/>
      <c r="Q354" s="59"/>
      <c r="R354" s="60"/>
      <c r="S354" s="60"/>
      <c r="T354" s="60"/>
      <c r="U354" s="60"/>
      <c r="V354" s="60"/>
      <c r="W354" s="60"/>
    </row>
    <row r="355" spans="1:23" ht="13" x14ac:dyDescent="0.3">
      <c r="A355" s="58"/>
      <c r="B355" s="58"/>
      <c r="C355" s="58"/>
      <c r="D355" s="58"/>
      <c r="E355" s="58"/>
      <c r="F355" s="58"/>
      <c r="G355" s="58"/>
      <c r="H355" s="59"/>
      <c r="I355" s="59"/>
      <c r="J355" s="59"/>
      <c r="K355" s="59"/>
      <c r="L355" s="59"/>
      <c r="M355" s="60"/>
      <c r="N355" s="60"/>
      <c r="O355" s="60"/>
      <c r="P355" s="59"/>
      <c r="Q355" s="59"/>
      <c r="R355" s="60"/>
      <c r="S355" s="60"/>
      <c r="T355" s="60"/>
      <c r="U355" s="60"/>
      <c r="V355" s="60"/>
      <c r="W355" s="60"/>
    </row>
    <row r="356" spans="1:23" ht="13" x14ac:dyDescent="0.3">
      <c r="A356" s="58"/>
      <c r="B356" s="58"/>
      <c r="C356" s="58"/>
      <c r="D356" s="58"/>
      <c r="E356" s="58"/>
      <c r="F356" s="58"/>
      <c r="G356" s="58"/>
      <c r="H356" s="59"/>
      <c r="I356" s="59"/>
      <c r="J356" s="59"/>
      <c r="K356" s="59"/>
      <c r="L356" s="59"/>
      <c r="M356" s="60"/>
      <c r="N356" s="60"/>
      <c r="O356" s="60"/>
      <c r="P356" s="59"/>
      <c r="Q356" s="59"/>
      <c r="R356" s="60"/>
      <c r="S356" s="60"/>
      <c r="T356" s="60"/>
      <c r="U356" s="60"/>
      <c r="V356" s="60"/>
      <c r="W356" s="60"/>
    </row>
    <row r="357" spans="1:23" ht="13" x14ac:dyDescent="0.3">
      <c r="A357" s="58"/>
      <c r="B357" s="58"/>
      <c r="C357" s="58"/>
      <c r="D357" s="58"/>
      <c r="E357" s="58"/>
      <c r="F357" s="58"/>
      <c r="G357" s="58"/>
      <c r="H357" s="59"/>
      <c r="I357" s="59"/>
      <c r="J357" s="59"/>
      <c r="K357" s="59"/>
      <c r="L357" s="59"/>
      <c r="M357" s="60"/>
      <c r="N357" s="60"/>
      <c r="O357" s="60"/>
      <c r="P357" s="59"/>
      <c r="Q357" s="59"/>
      <c r="R357" s="60"/>
      <c r="S357" s="60"/>
      <c r="T357" s="60"/>
      <c r="U357" s="60"/>
      <c r="V357" s="60"/>
      <c r="W357" s="60"/>
    </row>
    <row r="358" spans="1:23" ht="13" x14ac:dyDescent="0.3">
      <c r="A358" s="58"/>
      <c r="B358" s="58"/>
      <c r="C358" s="58"/>
      <c r="D358" s="58"/>
      <c r="E358" s="58"/>
      <c r="F358" s="58"/>
      <c r="G358" s="58"/>
      <c r="H358" s="59"/>
      <c r="I358" s="59"/>
      <c r="J358" s="59"/>
      <c r="K358" s="59"/>
      <c r="L358" s="59"/>
      <c r="M358" s="60"/>
      <c r="N358" s="60"/>
      <c r="O358" s="60"/>
      <c r="P358" s="59"/>
      <c r="Q358" s="59"/>
      <c r="R358" s="60"/>
      <c r="S358" s="60"/>
      <c r="T358" s="60"/>
      <c r="U358" s="60"/>
      <c r="V358" s="60"/>
      <c r="W358" s="60"/>
    </row>
    <row r="359" spans="1:23" ht="13" x14ac:dyDescent="0.3">
      <c r="A359" s="58"/>
      <c r="B359" s="58"/>
      <c r="C359" s="58"/>
      <c r="D359" s="58"/>
      <c r="E359" s="58"/>
      <c r="F359" s="58"/>
      <c r="G359" s="58"/>
      <c r="H359" s="59"/>
      <c r="I359" s="59"/>
      <c r="J359" s="59"/>
      <c r="K359" s="59"/>
      <c r="L359" s="59"/>
      <c r="M359" s="60"/>
      <c r="N359" s="60"/>
      <c r="O359" s="60"/>
      <c r="P359" s="59"/>
      <c r="Q359" s="59"/>
      <c r="R359" s="60"/>
      <c r="S359" s="60"/>
      <c r="T359" s="60"/>
      <c r="U359" s="60"/>
      <c r="V359" s="60"/>
      <c r="W359" s="60"/>
    </row>
    <row r="360" spans="1:23" ht="13" x14ac:dyDescent="0.3">
      <c r="A360" s="58"/>
      <c r="B360" s="58"/>
      <c r="C360" s="58"/>
      <c r="D360" s="58"/>
      <c r="E360" s="58"/>
      <c r="F360" s="58"/>
      <c r="G360" s="58"/>
      <c r="H360" s="59"/>
      <c r="I360" s="59"/>
      <c r="J360" s="59"/>
      <c r="K360" s="59"/>
      <c r="L360" s="59"/>
      <c r="M360" s="60"/>
      <c r="N360" s="60"/>
      <c r="O360" s="60"/>
      <c r="P360" s="59"/>
      <c r="Q360" s="59"/>
      <c r="R360" s="60"/>
      <c r="S360" s="60"/>
      <c r="T360" s="60"/>
      <c r="U360" s="60"/>
      <c r="V360" s="60"/>
      <c r="W360" s="60"/>
    </row>
    <row r="361" spans="1:23" ht="13" x14ac:dyDescent="0.3">
      <c r="A361" s="58"/>
      <c r="B361" s="58"/>
      <c r="C361" s="58"/>
      <c r="D361" s="58"/>
      <c r="E361" s="58"/>
      <c r="F361" s="58"/>
      <c r="G361" s="58"/>
      <c r="H361" s="59"/>
      <c r="I361" s="59"/>
      <c r="J361" s="59"/>
      <c r="K361" s="59"/>
      <c r="L361" s="59"/>
      <c r="M361" s="60"/>
      <c r="N361" s="60"/>
      <c r="O361" s="60"/>
      <c r="P361" s="59"/>
      <c r="Q361" s="59"/>
      <c r="R361" s="60"/>
      <c r="S361" s="60"/>
      <c r="T361" s="60"/>
      <c r="U361" s="60"/>
      <c r="V361" s="60"/>
      <c r="W361" s="60"/>
    </row>
    <row r="362" spans="1:23" ht="13" x14ac:dyDescent="0.3">
      <c r="A362" s="58"/>
      <c r="B362" s="58"/>
      <c r="C362" s="58"/>
      <c r="D362" s="58"/>
      <c r="E362" s="58"/>
      <c r="F362" s="58"/>
      <c r="G362" s="58"/>
      <c r="H362" s="59"/>
      <c r="I362" s="59"/>
      <c r="J362" s="59"/>
      <c r="K362" s="59"/>
      <c r="L362" s="59"/>
      <c r="M362" s="60"/>
      <c r="N362" s="60"/>
      <c r="O362" s="60"/>
      <c r="P362" s="59"/>
      <c r="Q362" s="59"/>
      <c r="R362" s="60"/>
      <c r="S362" s="60"/>
      <c r="T362" s="60"/>
      <c r="U362" s="60"/>
      <c r="V362" s="60"/>
      <c r="W362" s="60"/>
    </row>
    <row r="363" spans="1:23" ht="13" x14ac:dyDescent="0.3">
      <c r="A363" s="58"/>
      <c r="B363" s="58"/>
      <c r="C363" s="58"/>
      <c r="D363" s="58"/>
      <c r="E363" s="58"/>
      <c r="F363" s="58"/>
      <c r="G363" s="58"/>
      <c r="H363" s="59"/>
      <c r="I363" s="59"/>
      <c r="J363" s="59"/>
      <c r="K363" s="59"/>
      <c r="L363" s="59"/>
      <c r="M363" s="60"/>
      <c r="N363" s="60"/>
      <c r="O363" s="60"/>
      <c r="P363" s="59"/>
      <c r="Q363" s="59"/>
      <c r="R363" s="60"/>
      <c r="S363" s="60"/>
      <c r="T363" s="60"/>
      <c r="U363" s="60"/>
      <c r="V363" s="60"/>
      <c r="W363" s="60"/>
    </row>
    <row r="364" spans="1:23" ht="13" x14ac:dyDescent="0.3">
      <c r="A364" s="58"/>
      <c r="B364" s="58"/>
      <c r="C364" s="58"/>
      <c r="D364" s="58"/>
      <c r="E364" s="58"/>
      <c r="F364" s="58"/>
      <c r="G364" s="58"/>
      <c r="H364" s="59"/>
      <c r="I364" s="59"/>
      <c r="J364" s="59"/>
      <c r="K364" s="59"/>
      <c r="L364" s="59"/>
      <c r="M364" s="60"/>
      <c r="N364" s="60"/>
      <c r="O364" s="60"/>
      <c r="P364" s="59"/>
      <c r="Q364" s="59"/>
      <c r="R364" s="60"/>
      <c r="S364" s="60"/>
      <c r="T364" s="60"/>
      <c r="U364" s="60"/>
      <c r="V364" s="60"/>
      <c r="W364" s="60"/>
    </row>
    <row r="365" spans="1:23" ht="13" x14ac:dyDescent="0.3">
      <c r="A365" s="58"/>
      <c r="B365" s="58"/>
      <c r="C365" s="58"/>
      <c r="D365" s="58"/>
      <c r="E365" s="58"/>
      <c r="F365" s="58"/>
      <c r="G365" s="58"/>
      <c r="H365" s="59"/>
      <c r="I365" s="59"/>
      <c r="J365" s="59"/>
      <c r="K365" s="59"/>
      <c r="L365" s="59"/>
      <c r="M365" s="60"/>
      <c r="N365" s="60"/>
      <c r="O365" s="60"/>
      <c r="P365" s="59"/>
      <c r="Q365" s="59"/>
      <c r="R365" s="60"/>
      <c r="S365" s="60"/>
      <c r="T365" s="60"/>
      <c r="U365" s="60"/>
      <c r="V365" s="60"/>
      <c r="W365" s="60"/>
    </row>
    <row r="366" spans="1:23" ht="13" x14ac:dyDescent="0.3">
      <c r="A366" s="58"/>
      <c r="B366" s="58"/>
      <c r="C366" s="58"/>
      <c r="D366" s="58"/>
      <c r="E366" s="58"/>
      <c r="F366" s="58"/>
      <c r="G366" s="58"/>
      <c r="H366" s="59"/>
      <c r="I366" s="59"/>
      <c r="J366" s="59"/>
      <c r="K366" s="59"/>
      <c r="L366" s="59"/>
      <c r="M366" s="60"/>
      <c r="N366" s="60"/>
      <c r="O366" s="60"/>
      <c r="P366" s="59"/>
      <c r="Q366" s="59"/>
      <c r="R366" s="60"/>
      <c r="S366" s="60"/>
      <c r="T366" s="60"/>
      <c r="U366" s="60"/>
      <c r="V366" s="60"/>
      <c r="W366" s="60"/>
    </row>
    <row r="367" spans="1:23" ht="13" x14ac:dyDescent="0.3">
      <c r="A367" s="58"/>
      <c r="B367" s="58"/>
      <c r="C367" s="58"/>
      <c r="D367" s="58"/>
      <c r="E367" s="58"/>
      <c r="F367" s="58"/>
      <c r="G367" s="58"/>
      <c r="H367" s="59"/>
      <c r="I367" s="59"/>
      <c r="J367" s="59"/>
      <c r="K367" s="59"/>
      <c r="L367" s="59"/>
      <c r="M367" s="60"/>
      <c r="N367" s="60"/>
      <c r="O367" s="60"/>
      <c r="P367" s="59"/>
      <c r="Q367" s="59"/>
      <c r="R367" s="60"/>
      <c r="S367" s="60"/>
      <c r="T367" s="60"/>
      <c r="U367" s="60"/>
      <c r="V367" s="60"/>
      <c r="W367" s="60"/>
    </row>
    <row r="368" spans="1:23" ht="13" x14ac:dyDescent="0.3">
      <c r="A368" s="58"/>
      <c r="B368" s="58"/>
      <c r="C368" s="58"/>
      <c r="D368" s="58"/>
      <c r="E368" s="58"/>
      <c r="F368" s="58"/>
      <c r="G368" s="58"/>
      <c r="H368" s="59"/>
      <c r="I368" s="59"/>
      <c r="J368" s="59"/>
      <c r="K368" s="59"/>
      <c r="L368" s="59"/>
      <c r="M368" s="60"/>
      <c r="N368" s="60"/>
      <c r="O368" s="60"/>
      <c r="P368" s="59"/>
      <c r="Q368" s="59"/>
      <c r="R368" s="60"/>
      <c r="S368" s="60"/>
      <c r="T368" s="60"/>
      <c r="U368" s="60"/>
      <c r="V368" s="60"/>
      <c r="W368" s="60"/>
    </row>
    <row r="369" spans="1:23" ht="13" x14ac:dyDescent="0.3">
      <c r="A369" s="58"/>
      <c r="B369" s="58"/>
      <c r="C369" s="58"/>
      <c r="D369" s="58"/>
      <c r="E369" s="58"/>
      <c r="F369" s="58"/>
      <c r="G369" s="58"/>
      <c r="H369" s="59"/>
      <c r="I369" s="59"/>
      <c r="J369" s="59"/>
      <c r="K369" s="59"/>
      <c r="L369" s="59"/>
      <c r="M369" s="60"/>
      <c r="N369" s="60"/>
      <c r="O369" s="60"/>
      <c r="P369" s="59"/>
      <c r="Q369" s="59"/>
      <c r="R369" s="60"/>
      <c r="S369" s="60"/>
      <c r="T369" s="60"/>
      <c r="U369" s="60"/>
      <c r="V369" s="60"/>
      <c r="W369" s="60"/>
    </row>
    <row r="370" spans="1:23" ht="13" x14ac:dyDescent="0.3">
      <c r="A370" s="58"/>
      <c r="B370" s="58"/>
      <c r="C370" s="58"/>
      <c r="D370" s="58"/>
      <c r="E370" s="58"/>
      <c r="F370" s="58"/>
      <c r="G370" s="58"/>
      <c r="H370" s="59"/>
      <c r="I370" s="59"/>
      <c r="J370" s="59"/>
      <c r="K370" s="59"/>
      <c r="L370" s="59"/>
      <c r="M370" s="60"/>
      <c r="N370" s="60"/>
      <c r="O370" s="60"/>
      <c r="P370" s="59"/>
      <c r="Q370" s="59"/>
      <c r="R370" s="60"/>
      <c r="S370" s="60"/>
      <c r="T370" s="60"/>
      <c r="U370" s="60"/>
      <c r="V370" s="60"/>
      <c r="W370" s="60"/>
    </row>
    <row r="371" spans="1:23" ht="13" x14ac:dyDescent="0.3">
      <c r="A371" s="58"/>
      <c r="B371" s="58"/>
      <c r="C371" s="58"/>
      <c r="D371" s="58"/>
      <c r="E371" s="58"/>
      <c r="F371" s="58"/>
      <c r="G371" s="58"/>
      <c r="H371" s="59"/>
      <c r="I371" s="59"/>
      <c r="J371" s="59"/>
      <c r="K371" s="59"/>
      <c r="L371" s="59"/>
      <c r="M371" s="60"/>
      <c r="N371" s="60"/>
      <c r="O371" s="60"/>
      <c r="P371" s="59"/>
      <c r="Q371" s="59"/>
      <c r="R371" s="60"/>
      <c r="S371" s="60"/>
      <c r="T371" s="60"/>
      <c r="U371" s="60"/>
      <c r="V371" s="60"/>
      <c r="W371" s="60"/>
    </row>
    <row r="372" spans="1:23" ht="13" x14ac:dyDescent="0.3">
      <c r="A372" s="58"/>
      <c r="B372" s="58"/>
      <c r="C372" s="58"/>
      <c r="D372" s="58"/>
      <c r="E372" s="58"/>
      <c r="F372" s="58"/>
      <c r="G372" s="58"/>
      <c r="H372" s="59"/>
      <c r="I372" s="59"/>
      <c r="J372" s="59"/>
      <c r="K372" s="59"/>
      <c r="L372" s="59"/>
      <c r="M372" s="60"/>
      <c r="N372" s="60"/>
      <c r="O372" s="60"/>
      <c r="P372" s="59"/>
      <c r="Q372" s="59"/>
      <c r="R372" s="60"/>
      <c r="S372" s="60"/>
      <c r="T372" s="60"/>
      <c r="U372" s="60"/>
      <c r="V372" s="60"/>
      <c r="W372" s="60"/>
    </row>
    <row r="373" spans="1:23" ht="13" x14ac:dyDescent="0.3">
      <c r="A373" s="58"/>
      <c r="B373" s="58"/>
      <c r="C373" s="58"/>
      <c r="D373" s="58"/>
      <c r="E373" s="58"/>
      <c r="F373" s="58"/>
      <c r="G373" s="58"/>
      <c r="H373" s="59"/>
      <c r="I373" s="59"/>
      <c r="J373" s="59"/>
      <c r="K373" s="59"/>
      <c r="L373" s="59"/>
      <c r="M373" s="60"/>
      <c r="N373" s="60"/>
      <c r="O373" s="60"/>
      <c r="P373" s="59"/>
      <c r="Q373" s="59"/>
      <c r="R373" s="60"/>
      <c r="S373" s="60"/>
      <c r="T373" s="60"/>
      <c r="U373" s="60"/>
      <c r="V373" s="60"/>
      <c r="W373" s="60"/>
    </row>
    <row r="374" spans="1:23" ht="13" x14ac:dyDescent="0.3">
      <c r="A374" s="58"/>
      <c r="B374" s="58"/>
      <c r="C374" s="58"/>
      <c r="D374" s="58"/>
      <c r="E374" s="58"/>
      <c r="F374" s="58"/>
      <c r="G374" s="58"/>
      <c r="H374" s="59"/>
      <c r="I374" s="59"/>
      <c r="J374" s="59"/>
      <c r="K374" s="59"/>
      <c r="L374" s="59"/>
      <c r="M374" s="60"/>
      <c r="N374" s="60"/>
      <c r="O374" s="60"/>
      <c r="P374" s="59"/>
      <c r="Q374" s="59"/>
      <c r="R374" s="60"/>
      <c r="S374" s="60"/>
      <c r="T374" s="60"/>
      <c r="U374" s="60"/>
      <c r="V374" s="60"/>
      <c r="W374" s="60"/>
    </row>
    <row r="375" spans="1:23" ht="13" x14ac:dyDescent="0.3">
      <c r="A375" s="58"/>
      <c r="B375" s="58"/>
      <c r="C375" s="58"/>
      <c r="D375" s="58"/>
      <c r="E375" s="58"/>
      <c r="F375" s="58"/>
      <c r="G375" s="58"/>
      <c r="H375" s="59"/>
      <c r="I375" s="59"/>
      <c r="J375" s="59"/>
      <c r="K375" s="59"/>
      <c r="L375" s="59"/>
      <c r="M375" s="60"/>
      <c r="N375" s="60"/>
      <c r="O375" s="60"/>
      <c r="P375" s="59"/>
      <c r="Q375" s="59"/>
      <c r="R375" s="60"/>
      <c r="S375" s="60"/>
      <c r="T375" s="60"/>
      <c r="U375" s="60"/>
      <c r="V375" s="60"/>
      <c r="W375" s="60"/>
    </row>
    <row r="376" spans="1:23" ht="13" x14ac:dyDescent="0.3">
      <c r="A376" s="58"/>
      <c r="B376" s="58"/>
      <c r="C376" s="58"/>
      <c r="D376" s="58"/>
      <c r="E376" s="58"/>
      <c r="F376" s="58"/>
      <c r="G376" s="58"/>
      <c r="H376" s="59"/>
      <c r="I376" s="59"/>
      <c r="J376" s="59"/>
      <c r="K376" s="59"/>
      <c r="L376" s="59"/>
      <c r="M376" s="60"/>
      <c r="N376" s="60"/>
      <c r="O376" s="60"/>
      <c r="P376" s="59"/>
      <c r="Q376" s="59"/>
      <c r="R376" s="60"/>
      <c r="S376" s="60"/>
      <c r="T376" s="60"/>
      <c r="U376" s="60"/>
      <c r="V376" s="60"/>
      <c r="W376" s="60"/>
    </row>
    <row r="377" spans="1:23" ht="13" x14ac:dyDescent="0.3">
      <c r="A377" s="58"/>
      <c r="B377" s="58"/>
      <c r="C377" s="58"/>
      <c r="D377" s="58"/>
      <c r="E377" s="58"/>
      <c r="F377" s="58"/>
      <c r="G377" s="58"/>
      <c r="H377" s="59"/>
      <c r="I377" s="59"/>
      <c r="J377" s="59"/>
      <c r="K377" s="59"/>
      <c r="L377" s="59"/>
      <c r="M377" s="60"/>
      <c r="N377" s="60"/>
      <c r="O377" s="60"/>
      <c r="P377" s="59"/>
      <c r="Q377" s="59"/>
      <c r="R377" s="60"/>
      <c r="S377" s="60"/>
      <c r="T377" s="60"/>
      <c r="U377" s="60"/>
      <c r="V377" s="60"/>
      <c r="W377" s="60"/>
    </row>
    <row r="378" spans="1:23" ht="13" x14ac:dyDescent="0.3">
      <c r="A378" s="58"/>
      <c r="B378" s="58"/>
      <c r="C378" s="58"/>
      <c r="D378" s="58"/>
      <c r="E378" s="58"/>
      <c r="F378" s="58"/>
      <c r="G378" s="58"/>
      <c r="H378" s="59"/>
      <c r="I378" s="59"/>
      <c r="J378" s="59"/>
      <c r="K378" s="59"/>
      <c r="L378" s="59"/>
      <c r="M378" s="60"/>
      <c r="N378" s="60"/>
      <c r="O378" s="60"/>
      <c r="P378" s="59"/>
      <c r="Q378" s="59"/>
      <c r="R378" s="60"/>
      <c r="S378" s="60"/>
      <c r="T378" s="60"/>
      <c r="U378" s="60"/>
      <c r="V378" s="60"/>
      <c r="W378" s="60"/>
    </row>
    <row r="379" spans="1:23" ht="13" x14ac:dyDescent="0.3">
      <c r="A379" s="58"/>
      <c r="B379" s="58"/>
      <c r="C379" s="58"/>
      <c r="D379" s="58"/>
      <c r="E379" s="58"/>
      <c r="F379" s="58"/>
      <c r="G379" s="58"/>
      <c r="H379" s="59"/>
      <c r="I379" s="59"/>
      <c r="J379" s="59"/>
      <c r="K379" s="59"/>
      <c r="L379" s="59"/>
      <c r="M379" s="60"/>
      <c r="N379" s="60"/>
      <c r="O379" s="60"/>
      <c r="P379" s="59"/>
      <c r="Q379" s="59"/>
      <c r="R379" s="60"/>
      <c r="S379" s="60"/>
      <c r="T379" s="60"/>
      <c r="U379" s="60"/>
      <c r="V379" s="60"/>
      <c r="W379" s="60"/>
    </row>
    <row r="380" spans="1:23" ht="13" x14ac:dyDescent="0.3">
      <c r="A380" s="58"/>
      <c r="B380" s="58"/>
      <c r="C380" s="58"/>
      <c r="D380" s="58"/>
      <c r="E380" s="58"/>
      <c r="F380" s="58"/>
      <c r="G380" s="58"/>
      <c r="H380" s="59"/>
      <c r="I380" s="59"/>
      <c r="J380" s="59"/>
      <c r="K380" s="59"/>
      <c r="L380" s="59"/>
      <c r="M380" s="60"/>
      <c r="N380" s="60"/>
      <c r="O380" s="60"/>
      <c r="P380" s="59"/>
      <c r="Q380" s="59"/>
      <c r="R380" s="60"/>
      <c r="S380" s="60"/>
      <c r="T380" s="60"/>
      <c r="U380" s="60"/>
      <c r="V380" s="60"/>
      <c r="W380" s="60"/>
    </row>
    <row r="381" spans="1:23" ht="13" x14ac:dyDescent="0.3">
      <c r="A381" s="58"/>
      <c r="B381" s="58"/>
      <c r="C381" s="58"/>
      <c r="D381" s="58"/>
      <c r="E381" s="58"/>
      <c r="F381" s="58"/>
      <c r="G381" s="58"/>
      <c r="H381" s="59"/>
      <c r="I381" s="59"/>
      <c r="J381" s="59"/>
      <c r="K381" s="59"/>
      <c r="L381" s="59"/>
      <c r="M381" s="60"/>
      <c r="N381" s="60"/>
      <c r="O381" s="60"/>
      <c r="P381" s="59"/>
      <c r="Q381" s="59"/>
      <c r="R381" s="60"/>
      <c r="S381" s="60"/>
      <c r="T381" s="60"/>
      <c r="U381" s="60"/>
      <c r="V381" s="60"/>
      <c r="W381" s="60"/>
    </row>
    <row r="382" spans="1:23" ht="13" x14ac:dyDescent="0.3">
      <c r="A382" s="58"/>
      <c r="B382" s="58"/>
      <c r="C382" s="58"/>
      <c r="D382" s="58"/>
      <c r="E382" s="58"/>
      <c r="F382" s="58"/>
      <c r="G382" s="58"/>
      <c r="H382" s="59"/>
      <c r="I382" s="59"/>
      <c r="J382" s="59"/>
      <c r="K382" s="59"/>
      <c r="L382" s="59"/>
      <c r="M382" s="60"/>
      <c r="N382" s="60"/>
      <c r="O382" s="60"/>
      <c r="P382" s="59"/>
      <c r="Q382" s="59"/>
      <c r="R382" s="60"/>
      <c r="S382" s="60"/>
      <c r="T382" s="60"/>
      <c r="U382" s="60"/>
      <c r="V382" s="60"/>
      <c r="W382" s="60"/>
    </row>
    <row r="383" spans="1:23" ht="13" x14ac:dyDescent="0.3">
      <c r="A383" s="58"/>
      <c r="B383" s="58"/>
      <c r="C383" s="58"/>
      <c r="D383" s="58"/>
      <c r="E383" s="58"/>
      <c r="F383" s="58"/>
      <c r="G383" s="58"/>
      <c r="H383" s="59"/>
      <c r="I383" s="59"/>
      <c r="J383" s="59"/>
      <c r="K383" s="59"/>
      <c r="L383" s="59"/>
      <c r="M383" s="60"/>
      <c r="N383" s="60"/>
      <c r="O383" s="60"/>
      <c r="P383" s="59"/>
      <c r="Q383" s="59"/>
      <c r="R383" s="60"/>
      <c r="S383" s="60"/>
      <c r="T383" s="60"/>
      <c r="U383" s="60"/>
      <c r="V383" s="60"/>
      <c r="W383" s="60"/>
    </row>
    <row r="384" spans="1:23" ht="13" x14ac:dyDescent="0.3">
      <c r="A384" s="58"/>
      <c r="B384" s="58"/>
      <c r="C384" s="58"/>
      <c r="D384" s="58"/>
      <c r="E384" s="58"/>
      <c r="F384" s="58"/>
      <c r="G384" s="58"/>
      <c r="H384" s="59"/>
      <c r="I384" s="59"/>
      <c r="J384" s="59"/>
      <c r="K384" s="59"/>
      <c r="L384" s="59"/>
      <c r="M384" s="60"/>
      <c r="N384" s="60"/>
      <c r="O384" s="60"/>
      <c r="P384" s="59"/>
      <c r="Q384" s="59"/>
      <c r="R384" s="60"/>
      <c r="S384" s="60"/>
      <c r="T384" s="60"/>
      <c r="U384" s="60"/>
      <c r="V384" s="60"/>
      <c r="W384" s="60"/>
    </row>
    <row r="385" spans="1:23" ht="13" x14ac:dyDescent="0.3">
      <c r="A385" s="58"/>
      <c r="B385" s="58"/>
      <c r="C385" s="58"/>
      <c r="D385" s="58"/>
      <c r="E385" s="58"/>
      <c r="F385" s="58"/>
      <c r="G385" s="58"/>
      <c r="H385" s="59"/>
      <c r="I385" s="59"/>
      <c r="J385" s="59"/>
      <c r="K385" s="59"/>
      <c r="L385" s="59"/>
      <c r="M385" s="60"/>
      <c r="N385" s="60"/>
      <c r="O385" s="60"/>
      <c r="P385" s="59"/>
      <c r="Q385" s="59"/>
      <c r="R385" s="60"/>
      <c r="S385" s="60"/>
      <c r="T385" s="60"/>
      <c r="U385" s="60"/>
      <c r="V385" s="60"/>
      <c r="W385" s="60"/>
    </row>
    <row r="386" spans="1:23" ht="13" x14ac:dyDescent="0.3">
      <c r="A386" s="58"/>
      <c r="B386" s="58"/>
      <c r="C386" s="58"/>
      <c r="D386" s="58"/>
      <c r="E386" s="58"/>
      <c r="F386" s="58"/>
      <c r="G386" s="58"/>
      <c r="H386" s="59"/>
      <c r="I386" s="59"/>
      <c r="J386" s="59"/>
      <c r="K386" s="59"/>
      <c r="L386" s="59"/>
      <c r="M386" s="60"/>
      <c r="N386" s="60"/>
      <c r="O386" s="60"/>
      <c r="P386" s="59"/>
      <c r="Q386" s="59"/>
      <c r="R386" s="60"/>
      <c r="S386" s="60"/>
      <c r="T386" s="60"/>
      <c r="U386" s="60"/>
      <c r="V386" s="60"/>
      <c r="W386" s="60"/>
    </row>
    <row r="387" spans="1:23" ht="13" x14ac:dyDescent="0.3">
      <c r="A387" s="58"/>
      <c r="B387" s="58"/>
      <c r="C387" s="58"/>
      <c r="D387" s="58"/>
      <c r="E387" s="58"/>
      <c r="F387" s="58"/>
      <c r="G387" s="58"/>
      <c r="H387" s="59"/>
      <c r="I387" s="59"/>
      <c r="J387" s="59"/>
      <c r="K387" s="59"/>
      <c r="L387" s="59"/>
      <c r="M387" s="60"/>
      <c r="N387" s="60"/>
      <c r="O387" s="60"/>
      <c r="P387" s="59"/>
      <c r="Q387" s="59"/>
      <c r="R387" s="60"/>
      <c r="S387" s="60"/>
      <c r="T387" s="60"/>
      <c r="U387" s="60"/>
      <c r="V387" s="60"/>
      <c r="W387" s="60"/>
    </row>
    <row r="388" spans="1:23" ht="13" x14ac:dyDescent="0.3">
      <c r="A388" s="58"/>
      <c r="B388" s="58"/>
      <c r="C388" s="58"/>
      <c r="D388" s="58"/>
      <c r="E388" s="58"/>
      <c r="F388" s="58"/>
      <c r="G388" s="58"/>
      <c r="H388" s="59"/>
      <c r="I388" s="59"/>
      <c r="J388" s="59"/>
      <c r="K388" s="59"/>
      <c r="L388" s="59"/>
      <c r="M388" s="60"/>
      <c r="N388" s="60"/>
      <c r="O388" s="60"/>
      <c r="P388" s="59"/>
      <c r="Q388" s="59"/>
      <c r="R388" s="60"/>
      <c r="S388" s="60"/>
      <c r="T388" s="60"/>
      <c r="U388" s="60"/>
      <c r="V388" s="60"/>
      <c r="W388" s="60"/>
    </row>
    <row r="389" spans="1:23" ht="13" x14ac:dyDescent="0.3">
      <c r="A389" s="58"/>
      <c r="B389" s="58"/>
      <c r="C389" s="58"/>
      <c r="D389" s="58"/>
      <c r="E389" s="58"/>
      <c r="F389" s="58"/>
      <c r="G389" s="58"/>
      <c r="H389" s="59"/>
      <c r="I389" s="59"/>
      <c r="J389" s="59"/>
      <c r="K389" s="59"/>
      <c r="L389" s="59"/>
      <c r="M389" s="60"/>
      <c r="N389" s="60"/>
      <c r="O389" s="60"/>
      <c r="P389" s="59"/>
      <c r="Q389" s="59"/>
      <c r="R389" s="60"/>
      <c r="S389" s="60"/>
      <c r="T389" s="60"/>
      <c r="U389" s="60"/>
      <c r="V389" s="60"/>
      <c r="W389" s="60"/>
    </row>
    <row r="390" spans="1:23" ht="13" x14ac:dyDescent="0.3">
      <c r="A390" s="58"/>
      <c r="B390" s="58"/>
      <c r="C390" s="58"/>
      <c r="D390" s="58"/>
      <c r="E390" s="58"/>
      <c r="F390" s="58"/>
      <c r="G390" s="58"/>
      <c r="H390" s="59"/>
      <c r="I390" s="59"/>
      <c r="J390" s="59"/>
      <c r="K390" s="59"/>
      <c r="L390" s="59"/>
      <c r="M390" s="60"/>
      <c r="N390" s="60"/>
      <c r="O390" s="60"/>
      <c r="P390" s="59"/>
      <c r="Q390" s="59"/>
      <c r="R390" s="60"/>
      <c r="S390" s="60"/>
      <c r="T390" s="60"/>
      <c r="U390" s="60"/>
      <c r="V390" s="60"/>
      <c r="W390" s="60"/>
    </row>
    <row r="391" spans="1:23" ht="13" x14ac:dyDescent="0.3">
      <c r="A391" s="58"/>
      <c r="B391" s="58"/>
      <c r="C391" s="58"/>
      <c r="D391" s="58"/>
      <c r="E391" s="58"/>
      <c r="F391" s="58"/>
      <c r="G391" s="58"/>
      <c r="H391" s="59"/>
      <c r="I391" s="59"/>
      <c r="J391" s="59"/>
      <c r="K391" s="59"/>
      <c r="L391" s="59"/>
      <c r="M391" s="60"/>
      <c r="N391" s="60"/>
      <c r="O391" s="60"/>
      <c r="P391" s="59"/>
      <c r="Q391" s="59"/>
      <c r="R391" s="60"/>
      <c r="S391" s="60"/>
      <c r="T391" s="60"/>
      <c r="U391" s="60"/>
      <c r="V391" s="60"/>
      <c r="W391" s="60"/>
    </row>
    <row r="392" spans="1:23" ht="13" x14ac:dyDescent="0.3">
      <c r="A392" s="58"/>
      <c r="B392" s="58"/>
      <c r="C392" s="58"/>
      <c r="D392" s="58"/>
      <c r="E392" s="58"/>
      <c r="F392" s="58"/>
      <c r="G392" s="58"/>
      <c r="H392" s="59"/>
      <c r="I392" s="59"/>
      <c r="J392" s="59"/>
      <c r="K392" s="59"/>
      <c r="L392" s="59"/>
      <c r="M392" s="60"/>
      <c r="N392" s="60"/>
      <c r="O392" s="60"/>
      <c r="P392" s="59"/>
      <c r="Q392" s="59"/>
      <c r="R392" s="60"/>
      <c r="S392" s="60"/>
      <c r="T392" s="60"/>
      <c r="U392" s="60"/>
      <c r="V392" s="60"/>
      <c r="W392" s="60"/>
    </row>
    <row r="393" spans="1:23" ht="13" x14ac:dyDescent="0.3">
      <c r="A393" s="58"/>
      <c r="B393" s="58"/>
      <c r="C393" s="58"/>
      <c r="D393" s="58"/>
      <c r="E393" s="58"/>
      <c r="F393" s="58"/>
      <c r="G393" s="58"/>
      <c r="H393" s="59"/>
      <c r="I393" s="59"/>
      <c r="J393" s="59"/>
      <c r="K393" s="59"/>
      <c r="L393" s="59"/>
      <c r="M393" s="60"/>
      <c r="N393" s="60"/>
      <c r="O393" s="60"/>
      <c r="P393" s="59"/>
      <c r="Q393" s="59"/>
      <c r="R393" s="60"/>
      <c r="S393" s="60"/>
      <c r="T393" s="60"/>
      <c r="U393" s="60"/>
      <c r="V393" s="60"/>
      <c r="W393" s="60"/>
    </row>
    <row r="394" spans="1:23" ht="13" x14ac:dyDescent="0.3">
      <c r="A394" s="58"/>
      <c r="B394" s="58"/>
      <c r="C394" s="58"/>
      <c r="D394" s="58"/>
      <c r="E394" s="58"/>
      <c r="F394" s="58"/>
      <c r="G394" s="58"/>
      <c r="H394" s="59"/>
      <c r="I394" s="59"/>
      <c r="J394" s="59"/>
      <c r="K394" s="59"/>
      <c r="L394" s="59"/>
      <c r="M394" s="60"/>
      <c r="N394" s="60"/>
      <c r="O394" s="60"/>
      <c r="P394" s="59"/>
      <c r="Q394" s="59"/>
      <c r="R394" s="60"/>
      <c r="S394" s="60"/>
      <c r="T394" s="60"/>
      <c r="U394" s="60"/>
      <c r="V394" s="60"/>
      <c r="W394" s="60"/>
    </row>
    <row r="395" spans="1:23" ht="13" x14ac:dyDescent="0.3">
      <c r="A395" s="58"/>
      <c r="B395" s="58"/>
      <c r="C395" s="58"/>
      <c r="D395" s="58"/>
      <c r="E395" s="58"/>
      <c r="F395" s="58"/>
      <c r="G395" s="58"/>
      <c r="H395" s="59"/>
      <c r="I395" s="59"/>
      <c r="J395" s="59"/>
      <c r="K395" s="59"/>
      <c r="L395" s="59"/>
      <c r="M395" s="60"/>
      <c r="N395" s="60"/>
      <c r="O395" s="60"/>
      <c r="P395" s="59"/>
      <c r="Q395" s="59"/>
      <c r="R395" s="60"/>
      <c r="S395" s="60"/>
      <c r="T395" s="60"/>
      <c r="U395" s="60"/>
      <c r="V395" s="60"/>
      <c r="W395" s="60"/>
    </row>
    <row r="396" spans="1:23" ht="13" x14ac:dyDescent="0.3">
      <c r="A396" s="58"/>
      <c r="B396" s="58"/>
      <c r="C396" s="58"/>
      <c r="D396" s="58"/>
      <c r="E396" s="58"/>
      <c r="F396" s="58"/>
      <c r="G396" s="58"/>
      <c r="H396" s="59"/>
      <c r="I396" s="59"/>
      <c r="J396" s="59"/>
      <c r="K396" s="59"/>
      <c r="L396" s="59"/>
      <c r="M396" s="60"/>
      <c r="N396" s="60"/>
      <c r="O396" s="60"/>
      <c r="P396" s="59"/>
      <c r="Q396" s="59"/>
      <c r="R396" s="60"/>
      <c r="S396" s="60"/>
      <c r="T396" s="60"/>
      <c r="U396" s="60"/>
      <c r="V396" s="60"/>
      <c r="W396" s="60"/>
    </row>
    <row r="397" spans="1:23" ht="13" x14ac:dyDescent="0.3">
      <c r="A397" s="58"/>
      <c r="B397" s="58"/>
      <c r="C397" s="58"/>
      <c r="D397" s="58"/>
      <c r="E397" s="58"/>
      <c r="F397" s="58"/>
      <c r="G397" s="58"/>
      <c r="H397" s="59"/>
      <c r="I397" s="59"/>
      <c r="J397" s="59"/>
      <c r="K397" s="59"/>
      <c r="L397" s="59"/>
      <c r="M397" s="60"/>
      <c r="N397" s="60"/>
      <c r="O397" s="60"/>
      <c r="P397" s="59"/>
      <c r="Q397" s="59"/>
      <c r="R397" s="60"/>
      <c r="S397" s="60"/>
      <c r="T397" s="60"/>
      <c r="U397" s="60"/>
      <c r="V397" s="60"/>
      <c r="W397" s="60"/>
    </row>
    <row r="398" spans="1:23" ht="13" x14ac:dyDescent="0.3">
      <c r="A398" s="58"/>
      <c r="B398" s="58"/>
      <c r="C398" s="58"/>
      <c r="D398" s="58"/>
      <c r="E398" s="58"/>
      <c r="F398" s="58"/>
      <c r="G398" s="58"/>
      <c r="H398" s="59"/>
      <c r="I398" s="59"/>
      <c r="J398" s="59"/>
      <c r="K398" s="59"/>
      <c r="L398" s="59"/>
      <c r="M398" s="60"/>
      <c r="N398" s="60"/>
      <c r="O398" s="60"/>
      <c r="P398" s="59"/>
      <c r="Q398" s="59"/>
      <c r="R398" s="60"/>
      <c r="S398" s="60"/>
      <c r="T398" s="60"/>
      <c r="U398" s="60"/>
      <c r="V398" s="60"/>
      <c r="W398" s="60"/>
    </row>
    <row r="399" spans="1:23" ht="13" x14ac:dyDescent="0.3">
      <c r="A399" s="58"/>
      <c r="B399" s="58"/>
      <c r="C399" s="58"/>
      <c r="D399" s="58"/>
      <c r="E399" s="58"/>
      <c r="F399" s="58"/>
      <c r="G399" s="58"/>
      <c r="H399" s="59"/>
      <c r="I399" s="59"/>
      <c r="J399" s="59"/>
      <c r="K399" s="59"/>
      <c r="L399" s="59"/>
      <c r="M399" s="60"/>
      <c r="N399" s="60"/>
      <c r="O399" s="60"/>
      <c r="P399" s="59"/>
      <c r="Q399" s="59"/>
      <c r="R399" s="60"/>
      <c r="S399" s="60"/>
      <c r="T399" s="60"/>
      <c r="U399" s="60"/>
      <c r="V399" s="60"/>
      <c r="W399" s="60"/>
    </row>
    <row r="400" spans="1:23" ht="13" x14ac:dyDescent="0.3">
      <c r="A400" s="58"/>
      <c r="B400" s="58"/>
      <c r="C400" s="58"/>
      <c r="D400" s="58"/>
      <c r="E400" s="58"/>
      <c r="F400" s="58"/>
      <c r="G400" s="58"/>
      <c r="H400" s="59"/>
      <c r="I400" s="59"/>
      <c r="J400" s="59"/>
      <c r="K400" s="59"/>
      <c r="L400" s="59"/>
      <c r="M400" s="60"/>
      <c r="N400" s="60"/>
      <c r="O400" s="60"/>
      <c r="P400" s="59"/>
      <c r="Q400" s="59"/>
      <c r="R400" s="60"/>
      <c r="S400" s="60"/>
      <c r="T400" s="60"/>
      <c r="U400" s="60"/>
      <c r="V400" s="60"/>
      <c r="W400" s="60"/>
    </row>
    <row r="401" spans="1:23" ht="13" x14ac:dyDescent="0.3">
      <c r="A401" s="58"/>
      <c r="B401" s="58"/>
      <c r="C401" s="58"/>
      <c r="D401" s="58"/>
      <c r="E401" s="58"/>
      <c r="F401" s="58"/>
      <c r="G401" s="58"/>
      <c r="H401" s="59"/>
      <c r="I401" s="59"/>
      <c r="J401" s="59"/>
      <c r="K401" s="59"/>
      <c r="L401" s="59"/>
      <c r="M401" s="60"/>
      <c r="N401" s="60"/>
      <c r="O401" s="60"/>
      <c r="P401" s="59"/>
      <c r="Q401" s="59"/>
      <c r="R401" s="60"/>
      <c r="S401" s="60"/>
      <c r="T401" s="60"/>
      <c r="U401" s="60"/>
      <c r="V401" s="60"/>
      <c r="W401" s="60"/>
    </row>
    <row r="402" spans="1:23" ht="13" x14ac:dyDescent="0.3">
      <c r="A402" s="58"/>
      <c r="B402" s="58"/>
      <c r="C402" s="58"/>
      <c r="D402" s="58"/>
      <c r="E402" s="58"/>
      <c r="F402" s="58"/>
      <c r="G402" s="58"/>
      <c r="H402" s="59"/>
      <c r="I402" s="59"/>
      <c r="J402" s="59"/>
      <c r="K402" s="59"/>
      <c r="L402" s="59"/>
      <c r="M402" s="60"/>
      <c r="N402" s="60"/>
      <c r="O402" s="60"/>
      <c r="P402" s="59"/>
      <c r="Q402" s="59"/>
      <c r="R402" s="60"/>
      <c r="S402" s="60"/>
      <c r="T402" s="60"/>
      <c r="U402" s="60"/>
      <c r="V402" s="60"/>
      <c r="W402" s="60"/>
    </row>
    <row r="403" spans="1:23" ht="13" x14ac:dyDescent="0.3">
      <c r="A403" s="58"/>
      <c r="B403" s="58"/>
      <c r="C403" s="58"/>
      <c r="D403" s="58"/>
      <c r="E403" s="58"/>
      <c r="F403" s="58"/>
      <c r="G403" s="58"/>
      <c r="H403" s="59"/>
      <c r="I403" s="59"/>
      <c r="J403" s="59"/>
      <c r="K403" s="59"/>
      <c r="L403" s="59"/>
      <c r="M403" s="60"/>
      <c r="N403" s="60"/>
      <c r="O403" s="60"/>
      <c r="P403" s="59"/>
      <c r="Q403" s="59"/>
      <c r="R403" s="60"/>
      <c r="S403" s="60"/>
      <c r="T403" s="60"/>
      <c r="U403" s="60"/>
      <c r="V403" s="60"/>
      <c r="W403" s="60"/>
    </row>
    <row r="404" spans="1:23" ht="13" x14ac:dyDescent="0.3">
      <c r="A404" s="58"/>
      <c r="B404" s="58"/>
      <c r="C404" s="58"/>
      <c r="D404" s="58"/>
      <c r="E404" s="58"/>
      <c r="F404" s="58"/>
      <c r="G404" s="58"/>
      <c r="H404" s="59"/>
      <c r="I404" s="59"/>
      <c r="J404" s="59"/>
      <c r="K404" s="59"/>
      <c r="L404" s="59"/>
      <c r="M404" s="60"/>
      <c r="N404" s="60"/>
      <c r="O404" s="60"/>
      <c r="P404" s="59"/>
      <c r="Q404" s="59"/>
      <c r="R404" s="60"/>
      <c r="S404" s="60"/>
      <c r="T404" s="60"/>
      <c r="U404" s="60"/>
      <c r="V404" s="60"/>
      <c r="W404" s="60"/>
    </row>
    <row r="405" spans="1:23" ht="13" x14ac:dyDescent="0.3">
      <c r="A405" s="58"/>
      <c r="B405" s="58"/>
      <c r="C405" s="58"/>
      <c r="D405" s="58"/>
      <c r="E405" s="58"/>
      <c r="F405" s="58"/>
      <c r="G405" s="58"/>
      <c r="H405" s="59"/>
      <c r="I405" s="59"/>
      <c r="J405" s="59"/>
      <c r="K405" s="59"/>
      <c r="L405" s="59"/>
      <c r="M405" s="60"/>
      <c r="N405" s="60"/>
      <c r="O405" s="60"/>
      <c r="P405" s="59"/>
      <c r="Q405" s="59"/>
      <c r="R405" s="60"/>
      <c r="S405" s="60"/>
      <c r="T405" s="60"/>
      <c r="U405" s="60"/>
      <c r="V405" s="60"/>
      <c r="W405" s="60"/>
    </row>
    <row r="406" spans="1:23" ht="13" x14ac:dyDescent="0.3">
      <c r="A406" s="58"/>
      <c r="B406" s="58"/>
      <c r="C406" s="58"/>
      <c r="D406" s="58"/>
      <c r="E406" s="58"/>
      <c r="F406" s="58"/>
      <c r="G406" s="58"/>
      <c r="H406" s="59"/>
      <c r="I406" s="59"/>
      <c r="J406" s="59"/>
      <c r="K406" s="59"/>
      <c r="L406" s="59"/>
      <c r="M406" s="60"/>
      <c r="N406" s="60"/>
      <c r="O406" s="60"/>
      <c r="P406" s="59"/>
      <c r="Q406" s="59"/>
      <c r="R406" s="60"/>
      <c r="S406" s="60"/>
      <c r="T406" s="60"/>
      <c r="U406" s="60"/>
      <c r="V406" s="60"/>
      <c r="W406" s="60"/>
    </row>
    <row r="407" spans="1:23" ht="13" x14ac:dyDescent="0.3">
      <c r="A407" s="58"/>
      <c r="B407" s="58"/>
      <c r="C407" s="58"/>
      <c r="D407" s="58"/>
      <c r="E407" s="58"/>
      <c r="F407" s="58"/>
      <c r="G407" s="58"/>
      <c r="H407" s="59"/>
      <c r="I407" s="59"/>
      <c r="J407" s="59"/>
      <c r="K407" s="59"/>
      <c r="L407" s="59"/>
      <c r="M407" s="60"/>
      <c r="N407" s="60"/>
      <c r="O407" s="60"/>
      <c r="P407" s="59"/>
      <c r="Q407" s="59"/>
      <c r="R407" s="60"/>
      <c r="S407" s="60"/>
      <c r="T407" s="60"/>
      <c r="U407" s="60"/>
      <c r="V407" s="60"/>
      <c r="W407" s="60"/>
    </row>
    <row r="408" spans="1:23" ht="13" x14ac:dyDescent="0.3">
      <c r="A408" s="58"/>
      <c r="B408" s="58"/>
      <c r="C408" s="58"/>
      <c r="D408" s="58"/>
      <c r="E408" s="58"/>
      <c r="F408" s="58"/>
      <c r="G408" s="58"/>
      <c r="H408" s="59"/>
      <c r="I408" s="59"/>
      <c r="J408" s="59"/>
      <c r="K408" s="59"/>
      <c r="L408" s="59"/>
      <c r="M408" s="60"/>
      <c r="N408" s="60"/>
      <c r="O408" s="60"/>
      <c r="P408" s="59"/>
      <c r="Q408" s="59"/>
      <c r="R408" s="60"/>
      <c r="S408" s="60"/>
      <c r="T408" s="60"/>
      <c r="U408" s="60"/>
      <c r="V408" s="60"/>
      <c r="W408" s="60"/>
    </row>
    <row r="409" spans="1:23" ht="13" x14ac:dyDescent="0.3">
      <c r="A409" s="58"/>
      <c r="B409" s="58"/>
      <c r="C409" s="58"/>
      <c r="D409" s="58"/>
      <c r="E409" s="58"/>
      <c r="F409" s="58"/>
      <c r="G409" s="58"/>
      <c r="H409" s="59"/>
      <c r="I409" s="59"/>
      <c r="J409" s="59"/>
      <c r="K409" s="59"/>
      <c r="L409" s="59"/>
      <c r="M409" s="60"/>
      <c r="N409" s="60"/>
      <c r="O409" s="60"/>
      <c r="P409" s="59"/>
      <c r="Q409" s="59"/>
      <c r="R409" s="60"/>
      <c r="S409" s="60"/>
      <c r="T409" s="60"/>
      <c r="U409" s="60"/>
      <c r="V409" s="60"/>
      <c r="W409" s="60"/>
    </row>
    <row r="410" spans="1:23" ht="13" x14ac:dyDescent="0.3">
      <c r="A410" s="58"/>
      <c r="B410" s="58"/>
      <c r="C410" s="58"/>
      <c r="D410" s="58"/>
      <c r="E410" s="58"/>
      <c r="F410" s="58"/>
      <c r="G410" s="58"/>
      <c r="H410" s="59"/>
      <c r="I410" s="59"/>
      <c r="J410" s="59"/>
      <c r="K410" s="59"/>
      <c r="L410" s="59"/>
      <c r="M410" s="60"/>
      <c r="N410" s="60"/>
      <c r="O410" s="60"/>
      <c r="P410" s="59"/>
      <c r="Q410" s="59"/>
      <c r="R410" s="60"/>
      <c r="S410" s="60"/>
      <c r="T410" s="60"/>
      <c r="U410" s="60"/>
      <c r="V410" s="60"/>
      <c r="W410" s="60"/>
    </row>
    <row r="411" spans="1:23" ht="13" x14ac:dyDescent="0.3">
      <c r="A411" s="58"/>
      <c r="B411" s="58"/>
      <c r="C411" s="58"/>
      <c r="D411" s="58"/>
      <c r="E411" s="58"/>
      <c r="F411" s="58"/>
      <c r="G411" s="58"/>
      <c r="H411" s="59"/>
      <c r="I411" s="59"/>
      <c r="J411" s="59"/>
      <c r="K411" s="59"/>
      <c r="L411" s="59"/>
      <c r="M411" s="60"/>
      <c r="N411" s="60"/>
      <c r="O411" s="60"/>
      <c r="P411" s="59"/>
      <c r="Q411" s="59"/>
      <c r="R411" s="60"/>
      <c r="S411" s="60"/>
      <c r="T411" s="60"/>
      <c r="U411" s="60"/>
      <c r="V411" s="60"/>
      <c r="W411" s="60"/>
    </row>
    <row r="412" spans="1:23" ht="13" x14ac:dyDescent="0.3">
      <c r="A412" s="58"/>
      <c r="B412" s="58"/>
      <c r="C412" s="58"/>
      <c r="D412" s="58"/>
      <c r="E412" s="58"/>
      <c r="F412" s="58"/>
      <c r="G412" s="58"/>
      <c r="H412" s="59"/>
      <c r="I412" s="59"/>
      <c r="J412" s="59"/>
      <c r="K412" s="59"/>
      <c r="L412" s="59"/>
      <c r="M412" s="60"/>
      <c r="N412" s="60"/>
      <c r="O412" s="60"/>
      <c r="P412" s="59"/>
      <c r="Q412" s="59"/>
      <c r="R412" s="60"/>
      <c r="S412" s="60"/>
      <c r="T412" s="60"/>
      <c r="U412" s="60"/>
      <c r="V412" s="60"/>
      <c r="W412" s="60"/>
    </row>
    <row r="413" spans="1:23" ht="13" x14ac:dyDescent="0.3">
      <c r="A413" s="58"/>
      <c r="B413" s="58"/>
      <c r="C413" s="58"/>
      <c r="D413" s="58"/>
      <c r="E413" s="58"/>
      <c r="F413" s="58"/>
      <c r="G413" s="58"/>
      <c r="H413" s="59"/>
      <c r="I413" s="59"/>
      <c r="J413" s="59"/>
      <c r="K413" s="59"/>
      <c r="L413" s="59"/>
      <c r="M413" s="60"/>
      <c r="N413" s="60"/>
      <c r="O413" s="60"/>
      <c r="P413" s="59"/>
      <c r="Q413" s="59"/>
      <c r="R413" s="60"/>
      <c r="S413" s="60"/>
      <c r="T413" s="60"/>
      <c r="U413" s="60"/>
      <c r="V413" s="60"/>
      <c r="W413" s="60"/>
    </row>
    <row r="414" spans="1:23" ht="13" x14ac:dyDescent="0.3">
      <c r="A414" s="58"/>
      <c r="B414" s="58"/>
      <c r="C414" s="58"/>
      <c r="D414" s="58"/>
      <c r="E414" s="58"/>
      <c r="F414" s="58"/>
      <c r="G414" s="58"/>
      <c r="H414" s="59"/>
      <c r="I414" s="59"/>
      <c r="J414" s="59"/>
      <c r="K414" s="59"/>
      <c r="L414" s="59"/>
      <c r="M414" s="60"/>
      <c r="N414" s="60"/>
      <c r="O414" s="60"/>
      <c r="P414" s="59"/>
      <c r="Q414" s="59"/>
      <c r="R414" s="60"/>
      <c r="S414" s="60"/>
      <c r="T414" s="60"/>
      <c r="U414" s="60"/>
      <c r="V414" s="60"/>
      <c r="W414" s="60"/>
    </row>
    <row r="415" spans="1:23" ht="13" x14ac:dyDescent="0.3">
      <c r="A415" s="58"/>
      <c r="B415" s="58"/>
      <c r="C415" s="58"/>
      <c r="D415" s="58"/>
      <c r="E415" s="58"/>
      <c r="F415" s="58"/>
      <c r="G415" s="58"/>
      <c r="H415" s="59"/>
      <c r="I415" s="59"/>
      <c r="J415" s="59"/>
      <c r="K415" s="59"/>
      <c r="L415" s="59"/>
      <c r="M415" s="60"/>
      <c r="N415" s="60"/>
      <c r="O415" s="60"/>
      <c r="P415" s="59"/>
      <c r="Q415" s="59"/>
      <c r="R415" s="60"/>
      <c r="S415" s="60"/>
      <c r="T415" s="60"/>
      <c r="U415" s="60"/>
      <c r="V415" s="60"/>
      <c r="W415" s="60"/>
    </row>
    <row r="416" spans="1:23" ht="13" x14ac:dyDescent="0.3">
      <c r="A416" s="58"/>
      <c r="B416" s="58"/>
      <c r="C416" s="58"/>
      <c r="D416" s="58"/>
      <c r="E416" s="58"/>
      <c r="F416" s="58"/>
      <c r="G416" s="58"/>
      <c r="H416" s="59"/>
      <c r="I416" s="59"/>
      <c r="J416" s="59"/>
      <c r="K416" s="59"/>
      <c r="L416" s="59"/>
      <c r="M416" s="60"/>
      <c r="N416" s="60"/>
      <c r="O416" s="60"/>
      <c r="P416" s="59"/>
      <c r="Q416" s="59"/>
      <c r="R416" s="60"/>
      <c r="S416" s="60"/>
      <c r="T416" s="60"/>
      <c r="U416" s="60"/>
      <c r="V416" s="60"/>
      <c r="W416" s="60"/>
    </row>
    <row r="417" spans="1:23" ht="13" x14ac:dyDescent="0.3">
      <c r="A417" s="58"/>
      <c r="B417" s="58"/>
      <c r="C417" s="58"/>
      <c r="D417" s="58"/>
      <c r="E417" s="58"/>
      <c r="F417" s="58"/>
      <c r="G417" s="58"/>
      <c r="H417" s="59"/>
      <c r="I417" s="59"/>
      <c r="J417" s="59"/>
      <c r="K417" s="59"/>
      <c r="L417" s="59"/>
      <c r="M417" s="60"/>
      <c r="N417" s="60"/>
      <c r="O417" s="60"/>
      <c r="P417" s="59"/>
      <c r="Q417" s="59"/>
      <c r="R417" s="60"/>
      <c r="S417" s="60"/>
      <c r="T417" s="60"/>
      <c r="U417" s="60"/>
      <c r="V417" s="60"/>
      <c r="W417" s="60"/>
    </row>
    <row r="418" spans="1:23" ht="13" x14ac:dyDescent="0.3">
      <c r="A418" s="58"/>
      <c r="B418" s="58"/>
      <c r="C418" s="58"/>
      <c r="D418" s="58"/>
      <c r="E418" s="58"/>
      <c r="F418" s="58"/>
      <c r="G418" s="58"/>
      <c r="H418" s="59"/>
      <c r="I418" s="59"/>
      <c r="J418" s="59"/>
      <c r="K418" s="59"/>
      <c r="L418" s="59"/>
      <c r="M418" s="60"/>
      <c r="N418" s="60"/>
      <c r="O418" s="60"/>
      <c r="P418" s="59"/>
      <c r="Q418" s="59"/>
      <c r="R418" s="60"/>
      <c r="S418" s="60"/>
      <c r="T418" s="60"/>
      <c r="U418" s="60"/>
      <c r="V418" s="60"/>
      <c r="W418" s="60"/>
    </row>
    <row r="419" spans="1:23" ht="13" x14ac:dyDescent="0.3">
      <c r="A419" s="58"/>
      <c r="B419" s="58"/>
      <c r="C419" s="58"/>
      <c r="D419" s="58"/>
      <c r="E419" s="58"/>
      <c r="F419" s="58"/>
      <c r="G419" s="58"/>
      <c r="H419" s="59"/>
      <c r="I419" s="59"/>
      <c r="J419" s="59"/>
      <c r="K419" s="59"/>
      <c r="L419" s="59"/>
      <c r="M419" s="60"/>
      <c r="N419" s="60"/>
      <c r="O419" s="60"/>
      <c r="P419" s="59"/>
      <c r="Q419" s="59"/>
      <c r="R419" s="60"/>
      <c r="S419" s="60"/>
      <c r="T419" s="60"/>
      <c r="U419" s="60"/>
      <c r="V419" s="60"/>
      <c r="W419" s="60"/>
    </row>
    <row r="420" spans="1:23" ht="13" x14ac:dyDescent="0.3">
      <c r="A420" s="58"/>
      <c r="B420" s="58"/>
      <c r="C420" s="58"/>
      <c r="D420" s="58"/>
      <c r="E420" s="58"/>
      <c r="F420" s="58"/>
      <c r="G420" s="58"/>
      <c r="H420" s="59"/>
      <c r="I420" s="59"/>
      <c r="J420" s="59"/>
      <c r="K420" s="59"/>
      <c r="L420" s="59"/>
      <c r="M420" s="60"/>
      <c r="N420" s="60"/>
      <c r="O420" s="60"/>
      <c r="P420" s="59"/>
      <c r="Q420" s="59"/>
      <c r="R420" s="60"/>
      <c r="S420" s="60"/>
      <c r="T420" s="60"/>
      <c r="U420" s="60"/>
      <c r="V420" s="60"/>
      <c r="W420" s="60"/>
    </row>
    <row r="421" spans="1:23" ht="13" x14ac:dyDescent="0.3">
      <c r="A421" s="58"/>
      <c r="B421" s="58"/>
      <c r="C421" s="58"/>
      <c r="D421" s="58"/>
      <c r="E421" s="58"/>
      <c r="F421" s="58"/>
      <c r="G421" s="58"/>
      <c r="H421" s="59"/>
      <c r="I421" s="59"/>
      <c r="J421" s="59"/>
      <c r="K421" s="59"/>
      <c r="L421" s="59"/>
      <c r="M421" s="60"/>
      <c r="N421" s="60"/>
      <c r="O421" s="60"/>
      <c r="P421" s="59"/>
      <c r="Q421" s="59"/>
      <c r="R421" s="60"/>
      <c r="S421" s="60"/>
      <c r="T421" s="60"/>
      <c r="U421" s="60"/>
      <c r="V421" s="60"/>
      <c r="W421" s="60"/>
    </row>
    <row r="422" spans="1:23" ht="13" x14ac:dyDescent="0.3">
      <c r="A422" s="58"/>
      <c r="B422" s="58"/>
      <c r="C422" s="58"/>
      <c r="D422" s="58"/>
      <c r="E422" s="58"/>
      <c r="F422" s="58"/>
      <c r="G422" s="58"/>
      <c r="H422" s="59"/>
      <c r="I422" s="59"/>
      <c r="J422" s="59"/>
      <c r="K422" s="59"/>
      <c r="L422" s="59"/>
      <c r="M422" s="60"/>
      <c r="N422" s="60"/>
      <c r="O422" s="60"/>
      <c r="P422" s="59"/>
      <c r="Q422" s="59"/>
      <c r="R422" s="60"/>
      <c r="S422" s="60"/>
      <c r="T422" s="60"/>
      <c r="U422" s="60"/>
      <c r="V422" s="60"/>
      <c r="W422" s="60"/>
    </row>
    <row r="423" spans="1:23" ht="13" x14ac:dyDescent="0.3">
      <c r="A423" s="58"/>
      <c r="B423" s="58"/>
      <c r="C423" s="58"/>
      <c r="D423" s="58"/>
      <c r="E423" s="58"/>
      <c r="F423" s="58"/>
      <c r="G423" s="58"/>
      <c r="H423" s="59"/>
      <c r="I423" s="59"/>
      <c r="J423" s="59"/>
      <c r="K423" s="59"/>
      <c r="L423" s="59"/>
      <c r="M423" s="60"/>
      <c r="N423" s="60"/>
      <c r="O423" s="60"/>
      <c r="P423" s="59"/>
      <c r="Q423" s="59"/>
      <c r="R423" s="60"/>
      <c r="S423" s="60"/>
      <c r="T423" s="60"/>
      <c r="U423" s="60"/>
      <c r="V423" s="60"/>
      <c r="W423" s="60"/>
    </row>
    <row r="424" spans="1:23" ht="13" x14ac:dyDescent="0.3">
      <c r="A424" s="58"/>
      <c r="B424" s="58"/>
      <c r="C424" s="58"/>
      <c r="D424" s="58"/>
      <c r="E424" s="58"/>
      <c r="F424" s="58"/>
      <c r="G424" s="58"/>
      <c r="H424" s="59"/>
      <c r="I424" s="59"/>
      <c r="J424" s="59"/>
      <c r="K424" s="59"/>
      <c r="L424" s="59"/>
      <c r="M424" s="60"/>
      <c r="N424" s="60"/>
      <c r="O424" s="60"/>
      <c r="P424" s="59"/>
      <c r="Q424" s="59"/>
      <c r="R424" s="60"/>
      <c r="S424" s="60"/>
      <c r="T424" s="60"/>
      <c r="U424" s="60"/>
      <c r="V424" s="60"/>
      <c r="W424" s="60"/>
    </row>
    <row r="425" spans="1:23" ht="13" x14ac:dyDescent="0.3">
      <c r="A425" s="58"/>
      <c r="B425" s="58"/>
      <c r="C425" s="58"/>
      <c r="D425" s="58"/>
      <c r="E425" s="58"/>
      <c r="F425" s="58"/>
      <c r="G425" s="58"/>
      <c r="H425" s="59"/>
      <c r="I425" s="59"/>
      <c r="J425" s="59"/>
      <c r="K425" s="59"/>
      <c r="L425" s="59"/>
      <c r="M425" s="60"/>
      <c r="N425" s="60"/>
      <c r="O425" s="60"/>
      <c r="P425" s="59"/>
      <c r="Q425" s="59"/>
      <c r="R425" s="60"/>
      <c r="S425" s="60"/>
      <c r="T425" s="60"/>
      <c r="U425" s="60"/>
      <c r="V425" s="60"/>
      <c r="W425" s="60"/>
    </row>
    <row r="426" spans="1:23" ht="13" x14ac:dyDescent="0.3">
      <c r="A426" s="58"/>
      <c r="B426" s="58"/>
      <c r="C426" s="58"/>
      <c r="D426" s="58"/>
      <c r="E426" s="58"/>
      <c r="F426" s="58"/>
      <c r="G426" s="58"/>
      <c r="H426" s="59"/>
      <c r="I426" s="59"/>
      <c r="J426" s="59"/>
      <c r="K426" s="59"/>
      <c r="L426" s="59"/>
      <c r="M426" s="60"/>
      <c r="N426" s="60"/>
      <c r="O426" s="60"/>
      <c r="P426" s="59"/>
      <c r="Q426" s="59"/>
      <c r="R426" s="60"/>
      <c r="S426" s="60"/>
      <c r="T426" s="60"/>
      <c r="U426" s="60"/>
      <c r="V426" s="60"/>
      <c r="W426" s="60"/>
    </row>
    <row r="427" spans="1:23" ht="13" x14ac:dyDescent="0.3">
      <c r="A427" s="58"/>
      <c r="B427" s="58"/>
      <c r="C427" s="58"/>
      <c r="D427" s="58"/>
      <c r="E427" s="58"/>
      <c r="F427" s="58"/>
      <c r="G427" s="58"/>
      <c r="H427" s="59"/>
      <c r="I427" s="59"/>
      <c r="J427" s="59"/>
      <c r="K427" s="59"/>
      <c r="L427" s="59"/>
      <c r="M427" s="60"/>
      <c r="N427" s="60"/>
      <c r="O427" s="60"/>
      <c r="P427" s="59"/>
      <c r="Q427" s="59"/>
      <c r="R427" s="60"/>
      <c r="S427" s="60"/>
      <c r="T427" s="60"/>
      <c r="U427" s="60"/>
      <c r="V427" s="60"/>
      <c r="W427" s="60"/>
    </row>
    <row r="428" spans="1:23" ht="13" x14ac:dyDescent="0.3">
      <c r="A428" s="58"/>
      <c r="B428" s="58"/>
      <c r="C428" s="58"/>
      <c r="D428" s="58"/>
      <c r="E428" s="58"/>
      <c r="F428" s="58"/>
      <c r="G428" s="58"/>
      <c r="H428" s="59"/>
      <c r="I428" s="59"/>
      <c r="J428" s="59"/>
      <c r="K428" s="59"/>
      <c r="L428" s="59"/>
      <c r="M428" s="60"/>
      <c r="N428" s="60"/>
      <c r="O428" s="60"/>
      <c r="P428" s="59"/>
      <c r="Q428" s="59"/>
      <c r="R428" s="60"/>
      <c r="S428" s="60"/>
      <c r="T428" s="60"/>
      <c r="U428" s="60"/>
      <c r="V428" s="60"/>
      <c r="W428" s="60"/>
    </row>
    <row r="429" spans="1:23" ht="13" x14ac:dyDescent="0.3">
      <c r="A429" s="58"/>
      <c r="B429" s="58"/>
      <c r="C429" s="58"/>
      <c r="D429" s="58"/>
      <c r="E429" s="58"/>
      <c r="F429" s="58"/>
      <c r="G429" s="58"/>
      <c r="H429" s="59"/>
      <c r="I429" s="59"/>
      <c r="J429" s="59"/>
      <c r="K429" s="59"/>
      <c r="L429" s="59"/>
      <c r="M429" s="60"/>
      <c r="N429" s="60"/>
      <c r="O429" s="60"/>
      <c r="P429" s="59"/>
      <c r="Q429" s="59"/>
      <c r="R429" s="60"/>
      <c r="S429" s="60"/>
      <c r="T429" s="60"/>
      <c r="U429" s="60"/>
      <c r="V429" s="60"/>
      <c r="W429" s="60"/>
    </row>
    <row r="430" spans="1:23" ht="13" x14ac:dyDescent="0.3">
      <c r="A430" s="58"/>
      <c r="B430" s="58"/>
      <c r="C430" s="58"/>
      <c r="D430" s="58"/>
      <c r="E430" s="58"/>
      <c r="F430" s="58"/>
      <c r="G430" s="58"/>
      <c r="H430" s="59"/>
      <c r="I430" s="59"/>
      <c r="J430" s="59"/>
      <c r="K430" s="59"/>
      <c r="L430" s="59"/>
      <c r="M430" s="60"/>
      <c r="N430" s="60"/>
      <c r="O430" s="60"/>
      <c r="P430" s="59"/>
      <c r="Q430" s="59"/>
      <c r="R430" s="60"/>
      <c r="S430" s="60"/>
      <c r="T430" s="60"/>
      <c r="U430" s="60"/>
      <c r="V430" s="60"/>
      <c r="W430" s="60"/>
    </row>
    <row r="431" spans="1:23" ht="13" x14ac:dyDescent="0.3">
      <c r="A431" s="58"/>
      <c r="B431" s="58"/>
      <c r="C431" s="58"/>
      <c r="D431" s="58"/>
      <c r="E431" s="58"/>
      <c r="F431" s="58"/>
      <c r="G431" s="58"/>
      <c r="H431" s="59"/>
      <c r="I431" s="59"/>
      <c r="J431" s="59"/>
      <c r="K431" s="59"/>
      <c r="L431" s="59"/>
      <c r="M431" s="60"/>
      <c r="N431" s="60"/>
      <c r="O431" s="60"/>
      <c r="P431" s="59"/>
      <c r="Q431" s="59"/>
      <c r="R431" s="60"/>
      <c r="S431" s="60"/>
      <c r="T431" s="60"/>
      <c r="U431" s="60"/>
      <c r="V431" s="60"/>
      <c r="W431" s="60"/>
    </row>
    <row r="432" spans="1:23" ht="13" x14ac:dyDescent="0.3">
      <c r="A432" s="58"/>
      <c r="B432" s="58"/>
      <c r="C432" s="58"/>
      <c r="D432" s="58"/>
      <c r="E432" s="58"/>
      <c r="F432" s="58"/>
      <c r="G432" s="58"/>
      <c r="H432" s="59"/>
      <c r="I432" s="59"/>
      <c r="J432" s="59"/>
      <c r="K432" s="59"/>
      <c r="L432" s="59"/>
      <c r="M432" s="60"/>
      <c r="N432" s="60"/>
      <c r="O432" s="60"/>
      <c r="P432" s="59"/>
      <c r="Q432" s="59"/>
      <c r="R432" s="60"/>
      <c r="S432" s="60"/>
      <c r="T432" s="60"/>
      <c r="U432" s="60"/>
      <c r="V432" s="60"/>
      <c r="W432" s="60"/>
    </row>
    <row r="433" spans="1:23" ht="13" x14ac:dyDescent="0.3">
      <c r="A433" s="58"/>
      <c r="B433" s="58"/>
      <c r="C433" s="58"/>
      <c r="D433" s="58"/>
      <c r="E433" s="58"/>
      <c r="F433" s="58"/>
      <c r="G433" s="58"/>
      <c r="H433" s="59"/>
      <c r="I433" s="59"/>
      <c r="J433" s="59"/>
      <c r="K433" s="59"/>
      <c r="L433" s="59"/>
      <c r="M433" s="60"/>
      <c r="N433" s="60"/>
      <c r="O433" s="60"/>
      <c r="P433" s="59"/>
      <c r="Q433" s="59"/>
      <c r="R433" s="60"/>
      <c r="S433" s="60"/>
      <c r="T433" s="60"/>
      <c r="U433" s="60"/>
      <c r="V433" s="60"/>
      <c r="W433" s="60"/>
    </row>
    <row r="434" spans="1:23" ht="13" x14ac:dyDescent="0.3">
      <c r="A434" s="58"/>
      <c r="B434" s="58"/>
      <c r="C434" s="58"/>
      <c r="D434" s="58"/>
      <c r="E434" s="58"/>
      <c r="F434" s="58"/>
      <c r="G434" s="58"/>
      <c r="H434" s="59"/>
      <c r="I434" s="59"/>
      <c r="J434" s="59"/>
      <c r="K434" s="59"/>
      <c r="L434" s="59"/>
      <c r="M434" s="60"/>
      <c r="N434" s="60"/>
      <c r="O434" s="60"/>
      <c r="P434" s="59"/>
      <c r="Q434" s="59"/>
      <c r="R434" s="60"/>
      <c r="S434" s="60"/>
      <c r="T434" s="60"/>
      <c r="U434" s="60"/>
      <c r="V434" s="60"/>
      <c r="W434" s="60"/>
    </row>
    <row r="435" spans="1:23" ht="13" x14ac:dyDescent="0.3">
      <c r="A435" s="58"/>
      <c r="B435" s="58"/>
      <c r="C435" s="58"/>
      <c r="D435" s="58"/>
      <c r="E435" s="58"/>
      <c r="F435" s="58"/>
      <c r="G435" s="58"/>
      <c r="H435" s="59"/>
      <c r="I435" s="59"/>
      <c r="J435" s="59"/>
      <c r="K435" s="59"/>
      <c r="L435" s="59"/>
      <c r="M435" s="60"/>
      <c r="N435" s="60"/>
      <c r="O435" s="60"/>
      <c r="P435" s="59"/>
      <c r="Q435" s="59"/>
      <c r="R435" s="60"/>
      <c r="S435" s="60"/>
      <c r="T435" s="60"/>
      <c r="U435" s="60"/>
      <c r="V435" s="60"/>
      <c r="W435" s="60"/>
    </row>
    <row r="436" spans="1:23" ht="13" x14ac:dyDescent="0.3">
      <c r="A436" s="58"/>
      <c r="B436" s="58"/>
      <c r="C436" s="58"/>
      <c r="D436" s="58"/>
      <c r="E436" s="58"/>
      <c r="F436" s="58"/>
      <c r="G436" s="58"/>
      <c r="H436" s="59"/>
      <c r="I436" s="59"/>
      <c r="J436" s="59"/>
      <c r="K436" s="59"/>
      <c r="L436" s="59"/>
      <c r="M436" s="60"/>
      <c r="N436" s="60"/>
      <c r="O436" s="60"/>
      <c r="P436" s="59"/>
      <c r="Q436" s="59"/>
      <c r="R436" s="60"/>
      <c r="S436" s="60"/>
      <c r="T436" s="60"/>
      <c r="U436" s="60"/>
      <c r="V436" s="60"/>
      <c r="W436" s="60"/>
    </row>
    <row r="437" spans="1:23" ht="13" x14ac:dyDescent="0.3">
      <c r="A437" s="58"/>
      <c r="B437" s="58"/>
      <c r="C437" s="58"/>
      <c r="D437" s="58"/>
      <c r="E437" s="58"/>
      <c r="F437" s="58"/>
      <c r="G437" s="58"/>
      <c r="H437" s="59"/>
      <c r="I437" s="59"/>
      <c r="J437" s="59"/>
      <c r="K437" s="59"/>
      <c r="L437" s="59"/>
      <c r="M437" s="60"/>
      <c r="N437" s="60"/>
      <c r="O437" s="60"/>
      <c r="P437" s="59"/>
      <c r="Q437" s="59"/>
      <c r="R437" s="60"/>
      <c r="S437" s="60"/>
      <c r="T437" s="60"/>
      <c r="U437" s="60"/>
      <c r="V437" s="60"/>
      <c r="W437" s="60"/>
    </row>
    <row r="438" spans="1:23" ht="13" x14ac:dyDescent="0.3">
      <c r="A438" s="58"/>
      <c r="B438" s="58"/>
      <c r="C438" s="58"/>
      <c r="D438" s="58"/>
      <c r="E438" s="58"/>
      <c r="F438" s="58"/>
      <c r="G438" s="58"/>
      <c r="H438" s="59"/>
      <c r="I438" s="59"/>
      <c r="J438" s="59"/>
      <c r="K438" s="59"/>
      <c r="L438" s="59"/>
      <c r="M438" s="60"/>
      <c r="N438" s="60"/>
      <c r="O438" s="60"/>
      <c r="P438" s="59"/>
      <c r="Q438" s="59"/>
      <c r="R438" s="60"/>
      <c r="S438" s="60"/>
      <c r="T438" s="60"/>
      <c r="U438" s="60"/>
      <c r="V438" s="60"/>
      <c r="W438" s="60"/>
    </row>
    <row r="439" spans="1:23" ht="13" x14ac:dyDescent="0.3">
      <c r="A439" s="58"/>
      <c r="B439" s="58"/>
      <c r="C439" s="58"/>
      <c r="D439" s="58"/>
      <c r="E439" s="58"/>
      <c r="F439" s="58"/>
      <c r="G439" s="58"/>
      <c r="H439" s="59"/>
      <c r="I439" s="59"/>
      <c r="J439" s="59"/>
      <c r="K439" s="59"/>
      <c r="L439" s="59"/>
      <c r="M439" s="60"/>
      <c r="N439" s="60"/>
      <c r="O439" s="60"/>
      <c r="P439" s="59"/>
      <c r="Q439" s="59"/>
      <c r="R439" s="60"/>
      <c r="S439" s="60"/>
      <c r="T439" s="60"/>
      <c r="U439" s="60"/>
      <c r="V439" s="60"/>
      <c r="W439" s="60"/>
    </row>
    <row r="440" spans="1:23" ht="13" x14ac:dyDescent="0.3">
      <c r="A440" s="58"/>
      <c r="B440" s="58"/>
      <c r="C440" s="58"/>
      <c r="D440" s="58"/>
      <c r="E440" s="58"/>
      <c r="F440" s="58"/>
      <c r="G440" s="58"/>
      <c r="H440" s="59"/>
      <c r="I440" s="59"/>
      <c r="J440" s="59"/>
      <c r="K440" s="59"/>
      <c r="L440" s="59"/>
      <c r="M440" s="60"/>
      <c r="N440" s="60"/>
      <c r="O440" s="60"/>
      <c r="P440" s="59"/>
      <c r="Q440" s="59"/>
      <c r="R440" s="60"/>
      <c r="S440" s="60"/>
      <c r="T440" s="60"/>
      <c r="U440" s="60"/>
      <c r="V440" s="60"/>
      <c r="W440" s="60"/>
    </row>
    <row r="441" spans="1:23" ht="13" x14ac:dyDescent="0.3">
      <c r="A441" s="58"/>
      <c r="B441" s="58"/>
      <c r="C441" s="58"/>
      <c r="D441" s="58"/>
      <c r="E441" s="58"/>
      <c r="F441" s="58"/>
      <c r="G441" s="58"/>
      <c r="H441" s="59"/>
      <c r="I441" s="59"/>
      <c r="J441" s="59"/>
      <c r="K441" s="59"/>
      <c r="L441" s="59"/>
      <c r="M441" s="60"/>
      <c r="N441" s="60"/>
      <c r="O441" s="60"/>
      <c r="P441" s="59"/>
      <c r="Q441" s="59"/>
      <c r="R441" s="60"/>
      <c r="S441" s="60"/>
      <c r="T441" s="60"/>
      <c r="U441" s="60"/>
      <c r="V441" s="60"/>
      <c r="W441" s="60"/>
    </row>
    <row r="442" spans="1:23" ht="13" x14ac:dyDescent="0.3">
      <c r="A442" s="58"/>
      <c r="B442" s="58"/>
      <c r="C442" s="58"/>
      <c r="D442" s="58"/>
      <c r="E442" s="58"/>
      <c r="F442" s="58"/>
      <c r="G442" s="58"/>
      <c r="H442" s="59"/>
      <c r="I442" s="59"/>
      <c r="J442" s="59"/>
      <c r="K442" s="59"/>
      <c r="L442" s="59"/>
      <c r="M442" s="60"/>
      <c r="N442" s="60"/>
      <c r="O442" s="60"/>
      <c r="P442" s="59"/>
      <c r="Q442" s="59"/>
      <c r="R442" s="60"/>
      <c r="S442" s="60"/>
      <c r="T442" s="60"/>
      <c r="U442" s="60"/>
      <c r="V442" s="60"/>
      <c r="W442" s="60"/>
    </row>
    <row r="443" spans="1:23" ht="13" x14ac:dyDescent="0.3">
      <c r="A443" s="58"/>
      <c r="B443" s="58"/>
      <c r="C443" s="58"/>
      <c r="D443" s="58"/>
      <c r="E443" s="58"/>
      <c r="F443" s="58"/>
      <c r="G443" s="58"/>
      <c r="H443" s="59"/>
      <c r="I443" s="59"/>
      <c r="J443" s="59"/>
      <c r="K443" s="59"/>
      <c r="L443" s="59"/>
      <c r="M443" s="60"/>
      <c r="N443" s="60"/>
      <c r="O443" s="60"/>
      <c r="P443" s="59"/>
      <c r="Q443" s="59"/>
      <c r="R443" s="60"/>
      <c r="S443" s="60"/>
      <c r="T443" s="60"/>
      <c r="U443" s="60"/>
      <c r="V443" s="60"/>
      <c r="W443" s="60"/>
    </row>
    <row r="444" spans="1:23" ht="13" x14ac:dyDescent="0.3">
      <c r="A444" s="58"/>
      <c r="B444" s="58"/>
      <c r="C444" s="58"/>
      <c r="D444" s="58"/>
      <c r="E444" s="58"/>
      <c r="F444" s="58"/>
      <c r="G444" s="58"/>
      <c r="H444" s="59"/>
      <c r="I444" s="59"/>
      <c r="J444" s="59"/>
      <c r="K444" s="59"/>
      <c r="L444" s="59"/>
      <c r="M444" s="60"/>
      <c r="N444" s="60"/>
      <c r="O444" s="60"/>
      <c r="P444" s="59"/>
      <c r="Q444" s="59"/>
      <c r="R444" s="60"/>
      <c r="S444" s="60"/>
      <c r="T444" s="60"/>
      <c r="U444" s="60"/>
      <c r="V444" s="60"/>
      <c r="W444" s="60"/>
    </row>
    <row r="445" spans="1:23" ht="13" x14ac:dyDescent="0.3">
      <c r="A445" s="58"/>
      <c r="B445" s="58"/>
      <c r="C445" s="58"/>
      <c r="D445" s="58"/>
      <c r="E445" s="58"/>
      <c r="F445" s="58"/>
      <c r="G445" s="58"/>
      <c r="H445" s="59"/>
      <c r="I445" s="59"/>
      <c r="J445" s="59"/>
      <c r="K445" s="59"/>
      <c r="L445" s="59"/>
      <c r="M445" s="60"/>
      <c r="N445" s="60"/>
      <c r="O445" s="60"/>
      <c r="P445" s="59"/>
      <c r="Q445" s="59"/>
      <c r="R445" s="60"/>
      <c r="S445" s="60"/>
      <c r="T445" s="60"/>
      <c r="U445" s="60"/>
      <c r="V445" s="60"/>
      <c r="W445" s="60"/>
    </row>
    <row r="446" spans="1:23" ht="13" x14ac:dyDescent="0.3">
      <c r="A446" s="58"/>
      <c r="B446" s="58"/>
      <c r="C446" s="58"/>
      <c r="D446" s="58"/>
      <c r="E446" s="58"/>
      <c r="F446" s="58"/>
      <c r="G446" s="58"/>
      <c r="H446" s="59"/>
      <c r="I446" s="59"/>
      <c r="J446" s="59"/>
      <c r="K446" s="59"/>
      <c r="L446" s="59"/>
      <c r="M446" s="60"/>
      <c r="N446" s="60"/>
      <c r="O446" s="60"/>
      <c r="P446" s="59"/>
      <c r="Q446" s="59"/>
      <c r="R446" s="60"/>
      <c r="S446" s="60"/>
      <c r="T446" s="60"/>
      <c r="U446" s="60"/>
      <c r="V446" s="60"/>
      <c r="W446" s="60"/>
    </row>
    <row r="447" spans="1:23" ht="13" x14ac:dyDescent="0.3">
      <c r="A447" s="58"/>
      <c r="B447" s="58"/>
      <c r="C447" s="58"/>
      <c r="D447" s="58"/>
      <c r="E447" s="58"/>
      <c r="F447" s="58"/>
      <c r="G447" s="58"/>
      <c r="H447" s="59"/>
      <c r="I447" s="59"/>
      <c r="J447" s="59"/>
      <c r="K447" s="59"/>
      <c r="L447" s="59"/>
      <c r="M447" s="60"/>
      <c r="N447" s="60"/>
      <c r="O447" s="60"/>
      <c r="P447" s="59"/>
      <c r="Q447" s="59"/>
      <c r="R447" s="60"/>
      <c r="S447" s="60"/>
      <c r="T447" s="60"/>
      <c r="U447" s="60"/>
      <c r="V447" s="60"/>
      <c r="W447" s="60"/>
    </row>
    <row r="448" spans="1:23" ht="13" x14ac:dyDescent="0.3">
      <c r="A448" s="58"/>
      <c r="B448" s="58"/>
      <c r="C448" s="58"/>
      <c r="D448" s="58"/>
      <c r="E448" s="58"/>
      <c r="F448" s="58"/>
      <c r="G448" s="58"/>
      <c r="H448" s="59"/>
      <c r="I448" s="59"/>
      <c r="J448" s="59"/>
      <c r="K448" s="59"/>
      <c r="L448" s="59"/>
      <c r="M448" s="60"/>
      <c r="N448" s="60"/>
      <c r="O448" s="60"/>
      <c r="P448" s="59"/>
      <c r="Q448" s="59"/>
      <c r="R448" s="60"/>
      <c r="S448" s="60"/>
      <c r="T448" s="60"/>
      <c r="U448" s="60"/>
      <c r="V448" s="60"/>
      <c r="W448" s="60"/>
    </row>
    <row r="449" spans="1:23" ht="13" x14ac:dyDescent="0.3">
      <c r="A449" s="58"/>
      <c r="B449" s="58"/>
      <c r="C449" s="58"/>
      <c r="D449" s="58"/>
      <c r="E449" s="58"/>
      <c r="F449" s="58"/>
      <c r="G449" s="58"/>
      <c r="H449" s="59"/>
      <c r="I449" s="59"/>
      <c r="J449" s="59"/>
      <c r="K449" s="59"/>
      <c r="L449" s="59"/>
      <c r="M449" s="60"/>
      <c r="N449" s="60"/>
      <c r="O449" s="60"/>
      <c r="P449" s="59"/>
      <c r="Q449" s="59"/>
      <c r="R449" s="60"/>
      <c r="S449" s="60"/>
      <c r="T449" s="60"/>
      <c r="U449" s="60"/>
      <c r="V449" s="60"/>
      <c r="W449" s="60"/>
    </row>
    <row r="450" spans="1:23" ht="13" x14ac:dyDescent="0.3">
      <c r="A450" s="58"/>
      <c r="B450" s="58"/>
      <c r="C450" s="58"/>
      <c r="D450" s="58"/>
      <c r="E450" s="58"/>
      <c r="F450" s="58"/>
      <c r="G450" s="58"/>
      <c r="H450" s="59"/>
      <c r="I450" s="59"/>
      <c r="J450" s="59"/>
      <c r="K450" s="59"/>
      <c r="L450" s="59"/>
      <c r="M450" s="60"/>
      <c r="N450" s="60"/>
      <c r="O450" s="60"/>
      <c r="P450" s="59"/>
      <c r="Q450" s="59"/>
      <c r="R450" s="60"/>
      <c r="S450" s="60"/>
      <c r="T450" s="60"/>
      <c r="U450" s="60"/>
      <c r="V450" s="60"/>
      <c r="W450" s="60"/>
    </row>
    <row r="451" spans="1:23" ht="13" x14ac:dyDescent="0.3">
      <c r="A451" s="58"/>
      <c r="B451" s="58"/>
      <c r="C451" s="58"/>
      <c r="D451" s="58"/>
      <c r="E451" s="58"/>
      <c r="F451" s="58"/>
      <c r="G451" s="58"/>
      <c r="H451" s="59"/>
      <c r="I451" s="59"/>
      <c r="J451" s="59"/>
      <c r="K451" s="59"/>
      <c r="L451" s="59"/>
      <c r="M451" s="60"/>
      <c r="N451" s="60"/>
      <c r="O451" s="60"/>
      <c r="P451" s="59"/>
      <c r="Q451" s="59"/>
      <c r="R451" s="60"/>
      <c r="S451" s="60"/>
      <c r="T451" s="60"/>
      <c r="U451" s="60"/>
      <c r="V451" s="60"/>
      <c r="W451" s="60"/>
    </row>
    <row r="452" spans="1:23" ht="13" x14ac:dyDescent="0.3">
      <c r="A452" s="58"/>
      <c r="B452" s="58"/>
      <c r="C452" s="58"/>
      <c r="D452" s="58"/>
      <c r="E452" s="58"/>
      <c r="F452" s="58"/>
      <c r="G452" s="58"/>
      <c r="H452" s="59"/>
      <c r="I452" s="59"/>
      <c r="J452" s="59"/>
      <c r="K452" s="59"/>
      <c r="L452" s="59"/>
      <c r="M452" s="60"/>
      <c r="N452" s="60"/>
      <c r="O452" s="60"/>
      <c r="P452" s="59"/>
      <c r="Q452" s="59"/>
      <c r="R452" s="60"/>
      <c r="S452" s="60"/>
      <c r="T452" s="60"/>
      <c r="U452" s="60"/>
      <c r="V452" s="60"/>
      <c r="W452" s="60"/>
    </row>
    <row r="453" spans="1:23" ht="13" x14ac:dyDescent="0.3">
      <c r="A453" s="58"/>
      <c r="B453" s="58"/>
      <c r="C453" s="58"/>
      <c r="D453" s="58"/>
      <c r="E453" s="58"/>
      <c r="F453" s="58"/>
      <c r="G453" s="58"/>
      <c r="H453" s="59"/>
      <c r="I453" s="59"/>
      <c r="J453" s="59"/>
      <c r="K453" s="59"/>
      <c r="L453" s="59"/>
      <c r="M453" s="60"/>
      <c r="N453" s="60"/>
      <c r="O453" s="60"/>
      <c r="P453" s="59"/>
      <c r="Q453" s="59"/>
      <c r="R453" s="60"/>
      <c r="S453" s="60"/>
      <c r="T453" s="60"/>
      <c r="U453" s="60"/>
      <c r="V453" s="60"/>
      <c r="W453" s="60"/>
    </row>
    <row r="454" spans="1:23" ht="13" x14ac:dyDescent="0.3">
      <c r="A454" s="58"/>
      <c r="B454" s="58"/>
      <c r="C454" s="58"/>
      <c r="D454" s="58"/>
      <c r="E454" s="58"/>
      <c r="F454" s="58"/>
      <c r="G454" s="58"/>
      <c r="H454" s="59"/>
      <c r="I454" s="59"/>
      <c r="J454" s="59"/>
      <c r="K454" s="59"/>
      <c r="L454" s="59"/>
      <c r="M454" s="60"/>
      <c r="N454" s="60"/>
      <c r="O454" s="60"/>
      <c r="P454" s="59"/>
      <c r="Q454" s="59"/>
      <c r="R454" s="60"/>
      <c r="S454" s="60"/>
      <c r="T454" s="60"/>
      <c r="U454" s="60"/>
      <c r="V454" s="60"/>
      <c r="W454" s="60"/>
    </row>
    <row r="455" spans="1:23" ht="13" x14ac:dyDescent="0.3">
      <c r="A455" s="58"/>
      <c r="B455" s="58"/>
      <c r="C455" s="58"/>
      <c r="D455" s="58"/>
      <c r="E455" s="58"/>
      <c r="F455" s="58"/>
      <c r="G455" s="58"/>
      <c r="H455" s="59"/>
      <c r="I455" s="59"/>
      <c r="J455" s="59"/>
      <c r="K455" s="59"/>
      <c r="L455" s="59"/>
      <c r="M455" s="60"/>
      <c r="N455" s="60"/>
      <c r="O455" s="60"/>
      <c r="P455" s="59"/>
      <c r="Q455" s="59"/>
      <c r="R455" s="60"/>
      <c r="S455" s="60"/>
      <c r="T455" s="60"/>
      <c r="U455" s="60"/>
      <c r="V455" s="60"/>
      <c r="W455" s="60"/>
    </row>
    <row r="456" spans="1:23" ht="13" x14ac:dyDescent="0.3">
      <c r="A456" s="58"/>
      <c r="B456" s="58"/>
      <c r="C456" s="58"/>
      <c r="D456" s="58"/>
      <c r="E456" s="58"/>
      <c r="F456" s="58"/>
      <c r="G456" s="58"/>
      <c r="H456" s="59"/>
      <c r="I456" s="59"/>
      <c r="J456" s="59"/>
      <c r="K456" s="59"/>
      <c r="L456" s="59"/>
      <c r="M456" s="60"/>
      <c r="N456" s="60"/>
      <c r="O456" s="60"/>
      <c r="P456" s="59"/>
      <c r="Q456" s="59"/>
      <c r="R456" s="60"/>
      <c r="S456" s="60"/>
      <c r="T456" s="60"/>
      <c r="U456" s="60"/>
      <c r="V456" s="60"/>
      <c r="W456" s="60"/>
    </row>
    <row r="457" spans="1:23" ht="13" x14ac:dyDescent="0.3">
      <c r="A457" s="58"/>
      <c r="B457" s="58"/>
      <c r="C457" s="58"/>
      <c r="D457" s="58"/>
      <c r="E457" s="58"/>
      <c r="F457" s="58"/>
      <c r="G457" s="58"/>
      <c r="H457" s="59"/>
      <c r="I457" s="59"/>
      <c r="J457" s="59"/>
      <c r="K457" s="59"/>
      <c r="L457" s="59"/>
      <c r="M457" s="60"/>
      <c r="N457" s="60"/>
      <c r="O457" s="60"/>
      <c r="P457" s="59"/>
      <c r="Q457" s="59"/>
      <c r="R457" s="60"/>
      <c r="S457" s="60"/>
      <c r="T457" s="60"/>
      <c r="U457" s="60"/>
      <c r="V457" s="60"/>
      <c r="W457" s="60"/>
    </row>
    <row r="458" spans="1:23" ht="13" x14ac:dyDescent="0.3">
      <c r="A458" s="58"/>
      <c r="B458" s="58"/>
      <c r="C458" s="58"/>
      <c r="D458" s="58"/>
      <c r="E458" s="58"/>
      <c r="F458" s="58"/>
      <c r="G458" s="58"/>
      <c r="H458" s="59"/>
      <c r="I458" s="59"/>
      <c r="J458" s="59"/>
      <c r="K458" s="59"/>
      <c r="L458" s="59"/>
      <c r="M458" s="60"/>
      <c r="N458" s="60"/>
      <c r="O458" s="60"/>
      <c r="P458" s="59"/>
      <c r="Q458" s="59"/>
      <c r="R458" s="60"/>
      <c r="S458" s="60"/>
      <c r="T458" s="60"/>
      <c r="U458" s="60"/>
      <c r="V458" s="60"/>
      <c r="W458" s="60"/>
    </row>
    <row r="459" spans="1:23" ht="13" x14ac:dyDescent="0.3">
      <c r="A459" s="58"/>
      <c r="B459" s="58"/>
      <c r="C459" s="58"/>
      <c r="D459" s="58"/>
      <c r="E459" s="58"/>
      <c r="F459" s="58"/>
      <c r="G459" s="58"/>
      <c r="H459" s="59"/>
      <c r="I459" s="59"/>
      <c r="J459" s="59"/>
      <c r="K459" s="59"/>
      <c r="L459" s="59"/>
      <c r="M459" s="60"/>
      <c r="N459" s="60"/>
      <c r="O459" s="60"/>
      <c r="P459" s="59"/>
      <c r="Q459" s="59"/>
      <c r="R459" s="60"/>
      <c r="S459" s="60"/>
      <c r="T459" s="60"/>
      <c r="U459" s="60"/>
      <c r="V459" s="60"/>
      <c r="W459" s="60"/>
    </row>
    <row r="460" spans="1:23" ht="13" x14ac:dyDescent="0.3">
      <c r="A460" s="58"/>
      <c r="B460" s="58"/>
      <c r="C460" s="58"/>
      <c r="D460" s="58"/>
      <c r="E460" s="58"/>
      <c r="F460" s="58"/>
      <c r="G460" s="58"/>
      <c r="H460" s="59"/>
      <c r="I460" s="59"/>
      <c r="J460" s="59"/>
      <c r="K460" s="59"/>
      <c r="L460" s="59"/>
      <c r="M460" s="60"/>
      <c r="N460" s="60"/>
      <c r="O460" s="60"/>
      <c r="P460" s="59"/>
      <c r="Q460" s="59"/>
      <c r="R460" s="60"/>
      <c r="S460" s="60"/>
      <c r="T460" s="60"/>
      <c r="U460" s="60"/>
      <c r="V460" s="60"/>
      <c r="W460" s="60"/>
    </row>
    <row r="461" spans="1:23" ht="13" x14ac:dyDescent="0.3">
      <c r="A461" s="58"/>
      <c r="B461" s="58"/>
      <c r="C461" s="58"/>
      <c r="D461" s="58"/>
      <c r="E461" s="58"/>
      <c r="F461" s="58"/>
      <c r="G461" s="58"/>
      <c r="H461" s="59"/>
      <c r="I461" s="59"/>
      <c r="J461" s="59"/>
      <c r="K461" s="59"/>
      <c r="L461" s="59"/>
      <c r="M461" s="60"/>
      <c r="N461" s="60"/>
      <c r="O461" s="60"/>
      <c r="P461" s="59"/>
      <c r="Q461" s="59"/>
      <c r="R461" s="60"/>
      <c r="S461" s="60"/>
      <c r="T461" s="60"/>
      <c r="U461" s="60"/>
      <c r="V461" s="60"/>
      <c r="W461" s="60"/>
    </row>
    <row r="462" spans="1:23" ht="13" x14ac:dyDescent="0.3">
      <c r="A462" s="58"/>
      <c r="B462" s="58"/>
      <c r="C462" s="58"/>
      <c r="D462" s="58"/>
      <c r="E462" s="58"/>
      <c r="F462" s="58"/>
      <c r="G462" s="58"/>
      <c r="H462" s="59"/>
      <c r="I462" s="59"/>
      <c r="J462" s="59"/>
      <c r="K462" s="59"/>
      <c r="L462" s="59"/>
      <c r="M462" s="60"/>
      <c r="N462" s="60"/>
      <c r="O462" s="60"/>
      <c r="P462" s="59"/>
      <c r="Q462" s="59"/>
      <c r="R462" s="60"/>
      <c r="S462" s="60"/>
      <c r="T462" s="60"/>
      <c r="U462" s="60"/>
      <c r="V462" s="60"/>
      <c r="W462" s="60"/>
    </row>
    <row r="463" spans="1:23" ht="13" x14ac:dyDescent="0.3">
      <c r="A463" s="58"/>
      <c r="B463" s="58"/>
      <c r="C463" s="58"/>
      <c r="D463" s="58"/>
      <c r="E463" s="58"/>
      <c r="F463" s="58"/>
      <c r="G463" s="58"/>
      <c r="H463" s="59"/>
      <c r="I463" s="59"/>
      <c r="J463" s="59"/>
      <c r="K463" s="59"/>
      <c r="L463" s="59"/>
      <c r="M463" s="60"/>
      <c r="N463" s="60"/>
      <c r="O463" s="60"/>
      <c r="P463" s="59"/>
      <c r="Q463" s="59"/>
      <c r="R463" s="60"/>
      <c r="S463" s="60"/>
      <c r="T463" s="60"/>
      <c r="U463" s="60"/>
      <c r="V463" s="60"/>
      <c r="W463" s="60"/>
    </row>
    <row r="464" spans="1:23" ht="13" x14ac:dyDescent="0.3">
      <c r="A464" s="58"/>
      <c r="B464" s="58"/>
      <c r="C464" s="58"/>
      <c r="D464" s="58"/>
      <c r="E464" s="58"/>
      <c r="F464" s="58"/>
      <c r="G464" s="58"/>
      <c r="H464" s="59"/>
      <c r="I464" s="59"/>
      <c r="J464" s="59"/>
      <c r="K464" s="59"/>
      <c r="L464" s="59"/>
      <c r="M464" s="60"/>
      <c r="N464" s="60"/>
      <c r="O464" s="60"/>
      <c r="P464" s="59"/>
      <c r="Q464" s="59"/>
      <c r="R464" s="60"/>
      <c r="S464" s="60"/>
      <c r="T464" s="60"/>
      <c r="U464" s="60"/>
      <c r="V464" s="60"/>
      <c r="W464" s="60"/>
    </row>
    <row r="465" spans="1:23" ht="13" x14ac:dyDescent="0.3">
      <c r="A465" s="58"/>
      <c r="B465" s="58"/>
      <c r="C465" s="58"/>
      <c r="D465" s="58"/>
      <c r="E465" s="58"/>
      <c r="F465" s="58"/>
      <c r="G465" s="58"/>
      <c r="H465" s="59"/>
      <c r="I465" s="59"/>
      <c r="J465" s="59"/>
      <c r="K465" s="59"/>
      <c r="L465" s="59"/>
      <c r="M465" s="60"/>
      <c r="N465" s="60"/>
      <c r="O465" s="60"/>
      <c r="P465" s="59"/>
      <c r="Q465" s="59"/>
      <c r="R465" s="60"/>
      <c r="S465" s="60"/>
      <c r="T465" s="60"/>
      <c r="U465" s="60"/>
      <c r="V465" s="60"/>
      <c r="W465" s="60"/>
    </row>
    <row r="466" spans="1:23" ht="13" x14ac:dyDescent="0.3">
      <c r="A466" s="58"/>
      <c r="B466" s="58"/>
      <c r="C466" s="58"/>
      <c r="D466" s="58"/>
      <c r="E466" s="58"/>
      <c r="F466" s="58"/>
      <c r="G466" s="58"/>
      <c r="H466" s="59"/>
      <c r="I466" s="59"/>
      <c r="J466" s="59"/>
      <c r="K466" s="59"/>
      <c r="L466" s="59"/>
      <c r="M466" s="60"/>
      <c r="N466" s="60"/>
      <c r="O466" s="60"/>
      <c r="P466" s="59"/>
      <c r="Q466" s="59"/>
      <c r="R466" s="60"/>
      <c r="S466" s="60"/>
      <c r="T466" s="60"/>
      <c r="U466" s="60"/>
      <c r="V466" s="60"/>
      <c r="W466" s="60"/>
    </row>
    <row r="467" spans="1:23" ht="13" x14ac:dyDescent="0.3">
      <c r="A467" s="58"/>
      <c r="B467" s="58"/>
      <c r="C467" s="58"/>
      <c r="D467" s="58"/>
      <c r="E467" s="58"/>
      <c r="F467" s="58"/>
      <c r="G467" s="58"/>
      <c r="H467" s="59"/>
      <c r="I467" s="59"/>
      <c r="J467" s="59"/>
      <c r="K467" s="59"/>
      <c r="L467" s="59"/>
      <c r="M467" s="60"/>
      <c r="N467" s="60"/>
      <c r="O467" s="60"/>
      <c r="P467" s="59"/>
      <c r="Q467" s="59"/>
      <c r="R467" s="60"/>
      <c r="S467" s="60"/>
      <c r="T467" s="60"/>
      <c r="U467" s="60"/>
      <c r="V467" s="60"/>
      <c r="W467" s="60"/>
    </row>
    <row r="468" spans="1:23" ht="13" x14ac:dyDescent="0.3">
      <c r="A468" s="58"/>
      <c r="B468" s="58"/>
      <c r="C468" s="58"/>
      <c r="D468" s="58"/>
      <c r="E468" s="58"/>
      <c r="F468" s="58"/>
      <c r="G468" s="58"/>
      <c r="H468" s="59"/>
      <c r="I468" s="59"/>
      <c r="J468" s="59"/>
      <c r="K468" s="59"/>
      <c r="L468" s="59"/>
      <c r="M468" s="60"/>
      <c r="N468" s="60"/>
      <c r="O468" s="60"/>
      <c r="P468" s="59"/>
      <c r="Q468" s="59"/>
      <c r="R468" s="60"/>
      <c r="S468" s="60"/>
      <c r="T468" s="60"/>
      <c r="U468" s="60"/>
      <c r="V468" s="60"/>
      <c r="W468" s="60"/>
    </row>
    <row r="469" spans="1:23" ht="13" x14ac:dyDescent="0.3">
      <c r="A469" s="58"/>
      <c r="B469" s="58"/>
      <c r="C469" s="58"/>
      <c r="D469" s="58"/>
      <c r="E469" s="58"/>
      <c r="F469" s="58"/>
      <c r="G469" s="58"/>
      <c r="H469" s="59"/>
      <c r="I469" s="59"/>
      <c r="J469" s="59"/>
      <c r="K469" s="59"/>
      <c r="L469" s="59"/>
      <c r="M469" s="60"/>
      <c r="N469" s="60"/>
      <c r="O469" s="60"/>
      <c r="P469" s="59"/>
      <c r="Q469" s="59"/>
      <c r="R469" s="60"/>
      <c r="S469" s="60"/>
      <c r="T469" s="60"/>
      <c r="U469" s="60"/>
      <c r="V469" s="60"/>
      <c r="W469" s="60"/>
    </row>
    <row r="470" spans="1:23" ht="13" x14ac:dyDescent="0.3">
      <c r="A470" s="58"/>
      <c r="B470" s="58"/>
      <c r="C470" s="58"/>
      <c r="D470" s="58"/>
      <c r="E470" s="58"/>
      <c r="F470" s="58"/>
      <c r="G470" s="58"/>
      <c r="H470" s="59"/>
      <c r="I470" s="59"/>
      <c r="J470" s="59"/>
      <c r="K470" s="59"/>
      <c r="L470" s="59"/>
      <c r="M470" s="60"/>
      <c r="N470" s="60"/>
      <c r="O470" s="60"/>
      <c r="P470" s="59"/>
      <c r="Q470" s="59"/>
      <c r="R470" s="60"/>
      <c r="S470" s="60"/>
      <c r="T470" s="60"/>
      <c r="U470" s="60"/>
      <c r="V470" s="60"/>
      <c r="W470" s="60"/>
    </row>
    <row r="471" spans="1:23" ht="13" x14ac:dyDescent="0.3">
      <c r="A471" s="58"/>
      <c r="B471" s="58"/>
      <c r="C471" s="58"/>
      <c r="D471" s="58"/>
      <c r="E471" s="58"/>
      <c r="F471" s="58"/>
      <c r="G471" s="58"/>
      <c r="H471" s="59"/>
      <c r="I471" s="59"/>
      <c r="J471" s="59"/>
      <c r="K471" s="59"/>
      <c r="L471" s="59"/>
      <c r="M471" s="60"/>
      <c r="N471" s="60"/>
      <c r="O471" s="60"/>
      <c r="P471" s="59"/>
      <c r="Q471" s="59"/>
      <c r="R471" s="60"/>
      <c r="S471" s="60"/>
      <c r="T471" s="60"/>
      <c r="U471" s="60"/>
      <c r="V471" s="60"/>
      <c r="W471" s="60"/>
    </row>
    <row r="472" spans="1:23" ht="13" x14ac:dyDescent="0.3">
      <c r="A472" s="58"/>
      <c r="B472" s="58"/>
      <c r="C472" s="58"/>
      <c r="D472" s="58"/>
      <c r="E472" s="58"/>
      <c r="F472" s="58"/>
      <c r="G472" s="58"/>
      <c r="H472" s="59"/>
      <c r="I472" s="59"/>
      <c r="J472" s="59"/>
      <c r="K472" s="59"/>
      <c r="L472" s="59"/>
      <c r="M472" s="60"/>
      <c r="N472" s="60"/>
      <c r="O472" s="60"/>
      <c r="P472" s="59"/>
      <c r="Q472" s="59"/>
      <c r="R472" s="60"/>
      <c r="S472" s="60"/>
      <c r="T472" s="60"/>
      <c r="U472" s="60"/>
      <c r="V472" s="60"/>
      <c r="W472" s="60"/>
    </row>
    <row r="473" spans="1:23" ht="13" x14ac:dyDescent="0.3">
      <c r="A473" s="58"/>
      <c r="B473" s="58"/>
      <c r="C473" s="58"/>
      <c r="D473" s="58"/>
      <c r="E473" s="58"/>
      <c r="F473" s="58"/>
      <c r="G473" s="58"/>
      <c r="H473" s="59"/>
      <c r="I473" s="59"/>
      <c r="J473" s="59"/>
      <c r="K473" s="59"/>
      <c r="L473" s="59"/>
      <c r="M473" s="60"/>
      <c r="N473" s="60"/>
      <c r="O473" s="60"/>
      <c r="P473" s="59"/>
      <c r="Q473" s="59"/>
      <c r="R473" s="60"/>
      <c r="S473" s="60"/>
      <c r="T473" s="60"/>
      <c r="U473" s="60"/>
      <c r="V473" s="60"/>
      <c r="W473" s="60"/>
    </row>
    <row r="474" spans="1:23" ht="13" x14ac:dyDescent="0.3">
      <c r="A474" s="58"/>
      <c r="B474" s="58"/>
      <c r="C474" s="58"/>
      <c r="D474" s="58"/>
      <c r="E474" s="58"/>
      <c r="F474" s="58"/>
      <c r="G474" s="58"/>
      <c r="H474" s="59"/>
      <c r="I474" s="59"/>
      <c r="J474" s="59"/>
      <c r="K474" s="59"/>
      <c r="L474" s="59"/>
      <c r="M474" s="60"/>
      <c r="N474" s="60"/>
      <c r="O474" s="60"/>
      <c r="P474" s="59"/>
      <c r="Q474" s="59"/>
      <c r="R474" s="60"/>
      <c r="S474" s="60"/>
      <c r="T474" s="60"/>
      <c r="U474" s="60"/>
      <c r="V474" s="60"/>
      <c r="W474" s="60"/>
    </row>
    <row r="475" spans="1:23" ht="13" x14ac:dyDescent="0.3">
      <c r="A475" s="58"/>
      <c r="B475" s="58"/>
      <c r="C475" s="58"/>
      <c r="D475" s="58"/>
      <c r="E475" s="58"/>
      <c r="F475" s="58"/>
      <c r="G475" s="58"/>
      <c r="H475" s="59"/>
      <c r="I475" s="59"/>
      <c r="J475" s="59"/>
      <c r="K475" s="59"/>
      <c r="L475" s="59"/>
      <c r="M475" s="60"/>
      <c r="N475" s="60"/>
      <c r="O475" s="60"/>
      <c r="P475" s="59"/>
      <c r="Q475" s="59"/>
      <c r="R475" s="60"/>
      <c r="S475" s="60"/>
      <c r="T475" s="60"/>
      <c r="U475" s="60"/>
      <c r="V475" s="60"/>
      <c r="W475" s="60"/>
    </row>
    <row r="476" spans="1:23" ht="13" x14ac:dyDescent="0.3">
      <c r="A476" s="58"/>
      <c r="B476" s="58"/>
      <c r="C476" s="58"/>
      <c r="D476" s="58"/>
      <c r="E476" s="58"/>
      <c r="F476" s="58"/>
      <c r="G476" s="58"/>
      <c r="H476" s="59"/>
      <c r="I476" s="59"/>
      <c r="J476" s="59"/>
      <c r="K476" s="59"/>
      <c r="L476" s="59"/>
      <c r="M476" s="60"/>
      <c r="N476" s="60"/>
      <c r="O476" s="60"/>
      <c r="P476" s="59"/>
      <c r="Q476" s="59"/>
      <c r="R476" s="60"/>
      <c r="S476" s="60"/>
      <c r="T476" s="60"/>
      <c r="U476" s="60"/>
      <c r="V476" s="60"/>
      <c r="W476" s="60"/>
    </row>
    <row r="477" spans="1:23" ht="13" x14ac:dyDescent="0.3">
      <c r="A477" s="58"/>
      <c r="B477" s="58"/>
      <c r="C477" s="58"/>
      <c r="D477" s="58"/>
      <c r="E477" s="58"/>
      <c r="F477" s="58"/>
      <c r="G477" s="58"/>
      <c r="H477" s="59"/>
      <c r="I477" s="59"/>
      <c r="J477" s="59"/>
      <c r="K477" s="59"/>
      <c r="L477" s="59"/>
      <c r="M477" s="60"/>
      <c r="N477" s="60"/>
      <c r="O477" s="60"/>
      <c r="P477" s="59"/>
      <c r="Q477" s="59"/>
      <c r="R477" s="60"/>
      <c r="S477" s="60"/>
      <c r="T477" s="60"/>
      <c r="U477" s="60"/>
      <c r="V477" s="60"/>
      <c r="W477" s="60"/>
    </row>
    <row r="478" spans="1:23" ht="13" x14ac:dyDescent="0.3">
      <c r="A478" s="58"/>
      <c r="B478" s="58"/>
      <c r="C478" s="58"/>
      <c r="D478" s="58"/>
      <c r="E478" s="58"/>
      <c r="F478" s="58"/>
      <c r="G478" s="58"/>
      <c r="H478" s="59"/>
      <c r="I478" s="59"/>
      <c r="J478" s="59"/>
      <c r="K478" s="59"/>
      <c r="L478" s="59"/>
      <c r="M478" s="60"/>
      <c r="N478" s="60"/>
      <c r="O478" s="60"/>
      <c r="P478" s="59"/>
      <c r="Q478" s="59"/>
      <c r="R478" s="60"/>
      <c r="S478" s="60"/>
      <c r="T478" s="60"/>
      <c r="U478" s="60"/>
      <c r="V478" s="60"/>
      <c r="W478" s="60"/>
    </row>
    <row r="479" spans="1:23" ht="13" x14ac:dyDescent="0.3">
      <c r="A479" s="58"/>
      <c r="B479" s="58"/>
      <c r="C479" s="58"/>
      <c r="D479" s="58"/>
      <c r="E479" s="58"/>
      <c r="F479" s="58"/>
      <c r="G479" s="58"/>
      <c r="H479" s="59"/>
      <c r="I479" s="59"/>
      <c r="J479" s="59"/>
      <c r="K479" s="59"/>
      <c r="L479" s="59"/>
      <c r="M479" s="60"/>
      <c r="N479" s="60"/>
      <c r="O479" s="60"/>
      <c r="P479" s="59"/>
      <c r="Q479" s="59"/>
      <c r="R479" s="60"/>
      <c r="S479" s="60"/>
      <c r="T479" s="60"/>
      <c r="U479" s="60"/>
      <c r="V479" s="60"/>
      <c r="W479" s="60"/>
    </row>
    <row r="480" spans="1:23" ht="13" x14ac:dyDescent="0.3">
      <c r="A480" s="58"/>
      <c r="B480" s="58"/>
      <c r="C480" s="58"/>
      <c r="D480" s="58"/>
      <c r="E480" s="58"/>
      <c r="F480" s="58"/>
      <c r="G480" s="58"/>
      <c r="H480" s="59"/>
      <c r="I480" s="59"/>
      <c r="J480" s="59"/>
      <c r="K480" s="59"/>
      <c r="L480" s="59"/>
      <c r="M480" s="60"/>
      <c r="N480" s="60"/>
      <c r="O480" s="60"/>
      <c r="P480" s="59"/>
      <c r="Q480" s="59"/>
      <c r="R480" s="60"/>
      <c r="S480" s="60"/>
      <c r="T480" s="60"/>
      <c r="U480" s="60"/>
      <c r="V480" s="60"/>
      <c r="W480" s="60"/>
    </row>
    <row r="481" spans="1:23" ht="13" x14ac:dyDescent="0.3">
      <c r="A481" s="58"/>
      <c r="B481" s="58"/>
      <c r="C481" s="58"/>
      <c r="D481" s="58"/>
      <c r="E481" s="58"/>
      <c r="F481" s="58"/>
      <c r="G481" s="58"/>
      <c r="H481" s="59"/>
      <c r="I481" s="59"/>
      <c r="J481" s="59"/>
      <c r="K481" s="59"/>
      <c r="L481" s="59"/>
      <c r="M481" s="60"/>
      <c r="N481" s="60"/>
      <c r="O481" s="60"/>
      <c r="P481" s="59"/>
      <c r="Q481" s="59"/>
      <c r="R481" s="60"/>
      <c r="S481" s="60"/>
      <c r="T481" s="60"/>
      <c r="U481" s="60"/>
      <c r="V481" s="60"/>
      <c r="W481" s="60"/>
    </row>
    <row r="482" spans="1:23" ht="13" x14ac:dyDescent="0.3">
      <c r="A482" s="58"/>
      <c r="B482" s="58"/>
      <c r="C482" s="58"/>
      <c r="D482" s="58"/>
      <c r="E482" s="58"/>
      <c r="F482" s="58"/>
      <c r="G482" s="58"/>
      <c r="H482" s="59"/>
      <c r="I482" s="59"/>
      <c r="J482" s="59"/>
      <c r="K482" s="59"/>
      <c r="L482" s="59"/>
      <c r="M482" s="60"/>
      <c r="N482" s="60"/>
      <c r="O482" s="60"/>
      <c r="P482" s="59"/>
      <c r="Q482" s="59"/>
      <c r="R482" s="60"/>
      <c r="S482" s="60"/>
      <c r="T482" s="60"/>
      <c r="U482" s="60"/>
      <c r="V482" s="60"/>
      <c r="W482" s="60"/>
    </row>
    <row r="483" spans="1:23" ht="13" x14ac:dyDescent="0.3">
      <c r="A483" s="58"/>
      <c r="B483" s="58"/>
      <c r="C483" s="58"/>
      <c r="D483" s="58"/>
      <c r="E483" s="58"/>
      <c r="F483" s="58"/>
      <c r="G483" s="58"/>
      <c r="H483" s="59"/>
      <c r="I483" s="59"/>
      <c r="J483" s="59"/>
      <c r="K483" s="59"/>
      <c r="L483" s="59"/>
      <c r="M483" s="60"/>
      <c r="N483" s="60"/>
      <c r="O483" s="60"/>
      <c r="P483" s="59"/>
      <c r="Q483" s="59"/>
      <c r="R483" s="60"/>
      <c r="S483" s="60"/>
      <c r="T483" s="60"/>
      <c r="U483" s="60"/>
      <c r="V483" s="60"/>
      <c r="W483" s="60"/>
    </row>
    <row r="484" spans="1:23" ht="13" x14ac:dyDescent="0.3">
      <c r="A484" s="58"/>
      <c r="B484" s="58"/>
      <c r="C484" s="58"/>
      <c r="D484" s="58"/>
      <c r="E484" s="58"/>
      <c r="F484" s="58"/>
      <c r="G484" s="58"/>
      <c r="H484" s="59"/>
      <c r="I484" s="59"/>
      <c r="J484" s="59"/>
      <c r="K484" s="59"/>
      <c r="L484" s="59"/>
      <c r="M484" s="60"/>
      <c r="N484" s="60"/>
      <c r="O484" s="60"/>
      <c r="P484" s="59"/>
      <c r="Q484" s="59"/>
      <c r="R484" s="60"/>
      <c r="S484" s="60"/>
      <c r="T484" s="60"/>
      <c r="U484" s="60"/>
      <c r="V484" s="60"/>
      <c r="W484" s="60"/>
    </row>
    <row r="485" spans="1:23" ht="13" x14ac:dyDescent="0.3">
      <c r="A485" s="58"/>
      <c r="B485" s="58"/>
      <c r="C485" s="58"/>
      <c r="D485" s="58"/>
      <c r="E485" s="58"/>
      <c r="F485" s="58"/>
      <c r="G485" s="58"/>
      <c r="H485" s="59"/>
      <c r="I485" s="59"/>
      <c r="J485" s="59"/>
      <c r="K485" s="59"/>
      <c r="L485" s="59"/>
      <c r="M485" s="60"/>
      <c r="N485" s="60"/>
      <c r="O485" s="60"/>
      <c r="P485" s="59"/>
      <c r="Q485" s="59"/>
      <c r="R485" s="60"/>
      <c r="S485" s="60"/>
      <c r="T485" s="60"/>
      <c r="U485" s="60"/>
      <c r="V485" s="60"/>
      <c r="W485" s="60"/>
    </row>
    <row r="486" spans="1:23" ht="13" x14ac:dyDescent="0.3">
      <c r="A486" s="58"/>
      <c r="B486" s="58"/>
      <c r="C486" s="58"/>
      <c r="D486" s="58"/>
      <c r="E486" s="58"/>
      <c r="F486" s="58"/>
      <c r="G486" s="58"/>
      <c r="H486" s="59"/>
      <c r="I486" s="59"/>
      <c r="J486" s="59"/>
      <c r="K486" s="59"/>
      <c r="L486" s="59"/>
      <c r="M486" s="60"/>
      <c r="N486" s="60"/>
      <c r="O486" s="60"/>
      <c r="P486" s="59"/>
      <c r="Q486" s="59"/>
      <c r="R486" s="60"/>
      <c r="S486" s="60"/>
      <c r="T486" s="60"/>
      <c r="U486" s="60"/>
      <c r="V486" s="60"/>
      <c r="W486" s="60"/>
    </row>
    <row r="487" spans="1:23" ht="13" x14ac:dyDescent="0.3">
      <c r="A487" s="58"/>
      <c r="B487" s="58"/>
      <c r="C487" s="58"/>
      <c r="D487" s="58"/>
      <c r="E487" s="58"/>
      <c r="F487" s="58"/>
      <c r="G487" s="58"/>
      <c r="H487" s="59"/>
      <c r="I487" s="59"/>
      <c r="J487" s="59"/>
      <c r="K487" s="59"/>
      <c r="L487" s="59"/>
      <c r="M487" s="60"/>
      <c r="N487" s="60"/>
      <c r="O487" s="60"/>
      <c r="P487" s="59"/>
      <c r="Q487" s="59"/>
      <c r="R487" s="60"/>
      <c r="S487" s="60"/>
      <c r="T487" s="60"/>
      <c r="U487" s="60"/>
      <c r="V487" s="60"/>
      <c r="W487" s="60"/>
    </row>
    <row r="488" spans="1:23" ht="13" x14ac:dyDescent="0.3">
      <c r="A488" s="58"/>
      <c r="B488" s="58"/>
      <c r="C488" s="58"/>
      <c r="D488" s="58"/>
      <c r="E488" s="58"/>
      <c r="F488" s="58"/>
      <c r="G488" s="58"/>
      <c r="H488" s="59"/>
      <c r="I488" s="59"/>
      <c r="J488" s="59"/>
      <c r="K488" s="59"/>
      <c r="L488" s="59"/>
      <c r="M488" s="60"/>
      <c r="N488" s="60"/>
      <c r="O488" s="60"/>
      <c r="P488" s="59"/>
      <c r="Q488" s="59"/>
      <c r="R488" s="60"/>
      <c r="S488" s="60"/>
      <c r="T488" s="60"/>
      <c r="U488" s="60"/>
      <c r="V488" s="60"/>
      <c r="W488" s="60"/>
    </row>
    <row r="489" spans="1:23" ht="13" x14ac:dyDescent="0.3">
      <c r="A489" s="58"/>
      <c r="B489" s="58"/>
      <c r="C489" s="58"/>
      <c r="D489" s="58"/>
      <c r="E489" s="58"/>
      <c r="F489" s="58"/>
      <c r="G489" s="58"/>
      <c r="H489" s="59"/>
      <c r="I489" s="59"/>
      <c r="J489" s="59"/>
      <c r="K489" s="59"/>
      <c r="L489" s="59"/>
      <c r="M489" s="60"/>
      <c r="N489" s="60"/>
      <c r="O489" s="60"/>
      <c r="P489" s="59"/>
      <c r="Q489" s="59"/>
      <c r="R489" s="60"/>
      <c r="S489" s="60"/>
      <c r="T489" s="60"/>
      <c r="U489" s="60"/>
      <c r="V489" s="60"/>
      <c r="W489" s="60"/>
    </row>
    <row r="490" spans="1:23" ht="13" x14ac:dyDescent="0.3">
      <c r="A490" s="58"/>
      <c r="B490" s="58"/>
      <c r="C490" s="58"/>
      <c r="D490" s="58"/>
      <c r="E490" s="58"/>
      <c r="F490" s="58"/>
      <c r="G490" s="58"/>
      <c r="H490" s="59"/>
      <c r="I490" s="59"/>
      <c r="J490" s="59"/>
      <c r="K490" s="59"/>
      <c r="L490" s="59"/>
      <c r="M490" s="60"/>
      <c r="N490" s="60"/>
      <c r="O490" s="60"/>
      <c r="P490" s="59"/>
      <c r="Q490" s="59"/>
      <c r="R490" s="60"/>
      <c r="S490" s="60"/>
      <c r="T490" s="60"/>
      <c r="U490" s="60"/>
      <c r="V490" s="60"/>
      <c r="W490" s="60"/>
    </row>
    <row r="491" spans="1:23" ht="13" x14ac:dyDescent="0.3">
      <c r="A491" s="58"/>
      <c r="B491" s="58"/>
      <c r="C491" s="58"/>
      <c r="D491" s="58"/>
      <c r="E491" s="58"/>
      <c r="F491" s="58"/>
      <c r="G491" s="58"/>
      <c r="H491" s="59"/>
      <c r="I491" s="59"/>
      <c r="J491" s="59"/>
      <c r="K491" s="59"/>
      <c r="L491" s="59"/>
      <c r="M491" s="60"/>
      <c r="N491" s="60"/>
      <c r="O491" s="60"/>
      <c r="P491" s="59"/>
      <c r="Q491" s="59"/>
      <c r="R491" s="60"/>
      <c r="S491" s="60"/>
      <c r="T491" s="60"/>
      <c r="U491" s="60"/>
      <c r="V491" s="60"/>
      <c r="W491" s="60"/>
    </row>
    <row r="492" spans="1:23" ht="13" x14ac:dyDescent="0.3">
      <c r="A492" s="58"/>
      <c r="B492" s="58"/>
      <c r="C492" s="58"/>
      <c r="D492" s="58"/>
      <c r="E492" s="58"/>
      <c r="F492" s="58"/>
      <c r="G492" s="58"/>
      <c r="H492" s="59"/>
      <c r="I492" s="59"/>
      <c r="J492" s="59"/>
      <c r="K492" s="59"/>
      <c r="L492" s="59"/>
      <c r="M492" s="60"/>
      <c r="N492" s="60"/>
      <c r="O492" s="60"/>
      <c r="P492" s="59"/>
      <c r="Q492" s="59"/>
      <c r="R492" s="60"/>
      <c r="S492" s="60"/>
      <c r="T492" s="60"/>
      <c r="U492" s="60"/>
      <c r="V492" s="60"/>
      <c r="W492" s="60"/>
    </row>
    <row r="493" spans="1:23" ht="13" x14ac:dyDescent="0.3">
      <c r="A493" s="58"/>
      <c r="B493" s="58"/>
      <c r="C493" s="58"/>
      <c r="D493" s="58"/>
      <c r="E493" s="58"/>
      <c r="F493" s="58"/>
      <c r="G493" s="58"/>
      <c r="H493" s="59"/>
      <c r="I493" s="59"/>
      <c r="J493" s="59"/>
      <c r="K493" s="59"/>
      <c r="L493" s="59"/>
      <c r="M493" s="60"/>
      <c r="N493" s="60"/>
      <c r="O493" s="60"/>
      <c r="P493" s="59"/>
      <c r="Q493" s="59"/>
      <c r="R493" s="60"/>
      <c r="S493" s="60"/>
      <c r="T493" s="60"/>
      <c r="U493" s="60"/>
      <c r="V493" s="60"/>
      <c r="W493" s="60"/>
    </row>
    <row r="494" spans="1:23" ht="13" x14ac:dyDescent="0.3">
      <c r="A494" s="58"/>
      <c r="B494" s="58"/>
      <c r="C494" s="58"/>
      <c r="D494" s="58"/>
      <c r="E494" s="58"/>
      <c r="F494" s="58"/>
      <c r="G494" s="58"/>
      <c r="H494" s="59"/>
      <c r="I494" s="59"/>
      <c r="J494" s="59"/>
      <c r="K494" s="59"/>
      <c r="L494" s="59"/>
      <c r="M494" s="60"/>
      <c r="N494" s="60"/>
      <c r="O494" s="60"/>
      <c r="P494" s="59"/>
      <c r="Q494" s="59"/>
      <c r="R494" s="60"/>
      <c r="S494" s="60"/>
      <c r="T494" s="60"/>
      <c r="U494" s="60"/>
      <c r="V494" s="60"/>
      <c r="W494" s="60"/>
    </row>
    <row r="495" spans="1:23" ht="13" x14ac:dyDescent="0.3">
      <c r="A495" s="58"/>
      <c r="B495" s="58"/>
      <c r="C495" s="58"/>
      <c r="D495" s="58"/>
      <c r="E495" s="58"/>
      <c r="F495" s="58"/>
      <c r="G495" s="58"/>
      <c r="H495" s="59"/>
      <c r="I495" s="59"/>
      <c r="J495" s="59"/>
      <c r="K495" s="59"/>
      <c r="L495" s="59"/>
      <c r="M495" s="60"/>
      <c r="N495" s="60"/>
      <c r="O495" s="60"/>
      <c r="P495" s="59"/>
      <c r="Q495" s="59"/>
      <c r="R495" s="60"/>
      <c r="S495" s="60"/>
      <c r="T495" s="60"/>
      <c r="U495" s="60"/>
      <c r="V495" s="60"/>
      <c r="W495" s="60"/>
    </row>
    <row r="496" spans="1:23" ht="13" x14ac:dyDescent="0.3">
      <c r="A496" s="58"/>
      <c r="B496" s="58"/>
      <c r="C496" s="58"/>
      <c r="D496" s="58"/>
      <c r="E496" s="58"/>
      <c r="F496" s="58"/>
      <c r="G496" s="58"/>
      <c r="H496" s="59"/>
      <c r="I496" s="59"/>
      <c r="J496" s="59"/>
      <c r="K496" s="59"/>
      <c r="L496" s="59"/>
      <c r="M496" s="60"/>
      <c r="N496" s="60"/>
      <c r="O496" s="60"/>
      <c r="P496" s="59"/>
      <c r="Q496" s="59"/>
      <c r="R496" s="60"/>
      <c r="S496" s="60"/>
      <c r="T496" s="60"/>
      <c r="U496" s="60"/>
      <c r="V496" s="60"/>
      <c r="W496" s="60"/>
    </row>
    <row r="497" spans="1:23" ht="13" x14ac:dyDescent="0.3">
      <c r="A497" s="58"/>
      <c r="B497" s="58"/>
      <c r="C497" s="58"/>
      <c r="D497" s="58"/>
      <c r="E497" s="58"/>
      <c r="F497" s="58"/>
      <c r="G497" s="58"/>
      <c r="H497" s="59"/>
      <c r="I497" s="59"/>
      <c r="J497" s="59"/>
      <c r="K497" s="59"/>
      <c r="L497" s="59"/>
      <c r="M497" s="60"/>
      <c r="N497" s="60"/>
      <c r="O497" s="60"/>
      <c r="P497" s="59"/>
      <c r="Q497" s="59"/>
      <c r="R497" s="60"/>
      <c r="S497" s="60"/>
      <c r="T497" s="60"/>
      <c r="U497" s="60"/>
      <c r="V497" s="60"/>
      <c r="W497" s="60"/>
    </row>
    <row r="498" spans="1:23" ht="13" x14ac:dyDescent="0.3">
      <c r="A498" s="58"/>
      <c r="B498" s="58"/>
      <c r="C498" s="58"/>
      <c r="D498" s="58"/>
      <c r="E498" s="58"/>
      <c r="F498" s="58"/>
      <c r="G498" s="58"/>
      <c r="H498" s="59"/>
      <c r="I498" s="59"/>
      <c r="J498" s="59"/>
      <c r="K498" s="59"/>
      <c r="L498" s="59"/>
      <c r="M498" s="60"/>
      <c r="N498" s="60"/>
      <c r="O498" s="60"/>
      <c r="P498" s="59"/>
      <c r="Q498" s="59"/>
      <c r="R498" s="60"/>
      <c r="S498" s="60"/>
      <c r="T498" s="60"/>
      <c r="U498" s="60"/>
      <c r="V498" s="60"/>
      <c r="W498" s="60"/>
    </row>
    <row r="499" spans="1:23" ht="13" x14ac:dyDescent="0.3">
      <c r="A499" s="58"/>
      <c r="B499" s="58"/>
      <c r="C499" s="58"/>
      <c r="D499" s="58"/>
      <c r="E499" s="58"/>
      <c r="F499" s="58"/>
      <c r="G499" s="58"/>
      <c r="H499" s="59"/>
      <c r="I499" s="59"/>
      <c r="J499" s="59"/>
      <c r="K499" s="59"/>
      <c r="L499" s="59"/>
      <c r="M499" s="60"/>
      <c r="N499" s="60"/>
      <c r="O499" s="60"/>
      <c r="P499" s="59"/>
      <c r="Q499" s="59"/>
      <c r="R499" s="60"/>
      <c r="S499" s="60"/>
      <c r="T499" s="60"/>
      <c r="U499" s="60"/>
      <c r="V499" s="60"/>
      <c r="W499" s="60"/>
    </row>
    <row r="500" spans="1:23" ht="13" x14ac:dyDescent="0.3">
      <c r="A500" s="58"/>
      <c r="B500" s="58"/>
      <c r="C500" s="58"/>
      <c r="D500" s="58"/>
      <c r="E500" s="58"/>
      <c r="F500" s="58"/>
      <c r="G500" s="58"/>
      <c r="H500" s="59"/>
      <c r="I500" s="59"/>
      <c r="J500" s="59"/>
      <c r="K500" s="59"/>
      <c r="L500" s="59"/>
      <c r="M500" s="60"/>
      <c r="N500" s="60"/>
      <c r="O500" s="60"/>
      <c r="P500" s="59"/>
      <c r="Q500" s="59"/>
      <c r="R500" s="60"/>
      <c r="S500" s="60"/>
      <c r="T500" s="60"/>
      <c r="U500" s="60"/>
      <c r="V500" s="60"/>
      <c r="W500" s="60"/>
    </row>
    <row r="501" spans="1:23" ht="13" x14ac:dyDescent="0.3">
      <c r="A501" s="58"/>
      <c r="B501" s="58"/>
      <c r="C501" s="58"/>
      <c r="D501" s="58"/>
      <c r="E501" s="58"/>
      <c r="F501" s="58"/>
      <c r="G501" s="58"/>
      <c r="H501" s="59"/>
      <c r="I501" s="59"/>
      <c r="J501" s="59"/>
      <c r="K501" s="59"/>
      <c r="L501" s="59"/>
      <c r="M501" s="60"/>
      <c r="N501" s="60"/>
      <c r="O501" s="60"/>
      <c r="P501" s="59"/>
      <c r="Q501" s="59"/>
      <c r="R501" s="60"/>
      <c r="S501" s="60"/>
      <c r="T501" s="60"/>
      <c r="U501" s="60"/>
      <c r="V501" s="60"/>
      <c r="W501" s="60"/>
    </row>
    <row r="502" spans="1:23" ht="13" x14ac:dyDescent="0.3">
      <c r="A502" s="58"/>
      <c r="B502" s="58"/>
      <c r="C502" s="58"/>
      <c r="D502" s="58"/>
      <c r="E502" s="58"/>
      <c r="F502" s="58"/>
      <c r="G502" s="58"/>
      <c r="H502" s="59"/>
      <c r="I502" s="59"/>
      <c r="J502" s="59"/>
      <c r="K502" s="59"/>
      <c r="L502" s="59"/>
      <c r="M502" s="60"/>
      <c r="N502" s="60"/>
      <c r="O502" s="60"/>
      <c r="P502" s="59"/>
      <c r="Q502" s="59"/>
      <c r="R502" s="60"/>
      <c r="S502" s="60"/>
      <c r="T502" s="60"/>
      <c r="U502" s="60"/>
      <c r="V502" s="60"/>
      <c r="W502" s="60"/>
    </row>
    <row r="503" spans="1:23" ht="13" x14ac:dyDescent="0.3">
      <c r="A503" s="58"/>
      <c r="B503" s="58"/>
      <c r="C503" s="58"/>
      <c r="D503" s="58"/>
      <c r="E503" s="58"/>
      <c r="F503" s="58"/>
      <c r="G503" s="58"/>
      <c r="H503" s="59"/>
      <c r="I503" s="59"/>
      <c r="J503" s="59"/>
      <c r="K503" s="59"/>
      <c r="L503" s="59"/>
      <c r="M503" s="60"/>
      <c r="N503" s="60"/>
      <c r="O503" s="60"/>
      <c r="P503" s="59"/>
      <c r="Q503" s="59"/>
      <c r="R503" s="60"/>
      <c r="S503" s="60"/>
      <c r="T503" s="60"/>
      <c r="U503" s="60"/>
      <c r="V503" s="60"/>
      <c r="W503" s="60"/>
    </row>
    <row r="504" spans="1:23" ht="13" x14ac:dyDescent="0.3">
      <c r="A504" s="58"/>
      <c r="B504" s="58"/>
      <c r="C504" s="58"/>
      <c r="D504" s="58"/>
      <c r="E504" s="58"/>
      <c r="F504" s="58"/>
      <c r="G504" s="58"/>
      <c r="H504" s="59"/>
      <c r="I504" s="59"/>
      <c r="J504" s="59"/>
      <c r="K504" s="59"/>
      <c r="L504" s="59"/>
      <c r="M504" s="60"/>
      <c r="N504" s="60"/>
      <c r="O504" s="60"/>
      <c r="P504" s="59"/>
      <c r="Q504" s="59"/>
      <c r="R504" s="60"/>
      <c r="S504" s="60"/>
      <c r="T504" s="60"/>
      <c r="U504" s="60"/>
      <c r="V504" s="60"/>
      <c r="W504" s="60"/>
    </row>
    <row r="505" spans="1:23" ht="13" x14ac:dyDescent="0.3">
      <c r="A505" s="58"/>
      <c r="B505" s="58"/>
      <c r="C505" s="58"/>
      <c r="D505" s="58"/>
      <c r="E505" s="58"/>
      <c r="F505" s="58"/>
      <c r="G505" s="58"/>
      <c r="H505" s="59"/>
      <c r="I505" s="59"/>
      <c r="J505" s="59"/>
      <c r="K505" s="59"/>
      <c r="L505" s="59"/>
      <c r="M505" s="60"/>
      <c r="N505" s="60"/>
      <c r="O505" s="60"/>
      <c r="P505" s="59"/>
      <c r="Q505" s="59"/>
      <c r="R505" s="60"/>
      <c r="S505" s="60"/>
      <c r="T505" s="60"/>
      <c r="U505" s="60"/>
      <c r="V505" s="60"/>
      <c r="W505" s="60"/>
    </row>
    <row r="506" spans="1:23" ht="13" x14ac:dyDescent="0.3">
      <c r="A506" s="58"/>
      <c r="B506" s="58"/>
      <c r="C506" s="58"/>
      <c r="D506" s="58"/>
      <c r="E506" s="58"/>
      <c r="F506" s="58"/>
      <c r="G506" s="58"/>
      <c r="H506" s="59"/>
      <c r="I506" s="59"/>
      <c r="J506" s="59"/>
      <c r="K506" s="59"/>
      <c r="L506" s="59"/>
      <c r="M506" s="60"/>
      <c r="N506" s="60"/>
      <c r="O506" s="60"/>
      <c r="P506" s="59"/>
      <c r="Q506" s="59"/>
      <c r="R506" s="60"/>
      <c r="S506" s="60"/>
      <c r="T506" s="60"/>
      <c r="U506" s="60"/>
      <c r="V506" s="60"/>
      <c r="W506" s="60"/>
    </row>
    <row r="507" spans="1:23" ht="13" x14ac:dyDescent="0.3">
      <c r="A507" s="58"/>
      <c r="B507" s="58"/>
      <c r="C507" s="58"/>
      <c r="D507" s="58"/>
      <c r="E507" s="58"/>
      <c r="F507" s="58"/>
      <c r="G507" s="58"/>
      <c r="H507" s="59"/>
      <c r="I507" s="59"/>
      <c r="J507" s="59"/>
      <c r="K507" s="59"/>
      <c r="L507" s="59"/>
      <c r="M507" s="60"/>
      <c r="N507" s="60"/>
      <c r="O507" s="60"/>
      <c r="P507" s="59"/>
      <c r="Q507" s="59"/>
      <c r="R507" s="60"/>
      <c r="S507" s="60"/>
      <c r="T507" s="60"/>
      <c r="U507" s="60"/>
      <c r="V507" s="60"/>
      <c r="W507" s="60"/>
    </row>
    <row r="508" spans="1:23" ht="13" x14ac:dyDescent="0.3">
      <c r="A508" s="58"/>
      <c r="B508" s="58"/>
      <c r="C508" s="58"/>
      <c r="D508" s="58"/>
      <c r="E508" s="58"/>
      <c r="F508" s="58"/>
      <c r="G508" s="58"/>
      <c r="H508" s="59"/>
      <c r="I508" s="59"/>
      <c r="J508" s="59"/>
      <c r="K508" s="59"/>
      <c r="L508" s="59"/>
      <c r="M508" s="60"/>
      <c r="N508" s="60"/>
      <c r="O508" s="60"/>
      <c r="P508" s="59"/>
      <c r="Q508" s="59"/>
      <c r="R508" s="60"/>
      <c r="S508" s="60"/>
      <c r="T508" s="60"/>
      <c r="U508" s="60"/>
      <c r="V508" s="60"/>
      <c r="W508" s="60"/>
    </row>
    <row r="509" spans="1:23" ht="13" x14ac:dyDescent="0.3">
      <c r="A509" s="58"/>
      <c r="B509" s="58"/>
      <c r="C509" s="58"/>
      <c r="D509" s="58"/>
      <c r="E509" s="58"/>
      <c r="F509" s="58"/>
      <c r="G509" s="58"/>
      <c r="H509" s="59"/>
      <c r="I509" s="59"/>
      <c r="J509" s="59"/>
      <c r="K509" s="59"/>
      <c r="L509" s="59"/>
      <c r="M509" s="60"/>
      <c r="N509" s="60"/>
      <c r="O509" s="60"/>
      <c r="P509" s="59"/>
      <c r="Q509" s="59"/>
      <c r="R509" s="60"/>
      <c r="S509" s="60"/>
      <c r="T509" s="60"/>
      <c r="U509" s="60"/>
      <c r="V509" s="60"/>
      <c r="W509" s="60"/>
    </row>
    <row r="510" spans="1:23" ht="13" x14ac:dyDescent="0.3">
      <c r="A510" s="58"/>
      <c r="B510" s="58"/>
      <c r="C510" s="58"/>
      <c r="D510" s="58"/>
      <c r="E510" s="58"/>
      <c r="F510" s="58"/>
      <c r="G510" s="58"/>
      <c r="H510" s="59"/>
      <c r="I510" s="59"/>
      <c r="J510" s="59"/>
      <c r="K510" s="59"/>
      <c r="L510" s="59"/>
      <c r="M510" s="60"/>
      <c r="N510" s="60"/>
      <c r="O510" s="60"/>
      <c r="P510" s="59"/>
      <c r="Q510" s="59"/>
      <c r="R510" s="60"/>
      <c r="S510" s="60"/>
      <c r="T510" s="60"/>
      <c r="U510" s="60"/>
      <c r="V510" s="60"/>
      <c r="W510" s="60"/>
    </row>
    <row r="511" spans="1:23" ht="13" x14ac:dyDescent="0.3">
      <c r="A511" s="58"/>
      <c r="B511" s="58"/>
      <c r="C511" s="58"/>
      <c r="D511" s="58"/>
      <c r="E511" s="58"/>
      <c r="F511" s="58"/>
      <c r="G511" s="58"/>
      <c r="H511" s="59"/>
      <c r="I511" s="59"/>
      <c r="J511" s="59"/>
      <c r="K511" s="59"/>
      <c r="L511" s="59"/>
      <c r="M511" s="60"/>
      <c r="N511" s="60"/>
      <c r="O511" s="60"/>
      <c r="P511" s="59"/>
      <c r="Q511" s="59"/>
      <c r="R511" s="60"/>
      <c r="S511" s="60"/>
      <c r="T511" s="60"/>
      <c r="U511" s="60"/>
      <c r="V511" s="60"/>
      <c r="W511" s="60"/>
    </row>
    <row r="512" spans="1:23" ht="13" x14ac:dyDescent="0.3">
      <c r="A512" s="58"/>
      <c r="B512" s="58"/>
      <c r="C512" s="58"/>
      <c r="D512" s="58"/>
      <c r="E512" s="58"/>
      <c r="F512" s="58"/>
      <c r="G512" s="58"/>
      <c r="H512" s="59"/>
      <c r="I512" s="59"/>
      <c r="J512" s="59"/>
      <c r="K512" s="59"/>
      <c r="L512" s="59"/>
      <c r="M512" s="60"/>
      <c r="N512" s="60"/>
      <c r="O512" s="60"/>
      <c r="P512" s="59"/>
      <c r="Q512" s="59"/>
      <c r="R512" s="60"/>
      <c r="S512" s="60"/>
      <c r="T512" s="60"/>
      <c r="U512" s="60"/>
      <c r="V512" s="60"/>
      <c r="W512" s="60"/>
    </row>
    <row r="513" spans="1:23" ht="13" x14ac:dyDescent="0.3">
      <c r="A513" s="58"/>
      <c r="B513" s="58"/>
      <c r="C513" s="58"/>
      <c r="D513" s="58"/>
      <c r="E513" s="58"/>
      <c r="F513" s="58"/>
      <c r="G513" s="58"/>
      <c r="H513" s="59"/>
      <c r="I513" s="59"/>
      <c r="J513" s="59"/>
      <c r="K513" s="59"/>
      <c r="L513" s="59"/>
      <c r="M513" s="60"/>
      <c r="N513" s="60"/>
      <c r="O513" s="60"/>
      <c r="P513" s="59"/>
      <c r="Q513" s="59"/>
      <c r="R513" s="60"/>
      <c r="S513" s="60"/>
      <c r="T513" s="60"/>
      <c r="U513" s="60"/>
      <c r="V513" s="60"/>
      <c r="W513" s="60"/>
    </row>
    <row r="514" spans="1:23" ht="13" x14ac:dyDescent="0.3">
      <c r="A514" s="58"/>
      <c r="B514" s="58"/>
      <c r="C514" s="58"/>
      <c r="D514" s="58"/>
      <c r="E514" s="58"/>
      <c r="F514" s="58"/>
      <c r="G514" s="58"/>
      <c r="H514" s="59"/>
      <c r="I514" s="59"/>
      <c r="J514" s="59"/>
      <c r="K514" s="59"/>
      <c r="L514" s="59"/>
      <c r="M514" s="60"/>
      <c r="N514" s="60"/>
      <c r="O514" s="60"/>
      <c r="P514" s="59"/>
      <c r="Q514" s="59"/>
      <c r="R514" s="60"/>
      <c r="S514" s="60"/>
      <c r="T514" s="60"/>
      <c r="U514" s="60"/>
      <c r="V514" s="60"/>
      <c r="W514" s="60"/>
    </row>
    <row r="515" spans="1:23" ht="13" x14ac:dyDescent="0.3">
      <c r="A515" s="58"/>
      <c r="B515" s="58"/>
      <c r="C515" s="58"/>
      <c r="D515" s="58"/>
      <c r="E515" s="58"/>
      <c r="F515" s="58"/>
      <c r="G515" s="58"/>
      <c r="H515" s="59"/>
      <c r="I515" s="59"/>
      <c r="J515" s="59"/>
      <c r="K515" s="59"/>
      <c r="L515" s="59"/>
      <c r="M515" s="60"/>
      <c r="N515" s="60"/>
      <c r="O515" s="60"/>
      <c r="P515" s="59"/>
      <c r="Q515" s="59"/>
      <c r="R515" s="60"/>
      <c r="S515" s="60"/>
      <c r="T515" s="60"/>
      <c r="U515" s="60"/>
      <c r="V515" s="60"/>
      <c r="W515" s="60"/>
    </row>
    <row r="516" spans="1:23" ht="13" x14ac:dyDescent="0.3">
      <c r="A516" s="58"/>
      <c r="B516" s="58"/>
      <c r="C516" s="58"/>
      <c r="D516" s="58"/>
      <c r="E516" s="58"/>
      <c r="F516" s="58"/>
      <c r="G516" s="58"/>
      <c r="H516" s="59"/>
      <c r="I516" s="59"/>
      <c r="J516" s="59"/>
      <c r="K516" s="59"/>
      <c r="L516" s="59"/>
      <c r="M516" s="60"/>
      <c r="N516" s="60"/>
      <c r="O516" s="60"/>
      <c r="P516" s="59"/>
      <c r="Q516" s="59"/>
      <c r="R516" s="60"/>
      <c r="S516" s="60"/>
      <c r="T516" s="60"/>
      <c r="U516" s="60"/>
      <c r="V516" s="60"/>
      <c r="W516" s="60"/>
    </row>
    <row r="517" spans="1:23" ht="13" x14ac:dyDescent="0.3">
      <c r="A517" s="58"/>
      <c r="B517" s="58"/>
      <c r="C517" s="58"/>
      <c r="D517" s="58"/>
      <c r="E517" s="58"/>
      <c r="F517" s="58"/>
      <c r="G517" s="58"/>
      <c r="H517" s="59"/>
      <c r="I517" s="59"/>
      <c r="J517" s="59"/>
      <c r="K517" s="59"/>
      <c r="L517" s="59"/>
      <c r="M517" s="60"/>
      <c r="N517" s="60"/>
      <c r="O517" s="60"/>
      <c r="P517" s="59"/>
      <c r="Q517" s="59"/>
      <c r="R517" s="60"/>
      <c r="S517" s="60"/>
      <c r="T517" s="60"/>
      <c r="U517" s="60"/>
      <c r="V517" s="60"/>
      <c r="W517" s="60"/>
    </row>
    <row r="518" spans="1:23" ht="13" x14ac:dyDescent="0.3">
      <c r="A518" s="58"/>
      <c r="B518" s="58"/>
      <c r="C518" s="58"/>
      <c r="D518" s="58"/>
      <c r="E518" s="58"/>
      <c r="F518" s="58"/>
      <c r="G518" s="58"/>
      <c r="H518" s="59"/>
      <c r="I518" s="59"/>
      <c r="J518" s="59"/>
      <c r="K518" s="59"/>
      <c r="L518" s="59"/>
      <c r="M518" s="60"/>
      <c r="N518" s="60"/>
      <c r="O518" s="60"/>
      <c r="P518" s="59"/>
      <c r="Q518" s="59"/>
      <c r="R518" s="60"/>
      <c r="S518" s="60"/>
      <c r="T518" s="60"/>
      <c r="U518" s="60"/>
      <c r="V518" s="60"/>
      <c r="W518" s="60"/>
    </row>
    <row r="519" spans="1:23" ht="13" x14ac:dyDescent="0.3">
      <c r="A519" s="58"/>
      <c r="B519" s="58"/>
      <c r="C519" s="58"/>
      <c r="D519" s="58"/>
      <c r="E519" s="58"/>
      <c r="F519" s="58"/>
      <c r="G519" s="58"/>
      <c r="H519" s="59"/>
      <c r="I519" s="59"/>
      <c r="J519" s="59"/>
      <c r="K519" s="59"/>
      <c r="L519" s="59"/>
      <c r="M519" s="60"/>
      <c r="N519" s="60"/>
      <c r="O519" s="60"/>
      <c r="P519" s="59"/>
      <c r="Q519" s="59"/>
      <c r="R519" s="60"/>
      <c r="S519" s="60"/>
      <c r="T519" s="60"/>
      <c r="U519" s="60"/>
      <c r="V519" s="60"/>
      <c r="W519" s="60"/>
    </row>
    <row r="520" spans="1:23" ht="13" x14ac:dyDescent="0.3">
      <c r="A520" s="58"/>
      <c r="B520" s="58"/>
      <c r="C520" s="58"/>
      <c r="D520" s="58"/>
      <c r="E520" s="58"/>
      <c r="F520" s="58"/>
      <c r="G520" s="58"/>
      <c r="H520" s="59"/>
      <c r="I520" s="59"/>
      <c r="J520" s="59"/>
      <c r="K520" s="59"/>
      <c r="L520" s="59"/>
      <c r="M520" s="60"/>
      <c r="N520" s="60"/>
      <c r="O520" s="60"/>
      <c r="P520" s="59"/>
      <c r="Q520" s="59"/>
      <c r="R520" s="60"/>
      <c r="S520" s="60"/>
      <c r="T520" s="60"/>
      <c r="U520" s="60"/>
      <c r="V520" s="60"/>
      <c r="W520" s="60"/>
    </row>
    <row r="521" spans="1:23" ht="13" x14ac:dyDescent="0.3">
      <c r="A521" s="58"/>
      <c r="B521" s="58"/>
      <c r="C521" s="58"/>
      <c r="D521" s="58"/>
      <c r="E521" s="58"/>
      <c r="F521" s="58"/>
      <c r="G521" s="58"/>
      <c r="H521" s="59"/>
      <c r="I521" s="59"/>
      <c r="J521" s="59"/>
      <c r="K521" s="59"/>
      <c r="L521" s="59"/>
      <c r="M521" s="60"/>
      <c r="N521" s="60"/>
      <c r="O521" s="60"/>
      <c r="P521" s="59"/>
      <c r="Q521" s="59"/>
      <c r="R521" s="60"/>
      <c r="S521" s="60"/>
      <c r="T521" s="60"/>
      <c r="U521" s="60"/>
      <c r="V521" s="60"/>
      <c r="W521" s="60"/>
    </row>
    <row r="522" spans="1:23" ht="13" x14ac:dyDescent="0.3">
      <c r="A522" s="58"/>
      <c r="B522" s="58"/>
      <c r="C522" s="58"/>
      <c r="D522" s="58"/>
      <c r="E522" s="58"/>
      <c r="F522" s="58"/>
      <c r="G522" s="58"/>
      <c r="H522" s="59"/>
      <c r="I522" s="59"/>
      <c r="J522" s="59"/>
      <c r="K522" s="59"/>
      <c r="L522" s="59"/>
      <c r="M522" s="60"/>
      <c r="N522" s="60"/>
      <c r="O522" s="60"/>
      <c r="P522" s="59"/>
      <c r="Q522" s="59"/>
      <c r="R522" s="60"/>
      <c r="S522" s="60"/>
      <c r="T522" s="60"/>
      <c r="U522" s="60"/>
      <c r="V522" s="60"/>
      <c r="W522" s="60"/>
    </row>
    <row r="523" spans="1:23" ht="13" x14ac:dyDescent="0.3">
      <c r="A523" s="58"/>
      <c r="B523" s="58"/>
      <c r="C523" s="58"/>
      <c r="D523" s="58"/>
      <c r="E523" s="58"/>
      <c r="F523" s="58"/>
      <c r="G523" s="58"/>
      <c r="H523" s="59"/>
      <c r="I523" s="59"/>
      <c r="J523" s="59"/>
      <c r="K523" s="59"/>
      <c r="L523" s="59"/>
      <c r="M523" s="60"/>
      <c r="N523" s="60"/>
      <c r="O523" s="60"/>
      <c r="P523" s="59"/>
      <c r="Q523" s="59"/>
      <c r="R523" s="60"/>
      <c r="S523" s="60"/>
      <c r="T523" s="60"/>
      <c r="U523" s="60"/>
      <c r="V523" s="60"/>
      <c r="W523" s="60"/>
    </row>
    <row r="524" spans="1:23" ht="13" x14ac:dyDescent="0.3">
      <c r="A524" s="58"/>
      <c r="B524" s="58"/>
      <c r="C524" s="58"/>
      <c r="D524" s="58"/>
      <c r="E524" s="58"/>
      <c r="F524" s="58"/>
      <c r="G524" s="58"/>
      <c r="H524" s="59"/>
      <c r="I524" s="59"/>
      <c r="J524" s="59"/>
      <c r="K524" s="59"/>
      <c r="L524" s="59"/>
      <c r="M524" s="60"/>
      <c r="N524" s="60"/>
      <c r="O524" s="60"/>
      <c r="P524" s="59"/>
      <c r="Q524" s="59"/>
      <c r="R524" s="60"/>
      <c r="S524" s="60"/>
      <c r="T524" s="60"/>
      <c r="U524" s="60"/>
      <c r="V524" s="60"/>
      <c r="W524" s="60"/>
    </row>
    <row r="525" spans="1:23" ht="13" x14ac:dyDescent="0.3">
      <c r="A525" s="58"/>
      <c r="B525" s="58"/>
      <c r="C525" s="58"/>
      <c r="D525" s="58"/>
      <c r="E525" s="58"/>
      <c r="F525" s="58"/>
      <c r="G525" s="58"/>
      <c r="H525" s="59"/>
      <c r="I525" s="59"/>
      <c r="J525" s="59"/>
      <c r="K525" s="59"/>
      <c r="L525" s="59"/>
      <c r="M525" s="60"/>
      <c r="N525" s="60"/>
      <c r="O525" s="60"/>
      <c r="P525" s="59"/>
      <c r="Q525" s="59"/>
      <c r="R525" s="60"/>
      <c r="S525" s="60"/>
      <c r="T525" s="60"/>
      <c r="U525" s="60"/>
      <c r="V525" s="60"/>
      <c r="W525" s="60"/>
    </row>
    <row r="526" spans="1:23" ht="13" x14ac:dyDescent="0.3">
      <c r="A526" s="58"/>
      <c r="B526" s="58"/>
      <c r="C526" s="58"/>
      <c r="D526" s="58"/>
      <c r="E526" s="58"/>
      <c r="F526" s="58"/>
      <c r="G526" s="58"/>
      <c r="H526" s="59"/>
      <c r="I526" s="59"/>
      <c r="J526" s="59"/>
      <c r="K526" s="59"/>
      <c r="L526" s="59"/>
      <c r="M526" s="60"/>
      <c r="N526" s="60"/>
      <c r="O526" s="60"/>
      <c r="P526" s="59"/>
      <c r="Q526" s="59"/>
      <c r="R526" s="60"/>
      <c r="S526" s="60"/>
      <c r="T526" s="60"/>
      <c r="U526" s="60"/>
      <c r="V526" s="60"/>
      <c r="W526" s="60"/>
    </row>
    <row r="527" spans="1:23" ht="13" x14ac:dyDescent="0.3">
      <c r="A527" s="58"/>
      <c r="B527" s="58"/>
      <c r="C527" s="58"/>
      <c r="D527" s="58"/>
      <c r="E527" s="58"/>
      <c r="F527" s="58"/>
      <c r="G527" s="58"/>
      <c r="H527" s="59"/>
      <c r="I527" s="59"/>
      <c r="J527" s="59"/>
      <c r="K527" s="59"/>
      <c r="L527" s="59"/>
      <c r="M527" s="60"/>
      <c r="N527" s="60"/>
      <c r="O527" s="60"/>
      <c r="P527" s="59"/>
      <c r="Q527" s="59"/>
      <c r="R527" s="60"/>
      <c r="S527" s="60"/>
      <c r="T527" s="60"/>
      <c r="U527" s="60"/>
      <c r="V527" s="60"/>
      <c r="W527" s="60"/>
    </row>
    <row r="528" spans="1:23" ht="13" x14ac:dyDescent="0.3">
      <c r="A528" s="58"/>
      <c r="B528" s="58"/>
      <c r="C528" s="58"/>
      <c r="D528" s="58"/>
      <c r="E528" s="58"/>
      <c r="F528" s="58"/>
      <c r="G528" s="58"/>
      <c r="H528" s="59"/>
      <c r="I528" s="59"/>
      <c r="J528" s="59"/>
      <c r="K528" s="59"/>
      <c r="L528" s="59"/>
      <c r="M528" s="60"/>
      <c r="N528" s="60"/>
      <c r="O528" s="60"/>
      <c r="P528" s="59"/>
      <c r="Q528" s="59"/>
      <c r="R528" s="60"/>
      <c r="S528" s="60"/>
      <c r="T528" s="60"/>
      <c r="U528" s="60"/>
      <c r="V528" s="60"/>
      <c r="W528" s="60"/>
    </row>
    <row r="529" spans="1:23" ht="13" x14ac:dyDescent="0.3">
      <c r="A529" s="58"/>
      <c r="B529" s="58"/>
      <c r="C529" s="58"/>
      <c r="D529" s="58"/>
      <c r="E529" s="58"/>
      <c r="F529" s="58"/>
      <c r="G529" s="58"/>
      <c r="H529" s="59"/>
      <c r="I529" s="59"/>
      <c r="J529" s="59"/>
      <c r="K529" s="59"/>
      <c r="L529" s="59"/>
      <c r="M529" s="60"/>
      <c r="N529" s="60"/>
      <c r="O529" s="60"/>
      <c r="P529" s="59"/>
      <c r="Q529" s="59"/>
      <c r="R529" s="60"/>
      <c r="S529" s="60"/>
      <c r="T529" s="60"/>
      <c r="U529" s="60"/>
      <c r="V529" s="60"/>
      <c r="W529" s="60"/>
    </row>
    <row r="530" spans="1:23" ht="13" x14ac:dyDescent="0.3">
      <c r="A530" s="58"/>
      <c r="B530" s="58"/>
      <c r="C530" s="58"/>
      <c r="D530" s="58"/>
      <c r="E530" s="58"/>
      <c r="F530" s="58"/>
      <c r="G530" s="58"/>
      <c r="H530" s="59"/>
      <c r="I530" s="59"/>
      <c r="J530" s="59"/>
      <c r="K530" s="59"/>
      <c r="L530" s="59"/>
      <c r="M530" s="60"/>
      <c r="N530" s="60"/>
      <c r="O530" s="60"/>
      <c r="P530" s="59"/>
      <c r="Q530" s="59"/>
      <c r="R530" s="60"/>
      <c r="S530" s="60"/>
      <c r="T530" s="60"/>
      <c r="U530" s="60"/>
      <c r="V530" s="60"/>
      <c r="W530" s="60"/>
    </row>
    <row r="531" spans="1:23" ht="13" x14ac:dyDescent="0.3">
      <c r="A531" s="58"/>
      <c r="B531" s="58"/>
      <c r="C531" s="58"/>
      <c r="D531" s="58"/>
      <c r="E531" s="58"/>
      <c r="F531" s="58"/>
      <c r="G531" s="58"/>
      <c r="H531" s="59"/>
      <c r="I531" s="59"/>
      <c r="J531" s="59"/>
      <c r="K531" s="59"/>
      <c r="L531" s="59"/>
      <c r="M531" s="60"/>
      <c r="N531" s="60"/>
      <c r="O531" s="60"/>
      <c r="P531" s="59"/>
      <c r="Q531" s="59"/>
      <c r="R531" s="60"/>
      <c r="S531" s="60"/>
      <c r="T531" s="60"/>
      <c r="U531" s="60"/>
      <c r="V531" s="60"/>
      <c r="W531" s="60"/>
    </row>
    <row r="532" spans="1:23" ht="13" x14ac:dyDescent="0.3">
      <c r="A532" s="58"/>
      <c r="B532" s="58"/>
      <c r="C532" s="58"/>
      <c r="D532" s="58"/>
      <c r="E532" s="58"/>
      <c r="F532" s="58"/>
      <c r="G532" s="58"/>
      <c r="H532" s="59"/>
      <c r="I532" s="59"/>
      <c r="J532" s="59"/>
      <c r="K532" s="59"/>
      <c r="L532" s="59"/>
      <c r="M532" s="60"/>
      <c r="N532" s="60"/>
      <c r="O532" s="60"/>
      <c r="P532" s="59"/>
      <c r="Q532" s="59"/>
      <c r="R532" s="60"/>
      <c r="S532" s="60"/>
      <c r="T532" s="60"/>
      <c r="U532" s="60"/>
      <c r="V532" s="60"/>
      <c r="W532" s="60"/>
    </row>
    <row r="533" spans="1:23" ht="13" x14ac:dyDescent="0.3">
      <c r="A533" s="58"/>
      <c r="B533" s="58"/>
      <c r="C533" s="58"/>
      <c r="D533" s="58"/>
      <c r="E533" s="58"/>
      <c r="F533" s="58"/>
      <c r="G533" s="58"/>
      <c r="H533" s="59"/>
      <c r="I533" s="59"/>
      <c r="J533" s="59"/>
      <c r="K533" s="59"/>
      <c r="L533" s="59"/>
      <c r="M533" s="60"/>
      <c r="N533" s="60"/>
      <c r="O533" s="60"/>
      <c r="P533" s="59"/>
      <c r="Q533" s="59"/>
      <c r="R533" s="60"/>
      <c r="S533" s="60"/>
      <c r="T533" s="60"/>
      <c r="U533" s="60"/>
      <c r="V533" s="60"/>
      <c r="W533" s="60"/>
    </row>
    <row r="534" spans="1:23" ht="13" x14ac:dyDescent="0.3">
      <c r="A534" s="58"/>
      <c r="B534" s="58"/>
      <c r="C534" s="58"/>
      <c r="D534" s="58"/>
      <c r="E534" s="58"/>
      <c r="F534" s="58"/>
      <c r="G534" s="58"/>
      <c r="H534" s="59"/>
      <c r="I534" s="59"/>
      <c r="J534" s="59"/>
      <c r="K534" s="59"/>
      <c r="L534" s="59"/>
      <c r="M534" s="60"/>
      <c r="N534" s="60"/>
      <c r="O534" s="60"/>
      <c r="P534" s="59"/>
      <c r="Q534" s="59"/>
      <c r="R534" s="60"/>
      <c r="S534" s="60"/>
      <c r="T534" s="60"/>
      <c r="U534" s="60"/>
      <c r="V534" s="60"/>
      <c r="W534" s="60"/>
    </row>
    <row r="535" spans="1:23" ht="13" x14ac:dyDescent="0.3">
      <c r="A535" s="58"/>
      <c r="B535" s="58"/>
      <c r="C535" s="58"/>
      <c r="D535" s="58"/>
      <c r="E535" s="58"/>
      <c r="F535" s="58"/>
      <c r="G535" s="58"/>
      <c r="H535" s="59"/>
      <c r="I535" s="59"/>
      <c r="J535" s="59"/>
      <c r="K535" s="59"/>
      <c r="L535" s="59"/>
      <c r="M535" s="60"/>
      <c r="N535" s="60"/>
      <c r="O535" s="60"/>
      <c r="P535" s="59"/>
      <c r="Q535" s="59"/>
      <c r="R535" s="60"/>
      <c r="S535" s="60"/>
      <c r="T535" s="60"/>
      <c r="U535" s="60"/>
      <c r="V535" s="60"/>
      <c r="W535" s="60"/>
    </row>
    <row r="536" spans="1:23" ht="13" x14ac:dyDescent="0.3">
      <c r="A536" s="58"/>
      <c r="B536" s="58"/>
      <c r="C536" s="58"/>
      <c r="D536" s="58"/>
      <c r="E536" s="58"/>
      <c r="F536" s="58"/>
      <c r="G536" s="58"/>
      <c r="H536" s="59"/>
      <c r="I536" s="59"/>
      <c r="J536" s="59"/>
      <c r="K536" s="59"/>
      <c r="L536" s="59"/>
      <c r="M536" s="60"/>
      <c r="N536" s="60"/>
      <c r="O536" s="60"/>
      <c r="P536" s="59"/>
      <c r="Q536" s="59"/>
      <c r="R536" s="60"/>
      <c r="S536" s="60"/>
      <c r="T536" s="60"/>
      <c r="U536" s="60"/>
      <c r="V536" s="60"/>
      <c r="W536" s="60"/>
    </row>
    <row r="537" spans="1:23" ht="13" x14ac:dyDescent="0.3">
      <c r="A537" s="58"/>
      <c r="B537" s="58"/>
      <c r="C537" s="58"/>
      <c r="D537" s="58"/>
      <c r="E537" s="58"/>
      <c r="F537" s="58"/>
      <c r="G537" s="58"/>
      <c r="H537" s="59"/>
      <c r="I537" s="59"/>
      <c r="J537" s="59"/>
      <c r="K537" s="59"/>
      <c r="L537" s="59"/>
      <c r="M537" s="60"/>
      <c r="N537" s="60"/>
      <c r="O537" s="60"/>
      <c r="P537" s="59"/>
      <c r="Q537" s="59"/>
      <c r="R537" s="60"/>
      <c r="S537" s="60"/>
      <c r="T537" s="60"/>
      <c r="U537" s="60"/>
      <c r="V537" s="60"/>
      <c r="W537" s="60"/>
    </row>
    <row r="538" spans="1:23" ht="13" x14ac:dyDescent="0.3">
      <c r="A538" s="58"/>
      <c r="B538" s="58"/>
      <c r="C538" s="58"/>
      <c r="D538" s="58"/>
      <c r="E538" s="58"/>
      <c r="F538" s="58"/>
      <c r="G538" s="58"/>
      <c r="H538" s="59"/>
      <c r="I538" s="59"/>
      <c r="J538" s="59"/>
      <c r="K538" s="59"/>
      <c r="L538" s="59"/>
      <c r="M538" s="60"/>
      <c r="N538" s="60"/>
      <c r="O538" s="60"/>
      <c r="P538" s="59"/>
      <c r="Q538" s="59"/>
      <c r="R538" s="60"/>
      <c r="S538" s="60"/>
      <c r="T538" s="60"/>
      <c r="U538" s="60"/>
      <c r="V538" s="60"/>
      <c r="W538" s="60"/>
    </row>
    <row r="539" spans="1:23" ht="13" x14ac:dyDescent="0.3">
      <c r="A539" s="58"/>
      <c r="B539" s="58"/>
      <c r="C539" s="58"/>
      <c r="D539" s="58"/>
      <c r="E539" s="58"/>
      <c r="F539" s="58"/>
      <c r="G539" s="58"/>
      <c r="H539" s="59"/>
      <c r="I539" s="59"/>
      <c r="J539" s="59"/>
      <c r="K539" s="59"/>
      <c r="L539" s="59"/>
      <c r="M539" s="60"/>
      <c r="N539" s="60"/>
      <c r="O539" s="60"/>
      <c r="P539" s="59"/>
      <c r="Q539" s="59"/>
      <c r="R539" s="60"/>
      <c r="S539" s="60"/>
      <c r="T539" s="60"/>
      <c r="U539" s="60"/>
      <c r="V539" s="60"/>
      <c r="W539" s="60"/>
    </row>
    <row r="540" spans="1:23" ht="13" x14ac:dyDescent="0.3">
      <c r="A540" s="58"/>
      <c r="B540" s="58"/>
      <c r="C540" s="58"/>
      <c r="D540" s="58"/>
      <c r="E540" s="58"/>
      <c r="F540" s="58"/>
      <c r="G540" s="58"/>
      <c r="H540" s="59"/>
      <c r="I540" s="59"/>
      <c r="J540" s="59"/>
      <c r="K540" s="59"/>
      <c r="L540" s="59"/>
      <c r="M540" s="60"/>
      <c r="N540" s="60"/>
      <c r="O540" s="60"/>
      <c r="P540" s="59"/>
      <c r="Q540" s="59"/>
      <c r="R540" s="60"/>
      <c r="S540" s="60"/>
      <c r="T540" s="60"/>
      <c r="U540" s="60"/>
      <c r="V540" s="60"/>
      <c r="W540" s="60"/>
    </row>
    <row r="541" spans="1:23" ht="13" x14ac:dyDescent="0.3">
      <c r="A541" s="58"/>
      <c r="B541" s="58"/>
      <c r="C541" s="58"/>
      <c r="D541" s="58"/>
      <c r="E541" s="58"/>
      <c r="F541" s="58"/>
      <c r="G541" s="58"/>
      <c r="H541" s="59"/>
      <c r="I541" s="59"/>
      <c r="J541" s="59"/>
      <c r="K541" s="59"/>
      <c r="L541" s="59"/>
      <c r="M541" s="60"/>
      <c r="N541" s="60"/>
      <c r="O541" s="60"/>
      <c r="P541" s="59"/>
      <c r="Q541" s="59"/>
      <c r="R541" s="60"/>
      <c r="S541" s="60"/>
      <c r="T541" s="60"/>
      <c r="U541" s="60"/>
      <c r="V541" s="60"/>
      <c r="W541" s="60"/>
    </row>
    <row r="542" spans="1:23" ht="13" x14ac:dyDescent="0.3">
      <c r="A542" s="58"/>
      <c r="B542" s="58"/>
      <c r="C542" s="58"/>
      <c r="D542" s="58"/>
      <c r="E542" s="58"/>
      <c r="F542" s="58"/>
      <c r="G542" s="58"/>
      <c r="H542" s="59"/>
      <c r="I542" s="59"/>
      <c r="J542" s="59"/>
      <c r="K542" s="59"/>
      <c r="L542" s="59"/>
      <c r="M542" s="60"/>
      <c r="N542" s="60"/>
      <c r="O542" s="60"/>
      <c r="P542" s="59"/>
      <c r="Q542" s="59"/>
      <c r="R542" s="60"/>
      <c r="S542" s="60"/>
      <c r="T542" s="60"/>
      <c r="U542" s="60"/>
      <c r="V542" s="60"/>
      <c r="W542" s="60"/>
    </row>
    <row r="543" spans="1:23" ht="13" x14ac:dyDescent="0.3">
      <c r="A543" s="58"/>
      <c r="B543" s="58"/>
      <c r="C543" s="58"/>
      <c r="D543" s="58"/>
      <c r="E543" s="58"/>
      <c r="F543" s="58"/>
      <c r="G543" s="58"/>
      <c r="H543" s="59"/>
      <c r="I543" s="59"/>
      <c r="J543" s="59"/>
      <c r="K543" s="59"/>
      <c r="L543" s="59"/>
      <c r="M543" s="60"/>
      <c r="N543" s="60"/>
      <c r="O543" s="60"/>
      <c r="P543" s="59"/>
      <c r="Q543" s="59"/>
      <c r="R543" s="60"/>
      <c r="S543" s="60"/>
      <c r="T543" s="60"/>
      <c r="U543" s="60"/>
      <c r="V543" s="60"/>
      <c r="W543" s="60"/>
    </row>
    <row r="544" spans="1:23" ht="13" x14ac:dyDescent="0.3">
      <c r="A544" s="58"/>
      <c r="B544" s="58"/>
      <c r="C544" s="58"/>
      <c r="D544" s="58"/>
      <c r="E544" s="58"/>
      <c r="F544" s="58"/>
      <c r="G544" s="58"/>
      <c r="H544" s="59"/>
      <c r="I544" s="59"/>
      <c r="J544" s="59"/>
      <c r="K544" s="59"/>
      <c r="L544" s="59"/>
      <c r="M544" s="60"/>
      <c r="N544" s="60"/>
      <c r="O544" s="60"/>
      <c r="P544" s="59"/>
      <c r="Q544" s="59"/>
      <c r="R544" s="60"/>
      <c r="S544" s="60"/>
      <c r="T544" s="60"/>
      <c r="U544" s="60"/>
      <c r="V544" s="60"/>
      <c r="W544" s="60"/>
    </row>
    <row r="545" spans="1:23" ht="13" x14ac:dyDescent="0.3">
      <c r="A545" s="58"/>
      <c r="B545" s="58"/>
      <c r="C545" s="58"/>
      <c r="D545" s="58"/>
      <c r="E545" s="58"/>
      <c r="F545" s="58"/>
      <c r="G545" s="58"/>
      <c r="H545" s="59"/>
      <c r="I545" s="59"/>
      <c r="J545" s="59"/>
      <c r="K545" s="59"/>
      <c r="L545" s="59"/>
      <c r="M545" s="60"/>
      <c r="N545" s="60"/>
      <c r="O545" s="60"/>
      <c r="P545" s="59"/>
      <c r="Q545" s="59"/>
      <c r="R545" s="60"/>
      <c r="S545" s="60"/>
      <c r="T545" s="60"/>
      <c r="U545" s="60"/>
      <c r="V545" s="60"/>
      <c r="W545" s="60"/>
    </row>
    <row r="546" spans="1:23" ht="13" x14ac:dyDescent="0.3">
      <c r="A546" s="58"/>
      <c r="B546" s="58"/>
      <c r="C546" s="58"/>
      <c r="D546" s="58"/>
      <c r="E546" s="58"/>
      <c r="F546" s="58"/>
      <c r="G546" s="58"/>
      <c r="H546" s="59"/>
      <c r="I546" s="59"/>
      <c r="J546" s="59"/>
      <c r="K546" s="59"/>
      <c r="L546" s="59"/>
      <c r="M546" s="60"/>
      <c r="N546" s="60"/>
      <c r="O546" s="60"/>
      <c r="P546" s="59"/>
      <c r="Q546" s="59"/>
      <c r="R546" s="60"/>
      <c r="S546" s="60"/>
      <c r="T546" s="60"/>
      <c r="U546" s="60"/>
      <c r="V546" s="60"/>
      <c r="W546" s="60"/>
    </row>
    <row r="547" spans="1:23" ht="13" x14ac:dyDescent="0.3">
      <c r="A547" s="58"/>
      <c r="B547" s="58"/>
      <c r="C547" s="58"/>
      <c r="D547" s="58"/>
      <c r="E547" s="58"/>
      <c r="F547" s="58"/>
      <c r="G547" s="58"/>
      <c r="H547" s="59"/>
      <c r="I547" s="59"/>
      <c r="J547" s="59"/>
      <c r="K547" s="59"/>
      <c r="L547" s="59"/>
      <c r="M547" s="60"/>
      <c r="N547" s="60"/>
      <c r="O547" s="60"/>
      <c r="P547" s="59"/>
      <c r="Q547" s="59"/>
      <c r="R547" s="60"/>
      <c r="S547" s="60"/>
      <c r="T547" s="60"/>
      <c r="U547" s="60"/>
      <c r="V547" s="60"/>
      <c r="W547" s="60"/>
    </row>
    <row r="548" spans="1:23" ht="13" x14ac:dyDescent="0.3">
      <c r="A548" s="58"/>
      <c r="B548" s="58"/>
      <c r="C548" s="58"/>
      <c r="D548" s="58"/>
      <c r="E548" s="58"/>
      <c r="F548" s="58"/>
      <c r="G548" s="58"/>
      <c r="H548" s="59"/>
      <c r="I548" s="59"/>
      <c r="J548" s="59"/>
      <c r="K548" s="59"/>
      <c r="L548" s="59"/>
      <c r="M548" s="60"/>
      <c r="N548" s="60"/>
      <c r="O548" s="60"/>
      <c r="P548" s="59"/>
      <c r="Q548" s="59"/>
      <c r="R548" s="60"/>
      <c r="S548" s="60"/>
      <c r="T548" s="60"/>
      <c r="U548" s="60"/>
      <c r="V548" s="60"/>
      <c r="W548" s="60"/>
    </row>
    <row r="549" spans="1:23" ht="13" x14ac:dyDescent="0.3">
      <c r="A549" s="58"/>
      <c r="B549" s="58"/>
      <c r="C549" s="58"/>
      <c r="D549" s="58"/>
      <c r="E549" s="58"/>
      <c r="F549" s="58"/>
      <c r="G549" s="58"/>
      <c r="H549" s="59"/>
      <c r="I549" s="59"/>
      <c r="J549" s="59"/>
      <c r="K549" s="59"/>
      <c r="L549" s="59"/>
      <c r="M549" s="60"/>
      <c r="N549" s="60"/>
      <c r="O549" s="60"/>
      <c r="P549" s="59"/>
      <c r="Q549" s="59"/>
      <c r="R549" s="60"/>
      <c r="S549" s="60"/>
      <c r="T549" s="60"/>
      <c r="U549" s="60"/>
      <c r="V549" s="60"/>
      <c r="W549" s="60"/>
    </row>
    <row r="550" spans="1:23" ht="13" x14ac:dyDescent="0.3">
      <c r="A550" s="58"/>
      <c r="B550" s="58"/>
      <c r="C550" s="58"/>
      <c r="D550" s="58"/>
      <c r="E550" s="58"/>
      <c r="F550" s="58"/>
      <c r="G550" s="58"/>
      <c r="H550" s="59"/>
      <c r="I550" s="59"/>
      <c r="J550" s="59"/>
      <c r="K550" s="59"/>
      <c r="L550" s="59"/>
      <c r="M550" s="60"/>
      <c r="N550" s="60"/>
      <c r="O550" s="60"/>
      <c r="P550" s="59"/>
      <c r="Q550" s="59"/>
      <c r="R550" s="60"/>
      <c r="S550" s="60"/>
      <c r="T550" s="60"/>
      <c r="U550" s="60"/>
      <c r="V550" s="60"/>
      <c r="W550" s="60"/>
    </row>
    <row r="551" spans="1:23" ht="13" x14ac:dyDescent="0.3">
      <c r="A551" s="58"/>
      <c r="B551" s="58"/>
      <c r="C551" s="58"/>
      <c r="D551" s="58"/>
      <c r="E551" s="58"/>
      <c r="F551" s="58"/>
      <c r="G551" s="58"/>
      <c r="H551" s="59"/>
      <c r="I551" s="59"/>
      <c r="J551" s="59"/>
      <c r="K551" s="59"/>
      <c r="L551" s="59"/>
      <c r="M551" s="60"/>
      <c r="N551" s="60"/>
      <c r="O551" s="60"/>
      <c r="P551" s="59"/>
      <c r="Q551" s="59"/>
      <c r="R551" s="60"/>
      <c r="S551" s="60"/>
      <c r="T551" s="60"/>
      <c r="U551" s="60"/>
      <c r="V551" s="60"/>
      <c r="W551" s="60"/>
    </row>
    <row r="552" spans="1:23" ht="13" x14ac:dyDescent="0.3">
      <c r="A552" s="58"/>
      <c r="B552" s="58"/>
      <c r="C552" s="58"/>
      <c r="D552" s="58"/>
      <c r="E552" s="58"/>
      <c r="F552" s="58"/>
      <c r="G552" s="58"/>
      <c r="H552" s="59"/>
      <c r="I552" s="59"/>
      <c r="J552" s="59"/>
      <c r="K552" s="59"/>
      <c r="L552" s="59"/>
      <c r="M552" s="60"/>
      <c r="N552" s="60"/>
      <c r="O552" s="60"/>
      <c r="P552" s="59"/>
      <c r="Q552" s="59"/>
      <c r="R552" s="60"/>
      <c r="S552" s="60"/>
      <c r="T552" s="60"/>
      <c r="U552" s="60"/>
      <c r="V552" s="60"/>
      <c r="W552" s="60"/>
    </row>
    <row r="553" spans="1:23" ht="13" x14ac:dyDescent="0.3">
      <c r="A553" s="58"/>
      <c r="B553" s="58"/>
      <c r="C553" s="58"/>
      <c r="D553" s="58"/>
      <c r="E553" s="58"/>
      <c r="F553" s="58"/>
      <c r="G553" s="58"/>
      <c r="H553" s="59"/>
      <c r="I553" s="59"/>
      <c r="J553" s="59"/>
      <c r="K553" s="59"/>
      <c r="L553" s="59"/>
      <c r="M553" s="60"/>
      <c r="N553" s="60"/>
      <c r="O553" s="60"/>
      <c r="P553" s="59"/>
      <c r="Q553" s="59"/>
      <c r="R553" s="60"/>
      <c r="S553" s="60"/>
      <c r="T553" s="60"/>
      <c r="U553" s="60"/>
      <c r="V553" s="60"/>
      <c r="W553" s="60"/>
    </row>
    <row r="554" spans="1:23" ht="13" x14ac:dyDescent="0.3">
      <c r="A554" s="58"/>
      <c r="B554" s="58"/>
      <c r="C554" s="58"/>
      <c r="D554" s="58"/>
      <c r="E554" s="58"/>
      <c r="F554" s="58"/>
      <c r="G554" s="58"/>
      <c r="H554" s="59"/>
      <c r="I554" s="59"/>
      <c r="J554" s="59"/>
      <c r="K554" s="59"/>
      <c r="L554" s="59"/>
      <c r="M554" s="60"/>
      <c r="N554" s="60"/>
      <c r="O554" s="60"/>
      <c r="P554" s="59"/>
      <c r="Q554" s="59"/>
      <c r="R554" s="60"/>
      <c r="S554" s="60"/>
      <c r="T554" s="60"/>
      <c r="U554" s="60"/>
      <c r="V554" s="60"/>
      <c r="W554" s="60"/>
    </row>
    <row r="555" spans="1:23" ht="13" x14ac:dyDescent="0.3">
      <c r="A555" s="58"/>
      <c r="B555" s="58"/>
      <c r="C555" s="58"/>
      <c r="D555" s="58"/>
      <c r="E555" s="58"/>
      <c r="F555" s="58"/>
      <c r="G555" s="58"/>
      <c r="H555" s="59"/>
      <c r="I555" s="59"/>
      <c r="J555" s="59"/>
      <c r="K555" s="59"/>
      <c r="L555" s="59"/>
      <c r="M555" s="60"/>
      <c r="N555" s="60"/>
      <c r="O555" s="60"/>
      <c r="P555" s="59"/>
      <c r="Q555" s="59"/>
      <c r="R555" s="60"/>
      <c r="S555" s="60"/>
      <c r="T555" s="60"/>
      <c r="U555" s="60"/>
      <c r="V555" s="60"/>
      <c r="W555" s="60"/>
    </row>
    <row r="556" spans="1:23" ht="13" x14ac:dyDescent="0.3">
      <c r="A556" s="58"/>
      <c r="B556" s="58"/>
      <c r="C556" s="58"/>
      <c r="D556" s="58"/>
      <c r="E556" s="58"/>
      <c r="F556" s="58"/>
      <c r="G556" s="58"/>
      <c r="H556" s="59"/>
      <c r="I556" s="59"/>
      <c r="J556" s="59"/>
      <c r="K556" s="59"/>
      <c r="L556" s="59"/>
      <c r="M556" s="60"/>
      <c r="N556" s="60"/>
      <c r="O556" s="60"/>
      <c r="P556" s="59"/>
      <c r="Q556" s="59"/>
      <c r="R556" s="60"/>
      <c r="S556" s="60"/>
      <c r="T556" s="60"/>
      <c r="U556" s="60"/>
      <c r="V556" s="60"/>
      <c r="W556" s="60"/>
    </row>
    <row r="557" spans="1:23" ht="13" x14ac:dyDescent="0.3">
      <c r="A557" s="58"/>
      <c r="B557" s="58"/>
      <c r="C557" s="58"/>
      <c r="D557" s="58"/>
      <c r="E557" s="58"/>
      <c r="F557" s="58"/>
      <c r="G557" s="58"/>
      <c r="H557" s="59"/>
      <c r="I557" s="59"/>
      <c r="J557" s="59"/>
      <c r="K557" s="59"/>
      <c r="L557" s="59"/>
      <c r="M557" s="60"/>
      <c r="N557" s="60"/>
      <c r="O557" s="60"/>
      <c r="P557" s="59"/>
      <c r="Q557" s="59"/>
      <c r="R557" s="60"/>
      <c r="S557" s="60"/>
      <c r="T557" s="60"/>
      <c r="U557" s="60"/>
      <c r="V557" s="60"/>
      <c r="W557" s="60"/>
    </row>
    <row r="558" spans="1:23" ht="13" x14ac:dyDescent="0.3">
      <c r="A558" s="58"/>
      <c r="B558" s="58"/>
      <c r="C558" s="58"/>
      <c r="D558" s="58"/>
      <c r="E558" s="58"/>
      <c r="F558" s="58"/>
      <c r="G558" s="58"/>
      <c r="H558" s="59"/>
      <c r="I558" s="59"/>
      <c r="J558" s="59"/>
      <c r="K558" s="59"/>
      <c r="L558" s="59"/>
      <c r="M558" s="60"/>
      <c r="N558" s="60"/>
      <c r="O558" s="60"/>
      <c r="P558" s="59"/>
      <c r="Q558" s="59"/>
      <c r="R558" s="60"/>
      <c r="S558" s="60"/>
      <c r="T558" s="60"/>
      <c r="U558" s="60"/>
      <c r="V558" s="60"/>
      <c r="W558" s="60"/>
    </row>
    <row r="559" spans="1:23" ht="13" x14ac:dyDescent="0.3">
      <c r="A559" s="58"/>
      <c r="B559" s="58"/>
      <c r="C559" s="58"/>
      <c r="D559" s="58"/>
      <c r="E559" s="58"/>
      <c r="F559" s="58"/>
      <c r="G559" s="58"/>
      <c r="H559" s="59"/>
      <c r="I559" s="59"/>
      <c r="J559" s="59"/>
      <c r="K559" s="59"/>
      <c r="L559" s="59"/>
      <c r="M559" s="60"/>
      <c r="N559" s="60"/>
      <c r="O559" s="60"/>
      <c r="P559" s="59"/>
      <c r="Q559" s="59"/>
      <c r="R559" s="60"/>
      <c r="S559" s="60"/>
      <c r="T559" s="60"/>
      <c r="U559" s="60"/>
      <c r="V559" s="60"/>
      <c r="W559" s="60"/>
    </row>
    <row r="560" spans="1:23" ht="13" x14ac:dyDescent="0.3">
      <c r="A560" s="58"/>
      <c r="B560" s="58"/>
      <c r="C560" s="58"/>
      <c r="D560" s="58"/>
      <c r="E560" s="58"/>
      <c r="F560" s="58"/>
      <c r="G560" s="58"/>
      <c r="H560" s="59"/>
      <c r="I560" s="59"/>
      <c r="J560" s="59"/>
      <c r="K560" s="59"/>
      <c r="L560" s="59"/>
      <c r="M560" s="60"/>
      <c r="N560" s="60"/>
      <c r="O560" s="60"/>
      <c r="P560" s="59"/>
      <c r="Q560" s="59"/>
      <c r="R560" s="60"/>
      <c r="S560" s="60"/>
      <c r="T560" s="60"/>
      <c r="U560" s="60"/>
      <c r="V560" s="60"/>
      <c r="W560" s="60"/>
    </row>
    <row r="561" spans="1:23" ht="13" x14ac:dyDescent="0.3">
      <c r="A561" s="58"/>
      <c r="B561" s="58"/>
      <c r="C561" s="58"/>
      <c r="D561" s="58"/>
      <c r="E561" s="58"/>
      <c r="F561" s="58"/>
      <c r="G561" s="58"/>
      <c r="H561" s="59"/>
      <c r="I561" s="59"/>
      <c r="J561" s="59"/>
      <c r="K561" s="59"/>
      <c r="L561" s="59"/>
      <c r="M561" s="60"/>
      <c r="N561" s="60"/>
      <c r="O561" s="60"/>
      <c r="P561" s="59"/>
      <c r="Q561" s="59"/>
      <c r="R561" s="60"/>
      <c r="S561" s="60"/>
      <c r="T561" s="60"/>
      <c r="U561" s="60"/>
      <c r="V561" s="60"/>
      <c r="W561" s="60"/>
    </row>
    <row r="562" spans="1:23" ht="13" x14ac:dyDescent="0.3">
      <c r="A562" s="58"/>
      <c r="B562" s="58"/>
      <c r="C562" s="58"/>
      <c r="D562" s="58"/>
      <c r="E562" s="58"/>
      <c r="F562" s="58"/>
      <c r="G562" s="58"/>
      <c r="H562" s="59"/>
      <c r="I562" s="59"/>
      <c r="J562" s="59"/>
      <c r="K562" s="59"/>
      <c r="L562" s="59"/>
      <c r="M562" s="60"/>
      <c r="N562" s="60"/>
      <c r="O562" s="60"/>
      <c r="P562" s="59"/>
      <c r="Q562" s="59"/>
      <c r="R562" s="60"/>
      <c r="S562" s="60"/>
      <c r="T562" s="60"/>
      <c r="U562" s="60"/>
      <c r="V562" s="60"/>
      <c r="W562" s="60"/>
    </row>
    <row r="563" spans="1:23" ht="13" x14ac:dyDescent="0.3">
      <c r="A563" s="58"/>
      <c r="B563" s="58"/>
      <c r="C563" s="58"/>
      <c r="D563" s="58"/>
      <c r="E563" s="58"/>
      <c r="F563" s="58"/>
      <c r="G563" s="58"/>
      <c r="H563" s="59"/>
      <c r="I563" s="59"/>
      <c r="J563" s="59"/>
      <c r="K563" s="59"/>
      <c r="L563" s="59"/>
      <c r="M563" s="60"/>
      <c r="N563" s="60"/>
      <c r="O563" s="60"/>
      <c r="P563" s="59"/>
      <c r="Q563" s="59"/>
      <c r="R563" s="60"/>
      <c r="S563" s="60"/>
      <c r="T563" s="60"/>
      <c r="U563" s="60"/>
      <c r="V563" s="60"/>
      <c r="W563" s="60"/>
    </row>
    <row r="564" spans="1:23" ht="13" x14ac:dyDescent="0.3">
      <c r="A564" s="58"/>
      <c r="B564" s="58"/>
      <c r="C564" s="58"/>
      <c r="D564" s="58"/>
      <c r="E564" s="58"/>
      <c r="F564" s="58"/>
      <c r="G564" s="58"/>
      <c r="H564" s="59"/>
      <c r="I564" s="59"/>
      <c r="J564" s="59"/>
      <c r="K564" s="59"/>
      <c r="L564" s="59"/>
      <c r="M564" s="60"/>
      <c r="N564" s="60"/>
      <c r="O564" s="60"/>
      <c r="P564" s="59"/>
      <c r="Q564" s="59"/>
      <c r="R564" s="60"/>
      <c r="S564" s="60"/>
      <c r="T564" s="60"/>
      <c r="U564" s="60"/>
      <c r="V564" s="60"/>
      <c r="W564" s="60"/>
    </row>
    <row r="565" spans="1:23" ht="13" x14ac:dyDescent="0.3">
      <c r="A565" s="58"/>
      <c r="B565" s="58"/>
      <c r="C565" s="58"/>
      <c r="D565" s="58"/>
      <c r="E565" s="58"/>
      <c r="F565" s="58"/>
      <c r="G565" s="58"/>
      <c r="H565" s="59"/>
      <c r="I565" s="59"/>
      <c r="J565" s="59"/>
      <c r="K565" s="59"/>
      <c r="L565" s="59"/>
      <c r="M565" s="60"/>
      <c r="N565" s="60"/>
      <c r="O565" s="60"/>
      <c r="P565" s="59"/>
      <c r="Q565" s="59"/>
      <c r="R565" s="60"/>
      <c r="S565" s="60"/>
      <c r="T565" s="60"/>
      <c r="U565" s="60"/>
      <c r="V565" s="60"/>
      <c r="W565" s="60"/>
    </row>
    <row r="566" spans="1:23" ht="13" x14ac:dyDescent="0.3">
      <c r="A566" s="58"/>
      <c r="B566" s="58"/>
      <c r="C566" s="58"/>
      <c r="D566" s="58"/>
      <c r="E566" s="58"/>
      <c r="F566" s="58"/>
      <c r="G566" s="58"/>
      <c r="H566" s="59"/>
      <c r="I566" s="59"/>
      <c r="J566" s="59"/>
      <c r="K566" s="59"/>
      <c r="L566" s="59"/>
      <c r="M566" s="60"/>
      <c r="N566" s="60"/>
      <c r="O566" s="60"/>
      <c r="P566" s="59"/>
      <c r="Q566" s="59"/>
      <c r="R566" s="60"/>
      <c r="S566" s="60"/>
      <c r="T566" s="60"/>
      <c r="U566" s="60"/>
      <c r="V566" s="60"/>
      <c r="W566" s="60"/>
    </row>
    <row r="567" spans="1:23" ht="13" x14ac:dyDescent="0.3">
      <c r="A567" s="58"/>
      <c r="B567" s="58"/>
      <c r="C567" s="58"/>
      <c r="D567" s="58"/>
      <c r="E567" s="58"/>
      <c r="F567" s="58"/>
      <c r="G567" s="58"/>
      <c r="H567" s="59"/>
      <c r="I567" s="59"/>
      <c r="J567" s="59"/>
      <c r="K567" s="59"/>
      <c r="L567" s="59"/>
      <c r="M567" s="60"/>
      <c r="N567" s="60"/>
      <c r="O567" s="60"/>
      <c r="P567" s="59"/>
      <c r="Q567" s="59"/>
      <c r="R567" s="60"/>
      <c r="S567" s="60"/>
      <c r="T567" s="60"/>
      <c r="U567" s="60"/>
      <c r="V567" s="60"/>
      <c r="W567" s="60"/>
    </row>
    <row r="568" spans="1:23" ht="13" x14ac:dyDescent="0.3">
      <c r="A568" s="58"/>
      <c r="B568" s="58"/>
      <c r="C568" s="58"/>
      <c r="D568" s="58"/>
      <c r="E568" s="58"/>
      <c r="F568" s="58"/>
      <c r="G568" s="58"/>
      <c r="H568" s="59"/>
      <c r="I568" s="59"/>
      <c r="J568" s="59"/>
      <c r="K568" s="59"/>
      <c r="L568" s="59"/>
      <c r="M568" s="60"/>
      <c r="N568" s="60"/>
      <c r="O568" s="60"/>
      <c r="P568" s="59"/>
      <c r="Q568" s="59"/>
      <c r="R568" s="60"/>
      <c r="S568" s="60"/>
      <c r="T568" s="60"/>
      <c r="U568" s="60"/>
      <c r="V568" s="60"/>
      <c r="W568" s="60"/>
    </row>
    <row r="569" spans="1:23" ht="13" x14ac:dyDescent="0.3">
      <c r="A569" s="58"/>
      <c r="B569" s="58"/>
      <c r="C569" s="58"/>
      <c r="D569" s="58"/>
      <c r="E569" s="58"/>
      <c r="F569" s="58"/>
      <c r="G569" s="58"/>
      <c r="H569" s="59"/>
      <c r="I569" s="59"/>
      <c r="J569" s="59"/>
      <c r="K569" s="59"/>
      <c r="L569" s="59"/>
      <c r="M569" s="60"/>
      <c r="N569" s="60"/>
      <c r="O569" s="60"/>
      <c r="P569" s="59"/>
      <c r="Q569" s="59"/>
      <c r="R569" s="60"/>
      <c r="S569" s="60"/>
      <c r="T569" s="60"/>
      <c r="U569" s="60"/>
      <c r="V569" s="60"/>
      <c r="W569" s="60"/>
    </row>
    <row r="570" spans="1:23" ht="13" x14ac:dyDescent="0.3">
      <c r="A570" s="58"/>
      <c r="B570" s="58"/>
      <c r="C570" s="58"/>
      <c r="D570" s="58"/>
      <c r="E570" s="58"/>
      <c r="F570" s="58"/>
      <c r="G570" s="58"/>
      <c r="H570" s="59"/>
      <c r="I570" s="59"/>
      <c r="J570" s="59"/>
      <c r="K570" s="59"/>
      <c r="L570" s="59"/>
      <c r="M570" s="60"/>
      <c r="N570" s="60"/>
      <c r="O570" s="60"/>
      <c r="P570" s="59"/>
      <c r="Q570" s="59"/>
      <c r="R570" s="60"/>
      <c r="S570" s="60"/>
      <c r="T570" s="60"/>
      <c r="U570" s="60"/>
      <c r="V570" s="60"/>
      <c r="W570" s="60"/>
    </row>
    <row r="571" spans="1:23" ht="13" x14ac:dyDescent="0.3">
      <c r="A571" s="58"/>
      <c r="B571" s="58"/>
      <c r="C571" s="58"/>
      <c r="D571" s="58"/>
      <c r="E571" s="58"/>
      <c r="F571" s="58"/>
      <c r="G571" s="58"/>
      <c r="H571" s="59"/>
      <c r="I571" s="59"/>
      <c r="J571" s="59"/>
      <c r="K571" s="59"/>
      <c r="L571" s="59"/>
      <c r="M571" s="60"/>
      <c r="N571" s="60"/>
      <c r="O571" s="60"/>
      <c r="P571" s="59"/>
      <c r="Q571" s="59"/>
      <c r="R571" s="60"/>
      <c r="S571" s="60"/>
      <c r="T571" s="60"/>
      <c r="U571" s="60"/>
      <c r="V571" s="60"/>
      <c r="W571" s="60"/>
    </row>
    <row r="572" spans="1:23" ht="13" x14ac:dyDescent="0.3">
      <c r="A572" s="58"/>
      <c r="B572" s="58"/>
      <c r="C572" s="58"/>
      <c r="D572" s="58"/>
      <c r="E572" s="58"/>
      <c r="F572" s="58"/>
      <c r="G572" s="58"/>
      <c r="H572" s="59"/>
      <c r="I572" s="59"/>
      <c r="J572" s="59"/>
      <c r="K572" s="59"/>
      <c r="L572" s="59"/>
      <c r="M572" s="60"/>
      <c r="N572" s="60"/>
      <c r="O572" s="60"/>
      <c r="P572" s="59"/>
      <c r="Q572" s="59"/>
      <c r="R572" s="60"/>
      <c r="S572" s="60"/>
      <c r="T572" s="60"/>
      <c r="U572" s="60"/>
      <c r="V572" s="60"/>
      <c r="W572" s="60"/>
    </row>
    <row r="573" spans="1:23" ht="13" x14ac:dyDescent="0.3">
      <c r="A573" s="58"/>
      <c r="B573" s="58"/>
      <c r="C573" s="58"/>
      <c r="D573" s="58"/>
      <c r="E573" s="58"/>
      <c r="F573" s="58"/>
      <c r="G573" s="58"/>
      <c r="H573" s="59"/>
      <c r="I573" s="59"/>
      <c r="J573" s="59"/>
      <c r="K573" s="59"/>
      <c r="L573" s="59"/>
      <c r="M573" s="60"/>
      <c r="N573" s="60"/>
      <c r="O573" s="60"/>
      <c r="P573" s="59"/>
      <c r="Q573" s="59"/>
      <c r="R573" s="60"/>
      <c r="S573" s="60"/>
      <c r="T573" s="60"/>
      <c r="U573" s="60"/>
      <c r="V573" s="60"/>
      <c r="W573" s="60"/>
    </row>
    <row r="574" spans="1:23" ht="13" x14ac:dyDescent="0.3">
      <c r="A574" s="58"/>
      <c r="B574" s="58"/>
      <c r="C574" s="58"/>
      <c r="D574" s="58"/>
      <c r="E574" s="58"/>
      <c r="F574" s="58"/>
      <c r="G574" s="58"/>
      <c r="H574" s="59"/>
      <c r="I574" s="59"/>
      <c r="J574" s="59"/>
      <c r="K574" s="59"/>
      <c r="L574" s="59"/>
      <c r="M574" s="60"/>
      <c r="N574" s="60"/>
      <c r="O574" s="60"/>
      <c r="P574" s="59"/>
      <c r="Q574" s="59"/>
      <c r="R574" s="60"/>
      <c r="S574" s="60"/>
      <c r="T574" s="60"/>
      <c r="U574" s="60"/>
      <c r="V574" s="60"/>
      <c r="W574" s="60"/>
    </row>
    <row r="575" spans="1:23" ht="13" x14ac:dyDescent="0.3">
      <c r="A575" s="58"/>
      <c r="B575" s="58"/>
      <c r="C575" s="58"/>
      <c r="D575" s="58"/>
      <c r="E575" s="58"/>
      <c r="F575" s="58"/>
      <c r="G575" s="58"/>
      <c r="H575" s="59"/>
      <c r="I575" s="59"/>
      <c r="J575" s="59"/>
      <c r="K575" s="59"/>
      <c r="L575" s="59"/>
      <c r="M575" s="60"/>
      <c r="N575" s="60"/>
      <c r="O575" s="60"/>
      <c r="P575" s="59"/>
      <c r="Q575" s="59"/>
      <c r="R575" s="60"/>
      <c r="S575" s="60"/>
      <c r="T575" s="60"/>
      <c r="U575" s="60"/>
      <c r="V575" s="60"/>
      <c r="W575" s="60"/>
    </row>
    <row r="576" spans="1:23" ht="13" x14ac:dyDescent="0.3">
      <c r="A576" s="58"/>
      <c r="B576" s="58"/>
      <c r="C576" s="58"/>
      <c r="D576" s="58"/>
      <c r="E576" s="58"/>
      <c r="F576" s="58"/>
      <c r="G576" s="58"/>
      <c r="H576" s="59"/>
      <c r="I576" s="59"/>
      <c r="J576" s="59"/>
      <c r="K576" s="59"/>
      <c r="L576" s="59"/>
      <c r="M576" s="60"/>
      <c r="N576" s="60"/>
      <c r="O576" s="60"/>
      <c r="P576" s="59"/>
      <c r="Q576" s="59"/>
      <c r="R576" s="60"/>
      <c r="S576" s="60"/>
      <c r="T576" s="60"/>
      <c r="U576" s="60"/>
      <c r="V576" s="60"/>
      <c r="W576" s="60"/>
    </row>
    <row r="577" spans="1:23" ht="13" x14ac:dyDescent="0.3">
      <c r="A577" s="58"/>
      <c r="B577" s="58"/>
      <c r="C577" s="58"/>
      <c r="D577" s="58"/>
      <c r="E577" s="58"/>
      <c r="F577" s="58"/>
      <c r="G577" s="58"/>
      <c r="H577" s="59"/>
      <c r="I577" s="59"/>
      <c r="J577" s="59"/>
      <c r="K577" s="59"/>
      <c r="L577" s="59"/>
      <c r="M577" s="60"/>
      <c r="N577" s="60"/>
      <c r="O577" s="60"/>
      <c r="P577" s="59"/>
      <c r="Q577" s="59"/>
      <c r="R577" s="60"/>
      <c r="S577" s="60"/>
      <c r="T577" s="60"/>
      <c r="U577" s="60"/>
      <c r="V577" s="60"/>
      <c r="W577" s="60"/>
    </row>
    <row r="578" spans="1:23" ht="13" x14ac:dyDescent="0.3">
      <c r="A578" s="58"/>
      <c r="B578" s="58"/>
      <c r="C578" s="58"/>
      <c r="D578" s="58"/>
      <c r="E578" s="58"/>
      <c r="F578" s="58"/>
      <c r="G578" s="58"/>
      <c r="H578" s="59"/>
      <c r="I578" s="59"/>
      <c r="J578" s="59"/>
      <c r="K578" s="59"/>
      <c r="L578" s="59"/>
      <c r="M578" s="60"/>
      <c r="N578" s="60"/>
      <c r="O578" s="60"/>
      <c r="P578" s="59"/>
      <c r="Q578" s="59"/>
      <c r="R578" s="60"/>
      <c r="S578" s="60"/>
      <c r="T578" s="60"/>
      <c r="U578" s="60"/>
      <c r="V578" s="60"/>
      <c r="W578" s="60"/>
    </row>
    <row r="579" spans="1:23" ht="13" x14ac:dyDescent="0.3">
      <c r="A579" s="58"/>
      <c r="B579" s="58"/>
      <c r="C579" s="58"/>
      <c r="D579" s="58"/>
      <c r="E579" s="58"/>
      <c r="F579" s="58"/>
      <c r="G579" s="58"/>
      <c r="H579" s="59"/>
      <c r="I579" s="59"/>
      <c r="J579" s="59"/>
      <c r="K579" s="59"/>
      <c r="L579" s="59"/>
      <c r="M579" s="60"/>
      <c r="N579" s="60"/>
      <c r="O579" s="60"/>
      <c r="P579" s="59"/>
      <c r="Q579" s="59"/>
      <c r="R579" s="60"/>
      <c r="S579" s="60"/>
      <c r="T579" s="60"/>
      <c r="U579" s="60"/>
      <c r="V579" s="60"/>
      <c r="W579" s="60"/>
    </row>
    <row r="580" spans="1:23" ht="13" x14ac:dyDescent="0.3">
      <c r="A580" s="58"/>
      <c r="B580" s="58"/>
      <c r="C580" s="58"/>
      <c r="D580" s="58"/>
      <c r="E580" s="58"/>
      <c r="F580" s="58"/>
      <c r="G580" s="58"/>
      <c r="H580" s="59"/>
      <c r="I580" s="59"/>
      <c r="J580" s="59"/>
      <c r="K580" s="59"/>
      <c r="L580" s="59"/>
      <c r="M580" s="60"/>
      <c r="N580" s="60"/>
      <c r="O580" s="60"/>
      <c r="P580" s="59"/>
      <c r="Q580" s="59"/>
      <c r="R580" s="60"/>
      <c r="S580" s="60"/>
      <c r="T580" s="60"/>
      <c r="U580" s="60"/>
      <c r="V580" s="60"/>
      <c r="W580" s="60"/>
    </row>
    <row r="581" spans="1:23" ht="13" x14ac:dyDescent="0.3">
      <c r="A581" s="58"/>
      <c r="B581" s="58"/>
      <c r="C581" s="58"/>
      <c r="D581" s="58"/>
      <c r="E581" s="58"/>
      <c r="F581" s="58"/>
      <c r="G581" s="58"/>
      <c r="H581" s="59"/>
      <c r="I581" s="59"/>
      <c r="J581" s="59"/>
      <c r="K581" s="59"/>
      <c r="L581" s="59"/>
      <c r="M581" s="60"/>
      <c r="N581" s="60"/>
      <c r="O581" s="60"/>
      <c r="P581" s="59"/>
      <c r="Q581" s="59"/>
      <c r="R581" s="60"/>
      <c r="S581" s="60"/>
      <c r="T581" s="60"/>
      <c r="U581" s="60"/>
      <c r="V581" s="60"/>
      <c r="W581" s="60"/>
    </row>
    <row r="582" spans="1:23" ht="13" x14ac:dyDescent="0.3">
      <c r="A582" s="58"/>
      <c r="B582" s="58"/>
      <c r="C582" s="58"/>
      <c r="D582" s="58"/>
      <c r="E582" s="58"/>
      <c r="F582" s="58"/>
      <c r="G582" s="58"/>
      <c r="H582" s="59"/>
      <c r="I582" s="59"/>
      <c r="J582" s="59"/>
      <c r="K582" s="59"/>
      <c r="L582" s="59"/>
      <c r="M582" s="60"/>
      <c r="N582" s="60"/>
      <c r="O582" s="60"/>
      <c r="P582" s="59"/>
      <c r="Q582" s="59"/>
      <c r="R582" s="60"/>
      <c r="S582" s="60"/>
      <c r="T582" s="60"/>
      <c r="U582" s="60"/>
      <c r="V582" s="60"/>
      <c r="W582" s="60"/>
    </row>
    <row r="583" spans="1:23" ht="13" x14ac:dyDescent="0.3">
      <c r="A583" s="58"/>
      <c r="B583" s="58"/>
      <c r="C583" s="58"/>
      <c r="D583" s="58"/>
      <c r="E583" s="58"/>
      <c r="F583" s="58"/>
      <c r="G583" s="58"/>
      <c r="H583" s="59"/>
      <c r="I583" s="59"/>
      <c r="J583" s="59"/>
      <c r="K583" s="59"/>
      <c r="L583" s="59"/>
      <c r="M583" s="60"/>
      <c r="N583" s="60"/>
      <c r="O583" s="60"/>
      <c r="P583" s="59"/>
      <c r="Q583" s="59"/>
      <c r="R583" s="60"/>
      <c r="S583" s="60"/>
      <c r="T583" s="60"/>
      <c r="U583" s="60"/>
      <c r="V583" s="60"/>
      <c r="W583" s="60"/>
    </row>
    <row r="584" spans="1:23" ht="13" x14ac:dyDescent="0.3">
      <c r="A584" s="58"/>
      <c r="B584" s="58"/>
      <c r="C584" s="58"/>
      <c r="D584" s="58"/>
      <c r="E584" s="58"/>
      <c r="F584" s="58"/>
      <c r="G584" s="58"/>
      <c r="H584" s="59"/>
      <c r="I584" s="59"/>
      <c r="J584" s="59"/>
      <c r="K584" s="59"/>
      <c r="L584" s="59"/>
      <c r="M584" s="60"/>
      <c r="N584" s="60"/>
      <c r="O584" s="60"/>
      <c r="P584" s="59"/>
      <c r="Q584" s="59"/>
      <c r="R584" s="60"/>
      <c r="S584" s="60"/>
      <c r="T584" s="60"/>
      <c r="U584" s="60"/>
      <c r="V584" s="60"/>
      <c r="W584" s="60"/>
    </row>
    <row r="585" spans="1:23" ht="13" x14ac:dyDescent="0.3">
      <c r="A585" s="58"/>
      <c r="B585" s="58"/>
      <c r="C585" s="58"/>
      <c r="D585" s="58"/>
      <c r="E585" s="58"/>
      <c r="F585" s="58"/>
      <c r="G585" s="58"/>
      <c r="H585" s="59"/>
      <c r="I585" s="59"/>
      <c r="J585" s="59"/>
      <c r="K585" s="59"/>
      <c r="L585" s="59"/>
      <c r="M585" s="60"/>
      <c r="N585" s="60"/>
      <c r="O585" s="60"/>
      <c r="P585" s="59"/>
      <c r="Q585" s="59"/>
      <c r="R585" s="60"/>
      <c r="S585" s="60"/>
      <c r="T585" s="60"/>
      <c r="U585" s="60"/>
      <c r="V585" s="60"/>
      <c r="W585" s="60"/>
    </row>
    <row r="586" spans="1:23" ht="13" x14ac:dyDescent="0.3">
      <c r="A586" s="58"/>
      <c r="B586" s="58"/>
      <c r="C586" s="58"/>
      <c r="D586" s="58"/>
      <c r="E586" s="58"/>
      <c r="F586" s="58"/>
      <c r="G586" s="58"/>
      <c r="H586" s="59"/>
      <c r="I586" s="59"/>
      <c r="J586" s="59"/>
      <c r="K586" s="59"/>
      <c r="L586" s="59"/>
      <c r="M586" s="60"/>
      <c r="N586" s="60"/>
      <c r="O586" s="60"/>
      <c r="P586" s="59"/>
      <c r="Q586" s="59"/>
      <c r="R586" s="60"/>
      <c r="S586" s="60"/>
      <c r="T586" s="60"/>
      <c r="U586" s="60"/>
      <c r="V586" s="60"/>
      <c r="W586" s="60"/>
    </row>
    <row r="587" spans="1:23" ht="13" x14ac:dyDescent="0.3">
      <c r="A587" s="58"/>
      <c r="B587" s="58"/>
      <c r="C587" s="58"/>
      <c r="D587" s="58"/>
      <c r="E587" s="58"/>
      <c r="F587" s="58"/>
      <c r="G587" s="58"/>
      <c r="H587" s="59"/>
      <c r="I587" s="59"/>
      <c r="J587" s="59"/>
      <c r="K587" s="59"/>
      <c r="L587" s="59"/>
      <c r="M587" s="60"/>
      <c r="N587" s="60"/>
      <c r="O587" s="60"/>
      <c r="P587" s="59"/>
      <c r="Q587" s="59"/>
      <c r="R587" s="60"/>
      <c r="S587" s="60"/>
      <c r="T587" s="60"/>
      <c r="U587" s="60"/>
      <c r="V587" s="60"/>
      <c r="W587" s="60"/>
    </row>
    <row r="588" spans="1:23" ht="13" x14ac:dyDescent="0.3">
      <c r="A588" s="58"/>
      <c r="B588" s="58"/>
      <c r="C588" s="58"/>
      <c r="D588" s="58"/>
      <c r="E588" s="58"/>
      <c r="F588" s="58"/>
      <c r="G588" s="58"/>
      <c r="H588" s="59"/>
      <c r="I588" s="59"/>
      <c r="J588" s="59"/>
      <c r="K588" s="59"/>
      <c r="L588" s="59"/>
      <c r="M588" s="60"/>
      <c r="N588" s="60"/>
      <c r="O588" s="60"/>
      <c r="P588" s="59"/>
      <c r="Q588" s="59"/>
      <c r="R588" s="60"/>
      <c r="S588" s="60"/>
      <c r="T588" s="60"/>
      <c r="U588" s="60"/>
      <c r="V588" s="60"/>
      <c r="W588" s="60"/>
    </row>
    <row r="589" spans="1:23" ht="13" x14ac:dyDescent="0.3">
      <c r="A589" s="58"/>
      <c r="B589" s="58"/>
      <c r="C589" s="58"/>
      <c r="D589" s="58"/>
      <c r="E589" s="58"/>
      <c r="F589" s="58"/>
      <c r="G589" s="58"/>
      <c r="H589" s="59"/>
      <c r="I589" s="59"/>
      <c r="J589" s="59"/>
      <c r="K589" s="59"/>
      <c r="L589" s="59"/>
      <c r="M589" s="60"/>
      <c r="N589" s="60"/>
      <c r="O589" s="60"/>
      <c r="P589" s="59"/>
      <c r="Q589" s="59"/>
      <c r="R589" s="60"/>
      <c r="S589" s="60"/>
      <c r="T589" s="60"/>
      <c r="U589" s="60"/>
      <c r="V589" s="60"/>
      <c r="W589" s="60"/>
    </row>
    <row r="590" spans="1:23" ht="13" x14ac:dyDescent="0.3">
      <c r="A590" s="58"/>
      <c r="B590" s="58"/>
      <c r="C590" s="58"/>
      <c r="D590" s="58"/>
      <c r="E590" s="58"/>
      <c r="F590" s="58"/>
      <c r="G590" s="58"/>
      <c r="H590" s="59"/>
      <c r="I590" s="59"/>
      <c r="J590" s="59"/>
      <c r="K590" s="59"/>
      <c r="L590" s="59"/>
      <c r="M590" s="60"/>
      <c r="N590" s="60"/>
      <c r="O590" s="60"/>
      <c r="P590" s="59"/>
      <c r="Q590" s="59"/>
      <c r="R590" s="60"/>
      <c r="S590" s="60"/>
      <c r="T590" s="60"/>
      <c r="U590" s="60"/>
      <c r="V590" s="60"/>
      <c r="W590" s="60"/>
    </row>
    <row r="591" spans="1:23" ht="13" x14ac:dyDescent="0.3">
      <c r="A591" s="58"/>
      <c r="B591" s="58"/>
      <c r="C591" s="58"/>
      <c r="D591" s="58"/>
      <c r="E591" s="58"/>
      <c r="F591" s="58"/>
      <c r="G591" s="58"/>
      <c r="H591" s="59"/>
      <c r="I591" s="59"/>
      <c r="J591" s="59"/>
      <c r="K591" s="59"/>
      <c r="L591" s="59"/>
      <c r="M591" s="60"/>
      <c r="N591" s="60"/>
      <c r="O591" s="60"/>
      <c r="P591" s="59"/>
      <c r="Q591" s="59"/>
      <c r="R591" s="60"/>
      <c r="S591" s="60"/>
      <c r="T591" s="60"/>
      <c r="U591" s="60"/>
      <c r="V591" s="60"/>
      <c r="W591" s="60"/>
    </row>
    <row r="592" spans="1:23" ht="13" x14ac:dyDescent="0.3">
      <c r="A592" s="58"/>
      <c r="B592" s="58"/>
      <c r="C592" s="58"/>
      <c r="D592" s="58"/>
      <c r="E592" s="58"/>
      <c r="F592" s="58"/>
      <c r="G592" s="58"/>
      <c r="H592" s="59"/>
      <c r="I592" s="59"/>
      <c r="J592" s="59"/>
      <c r="K592" s="59"/>
      <c r="L592" s="59"/>
      <c r="M592" s="60"/>
      <c r="N592" s="60"/>
      <c r="O592" s="60"/>
      <c r="P592" s="59"/>
      <c r="Q592" s="59"/>
      <c r="R592" s="60"/>
      <c r="S592" s="60"/>
      <c r="T592" s="60"/>
      <c r="U592" s="60"/>
      <c r="V592" s="60"/>
      <c r="W592" s="60"/>
    </row>
    <row r="593" spans="1:23" ht="13" x14ac:dyDescent="0.3">
      <c r="A593" s="58"/>
      <c r="B593" s="58"/>
      <c r="C593" s="58"/>
      <c r="D593" s="58"/>
      <c r="E593" s="58"/>
      <c r="F593" s="58"/>
      <c r="G593" s="58"/>
      <c r="H593" s="59"/>
      <c r="I593" s="59"/>
      <c r="J593" s="59"/>
      <c r="K593" s="59"/>
      <c r="L593" s="59"/>
      <c r="M593" s="60"/>
      <c r="N593" s="60"/>
      <c r="O593" s="60"/>
      <c r="P593" s="59"/>
      <c r="Q593" s="59"/>
      <c r="R593" s="60"/>
      <c r="S593" s="60"/>
      <c r="T593" s="60"/>
      <c r="U593" s="60"/>
      <c r="V593" s="60"/>
      <c r="W593" s="60"/>
    </row>
    <row r="594" spans="1:23" ht="13" x14ac:dyDescent="0.3">
      <c r="A594" s="58"/>
      <c r="B594" s="58"/>
      <c r="C594" s="58"/>
      <c r="D594" s="58"/>
      <c r="E594" s="58"/>
      <c r="F594" s="58"/>
      <c r="G594" s="58"/>
      <c r="H594" s="59"/>
      <c r="I594" s="59"/>
      <c r="J594" s="59"/>
      <c r="K594" s="59"/>
      <c r="L594" s="59"/>
      <c r="M594" s="60"/>
      <c r="N594" s="60"/>
      <c r="O594" s="60"/>
      <c r="P594" s="59"/>
      <c r="Q594" s="59"/>
      <c r="R594" s="60"/>
      <c r="S594" s="60"/>
      <c r="T594" s="60"/>
      <c r="U594" s="60"/>
      <c r="V594" s="60"/>
      <c r="W594" s="60"/>
    </row>
    <row r="595" spans="1:23" ht="13" x14ac:dyDescent="0.3">
      <c r="A595" s="58"/>
      <c r="B595" s="58"/>
      <c r="C595" s="58"/>
      <c r="D595" s="58"/>
      <c r="E595" s="58"/>
      <c r="F595" s="58"/>
      <c r="G595" s="58"/>
      <c r="H595" s="59"/>
      <c r="I595" s="59"/>
      <c r="J595" s="59"/>
      <c r="K595" s="59"/>
      <c r="L595" s="59"/>
      <c r="M595" s="60"/>
      <c r="N595" s="60"/>
      <c r="O595" s="60"/>
      <c r="P595" s="59"/>
      <c r="Q595" s="59"/>
      <c r="R595" s="60"/>
      <c r="S595" s="60"/>
      <c r="T595" s="60"/>
      <c r="U595" s="60"/>
      <c r="V595" s="60"/>
      <c r="W595" s="60"/>
    </row>
    <row r="596" spans="1:23" ht="13" x14ac:dyDescent="0.3">
      <c r="A596" s="58"/>
      <c r="B596" s="58"/>
      <c r="C596" s="58"/>
      <c r="D596" s="58"/>
      <c r="E596" s="58"/>
      <c r="F596" s="58"/>
      <c r="G596" s="58"/>
      <c r="H596" s="59"/>
      <c r="I596" s="59"/>
      <c r="J596" s="59"/>
      <c r="K596" s="59"/>
      <c r="L596" s="59"/>
      <c r="M596" s="60"/>
      <c r="N596" s="60"/>
      <c r="O596" s="60"/>
      <c r="P596" s="59"/>
      <c r="Q596" s="59"/>
      <c r="R596" s="60"/>
      <c r="S596" s="60"/>
      <c r="T596" s="60"/>
      <c r="U596" s="60"/>
      <c r="V596" s="60"/>
      <c r="W596" s="60"/>
    </row>
    <row r="597" spans="1:23" ht="13" x14ac:dyDescent="0.3">
      <c r="A597" s="58"/>
      <c r="B597" s="58"/>
      <c r="C597" s="58"/>
      <c r="D597" s="58"/>
      <c r="E597" s="58"/>
      <c r="F597" s="58"/>
      <c r="G597" s="58"/>
      <c r="H597" s="59"/>
      <c r="I597" s="59"/>
      <c r="J597" s="59"/>
      <c r="K597" s="59"/>
      <c r="L597" s="59"/>
      <c r="M597" s="60"/>
      <c r="N597" s="60"/>
      <c r="O597" s="60"/>
      <c r="P597" s="59"/>
      <c r="Q597" s="59"/>
      <c r="R597" s="60"/>
      <c r="S597" s="60"/>
      <c r="T597" s="60"/>
      <c r="U597" s="60"/>
      <c r="V597" s="60"/>
      <c r="W597" s="60"/>
    </row>
    <row r="598" spans="1:23" ht="13" x14ac:dyDescent="0.3">
      <c r="A598" s="58"/>
      <c r="B598" s="58"/>
      <c r="C598" s="58"/>
      <c r="D598" s="58"/>
      <c r="E598" s="58"/>
      <c r="F598" s="58"/>
      <c r="G598" s="58"/>
      <c r="H598" s="59"/>
      <c r="I598" s="59"/>
      <c r="J598" s="59"/>
      <c r="K598" s="59"/>
      <c r="L598" s="59"/>
      <c r="M598" s="60"/>
      <c r="N598" s="60"/>
      <c r="O598" s="60"/>
      <c r="P598" s="59"/>
      <c r="Q598" s="59"/>
      <c r="R598" s="60"/>
      <c r="S598" s="60"/>
      <c r="T598" s="60"/>
      <c r="U598" s="60"/>
      <c r="V598" s="60"/>
      <c r="W598" s="60"/>
    </row>
    <row r="599" spans="1:23" ht="13" x14ac:dyDescent="0.3">
      <c r="A599" s="58"/>
      <c r="B599" s="58"/>
      <c r="C599" s="58"/>
      <c r="D599" s="58"/>
      <c r="E599" s="58"/>
      <c r="F599" s="58"/>
      <c r="G599" s="58"/>
      <c r="H599" s="59"/>
      <c r="I599" s="59"/>
      <c r="J599" s="59"/>
      <c r="K599" s="59"/>
      <c r="L599" s="59"/>
      <c r="M599" s="60"/>
      <c r="N599" s="60"/>
      <c r="O599" s="60"/>
      <c r="P599" s="59"/>
      <c r="Q599" s="59"/>
      <c r="R599" s="60"/>
      <c r="S599" s="60"/>
      <c r="T599" s="60"/>
      <c r="U599" s="60"/>
      <c r="V599" s="60"/>
      <c r="W599" s="60"/>
    </row>
    <row r="600" spans="1:23" ht="13" x14ac:dyDescent="0.3">
      <c r="A600" s="58"/>
      <c r="B600" s="58"/>
      <c r="C600" s="58"/>
      <c r="D600" s="58"/>
      <c r="E600" s="58"/>
      <c r="F600" s="58"/>
      <c r="G600" s="58"/>
      <c r="H600" s="59"/>
      <c r="I600" s="59"/>
      <c r="J600" s="59"/>
      <c r="K600" s="59"/>
      <c r="L600" s="59"/>
      <c r="M600" s="60"/>
      <c r="N600" s="60"/>
      <c r="O600" s="60"/>
      <c r="P600" s="59"/>
      <c r="Q600" s="59"/>
      <c r="R600" s="60"/>
      <c r="S600" s="60"/>
      <c r="T600" s="60"/>
      <c r="U600" s="60"/>
      <c r="V600" s="60"/>
      <c r="W600" s="60"/>
    </row>
    <row r="601" spans="1:23" ht="13" x14ac:dyDescent="0.3">
      <c r="A601" s="58"/>
      <c r="B601" s="58"/>
      <c r="C601" s="58"/>
      <c r="D601" s="58"/>
      <c r="E601" s="58"/>
      <c r="F601" s="58"/>
      <c r="G601" s="58"/>
      <c r="H601" s="59"/>
      <c r="I601" s="59"/>
      <c r="J601" s="59"/>
      <c r="K601" s="59"/>
      <c r="L601" s="59"/>
      <c r="M601" s="60"/>
      <c r="N601" s="60"/>
      <c r="O601" s="60"/>
      <c r="P601" s="59"/>
      <c r="Q601" s="59"/>
      <c r="R601" s="60"/>
      <c r="S601" s="60"/>
      <c r="T601" s="60"/>
      <c r="U601" s="60"/>
      <c r="V601" s="60"/>
      <c r="W601" s="60"/>
    </row>
    <row r="602" spans="1:23" ht="13" x14ac:dyDescent="0.3">
      <c r="A602" s="58"/>
      <c r="B602" s="58"/>
      <c r="C602" s="58"/>
      <c r="D602" s="58"/>
      <c r="E602" s="58"/>
      <c r="F602" s="58"/>
      <c r="G602" s="58"/>
      <c r="H602" s="59"/>
      <c r="I602" s="59"/>
      <c r="J602" s="59"/>
      <c r="K602" s="59"/>
      <c r="L602" s="59"/>
      <c r="M602" s="60"/>
      <c r="N602" s="60"/>
      <c r="O602" s="60"/>
      <c r="P602" s="59"/>
      <c r="Q602" s="59"/>
      <c r="R602" s="60"/>
      <c r="S602" s="60"/>
      <c r="T602" s="60"/>
      <c r="U602" s="60"/>
      <c r="V602" s="60"/>
      <c r="W602" s="60"/>
    </row>
    <row r="603" spans="1:23" ht="13" x14ac:dyDescent="0.3">
      <c r="A603" s="58"/>
      <c r="B603" s="58"/>
      <c r="C603" s="58"/>
      <c r="D603" s="58"/>
      <c r="E603" s="58"/>
      <c r="F603" s="58"/>
      <c r="G603" s="58"/>
      <c r="H603" s="59"/>
      <c r="I603" s="59"/>
      <c r="J603" s="59"/>
      <c r="K603" s="59"/>
      <c r="L603" s="59"/>
      <c r="M603" s="60"/>
      <c r="N603" s="60"/>
      <c r="O603" s="60"/>
      <c r="P603" s="59"/>
      <c r="Q603" s="59"/>
      <c r="R603" s="60"/>
      <c r="S603" s="60"/>
      <c r="T603" s="60"/>
      <c r="U603" s="60"/>
      <c r="V603" s="60"/>
      <c r="W603" s="60"/>
    </row>
    <row r="604" spans="1:23" ht="13" x14ac:dyDescent="0.3">
      <c r="A604" s="58"/>
      <c r="B604" s="58"/>
      <c r="C604" s="58"/>
      <c r="D604" s="58"/>
      <c r="E604" s="58"/>
      <c r="F604" s="58"/>
      <c r="G604" s="58"/>
      <c r="H604" s="59"/>
      <c r="I604" s="59"/>
      <c r="J604" s="59"/>
      <c r="K604" s="59"/>
      <c r="L604" s="59"/>
      <c r="M604" s="60"/>
      <c r="N604" s="60"/>
      <c r="O604" s="60"/>
      <c r="P604" s="59"/>
      <c r="Q604" s="59"/>
      <c r="R604" s="60"/>
      <c r="S604" s="60"/>
      <c r="T604" s="60"/>
      <c r="U604" s="60"/>
      <c r="V604" s="60"/>
      <c r="W604" s="60"/>
    </row>
    <row r="605" spans="1:23" ht="13" x14ac:dyDescent="0.3">
      <c r="A605" s="58"/>
      <c r="B605" s="58"/>
      <c r="C605" s="58"/>
      <c r="D605" s="58"/>
      <c r="E605" s="58"/>
      <c r="F605" s="58"/>
      <c r="G605" s="58"/>
      <c r="H605" s="59"/>
      <c r="I605" s="59"/>
      <c r="J605" s="59"/>
      <c r="K605" s="59"/>
      <c r="L605" s="59"/>
      <c r="M605" s="60"/>
      <c r="N605" s="60"/>
      <c r="O605" s="60"/>
      <c r="P605" s="59"/>
      <c r="Q605" s="59"/>
      <c r="R605" s="60"/>
      <c r="S605" s="60"/>
      <c r="T605" s="60"/>
      <c r="U605" s="60"/>
      <c r="V605" s="60"/>
      <c r="W605" s="60"/>
    </row>
    <row r="606" spans="1:23" ht="13" x14ac:dyDescent="0.3">
      <c r="A606" s="58"/>
      <c r="B606" s="58"/>
      <c r="C606" s="58"/>
      <c r="D606" s="58"/>
      <c r="E606" s="58"/>
      <c r="F606" s="58"/>
      <c r="G606" s="58"/>
      <c r="H606" s="59"/>
      <c r="I606" s="59"/>
      <c r="J606" s="59"/>
      <c r="K606" s="59"/>
      <c r="L606" s="59"/>
      <c r="M606" s="60"/>
      <c r="N606" s="60"/>
      <c r="O606" s="60"/>
      <c r="P606" s="59"/>
      <c r="Q606" s="59"/>
      <c r="R606" s="60"/>
      <c r="S606" s="60"/>
      <c r="T606" s="60"/>
      <c r="U606" s="60"/>
      <c r="V606" s="60"/>
      <c r="W606" s="60"/>
    </row>
    <row r="607" spans="1:23" ht="13" x14ac:dyDescent="0.3">
      <c r="A607" s="58"/>
      <c r="B607" s="58"/>
      <c r="C607" s="58"/>
      <c r="D607" s="58"/>
      <c r="E607" s="58"/>
      <c r="F607" s="58"/>
      <c r="G607" s="58"/>
      <c r="H607" s="59"/>
      <c r="I607" s="59"/>
      <c r="J607" s="59"/>
      <c r="K607" s="59"/>
      <c r="L607" s="59"/>
      <c r="M607" s="60"/>
      <c r="N607" s="60"/>
      <c r="O607" s="60"/>
      <c r="P607" s="59"/>
      <c r="Q607" s="59"/>
      <c r="R607" s="60"/>
      <c r="S607" s="60"/>
      <c r="T607" s="60"/>
      <c r="U607" s="60"/>
      <c r="V607" s="60"/>
      <c r="W607" s="60"/>
    </row>
    <row r="608" spans="1:23" ht="13" x14ac:dyDescent="0.3">
      <c r="A608" s="58"/>
      <c r="B608" s="58"/>
      <c r="C608" s="58"/>
      <c r="D608" s="58"/>
      <c r="E608" s="58"/>
      <c r="F608" s="58"/>
      <c r="G608" s="58"/>
      <c r="H608" s="59"/>
      <c r="I608" s="59"/>
      <c r="J608" s="59"/>
      <c r="K608" s="59"/>
      <c r="L608" s="59"/>
      <c r="M608" s="60"/>
      <c r="N608" s="60"/>
      <c r="O608" s="60"/>
      <c r="P608" s="59"/>
      <c r="Q608" s="59"/>
      <c r="R608" s="60"/>
      <c r="S608" s="60"/>
      <c r="T608" s="60"/>
      <c r="U608" s="60"/>
      <c r="V608" s="60"/>
      <c r="W608" s="60"/>
    </row>
    <row r="609" spans="1:23" ht="13" x14ac:dyDescent="0.3">
      <c r="A609" s="58"/>
      <c r="B609" s="58"/>
      <c r="C609" s="58"/>
      <c r="D609" s="58"/>
      <c r="E609" s="58"/>
      <c r="F609" s="58"/>
      <c r="G609" s="58"/>
      <c r="H609" s="59"/>
      <c r="I609" s="59"/>
      <c r="J609" s="59"/>
      <c r="K609" s="59"/>
      <c r="L609" s="59"/>
      <c r="M609" s="60"/>
      <c r="N609" s="60"/>
      <c r="O609" s="60"/>
      <c r="P609" s="59"/>
      <c r="Q609" s="59"/>
      <c r="R609" s="60"/>
      <c r="S609" s="60"/>
      <c r="T609" s="60"/>
      <c r="U609" s="60"/>
      <c r="V609" s="60"/>
      <c r="W609" s="60"/>
    </row>
    <row r="610" spans="1:23" ht="13" x14ac:dyDescent="0.3">
      <c r="A610" s="58"/>
      <c r="B610" s="58"/>
      <c r="C610" s="58"/>
      <c r="D610" s="58"/>
      <c r="E610" s="58"/>
      <c r="F610" s="58"/>
      <c r="G610" s="58"/>
      <c r="H610" s="59"/>
      <c r="I610" s="59"/>
      <c r="J610" s="59"/>
      <c r="K610" s="59"/>
      <c r="L610" s="59"/>
      <c r="M610" s="60"/>
      <c r="N610" s="60"/>
      <c r="O610" s="60"/>
      <c r="P610" s="59"/>
      <c r="Q610" s="59"/>
      <c r="R610" s="60"/>
      <c r="S610" s="60"/>
      <c r="T610" s="60"/>
      <c r="U610" s="60"/>
      <c r="V610" s="60"/>
      <c r="W610" s="60"/>
    </row>
    <row r="611" spans="1:23" ht="13" x14ac:dyDescent="0.3">
      <c r="A611" s="58"/>
      <c r="B611" s="58"/>
      <c r="C611" s="58"/>
      <c r="D611" s="58"/>
      <c r="E611" s="58"/>
      <c r="F611" s="58"/>
      <c r="G611" s="58"/>
      <c r="H611" s="59"/>
      <c r="I611" s="59"/>
      <c r="J611" s="59"/>
      <c r="K611" s="59"/>
      <c r="L611" s="59"/>
      <c r="M611" s="60"/>
      <c r="N611" s="60"/>
      <c r="O611" s="60"/>
      <c r="P611" s="59"/>
      <c r="Q611" s="59"/>
      <c r="R611" s="60"/>
      <c r="S611" s="60"/>
      <c r="T611" s="60"/>
      <c r="U611" s="60"/>
      <c r="V611" s="60"/>
      <c r="W611" s="60"/>
    </row>
    <row r="612" spans="1:23" ht="13" x14ac:dyDescent="0.3">
      <c r="A612" s="58"/>
      <c r="B612" s="58"/>
      <c r="C612" s="58"/>
      <c r="D612" s="58"/>
      <c r="E612" s="58"/>
      <c r="F612" s="58"/>
      <c r="G612" s="58"/>
      <c r="H612" s="59"/>
      <c r="I612" s="59"/>
      <c r="J612" s="59"/>
      <c r="K612" s="59"/>
      <c r="L612" s="59"/>
      <c r="M612" s="60"/>
      <c r="N612" s="60"/>
      <c r="O612" s="60"/>
      <c r="P612" s="59"/>
      <c r="Q612" s="59"/>
      <c r="R612" s="60"/>
      <c r="S612" s="60"/>
      <c r="T612" s="60"/>
      <c r="U612" s="60"/>
      <c r="V612" s="60"/>
      <c r="W612" s="60"/>
    </row>
    <row r="613" spans="1:23" ht="13" x14ac:dyDescent="0.3">
      <c r="A613" s="58"/>
      <c r="B613" s="58"/>
      <c r="C613" s="58"/>
      <c r="D613" s="58"/>
      <c r="E613" s="58"/>
      <c r="F613" s="58"/>
      <c r="G613" s="58"/>
      <c r="H613" s="59"/>
      <c r="I613" s="59"/>
      <c r="J613" s="59"/>
      <c r="K613" s="59"/>
      <c r="L613" s="59"/>
      <c r="M613" s="60"/>
      <c r="N613" s="60"/>
      <c r="O613" s="60"/>
      <c r="P613" s="59"/>
      <c r="Q613" s="59"/>
      <c r="R613" s="60"/>
      <c r="S613" s="60"/>
      <c r="T613" s="60"/>
      <c r="U613" s="60"/>
      <c r="V613" s="60"/>
      <c r="W613" s="60"/>
    </row>
    <row r="614" spans="1:23" ht="13" x14ac:dyDescent="0.3">
      <c r="A614" s="58"/>
      <c r="B614" s="58"/>
      <c r="C614" s="58"/>
      <c r="D614" s="58"/>
      <c r="E614" s="58"/>
      <c r="F614" s="58"/>
      <c r="G614" s="58"/>
      <c r="H614" s="59"/>
      <c r="I614" s="59"/>
      <c r="J614" s="59"/>
      <c r="K614" s="59"/>
      <c r="L614" s="59"/>
      <c r="M614" s="60"/>
      <c r="N614" s="60"/>
      <c r="O614" s="60"/>
      <c r="P614" s="59"/>
      <c r="Q614" s="59"/>
      <c r="R614" s="60"/>
      <c r="S614" s="60"/>
      <c r="T614" s="60"/>
      <c r="U614" s="60"/>
      <c r="V614" s="60"/>
      <c r="W614" s="60"/>
    </row>
    <row r="615" spans="1:23" ht="13" x14ac:dyDescent="0.3">
      <c r="A615" s="58"/>
      <c r="B615" s="58"/>
      <c r="C615" s="58"/>
      <c r="D615" s="58"/>
      <c r="E615" s="58"/>
      <c r="F615" s="58"/>
      <c r="G615" s="58"/>
      <c r="H615" s="59"/>
      <c r="I615" s="59"/>
      <c r="J615" s="59"/>
      <c r="K615" s="59"/>
      <c r="L615" s="59"/>
      <c r="M615" s="60"/>
      <c r="N615" s="60"/>
      <c r="O615" s="60"/>
      <c r="P615" s="59"/>
      <c r="Q615" s="59"/>
      <c r="R615" s="60"/>
      <c r="S615" s="60"/>
      <c r="T615" s="60"/>
      <c r="U615" s="60"/>
      <c r="V615" s="60"/>
      <c r="W615" s="60"/>
    </row>
    <row r="616" spans="1:23" ht="13" x14ac:dyDescent="0.3">
      <c r="A616" s="58"/>
      <c r="B616" s="58"/>
      <c r="C616" s="58"/>
      <c r="D616" s="58"/>
      <c r="E616" s="58"/>
      <c r="F616" s="58"/>
      <c r="G616" s="58"/>
      <c r="H616" s="59"/>
      <c r="I616" s="59"/>
      <c r="J616" s="59"/>
      <c r="K616" s="59"/>
      <c r="L616" s="59"/>
      <c r="M616" s="60"/>
      <c r="N616" s="60"/>
      <c r="O616" s="60"/>
      <c r="P616" s="59"/>
      <c r="Q616" s="59"/>
      <c r="R616" s="60"/>
      <c r="S616" s="60"/>
      <c r="T616" s="60"/>
      <c r="U616" s="60"/>
      <c r="V616" s="60"/>
      <c r="W616" s="60"/>
    </row>
    <row r="617" spans="1:23" ht="13" x14ac:dyDescent="0.3">
      <c r="A617" s="58"/>
      <c r="B617" s="58"/>
      <c r="C617" s="58"/>
      <c r="D617" s="58"/>
      <c r="E617" s="58"/>
      <c r="F617" s="58"/>
      <c r="G617" s="58"/>
      <c r="H617" s="59"/>
      <c r="I617" s="59"/>
      <c r="J617" s="59"/>
      <c r="K617" s="59"/>
      <c r="L617" s="59"/>
      <c r="M617" s="60"/>
      <c r="N617" s="60"/>
      <c r="O617" s="60"/>
      <c r="P617" s="59"/>
      <c r="Q617" s="59"/>
      <c r="R617" s="60"/>
      <c r="S617" s="60"/>
      <c r="T617" s="60"/>
      <c r="U617" s="60"/>
      <c r="V617" s="60"/>
      <c r="W617" s="60"/>
    </row>
    <row r="618" spans="1:23" ht="13" x14ac:dyDescent="0.3">
      <c r="A618" s="58"/>
      <c r="B618" s="58"/>
      <c r="C618" s="58"/>
      <c r="D618" s="58"/>
      <c r="E618" s="58"/>
      <c r="F618" s="58"/>
      <c r="G618" s="58"/>
      <c r="H618" s="59"/>
      <c r="I618" s="59"/>
      <c r="J618" s="59"/>
      <c r="K618" s="59"/>
      <c r="L618" s="59"/>
      <c r="M618" s="60"/>
      <c r="N618" s="60"/>
      <c r="O618" s="60"/>
      <c r="P618" s="59"/>
      <c r="Q618" s="59"/>
      <c r="R618" s="60"/>
      <c r="S618" s="60"/>
      <c r="T618" s="60"/>
      <c r="U618" s="60"/>
      <c r="V618" s="60"/>
      <c r="W618" s="60"/>
    </row>
    <row r="619" spans="1:23" ht="13" x14ac:dyDescent="0.3">
      <c r="A619" s="58"/>
      <c r="B619" s="58"/>
      <c r="C619" s="58"/>
      <c r="D619" s="58"/>
      <c r="E619" s="58"/>
      <c r="F619" s="58"/>
      <c r="G619" s="58"/>
      <c r="H619" s="59"/>
      <c r="I619" s="59"/>
      <c r="J619" s="59"/>
      <c r="K619" s="59"/>
      <c r="L619" s="59"/>
      <c r="M619" s="60"/>
      <c r="N619" s="60"/>
      <c r="O619" s="60"/>
      <c r="P619" s="59"/>
      <c r="Q619" s="59"/>
      <c r="R619" s="60"/>
      <c r="S619" s="60"/>
      <c r="T619" s="60"/>
      <c r="U619" s="60"/>
      <c r="V619" s="60"/>
      <c r="W619" s="60"/>
    </row>
    <row r="620" spans="1:23" ht="13" x14ac:dyDescent="0.3">
      <c r="A620" s="58"/>
      <c r="B620" s="58"/>
      <c r="C620" s="58"/>
      <c r="D620" s="58"/>
      <c r="E620" s="58"/>
      <c r="F620" s="58"/>
      <c r="G620" s="58"/>
      <c r="H620" s="59"/>
      <c r="I620" s="59"/>
      <c r="J620" s="59"/>
      <c r="K620" s="59"/>
      <c r="L620" s="59"/>
      <c r="M620" s="60"/>
      <c r="N620" s="60"/>
      <c r="O620" s="60"/>
      <c r="P620" s="59"/>
      <c r="Q620" s="59"/>
      <c r="R620" s="60"/>
      <c r="S620" s="60"/>
      <c r="T620" s="60"/>
      <c r="U620" s="60"/>
      <c r="V620" s="60"/>
      <c r="W620" s="60"/>
    </row>
    <row r="621" spans="1:23" ht="13" x14ac:dyDescent="0.3">
      <c r="A621" s="58"/>
      <c r="B621" s="58"/>
      <c r="C621" s="58"/>
      <c r="D621" s="58"/>
      <c r="E621" s="58"/>
      <c r="F621" s="58"/>
      <c r="G621" s="58"/>
      <c r="H621" s="59"/>
      <c r="I621" s="59"/>
      <c r="J621" s="59"/>
      <c r="K621" s="59"/>
      <c r="L621" s="59"/>
      <c r="M621" s="60"/>
      <c r="N621" s="60"/>
      <c r="O621" s="60"/>
      <c r="P621" s="59"/>
      <c r="Q621" s="59"/>
      <c r="R621" s="60"/>
      <c r="S621" s="60"/>
      <c r="T621" s="60"/>
      <c r="U621" s="60"/>
      <c r="V621" s="60"/>
      <c r="W621" s="60"/>
    </row>
    <row r="622" spans="1:23" ht="13" x14ac:dyDescent="0.3">
      <c r="A622" s="58"/>
      <c r="B622" s="58"/>
      <c r="C622" s="58"/>
      <c r="D622" s="58"/>
      <c r="E622" s="58"/>
      <c r="F622" s="58"/>
      <c r="G622" s="58"/>
      <c r="H622" s="59"/>
      <c r="I622" s="59"/>
      <c r="J622" s="59"/>
      <c r="K622" s="59"/>
      <c r="L622" s="59"/>
      <c r="M622" s="60"/>
      <c r="N622" s="60"/>
      <c r="O622" s="60"/>
      <c r="P622" s="59"/>
      <c r="Q622" s="59"/>
      <c r="R622" s="60"/>
      <c r="S622" s="60"/>
      <c r="T622" s="60"/>
      <c r="U622" s="60"/>
      <c r="V622" s="60"/>
      <c r="W622" s="60"/>
    </row>
    <row r="623" spans="1:23" ht="13" x14ac:dyDescent="0.3">
      <c r="A623" s="58"/>
      <c r="B623" s="58"/>
      <c r="C623" s="58"/>
      <c r="D623" s="58"/>
      <c r="E623" s="58"/>
      <c r="F623" s="58"/>
      <c r="G623" s="58"/>
      <c r="H623" s="59"/>
      <c r="I623" s="59"/>
      <c r="J623" s="59"/>
      <c r="K623" s="59"/>
      <c r="L623" s="59"/>
      <c r="M623" s="60"/>
      <c r="N623" s="60"/>
      <c r="O623" s="60"/>
      <c r="P623" s="59"/>
      <c r="Q623" s="59"/>
      <c r="R623" s="60"/>
      <c r="S623" s="60"/>
      <c r="T623" s="60"/>
      <c r="U623" s="60"/>
      <c r="V623" s="60"/>
      <c r="W623" s="60"/>
    </row>
    <row r="624" spans="1:23" ht="13" x14ac:dyDescent="0.3">
      <c r="A624" s="58"/>
      <c r="B624" s="58"/>
      <c r="C624" s="58"/>
      <c r="D624" s="58"/>
      <c r="E624" s="58"/>
      <c r="F624" s="58"/>
      <c r="G624" s="58"/>
      <c r="H624" s="59"/>
      <c r="I624" s="59"/>
      <c r="J624" s="59"/>
      <c r="K624" s="59"/>
      <c r="L624" s="59"/>
      <c r="M624" s="60"/>
      <c r="N624" s="60"/>
      <c r="O624" s="60"/>
      <c r="P624" s="59"/>
      <c r="Q624" s="59"/>
      <c r="R624" s="60"/>
      <c r="S624" s="60"/>
      <c r="T624" s="60"/>
      <c r="U624" s="60"/>
      <c r="V624" s="60"/>
      <c r="W624" s="60"/>
    </row>
    <row r="625" spans="1:23" ht="13" x14ac:dyDescent="0.3">
      <c r="A625" s="58"/>
      <c r="B625" s="58"/>
      <c r="C625" s="58"/>
      <c r="D625" s="58"/>
      <c r="E625" s="58"/>
      <c r="F625" s="58"/>
      <c r="G625" s="58"/>
      <c r="H625" s="59"/>
      <c r="I625" s="59"/>
      <c r="J625" s="59"/>
      <c r="K625" s="59"/>
      <c r="L625" s="59"/>
      <c r="M625" s="60"/>
      <c r="N625" s="60"/>
      <c r="O625" s="60"/>
      <c r="P625" s="59"/>
      <c r="Q625" s="59"/>
      <c r="R625" s="60"/>
      <c r="S625" s="60"/>
      <c r="T625" s="60"/>
      <c r="U625" s="60"/>
      <c r="V625" s="60"/>
      <c r="W625" s="60"/>
    </row>
    <row r="626" spans="1:23" ht="13" x14ac:dyDescent="0.3">
      <c r="A626" s="58"/>
      <c r="B626" s="58"/>
      <c r="C626" s="58"/>
      <c r="D626" s="58"/>
      <c r="E626" s="58"/>
      <c r="F626" s="58"/>
      <c r="G626" s="58"/>
      <c r="H626" s="59"/>
      <c r="I626" s="59"/>
      <c r="J626" s="59"/>
      <c r="K626" s="59"/>
      <c r="L626" s="59"/>
      <c r="M626" s="60"/>
      <c r="N626" s="60"/>
      <c r="O626" s="60"/>
      <c r="P626" s="59"/>
      <c r="Q626" s="59"/>
      <c r="R626" s="60"/>
      <c r="S626" s="60"/>
      <c r="T626" s="60"/>
      <c r="U626" s="60"/>
      <c r="V626" s="60"/>
      <c r="W626" s="60"/>
    </row>
    <row r="627" spans="1:23" ht="13" x14ac:dyDescent="0.3">
      <c r="A627" s="58"/>
      <c r="B627" s="58"/>
      <c r="C627" s="58"/>
      <c r="D627" s="58"/>
      <c r="E627" s="58"/>
      <c r="F627" s="58"/>
      <c r="G627" s="58"/>
      <c r="H627" s="59"/>
      <c r="I627" s="59"/>
      <c r="J627" s="59"/>
      <c r="K627" s="59"/>
      <c r="L627" s="59"/>
      <c r="M627" s="60"/>
      <c r="N627" s="60"/>
      <c r="O627" s="60"/>
      <c r="P627" s="59"/>
      <c r="Q627" s="59"/>
      <c r="R627" s="60"/>
      <c r="S627" s="60"/>
      <c r="T627" s="60"/>
      <c r="U627" s="60"/>
      <c r="V627" s="60"/>
      <c r="W627" s="60"/>
    </row>
    <row r="628" spans="1:23" ht="13" x14ac:dyDescent="0.3">
      <c r="A628" s="58"/>
      <c r="B628" s="58"/>
      <c r="C628" s="58"/>
      <c r="D628" s="58"/>
      <c r="E628" s="58"/>
      <c r="F628" s="58"/>
      <c r="G628" s="58"/>
      <c r="H628" s="59"/>
      <c r="I628" s="59"/>
      <c r="J628" s="59"/>
      <c r="K628" s="59"/>
      <c r="L628" s="59"/>
      <c r="M628" s="60"/>
      <c r="N628" s="60"/>
      <c r="O628" s="60"/>
      <c r="P628" s="59"/>
      <c r="Q628" s="59"/>
      <c r="R628" s="60"/>
      <c r="S628" s="60"/>
      <c r="T628" s="60"/>
      <c r="U628" s="60"/>
      <c r="V628" s="60"/>
      <c r="W628" s="60"/>
    </row>
    <row r="629" spans="1:23" ht="13" x14ac:dyDescent="0.3">
      <c r="A629" s="58"/>
      <c r="B629" s="58"/>
      <c r="C629" s="58"/>
      <c r="D629" s="58"/>
      <c r="E629" s="58"/>
      <c r="F629" s="58"/>
      <c r="G629" s="58"/>
      <c r="H629" s="59"/>
      <c r="I629" s="59"/>
      <c r="J629" s="59"/>
      <c r="K629" s="59"/>
      <c r="L629" s="59"/>
      <c r="M629" s="60"/>
      <c r="N629" s="60"/>
      <c r="O629" s="60"/>
      <c r="P629" s="59"/>
      <c r="Q629" s="59"/>
      <c r="R629" s="60"/>
      <c r="S629" s="60"/>
      <c r="T629" s="60"/>
      <c r="U629" s="60"/>
      <c r="V629" s="60"/>
      <c r="W629" s="60"/>
    </row>
    <row r="630" spans="1:23" ht="13" x14ac:dyDescent="0.3">
      <c r="A630" s="58"/>
      <c r="B630" s="58"/>
      <c r="C630" s="58"/>
      <c r="D630" s="58"/>
      <c r="E630" s="58"/>
      <c r="F630" s="58"/>
      <c r="G630" s="58"/>
      <c r="H630" s="59"/>
      <c r="I630" s="59"/>
      <c r="J630" s="59"/>
      <c r="K630" s="59"/>
      <c r="L630" s="59"/>
      <c r="M630" s="60"/>
      <c r="N630" s="60"/>
      <c r="O630" s="60"/>
      <c r="P630" s="59"/>
      <c r="Q630" s="59"/>
      <c r="R630" s="60"/>
      <c r="S630" s="60"/>
      <c r="T630" s="60"/>
      <c r="U630" s="60"/>
      <c r="V630" s="60"/>
      <c r="W630" s="60"/>
    </row>
    <row r="631" spans="1:23" ht="13" x14ac:dyDescent="0.3">
      <c r="A631" s="58"/>
      <c r="B631" s="58"/>
      <c r="C631" s="58"/>
      <c r="D631" s="58"/>
      <c r="E631" s="58"/>
      <c r="F631" s="58"/>
      <c r="G631" s="58"/>
      <c r="H631" s="59"/>
      <c r="I631" s="59"/>
      <c r="J631" s="59"/>
      <c r="K631" s="59"/>
      <c r="L631" s="59"/>
      <c r="M631" s="60"/>
      <c r="N631" s="60"/>
      <c r="O631" s="60"/>
      <c r="P631" s="59"/>
      <c r="Q631" s="59"/>
      <c r="R631" s="60"/>
      <c r="S631" s="60"/>
      <c r="T631" s="60"/>
      <c r="U631" s="60"/>
      <c r="V631" s="60"/>
      <c r="W631" s="60"/>
    </row>
    <row r="632" spans="1:23" ht="13" x14ac:dyDescent="0.3">
      <c r="A632" s="58"/>
      <c r="B632" s="58"/>
      <c r="C632" s="58"/>
      <c r="D632" s="58"/>
      <c r="E632" s="58"/>
      <c r="F632" s="58"/>
      <c r="G632" s="58"/>
      <c r="H632" s="59"/>
      <c r="I632" s="59"/>
      <c r="J632" s="59"/>
      <c r="K632" s="59"/>
      <c r="L632" s="59"/>
      <c r="M632" s="60"/>
      <c r="N632" s="60"/>
      <c r="O632" s="60"/>
      <c r="P632" s="59"/>
      <c r="Q632" s="59"/>
      <c r="R632" s="60"/>
      <c r="S632" s="60"/>
      <c r="T632" s="60"/>
      <c r="U632" s="60"/>
      <c r="V632" s="60"/>
      <c r="W632" s="60"/>
    </row>
    <row r="633" spans="1:23" ht="13" x14ac:dyDescent="0.3">
      <c r="A633" s="58"/>
      <c r="B633" s="58"/>
      <c r="C633" s="58"/>
      <c r="D633" s="58"/>
      <c r="E633" s="58"/>
      <c r="F633" s="58"/>
      <c r="G633" s="58"/>
      <c r="H633" s="59"/>
      <c r="I633" s="59"/>
      <c r="J633" s="59"/>
      <c r="K633" s="59"/>
      <c r="L633" s="59"/>
      <c r="M633" s="60"/>
      <c r="N633" s="60"/>
      <c r="O633" s="60"/>
      <c r="P633" s="59"/>
      <c r="Q633" s="59"/>
      <c r="R633" s="60"/>
      <c r="S633" s="60"/>
      <c r="T633" s="60"/>
      <c r="U633" s="60"/>
      <c r="V633" s="60"/>
      <c r="W633" s="60"/>
    </row>
    <row r="634" spans="1:23" ht="13" x14ac:dyDescent="0.3">
      <c r="A634" s="58"/>
      <c r="B634" s="58"/>
      <c r="C634" s="58"/>
      <c r="D634" s="58"/>
      <c r="E634" s="58"/>
      <c r="F634" s="58"/>
      <c r="G634" s="58"/>
      <c r="H634" s="59"/>
      <c r="I634" s="59"/>
      <c r="J634" s="59"/>
      <c r="K634" s="59"/>
      <c r="L634" s="59"/>
      <c r="M634" s="60"/>
      <c r="N634" s="60"/>
      <c r="O634" s="60"/>
      <c r="P634" s="59"/>
      <c r="Q634" s="59"/>
      <c r="R634" s="60"/>
      <c r="S634" s="60"/>
      <c r="T634" s="60"/>
      <c r="U634" s="60"/>
      <c r="V634" s="60"/>
      <c r="W634" s="60"/>
    </row>
    <row r="635" spans="1:23" ht="13" x14ac:dyDescent="0.3">
      <c r="A635" s="58"/>
      <c r="B635" s="58"/>
      <c r="C635" s="58"/>
      <c r="D635" s="58"/>
      <c r="E635" s="58"/>
      <c r="F635" s="58"/>
      <c r="G635" s="58"/>
      <c r="H635" s="59"/>
      <c r="I635" s="59"/>
      <c r="J635" s="59"/>
      <c r="K635" s="59"/>
      <c r="L635" s="59"/>
      <c r="M635" s="60"/>
      <c r="N635" s="60"/>
      <c r="O635" s="60"/>
      <c r="P635" s="59"/>
      <c r="Q635" s="59"/>
      <c r="R635" s="60"/>
      <c r="S635" s="60"/>
      <c r="T635" s="60"/>
      <c r="U635" s="60"/>
      <c r="V635" s="60"/>
      <c r="W635" s="60"/>
    </row>
    <row r="636" spans="1:23" ht="13" x14ac:dyDescent="0.3">
      <c r="A636" s="58"/>
      <c r="B636" s="58"/>
      <c r="C636" s="58"/>
      <c r="D636" s="58"/>
      <c r="E636" s="58"/>
      <c r="F636" s="58"/>
      <c r="G636" s="58"/>
      <c r="H636" s="59"/>
      <c r="I636" s="59"/>
      <c r="J636" s="59"/>
      <c r="K636" s="59"/>
      <c r="L636" s="59"/>
      <c r="M636" s="60"/>
      <c r="N636" s="60"/>
      <c r="O636" s="60"/>
      <c r="P636" s="59"/>
      <c r="Q636" s="59"/>
      <c r="R636" s="60"/>
      <c r="S636" s="60"/>
      <c r="T636" s="60"/>
      <c r="U636" s="60"/>
      <c r="V636" s="60"/>
      <c r="W636" s="60"/>
    </row>
    <row r="637" spans="1:23" ht="13" x14ac:dyDescent="0.3">
      <c r="A637" s="58"/>
      <c r="B637" s="58"/>
      <c r="C637" s="58"/>
      <c r="D637" s="58"/>
      <c r="E637" s="58"/>
      <c r="F637" s="58"/>
      <c r="G637" s="58"/>
      <c r="H637" s="59"/>
      <c r="I637" s="59"/>
      <c r="J637" s="59"/>
      <c r="K637" s="59"/>
      <c r="L637" s="59"/>
      <c r="M637" s="60"/>
      <c r="N637" s="60"/>
      <c r="O637" s="60"/>
      <c r="P637" s="59"/>
      <c r="Q637" s="59"/>
      <c r="R637" s="60"/>
      <c r="S637" s="60"/>
      <c r="T637" s="60"/>
      <c r="U637" s="60"/>
      <c r="V637" s="60"/>
      <c r="W637" s="60"/>
    </row>
    <row r="638" spans="1:23" ht="13" x14ac:dyDescent="0.3">
      <c r="A638" s="58"/>
      <c r="B638" s="58"/>
      <c r="C638" s="58"/>
      <c r="D638" s="58"/>
      <c r="E638" s="58"/>
      <c r="F638" s="58"/>
      <c r="G638" s="58"/>
      <c r="H638" s="59"/>
      <c r="I638" s="59"/>
      <c r="J638" s="59"/>
      <c r="K638" s="59"/>
      <c r="L638" s="59"/>
      <c r="M638" s="60"/>
      <c r="N638" s="60"/>
      <c r="O638" s="60"/>
      <c r="P638" s="59"/>
      <c r="Q638" s="59"/>
      <c r="R638" s="60"/>
      <c r="S638" s="60"/>
      <c r="T638" s="60"/>
      <c r="U638" s="60"/>
      <c r="V638" s="60"/>
      <c r="W638" s="60"/>
    </row>
    <row r="639" spans="1:23" ht="13" x14ac:dyDescent="0.3">
      <c r="A639" s="58"/>
      <c r="B639" s="58"/>
      <c r="C639" s="58"/>
      <c r="D639" s="58"/>
      <c r="E639" s="58"/>
      <c r="F639" s="58"/>
      <c r="G639" s="58"/>
      <c r="H639" s="59"/>
      <c r="I639" s="59"/>
      <c r="J639" s="59"/>
      <c r="K639" s="59"/>
      <c r="L639" s="59"/>
      <c r="M639" s="60"/>
      <c r="N639" s="60"/>
      <c r="O639" s="60"/>
      <c r="P639" s="59"/>
      <c r="Q639" s="59"/>
      <c r="R639" s="60"/>
      <c r="S639" s="60"/>
      <c r="T639" s="60"/>
      <c r="U639" s="60"/>
      <c r="V639" s="60"/>
      <c r="W639" s="60"/>
    </row>
    <row r="640" spans="1:23" ht="13" x14ac:dyDescent="0.3">
      <c r="A640" s="58"/>
      <c r="B640" s="58"/>
      <c r="C640" s="58"/>
      <c r="D640" s="58"/>
      <c r="E640" s="58"/>
      <c r="F640" s="58"/>
      <c r="G640" s="58"/>
      <c r="H640" s="59"/>
      <c r="I640" s="59"/>
      <c r="J640" s="59"/>
      <c r="K640" s="59"/>
      <c r="L640" s="59"/>
      <c r="M640" s="60"/>
      <c r="N640" s="60"/>
      <c r="O640" s="60"/>
      <c r="P640" s="59"/>
      <c r="Q640" s="59"/>
      <c r="R640" s="60"/>
      <c r="S640" s="60"/>
      <c r="T640" s="60"/>
      <c r="U640" s="60"/>
      <c r="V640" s="60"/>
      <c r="W640" s="60"/>
    </row>
    <row r="641" spans="1:23" ht="13" x14ac:dyDescent="0.3">
      <c r="A641" s="58"/>
      <c r="B641" s="58"/>
      <c r="C641" s="58"/>
      <c r="D641" s="58"/>
      <c r="E641" s="58"/>
      <c r="F641" s="58"/>
      <c r="G641" s="58"/>
      <c r="H641" s="59"/>
      <c r="I641" s="59"/>
      <c r="J641" s="59"/>
      <c r="K641" s="59"/>
      <c r="L641" s="59"/>
      <c r="M641" s="60"/>
      <c r="N641" s="60"/>
      <c r="O641" s="60"/>
      <c r="P641" s="59"/>
      <c r="Q641" s="59"/>
      <c r="R641" s="60"/>
      <c r="S641" s="60"/>
      <c r="T641" s="60"/>
      <c r="U641" s="60"/>
      <c r="V641" s="60"/>
      <c r="W641" s="60"/>
    </row>
    <row r="642" spans="1:23" ht="13" x14ac:dyDescent="0.3">
      <c r="A642" s="58"/>
      <c r="B642" s="58"/>
      <c r="C642" s="58"/>
      <c r="D642" s="58"/>
      <c r="E642" s="58"/>
      <c r="F642" s="58"/>
      <c r="G642" s="58"/>
      <c r="H642" s="59"/>
      <c r="I642" s="59"/>
      <c r="J642" s="59"/>
      <c r="K642" s="59"/>
      <c r="L642" s="59"/>
      <c r="M642" s="60"/>
      <c r="N642" s="60"/>
      <c r="O642" s="60"/>
      <c r="P642" s="59"/>
      <c r="Q642" s="59"/>
      <c r="R642" s="60"/>
      <c r="S642" s="60"/>
      <c r="T642" s="60"/>
      <c r="U642" s="60"/>
      <c r="V642" s="60"/>
      <c r="W642" s="60"/>
    </row>
    <row r="643" spans="1:23" ht="13" x14ac:dyDescent="0.3">
      <c r="A643" s="58"/>
      <c r="B643" s="58"/>
      <c r="C643" s="58"/>
      <c r="D643" s="58"/>
      <c r="E643" s="58"/>
      <c r="F643" s="58"/>
      <c r="G643" s="58"/>
      <c r="H643" s="59"/>
      <c r="I643" s="59"/>
      <c r="J643" s="59"/>
      <c r="K643" s="59"/>
      <c r="L643" s="59"/>
      <c r="M643" s="60"/>
      <c r="N643" s="60"/>
      <c r="O643" s="60"/>
      <c r="P643" s="59"/>
      <c r="Q643" s="59"/>
      <c r="R643" s="60"/>
      <c r="S643" s="60"/>
      <c r="T643" s="60"/>
      <c r="U643" s="60"/>
      <c r="V643" s="60"/>
      <c r="W643" s="60"/>
    </row>
    <row r="644" spans="1:23" ht="13" x14ac:dyDescent="0.3">
      <c r="A644" s="58"/>
      <c r="B644" s="58"/>
      <c r="C644" s="58"/>
      <c r="D644" s="58"/>
      <c r="E644" s="58"/>
      <c r="F644" s="58"/>
      <c r="G644" s="58"/>
      <c r="H644" s="59"/>
      <c r="I644" s="59"/>
      <c r="J644" s="59"/>
      <c r="K644" s="59"/>
      <c r="L644" s="59"/>
      <c r="M644" s="60"/>
      <c r="N644" s="60"/>
      <c r="O644" s="60"/>
      <c r="P644" s="59"/>
      <c r="Q644" s="59"/>
      <c r="R644" s="60"/>
      <c r="S644" s="60"/>
      <c r="T644" s="60"/>
      <c r="U644" s="60"/>
      <c r="V644" s="60"/>
      <c r="W644" s="60"/>
    </row>
    <row r="645" spans="1:23" ht="13" x14ac:dyDescent="0.3">
      <c r="A645" s="58"/>
      <c r="B645" s="58"/>
      <c r="C645" s="58"/>
      <c r="D645" s="58"/>
      <c r="E645" s="58"/>
      <c r="F645" s="58"/>
      <c r="G645" s="58"/>
      <c r="H645" s="59"/>
      <c r="I645" s="59"/>
      <c r="J645" s="59"/>
      <c r="K645" s="59"/>
      <c r="L645" s="59"/>
      <c r="M645" s="60"/>
      <c r="N645" s="60"/>
      <c r="O645" s="60"/>
      <c r="P645" s="59"/>
      <c r="Q645" s="59"/>
      <c r="R645" s="60"/>
      <c r="S645" s="60"/>
      <c r="T645" s="60"/>
      <c r="U645" s="60"/>
      <c r="V645" s="60"/>
      <c r="W645" s="60"/>
    </row>
    <row r="646" spans="1:23" ht="13" x14ac:dyDescent="0.3">
      <c r="A646" s="58"/>
      <c r="B646" s="58"/>
      <c r="C646" s="58"/>
      <c r="D646" s="58"/>
      <c r="E646" s="58"/>
      <c r="F646" s="58"/>
      <c r="G646" s="58"/>
      <c r="H646" s="59"/>
      <c r="I646" s="59"/>
      <c r="J646" s="59"/>
      <c r="K646" s="59"/>
      <c r="L646" s="59"/>
      <c r="M646" s="60"/>
      <c r="N646" s="60"/>
      <c r="O646" s="60"/>
      <c r="P646" s="59"/>
      <c r="Q646" s="59"/>
      <c r="R646" s="60"/>
      <c r="S646" s="60"/>
      <c r="T646" s="60"/>
      <c r="U646" s="60"/>
      <c r="V646" s="60"/>
      <c r="W646" s="60"/>
    </row>
    <row r="647" spans="1:23" ht="13" x14ac:dyDescent="0.3">
      <c r="A647" s="58"/>
      <c r="B647" s="58"/>
      <c r="C647" s="58"/>
      <c r="D647" s="58"/>
      <c r="E647" s="58"/>
      <c r="F647" s="58"/>
      <c r="G647" s="58"/>
      <c r="H647" s="59"/>
      <c r="I647" s="59"/>
      <c r="J647" s="59"/>
      <c r="K647" s="59"/>
      <c r="L647" s="59"/>
      <c r="M647" s="60"/>
      <c r="N647" s="60"/>
      <c r="O647" s="60"/>
      <c r="P647" s="59"/>
      <c r="Q647" s="59"/>
      <c r="R647" s="60"/>
      <c r="S647" s="60"/>
      <c r="T647" s="60"/>
      <c r="U647" s="60"/>
      <c r="V647" s="60"/>
      <c r="W647" s="60"/>
    </row>
    <row r="648" spans="1:23" ht="13" x14ac:dyDescent="0.3">
      <c r="A648" s="58"/>
      <c r="B648" s="58"/>
      <c r="C648" s="58"/>
      <c r="D648" s="58"/>
      <c r="E648" s="58"/>
      <c r="F648" s="58"/>
      <c r="G648" s="58"/>
      <c r="H648" s="59"/>
      <c r="I648" s="59"/>
      <c r="J648" s="59"/>
      <c r="K648" s="59"/>
      <c r="L648" s="59"/>
      <c r="M648" s="60"/>
      <c r="N648" s="60"/>
      <c r="O648" s="60"/>
      <c r="P648" s="59"/>
      <c r="Q648" s="59"/>
      <c r="R648" s="60"/>
      <c r="S648" s="60"/>
      <c r="T648" s="60"/>
      <c r="U648" s="60"/>
      <c r="V648" s="60"/>
      <c r="W648" s="60"/>
    </row>
    <row r="649" spans="1:23" ht="13" x14ac:dyDescent="0.3">
      <c r="A649" s="58"/>
      <c r="B649" s="58"/>
      <c r="C649" s="58"/>
      <c r="D649" s="58"/>
      <c r="E649" s="58"/>
      <c r="F649" s="58"/>
      <c r="G649" s="58"/>
      <c r="H649" s="59"/>
      <c r="I649" s="59"/>
      <c r="J649" s="59"/>
      <c r="K649" s="59"/>
      <c r="L649" s="59"/>
      <c r="M649" s="60"/>
      <c r="N649" s="60"/>
      <c r="O649" s="60"/>
      <c r="P649" s="59"/>
      <c r="Q649" s="59"/>
      <c r="R649" s="60"/>
      <c r="S649" s="60"/>
      <c r="T649" s="60"/>
      <c r="U649" s="60"/>
      <c r="V649" s="60"/>
      <c r="W649" s="60"/>
    </row>
    <row r="650" spans="1:23" ht="13" x14ac:dyDescent="0.3">
      <c r="A650" s="58"/>
      <c r="B650" s="58"/>
      <c r="C650" s="58"/>
      <c r="D650" s="58"/>
      <c r="E650" s="58"/>
      <c r="F650" s="58"/>
      <c r="G650" s="58"/>
      <c r="H650" s="59"/>
      <c r="I650" s="59"/>
      <c r="J650" s="59"/>
      <c r="K650" s="59"/>
      <c r="L650" s="59"/>
      <c r="M650" s="60"/>
      <c r="N650" s="60"/>
      <c r="O650" s="60"/>
      <c r="P650" s="59"/>
      <c r="Q650" s="59"/>
      <c r="R650" s="60"/>
      <c r="S650" s="60"/>
      <c r="T650" s="60"/>
      <c r="U650" s="60"/>
      <c r="V650" s="60"/>
      <c r="W650" s="60"/>
    </row>
    <row r="651" spans="1:23" ht="13" x14ac:dyDescent="0.3">
      <c r="A651" s="58"/>
      <c r="B651" s="58"/>
      <c r="C651" s="58"/>
      <c r="D651" s="58"/>
      <c r="E651" s="58"/>
      <c r="F651" s="58"/>
      <c r="G651" s="58"/>
      <c r="H651" s="59"/>
      <c r="I651" s="59"/>
      <c r="J651" s="59"/>
      <c r="K651" s="59"/>
      <c r="L651" s="59"/>
      <c r="M651" s="60"/>
      <c r="N651" s="60"/>
      <c r="O651" s="60"/>
      <c r="P651" s="59"/>
      <c r="Q651" s="59"/>
      <c r="R651" s="60"/>
      <c r="S651" s="60"/>
      <c r="T651" s="60"/>
      <c r="U651" s="60"/>
      <c r="V651" s="60"/>
      <c r="W651" s="60"/>
    </row>
    <row r="652" spans="1:23" ht="13" x14ac:dyDescent="0.3">
      <c r="A652" s="58"/>
      <c r="B652" s="58"/>
      <c r="C652" s="58"/>
      <c r="D652" s="58"/>
      <c r="E652" s="58"/>
      <c r="F652" s="58"/>
      <c r="G652" s="58"/>
      <c r="H652" s="59"/>
      <c r="I652" s="59"/>
      <c r="J652" s="59"/>
      <c r="K652" s="59"/>
      <c r="L652" s="59"/>
      <c r="M652" s="60"/>
      <c r="N652" s="60"/>
      <c r="O652" s="60"/>
      <c r="P652" s="59"/>
      <c r="Q652" s="59"/>
      <c r="R652" s="60"/>
      <c r="S652" s="60"/>
      <c r="T652" s="60"/>
      <c r="U652" s="60"/>
      <c r="V652" s="60"/>
      <c r="W652" s="60"/>
    </row>
    <row r="653" spans="1:23" ht="13" x14ac:dyDescent="0.3">
      <c r="A653" s="58"/>
      <c r="B653" s="58"/>
      <c r="C653" s="58"/>
      <c r="D653" s="58"/>
      <c r="E653" s="58"/>
      <c r="F653" s="58"/>
      <c r="G653" s="58"/>
      <c r="H653" s="59"/>
      <c r="I653" s="59"/>
      <c r="J653" s="59"/>
      <c r="K653" s="59"/>
      <c r="L653" s="59"/>
      <c r="M653" s="60"/>
      <c r="N653" s="60"/>
      <c r="O653" s="60"/>
      <c r="P653" s="59"/>
      <c r="Q653" s="59"/>
      <c r="R653" s="60"/>
      <c r="S653" s="60"/>
      <c r="T653" s="60"/>
      <c r="U653" s="60"/>
      <c r="V653" s="60"/>
      <c r="W653" s="60"/>
    </row>
    <row r="654" spans="1:23" ht="13" x14ac:dyDescent="0.3">
      <c r="A654" s="58"/>
      <c r="B654" s="58"/>
      <c r="C654" s="58"/>
      <c r="D654" s="58"/>
      <c r="E654" s="58"/>
      <c r="F654" s="58"/>
      <c r="G654" s="58"/>
      <c r="H654" s="59"/>
      <c r="I654" s="59"/>
      <c r="J654" s="59"/>
      <c r="K654" s="59"/>
      <c r="L654" s="59"/>
      <c r="M654" s="60"/>
      <c r="N654" s="60"/>
      <c r="O654" s="60"/>
      <c r="P654" s="59"/>
      <c r="Q654" s="59"/>
      <c r="R654" s="60"/>
      <c r="S654" s="60"/>
      <c r="T654" s="60"/>
      <c r="U654" s="60"/>
      <c r="V654" s="60"/>
      <c r="W654" s="60"/>
    </row>
    <row r="655" spans="1:23" ht="13" x14ac:dyDescent="0.3">
      <c r="A655" s="58"/>
      <c r="B655" s="58"/>
      <c r="C655" s="58"/>
      <c r="D655" s="58"/>
      <c r="E655" s="58"/>
      <c r="F655" s="58"/>
      <c r="G655" s="58"/>
      <c r="H655" s="59"/>
      <c r="I655" s="59"/>
      <c r="J655" s="59"/>
      <c r="K655" s="59"/>
      <c r="L655" s="59"/>
      <c r="M655" s="60"/>
      <c r="N655" s="60"/>
      <c r="O655" s="60"/>
      <c r="P655" s="59"/>
      <c r="Q655" s="59"/>
      <c r="R655" s="60"/>
      <c r="S655" s="60"/>
      <c r="T655" s="60"/>
      <c r="U655" s="60"/>
      <c r="V655" s="60"/>
      <c r="W655" s="60"/>
    </row>
    <row r="656" spans="1:23" ht="13" x14ac:dyDescent="0.3">
      <c r="A656" s="58"/>
      <c r="B656" s="58"/>
      <c r="C656" s="58"/>
      <c r="D656" s="58"/>
      <c r="E656" s="58"/>
      <c r="F656" s="58"/>
      <c r="G656" s="58"/>
      <c r="H656" s="59"/>
      <c r="I656" s="59"/>
      <c r="J656" s="59"/>
      <c r="K656" s="59"/>
      <c r="L656" s="59"/>
      <c r="M656" s="60"/>
      <c r="N656" s="60"/>
      <c r="O656" s="60"/>
      <c r="P656" s="59"/>
      <c r="Q656" s="59"/>
      <c r="R656" s="60"/>
      <c r="S656" s="60"/>
      <c r="T656" s="60"/>
      <c r="U656" s="60"/>
      <c r="V656" s="60"/>
      <c r="W656" s="60"/>
    </row>
    <row r="657" spans="1:23" ht="13" x14ac:dyDescent="0.3">
      <c r="A657" s="58"/>
      <c r="B657" s="58"/>
      <c r="C657" s="58"/>
      <c r="D657" s="58"/>
      <c r="E657" s="58"/>
      <c r="F657" s="58"/>
      <c r="G657" s="58"/>
      <c r="H657" s="59"/>
      <c r="I657" s="59"/>
      <c r="J657" s="59"/>
      <c r="K657" s="59"/>
      <c r="L657" s="59"/>
      <c r="M657" s="60"/>
      <c r="N657" s="60"/>
      <c r="O657" s="60"/>
      <c r="P657" s="59"/>
      <c r="Q657" s="59"/>
      <c r="R657" s="60"/>
      <c r="S657" s="60"/>
      <c r="T657" s="60"/>
      <c r="U657" s="60"/>
      <c r="V657" s="60"/>
      <c r="W657" s="60"/>
    </row>
    <row r="658" spans="1:23" ht="13" x14ac:dyDescent="0.3">
      <c r="A658" s="58"/>
      <c r="B658" s="58"/>
      <c r="C658" s="58"/>
      <c r="D658" s="58"/>
      <c r="E658" s="58"/>
      <c r="F658" s="58"/>
      <c r="G658" s="58"/>
      <c r="H658" s="59"/>
      <c r="I658" s="59"/>
      <c r="J658" s="59"/>
      <c r="K658" s="59"/>
      <c r="L658" s="59"/>
      <c r="M658" s="60"/>
      <c r="N658" s="60"/>
      <c r="O658" s="60"/>
      <c r="P658" s="59"/>
      <c r="Q658" s="59"/>
      <c r="R658" s="60"/>
      <c r="S658" s="60"/>
      <c r="T658" s="60"/>
      <c r="U658" s="60"/>
      <c r="V658" s="60"/>
      <c r="W658" s="60"/>
    </row>
    <row r="659" spans="1:23" ht="13" x14ac:dyDescent="0.3">
      <c r="A659" s="58"/>
      <c r="B659" s="58"/>
      <c r="C659" s="58"/>
      <c r="D659" s="58"/>
      <c r="E659" s="58"/>
      <c r="F659" s="58"/>
      <c r="G659" s="58"/>
      <c r="H659" s="59"/>
      <c r="I659" s="59"/>
      <c r="J659" s="59"/>
      <c r="K659" s="59"/>
      <c r="L659" s="59"/>
      <c r="M659" s="60"/>
      <c r="N659" s="60"/>
      <c r="O659" s="60"/>
      <c r="P659" s="59"/>
      <c r="Q659" s="59"/>
      <c r="R659" s="60"/>
      <c r="S659" s="60"/>
      <c r="T659" s="60"/>
      <c r="U659" s="60"/>
      <c r="V659" s="60"/>
      <c r="W659" s="60"/>
    </row>
    <row r="660" spans="1:23" ht="13" x14ac:dyDescent="0.3">
      <c r="A660" s="58"/>
      <c r="B660" s="58"/>
      <c r="C660" s="58"/>
      <c r="D660" s="58"/>
      <c r="E660" s="58"/>
      <c r="F660" s="58"/>
      <c r="G660" s="58"/>
      <c r="H660" s="59"/>
      <c r="I660" s="59"/>
      <c r="J660" s="59"/>
      <c r="K660" s="59"/>
      <c r="L660" s="59"/>
      <c r="M660" s="60"/>
      <c r="N660" s="60"/>
      <c r="O660" s="60"/>
      <c r="P660" s="59"/>
      <c r="Q660" s="59"/>
      <c r="R660" s="60"/>
      <c r="S660" s="60"/>
      <c r="T660" s="60"/>
      <c r="U660" s="60"/>
      <c r="V660" s="60"/>
      <c r="W660" s="60"/>
    </row>
    <row r="661" spans="1:23" ht="13" x14ac:dyDescent="0.3">
      <c r="A661" s="58"/>
      <c r="B661" s="58"/>
      <c r="C661" s="58"/>
      <c r="D661" s="58"/>
      <c r="E661" s="58"/>
      <c r="F661" s="58"/>
      <c r="G661" s="58"/>
      <c r="H661" s="59"/>
      <c r="I661" s="59"/>
      <c r="J661" s="59"/>
      <c r="K661" s="59"/>
      <c r="L661" s="59"/>
      <c r="M661" s="60"/>
      <c r="N661" s="60"/>
      <c r="O661" s="60"/>
      <c r="P661" s="59"/>
      <c r="Q661" s="59"/>
      <c r="R661" s="60"/>
      <c r="S661" s="60"/>
      <c r="T661" s="60"/>
      <c r="U661" s="60"/>
      <c r="V661" s="60"/>
      <c r="W661" s="60"/>
    </row>
    <row r="662" spans="1:23" ht="13" x14ac:dyDescent="0.3">
      <c r="A662" s="58"/>
      <c r="B662" s="58"/>
      <c r="C662" s="58"/>
      <c r="D662" s="58"/>
      <c r="E662" s="58"/>
      <c r="F662" s="58"/>
      <c r="G662" s="58"/>
      <c r="H662" s="59"/>
      <c r="I662" s="59"/>
      <c r="J662" s="59"/>
      <c r="K662" s="59"/>
      <c r="L662" s="59"/>
      <c r="M662" s="60"/>
      <c r="N662" s="60"/>
      <c r="O662" s="60"/>
      <c r="P662" s="59"/>
      <c r="Q662" s="59"/>
      <c r="R662" s="60"/>
      <c r="S662" s="60"/>
      <c r="T662" s="60"/>
      <c r="U662" s="60"/>
      <c r="V662" s="60"/>
      <c r="W662" s="60"/>
    </row>
    <row r="663" spans="1:23" ht="13" x14ac:dyDescent="0.3">
      <c r="A663" s="58"/>
      <c r="B663" s="58"/>
      <c r="C663" s="58"/>
      <c r="D663" s="58"/>
      <c r="E663" s="58"/>
      <c r="F663" s="58"/>
      <c r="G663" s="58"/>
      <c r="H663" s="59"/>
      <c r="I663" s="59"/>
      <c r="J663" s="59"/>
      <c r="K663" s="59"/>
      <c r="L663" s="59"/>
      <c r="M663" s="60"/>
      <c r="N663" s="60"/>
      <c r="O663" s="60"/>
      <c r="P663" s="59"/>
      <c r="Q663" s="59"/>
      <c r="R663" s="60"/>
      <c r="S663" s="60"/>
      <c r="T663" s="60"/>
      <c r="U663" s="60"/>
      <c r="V663" s="60"/>
      <c r="W663" s="60"/>
    </row>
    <row r="664" spans="1:23" ht="13" x14ac:dyDescent="0.3">
      <c r="A664" s="58"/>
      <c r="B664" s="58"/>
      <c r="C664" s="58"/>
      <c r="D664" s="58"/>
      <c r="E664" s="58"/>
      <c r="F664" s="58"/>
      <c r="G664" s="58"/>
      <c r="H664" s="59"/>
      <c r="I664" s="59"/>
      <c r="J664" s="59"/>
      <c r="K664" s="59"/>
      <c r="L664" s="59"/>
      <c r="M664" s="60"/>
      <c r="N664" s="60"/>
      <c r="O664" s="60"/>
      <c r="P664" s="59"/>
      <c r="Q664" s="59"/>
      <c r="R664" s="60"/>
      <c r="S664" s="60"/>
      <c r="T664" s="60"/>
      <c r="U664" s="60"/>
      <c r="V664" s="60"/>
      <c r="W664" s="60"/>
    </row>
    <row r="665" spans="1:23" ht="13" x14ac:dyDescent="0.3">
      <c r="A665" s="58"/>
      <c r="B665" s="58"/>
      <c r="C665" s="58"/>
      <c r="D665" s="58"/>
      <c r="E665" s="58"/>
      <c r="F665" s="58"/>
      <c r="G665" s="58"/>
      <c r="H665" s="59"/>
      <c r="I665" s="59"/>
      <c r="J665" s="59"/>
      <c r="K665" s="59"/>
      <c r="L665" s="59"/>
      <c r="M665" s="60"/>
      <c r="N665" s="60"/>
      <c r="O665" s="60"/>
      <c r="P665" s="59"/>
      <c r="Q665" s="59"/>
      <c r="R665" s="60"/>
      <c r="S665" s="60"/>
      <c r="T665" s="60"/>
      <c r="U665" s="60"/>
      <c r="V665" s="60"/>
      <c r="W665" s="60"/>
    </row>
    <row r="666" spans="1:23" ht="13" x14ac:dyDescent="0.3">
      <c r="A666" s="58"/>
      <c r="B666" s="58"/>
      <c r="C666" s="58"/>
      <c r="D666" s="58"/>
      <c r="E666" s="58"/>
      <c r="F666" s="58"/>
      <c r="G666" s="58"/>
      <c r="H666" s="59"/>
      <c r="I666" s="59"/>
      <c r="J666" s="59"/>
      <c r="K666" s="59"/>
      <c r="L666" s="59"/>
      <c r="M666" s="60"/>
      <c r="N666" s="60"/>
      <c r="O666" s="60"/>
      <c r="P666" s="59"/>
      <c r="Q666" s="59"/>
      <c r="R666" s="60"/>
      <c r="S666" s="60"/>
      <c r="T666" s="60"/>
      <c r="U666" s="60"/>
      <c r="V666" s="60"/>
      <c r="W666" s="60"/>
    </row>
    <row r="667" spans="1:23" ht="13" x14ac:dyDescent="0.3">
      <c r="A667" s="58"/>
      <c r="B667" s="58"/>
      <c r="C667" s="58"/>
      <c r="D667" s="58"/>
      <c r="E667" s="58"/>
      <c r="F667" s="58"/>
      <c r="G667" s="58"/>
      <c r="H667" s="59"/>
      <c r="I667" s="59"/>
      <c r="J667" s="59"/>
      <c r="K667" s="59"/>
      <c r="L667" s="59"/>
      <c r="M667" s="60"/>
      <c r="N667" s="60"/>
      <c r="O667" s="60"/>
      <c r="P667" s="59"/>
      <c r="Q667" s="59"/>
      <c r="R667" s="60"/>
      <c r="S667" s="60"/>
      <c r="T667" s="60"/>
      <c r="U667" s="60"/>
      <c r="V667" s="60"/>
      <c r="W667" s="60"/>
    </row>
    <row r="668" spans="1:23" ht="13" x14ac:dyDescent="0.3">
      <c r="A668" s="58"/>
      <c r="B668" s="58"/>
      <c r="C668" s="58"/>
      <c r="D668" s="58"/>
      <c r="E668" s="58"/>
      <c r="F668" s="58"/>
      <c r="G668" s="58"/>
      <c r="H668" s="59"/>
      <c r="I668" s="59"/>
      <c r="J668" s="59"/>
      <c r="K668" s="59"/>
      <c r="L668" s="59"/>
      <c r="M668" s="60"/>
      <c r="N668" s="60"/>
      <c r="O668" s="60"/>
      <c r="P668" s="59"/>
      <c r="Q668" s="59"/>
      <c r="R668" s="60"/>
      <c r="S668" s="60"/>
      <c r="T668" s="60"/>
      <c r="U668" s="60"/>
      <c r="V668" s="60"/>
      <c r="W668" s="60"/>
    </row>
    <row r="669" spans="1:23" ht="13" x14ac:dyDescent="0.3">
      <c r="A669" s="58"/>
      <c r="B669" s="58"/>
      <c r="C669" s="58"/>
      <c r="D669" s="58"/>
      <c r="E669" s="58"/>
      <c r="F669" s="58"/>
      <c r="G669" s="58"/>
      <c r="H669" s="59"/>
      <c r="I669" s="59"/>
      <c r="J669" s="59"/>
      <c r="K669" s="59"/>
      <c r="L669" s="59"/>
      <c r="M669" s="60"/>
      <c r="N669" s="60"/>
      <c r="O669" s="60"/>
      <c r="P669" s="59"/>
      <c r="Q669" s="59"/>
      <c r="R669" s="60"/>
      <c r="S669" s="60"/>
      <c r="T669" s="60"/>
      <c r="U669" s="60"/>
      <c r="V669" s="60"/>
      <c r="W669" s="60"/>
    </row>
    <row r="670" spans="1:23" ht="13" x14ac:dyDescent="0.3">
      <c r="A670" s="58"/>
      <c r="B670" s="58"/>
      <c r="C670" s="58"/>
      <c r="D670" s="58"/>
      <c r="E670" s="58"/>
      <c r="F670" s="58"/>
      <c r="G670" s="58"/>
      <c r="H670" s="59"/>
      <c r="I670" s="59"/>
      <c r="J670" s="59"/>
      <c r="K670" s="59"/>
      <c r="L670" s="59"/>
      <c r="M670" s="60"/>
      <c r="N670" s="60"/>
      <c r="O670" s="60"/>
      <c r="P670" s="59"/>
      <c r="Q670" s="59"/>
      <c r="R670" s="60"/>
      <c r="S670" s="60"/>
      <c r="T670" s="60"/>
      <c r="U670" s="60"/>
      <c r="V670" s="60"/>
      <c r="W670" s="60"/>
    </row>
    <row r="671" spans="1:23" ht="13" x14ac:dyDescent="0.3">
      <c r="A671" s="58"/>
      <c r="B671" s="58"/>
      <c r="C671" s="58"/>
      <c r="D671" s="58"/>
      <c r="E671" s="58"/>
      <c r="F671" s="58"/>
      <c r="G671" s="58"/>
      <c r="H671" s="59"/>
      <c r="I671" s="59"/>
      <c r="J671" s="59"/>
      <c r="K671" s="59"/>
      <c r="L671" s="59"/>
      <c r="M671" s="60"/>
      <c r="N671" s="60"/>
      <c r="O671" s="60"/>
      <c r="P671" s="59"/>
      <c r="Q671" s="59"/>
      <c r="R671" s="60"/>
      <c r="S671" s="60"/>
      <c r="T671" s="60"/>
      <c r="U671" s="60"/>
      <c r="V671" s="60"/>
      <c r="W671" s="60"/>
    </row>
    <row r="672" spans="1:23" ht="13" x14ac:dyDescent="0.3">
      <c r="A672" s="58"/>
      <c r="B672" s="58"/>
      <c r="C672" s="58"/>
      <c r="D672" s="58"/>
      <c r="E672" s="58"/>
      <c r="F672" s="58"/>
      <c r="G672" s="58"/>
      <c r="H672" s="59"/>
      <c r="I672" s="59"/>
      <c r="J672" s="59"/>
      <c r="K672" s="59"/>
      <c r="L672" s="59"/>
      <c r="M672" s="60"/>
      <c r="N672" s="60"/>
      <c r="O672" s="60"/>
      <c r="P672" s="59"/>
      <c r="Q672" s="59"/>
      <c r="R672" s="60"/>
      <c r="S672" s="60"/>
      <c r="T672" s="60"/>
      <c r="U672" s="60"/>
      <c r="V672" s="60"/>
      <c r="W672" s="60"/>
    </row>
    <row r="673" spans="1:23" ht="13" x14ac:dyDescent="0.3">
      <c r="A673" s="58"/>
      <c r="B673" s="58"/>
      <c r="C673" s="58"/>
      <c r="D673" s="58"/>
      <c r="E673" s="58"/>
      <c r="F673" s="58"/>
      <c r="G673" s="58"/>
      <c r="H673" s="59"/>
      <c r="I673" s="59"/>
      <c r="J673" s="59"/>
      <c r="K673" s="59"/>
      <c r="L673" s="59"/>
      <c r="M673" s="60"/>
      <c r="N673" s="60"/>
      <c r="O673" s="60"/>
      <c r="P673" s="59"/>
      <c r="Q673" s="59"/>
      <c r="R673" s="60"/>
      <c r="S673" s="60"/>
      <c r="T673" s="60"/>
      <c r="U673" s="60"/>
      <c r="V673" s="60"/>
      <c r="W673" s="60"/>
    </row>
    <row r="674" spans="1:23" ht="13" x14ac:dyDescent="0.3">
      <c r="A674" s="58"/>
      <c r="B674" s="58"/>
      <c r="C674" s="58"/>
      <c r="D674" s="58"/>
      <c r="E674" s="58"/>
      <c r="F674" s="58"/>
      <c r="G674" s="58"/>
      <c r="H674" s="59"/>
      <c r="I674" s="59"/>
      <c r="J674" s="59"/>
      <c r="K674" s="59"/>
      <c r="L674" s="59"/>
      <c r="M674" s="60"/>
      <c r="N674" s="60"/>
      <c r="O674" s="60"/>
      <c r="P674" s="59"/>
      <c r="Q674" s="59"/>
      <c r="R674" s="60"/>
      <c r="S674" s="60"/>
      <c r="T674" s="60"/>
      <c r="U674" s="60"/>
      <c r="V674" s="60"/>
      <c r="W674" s="60"/>
    </row>
    <row r="675" spans="1:23" ht="13" x14ac:dyDescent="0.3">
      <c r="A675" s="58"/>
      <c r="B675" s="58"/>
      <c r="C675" s="58"/>
      <c r="D675" s="58"/>
      <c r="E675" s="58"/>
      <c r="F675" s="58"/>
      <c r="G675" s="58"/>
      <c r="H675" s="59"/>
      <c r="I675" s="59"/>
      <c r="J675" s="59"/>
      <c r="K675" s="59"/>
      <c r="L675" s="59"/>
      <c r="M675" s="60"/>
      <c r="N675" s="60"/>
      <c r="O675" s="60"/>
      <c r="P675" s="59"/>
      <c r="Q675" s="59"/>
      <c r="R675" s="60"/>
      <c r="S675" s="60"/>
      <c r="T675" s="60"/>
      <c r="U675" s="60"/>
      <c r="V675" s="60"/>
      <c r="W675" s="60"/>
    </row>
    <row r="676" spans="1:23" ht="13" x14ac:dyDescent="0.3">
      <c r="A676" s="58"/>
      <c r="B676" s="58"/>
      <c r="C676" s="58"/>
      <c r="D676" s="58"/>
      <c r="E676" s="58"/>
      <c r="F676" s="58"/>
      <c r="G676" s="58"/>
      <c r="H676" s="59"/>
      <c r="I676" s="59"/>
      <c r="J676" s="59"/>
      <c r="K676" s="59"/>
      <c r="L676" s="59"/>
      <c r="M676" s="60"/>
      <c r="N676" s="60"/>
      <c r="O676" s="60"/>
      <c r="P676" s="59"/>
      <c r="Q676" s="59"/>
      <c r="R676" s="60"/>
      <c r="S676" s="60"/>
      <c r="T676" s="60"/>
      <c r="U676" s="60"/>
      <c r="V676" s="60"/>
      <c r="W676" s="60"/>
    </row>
    <row r="677" spans="1:23" ht="13" x14ac:dyDescent="0.3">
      <c r="A677" s="58"/>
      <c r="B677" s="58"/>
      <c r="C677" s="58"/>
      <c r="D677" s="58"/>
      <c r="E677" s="58"/>
      <c r="F677" s="58"/>
      <c r="G677" s="58"/>
      <c r="H677" s="59"/>
      <c r="I677" s="59"/>
      <c r="J677" s="59"/>
      <c r="K677" s="59"/>
      <c r="L677" s="59"/>
      <c r="M677" s="60"/>
      <c r="N677" s="60"/>
      <c r="O677" s="60"/>
      <c r="P677" s="59"/>
      <c r="Q677" s="59"/>
      <c r="R677" s="60"/>
      <c r="S677" s="60"/>
      <c r="T677" s="60"/>
      <c r="U677" s="60"/>
      <c r="V677" s="60"/>
      <c r="W677" s="60"/>
    </row>
    <row r="678" spans="1:23" ht="13" x14ac:dyDescent="0.3">
      <c r="A678" s="58"/>
      <c r="B678" s="58"/>
      <c r="C678" s="58"/>
      <c r="D678" s="58"/>
      <c r="E678" s="58"/>
      <c r="F678" s="58"/>
      <c r="G678" s="58"/>
      <c r="H678" s="59"/>
      <c r="I678" s="59"/>
      <c r="J678" s="59"/>
      <c r="K678" s="59"/>
      <c r="L678" s="59"/>
      <c r="M678" s="60"/>
      <c r="N678" s="60"/>
      <c r="O678" s="60"/>
      <c r="P678" s="59"/>
      <c r="Q678" s="59"/>
      <c r="R678" s="60"/>
      <c r="S678" s="60"/>
      <c r="T678" s="60"/>
      <c r="U678" s="60"/>
      <c r="V678" s="60"/>
      <c r="W678" s="60"/>
    </row>
    <row r="679" spans="1:23" ht="13" x14ac:dyDescent="0.3">
      <c r="A679" s="58"/>
      <c r="B679" s="58"/>
      <c r="C679" s="58"/>
      <c r="D679" s="58"/>
      <c r="E679" s="58"/>
      <c r="F679" s="58"/>
      <c r="G679" s="58"/>
      <c r="H679" s="59"/>
      <c r="I679" s="59"/>
      <c r="J679" s="59"/>
      <c r="K679" s="59"/>
      <c r="L679" s="59"/>
      <c r="M679" s="60"/>
      <c r="N679" s="60"/>
      <c r="O679" s="60"/>
      <c r="P679" s="59"/>
      <c r="Q679" s="59"/>
      <c r="R679" s="60"/>
      <c r="S679" s="60"/>
      <c r="T679" s="60"/>
      <c r="U679" s="60"/>
      <c r="V679" s="60"/>
      <c r="W679" s="60"/>
    </row>
    <row r="680" spans="1:23" ht="13" x14ac:dyDescent="0.3">
      <c r="A680" s="58"/>
      <c r="B680" s="58"/>
      <c r="C680" s="58"/>
      <c r="D680" s="58"/>
      <c r="E680" s="58"/>
      <c r="F680" s="58"/>
      <c r="G680" s="58"/>
      <c r="H680" s="59"/>
      <c r="I680" s="59"/>
      <c r="J680" s="59"/>
      <c r="K680" s="59"/>
      <c r="L680" s="59"/>
      <c r="M680" s="60"/>
      <c r="N680" s="60"/>
      <c r="O680" s="60"/>
      <c r="P680" s="59"/>
      <c r="Q680" s="59"/>
      <c r="R680" s="60"/>
      <c r="S680" s="60"/>
      <c r="T680" s="60"/>
      <c r="U680" s="60"/>
      <c r="V680" s="60"/>
      <c r="W680" s="60"/>
    </row>
    <row r="681" spans="1:23" ht="13" x14ac:dyDescent="0.3">
      <c r="A681" s="58"/>
      <c r="B681" s="58"/>
      <c r="C681" s="58"/>
      <c r="D681" s="58"/>
      <c r="E681" s="58"/>
      <c r="F681" s="58"/>
      <c r="G681" s="58"/>
      <c r="H681" s="59"/>
      <c r="I681" s="59"/>
      <c r="J681" s="59"/>
      <c r="K681" s="59"/>
      <c r="L681" s="59"/>
      <c r="M681" s="60"/>
      <c r="N681" s="60"/>
      <c r="O681" s="60"/>
      <c r="P681" s="59"/>
      <c r="Q681" s="59"/>
      <c r="R681" s="60"/>
      <c r="S681" s="60"/>
      <c r="T681" s="60"/>
      <c r="U681" s="60"/>
      <c r="V681" s="60"/>
      <c r="W681" s="60"/>
    </row>
    <row r="682" spans="1:23" ht="13" x14ac:dyDescent="0.3">
      <c r="A682" s="58"/>
      <c r="B682" s="58"/>
      <c r="C682" s="58"/>
      <c r="D682" s="58"/>
      <c r="E682" s="58"/>
      <c r="F682" s="58"/>
      <c r="G682" s="58"/>
      <c r="H682" s="59"/>
      <c r="I682" s="59"/>
      <c r="J682" s="59"/>
      <c r="K682" s="59"/>
      <c r="L682" s="59"/>
      <c r="M682" s="60"/>
      <c r="N682" s="60"/>
      <c r="O682" s="60"/>
      <c r="P682" s="59"/>
      <c r="Q682" s="59"/>
      <c r="R682" s="60"/>
      <c r="S682" s="60"/>
      <c r="T682" s="60"/>
      <c r="U682" s="60"/>
      <c r="V682" s="60"/>
      <c r="W682" s="60"/>
    </row>
    <row r="683" spans="1:23" ht="13" x14ac:dyDescent="0.3">
      <c r="A683" s="58"/>
      <c r="B683" s="58"/>
      <c r="C683" s="58"/>
      <c r="D683" s="58"/>
      <c r="E683" s="58"/>
      <c r="F683" s="58"/>
      <c r="G683" s="58"/>
      <c r="H683" s="59"/>
      <c r="I683" s="59"/>
      <c r="J683" s="59"/>
      <c r="K683" s="59"/>
      <c r="L683" s="59"/>
      <c r="M683" s="60"/>
      <c r="N683" s="60"/>
      <c r="O683" s="60"/>
      <c r="P683" s="59"/>
      <c r="Q683" s="59"/>
      <c r="R683" s="60"/>
      <c r="S683" s="60"/>
      <c r="T683" s="60"/>
      <c r="U683" s="60"/>
      <c r="V683" s="60"/>
      <c r="W683" s="60"/>
    </row>
    <row r="684" spans="1:23" ht="13" x14ac:dyDescent="0.3">
      <c r="A684" s="58"/>
      <c r="B684" s="58"/>
      <c r="C684" s="58"/>
      <c r="D684" s="58"/>
      <c r="E684" s="58"/>
      <c r="F684" s="58"/>
      <c r="G684" s="58"/>
      <c r="H684" s="59"/>
      <c r="I684" s="59"/>
      <c r="J684" s="59"/>
      <c r="K684" s="59"/>
      <c r="L684" s="59"/>
      <c r="M684" s="60"/>
      <c r="N684" s="60"/>
      <c r="O684" s="60"/>
      <c r="P684" s="59"/>
      <c r="Q684" s="59"/>
      <c r="R684" s="60"/>
      <c r="S684" s="60"/>
      <c r="T684" s="60"/>
      <c r="U684" s="60"/>
      <c r="V684" s="60"/>
      <c r="W684" s="60"/>
    </row>
    <row r="685" spans="1:23" ht="13" x14ac:dyDescent="0.3">
      <c r="A685" s="58"/>
      <c r="B685" s="58"/>
      <c r="C685" s="58"/>
      <c r="D685" s="58"/>
      <c r="E685" s="58"/>
      <c r="F685" s="58"/>
      <c r="G685" s="58"/>
      <c r="H685" s="59"/>
      <c r="I685" s="59"/>
      <c r="J685" s="59"/>
      <c r="K685" s="59"/>
      <c r="L685" s="59"/>
      <c r="M685" s="60"/>
      <c r="N685" s="60"/>
      <c r="O685" s="60"/>
      <c r="P685" s="59"/>
      <c r="Q685" s="59"/>
      <c r="R685" s="60"/>
      <c r="S685" s="60"/>
      <c r="T685" s="60"/>
      <c r="U685" s="60"/>
      <c r="V685" s="60"/>
      <c r="W685" s="60"/>
    </row>
    <row r="686" spans="1:23" ht="13" x14ac:dyDescent="0.3">
      <c r="A686" s="58"/>
      <c r="B686" s="58"/>
      <c r="C686" s="58"/>
      <c r="D686" s="58"/>
      <c r="E686" s="58"/>
      <c r="F686" s="58"/>
      <c r="G686" s="58"/>
      <c r="H686" s="59"/>
      <c r="I686" s="59"/>
      <c r="J686" s="59"/>
      <c r="K686" s="59"/>
      <c r="L686" s="59"/>
      <c r="M686" s="60"/>
      <c r="N686" s="60"/>
      <c r="O686" s="60"/>
      <c r="P686" s="59"/>
      <c r="Q686" s="59"/>
      <c r="R686" s="60"/>
      <c r="S686" s="60"/>
      <c r="T686" s="60"/>
      <c r="U686" s="60"/>
      <c r="V686" s="60"/>
      <c r="W686" s="60"/>
    </row>
    <row r="687" spans="1:23" ht="13" x14ac:dyDescent="0.3">
      <c r="A687" s="58"/>
      <c r="B687" s="58"/>
      <c r="C687" s="58"/>
      <c r="D687" s="58"/>
      <c r="E687" s="58"/>
      <c r="F687" s="58"/>
      <c r="G687" s="58"/>
      <c r="H687" s="59"/>
      <c r="I687" s="59"/>
      <c r="J687" s="59"/>
      <c r="K687" s="59"/>
      <c r="L687" s="59"/>
      <c r="M687" s="60"/>
      <c r="N687" s="60"/>
      <c r="O687" s="60"/>
      <c r="P687" s="59"/>
      <c r="Q687" s="59"/>
      <c r="R687" s="60"/>
      <c r="S687" s="60"/>
      <c r="T687" s="60"/>
      <c r="U687" s="60"/>
      <c r="V687" s="60"/>
      <c r="W687" s="60"/>
    </row>
    <row r="688" spans="1:23" ht="13" x14ac:dyDescent="0.3">
      <c r="A688" s="58"/>
      <c r="B688" s="58"/>
      <c r="C688" s="58"/>
      <c r="D688" s="58"/>
      <c r="E688" s="58"/>
      <c r="F688" s="58"/>
      <c r="G688" s="58"/>
      <c r="H688" s="59"/>
      <c r="I688" s="59"/>
      <c r="J688" s="59"/>
      <c r="K688" s="59"/>
      <c r="L688" s="59"/>
      <c r="M688" s="60"/>
      <c r="N688" s="60"/>
      <c r="O688" s="60"/>
      <c r="P688" s="59"/>
      <c r="Q688" s="59"/>
      <c r="R688" s="60"/>
      <c r="S688" s="60"/>
      <c r="T688" s="60"/>
      <c r="U688" s="60"/>
      <c r="V688" s="60"/>
      <c r="W688" s="60"/>
    </row>
    <row r="689" spans="1:23" ht="13" x14ac:dyDescent="0.3">
      <c r="A689" s="58"/>
      <c r="B689" s="58"/>
      <c r="C689" s="58"/>
      <c r="D689" s="58"/>
      <c r="E689" s="58"/>
      <c r="F689" s="58"/>
      <c r="G689" s="58"/>
      <c r="H689" s="59"/>
      <c r="I689" s="59"/>
      <c r="J689" s="59"/>
      <c r="K689" s="59"/>
      <c r="L689" s="59"/>
      <c r="M689" s="60"/>
      <c r="N689" s="60"/>
      <c r="O689" s="60"/>
      <c r="P689" s="59"/>
      <c r="Q689" s="59"/>
      <c r="R689" s="60"/>
      <c r="S689" s="60"/>
      <c r="T689" s="60"/>
      <c r="U689" s="60"/>
      <c r="V689" s="60"/>
      <c r="W689" s="60"/>
    </row>
    <row r="690" spans="1:23" ht="13" x14ac:dyDescent="0.3">
      <c r="A690" s="58"/>
      <c r="B690" s="58"/>
      <c r="C690" s="58"/>
      <c r="D690" s="58"/>
      <c r="E690" s="58"/>
      <c r="F690" s="58"/>
      <c r="G690" s="58"/>
      <c r="H690" s="59"/>
      <c r="I690" s="59"/>
      <c r="J690" s="59"/>
      <c r="K690" s="59"/>
      <c r="L690" s="59"/>
      <c r="M690" s="60"/>
      <c r="N690" s="60"/>
      <c r="O690" s="60"/>
      <c r="P690" s="59"/>
      <c r="Q690" s="59"/>
      <c r="R690" s="60"/>
      <c r="S690" s="60"/>
      <c r="T690" s="60"/>
      <c r="U690" s="60"/>
      <c r="V690" s="60"/>
      <c r="W690" s="60"/>
    </row>
    <row r="691" spans="1:23" ht="13" x14ac:dyDescent="0.3">
      <c r="A691" s="58"/>
      <c r="B691" s="58"/>
      <c r="C691" s="58"/>
      <c r="D691" s="58"/>
      <c r="E691" s="58"/>
      <c r="F691" s="58"/>
      <c r="G691" s="58"/>
      <c r="H691" s="59"/>
      <c r="I691" s="59"/>
      <c r="J691" s="59"/>
      <c r="K691" s="59"/>
      <c r="L691" s="59"/>
      <c r="M691" s="60"/>
      <c r="N691" s="60"/>
      <c r="O691" s="60"/>
      <c r="P691" s="59"/>
      <c r="Q691" s="59"/>
      <c r="R691" s="60"/>
      <c r="S691" s="60"/>
      <c r="T691" s="60"/>
      <c r="U691" s="60"/>
      <c r="V691" s="60"/>
      <c r="W691" s="60"/>
    </row>
    <row r="692" spans="1:23" ht="13" x14ac:dyDescent="0.3">
      <c r="A692" s="58"/>
      <c r="B692" s="58"/>
      <c r="C692" s="58"/>
      <c r="D692" s="58"/>
      <c r="E692" s="58"/>
      <c r="F692" s="58"/>
      <c r="G692" s="58"/>
      <c r="H692" s="59"/>
      <c r="I692" s="59"/>
      <c r="J692" s="59"/>
      <c r="K692" s="59"/>
      <c r="L692" s="59"/>
      <c r="M692" s="60"/>
      <c r="N692" s="60"/>
      <c r="O692" s="60"/>
      <c r="P692" s="59"/>
      <c r="Q692" s="59"/>
      <c r="R692" s="60"/>
      <c r="S692" s="60"/>
      <c r="T692" s="60"/>
      <c r="U692" s="60"/>
      <c r="V692" s="60"/>
      <c r="W692" s="60"/>
    </row>
    <row r="693" spans="1:23" ht="13" x14ac:dyDescent="0.3">
      <c r="A693" s="58"/>
      <c r="B693" s="58"/>
      <c r="C693" s="58"/>
      <c r="D693" s="58"/>
      <c r="E693" s="58"/>
      <c r="F693" s="58"/>
      <c r="G693" s="58"/>
      <c r="H693" s="59"/>
      <c r="I693" s="59"/>
      <c r="J693" s="59"/>
      <c r="K693" s="59"/>
      <c r="L693" s="59"/>
      <c r="M693" s="60"/>
      <c r="N693" s="60"/>
      <c r="O693" s="60"/>
      <c r="P693" s="59"/>
      <c r="Q693" s="59"/>
      <c r="R693" s="60"/>
      <c r="S693" s="60"/>
      <c r="T693" s="60"/>
      <c r="U693" s="60"/>
      <c r="V693" s="60"/>
      <c r="W693" s="60"/>
    </row>
    <row r="694" spans="1:23" ht="13" x14ac:dyDescent="0.3">
      <c r="A694" s="58"/>
      <c r="B694" s="58"/>
      <c r="C694" s="58"/>
      <c r="D694" s="58"/>
      <c r="E694" s="58"/>
      <c r="F694" s="58"/>
      <c r="G694" s="58"/>
      <c r="H694" s="59"/>
      <c r="I694" s="59"/>
      <c r="J694" s="59"/>
      <c r="K694" s="59"/>
      <c r="L694" s="59"/>
      <c r="M694" s="60"/>
      <c r="N694" s="60"/>
      <c r="O694" s="60"/>
      <c r="P694" s="59"/>
      <c r="Q694" s="59"/>
      <c r="R694" s="60"/>
      <c r="S694" s="60"/>
      <c r="T694" s="60"/>
      <c r="U694" s="60"/>
      <c r="V694" s="60"/>
      <c r="W694" s="60"/>
    </row>
    <row r="695" spans="1:23" ht="13" x14ac:dyDescent="0.3">
      <c r="A695" s="58"/>
      <c r="B695" s="58"/>
      <c r="C695" s="58"/>
      <c r="D695" s="58"/>
      <c r="E695" s="58"/>
      <c r="F695" s="58"/>
      <c r="G695" s="58"/>
      <c r="H695" s="59"/>
      <c r="I695" s="59"/>
      <c r="J695" s="59"/>
      <c r="K695" s="59"/>
      <c r="L695" s="59"/>
      <c r="M695" s="60"/>
      <c r="N695" s="60"/>
      <c r="O695" s="60"/>
      <c r="P695" s="59"/>
      <c r="Q695" s="59"/>
      <c r="R695" s="60"/>
      <c r="S695" s="60"/>
      <c r="T695" s="60"/>
      <c r="U695" s="60"/>
      <c r="V695" s="60"/>
      <c r="W695" s="60"/>
    </row>
    <row r="696" spans="1:23" ht="13" x14ac:dyDescent="0.3">
      <c r="A696" s="58"/>
      <c r="B696" s="58"/>
      <c r="C696" s="58"/>
      <c r="D696" s="58"/>
      <c r="E696" s="58"/>
      <c r="F696" s="58"/>
      <c r="G696" s="58"/>
      <c r="H696" s="59"/>
      <c r="I696" s="59"/>
      <c r="J696" s="59"/>
      <c r="K696" s="59"/>
      <c r="L696" s="59"/>
      <c r="M696" s="60"/>
      <c r="N696" s="60"/>
      <c r="O696" s="60"/>
      <c r="P696" s="59"/>
      <c r="Q696" s="59"/>
      <c r="R696" s="60"/>
      <c r="S696" s="60"/>
      <c r="T696" s="60"/>
      <c r="U696" s="60"/>
      <c r="V696" s="60"/>
      <c r="W696" s="60"/>
    </row>
    <row r="697" spans="1:23" ht="13" x14ac:dyDescent="0.3">
      <c r="A697" s="58"/>
      <c r="B697" s="58"/>
      <c r="C697" s="58"/>
      <c r="D697" s="58"/>
      <c r="E697" s="58"/>
      <c r="F697" s="58"/>
      <c r="G697" s="58"/>
      <c r="H697" s="59"/>
      <c r="I697" s="59"/>
      <c r="J697" s="59"/>
      <c r="K697" s="59"/>
      <c r="L697" s="59"/>
      <c r="M697" s="60"/>
      <c r="N697" s="60"/>
      <c r="O697" s="60"/>
      <c r="P697" s="59"/>
      <c r="Q697" s="59"/>
      <c r="R697" s="60"/>
      <c r="S697" s="60"/>
      <c r="T697" s="60"/>
      <c r="U697" s="60"/>
      <c r="V697" s="60"/>
      <c r="W697" s="60"/>
    </row>
    <row r="698" spans="1:23" ht="13" x14ac:dyDescent="0.3">
      <c r="A698" s="58"/>
      <c r="B698" s="58"/>
      <c r="C698" s="58"/>
      <c r="D698" s="58"/>
      <c r="E698" s="58"/>
      <c r="F698" s="58"/>
      <c r="G698" s="58"/>
      <c r="H698" s="59"/>
      <c r="I698" s="59"/>
      <c r="J698" s="59"/>
      <c r="K698" s="59"/>
      <c r="L698" s="59"/>
      <c r="M698" s="60"/>
      <c r="N698" s="60"/>
      <c r="O698" s="60"/>
      <c r="P698" s="59"/>
      <c r="Q698" s="59"/>
      <c r="R698" s="60"/>
      <c r="S698" s="60"/>
      <c r="T698" s="60"/>
      <c r="U698" s="60"/>
      <c r="V698" s="60"/>
      <c r="W698" s="60"/>
    </row>
    <row r="699" spans="1:23" ht="13" x14ac:dyDescent="0.3">
      <c r="A699" s="58"/>
      <c r="B699" s="58"/>
      <c r="C699" s="58"/>
      <c r="D699" s="58"/>
      <c r="E699" s="58"/>
      <c r="F699" s="58"/>
      <c r="G699" s="58"/>
      <c r="H699" s="59"/>
      <c r="I699" s="59"/>
      <c r="J699" s="59"/>
      <c r="K699" s="59"/>
      <c r="L699" s="59"/>
      <c r="M699" s="60"/>
      <c r="N699" s="60"/>
      <c r="O699" s="60"/>
      <c r="P699" s="59"/>
      <c r="Q699" s="59"/>
      <c r="R699" s="60"/>
      <c r="S699" s="60"/>
      <c r="T699" s="60"/>
      <c r="U699" s="60"/>
      <c r="V699" s="60"/>
      <c r="W699" s="60"/>
    </row>
    <row r="700" spans="1:23" ht="13" x14ac:dyDescent="0.3">
      <c r="A700" s="58"/>
      <c r="B700" s="58"/>
      <c r="C700" s="58"/>
      <c r="D700" s="58"/>
      <c r="E700" s="58"/>
      <c r="F700" s="58"/>
      <c r="G700" s="58"/>
      <c r="H700" s="59"/>
      <c r="I700" s="59"/>
      <c r="J700" s="59"/>
      <c r="K700" s="59"/>
      <c r="L700" s="59"/>
      <c r="M700" s="60"/>
      <c r="N700" s="60"/>
      <c r="O700" s="60"/>
      <c r="P700" s="59"/>
      <c r="Q700" s="59"/>
      <c r="R700" s="60"/>
      <c r="S700" s="60"/>
      <c r="T700" s="60"/>
      <c r="U700" s="60"/>
      <c r="V700" s="60"/>
      <c r="W700" s="60"/>
    </row>
    <row r="701" spans="1:23" ht="13" x14ac:dyDescent="0.3">
      <c r="A701" s="58"/>
      <c r="B701" s="58"/>
      <c r="C701" s="58"/>
      <c r="D701" s="58"/>
      <c r="E701" s="58"/>
      <c r="F701" s="58"/>
      <c r="G701" s="58"/>
      <c r="H701" s="59"/>
      <c r="I701" s="59"/>
      <c r="J701" s="59"/>
      <c r="K701" s="59"/>
      <c r="L701" s="59"/>
      <c r="M701" s="60"/>
      <c r="N701" s="60"/>
      <c r="O701" s="60"/>
      <c r="P701" s="59"/>
      <c r="Q701" s="59"/>
      <c r="R701" s="60"/>
      <c r="S701" s="60"/>
      <c r="T701" s="60"/>
      <c r="U701" s="60"/>
      <c r="V701" s="60"/>
      <c r="W701" s="60"/>
    </row>
    <row r="702" spans="1:23" ht="13" x14ac:dyDescent="0.3">
      <c r="A702" s="58"/>
      <c r="B702" s="58"/>
      <c r="C702" s="58"/>
      <c r="D702" s="58"/>
      <c r="E702" s="58"/>
      <c r="F702" s="58"/>
      <c r="G702" s="58"/>
      <c r="H702" s="59"/>
      <c r="I702" s="59"/>
      <c r="J702" s="59"/>
      <c r="K702" s="59"/>
      <c r="L702" s="59"/>
      <c r="M702" s="60"/>
      <c r="N702" s="60"/>
      <c r="O702" s="60"/>
      <c r="P702" s="59"/>
      <c r="Q702" s="59"/>
      <c r="R702" s="60"/>
      <c r="S702" s="60"/>
      <c r="T702" s="60"/>
      <c r="U702" s="60"/>
      <c r="V702" s="60"/>
      <c r="W702" s="60"/>
    </row>
    <row r="703" spans="1:23" ht="13" x14ac:dyDescent="0.3">
      <c r="A703" s="58"/>
      <c r="B703" s="58"/>
      <c r="C703" s="58"/>
      <c r="D703" s="58"/>
      <c r="E703" s="58"/>
      <c r="F703" s="58"/>
      <c r="G703" s="58"/>
      <c r="H703" s="59"/>
      <c r="I703" s="59"/>
      <c r="J703" s="59"/>
      <c r="K703" s="59"/>
      <c r="L703" s="59"/>
      <c r="M703" s="60"/>
      <c r="N703" s="60"/>
      <c r="O703" s="60"/>
      <c r="P703" s="59"/>
      <c r="Q703" s="59"/>
      <c r="R703" s="60"/>
      <c r="S703" s="60"/>
      <c r="T703" s="60"/>
      <c r="U703" s="60"/>
      <c r="V703" s="60"/>
      <c r="W703" s="60"/>
    </row>
    <row r="704" spans="1:23" ht="13" x14ac:dyDescent="0.3">
      <c r="A704" s="58"/>
      <c r="B704" s="58"/>
      <c r="C704" s="58"/>
      <c r="D704" s="58"/>
      <c r="E704" s="58"/>
      <c r="F704" s="58"/>
      <c r="G704" s="58"/>
      <c r="H704" s="59"/>
      <c r="I704" s="59"/>
      <c r="J704" s="59"/>
      <c r="K704" s="59"/>
      <c r="L704" s="59"/>
      <c r="M704" s="60"/>
      <c r="N704" s="60"/>
      <c r="O704" s="60"/>
      <c r="P704" s="59"/>
      <c r="Q704" s="59"/>
      <c r="R704" s="60"/>
      <c r="S704" s="60"/>
      <c r="T704" s="60"/>
      <c r="U704" s="60"/>
      <c r="V704" s="60"/>
      <c r="W704" s="60"/>
    </row>
    <row r="705" spans="1:23" ht="13" x14ac:dyDescent="0.3">
      <c r="A705" s="58"/>
      <c r="B705" s="58"/>
      <c r="C705" s="58"/>
      <c r="D705" s="58"/>
      <c r="E705" s="58"/>
      <c r="F705" s="58"/>
      <c r="G705" s="58"/>
      <c r="H705" s="59"/>
      <c r="I705" s="59"/>
      <c r="J705" s="59"/>
      <c r="K705" s="59"/>
      <c r="L705" s="59"/>
      <c r="M705" s="60"/>
      <c r="N705" s="60"/>
      <c r="O705" s="60"/>
      <c r="P705" s="59"/>
      <c r="Q705" s="59"/>
      <c r="R705" s="60"/>
      <c r="S705" s="60"/>
      <c r="T705" s="60"/>
      <c r="U705" s="60"/>
      <c r="V705" s="60"/>
      <c r="W705" s="60"/>
    </row>
    <row r="706" spans="1:23" ht="13" x14ac:dyDescent="0.3">
      <c r="A706" s="58"/>
      <c r="B706" s="58"/>
      <c r="C706" s="58"/>
      <c r="D706" s="58"/>
      <c r="E706" s="58"/>
      <c r="F706" s="58"/>
      <c r="G706" s="58"/>
      <c r="H706" s="59"/>
      <c r="I706" s="59"/>
      <c r="J706" s="59"/>
      <c r="K706" s="59"/>
      <c r="L706" s="59"/>
      <c r="M706" s="60"/>
      <c r="N706" s="60"/>
      <c r="O706" s="60"/>
      <c r="P706" s="59"/>
      <c r="Q706" s="59"/>
      <c r="R706" s="60"/>
      <c r="S706" s="60"/>
      <c r="T706" s="60"/>
      <c r="U706" s="60"/>
      <c r="V706" s="60"/>
      <c r="W706" s="60"/>
    </row>
    <row r="707" spans="1:23" ht="13" x14ac:dyDescent="0.3">
      <c r="A707" s="58"/>
      <c r="B707" s="58"/>
      <c r="C707" s="58"/>
      <c r="D707" s="58"/>
      <c r="E707" s="58"/>
      <c r="F707" s="58"/>
      <c r="G707" s="58"/>
      <c r="H707" s="59"/>
      <c r="I707" s="59"/>
      <c r="J707" s="59"/>
      <c r="K707" s="59"/>
      <c r="L707" s="59"/>
      <c r="M707" s="60"/>
      <c r="N707" s="60"/>
      <c r="O707" s="60"/>
      <c r="P707" s="59"/>
      <c r="Q707" s="59"/>
      <c r="R707" s="60"/>
      <c r="S707" s="60"/>
      <c r="T707" s="60"/>
      <c r="U707" s="60"/>
      <c r="V707" s="60"/>
      <c r="W707" s="60"/>
    </row>
    <row r="708" spans="1:23" ht="13" x14ac:dyDescent="0.3">
      <c r="A708" s="58"/>
      <c r="B708" s="58"/>
      <c r="C708" s="58"/>
      <c r="D708" s="58"/>
      <c r="E708" s="58"/>
      <c r="F708" s="58"/>
      <c r="G708" s="58"/>
      <c r="H708" s="59"/>
      <c r="I708" s="59"/>
      <c r="J708" s="59"/>
      <c r="K708" s="59"/>
      <c r="L708" s="59"/>
      <c r="M708" s="60"/>
      <c r="N708" s="60"/>
      <c r="O708" s="60"/>
      <c r="P708" s="59"/>
      <c r="Q708" s="59"/>
      <c r="R708" s="60"/>
      <c r="S708" s="60"/>
      <c r="T708" s="60"/>
      <c r="U708" s="60"/>
      <c r="V708" s="60"/>
      <c r="W708" s="60"/>
    </row>
    <row r="709" spans="1:23" ht="13" x14ac:dyDescent="0.3">
      <c r="A709" s="58"/>
      <c r="B709" s="58"/>
      <c r="C709" s="58"/>
      <c r="D709" s="58"/>
      <c r="E709" s="58"/>
      <c r="F709" s="58"/>
      <c r="G709" s="58"/>
      <c r="H709" s="59"/>
      <c r="I709" s="59"/>
      <c r="J709" s="59"/>
      <c r="K709" s="59"/>
      <c r="L709" s="59"/>
      <c r="M709" s="60"/>
      <c r="N709" s="60"/>
      <c r="O709" s="60"/>
      <c r="P709" s="59"/>
      <c r="Q709" s="59"/>
      <c r="R709" s="60"/>
      <c r="S709" s="60"/>
      <c r="T709" s="60"/>
      <c r="U709" s="60"/>
      <c r="V709" s="60"/>
      <c r="W709" s="60"/>
    </row>
    <row r="710" spans="1:23" ht="13" x14ac:dyDescent="0.3">
      <c r="A710" s="58"/>
      <c r="B710" s="58"/>
      <c r="C710" s="58"/>
      <c r="D710" s="58"/>
      <c r="E710" s="58"/>
      <c r="F710" s="58"/>
      <c r="G710" s="58"/>
      <c r="H710" s="59"/>
      <c r="I710" s="59"/>
      <c r="J710" s="59"/>
      <c r="K710" s="59"/>
      <c r="L710" s="59"/>
      <c r="M710" s="60"/>
      <c r="N710" s="60"/>
      <c r="O710" s="60"/>
      <c r="P710" s="59"/>
      <c r="Q710" s="59"/>
      <c r="R710" s="60"/>
      <c r="S710" s="60"/>
      <c r="T710" s="60"/>
      <c r="U710" s="60"/>
      <c r="V710" s="60"/>
      <c r="W710" s="60"/>
    </row>
    <row r="711" spans="1:23" ht="13" x14ac:dyDescent="0.3">
      <c r="A711" s="58"/>
      <c r="B711" s="58"/>
      <c r="C711" s="58"/>
      <c r="D711" s="58"/>
      <c r="E711" s="58"/>
      <c r="F711" s="58"/>
      <c r="G711" s="58"/>
      <c r="H711" s="59"/>
      <c r="I711" s="59"/>
      <c r="J711" s="59"/>
      <c r="K711" s="59"/>
      <c r="L711" s="59"/>
      <c r="M711" s="60"/>
      <c r="N711" s="60"/>
      <c r="O711" s="60"/>
      <c r="P711" s="59"/>
      <c r="Q711" s="59"/>
      <c r="R711" s="60"/>
      <c r="S711" s="60"/>
      <c r="T711" s="60"/>
      <c r="U711" s="60"/>
      <c r="V711" s="60"/>
      <c r="W711" s="60"/>
    </row>
    <row r="712" spans="1:23" ht="13" x14ac:dyDescent="0.3">
      <c r="A712" s="58"/>
      <c r="B712" s="58"/>
      <c r="C712" s="58"/>
      <c r="D712" s="58"/>
      <c r="E712" s="58"/>
      <c r="F712" s="58"/>
      <c r="G712" s="58"/>
      <c r="H712" s="59"/>
      <c r="I712" s="59"/>
      <c r="J712" s="59"/>
      <c r="K712" s="59"/>
      <c r="L712" s="59"/>
      <c r="M712" s="60"/>
      <c r="N712" s="60"/>
      <c r="O712" s="60"/>
      <c r="P712" s="59"/>
      <c r="Q712" s="59"/>
      <c r="R712" s="60"/>
      <c r="S712" s="60"/>
      <c r="T712" s="60"/>
      <c r="U712" s="60"/>
      <c r="V712" s="60"/>
      <c r="W712" s="60"/>
    </row>
    <row r="713" spans="1:23" ht="13" x14ac:dyDescent="0.3">
      <c r="A713" s="58"/>
      <c r="B713" s="58"/>
      <c r="C713" s="58"/>
      <c r="D713" s="58"/>
      <c r="E713" s="58"/>
      <c r="F713" s="58"/>
      <c r="G713" s="58"/>
      <c r="H713" s="59"/>
      <c r="I713" s="59"/>
      <c r="J713" s="59"/>
      <c r="K713" s="59"/>
      <c r="L713" s="59"/>
      <c r="M713" s="60"/>
      <c r="N713" s="60"/>
      <c r="O713" s="60"/>
      <c r="P713" s="59"/>
      <c r="Q713" s="59"/>
      <c r="R713" s="60"/>
      <c r="S713" s="60"/>
      <c r="T713" s="60"/>
      <c r="U713" s="60"/>
      <c r="V713" s="60"/>
      <c r="W713" s="60"/>
    </row>
    <row r="714" spans="1:23" ht="13" x14ac:dyDescent="0.3">
      <c r="A714" s="58"/>
      <c r="B714" s="58"/>
      <c r="C714" s="58"/>
      <c r="D714" s="58"/>
      <c r="E714" s="58"/>
      <c r="F714" s="58"/>
      <c r="G714" s="58"/>
      <c r="H714" s="59"/>
      <c r="I714" s="59"/>
      <c r="J714" s="59"/>
      <c r="K714" s="59"/>
      <c r="L714" s="59"/>
      <c r="M714" s="60"/>
      <c r="N714" s="60"/>
      <c r="O714" s="60"/>
      <c r="P714" s="59"/>
      <c r="Q714" s="59"/>
      <c r="R714" s="60"/>
      <c r="S714" s="60"/>
      <c r="T714" s="60"/>
      <c r="U714" s="60"/>
      <c r="V714" s="60"/>
      <c r="W714" s="60"/>
    </row>
    <row r="715" spans="1:23" ht="13" x14ac:dyDescent="0.3">
      <c r="A715" s="58"/>
      <c r="B715" s="58"/>
      <c r="C715" s="58"/>
      <c r="D715" s="58"/>
      <c r="E715" s="58"/>
      <c r="F715" s="58"/>
      <c r="G715" s="58"/>
      <c r="H715" s="59"/>
      <c r="I715" s="59"/>
      <c r="J715" s="59"/>
      <c r="K715" s="59"/>
      <c r="L715" s="59"/>
      <c r="M715" s="60"/>
      <c r="N715" s="60"/>
      <c r="O715" s="60"/>
      <c r="P715" s="59"/>
      <c r="Q715" s="59"/>
      <c r="R715" s="60"/>
      <c r="S715" s="60"/>
      <c r="T715" s="60"/>
      <c r="U715" s="60"/>
      <c r="V715" s="60"/>
      <c r="W715" s="60"/>
    </row>
    <row r="716" spans="1:23" ht="13" x14ac:dyDescent="0.3">
      <c r="A716" s="58"/>
      <c r="B716" s="58"/>
      <c r="C716" s="58"/>
      <c r="D716" s="58"/>
      <c r="E716" s="58"/>
      <c r="F716" s="58"/>
      <c r="G716" s="58"/>
      <c r="H716" s="59"/>
      <c r="I716" s="59"/>
      <c r="J716" s="59"/>
      <c r="K716" s="59"/>
      <c r="L716" s="59"/>
      <c r="M716" s="60"/>
      <c r="N716" s="60"/>
      <c r="O716" s="60"/>
      <c r="P716" s="59"/>
      <c r="Q716" s="59"/>
      <c r="R716" s="60"/>
      <c r="S716" s="60"/>
      <c r="T716" s="60"/>
      <c r="U716" s="60"/>
      <c r="V716" s="60"/>
      <c r="W716" s="60"/>
    </row>
    <row r="717" spans="1:23" ht="13" x14ac:dyDescent="0.3">
      <c r="A717" s="58"/>
      <c r="B717" s="58"/>
      <c r="C717" s="58"/>
      <c r="D717" s="58"/>
      <c r="E717" s="58"/>
      <c r="F717" s="58"/>
      <c r="G717" s="58"/>
      <c r="H717" s="59"/>
      <c r="I717" s="59"/>
      <c r="J717" s="59"/>
      <c r="K717" s="59"/>
      <c r="L717" s="59"/>
      <c r="M717" s="60"/>
      <c r="N717" s="60"/>
      <c r="O717" s="60"/>
      <c r="P717" s="59"/>
      <c r="Q717" s="59"/>
      <c r="R717" s="60"/>
      <c r="S717" s="60"/>
      <c r="T717" s="60"/>
      <c r="U717" s="60"/>
      <c r="V717" s="60"/>
      <c r="W717" s="60"/>
    </row>
    <row r="718" spans="1:23" ht="13" x14ac:dyDescent="0.3">
      <c r="A718" s="58"/>
      <c r="B718" s="58"/>
      <c r="C718" s="58"/>
      <c r="D718" s="58"/>
      <c r="E718" s="58"/>
      <c r="F718" s="58"/>
      <c r="G718" s="58"/>
      <c r="H718" s="59"/>
      <c r="I718" s="59"/>
      <c r="J718" s="59"/>
      <c r="K718" s="59"/>
      <c r="L718" s="59"/>
      <c r="M718" s="60"/>
      <c r="N718" s="60"/>
      <c r="O718" s="60"/>
      <c r="P718" s="59"/>
      <c r="Q718" s="59"/>
      <c r="R718" s="60"/>
      <c r="S718" s="60"/>
      <c r="T718" s="60"/>
      <c r="U718" s="60"/>
      <c r="V718" s="60"/>
      <c r="W718" s="60"/>
    </row>
    <row r="719" spans="1:23" ht="13" x14ac:dyDescent="0.3">
      <c r="A719" s="58"/>
      <c r="B719" s="58"/>
      <c r="C719" s="58"/>
      <c r="D719" s="58"/>
      <c r="E719" s="58"/>
      <c r="F719" s="58"/>
      <c r="G719" s="58"/>
      <c r="H719" s="59"/>
      <c r="I719" s="59"/>
      <c r="J719" s="59"/>
      <c r="K719" s="59"/>
      <c r="L719" s="59"/>
      <c r="M719" s="60"/>
      <c r="N719" s="60"/>
      <c r="O719" s="60"/>
      <c r="P719" s="59"/>
      <c r="Q719" s="59"/>
      <c r="R719" s="60"/>
      <c r="S719" s="60"/>
      <c r="T719" s="60"/>
      <c r="U719" s="60"/>
      <c r="V719" s="60"/>
      <c r="W719" s="60"/>
    </row>
    <row r="720" spans="1:23" ht="13" x14ac:dyDescent="0.3">
      <c r="A720" s="58"/>
      <c r="B720" s="58"/>
      <c r="C720" s="58"/>
      <c r="D720" s="58"/>
      <c r="E720" s="58"/>
      <c r="F720" s="58"/>
      <c r="G720" s="58"/>
      <c r="H720" s="59"/>
      <c r="I720" s="59"/>
      <c r="J720" s="59"/>
      <c r="K720" s="59"/>
      <c r="L720" s="59"/>
      <c r="M720" s="60"/>
      <c r="N720" s="60"/>
      <c r="O720" s="60"/>
      <c r="P720" s="59"/>
      <c r="Q720" s="59"/>
      <c r="R720" s="60"/>
      <c r="S720" s="60"/>
      <c r="T720" s="60"/>
      <c r="U720" s="60"/>
      <c r="V720" s="60"/>
      <c r="W720" s="60"/>
    </row>
    <row r="721" spans="1:23" ht="13" x14ac:dyDescent="0.3">
      <c r="A721" s="58"/>
      <c r="B721" s="58"/>
      <c r="C721" s="58"/>
      <c r="D721" s="58"/>
      <c r="E721" s="58"/>
      <c r="F721" s="58"/>
      <c r="G721" s="58"/>
      <c r="H721" s="59"/>
      <c r="I721" s="59"/>
      <c r="J721" s="59"/>
      <c r="K721" s="59"/>
      <c r="L721" s="59"/>
      <c r="M721" s="60"/>
      <c r="N721" s="60"/>
      <c r="O721" s="60"/>
      <c r="P721" s="59"/>
      <c r="Q721" s="59"/>
      <c r="R721" s="60"/>
      <c r="S721" s="60"/>
      <c r="T721" s="60"/>
      <c r="U721" s="60"/>
      <c r="V721" s="60"/>
      <c r="W721" s="60"/>
    </row>
    <row r="722" spans="1:23" ht="13" x14ac:dyDescent="0.3">
      <c r="A722" s="58"/>
      <c r="B722" s="58"/>
      <c r="C722" s="58"/>
      <c r="D722" s="58"/>
      <c r="E722" s="58"/>
      <c r="F722" s="58"/>
      <c r="G722" s="58"/>
      <c r="H722" s="59"/>
      <c r="I722" s="59"/>
      <c r="J722" s="59"/>
      <c r="K722" s="59"/>
      <c r="L722" s="59"/>
      <c r="M722" s="60"/>
      <c r="N722" s="60"/>
      <c r="O722" s="60"/>
      <c r="P722" s="59"/>
      <c r="Q722" s="59"/>
      <c r="R722" s="60"/>
      <c r="S722" s="60"/>
      <c r="T722" s="60"/>
      <c r="U722" s="60"/>
      <c r="V722" s="60"/>
      <c r="W722" s="60"/>
    </row>
    <row r="723" spans="1:23" ht="13" x14ac:dyDescent="0.3">
      <c r="A723" s="58"/>
      <c r="B723" s="58"/>
      <c r="C723" s="58"/>
      <c r="D723" s="58"/>
      <c r="E723" s="58"/>
      <c r="F723" s="58"/>
      <c r="G723" s="58"/>
      <c r="H723" s="59"/>
      <c r="I723" s="59"/>
      <c r="J723" s="59"/>
      <c r="K723" s="59"/>
      <c r="L723" s="59"/>
      <c r="M723" s="60"/>
      <c r="N723" s="60"/>
      <c r="O723" s="60"/>
      <c r="P723" s="59"/>
      <c r="Q723" s="59"/>
      <c r="R723" s="60"/>
      <c r="S723" s="60"/>
      <c r="T723" s="60"/>
      <c r="U723" s="60"/>
      <c r="V723" s="60"/>
      <c r="W723" s="60"/>
    </row>
    <row r="724" spans="1:23" ht="13" x14ac:dyDescent="0.3">
      <c r="A724" s="58"/>
      <c r="B724" s="58"/>
      <c r="C724" s="58"/>
      <c r="D724" s="58"/>
      <c r="E724" s="58"/>
      <c r="F724" s="58"/>
      <c r="G724" s="58"/>
      <c r="H724" s="59"/>
      <c r="I724" s="59"/>
      <c r="J724" s="59"/>
      <c r="K724" s="59"/>
      <c r="L724" s="59"/>
      <c r="M724" s="60"/>
      <c r="N724" s="60"/>
      <c r="O724" s="60"/>
      <c r="P724" s="59"/>
      <c r="Q724" s="59"/>
      <c r="R724" s="60"/>
      <c r="S724" s="60"/>
      <c r="T724" s="60"/>
      <c r="U724" s="60"/>
      <c r="V724" s="60"/>
      <c r="W724" s="60"/>
    </row>
    <row r="725" spans="1:23" ht="13" x14ac:dyDescent="0.3">
      <c r="A725" s="58"/>
      <c r="B725" s="58"/>
      <c r="C725" s="58"/>
      <c r="D725" s="58"/>
      <c r="E725" s="58"/>
      <c r="F725" s="58"/>
      <c r="G725" s="58"/>
      <c r="H725" s="59"/>
      <c r="I725" s="59"/>
      <c r="J725" s="59"/>
      <c r="K725" s="59"/>
      <c r="L725" s="59"/>
      <c r="M725" s="60"/>
      <c r="N725" s="60"/>
      <c r="O725" s="60"/>
      <c r="P725" s="59"/>
      <c r="Q725" s="59"/>
      <c r="R725" s="60"/>
      <c r="S725" s="60"/>
      <c r="T725" s="60"/>
      <c r="U725" s="60"/>
      <c r="V725" s="60"/>
      <c r="W725" s="60"/>
    </row>
    <row r="726" spans="1:23" ht="13" x14ac:dyDescent="0.3">
      <c r="A726" s="58"/>
      <c r="B726" s="58"/>
      <c r="C726" s="58"/>
      <c r="D726" s="58"/>
      <c r="E726" s="58"/>
      <c r="F726" s="58"/>
      <c r="G726" s="58"/>
      <c r="H726" s="59"/>
      <c r="I726" s="59"/>
      <c r="J726" s="59"/>
      <c r="K726" s="59"/>
      <c r="L726" s="59"/>
      <c r="M726" s="60"/>
      <c r="N726" s="60"/>
      <c r="O726" s="60"/>
      <c r="P726" s="59"/>
      <c r="Q726" s="59"/>
      <c r="R726" s="60"/>
      <c r="S726" s="60"/>
      <c r="T726" s="60"/>
      <c r="U726" s="60"/>
      <c r="V726" s="60"/>
      <c r="W726" s="60"/>
    </row>
    <row r="727" spans="1:23" ht="13" x14ac:dyDescent="0.3">
      <c r="A727" s="58"/>
      <c r="B727" s="58"/>
      <c r="C727" s="58"/>
      <c r="D727" s="58"/>
      <c r="E727" s="58"/>
      <c r="F727" s="58"/>
      <c r="G727" s="58"/>
      <c r="H727" s="59"/>
      <c r="I727" s="59"/>
      <c r="J727" s="59"/>
      <c r="K727" s="59"/>
      <c r="L727" s="59"/>
      <c r="M727" s="60"/>
      <c r="N727" s="60"/>
      <c r="O727" s="60"/>
      <c r="P727" s="59"/>
      <c r="Q727" s="59"/>
      <c r="R727" s="60"/>
      <c r="S727" s="60"/>
      <c r="T727" s="60"/>
      <c r="U727" s="60"/>
      <c r="V727" s="60"/>
      <c r="W727" s="60"/>
    </row>
    <row r="728" spans="1:23" ht="13" x14ac:dyDescent="0.3">
      <c r="A728" s="58"/>
      <c r="B728" s="58"/>
      <c r="C728" s="58"/>
      <c r="D728" s="58"/>
      <c r="E728" s="58"/>
      <c r="F728" s="58"/>
      <c r="G728" s="58"/>
      <c r="H728" s="59"/>
      <c r="I728" s="59"/>
      <c r="J728" s="59"/>
      <c r="K728" s="59"/>
      <c r="L728" s="59"/>
      <c r="M728" s="60"/>
      <c r="N728" s="60"/>
      <c r="O728" s="60"/>
      <c r="P728" s="59"/>
      <c r="Q728" s="59"/>
      <c r="R728" s="60"/>
      <c r="S728" s="60"/>
      <c r="T728" s="60"/>
      <c r="U728" s="60"/>
      <c r="V728" s="60"/>
      <c r="W728" s="60"/>
    </row>
    <row r="729" spans="1:23" ht="13" x14ac:dyDescent="0.3">
      <c r="A729" s="58"/>
      <c r="B729" s="58"/>
      <c r="C729" s="58"/>
      <c r="D729" s="58"/>
      <c r="E729" s="58"/>
      <c r="F729" s="58"/>
      <c r="G729" s="58"/>
      <c r="H729" s="59"/>
      <c r="I729" s="59"/>
      <c r="J729" s="59"/>
      <c r="K729" s="59"/>
      <c r="L729" s="59"/>
      <c r="M729" s="60"/>
      <c r="N729" s="60"/>
      <c r="O729" s="60"/>
      <c r="P729" s="59"/>
      <c r="Q729" s="59"/>
      <c r="R729" s="60"/>
      <c r="S729" s="60"/>
      <c r="T729" s="60"/>
      <c r="U729" s="60"/>
      <c r="V729" s="60"/>
      <c r="W729" s="60"/>
    </row>
    <row r="730" spans="1:23" ht="13" x14ac:dyDescent="0.3">
      <c r="A730" s="58"/>
      <c r="B730" s="58"/>
      <c r="C730" s="58"/>
      <c r="D730" s="58"/>
      <c r="E730" s="58"/>
      <c r="F730" s="58"/>
      <c r="G730" s="58"/>
      <c r="H730" s="59"/>
      <c r="I730" s="59"/>
      <c r="J730" s="59"/>
      <c r="K730" s="59"/>
      <c r="L730" s="59"/>
      <c r="M730" s="60"/>
      <c r="N730" s="60"/>
      <c r="O730" s="60"/>
      <c r="P730" s="59"/>
      <c r="Q730" s="59"/>
      <c r="R730" s="60"/>
      <c r="S730" s="60"/>
      <c r="T730" s="60"/>
      <c r="U730" s="60"/>
      <c r="V730" s="60"/>
      <c r="W730" s="60"/>
    </row>
    <row r="731" spans="1:23" ht="13" x14ac:dyDescent="0.3">
      <c r="A731" s="58"/>
      <c r="B731" s="58"/>
      <c r="C731" s="58"/>
      <c r="D731" s="58"/>
      <c r="E731" s="58"/>
      <c r="F731" s="58"/>
      <c r="G731" s="58"/>
      <c r="H731" s="59"/>
      <c r="I731" s="59"/>
      <c r="J731" s="59"/>
      <c r="K731" s="59"/>
      <c r="L731" s="59"/>
      <c r="M731" s="60"/>
      <c r="N731" s="60"/>
      <c r="O731" s="60"/>
      <c r="P731" s="59"/>
      <c r="Q731" s="59"/>
      <c r="R731" s="60"/>
      <c r="S731" s="60"/>
      <c r="T731" s="60"/>
      <c r="U731" s="60"/>
      <c r="V731" s="60"/>
      <c r="W731" s="60"/>
    </row>
    <row r="732" spans="1:23" ht="13" x14ac:dyDescent="0.3">
      <c r="A732" s="58"/>
      <c r="B732" s="58"/>
      <c r="C732" s="58"/>
      <c r="D732" s="58"/>
      <c r="E732" s="58"/>
      <c r="F732" s="58"/>
      <c r="G732" s="58"/>
      <c r="H732" s="59"/>
      <c r="I732" s="59"/>
      <c r="J732" s="59"/>
      <c r="K732" s="59"/>
      <c r="L732" s="59"/>
      <c r="M732" s="60"/>
      <c r="N732" s="60"/>
      <c r="O732" s="60"/>
      <c r="P732" s="59"/>
      <c r="Q732" s="59"/>
      <c r="R732" s="60"/>
      <c r="S732" s="60"/>
      <c r="T732" s="60"/>
      <c r="U732" s="60"/>
      <c r="V732" s="60"/>
      <c r="W732" s="60"/>
    </row>
    <row r="733" spans="1:23" ht="13" x14ac:dyDescent="0.3">
      <c r="A733" s="58"/>
      <c r="B733" s="58"/>
      <c r="C733" s="58"/>
      <c r="D733" s="58"/>
      <c r="E733" s="58"/>
      <c r="F733" s="58"/>
      <c r="G733" s="58"/>
      <c r="H733" s="59"/>
      <c r="I733" s="59"/>
      <c r="J733" s="59"/>
      <c r="K733" s="59"/>
      <c r="L733" s="59"/>
      <c r="M733" s="60"/>
      <c r="N733" s="60"/>
      <c r="O733" s="60"/>
      <c r="P733" s="59"/>
      <c r="Q733" s="59"/>
      <c r="R733" s="60"/>
      <c r="S733" s="60"/>
      <c r="T733" s="60"/>
      <c r="U733" s="60"/>
      <c r="V733" s="60"/>
      <c r="W733" s="60"/>
    </row>
    <row r="734" spans="1:23" ht="13" x14ac:dyDescent="0.3">
      <c r="A734" s="58"/>
      <c r="B734" s="58"/>
      <c r="C734" s="58"/>
      <c r="D734" s="58"/>
      <c r="E734" s="58"/>
      <c r="F734" s="58"/>
      <c r="G734" s="58"/>
      <c r="H734" s="59"/>
      <c r="I734" s="59"/>
      <c r="J734" s="59"/>
      <c r="K734" s="59"/>
      <c r="L734" s="59"/>
      <c r="M734" s="60"/>
      <c r="N734" s="60"/>
      <c r="O734" s="60"/>
      <c r="P734" s="59"/>
      <c r="Q734" s="59"/>
      <c r="R734" s="60"/>
      <c r="S734" s="60"/>
      <c r="T734" s="60"/>
      <c r="U734" s="60"/>
      <c r="V734" s="60"/>
      <c r="W734" s="60"/>
    </row>
    <row r="735" spans="1:23" ht="13" x14ac:dyDescent="0.3">
      <c r="A735" s="58"/>
      <c r="B735" s="58"/>
      <c r="C735" s="58"/>
      <c r="D735" s="58"/>
      <c r="E735" s="58"/>
      <c r="F735" s="58"/>
      <c r="G735" s="58"/>
      <c r="H735" s="59"/>
      <c r="I735" s="59"/>
      <c r="J735" s="59"/>
      <c r="K735" s="59"/>
      <c r="L735" s="59"/>
      <c r="M735" s="60"/>
      <c r="N735" s="60"/>
      <c r="O735" s="60"/>
      <c r="P735" s="59"/>
      <c r="Q735" s="59"/>
      <c r="R735" s="60"/>
      <c r="S735" s="60"/>
      <c r="T735" s="60"/>
      <c r="U735" s="60"/>
      <c r="V735" s="60"/>
      <c r="W735" s="60"/>
    </row>
    <row r="736" spans="1:23" ht="13" x14ac:dyDescent="0.3">
      <c r="A736" s="58"/>
      <c r="B736" s="58"/>
      <c r="C736" s="58"/>
      <c r="D736" s="58"/>
      <c r="E736" s="58"/>
      <c r="F736" s="58"/>
      <c r="G736" s="58"/>
      <c r="H736" s="59"/>
      <c r="I736" s="59"/>
      <c r="J736" s="59"/>
      <c r="K736" s="59"/>
      <c r="L736" s="59"/>
      <c r="M736" s="60"/>
      <c r="N736" s="60"/>
      <c r="O736" s="60"/>
      <c r="P736" s="59"/>
      <c r="Q736" s="59"/>
      <c r="R736" s="60"/>
      <c r="S736" s="60"/>
      <c r="T736" s="60"/>
      <c r="U736" s="60"/>
      <c r="V736" s="60"/>
      <c r="W736" s="60"/>
    </row>
    <row r="737" spans="1:23" ht="13" x14ac:dyDescent="0.3">
      <c r="A737" s="58"/>
      <c r="B737" s="58"/>
      <c r="C737" s="58"/>
      <c r="D737" s="58"/>
      <c r="E737" s="58"/>
      <c r="F737" s="58"/>
      <c r="G737" s="58"/>
      <c r="H737" s="59"/>
      <c r="I737" s="59"/>
      <c r="J737" s="59"/>
      <c r="K737" s="59"/>
      <c r="L737" s="59"/>
      <c r="M737" s="60"/>
      <c r="N737" s="60"/>
      <c r="O737" s="60"/>
      <c r="P737" s="59"/>
      <c r="Q737" s="59"/>
      <c r="R737" s="60"/>
      <c r="S737" s="60"/>
      <c r="T737" s="60"/>
      <c r="U737" s="60"/>
      <c r="V737" s="60"/>
      <c r="W737" s="60"/>
    </row>
    <row r="738" spans="1:23" ht="13" x14ac:dyDescent="0.3">
      <c r="A738" s="58"/>
      <c r="B738" s="58"/>
      <c r="C738" s="58"/>
      <c r="D738" s="58"/>
      <c r="E738" s="58"/>
      <c r="F738" s="58"/>
      <c r="G738" s="58"/>
      <c r="H738" s="59"/>
      <c r="I738" s="59"/>
      <c r="J738" s="59"/>
      <c r="K738" s="59"/>
      <c r="L738" s="59"/>
      <c r="M738" s="60"/>
      <c r="N738" s="60"/>
      <c r="O738" s="60"/>
      <c r="P738" s="59"/>
      <c r="Q738" s="59"/>
      <c r="R738" s="60"/>
      <c r="S738" s="60"/>
      <c r="T738" s="60"/>
      <c r="U738" s="60"/>
      <c r="V738" s="60"/>
      <c r="W738" s="60"/>
    </row>
    <row r="739" spans="1:23" ht="13" x14ac:dyDescent="0.3">
      <c r="A739" s="58"/>
      <c r="B739" s="58"/>
      <c r="C739" s="58"/>
      <c r="D739" s="58"/>
      <c r="E739" s="58"/>
      <c r="F739" s="58"/>
      <c r="G739" s="58"/>
      <c r="H739" s="59"/>
      <c r="I739" s="59"/>
      <c r="J739" s="59"/>
      <c r="K739" s="59"/>
      <c r="L739" s="59"/>
      <c r="M739" s="60"/>
      <c r="N739" s="60"/>
      <c r="O739" s="60"/>
      <c r="P739" s="59"/>
      <c r="Q739" s="59"/>
      <c r="R739" s="60"/>
      <c r="S739" s="60"/>
      <c r="T739" s="60"/>
      <c r="U739" s="60"/>
      <c r="V739" s="60"/>
      <c r="W739" s="60"/>
    </row>
    <row r="740" spans="1:23" ht="13" x14ac:dyDescent="0.3">
      <c r="A740" s="58"/>
      <c r="B740" s="58"/>
      <c r="C740" s="58"/>
      <c r="D740" s="58"/>
      <c r="E740" s="58"/>
      <c r="F740" s="58"/>
      <c r="G740" s="58"/>
      <c r="H740" s="59"/>
      <c r="I740" s="59"/>
      <c r="J740" s="59"/>
      <c r="K740" s="59"/>
      <c r="L740" s="59"/>
      <c r="M740" s="60"/>
      <c r="N740" s="60"/>
      <c r="O740" s="60"/>
      <c r="P740" s="59"/>
      <c r="Q740" s="59"/>
      <c r="R740" s="60"/>
      <c r="S740" s="60"/>
      <c r="T740" s="60"/>
      <c r="U740" s="60"/>
      <c r="V740" s="60"/>
      <c r="W740" s="60"/>
    </row>
    <row r="741" spans="1:23" ht="13" x14ac:dyDescent="0.3">
      <c r="A741" s="58"/>
      <c r="B741" s="58"/>
      <c r="C741" s="58"/>
      <c r="D741" s="58"/>
      <c r="E741" s="58"/>
      <c r="F741" s="58"/>
      <c r="G741" s="58"/>
      <c r="H741" s="59"/>
      <c r="I741" s="59"/>
      <c r="J741" s="59"/>
      <c r="K741" s="59"/>
      <c r="L741" s="59"/>
      <c r="M741" s="60"/>
      <c r="N741" s="60"/>
      <c r="O741" s="60"/>
      <c r="P741" s="59"/>
      <c r="Q741" s="59"/>
      <c r="R741" s="60"/>
      <c r="S741" s="60"/>
      <c r="T741" s="60"/>
      <c r="U741" s="60"/>
      <c r="V741" s="60"/>
      <c r="W741" s="60"/>
    </row>
    <row r="742" spans="1:23" ht="13" x14ac:dyDescent="0.3">
      <c r="A742" s="58"/>
      <c r="B742" s="58"/>
      <c r="C742" s="58"/>
      <c r="D742" s="58"/>
      <c r="E742" s="58"/>
      <c r="F742" s="58"/>
      <c r="G742" s="58"/>
      <c r="H742" s="59"/>
      <c r="I742" s="59"/>
      <c r="J742" s="59"/>
      <c r="K742" s="59"/>
      <c r="L742" s="59"/>
      <c r="M742" s="60"/>
      <c r="N742" s="60"/>
      <c r="O742" s="60"/>
      <c r="P742" s="59"/>
      <c r="Q742" s="59"/>
      <c r="R742" s="60"/>
      <c r="S742" s="60"/>
      <c r="T742" s="60"/>
      <c r="U742" s="60"/>
      <c r="V742" s="60"/>
      <c r="W742" s="60"/>
    </row>
    <row r="743" spans="1:23" ht="13" x14ac:dyDescent="0.3">
      <c r="A743" s="58"/>
      <c r="B743" s="58"/>
      <c r="C743" s="58"/>
      <c r="D743" s="58"/>
      <c r="E743" s="58"/>
      <c r="F743" s="58"/>
      <c r="G743" s="58"/>
      <c r="H743" s="59"/>
      <c r="I743" s="59"/>
      <c r="J743" s="59"/>
      <c r="K743" s="59"/>
      <c r="L743" s="59"/>
      <c r="M743" s="60"/>
      <c r="N743" s="60"/>
      <c r="O743" s="60"/>
      <c r="P743" s="59"/>
      <c r="Q743" s="59"/>
      <c r="R743" s="60"/>
      <c r="S743" s="60"/>
      <c r="T743" s="60"/>
      <c r="U743" s="60"/>
      <c r="V743" s="60"/>
      <c r="W743" s="60"/>
    </row>
    <row r="744" spans="1:23" ht="13" x14ac:dyDescent="0.3">
      <c r="A744" s="58"/>
      <c r="B744" s="58"/>
      <c r="C744" s="58"/>
      <c r="D744" s="58"/>
      <c r="E744" s="58"/>
      <c r="F744" s="58"/>
      <c r="G744" s="58"/>
      <c r="H744" s="59"/>
      <c r="I744" s="59"/>
      <c r="J744" s="59"/>
      <c r="K744" s="59"/>
      <c r="L744" s="59"/>
      <c r="M744" s="60"/>
      <c r="N744" s="60"/>
      <c r="O744" s="60"/>
      <c r="P744" s="59"/>
      <c r="Q744" s="59"/>
      <c r="R744" s="60"/>
      <c r="S744" s="60"/>
      <c r="T744" s="60"/>
      <c r="U744" s="60"/>
      <c r="V744" s="60"/>
      <c r="W744" s="60"/>
    </row>
    <row r="745" spans="1:23" ht="13" x14ac:dyDescent="0.3">
      <c r="A745" s="58"/>
      <c r="B745" s="58"/>
      <c r="C745" s="58"/>
      <c r="D745" s="58"/>
      <c r="E745" s="58"/>
      <c r="F745" s="58"/>
      <c r="G745" s="58"/>
      <c r="H745" s="59"/>
      <c r="I745" s="59"/>
      <c r="J745" s="59"/>
      <c r="K745" s="59"/>
      <c r="L745" s="59"/>
      <c r="M745" s="60"/>
      <c r="N745" s="60"/>
      <c r="O745" s="60"/>
      <c r="P745" s="59"/>
      <c r="Q745" s="59"/>
      <c r="R745" s="60"/>
      <c r="S745" s="60"/>
      <c r="T745" s="60"/>
      <c r="U745" s="60"/>
      <c r="V745" s="60"/>
      <c r="W745" s="60"/>
    </row>
    <row r="746" spans="1:23" ht="13" x14ac:dyDescent="0.3">
      <c r="A746" s="58"/>
      <c r="B746" s="58"/>
      <c r="C746" s="58"/>
      <c r="D746" s="58"/>
      <c r="E746" s="58"/>
      <c r="F746" s="58"/>
      <c r="G746" s="58"/>
      <c r="H746" s="59"/>
      <c r="I746" s="59"/>
      <c r="J746" s="59"/>
      <c r="K746" s="59"/>
      <c r="L746" s="59"/>
      <c r="M746" s="60"/>
      <c r="N746" s="60"/>
      <c r="O746" s="60"/>
      <c r="P746" s="59"/>
      <c r="Q746" s="59"/>
      <c r="R746" s="60"/>
      <c r="S746" s="60"/>
      <c r="T746" s="60"/>
      <c r="U746" s="60"/>
      <c r="V746" s="60"/>
      <c r="W746" s="60"/>
    </row>
    <row r="747" spans="1:23" ht="13" x14ac:dyDescent="0.3">
      <c r="A747" s="58"/>
      <c r="B747" s="58"/>
      <c r="C747" s="58"/>
      <c r="D747" s="58"/>
      <c r="E747" s="58"/>
      <c r="F747" s="58"/>
      <c r="G747" s="58"/>
      <c r="H747" s="59"/>
      <c r="I747" s="59"/>
      <c r="J747" s="59"/>
      <c r="K747" s="59"/>
      <c r="L747" s="59"/>
      <c r="M747" s="60"/>
      <c r="N747" s="60"/>
      <c r="O747" s="60"/>
      <c r="P747" s="59"/>
      <c r="Q747" s="59"/>
      <c r="R747" s="60"/>
      <c r="S747" s="60"/>
      <c r="T747" s="60"/>
      <c r="U747" s="60"/>
      <c r="V747" s="60"/>
      <c r="W747" s="60"/>
    </row>
    <row r="748" spans="1:23" ht="13" x14ac:dyDescent="0.3">
      <c r="A748" s="58"/>
      <c r="B748" s="58"/>
      <c r="C748" s="58"/>
      <c r="D748" s="58"/>
      <c r="E748" s="58"/>
      <c r="F748" s="58"/>
      <c r="G748" s="58"/>
      <c r="H748" s="59"/>
      <c r="I748" s="59"/>
      <c r="J748" s="59"/>
      <c r="K748" s="59"/>
      <c r="L748" s="59"/>
      <c r="M748" s="60"/>
      <c r="N748" s="60"/>
      <c r="O748" s="60"/>
      <c r="P748" s="59"/>
      <c r="Q748" s="59"/>
      <c r="R748" s="60"/>
      <c r="S748" s="60"/>
      <c r="T748" s="60"/>
      <c r="U748" s="60"/>
      <c r="V748" s="60"/>
      <c r="W748" s="60"/>
    </row>
    <row r="749" spans="1:23" ht="13" x14ac:dyDescent="0.3">
      <c r="A749" s="58"/>
      <c r="B749" s="58"/>
      <c r="C749" s="58"/>
      <c r="D749" s="58"/>
      <c r="E749" s="58"/>
      <c r="F749" s="58"/>
      <c r="G749" s="58"/>
      <c r="H749" s="59"/>
      <c r="I749" s="59"/>
      <c r="J749" s="59"/>
      <c r="K749" s="59"/>
      <c r="L749" s="59"/>
      <c r="M749" s="60"/>
      <c r="N749" s="60"/>
      <c r="O749" s="60"/>
      <c r="P749" s="59"/>
      <c r="Q749" s="59"/>
      <c r="R749" s="60"/>
      <c r="S749" s="60"/>
      <c r="T749" s="60"/>
      <c r="U749" s="60"/>
      <c r="V749" s="60"/>
      <c r="W749" s="60"/>
    </row>
    <row r="750" spans="1:23" ht="13" x14ac:dyDescent="0.3">
      <c r="A750" s="58"/>
      <c r="B750" s="58"/>
      <c r="C750" s="58"/>
      <c r="D750" s="58"/>
      <c r="E750" s="58"/>
      <c r="F750" s="58"/>
      <c r="G750" s="58"/>
      <c r="H750" s="59"/>
      <c r="I750" s="59"/>
      <c r="J750" s="59"/>
      <c r="K750" s="59"/>
      <c r="L750" s="59"/>
      <c r="M750" s="60"/>
      <c r="N750" s="60"/>
      <c r="O750" s="60"/>
      <c r="P750" s="59"/>
      <c r="Q750" s="59"/>
      <c r="R750" s="60"/>
      <c r="S750" s="60"/>
      <c r="T750" s="60"/>
      <c r="U750" s="60"/>
      <c r="V750" s="60"/>
      <c r="W750" s="60"/>
    </row>
    <row r="751" spans="1:23" ht="13" x14ac:dyDescent="0.3">
      <c r="A751" s="58"/>
      <c r="B751" s="58"/>
      <c r="C751" s="58"/>
      <c r="D751" s="58"/>
      <c r="E751" s="58"/>
      <c r="F751" s="58"/>
      <c r="G751" s="58"/>
      <c r="H751" s="59"/>
      <c r="I751" s="59"/>
      <c r="J751" s="59"/>
      <c r="K751" s="59"/>
      <c r="L751" s="59"/>
      <c r="M751" s="60"/>
      <c r="N751" s="60"/>
      <c r="O751" s="60"/>
      <c r="P751" s="59"/>
      <c r="Q751" s="59"/>
      <c r="R751" s="60"/>
      <c r="S751" s="60"/>
      <c r="T751" s="60"/>
      <c r="U751" s="60"/>
      <c r="V751" s="60"/>
      <c r="W751" s="60"/>
    </row>
    <row r="752" spans="1:23" ht="13" x14ac:dyDescent="0.3">
      <c r="A752" s="58"/>
      <c r="B752" s="58"/>
      <c r="C752" s="58"/>
      <c r="D752" s="58"/>
      <c r="E752" s="58"/>
      <c r="F752" s="58"/>
      <c r="G752" s="58"/>
      <c r="H752" s="59"/>
      <c r="I752" s="59"/>
      <c r="J752" s="59"/>
      <c r="K752" s="59"/>
      <c r="L752" s="59"/>
      <c r="M752" s="60"/>
      <c r="N752" s="60"/>
      <c r="O752" s="60"/>
      <c r="P752" s="59"/>
      <c r="Q752" s="59"/>
      <c r="R752" s="60"/>
      <c r="S752" s="60"/>
      <c r="T752" s="60"/>
      <c r="U752" s="60"/>
      <c r="V752" s="60"/>
      <c r="W752" s="60"/>
    </row>
    <row r="753" spans="1:23" ht="13" x14ac:dyDescent="0.3">
      <c r="A753" s="58"/>
      <c r="B753" s="58"/>
      <c r="C753" s="58"/>
      <c r="D753" s="58"/>
      <c r="E753" s="58"/>
      <c r="F753" s="58"/>
      <c r="G753" s="58"/>
      <c r="H753" s="59"/>
      <c r="I753" s="59"/>
      <c r="J753" s="59"/>
      <c r="K753" s="59"/>
      <c r="L753" s="59"/>
      <c r="M753" s="60"/>
      <c r="N753" s="60"/>
      <c r="O753" s="60"/>
      <c r="P753" s="59"/>
      <c r="Q753" s="59"/>
      <c r="R753" s="60"/>
      <c r="S753" s="60"/>
      <c r="T753" s="60"/>
      <c r="U753" s="60"/>
      <c r="V753" s="60"/>
      <c r="W753" s="60"/>
    </row>
    <row r="754" spans="1:23" ht="13" x14ac:dyDescent="0.3">
      <c r="A754" s="58"/>
      <c r="B754" s="58"/>
      <c r="C754" s="58"/>
      <c r="D754" s="58"/>
      <c r="E754" s="58"/>
      <c r="F754" s="58"/>
      <c r="G754" s="58"/>
      <c r="H754" s="59"/>
      <c r="I754" s="59"/>
      <c r="J754" s="59"/>
      <c r="K754" s="59"/>
      <c r="L754" s="59"/>
      <c r="M754" s="60"/>
      <c r="N754" s="60"/>
      <c r="O754" s="60"/>
      <c r="P754" s="59"/>
      <c r="Q754" s="59"/>
      <c r="R754" s="60"/>
      <c r="S754" s="60"/>
      <c r="T754" s="60"/>
      <c r="U754" s="60"/>
      <c r="V754" s="60"/>
      <c r="W754" s="60"/>
    </row>
    <row r="755" spans="1:23" ht="13" x14ac:dyDescent="0.3">
      <c r="A755" s="58"/>
      <c r="B755" s="58"/>
      <c r="C755" s="58"/>
      <c r="D755" s="58"/>
      <c r="E755" s="58"/>
      <c r="F755" s="58"/>
      <c r="G755" s="58"/>
      <c r="H755" s="59"/>
      <c r="I755" s="59"/>
      <c r="J755" s="59"/>
      <c r="K755" s="59"/>
      <c r="L755" s="59"/>
      <c r="M755" s="60"/>
      <c r="N755" s="60"/>
      <c r="O755" s="60"/>
      <c r="P755" s="59"/>
      <c r="Q755" s="59"/>
      <c r="R755" s="60"/>
      <c r="S755" s="60"/>
      <c r="T755" s="60"/>
      <c r="U755" s="60"/>
      <c r="V755" s="60"/>
      <c r="W755" s="60"/>
    </row>
    <row r="756" spans="1:23" ht="13" x14ac:dyDescent="0.3">
      <c r="A756" s="58"/>
      <c r="B756" s="58"/>
      <c r="C756" s="58"/>
      <c r="D756" s="58"/>
      <c r="E756" s="58"/>
      <c r="F756" s="58"/>
      <c r="G756" s="58"/>
      <c r="H756" s="59"/>
      <c r="I756" s="59"/>
      <c r="J756" s="59"/>
      <c r="K756" s="59"/>
      <c r="L756" s="59"/>
      <c r="M756" s="60"/>
      <c r="N756" s="60"/>
      <c r="O756" s="60"/>
      <c r="P756" s="59"/>
      <c r="Q756" s="59"/>
      <c r="R756" s="60"/>
      <c r="S756" s="60"/>
      <c r="T756" s="60"/>
      <c r="U756" s="60"/>
      <c r="V756" s="60"/>
      <c r="W756" s="60"/>
    </row>
    <row r="757" spans="1:23" ht="13" x14ac:dyDescent="0.3">
      <c r="A757" s="58"/>
      <c r="B757" s="58"/>
      <c r="C757" s="58"/>
      <c r="D757" s="58"/>
      <c r="E757" s="58"/>
      <c r="F757" s="58"/>
      <c r="G757" s="58"/>
      <c r="H757" s="59"/>
      <c r="I757" s="59"/>
      <c r="J757" s="59"/>
      <c r="K757" s="59"/>
      <c r="L757" s="59"/>
      <c r="M757" s="60"/>
      <c r="N757" s="60"/>
      <c r="O757" s="60"/>
      <c r="P757" s="59"/>
      <c r="Q757" s="59"/>
      <c r="R757" s="60"/>
      <c r="S757" s="60"/>
      <c r="T757" s="60"/>
      <c r="U757" s="60"/>
      <c r="V757" s="60"/>
      <c r="W757" s="60"/>
    </row>
    <row r="758" spans="1:23" ht="13" x14ac:dyDescent="0.3">
      <c r="A758" s="58"/>
      <c r="B758" s="58"/>
      <c r="C758" s="58"/>
      <c r="D758" s="58"/>
      <c r="E758" s="58"/>
      <c r="F758" s="58"/>
      <c r="G758" s="58"/>
      <c r="H758" s="59"/>
      <c r="I758" s="59"/>
      <c r="J758" s="59"/>
      <c r="K758" s="59"/>
      <c r="L758" s="59"/>
      <c r="M758" s="60"/>
      <c r="N758" s="60"/>
      <c r="O758" s="60"/>
      <c r="P758" s="59"/>
      <c r="Q758" s="59"/>
      <c r="R758" s="60"/>
      <c r="S758" s="60"/>
      <c r="T758" s="60"/>
      <c r="U758" s="60"/>
      <c r="V758" s="60"/>
      <c r="W758" s="60"/>
    </row>
    <row r="759" spans="1:23" ht="13" x14ac:dyDescent="0.3">
      <c r="A759" s="58"/>
      <c r="B759" s="58"/>
      <c r="C759" s="58"/>
      <c r="D759" s="58"/>
      <c r="E759" s="58"/>
      <c r="F759" s="58"/>
      <c r="G759" s="58"/>
      <c r="H759" s="59"/>
      <c r="I759" s="59"/>
      <c r="J759" s="59"/>
      <c r="K759" s="59"/>
      <c r="L759" s="59"/>
      <c r="M759" s="60"/>
      <c r="N759" s="60"/>
      <c r="O759" s="60"/>
      <c r="P759" s="59"/>
      <c r="Q759" s="59"/>
      <c r="R759" s="60"/>
      <c r="S759" s="60"/>
      <c r="T759" s="60"/>
      <c r="U759" s="60"/>
      <c r="V759" s="60"/>
      <c r="W759" s="60"/>
    </row>
    <row r="760" spans="1:23" ht="13" x14ac:dyDescent="0.3">
      <c r="A760" s="58"/>
      <c r="B760" s="58"/>
      <c r="C760" s="58"/>
      <c r="D760" s="58"/>
      <c r="E760" s="58"/>
      <c r="F760" s="58"/>
      <c r="G760" s="58"/>
      <c r="H760" s="59"/>
      <c r="I760" s="59"/>
      <c r="J760" s="59"/>
      <c r="K760" s="59"/>
      <c r="L760" s="59"/>
      <c r="M760" s="60"/>
      <c r="N760" s="60"/>
      <c r="O760" s="60"/>
      <c r="P760" s="59"/>
      <c r="Q760" s="59"/>
      <c r="R760" s="60"/>
      <c r="S760" s="60"/>
      <c r="T760" s="60"/>
      <c r="U760" s="60"/>
      <c r="V760" s="60"/>
      <c r="W760" s="60"/>
    </row>
    <row r="761" spans="1:23" ht="13" x14ac:dyDescent="0.3">
      <c r="A761" s="58"/>
      <c r="B761" s="58"/>
      <c r="C761" s="58"/>
      <c r="D761" s="58"/>
      <c r="E761" s="58"/>
      <c r="F761" s="58"/>
      <c r="G761" s="58"/>
      <c r="H761" s="59"/>
      <c r="I761" s="59"/>
      <c r="J761" s="59"/>
      <c r="K761" s="59"/>
      <c r="L761" s="59"/>
      <c r="M761" s="60"/>
      <c r="N761" s="60"/>
      <c r="O761" s="60"/>
      <c r="P761" s="59"/>
      <c r="Q761" s="59"/>
      <c r="R761" s="60"/>
      <c r="S761" s="60"/>
      <c r="T761" s="60"/>
      <c r="U761" s="60"/>
      <c r="V761" s="60"/>
      <c r="W761" s="60"/>
    </row>
    <row r="762" spans="1:23" ht="13" x14ac:dyDescent="0.3">
      <c r="A762" s="58"/>
      <c r="B762" s="58"/>
      <c r="C762" s="58"/>
      <c r="D762" s="58"/>
      <c r="E762" s="58"/>
      <c r="F762" s="58"/>
      <c r="G762" s="58"/>
      <c r="H762" s="59"/>
      <c r="I762" s="59"/>
      <c r="J762" s="59"/>
      <c r="K762" s="59"/>
      <c r="L762" s="59"/>
      <c r="M762" s="60"/>
      <c r="N762" s="60"/>
      <c r="O762" s="60"/>
      <c r="P762" s="59"/>
      <c r="Q762" s="59"/>
      <c r="R762" s="60"/>
      <c r="S762" s="60"/>
      <c r="T762" s="60"/>
      <c r="U762" s="60"/>
      <c r="V762" s="60"/>
      <c r="W762" s="60"/>
    </row>
    <row r="763" spans="1:23" ht="13" x14ac:dyDescent="0.3">
      <c r="A763" s="58"/>
      <c r="B763" s="58"/>
      <c r="C763" s="58"/>
      <c r="D763" s="58"/>
      <c r="E763" s="58"/>
      <c r="F763" s="58"/>
      <c r="G763" s="58"/>
      <c r="H763" s="59"/>
      <c r="I763" s="59"/>
      <c r="J763" s="59"/>
      <c r="K763" s="59"/>
      <c r="L763" s="59"/>
      <c r="M763" s="60"/>
      <c r="N763" s="60"/>
      <c r="O763" s="60"/>
      <c r="P763" s="59"/>
      <c r="Q763" s="59"/>
      <c r="R763" s="60"/>
      <c r="S763" s="60"/>
      <c r="T763" s="60"/>
      <c r="U763" s="60"/>
      <c r="V763" s="60"/>
      <c r="W763" s="60"/>
    </row>
    <row r="764" spans="1:23" ht="13" x14ac:dyDescent="0.3">
      <c r="A764" s="58"/>
      <c r="B764" s="58"/>
      <c r="C764" s="58"/>
      <c r="D764" s="58"/>
      <c r="E764" s="58"/>
      <c r="F764" s="58"/>
      <c r="G764" s="58"/>
      <c r="H764" s="59"/>
      <c r="I764" s="59"/>
      <c r="J764" s="59"/>
      <c r="K764" s="59"/>
      <c r="L764" s="59"/>
      <c r="M764" s="60"/>
      <c r="N764" s="60"/>
      <c r="O764" s="60"/>
      <c r="P764" s="59"/>
      <c r="Q764" s="59"/>
      <c r="R764" s="60"/>
      <c r="S764" s="60"/>
      <c r="T764" s="60"/>
      <c r="U764" s="60"/>
      <c r="V764" s="60"/>
      <c r="W764" s="60"/>
    </row>
    <row r="765" spans="1:23" ht="13" x14ac:dyDescent="0.3">
      <c r="A765" s="58"/>
      <c r="B765" s="58"/>
      <c r="C765" s="58"/>
      <c r="D765" s="58"/>
      <c r="E765" s="58"/>
      <c r="F765" s="58"/>
      <c r="G765" s="58"/>
      <c r="H765" s="59"/>
      <c r="I765" s="59"/>
      <c r="J765" s="59"/>
      <c r="K765" s="59"/>
      <c r="L765" s="59"/>
      <c r="M765" s="60"/>
      <c r="N765" s="60"/>
      <c r="O765" s="60"/>
      <c r="P765" s="59"/>
      <c r="Q765" s="59"/>
      <c r="R765" s="60"/>
      <c r="S765" s="60"/>
      <c r="T765" s="60"/>
      <c r="U765" s="60"/>
      <c r="V765" s="60"/>
      <c r="W765" s="60"/>
    </row>
    <row r="766" spans="1:23" ht="13" x14ac:dyDescent="0.3">
      <c r="A766" s="58"/>
      <c r="B766" s="58"/>
      <c r="C766" s="58"/>
      <c r="D766" s="58"/>
      <c r="E766" s="58"/>
      <c r="F766" s="58"/>
      <c r="G766" s="58"/>
      <c r="H766" s="59"/>
      <c r="I766" s="59"/>
      <c r="J766" s="59"/>
      <c r="K766" s="59"/>
      <c r="L766" s="59"/>
      <c r="M766" s="60"/>
      <c r="N766" s="60"/>
      <c r="O766" s="60"/>
      <c r="P766" s="59"/>
      <c r="Q766" s="59"/>
      <c r="R766" s="60"/>
      <c r="S766" s="60"/>
      <c r="T766" s="60"/>
      <c r="U766" s="60"/>
      <c r="V766" s="60"/>
      <c r="W766" s="60"/>
    </row>
    <row r="767" spans="1:23" ht="13" x14ac:dyDescent="0.3">
      <c r="A767" s="58"/>
      <c r="B767" s="58"/>
      <c r="C767" s="58"/>
      <c r="D767" s="58"/>
      <c r="E767" s="58"/>
      <c r="F767" s="58"/>
      <c r="G767" s="58"/>
      <c r="H767" s="59"/>
      <c r="I767" s="59"/>
      <c r="J767" s="59"/>
      <c r="K767" s="59"/>
      <c r="L767" s="59"/>
      <c r="M767" s="60"/>
      <c r="N767" s="60"/>
      <c r="O767" s="60"/>
      <c r="P767" s="59"/>
      <c r="Q767" s="59"/>
      <c r="R767" s="60"/>
      <c r="S767" s="60"/>
      <c r="T767" s="60"/>
      <c r="U767" s="60"/>
      <c r="V767" s="60"/>
      <c r="W767" s="60"/>
    </row>
    <row r="768" spans="1:23" ht="13" x14ac:dyDescent="0.3">
      <c r="A768" s="58"/>
      <c r="B768" s="58"/>
      <c r="C768" s="58"/>
      <c r="D768" s="58"/>
      <c r="E768" s="58"/>
      <c r="F768" s="58"/>
      <c r="G768" s="58"/>
      <c r="H768" s="59"/>
      <c r="I768" s="59"/>
      <c r="J768" s="59"/>
      <c r="K768" s="59"/>
      <c r="L768" s="59"/>
      <c r="M768" s="60"/>
      <c r="N768" s="60"/>
      <c r="O768" s="60"/>
      <c r="P768" s="59"/>
      <c r="Q768" s="59"/>
      <c r="R768" s="60"/>
      <c r="S768" s="60"/>
      <c r="T768" s="60"/>
      <c r="U768" s="60"/>
      <c r="V768" s="60"/>
      <c r="W768" s="60"/>
    </row>
    <row r="769" spans="1:23" ht="13" x14ac:dyDescent="0.3">
      <c r="A769" s="58"/>
      <c r="B769" s="58"/>
      <c r="C769" s="58"/>
      <c r="D769" s="58"/>
      <c r="E769" s="58"/>
      <c r="F769" s="58"/>
      <c r="G769" s="58"/>
      <c r="H769" s="59"/>
      <c r="I769" s="59"/>
      <c r="J769" s="59"/>
      <c r="K769" s="59"/>
      <c r="L769" s="59"/>
      <c r="M769" s="60"/>
      <c r="N769" s="60"/>
      <c r="O769" s="60"/>
      <c r="P769" s="59"/>
      <c r="Q769" s="59"/>
      <c r="R769" s="60"/>
      <c r="S769" s="60"/>
      <c r="T769" s="60"/>
      <c r="U769" s="60"/>
      <c r="V769" s="60"/>
      <c r="W769" s="60"/>
    </row>
    <row r="770" spans="1:23" ht="13" x14ac:dyDescent="0.3">
      <c r="A770" s="58"/>
      <c r="B770" s="58"/>
      <c r="C770" s="58"/>
      <c r="D770" s="58"/>
      <c r="E770" s="58"/>
      <c r="F770" s="58"/>
      <c r="G770" s="58"/>
      <c r="H770" s="59"/>
      <c r="I770" s="59"/>
      <c r="J770" s="59"/>
      <c r="K770" s="59"/>
      <c r="L770" s="59"/>
      <c r="M770" s="60"/>
      <c r="N770" s="60"/>
      <c r="O770" s="60"/>
      <c r="P770" s="59"/>
      <c r="Q770" s="59"/>
      <c r="R770" s="60"/>
      <c r="S770" s="60"/>
      <c r="T770" s="60"/>
      <c r="U770" s="60"/>
      <c r="V770" s="60"/>
      <c r="W770" s="60"/>
    </row>
    <row r="771" spans="1:23" ht="13" x14ac:dyDescent="0.3">
      <c r="A771" s="58"/>
      <c r="B771" s="58"/>
      <c r="C771" s="58"/>
      <c r="D771" s="58"/>
      <c r="E771" s="58"/>
      <c r="F771" s="58"/>
      <c r="G771" s="58"/>
      <c r="H771" s="59"/>
      <c r="I771" s="59"/>
      <c r="J771" s="59"/>
      <c r="K771" s="59"/>
      <c r="L771" s="59"/>
      <c r="M771" s="60"/>
      <c r="N771" s="60"/>
      <c r="O771" s="60"/>
      <c r="P771" s="59"/>
      <c r="Q771" s="59"/>
      <c r="R771" s="60"/>
      <c r="S771" s="60"/>
      <c r="T771" s="60"/>
      <c r="U771" s="60"/>
      <c r="V771" s="60"/>
      <c r="W771" s="60"/>
    </row>
    <row r="772" spans="1:23" ht="13" x14ac:dyDescent="0.3">
      <c r="A772" s="58"/>
      <c r="B772" s="58"/>
      <c r="C772" s="58"/>
      <c r="D772" s="58"/>
      <c r="E772" s="58"/>
      <c r="F772" s="58"/>
      <c r="G772" s="58"/>
      <c r="H772" s="59"/>
      <c r="I772" s="59"/>
      <c r="J772" s="59"/>
      <c r="K772" s="59"/>
      <c r="L772" s="59"/>
      <c r="M772" s="60"/>
      <c r="N772" s="60"/>
      <c r="O772" s="60"/>
      <c r="P772" s="59"/>
      <c r="Q772" s="59"/>
      <c r="R772" s="60"/>
      <c r="S772" s="60"/>
      <c r="T772" s="60"/>
      <c r="U772" s="60"/>
      <c r="V772" s="60"/>
      <c r="W772" s="60"/>
    </row>
    <row r="773" spans="1:23" ht="13" x14ac:dyDescent="0.3">
      <c r="A773" s="58"/>
      <c r="B773" s="58"/>
      <c r="C773" s="58"/>
      <c r="D773" s="58"/>
      <c r="E773" s="58"/>
      <c r="F773" s="58"/>
      <c r="G773" s="58"/>
      <c r="H773" s="59"/>
      <c r="I773" s="59"/>
      <c r="J773" s="59"/>
      <c r="K773" s="59"/>
      <c r="L773" s="59"/>
      <c r="M773" s="60"/>
      <c r="N773" s="60"/>
      <c r="O773" s="60"/>
      <c r="P773" s="59"/>
      <c r="Q773" s="59"/>
      <c r="R773" s="60"/>
      <c r="S773" s="60"/>
      <c r="T773" s="60"/>
      <c r="U773" s="60"/>
      <c r="V773" s="60"/>
      <c r="W773" s="60"/>
    </row>
    <row r="774" spans="1:23" ht="13" x14ac:dyDescent="0.3">
      <c r="A774" s="58"/>
      <c r="B774" s="58"/>
      <c r="C774" s="58"/>
      <c r="D774" s="58"/>
      <c r="E774" s="58"/>
      <c r="F774" s="58"/>
      <c r="G774" s="58"/>
      <c r="H774" s="59"/>
      <c r="I774" s="59"/>
      <c r="J774" s="59"/>
      <c r="K774" s="59"/>
      <c r="L774" s="59"/>
      <c r="M774" s="60"/>
      <c r="N774" s="60"/>
      <c r="O774" s="60"/>
      <c r="P774" s="59"/>
      <c r="Q774" s="59"/>
      <c r="R774" s="60"/>
      <c r="S774" s="60"/>
      <c r="T774" s="60"/>
      <c r="U774" s="60"/>
      <c r="V774" s="60"/>
      <c r="W774" s="60"/>
    </row>
    <row r="775" spans="1:23" ht="13" x14ac:dyDescent="0.3">
      <c r="A775" s="58"/>
      <c r="B775" s="58"/>
      <c r="C775" s="58"/>
      <c r="D775" s="58"/>
      <c r="E775" s="58"/>
      <c r="F775" s="58"/>
      <c r="G775" s="58"/>
      <c r="H775" s="59"/>
      <c r="I775" s="59"/>
      <c r="J775" s="59"/>
      <c r="K775" s="59"/>
      <c r="L775" s="59"/>
      <c r="M775" s="60"/>
      <c r="N775" s="60"/>
      <c r="O775" s="60"/>
      <c r="P775" s="59"/>
      <c r="Q775" s="59"/>
      <c r="R775" s="60"/>
      <c r="S775" s="60"/>
      <c r="T775" s="60"/>
      <c r="U775" s="60"/>
      <c r="V775" s="60"/>
      <c r="W775" s="60"/>
    </row>
    <row r="776" spans="1:23" ht="13" x14ac:dyDescent="0.3">
      <c r="A776" s="58"/>
      <c r="B776" s="58"/>
      <c r="C776" s="58"/>
      <c r="D776" s="58"/>
      <c r="E776" s="58"/>
      <c r="F776" s="58"/>
      <c r="G776" s="58"/>
      <c r="H776" s="59"/>
      <c r="I776" s="59"/>
      <c r="J776" s="59"/>
      <c r="K776" s="59"/>
      <c r="L776" s="59"/>
      <c r="M776" s="60"/>
      <c r="N776" s="60"/>
      <c r="O776" s="60"/>
      <c r="P776" s="59"/>
      <c r="Q776" s="59"/>
      <c r="R776" s="60"/>
      <c r="S776" s="60"/>
      <c r="T776" s="60"/>
      <c r="U776" s="60"/>
      <c r="V776" s="60"/>
      <c r="W776" s="60"/>
    </row>
    <row r="777" spans="1:23" ht="13" x14ac:dyDescent="0.3">
      <c r="A777" s="58"/>
      <c r="B777" s="58"/>
      <c r="C777" s="58"/>
      <c r="D777" s="58"/>
      <c r="E777" s="58"/>
      <c r="F777" s="58"/>
      <c r="G777" s="58"/>
      <c r="H777" s="59"/>
      <c r="I777" s="59"/>
      <c r="J777" s="59"/>
      <c r="K777" s="59"/>
      <c r="L777" s="59"/>
      <c r="M777" s="60"/>
      <c r="N777" s="60"/>
      <c r="O777" s="60"/>
      <c r="P777" s="59"/>
      <c r="Q777" s="59"/>
      <c r="R777" s="60"/>
      <c r="S777" s="60"/>
      <c r="T777" s="60"/>
      <c r="U777" s="60"/>
      <c r="V777" s="60"/>
      <c r="W777" s="60"/>
    </row>
    <row r="778" spans="1:23" ht="13" x14ac:dyDescent="0.3">
      <c r="A778" s="58"/>
      <c r="B778" s="58"/>
      <c r="C778" s="58"/>
      <c r="D778" s="58"/>
      <c r="E778" s="58"/>
      <c r="F778" s="58"/>
      <c r="G778" s="58"/>
      <c r="H778" s="59"/>
      <c r="I778" s="59"/>
      <c r="J778" s="59"/>
      <c r="K778" s="59"/>
      <c r="L778" s="59"/>
      <c r="M778" s="60"/>
      <c r="N778" s="60"/>
      <c r="O778" s="60"/>
      <c r="P778" s="59"/>
      <c r="Q778" s="59"/>
      <c r="R778" s="60"/>
      <c r="S778" s="60"/>
      <c r="T778" s="60"/>
      <c r="U778" s="60"/>
      <c r="V778" s="60"/>
      <c r="W778" s="60"/>
    </row>
    <row r="779" spans="1:23" ht="13" x14ac:dyDescent="0.3">
      <c r="A779" s="58"/>
      <c r="B779" s="58"/>
      <c r="C779" s="58"/>
      <c r="D779" s="58"/>
      <c r="E779" s="58"/>
      <c r="F779" s="58"/>
      <c r="G779" s="58"/>
      <c r="H779" s="59"/>
      <c r="I779" s="59"/>
      <c r="J779" s="59"/>
      <c r="K779" s="59"/>
      <c r="L779" s="59"/>
      <c r="M779" s="60"/>
      <c r="N779" s="60"/>
      <c r="O779" s="60"/>
      <c r="P779" s="59"/>
      <c r="Q779" s="59"/>
      <c r="R779" s="60"/>
      <c r="S779" s="60"/>
      <c r="T779" s="60"/>
      <c r="U779" s="60"/>
      <c r="V779" s="60"/>
      <c r="W779" s="60"/>
    </row>
    <row r="780" spans="1:23" ht="13" x14ac:dyDescent="0.3">
      <c r="A780" s="58"/>
      <c r="B780" s="58"/>
      <c r="C780" s="58"/>
      <c r="D780" s="58"/>
      <c r="E780" s="58"/>
      <c r="F780" s="58"/>
      <c r="G780" s="58"/>
      <c r="H780" s="59"/>
      <c r="I780" s="59"/>
      <c r="J780" s="59"/>
      <c r="K780" s="59"/>
      <c r="L780" s="59"/>
      <c r="M780" s="60"/>
      <c r="N780" s="60"/>
      <c r="O780" s="60"/>
      <c r="P780" s="59"/>
      <c r="Q780" s="59"/>
      <c r="R780" s="60"/>
      <c r="S780" s="60"/>
      <c r="T780" s="60"/>
      <c r="U780" s="60"/>
      <c r="V780" s="60"/>
      <c r="W780" s="60"/>
    </row>
    <row r="781" spans="1:23" ht="13" x14ac:dyDescent="0.3">
      <c r="A781" s="58"/>
      <c r="B781" s="58"/>
      <c r="C781" s="58"/>
      <c r="D781" s="58"/>
      <c r="E781" s="58"/>
      <c r="F781" s="58"/>
      <c r="G781" s="58"/>
      <c r="H781" s="59"/>
      <c r="I781" s="59"/>
      <c r="J781" s="59"/>
      <c r="K781" s="59"/>
      <c r="L781" s="59"/>
      <c r="M781" s="60"/>
      <c r="N781" s="60"/>
      <c r="O781" s="60"/>
      <c r="P781" s="59"/>
      <c r="Q781" s="59"/>
      <c r="R781" s="60"/>
      <c r="S781" s="60"/>
      <c r="T781" s="60"/>
      <c r="U781" s="60"/>
      <c r="V781" s="60"/>
      <c r="W781" s="60"/>
    </row>
    <row r="782" spans="1:23" ht="13" x14ac:dyDescent="0.3">
      <c r="A782" s="58"/>
      <c r="B782" s="58"/>
      <c r="C782" s="58"/>
      <c r="D782" s="58"/>
      <c r="E782" s="58"/>
      <c r="F782" s="58"/>
      <c r="G782" s="58"/>
      <c r="H782" s="59"/>
      <c r="I782" s="59"/>
      <c r="J782" s="59"/>
      <c r="K782" s="59"/>
      <c r="L782" s="59"/>
      <c r="M782" s="60"/>
      <c r="N782" s="60"/>
      <c r="O782" s="60"/>
      <c r="P782" s="59"/>
      <c r="Q782" s="59"/>
      <c r="R782" s="60"/>
      <c r="S782" s="60"/>
      <c r="T782" s="60"/>
      <c r="U782" s="60"/>
      <c r="V782" s="60"/>
      <c r="W782" s="60"/>
    </row>
    <row r="783" spans="1:23" ht="13" x14ac:dyDescent="0.3">
      <c r="A783" s="58"/>
      <c r="B783" s="58"/>
      <c r="C783" s="58"/>
      <c r="D783" s="58"/>
      <c r="E783" s="58"/>
      <c r="F783" s="58"/>
      <c r="G783" s="58"/>
      <c r="H783" s="59"/>
      <c r="I783" s="59"/>
      <c r="J783" s="59"/>
      <c r="K783" s="59"/>
      <c r="L783" s="59"/>
      <c r="M783" s="60"/>
      <c r="N783" s="60"/>
      <c r="O783" s="60"/>
      <c r="P783" s="59"/>
      <c r="Q783" s="59"/>
      <c r="R783" s="60"/>
      <c r="S783" s="60"/>
      <c r="T783" s="60"/>
      <c r="U783" s="60"/>
      <c r="V783" s="60"/>
      <c r="W783" s="60"/>
    </row>
    <row r="784" spans="1:23" ht="13" x14ac:dyDescent="0.3">
      <c r="A784" s="58"/>
      <c r="B784" s="58"/>
      <c r="C784" s="58"/>
      <c r="D784" s="58"/>
      <c r="E784" s="58"/>
      <c r="F784" s="58"/>
      <c r="G784" s="58"/>
      <c r="H784" s="59"/>
      <c r="I784" s="59"/>
      <c r="J784" s="59"/>
      <c r="K784" s="59"/>
      <c r="L784" s="59"/>
      <c r="M784" s="60"/>
      <c r="N784" s="60"/>
      <c r="O784" s="60"/>
      <c r="P784" s="59"/>
      <c r="Q784" s="59"/>
      <c r="R784" s="60"/>
      <c r="S784" s="60"/>
      <c r="T784" s="60"/>
      <c r="U784" s="60"/>
      <c r="V784" s="60"/>
      <c r="W784" s="60"/>
    </row>
    <row r="785" spans="1:23" ht="13" x14ac:dyDescent="0.3">
      <c r="A785" s="58"/>
      <c r="B785" s="58"/>
      <c r="C785" s="58"/>
      <c r="D785" s="58"/>
      <c r="E785" s="58"/>
      <c r="F785" s="58"/>
      <c r="G785" s="58"/>
      <c r="H785" s="59"/>
      <c r="I785" s="59"/>
      <c r="J785" s="59"/>
      <c r="K785" s="59"/>
      <c r="L785" s="59"/>
      <c r="M785" s="60"/>
      <c r="N785" s="60"/>
      <c r="O785" s="60"/>
      <c r="P785" s="59"/>
      <c r="Q785" s="59"/>
      <c r="R785" s="60"/>
      <c r="S785" s="60"/>
      <c r="T785" s="60"/>
      <c r="U785" s="60"/>
      <c r="V785" s="60"/>
      <c r="W785" s="60"/>
    </row>
    <row r="786" spans="1:23" ht="13" x14ac:dyDescent="0.3">
      <c r="A786" s="58"/>
      <c r="B786" s="58"/>
      <c r="C786" s="58"/>
      <c r="D786" s="58"/>
      <c r="E786" s="58"/>
      <c r="F786" s="58"/>
      <c r="G786" s="58"/>
      <c r="H786" s="59"/>
      <c r="I786" s="59"/>
      <c r="J786" s="59"/>
      <c r="K786" s="59"/>
      <c r="L786" s="59"/>
      <c r="M786" s="60"/>
      <c r="N786" s="60"/>
      <c r="O786" s="60"/>
      <c r="P786" s="59"/>
      <c r="Q786" s="59"/>
      <c r="R786" s="60"/>
      <c r="S786" s="60"/>
      <c r="T786" s="60"/>
      <c r="U786" s="60"/>
      <c r="V786" s="60"/>
      <c r="W786" s="60"/>
    </row>
    <row r="787" spans="1:23" ht="13" x14ac:dyDescent="0.3">
      <c r="A787" s="58"/>
      <c r="B787" s="58"/>
      <c r="C787" s="58"/>
      <c r="D787" s="58"/>
      <c r="E787" s="58"/>
      <c r="F787" s="58"/>
      <c r="G787" s="58"/>
      <c r="H787" s="59"/>
      <c r="I787" s="59"/>
      <c r="J787" s="59"/>
      <c r="K787" s="59"/>
      <c r="L787" s="59"/>
      <c r="M787" s="60"/>
      <c r="N787" s="60"/>
      <c r="O787" s="60"/>
      <c r="P787" s="59"/>
      <c r="Q787" s="59"/>
      <c r="R787" s="60"/>
      <c r="S787" s="60"/>
      <c r="T787" s="60"/>
      <c r="U787" s="60"/>
      <c r="V787" s="60"/>
      <c r="W787" s="60"/>
    </row>
    <row r="788" spans="1:23" ht="13" x14ac:dyDescent="0.3">
      <c r="A788" s="58"/>
      <c r="B788" s="58"/>
      <c r="C788" s="58"/>
      <c r="D788" s="58"/>
      <c r="E788" s="58"/>
      <c r="F788" s="58"/>
      <c r="G788" s="58"/>
      <c r="H788" s="59"/>
      <c r="I788" s="59"/>
      <c r="J788" s="59"/>
      <c r="K788" s="59"/>
      <c r="L788" s="59"/>
      <c r="M788" s="60"/>
      <c r="N788" s="60"/>
      <c r="O788" s="60"/>
      <c r="P788" s="59"/>
      <c r="Q788" s="59"/>
      <c r="R788" s="60"/>
      <c r="S788" s="60"/>
      <c r="T788" s="60"/>
      <c r="U788" s="60"/>
      <c r="V788" s="60"/>
      <c r="W788" s="60"/>
    </row>
    <row r="789" spans="1:23" ht="13" x14ac:dyDescent="0.3">
      <c r="A789" s="58"/>
      <c r="B789" s="58"/>
      <c r="C789" s="58"/>
      <c r="D789" s="58"/>
      <c r="E789" s="58"/>
      <c r="F789" s="58"/>
      <c r="G789" s="58"/>
      <c r="H789" s="59"/>
      <c r="I789" s="59"/>
      <c r="J789" s="59"/>
      <c r="K789" s="59"/>
      <c r="L789" s="59"/>
      <c r="M789" s="60"/>
      <c r="N789" s="60"/>
      <c r="O789" s="60"/>
      <c r="P789" s="59"/>
      <c r="Q789" s="59"/>
      <c r="R789" s="60"/>
      <c r="S789" s="60"/>
      <c r="T789" s="60"/>
      <c r="U789" s="60"/>
      <c r="V789" s="60"/>
      <c r="W789" s="60"/>
    </row>
    <row r="790" spans="1:23" ht="13" x14ac:dyDescent="0.3">
      <c r="A790" s="58"/>
      <c r="B790" s="58"/>
      <c r="C790" s="58"/>
      <c r="D790" s="58"/>
      <c r="E790" s="58"/>
      <c r="F790" s="58"/>
      <c r="G790" s="58"/>
      <c r="H790" s="59"/>
      <c r="I790" s="59"/>
      <c r="J790" s="59"/>
      <c r="K790" s="59"/>
      <c r="L790" s="59"/>
      <c r="M790" s="60"/>
      <c r="N790" s="60"/>
      <c r="O790" s="60"/>
      <c r="P790" s="59"/>
      <c r="Q790" s="59"/>
      <c r="R790" s="60"/>
      <c r="S790" s="60"/>
      <c r="T790" s="60"/>
      <c r="U790" s="60"/>
      <c r="V790" s="60"/>
      <c r="W790" s="60"/>
    </row>
    <row r="791" spans="1:23" ht="13" x14ac:dyDescent="0.3">
      <c r="A791" s="58"/>
      <c r="B791" s="58"/>
      <c r="C791" s="58"/>
      <c r="D791" s="58"/>
      <c r="E791" s="58"/>
      <c r="F791" s="58"/>
      <c r="G791" s="58"/>
      <c r="H791" s="59"/>
      <c r="I791" s="59"/>
      <c r="J791" s="59"/>
      <c r="K791" s="59"/>
      <c r="L791" s="59"/>
      <c r="M791" s="60"/>
      <c r="N791" s="60"/>
      <c r="O791" s="60"/>
      <c r="P791" s="59"/>
      <c r="Q791" s="59"/>
      <c r="R791" s="60"/>
      <c r="S791" s="60"/>
      <c r="T791" s="60"/>
      <c r="U791" s="60"/>
      <c r="V791" s="60"/>
      <c r="W791" s="60"/>
    </row>
    <row r="792" spans="1:23" ht="13" x14ac:dyDescent="0.3">
      <c r="A792" s="58"/>
      <c r="B792" s="58"/>
      <c r="C792" s="58"/>
      <c r="D792" s="58"/>
      <c r="E792" s="58"/>
      <c r="F792" s="58"/>
      <c r="G792" s="58"/>
      <c r="H792" s="59"/>
      <c r="I792" s="59"/>
      <c r="J792" s="59"/>
      <c r="K792" s="59"/>
      <c r="L792" s="59"/>
      <c r="M792" s="60"/>
      <c r="N792" s="60"/>
      <c r="O792" s="60"/>
      <c r="P792" s="59"/>
      <c r="Q792" s="59"/>
      <c r="R792" s="60"/>
      <c r="S792" s="60"/>
      <c r="T792" s="60"/>
      <c r="U792" s="60"/>
      <c r="V792" s="60"/>
      <c r="W792" s="60"/>
    </row>
    <row r="793" spans="1:23" ht="13" x14ac:dyDescent="0.3">
      <c r="A793" s="58"/>
      <c r="B793" s="58"/>
      <c r="C793" s="58"/>
      <c r="D793" s="58"/>
      <c r="E793" s="58"/>
      <c r="F793" s="58"/>
      <c r="G793" s="58"/>
      <c r="H793" s="59"/>
      <c r="I793" s="59"/>
      <c r="J793" s="59"/>
      <c r="K793" s="59"/>
      <c r="L793" s="59"/>
      <c r="M793" s="60"/>
      <c r="N793" s="60"/>
      <c r="O793" s="60"/>
      <c r="P793" s="59"/>
      <c r="Q793" s="59"/>
      <c r="R793" s="60"/>
      <c r="S793" s="60"/>
      <c r="T793" s="60"/>
      <c r="U793" s="60"/>
      <c r="V793" s="60"/>
      <c r="W793" s="60"/>
    </row>
    <row r="794" spans="1:23" ht="13" x14ac:dyDescent="0.3">
      <c r="A794" s="58"/>
      <c r="B794" s="58"/>
      <c r="C794" s="58"/>
      <c r="D794" s="58"/>
      <c r="E794" s="58"/>
      <c r="F794" s="58"/>
      <c r="G794" s="58"/>
      <c r="H794" s="59"/>
      <c r="I794" s="59"/>
      <c r="J794" s="59"/>
      <c r="K794" s="59"/>
      <c r="L794" s="59"/>
      <c r="M794" s="60"/>
      <c r="N794" s="60"/>
      <c r="O794" s="60"/>
      <c r="P794" s="59"/>
      <c r="Q794" s="59"/>
      <c r="R794" s="60"/>
      <c r="S794" s="60"/>
      <c r="T794" s="60"/>
      <c r="U794" s="60"/>
      <c r="V794" s="60"/>
      <c r="W794" s="60"/>
    </row>
    <row r="795" spans="1:23" ht="13" x14ac:dyDescent="0.3">
      <c r="A795" s="58"/>
      <c r="B795" s="58"/>
      <c r="C795" s="58"/>
      <c r="D795" s="58"/>
      <c r="E795" s="58"/>
      <c r="F795" s="58"/>
      <c r="G795" s="58"/>
      <c r="H795" s="59"/>
      <c r="I795" s="59"/>
      <c r="J795" s="59"/>
      <c r="K795" s="59"/>
      <c r="L795" s="59"/>
      <c r="M795" s="60"/>
      <c r="N795" s="60"/>
      <c r="O795" s="60"/>
      <c r="P795" s="59"/>
      <c r="Q795" s="59"/>
      <c r="R795" s="60"/>
      <c r="S795" s="60"/>
      <c r="T795" s="60"/>
      <c r="U795" s="60"/>
      <c r="V795" s="60"/>
      <c r="W795" s="60"/>
    </row>
    <row r="796" spans="1:23" ht="13" x14ac:dyDescent="0.3">
      <c r="A796" s="58"/>
      <c r="B796" s="58"/>
      <c r="C796" s="58"/>
      <c r="D796" s="58"/>
      <c r="E796" s="58"/>
      <c r="F796" s="58"/>
      <c r="G796" s="58"/>
      <c r="H796" s="59"/>
      <c r="I796" s="59"/>
      <c r="J796" s="59"/>
      <c r="K796" s="59"/>
      <c r="L796" s="59"/>
      <c r="M796" s="60"/>
      <c r="N796" s="60"/>
      <c r="O796" s="60"/>
      <c r="P796" s="59"/>
      <c r="Q796" s="59"/>
      <c r="R796" s="60"/>
      <c r="S796" s="60"/>
      <c r="T796" s="60"/>
      <c r="U796" s="60"/>
      <c r="V796" s="60"/>
      <c r="W796" s="60"/>
    </row>
    <row r="797" spans="1:23" ht="13" x14ac:dyDescent="0.3">
      <c r="A797" s="58"/>
      <c r="B797" s="58"/>
      <c r="C797" s="58"/>
      <c r="D797" s="58"/>
      <c r="E797" s="58"/>
      <c r="F797" s="58"/>
      <c r="G797" s="58"/>
      <c r="H797" s="59"/>
      <c r="I797" s="59"/>
      <c r="J797" s="59"/>
      <c r="K797" s="59"/>
      <c r="L797" s="59"/>
      <c r="M797" s="60"/>
      <c r="N797" s="60"/>
      <c r="O797" s="60"/>
      <c r="P797" s="59"/>
      <c r="Q797" s="59"/>
      <c r="R797" s="60"/>
      <c r="S797" s="60"/>
      <c r="T797" s="60"/>
      <c r="U797" s="60"/>
      <c r="V797" s="60"/>
      <c r="W797" s="60"/>
    </row>
    <row r="798" spans="1:23" ht="13" x14ac:dyDescent="0.3">
      <c r="A798" s="58"/>
      <c r="B798" s="58"/>
      <c r="C798" s="58"/>
      <c r="D798" s="58"/>
      <c r="E798" s="58"/>
      <c r="F798" s="58"/>
      <c r="G798" s="58"/>
      <c r="H798" s="59"/>
      <c r="I798" s="59"/>
      <c r="J798" s="59"/>
      <c r="K798" s="59"/>
      <c r="L798" s="59"/>
      <c r="M798" s="60"/>
      <c r="N798" s="60"/>
      <c r="O798" s="60"/>
      <c r="P798" s="59"/>
      <c r="Q798" s="59"/>
      <c r="R798" s="60"/>
      <c r="S798" s="60"/>
      <c r="T798" s="60"/>
      <c r="U798" s="60"/>
      <c r="V798" s="60"/>
      <c r="W798" s="60"/>
    </row>
    <row r="799" spans="1:23" ht="13" x14ac:dyDescent="0.3">
      <c r="A799" s="58"/>
      <c r="B799" s="58"/>
      <c r="C799" s="58"/>
      <c r="D799" s="58"/>
      <c r="E799" s="58"/>
      <c r="F799" s="58"/>
      <c r="G799" s="58"/>
      <c r="H799" s="59"/>
      <c r="I799" s="59"/>
      <c r="J799" s="59"/>
      <c r="K799" s="59"/>
      <c r="L799" s="59"/>
      <c r="M799" s="60"/>
      <c r="N799" s="60"/>
      <c r="O799" s="60"/>
      <c r="P799" s="59"/>
      <c r="Q799" s="59"/>
      <c r="R799" s="60"/>
      <c r="S799" s="60"/>
      <c r="T799" s="60"/>
      <c r="U799" s="60"/>
      <c r="V799" s="60"/>
      <c r="W799" s="60"/>
    </row>
    <row r="800" spans="1:23" ht="13" x14ac:dyDescent="0.3">
      <c r="A800" s="58"/>
      <c r="B800" s="58"/>
      <c r="C800" s="58"/>
      <c r="D800" s="58"/>
      <c r="E800" s="58"/>
      <c r="F800" s="58"/>
      <c r="G800" s="58"/>
      <c r="H800" s="59"/>
      <c r="I800" s="59"/>
      <c r="J800" s="59"/>
      <c r="K800" s="59"/>
      <c r="L800" s="59"/>
      <c r="M800" s="60"/>
      <c r="N800" s="60"/>
      <c r="O800" s="60"/>
      <c r="P800" s="59"/>
      <c r="Q800" s="59"/>
      <c r="R800" s="60"/>
      <c r="S800" s="60"/>
      <c r="T800" s="60"/>
      <c r="U800" s="60"/>
      <c r="V800" s="60"/>
      <c r="W800" s="60"/>
    </row>
    <row r="801" spans="1:23" ht="13" x14ac:dyDescent="0.3">
      <c r="A801" s="58"/>
      <c r="B801" s="58"/>
      <c r="C801" s="58"/>
      <c r="D801" s="58"/>
      <c r="E801" s="58"/>
      <c r="F801" s="58"/>
      <c r="G801" s="58"/>
      <c r="H801" s="59"/>
      <c r="I801" s="59"/>
      <c r="J801" s="59"/>
      <c r="K801" s="59"/>
      <c r="L801" s="59"/>
      <c r="M801" s="60"/>
      <c r="N801" s="60"/>
      <c r="O801" s="60"/>
      <c r="P801" s="59"/>
      <c r="Q801" s="59"/>
      <c r="R801" s="60"/>
      <c r="S801" s="60"/>
      <c r="T801" s="60"/>
      <c r="U801" s="60"/>
      <c r="V801" s="60"/>
      <c r="W801" s="60"/>
    </row>
    <row r="802" spans="1:23" ht="13" x14ac:dyDescent="0.3">
      <c r="A802" s="58"/>
      <c r="B802" s="58"/>
      <c r="C802" s="58"/>
      <c r="D802" s="58"/>
      <c r="E802" s="58"/>
      <c r="F802" s="58"/>
      <c r="G802" s="58"/>
      <c r="H802" s="59"/>
      <c r="I802" s="59"/>
      <c r="J802" s="59"/>
      <c r="K802" s="59"/>
      <c r="L802" s="59"/>
      <c r="M802" s="60"/>
      <c r="N802" s="60"/>
      <c r="O802" s="60"/>
      <c r="P802" s="59"/>
      <c r="Q802" s="59"/>
      <c r="R802" s="60"/>
      <c r="S802" s="60"/>
      <c r="T802" s="60"/>
      <c r="U802" s="60"/>
      <c r="V802" s="60"/>
      <c r="W802" s="60"/>
    </row>
    <row r="803" spans="1:23" ht="13" x14ac:dyDescent="0.3">
      <c r="A803" s="58"/>
      <c r="B803" s="58"/>
      <c r="C803" s="58"/>
      <c r="D803" s="58"/>
      <c r="E803" s="58"/>
      <c r="F803" s="58"/>
      <c r="G803" s="58"/>
      <c r="H803" s="59"/>
      <c r="I803" s="59"/>
      <c r="J803" s="59"/>
      <c r="K803" s="59"/>
      <c r="L803" s="59"/>
      <c r="M803" s="60"/>
      <c r="N803" s="60"/>
      <c r="O803" s="60"/>
      <c r="P803" s="59"/>
      <c r="Q803" s="59"/>
      <c r="R803" s="60"/>
      <c r="S803" s="60"/>
      <c r="T803" s="60"/>
      <c r="U803" s="60"/>
      <c r="V803" s="60"/>
      <c r="W803" s="60"/>
    </row>
    <row r="804" spans="1:23" ht="13" x14ac:dyDescent="0.3">
      <c r="A804" s="58"/>
      <c r="B804" s="58"/>
      <c r="C804" s="58"/>
      <c r="D804" s="58"/>
      <c r="E804" s="58"/>
      <c r="F804" s="58"/>
      <c r="G804" s="58"/>
      <c r="H804" s="59"/>
      <c r="I804" s="59"/>
      <c r="J804" s="59"/>
      <c r="K804" s="59"/>
      <c r="L804" s="59"/>
      <c r="M804" s="60"/>
      <c r="N804" s="60"/>
      <c r="O804" s="60"/>
      <c r="P804" s="59"/>
      <c r="Q804" s="59"/>
      <c r="R804" s="60"/>
      <c r="S804" s="60"/>
      <c r="T804" s="60"/>
      <c r="U804" s="60"/>
      <c r="V804" s="60"/>
      <c r="W804" s="60"/>
    </row>
    <row r="805" spans="1:23" ht="13" x14ac:dyDescent="0.3">
      <c r="A805" s="58"/>
      <c r="B805" s="58"/>
      <c r="C805" s="58"/>
      <c r="D805" s="58"/>
      <c r="E805" s="58"/>
      <c r="F805" s="58"/>
      <c r="G805" s="58"/>
      <c r="H805" s="59"/>
      <c r="I805" s="59"/>
      <c r="J805" s="59"/>
      <c r="K805" s="59"/>
      <c r="L805" s="59"/>
      <c r="M805" s="60"/>
      <c r="N805" s="60"/>
      <c r="O805" s="60"/>
      <c r="P805" s="59"/>
      <c r="Q805" s="59"/>
      <c r="R805" s="60"/>
      <c r="S805" s="60"/>
      <c r="T805" s="60"/>
      <c r="U805" s="60"/>
      <c r="V805" s="60"/>
      <c r="W805" s="60"/>
    </row>
    <row r="806" spans="1:23" ht="13" x14ac:dyDescent="0.3">
      <c r="A806" s="58"/>
      <c r="B806" s="58"/>
      <c r="C806" s="58"/>
      <c r="D806" s="58"/>
      <c r="E806" s="58"/>
      <c r="F806" s="58"/>
      <c r="G806" s="58"/>
      <c r="H806" s="59"/>
      <c r="I806" s="59"/>
      <c r="J806" s="59"/>
      <c r="K806" s="59"/>
      <c r="L806" s="59"/>
      <c r="M806" s="60"/>
      <c r="N806" s="60"/>
      <c r="O806" s="60"/>
      <c r="P806" s="59"/>
      <c r="Q806" s="59"/>
      <c r="R806" s="60"/>
      <c r="S806" s="60"/>
      <c r="T806" s="60"/>
      <c r="U806" s="60"/>
      <c r="V806" s="60"/>
      <c r="W806" s="60"/>
    </row>
    <row r="807" spans="1:23" ht="13" x14ac:dyDescent="0.3">
      <c r="A807" s="58"/>
      <c r="B807" s="58"/>
      <c r="C807" s="58"/>
      <c r="D807" s="58"/>
      <c r="E807" s="58"/>
      <c r="F807" s="58"/>
      <c r="G807" s="58"/>
      <c r="H807" s="59"/>
      <c r="I807" s="59"/>
      <c r="J807" s="59"/>
      <c r="K807" s="59"/>
      <c r="L807" s="59"/>
      <c r="M807" s="60"/>
      <c r="N807" s="60"/>
      <c r="O807" s="60"/>
      <c r="P807" s="59"/>
      <c r="Q807" s="59"/>
      <c r="R807" s="60"/>
      <c r="S807" s="60"/>
      <c r="T807" s="60"/>
      <c r="U807" s="60"/>
      <c r="V807" s="60"/>
      <c r="W807" s="60"/>
    </row>
    <row r="808" spans="1:23" ht="13" x14ac:dyDescent="0.3">
      <c r="A808" s="58"/>
      <c r="B808" s="58"/>
      <c r="C808" s="58"/>
      <c r="D808" s="58"/>
      <c r="E808" s="58"/>
      <c r="F808" s="58"/>
      <c r="G808" s="58"/>
      <c r="H808" s="59"/>
      <c r="I808" s="59"/>
      <c r="J808" s="59"/>
      <c r="K808" s="59"/>
      <c r="L808" s="59"/>
      <c r="M808" s="60"/>
      <c r="N808" s="60"/>
      <c r="O808" s="60"/>
      <c r="P808" s="59"/>
      <c r="Q808" s="59"/>
      <c r="R808" s="60"/>
      <c r="S808" s="60"/>
      <c r="T808" s="60"/>
      <c r="U808" s="60"/>
      <c r="V808" s="60"/>
      <c r="W808" s="60"/>
    </row>
    <row r="809" spans="1:23" ht="13" x14ac:dyDescent="0.3">
      <c r="A809" s="58"/>
      <c r="B809" s="58"/>
      <c r="C809" s="58"/>
      <c r="D809" s="58"/>
      <c r="E809" s="58"/>
      <c r="F809" s="58"/>
      <c r="G809" s="58"/>
      <c r="H809" s="59"/>
      <c r="I809" s="59"/>
      <c r="J809" s="59"/>
      <c r="K809" s="59"/>
      <c r="L809" s="59"/>
      <c r="M809" s="60"/>
      <c r="N809" s="60"/>
      <c r="O809" s="60"/>
      <c r="P809" s="59"/>
      <c r="Q809" s="59"/>
      <c r="R809" s="60"/>
      <c r="S809" s="60"/>
      <c r="T809" s="60"/>
      <c r="U809" s="60"/>
      <c r="V809" s="60"/>
      <c r="W809" s="60"/>
    </row>
    <row r="810" spans="1:23" ht="13" x14ac:dyDescent="0.3">
      <c r="A810" s="58"/>
      <c r="B810" s="58"/>
      <c r="C810" s="58"/>
      <c r="D810" s="58"/>
      <c r="E810" s="58"/>
      <c r="F810" s="58"/>
      <c r="G810" s="58"/>
      <c r="H810" s="59"/>
      <c r="I810" s="59"/>
      <c r="J810" s="59"/>
      <c r="K810" s="59"/>
      <c r="L810" s="59"/>
      <c r="M810" s="60"/>
      <c r="N810" s="60"/>
      <c r="O810" s="60"/>
      <c r="P810" s="59"/>
      <c r="Q810" s="59"/>
      <c r="R810" s="60"/>
      <c r="S810" s="60"/>
      <c r="T810" s="60"/>
      <c r="U810" s="60"/>
      <c r="V810" s="60"/>
      <c r="W810" s="60"/>
    </row>
    <row r="811" spans="1:23" ht="13" x14ac:dyDescent="0.3">
      <c r="A811" s="58"/>
      <c r="B811" s="58"/>
      <c r="C811" s="58"/>
      <c r="D811" s="58"/>
      <c r="E811" s="58"/>
      <c r="F811" s="58"/>
      <c r="G811" s="58"/>
      <c r="H811" s="59"/>
      <c r="I811" s="59"/>
      <c r="J811" s="59"/>
      <c r="K811" s="59"/>
      <c r="L811" s="59"/>
      <c r="M811" s="60"/>
      <c r="N811" s="60"/>
      <c r="O811" s="60"/>
      <c r="P811" s="59"/>
      <c r="Q811" s="59"/>
      <c r="R811" s="60"/>
      <c r="S811" s="60"/>
      <c r="T811" s="60"/>
      <c r="U811" s="60"/>
      <c r="V811" s="60"/>
      <c r="W811" s="60"/>
    </row>
    <row r="812" spans="1:23" ht="13" x14ac:dyDescent="0.3">
      <c r="A812" s="58"/>
      <c r="B812" s="58"/>
      <c r="C812" s="58"/>
      <c r="D812" s="58"/>
      <c r="E812" s="58"/>
      <c r="F812" s="58"/>
      <c r="G812" s="58"/>
      <c r="H812" s="59"/>
      <c r="I812" s="59"/>
      <c r="J812" s="59"/>
      <c r="K812" s="59"/>
      <c r="L812" s="59"/>
      <c r="M812" s="60"/>
      <c r="N812" s="60"/>
      <c r="O812" s="60"/>
      <c r="P812" s="59"/>
      <c r="Q812" s="59"/>
      <c r="R812" s="60"/>
      <c r="S812" s="60"/>
      <c r="T812" s="60"/>
      <c r="U812" s="60"/>
      <c r="V812" s="60"/>
      <c r="W812" s="60"/>
    </row>
    <row r="813" spans="1:23" ht="13" x14ac:dyDescent="0.3">
      <c r="A813" s="58"/>
      <c r="B813" s="58"/>
      <c r="C813" s="58"/>
      <c r="D813" s="58"/>
      <c r="E813" s="58"/>
      <c r="F813" s="58"/>
      <c r="G813" s="58"/>
      <c r="H813" s="59"/>
      <c r="I813" s="59"/>
      <c r="J813" s="59"/>
      <c r="K813" s="59"/>
      <c r="L813" s="59"/>
      <c r="M813" s="60"/>
      <c r="N813" s="60"/>
      <c r="O813" s="60"/>
      <c r="P813" s="59"/>
      <c r="Q813" s="59"/>
      <c r="R813" s="60"/>
      <c r="S813" s="60"/>
      <c r="T813" s="60"/>
      <c r="U813" s="60"/>
      <c r="V813" s="60"/>
      <c r="W813" s="60"/>
    </row>
    <row r="814" spans="1:23" ht="13" x14ac:dyDescent="0.3">
      <c r="A814" s="58"/>
      <c r="B814" s="58"/>
      <c r="C814" s="58"/>
      <c r="D814" s="58"/>
      <c r="E814" s="58"/>
      <c r="F814" s="58"/>
      <c r="G814" s="58"/>
      <c r="H814" s="59"/>
      <c r="I814" s="59"/>
      <c r="J814" s="59"/>
      <c r="K814" s="59"/>
      <c r="L814" s="59"/>
      <c r="M814" s="60"/>
      <c r="N814" s="60"/>
      <c r="O814" s="60"/>
      <c r="P814" s="59"/>
      <c r="Q814" s="59"/>
      <c r="R814" s="60"/>
      <c r="S814" s="60"/>
      <c r="T814" s="60"/>
      <c r="U814" s="60"/>
      <c r="V814" s="60"/>
      <c r="W814" s="60"/>
    </row>
    <row r="815" spans="1:23" ht="13" x14ac:dyDescent="0.3">
      <c r="A815" s="58"/>
      <c r="B815" s="58"/>
      <c r="C815" s="58"/>
      <c r="D815" s="58"/>
      <c r="E815" s="58"/>
      <c r="F815" s="58"/>
      <c r="G815" s="58"/>
      <c r="H815" s="59"/>
      <c r="I815" s="59"/>
      <c r="J815" s="59"/>
      <c r="K815" s="59"/>
      <c r="L815" s="59"/>
      <c r="M815" s="60"/>
      <c r="N815" s="60"/>
      <c r="O815" s="60"/>
      <c r="P815" s="59"/>
      <c r="Q815" s="59"/>
      <c r="R815" s="60"/>
      <c r="S815" s="60"/>
      <c r="T815" s="60"/>
      <c r="U815" s="60"/>
      <c r="V815" s="60"/>
      <c r="W815" s="60"/>
    </row>
    <row r="816" spans="1:23" ht="13" x14ac:dyDescent="0.3">
      <c r="A816" s="58"/>
      <c r="B816" s="58"/>
      <c r="C816" s="58"/>
      <c r="D816" s="58"/>
      <c r="E816" s="58"/>
      <c r="F816" s="58"/>
      <c r="G816" s="58"/>
      <c r="H816" s="59"/>
      <c r="I816" s="59"/>
      <c r="J816" s="59"/>
      <c r="K816" s="59"/>
      <c r="L816" s="59"/>
      <c r="M816" s="60"/>
      <c r="N816" s="60"/>
      <c r="O816" s="60"/>
      <c r="P816" s="59"/>
      <c r="Q816" s="59"/>
      <c r="R816" s="60"/>
      <c r="S816" s="60"/>
      <c r="T816" s="60"/>
      <c r="U816" s="60"/>
      <c r="V816" s="60"/>
      <c r="W816" s="60"/>
    </row>
    <row r="817" spans="1:23" ht="13" x14ac:dyDescent="0.3">
      <c r="A817" s="58"/>
      <c r="B817" s="58"/>
      <c r="C817" s="58"/>
      <c r="D817" s="58"/>
      <c r="E817" s="58"/>
      <c r="F817" s="58"/>
      <c r="G817" s="58"/>
      <c r="H817" s="59"/>
      <c r="I817" s="59"/>
      <c r="J817" s="59"/>
      <c r="K817" s="59"/>
      <c r="L817" s="59"/>
      <c r="M817" s="60"/>
      <c r="N817" s="60"/>
      <c r="O817" s="60"/>
      <c r="P817" s="59"/>
      <c r="Q817" s="59"/>
      <c r="R817" s="60"/>
      <c r="S817" s="60"/>
      <c r="T817" s="60"/>
      <c r="U817" s="60"/>
      <c r="V817" s="60"/>
      <c r="W817" s="60"/>
    </row>
    <row r="818" spans="1:23" ht="13" x14ac:dyDescent="0.3">
      <c r="A818" s="58"/>
      <c r="B818" s="58"/>
      <c r="C818" s="58"/>
      <c r="D818" s="58"/>
      <c r="E818" s="58"/>
      <c r="F818" s="58"/>
      <c r="G818" s="58"/>
      <c r="H818" s="59"/>
      <c r="I818" s="59"/>
      <c r="J818" s="59"/>
      <c r="K818" s="59"/>
      <c r="L818" s="59"/>
      <c r="M818" s="60"/>
      <c r="N818" s="60"/>
      <c r="O818" s="60"/>
      <c r="P818" s="59"/>
      <c r="Q818" s="59"/>
      <c r="R818" s="60"/>
      <c r="S818" s="60"/>
      <c r="T818" s="60"/>
      <c r="U818" s="60"/>
      <c r="V818" s="60"/>
      <c r="W818" s="60"/>
    </row>
    <row r="819" spans="1:23" ht="13" x14ac:dyDescent="0.3">
      <c r="A819" s="58"/>
      <c r="B819" s="58"/>
      <c r="C819" s="58"/>
      <c r="D819" s="58"/>
      <c r="E819" s="58"/>
      <c r="F819" s="58"/>
      <c r="G819" s="58"/>
      <c r="H819" s="59"/>
      <c r="I819" s="59"/>
      <c r="J819" s="59"/>
      <c r="K819" s="59"/>
      <c r="L819" s="59"/>
      <c r="M819" s="60"/>
      <c r="N819" s="60"/>
      <c r="O819" s="60"/>
      <c r="P819" s="59"/>
      <c r="Q819" s="59"/>
      <c r="R819" s="60"/>
      <c r="S819" s="60"/>
      <c r="T819" s="60"/>
      <c r="U819" s="60"/>
      <c r="V819" s="60"/>
      <c r="W819" s="60"/>
    </row>
    <row r="820" spans="1:23" ht="13" x14ac:dyDescent="0.3">
      <c r="A820" s="58"/>
      <c r="B820" s="58"/>
      <c r="C820" s="58"/>
      <c r="D820" s="58"/>
      <c r="E820" s="58"/>
      <c r="F820" s="58"/>
      <c r="G820" s="58"/>
      <c r="H820" s="59"/>
      <c r="I820" s="59"/>
      <c r="J820" s="59"/>
      <c r="K820" s="59"/>
      <c r="L820" s="59"/>
      <c r="M820" s="60"/>
      <c r="N820" s="60"/>
      <c r="O820" s="60"/>
      <c r="P820" s="59"/>
      <c r="Q820" s="59"/>
      <c r="R820" s="60"/>
      <c r="S820" s="60"/>
      <c r="T820" s="60"/>
      <c r="U820" s="60"/>
      <c r="V820" s="60"/>
      <c r="W820" s="60"/>
    </row>
    <row r="821" spans="1:23" ht="13" x14ac:dyDescent="0.3">
      <c r="A821" s="58"/>
      <c r="B821" s="58"/>
      <c r="C821" s="58"/>
      <c r="D821" s="58"/>
      <c r="E821" s="58"/>
      <c r="F821" s="58"/>
      <c r="G821" s="58"/>
      <c r="H821" s="59"/>
      <c r="I821" s="59"/>
      <c r="J821" s="59"/>
      <c r="K821" s="59"/>
      <c r="L821" s="59"/>
      <c r="M821" s="60"/>
      <c r="N821" s="60"/>
      <c r="O821" s="60"/>
      <c r="P821" s="59"/>
      <c r="Q821" s="59"/>
      <c r="R821" s="60"/>
      <c r="S821" s="60"/>
      <c r="T821" s="60"/>
      <c r="U821" s="60"/>
      <c r="V821" s="60"/>
      <c r="W821" s="60"/>
    </row>
    <row r="822" spans="1:23" ht="13" x14ac:dyDescent="0.3">
      <c r="A822" s="58"/>
      <c r="B822" s="58"/>
      <c r="C822" s="58"/>
      <c r="D822" s="58"/>
      <c r="E822" s="58"/>
      <c r="F822" s="58"/>
      <c r="G822" s="58"/>
      <c r="H822" s="59"/>
      <c r="I822" s="59"/>
      <c r="J822" s="59"/>
      <c r="K822" s="59"/>
      <c r="L822" s="59"/>
      <c r="M822" s="60"/>
      <c r="N822" s="60"/>
      <c r="O822" s="60"/>
      <c r="P822" s="59"/>
      <c r="Q822" s="59"/>
      <c r="R822" s="60"/>
      <c r="S822" s="60"/>
      <c r="T822" s="60"/>
      <c r="U822" s="60"/>
      <c r="V822" s="60"/>
      <c r="W822" s="60"/>
    </row>
    <row r="823" spans="1:23" ht="13" x14ac:dyDescent="0.3">
      <c r="A823" s="58"/>
      <c r="B823" s="58"/>
      <c r="C823" s="58"/>
      <c r="D823" s="58"/>
      <c r="E823" s="58"/>
      <c r="F823" s="58"/>
      <c r="G823" s="58"/>
      <c r="H823" s="59"/>
      <c r="I823" s="59"/>
      <c r="J823" s="59"/>
      <c r="K823" s="59"/>
      <c r="L823" s="59"/>
      <c r="M823" s="60"/>
      <c r="N823" s="60"/>
      <c r="O823" s="60"/>
      <c r="P823" s="59"/>
      <c r="Q823" s="59"/>
      <c r="R823" s="60"/>
      <c r="S823" s="60"/>
      <c r="T823" s="60"/>
      <c r="U823" s="60"/>
      <c r="V823" s="60"/>
      <c r="W823" s="60"/>
    </row>
    <row r="824" spans="1:23" ht="13" x14ac:dyDescent="0.3">
      <c r="A824" s="58"/>
      <c r="B824" s="58"/>
      <c r="C824" s="58"/>
      <c r="D824" s="58"/>
      <c r="E824" s="58"/>
      <c r="F824" s="58"/>
      <c r="G824" s="58"/>
      <c r="H824" s="59"/>
      <c r="I824" s="59"/>
      <c r="J824" s="59"/>
      <c r="K824" s="59"/>
      <c r="L824" s="59"/>
      <c r="M824" s="60"/>
      <c r="N824" s="60"/>
      <c r="O824" s="60"/>
      <c r="P824" s="59"/>
      <c r="Q824" s="59"/>
      <c r="R824" s="60"/>
      <c r="S824" s="60"/>
      <c r="T824" s="60"/>
      <c r="U824" s="60"/>
      <c r="V824" s="60"/>
      <c r="W824" s="60"/>
    </row>
    <row r="825" spans="1:23" ht="13" x14ac:dyDescent="0.3">
      <c r="A825" s="58"/>
      <c r="B825" s="58"/>
      <c r="C825" s="58"/>
      <c r="D825" s="58"/>
      <c r="E825" s="58"/>
      <c r="F825" s="58"/>
      <c r="G825" s="58"/>
      <c r="H825" s="59"/>
      <c r="I825" s="59"/>
      <c r="J825" s="59"/>
      <c r="K825" s="59"/>
      <c r="L825" s="59"/>
      <c r="M825" s="60"/>
      <c r="N825" s="60"/>
      <c r="O825" s="60"/>
      <c r="P825" s="59"/>
      <c r="Q825" s="59"/>
      <c r="R825" s="60"/>
      <c r="S825" s="60"/>
      <c r="T825" s="60"/>
      <c r="U825" s="60"/>
      <c r="V825" s="60"/>
      <c r="W825" s="60"/>
    </row>
    <row r="826" spans="1:23" ht="13" x14ac:dyDescent="0.3">
      <c r="A826" s="58"/>
      <c r="B826" s="58"/>
      <c r="C826" s="58"/>
      <c r="D826" s="58"/>
      <c r="E826" s="58"/>
      <c r="F826" s="58"/>
      <c r="G826" s="58"/>
      <c r="H826" s="59"/>
      <c r="I826" s="59"/>
      <c r="J826" s="59"/>
      <c r="K826" s="59"/>
      <c r="L826" s="59"/>
      <c r="M826" s="60"/>
      <c r="N826" s="60"/>
      <c r="O826" s="60"/>
      <c r="P826" s="59"/>
      <c r="Q826" s="59"/>
      <c r="R826" s="60"/>
      <c r="S826" s="60"/>
      <c r="T826" s="60"/>
      <c r="U826" s="60"/>
      <c r="V826" s="60"/>
      <c r="W826" s="60"/>
    </row>
    <row r="827" spans="1:23" ht="13" x14ac:dyDescent="0.3">
      <c r="A827" s="58"/>
      <c r="B827" s="58"/>
      <c r="C827" s="58"/>
      <c r="D827" s="58"/>
      <c r="E827" s="58"/>
      <c r="F827" s="58"/>
      <c r="G827" s="58"/>
      <c r="H827" s="59"/>
      <c r="I827" s="59"/>
      <c r="J827" s="59"/>
      <c r="K827" s="59"/>
      <c r="L827" s="59"/>
      <c r="M827" s="60"/>
      <c r="N827" s="60"/>
      <c r="O827" s="60"/>
      <c r="P827" s="59"/>
      <c r="Q827" s="59"/>
      <c r="R827" s="60"/>
      <c r="S827" s="60"/>
      <c r="T827" s="60"/>
      <c r="U827" s="60"/>
      <c r="V827" s="60"/>
      <c r="W827" s="60"/>
    </row>
    <row r="828" spans="1:23" ht="13" x14ac:dyDescent="0.3">
      <c r="A828" s="58"/>
      <c r="B828" s="58"/>
      <c r="C828" s="58"/>
      <c r="D828" s="58"/>
      <c r="E828" s="58"/>
      <c r="F828" s="58"/>
      <c r="G828" s="58"/>
      <c r="H828" s="59"/>
      <c r="I828" s="59"/>
      <c r="J828" s="59"/>
      <c r="K828" s="59"/>
      <c r="L828" s="59"/>
      <c r="M828" s="60"/>
      <c r="N828" s="60"/>
      <c r="O828" s="60"/>
      <c r="P828" s="59"/>
      <c r="Q828" s="59"/>
      <c r="R828" s="60"/>
      <c r="S828" s="60"/>
      <c r="T828" s="60"/>
      <c r="U828" s="60"/>
      <c r="V828" s="60"/>
      <c r="W828" s="60"/>
    </row>
    <row r="829" spans="1:23" ht="13" x14ac:dyDescent="0.3">
      <c r="A829" s="58"/>
      <c r="B829" s="58"/>
      <c r="C829" s="58"/>
      <c r="D829" s="58"/>
      <c r="E829" s="58"/>
      <c r="F829" s="58"/>
      <c r="G829" s="58"/>
      <c r="H829" s="59"/>
      <c r="I829" s="59"/>
      <c r="J829" s="59"/>
      <c r="K829" s="59"/>
      <c r="L829" s="59"/>
      <c r="M829" s="60"/>
      <c r="N829" s="60"/>
      <c r="O829" s="60"/>
      <c r="P829" s="59"/>
      <c r="Q829" s="59"/>
      <c r="R829" s="60"/>
      <c r="S829" s="60"/>
      <c r="T829" s="60"/>
      <c r="U829" s="60"/>
      <c r="V829" s="60"/>
      <c r="W829" s="60"/>
    </row>
    <row r="830" spans="1:23" ht="13" x14ac:dyDescent="0.3">
      <c r="A830" s="58"/>
      <c r="B830" s="58"/>
      <c r="C830" s="58"/>
      <c r="D830" s="58"/>
      <c r="E830" s="58"/>
      <c r="F830" s="58"/>
      <c r="G830" s="58"/>
      <c r="H830" s="59"/>
      <c r="I830" s="59"/>
      <c r="J830" s="59"/>
      <c r="K830" s="59"/>
      <c r="L830" s="59"/>
      <c r="M830" s="60"/>
      <c r="N830" s="60"/>
      <c r="O830" s="60"/>
      <c r="P830" s="59"/>
      <c r="Q830" s="59"/>
      <c r="R830" s="60"/>
      <c r="S830" s="60"/>
      <c r="T830" s="60"/>
      <c r="U830" s="60"/>
      <c r="V830" s="60"/>
      <c r="W830" s="60"/>
    </row>
    <row r="831" spans="1:23" ht="13" x14ac:dyDescent="0.3">
      <c r="A831" s="58"/>
      <c r="B831" s="58"/>
      <c r="C831" s="58"/>
      <c r="D831" s="58"/>
      <c r="E831" s="58"/>
      <c r="F831" s="58"/>
      <c r="G831" s="58"/>
      <c r="H831" s="59"/>
      <c r="I831" s="59"/>
      <c r="J831" s="59"/>
      <c r="K831" s="59"/>
      <c r="L831" s="59"/>
      <c r="M831" s="60"/>
      <c r="N831" s="60"/>
      <c r="O831" s="60"/>
      <c r="P831" s="59"/>
      <c r="Q831" s="59"/>
      <c r="R831" s="60"/>
      <c r="S831" s="60"/>
      <c r="T831" s="60"/>
      <c r="U831" s="60"/>
      <c r="V831" s="60"/>
      <c r="W831" s="60"/>
    </row>
    <row r="832" spans="1:23" ht="13" x14ac:dyDescent="0.3">
      <c r="A832" s="58"/>
      <c r="B832" s="58"/>
      <c r="C832" s="58"/>
      <c r="D832" s="58"/>
      <c r="E832" s="58"/>
      <c r="F832" s="58"/>
      <c r="G832" s="58"/>
      <c r="H832" s="59"/>
      <c r="I832" s="59"/>
      <c r="J832" s="59"/>
      <c r="K832" s="59"/>
      <c r="L832" s="59"/>
      <c r="M832" s="60"/>
      <c r="N832" s="60"/>
      <c r="O832" s="60"/>
      <c r="P832" s="59"/>
      <c r="Q832" s="59"/>
      <c r="R832" s="60"/>
      <c r="S832" s="60"/>
      <c r="T832" s="60"/>
      <c r="U832" s="60"/>
      <c r="V832" s="60"/>
      <c r="W832" s="60"/>
    </row>
    <row r="833" spans="1:23" ht="13" x14ac:dyDescent="0.3">
      <c r="A833" s="58"/>
      <c r="B833" s="58"/>
      <c r="C833" s="58"/>
      <c r="D833" s="58"/>
      <c r="E833" s="58"/>
      <c r="F833" s="58"/>
      <c r="G833" s="58"/>
      <c r="H833" s="59"/>
      <c r="I833" s="59"/>
      <c r="J833" s="59"/>
      <c r="K833" s="59"/>
      <c r="L833" s="59"/>
      <c r="M833" s="60"/>
      <c r="N833" s="60"/>
      <c r="O833" s="60"/>
      <c r="P833" s="59"/>
      <c r="Q833" s="59"/>
      <c r="R833" s="60"/>
      <c r="S833" s="60"/>
      <c r="T833" s="60"/>
      <c r="U833" s="60"/>
      <c r="V833" s="60"/>
      <c r="W833" s="60"/>
    </row>
    <row r="834" spans="1:23" ht="13" x14ac:dyDescent="0.3">
      <c r="A834" s="58"/>
      <c r="B834" s="58"/>
      <c r="C834" s="58"/>
      <c r="D834" s="58"/>
      <c r="E834" s="58"/>
      <c r="F834" s="58"/>
      <c r="G834" s="58"/>
      <c r="H834" s="59"/>
      <c r="I834" s="59"/>
      <c r="J834" s="59"/>
      <c r="K834" s="59"/>
      <c r="L834" s="59"/>
      <c r="M834" s="60"/>
      <c r="N834" s="60"/>
      <c r="O834" s="60"/>
      <c r="P834" s="59"/>
      <c r="Q834" s="59"/>
      <c r="R834" s="60"/>
      <c r="S834" s="60"/>
      <c r="T834" s="60"/>
      <c r="U834" s="60"/>
      <c r="V834" s="60"/>
      <c r="W834" s="60"/>
    </row>
    <row r="835" spans="1:23" ht="13" x14ac:dyDescent="0.3">
      <c r="A835" s="58"/>
      <c r="B835" s="58"/>
      <c r="C835" s="58"/>
      <c r="D835" s="58"/>
      <c r="E835" s="58"/>
      <c r="F835" s="58"/>
      <c r="G835" s="58"/>
      <c r="H835" s="59"/>
      <c r="I835" s="59"/>
      <c r="J835" s="59"/>
      <c r="K835" s="59"/>
      <c r="L835" s="59"/>
      <c r="M835" s="60"/>
      <c r="N835" s="60"/>
      <c r="O835" s="60"/>
      <c r="P835" s="59"/>
      <c r="Q835" s="59"/>
      <c r="R835" s="60"/>
      <c r="S835" s="60"/>
      <c r="T835" s="60"/>
      <c r="U835" s="60"/>
      <c r="V835" s="60"/>
      <c r="W835" s="60"/>
    </row>
    <row r="836" spans="1:23" ht="13" x14ac:dyDescent="0.3">
      <c r="A836" s="58"/>
      <c r="B836" s="58"/>
      <c r="C836" s="58"/>
      <c r="D836" s="58"/>
      <c r="E836" s="58"/>
      <c r="F836" s="58"/>
      <c r="G836" s="58"/>
      <c r="H836" s="59"/>
      <c r="I836" s="59"/>
      <c r="J836" s="59"/>
      <c r="K836" s="59"/>
      <c r="L836" s="59"/>
      <c r="M836" s="60"/>
      <c r="N836" s="60"/>
      <c r="O836" s="60"/>
      <c r="P836" s="59"/>
      <c r="Q836" s="59"/>
      <c r="R836" s="60"/>
      <c r="S836" s="60"/>
      <c r="T836" s="60"/>
      <c r="U836" s="60"/>
      <c r="V836" s="60"/>
      <c r="W836" s="60"/>
    </row>
    <row r="837" spans="1:23" ht="13" x14ac:dyDescent="0.3">
      <c r="A837" s="58"/>
      <c r="B837" s="58"/>
      <c r="C837" s="58"/>
      <c r="D837" s="58"/>
      <c r="E837" s="58"/>
      <c r="F837" s="58"/>
      <c r="G837" s="58"/>
      <c r="H837" s="59"/>
      <c r="I837" s="59"/>
      <c r="J837" s="59"/>
      <c r="K837" s="59"/>
      <c r="L837" s="59"/>
      <c r="M837" s="60"/>
      <c r="N837" s="60"/>
      <c r="O837" s="60"/>
      <c r="P837" s="59"/>
      <c r="Q837" s="59"/>
      <c r="R837" s="60"/>
      <c r="S837" s="60"/>
      <c r="T837" s="60"/>
      <c r="U837" s="60"/>
      <c r="V837" s="60"/>
      <c r="W837" s="60"/>
    </row>
    <row r="838" spans="1:23" ht="13" x14ac:dyDescent="0.3">
      <c r="A838" s="58"/>
      <c r="B838" s="58"/>
      <c r="C838" s="58"/>
      <c r="D838" s="58"/>
      <c r="E838" s="58"/>
      <c r="F838" s="58"/>
      <c r="G838" s="58"/>
      <c r="H838" s="59"/>
      <c r="I838" s="59"/>
      <c r="J838" s="59"/>
      <c r="K838" s="59"/>
      <c r="L838" s="59"/>
      <c r="M838" s="60"/>
      <c r="N838" s="60"/>
      <c r="O838" s="60"/>
      <c r="P838" s="59"/>
      <c r="Q838" s="59"/>
      <c r="R838" s="60"/>
      <c r="S838" s="60"/>
      <c r="T838" s="60"/>
      <c r="U838" s="60"/>
      <c r="V838" s="60"/>
      <c r="W838" s="60"/>
    </row>
    <row r="839" spans="1:23" ht="13" x14ac:dyDescent="0.3">
      <c r="A839" s="58"/>
      <c r="B839" s="58"/>
      <c r="C839" s="58"/>
      <c r="D839" s="58"/>
      <c r="E839" s="58"/>
      <c r="F839" s="58"/>
      <c r="G839" s="58"/>
      <c r="H839" s="59"/>
      <c r="I839" s="59"/>
      <c r="J839" s="59"/>
      <c r="K839" s="59"/>
      <c r="L839" s="59"/>
      <c r="M839" s="60"/>
      <c r="N839" s="60"/>
      <c r="O839" s="60"/>
      <c r="P839" s="59"/>
      <c r="Q839" s="59"/>
      <c r="R839" s="60"/>
      <c r="S839" s="60"/>
      <c r="T839" s="60"/>
      <c r="U839" s="60"/>
      <c r="V839" s="60"/>
      <c r="W839" s="60"/>
    </row>
    <row r="840" spans="1:23" ht="13" x14ac:dyDescent="0.3">
      <c r="A840" s="58"/>
      <c r="B840" s="58"/>
      <c r="C840" s="58"/>
      <c r="D840" s="58"/>
      <c r="E840" s="58"/>
      <c r="F840" s="58"/>
      <c r="G840" s="58"/>
      <c r="H840" s="59"/>
      <c r="I840" s="59"/>
      <c r="J840" s="59"/>
      <c r="K840" s="59"/>
      <c r="L840" s="59"/>
      <c r="M840" s="60"/>
      <c r="N840" s="60"/>
      <c r="O840" s="60"/>
      <c r="P840" s="59"/>
      <c r="Q840" s="59"/>
      <c r="R840" s="60"/>
      <c r="S840" s="60"/>
      <c r="T840" s="60"/>
      <c r="U840" s="60"/>
      <c r="V840" s="60"/>
      <c r="W840" s="60"/>
    </row>
    <row r="841" spans="1:23" ht="13" x14ac:dyDescent="0.3">
      <c r="A841" s="58"/>
      <c r="B841" s="58"/>
      <c r="C841" s="58"/>
      <c r="D841" s="58"/>
      <c r="E841" s="58"/>
      <c r="F841" s="58"/>
      <c r="G841" s="58"/>
      <c r="H841" s="59"/>
      <c r="I841" s="59"/>
      <c r="J841" s="59"/>
      <c r="K841" s="59"/>
      <c r="L841" s="59"/>
      <c r="M841" s="60"/>
      <c r="N841" s="60"/>
      <c r="O841" s="60"/>
      <c r="P841" s="59"/>
      <c r="Q841" s="59"/>
      <c r="R841" s="60"/>
      <c r="S841" s="60"/>
      <c r="T841" s="60"/>
      <c r="U841" s="60"/>
      <c r="V841" s="60"/>
      <c r="W841" s="60"/>
    </row>
    <row r="842" spans="1:23" ht="13" x14ac:dyDescent="0.3">
      <c r="A842" s="58"/>
      <c r="B842" s="58"/>
      <c r="C842" s="58"/>
      <c r="D842" s="58"/>
      <c r="E842" s="58"/>
      <c r="F842" s="58"/>
      <c r="G842" s="58"/>
      <c r="H842" s="59"/>
      <c r="I842" s="59"/>
      <c r="J842" s="59"/>
      <c r="K842" s="59"/>
      <c r="L842" s="59"/>
      <c r="M842" s="60"/>
      <c r="N842" s="60"/>
      <c r="O842" s="60"/>
      <c r="P842" s="59"/>
      <c r="Q842" s="59"/>
      <c r="R842" s="60"/>
      <c r="S842" s="60"/>
      <c r="T842" s="60"/>
      <c r="U842" s="60"/>
      <c r="V842" s="60"/>
      <c r="W842" s="60"/>
    </row>
    <row r="843" spans="1:23" ht="13" x14ac:dyDescent="0.3">
      <c r="A843" s="58"/>
      <c r="B843" s="58"/>
      <c r="C843" s="58"/>
      <c r="D843" s="58"/>
      <c r="E843" s="58"/>
      <c r="F843" s="58"/>
      <c r="G843" s="58"/>
      <c r="H843" s="59"/>
      <c r="I843" s="59"/>
      <c r="J843" s="59"/>
      <c r="K843" s="59"/>
      <c r="L843" s="59"/>
      <c r="M843" s="60"/>
      <c r="N843" s="60"/>
      <c r="O843" s="60"/>
      <c r="P843" s="59"/>
      <c r="Q843" s="59"/>
      <c r="R843" s="60"/>
      <c r="S843" s="60"/>
      <c r="T843" s="60"/>
      <c r="U843" s="60"/>
      <c r="V843" s="60"/>
      <c r="W843" s="60"/>
    </row>
    <row r="844" spans="1:23" ht="13" x14ac:dyDescent="0.3">
      <c r="A844" s="58"/>
      <c r="B844" s="58"/>
      <c r="C844" s="58"/>
      <c r="D844" s="58"/>
      <c r="E844" s="58"/>
      <c r="F844" s="58"/>
      <c r="G844" s="58"/>
      <c r="H844" s="59"/>
      <c r="I844" s="59"/>
      <c r="J844" s="59"/>
      <c r="K844" s="59"/>
      <c r="L844" s="59"/>
      <c r="M844" s="60"/>
      <c r="N844" s="60"/>
      <c r="O844" s="60"/>
      <c r="P844" s="59"/>
      <c r="Q844" s="59"/>
      <c r="R844" s="60"/>
      <c r="S844" s="60"/>
      <c r="T844" s="60"/>
      <c r="U844" s="60"/>
      <c r="V844" s="60"/>
      <c r="W844" s="60"/>
    </row>
    <row r="845" spans="1:23" ht="13" x14ac:dyDescent="0.3">
      <c r="A845" s="58"/>
      <c r="B845" s="58"/>
      <c r="C845" s="58"/>
      <c r="D845" s="58"/>
      <c r="E845" s="58"/>
      <c r="F845" s="58"/>
      <c r="G845" s="58"/>
      <c r="H845" s="59"/>
      <c r="I845" s="59"/>
      <c r="J845" s="59"/>
      <c r="K845" s="59"/>
      <c r="L845" s="59"/>
      <c r="M845" s="60"/>
      <c r="N845" s="60"/>
      <c r="O845" s="60"/>
      <c r="P845" s="59"/>
      <c r="Q845" s="59"/>
      <c r="R845" s="60"/>
      <c r="S845" s="60"/>
      <c r="T845" s="60"/>
      <c r="U845" s="60"/>
      <c r="V845" s="60"/>
      <c r="W845" s="60"/>
    </row>
    <row r="846" spans="1:23" ht="13" x14ac:dyDescent="0.3">
      <c r="A846" s="58"/>
      <c r="B846" s="58"/>
      <c r="C846" s="58"/>
      <c r="D846" s="58"/>
      <c r="E846" s="58"/>
      <c r="F846" s="58"/>
      <c r="G846" s="58"/>
      <c r="H846" s="59"/>
      <c r="I846" s="59"/>
      <c r="J846" s="59"/>
      <c r="K846" s="59"/>
      <c r="L846" s="59"/>
      <c r="M846" s="60"/>
      <c r="N846" s="60"/>
      <c r="O846" s="60"/>
      <c r="P846" s="59"/>
      <c r="Q846" s="59"/>
      <c r="R846" s="60"/>
      <c r="S846" s="60"/>
      <c r="T846" s="60"/>
      <c r="U846" s="60"/>
      <c r="V846" s="60"/>
      <c r="W846" s="60"/>
    </row>
    <row r="847" spans="1:23" ht="13" x14ac:dyDescent="0.3">
      <c r="A847" s="58"/>
      <c r="B847" s="58"/>
      <c r="C847" s="58"/>
      <c r="D847" s="58"/>
      <c r="E847" s="58"/>
      <c r="F847" s="58"/>
      <c r="G847" s="58"/>
      <c r="H847" s="59"/>
      <c r="I847" s="59"/>
      <c r="J847" s="59"/>
      <c r="K847" s="59"/>
      <c r="L847" s="59"/>
      <c r="M847" s="60"/>
      <c r="N847" s="60"/>
      <c r="O847" s="60"/>
      <c r="P847" s="59"/>
      <c r="Q847" s="59"/>
      <c r="R847" s="60"/>
      <c r="S847" s="60"/>
      <c r="T847" s="60"/>
      <c r="U847" s="60"/>
      <c r="V847" s="60"/>
      <c r="W847" s="60"/>
    </row>
    <row r="848" spans="1:23" ht="13" x14ac:dyDescent="0.3">
      <c r="A848" s="58"/>
      <c r="B848" s="58"/>
      <c r="C848" s="58"/>
      <c r="D848" s="58"/>
      <c r="E848" s="58"/>
      <c r="F848" s="58"/>
      <c r="G848" s="58"/>
      <c r="H848" s="59"/>
      <c r="I848" s="59"/>
      <c r="J848" s="59"/>
      <c r="K848" s="59"/>
      <c r="L848" s="59"/>
      <c r="M848" s="60"/>
      <c r="N848" s="60"/>
      <c r="O848" s="60"/>
      <c r="P848" s="59"/>
      <c r="Q848" s="59"/>
      <c r="R848" s="60"/>
      <c r="S848" s="60"/>
      <c r="T848" s="60"/>
      <c r="U848" s="60"/>
      <c r="V848" s="60"/>
      <c r="W848" s="60"/>
    </row>
    <row r="849" spans="1:23" ht="13" x14ac:dyDescent="0.3">
      <c r="A849" s="58"/>
      <c r="B849" s="58"/>
      <c r="C849" s="58"/>
      <c r="D849" s="58"/>
      <c r="E849" s="58"/>
      <c r="F849" s="58"/>
      <c r="G849" s="58"/>
      <c r="H849" s="59"/>
      <c r="I849" s="59"/>
      <c r="J849" s="59"/>
      <c r="K849" s="59"/>
      <c r="L849" s="59"/>
      <c r="M849" s="60"/>
      <c r="N849" s="60"/>
      <c r="O849" s="60"/>
      <c r="P849" s="59"/>
      <c r="Q849" s="59"/>
      <c r="R849" s="60"/>
      <c r="S849" s="60"/>
      <c r="T849" s="60"/>
      <c r="U849" s="60"/>
      <c r="V849" s="60"/>
      <c r="W849" s="60"/>
    </row>
    <row r="850" spans="1:23" ht="13" x14ac:dyDescent="0.3">
      <c r="A850" s="58"/>
      <c r="B850" s="58"/>
      <c r="C850" s="58"/>
      <c r="D850" s="58"/>
      <c r="E850" s="58"/>
      <c r="F850" s="58"/>
      <c r="G850" s="58"/>
      <c r="H850" s="59"/>
      <c r="I850" s="59"/>
      <c r="J850" s="59"/>
      <c r="K850" s="59"/>
      <c r="L850" s="59"/>
      <c r="M850" s="60"/>
      <c r="N850" s="60"/>
      <c r="O850" s="60"/>
      <c r="P850" s="59"/>
      <c r="Q850" s="59"/>
      <c r="R850" s="60"/>
      <c r="S850" s="60"/>
      <c r="T850" s="60"/>
      <c r="U850" s="60"/>
      <c r="V850" s="60"/>
      <c r="W850" s="60"/>
    </row>
    <row r="851" spans="1:23" ht="13" x14ac:dyDescent="0.3">
      <c r="A851" s="58"/>
      <c r="B851" s="58"/>
      <c r="C851" s="58"/>
      <c r="D851" s="58"/>
      <c r="E851" s="58"/>
      <c r="F851" s="58"/>
      <c r="G851" s="58"/>
      <c r="H851" s="59"/>
      <c r="I851" s="59"/>
      <c r="J851" s="59"/>
      <c r="K851" s="59"/>
      <c r="L851" s="59"/>
      <c r="M851" s="60"/>
      <c r="N851" s="60"/>
      <c r="O851" s="60"/>
      <c r="P851" s="59"/>
      <c r="Q851" s="59"/>
      <c r="R851" s="60"/>
      <c r="S851" s="60"/>
      <c r="T851" s="60"/>
      <c r="U851" s="60"/>
      <c r="V851" s="60"/>
      <c r="W851" s="60"/>
    </row>
    <row r="852" spans="1:23" ht="13" x14ac:dyDescent="0.3">
      <c r="A852" s="58"/>
      <c r="B852" s="58"/>
      <c r="C852" s="58"/>
      <c r="D852" s="58"/>
      <c r="E852" s="58"/>
      <c r="F852" s="58"/>
      <c r="G852" s="58"/>
      <c r="H852" s="59"/>
      <c r="I852" s="59"/>
      <c r="J852" s="59"/>
      <c r="K852" s="59"/>
      <c r="L852" s="59"/>
      <c r="M852" s="60"/>
      <c r="N852" s="60"/>
      <c r="O852" s="60"/>
      <c r="P852" s="59"/>
      <c r="Q852" s="59"/>
      <c r="R852" s="60"/>
      <c r="S852" s="60"/>
      <c r="T852" s="60"/>
      <c r="U852" s="60"/>
      <c r="V852" s="60"/>
      <c r="W852" s="60"/>
    </row>
    <row r="853" spans="1:23" ht="13" x14ac:dyDescent="0.3">
      <c r="A853" s="58"/>
      <c r="B853" s="58"/>
      <c r="C853" s="58"/>
      <c r="D853" s="58"/>
      <c r="E853" s="58"/>
      <c r="F853" s="58"/>
      <c r="G853" s="58"/>
      <c r="H853" s="59"/>
      <c r="I853" s="59"/>
      <c r="J853" s="59"/>
      <c r="K853" s="59"/>
      <c r="L853" s="59"/>
      <c r="M853" s="60"/>
      <c r="N853" s="60"/>
      <c r="O853" s="60"/>
      <c r="P853" s="59"/>
      <c r="Q853" s="59"/>
      <c r="R853" s="60"/>
      <c r="S853" s="60"/>
      <c r="T853" s="60"/>
      <c r="U853" s="60"/>
      <c r="V853" s="60"/>
      <c r="W853" s="60"/>
    </row>
    <row r="854" spans="1:23" ht="13" x14ac:dyDescent="0.3">
      <c r="A854" s="58"/>
      <c r="B854" s="58"/>
      <c r="C854" s="58"/>
      <c r="D854" s="58"/>
      <c r="E854" s="58"/>
      <c r="F854" s="58"/>
      <c r="G854" s="58"/>
      <c r="H854" s="59"/>
      <c r="I854" s="59"/>
      <c r="J854" s="59"/>
      <c r="K854" s="59"/>
      <c r="L854" s="59"/>
      <c r="M854" s="60"/>
      <c r="N854" s="60"/>
      <c r="O854" s="60"/>
      <c r="P854" s="59"/>
      <c r="Q854" s="59"/>
      <c r="R854" s="60"/>
      <c r="S854" s="60"/>
      <c r="T854" s="60"/>
      <c r="U854" s="60"/>
      <c r="V854" s="60"/>
      <c r="W854" s="60"/>
    </row>
    <row r="855" spans="1:23" ht="13" x14ac:dyDescent="0.3">
      <c r="A855" s="58"/>
      <c r="B855" s="58"/>
      <c r="C855" s="58"/>
      <c r="D855" s="58"/>
      <c r="E855" s="58"/>
      <c r="F855" s="58"/>
      <c r="G855" s="58"/>
      <c r="H855" s="59"/>
      <c r="I855" s="59"/>
      <c r="J855" s="59"/>
      <c r="K855" s="59"/>
      <c r="L855" s="59"/>
      <c r="M855" s="60"/>
      <c r="N855" s="60"/>
      <c r="O855" s="60"/>
      <c r="P855" s="59"/>
      <c r="Q855" s="59"/>
      <c r="R855" s="60"/>
      <c r="S855" s="60"/>
      <c r="T855" s="60"/>
      <c r="U855" s="60"/>
      <c r="V855" s="60"/>
      <c r="W855" s="60"/>
    </row>
    <row r="856" spans="1:23" ht="13" x14ac:dyDescent="0.3">
      <c r="A856" s="58"/>
      <c r="B856" s="58"/>
      <c r="C856" s="58"/>
      <c r="D856" s="58"/>
      <c r="E856" s="58"/>
      <c r="F856" s="58"/>
      <c r="G856" s="58"/>
      <c r="H856" s="59"/>
      <c r="I856" s="59"/>
      <c r="J856" s="59"/>
      <c r="K856" s="59"/>
      <c r="L856" s="59"/>
      <c r="M856" s="60"/>
      <c r="N856" s="60"/>
      <c r="O856" s="60"/>
      <c r="P856" s="59"/>
      <c r="Q856" s="59"/>
      <c r="R856" s="60"/>
      <c r="S856" s="60"/>
      <c r="T856" s="60"/>
      <c r="U856" s="60"/>
      <c r="V856" s="60"/>
      <c r="W856" s="60"/>
    </row>
    <row r="857" spans="1:23" ht="13" x14ac:dyDescent="0.3">
      <c r="A857" s="58"/>
      <c r="B857" s="58"/>
      <c r="C857" s="58"/>
      <c r="D857" s="58"/>
      <c r="E857" s="58"/>
      <c r="F857" s="58"/>
      <c r="G857" s="58"/>
      <c r="H857" s="59"/>
      <c r="I857" s="59"/>
      <c r="J857" s="59"/>
      <c r="K857" s="59"/>
      <c r="L857" s="59"/>
      <c r="M857" s="60"/>
      <c r="N857" s="60"/>
      <c r="O857" s="60"/>
      <c r="P857" s="59"/>
      <c r="Q857" s="59"/>
      <c r="R857" s="60"/>
      <c r="S857" s="60"/>
      <c r="T857" s="60"/>
      <c r="U857" s="60"/>
      <c r="V857" s="60"/>
      <c r="W857" s="60"/>
    </row>
    <row r="858" spans="1:23" ht="13" x14ac:dyDescent="0.3">
      <c r="A858" s="58"/>
      <c r="B858" s="58"/>
      <c r="C858" s="58"/>
      <c r="D858" s="58"/>
      <c r="E858" s="58"/>
      <c r="F858" s="58"/>
      <c r="G858" s="58"/>
      <c r="H858" s="59"/>
      <c r="I858" s="59"/>
      <c r="J858" s="59"/>
      <c r="K858" s="59"/>
      <c r="L858" s="59"/>
      <c r="M858" s="60"/>
      <c r="N858" s="60"/>
      <c r="O858" s="60"/>
      <c r="P858" s="59"/>
      <c r="Q858" s="59"/>
      <c r="R858" s="60"/>
      <c r="S858" s="60"/>
      <c r="T858" s="60"/>
      <c r="U858" s="60"/>
      <c r="V858" s="60"/>
      <c r="W858" s="60"/>
    </row>
    <row r="859" spans="1:23" ht="13" x14ac:dyDescent="0.3">
      <c r="A859" s="58"/>
      <c r="B859" s="58"/>
      <c r="C859" s="58"/>
      <c r="D859" s="58"/>
      <c r="E859" s="58"/>
      <c r="F859" s="58"/>
      <c r="G859" s="58"/>
      <c r="H859" s="59"/>
      <c r="I859" s="59"/>
      <c r="J859" s="59"/>
      <c r="K859" s="59"/>
      <c r="L859" s="59"/>
      <c r="M859" s="60"/>
      <c r="N859" s="60"/>
      <c r="O859" s="60"/>
      <c r="P859" s="59"/>
      <c r="Q859" s="59"/>
      <c r="R859" s="60"/>
      <c r="S859" s="60"/>
      <c r="T859" s="60"/>
      <c r="U859" s="60"/>
      <c r="V859" s="60"/>
      <c r="W859" s="60"/>
    </row>
    <row r="860" spans="1:23" ht="13" x14ac:dyDescent="0.3">
      <c r="A860" s="58"/>
      <c r="B860" s="58"/>
      <c r="C860" s="58"/>
      <c r="D860" s="58"/>
      <c r="E860" s="58"/>
      <c r="F860" s="58"/>
      <c r="G860" s="58"/>
      <c r="H860" s="59"/>
      <c r="I860" s="59"/>
      <c r="J860" s="59"/>
      <c r="K860" s="59"/>
      <c r="L860" s="59"/>
      <c r="M860" s="60"/>
      <c r="N860" s="60"/>
      <c r="O860" s="60"/>
      <c r="P860" s="59"/>
      <c r="Q860" s="59"/>
      <c r="R860" s="60"/>
      <c r="S860" s="60"/>
      <c r="T860" s="60"/>
      <c r="U860" s="60"/>
      <c r="V860" s="60"/>
      <c r="W860" s="60"/>
    </row>
    <row r="861" spans="1:23" ht="13" x14ac:dyDescent="0.3">
      <c r="A861" s="58"/>
      <c r="B861" s="58"/>
      <c r="C861" s="58"/>
      <c r="D861" s="58"/>
      <c r="E861" s="58"/>
      <c r="F861" s="58"/>
      <c r="G861" s="58"/>
      <c r="H861" s="59"/>
      <c r="I861" s="59"/>
      <c r="J861" s="59"/>
      <c r="K861" s="59"/>
      <c r="L861" s="59"/>
      <c r="M861" s="60"/>
      <c r="N861" s="60"/>
      <c r="O861" s="60"/>
      <c r="P861" s="59"/>
      <c r="Q861" s="59"/>
      <c r="R861" s="60"/>
      <c r="S861" s="60"/>
      <c r="T861" s="60"/>
      <c r="U861" s="60"/>
      <c r="V861" s="60"/>
      <c r="W861" s="60"/>
    </row>
    <row r="862" spans="1:23" ht="13" x14ac:dyDescent="0.3">
      <c r="A862" s="58"/>
      <c r="B862" s="58"/>
      <c r="C862" s="58"/>
      <c r="D862" s="58"/>
      <c r="E862" s="58"/>
      <c r="F862" s="58"/>
      <c r="G862" s="58"/>
      <c r="H862" s="59"/>
      <c r="I862" s="59"/>
      <c r="J862" s="59"/>
      <c r="K862" s="59"/>
      <c r="L862" s="59"/>
      <c r="M862" s="60"/>
      <c r="N862" s="60"/>
      <c r="O862" s="60"/>
      <c r="P862" s="59"/>
      <c r="Q862" s="59"/>
      <c r="R862" s="60"/>
      <c r="S862" s="60"/>
      <c r="T862" s="60"/>
      <c r="U862" s="60"/>
      <c r="V862" s="60"/>
      <c r="W862" s="60"/>
    </row>
    <row r="863" spans="1:23" ht="13" x14ac:dyDescent="0.3">
      <c r="A863" s="58"/>
      <c r="B863" s="58"/>
      <c r="C863" s="58"/>
      <c r="D863" s="58"/>
      <c r="E863" s="58"/>
      <c r="F863" s="58"/>
      <c r="G863" s="58"/>
      <c r="H863" s="59"/>
      <c r="I863" s="59"/>
      <c r="J863" s="59"/>
      <c r="K863" s="59"/>
      <c r="L863" s="59"/>
      <c r="M863" s="60"/>
      <c r="N863" s="60"/>
      <c r="O863" s="60"/>
      <c r="P863" s="59"/>
      <c r="Q863" s="59"/>
      <c r="R863" s="60"/>
      <c r="S863" s="60"/>
      <c r="T863" s="60"/>
      <c r="U863" s="60"/>
      <c r="V863" s="60"/>
      <c r="W863" s="60"/>
    </row>
    <row r="864" spans="1:23" ht="13" x14ac:dyDescent="0.3">
      <c r="A864" s="58"/>
      <c r="B864" s="58"/>
      <c r="C864" s="58"/>
      <c r="D864" s="58"/>
      <c r="E864" s="58"/>
      <c r="F864" s="58"/>
      <c r="G864" s="58"/>
      <c r="H864" s="59"/>
      <c r="I864" s="59"/>
      <c r="J864" s="59"/>
      <c r="K864" s="59"/>
      <c r="L864" s="59"/>
      <c r="M864" s="60"/>
      <c r="N864" s="60"/>
      <c r="O864" s="60"/>
      <c r="P864" s="59"/>
      <c r="Q864" s="59"/>
      <c r="R864" s="60"/>
      <c r="S864" s="60"/>
      <c r="T864" s="60"/>
      <c r="U864" s="60"/>
      <c r="V864" s="60"/>
      <c r="W864" s="60"/>
    </row>
    <row r="865" spans="1:23" ht="13" x14ac:dyDescent="0.3">
      <c r="A865" s="58"/>
      <c r="B865" s="58"/>
      <c r="C865" s="58"/>
      <c r="D865" s="58"/>
      <c r="E865" s="58"/>
      <c r="F865" s="58"/>
      <c r="G865" s="58"/>
      <c r="H865" s="59"/>
      <c r="I865" s="59"/>
      <c r="J865" s="59"/>
      <c r="K865" s="59"/>
      <c r="L865" s="59"/>
      <c r="M865" s="60"/>
      <c r="N865" s="60"/>
      <c r="O865" s="60"/>
      <c r="P865" s="59"/>
      <c r="Q865" s="59"/>
      <c r="R865" s="60"/>
      <c r="S865" s="60"/>
      <c r="T865" s="60"/>
      <c r="U865" s="60"/>
      <c r="V865" s="60"/>
      <c r="W865" s="60"/>
    </row>
    <row r="866" spans="1:23" ht="13" x14ac:dyDescent="0.3">
      <c r="A866" s="58"/>
      <c r="B866" s="58"/>
      <c r="C866" s="58"/>
      <c r="D866" s="58"/>
      <c r="E866" s="58"/>
      <c r="F866" s="58"/>
      <c r="G866" s="58"/>
      <c r="H866" s="59"/>
      <c r="I866" s="59"/>
      <c r="J866" s="59"/>
      <c r="K866" s="59"/>
      <c r="L866" s="59"/>
      <c r="M866" s="60"/>
      <c r="N866" s="60"/>
      <c r="O866" s="60"/>
      <c r="P866" s="59"/>
      <c r="Q866" s="59"/>
      <c r="R866" s="60"/>
      <c r="S866" s="60"/>
      <c r="T866" s="60"/>
      <c r="U866" s="60"/>
      <c r="V866" s="60"/>
      <c r="W866" s="60"/>
    </row>
    <row r="867" spans="1:23" ht="13" x14ac:dyDescent="0.3">
      <c r="A867" s="58"/>
      <c r="B867" s="58"/>
      <c r="C867" s="58"/>
      <c r="D867" s="58"/>
      <c r="E867" s="58"/>
      <c r="F867" s="58"/>
      <c r="G867" s="58"/>
      <c r="H867" s="59"/>
      <c r="I867" s="59"/>
      <c r="J867" s="59"/>
      <c r="K867" s="59"/>
      <c r="L867" s="59"/>
      <c r="M867" s="60"/>
      <c r="N867" s="60"/>
      <c r="O867" s="60"/>
      <c r="P867" s="59"/>
      <c r="Q867" s="59"/>
      <c r="R867" s="60"/>
      <c r="S867" s="60"/>
      <c r="T867" s="60"/>
      <c r="U867" s="60"/>
      <c r="V867" s="60"/>
      <c r="W867" s="60"/>
    </row>
    <row r="868" spans="1:23" ht="13" x14ac:dyDescent="0.3">
      <c r="A868" s="58"/>
      <c r="B868" s="58"/>
      <c r="C868" s="58"/>
      <c r="D868" s="58"/>
      <c r="E868" s="58"/>
      <c r="F868" s="58"/>
      <c r="G868" s="58"/>
      <c r="H868" s="59"/>
      <c r="I868" s="59"/>
      <c r="J868" s="59"/>
      <c r="K868" s="59"/>
      <c r="L868" s="59"/>
      <c r="M868" s="60"/>
      <c r="N868" s="60"/>
      <c r="O868" s="60"/>
      <c r="P868" s="59"/>
      <c r="Q868" s="59"/>
      <c r="R868" s="60"/>
      <c r="S868" s="60"/>
      <c r="T868" s="60"/>
      <c r="U868" s="60"/>
      <c r="V868" s="60"/>
      <c r="W868" s="60"/>
    </row>
    <row r="869" spans="1:23" ht="13" x14ac:dyDescent="0.3">
      <c r="A869" s="58"/>
      <c r="B869" s="58"/>
      <c r="C869" s="58"/>
      <c r="D869" s="58"/>
      <c r="E869" s="58"/>
      <c r="F869" s="58"/>
      <c r="G869" s="58"/>
      <c r="H869" s="59"/>
      <c r="I869" s="59"/>
      <c r="J869" s="59"/>
      <c r="K869" s="59"/>
      <c r="L869" s="59"/>
      <c r="M869" s="60"/>
      <c r="N869" s="60"/>
      <c r="O869" s="60"/>
      <c r="P869" s="59"/>
      <c r="Q869" s="59"/>
      <c r="R869" s="60"/>
      <c r="S869" s="60"/>
      <c r="T869" s="60"/>
      <c r="U869" s="60"/>
      <c r="V869" s="60"/>
      <c r="W869" s="60"/>
    </row>
    <row r="870" spans="1:23" ht="13" x14ac:dyDescent="0.3">
      <c r="A870" s="58"/>
      <c r="B870" s="58"/>
      <c r="C870" s="58"/>
      <c r="D870" s="58"/>
      <c r="E870" s="58"/>
      <c r="F870" s="58"/>
      <c r="G870" s="58"/>
      <c r="H870" s="59"/>
      <c r="I870" s="59"/>
      <c r="J870" s="59"/>
      <c r="K870" s="59"/>
      <c r="L870" s="59"/>
      <c r="M870" s="60"/>
      <c r="N870" s="60"/>
      <c r="O870" s="60"/>
      <c r="P870" s="59"/>
      <c r="Q870" s="59"/>
      <c r="R870" s="60"/>
      <c r="S870" s="60"/>
      <c r="T870" s="60"/>
      <c r="U870" s="60"/>
      <c r="V870" s="60"/>
      <c r="W870" s="60"/>
    </row>
    <row r="871" spans="1:23" ht="13" x14ac:dyDescent="0.3">
      <c r="A871" s="58"/>
      <c r="B871" s="58"/>
      <c r="C871" s="58"/>
      <c r="D871" s="58"/>
      <c r="E871" s="58"/>
      <c r="F871" s="58"/>
      <c r="G871" s="58"/>
      <c r="H871" s="59"/>
      <c r="I871" s="59"/>
      <c r="J871" s="59"/>
      <c r="K871" s="59"/>
      <c r="L871" s="59"/>
      <c r="M871" s="60"/>
      <c r="N871" s="60"/>
      <c r="O871" s="60"/>
      <c r="P871" s="59"/>
      <c r="Q871" s="59"/>
      <c r="R871" s="60"/>
      <c r="S871" s="60"/>
      <c r="T871" s="60"/>
      <c r="U871" s="60"/>
      <c r="V871" s="60"/>
      <c r="W871" s="60"/>
    </row>
    <row r="872" spans="1:23" ht="13" x14ac:dyDescent="0.3">
      <c r="A872" s="58"/>
      <c r="B872" s="58"/>
      <c r="C872" s="58"/>
      <c r="D872" s="58"/>
      <c r="E872" s="58"/>
      <c r="F872" s="58"/>
      <c r="G872" s="58"/>
      <c r="H872" s="59"/>
      <c r="I872" s="59"/>
      <c r="J872" s="59"/>
      <c r="K872" s="59"/>
      <c r="L872" s="59"/>
      <c r="M872" s="60"/>
      <c r="N872" s="60"/>
      <c r="O872" s="60"/>
      <c r="P872" s="59"/>
      <c r="Q872" s="59"/>
      <c r="R872" s="60"/>
      <c r="S872" s="60"/>
      <c r="T872" s="60"/>
      <c r="U872" s="60"/>
      <c r="V872" s="60"/>
      <c r="W872" s="60"/>
    </row>
    <row r="873" spans="1:23" ht="13" x14ac:dyDescent="0.3">
      <c r="A873" s="58"/>
      <c r="B873" s="58"/>
      <c r="C873" s="58"/>
      <c r="D873" s="58"/>
      <c r="E873" s="58"/>
      <c r="F873" s="58"/>
      <c r="G873" s="58"/>
      <c r="H873" s="59"/>
      <c r="I873" s="59"/>
      <c r="J873" s="59"/>
      <c r="K873" s="59"/>
      <c r="L873" s="59"/>
      <c r="M873" s="60"/>
      <c r="N873" s="60"/>
      <c r="O873" s="60"/>
      <c r="P873" s="59"/>
      <c r="Q873" s="59"/>
      <c r="R873" s="60"/>
      <c r="S873" s="60"/>
      <c r="T873" s="60"/>
      <c r="U873" s="60"/>
      <c r="V873" s="60"/>
      <c r="W873" s="60"/>
    </row>
    <row r="874" spans="1:23" ht="13" x14ac:dyDescent="0.3">
      <c r="A874" s="58"/>
      <c r="B874" s="58"/>
      <c r="C874" s="58"/>
      <c r="D874" s="58"/>
      <c r="E874" s="58"/>
      <c r="F874" s="58"/>
      <c r="G874" s="58"/>
      <c r="H874" s="59"/>
      <c r="I874" s="59"/>
      <c r="J874" s="59"/>
      <c r="K874" s="59"/>
      <c r="L874" s="59"/>
      <c r="M874" s="60"/>
      <c r="N874" s="60"/>
      <c r="O874" s="60"/>
      <c r="P874" s="59"/>
      <c r="Q874" s="59"/>
      <c r="R874" s="60"/>
      <c r="S874" s="60"/>
      <c r="T874" s="60"/>
      <c r="U874" s="60"/>
      <c r="V874" s="60"/>
      <c r="W874" s="60"/>
    </row>
    <row r="875" spans="1:23" ht="13" x14ac:dyDescent="0.3">
      <c r="A875" s="58"/>
      <c r="B875" s="58"/>
      <c r="C875" s="58"/>
      <c r="D875" s="58"/>
      <c r="E875" s="58"/>
      <c r="F875" s="58"/>
      <c r="G875" s="58"/>
      <c r="H875" s="59"/>
      <c r="I875" s="59"/>
      <c r="J875" s="59"/>
      <c r="K875" s="59"/>
      <c r="L875" s="59"/>
      <c r="M875" s="60"/>
      <c r="N875" s="60"/>
      <c r="O875" s="60"/>
      <c r="P875" s="59"/>
      <c r="Q875" s="59"/>
      <c r="R875" s="60"/>
      <c r="S875" s="60"/>
      <c r="T875" s="60"/>
      <c r="U875" s="60"/>
      <c r="V875" s="60"/>
      <c r="W875" s="60"/>
    </row>
    <row r="876" spans="1:23" ht="13" x14ac:dyDescent="0.3">
      <c r="A876" s="58"/>
      <c r="B876" s="58"/>
      <c r="C876" s="58"/>
      <c r="D876" s="58"/>
      <c r="E876" s="58"/>
      <c r="F876" s="58"/>
      <c r="G876" s="58"/>
      <c r="H876" s="59"/>
      <c r="I876" s="59"/>
      <c r="J876" s="59"/>
      <c r="K876" s="59"/>
      <c r="L876" s="59"/>
      <c r="M876" s="60"/>
      <c r="N876" s="60"/>
      <c r="O876" s="60"/>
      <c r="P876" s="59"/>
      <c r="Q876" s="59"/>
      <c r="R876" s="60"/>
      <c r="S876" s="60"/>
      <c r="T876" s="60"/>
      <c r="U876" s="60"/>
      <c r="V876" s="60"/>
      <c r="W876" s="60"/>
    </row>
    <row r="877" spans="1:23" ht="13" x14ac:dyDescent="0.3">
      <c r="A877" s="58"/>
      <c r="B877" s="58"/>
      <c r="C877" s="58"/>
      <c r="D877" s="58"/>
      <c r="E877" s="58"/>
      <c r="F877" s="58"/>
      <c r="G877" s="58"/>
      <c r="H877" s="59"/>
      <c r="I877" s="59"/>
      <c r="J877" s="59"/>
      <c r="K877" s="59"/>
      <c r="L877" s="59"/>
      <c r="M877" s="60"/>
      <c r="N877" s="60"/>
      <c r="O877" s="60"/>
      <c r="P877" s="59"/>
      <c r="Q877" s="59"/>
      <c r="R877" s="60"/>
      <c r="S877" s="60"/>
      <c r="T877" s="60"/>
      <c r="U877" s="60"/>
      <c r="V877" s="60"/>
      <c r="W877" s="60"/>
    </row>
    <row r="878" spans="1:23" ht="13" x14ac:dyDescent="0.3">
      <c r="A878" s="58"/>
      <c r="B878" s="58"/>
      <c r="C878" s="58"/>
      <c r="D878" s="58"/>
      <c r="E878" s="58"/>
      <c r="F878" s="58"/>
      <c r="G878" s="58"/>
      <c r="H878" s="59"/>
      <c r="I878" s="59"/>
      <c r="J878" s="59"/>
      <c r="K878" s="59"/>
      <c r="L878" s="59"/>
      <c r="M878" s="60"/>
      <c r="N878" s="60"/>
      <c r="O878" s="60"/>
      <c r="P878" s="59"/>
      <c r="Q878" s="59"/>
      <c r="R878" s="60"/>
      <c r="S878" s="60"/>
      <c r="T878" s="60"/>
      <c r="U878" s="60"/>
      <c r="V878" s="60"/>
      <c r="W878" s="60"/>
    </row>
    <row r="879" spans="1:23" ht="13" x14ac:dyDescent="0.3">
      <c r="A879" s="58"/>
      <c r="B879" s="58"/>
      <c r="C879" s="58"/>
      <c r="D879" s="58"/>
      <c r="E879" s="58"/>
      <c r="F879" s="58"/>
      <c r="G879" s="58"/>
      <c r="H879" s="59"/>
      <c r="I879" s="59"/>
      <c r="J879" s="59"/>
      <c r="K879" s="59"/>
      <c r="L879" s="59"/>
      <c r="M879" s="60"/>
      <c r="N879" s="60"/>
      <c r="O879" s="60"/>
      <c r="P879" s="59"/>
      <c r="Q879" s="59"/>
      <c r="R879" s="60"/>
      <c r="S879" s="60"/>
      <c r="T879" s="60"/>
      <c r="U879" s="60"/>
      <c r="V879" s="60"/>
      <c r="W879" s="60"/>
    </row>
    <row r="880" spans="1:23" ht="13" x14ac:dyDescent="0.3">
      <c r="A880" s="58"/>
      <c r="B880" s="58"/>
      <c r="C880" s="58"/>
      <c r="D880" s="58"/>
      <c r="E880" s="58"/>
      <c r="F880" s="58"/>
      <c r="G880" s="58"/>
      <c r="H880" s="59"/>
      <c r="I880" s="59"/>
      <c r="J880" s="59"/>
      <c r="K880" s="59"/>
      <c r="L880" s="59"/>
      <c r="M880" s="60"/>
      <c r="N880" s="60"/>
      <c r="O880" s="60"/>
      <c r="P880" s="59"/>
      <c r="Q880" s="59"/>
      <c r="R880" s="60"/>
      <c r="S880" s="60"/>
      <c r="T880" s="60"/>
      <c r="U880" s="60"/>
      <c r="V880" s="60"/>
      <c r="W880" s="60"/>
    </row>
    <row r="881" spans="1:23" ht="13" x14ac:dyDescent="0.3">
      <c r="A881" s="58"/>
      <c r="B881" s="58"/>
      <c r="C881" s="58"/>
      <c r="D881" s="58"/>
      <c r="E881" s="58"/>
      <c r="F881" s="58"/>
      <c r="G881" s="58"/>
      <c r="H881" s="59"/>
      <c r="I881" s="59"/>
      <c r="J881" s="59"/>
      <c r="K881" s="59"/>
      <c r="L881" s="59"/>
      <c r="M881" s="60"/>
      <c r="N881" s="60"/>
      <c r="O881" s="60"/>
      <c r="P881" s="59"/>
      <c r="Q881" s="59"/>
      <c r="R881" s="60"/>
      <c r="S881" s="60"/>
      <c r="T881" s="60"/>
      <c r="U881" s="60"/>
      <c r="V881" s="60"/>
      <c r="W881" s="60"/>
    </row>
    <row r="882" spans="1:23" ht="13" x14ac:dyDescent="0.3">
      <c r="A882" s="58"/>
      <c r="B882" s="58"/>
      <c r="C882" s="58"/>
      <c r="D882" s="58"/>
      <c r="E882" s="58"/>
      <c r="F882" s="58"/>
      <c r="G882" s="58"/>
      <c r="H882" s="59"/>
      <c r="I882" s="59"/>
      <c r="J882" s="59"/>
      <c r="K882" s="59"/>
      <c r="L882" s="59"/>
      <c r="M882" s="60"/>
      <c r="N882" s="60"/>
      <c r="O882" s="60"/>
      <c r="P882" s="59"/>
      <c r="Q882" s="59"/>
      <c r="R882" s="60"/>
      <c r="S882" s="60"/>
      <c r="T882" s="60"/>
      <c r="U882" s="60"/>
      <c r="V882" s="60"/>
      <c r="W882" s="60"/>
    </row>
    <row r="883" spans="1:23" ht="13" x14ac:dyDescent="0.3">
      <c r="A883" s="58"/>
      <c r="B883" s="58"/>
      <c r="C883" s="58"/>
      <c r="D883" s="58"/>
      <c r="E883" s="58"/>
      <c r="F883" s="58"/>
      <c r="G883" s="58"/>
      <c r="H883" s="59"/>
      <c r="I883" s="59"/>
      <c r="J883" s="59"/>
      <c r="K883" s="59"/>
      <c r="L883" s="59"/>
      <c r="M883" s="60"/>
      <c r="N883" s="60"/>
      <c r="O883" s="60"/>
      <c r="P883" s="59"/>
      <c r="Q883" s="59"/>
      <c r="R883" s="60"/>
      <c r="S883" s="60"/>
      <c r="T883" s="60"/>
      <c r="U883" s="60"/>
      <c r="V883" s="60"/>
      <c r="W883" s="60"/>
    </row>
    <row r="884" spans="1:23" ht="13" x14ac:dyDescent="0.3">
      <c r="A884" s="58"/>
      <c r="B884" s="58"/>
      <c r="C884" s="58"/>
      <c r="D884" s="58"/>
      <c r="E884" s="58"/>
      <c r="F884" s="58"/>
      <c r="G884" s="58"/>
      <c r="H884" s="59"/>
      <c r="I884" s="59"/>
      <c r="J884" s="59"/>
      <c r="K884" s="59"/>
      <c r="L884" s="59"/>
      <c r="M884" s="60"/>
      <c r="N884" s="60"/>
      <c r="O884" s="60"/>
      <c r="P884" s="59"/>
      <c r="Q884" s="59"/>
      <c r="R884" s="60"/>
      <c r="S884" s="60"/>
      <c r="T884" s="60"/>
      <c r="U884" s="60"/>
      <c r="V884" s="60"/>
      <c r="W884" s="60"/>
    </row>
    <row r="885" spans="1:23" ht="13" x14ac:dyDescent="0.3">
      <c r="A885" s="58"/>
      <c r="B885" s="58"/>
      <c r="C885" s="58"/>
      <c r="D885" s="58"/>
      <c r="E885" s="58"/>
      <c r="F885" s="58"/>
      <c r="G885" s="58"/>
      <c r="H885" s="59"/>
      <c r="I885" s="59"/>
      <c r="J885" s="59"/>
      <c r="K885" s="59"/>
      <c r="L885" s="59"/>
      <c r="M885" s="60"/>
      <c r="N885" s="60"/>
      <c r="O885" s="60"/>
      <c r="P885" s="59"/>
      <c r="Q885" s="59"/>
      <c r="R885" s="60"/>
      <c r="S885" s="60"/>
      <c r="T885" s="60"/>
      <c r="U885" s="60"/>
      <c r="V885" s="60"/>
      <c r="W885" s="60"/>
    </row>
    <row r="886" spans="1:23" ht="13" x14ac:dyDescent="0.3">
      <c r="A886" s="58"/>
      <c r="B886" s="58"/>
      <c r="C886" s="58"/>
      <c r="D886" s="58"/>
      <c r="E886" s="58"/>
      <c r="F886" s="58"/>
      <c r="G886" s="58"/>
      <c r="H886" s="59"/>
      <c r="I886" s="59"/>
      <c r="J886" s="59"/>
      <c r="K886" s="59"/>
      <c r="L886" s="59"/>
      <c r="M886" s="60"/>
      <c r="N886" s="60"/>
      <c r="O886" s="60"/>
      <c r="P886" s="59"/>
      <c r="Q886" s="59"/>
      <c r="R886" s="60"/>
      <c r="S886" s="60"/>
      <c r="T886" s="60"/>
      <c r="U886" s="60"/>
      <c r="V886" s="60"/>
      <c r="W886" s="60"/>
    </row>
    <row r="887" spans="1:23" ht="13" x14ac:dyDescent="0.3">
      <c r="A887" s="58"/>
      <c r="B887" s="58"/>
      <c r="C887" s="58"/>
      <c r="D887" s="58"/>
      <c r="E887" s="58"/>
      <c r="F887" s="58"/>
      <c r="G887" s="58"/>
      <c r="H887" s="59"/>
      <c r="I887" s="59"/>
      <c r="J887" s="59"/>
      <c r="K887" s="59"/>
      <c r="L887" s="59"/>
      <c r="M887" s="60"/>
      <c r="N887" s="60"/>
      <c r="O887" s="60"/>
      <c r="P887" s="59"/>
      <c r="Q887" s="59"/>
      <c r="R887" s="60"/>
      <c r="S887" s="60"/>
      <c r="T887" s="60"/>
      <c r="U887" s="60"/>
      <c r="V887" s="60"/>
      <c r="W887" s="60"/>
    </row>
    <row r="888" spans="1:23" ht="13" x14ac:dyDescent="0.3">
      <c r="A888" s="58"/>
      <c r="B888" s="58"/>
      <c r="C888" s="58"/>
      <c r="D888" s="58"/>
      <c r="E888" s="58"/>
      <c r="F888" s="58"/>
      <c r="G888" s="58"/>
      <c r="H888" s="59"/>
      <c r="I888" s="59"/>
      <c r="J888" s="59"/>
      <c r="K888" s="59"/>
      <c r="L888" s="59"/>
      <c r="M888" s="60"/>
      <c r="N888" s="60"/>
      <c r="O888" s="60"/>
      <c r="P888" s="59"/>
      <c r="Q888" s="59"/>
      <c r="R888" s="60"/>
      <c r="S888" s="60"/>
      <c r="T888" s="60"/>
      <c r="U888" s="60"/>
      <c r="V888" s="60"/>
      <c r="W888" s="60"/>
    </row>
    <row r="889" spans="1:23" ht="13" x14ac:dyDescent="0.3">
      <c r="A889" s="58"/>
      <c r="B889" s="58"/>
      <c r="C889" s="58"/>
      <c r="D889" s="58"/>
      <c r="E889" s="58"/>
      <c r="F889" s="58"/>
      <c r="G889" s="58"/>
      <c r="H889" s="59"/>
      <c r="I889" s="59"/>
      <c r="J889" s="59"/>
      <c r="K889" s="59"/>
      <c r="L889" s="59"/>
      <c r="M889" s="60"/>
      <c r="N889" s="60"/>
      <c r="O889" s="60"/>
      <c r="P889" s="59"/>
      <c r="Q889" s="59"/>
      <c r="R889" s="60"/>
      <c r="S889" s="60"/>
      <c r="T889" s="60"/>
      <c r="U889" s="60"/>
      <c r="V889" s="60"/>
      <c r="W889" s="60"/>
    </row>
    <row r="890" spans="1:23" ht="13" x14ac:dyDescent="0.3">
      <c r="A890" s="58"/>
      <c r="B890" s="58"/>
      <c r="C890" s="58"/>
      <c r="D890" s="58"/>
      <c r="E890" s="58"/>
      <c r="F890" s="58"/>
      <c r="G890" s="58"/>
      <c r="H890" s="59"/>
      <c r="I890" s="59"/>
      <c r="J890" s="59"/>
      <c r="K890" s="59"/>
      <c r="L890" s="59"/>
      <c r="M890" s="60"/>
      <c r="N890" s="60"/>
      <c r="O890" s="60"/>
      <c r="P890" s="59"/>
      <c r="Q890" s="59"/>
      <c r="R890" s="60"/>
      <c r="S890" s="60"/>
      <c r="T890" s="60"/>
      <c r="U890" s="60"/>
      <c r="V890" s="60"/>
      <c r="W890" s="60"/>
    </row>
    <row r="891" spans="1:23" ht="13" x14ac:dyDescent="0.3">
      <c r="A891" s="58"/>
      <c r="B891" s="58"/>
      <c r="C891" s="58"/>
      <c r="D891" s="58"/>
      <c r="E891" s="58"/>
      <c r="F891" s="58"/>
      <c r="G891" s="58"/>
      <c r="H891" s="59"/>
      <c r="I891" s="59"/>
      <c r="J891" s="59"/>
      <c r="K891" s="59"/>
      <c r="L891" s="59"/>
      <c r="M891" s="60"/>
      <c r="N891" s="60"/>
      <c r="O891" s="60"/>
      <c r="P891" s="59"/>
      <c r="Q891" s="59"/>
      <c r="R891" s="60"/>
      <c r="S891" s="60"/>
      <c r="T891" s="60"/>
      <c r="U891" s="60"/>
      <c r="V891" s="60"/>
      <c r="W891" s="60"/>
    </row>
    <row r="892" spans="1:23" ht="13" x14ac:dyDescent="0.3">
      <c r="A892" s="58"/>
      <c r="B892" s="58"/>
      <c r="C892" s="58"/>
      <c r="D892" s="58"/>
      <c r="E892" s="58"/>
      <c r="F892" s="58"/>
      <c r="G892" s="58"/>
      <c r="H892" s="59"/>
      <c r="I892" s="59"/>
      <c r="J892" s="59"/>
      <c r="K892" s="59"/>
      <c r="L892" s="59"/>
      <c r="M892" s="60"/>
      <c r="N892" s="60"/>
      <c r="O892" s="60"/>
      <c r="P892" s="59"/>
      <c r="Q892" s="59"/>
      <c r="R892" s="60"/>
      <c r="S892" s="60"/>
      <c r="T892" s="60"/>
      <c r="U892" s="60"/>
      <c r="V892" s="60"/>
      <c r="W892" s="60"/>
    </row>
    <row r="893" spans="1:23" ht="13" x14ac:dyDescent="0.3">
      <c r="A893" s="58"/>
      <c r="B893" s="58"/>
      <c r="C893" s="58"/>
      <c r="D893" s="58"/>
      <c r="E893" s="58"/>
      <c r="F893" s="58"/>
      <c r="G893" s="58"/>
      <c r="H893" s="59"/>
      <c r="I893" s="59"/>
      <c r="J893" s="59"/>
      <c r="K893" s="59"/>
      <c r="L893" s="59"/>
      <c r="M893" s="60"/>
      <c r="N893" s="60"/>
      <c r="O893" s="60"/>
      <c r="P893" s="59"/>
      <c r="Q893" s="59"/>
      <c r="R893" s="60"/>
      <c r="S893" s="60"/>
      <c r="T893" s="60"/>
      <c r="U893" s="60"/>
      <c r="V893" s="60"/>
      <c r="W893" s="60"/>
    </row>
    <row r="894" spans="1:23" ht="13" x14ac:dyDescent="0.3">
      <c r="A894" s="58"/>
      <c r="B894" s="58"/>
      <c r="C894" s="58"/>
      <c r="D894" s="58"/>
      <c r="E894" s="58"/>
      <c r="F894" s="58"/>
      <c r="G894" s="58"/>
      <c r="H894" s="59"/>
      <c r="I894" s="59"/>
      <c r="J894" s="59"/>
      <c r="K894" s="59"/>
      <c r="L894" s="59"/>
      <c r="M894" s="60"/>
      <c r="N894" s="60"/>
      <c r="O894" s="60"/>
      <c r="P894" s="59"/>
      <c r="Q894" s="59"/>
      <c r="R894" s="60"/>
      <c r="S894" s="60"/>
      <c r="T894" s="60"/>
      <c r="U894" s="60"/>
      <c r="V894" s="60"/>
      <c r="W894" s="60"/>
    </row>
    <row r="895" spans="1:23" ht="13" x14ac:dyDescent="0.3">
      <c r="A895" s="58"/>
      <c r="B895" s="58"/>
      <c r="C895" s="58"/>
      <c r="D895" s="58"/>
      <c r="E895" s="58"/>
      <c r="F895" s="58"/>
      <c r="G895" s="58"/>
      <c r="H895" s="59"/>
      <c r="I895" s="59"/>
      <c r="J895" s="59"/>
      <c r="K895" s="59"/>
      <c r="L895" s="59"/>
      <c r="M895" s="60"/>
      <c r="N895" s="60"/>
      <c r="O895" s="60"/>
      <c r="P895" s="59"/>
      <c r="Q895" s="59"/>
      <c r="R895" s="60"/>
      <c r="S895" s="60"/>
      <c r="T895" s="60"/>
      <c r="U895" s="60"/>
      <c r="V895" s="60"/>
      <c r="W895" s="60"/>
    </row>
    <row r="896" spans="1:23" ht="13" x14ac:dyDescent="0.3">
      <c r="A896" s="58"/>
      <c r="B896" s="58"/>
      <c r="C896" s="58"/>
      <c r="D896" s="58"/>
      <c r="E896" s="58"/>
      <c r="F896" s="58"/>
      <c r="G896" s="58"/>
      <c r="H896" s="59"/>
      <c r="I896" s="59"/>
      <c r="J896" s="59"/>
      <c r="K896" s="59"/>
      <c r="L896" s="59"/>
      <c r="M896" s="60"/>
      <c r="N896" s="60"/>
      <c r="O896" s="60"/>
      <c r="P896" s="59"/>
      <c r="Q896" s="59"/>
      <c r="R896" s="60"/>
      <c r="S896" s="60"/>
      <c r="T896" s="60"/>
      <c r="U896" s="60"/>
      <c r="V896" s="60"/>
      <c r="W896" s="60"/>
    </row>
    <row r="897" spans="1:23" ht="13" x14ac:dyDescent="0.3">
      <c r="A897" s="58"/>
      <c r="B897" s="58"/>
      <c r="C897" s="58"/>
      <c r="D897" s="58"/>
      <c r="E897" s="58"/>
      <c r="F897" s="58"/>
      <c r="G897" s="58"/>
      <c r="H897" s="59"/>
      <c r="I897" s="59"/>
      <c r="J897" s="59"/>
      <c r="K897" s="59"/>
      <c r="L897" s="59"/>
      <c r="M897" s="60"/>
      <c r="N897" s="60"/>
      <c r="O897" s="60"/>
      <c r="P897" s="59"/>
      <c r="Q897" s="59"/>
      <c r="R897" s="60"/>
      <c r="S897" s="60"/>
      <c r="T897" s="60"/>
      <c r="U897" s="60"/>
      <c r="V897" s="60"/>
      <c r="W897" s="60"/>
    </row>
    <row r="898" spans="1:23" ht="13" x14ac:dyDescent="0.3">
      <c r="A898" s="58"/>
      <c r="B898" s="58"/>
      <c r="C898" s="58"/>
      <c r="D898" s="58"/>
      <c r="E898" s="58"/>
      <c r="F898" s="58"/>
      <c r="G898" s="58"/>
      <c r="H898" s="59"/>
      <c r="I898" s="59"/>
      <c r="J898" s="59"/>
      <c r="K898" s="59"/>
      <c r="L898" s="59"/>
      <c r="M898" s="60"/>
      <c r="N898" s="60"/>
      <c r="O898" s="60"/>
      <c r="P898" s="59"/>
      <c r="Q898" s="59"/>
      <c r="R898" s="60"/>
      <c r="S898" s="60"/>
      <c r="T898" s="60"/>
      <c r="U898" s="60"/>
      <c r="V898" s="60"/>
      <c r="W898" s="60"/>
    </row>
    <row r="899" spans="1:23" ht="13" x14ac:dyDescent="0.3">
      <c r="A899" s="58"/>
      <c r="B899" s="58"/>
      <c r="C899" s="58"/>
      <c r="D899" s="58"/>
      <c r="E899" s="58"/>
      <c r="F899" s="58"/>
      <c r="G899" s="58"/>
      <c r="H899" s="59"/>
      <c r="I899" s="59"/>
      <c r="J899" s="59"/>
      <c r="K899" s="59"/>
      <c r="L899" s="59"/>
      <c r="M899" s="60"/>
      <c r="N899" s="60"/>
      <c r="O899" s="60"/>
      <c r="P899" s="59"/>
      <c r="Q899" s="59"/>
      <c r="R899" s="60"/>
      <c r="S899" s="60"/>
      <c r="T899" s="60"/>
      <c r="U899" s="60"/>
      <c r="V899" s="60"/>
      <c r="W899" s="60"/>
    </row>
    <row r="900" spans="1:23" ht="13" x14ac:dyDescent="0.3">
      <c r="A900" s="58"/>
      <c r="B900" s="58"/>
      <c r="C900" s="58"/>
      <c r="D900" s="58"/>
      <c r="E900" s="58"/>
      <c r="F900" s="58"/>
      <c r="G900" s="58"/>
      <c r="H900" s="59"/>
      <c r="I900" s="59"/>
      <c r="J900" s="59"/>
      <c r="K900" s="59"/>
      <c r="L900" s="59"/>
      <c r="M900" s="60"/>
      <c r="N900" s="60"/>
      <c r="O900" s="60"/>
      <c r="P900" s="59"/>
      <c r="Q900" s="59"/>
      <c r="R900" s="60"/>
      <c r="S900" s="60"/>
      <c r="T900" s="60"/>
      <c r="U900" s="60"/>
      <c r="V900" s="60"/>
      <c r="W900" s="60"/>
    </row>
    <row r="901" spans="1:23" ht="13" x14ac:dyDescent="0.3">
      <c r="A901" s="58"/>
      <c r="B901" s="58"/>
      <c r="C901" s="58"/>
      <c r="D901" s="58"/>
      <c r="E901" s="58"/>
      <c r="F901" s="58"/>
      <c r="G901" s="58"/>
      <c r="H901" s="59"/>
      <c r="I901" s="59"/>
      <c r="J901" s="59"/>
      <c r="K901" s="59"/>
      <c r="L901" s="59"/>
      <c r="M901" s="60"/>
      <c r="N901" s="60"/>
      <c r="O901" s="60"/>
      <c r="P901" s="59"/>
      <c r="Q901" s="59"/>
      <c r="R901" s="60"/>
      <c r="S901" s="60"/>
      <c r="T901" s="60"/>
      <c r="U901" s="60"/>
      <c r="V901" s="60"/>
      <c r="W901" s="60"/>
    </row>
    <row r="902" spans="1:23" ht="13" x14ac:dyDescent="0.3">
      <c r="A902" s="58"/>
      <c r="B902" s="58"/>
      <c r="C902" s="58"/>
      <c r="D902" s="58"/>
      <c r="E902" s="58"/>
      <c r="F902" s="58"/>
      <c r="G902" s="58"/>
      <c r="H902" s="59"/>
      <c r="I902" s="59"/>
      <c r="J902" s="59"/>
      <c r="K902" s="59"/>
      <c r="L902" s="59"/>
      <c r="M902" s="60"/>
      <c r="N902" s="60"/>
      <c r="O902" s="60"/>
      <c r="P902" s="59"/>
      <c r="Q902" s="59"/>
      <c r="R902" s="60"/>
      <c r="S902" s="60"/>
      <c r="T902" s="60"/>
      <c r="U902" s="60"/>
      <c r="V902" s="60"/>
      <c r="W902" s="60"/>
    </row>
    <row r="903" spans="1:23" ht="13" x14ac:dyDescent="0.3">
      <c r="A903" s="58"/>
      <c r="B903" s="58"/>
      <c r="C903" s="58"/>
      <c r="D903" s="58"/>
      <c r="E903" s="58"/>
      <c r="F903" s="58"/>
      <c r="G903" s="58"/>
      <c r="H903" s="59"/>
      <c r="I903" s="59"/>
      <c r="J903" s="59"/>
      <c r="K903" s="59"/>
      <c r="L903" s="59"/>
      <c r="M903" s="60"/>
      <c r="N903" s="60"/>
      <c r="O903" s="60"/>
      <c r="P903" s="59"/>
      <c r="Q903" s="59"/>
      <c r="R903" s="60"/>
      <c r="S903" s="60"/>
      <c r="T903" s="60"/>
      <c r="U903" s="60"/>
      <c r="V903" s="60"/>
      <c r="W903" s="60"/>
    </row>
    <row r="904" spans="1:23" ht="13" x14ac:dyDescent="0.3">
      <c r="A904" s="58"/>
      <c r="B904" s="58"/>
      <c r="C904" s="58"/>
      <c r="D904" s="58"/>
      <c r="E904" s="58"/>
      <c r="F904" s="58"/>
      <c r="G904" s="58"/>
      <c r="H904" s="59"/>
      <c r="I904" s="59"/>
      <c r="J904" s="59"/>
      <c r="K904" s="59"/>
      <c r="L904" s="59"/>
      <c r="M904" s="60"/>
      <c r="N904" s="60"/>
      <c r="O904" s="60"/>
      <c r="P904" s="59"/>
      <c r="Q904" s="59"/>
      <c r="R904" s="60"/>
      <c r="S904" s="60"/>
      <c r="T904" s="60"/>
      <c r="U904" s="60"/>
      <c r="V904" s="60"/>
      <c r="W904" s="60"/>
    </row>
    <row r="905" spans="1:23" ht="13" x14ac:dyDescent="0.3">
      <c r="A905" s="58"/>
      <c r="B905" s="58"/>
      <c r="C905" s="58"/>
      <c r="D905" s="58"/>
      <c r="E905" s="58"/>
      <c r="F905" s="58"/>
      <c r="G905" s="58"/>
      <c r="H905" s="59"/>
      <c r="I905" s="59"/>
      <c r="J905" s="59"/>
      <c r="K905" s="59"/>
      <c r="L905" s="59"/>
      <c r="M905" s="60"/>
      <c r="N905" s="60"/>
      <c r="O905" s="60"/>
      <c r="P905" s="59"/>
      <c r="Q905" s="59"/>
      <c r="R905" s="60"/>
      <c r="S905" s="60"/>
      <c r="T905" s="60"/>
      <c r="U905" s="60"/>
      <c r="V905" s="60"/>
      <c r="W905" s="60"/>
    </row>
    <row r="906" spans="1:23" ht="13" x14ac:dyDescent="0.3">
      <c r="A906" s="58"/>
      <c r="B906" s="58"/>
      <c r="C906" s="58"/>
      <c r="D906" s="58"/>
      <c r="E906" s="58"/>
      <c r="F906" s="58"/>
      <c r="G906" s="58"/>
      <c r="H906" s="59"/>
      <c r="I906" s="59"/>
      <c r="J906" s="59"/>
      <c r="K906" s="59"/>
      <c r="L906" s="59"/>
      <c r="M906" s="60"/>
      <c r="N906" s="60"/>
      <c r="O906" s="60"/>
      <c r="P906" s="59"/>
      <c r="Q906" s="59"/>
      <c r="R906" s="60"/>
      <c r="S906" s="60"/>
      <c r="T906" s="60"/>
      <c r="U906" s="60"/>
      <c r="V906" s="60"/>
      <c r="W906" s="60"/>
    </row>
    <row r="907" spans="1:23" ht="13" x14ac:dyDescent="0.3">
      <c r="A907" s="58"/>
      <c r="B907" s="58"/>
      <c r="C907" s="58"/>
      <c r="D907" s="58"/>
      <c r="E907" s="58"/>
      <c r="F907" s="58"/>
      <c r="G907" s="58"/>
      <c r="H907" s="59"/>
      <c r="I907" s="59"/>
      <c r="J907" s="59"/>
      <c r="K907" s="59"/>
      <c r="L907" s="59"/>
      <c r="M907" s="60"/>
      <c r="N907" s="60"/>
      <c r="O907" s="60"/>
      <c r="P907" s="59"/>
      <c r="Q907" s="59"/>
      <c r="R907" s="60"/>
      <c r="S907" s="60"/>
      <c r="T907" s="60"/>
      <c r="U907" s="60"/>
      <c r="V907" s="60"/>
      <c r="W907" s="60"/>
    </row>
    <row r="908" spans="1:23" ht="13" x14ac:dyDescent="0.3">
      <c r="A908" s="58"/>
      <c r="B908" s="58"/>
      <c r="C908" s="58"/>
      <c r="D908" s="58"/>
      <c r="E908" s="58"/>
      <c r="F908" s="58"/>
      <c r="G908" s="58"/>
      <c r="H908" s="59"/>
      <c r="I908" s="59"/>
      <c r="J908" s="59"/>
      <c r="K908" s="59"/>
      <c r="L908" s="59"/>
      <c r="M908" s="60"/>
      <c r="N908" s="60"/>
      <c r="O908" s="60"/>
      <c r="P908" s="59"/>
      <c r="Q908" s="59"/>
      <c r="R908" s="60"/>
      <c r="S908" s="60"/>
      <c r="T908" s="60"/>
      <c r="U908" s="60"/>
      <c r="V908" s="60"/>
      <c r="W908" s="60"/>
    </row>
    <row r="909" spans="1:23" ht="13" x14ac:dyDescent="0.3">
      <c r="A909" s="58"/>
      <c r="B909" s="58"/>
      <c r="C909" s="58"/>
      <c r="D909" s="58"/>
      <c r="E909" s="58"/>
      <c r="F909" s="58"/>
      <c r="G909" s="58"/>
      <c r="H909" s="59"/>
      <c r="I909" s="59"/>
      <c r="J909" s="59"/>
      <c r="K909" s="59"/>
      <c r="L909" s="59"/>
      <c r="M909" s="60"/>
      <c r="N909" s="60"/>
      <c r="O909" s="60"/>
      <c r="P909" s="59"/>
      <c r="Q909" s="59"/>
      <c r="R909" s="60"/>
      <c r="S909" s="60"/>
      <c r="T909" s="60"/>
      <c r="U909" s="60"/>
      <c r="V909" s="60"/>
      <c r="W909" s="60"/>
    </row>
    <row r="910" spans="1:23" ht="13" x14ac:dyDescent="0.3">
      <c r="A910" s="58"/>
      <c r="B910" s="58"/>
      <c r="C910" s="58"/>
      <c r="D910" s="58"/>
      <c r="E910" s="58"/>
      <c r="F910" s="58"/>
      <c r="G910" s="58"/>
      <c r="H910" s="59"/>
      <c r="I910" s="59"/>
      <c r="J910" s="59"/>
      <c r="K910" s="59"/>
      <c r="L910" s="59"/>
      <c r="M910" s="60"/>
      <c r="N910" s="60"/>
      <c r="O910" s="60"/>
      <c r="P910" s="59"/>
      <c r="Q910" s="59"/>
      <c r="R910" s="60"/>
      <c r="S910" s="60"/>
      <c r="T910" s="60"/>
      <c r="U910" s="60"/>
      <c r="V910" s="60"/>
      <c r="W910" s="60"/>
    </row>
    <row r="911" spans="1:23" ht="13" x14ac:dyDescent="0.3">
      <c r="A911" s="58"/>
      <c r="B911" s="58"/>
      <c r="C911" s="58"/>
      <c r="D911" s="58"/>
      <c r="E911" s="58"/>
      <c r="F911" s="58"/>
      <c r="G911" s="58"/>
      <c r="H911" s="59"/>
      <c r="I911" s="59"/>
      <c r="J911" s="59"/>
      <c r="K911" s="59"/>
      <c r="L911" s="59"/>
      <c r="M911" s="60"/>
      <c r="N911" s="60"/>
      <c r="O911" s="60"/>
      <c r="P911" s="59"/>
      <c r="Q911" s="59"/>
      <c r="R911" s="60"/>
      <c r="S911" s="60"/>
      <c r="T911" s="60"/>
      <c r="U911" s="60"/>
      <c r="V911" s="60"/>
      <c r="W911" s="60"/>
    </row>
    <row r="912" spans="1:23" ht="13" x14ac:dyDescent="0.3">
      <c r="A912" s="58"/>
      <c r="B912" s="58"/>
      <c r="C912" s="58"/>
      <c r="D912" s="58"/>
      <c r="E912" s="58"/>
      <c r="F912" s="58"/>
      <c r="G912" s="58"/>
      <c r="H912" s="59"/>
      <c r="I912" s="59"/>
      <c r="J912" s="59"/>
      <c r="K912" s="59"/>
      <c r="L912" s="59"/>
      <c r="M912" s="60"/>
      <c r="N912" s="60"/>
      <c r="O912" s="60"/>
      <c r="P912" s="59"/>
      <c r="Q912" s="59"/>
      <c r="R912" s="60"/>
      <c r="S912" s="60"/>
      <c r="T912" s="60"/>
      <c r="U912" s="60"/>
      <c r="V912" s="60"/>
      <c r="W912" s="60"/>
    </row>
    <row r="913" spans="1:23" ht="13" x14ac:dyDescent="0.3">
      <c r="A913" s="58"/>
      <c r="B913" s="58"/>
      <c r="C913" s="58"/>
      <c r="D913" s="58"/>
      <c r="E913" s="58"/>
      <c r="F913" s="58"/>
      <c r="G913" s="58"/>
      <c r="H913" s="59"/>
      <c r="I913" s="59"/>
      <c r="J913" s="59"/>
      <c r="K913" s="59"/>
      <c r="L913" s="59"/>
      <c r="M913" s="60"/>
      <c r="N913" s="60"/>
      <c r="O913" s="60"/>
      <c r="P913" s="59"/>
      <c r="Q913" s="59"/>
      <c r="R913" s="60"/>
      <c r="S913" s="60"/>
      <c r="T913" s="60"/>
      <c r="U913" s="60"/>
      <c r="V913" s="60"/>
      <c r="W913" s="60"/>
    </row>
    <row r="914" spans="1:23" ht="13" x14ac:dyDescent="0.3">
      <c r="A914" s="58"/>
      <c r="B914" s="58"/>
      <c r="C914" s="58"/>
      <c r="D914" s="58"/>
      <c r="E914" s="58"/>
      <c r="F914" s="58"/>
      <c r="G914" s="58"/>
      <c r="H914" s="59"/>
      <c r="I914" s="59"/>
      <c r="J914" s="59"/>
      <c r="K914" s="59"/>
      <c r="L914" s="59"/>
      <c r="M914" s="60"/>
      <c r="N914" s="60"/>
      <c r="O914" s="60"/>
      <c r="P914" s="59"/>
      <c r="Q914" s="59"/>
      <c r="R914" s="60"/>
      <c r="S914" s="60"/>
      <c r="T914" s="60"/>
      <c r="U914" s="60"/>
      <c r="V914" s="60"/>
      <c r="W914" s="60"/>
    </row>
    <row r="915" spans="1:23" ht="13" x14ac:dyDescent="0.3">
      <c r="A915" s="58"/>
      <c r="B915" s="58"/>
      <c r="C915" s="58"/>
      <c r="D915" s="58"/>
      <c r="E915" s="58"/>
      <c r="F915" s="58"/>
      <c r="G915" s="58"/>
      <c r="H915" s="59"/>
      <c r="I915" s="59"/>
      <c r="J915" s="59"/>
      <c r="K915" s="59"/>
      <c r="L915" s="59"/>
      <c r="M915" s="60"/>
      <c r="N915" s="60"/>
      <c r="O915" s="60"/>
      <c r="P915" s="59"/>
      <c r="Q915" s="59"/>
      <c r="R915" s="60"/>
      <c r="S915" s="60"/>
      <c r="T915" s="60"/>
      <c r="U915" s="60"/>
      <c r="V915" s="60"/>
      <c r="W915" s="60"/>
    </row>
    <row r="916" spans="1:23" ht="13" x14ac:dyDescent="0.3">
      <c r="A916" s="58"/>
      <c r="B916" s="58"/>
      <c r="C916" s="58"/>
      <c r="D916" s="58"/>
      <c r="E916" s="58"/>
      <c r="F916" s="58"/>
      <c r="G916" s="58"/>
      <c r="H916" s="59"/>
      <c r="I916" s="59"/>
      <c r="J916" s="59"/>
      <c r="K916" s="59"/>
      <c r="L916" s="59"/>
      <c r="M916" s="60"/>
      <c r="N916" s="60"/>
      <c r="O916" s="60"/>
      <c r="P916" s="59"/>
      <c r="Q916" s="59"/>
      <c r="R916" s="60"/>
      <c r="S916" s="60"/>
      <c r="T916" s="60"/>
      <c r="U916" s="60"/>
      <c r="V916" s="60"/>
      <c r="W916" s="60"/>
    </row>
    <row r="917" spans="1:23" ht="13" x14ac:dyDescent="0.3">
      <c r="A917" s="58"/>
      <c r="B917" s="58"/>
      <c r="C917" s="58"/>
      <c r="D917" s="58"/>
      <c r="E917" s="58"/>
      <c r="F917" s="58"/>
      <c r="G917" s="58"/>
      <c r="H917" s="59"/>
      <c r="I917" s="59"/>
      <c r="J917" s="59"/>
      <c r="K917" s="59"/>
      <c r="L917" s="59"/>
      <c r="M917" s="60"/>
      <c r="N917" s="60"/>
      <c r="O917" s="60"/>
      <c r="P917" s="59"/>
      <c r="Q917" s="59"/>
      <c r="R917" s="60"/>
      <c r="S917" s="60"/>
      <c r="T917" s="60"/>
      <c r="U917" s="60"/>
      <c r="V917" s="60"/>
      <c r="W917" s="60"/>
    </row>
    <row r="918" spans="1:23" ht="13" x14ac:dyDescent="0.3">
      <c r="A918" s="58"/>
      <c r="B918" s="58"/>
      <c r="C918" s="58"/>
      <c r="D918" s="58"/>
      <c r="E918" s="58"/>
      <c r="F918" s="58"/>
      <c r="G918" s="58"/>
      <c r="H918" s="59"/>
      <c r="I918" s="59"/>
      <c r="J918" s="59"/>
      <c r="K918" s="59"/>
      <c r="L918" s="59"/>
      <c r="M918" s="60"/>
      <c r="N918" s="60"/>
      <c r="O918" s="60"/>
      <c r="P918" s="59"/>
      <c r="Q918" s="59"/>
      <c r="R918" s="60"/>
      <c r="S918" s="60"/>
      <c r="T918" s="60"/>
      <c r="U918" s="60"/>
      <c r="V918" s="60"/>
      <c r="W918" s="60"/>
    </row>
    <row r="919" spans="1:23" ht="13" x14ac:dyDescent="0.3">
      <c r="A919" s="58"/>
      <c r="B919" s="58"/>
      <c r="C919" s="58"/>
      <c r="D919" s="58"/>
      <c r="E919" s="58"/>
      <c r="F919" s="58"/>
      <c r="G919" s="58"/>
      <c r="H919" s="59"/>
      <c r="I919" s="59"/>
      <c r="J919" s="59"/>
      <c r="K919" s="59"/>
      <c r="L919" s="59"/>
      <c r="M919" s="60"/>
      <c r="N919" s="60"/>
      <c r="O919" s="60"/>
      <c r="P919" s="59"/>
      <c r="Q919" s="59"/>
      <c r="R919" s="60"/>
      <c r="S919" s="60"/>
      <c r="T919" s="60"/>
      <c r="U919" s="60"/>
      <c r="V919" s="60"/>
      <c r="W919" s="60"/>
    </row>
    <row r="920" spans="1:23" ht="13" x14ac:dyDescent="0.3">
      <c r="A920" s="58"/>
      <c r="B920" s="58"/>
      <c r="C920" s="58"/>
      <c r="D920" s="58"/>
      <c r="E920" s="58"/>
      <c r="F920" s="58"/>
      <c r="G920" s="58"/>
      <c r="H920" s="59"/>
      <c r="I920" s="59"/>
      <c r="J920" s="59"/>
      <c r="K920" s="59"/>
      <c r="L920" s="59"/>
      <c r="M920" s="60"/>
      <c r="N920" s="60"/>
      <c r="O920" s="60"/>
      <c r="P920" s="59"/>
      <c r="Q920" s="59"/>
      <c r="R920" s="60"/>
      <c r="S920" s="60"/>
      <c r="T920" s="60"/>
      <c r="U920" s="60"/>
      <c r="V920" s="60"/>
      <c r="W920" s="60"/>
    </row>
    <row r="921" spans="1:23" ht="13" x14ac:dyDescent="0.3">
      <c r="A921" s="58"/>
      <c r="B921" s="58"/>
      <c r="C921" s="58"/>
      <c r="D921" s="58"/>
      <c r="E921" s="58"/>
      <c r="F921" s="58"/>
      <c r="G921" s="58"/>
      <c r="H921" s="59"/>
      <c r="I921" s="59"/>
      <c r="J921" s="59"/>
      <c r="K921" s="59"/>
      <c r="L921" s="59"/>
      <c r="M921" s="60"/>
      <c r="N921" s="60"/>
      <c r="O921" s="60"/>
      <c r="P921" s="59"/>
      <c r="Q921" s="59"/>
      <c r="R921" s="60"/>
      <c r="S921" s="60"/>
      <c r="T921" s="60"/>
      <c r="U921" s="60"/>
      <c r="V921" s="60"/>
      <c r="W921" s="60"/>
    </row>
    <row r="922" spans="1:23" ht="13" x14ac:dyDescent="0.3">
      <c r="A922" s="58"/>
      <c r="B922" s="58"/>
      <c r="C922" s="58"/>
      <c r="D922" s="58"/>
      <c r="E922" s="58"/>
      <c r="F922" s="58"/>
      <c r="G922" s="58"/>
      <c r="H922" s="59"/>
      <c r="I922" s="59"/>
      <c r="J922" s="59"/>
      <c r="K922" s="59"/>
      <c r="L922" s="59"/>
      <c r="M922" s="60"/>
      <c r="N922" s="60"/>
      <c r="O922" s="60"/>
      <c r="P922" s="59"/>
      <c r="Q922" s="59"/>
      <c r="R922" s="60"/>
      <c r="S922" s="60"/>
      <c r="T922" s="60"/>
      <c r="U922" s="60"/>
      <c r="V922" s="60"/>
      <c r="W922" s="60"/>
    </row>
    <row r="923" spans="1:23" ht="13" x14ac:dyDescent="0.3">
      <c r="A923" s="58"/>
      <c r="B923" s="58"/>
      <c r="C923" s="58"/>
      <c r="D923" s="58"/>
      <c r="E923" s="58"/>
      <c r="F923" s="58"/>
      <c r="G923" s="58"/>
      <c r="H923" s="59"/>
      <c r="I923" s="59"/>
      <c r="J923" s="59"/>
      <c r="K923" s="59"/>
      <c r="L923" s="59"/>
      <c r="M923" s="60"/>
      <c r="N923" s="60"/>
      <c r="O923" s="60"/>
      <c r="P923" s="59"/>
      <c r="Q923" s="59"/>
      <c r="R923" s="60"/>
      <c r="S923" s="60"/>
      <c r="T923" s="60"/>
      <c r="U923" s="60"/>
      <c r="V923" s="60"/>
      <c r="W923" s="60"/>
    </row>
    <row r="924" spans="1:23" ht="13" x14ac:dyDescent="0.3">
      <c r="A924" s="58"/>
      <c r="B924" s="58"/>
      <c r="C924" s="58"/>
      <c r="D924" s="58"/>
      <c r="E924" s="58"/>
      <c r="F924" s="58"/>
      <c r="G924" s="58"/>
      <c r="H924" s="59"/>
      <c r="I924" s="59"/>
      <c r="J924" s="59"/>
      <c r="K924" s="59"/>
      <c r="L924" s="59"/>
      <c r="M924" s="60"/>
      <c r="N924" s="60"/>
      <c r="O924" s="60"/>
      <c r="P924" s="59"/>
      <c r="Q924" s="59"/>
      <c r="R924" s="60"/>
      <c r="S924" s="60"/>
      <c r="T924" s="60"/>
      <c r="U924" s="60"/>
      <c r="V924" s="60"/>
      <c r="W924" s="60"/>
    </row>
    <row r="925" spans="1:23" ht="13" x14ac:dyDescent="0.3">
      <c r="A925" s="58"/>
      <c r="B925" s="58"/>
      <c r="C925" s="58"/>
      <c r="D925" s="58"/>
      <c r="E925" s="58"/>
      <c r="F925" s="58"/>
      <c r="G925" s="58"/>
      <c r="H925" s="59"/>
      <c r="I925" s="59"/>
      <c r="J925" s="59"/>
      <c r="K925" s="59"/>
      <c r="L925" s="59"/>
      <c r="M925" s="60"/>
      <c r="N925" s="60"/>
      <c r="O925" s="60"/>
      <c r="P925" s="59"/>
      <c r="Q925" s="59"/>
      <c r="R925" s="60"/>
      <c r="S925" s="60"/>
      <c r="T925" s="60"/>
      <c r="U925" s="60"/>
      <c r="V925" s="60"/>
      <c r="W925" s="60"/>
    </row>
    <row r="926" spans="1:23" ht="13" x14ac:dyDescent="0.3">
      <c r="A926" s="58"/>
      <c r="B926" s="58"/>
      <c r="C926" s="58"/>
      <c r="D926" s="58"/>
      <c r="E926" s="58"/>
      <c r="F926" s="58"/>
      <c r="G926" s="58"/>
      <c r="H926" s="59"/>
      <c r="I926" s="59"/>
      <c r="J926" s="59"/>
      <c r="K926" s="59"/>
      <c r="L926" s="59"/>
      <c r="M926" s="60"/>
      <c r="N926" s="60"/>
      <c r="O926" s="60"/>
      <c r="P926" s="59"/>
      <c r="Q926" s="59"/>
      <c r="R926" s="60"/>
      <c r="S926" s="60"/>
      <c r="T926" s="60"/>
      <c r="U926" s="60"/>
      <c r="V926" s="60"/>
      <c r="W926" s="60"/>
    </row>
    <row r="927" spans="1:23" ht="13" x14ac:dyDescent="0.3">
      <c r="A927" s="58"/>
      <c r="B927" s="58"/>
      <c r="C927" s="58"/>
      <c r="D927" s="58"/>
      <c r="E927" s="58"/>
      <c r="F927" s="58"/>
      <c r="G927" s="58"/>
      <c r="H927" s="59"/>
      <c r="I927" s="59"/>
      <c r="J927" s="59"/>
      <c r="K927" s="59"/>
      <c r="L927" s="59"/>
      <c r="M927" s="60"/>
      <c r="N927" s="60"/>
      <c r="O927" s="60"/>
      <c r="P927" s="59"/>
      <c r="Q927" s="59"/>
      <c r="R927" s="60"/>
      <c r="S927" s="60"/>
      <c r="T927" s="60"/>
      <c r="U927" s="60"/>
      <c r="V927" s="60"/>
      <c r="W927" s="60"/>
    </row>
    <row r="928" spans="1:23" ht="13" x14ac:dyDescent="0.3">
      <c r="A928" s="58"/>
      <c r="B928" s="58"/>
      <c r="C928" s="58"/>
      <c r="D928" s="58"/>
      <c r="E928" s="58"/>
      <c r="F928" s="58"/>
      <c r="G928" s="58"/>
      <c r="H928" s="59"/>
      <c r="I928" s="59"/>
      <c r="J928" s="59"/>
      <c r="K928" s="59"/>
      <c r="L928" s="59"/>
      <c r="M928" s="60"/>
      <c r="N928" s="60"/>
      <c r="O928" s="60"/>
      <c r="P928" s="59"/>
      <c r="Q928" s="59"/>
      <c r="R928" s="60"/>
      <c r="S928" s="60"/>
      <c r="T928" s="60"/>
      <c r="U928" s="60"/>
      <c r="V928" s="60"/>
      <c r="W928" s="60"/>
    </row>
    <row r="929" spans="1:23" ht="13" x14ac:dyDescent="0.3">
      <c r="A929" s="58"/>
      <c r="B929" s="58"/>
      <c r="C929" s="58"/>
      <c r="D929" s="58"/>
      <c r="E929" s="58"/>
      <c r="F929" s="58"/>
      <c r="G929" s="58"/>
      <c r="H929" s="59"/>
      <c r="I929" s="59"/>
      <c r="J929" s="59"/>
      <c r="K929" s="59"/>
      <c r="L929" s="59"/>
      <c r="M929" s="60"/>
      <c r="N929" s="60"/>
      <c r="O929" s="60"/>
      <c r="P929" s="59"/>
      <c r="Q929" s="59"/>
      <c r="R929" s="60"/>
      <c r="S929" s="60"/>
      <c r="T929" s="60"/>
      <c r="U929" s="60"/>
      <c r="V929" s="60"/>
      <c r="W929" s="60"/>
    </row>
    <row r="930" spans="1:23" ht="13" x14ac:dyDescent="0.3">
      <c r="A930" s="58"/>
      <c r="B930" s="58"/>
      <c r="C930" s="58"/>
      <c r="D930" s="58"/>
      <c r="E930" s="58"/>
      <c r="F930" s="58"/>
      <c r="G930" s="58"/>
      <c r="H930" s="59"/>
      <c r="I930" s="59"/>
      <c r="J930" s="59"/>
      <c r="K930" s="59"/>
      <c r="L930" s="59"/>
      <c r="M930" s="60"/>
      <c r="N930" s="60"/>
      <c r="O930" s="60"/>
      <c r="P930" s="59"/>
      <c r="Q930" s="59"/>
      <c r="R930" s="60"/>
      <c r="S930" s="60"/>
      <c r="T930" s="60"/>
      <c r="U930" s="60"/>
      <c r="V930" s="60"/>
      <c r="W930" s="60"/>
    </row>
    <row r="931" spans="1:23" ht="13" x14ac:dyDescent="0.3">
      <c r="A931" s="58"/>
      <c r="B931" s="58"/>
      <c r="C931" s="58"/>
      <c r="D931" s="58"/>
      <c r="E931" s="58"/>
      <c r="F931" s="58"/>
      <c r="G931" s="58"/>
      <c r="H931" s="59"/>
      <c r="I931" s="59"/>
      <c r="J931" s="59"/>
      <c r="K931" s="59"/>
      <c r="L931" s="59"/>
      <c r="M931" s="60"/>
      <c r="N931" s="60"/>
      <c r="O931" s="60"/>
      <c r="P931" s="59"/>
      <c r="Q931" s="59"/>
      <c r="R931" s="60"/>
      <c r="S931" s="60"/>
      <c r="T931" s="60"/>
      <c r="U931" s="60"/>
      <c r="V931" s="60"/>
      <c r="W931" s="60"/>
    </row>
    <row r="932" spans="1:23" ht="13" x14ac:dyDescent="0.3">
      <c r="A932" s="58"/>
      <c r="B932" s="58"/>
      <c r="C932" s="58"/>
      <c r="D932" s="58"/>
      <c r="E932" s="58"/>
      <c r="F932" s="58"/>
      <c r="G932" s="58"/>
      <c r="H932" s="59"/>
      <c r="I932" s="59"/>
      <c r="J932" s="59"/>
      <c r="K932" s="59"/>
      <c r="L932" s="59"/>
      <c r="M932" s="60"/>
      <c r="N932" s="60"/>
      <c r="O932" s="60"/>
      <c r="P932" s="59"/>
      <c r="Q932" s="59"/>
      <c r="R932" s="60"/>
      <c r="S932" s="60"/>
      <c r="T932" s="60"/>
      <c r="U932" s="60"/>
      <c r="V932" s="60"/>
      <c r="W932" s="60"/>
    </row>
    <row r="933" spans="1:23" ht="13" x14ac:dyDescent="0.3">
      <c r="A933" s="58"/>
      <c r="B933" s="58"/>
      <c r="C933" s="58"/>
      <c r="D933" s="58"/>
      <c r="E933" s="58"/>
      <c r="F933" s="58"/>
      <c r="G933" s="58"/>
      <c r="H933" s="59"/>
      <c r="I933" s="59"/>
      <c r="J933" s="59"/>
      <c r="K933" s="59"/>
      <c r="L933" s="59"/>
      <c r="M933" s="60"/>
      <c r="N933" s="60"/>
      <c r="O933" s="60"/>
      <c r="P933" s="59"/>
      <c r="Q933" s="59"/>
      <c r="R933" s="60"/>
      <c r="S933" s="60"/>
      <c r="T933" s="60"/>
      <c r="U933" s="60"/>
      <c r="V933" s="60"/>
      <c r="W933" s="60"/>
    </row>
    <row r="934" spans="1:23" ht="13" x14ac:dyDescent="0.3">
      <c r="A934" s="58"/>
      <c r="B934" s="58"/>
      <c r="C934" s="58"/>
      <c r="D934" s="58"/>
      <c r="E934" s="58"/>
      <c r="F934" s="58"/>
      <c r="G934" s="58"/>
      <c r="H934" s="59"/>
      <c r="I934" s="59"/>
      <c r="J934" s="59"/>
      <c r="K934" s="59"/>
      <c r="L934" s="59"/>
      <c r="M934" s="60"/>
      <c r="N934" s="60"/>
      <c r="O934" s="60"/>
      <c r="P934" s="59"/>
      <c r="Q934" s="59"/>
      <c r="R934" s="60"/>
      <c r="S934" s="60"/>
      <c r="T934" s="60"/>
      <c r="U934" s="60"/>
      <c r="V934" s="60"/>
      <c r="W934" s="60"/>
    </row>
    <row r="935" spans="1:23" ht="13" x14ac:dyDescent="0.3">
      <c r="A935" s="58"/>
      <c r="B935" s="58"/>
      <c r="C935" s="58"/>
      <c r="D935" s="58"/>
      <c r="E935" s="58"/>
      <c r="F935" s="58"/>
      <c r="G935" s="58"/>
      <c r="H935" s="59"/>
      <c r="I935" s="59"/>
      <c r="J935" s="59"/>
      <c r="K935" s="59"/>
      <c r="L935" s="59"/>
      <c r="M935" s="60"/>
      <c r="N935" s="60"/>
      <c r="O935" s="60"/>
      <c r="P935" s="59"/>
      <c r="Q935" s="59"/>
      <c r="R935" s="60"/>
      <c r="S935" s="60"/>
      <c r="T935" s="60"/>
      <c r="U935" s="60"/>
      <c r="V935" s="60"/>
      <c r="W935" s="60"/>
    </row>
    <row r="936" spans="1:23" ht="13" x14ac:dyDescent="0.3">
      <c r="A936" s="58"/>
      <c r="B936" s="58"/>
      <c r="C936" s="58"/>
      <c r="D936" s="58"/>
      <c r="E936" s="58"/>
      <c r="F936" s="58"/>
      <c r="G936" s="58"/>
      <c r="H936" s="59"/>
      <c r="I936" s="59"/>
      <c r="J936" s="59"/>
      <c r="K936" s="59"/>
      <c r="L936" s="59"/>
      <c r="M936" s="60"/>
      <c r="N936" s="60"/>
      <c r="O936" s="60"/>
      <c r="P936" s="59"/>
      <c r="Q936" s="59"/>
      <c r="R936" s="60"/>
      <c r="S936" s="60"/>
      <c r="T936" s="60"/>
      <c r="U936" s="60"/>
      <c r="V936" s="60"/>
      <c r="W936" s="60"/>
    </row>
    <row r="937" spans="1:23" ht="13" x14ac:dyDescent="0.3">
      <c r="A937" s="58"/>
      <c r="B937" s="58"/>
      <c r="C937" s="58"/>
      <c r="D937" s="58"/>
      <c r="E937" s="58"/>
      <c r="F937" s="58"/>
      <c r="G937" s="58"/>
      <c r="H937" s="59"/>
      <c r="I937" s="59"/>
      <c r="J937" s="59"/>
      <c r="K937" s="59"/>
      <c r="L937" s="59"/>
      <c r="M937" s="60"/>
      <c r="N937" s="60"/>
      <c r="O937" s="60"/>
      <c r="P937" s="59"/>
      <c r="Q937" s="59"/>
      <c r="R937" s="60"/>
      <c r="S937" s="60"/>
      <c r="T937" s="60"/>
      <c r="U937" s="60"/>
      <c r="V937" s="60"/>
      <c r="W937" s="60"/>
    </row>
    <row r="938" spans="1:23" ht="13" x14ac:dyDescent="0.3">
      <c r="A938" s="58"/>
      <c r="B938" s="58"/>
      <c r="C938" s="58"/>
      <c r="D938" s="58"/>
      <c r="E938" s="58"/>
      <c r="F938" s="58"/>
      <c r="G938" s="58"/>
      <c r="H938" s="59"/>
      <c r="I938" s="59"/>
      <c r="J938" s="59"/>
      <c r="K938" s="59"/>
      <c r="L938" s="59"/>
      <c r="M938" s="60"/>
      <c r="N938" s="60"/>
      <c r="O938" s="60"/>
      <c r="P938" s="59"/>
      <c r="Q938" s="59"/>
      <c r="R938" s="60"/>
      <c r="S938" s="60"/>
      <c r="T938" s="60"/>
      <c r="U938" s="60"/>
      <c r="V938" s="60"/>
      <c r="W938" s="60"/>
    </row>
    <row r="939" spans="1:23" ht="13" x14ac:dyDescent="0.3">
      <c r="A939" s="58"/>
      <c r="B939" s="58"/>
      <c r="C939" s="58"/>
      <c r="D939" s="58"/>
      <c r="E939" s="58"/>
      <c r="F939" s="58"/>
      <c r="G939" s="58"/>
      <c r="H939" s="59"/>
      <c r="I939" s="59"/>
      <c r="J939" s="59"/>
      <c r="K939" s="59"/>
      <c r="L939" s="59"/>
      <c r="M939" s="60"/>
      <c r="N939" s="60"/>
      <c r="O939" s="60"/>
      <c r="P939" s="59"/>
      <c r="Q939" s="59"/>
      <c r="R939" s="60"/>
      <c r="S939" s="60"/>
      <c r="T939" s="60"/>
      <c r="U939" s="60"/>
      <c r="V939" s="60"/>
      <c r="W939" s="60"/>
    </row>
    <row r="940" spans="1:23" ht="13" x14ac:dyDescent="0.3">
      <c r="A940" s="58"/>
      <c r="B940" s="58"/>
      <c r="C940" s="58"/>
      <c r="D940" s="58"/>
      <c r="E940" s="58"/>
      <c r="F940" s="58"/>
      <c r="G940" s="58"/>
      <c r="H940" s="59"/>
      <c r="I940" s="59"/>
      <c r="J940" s="59"/>
      <c r="K940" s="59"/>
      <c r="L940" s="59"/>
      <c r="M940" s="60"/>
      <c r="N940" s="60"/>
      <c r="O940" s="60"/>
      <c r="P940" s="59"/>
      <c r="Q940" s="59"/>
      <c r="R940" s="60"/>
      <c r="S940" s="60"/>
      <c r="T940" s="60"/>
      <c r="U940" s="60"/>
      <c r="V940" s="60"/>
      <c r="W940" s="60"/>
    </row>
    <row r="941" spans="1:23" ht="13" x14ac:dyDescent="0.3">
      <c r="A941" s="58"/>
      <c r="B941" s="58"/>
      <c r="C941" s="58"/>
      <c r="D941" s="58"/>
      <c r="E941" s="58"/>
      <c r="F941" s="58"/>
      <c r="G941" s="58"/>
      <c r="H941" s="59"/>
      <c r="I941" s="59"/>
      <c r="J941" s="59"/>
      <c r="K941" s="59"/>
      <c r="L941" s="59"/>
      <c r="M941" s="60"/>
      <c r="N941" s="60"/>
      <c r="O941" s="60"/>
      <c r="P941" s="59"/>
      <c r="Q941" s="59"/>
      <c r="R941" s="60"/>
      <c r="S941" s="60"/>
      <c r="T941" s="60"/>
      <c r="U941" s="60"/>
      <c r="V941" s="60"/>
      <c r="W941" s="60"/>
    </row>
    <row r="942" spans="1:23" ht="13" x14ac:dyDescent="0.3">
      <c r="A942" s="58"/>
      <c r="B942" s="58"/>
      <c r="C942" s="58"/>
      <c r="D942" s="58"/>
      <c r="E942" s="58"/>
      <c r="F942" s="58"/>
      <c r="G942" s="58"/>
      <c r="H942" s="59"/>
      <c r="I942" s="59"/>
      <c r="J942" s="59"/>
      <c r="K942" s="59"/>
      <c r="L942" s="59"/>
      <c r="M942" s="60"/>
      <c r="N942" s="60"/>
      <c r="O942" s="60"/>
      <c r="P942" s="59"/>
      <c r="Q942" s="59"/>
      <c r="R942" s="60"/>
      <c r="S942" s="60"/>
      <c r="T942" s="60"/>
      <c r="U942" s="60"/>
      <c r="V942" s="60"/>
      <c r="W942" s="60"/>
    </row>
    <row r="943" spans="1:23" ht="13" x14ac:dyDescent="0.3">
      <c r="A943" s="58"/>
      <c r="B943" s="58"/>
      <c r="C943" s="58"/>
      <c r="D943" s="58"/>
      <c r="E943" s="58"/>
      <c r="F943" s="58"/>
      <c r="G943" s="58"/>
      <c r="H943" s="59"/>
      <c r="I943" s="59"/>
      <c r="J943" s="59"/>
      <c r="K943" s="59"/>
      <c r="L943" s="59"/>
      <c r="M943" s="60"/>
      <c r="N943" s="60"/>
      <c r="O943" s="60"/>
      <c r="P943" s="59"/>
      <c r="Q943" s="59"/>
      <c r="R943" s="60"/>
      <c r="S943" s="60"/>
      <c r="T943" s="60"/>
      <c r="U943" s="60"/>
      <c r="V943" s="60"/>
      <c r="W943" s="60"/>
    </row>
    <row r="944" spans="1:23" ht="13" x14ac:dyDescent="0.3">
      <c r="A944" s="58"/>
      <c r="B944" s="58"/>
      <c r="C944" s="58"/>
      <c r="D944" s="58"/>
      <c r="E944" s="58"/>
      <c r="F944" s="58"/>
      <c r="G944" s="58"/>
      <c r="H944" s="59"/>
      <c r="I944" s="59"/>
      <c r="J944" s="59"/>
      <c r="K944" s="59"/>
      <c r="L944" s="59"/>
      <c r="M944" s="60"/>
      <c r="N944" s="60"/>
      <c r="O944" s="60"/>
      <c r="P944" s="59"/>
      <c r="Q944" s="59"/>
      <c r="R944" s="60"/>
      <c r="S944" s="60"/>
      <c r="T944" s="60"/>
      <c r="U944" s="60"/>
      <c r="V944" s="60"/>
      <c r="W944" s="60"/>
    </row>
    <row r="945" spans="1:23" ht="13" x14ac:dyDescent="0.3">
      <c r="A945" s="58"/>
      <c r="B945" s="58"/>
      <c r="C945" s="58"/>
      <c r="D945" s="58"/>
      <c r="E945" s="58"/>
      <c r="F945" s="58"/>
      <c r="G945" s="58"/>
      <c r="H945" s="59"/>
      <c r="I945" s="59"/>
      <c r="J945" s="59"/>
      <c r="K945" s="59"/>
      <c r="L945" s="59"/>
      <c r="M945" s="60"/>
      <c r="N945" s="60"/>
      <c r="O945" s="60"/>
      <c r="P945" s="59"/>
      <c r="Q945" s="59"/>
      <c r="R945" s="60"/>
      <c r="S945" s="60"/>
      <c r="T945" s="60"/>
      <c r="U945" s="60"/>
      <c r="V945" s="60"/>
      <c r="W945" s="60"/>
    </row>
    <row r="946" spans="1:23" ht="13" x14ac:dyDescent="0.3">
      <c r="A946" s="58"/>
      <c r="B946" s="58"/>
      <c r="C946" s="58"/>
      <c r="D946" s="58"/>
      <c r="E946" s="58"/>
      <c r="F946" s="58"/>
      <c r="G946" s="58"/>
      <c r="H946" s="59"/>
      <c r="I946" s="59"/>
      <c r="J946" s="59"/>
      <c r="K946" s="59"/>
      <c r="L946" s="59"/>
      <c r="M946" s="60"/>
      <c r="N946" s="60"/>
      <c r="O946" s="60"/>
      <c r="P946" s="59"/>
      <c r="Q946" s="59"/>
      <c r="R946" s="60"/>
      <c r="S946" s="60"/>
      <c r="T946" s="60"/>
      <c r="U946" s="60"/>
      <c r="V946" s="60"/>
      <c r="W946" s="60"/>
    </row>
    <row r="947" spans="1:23" ht="13" x14ac:dyDescent="0.3">
      <c r="A947" s="58"/>
      <c r="B947" s="58"/>
      <c r="C947" s="58"/>
      <c r="D947" s="58"/>
      <c r="E947" s="58"/>
      <c r="F947" s="58"/>
      <c r="G947" s="58"/>
      <c r="H947" s="59"/>
      <c r="I947" s="59"/>
      <c r="J947" s="59"/>
      <c r="K947" s="59"/>
      <c r="L947" s="59"/>
      <c r="M947" s="60"/>
      <c r="N947" s="60"/>
      <c r="O947" s="60"/>
      <c r="P947" s="59"/>
      <c r="Q947" s="59"/>
      <c r="R947" s="60"/>
      <c r="S947" s="60"/>
      <c r="T947" s="60"/>
      <c r="U947" s="60"/>
      <c r="V947" s="60"/>
      <c r="W947" s="60"/>
    </row>
    <row r="948" spans="1:23" ht="13" x14ac:dyDescent="0.3">
      <c r="A948" s="58"/>
      <c r="B948" s="58"/>
      <c r="C948" s="58"/>
      <c r="D948" s="58"/>
      <c r="E948" s="58"/>
      <c r="F948" s="58"/>
      <c r="G948" s="58"/>
      <c r="H948" s="59"/>
      <c r="I948" s="59"/>
      <c r="J948" s="59"/>
      <c r="K948" s="59"/>
      <c r="L948" s="59"/>
      <c r="M948" s="60"/>
      <c r="N948" s="60"/>
      <c r="O948" s="60"/>
      <c r="P948" s="59"/>
      <c r="Q948" s="59"/>
      <c r="R948" s="60"/>
      <c r="S948" s="60"/>
      <c r="T948" s="60"/>
      <c r="U948" s="60"/>
      <c r="V948" s="60"/>
      <c r="W948" s="60"/>
    </row>
    <row r="949" spans="1:23" ht="13" x14ac:dyDescent="0.3">
      <c r="A949" s="58"/>
      <c r="B949" s="58"/>
      <c r="C949" s="58"/>
      <c r="D949" s="58"/>
      <c r="E949" s="58"/>
      <c r="F949" s="58"/>
      <c r="G949" s="58"/>
      <c r="H949" s="59"/>
      <c r="I949" s="59"/>
      <c r="J949" s="59"/>
      <c r="K949" s="59"/>
      <c r="L949" s="59"/>
      <c r="M949" s="60"/>
      <c r="N949" s="60"/>
      <c r="O949" s="60"/>
      <c r="P949" s="59"/>
      <c r="Q949" s="59"/>
      <c r="R949" s="60"/>
      <c r="S949" s="60"/>
      <c r="T949" s="60"/>
      <c r="U949" s="60"/>
      <c r="V949" s="60"/>
      <c r="W949" s="60"/>
    </row>
    <row r="950" spans="1:23" ht="13" x14ac:dyDescent="0.3">
      <c r="A950" s="58"/>
      <c r="B950" s="58"/>
      <c r="C950" s="58"/>
      <c r="D950" s="58"/>
      <c r="E950" s="58"/>
      <c r="F950" s="58"/>
      <c r="G950" s="58"/>
      <c r="H950" s="59"/>
      <c r="I950" s="59"/>
      <c r="J950" s="59"/>
      <c r="K950" s="59"/>
      <c r="L950" s="59"/>
      <c r="M950" s="60"/>
      <c r="N950" s="60"/>
      <c r="O950" s="60"/>
      <c r="P950" s="59"/>
      <c r="Q950" s="59"/>
      <c r="R950" s="60"/>
      <c r="S950" s="60"/>
      <c r="T950" s="60"/>
      <c r="U950" s="60"/>
      <c r="V950" s="60"/>
      <c r="W950" s="60"/>
    </row>
    <row r="951" spans="1:23" ht="13" x14ac:dyDescent="0.3">
      <c r="A951" s="58"/>
      <c r="B951" s="58"/>
      <c r="C951" s="58"/>
      <c r="D951" s="58"/>
      <c r="E951" s="58"/>
      <c r="F951" s="58"/>
      <c r="G951" s="58"/>
      <c r="H951" s="59"/>
      <c r="I951" s="59"/>
      <c r="J951" s="59"/>
      <c r="K951" s="59"/>
      <c r="L951" s="59"/>
      <c r="M951" s="60"/>
      <c r="N951" s="60"/>
      <c r="O951" s="60"/>
      <c r="P951" s="59"/>
      <c r="Q951" s="59"/>
      <c r="R951" s="60"/>
      <c r="S951" s="60"/>
      <c r="T951" s="60"/>
      <c r="U951" s="60"/>
      <c r="V951" s="60"/>
      <c r="W951" s="60"/>
    </row>
    <row r="952" spans="1:23" ht="13" x14ac:dyDescent="0.3">
      <c r="A952" s="58"/>
      <c r="B952" s="58"/>
      <c r="C952" s="58"/>
      <c r="D952" s="58"/>
      <c r="E952" s="58"/>
      <c r="F952" s="58"/>
      <c r="G952" s="58"/>
      <c r="H952" s="59"/>
      <c r="I952" s="59"/>
      <c r="J952" s="59"/>
      <c r="K952" s="59"/>
      <c r="L952" s="59"/>
      <c r="M952" s="60"/>
      <c r="N952" s="60"/>
      <c r="O952" s="60"/>
      <c r="P952" s="59"/>
      <c r="Q952" s="59"/>
      <c r="R952" s="60"/>
      <c r="S952" s="60"/>
      <c r="T952" s="60"/>
      <c r="U952" s="60"/>
      <c r="V952" s="60"/>
      <c r="W952" s="60"/>
    </row>
    <row r="953" spans="1:23" ht="13" x14ac:dyDescent="0.3">
      <c r="A953" s="58"/>
      <c r="B953" s="58"/>
      <c r="C953" s="58"/>
      <c r="D953" s="58"/>
      <c r="E953" s="58"/>
      <c r="F953" s="58"/>
      <c r="G953" s="58"/>
      <c r="H953" s="59"/>
      <c r="I953" s="59"/>
      <c r="J953" s="59"/>
      <c r="K953" s="59"/>
      <c r="L953" s="59"/>
      <c r="M953" s="60"/>
      <c r="N953" s="60"/>
      <c r="O953" s="60"/>
      <c r="P953" s="59"/>
      <c r="Q953" s="59"/>
      <c r="R953" s="60"/>
      <c r="S953" s="60"/>
      <c r="T953" s="60"/>
      <c r="U953" s="60"/>
      <c r="V953" s="60"/>
      <c r="W953" s="60"/>
    </row>
    <row r="954" spans="1:23" ht="13" x14ac:dyDescent="0.3">
      <c r="A954" s="58"/>
      <c r="B954" s="58"/>
      <c r="C954" s="58"/>
      <c r="D954" s="58"/>
      <c r="E954" s="58"/>
      <c r="F954" s="58"/>
      <c r="G954" s="58"/>
      <c r="H954" s="59"/>
      <c r="I954" s="59"/>
      <c r="J954" s="59"/>
      <c r="K954" s="59"/>
      <c r="L954" s="59"/>
      <c r="M954" s="60"/>
      <c r="N954" s="60"/>
      <c r="O954" s="60"/>
      <c r="P954" s="59"/>
      <c r="Q954" s="59"/>
      <c r="R954" s="60"/>
      <c r="S954" s="60"/>
      <c r="T954" s="60"/>
      <c r="U954" s="60"/>
      <c r="V954" s="60"/>
      <c r="W954" s="60"/>
    </row>
    <row r="955" spans="1:23" ht="13" x14ac:dyDescent="0.3">
      <c r="A955" s="58"/>
      <c r="B955" s="58"/>
      <c r="C955" s="58"/>
      <c r="D955" s="58"/>
      <c r="E955" s="58"/>
      <c r="F955" s="58"/>
      <c r="G955" s="58"/>
      <c r="H955" s="59"/>
      <c r="I955" s="59"/>
      <c r="J955" s="59"/>
      <c r="K955" s="59"/>
      <c r="L955" s="59"/>
      <c r="M955" s="60"/>
      <c r="N955" s="60"/>
      <c r="O955" s="60"/>
      <c r="P955" s="59"/>
      <c r="Q955" s="59"/>
      <c r="R955" s="60"/>
      <c r="S955" s="60"/>
      <c r="T955" s="60"/>
      <c r="U955" s="60"/>
      <c r="V955" s="60"/>
      <c r="W955" s="60"/>
    </row>
    <row r="956" spans="1:23" ht="13" x14ac:dyDescent="0.3">
      <c r="A956" s="58"/>
      <c r="B956" s="58"/>
      <c r="C956" s="58"/>
      <c r="D956" s="58"/>
      <c r="E956" s="58"/>
      <c r="F956" s="58"/>
      <c r="G956" s="58"/>
      <c r="H956" s="59"/>
      <c r="I956" s="59"/>
      <c r="J956" s="59"/>
      <c r="K956" s="59"/>
      <c r="L956" s="59"/>
      <c r="M956" s="60"/>
      <c r="N956" s="60"/>
      <c r="O956" s="60"/>
      <c r="P956" s="59"/>
      <c r="Q956" s="59"/>
      <c r="R956" s="60"/>
      <c r="S956" s="60"/>
      <c r="T956" s="60"/>
      <c r="U956" s="60"/>
      <c r="V956" s="60"/>
      <c r="W956" s="60"/>
    </row>
    <row r="957" spans="1:23" ht="13" x14ac:dyDescent="0.3">
      <c r="A957" s="58"/>
      <c r="B957" s="58"/>
      <c r="C957" s="58"/>
      <c r="D957" s="58"/>
      <c r="E957" s="58"/>
      <c r="F957" s="58"/>
      <c r="G957" s="58"/>
      <c r="H957" s="59"/>
      <c r="I957" s="59"/>
      <c r="J957" s="59"/>
      <c r="K957" s="59"/>
      <c r="L957" s="59"/>
      <c r="M957" s="60"/>
      <c r="N957" s="60"/>
      <c r="O957" s="60"/>
      <c r="P957" s="59"/>
      <c r="Q957" s="59"/>
      <c r="R957" s="60"/>
      <c r="S957" s="60"/>
      <c r="T957" s="60"/>
      <c r="U957" s="60"/>
      <c r="V957" s="60"/>
      <c r="W957" s="60"/>
    </row>
    <row r="958" spans="1:23" ht="13" x14ac:dyDescent="0.3">
      <c r="A958" s="58"/>
      <c r="B958" s="58"/>
      <c r="C958" s="58"/>
      <c r="D958" s="58"/>
      <c r="E958" s="58"/>
      <c r="F958" s="58"/>
      <c r="G958" s="58"/>
      <c r="H958" s="59"/>
      <c r="I958" s="59"/>
      <c r="J958" s="59"/>
      <c r="K958" s="59"/>
      <c r="L958" s="59"/>
      <c r="M958" s="60"/>
      <c r="N958" s="60"/>
      <c r="O958" s="60"/>
      <c r="P958" s="59"/>
      <c r="Q958" s="59"/>
      <c r="R958" s="60"/>
      <c r="S958" s="60"/>
      <c r="T958" s="60"/>
      <c r="U958" s="60"/>
      <c r="V958" s="60"/>
      <c r="W958" s="60"/>
    </row>
    <row r="959" spans="1:23" ht="13" x14ac:dyDescent="0.3">
      <c r="A959" s="58"/>
      <c r="B959" s="58"/>
      <c r="C959" s="58"/>
      <c r="D959" s="58"/>
      <c r="E959" s="58"/>
      <c r="F959" s="58"/>
      <c r="G959" s="58"/>
      <c r="H959" s="59"/>
      <c r="I959" s="59"/>
      <c r="J959" s="59"/>
      <c r="K959" s="59"/>
      <c r="L959" s="59"/>
      <c r="M959" s="60"/>
      <c r="N959" s="60"/>
      <c r="O959" s="60"/>
      <c r="P959" s="59"/>
      <c r="Q959" s="59"/>
      <c r="R959" s="60"/>
      <c r="S959" s="60"/>
      <c r="T959" s="60"/>
      <c r="U959" s="60"/>
      <c r="V959" s="60"/>
      <c r="W959" s="60"/>
    </row>
    <row r="960" spans="1:23" ht="13" x14ac:dyDescent="0.3">
      <c r="A960" s="58"/>
      <c r="B960" s="58"/>
      <c r="C960" s="58"/>
      <c r="D960" s="58"/>
      <c r="E960" s="58"/>
      <c r="F960" s="58"/>
      <c r="G960" s="58"/>
      <c r="H960" s="59"/>
      <c r="I960" s="59"/>
      <c r="J960" s="59"/>
      <c r="K960" s="59"/>
      <c r="L960" s="59"/>
      <c r="M960" s="60"/>
      <c r="N960" s="60"/>
      <c r="O960" s="60"/>
      <c r="P960" s="59"/>
      <c r="Q960" s="59"/>
      <c r="R960" s="60"/>
      <c r="S960" s="60"/>
      <c r="T960" s="60"/>
      <c r="U960" s="60"/>
      <c r="V960" s="60"/>
      <c r="W960" s="60"/>
    </row>
    <row r="961" spans="1:23" ht="13" x14ac:dyDescent="0.3">
      <c r="A961" s="58"/>
      <c r="B961" s="58"/>
      <c r="C961" s="58"/>
      <c r="D961" s="58"/>
      <c r="E961" s="58"/>
      <c r="F961" s="58"/>
      <c r="G961" s="58"/>
      <c r="H961" s="59"/>
      <c r="I961" s="59"/>
      <c r="J961" s="59"/>
      <c r="K961" s="59"/>
      <c r="L961" s="59"/>
      <c r="M961" s="60"/>
      <c r="N961" s="60"/>
      <c r="O961" s="60"/>
      <c r="P961" s="59"/>
      <c r="Q961" s="59"/>
      <c r="R961" s="60"/>
      <c r="S961" s="60"/>
      <c r="T961" s="60"/>
      <c r="U961" s="60"/>
      <c r="V961" s="60"/>
      <c r="W961" s="60"/>
    </row>
    <row r="962" spans="1:23" ht="13" x14ac:dyDescent="0.3">
      <c r="A962" s="58"/>
      <c r="B962" s="58"/>
      <c r="C962" s="58"/>
      <c r="D962" s="58"/>
      <c r="E962" s="58"/>
      <c r="F962" s="58"/>
      <c r="G962" s="58"/>
      <c r="H962" s="59"/>
      <c r="I962" s="59"/>
      <c r="J962" s="59"/>
      <c r="K962" s="59"/>
      <c r="L962" s="59"/>
      <c r="M962" s="60"/>
      <c r="N962" s="60"/>
      <c r="O962" s="60"/>
      <c r="P962" s="59"/>
      <c r="Q962" s="59"/>
      <c r="R962" s="60"/>
      <c r="S962" s="60"/>
      <c r="T962" s="60"/>
      <c r="U962" s="60"/>
      <c r="V962" s="60"/>
      <c r="W962" s="60"/>
    </row>
    <row r="963" spans="1:23" ht="13" x14ac:dyDescent="0.3">
      <c r="A963" s="58"/>
      <c r="B963" s="58"/>
      <c r="C963" s="58"/>
      <c r="D963" s="58"/>
      <c r="E963" s="58"/>
      <c r="F963" s="58"/>
      <c r="G963" s="58"/>
      <c r="H963" s="59"/>
      <c r="I963" s="59"/>
      <c r="J963" s="59"/>
      <c r="K963" s="59"/>
      <c r="L963" s="59"/>
      <c r="M963" s="60"/>
      <c r="N963" s="60"/>
      <c r="O963" s="60"/>
      <c r="P963" s="59"/>
      <c r="Q963" s="59"/>
      <c r="R963" s="60"/>
      <c r="S963" s="60"/>
      <c r="T963" s="60"/>
      <c r="U963" s="60"/>
      <c r="V963" s="60"/>
      <c r="W963" s="60"/>
    </row>
    <row r="964" spans="1:23" ht="13" x14ac:dyDescent="0.3">
      <c r="A964" s="58"/>
      <c r="B964" s="58"/>
      <c r="C964" s="58"/>
      <c r="D964" s="58"/>
      <c r="E964" s="58"/>
      <c r="F964" s="58"/>
      <c r="G964" s="58"/>
      <c r="H964" s="59"/>
      <c r="I964" s="59"/>
      <c r="J964" s="59"/>
      <c r="K964" s="59"/>
      <c r="L964" s="59"/>
      <c r="M964" s="60"/>
      <c r="N964" s="60"/>
      <c r="O964" s="60"/>
      <c r="P964" s="59"/>
      <c r="Q964" s="59"/>
      <c r="R964" s="60"/>
      <c r="S964" s="60"/>
      <c r="T964" s="60"/>
      <c r="U964" s="60"/>
      <c r="V964" s="60"/>
      <c r="W964" s="60"/>
    </row>
    <row r="965" spans="1:23" ht="13" x14ac:dyDescent="0.3">
      <c r="A965" s="58"/>
      <c r="B965" s="58"/>
      <c r="C965" s="58"/>
      <c r="D965" s="58"/>
      <c r="E965" s="58"/>
      <c r="F965" s="58"/>
      <c r="G965" s="58"/>
      <c r="H965" s="59"/>
      <c r="I965" s="59"/>
      <c r="J965" s="59"/>
      <c r="K965" s="59"/>
      <c r="L965" s="59"/>
      <c r="M965" s="60"/>
      <c r="N965" s="60"/>
      <c r="O965" s="60"/>
      <c r="P965" s="59"/>
      <c r="Q965" s="59"/>
      <c r="R965" s="60"/>
      <c r="S965" s="60"/>
      <c r="T965" s="60"/>
      <c r="U965" s="60"/>
      <c r="V965" s="60"/>
      <c r="W965" s="60"/>
    </row>
    <row r="966" spans="1:23" ht="13" x14ac:dyDescent="0.3">
      <c r="A966" s="58"/>
      <c r="B966" s="58"/>
      <c r="C966" s="58"/>
      <c r="D966" s="58"/>
      <c r="E966" s="58"/>
      <c r="F966" s="58"/>
      <c r="G966" s="58"/>
      <c r="H966" s="59"/>
      <c r="I966" s="59"/>
      <c r="J966" s="59"/>
      <c r="K966" s="59"/>
      <c r="L966" s="59"/>
      <c r="M966" s="60"/>
      <c r="N966" s="60"/>
      <c r="O966" s="60"/>
      <c r="P966" s="59"/>
      <c r="Q966" s="59"/>
      <c r="R966" s="60"/>
      <c r="S966" s="60"/>
      <c r="T966" s="60"/>
      <c r="U966" s="60"/>
      <c r="V966" s="60"/>
      <c r="W966" s="60"/>
    </row>
    <row r="967" spans="1:23" ht="13" x14ac:dyDescent="0.3">
      <c r="A967" s="58"/>
      <c r="B967" s="58"/>
      <c r="C967" s="58"/>
      <c r="D967" s="58"/>
      <c r="E967" s="58"/>
      <c r="F967" s="58"/>
      <c r="G967" s="58"/>
      <c r="H967" s="59"/>
      <c r="I967" s="59"/>
      <c r="J967" s="59"/>
      <c r="K967" s="59"/>
      <c r="L967" s="59"/>
      <c r="M967" s="60"/>
      <c r="N967" s="60"/>
      <c r="O967" s="60"/>
      <c r="P967" s="59"/>
      <c r="Q967" s="59"/>
      <c r="R967" s="60"/>
      <c r="S967" s="60"/>
      <c r="T967" s="60"/>
      <c r="U967" s="60"/>
      <c r="V967" s="60"/>
      <c r="W967" s="60"/>
    </row>
    <row r="968" spans="1:23" ht="13" x14ac:dyDescent="0.3">
      <c r="A968" s="58"/>
      <c r="B968" s="58"/>
      <c r="C968" s="58"/>
      <c r="D968" s="58"/>
      <c r="E968" s="58"/>
      <c r="F968" s="58"/>
      <c r="G968" s="58"/>
      <c r="H968" s="59"/>
      <c r="I968" s="59"/>
      <c r="J968" s="59"/>
      <c r="K968" s="59"/>
      <c r="L968" s="59"/>
      <c r="M968" s="60"/>
      <c r="N968" s="60"/>
      <c r="O968" s="60"/>
      <c r="P968" s="59"/>
      <c r="Q968" s="59"/>
      <c r="R968" s="60"/>
      <c r="S968" s="60"/>
      <c r="T968" s="60"/>
      <c r="U968" s="60"/>
      <c r="V968" s="60"/>
      <c r="W968" s="60"/>
    </row>
    <row r="969" spans="1:23" ht="13" x14ac:dyDescent="0.3">
      <c r="A969" s="58"/>
      <c r="B969" s="58"/>
      <c r="C969" s="58"/>
      <c r="D969" s="58"/>
      <c r="E969" s="58"/>
      <c r="F969" s="58"/>
      <c r="G969" s="58"/>
      <c r="H969" s="59"/>
      <c r="I969" s="59"/>
      <c r="J969" s="59"/>
      <c r="K969" s="59"/>
      <c r="L969" s="59"/>
      <c r="M969" s="60"/>
      <c r="N969" s="60"/>
      <c r="O969" s="60"/>
      <c r="P969" s="59"/>
      <c r="Q969" s="59"/>
      <c r="R969" s="60"/>
      <c r="S969" s="60"/>
      <c r="T969" s="60"/>
      <c r="U969" s="60"/>
      <c r="V969" s="60"/>
      <c r="W969" s="60"/>
    </row>
    <row r="970" spans="1:23" ht="13" x14ac:dyDescent="0.3">
      <c r="A970" s="58"/>
      <c r="B970" s="58"/>
      <c r="C970" s="58"/>
      <c r="D970" s="58"/>
      <c r="E970" s="58"/>
      <c r="F970" s="58"/>
      <c r="G970" s="58"/>
      <c r="H970" s="59"/>
      <c r="I970" s="59"/>
      <c r="J970" s="59"/>
      <c r="K970" s="59"/>
      <c r="L970" s="59"/>
      <c r="M970" s="60"/>
      <c r="N970" s="60"/>
      <c r="O970" s="60"/>
      <c r="P970" s="59"/>
      <c r="Q970" s="59"/>
      <c r="R970" s="60"/>
      <c r="S970" s="60"/>
      <c r="T970" s="60"/>
      <c r="U970" s="60"/>
      <c r="V970" s="60"/>
      <c r="W970" s="60"/>
    </row>
    <row r="971" spans="1:23" ht="13" x14ac:dyDescent="0.3">
      <c r="A971" s="58"/>
      <c r="B971" s="58"/>
      <c r="C971" s="58"/>
      <c r="D971" s="58"/>
      <c r="E971" s="58"/>
      <c r="F971" s="58"/>
      <c r="G971" s="58"/>
      <c r="H971" s="59"/>
      <c r="I971" s="59"/>
      <c r="J971" s="59"/>
      <c r="K971" s="59"/>
      <c r="L971" s="59"/>
      <c r="M971" s="60"/>
      <c r="N971" s="60"/>
      <c r="O971" s="60"/>
      <c r="P971" s="59"/>
      <c r="Q971" s="59"/>
      <c r="R971" s="60"/>
      <c r="S971" s="60"/>
      <c r="T971" s="60"/>
      <c r="U971" s="60"/>
      <c r="V971" s="60"/>
      <c r="W971" s="60"/>
    </row>
    <row r="972" spans="1:23" ht="13" x14ac:dyDescent="0.3">
      <c r="A972" s="58"/>
      <c r="B972" s="58"/>
      <c r="C972" s="58"/>
      <c r="D972" s="58"/>
      <c r="E972" s="58"/>
      <c r="F972" s="58"/>
      <c r="G972" s="58"/>
      <c r="H972" s="59"/>
      <c r="I972" s="59"/>
      <c r="J972" s="59"/>
      <c r="K972" s="59"/>
      <c r="L972" s="59"/>
      <c r="M972" s="60"/>
      <c r="N972" s="60"/>
      <c r="O972" s="60"/>
      <c r="P972" s="59"/>
      <c r="Q972" s="59"/>
      <c r="R972" s="60"/>
      <c r="S972" s="60"/>
      <c r="T972" s="60"/>
      <c r="U972" s="60"/>
      <c r="V972" s="60"/>
      <c r="W972" s="60"/>
    </row>
    <row r="973" spans="1:23" ht="13" x14ac:dyDescent="0.3">
      <c r="A973" s="58"/>
      <c r="B973" s="58"/>
      <c r="C973" s="58"/>
      <c r="D973" s="58"/>
      <c r="E973" s="58"/>
      <c r="F973" s="58"/>
      <c r="G973" s="58"/>
      <c r="H973" s="59"/>
      <c r="I973" s="59"/>
      <c r="J973" s="59"/>
      <c r="K973" s="59"/>
      <c r="L973" s="59"/>
      <c r="M973" s="60"/>
      <c r="N973" s="60"/>
      <c r="O973" s="60"/>
      <c r="P973" s="59"/>
      <c r="Q973" s="59"/>
      <c r="R973" s="60"/>
      <c r="S973" s="60"/>
      <c r="T973" s="60"/>
      <c r="U973" s="60"/>
      <c r="V973" s="60"/>
      <c r="W973" s="60"/>
    </row>
    <row r="974" spans="1:23" ht="13" x14ac:dyDescent="0.3">
      <c r="A974" s="58"/>
      <c r="B974" s="58"/>
      <c r="C974" s="58"/>
      <c r="D974" s="58"/>
      <c r="E974" s="58"/>
      <c r="F974" s="58"/>
      <c r="G974" s="58"/>
      <c r="H974" s="59"/>
      <c r="I974" s="59"/>
      <c r="J974" s="59"/>
      <c r="K974" s="59"/>
      <c r="L974" s="59"/>
      <c r="M974" s="60"/>
      <c r="N974" s="60"/>
      <c r="O974" s="60"/>
      <c r="P974" s="59"/>
      <c r="Q974" s="59"/>
      <c r="R974" s="60"/>
      <c r="S974" s="60"/>
      <c r="T974" s="60"/>
      <c r="U974" s="60"/>
      <c r="V974" s="60"/>
      <c r="W974" s="60"/>
    </row>
    <row r="975" spans="1:23" ht="13" x14ac:dyDescent="0.3">
      <c r="A975" s="58"/>
      <c r="B975" s="58"/>
      <c r="C975" s="58"/>
      <c r="D975" s="58"/>
      <c r="E975" s="58"/>
      <c r="F975" s="58"/>
      <c r="G975" s="58"/>
      <c r="H975" s="59"/>
      <c r="I975" s="59"/>
      <c r="J975" s="59"/>
      <c r="K975" s="59"/>
      <c r="L975" s="59"/>
      <c r="M975" s="60"/>
      <c r="N975" s="60"/>
      <c r="O975" s="60"/>
      <c r="P975" s="59"/>
      <c r="Q975" s="59"/>
      <c r="R975" s="60"/>
      <c r="S975" s="60"/>
      <c r="T975" s="60"/>
      <c r="U975" s="60"/>
      <c r="V975" s="60"/>
      <c r="W975" s="60"/>
    </row>
    <row r="976" spans="1:23" ht="13" x14ac:dyDescent="0.3">
      <c r="A976" s="58"/>
      <c r="B976" s="58"/>
      <c r="C976" s="58"/>
      <c r="D976" s="58"/>
      <c r="E976" s="58"/>
      <c r="F976" s="58"/>
      <c r="G976" s="58"/>
      <c r="H976" s="59"/>
      <c r="I976" s="59"/>
      <c r="J976" s="59"/>
      <c r="K976" s="59"/>
      <c r="L976" s="59"/>
      <c r="M976" s="60"/>
      <c r="N976" s="60"/>
      <c r="O976" s="60"/>
      <c r="P976" s="59"/>
      <c r="Q976" s="59"/>
      <c r="R976" s="60"/>
      <c r="S976" s="60"/>
      <c r="T976" s="60"/>
      <c r="U976" s="60"/>
      <c r="V976" s="60"/>
      <c r="W976" s="60"/>
    </row>
    <row r="977" spans="1:23" ht="13" x14ac:dyDescent="0.3">
      <c r="A977" s="58"/>
      <c r="B977" s="58"/>
      <c r="C977" s="58"/>
      <c r="D977" s="58"/>
      <c r="E977" s="58"/>
      <c r="F977" s="58"/>
      <c r="G977" s="58"/>
      <c r="H977" s="59"/>
      <c r="I977" s="59"/>
      <c r="J977" s="59"/>
      <c r="K977" s="59"/>
      <c r="L977" s="59"/>
      <c r="M977" s="60"/>
      <c r="N977" s="60"/>
      <c r="O977" s="60"/>
      <c r="P977" s="59"/>
      <c r="Q977" s="59"/>
      <c r="R977" s="60"/>
      <c r="S977" s="60"/>
      <c r="T977" s="60"/>
      <c r="U977" s="60"/>
      <c r="V977" s="60"/>
      <c r="W977" s="60"/>
    </row>
    <row r="978" spans="1:23" ht="13" x14ac:dyDescent="0.3">
      <c r="A978" s="58"/>
      <c r="B978" s="58"/>
      <c r="C978" s="58"/>
      <c r="D978" s="58"/>
      <c r="E978" s="58"/>
      <c r="F978" s="58"/>
      <c r="G978" s="58"/>
      <c r="H978" s="59"/>
      <c r="I978" s="59"/>
      <c r="J978" s="59"/>
      <c r="K978" s="59"/>
      <c r="L978" s="59"/>
      <c r="M978" s="60"/>
      <c r="N978" s="60"/>
      <c r="O978" s="60"/>
      <c r="P978" s="59"/>
      <c r="Q978" s="59"/>
      <c r="R978" s="60"/>
      <c r="S978" s="60"/>
      <c r="T978" s="60"/>
      <c r="U978" s="60"/>
      <c r="V978" s="60"/>
      <c r="W978" s="60"/>
    </row>
    <row r="979" spans="1:23" ht="13" x14ac:dyDescent="0.3">
      <c r="A979" s="58"/>
      <c r="B979" s="58"/>
      <c r="C979" s="58"/>
      <c r="D979" s="58"/>
      <c r="E979" s="58"/>
      <c r="F979" s="58"/>
      <c r="G979" s="58"/>
      <c r="H979" s="59"/>
      <c r="I979" s="59"/>
      <c r="J979" s="59"/>
      <c r="K979" s="59"/>
      <c r="L979" s="59"/>
      <c r="M979" s="60"/>
      <c r="N979" s="60"/>
      <c r="O979" s="60"/>
      <c r="P979" s="59"/>
      <c r="Q979" s="59"/>
      <c r="R979" s="60"/>
      <c r="S979" s="60"/>
      <c r="T979" s="60"/>
      <c r="U979" s="60"/>
      <c r="V979" s="60"/>
      <c r="W979" s="60"/>
    </row>
    <row r="980" spans="1:23" ht="13" x14ac:dyDescent="0.3">
      <c r="A980" s="58"/>
      <c r="B980" s="58"/>
      <c r="C980" s="58"/>
      <c r="D980" s="58"/>
      <c r="E980" s="58"/>
      <c r="F980" s="58"/>
      <c r="G980" s="58"/>
      <c r="H980" s="59"/>
      <c r="I980" s="59"/>
      <c r="J980" s="59"/>
      <c r="K980" s="59"/>
      <c r="L980" s="59"/>
      <c r="M980" s="60"/>
      <c r="N980" s="60"/>
      <c r="O980" s="60"/>
      <c r="P980" s="59"/>
      <c r="Q980" s="59"/>
      <c r="R980" s="60"/>
      <c r="S980" s="60"/>
      <c r="T980" s="60"/>
      <c r="U980" s="60"/>
      <c r="V980" s="60"/>
      <c r="W980" s="60"/>
    </row>
    <row r="981" spans="1:23" ht="13" x14ac:dyDescent="0.3">
      <c r="A981" s="58"/>
      <c r="B981" s="58"/>
      <c r="C981" s="58"/>
      <c r="D981" s="58"/>
      <c r="E981" s="58"/>
      <c r="F981" s="58"/>
      <c r="G981" s="58"/>
      <c r="H981" s="59"/>
      <c r="I981" s="59"/>
      <c r="J981" s="59"/>
      <c r="K981" s="59"/>
      <c r="L981" s="59"/>
      <c r="M981" s="60"/>
      <c r="N981" s="60"/>
      <c r="O981" s="60"/>
      <c r="P981" s="59"/>
      <c r="Q981" s="59"/>
      <c r="R981" s="60"/>
      <c r="S981" s="60"/>
      <c r="T981" s="60"/>
      <c r="U981" s="60"/>
      <c r="V981" s="60"/>
      <c r="W981" s="60"/>
    </row>
    <row r="982" spans="1:23" ht="13" x14ac:dyDescent="0.3">
      <c r="A982" s="58"/>
      <c r="B982" s="58"/>
      <c r="C982" s="58"/>
      <c r="D982" s="58"/>
      <c r="E982" s="58"/>
      <c r="F982" s="58"/>
      <c r="G982" s="58"/>
      <c r="H982" s="59"/>
      <c r="I982" s="59"/>
      <c r="J982" s="59"/>
      <c r="K982" s="59"/>
      <c r="L982" s="59"/>
      <c r="M982" s="60"/>
      <c r="N982" s="60"/>
      <c r="O982" s="60"/>
      <c r="P982" s="59"/>
      <c r="Q982" s="59"/>
      <c r="R982" s="60"/>
      <c r="S982" s="60"/>
      <c r="T982" s="60"/>
      <c r="U982" s="60"/>
      <c r="V982" s="60"/>
      <c r="W982" s="60"/>
    </row>
    <row r="983" spans="1:23" ht="13" x14ac:dyDescent="0.3">
      <c r="A983" s="58"/>
      <c r="B983" s="58"/>
      <c r="C983" s="58"/>
      <c r="D983" s="58"/>
      <c r="E983" s="58"/>
      <c r="F983" s="58"/>
      <c r="G983" s="58"/>
      <c r="H983" s="59"/>
      <c r="I983" s="59"/>
      <c r="J983" s="59"/>
      <c r="K983" s="59"/>
      <c r="L983" s="59"/>
      <c r="M983" s="60"/>
      <c r="N983" s="60"/>
      <c r="O983" s="60"/>
      <c r="P983" s="59"/>
      <c r="Q983" s="59"/>
      <c r="R983" s="60"/>
      <c r="S983" s="60"/>
      <c r="T983" s="60"/>
      <c r="U983" s="60"/>
      <c r="V983" s="60"/>
      <c r="W983" s="60"/>
    </row>
    <row r="984" spans="1:23" ht="13" x14ac:dyDescent="0.3">
      <c r="A984" s="58"/>
      <c r="B984" s="58"/>
      <c r="C984" s="58"/>
      <c r="D984" s="58"/>
      <c r="E984" s="58"/>
      <c r="F984" s="58"/>
      <c r="G984" s="58"/>
      <c r="H984" s="59"/>
      <c r="I984" s="59"/>
      <c r="J984" s="59"/>
      <c r="K984" s="59"/>
      <c r="L984" s="59"/>
      <c r="M984" s="60"/>
      <c r="N984" s="60"/>
      <c r="O984" s="60"/>
      <c r="P984" s="59"/>
      <c r="Q984" s="59"/>
      <c r="R984" s="60"/>
      <c r="S984" s="60"/>
      <c r="T984" s="60"/>
      <c r="U984" s="60"/>
      <c r="V984" s="60"/>
      <c r="W984" s="60"/>
    </row>
    <row r="985" spans="1:23" ht="13" x14ac:dyDescent="0.3">
      <c r="A985" s="58"/>
      <c r="B985" s="58"/>
      <c r="C985" s="58"/>
      <c r="D985" s="58"/>
      <c r="E985" s="58"/>
      <c r="F985" s="58"/>
      <c r="G985" s="58"/>
      <c r="H985" s="59"/>
      <c r="I985" s="59"/>
      <c r="J985" s="59"/>
      <c r="K985" s="59"/>
      <c r="L985" s="59"/>
      <c r="M985" s="60"/>
      <c r="N985" s="60"/>
      <c r="O985" s="60"/>
      <c r="P985" s="59"/>
      <c r="Q985" s="59"/>
      <c r="R985" s="60"/>
      <c r="S985" s="60"/>
      <c r="T985" s="60"/>
      <c r="U985" s="60"/>
      <c r="V985" s="60"/>
      <c r="W985" s="60"/>
    </row>
    <row r="986" spans="1:23" ht="13" x14ac:dyDescent="0.3">
      <c r="A986" s="58"/>
      <c r="B986" s="58"/>
      <c r="C986" s="58"/>
      <c r="D986" s="58"/>
      <c r="E986" s="58"/>
      <c r="F986" s="58"/>
      <c r="G986" s="58"/>
      <c r="H986" s="59"/>
      <c r="I986" s="59"/>
      <c r="J986" s="59"/>
      <c r="K986" s="59"/>
      <c r="L986" s="59"/>
      <c r="M986" s="60"/>
      <c r="N986" s="60"/>
      <c r="O986" s="60"/>
      <c r="P986" s="59"/>
      <c r="Q986" s="59"/>
      <c r="R986" s="60"/>
      <c r="S986" s="60"/>
      <c r="T986" s="60"/>
      <c r="U986" s="60"/>
      <c r="V986" s="60"/>
      <c r="W986" s="60"/>
    </row>
    <row r="987" spans="1:23" ht="13" x14ac:dyDescent="0.3">
      <c r="A987" s="58"/>
      <c r="B987" s="58"/>
      <c r="C987" s="58"/>
      <c r="D987" s="58"/>
      <c r="E987" s="58"/>
      <c r="F987" s="58"/>
      <c r="G987" s="58"/>
      <c r="H987" s="59"/>
      <c r="I987" s="59"/>
      <c r="J987" s="59"/>
      <c r="K987" s="59"/>
      <c r="L987" s="59"/>
      <c r="M987" s="60"/>
      <c r="N987" s="60"/>
      <c r="O987" s="60"/>
      <c r="P987" s="59"/>
      <c r="Q987" s="59"/>
      <c r="R987" s="60"/>
      <c r="S987" s="60"/>
      <c r="T987" s="60"/>
      <c r="U987" s="60"/>
      <c r="V987" s="60"/>
      <c r="W987" s="60"/>
    </row>
    <row r="988" spans="1:23" ht="13" x14ac:dyDescent="0.3">
      <c r="A988" s="58"/>
      <c r="B988" s="58"/>
      <c r="C988" s="58"/>
      <c r="D988" s="58"/>
      <c r="E988" s="58"/>
      <c r="F988" s="58"/>
      <c r="G988" s="58"/>
      <c r="H988" s="59"/>
      <c r="I988" s="59"/>
      <c r="J988" s="59"/>
      <c r="K988" s="59"/>
      <c r="L988" s="59"/>
      <c r="M988" s="60"/>
      <c r="N988" s="60"/>
      <c r="O988" s="60"/>
      <c r="P988" s="59"/>
      <c r="Q988" s="59"/>
      <c r="R988" s="60"/>
      <c r="S988" s="60"/>
      <c r="T988" s="60"/>
      <c r="U988" s="60"/>
      <c r="V988" s="60"/>
      <c r="W988" s="60"/>
    </row>
    <row r="989" spans="1:23" ht="13" x14ac:dyDescent="0.3">
      <c r="A989" s="58"/>
      <c r="B989" s="58"/>
      <c r="C989" s="58"/>
      <c r="D989" s="58"/>
      <c r="E989" s="58"/>
      <c r="F989" s="58"/>
      <c r="G989" s="58"/>
      <c r="H989" s="59"/>
      <c r="I989" s="59"/>
      <c r="J989" s="59"/>
      <c r="K989" s="59"/>
      <c r="L989" s="59"/>
      <c r="M989" s="60"/>
      <c r="N989" s="60"/>
      <c r="O989" s="60"/>
      <c r="P989" s="59"/>
      <c r="Q989" s="59"/>
      <c r="R989" s="60"/>
      <c r="S989" s="60"/>
      <c r="T989" s="60"/>
      <c r="U989" s="60"/>
      <c r="V989" s="60"/>
      <c r="W989" s="60"/>
    </row>
    <row r="990" spans="1:23" ht="13" x14ac:dyDescent="0.3">
      <c r="A990" s="58"/>
      <c r="B990" s="58"/>
      <c r="C990" s="58"/>
      <c r="D990" s="58"/>
      <c r="E990" s="58"/>
      <c r="F990" s="58"/>
      <c r="G990" s="58"/>
      <c r="H990" s="59"/>
      <c r="I990" s="59"/>
      <c r="J990" s="59"/>
      <c r="K990" s="59"/>
      <c r="L990" s="59"/>
      <c r="M990" s="60"/>
      <c r="N990" s="60"/>
      <c r="O990" s="60"/>
      <c r="P990" s="59"/>
      <c r="Q990" s="59"/>
      <c r="R990" s="60"/>
      <c r="S990" s="60"/>
      <c r="T990" s="60"/>
      <c r="U990" s="60"/>
      <c r="V990" s="60"/>
      <c r="W990" s="60"/>
    </row>
    <row r="991" spans="1:23" ht="13" x14ac:dyDescent="0.3">
      <c r="A991" s="58"/>
      <c r="B991" s="58"/>
      <c r="C991" s="58"/>
      <c r="D991" s="58"/>
      <c r="E991" s="58"/>
      <c r="F991" s="58"/>
      <c r="G991" s="58"/>
      <c r="H991" s="59"/>
      <c r="I991" s="59"/>
      <c r="J991" s="59"/>
      <c r="K991" s="59"/>
      <c r="L991" s="59"/>
      <c r="M991" s="60"/>
      <c r="N991" s="60"/>
      <c r="O991" s="60"/>
      <c r="P991" s="59"/>
      <c r="Q991" s="59"/>
      <c r="R991" s="60"/>
      <c r="S991" s="60"/>
      <c r="T991" s="60"/>
      <c r="U991" s="60"/>
      <c r="V991" s="60"/>
      <c r="W991" s="60"/>
    </row>
    <row r="992" spans="1:23" ht="13" x14ac:dyDescent="0.3">
      <c r="A992" s="58"/>
      <c r="B992" s="58"/>
      <c r="C992" s="58"/>
      <c r="D992" s="58"/>
      <c r="E992" s="58"/>
      <c r="F992" s="58"/>
      <c r="G992" s="58"/>
      <c r="H992" s="59"/>
      <c r="I992" s="59"/>
      <c r="J992" s="59"/>
      <c r="K992" s="59"/>
      <c r="L992" s="59"/>
      <c r="M992" s="60"/>
      <c r="N992" s="60"/>
      <c r="O992" s="60"/>
      <c r="P992" s="59"/>
      <c r="Q992" s="59"/>
      <c r="R992" s="60"/>
      <c r="S992" s="60"/>
      <c r="T992" s="60"/>
      <c r="U992" s="60"/>
      <c r="V992" s="60"/>
      <c r="W992" s="60"/>
    </row>
    <row r="993" spans="1:23" ht="13" x14ac:dyDescent="0.3">
      <c r="A993" s="58"/>
      <c r="B993" s="58"/>
      <c r="C993" s="58"/>
      <c r="D993" s="58"/>
      <c r="E993" s="58"/>
      <c r="F993" s="58"/>
      <c r="G993" s="58"/>
      <c r="H993" s="59"/>
      <c r="I993" s="59"/>
      <c r="J993" s="59"/>
      <c r="K993" s="59"/>
      <c r="L993" s="59"/>
      <c r="M993" s="60"/>
      <c r="N993" s="60"/>
      <c r="O993" s="60"/>
      <c r="P993" s="59"/>
      <c r="Q993" s="59"/>
      <c r="R993" s="60"/>
      <c r="S993" s="60"/>
      <c r="T993" s="60"/>
      <c r="U993" s="60"/>
      <c r="V993" s="60"/>
      <c r="W993" s="60"/>
    </row>
    <row r="994" spans="1:23" ht="13" x14ac:dyDescent="0.3">
      <c r="A994" s="58"/>
      <c r="B994" s="58"/>
      <c r="C994" s="58"/>
      <c r="D994" s="58"/>
      <c r="E994" s="58"/>
      <c r="F994" s="58"/>
      <c r="G994" s="58"/>
      <c r="H994" s="59"/>
      <c r="I994" s="59"/>
      <c r="J994" s="59"/>
      <c r="K994" s="59"/>
      <c r="L994" s="59"/>
      <c r="M994" s="60"/>
      <c r="N994" s="60"/>
      <c r="O994" s="60"/>
      <c r="P994" s="59"/>
      <c r="Q994" s="59"/>
      <c r="R994" s="60"/>
      <c r="S994" s="60"/>
      <c r="T994" s="60"/>
      <c r="U994" s="60"/>
      <c r="V994" s="60"/>
      <c r="W994" s="60"/>
    </row>
    <row r="995" spans="1:23" ht="13" x14ac:dyDescent="0.3">
      <c r="A995" s="58"/>
      <c r="B995" s="58"/>
      <c r="C995" s="58"/>
      <c r="D995" s="58"/>
      <c r="E995" s="58"/>
      <c r="F995" s="58"/>
      <c r="G995" s="58"/>
      <c r="H995" s="59"/>
      <c r="I995" s="59"/>
      <c r="J995" s="59"/>
      <c r="K995" s="59"/>
      <c r="L995" s="59"/>
      <c r="M995" s="60"/>
      <c r="N995" s="60"/>
      <c r="O995" s="60"/>
      <c r="P995" s="59"/>
      <c r="Q995" s="59"/>
      <c r="R995" s="60"/>
      <c r="S995" s="60"/>
      <c r="T995" s="60"/>
      <c r="U995" s="60"/>
      <c r="V995" s="60"/>
      <c r="W995" s="60"/>
    </row>
    <row r="996" spans="1:23" ht="13" x14ac:dyDescent="0.3">
      <c r="A996" s="58"/>
      <c r="B996" s="58"/>
      <c r="C996" s="58"/>
      <c r="D996" s="58"/>
      <c r="E996" s="58"/>
      <c r="F996" s="58"/>
      <c r="G996" s="58"/>
      <c r="H996" s="59"/>
      <c r="I996" s="59"/>
      <c r="J996" s="59"/>
      <c r="K996" s="59"/>
      <c r="L996" s="59"/>
      <c r="M996" s="60"/>
      <c r="N996" s="60"/>
      <c r="O996" s="60"/>
      <c r="P996" s="59"/>
      <c r="Q996" s="59"/>
      <c r="R996" s="60"/>
      <c r="S996" s="60"/>
      <c r="T996" s="60"/>
      <c r="U996" s="60"/>
      <c r="V996" s="60"/>
      <c r="W996" s="60"/>
    </row>
    <row r="997" spans="1:23" ht="13" x14ac:dyDescent="0.3">
      <c r="A997" s="58"/>
      <c r="B997" s="58"/>
      <c r="C997" s="58"/>
      <c r="D997" s="58"/>
      <c r="E997" s="58"/>
      <c r="F997" s="58"/>
      <c r="G997" s="58"/>
      <c r="H997" s="59"/>
      <c r="I997" s="59"/>
      <c r="J997" s="59"/>
      <c r="K997" s="59"/>
      <c r="L997" s="59"/>
      <c r="M997" s="60"/>
      <c r="N997" s="60"/>
      <c r="O997" s="60"/>
      <c r="P997" s="59"/>
      <c r="Q997" s="59"/>
      <c r="R997" s="60"/>
      <c r="S997" s="60"/>
      <c r="T997" s="60"/>
      <c r="U997" s="60"/>
      <c r="V997" s="60"/>
      <c r="W997" s="60"/>
    </row>
    <row r="998" spans="1:23" ht="13" x14ac:dyDescent="0.3">
      <c r="A998" s="58"/>
      <c r="B998" s="58"/>
      <c r="C998" s="58"/>
      <c r="D998" s="58"/>
      <c r="E998" s="58"/>
      <c r="F998" s="58"/>
      <c r="G998" s="58"/>
      <c r="H998" s="59"/>
      <c r="I998" s="59"/>
      <c r="J998" s="59"/>
      <c r="K998" s="59"/>
      <c r="L998" s="59"/>
      <c r="M998" s="60"/>
      <c r="N998" s="60"/>
      <c r="O998" s="60"/>
      <c r="P998" s="59"/>
      <c r="Q998" s="59"/>
      <c r="R998" s="60"/>
      <c r="S998" s="60"/>
      <c r="T998" s="60"/>
      <c r="U998" s="60"/>
      <c r="V998" s="60"/>
      <c r="W998" s="60"/>
    </row>
    <row r="999" spans="1:23" ht="13" x14ac:dyDescent="0.3">
      <c r="A999" s="58"/>
      <c r="B999" s="58"/>
      <c r="C999" s="58"/>
      <c r="D999" s="58"/>
      <c r="E999" s="58"/>
      <c r="F999" s="58"/>
      <c r="G999" s="58"/>
      <c r="H999" s="59"/>
      <c r="I999" s="59"/>
      <c r="J999" s="59"/>
      <c r="K999" s="59"/>
      <c r="L999" s="59"/>
      <c r="M999" s="60"/>
      <c r="N999" s="60"/>
      <c r="O999" s="60"/>
      <c r="P999" s="59"/>
      <c r="Q999" s="59"/>
      <c r="R999" s="60"/>
      <c r="S999" s="60"/>
      <c r="T999" s="60"/>
      <c r="U999" s="60"/>
      <c r="V999" s="60"/>
      <c r="W999" s="60"/>
    </row>
    <row r="1000" spans="1:23" ht="13" x14ac:dyDescent="0.3">
      <c r="A1000" s="58"/>
      <c r="B1000" s="58"/>
      <c r="C1000" s="58"/>
      <c r="D1000" s="58"/>
      <c r="E1000" s="58"/>
      <c r="F1000" s="58"/>
      <c r="G1000" s="58"/>
      <c r="H1000" s="59"/>
      <c r="I1000" s="59"/>
      <c r="J1000" s="59"/>
      <c r="K1000" s="59"/>
      <c r="L1000" s="59"/>
      <c r="M1000" s="60"/>
      <c r="N1000" s="60"/>
      <c r="O1000" s="60"/>
      <c r="P1000" s="59"/>
      <c r="Q1000" s="59"/>
      <c r="R1000" s="60"/>
      <c r="S1000" s="60"/>
      <c r="T1000" s="60"/>
      <c r="U1000" s="60"/>
      <c r="V1000" s="60"/>
      <c r="W1000" s="60"/>
    </row>
    <row r="1001" spans="1:23" ht="13" x14ac:dyDescent="0.3">
      <c r="A1001" s="58"/>
      <c r="B1001" s="58"/>
      <c r="C1001" s="58"/>
      <c r="D1001" s="58"/>
      <c r="E1001" s="58"/>
      <c r="F1001" s="58"/>
      <c r="G1001" s="58"/>
      <c r="H1001" s="59"/>
      <c r="I1001" s="59"/>
      <c r="J1001" s="59"/>
      <c r="K1001" s="59"/>
      <c r="L1001" s="59"/>
      <c r="M1001" s="60"/>
      <c r="N1001" s="60"/>
      <c r="O1001" s="60"/>
      <c r="P1001" s="59"/>
      <c r="Q1001" s="59"/>
      <c r="R1001" s="60"/>
      <c r="S1001" s="60"/>
      <c r="T1001" s="60"/>
      <c r="U1001" s="60"/>
      <c r="V1001" s="60"/>
      <c r="W1001" s="60"/>
    </row>
    <row r="1002" spans="1:23" ht="13" x14ac:dyDescent="0.3">
      <c r="A1002" s="58"/>
      <c r="B1002" s="58"/>
      <c r="C1002" s="58"/>
      <c r="D1002" s="58"/>
      <c r="E1002" s="58"/>
      <c r="F1002" s="58"/>
      <c r="G1002" s="58"/>
      <c r="H1002" s="59"/>
      <c r="I1002" s="59"/>
      <c r="J1002" s="59"/>
      <c r="K1002" s="59"/>
      <c r="L1002" s="59"/>
      <c r="M1002" s="60"/>
      <c r="N1002" s="60"/>
      <c r="O1002" s="60"/>
      <c r="P1002" s="59"/>
      <c r="Q1002" s="59"/>
      <c r="R1002" s="60"/>
      <c r="S1002" s="60"/>
      <c r="T1002" s="60"/>
      <c r="U1002" s="60"/>
      <c r="V1002" s="60"/>
      <c r="W1002" s="60"/>
    </row>
  </sheetData>
  <autoFilter ref="A1:R124" xr:uid="{00000000-0001-0000-0000-000000000000}"/>
  <conditionalFormatting sqref="B72:B123">
    <cfRule type="duplicateValues" dxfId="85" priority="29"/>
    <cfRule type="duplicateValues" dxfId="84" priority="30"/>
  </conditionalFormatting>
  <conditionalFormatting sqref="B124">
    <cfRule type="duplicateValues" dxfId="83" priority="4"/>
    <cfRule type="duplicateValues" dxfId="82" priority="5"/>
  </conditionalFormatting>
  <conditionalFormatting sqref="B125:B1048576 B1:B71">
    <cfRule type="duplicateValues" dxfId="81" priority="163"/>
    <cfRule type="duplicateValues" dxfId="80" priority="164"/>
  </conditionalFormatting>
  <conditionalFormatting sqref="B125:D1048576 B1:D71">
    <cfRule type="duplicateValues" dxfId="79" priority="160"/>
  </conditionalFormatting>
  <conditionalFormatting sqref="B125:D1048576 B1:D116 B117:C123 D117:D124">
    <cfRule type="duplicateValues" dxfId="78" priority="145"/>
  </conditionalFormatting>
  <conditionalFormatting sqref="C124">
    <cfRule type="duplicateValues" dxfId="77" priority="1"/>
    <cfRule type="duplicateValues" dxfId="76" priority="2"/>
    <cfRule type="duplicateValues" dxfId="75" priority="3"/>
  </conditionalFormatting>
  <conditionalFormatting sqref="C72:D116 D2:D115 C117:C123 D117:D124">
    <cfRule type="duplicateValues" dxfId="74" priority="26"/>
    <cfRule type="duplicateValues" dxfId="73" priority="27"/>
    <cfRule type="duplicateValues" dxfId="72" priority="28"/>
  </conditionalFormatting>
  <conditionalFormatting sqref="C125:D1048576 C1:D71">
    <cfRule type="duplicateValues" dxfId="71" priority="148"/>
    <cfRule type="duplicateValues" dxfId="70" priority="149"/>
    <cfRule type="duplicateValues" dxfId="69" priority="150"/>
    <cfRule type="duplicateValues" dxfId="68" priority="151"/>
  </conditionalFormatting>
  <dataValidations count="1">
    <dataValidation type="list" allowBlank="1" showErrorMessage="1" sqref="E28:E57" xr:uid="{803588E6-2E0E-437D-A46F-ECAFF9A70D35}">
      <formula1>"II/a,II/b,II/c,II/d,III/a,III/b,III/c,III/d,IV/a,IV/b,IV/c"</formula1>
    </dataValidation>
  </dataValidations>
  <hyperlinks>
    <hyperlink ref="B49" r:id="rId1" xr:uid="{08D92411-1E6D-4125-BB72-862C544C0C06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A961-C395-4638-8E14-57E41C32C2FD}">
  <sheetPr>
    <outlinePr summaryBelow="0" summaryRight="0"/>
  </sheetPr>
  <dimension ref="A1:X859"/>
  <sheetViews>
    <sheetView zoomScale="60" zoomScaleNormal="6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6" sqref="E6"/>
    </sheetView>
  </sheetViews>
  <sheetFormatPr defaultColWidth="12.6328125" defaultRowHeight="15.75" customHeight="1" x14ac:dyDescent="0.3"/>
  <cols>
    <col min="1" max="1" width="5.26953125" style="11" customWidth="1"/>
    <col min="2" max="2" width="39" style="11" customWidth="1"/>
    <col min="3" max="4" width="24.7265625" style="11" customWidth="1"/>
    <col min="5" max="5" width="25.6328125" style="11" customWidth="1"/>
    <col min="6" max="6" width="44.90625" style="11" customWidth="1"/>
    <col min="7" max="7" width="12.90625" style="11" customWidth="1"/>
    <col min="8" max="9" width="33.26953125" style="61" customWidth="1"/>
    <col min="10" max="10" width="17.7265625" style="56" customWidth="1"/>
    <col min="11" max="11" width="31.81640625" style="61" customWidth="1"/>
    <col min="12" max="12" width="19.54296875" style="56" customWidth="1"/>
    <col min="13" max="14" width="18.7265625" style="11" customWidth="1"/>
    <col min="15" max="15" width="16.6328125" style="11" customWidth="1"/>
    <col min="16" max="17" width="20.90625" style="56" customWidth="1"/>
    <col min="18" max="19" width="20.26953125" style="11" customWidth="1"/>
    <col min="20" max="20" width="37.26953125" style="11" customWidth="1"/>
    <col min="21" max="22" width="36.54296875" style="11" customWidth="1"/>
    <col min="23" max="23" width="31.7265625" style="11" customWidth="1"/>
    <col min="24" max="16384" width="12.6328125" style="11"/>
  </cols>
  <sheetData>
    <row r="1" spans="1:24" ht="112.5" customHeight="1" x14ac:dyDescent="0.3">
      <c r="A1" s="1"/>
      <c r="B1" s="2" t="s">
        <v>0</v>
      </c>
      <c r="C1" s="2" t="s">
        <v>1</v>
      </c>
      <c r="D1" s="2" t="s">
        <v>2930</v>
      </c>
      <c r="E1" s="2" t="s">
        <v>2</v>
      </c>
      <c r="F1" s="2" t="s">
        <v>3</v>
      </c>
      <c r="G1" s="2" t="s">
        <v>4</v>
      </c>
      <c r="H1" s="1" t="s">
        <v>5</v>
      </c>
      <c r="I1" s="3" t="s">
        <v>6</v>
      </c>
      <c r="J1" s="4" t="s">
        <v>7</v>
      </c>
      <c r="K1" s="4" t="s">
        <v>8</v>
      </c>
      <c r="L1" s="5" t="s">
        <v>9</v>
      </c>
      <c r="M1" s="5" t="s">
        <v>10</v>
      </c>
      <c r="N1" s="6" t="s">
        <v>11</v>
      </c>
      <c r="O1" s="6" t="s">
        <v>12</v>
      </c>
      <c r="P1" s="7" t="s">
        <v>13</v>
      </c>
      <c r="Q1" s="7" t="s">
        <v>14</v>
      </c>
      <c r="R1" s="8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10" t="s">
        <v>20</v>
      </c>
    </row>
    <row r="2" spans="1:24" s="17" customFormat="1" ht="28" x14ac:dyDescent="0.35">
      <c r="A2" s="12">
        <v>355</v>
      </c>
      <c r="B2" s="13" t="s">
        <v>1303</v>
      </c>
      <c r="C2" s="14" t="s">
        <v>1304</v>
      </c>
      <c r="D2" s="14" t="str">
        <f>IF(MID(C2,15,1)="1","Laki-Laki","Perempuan")</f>
        <v>Laki-Laki</v>
      </c>
      <c r="E2" s="13"/>
      <c r="F2" s="13"/>
      <c r="G2" s="13" t="s">
        <v>1305</v>
      </c>
      <c r="H2" s="15" t="s">
        <v>1306</v>
      </c>
      <c r="I2" s="15" t="s">
        <v>90</v>
      </c>
      <c r="J2" s="12" t="s">
        <v>45</v>
      </c>
      <c r="K2" s="15" t="s">
        <v>1307</v>
      </c>
      <c r="L2" s="15" t="s">
        <v>205</v>
      </c>
      <c r="M2" s="15">
        <v>2019</v>
      </c>
      <c r="N2" s="15" t="s">
        <v>60</v>
      </c>
      <c r="O2" s="15">
        <v>2023</v>
      </c>
      <c r="P2" s="15">
        <v>2020</v>
      </c>
      <c r="Q2" s="15"/>
      <c r="R2" s="16" t="s">
        <v>51</v>
      </c>
      <c r="S2" s="15"/>
      <c r="T2" s="15"/>
      <c r="U2" s="15"/>
      <c r="V2" s="15"/>
      <c r="W2" s="15"/>
    </row>
    <row r="3" spans="1:24" s="17" customFormat="1" ht="14.5" x14ac:dyDescent="0.35">
      <c r="A3" s="12">
        <v>356</v>
      </c>
      <c r="B3" s="13" t="s">
        <v>1308</v>
      </c>
      <c r="C3" s="14" t="s">
        <v>1309</v>
      </c>
      <c r="D3" s="14" t="str">
        <f t="shared" ref="D3:D38" si="0">IF(MID(C3,15,1)="1","Laki-Laki","Perempuan")</f>
        <v>Laki-Laki</v>
      </c>
      <c r="E3" s="13"/>
      <c r="F3" s="13"/>
      <c r="G3" s="13" t="s">
        <v>1305</v>
      </c>
      <c r="H3" s="15" t="s">
        <v>1310</v>
      </c>
      <c r="I3" s="15" t="s">
        <v>39</v>
      </c>
      <c r="J3" s="12" t="s">
        <v>45</v>
      </c>
      <c r="K3" s="15" t="s">
        <v>181</v>
      </c>
      <c r="L3" s="15" t="s">
        <v>123</v>
      </c>
      <c r="M3" s="15">
        <v>2020</v>
      </c>
      <c r="N3" s="15" t="str">
        <f t="shared" ref="N3:N22" si="1">L3</f>
        <v xml:space="preserve">Maret </v>
      </c>
      <c r="O3" s="15">
        <v>2024</v>
      </c>
      <c r="P3" s="15">
        <v>2020</v>
      </c>
      <c r="Q3" s="15"/>
      <c r="R3" s="16" t="s">
        <v>29</v>
      </c>
      <c r="S3" s="15"/>
      <c r="T3" s="15"/>
      <c r="U3" s="15"/>
      <c r="V3" s="15"/>
      <c r="W3" s="15"/>
    </row>
    <row r="4" spans="1:24" s="17" customFormat="1" ht="28" x14ac:dyDescent="0.35">
      <c r="A4" s="12">
        <v>357</v>
      </c>
      <c r="B4" s="13" t="s">
        <v>1311</v>
      </c>
      <c r="C4" s="14" t="s">
        <v>1312</v>
      </c>
      <c r="D4" s="14" t="str">
        <f t="shared" si="0"/>
        <v>Laki-Laki</v>
      </c>
      <c r="E4" s="13"/>
      <c r="F4" s="13"/>
      <c r="G4" s="13" t="s">
        <v>1305</v>
      </c>
      <c r="H4" s="15" t="s">
        <v>1313</v>
      </c>
      <c r="I4" s="15" t="s">
        <v>1314</v>
      </c>
      <c r="J4" s="12" t="s">
        <v>26</v>
      </c>
      <c r="K4" s="15" t="s">
        <v>1315</v>
      </c>
      <c r="L4" s="15" t="s">
        <v>511</v>
      </c>
      <c r="M4" s="15">
        <v>2020</v>
      </c>
      <c r="N4" s="15" t="str">
        <f t="shared" si="1"/>
        <v xml:space="preserve">Agustus  </v>
      </c>
      <c r="O4" s="15">
        <v>2024</v>
      </c>
      <c r="P4" s="15">
        <v>2020</v>
      </c>
      <c r="Q4" s="15"/>
      <c r="R4" s="16" t="s">
        <v>29</v>
      </c>
      <c r="S4" s="15"/>
      <c r="T4" s="15"/>
      <c r="U4" s="15"/>
      <c r="V4" s="15"/>
      <c r="W4" s="15"/>
    </row>
    <row r="5" spans="1:24" s="17" customFormat="1" ht="28.5" x14ac:dyDescent="0.35">
      <c r="A5" s="12">
        <v>358</v>
      </c>
      <c r="B5" s="13" t="s">
        <v>1316</v>
      </c>
      <c r="C5" s="14" t="s">
        <v>1317</v>
      </c>
      <c r="D5" s="14" t="str">
        <f t="shared" si="0"/>
        <v>Laki-Laki</v>
      </c>
      <c r="E5" s="13"/>
      <c r="F5" s="13"/>
      <c r="G5" s="13" t="s">
        <v>1305</v>
      </c>
      <c r="H5" s="81" t="s">
        <v>1318</v>
      </c>
      <c r="I5" s="15" t="s">
        <v>1319</v>
      </c>
      <c r="J5" s="12" t="s">
        <v>26</v>
      </c>
      <c r="K5" s="15" t="s">
        <v>221</v>
      </c>
      <c r="L5" s="15" t="s">
        <v>182</v>
      </c>
      <c r="M5" s="15">
        <v>2020</v>
      </c>
      <c r="N5" s="15" t="str">
        <f t="shared" si="1"/>
        <v xml:space="preserve">Juli </v>
      </c>
      <c r="O5" s="15">
        <v>2024</v>
      </c>
      <c r="P5" s="15">
        <v>2020</v>
      </c>
      <c r="Q5" s="15"/>
      <c r="R5" s="16" t="s">
        <v>29</v>
      </c>
      <c r="S5" s="15"/>
      <c r="T5" s="15"/>
      <c r="U5" s="15"/>
      <c r="V5" s="15"/>
      <c r="W5" s="15"/>
    </row>
    <row r="6" spans="1:24" s="17" customFormat="1" ht="28" x14ac:dyDescent="0.35">
      <c r="A6" s="12">
        <v>359</v>
      </c>
      <c r="B6" s="13" t="s">
        <v>1320</v>
      </c>
      <c r="C6" s="14" t="s">
        <v>1321</v>
      </c>
      <c r="D6" s="14" t="str">
        <f t="shared" si="0"/>
        <v>Laki-Laki</v>
      </c>
      <c r="E6" s="13"/>
      <c r="F6" s="18"/>
      <c r="G6" s="13" t="s">
        <v>1305</v>
      </c>
      <c r="H6" s="15" t="s">
        <v>1322</v>
      </c>
      <c r="I6" s="15" t="s">
        <v>261</v>
      </c>
      <c r="J6" s="12" t="s">
        <v>26</v>
      </c>
      <c r="K6" s="15" t="s">
        <v>1323</v>
      </c>
      <c r="L6" s="15" t="s">
        <v>28</v>
      </c>
      <c r="M6" s="15">
        <v>2020</v>
      </c>
      <c r="N6" s="15" t="str">
        <f t="shared" si="1"/>
        <v>September</v>
      </c>
      <c r="O6" s="15">
        <v>2022</v>
      </c>
      <c r="P6" s="15">
        <v>2020</v>
      </c>
      <c r="Q6" s="15"/>
      <c r="R6" s="16" t="s">
        <v>29</v>
      </c>
      <c r="S6" s="15"/>
      <c r="T6" s="15"/>
      <c r="U6" s="15"/>
      <c r="V6" s="15"/>
      <c r="W6" s="15"/>
    </row>
    <row r="7" spans="1:24" s="17" customFormat="1" ht="14.5" x14ac:dyDescent="0.35">
      <c r="A7" s="12">
        <v>360</v>
      </c>
      <c r="B7" s="13" t="s">
        <v>1324</v>
      </c>
      <c r="C7" s="14" t="s">
        <v>1325</v>
      </c>
      <c r="D7" s="14" t="str">
        <f t="shared" si="0"/>
        <v>Laki-Laki</v>
      </c>
      <c r="E7" s="13"/>
      <c r="F7" s="18"/>
      <c r="G7" s="13" t="s">
        <v>1305</v>
      </c>
      <c r="H7" s="15" t="s">
        <v>1326</v>
      </c>
      <c r="I7" s="15" t="s">
        <v>241</v>
      </c>
      <c r="J7" s="12" t="s">
        <v>242</v>
      </c>
      <c r="K7" s="15" t="s">
        <v>1327</v>
      </c>
      <c r="L7" s="15" t="s">
        <v>205</v>
      </c>
      <c r="M7" s="15">
        <v>2020</v>
      </c>
      <c r="N7" s="15" t="str">
        <f t="shared" si="1"/>
        <v xml:space="preserve">September </v>
      </c>
      <c r="O7" s="15">
        <v>2023</v>
      </c>
      <c r="P7" s="15">
        <v>2020</v>
      </c>
      <c r="Q7" s="15"/>
      <c r="R7" s="16" t="s">
        <v>51</v>
      </c>
      <c r="S7" s="15"/>
      <c r="T7" s="15"/>
      <c r="U7" s="15"/>
      <c r="V7" s="15"/>
      <c r="W7" s="15"/>
    </row>
    <row r="8" spans="1:24" s="17" customFormat="1" ht="14.5" x14ac:dyDescent="0.35">
      <c r="A8" s="12">
        <v>361</v>
      </c>
      <c r="B8" s="13" t="s">
        <v>1328</v>
      </c>
      <c r="C8" s="14" t="s">
        <v>1329</v>
      </c>
      <c r="D8" s="14" t="str">
        <f t="shared" si="0"/>
        <v>Laki-Laki</v>
      </c>
      <c r="E8" s="13"/>
      <c r="F8" s="18"/>
      <c r="G8" s="13" t="s">
        <v>1305</v>
      </c>
      <c r="H8" s="15" t="s">
        <v>1330</v>
      </c>
      <c r="I8" s="15" t="s">
        <v>241</v>
      </c>
      <c r="J8" s="12" t="s">
        <v>242</v>
      </c>
      <c r="K8" s="15" t="s">
        <v>1327</v>
      </c>
      <c r="L8" s="15" t="s">
        <v>205</v>
      </c>
      <c r="M8" s="15">
        <v>2020</v>
      </c>
      <c r="N8" s="15" t="str">
        <f t="shared" si="1"/>
        <v xml:space="preserve">September </v>
      </c>
      <c r="O8" s="15">
        <v>2023</v>
      </c>
      <c r="P8" s="15">
        <v>2020</v>
      </c>
      <c r="Q8" s="15"/>
      <c r="R8" s="16" t="s">
        <v>51</v>
      </c>
      <c r="S8" s="15"/>
      <c r="T8" s="15"/>
      <c r="U8" s="15"/>
      <c r="V8" s="15"/>
      <c r="W8" s="15"/>
    </row>
    <row r="9" spans="1:24" s="17" customFormat="1" ht="14.5" x14ac:dyDescent="0.35">
      <c r="A9" s="12">
        <v>362</v>
      </c>
      <c r="B9" s="13" t="s">
        <v>1331</v>
      </c>
      <c r="C9" s="14" t="s">
        <v>1332</v>
      </c>
      <c r="D9" s="14" t="str">
        <f t="shared" si="0"/>
        <v>Laki-Laki</v>
      </c>
      <c r="E9" s="13"/>
      <c r="F9" s="18"/>
      <c r="G9" s="13" t="s">
        <v>1305</v>
      </c>
      <c r="H9" s="15" t="s">
        <v>1326</v>
      </c>
      <c r="I9" s="15" t="s">
        <v>241</v>
      </c>
      <c r="J9" s="12" t="s">
        <v>242</v>
      </c>
      <c r="K9" s="15" t="s">
        <v>1327</v>
      </c>
      <c r="L9" s="15" t="s">
        <v>205</v>
      </c>
      <c r="M9" s="15">
        <v>2020</v>
      </c>
      <c r="N9" s="15" t="str">
        <f t="shared" si="1"/>
        <v xml:space="preserve">September </v>
      </c>
      <c r="O9" s="15">
        <v>2023</v>
      </c>
      <c r="P9" s="15">
        <v>2020</v>
      </c>
      <c r="Q9" s="15"/>
      <c r="R9" s="16" t="s">
        <v>51</v>
      </c>
      <c r="S9" s="15"/>
      <c r="T9" s="15"/>
      <c r="U9" s="15"/>
      <c r="V9" s="15"/>
      <c r="W9" s="15"/>
    </row>
    <row r="10" spans="1:24" s="17" customFormat="1" ht="14.5" x14ac:dyDescent="0.35">
      <c r="A10" s="12">
        <v>363</v>
      </c>
      <c r="B10" s="13" t="s">
        <v>1333</v>
      </c>
      <c r="C10" s="14" t="s">
        <v>1334</v>
      </c>
      <c r="D10" s="14" t="str">
        <f t="shared" si="0"/>
        <v>Laki-Laki</v>
      </c>
      <c r="E10" s="13"/>
      <c r="F10" s="18"/>
      <c r="G10" s="13" t="s">
        <v>1305</v>
      </c>
      <c r="H10" s="15" t="s">
        <v>1326</v>
      </c>
      <c r="I10" s="15" t="s">
        <v>241</v>
      </c>
      <c r="J10" s="12" t="s">
        <v>242</v>
      </c>
      <c r="K10" s="15" t="s">
        <v>1327</v>
      </c>
      <c r="L10" s="15" t="s">
        <v>205</v>
      </c>
      <c r="M10" s="15">
        <v>2020</v>
      </c>
      <c r="N10" s="15" t="str">
        <f t="shared" si="1"/>
        <v xml:space="preserve">September </v>
      </c>
      <c r="O10" s="15">
        <v>2023</v>
      </c>
      <c r="P10" s="15">
        <v>2020</v>
      </c>
      <c r="Q10" s="15"/>
      <c r="R10" s="16" t="s">
        <v>51</v>
      </c>
      <c r="S10" s="15"/>
      <c r="T10" s="15"/>
      <c r="U10" s="15"/>
      <c r="V10" s="15"/>
      <c r="W10" s="15"/>
    </row>
    <row r="11" spans="1:24" s="17" customFormat="1" ht="14.5" x14ac:dyDescent="0.35">
      <c r="A11" s="12">
        <v>364</v>
      </c>
      <c r="B11" s="13" t="s">
        <v>1335</v>
      </c>
      <c r="C11" s="14" t="s">
        <v>1336</v>
      </c>
      <c r="D11" s="14" t="str">
        <f t="shared" si="0"/>
        <v>Laki-Laki</v>
      </c>
      <c r="E11" s="13"/>
      <c r="F11" s="18"/>
      <c r="G11" s="13" t="s">
        <v>1305</v>
      </c>
      <c r="H11" s="15" t="s">
        <v>1326</v>
      </c>
      <c r="I11" s="15" t="s">
        <v>241</v>
      </c>
      <c r="J11" s="12" t="s">
        <v>242</v>
      </c>
      <c r="K11" s="15" t="s">
        <v>1327</v>
      </c>
      <c r="L11" s="15" t="s">
        <v>205</v>
      </c>
      <c r="M11" s="15">
        <v>2020</v>
      </c>
      <c r="N11" s="15" t="str">
        <f t="shared" si="1"/>
        <v xml:space="preserve">September </v>
      </c>
      <c r="O11" s="15">
        <v>2023</v>
      </c>
      <c r="P11" s="15">
        <v>2020</v>
      </c>
      <c r="Q11" s="15"/>
      <c r="R11" s="16" t="s">
        <v>51</v>
      </c>
      <c r="S11" s="15"/>
      <c r="T11" s="15"/>
      <c r="U11" s="15"/>
      <c r="V11" s="15"/>
      <c r="W11" s="15"/>
    </row>
    <row r="12" spans="1:24" s="17" customFormat="1" ht="14.5" x14ac:dyDescent="0.35">
      <c r="A12" s="12">
        <v>365</v>
      </c>
      <c r="B12" s="13" t="s">
        <v>1337</v>
      </c>
      <c r="C12" s="14" t="s">
        <v>1338</v>
      </c>
      <c r="D12" s="14" t="str">
        <f t="shared" si="0"/>
        <v>Laki-Laki</v>
      </c>
      <c r="E12" s="13"/>
      <c r="F12" s="18"/>
      <c r="G12" s="13" t="s">
        <v>1305</v>
      </c>
      <c r="H12" s="15" t="s">
        <v>1326</v>
      </c>
      <c r="I12" s="15" t="s">
        <v>241</v>
      </c>
      <c r="J12" s="12" t="s">
        <v>242</v>
      </c>
      <c r="K12" s="15" t="s">
        <v>1327</v>
      </c>
      <c r="L12" s="15" t="s">
        <v>205</v>
      </c>
      <c r="M12" s="15">
        <v>2020</v>
      </c>
      <c r="N12" s="15" t="str">
        <f t="shared" si="1"/>
        <v xml:space="preserve">September </v>
      </c>
      <c r="O12" s="15">
        <v>2023</v>
      </c>
      <c r="P12" s="15">
        <v>2020</v>
      </c>
      <c r="Q12" s="15"/>
      <c r="R12" s="16" t="s">
        <v>51</v>
      </c>
      <c r="S12" s="15"/>
      <c r="T12" s="15"/>
      <c r="U12" s="15"/>
      <c r="V12" s="15"/>
      <c r="W12" s="15"/>
      <c r="X12" s="17" t="s">
        <v>304</v>
      </c>
    </row>
    <row r="13" spans="1:24" s="17" customFormat="1" ht="14.5" x14ac:dyDescent="0.35">
      <c r="A13" s="12">
        <v>366</v>
      </c>
      <c r="B13" s="13" t="s">
        <v>1339</v>
      </c>
      <c r="C13" s="14" t="s">
        <v>1340</v>
      </c>
      <c r="D13" s="14" t="str">
        <f t="shared" si="0"/>
        <v>Laki-Laki</v>
      </c>
      <c r="E13" s="13"/>
      <c r="F13" s="18"/>
      <c r="G13" s="13" t="s">
        <v>1305</v>
      </c>
      <c r="H13" s="15" t="s">
        <v>1326</v>
      </c>
      <c r="I13" s="15" t="s">
        <v>241</v>
      </c>
      <c r="J13" s="12" t="s">
        <v>242</v>
      </c>
      <c r="K13" s="15" t="s">
        <v>1327</v>
      </c>
      <c r="L13" s="15" t="s">
        <v>205</v>
      </c>
      <c r="M13" s="15">
        <v>2020</v>
      </c>
      <c r="N13" s="15" t="str">
        <f t="shared" si="1"/>
        <v xml:space="preserve">September </v>
      </c>
      <c r="O13" s="15">
        <v>2023</v>
      </c>
      <c r="P13" s="15">
        <v>2020</v>
      </c>
      <c r="Q13" s="15"/>
      <c r="R13" s="16" t="s">
        <v>51</v>
      </c>
      <c r="S13" s="15"/>
      <c r="T13" s="15"/>
      <c r="U13" s="15"/>
      <c r="V13" s="15"/>
      <c r="W13" s="15"/>
    </row>
    <row r="14" spans="1:24" s="17" customFormat="1" ht="14.5" x14ac:dyDescent="0.35">
      <c r="A14" s="12">
        <v>367</v>
      </c>
      <c r="B14" s="13" t="s">
        <v>1341</v>
      </c>
      <c r="C14" s="14" t="s">
        <v>1342</v>
      </c>
      <c r="D14" s="14" t="str">
        <f t="shared" si="0"/>
        <v>Laki-Laki</v>
      </c>
      <c r="E14" s="13"/>
      <c r="F14" s="18"/>
      <c r="G14" s="13" t="s">
        <v>1305</v>
      </c>
      <c r="H14" s="15" t="s">
        <v>1326</v>
      </c>
      <c r="I14" s="15" t="s">
        <v>241</v>
      </c>
      <c r="J14" s="12" t="s">
        <v>242</v>
      </c>
      <c r="K14" s="15" t="s">
        <v>1327</v>
      </c>
      <c r="L14" s="15" t="s">
        <v>205</v>
      </c>
      <c r="M14" s="15">
        <v>2020</v>
      </c>
      <c r="N14" s="15" t="str">
        <f t="shared" si="1"/>
        <v xml:space="preserve">September </v>
      </c>
      <c r="O14" s="15">
        <v>2023</v>
      </c>
      <c r="P14" s="15">
        <v>2020</v>
      </c>
      <c r="Q14" s="15"/>
      <c r="R14" s="16" t="s">
        <v>51</v>
      </c>
      <c r="S14" s="15"/>
      <c r="T14" s="15"/>
      <c r="U14" s="15"/>
      <c r="V14" s="15"/>
      <c r="W14" s="15"/>
    </row>
    <row r="15" spans="1:24" s="17" customFormat="1" ht="14.5" x14ac:dyDescent="0.35">
      <c r="A15" s="12">
        <v>368</v>
      </c>
      <c r="B15" s="13" t="s">
        <v>1343</v>
      </c>
      <c r="C15" s="14" t="s">
        <v>1344</v>
      </c>
      <c r="D15" s="14" t="str">
        <f t="shared" si="0"/>
        <v>Laki-Laki</v>
      </c>
      <c r="E15" s="13"/>
      <c r="F15" s="13"/>
      <c r="G15" s="13" t="s">
        <v>1305</v>
      </c>
      <c r="H15" s="15" t="s">
        <v>1345</v>
      </c>
      <c r="I15" s="15" t="s">
        <v>90</v>
      </c>
      <c r="J15" s="12" t="s">
        <v>45</v>
      </c>
      <c r="K15" s="15" t="s">
        <v>40</v>
      </c>
      <c r="L15" s="12" t="s">
        <v>35</v>
      </c>
      <c r="M15" s="12">
        <v>2021</v>
      </c>
      <c r="N15" s="15" t="str">
        <f t="shared" si="1"/>
        <v>Maret</v>
      </c>
      <c r="O15" s="15">
        <v>2024</v>
      </c>
      <c r="P15" s="15">
        <v>2021</v>
      </c>
      <c r="Q15" s="15"/>
      <c r="R15" s="34" t="s">
        <v>29</v>
      </c>
      <c r="S15" s="21"/>
      <c r="T15" s="21"/>
      <c r="U15" s="21"/>
      <c r="V15" s="21"/>
      <c r="W15" s="21"/>
    </row>
    <row r="16" spans="1:24" s="17" customFormat="1" ht="28" x14ac:dyDescent="0.35">
      <c r="A16" s="12">
        <v>369</v>
      </c>
      <c r="B16" s="13" t="s">
        <v>1346</v>
      </c>
      <c r="C16" s="14" t="s">
        <v>1347</v>
      </c>
      <c r="D16" s="14" t="str">
        <f t="shared" si="0"/>
        <v>Laki-Laki</v>
      </c>
      <c r="E16" s="13"/>
      <c r="F16" s="13"/>
      <c r="G16" s="13" t="s">
        <v>1305</v>
      </c>
      <c r="H16" s="15" t="s">
        <v>1348</v>
      </c>
      <c r="I16" s="15" t="s">
        <v>241</v>
      </c>
      <c r="J16" s="12" t="s">
        <v>242</v>
      </c>
      <c r="K16" s="15" t="s">
        <v>243</v>
      </c>
      <c r="L16" s="12" t="s">
        <v>72</v>
      </c>
      <c r="M16" s="12">
        <v>2021</v>
      </c>
      <c r="N16" s="15" t="str">
        <f t="shared" si="1"/>
        <v>Februari</v>
      </c>
      <c r="O16" s="15">
        <v>2023</v>
      </c>
      <c r="P16" s="15">
        <v>2021</v>
      </c>
      <c r="Q16" s="15"/>
      <c r="R16" s="34" t="s">
        <v>51</v>
      </c>
      <c r="S16" s="21"/>
      <c r="T16" s="21"/>
      <c r="U16" s="21"/>
      <c r="V16" s="21"/>
      <c r="W16" s="21"/>
    </row>
    <row r="17" spans="1:23" s="17" customFormat="1" ht="28" x14ac:dyDescent="0.35">
      <c r="A17" s="12">
        <v>370</v>
      </c>
      <c r="B17" s="13" t="s">
        <v>1349</v>
      </c>
      <c r="C17" s="49" t="s">
        <v>1350</v>
      </c>
      <c r="D17" s="14" t="str">
        <f t="shared" si="0"/>
        <v>Laki-Laki</v>
      </c>
      <c r="E17" s="13"/>
      <c r="F17" s="13"/>
      <c r="G17" s="13" t="s">
        <v>1305</v>
      </c>
      <c r="H17" s="15" t="s">
        <v>1351</v>
      </c>
      <c r="I17" s="15" t="s">
        <v>241</v>
      </c>
      <c r="J17" s="12" t="s">
        <v>242</v>
      </c>
      <c r="K17" s="15" t="s">
        <v>243</v>
      </c>
      <c r="L17" s="12" t="s">
        <v>72</v>
      </c>
      <c r="M17" s="12">
        <v>2021</v>
      </c>
      <c r="N17" s="15" t="str">
        <f t="shared" si="1"/>
        <v>Februari</v>
      </c>
      <c r="O17" s="15">
        <v>2023</v>
      </c>
      <c r="P17" s="15">
        <v>2021</v>
      </c>
      <c r="Q17" s="15"/>
      <c r="R17" s="34" t="s">
        <v>51</v>
      </c>
      <c r="S17" s="21"/>
      <c r="T17" s="21"/>
      <c r="U17" s="21"/>
      <c r="V17" s="21"/>
      <c r="W17" s="21"/>
    </row>
    <row r="18" spans="1:23" s="17" customFormat="1" ht="28" x14ac:dyDescent="0.35">
      <c r="A18" s="12">
        <v>371</v>
      </c>
      <c r="B18" s="13" t="s">
        <v>1352</v>
      </c>
      <c r="C18" s="14" t="s">
        <v>1353</v>
      </c>
      <c r="D18" s="14" t="str">
        <f t="shared" si="0"/>
        <v>Perempuan</v>
      </c>
      <c r="E18" s="13"/>
      <c r="F18" s="13"/>
      <c r="G18" s="13" t="s">
        <v>1305</v>
      </c>
      <c r="H18" s="15" t="s">
        <v>1354</v>
      </c>
      <c r="I18" s="15" t="s">
        <v>90</v>
      </c>
      <c r="J18" s="12" t="s">
        <v>26</v>
      </c>
      <c r="K18" s="15" t="s">
        <v>234</v>
      </c>
      <c r="L18" s="12" t="s">
        <v>35</v>
      </c>
      <c r="M18" s="12">
        <v>2021</v>
      </c>
      <c r="N18" s="15" t="str">
        <f t="shared" si="1"/>
        <v>Maret</v>
      </c>
      <c r="O18" s="15">
        <v>2024</v>
      </c>
      <c r="P18" s="15">
        <v>2021</v>
      </c>
      <c r="Q18" s="15"/>
      <c r="R18" s="34" t="s">
        <v>29</v>
      </c>
      <c r="S18" s="21"/>
      <c r="T18" s="21"/>
      <c r="U18" s="21"/>
      <c r="V18" s="21"/>
      <c r="W18" s="21"/>
    </row>
    <row r="19" spans="1:23" s="17" customFormat="1" ht="28" x14ac:dyDescent="0.35">
      <c r="A19" s="12">
        <v>372</v>
      </c>
      <c r="B19" s="13" t="s">
        <v>1355</v>
      </c>
      <c r="C19" s="14" t="s">
        <v>1356</v>
      </c>
      <c r="D19" s="14" t="str">
        <f t="shared" si="0"/>
        <v>Perempuan</v>
      </c>
      <c r="E19" s="13"/>
      <c r="F19" s="13"/>
      <c r="G19" s="13" t="s">
        <v>1305</v>
      </c>
      <c r="H19" s="15" t="s">
        <v>1313</v>
      </c>
      <c r="I19" s="15" t="s">
        <v>1314</v>
      </c>
      <c r="J19" s="12" t="s">
        <v>26</v>
      </c>
      <c r="K19" s="15" t="s">
        <v>407</v>
      </c>
      <c r="L19" s="12" t="s">
        <v>35</v>
      </c>
      <c r="M19" s="12">
        <v>2021</v>
      </c>
      <c r="N19" s="15" t="str">
        <f t="shared" si="1"/>
        <v>Maret</v>
      </c>
      <c r="O19" s="15">
        <v>2023</v>
      </c>
      <c r="P19" s="15">
        <v>2021</v>
      </c>
      <c r="Q19" s="15"/>
      <c r="R19" s="34" t="s">
        <v>29</v>
      </c>
      <c r="S19" s="21"/>
      <c r="T19" s="21"/>
      <c r="U19" s="21"/>
      <c r="V19" s="21"/>
      <c r="W19" s="21"/>
    </row>
    <row r="20" spans="1:23" s="17" customFormat="1" ht="28" x14ac:dyDescent="0.35">
      <c r="A20" s="12">
        <v>373</v>
      </c>
      <c r="B20" s="13" t="s">
        <v>1357</v>
      </c>
      <c r="C20" s="14" t="s">
        <v>1358</v>
      </c>
      <c r="D20" s="14" t="str">
        <f t="shared" si="0"/>
        <v>Laki-Laki</v>
      </c>
      <c r="E20" s="13"/>
      <c r="F20" s="13"/>
      <c r="G20" s="13" t="s">
        <v>1305</v>
      </c>
      <c r="H20" s="15" t="s">
        <v>1359</v>
      </c>
      <c r="I20" s="15" t="s">
        <v>241</v>
      </c>
      <c r="J20" s="12" t="s">
        <v>242</v>
      </c>
      <c r="K20" s="15" t="s">
        <v>1323</v>
      </c>
      <c r="L20" s="12" t="s">
        <v>60</v>
      </c>
      <c r="M20" s="12">
        <v>2020</v>
      </c>
      <c r="N20" s="15" t="str">
        <f t="shared" si="1"/>
        <v>Agustus</v>
      </c>
      <c r="O20" s="15">
        <v>2023</v>
      </c>
      <c r="P20" s="15">
        <v>2021</v>
      </c>
      <c r="Q20" s="15"/>
      <c r="R20" s="34" t="s">
        <v>51</v>
      </c>
      <c r="S20" s="21"/>
      <c r="T20" s="21"/>
      <c r="U20" s="21"/>
      <c r="V20" s="21"/>
      <c r="W20" s="21"/>
    </row>
    <row r="21" spans="1:23" s="17" customFormat="1" ht="28" x14ac:dyDescent="0.35">
      <c r="A21" s="12">
        <v>374</v>
      </c>
      <c r="B21" s="18" t="s">
        <v>1360</v>
      </c>
      <c r="C21" s="14" t="s">
        <v>1361</v>
      </c>
      <c r="D21" s="14" t="str">
        <f t="shared" si="0"/>
        <v>Laki-Laki</v>
      </c>
      <c r="E21" s="13"/>
      <c r="F21" s="13"/>
      <c r="G21" s="13" t="s">
        <v>1305</v>
      </c>
      <c r="H21" s="15" t="s">
        <v>1362</v>
      </c>
      <c r="I21" s="15" t="s">
        <v>1363</v>
      </c>
      <c r="J21" s="12" t="s">
        <v>242</v>
      </c>
      <c r="K21" s="15" t="s">
        <v>1364</v>
      </c>
      <c r="L21" s="23" t="s">
        <v>72</v>
      </c>
      <c r="M21" s="21">
        <v>2022</v>
      </c>
      <c r="N21" s="30" t="str">
        <f t="shared" si="1"/>
        <v>Februari</v>
      </c>
      <c r="O21" s="15">
        <v>2025</v>
      </c>
      <c r="P21" s="15">
        <v>2022</v>
      </c>
      <c r="Q21" s="15"/>
      <c r="R21" s="16" t="s">
        <v>51</v>
      </c>
      <c r="S21" s="15"/>
      <c r="T21" s="15"/>
      <c r="U21" s="15"/>
      <c r="V21" s="15"/>
      <c r="W21" s="15"/>
    </row>
    <row r="22" spans="1:23" s="17" customFormat="1" ht="28" x14ac:dyDescent="0.35">
      <c r="A22" s="12">
        <v>375</v>
      </c>
      <c r="B22" s="13" t="s">
        <v>1365</v>
      </c>
      <c r="C22" s="14" t="s">
        <v>1366</v>
      </c>
      <c r="D22" s="14" t="str">
        <f t="shared" si="0"/>
        <v>Laki-Laki</v>
      </c>
      <c r="E22" s="13"/>
      <c r="F22" s="13"/>
      <c r="G22" s="13" t="s">
        <v>1305</v>
      </c>
      <c r="H22" s="15" t="s">
        <v>1367</v>
      </c>
      <c r="I22" s="15" t="s">
        <v>1368</v>
      </c>
      <c r="J22" s="12" t="s">
        <v>45</v>
      </c>
      <c r="K22" s="15" t="s">
        <v>174</v>
      </c>
      <c r="L22" s="15" t="s">
        <v>169</v>
      </c>
      <c r="M22" s="15">
        <v>2022</v>
      </c>
      <c r="N22" s="15" t="str">
        <f t="shared" si="1"/>
        <v>Oktober</v>
      </c>
      <c r="O22" s="15">
        <v>2026</v>
      </c>
      <c r="P22" s="15">
        <v>2022</v>
      </c>
      <c r="Q22" s="15"/>
      <c r="R22" s="16" t="s">
        <v>51</v>
      </c>
      <c r="S22" s="15"/>
      <c r="T22" s="15"/>
      <c r="U22" s="15"/>
      <c r="V22" s="15"/>
      <c r="W22" s="15"/>
    </row>
    <row r="23" spans="1:23" s="17" customFormat="1" ht="14.5" x14ac:dyDescent="0.35">
      <c r="A23" s="12">
        <v>376</v>
      </c>
      <c r="B23" s="62" t="s">
        <v>1369</v>
      </c>
      <c r="C23" s="67" t="s">
        <v>1370</v>
      </c>
      <c r="D23" s="14" t="str">
        <f t="shared" si="0"/>
        <v>Laki-Laki</v>
      </c>
      <c r="E23" s="24" t="s">
        <v>126</v>
      </c>
      <c r="F23" s="68" t="s">
        <v>1371</v>
      </c>
      <c r="G23" s="13" t="s">
        <v>1305</v>
      </c>
      <c r="H23" s="19" t="s">
        <v>1372</v>
      </c>
      <c r="I23" s="19" t="s">
        <v>1373</v>
      </c>
      <c r="J23" s="19" t="s">
        <v>26</v>
      </c>
      <c r="K23" s="19" t="s">
        <v>95</v>
      </c>
      <c r="L23" s="83" t="s">
        <v>462</v>
      </c>
      <c r="M23" s="15">
        <v>2023</v>
      </c>
      <c r="N23" s="15"/>
      <c r="O23" s="15"/>
      <c r="P23" s="15">
        <v>2023</v>
      </c>
      <c r="Q23" s="15"/>
      <c r="R23" s="16"/>
      <c r="S23" s="15"/>
      <c r="T23" s="15"/>
      <c r="U23" s="15"/>
      <c r="V23" s="15"/>
      <c r="W23" s="15"/>
    </row>
    <row r="24" spans="1:23" s="17" customFormat="1" ht="42" x14ac:dyDescent="0.35">
      <c r="A24" s="12">
        <v>377</v>
      </c>
      <c r="B24" s="25" t="s">
        <v>1374</v>
      </c>
      <c r="C24" s="69" t="s">
        <v>1375</v>
      </c>
      <c r="D24" s="14" t="str">
        <f t="shared" si="0"/>
        <v>Perempuan</v>
      </c>
      <c r="E24" s="24" t="s">
        <v>98</v>
      </c>
      <c r="F24" s="64" t="s">
        <v>224</v>
      </c>
      <c r="G24" s="13" t="s">
        <v>1305</v>
      </c>
      <c r="H24" s="19" t="s">
        <v>1376</v>
      </c>
      <c r="I24" s="19" t="s">
        <v>25</v>
      </c>
      <c r="J24" s="12" t="s">
        <v>45</v>
      </c>
      <c r="K24" s="19" t="s">
        <v>40</v>
      </c>
      <c r="L24" s="86" t="s">
        <v>205</v>
      </c>
      <c r="M24" s="15">
        <v>2023</v>
      </c>
      <c r="N24" s="15" t="str">
        <f>L24</f>
        <v xml:space="preserve">September </v>
      </c>
      <c r="O24" s="15">
        <v>2027</v>
      </c>
      <c r="P24" s="15">
        <v>2023</v>
      </c>
      <c r="Q24" s="15"/>
      <c r="R24" s="16"/>
      <c r="S24" s="15"/>
      <c r="T24" s="15"/>
      <c r="U24" s="15"/>
      <c r="V24" s="15"/>
      <c r="W24" s="15"/>
    </row>
    <row r="25" spans="1:23" s="17" customFormat="1" ht="42" x14ac:dyDescent="0.35">
      <c r="A25" s="12">
        <v>378</v>
      </c>
      <c r="B25" s="25" t="s">
        <v>1377</v>
      </c>
      <c r="C25" s="69" t="s">
        <v>1378</v>
      </c>
      <c r="D25" s="14" t="str">
        <f t="shared" si="0"/>
        <v>Laki-Laki</v>
      </c>
      <c r="E25" s="24" t="s">
        <v>98</v>
      </c>
      <c r="F25" s="72" t="s">
        <v>224</v>
      </c>
      <c r="G25" s="13" t="s">
        <v>1305</v>
      </c>
      <c r="H25" s="19" t="s">
        <v>1376</v>
      </c>
      <c r="I25" s="19" t="s">
        <v>90</v>
      </c>
      <c r="J25" s="12" t="s">
        <v>45</v>
      </c>
      <c r="K25" s="19" t="s">
        <v>40</v>
      </c>
      <c r="L25" s="86" t="s">
        <v>446</v>
      </c>
      <c r="M25" s="15">
        <v>2023</v>
      </c>
      <c r="N25" s="15" t="str">
        <f t="shared" ref="N25:N35" si="2">L25</f>
        <v xml:space="preserve">Oktober </v>
      </c>
      <c r="O25" s="15">
        <v>2027</v>
      </c>
      <c r="P25" s="15">
        <v>2023</v>
      </c>
      <c r="Q25" s="15"/>
      <c r="R25" s="16"/>
      <c r="S25" s="15"/>
      <c r="T25" s="15"/>
      <c r="U25" s="15"/>
      <c r="V25" s="15"/>
      <c r="W25" s="15"/>
    </row>
    <row r="26" spans="1:23" s="17" customFormat="1" ht="28" x14ac:dyDescent="0.35">
      <c r="A26" s="12">
        <v>379</v>
      </c>
      <c r="B26" s="25" t="s">
        <v>1379</v>
      </c>
      <c r="C26" s="69" t="s">
        <v>1380</v>
      </c>
      <c r="D26" s="14" t="str">
        <f t="shared" si="0"/>
        <v>Laki-Laki</v>
      </c>
      <c r="E26" s="24"/>
      <c r="F26" s="72"/>
      <c r="G26" s="13" t="s">
        <v>1305</v>
      </c>
      <c r="H26" s="19" t="s">
        <v>1381</v>
      </c>
      <c r="I26" s="19" t="s">
        <v>261</v>
      </c>
      <c r="J26" s="19" t="s">
        <v>26</v>
      </c>
      <c r="K26" s="19" t="s">
        <v>434</v>
      </c>
      <c r="L26" s="19"/>
      <c r="M26" s="15"/>
      <c r="N26" s="15">
        <f t="shared" si="2"/>
        <v>0</v>
      </c>
      <c r="O26" s="15"/>
      <c r="P26" s="15">
        <v>2023</v>
      </c>
      <c r="Q26" s="15"/>
      <c r="R26" s="16"/>
      <c r="S26" s="15"/>
      <c r="T26" s="15"/>
      <c r="U26" s="15"/>
      <c r="V26" s="15"/>
      <c r="W26" s="15"/>
    </row>
    <row r="27" spans="1:23" s="17" customFormat="1" ht="14.5" x14ac:dyDescent="0.35">
      <c r="A27" s="12">
        <v>380</v>
      </c>
      <c r="B27" s="25" t="s">
        <v>1382</v>
      </c>
      <c r="C27" s="69" t="s">
        <v>1383</v>
      </c>
      <c r="D27" s="14" t="str">
        <f t="shared" si="0"/>
        <v>Laki-Laki</v>
      </c>
      <c r="E27" s="24" t="s">
        <v>109</v>
      </c>
      <c r="F27" s="72" t="s">
        <v>397</v>
      </c>
      <c r="G27" s="13" t="s">
        <v>1305</v>
      </c>
      <c r="H27" s="19" t="s">
        <v>1384</v>
      </c>
      <c r="I27" s="19" t="s">
        <v>1385</v>
      </c>
      <c r="J27" s="19" t="s">
        <v>26</v>
      </c>
      <c r="K27" s="19" t="s">
        <v>221</v>
      </c>
      <c r="L27" s="86" t="s">
        <v>60</v>
      </c>
      <c r="M27" s="15">
        <v>2023</v>
      </c>
      <c r="N27" s="15" t="str">
        <f t="shared" si="2"/>
        <v>Agustus</v>
      </c>
      <c r="O27" s="15">
        <v>2025</v>
      </c>
      <c r="P27" s="15">
        <v>2023</v>
      </c>
      <c r="Q27" s="15"/>
      <c r="R27" s="16"/>
      <c r="S27" s="15"/>
      <c r="T27" s="15"/>
      <c r="U27" s="15"/>
      <c r="V27" s="15"/>
      <c r="W27" s="15"/>
    </row>
    <row r="28" spans="1:23" s="17" customFormat="1" ht="14.5" x14ac:dyDescent="0.35">
      <c r="A28" s="12">
        <v>381</v>
      </c>
      <c r="B28" s="25" t="s">
        <v>1386</v>
      </c>
      <c r="C28" s="69" t="s">
        <v>1387</v>
      </c>
      <c r="D28" s="14" t="str">
        <f t="shared" si="0"/>
        <v>Perempuan</v>
      </c>
      <c r="E28" s="24" t="s">
        <v>116</v>
      </c>
      <c r="F28" s="72" t="s">
        <v>1388</v>
      </c>
      <c r="G28" s="13" t="s">
        <v>1305</v>
      </c>
      <c r="H28" s="19" t="s">
        <v>1389</v>
      </c>
      <c r="I28" s="19" t="s">
        <v>1390</v>
      </c>
      <c r="J28" s="12" t="s">
        <v>45</v>
      </c>
      <c r="K28" s="19" t="s">
        <v>46</v>
      </c>
      <c r="L28" s="86" t="s">
        <v>205</v>
      </c>
      <c r="M28" s="15">
        <v>2023</v>
      </c>
      <c r="N28" s="15" t="str">
        <f t="shared" si="2"/>
        <v xml:space="preserve">September </v>
      </c>
      <c r="O28" s="15">
        <v>2027</v>
      </c>
      <c r="P28" s="15">
        <v>2023</v>
      </c>
      <c r="Q28" s="15"/>
      <c r="R28" s="16"/>
      <c r="S28" s="15"/>
      <c r="T28" s="15"/>
      <c r="U28" s="15"/>
      <c r="V28" s="15"/>
      <c r="W28" s="15"/>
    </row>
    <row r="29" spans="1:23" s="17" customFormat="1" ht="14.5" x14ac:dyDescent="0.35">
      <c r="A29" s="12">
        <v>382</v>
      </c>
      <c r="B29" s="25" t="s">
        <v>1391</v>
      </c>
      <c r="C29" s="69" t="s">
        <v>1392</v>
      </c>
      <c r="D29" s="14" t="str">
        <f t="shared" si="0"/>
        <v>Laki-Laki</v>
      </c>
      <c r="E29" s="24" t="s">
        <v>370</v>
      </c>
      <c r="F29" s="72" t="s">
        <v>1393</v>
      </c>
      <c r="G29" s="13" t="s">
        <v>1305</v>
      </c>
      <c r="H29" s="19" t="s">
        <v>1394</v>
      </c>
      <c r="I29" s="19" t="s">
        <v>1395</v>
      </c>
      <c r="J29" s="19" t="s">
        <v>26</v>
      </c>
      <c r="K29" s="19" t="s">
        <v>449</v>
      </c>
      <c r="L29" s="86" t="s">
        <v>118</v>
      </c>
      <c r="M29" s="15">
        <v>2024</v>
      </c>
      <c r="N29" s="15" t="str">
        <f t="shared" si="2"/>
        <v xml:space="preserve">Januari </v>
      </c>
      <c r="O29" s="15">
        <v>2026</v>
      </c>
      <c r="P29" s="15">
        <v>2024</v>
      </c>
      <c r="Q29" s="15"/>
      <c r="R29" s="16"/>
      <c r="S29" s="15"/>
      <c r="T29" s="15"/>
      <c r="U29" s="15"/>
      <c r="V29" s="15"/>
      <c r="W29" s="15"/>
    </row>
    <row r="30" spans="1:23" s="17" customFormat="1" ht="28" x14ac:dyDescent="0.35">
      <c r="A30" s="12">
        <v>383</v>
      </c>
      <c r="B30" s="25" t="s">
        <v>1396</v>
      </c>
      <c r="C30" s="69" t="s">
        <v>1397</v>
      </c>
      <c r="D30" s="14" t="str">
        <f t="shared" si="0"/>
        <v>Laki-Laki</v>
      </c>
      <c r="E30" s="24" t="s">
        <v>382</v>
      </c>
      <c r="F30" s="72" t="s">
        <v>142</v>
      </c>
      <c r="G30" s="13" t="s">
        <v>1305</v>
      </c>
      <c r="H30" s="19" t="s">
        <v>1348</v>
      </c>
      <c r="I30" s="19" t="s">
        <v>90</v>
      </c>
      <c r="J30" s="12" t="s">
        <v>45</v>
      </c>
      <c r="K30" s="19" t="s">
        <v>1307</v>
      </c>
      <c r="L30" s="86" t="s">
        <v>446</v>
      </c>
      <c r="M30" s="15">
        <v>2022</v>
      </c>
      <c r="N30" s="15" t="str">
        <f t="shared" si="2"/>
        <v xml:space="preserve">Oktober </v>
      </c>
      <c r="O30" s="15">
        <v>2026</v>
      </c>
      <c r="P30" s="15">
        <v>2022</v>
      </c>
      <c r="Q30" s="15"/>
      <c r="R30" s="16"/>
      <c r="S30" s="15"/>
      <c r="T30" s="15"/>
      <c r="U30" s="15"/>
      <c r="V30" s="15"/>
      <c r="W30" s="15"/>
    </row>
    <row r="31" spans="1:23" s="17" customFormat="1" ht="14.5" x14ac:dyDescent="0.35">
      <c r="A31" s="12">
        <v>384</v>
      </c>
      <c r="B31" s="25" t="s">
        <v>1398</v>
      </c>
      <c r="C31" s="69" t="s">
        <v>1399</v>
      </c>
      <c r="D31" s="14" t="str">
        <f t="shared" si="0"/>
        <v>Laki-Laki</v>
      </c>
      <c r="E31" s="24" t="s">
        <v>471</v>
      </c>
      <c r="F31" s="72" t="s">
        <v>558</v>
      </c>
      <c r="G31" s="13" t="s">
        <v>1305</v>
      </c>
      <c r="H31" s="19" t="s">
        <v>1400</v>
      </c>
      <c r="I31" s="19" t="s">
        <v>1395</v>
      </c>
      <c r="J31" s="12" t="s">
        <v>242</v>
      </c>
      <c r="K31" s="19" t="s">
        <v>344</v>
      </c>
      <c r="L31" s="86" t="s">
        <v>145</v>
      </c>
      <c r="M31" s="15">
        <v>2022</v>
      </c>
      <c r="N31" s="15" t="str">
        <f t="shared" si="2"/>
        <v xml:space="preserve">Agustus </v>
      </c>
      <c r="O31" s="15">
        <v>2025</v>
      </c>
      <c r="P31" s="15">
        <v>2022</v>
      </c>
      <c r="Q31" s="15"/>
      <c r="R31" s="16" t="s">
        <v>51</v>
      </c>
      <c r="S31" s="15"/>
      <c r="T31" s="15"/>
      <c r="U31" s="15"/>
      <c r="V31" s="15"/>
      <c r="W31" s="15"/>
    </row>
    <row r="32" spans="1:23" s="17" customFormat="1" ht="28" x14ac:dyDescent="0.35">
      <c r="A32" s="12">
        <v>385</v>
      </c>
      <c r="B32" s="25" t="s">
        <v>1401</v>
      </c>
      <c r="C32" s="69" t="s">
        <v>1402</v>
      </c>
      <c r="D32" s="14" t="str">
        <f t="shared" si="0"/>
        <v>Laki-Laki</v>
      </c>
      <c r="E32" s="24" t="s">
        <v>370</v>
      </c>
      <c r="F32" s="72" t="s">
        <v>1403</v>
      </c>
      <c r="G32" s="13" t="s">
        <v>1305</v>
      </c>
      <c r="H32" s="19" t="s">
        <v>1367</v>
      </c>
      <c r="I32" s="19" t="s">
        <v>1404</v>
      </c>
      <c r="J32" s="19" t="s">
        <v>26</v>
      </c>
      <c r="K32" s="19" t="s">
        <v>204</v>
      </c>
      <c r="L32" s="86" t="s">
        <v>118</v>
      </c>
      <c r="M32" s="15">
        <v>2022</v>
      </c>
      <c r="N32" s="15" t="str">
        <f t="shared" si="2"/>
        <v xml:space="preserve">Januari </v>
      </c>
      <c r="O32" s="15">
        <v>2024</v>
      </c>
      <c r="P32" s="15">
        <v>2022</v>
      </c>
      <c r="Q32" s="15"/>
      <c r="R32" s="16" t="s">
        <v>29</v>
      </c>
      <c r="S32" s="15"/>
      <c r="T32" s="15"/>
      <c r="U32" s="15"/>
      <c r="V32" s="15"/>
      <c r="W32" s="15"/>
    </row>
    <row r="33" spans="1:23" s="17" customFormat="1" ht="14.5" x14ac:dyDescent="0.35">
      <c r="A33" s="12">
        <v>386</v>
      </c>
      <c r="B33" s="25" t="s">
        <v>1405</v>
      </c>
      <c r="C33" s="69" t="s">
        <v>1406</v>
      </c>
      <c r="D33" s="14" t="str">
        <f t="shared" si="0"/>
        <v>Perempuan</v>
      </c>
      <c r="E33" s="24" t="s">
        <v>109</v>
      </c>
      <c r="F33" s="72" t="s">
        <v>1407</v>
      </c>
      <c r="G33" s="13" t="s">
        <v>1305</v>
      </c>
      <c r="H33" s="19" t="s">
        <v>1384</v>
      </c>
      <c r="I33" s="19" t="s">
        <v>90</v>
      </c>
      <c r="J33" s="19" t="s">
        <v>26</v>
      </c>
      <c r="K33" s="19" t="s">
        <v>394</v>
      </c>
      <c r="L33" s="86" t="s">
        <v>205</v>
      </c>
      <c r="M33" s="15">
        <v>2023</v>
      </c>
      <c r="N33" s="15" t="str">
        <f t="shared" si="2"/>
        <v xml:space="preserve">September </v>
      </c>
      <c r="O33" s="15">
        <v>2025</v>
      </c>
      <c r="P33" s="15">
        <v>2024</v>
      </c>
      <c r="Q33" s="15"/>
      <c r="R33" s="16"/>
      <c r="S33" s="15"/>
      <c r="T33" s="15"/>
      <c r="U33" s="15"/>
      <c r="V33" s="15"/>
      <c r="W33" s="15"/>
    </row>
    <row r="34" spans="1:23" s="17" customFormat="1" ht="28" x14ac:dyDescent="0.35">
      <c r="A34" s="12">
        <v>387</v>
      </c>
      <c r="B34" s="13" t="s">
        <v>1408</v>
      </c>
      <c r="C34" s="14" t="s">
        <v>1409</v>
      </c>
      <c r="D34" s="14" t="str">
        <f t="shared" si="0"/>
        <v>Laki-Laki</v>
      </c>
      <c r="E34" s="13" t="s">
        <v>164</v>
      </c>
      <c r="F34" s="18" t="s">
        <v>1410</v>
      </c>
      <c r="G34" s="13" t="s">
        <v>1305</v>
      </c>
      <c r="H34" s="15" t="s">
        <v>1411</v>
      </c>
      <c r="I34" s="15" t="s">
        <v>90</v>
      </c>
      <c r="J34" s="12" t="s">
        <v>45</v>
      </c>
      <c r="K34" s="15" t="s">
        <v>196</v>
      </c>
      <c r="L34" s="15" t="s">
        <v>28</v>
      </c>
      <c r="M34" s="15">
        <v>2024</v>
      </c>
      <c r="N34" s="15" t="str">
        <f t="shared" si="2"/>
        <v>September</v>
      </c>
      <c r="O34" s="15">
        <v>2028</v>
      </c>
      <c r="P34" s="15">
        <v>2024</v>
      </c>
      <c r="Q34" s="15"/>
      <c r="R34" s="16" t="s">
        <v>51</v>
      </c>
      <c r="S34" s="15"/>
      <c r="T34" s="15"/>
      <c r="U34" s="15"/>
      <c r="V34" s="15"/>
      <c r="W34" s="15"/>
    </row>
    <row r="35" spans="1:23" s="17" customFormat="1" ht="14.5" x14ac:dyDescent="0.35">
      <c r="A35" s="12">
        <v>388</v>
      </c>
      <c r="B35" s="13" t="s">
        <v>1412</v>
      </c>
      <c r="C35" s="14" t="s">
        <v>1413</v>
      </c>
      <c r="D35" s="14" t="str">
        <f t="shared" si="0"/>
        <v>Laki-Laki</v>
      </c>
      <c r="E35" s="13" t="s">
        <v>164</v>
      </c>
      <c r="F35" s="18" t="s">
        <v>1414</v>
      </c>
      <c r="G35" s="13" t="s">
        <v>1305</v>
      </c>
      <c r="H35" s="15" t="s">
        <v>1415</v>
      </c>
      <c r="I35" s="15" t="s">
        <v>90</v>
      </c>
      <c r="J35" s="12" t="s">
        <v>45</v>
      </c>
      <c r="K35" s="15" t="s">
        <v>221</v>
      </c>
      <c r="L35" s="15" t="s">
        <v>28</v>
      </c>
      <c r="M35" s="15">
        <v>2024</v>
      </c>
      <c r="N35" s="15" t="str">
        <f t="shared" si="2"/>
        <v>September</v>
      </c>
      <c r="O35" s="15">
        <v>2028</v>
      </c>
      <c r="P35" s="15">
        <v>2024</v>
      </c>
      <c r="Q35" s="15"/>
      <c r="R35" s="16" t="s">
        <v>51</v>
      </c>
      <c r="S35" s="15"/>
      <c r="T35" s="15"/>
      <c r="U35" s="15"/>
      <c r="V35" s="15"/>
      <c r="W35" s="15"/>
    </row>
    <row r="36" spans="1:23" s="17" customFormat="1" ht="28" x14ac:dyDescent="0.35">
      <c r="A36" s="12">
        <v>389</v>
      </c>
      <c r="B36" s="25" t="s">
        <v>1416</v>
      </c>
      <c r="C36" s="26" t="s">
        <v>1417</v>
      </c>
      <c r="D36" s="14" t="str">
        <f t="shared" si="0"/>
        <v>Laki-Laki</v>
      </c>
      <c r="E36" s="25" t="s">
        <v>215</v>
      </c>
      <c r="F36" s="25" t="s">
        <v>1388</v>
      </c>
      <c r="G36" s="25" t="s">
        <v>1305</v>
      </c>
      <c r="H36" s="19" t="s">
        <v>1418</v>
      </c>
      <c r="I36" s="28" t="s">
        <v>90</v>
      </c>
      <c r="J36" s="32" t="s">
        <v>180</v>
      </c>
      <c r="K36" s="32" t="s">
        <v>1419</v>
      </c>
      <c r="L36" s="47" t="s">
        <v>446</v>
      </c>
      <c r="M36" s="15">
        <v>2024</v>
      </c>
      <c r="N36" s="15" t="str">
        <f>L36</f>
        <v xml:space="preserve">Oktober </v>
      </c>
      <c r="O36" s="15">
        <v>2028</v>
      </c>
      <c r="P36" s="15">
        <v>2025</v>
      </c>
      <c r="Q36" s="15"/>
      <c r="R36" s="16" t="s">
        <v>51</v>
      </c>
      <c r="S36" s="15"/>
      <c r="T36" s="15"/>
      <c r="U36" s="15"/>
      <c r="V36" s="15"/>
      <c r="W36" s="15"/>
    </row>
    <row r="37" spans="1:23" s="17" customFormat="1" ht="28" x14ac:dyDescent="0.35">
      <c r="A37" s="12">
        <v>390</v>
      </c>
      <c r="B37" s="25" t="s">
        <v>1420</v>
      </c>
      <c r="C37" s="26" t="s">
        <v>1421</v>
      </c>
      <c r="D37" s="14" t="str">
        <f t="shared" si="0"/>
        <v>Laki-Laki</v>
      </c>
      <c r="E37" s="25" t="s">
        <v>188</v>
      </c>
      <c r="F37" s="25" t="s">
        <v>540</v>
      </c>
      <c r="G37" s="25" t="s">
        <v>1305</v>
      </c>
      <c r="H37" s="19" t="s">
        <v>1418</v>
      </c>
      <c r="I37" s="28" t="s">
        <v>385</v>
      </c>
      <c r="J37" s="32" t="s">
        <v>190</v>
      </c>
      <c r="K37" s="32" t="s">
        <v>449</v>
      </c>
      <c r="L37" s="47" t="s">
        <v>145</v>
      </c>
      <c r="M37" s="15">
        <v>2024</v>
      </c>
      <c r="N37" s="15" t="str">
        <f t="shared" ref="N37:N38" si="3">L37</f>
        <v xml:space="preserve">Agustus </v>
      </c>
      <c r="O37" s="15">
        <v>2026</v>
      </c>
      <c r="P37" s="15">
        <v>2025</v>
      </c>
      <c r="Q37" s="15"/>
      <c r="R37" s="16" t="s">
        <v>51</v>
      </c>
      <c r="S37" s="15"/>
      <c r="T37" s="15"/>
      <c r="U37" s="15"/>
      <c r="V37" s="15"/>
      <c r="W37" s="15"/>
    </row>
    <row r="38" spans="1:23" s="17" customFormat="1" ht="14.5" x14ac:dyDescent="0.35">
      <c r="A38" s="12">
        <v>391</v>
      </c>
      <c r="B38" s="25" t="s">
        <v>1422</v>
      </c>
      <c r="C38" s="26" t="s">
        <v>1423</v>
      </c>
      <c r="D38" s="14" t="str">
        <f t="shared" si="0"/>
        <v>Laki-Laki</v>
      </c>
      <c r="E38" s="25" t="s">
        <v>1424</v>
      </c>
      <c r="F38" s="25" t="s">
        <v>1425</v>
      </c>
      <c r="G38" s="25" t="s">
        <v>1305</v>
      </c>
      <c r="H38" s="19" t="s">
        <v>1426</v>
      </c>
      <c r="I38" s="28" t="s">
        <v>1404</v>
      </c>
      <c r="J38" s="32" t="s">
        <v>190</v>
      </c>
      <c r="K38" s="32" t="s">
        <v>204</v>
      </c>
      <c r="L38" s="47" t="s">
        <v>28</v>
      </c>
      <c r="M38" s="15">
        <v>2024</v>
      </c>
      <c r="N38" s="15" t="str">
        <f t="shared" si="3"/>
        <v>September</v>
      </c>
      <c r="O38" s="15">
        <v>2026</v>
      </c>
      <c r="P38" s="15">
        <v>2025</v>
      </c>
      <c r="Q38" s="15"/>
      <c r="R38" s="16" t="s">
        <v>51</v>
      </c>
      <c r="S38" s="15"/>
      <c r="T38" s="15"/>
      <c r="U38" s="15"/>
      <c r="V38" s="15"/>
      <c r="W38" s="15"/>
    </row>
    <row r="39" spans="1:23" ht="13" x14ac:dyDescent="0.3">
      <c r="A39" s="58"/>
      <c r="B39" s="58"/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  <c r="N39" s="60"/>
      <c r="O39" s="60"/>
      <c r="P39" s="59"/>
      <c r="Q39" s="59"/>
      <c r="R39" s="60"/>
      <c r="S39" s="60"/>
      <c r="T39" s="60"/>
      <c r="U39" s="60"/>
      <c r="V39" s="60"/>
      <c r="W39" s="60"/>
    </row>
    <row r="40" spans="1:23" ht="13" x14ac:dyDescent="0.3">
      <c r="A40" s="58"/>
      <c r="B40" s="58"/>
      <c r="C40" s="58"/>
      <c r="D40" s="58"/>
      <c r="E40" s="58"/>
      <c r="F40" s="58"/>
      <c r="G40" s="58"/>
      <c r="H40" s="59"/>
      <c r="I40" s="59"/>
      <c r="J40" s="59"/>
      <c r="K40" s="59"/>
      <c r="L40" s="59"/>
      <c r="M40" s="60"/>
      <c r="N40" s="60"/>
      <c r="O40" s="60"/>
      <c r="P40" s="59"/>
      <c r="Q40" s="59"/>
      <c r="R40" s="60"/>
      <c r="S40" s="60"/>
      <c r="T40" s="60"/>
      <c r="U40" s="60"/>
      <c r="V40" s="60"/>
      <c r="W40" s="60"/>
    </row>
    <row r="41" spans="1:23" ht="13" x14ac:dyDescent="0.3">
      <c r="A41" s="58"/>
      <c r="B41" s="58"/>
      <c r="C41" s="58"/>
      <c r="D41" s="58"/>
      <c r="E41" s="58"/>
      <c r="F41" s="58"/>
      <c r="G41" s="58"/>
      <c r="H41" s="59"/>
      <c r="I41" s="59"/>
      <c r="J41" s="59"/>
      <c r="K41" s="59"/>
      <c r="L41" s="59"/>
      <c r="M41" s="60"/>
      <c r="N41" s="60"/>
      <c r="O41" s="60"/>
      <c r="P41" s="59"/>
      <c r="Q41" s="59"/>
      <c r="R41" s="60"/>
      <c r="S41" s="60"/>
      <c r="T41" s="60"/>
      <c r="U41" s="60"/>
      <c r="V41" s="60"/>
      <c r="W41" s="60"/>
    </row>
    <row r="42" spans="1:23" ht="13" x14ac:dyDescent="0.3">
      <c r="A42" s="58"/>
      <c r="B42" s="58"/>
      <c r="C42" s="58"/>
      <c r="D42" s="58"/>
      <c r="E42" s="58"/>
      <c r="F42" s="58"/>
      <c r="G42" s="58"/>
      <c r="H42" s="59"/>
      <c r="I42" s="59"/>
      <c r="J42" s="59"/>
      <c r="K42" s="59"/>
      <c r="L42" s="59"/>
      <c r="M42" s="60"/>
      <c r="N42" s="60"/>
      <c r="O42" s="60"/>
      <c r="P42" s="59"/>
      <c r="Q42" s="59"/>
      <c r="R42" s="60"/>
      <c r="S42" s="60"/>
      <c r="T42" s="60"/>
      <c r="U42" s="60"/>
      <c r="V42" s="60"/>
      <c r="W42" s="60"/>
    </row>
    <row r="43" spans="1:23" ht="13" x14ac:dyDescent="0.3">
      <c r="A43" s="58"/>
      <c r="B43" s="58"/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  <c r="N43" s="60"/>
      <c r="O43" s="60"/>
      <c r="P43" s="59"/>
      <c r="Q43" s="59"/>
      <c r="R43" s="60"/>
      <c r="S43" s="60"/>
      <c r="T43" s="60"/>
      <c r="U43" s="60"/>
      <c r="V43" s="60"/>
      <c r="W43" s="60"/>
    </row>
    <row r="44" spans="1:23" ht="13" x14ac:dyDescent="0.3">
      <c r="A44" s="58"/>
      <c r="B44" s="58"/>
      <c r="C44" s="58"/>
      <c r="D44" s="58"/>
      <c r="E44" s="58"/>
      <c r="F44" s="58"/>
      <c r="G44" s="58"/>
      <c r="H44" s="59"/>
      <c r="I44" s="59"/>
      <c r="J44" s="59"/>
      <c r="K44" s="59"/>
      <c r="L44" s="59"/>
      <c r="M44" s="60"/>
      <c r="N44" s="60"/>
      <c r="O44" s="60"/>
      <c r="P44" s="59"/>
      <c r="Q44" s="59"/>
      <c r="R44" s="60"/>
      <c r="S44" s="60"/>
      <c r="T44" s="60"/>
      <c r="U44" s="60"/>
      <c r="V44" s="60"/>
      <c r="W44" s="60"/>
    </row>
    <row r="45" spans="1:23" ht="13" x14ac:dyDescent="0.3">
      <c r="A45" s="58"/>
      <c r="B45" s="58"/>
      <c r="C45" s="58"/>
      <c r="D45" s="58"/>
      <c r="E45" s="58"/>
      <c r="F45" s="58"/>
      <c r="G45" s="58"/>
      <c r="H45" s="59"/>
      <c r="I45" s="59"/>
      <c r="J45" s="59"/>
      <c r="K45" s="59"/>
      <c r="L45" s="59"/>
      <c r="M45" s="60"/>
      <c r="N45" s="60"/>
      <c r="O45" s="60"/>
      <c r="P45" s="59"/>
      <c r="Q45" s="59"/>
      <c r="R45" s="60"/>
      <c r="S45" s="60"/>
      <c r="T45" s="60"/>
      <c r="U45" s="60"/>
      <c r="V45" s="60"/>
      <c r="W45" s="60"/>
    </row>
    <row r="46" spans="1:23" ht="13" x14ac:dyDescent="0.3">
      <c r="A46" s="58"/>
      <c r="B46" s="58"/>
      <c r="C46" s="58"/>
      <c r="D46" s="58"/>
      <c r="E46" s="58"/>
      <c r="F46" s="58"/>
      <c r="G46" s="58"/>
      <c r="H46" s="59"/>
      <c r="I46" s="59"/>
      <c r="J46" s="59"/>
      <c r="K46" s="59"/>
      <c r="L46" s="59"/>
      <c r="M46" s="60"/>
      <c r="N46" s="60"/>
      <c r="O46" s="60"/>
      <c r="P46" s="59"/>
      <c r="Q46" s="59"/>
      <c r="R46" s="60"/>
      <c r="S46" s="60"/>
      <c r="T46" s="60"/>
      <c r="U46" s="60"/>
      <c r="V46" s="60"/>
      <c r="W46" s="60"/>
    </row>
    <row r="47" spans="1:23" ht="13" x14ac:dyDescent="0.3">
      <c r="A47" s="58"/>
      <c r="B47" s="58"/>
      <c r="C47" s="58"/>
      <c r="D47" s="58"/>
      <c r="E47" s="58"/>
      <c r="F47" s="58"/>
      <c r="G47" s="58"/>
      <c r="H47" s="59"/>
      <c r="I47" s="59"/>
      <c r="J47" s="59"/>
      <c r="K47" s="59"/>
      <c r="L47" s="59"/>
      <c r="M47" s="60"/>
      <c r="N47" s="60"/>
      <c r="O47" s="60"/>
      <c r="P47" s="59"/>
      <c r="Q47" s="59"/>
      <c r="R47" s="60"/>
      <c r="S47" s="60"/>
      <c r="T47" s="60"/>
      <c r="U47" s="60"/>
      <c r="V47" s="60"/>
      <c r="W47" s="60"/>
    </row>
    <row r="48" spans="1:23" ht="13" x14ac:dyDescent="0.3">
      <c r="A48" s="58"/>
      <c r="B48" s="58"/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  <c r="N48" s="60"/>
      <c r="O48" s="60"/>
      <c r="P48" s="59"/>
      <c r="Q48" s="59"/>
      <c r="R48" s="60"/>
      <c r="S48" s="60"/>
      <c r="T48" s="60"/>
      <c r="U48" s="60"/>
      <c r="V48" s="60"/>
      <c r="W48" s="60"/>
    </row>
    <row r="49" spans="1:23" ht="13" x14ac:dyDescent="0.3">
      <c r="A49" s="58"/>
      <c r="B49" s="58"/>
      <c r="C49" s="58"/>
      <c r="D49" s="58"/>
      <c r="E49" s="58"/>
      <c r="F49" s="58"/>
      <c r="G49" s="58"/>
      <c r="H49" s="59"/>
      <c r="I49" s="59"/>
      <c r="J49" s="59"/>
      <c r="K49" s="59"/>
      <c r="L49" s="59"/>
      <c r="M49" s="60"/>
      <c r="N49" s="60"/>
      <c r="O49" s="60"/>
      <c r="P49" s="59"/>
      <c r="Q49" s="59"/>
      <c r="R49" s="60"/>
      <c r="S49" s="60"/>
      <c r="T49" s="60"/>
      <c r="U49" s="60"/>
      <c r="V49" s="60"/>
      <c r="W49" s="60"/>
    </row>
    <row r="50" spans="1:23" ht="13" x14ac:dyDescent="0.3">
      <c r="A50" s="58"/>
      <c r="B50" s="58"/>
      <c r="C50" s="58"/>
      <c r="D50" s="58"/>
      <c r="E50" s="58"/>
      <c r="F50" s="58"/>
      <c r="G50" s="58"/>
      <c r="H50" s="59"/>
      <c r="I50" s="59"/>
      <c r="J50" s="59"/>
      <c r="K50" s="59"/>
      <c r="L50" s="59"/>
      <c r="M50" s="60"/>
      <c r="N50" s="60"/>
      <c r="O50" s="60"/>
      <c r="P50" s="59"/>
      <c r="Q50" s="59"/>
      <c r="R50" s="60"/>
      <c r="S50" s="60"/>
      <c r="T50" s="60"/>
      <c r="U50" s="60"/>
      <c r="V50" s="60"/>
      <c r="W50" s="60"/>
    </row>
    <row r="51" spans="1:23" ht="13" x14ac:dyDescent="0.3">
      <c r="A51" s="58"/>
      <c r="B51" s="58"/>
      <c r="C51" s="58"/>
      <c r="D51" s="58"/>
      <c r="E51" s="58"/>
      <c r="F51" s="58"/>
      <c r="G51" s="58"/>
      <c r="H51" s="59"/>
      <c r="I51" s="59"/>
      <c r="J51" s="59"/>
      <c r="K51" s="59"/>
      <c r="L51" s="59"/>
      <c r="M51" s="60"/>
      <c r="N51" s="60"/>
      <c r="O51" s="60"/>
      <c r="P51" s="59"/>
      <c r="Q51" s="59"/>
      <c r="R51" s="60"/>
      <c r="S51" s="60"/>
      <c r="T51" s="60"/>
      <c r="U51" s="60"/>
      <c r="V51" s="60"/>
      <c r="W51" s="60"/>
    </row>
    <row r="52" spans="1:23" ht="13" x14ac:dyDescent="0.3">
      <c r="A52" s="58"/>
      <c r="B52" s="58"/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  <c r="N52" s="60"/>
      <c r="O52" s="60"/>
      <c r="P52" s="59"/>
      <c r="Q52" s="59"/>
      <c r="R52" s="60"/>
      <c r="S52" s="60"/>
      <c r="T52" s="60"/>
      <c r="U52" s="60"/>
      <c r="V52" s="60"/>
      <c r="W52" s="60"/>
    </row>
    <row r="53" spans="1:23" ht="13" x14ac:dyDescent="0.3">
      <c r="A53" s="58"/>
      <c r="B53" s="58"/>
      <c r="C53" s="58"/>
      <c r="D53" s="58"/>
      <c r="E53" s="58"/>
      <c r="F53" s="58"/>
      <c r="G53" s="58"/>
      <c r="H53" s="59"/>
      <c r="I53" s="59"/>
      <c r="J53" s="59"/>
      <c r="K53" s="59"/>
      <c r="L53" s="59"/>
      <c r="M53" s="60"/>
      <c r="N53" s="60"/>
      <c r="O53" s="60"/>
      <c r="P53" s="59"/>
      <c r="Q53" s="59"/>
      <c r="R53" s="60"/>
      <c r="S53" s="60"/>
      <c r="T53" s="60"/>
      <c r="U53" s="60"/>
      <c r="V53" s="60"/>
      <c r="W53" s="60"/>
    </row>
    <row r="54" spans="1:23" ht="13" x14ac:dyDescent="0.3">
      <c r="A54" s="58"/>
      <c r="B54" s="58"/>
      <c r="C54" s="58"/>
      <c r="D54" s="58"/>
      <c r="E54" s="58"/>
      <c r="F54" s="58"/>
      <c r="G54" s="58"/>
      <c r="H54" s="59"/>
      <c r="I54" s="59"/>
      <c r="J54" s="59"/>
      <c r="K54" s="59"/>
      <c r="L54" s="59"/>
      <c r="M54" s="60"/>
      <c r="N54" s="60"/>
      <c r="O54" s="60"/>
      <c r="P54" s="59"/>
      <c r="Q54" s="59"/>
      <c r="R54" s="60"/>
      <c r="S54" s="60"/>
      <c r="T54" s="60"/>
      <c r="U54" s="60"/>
      <c r="V54" s="60"/>
      <c r="W54" s="60"/>
    </row>
    <row r="55" spans="1:23" ht="13" x14ac:dyDescent="0.3">
      <c r="A55" s="58"/>
      <c r="B55" s="58"/>
      <c r="C55" s="58"/>
      <c r="D55" s="58"/>
      <c r="E55" s="58"/>
      <c r="F55" s="58"/>
      <c r="G55" s="58"/>
      <c r="H55" s="59"/>
      <c r="I55" s="59"/>
      <c r="J55" s="59"/>
      <c r="K55" s="59"/>
      <c r="L55" s="59"/>
      <c r="M55" s="60"/>
      <c r="N55" s="60"/>
      <c r="O55" s="60"/>
      <c r="P55" s="59"/>
      <c r="Q55" s="59"/>
      <c r="R55" s="60"/>
      <c r="S55" s="60"/>
      <c r="T55" s="60"/>
      <c r="U55" s="60"/>
      <c r="V55" s="60"/>
      <c r="W55" s="60"/>
    </row>
    <row r="56" spans="1:23" ht="13" x14ac:dyDescent="0.3">
      <c r="A56" s="58"/>
      <c r="B56" s="58"/>
      <c r="C56" s="58"/>
      <c r="D56" s="58"/>
      <c r="E56" s="58"/>
      <c r="F56" s="58"/>
      <c r="G56" s="58"/>
      <c r="H56" s="59"/>
      <c r="I56" s="59"/>
      <c r="J56" s="59"/>
      <c r="K56" s="59"/>
      <c r="L56" s="59"/>
      <c r="M56" s="60"/>
      <c r="N56" s="60"/>
      <c r="O56" s="60"/>
      <c r="P56" s="59"/>
      <c r="Q56" s="59"/>
      <c r="R56" s="60"/>
      <c r="S56" s="60"/>
      <c r="T56" s="60"/>
      <c r="U56" s="60"/>
      <c r="V56" s="60"/>
      <c r="W56" s="60"/>
    </row>
    <row r="57" spans="1:23" ht="13" x14ac:dyDescent="0.3">
      <c r="A57" s="58"/>
      <c r="B57" s="58"/>
      <c r="C57" s="58"/>
      <c r="D57" s="58"/>
      <c r="E57" s="58"/>
      <c r="F57" s="58"/>
      <c r="G57" s="58"/>
      <c r="H57" s="59"/>
      <c r="I57" s="59"/>
      <c r="J57" s="59"/>
      <c r="K57" s="59"/>
      <c r="L57" s="59"/>
      <c r="M57" s="60"/>
      <c r="N57" s="60"/>
      <c r="O57" s="60"/>
      <c r="P57" s="59"/>
      <c r="Q57" s="59"/>
      <c r="R57" s="60"/>
      <c r="S57" s="60"/>
      <c r="T57" s="60"/>
      <c r="U57" s="60"/>
      <c r="V57" s="60"/>
      <c r="W57" s="60"/>
    </row>
    <row r="58" spans="1:23" ht="13" x14ac:dyDescent="0.3">
      <c r="A58" s="58"/>
      <c r="B58" s="58"/>
      <c r="C58" s="58"/>
      <c r="D58" s="58"/>
      <c r="E58" s="58"/>
      <c r="F58" s="58"/>
      <c r="G58" s="58"/>
      <c r="H58" s="59"/>
      <c r="I58" s="59"/>
      <c r="J58" s="59"/>
      <c r="K58" s="59"/>
      <c r="L58" s="59"/>
      <c r="M58" s="60"/>
      <c r="N58" s="60"/>
      <c r="O58" s="60"/>
      <c r="P58" s="59"/>
      <c r="Q58" s="59"/>
      <c r="R58" s="60"/>
      <c r="S58" s="60"/>
      <c r="T58" s="60"/>
      <c r="U58" s="60"/>
      <c r="V58" s="60"/>
      <c r="W58" s="60"/>
    </row>
    <row r="59" spans="1:23" ht="13" x14ac:dyDescent="0.3">
      <c r="A59" s="58"/>
      <c r="B59" s="58"/>
      <c r="C59" s="58"/>
      <c r="D59" s="58"/>
      <c r="E59" s="58"/>
      <c r="F59" s="58"/>
      <c r="G59" s="58"/>
      <c r="H59" s="59"/>
      <c r="I59" s="59"/>
      <c r="J59" s="59"/>
      <c r="K59" s="59"/>
      <c r="L59" s="59"/>
      <c r="M59" s="60"/>
      <c r="N59" s="60"/>
      <c r="O59" s="60"/>
      <c r="P59" s="59"/>
      <c r="Q59" s="59"/>
      <c r="R59" s="60"/>
      <c r="S59" s="60"/>
      <c r="T59" s="60"/>
      <c r="U59" s="60"/>
      <c r="V59" s="60"/>
      <c r="W59" s="60"/>
    </row>
    <row r="60" spans="1:23" ht="13" x14ac:dyDescent="0.3">
      <c r="A60" s="58"/>
      <c r="B60" s="58"/>
      <c r="C60" s="58"/>
      <c r="D60" s="58"/>
      <c r="E60" s="58"/>
      <c r="F60" s="58"/>
      <c r="G60" s="58"/>
      <c r="H60" s="59"/>
      <c r="I60" s="59"/>
      <c r="J60" s="59"/>
      <c r="K60" s="59"/>
      <c r="L60" s="59"/>
      <c r="M60" s="60"/>
      <c r="N60" s="60"/>
      <c r="O60" s="60"/>
      <c r="P60" s="59"/>
      <c r="Q60" s="59"/>
      <c r="R60" s="60"/>
      <c r="S60" s="60"/>
      <c r="T60" s="60"/>
      <c r="U60" s="60"/>
      <c r="V60" s="60"/>
      <c r="W60" s="60"/>
    </row>
    <row r="61" spans="1:23" ht="13" x14ac:dyDescent="0.3">
      <c r="A61" s="58"/>
      <c r="B61" s="58"/>
      <c r="C61" s="58"/>
      <c r="D61" s="58"/>
      <c r="E61" s="58"/>
      <c r="F61" s="58"/>
      <c r="G61" s="58"/>
      <c r="H61" s="59"/>
      <c r="I61" s="59"/>
      <c r="J61" s="59"/>
      <c r="K61" s="59"/>
      <c r="L61" s="59"/>
      <c r="M61" s="60"/>
      <c r="N61" s="60"/>
      <c r="O61" s="60"/>
      <c r="P61" s="59"/>
      <c r="Q61" s="59"/>
      <c r="R61" s="60"/>
      <c r="S61" s="60"/>
      <c r="T61" s="60"/>
      <c r="U61" s="60"/>
      <c r="V61" s="60"/>
      <c r="W61" s="60"/>
    </row>
    <row r="62" spans="1:23" ht="13" x14ac:dyDescent="0.3">
      <c r="A62" s="58"/>
      <c r="B62" s="58"/>
      <c r="C62" s="58"/>
      <c r="D62" s="58"/>
      <c r="E62" s="58"/>
      <c r="F62" s="58"/>
      <c r="G62" s="58"/>
      <c r="H62" s="59"/>
      <c r="I62" s="59"/>
      <c r="J62" s="59"/>
      <c r="K62" s="59"/>
      <c r="L62" s="59"/>
      <c r="M62" s="60"/>
      <c r="N62" s="60"/>
      <c r="O62" s="60"/>
      <c r="P62" s="59"/>
      <c r="Q62" s="59"/>
      <c r="R62" s="60"/>
      <c r="S62" s="60"/>
      <c r="T62" s="60"/>
      <c r="U62" s="60"/>
      <c r="V62" s="60"/>
      <c r="W62" s="60"/>
    </row>
    <row r="63" spans="1:23" ht="13" x14ac:dyDescent="0.3">
      <c r="A63" s="58"/>
      <c r="B63" s="58"/>
      <c r="C63" s="58"/>
      <c r="D63" s="58"/>
      <c r="E63" s="58"/>
      <c r="F63" s="58"/>
      <c r="G63" s="58"/>
      <c r="H63" s="59"/>
      <c r="I63" s="59"/>
      <c r="J63" s="59"/>
      <c r="K63" s="59"/>
      <c r="L63" s="59"/>
      <c r="M63" s="60"/>
      <c r="N63" s="60"/>
      <c r="O63" s="60"/>
      <c r="P63" s="59"/>
      <c r="Q63" s="59"/>
      <c r="R63" s="60"/>
      <c r="S63" s="60"/>
      <c r="T63" s="60"/>
      <c r="U63" s="60"/>
      <c r="V63" s="60"/>
      <c r="W63" s="60"/>
    </row>
    <row r="64" spans="1:23" ht="13" x14ac:dyDescent="0.3">
      <c r="A64" s="58"/>
      <c r="B64" s="58"/>
      <c r="C64" s="58"/>
      <c r="D64" s="58"/>
      <c r="E64" s="58"/>
      <c r="F64" s="58"/>
      <c r="G64" s="58"/>
      <c r="H64" s="59"/>
      <c r="I64" s="59"/>
      <c r="J64" s="59"/>
      <c r="K64" s="59"/>
      <c r="L64" s="59"/>
      <c r="M64" s="60"/>
      <c r="N64" s="60"/>
      <c r="O64" s="60"/>
      <c r="P64" s="59"/>
      <c r="Q64" s="59"/>
      <c r="R64" s="60"/>
      <c r="S64" s="60"/>
      <c r="T64" s="60"/>
      <c r="U64" s="60"/>
      <c r="V64" s="60"/>
      <c r="W64" s="60"/>
    </row>
    <row r="65" spans="1:23" ht="13" x14ac:dyDescent="0.3">
      <c r="A65" s="58"/>
      <c r="B65" s="58"/>
      <c r="C65" s="58"/>
      <c r="D65" s="58"/>
      <c r="E65" s="58"/>
      <c r="F65" s="58"/>
      <c r="G65" s="58"/>
      <c r="H65" s="59"/>
      <c r="I65" s="59"/>
      <c r="J65" s="59"/>
      <c r="K65" s="59"/>
      <c r="L65" s="59"/>
      <c r="M65" s="60"/>
      <c r="N65" s="60"/>
      <c r="O65" s="60"/>
      <c r="P65" s="59"/>
      <c r="Q65" s="59"/>
      <c r="R65" s="60"/>
      <c r="S65" s="60"/>
      <c r="T65" s="60"/>
      <c r="U65" s="60"/>
      <c r="V65" s="60"/>
      <c r="W65" s="60"/>
    </row>
    <row r="66" spans="1:23" ht="13" x14ac:dyDescent="0.3">
      <c r="A66" s="58"/>
      <c r="B66" s="58"/>
      <c r="C66" s="58"/>
      <c r="D66" s="58"/>
      <c r="E66" s="58"/>
      <c r="F66" s="58"/>
      <c r="G66" s="58"/>
      <c r="H66" s="59"/>
      <c r="I66" s="59"/>
      <c r="J66" s="59"/>
      <c r="K66" s="59"/>
      <c r="L66" s="59"/>
      <c r="M66" s="60"/>
      <c r="N66" s="60"/>
      <c r="O66" s="60"/>
      <c r="P66" s="59"/>
      <c r="Q66" s="59"/>
      <c r="R66" s="60"/>
      <c r="S66" s="60"/>
      <c r="T66" s="60"/>
      <c r="U66" s="60"/>
      <c r="V66" s="60"/>
      <c r="W66" s="60"/>
    </row>
    <row r="67" spans="1:23" ht="13" x14ac:dyDescent="0.3">
      <c r="A67" s="58"/>
      <c r="B67" s="58"/>
      <c r="C67" s="58"/>
      <c r="D67" s="58"/>
      <c r="E67" s="58"/>
      <c r="F67" s="58"/>
      <c r="G67" s="58"/>
      <c r="H67" s="59"/>
      <c r="I67" s="59"/>
      <c r="J67" s="59"/>
      <c r="K67" s="59"/>
      <c r="L67" s="59"/>
      <c r="M67" s="60"/>
      <c r="N67" s="60"/>
      <c r="O67" s="60"/>
      <c r="P67" s="59"/>
      <c r="Q67" s="59"/>
      <c r="R67" s="60"/>
      <c r="S67" s="60"/>
      <c r="T67" s="60"/>
      <c r="U67" s="60"/>
      <c r="V67" s="60"/>
      <c r="W67" s="60"/>
    </row>
    <row r="68" spans="1:23" ht="13" x14ac:dyDescent="0.3">
      <c r="A68" s="58"/>
      <c r="B68" s="58"/>
      <c r="C68" s="58"/>
      <c r="D68" s="58"/>
      <c r="E68" s="58"/>
      <c r="F68" s="58"/>
      <c r="G68" s="58"/>
      <c r="H68" s="59"/>
      <c r="I68" s="59"/>
      <c r="J68" s="59"/>
      <c r="K68" s="59"/>
      <c r="L68" s="59"/>
      <c r="M68" s="60"/>
      <c r="N68" s="60"/>
      <c r="O68" s="60"/>
      <c r="P68" s="59"/>
      <c r="Q68" s="59"/>
      <c r="R68" s="60"/>
      <c r="S68" s="60"/>
      <c r="T68" s="60"/>
      <c r="U68" s="60"/>
      <c r="V68" s="60"/>
      <c r="W68" s="60"/>
    </row>
    <row r="69" spans="1:23" ht="13" x14ac:dyDescent="0.3">
      <c r="A69" s="58"/>
      <c r="B69" s="58"/>
      <c r="C69" s="58"/>
      <c r="D69" s="58"/>
      <c r="E69" s="58"/>
      <c r="F69" s="58"/>
      <c r="G69" s="58"/>
      <c r="H69" s="59"/>
      <c r="I69" s="59"/>
      <c r="J69" s="59"/>
      <c r="K69" s="59"/>
      <c r="L69" s="59"/>
      <c r="M69" s="60"/>
      <c r="N69" s="60"/>
      <c r="O69" s="60"/>
      <c r="P69" s="59"/>
      <c r="Q69" s="59"/>
      <c r="R69" s="60"/>
      <c r="S69" s="60"/>
      <c r="T69" s="60"/>
      <c r="U69" s="60"/>
      <c r="V69" s="60"/>
      <c r="W69" s="60"/>
    </row>
    <row r="70" spans="1:23" ht="13" x14ac:dyDescent="0.3">
      <c r="A70" s="58"/>
      <c r="B70" s="58"/>
      <c r="C70" s="58"/>
      <c r="D70" s="58"/>
      <c r="E70" s="58"/>
      <c r="F70" s="58"/>
      <c r="G70" s="58"/>
      <c r="H70" s="59"/>
      <c r="I70" s="59"/>
      <c r="J70" s="59"/>
      <c r="K70" s="59"/>
      <c r="L70" s="59"/>
      <c r="M70" s="60"/>
      <c r="N70" s="60"/>
      <c r="O70" s="60"/>
      <c r="P70" s="59"/>
      <c r="Q70" s="59"/>
      <c r="R70" s="60"/>
      <c r="S70" s="60"/>
      <c r="T70" s="60"/>
      <c r="U70" s="60"/>
      <c r="V70" s="60"/>
      <c r="W70" s="60"/>
    </row>
    <row r="71" spans="1:23" ht="13" x14ac:dyDescent="0.3">
      <c r="A71" s="58"/>
      <c r="B71" s="58"/>
      <c r="C71" s="58"/>
      <c r="D71" s="58"/>
      <c r="E71" s="58"/>
      <c r="F71" s="58"/>
      <c r="G71" s="58"/>
      <c r="H71" s="59"/>
      <c r="I71" s="59"/>
      <c r="J71" s="59"/>
      <c r="K71" s="59"/>
      <c r="L71" s="59"/>
      <c r="M71" s="60"/>
      <c r="N71" s="60"/>
      <c r="O71" s="60"/>
      <c r="P71" s="59"/>
      <c r="Q71" s="59"/>
      <c r="R71" s="60"/>
      <c r="S71" s="60"/>
      <c r="T71" s="60"/>
      <c r="U71" s="60"/>
      <c r="V71" s="60"/>
      <c r="W71" s="60"/>
    </row>
    <row r="72" spans="1:23" ht="13" x14ac:dyDescent="0.3">
      <c r="A72" s="58"/>
      <c r="B72" s="58"/>
      <c r="C72" s="58"/>
      <c r="D72" s="58"/>
      <c r="E72" s="58"/>
      <c r="F72" s="58"/>
      <c r="G72" s="58"/>
      <c r="H72" s="59"/>
      <c r="I72" s="59"/>
      <c r="J72" s="59"/>
      <c r="K72" s="59"/>
      <c r="L72" s="59"/>
      <c r="M72" s="60"/>
      <c r="N72" s="60"/>
      <c r="O72" s="60"/>
      <c r="P72" s="59"/>
      <c r="Q72" s="59"/>
      <c r="R72" s="60"/>
      <c r="S72" s="60"/>
      <c r="T72" s="60"/>
      <c r="U72" s="60"/>
      <c r="V72" s="60"/>
      <c r="W72" s="60"/>
    </row>
    <row r="73" spans="1:23" ht="13" x14ac:dyDescent="0.3">
      <c r="A73" s="58"/>
      <c r="B73" s="58"/>
      <c r="C73" s="58"/>
      <c r="D73" s="58"/>
      <c r="E73" s="58"/>
      <c r="F73" s="58"/>
      <c r="G73" s="58"/>
      <c r="H73" s="59"/>
      <c r="I73" s="59"/>
      <c r="J73" s="59"/>
      <c r="K73" s="59"/>
      <c r="L73" s="59"/>
      <c r="M73" s="60"/>
      <c r="N73" s="60"/>
      <c r="O73" s="60"/>
      <c r="P73" s="59"/>
      <c r="Q73" s="59"/>
      <c r="R73" s="60"/>
      <c r="S73" s="60"/>
      <c r="T73" s="60"/>
      <c r="U73" s="60"/>
      <c r="V73" s="60"/>
      <c r="W73" s="60"/>
    </row>
    <row r="74" spans="1:23" ht="13" x14ac:dyDescent="0.3">
      <c r="A74" s="58"/>
      <c r="B74" s="58"/>
      <c r="C74" s="58"/>
      <c r="D74" s="58"/>
      <c r="E74" s="58"/>
      <c r="F74" s="58"/>
      <c r="G74" s="58"/>
      <c r="H74" s="59"/>
      <c r="I74" s="59"/>
      <c r="J74" s="59"/>
      <c r="K74" s="59"/>
      <c r="L74" s="59"/>
      <c r="M74" s="60"/>
      <c r="N74" s="60"/>
      <c r="O74" s="60"/>
      <c r="P74" s="59"/>
      <c r="Q74" s="59"/>
      <c r="R74" s="60"/>
      <c r="S74" s="60"/>
      <c r="T74" s="60"/>
      <c r="U74" s="60"/>
      <c r="V74" s="60"/>
      <c r="W74" s="60"/>
    </row>
    <row r="75" spans="1:23" ht="13" x14ac:dyDescent="0.3">
      <c r="A75" s="58"/>
      <c r="B75" s="58"/>
      <c r="C75" s="58"/>
      <c r="D75" s="58"/>
      <c r="E75" s="58"/>
      <c r="F75" s="58"/>
      <c r="G75" s="58"/>
      <c r="H75" s="59"/>
      <c r="I75" s="59"/>
      <c r="J75" s="59"/>
      <c r="K75" s="59"/>
      <c r="L75" s="59"/>
      <c r="M75" s="60"/>
      <c r="N75" s="60"/>
      <c r="O75" s="60"/>
      <c r="P75" s="59"/>
      <c r="Q75" s="59"/>
      <c r="R75" s="60"/>
      <c r="S75" s="60"/>
      <c r="T75" s="60"/>
      <c r="U75" s="60"/>
      <c r="V75" s="60"/>
      <c r="W75" s="60"/>
    </row>
    <row r="76" spans="1:23" ht="13" x14ac:dyDescent="0.3">
      <c r="A76" s="58"/>
      <c r="B76" s="58"/>
      <c r="C76" s="58"/>
      <c r="D76" s="58"/>
      <c r="E76" s="58"/>
      <c r="F76" s="58"/>
      <c r="G76" s="58"/>
      <c r="H76" s="59"/>
      <c r="I76" s="59"/>
      <c r="J76" s="59"/>
      <c r="K76" s="59"/>
      <c r="L76" s="59"/>
      <c r="M76" s="60"/>
      <c r="N76" s="60"/>
      <c r="O76" s="60"/>
      <c r="P76" s="59"/>
      <c r="Q76" s="59"/>
      <c r="R76" s="60"/>
      <c r="S76" s="60"/>
      <c r="T76" s="60"/>
      <c r="U76" s="60"/>
      <c r="V76" s="60"/>
      <c r="W76" s="60"/>
    </row>
    <row r="77" spans="1:23" ht="13" x14ac:dyDescent="0.3">
      <c r="A77" s="58"/>
      <c r="B77" s="58"/>
      <c r="C77" s="58"/>
      <c r="D77" s="58"/>
      <c r="E77" s="58"/>
      <c r="F77" s="58"/>
      <c r="G77" s="58"/>
      <c r="H77" s="59"/>
      <c r="I77" s="59"/>
      <c r="J77" s="59"/>
      <c r="K77" s="59"/>
      <c r="L77" s="59"/>
      <c r="M77" s="60"/>
      <c r="N77" s="60"/>
      <c r="O77" s="60"/>
      <c r="P77" s="59"/>
      <c r="Q77" s="59"/>
      <c r="R77" s="60"/>
      <c r="S77" s="60"/>
      <c r="T77" s="60"/>
      <c r="U77" s="60"/>
      <c r="V77" s="60"/>
      <c r="W77" s="60"/>
    </row>
    <row r="78" spans="1:23" ht="13" x14ac:dyDescent="0.3">
      <c r="A78" s="58"/>
      <c r="B78" s="58"/>
      <c r="C78" s="58"/>
      <c r="D78" s="58"/>
      <c r="E78" s="58"/>
      <c r="F78" s="58"/>
      <c r="G78" s="58"/>
      <c r="H78" s="59"/>
      <c r="I78" s="59"/>
      <c r="J78" s="59"/>
      <c r="K78" s="59"/>
      <c r="L78" s="59"/>
      <c r="M78" s="60"/>
      <c r="N78" s="60"/>
      <c r="O78" s="60"/>
      <c r="P78" s="59"/>
      <c r="Q78" s="59"/>
      <c r="R78" s="60"/>
      <c r="S78" s="60"/>
      <c r="T78" s="60"/>
      <c r="U78" s="60"/>
      <c r="V78" s="60"/>
      <c r="W78" s="60"/>
    </row>
    <row r="79" spans="1:23" ht="13" x14ac:dyDescent="0.3">
      <c r="A79" s="58"/>
      <c r="B79" s="58"/>
      <c r="C79" s="58"/>
      <c r="D79" s="58"/>
      <c r="E79" s="58"/>
      <c r="F79" s="58"/>
      <c r="G79" s="58"/>
      <c r="H79" s="59"/>
      <c r="I79" s="59"/>
      <c r="J79" s="59"/>
      <c r="K79" s="59"/>
      <c r="L79" s="59"/>
      <c r="M79" s="60"/>
      <c r="N79" s="60"/>
      <c r="O79" s="60"/>
      <c r="P79" s="59"/>
      <c r="Q79" s="59"/>
      <c r="R79" s="60"/>
      <c r="S79" s="60"/>
      <c r="T79" s="60"/>
      <c r="U79" s="60"/>
      <c r="V79" s="60"/>
      <c r="W79" s="60"/>
    </row>
    <row r="80" spans="1:23" ht="13" x14ac:dyDescent="0.3">
      <c r="A80" s="58"/>
      <c r="B80" s="58"/>
      <c r="C80" s="58"/>
      <c r="D80" s="58"/>
      <c r="E80" s="58"/>
      <c r="F80" s="58"/>
      <c r="G80" s="58"/>
      <c r="H80" s="59"/>
      <c r="I80" s="59"/>
      <c r="J80" s="59"/>
      <c r="K80" s="59"/>
      <c r="L80" s="59"/>
      <c r="M80" s="60"/>
      <c r="N80" s="60"/>
      <c r="O80" s="60"/>
      <c r="P80" s="59"/>
      <c r="Q80" s="59"/>
      <c r="R80" s="60"/>
      <c r="S80" s="60"/>
      <c r="T80" s="60"/>
      <c r="U80" s="60"/>
      <c r="V80" s="60"/>
      <c r="W80" s="60"/>
    </row>
    <row r="81" spans="1:23" ht="13" x14ac:dyDescent="0.3">
      <c r="A81" s="58"/>
      <c r="B81" s="58"/>
      <c r="C81" s="58"/>
      <c r="D81" s="58"/>
      <c r="E81" s="58"/>
      <c r="F81" s="58"/>
      <c r="G81" s="58"/>
      <c r="H81" s="59"/>
      <c r="I81" s="59"/>
      <c r="J81" s="59"/>
      <c r="K81" s="59"/>
      <c r="L81" s="59"/>
      <c r="M81" s="60"/>
      <c r="N81" s="60"/>
      <c r="O81" s="60"/>
      <c r="P81" s="59"/>
      <c r="Q81" s="59"/>
      <c r="R81" s="60"/>
      <c r="S81" s="60"/>
      <c r="T81" s="60"/>
      <c r="U81" s="60"/>
      <c r="V81" s="60"/>
      <c r="W81" s="60"/>
    </row>
    <row r="82" spans="1:23" ht="13" x14ac:dyDescent="0.3">
      <c r="A82" s="58"/>
      <c r="B82" s="58"/>
      <c r="C82" s="58"/>
      <c r="D82" s="58"/>
      <c r="E82" s="58"/>
      <c r="F82" s="58"/>
      <c r="G82" s="58"/>
      <c r="H82" s="59"/>
      <c r="I82" s="59"/>
      <c r="J82" s="59"/>
      <c r="K82" s="59"/>
      <c r="L82" s="59"/>
      <c r="M82" s="60"/>
      <c r="N82" s="60"/>
      <c r="O82" s="60"/>
      <c r="P82" s="59"/>
      <c r="Q82" s="59"/>
      <c r="R82" s="60"/>
      <c r="S82" s="60"/>
      <c r="T82" s="60"/>
      <c r="U82" s="60"/>
      <c r="V82" s="60"/>
      <c r="W82" s="60"/>
    </row>
    <row r="83" spans="1:23" ht="13" x14ac:dyDescent="0.3">
      <c r="A83" s="58"/>
      <c r="B83" s="58"/>
      <c r="C83" s="58"/>
      <c r="D83" s="58"/>
      <c r="E83" s="58"/>
      <c r="F83" s="58"/>
      <c r="G83" s="58"/>
      <c r="H83" s="59"/>
      <c r="I83" s="59"/>
      <c r="J83" s="59"/>
      <c r="K83" s="59"/>
      <c r="L83" s="59"/>
      <c r="M83" s="60"/>
      <c r="N83" s="60"/>
      <c r="O83" s="60"/>
      <c r="P83" s="59"/>
      <c r="Q83" s="59"/>
      <c r="R83" s="60"/>
      <c r="S83" s="60"/>
      <c r="T83" s="60"/>
      <c r="U83" s="60"/>
      <c r="V83" s="60"/>
      <c r="W83" s="60"/>
    </row>
    <row r="84" spans="1:23" ht="13" x14ac:dyDescent="0.3">
      <c r="A84" s="58"/>
      <c r="B84" s="58"/>
      <c r="C84" s="58"/>
      <c r="D84" s="58"/>
      <c r="E84" s="58"/>
      <c r="F84" s="58"/>
      <c r="G84" s="58"/>
      <c r="H84" s="59"/>
      <c r="I84" s="59"/>
      <c r="J84" s="59"/>
      <c r="K84" s="59"/>
      <c r="L84" s="59"/>
      <c r="M84" s="60"/>
      <c r="N84" s="60"/>
      <c r="O84" s="60"/>
      <c r="P84" s="59"/>
      <c r="Q84" s="59"/>
      <c r="R84" s="60"/>
      <c r="S84" s="60"/>
      <c r="T84" s="60"/>
      <c r="U84" s="60"/>
      <c r="V84" s="60"/>
      <c r="W84" s="60"/>
    </row>
    <row r="85" spans="1:23" ht="13" x14ac:dyDescent="0.3">
      <c r="A85" s="58"/>
      <c r="B85" s="58"/>
      <c r="C85" s="58"/>
      <c r="D85" s="58"/>
      <c r="E85" s="58"/>
      <c r="F85" s="58"/>
      <c r="G85" s="58"/>
      <c r="H85" s="59"/>
      <c r="I85" s="59"/>
      <c r="J85" s="59"/>
      <c r="K85" s="59"/>
      <c r="L85" s="59"/>
      <c r="M85" s="60"/>
      <c r="N85" s="60"/>
      <c r="O85" s="60"/>
      <c r="P85" s="59"/>
      <c r="Q85" s="59"/>
      <c r="R85" s="60"/>
      <c r="S85" s="60"/>
      <c r="T85" s="60"/>
      <c r="U85" s="60"/>
      <c r="V85" s="60"/>
      <c r="W85" s="60"/>
    </row>
    <row r="86" spans="1:23" ht="13" x14ac:dyDescent="0.3">
      <c r="A86" s="58"/>
      <c r="B86" s="58"/>
      <c r="C86" s="58"/>
      <c r="D86" s="58"/>
      <c r="E86" s="58"/>
      <c r="F86" s="58"/>
      <c r="G86" s="58"/>
      <c r="H86" s="59"/>
      <c r="I86" s="59"/>
      <c r="J86" s="59"/>
      <c r="K86" s="59"/>
      <c r="L86" s="59"/>
      <c r="M86" s="60"/>
      <c r="N86" s="60"/>
      <c r="O86" s="60"/>
      <c r="P86" s="59"/>
      <c r="Q86" s="59"/>
      <c r="R86" s="60"/>
      <c r="S86" s="60"/>
      <c r="T86" s="60"/>
      <c r="U86" s="60"/>
      <c r="V86" s="60"/>
      <c r="W86" s="60"/>
    </row>
    <row r="87" spans="1:23" ht="13" x14ac:dyDescent="0.3">
      <c r="A87" s="58"/>
      <c r="B87" s="58"/>
      <c r="C87" s="58"/>
      <c r="D87" s="58"/>
      <c r="E87" s="58"/>
      <c r="F87" s="58"/>
      <c r="G87" s="58"/>
      <c r="H87" s="59"/>
      <c r="I87" s="59"/>
      <c r="J87" s="59"/>
      <c r="K87" s="59"/>
      <c r="L87" s="59"/>
      <c r="M87" s="60"/>
      <c r="N87" s="60"/>
      <c r="O87" s="60"/>
      <c r="P87" s="59"/>
      <c r="Q87" s="59"/>
      <c r="R87" s="60"/>
      <c r="S87" s="60"/>
      <c r="T87" s="60"/>
      <c r="U87" s="60"/>
      <c r="V87" s="60"/>
      <c r="W87" s="60"/>
    </row>
    <row r="88" spans="1:23" ht="13" x14ac:dyDescent="0.3">
      <c r="A88" s="58"/>
      <c r="B88" s="58"/>
      <c r="C88" s="58"/>
      <c r="D88" s="58"/>
      <c r="E88" s="58"/>
      <c r="F88" s="58"/>
      <c r="G88" s="58"/>
      <c r="H88" s="59"/>
      <c r="I88" s="59"/>
      <c r="J88" s="59"/>
      <c r="K88" s="59"/>
      <c r="L88" s="59"/>
      <c r="M88" s="60"/>
      <c r="N88" s="60"/>
      <c r="O88" s="60"/>
      <c r="P88" s="59"/>
      <c r="Q88" s="59"/>
      <c r="R88" s="60"/>
      <c r="S88" s="60"/>
      <c r="T88" s="60"/>
      <c r="U88" s="60"/>
      <c r="V88" s="60"/>
      <c r="W88" s="60"/>
    </row>
    <row r="89" spans="1:23" ht="13" x14ac:dyDescent="0.3">
      <c r="A89" s="58"/>
      <c r="B89" s="58"/>
      <c r="C89" s="58"/>
      <c r="D89" s="58"/>
      <c r="E89" s="58"/>
      <c r="F89" s="58"/>
      <c r="G89" s="58"/>
      <c r="H89" s="59"/>
      <c r="I89" s="59"/>
      <c r="J89" s="59"/>
      <c r="K89" s="59"/>
      <c r="L89" s="59"/>
      <c r="M89" s="60"/>
      <c r="N89" s="60"/>
      <c r="O89" s="60"/>
      <c r="P89" s="59"/>
      <c r="Q89" s="59"/>
      <c r="R89" s="60"/>
      <c r="S89" s="60"/>
      <c r="T89" s="60"/>
      <c r="U89" s="60"/>
      <c r="V89" s="60"/>
      <c r="W89" s="60"/>
    </row>
    <row r="90" spans="1:23" ht="13" x14ac:dyDescent="0.3">
      <c r="A90" s="58"/>
      <c r="B90" s="58"/>
      <c r="C90" s="58"/>
      <c r="D90" s="58"/>
      <c r="E90" s="58"/>
      <c r="F90" s="58"/>
      <c r="G90" s="58"/>
      <c r="H90" s="59"/>
      <c r="I90" s="59"/>
      <c r="J90" s="59"/>
      <c r="K90" s="59"/>
      <c r="L90" s="59"/>
      <c r="M90" s="60"/>
      <c r="N90" s="60"/>
      <c r="O90" s="60"/>
      <c r="P90" s="59"/>
      <c r="Q90" s="59"/>
      <c r="R90" s="60"/>
      <c r="S90" s="60"/>
      <c r="T90" s="60"/>
      <c r="U90" s="60"/>
      <c r="V90" s="60"/>
      <c r="W90" s="60"/>
    </row>
    <row r="91" spans="1:23" ht="13" x14ac:dyDescent="0.3">
      <c r="A91" s="58"/>
      <c r="B91" s="58"/>
      <c r="C91" s="58"/>
      <c r="D91" s="58"/>
      <c r="E91" s="58"/>
      <c r="F91" s="58"/>
      <c r="G91" s="58"/>
      <c r="H91" s="59"/>
      <c r="I91" s="59"/>
      <c r="J91" s="59"/>
      <c r="K91" s="59"/>
      <c r="L91" s="59"/>
      <c r="M91" s="60"/>
      <c r="N91" s="60"/>
      <c r="O91" s="60"/>
      <c r="P91" s="59"/>
      <c r="Q91" s="59"/>
      <c r="R91" s="60"/>
      <c r="S91" s="60"/>
      <c r="T91" s="60"/>
      <c r="U91" s="60"/>
      <c r="V91" s="60"/>
      <c r="W91" s="60"/>
    </row>
    <row r="92" spans="1:23" ht="13" x14ac:dyDescent="0.3">
      <c r="A92" s="58"/>
      <c r="B92" s="58"/>
      <c r="C92" s="58"/>
      <c r="D92" s="58"/>
      <c r="E92" s="58"/>
      <c r="F92" s="58"/>
      <c r="G92" s="58"/>
      <c r="H92" s="59"/>
      <c r="I92" s="59"/>
      <c r="J92" s="59"/>
      <c r="K92" s="59"/>
      <c r="L92" s="59"/>
      <c r="M92" s="60"/>
      <c r="N92" s="60"/>
      <c r="O92" s="60"/>
      <c r="P92" s="59"/>
      <c r="Q92" s="59"/>
      <c r="R92" s="60"/>
      <c r="S92" s="60"/>
      <c r="T92" s="60"/>
      <c r="U92" s="60"/>
      <c r="V92" s="60"/>
      <c r="W92" s="60"/>
    </row>
    <row r="93" spans="1:23" ht="13" x14ac:dyDescent="0.3">
      <c r="A93" s="58"/>
      <c r="B93" s="58"/>
      <c r="C93" s="58"/>
      <c r="D93" s="58"/>
      <c r="E93" s="58"/>
      <c r="F93" s="58"/>
      <c r="G93" s="58"/>
      <c r="H93" s="59"/>
      <c r="I93" s="59"/>
      <c r="J93" s="59"/>
      <c r="K93" s="59"/>
      <c r="L93" s="59"/>
      <c r="M93" s="60"/>
      <c r="N93" s="60"/>
      <c r="O93" s="60"/>
      <c r="P93" s="59"/>
      <c r="Q93" s="59"/>
      <c r="R93" s="60"/>
      <c r="S93" s="60"/>
      <c r="T93" s="60"/>
      <c r="U93" s="60"/>
      <c r="V93" s="60"/>
      <c r="W93" s="60"/>
    </row>
    <row r="94" spans="1:23" ht="13" x14ac:dyDescent="0.3">
      <c r="A94" s="58"/>
      <c r="B94" s="58"/>
      <c r="C94" s="58"/>
      <c r="D94" s="58"/>
      <c r="E94" s="58"/>
      <c r="F94" s="58"/>
      <c r="G94" s="58"/>
      <c r="H94" s="59"/>
      <c r="I94" s="59"/>
      <c r="J94" s="59"/>
      <c r="K94" s="59"/>
      <c r="L94" s="59"/>
      <c r="M94" s="60"/>
      <c r="N94" s="60"/>
      <c r="O94" s="60"/>
      <c r="P94" s="59"/>
      <c r="Q94" s="59"/>
      <c r="R94" s="60"/>
      <c r="S94" s="60"/>
      <c r="T94" s="60"/>
      <c r="U94" s="60"/>
      <c r="V94" s="60"/>
      <c r="W94" s="60"/>
    </row>
    <row r="95" spans="1:23" ht="13" x14ac:dyDescent="0.3">
      <c r="A95" s="58"/>
      <c r="B95" s="58"/>
      <c r="C95" s="58"/>
      <c r="D95" s="58"/>
      <c r="E95" s="58"/>
      <c r="F95" s="58"/>
      <c r="G95" s="58"/>
      <c r="H95" s="59"/>
      <c r="I95" s="59"/>
      <c r="J95" s="59"/>
      <c r="K95" s="59"/>
      <c r="L95" s="59"/>
      <c r="M95" s="60"/>
      <c r="N95" s="60"/>
      <c r="O95" s="60"/>
      <c r="P95" s="59"/>
      <c r="Q95" s="59"/>
      <c r="R95" s="60"/>
      <c r="S95" s="60"/>
      <c r="T95" s="60"/>
      <c r="U95" s="60"/>
      <c r="V95" s="60"/>
      <c r="W95" s="60"/>
    </row>
    <row r="96" spans="1:23" ht="13" x14ac:dyDescent="0.3">
      <c r="A96" s="58"/>
      <c r="B96" s="58"/>
      <c r="C96" s="58"/>
      <c r="D96" s="58"/>
      <c r="E96" s="58"/>
      <c r="F96" s="58"/>
      <c r="G96" s="58"/>
      <c r="H96" s="59"/>
      <c r="I96" s="59"/>
      <c r="J96" s="59"/>
      <c r="K96" s="59"/>
      <c r="L96" s="59"/>
      <c r="M96" s="60"/>
      <c r="N96" s="60"/>
      <c r="O96" s="60"/>
      <c r="P96" s="59"/>
      <c r="Q96" s="59"/>
      <c r="R96" s="60"/>
      <c r="S96" s="60"/>
      <c r="T96" s="60"/>
      <c r="U96" s="60"/>
      <c r="V96" s="60"/>
      <c r="W96" s="60"/>
    </row>
    <row r="97" spans="1:23" ht="13" x14ac:dyDescent="0.3">
      <c r="A97" s="58"/>
      <c r="B97" s="58"/>
      <c r="C97" s="58"/>
      <c r="D97" s="58"/>
      <c r="E97" s="58"/>
      <c r="F97" s="58"/>
      <c r="G97" s="58"/>
      <c r="H97" s="59"/>
      <c r="I97" s="59"/>
      <c r="J97" s="59"/>
      <c r="K97" s="59"/>
      <c r="L97" s="59"/>
      <c r="M97" s="60"/>
      <c r="N97" s="60"/>
      <c r="O97" s="60"/>
      <c r="P97" s="59"/>
      <c r="Q97" s="59"/>
      <c r="R97" s="60"/>
      <c r="S97" s="60"/>
      <c r="T97" s="60"/>
      <c r="U97" s="60"/>
      <c r="V97" s="60"/>
      <c r="W97" s="60"/>
    </row>
    <row r="98" spans="1:23" ht="13" x14ac:dyDescent="0.3">
      <c r="A98" s="58"/>
      <c r="B98" s="58"/>
      <c r="C98" s="58"/>
      <c r="D98" s="58"/>
      <c r="E98" s="58"/>
      <c r="F98" s="58"/>
      <c r="G98" s="58"/>
      <c r="H98" s="59"/>
      <c r="I98" s="59"/>
      <c r="J98" s="59"/>
      <c r="K98" s="59"/>
      <c r="L98" s="59"/>
      <c r="M98" s="60"/>
      <c r="N98" s="60"/>
      <c r="O98" s="60"/>
      <c r="P98" s="59"/>
      <c r="Q98" s="59"/>
      <c r="R98" s="60"/>
      <c r="S98" s="60"/>
      <c r="T98" s="60"/>
      <c r="U98" s="60"/>
      <c r="V98" s="60"/>
      <c r="W98" s="60"/>
    </row>
    <row r="99" spans="1:23" ht="13" x14ac:dyDescent="0.3">
      <c r="A99" s="58"/>
      <c r="B99" s="58"/>
      <c r="C99" s="58"/>
      <c r="D99" s="58"/>
      <c r="E99" s="58"/>
      <c r="F99" s="58"/>
      <c r="G99" s="58"/>
      <c r="H99" s="59"/>
      <c r="I99" s="59"/>
      <c r="J99" s="59"/>
      <c r="K99" s="59"/>
      <c r="L99" s="59"/>
      <c r="M99" s="60"/>
      <c r="N99" s="60"/>
      <c r="O99" s="60"/>
      <c r="P99" s="59"/>
      <c r="Q99" s="59"/>
      <c r="R99" s="60"/>
      <c r="S99" s="60"/>
      <c r="T99" s="60"/>
      <c r="U99" s="60"/>
      <c r="V99" s="60"/>
      <c r="W99" s="60"/>
    </row>
    <row r="100" spans="1:23" ht="13" x14ac:dyDescent="0.3">
      <c r="A100" s="58"/>
      <c r="B100" s="58"/>
      <c r="C100" s="58"/>
      <c r="D100" s="58"/>
      <c r="E100" s="58"/>
      <c r="F100" s="58"/>
      <c r="G100" s="58"/>
      <c r="H100" s="59"/>
      <c r="I100" s="59"/>
      <c r="J100" s="59"/>
      <c r="K100" s="59"/>
      <c r="L100" s="59"/>
      <c r="M100" s="60"/>
      <c r="N100" s="60"/>
      <c r="O100" s="60"/>
      <c r="P100" s="59"/>
      <c r="Q100" s="59"/>
      <c r="R100" s="60"/>
      <c r="S100" s="60"/>
      <c r="T100" s="60"/>
      <c r="U100" s="60"/>
      <c r="V100" s="60"/>
      <c r="W100" s="60"/>
    </row>
    <row r="101" spans="1:23" ht="13" x14ac:dyDescent="0.3">
      <c r="A101" s="58"/>
      <c r="B101" s="58"/>
      <c r="C101" s="58"/>
      <c r="D101" s="58"/>
      <c r="E101" s="58"/>
      <c r="F101" s="58"/>
      <c r="G101" s="58"/>
      <c r="H101" s="59"/>
      <c r="I101" s="59"/>
      <c r="J101" s="59"/>
      <c r="K101" s="59"/>
      <c r="L101" s="59"/>
      <c r="M101" s="60"/>
      <c r="N101" s="60"/>
      <c r="O101" s="60"/>
      <c r="P101" s="59"/>
      <c r="Q101" s="59"/>
      <c r="R101" s="60"/>
      <c r="S101" s="60"/>
      <c r="T101" s="60"/>
      <c r="U101" s="60"/>
      <c r="V101" s="60"/>
      <c r="W101" s="60"/>
    </row>
    <row r="102" spans="1:23" ht="13" x14ac:dyDescent="0.3">
      <c r="A102" s="58"/>
      <c r="B102" s="58"/>
      <c r="C102" s="58"/>
      <c r="D102" s="58"/>
      <c r="E102" s="58"/>
      <c r="F102" s="58"/>
      <c r="G102" s="58"/>
      <c r="H102" s="59"/>
      <c r="I102" s="59"/>
      <c r="J102" s="59"/>
      <c r="K102" s="59"/>
      <c r="L102" s="59"/>
      <c r="M102" s="60"/>
      <c r="N102" s="60"/>
      <c r="O102" s="60"/>
      <c r="P102" s="59"/>
      <c r="Q102" s="59"/>
      <c r="R102" s="60"/>
      <c r="S102" s="60"/>
      <c r="T102" s="60"/>
      <c r="U102" s="60"/>
      <c r="V102" s="60"/>
      <c r="W102" s="60"/>
    </row>
    <row r="103" spans="1:23" ht="13" x14ac:dyDescent="0.3">
      <c r="A103" s="58"/>
      <c r="B103" s="58"/>
      <c r="C103" s="58"/>
      <c r="D103" s="58"/>
      <c r="E103" s="58"/>
      <c r="F103" s="58"/>
      <c r="G103" s="58"/>
      <c r="H103" s="59"/>
      <c r="I103" s="59"/>
      <c r="J103" s="59"/>
      <c r="K103" s="59"/>
      <c r="L103" s="59"/>
      <c r="M103" s="60"/>
      <c r="N103" s="60"/>
      <c r="O103" s="60"/>
      <c r="P103" s="59"/>
      <c r="Q103" s="59"/>
      <c r="R103" s="60"/>
      <c r="S103" s="60"/>
      <c r="T103" s="60"/>
      <c r="U103" s="60"/>
      <c r="V103" s="60"/>
      <c r="W103" s="60"/>
    </row>
    <row r="104" spans="1:23" ht="13" x14ac:dyDescent="0.3">
      <c r="A104" s="58"/>
      <c r="B104" s="58"/>
      <c r="C104" s="58"/>
      <c r="D104" s="58"/>
      <c r="E104" s="58"/>
      <c r="F104" s="58"/>
      <c r="G104" s="58"/>
      <c r="H104" s="59"/>
      <c r="I104" s="59"/>
      <c r="J104" s="59"/>
      <c r="K104" s="59"/>
      <c r="L104" s="59"/>
      <c r="M104" s="60"/>
      <c r="N104" s="60"/>
      <c r="O104" s="60"/>
      <c r="P104" s="59"/>
      <c r="Q104" s="59"/>
      <c r="R104" s="60"/>
      <c r="S104" s="60"/>
      <c r="T104" s="60"/>
      <c r="U104" s="60"/>
      <c r="V104" s="60"/>
      <c r="W104" s="60"/>
    </row>
    <row r="105" spans="1:23" ht="13" x14ac:dyDescent="0.3">
      <c r="A105" s="58"/>
      <c r="B105" s="58"/>
      <c r="C105" s="58"/>
      <c r="D105" s="58"/>
      <c r="E105" s="58"/>
      <c r="F105" s="58"/>
      <c r="G105" s="58"/>
      <c r="H105" s="59"/>
      <c r="I105" s="59"/>
      <c r="J105" s="59"/>
      <c r="K105" s="59"/>
      <c r="L105" s="59"/>
      <c r="M105" s="60"/>
      <c r="N105" s="60"/>
      <c r="O105" s="60"/>
      <c r="P105" s="59"/>
      <c r="Q105" s="59"/>
      <c r="R105" s="60"/>
      <c r="S105" s="60"/>
      <c r="T105" s="60"/>
      <c r="U105" s="60"/>
      <c r="V105" s="60"/>
      <c r="W105" s="60"/>
    </row>
    <row r="106" spans="1:23" ht="13" x14ac:dyDescent="0.3">
      <c r="A106" s="58"/>
      <c r="B106" s="58"/>
      <c r="C106" s="58"/>
      <c r="D106" s="58"/>
      <c r="E106" s="58"/>
      <c r="F106" s="58"/>
      <c r="G106" s="58"/>
      <c r="H106" s="59"/>
      <c r="I106" s="59"/>
      <c r="J106" s="59"/>
      <c r="K106" s="59"/>
      <c r="L106" s="59"/>
      <c r="M106" s="60"/>
      <c r="N106" s="60"/>
      <c r="O106" s="60"/>
      <c r="P106" s="59"/>
      <c r="Q106" s="59"/>
      <c r="R106" s="60"/>
      <c r="S106" s="60"/>
      <c r="T106" s="60"/>
      <c r="U106" s="60"/>
      <c r="V106" s="60"/>
      <c r="W106" s="60"/>
    </row>
    <row r="107" spans="1:23" ht="13" x14ac:dyDescent="0.3">
      <c r="A107" s="58"/>
      <c r="B107" s="58"/>
      <c r="C107" s="58"/>
      <c r="D107" s="58"/>
      <c r="E107" s="58"/>
      <c r="F107" s="58"/>
      <c r="G107" s="58"/>
      <c r="H107" s="59"/>
      <c r="I107" s="59"/>
      <c r="J107" s="59"/>
      <c r="K107" s="59"/>
      <c r="L107" s="59"/>
      <c r="M107" s="60"/>
      <c r="N107" s="60"/>
      <c r="O107" s="60"/>
      <c r="P107" s="59"/>
      <c r="Q107" s="59"/>
      <c r="R107" s="60"/>
      <c r="S107" s="60"/>
      <c r="T107" s="60"/>
      <c r="U107" s="60"/>
      <c r="V107" s="60"/>
      <c r="W107" s="60"/>
    </row>
    <row r="108" spans="1:23" ht="13" x14ac:dyDescent="0.3">
      <c r="A108" s="58"/>
      <c r="B108" s="58"/>
      <c r="C108" s="58"/>
      <c r="D108" s="58"/>
      <c r="E108" s="58"/>
      <c r="F108" s="58"/>
      <c r="G108" s="58"/>
      <c r="H108" s="59"/>
      <c r="I108" s="59"/>
      <c r="J108" s="59"/>
      <c r="K108" s="59"/>
      <c r="L108" s="59"/>
      <c r="M108" s="60"/>
      <c r="N108" s="60"/>
      <c r="O108" s="60"/>
      <c r="P108" s="59"/>
      <c r="Q108" s="59"/>
      <c r="R108" s="60"/>
      <c r="S108" s="60"/>
      <c r="T108" s="60"/>
      <c r="U108" s="60"/>
      <c r="V108" s="60"/>
      <c r="W108" s="60"/>
    </row>
    <row r="109" spans="1:23" ht="13" x14ac:dyDescent="0.3">
      <c r="A109" s="58"/>
      <c r="B109" s="58"/>
      <c r="C109" s="58"/>
      <c r="D109" s="58"/>
      <c r="E109" s="58"/>
      <c r="F109" s="58"/>
      <c r="G109" s="58"/>
      <c r="H109" s="59"/>
      <c r="I109" s="59"/>
      <c r="J109" s="59"/>
      <c r="K109" s="59"/>
      <c r="L109" s="59"/>
      <c r="M109" s="60"/>
      <c r="N109" s="60"/>
      <c r="O109" s="60"/>
      <c r="P109" s="59"/>
      <c r="Q109" s="59"/>
      <c r="R109" s="60"/>
      <c r="S109" s="60"/>
      <c r="T109" s="60"/>
      <c r="U109" s="60"/>
      <c r="V109" s="60"/>
      <c r="W109" s="60"/>
    </row>
    <row r="110" spans="1:23" ht="13" x14ac:dyDescent="0.3">
      <c r="A110" s="58"/>
      <c r="B110" s="58"/>
      <c r="C110" s="58"/>
      <c r="D110" s="58"/>
      <c r="E110" s="58"/>
      <c r="F110" s="58"/>
      <c r="G110" s="58"/>
      <c r="H110" s="59"/>
      <c r="I110" s="59"/>
      <c r="J110" s="59"/>
      <c r="K110" s="59"/>
      <c r="L110" s="59"/>
      <c r="M110" s="60"/>
      <c r="N110" s="60"/>
      <c r="O110" s="60"/>
      <c r="P110" s="59"/>
      <c r="Q110" s="59"/>
      <c r="R110" s="60"/>
      <c r="S110" s="60"/>
      <c r="T110" s="60"/>
      <c r="U110" s="60"/>
      <c r="V110" s="60"/>
      <c r="W110" s="60"/>
    </row>
    <row r="111" spans="1:23" ht="13" x14ac:dyDescent="0.3">
      <c r="A111" s="58"/>
      <c r="B111" s="58"/>
      <c r="C111" s="58"/>
      <c r="D111" s="58"/>
      <c r="E111" s="58"/>
      <c r="F111" s="58"/>
      <c r="G111" s="58"/>
      <c r="H111" s="59"/>
      <c r="I111" s="59"/>
      <c r="J111" s="59"/>
      <c r="K111" s="59"/>
      <c r="L111" s="59"/>
      <c r="M111" s="60"/>
      <c r="N111" s="60"/>
      <c r="O111" s="60"/>
      <c r="P111" s="59"/>
      <c r="Q111" s="59"/>
      <c r="R111" s="60"/>
      <c r="S111" s="60"/>
      <c r="T111" s="60"/>
      <c r="U111" s="60"/>
      <c r="V111" s="60"/>
      <c r="W111" s="60"/>
    </row>
    <row r="112" spans="1:23" ht="13" x14ac:dyDescent="0.3">
      <c r="A112" s="58"/>
      <c r="B112" s="58"/>
      <c r="C112" s="58"/>
      <c r="D112" s="58"/>
      <c r="E112" s="58"/>
      <c r="F112" s="58"/>
      <c r="G112" s="58"/>
      <c r="H112" s="59"/>
      <c r="I112" s="59"/>
      <c r="J112" s="59"/>
      <c r="K112" s="59"/>
      <c r="L112" s="59"/>
      <c r="M112" s="60"/>
      <c r="N112" s="60"/>
      <c r="O112" s="60"/>
      <c r="P112" s="59"/>
      <c r="Q112" s="59"/>
      <c r="R112" s="60"/>
      <c r="S112" s="60"/>
      <c r="T112" s="60"/>
      <c r="U112" s="60"/>
      <c r="V112" s="60"/>
      <c r="W112" s="60"/>
    </row>
    <row r="113" spans="1:23" ht="13" x14ac:dyDescent="0.3">
      <c r="A113" s="58"/>
      <c r="B113" s="58"/>
      <c r="C113" s="58"/>
      <c r="D113" s="58"/>
      <c r="E113" s="58"/>
      <c r="F113" s="58"/>
      <c r="G113" s="58"/>
      <c r="H113" s="59"/>
      <c r="I113" s="59"/>
      <c r="J113" s="59"/>
      <c r="K113" s="59"/>
      <c r="L113" s="59"/>
      <c r="M113" s="60"/>
      <c r="N113" s="60"/>
      <c r="O113" s="60"/>
      <c r="P113" s="59"/>
      <c r="Q113" s="59"/>
      <c r="R113" s="60"/>
      <c r="S113" s="60"/>
      <c r="T113" s="60"/>
      <c r="U113" s="60"/>
      <c r="V113" s="60"/>
      <c r="W113" s="60"/>
    </row>
    <row r="114" spans="1:23" ht="13" x14ac:dyDescent="0.3">
      <c r="A114" s="58"/>
      <c r="B114" s="58"/>
      <c r="C114" s="58"/>
      <c r="D114" s="58"/>
      <c r="E114" s="58"/>
      <c r="F114" s="58"/>
      <c r="G114" s="58"/>
      <c r="H114" s="59"/>
      <c r="I114" s="59"/>
      <c r="J114" s="59"/>
      <c r="K114" s="59"/>
      <c r="L114" s="59"/>
      <c r="M114" s="60"/>
      <c r="N114" s="60"/>
      <c r="O114" s="60"/>
      <c r="P114" s="59"/>
      <c r="Q114" s="59"/>
      <c r="R114" s="60"/>
      <c r="S114" s="60"/>
      <c r="T114" s="60"/>
      <c r="U114" s="60"/>
      <c r="V114" s="60"/>
      <c r="W114" s="60"/>
    </row>
    <row r="115" spans="1:23" ht="13" x14ac:dyDescent="0.3">
      <c r="A115" s="58"/>
      <c r="B115" s="58"/>
      <c r="C115" s="58"/>
      <c r="D115" s="58"/>
      <c r="E115" s="58"/>
      <c r="F115" s="58"/>
      <c r="G115" s="58"/>
      <c r="H115" s="59"/>
      <c r="I115" s="59"/>
      <c r="J115" s="59"/>
      <c r="K115" s="59"/>
      <c r="L115" s="59"/>
      <c r="M115" s="60"/>
      <c r="N115" s="60"/>
      <c r="O115" s="60"/>
      <c r="P115" s="59"/>
      <c r="Q115" s="59"/>
      <c r="R115" s="60"/>
      <c r="S115" s="60"/>
      <c r="T115" s="60"/>
      <c r="U115" s="60"/>
      <c r="V115" s="60"/>
      <c r="W115" s="60"/>
    </row>
    <row r="116" spans="1:23" ht="13" x14ac:dyDescent="0.3">
      <c r="A116" s="58"/>
      <c r="B116" s="58"/>
      <c r="C116" s="58"/>
      <c r="D116" s="58"/>
      <c r="E116" s="58"/>
      <c r="F116" s="58"/>
      <c r="G116" s="58"/>
      <c r="H116" s="59"/>
      <c r="I116" s="59"/>
      <c r="J116" s="59"/>
      <c r="K116" s="59"/>
      <c r="L116" s="59"/>
      <c r="M116" s="60"/>
      <c r="N116" s="60"/>
      <c r="O116" s="60"/>
      <c r="P116" s="59"/>
      <c r="Q116" s="59"/>
      <c r="R116" s="60"/>
      <c r="S116" s="60"/>
      <c r="T116" s="60"/>
      <c r="U116" s="60"/>
      <c r="V116" s="60"/>
      <c r="W116" s="60"/>
    </row>
    <row r="117" spans="1:23" ht="13" x14ac:dyDescent="0.3">
      <c r="A117" s="58"/>
      <c r="B117" s="58"/>
      <c r="C117" s="58"/>
      <c r="D117" s="58"/>
      <c r="E117" s="58"/>
      <c r="F117" s="58"/>
      <c r="G117" s="58"/>
      <c r="H117" s="59"/>
      <c r="I117" s="59"/>
      <c r="J117" s="59"/>
      <c r="K117" s="59"/>
      <c r="L117" s="59"/>
      <c r="M117" s="60"/>
      <c r="N117" s="60"/>
      <c r="O117" s="60"/>
      <c r="P117" s="59"/>
      <c r="Q117" s="59"/>
      <c r="R117" s="60"/>
      <c r="S117" s="60"/>
      <c r="T117" s="60"/>
      <c r="U117" s="60"/>
      <c r="V117" s="60"/>
      <c r="W117" s="60"/>
    </row>
    <row r="118" spans="1:23" ht="13" x14ac:dyDescent="0.3">
      <c r="A118" s="58"/>
      <c r="B118" s="58"/>
      <c r="C118" s="58"/>
      <c r="D118" s="58"/>
      <c r="E118" s="58"/>
      <c r="F118" s="58"/>
      <c r="G118" s="58"/>
      <c r="H118" s="59"/>
      <c r="I118" s="59"/>
      <c r="J118" s="59"/>
      <c r="K118" s="59"/>
      <c r="L118" s="59"/>
      <c r="M118" s="60"/>
      <c r="N118" s="60"/>
      <c r="O118" s="60"/>
      <c r="P118" s="59"/>
      <c r="Q118" s="59"/>
      <c r="R118" s="60"/>
      <c r="S118" s="60"/>
      <c r="T118" s="60"/>
      <c r="U118" s="60"/>
      <c r="V118" s="60"/>
      <c r="W118" s="60"/>
    </row>
    <row r="119" spans="1:23" ht="13" x14ac:dyDescent="0.3">
      <c r="A119" s="58"/>
      <c r="B119" s="58"/>
      <c r="C119" s="58"/>
      <c r="D119" s="58"/>
      <c r="E119" s="58"/>
      <c r="F119" s="58"/>
      <c r="G119" s="58"/>
      <c r="H119" s="59"/>
      <c r="I119" s="59"/>
      <c r="J119" s="59"/>
      <c r="K119" s="59"/>
      <c r="L119" s="59"/>
      <c r="M119" s="60"/>
      <c r="N119" s="60"/>
      <c r="O119" s="60"/>
      <c r="P119" s="59"/>
      <c r="Q119" s="59"/>
      <c r="R119" s="60"/>
      <c r="S119" s="60"/>
      <c r="T119" s="60"/>
      <c r="U119" s="60"/>
      <c r="V119" s="60"/>
      <c r="W119" s="60"/>
    </row>
    <row r="120" spans="1:23" ht="13" x14ac:dyDescent="0.3">
      <c r="A120" s="58"/>
      <c r="B120" s="58"/>
      <c r="C120" s="58"/>
      <c r="D120" s="58"/>
      <c r="E120" s="58"/>
      <c r="F120" s="58"/>
      <c r="G120" s="58"/>
      <c r="H120" s="59"/>
      <c r="I120" s="59"/>
      <c r="J120" s="59"/>
      <c r="K120" s="59"/>
      <c r="L120" s="59"/>
      <c r="M120" s="60"/>
      <c r="N120" s="60"/>
      <c r="O120" s="60"/>
      <c r="P120" s="59"/>
      <c r="Q120" s="59"/>
      <c r="R120" s="60"/>
      <c r="S120" s="60"/>
      <c r="T120" s="60"/>
      <c r="U120" s="60"/>
      <c r="V120" s="60"/>
      <c r="W120" s="60"/>
    </row>
    <row r="121" spans="1:23" ht="13" x14ac:dyDescent="0.3">
      <c r="A121" s="58"/>
      <c r="B121" s="58"/>
      <c r="C121" s="58"/>
      <c r="D121" s="58"/>
      <c r="E121" s="58"/>
      <c r="F121" s="58"/>
      <c r="G121" s="58"/>
      <c r="H121" s="59"/>
      <c r="I121" s="59"/>
      <c r="J121" s="59"/>
      <c r="K121" s="59"/>
      <c r="L121" s="59"/>
      <c r="M121" s="60"/>
      <c r="N121" s="60"/>
      <c r="O121" s="60"/>
      <c r="P121" s="59"/>
      <c r="Q121" s="59"/>
      <c r="R121" s="60"/>
      <c r="S121" s="60"/>
      <c r="T121" s="60"/>
      <c r="U121" s="60"/>
      <c r="V121" s="60"/>
      <c r="W121" s="60"/>
    </row>
    <row r="122" spans="1:23" ht="13" x14ac:dyDescent="0.3">
      <c r="A122" s="58"/>
      <c r="B122" s="58"/>
      <c r="C122" s="58"/>
      <c r="D122" s="58"/>
      <c r="E122" s="58"/>
      <c r="F122" s="58"/>
      <c r="G122" s="58"/>
      <c r="H122" s="59"/>
      <c r="I122" s="59"/>
      <c r="J122" s="59"/>
      <c r="K122" s="59"/>
      <c r="L122" s="59"/>
      <c r="M122" s="60"/>
      <c r="N122" s="60"/>
      <c r="O122" s="60"/>
      <c r="P122" s="59"/>
      <c r="Q122" s="59"/>
      <c r="R122" s="60"/>
      <c r="S122" s="60"/>
      <c r="T122" s="60"/>
      <c r="U122" s="60"/>
      <c r="V122" s="60"/>
      <c r="W122" s="60"/>
    </row>
    <row r="123" spans="1:23" ht="13" x14ac:dyDescent="0.3">
      <c r="A123" s="58"/>
      <c r="B123" s="58"/>
      <c r="C123" s="58"/>
      <c r="D123" s="58"/>
      <c r="E123" s="58"/>
      <c r="F123" s="58"/>
      <c r="G123" s="58"/>
      <c r="H123" s="59"/>
      <c r="I123" s="59"/>
      <c r="J123" s="59"/>
      <c r="K123" s="59"/>
      <c r="L123" s="59"/>
      <c r="M123" s="60"/>
      <c r="N123" s="60"/>
      <c r="O123" s="60"/>
      <c r="P123" s="59"/>
      <c r="Q123" s="59"/>
      <c r="R123" s="60"/>
      <c r="S123" s="60"/>
      <c r="T123" s="60"/>
      <c r="U123" s="60"/>
      <c r="V123" s="60"/>
      <c r="W123" s="60"/>
    </row>
    <row r="124" spans="1:23" ht="13" x14ac:dyDescent="0.3">
      <c r="A124" s="58"/>
      <c r="B124" s="58"/>
      <c r="C124" s="58"/>
      <c r="D124" s="58"/>
      <c r="E124" s="58"/>
      <c r="F124" s="58"/>
      <c r="G124" s="58"/>
      <c r="H124" s="59"/>
      <c r="I124" s="59"/>
      <c r="J124" s="59"/>
      <c r="K124" s="59"/>
      <c r="L124" s="59"/>
      <c r="M124" s="60"/>
      <c r="N124" s="60"/>
      <c r="O124" s="60"/>
      <c r="P124" s="59"/>
      <c r="Q124" s="59"/>
      <c r="R124" s="60"/>
      <c r="S124" s="60"/>
      <c r="T124" s="60"/>
      <c r="U124" s="60"/>
      <c r="V124" s="60"/>
      <c r="W124" s="60"/>
    </row>
    <row r="125" spans="1:23" ht="13" x14ac:dyDescent="0.3">
      <c r="A125" s="58"/>
      <c r="B125" s="58"/>
      <c r="C125" s="58"/>
      <c r="D125" s="58"/>
      <c r="E125" s="58"/>
      <c r="F125" s="58"/>
      <c r="G125" s="58"/>
      <c r="H125" s="59"/>
      <c r="I125" s="59"/>
      <c r="J125" s="59"/>
      <c r="K125" s="59"/>
      <c r="L125" s="59"/>
      <c r="M125" s="60"/>
      <c r="N125" s="60"/>
      <c r="O125" s="60"/>
      <c r="P125" s="59"/>
      <c r="Q125" s="59"/>
      <c r="R125" s="60"/>
      <c r="S125" s="60"/>
      <c r="T125" s="60"/>
      <c r="U125" s="60"/>
      <c r="V125" s="60"/>
      <c r="W125" s="60"/>
    </row>
    <row r="126" spans="1:23" ht="13" x14ac:dyDescent="0.3">
      <c r="A126" s="58"/>
      <c r="B126" s="58"/>
      <c r="C126" s="58"/>
      <c r="D126" s="58"/>
      <c r="E126" s="58"/>
      <c r="F126" s="58"/>
      <c r="G126" s="58"/>
      <c r="H126" s="59"/>
      <c r="I126" s="59"/>
      <c r="J126" s="59"/>
      <c r="K126" s="59"/>
      <c r="L126" s="59"/>
      <c r="M126" s="60"/>
      <c r="N126" s="60"/>
      <c r="O126" s="60"/>
      <c r="P126" s="59"/>
      <c r="Q126" s="59"/>
      <c r="R126" s="60"/>
      <c r="S126" s="60"/>
      <c r="T126" s="60"/>
      <c r="U126" s="60"/>
      <c r="V126" s="60"/>
      <c r="W126" s="60"/>
    </row>
    <row r="127" spans="1:23" ht="13" x14ac:dyDescent="0.3">
      <c r="A127" s="58"/>
      <c r="B127" s="58"/>
      <c r="C127" s="58"/>
      <c r="D127" s="58"/>
      <c r="E127" s="58"/>
      <c r="F127" s="58"/>
      <c r="G127" s="58"/>
      <c r="H127" s="59"/>
      <c r="I127" s="59"/>
      <c r="J127" s="59"/>
      <c r="K127" s="59"/>
      <c r="L127" s="59"/>
      <c r="M127" s="60"/>
      <c r="N127" s="60"/>
      <c r="O127" s="60"/>
      <c r="P127" s="59"/>
      <c r="Q127" s="59"/>
      <c r="R127" s="60"/>
      <c r="S127" s="60"/>
      <c r="T127" s="60"/>
      <c r="U127" s="60"/>
      <c r="V127" s="60"/>
      <c r="W127" s="60"/>
    </row>
    <row r="128" spans="1:23" ht="13" x14ac:dyDescent="0.3">
      <c r="A128" s="58"/>
      <c r="B128" s="58"/>
      <c r="C128" s="58"/>
      <c r="D128" s="58"/>
      <c r="E128" s="58"/>
      <c r="F128" s="58"/>
      <c r="G128" s="58"/>
      <c r="H128" s="59"/>
      <c r="I128" s="59"/>
      <c r="J128" s="59"/>
      <c r="K128" s="59"/>
      <c r="L128" s="59"/>
      <c r="M128" s="60"/>
      <c r="N128" s="60"/>
      <c r="O128" s="60"/>
      <c r="P128" s="59"/>
      <c r="Q128" s="59"/>
      <c r="R128" s="60"/>
      <c r="S128" s="60"/>
      <c r="T128" s="60"/>
      <c r="U128" s="60"/>
      <c r="V128" s="60"/>
      <c r="W128" s="60"/>
    </row>
    <row r="129" spans="1:23" ht="13" x14ac:dyDescent="0.3">
      <c r="A129" s="58"/>
      <c r="B129" s="58"/>
      <c r="C129" s="58"/>
      <c r="D129" s="58"/>
      <c r="E129" s="58"/>
      <c r="F129" s="58"/>
      <c r="G129" s="58"/>
      <c r="H129" s="59"/>
      <c r="I129" s="59"/>
      <c r="J129" s="59"/>
      <c r="K129" s="59"/>
      <c r="L129" s="59"/>
      <c r="M129" s="60"/>
      <c r="N129" s="60"/>
      <c r="O129" s="60"/>
      <c r="P129" s="59"/>
      <c r="Q129" s="59"/>
      <c r="R129" s="60"/>
      <c r="S129" s="60"/>
      <c r="T129" s="60"/>
      <c r="U129" s="60"/>
      <c r="V129" s="60"/>
      <c r="W129" s="60"/>
    </row>
    <row r="130" spans="1:23" ht="13" x14ac:dyDescent="0.3">
      <c r="A130" s="58"/>
      <c r="B130" s="58"/>
      <c r="C130" s="58"/>
      <c r="D130" s="58"/>
      <c r="E130" s="58"/>
      <c r="F130" s="58"/>
      <c r="G130" s="58"/>
      <c r="H130" s="59"/>
      <c r="I130" s="59"/>
      <c r="J130" s="59"/>
      <c r="K130" s="59"/>
      <c r="L130" s="59"/>
      <c r="M130" s="60"/>
      <c r="N130" s="60"/>
      <c r="O130" s="60"/>
      <c r="P130" s="59"/>
      <c r="Q130" s="59"/>
      <c r="R130" s="60"/>
      <c r="S130" s="60"/>
      <c r="T130" s="60"/>
      <c r="U130" s="60"/>
      <c r="V130" s="60"/>
      <c r="W130" s="60"/>
    </row>
    <row r="131" spans="1:23" ht="13" x14ac:dyDescent="0.3">
      <c r="A131" s="58"/>
      <c r="B131" s="58"/>
      <c r="C131" s="58"/>
      <c r="D131" s="58"/>
      <c r="E131" s="58"/>
      <c r="F131" s="58"/>
      <c r="G131" s="58"/>
      <c r="H131" s="59"/>
      <c r="I131" s="59"/>
      <c r="J131" s="59"/>
      <c r="K131" s="59"/>
      <c r="L131" s="59"/>
      <c r="M131" s="60"/>
      <c r="N131" s="60"/>
      <c r="O131" s="60"/>
      <c r="P131" s="59"/>
      <c r="Q131" s="59"/>
      <c r="R131" s="60"/>
      <c r="S131" s="60"/>
      <c r="T131" s="60"/>
      <c r="U131" s="60"/>
      <c r="V131" s="60"/>
      <c r="W131" s="60"/>
    </row>
    <row r="132" spans="1:23" ht="13" x14ac:dyDescent="0.3">
      <c r="A132" s="58"/>
      <c r="B132" s="58"/>
      <c r="C132" s="58"/>
      <c r="D132" s="58"/>
      <c r="E132" s="58"/>
      <c r="F132" s="58"/>
      <c r="G132" s="58"/>
      <c r="H132" s="59"/>
      <c r="I132" s="59"/>
      <c r="J132" s="59"/>
      <c r="K132" s="59"/>
      <c r="L132" s="59"/>
      <c r="M132" s="60"/>
      <c r="N132" s="60"/>
      <c r="O132" s="60"/>
      <c r="P132" s="59"/>
      <c r="Q132" s="59"/>
      <c r="R132" s="60"/>
      <c r="S132" s="60"/>
      <c r="T132" s="60"/>
      <c r="U132" s="60"/>
      <c r="V132" s="60"/>
      <c r="W132" s="60"/>
    </row>
    <row r="133" spans="1:23" ht="13" x14ac:dyDescent="0.3">
      <c r="A133" s="58"/>
      <c r="B133" s="58"/>
      <c r="C133" s="58"/>
      <c r="D133" s="58"/>
      <c r="E133" s="58"/>
      <c r="F133" s="58"/>
      <c r="G133" s="58"/>
      <c r="H133" s="59"/>
      <c r="I133" s="59"/>
      <c r="J133" s="59"/>
      <c r="K133" s="59"/>
      <c r="L133" s="59"/>
      <c r="M133" s="60"/>
      <c r="N133" s="60"/>
      <c r="O133" s="60"/>
      <c r="P133" s="59"/>
      <c r="Q133" s="59"/>
      <c r="R133" s="60"/>
      <c r="S133" s="60"/>
      <c r="T133" s="60"/>
      <c r="U133" s="60"/>
      <c r="V133" s="60"/>
      <c r="W133" s="60"/>
    </row>
    <row r="134" spans="1:23" ht="13" x14ac:dyDescent="0.3">
      <c r="A134" s="58"/>
      <c r="B134" s="58"/>
      <c r="C134" s="58"/>
      <c r="D134" s="58"/>
      <c r="E134" s="58"/>
      <c r="F134" s="58"/>
      <c r="G134" s="58"/>
      <c r="H134" s="59"/>
      <c r="I134" s="59"/>
      <c r="J134" s="59"/>
      <c r="K134" s="59"/>
      <c r="L134" s="59"/>
      <c r="M134" s="60"/>
      <c r="N134" s="60"/>
      <c r="O134" s="60"/>
      <c r="P134" s="59"/>
      <c r="Q134" s="59"/>
      <c r="R134" s="60"/>
      <c r="S134" s="60"/>
      <c r="T134" s="60"/>
      <c r="U134" s="60"/>
      <c r="V134" s="60"/>
      <c r="W134" s="60"/>
    </row>
    <row r="135" spans="1:23" ht="13" x14ac:dyDescent="0.3">
      <c r="A135" s="58"/>
      <c r="B135" s="58"/>
      <c r="C135" s="58"/>
      <c r="D135" s="58"/>
      <c r="E135" s="58"/>
      <c r="F135" s="58"/>
      <c r="G135" s="58"/>
      <c r="H135" s="59"/>
      <c r="I135" s="59"/>
      <c r="J135" s="59"/>
      <c r="K135" s="59"/>
      <c r="L135" s="59"/>
      <c r="M135" s="60"/>
      <c r="N135" s="60"/>
      <c r="O135" s="60"/>
      <c r="P135" s="59"/>
      <c r="Q135" s="59"/>
      <c r="R135" s="60"/>
      <c r="S135" s="60"/>
      <c r="T135" s="60"/>
      <c r="U135" s="60"/>
      <c r="V135" s="60"/>
      <c r="W135" s="60"/>
    </row>
    <row r="136" spans="1:23" ht="13" x14ac:dyDescent="0.3">
      <c r="A136" s="58"/>
      <c r="B136" s="58"/>
      <c r="C136" s="58"/>
      <c r="D136" s="58"/>
      <c r="E136" s="58"/>
      <c r="F136" s="58"/>
      <c r="G136" s="58"/>
      <c r="H136" s="59"/>
      <c r="I136" s="59"/>
      <c r="J136" s="59"/>
      <c r="K136" s="59"/>
      <c r="L136" s="59"/>
      <c r="M136" s="60"/>
      <c r="N136" s="60"/>
      <c r="O136" s="60"/>
      <c r="P136" s="59"/>
      <c r="Q136" s="59"/>
      <c r="R136" s="60"/>
      <c r="S136" s="60"/>
      <c r="T136" s="60"/>
      <c r="U136" s="60"/>
      <c r="V136" s="60"/>
      <c r="W136" s="60"/>
    </row>
    <row r="137" spans="1:23" ht="13" x14ac:dyDescent="0.3">
      <c r="A137" s="58"/>
      <c r="B137" s="58"/>
      <c r="C137" s="58"/>
      <c r="D137" s="58"/>
      <c r="E137" s="58"/>
      <c r="F137" s="58"/>
      <c r="G137" s="58"/>
      <c r="H137" s="59"/>
      <c r="I137" s="59"/>
      <c r="J137" s="59"/>
      <c r="K137" s="59"/>
      <c r="L137" s="59"/>
      <c r="M137" s="60"/>
      <c r="N137" s="60"/>
      <c r="O137" s="60"/>
      <c r="P137" s="59"/>
      <c r="Q137" s="59"/>
      <c r="R137" s="60"/>
      <c r="S137" s="60"/>
      <c r="T137" s="60"/>
      <c r="U137" s="60"/>
      <c r="V137" s="60"/>
      <c r="W137" s="60"/>
    </row>
    <row r="138" spans="1:23" ht="13" x14ac:dyDescent="0.3">
      <c r="A138" s="58"/>
      <c r="B138" s="58"/>
      <c r="C138" s="58"/>
      <c r="D138" s="58"/>
      <c r="E138" s="58"/>
      <c r="F138" s="58"/>
      <c r="G138" s="58"/>
      <c r="H138" s="59"/>
      <c r="I138" s="59"/>
      <c r="J138" s="59"/>
      <c r="K138" s="59"/>
      <c r="L138" s="59"/>
      <c r="M138" s="60"/>
      <c r="N138" s="60"/>
      <c r="O138" s="60"/>
      <c r="P138" s="59"/>
      <c r="Q138" s="59"/>
      <c r="R138" s="60"/>
      <c r="S138" s="60"/>
      <c r="T138" s="60"/>
      <c r="U138" s="60"/>
      <c r="V138" s="60"/>
      <c r="W138" s="60"/>
    </row>
    <row r="139" spans="1:23" ht="13" x14ac:dyDescent="0.3">
      <c r="A139" s="58"/>
      <c r="B139" s="58"/>
      <c r="C139" s="58"/>
      <c r="D139" s="58"/>
      <c r="E139" s="58"/>
      <c r="F139" s="58"/>
      <c r="G139" s="58"/>
      <c r="H139" s="59"/>
      <c r="I139" s="59"/>
      <c r="J139" s="59"/>
      <c r="K139" s="59"/>
      <c r="L139" s="59"/>
      <c r="M139" s="60"/>
      <c r="N139" s="60"/>
      <c r="O139" s="60"/>
      <c r="P139" s="59"/>
      <c r="Q139" s="59"/>
      <c r="R139" s="60"/>
      <c r="S139" s="60"/>
      <c r="T139" s="60"/>
      <c r="U139" s="60"/>
      <c r="V139" s="60"/>
      <c r="W139" s="60"/>
    </row>
    <row r="140" spans="1:23" ht="13" x14ac:dyDescent="0.3">
      <c r="A140" s="58"/>
      <c r="B140" s="58"/>
      <c r="C140" s="58"/>
      <c r="D140" s="58"/>
      <c r="E140" s="58"/>
      <c r="F140" s="58"/>
      <c r="G140" s="58"/>
      <c r="H140" s="59"/>
      <c r="I140" s="59"/>
      <c r="J140" s="59"/>
      <c r="K140" s="59"/>
      <c r="L140" s="59"/>
      <c r="M140" s="60"/>
      <c r="N140" s="60"/>
      <c r="O140" s="60"/>
      <c r="P140" s="59"/>
      <c r="Q140" s="59"/>
      <c r="R140" s="60"/>
      <c r="S140" s="60"/>
      <c r="T140" s="60"/>
      <c r="U140" s="60"/>
      <c r="V140" s="60"/>
      <c r="W140" s="60"/>
    </row>
    <row r="141" spans="1:23" ht="13" x14ac:dyDescent="0.3">
      <c r="A141" s="58"/>
      <c r="B141" s="58"/>
      <c r="C141" s="58"/>
      <c r="D141" s="58"/>
      <c r="E141" s="58"/>
      <c r="F141" s="58"/>
      <c r="G141" s="58"/>
      <c r="H141" s="59"/>
      <c r="I141" s="59"/>
      <c r="J141" s="59"/>
      <c r="K141" s="59"/>
      <c r="L141" s="59"/>
      <c r="M141" s="60"/>
      <c r="N141" s="60"/>
      <c r="O141" s="60"/>
      <c r="P141" s="59"/>
      <c r="Q141" s="59"/>
      <c r="R141" s="60"/>
      <c r="S141" s="60"/>
      <c r="T141" s="60"/>
      <c r="U141" s="60"/>
      <c r="V141" s="60"/>
      <c r="W141" s="60"/>
    </row>
    <row r="142" spans="1:23" ht="13" x14ac:dyDescent="0.3">
      <c r="A142" s="58"/>
      <c r="B142" s="58"/>
      <c r="C142" s="58"/>
      <c r="D142" s="58"/>
      <c r="E142" s="58"/>
      <c r="F142" s="58"/>
      <c r="G142" s="58"/>
      <c r="H142" s="59"/>
      <c r="I142" s="59"/>
      <c r="J142" s="59"/>
      <c r="K142" s="59"/>
      <c r="L142" s="59"/>
      <c r="M142" s="60"/>
      <c r="N142" s="60"/>
      <c r="O142" s="60"/>
      <c r="P142" s="59"/>
      <c r="Q142" s="59"/>
      <c r="R142" s="60"/>
      <c r="S142" s="60"/>
      <c r="T142" s="60"/>
      <c r="U142" s="60"/>
      <c r="V142" s="60"/>
      <c r="W142" s="60"/>
    </row>
    <row r="143" spans="1:23" ht="13" x14ac:dyDescent="0.3">
      <c r="A143" s="58"/>
      <c r="B143" s="58"/>
      <c r="C143" s="58"/>
      <c r="D143" s="58"/>
      <c r="E143" s="58"/>
      <c r="F143" s="58"/>
      <c r="G143" s="58"/>
      <c r="H143" s="59"/>
      <c r="I143" s="59"/>
      <c r="J143" s="59"/>
      <c r="K143" s="59"/>
      <c r="L143" s="59"/>
      <c r="M143" s="60"/>
      <c r="N143" s="60"/>
      <c r="O143" s="60"/>
      <c r="P143" s="59"/>
      <c r="Q143" s="59"/>
      <c r="R143" s="60"/>
      <c r="S143" s="60"/>
      <c r="T143" s="60"/>
      <c r="U143" s="60"/>
      <c r="V143" s="60"/>
      <c r="W143" s="60"/>
    </row>
    <row r="144" spans="1:23" ht="13" x14ac:dyDescent="0.3">
      <c r="A144" s="58"/>
      <c r="B144" s="58"/>
      <c r="C144" s="58"/>
      <c r="D144" s="58"/>
      <c r="E144" s="58"/>
      <c r="F144" s="58"/>
      <c r="G144" s="58"/>
      <c r="H144" s="59"/>
      <c r="I144" s="59"/>
      <c r="J144" s="59"/>
      <c r="K144" s="59"/>
      <c r="L144" s="59"/>
      <c r="M144" s="60"/>
      <c r="N144" s="60"/>
      <c r="O144" s="60"/>
      <c r="P144" s="59"/>
      <c r="Q144" s="59"/>
      <c r="R144" s="60"/>
      <c r="S144" s="60"/>
      <c r="T144" s="60"/>
      <c r="U144" s="60"/>
      <c r="V144" s="60"/>
      <c r="W144" s="60"/>
    </row>
    <row r="145" spans="1:23" ht="13" x14ac:dyDescent="0.3">
      <c r="A145" s="58"/>
      <c r="B145" s="58"/>
      <c r="C145" s="58"/>
      <c r="D145" s="58"/>
      <c r="E145" s="58"/>
      <c r="F145" s="58"/>
      <c r="G145" s="58"/>
      <c r="H145" s="59"/>
      <c r="I145" s="59"/>
      <c r="J145" s="59"/>
      <c r="K145" s="59"/>
      <c r="L145" s="59"/>
      <c r="M145" s="60"/>
      <c r="N145" s="60"/>
      <c r="O145" s="60"/>
      <c r="P145" s="59"/>
      <c r="Q145" s="59"/>
      <c r="R145" s="60"/>
      <c r="S145" s="60"/>
      <c r="T145" s="60"/>
      <c r="U145" s="60"/>
      <c r="V145" s="60"/>
      <c r="W145" s="60"/>
    </row>
    <row r="146" spans="1:23" ht="13" x14ac:dyDescent="0.3">
      <c r="A146" s="58"/>
      <c r="B146" s="58"/>
      <c r="C146" s="58"/>
      <c r="D146" s="58"/>
      <c r="E146" s="58"/>
      <c r="F146" s="58"/>
      <c r="G146" s="58"/>
      <c r="H146" s="59"/>
      <c r="I146" s="59"/>
      <c r="J146" s="59"/>
      <c r="K146" s="59"/>
      <c r="L146" s="59"/>
      <c r="M146" s="60"/>
      <c r="N146" s="60"/>
      <c r="O146" s="60"/>
      <c r="P146" s="59"/>
      <c r="Q146" s="59"/>
      <c r="R146" s="60"/>
      <c r="S146" s="60"/>
      <c r="T146" s="60"/>
      <c r="U146" s="60"/>
      <c r="V146" s="60"/>
      <c r="W146" s="60"/>
    </row>
    <row r="147" spans="1:23" ht="13" x14ac:dyDescent="0.3">
      <c r="A147" s="58"/>
      <c r="B147" s="58"/>
      <c r="C147" s="58"/>
      <c r="D147" s="58"/>
      <c r="E147" s="58"/>
      <c r="F147" s="58"/>
      <c r="G147" s="58"/>
      <c r="H147" s="59"/>
      <c r="I147" s="59"/>
      <c r="J147" s="59"/>
      <c r="K147" s="59"/>
      <c r="L147" s="59"/>
      <c r="M147" s="60"/>
      <c r="N147" s="60"/>
      <c r="O147" s="60"/>
      <c r="P147" s="59"/>
      <c r="Q147" s="59"/>
      <c r="R147" s="60"/>
      <c r="S147" s="60"/>
      <c r="T147" s="60"/>
      <c r="U147" s="60"/>
      <c r="V147" s="60"/>
      <c r="W147" s="60"/>
    </row>
    <row r="148" spans="1:23" ht="13" x14ac:dyDescent="0.3">
      <c r="A148" s="58"/>
      <c r="B148" s="58"/>
      <c r="C148" s="58"/>
      <c r="D148" s="58"/>
      <c r="E148" s="58"/>
      <c r="F148" s="58"/>
      <c r="G148" s="58"/>
      <c r="H148" s="59"/>
      <c r="I148" s="59"/>
      <c r="J148" s="59"/>
      <c r="K148" s="59"/>
      <c r="L148" s="59"/>
      <c r="M148" s="60"/>
      <c r="N148" s="60"/>
      <c r="O148" s="60"/>
      <c r="P148" s="59"/>
      <c r="Q148" s="59"/>
      <c r="R148" s="60"/>
      <c r="S148" s="60"/>
      <c r="T148" s="60"/>
      <c r="U148" s="60"/>
      <c r="V148" s="60"/>
      <c r="W148" s="60"/>
    </row>
    <row r="149" spans="1:23" ht="13" x14ac:dyDescent="0.3">
      <c r="A149" s="58"/>
      <c r="B149" s="58"/>
      <c r="C149" s="58"/>
      <c r="D149" s="58"/>
      <c r="E149" s="58"/>
      <c r="F149" s="58"/>
      <c r="G149" s="58"/>
      <c r="H149" s="59"/>
      <c r="I149" s="59"/>
      <c r="J149" s="59"/>
      <c r="K149" s="59"/>
      <c r="L149" s="59"/>
      <c r="M149" s="60"/>
      <c r="N149" s="60"/>
      <c r="O149" s="60"/>
      <c r="P149" s="59"/>
      <c r="Q149" s="59"/>
      <c r="R149" s="60"/>
      <c r="S149" s="60"/>
      <c r="T149" s="60"/>
      <c r="U149" s="60"/>
      <c r="V149" s="60"/>
      <c r="W149" s="60"/>
    </row>
    <row r="150" spans="1:23" ht="13" x14ac:dyDescent="0.3">
      <c r="A150" s="58"/>
      <c r="B150" s="58"/>
      <c r="C150" s="58"/>
      <c r="D150" s="58"/>
      <c r="E150" s="58"/>
      <c r="F150" s="58"/>
      <c r="G150" s="58"/>
      <c r="H150" s="59"/>
      <c r="I150" s="59"/>
      <c r="J150" s="59"/>
      <c r="K150" s="59"/>
      <c r="L150" s="59"/>
      <c r="M150" s="60"/>
      <c r="N150" s="60"/>
      <c r="O150" s="60"/>
      <c r="P150" s="59"/>
      <c r="Q150" s="59"/>
      <c r="R150" s="60"/>
      <c r="S150" s="60"/>
      <c r="T150" s="60"/>
      <c r="U150" s="60"/>
      <c r="V150" s="60"/>
      <c r="W150" s="60"/>
    </row>
    <row r="151" spans="1:23" ht="13" x14ac:dyDescent="0.3">
      <c r="A151" s="58"/>
      <c r="B151" s="58"/>
      <c r="C151" s="58"/>
      <c r="D151" s="58"/>
      <c r="E151" s="58"/>
      <c r="F151" s="58"/>
      <c r="G151" s="58"/>
      <c r="H151" s="59"/>
      <c r="I151" s="59"/>
      <c r="J151" s="59"/>
      <c r="K151" s="59"/>
      <c r="L151" s="59"/>
      <c r="M151" s="60"/>
      <c r="N151" s="60"/>
      <c r="O151" s="60"/>
      <c r="P151" s="59"/>
      <c r="Q151" s="59"/>
      <c r="R151" s="60"/>
      <c r="S151" s="60"/>
      <c r="T151" s="60"/>
      <c r="U151" s="60"/>
      <c r="V151" s="60"/>
      <c r="W151" s="60"/>
    </row>
    <row r="152" spans="1:23" ht="13" x14ac:dyDescent="0.3">
      <c r="A152" s="58"/>
      <c r="B152" s="58"/>
      <c r="C152" s="58"/>
      <c r="D152" s="58"/>
      <c r="E152" s="58"/>
      <c r="F152" s="58"/>
      <c r="G152" s="58"/>
      <c r="H152" s="59"/>
      <c r="I152" s="59"/>
      <c r="J152" s="59"/>
      <c r="K152" s="59"/>
      <c r="L152" s="59"/>
      <c r="M152" s="60"/>
      <c r="N152" s="60"/>
      <c r="O152" s="60"/>
      <c r="P152" s="59"/>
      <c r="Q152" s="59"/>
      <c r="R152" s="60"/>
      <c r="S152" s="60"/>
      <c r="T152" s="60"/>
      <c r="U152" s="60"/>
      <c r="V152" s="60"/>
      <c r="W152" s="60"/>
    </row>
    <row r="153" spans="1:23" ht="13" x14ac:dyDescent="0.3">
      <c r="A153" s="58"/>
      <c r="B153" s="58"/>
      <c r="C153" s="58"/>
      <c r="D153" s="58"/>
      <c r="E153" s="58"/>
      <c r="F153" s="58"/>
      <c r="G153" s="58"/>
      <c r="H153" s="59"/>
      <c r="I153" s="59"/>
      <c r="J153" s="59"/>
      <c r="K153" s="59"/>
      <c r="L153" s="59"/>
      <c r="M153" s="60"/>
      <c r="N153" s="60"/>
      <c r="O153" s="60"/>
      <c r="P153" s="59"/>
      <c r="Q153" s="59"/>
      <c r="R153" s="60"/>
      <c r="S153" s="60"/>
      <c r="T153" s="60"/>
      <c r="U153" s="60"/>
      <c r="V153" s="60"/>
      <c r="W153" s="60"/>
    </row>
    <row r="154" spans="1:23" ht="13" x14ac:dyDescent="0.3">
      <c r="A154" s="58"/>
      <c r="B154" s="58"/>
      <c r="C154" s="58"/>
      <c r="D154" s="58"/>
      <c r="E154" s="58"/>
      <c r="F154" s="58"/>
      <c r="G154" s="58"/>
      <c r="H154" s="59"/>
      <c r="I154" s="59"/>
      <c r="J154" s="59"/>
      <c r="K154" s="59"/>
      <c r="L154" s="59"/>
      <c r="M154" s="60"/>
      <c r="N154" s="60"/>
      <c r="O154" s="60"/>
      <c r="P154" s="59"/>
      <c r="Q154" s="59"/>
      <c r="R154" s="60"/>
      <c r="S154" s="60"/>
      <c r="T154" s="60"/>
      <c r="U154" s="60"/>
      <c r="V154" s="60"/>
      <c r="W154" s="60"/>
    </row>
    <row r="155" spans="1:23" ht="13" x14ac:dyDescent="0.3">
      <c r="A155" s="58"/>
      <c r="B155" s="58"/>
      <c r="C155" s="58"/>
      <c r="D155" s="58"/>
      <c r="E155" s="58"/>
      <c r="F155" s="58"/>
      <c r="G155" s="58"/>
      <c r="H155" s="59"/>
      <c r="I155" s="59"/>
      <c r="J155" s="59"/>
      <c r="K155" s="59"/>
      <c r="L155" s="59"/>
      <c r="M155" s="60"/>
      <c r="N155" s="60"/>
      <c r="O155" s="60"/>
      <c r="P155" s="59"/>
      <c r="Q155" s="59"/>
      <c r="R155" s="60"/>
      <c r="S155" s="60"/>
      <c r="T155" s="60"/>
      <c r="U155" s="60"/>
      <c r="V155" s="60"/>
      <c r="W155" s="60"/>
    </row>
    <row r="156" spans="1:23" ht="13" x14ac:dyDescent="0.3">
      <c r="A156" s="58"/>
      <c r="B156" s="58"/>
      <c r="C156" s="58"/>
      <c r="D156" s="58"/>
      <c r="E156" s="58"/>
      <c r="F156" s="58"/>
      <c r="G156" s="58"/>
      <c r="H156" s="59"/>
      <c r="I156" s="59"/>
      <c r="J156" s="59"/>
      <c r="K156" s="59"/>
      <c r="L156" s="59"/>
      <c r="M156" s="60"/>
      <c r="N156" s="60"/>
      <c r="O156" s="60"/>
      <c r="P156" s="59"/>
      <c r="Q156" s="59"/>
      <c r="R156" s="60"/>
      <c r="S156" s="60"/>
      <c r="T156" s="60"/>
      <c r="U156" s="60"/>
      <c r="V156" s="60"/>
      <c r="W156" s="60"/>
    </row>
    <row r="157" spans="1:23" ht="13" x14ac:dyDescent="0.3">
      <c r="A157" s="58"/>
      <c r="B157" s="58"/>
      <c r="C157" s="58"/>
      <c r="D157" s="58"/>
      <c r="E157" s="58"/>
      <c r="F157" s="58"/>
      <c r="G157" s="58"/>
      <c r="H157" s="59"/>
      <c r="I157" s="59"/>
      <c r="J157" s="59"/>
      <c r="K157" s="59"/>
      <c r="L157" s="59"/>
      <c r="M157" s="60"/>
      <c r="N157" s="60"/>
      <c r="O157" s="60"/>
      <c r="P157" s="59"/>
      <c r="Q157" s="59"/>
      <c r="R157" s="60"/>
      <c r="S157" s="60"/>
      <c r="T157" s="60"/>
      <c r="U157" s="60"/>
      <c r="V157" s="60"/>
      <c r="W157" s="60"/>
    </row>
    <row r="158" spans="1:23" ht="13" x14ac:dyDescent="0.3">
      <c r="A158" s="58"/>
      <c r="B158" s="58"/>
      <c r="C158" s="58"/>
      <c r="D158" s="58"/>
      <c r="E158" s="58"/>
      <c r="F158" s="58"/>
      <c r="G158" s="58"/>
      <c r="H158" s="59"/>
      <c r="I158" s="59"/>
      <c r="J158" s="59"/>
      <c r="K158" s="59"/>
      <c r="L158" s="59"/>
      <c r="M158" s="60"/>
      <c r="N158" s="60"/>
      <c r="O158" s="60"/>
      <c r="P158" s="59"/>
      <c r="Q158" s="59"/>
      <c r="R158" s="60"/>
      <c r="S158" s="60"/>
      <c r="T158" s="60"/>
      <c r="U158" s="60"/>
      <c r="V158" s="60"/>
      <c r="W158" s="60"/>
    </row>
    <row r="159" spans="1:23" ht="13" x14ac:dyDescent="0.3">
      <c r="A159" s="58"/>
      <c r="B159" s="58"/>
      <c r="C159" s="58"/>
      <c r="D159" s="58"/>
      <c r="E159" s="58"/>
      <c r="F159" s="58"/>
      <c r="G159" s="58"/>
      <c r="H159" s="59"/>
      <c r="I159" s="59"/>
      <c r="J159" s="59"/>
      <c r="K159" s="59"/>
      <c r="L159" s="59"/>
      <c r="M159" s="60"/>
      <c r="N159" s="60"/>
      <c r="O159" s="60"/>
      <c r="P159" s="59"/>
      <c r="Q159" s="59"/>
      <c r="R159" s="60"/>
      <c r="S159" s="60"/>
      <c r="T159" s="60"/>
      <c r="U159" s="60"/>
      <c r="V159" s="60"/>
      <c r="W159" s="60"/>
    </row>
    <row r="160" spans="1:23" ht="13" x14ac:dyDescent="0.3">
      <c r="A160" s="58"/>
      <c r="B160" s="58"/>
      <c r="C160" s="58"/>
      <c r="D160" s="58"/>
      <c r="E160" s="58"/>
      <c r="F160" s="58"/>
      <c r="G160" s="58"/>
      <c r="H160" s="59"/>
      <c r="I160" s="59"/>
      <c r="J160" s="59"/>
      <c r="K160" s="59"/>
      <c r="L160" s="59"/>
      <c r="M160" s="60"/>
      <c r="N160" s="60"/>
      <c r="O160" s="60"/>
      <c r="P160" s="59"/>
      <c r="Q160" s="59"/>
      <c r="R160" s="60"/>
      <c r="S160" s="60"/>
      <c r="T160" s="60"/>
      <c r="U160" s="60"/>
      <c r="V160" s="60"/>
      <c r="W160" s="60"/>
    </row>
    <row r="161" spans="1:23" ht="13" x14ac:dyDescent="0.3">
      <c r="A161" s="58"/>
      <c r="B161" s="58"/>
      <c r="C161" s="58"/>
      <c r="D161" s="58"/>
      <c r="E161" s="58"/>
      <c r="F161" s="58"/>
      <c r="G161" s="58"/>
      <c r="H161" s="59"/>
      <c r="I161" s="59"/>
      <c r="J161" s="59"/>
      <c r="K161" s="59"/>
      <c r="L161" s="59"/>
      <c r="M161" s="60"/>
      <c r="N161" s="60"/>
      <c r="O161" s="60"/>
      <c r="P161" s="59"/>
      <c r="Q161" s="59"/>
      <c r="R161" s="60"/>
      <c r="S161" s="60"/>
      <c r="T161" s="60"/>
      <c r="U161" s="60"/>
      <c r="V161" s="60"/>
      <c r="W161" s="60"/>
    </row>
    <row r="162" spans="1:23" ht="13" x14ac:dyDescent="0.3">
      <c r="A162" s="58"/>
      <c r="B162" s="58"/>
      <c r="C162" s="58"/>
      <c r="D162" s="58"/>
      <c r="E162" s="58"/>
      <c r="F162" s="58"/>
      <c r="G162" s="58"/>
      <c r="H162" s="59"/>
      <c r="I162" s="59"/>
      <c r="J162" s="59"/>
      <c r="K162" s="59"/>
      <c r="L162" s="59"/>
      <c r="M162" s="60"/>
      <c r="N162" s="60"/>
      <c r="O162" s="60"/>
      <c r="P162" s="59"/>
      <c r="Q162" s="59"/>
      <c r="R162" s="60"/>
      <c r="S162" s="60"/>
      <c r="T162" s="60"/>
      <c r="U162" s="60"/>
      <c r="V162" s="60"/>
      <c r="W162" s="60"/>
    </row>
    <row r="163" spans="1:23" ht="13" x14ac:dyDescent="0.3">
      <c r="A163" s="58"/>
      <c r="B163" s="58"/>
      <c r="C163" s="58"/>
      <c r="D163" s="58"/>
      <c r="E163" s="58"/>
      <c r="F163" s="58"/>
      <c r="G163" s="58"/>
      <c r="H163" s="59"/>
      <c r="I163" s="59"/>
      <c r="J163" s="59"/>
      <c r="K163" s="59"/>
      <c r="L163" s="59"/>
      <c r="M163" s="60"/>
      <c r="N163" s="60"/>
      <c r="O163" s="60"/>
      <c r="P163" s="59"/>
      <c r="Q163" s="59"/>
      <c r="R163" s="60"/>
      <c r="S163" s="60"/>
      <c r="T163" s="60"/>
      <c r="U163" s="60"/>
      <c r="V163" s="60"/>
      <c r="W163" s="60"/>
    </row>
    <row r="164" spans="1:23" ht="13" x14ac:dyDescent="0.3">
      <c r="A164" s="58"/>
      <c r="B164" s="58"/>
      <c r="C164" s="58"/>
      <c r="D164" s="58"/>
      <c r="E164" s="58"/>
      <c r="F164" s="58"/>
      <c r="G164" s="58"/>
      <c r="H164" s="59"/>
      <c r="I164" s="59"/>
      <c r="J164" s="59"/>
      <c r="K164" s="59"/>
      <c r="L164" s="59"/>
      <c r="M164" s="60"/>
      <c r="N164" s="60"/>
      <c r="O164" s="60"/>
      <c r="P164" s="59"/>
      <c r="Q164" s="59"/>
      <c r="R164" s="60"/>
      <c r="S164" s="60"/>
      <c r="T164" s="60"/>
      <c r="U164" s="60"/>
      <c r="V164" s="60"/>
      <c r="W164" s="60"/>
    </row>
    <row r="165" spans="1:23" ht="13" x14ac:dyDescent="0.3">
      <c r="A165" s="58"/>
      <c r="B165" s="58"/>
      <c r="C165" s="58"/>
      <c r="D165" s="58"/>
      <c r="E165" s="58"/>
      <c r="F165" s="58"/>
      <c r="G165" s="58"/>
      <c r="H165" s="59"/>
      <c r="I165" s="59"/>
      <c r="J165" s="59"/>
      <c r="K165" s="59"/>
      <c r="L165" s="59"/>
      <c r="M165" s="60"/>
      <c r="N165" s="60"/>
      <c r="O165" s="60"/>
      <c r="P165" s="59"/>
      <c r="Q165" s="59"/>
      <c r="R165" s="60"/>
      <c r="S165" s="60"/>
      <c r="T165" s="60"/>
      <c r="U165" s="60"/>
      <c r="V165" s="60"/>
      <c r="W165" s="60"/>
    </row>
    <row r="166" spans="1:23" ht="13" x14ac:dyDescent="0.3">
      <c r="A166" s="58"/>
      <c r="B166" s="58"/>
      <c r="C166" s="58"/>
      <c r="D166" s="58"/>
      <c r="E166" s="58"/>
      <c r="F166" s="58"/>
      <c r="G166" s="58"/>
      <c r="H166" s="59"/>
      <c r="I166" s="59"/>
      <c r="J166" s="59"/>
      <c r="K166" s="59"/>
      <c r="L166" s="59"/>
      <c r="M166" s="60"/>
      <c r="N166" s="60"/>
      <c r="O166" s="60"/>
      <c r="P166" s="59"/>
      <c r="Q166" s="59"/>
      <c r="R166" s="60"/>
      <c r="S166" s="60"/>
      <c r="T166" s="60"/>
      <c r="U166" s="60"/>
      <c r="V166" s="60"/>
      <c r="W166" s="60"/>
    </row>
    <row r="167" spans="1:23" ht="13" x14ac:dyDescent="0.3">
      <c r="A167" s="58"/>
      <c r="B167" s="58"/>
      <c r="C167" s="58"/>
      <c r="D167" s="58"/>
      <c r="E167" s="58"/>
      <c r="F167" s="58"/>
      <c r="G167" s="58"/>
      <c r="H167" s="59"/>
      <c r="I167" s="59"/>
      <c r="J167" s="59"/>
      <c r="K167" s="59"/>
      <c r="L167" s="59"/>
      <c r="M167" s="60"/>
      <c r="N167" s="60"/>
      <c r="O167" s="60"/>
      <c r="P167" s="59"/>
      <c r="Q167" s="59"/>
      <c r="R167" s="60"/>
      <c r="S167" s="60"/>
      <c r="T167" s="60"/>
      <c r="U167" s="60"/>
      <c r="V167" s="60"/>
      <c r="W167" s="60"/>
    </row>
    <row r="168" spans="1:23" ht="13" x14ac:dyDescent="0.3">
      <c r="A168" s="58"/>
      <c r="B168" s="58"/>
      <c r="C168" s="58"/>
      <c r="D168" s="58"/>
      <c r="E168" s="58"/>
      <c r="F168" s="58"/>
      <c r="G168" s="58"/>
      <c r="H168" s="59"/>
      <c r="I168" s="59"/>
      <c r="J168" s="59"/>
      <c r="K168" s="59"/>
      <c r="L168" s="59"/>
      <c r="M168" s="60"/>
      <c r="N168" s="60"/>
      <c r="O168" s="60"/>
      <c r="P168" s="59"/>
      <c r="Q168" s="59"/>
      <c r="R168" s="60"/>
      <c r="S168" s="60"/>
      <c r="T168" s="60"/>
      <c r="U168" s="60"/>
      <c r="V168" s="60"/>
      <c r="W168" s="60"/>
    </row>
    <row r="169" spans="1:23" ht="13" x14ac:dyDescent="0.3">
      <c r="A169" s="58"/>
      <c r="B169" s="58"/>
      <c r="C169" s="58"/>
      <c r="D169" s="58"/>
      <c r="E169" s="58"/>
      <c r="F169" s="58"/>
      <c r="G169" s="58"/>
      <c r="H169" s="59"/>
      <c r="I169" s="59"/>
      <c r="J169" s="59"/>
      <c r="K169" s="59"/>
      <c r="L169" s="59"/>
      <c r="M169" s="60"/>
      <c r="N169" s="60"/>
      <c r="O169" s="60"/>
      <c r="P169" s="59"/>
      <c r="Q169" s="59"/>
      <c r="R169" s="60"/>
      <c r="S169" s="60"/>
      <c r="T169" s="60"/>
      <c r="U169" s="60"/>
      <c r="V169" s="60"/>
      <c r="W169" s="60"/>
    </row>
    <row r="170" spans="1:23" ht="13" x14ac:dyDescent="0.3">
      <c r="A170" s="58"/>
      <c r="B170" s="58"/>
      <c r="C170" s="58"/>
      <c r="D170" s="58"/>
      <c r="E170" s="58"/>
      <c r="F170" s="58"/>
      <c r="G170" s="58"/>
      <c r="H170" s="59"/>
      <c r="I170" s="59"/>
      <c r="J170" s="59"/>
      <c r="K170" s="59"/>
      <c r="L170" s="59"/>
      <c r="M170" s="60"/>
      <c r="N170" s="60"/>
      <c r="O170" s="60"/>
      <c r="P170" s="59"/>
      <c r="Q170" s="59"/>
      <c r="R170" s="60"/>
      <c r="S170" s="60"/>
      <c r="T170" s="60"/>
      <c r="U170" s="60"/>
      <c r="V170" s="60"/>
      <c r="W170" s="60"/>
    </row>
    <row r="171" spans="1:23" ht="13" x14ac:dyDescent="0.3">
      <c r="A171" s="58"/>
      <c r="B171" s="58"/>
      <c r="C171" s="58"/>
      <c r="D171" s="58"/>
      <c r="E171" s="58"/>
      <c r="F171" s="58"/>
      <c r="G171" s="58"/>
      <c r="H171" s="59"/>
      <c r="I171" s="59"/>
      <c r="J171" s="59"/>
      <c r="K171" s="59"/>
      <c r="L171" s="59"/>
      <c r="M171" s="60"/>
      <c r="N171" s="60"/>
      <c r="O171" s="60"/>
      <c r="P171" s="59"/>
      <c r="Q171" s="59"/>
      <c r="R171" s="60"/>
      <c r="S171" s="60"/>
      <c r="T171" s="60"/>
      <c r="U171" s="60"/>
      <c r="V171" s="60"/>
      <c r="W171" s="60"/>
    </row>
    <row r="172" spans="1:23" ht="13" x14ac:dyDescent="0.3">
      <c r="A172" s="58"/>
      <c r="B172" s="58"/>
      <c r="C172" s="58"/>
      <c r="D172" s="58"/>
      <c r="E172" s="58"/>
      <c r="F172" s="58"/>
      <c r="G172" s="58"/>
      <c r="H172" s="59"/>
      <c r="I172" s="59"/>
      <c r="J172" s="59"/>
      <c r="K172" s="59"/>
      <c r="L172" s="59"/>
      <c r="M172" s="60"/>
      <c r="N172" s="60"/>
      <c r="O172" s="60"/>
      <c r="P172" s="59"/>
      <c r="Q172" s="59"/>
      <c r="R172" s="60"/>
      <c r="S172" s="60"/>
      <c r="T172" s="60"/>
      <c r="U172" s="60"/>
      <c r="V172" s="60"/>
      <c r="W172" s="60"/>
    </row>
    <row r="173" spans="1:23" ht="13" x14ac:dyDescent="0.3">
      <c r="A173" s="58"/>
      <c r="B173" s="58"/>
      <c r="C173" s="58"/>
      <c r="D173" s="58"/>
      <c r="E173" s="58"/>
      <c r="F173" s="58"/>
      <c r="G173" s="58"/>
      <c r="H173" s="59"/>
      <c r="I173" s="59"/>
      <c r="J173" s="59"/>
      <c r="K173" s="59"/>
      <c r="L173" s="59"/>
      <c r="M173" s="60"/>
      <c r="N173" s="60"/>
      <c r="O173" s="60"/>
      <c r="P173" s="59"/>
      <c r="Q173" s="59"/>
      <c r="R173" s="60"/>
      <c r="S173" s="60"/>
      <c r="T173" s="60"/>
      <c r="U173" s="60"/>
      <c r="V173" s="60"/>
      <c r="W173" s="60"/>
    </row>
    <row r="174" spans="1:23" ht="13" x14ac:dyDescent="0.3">
      <c r="A174" s="58"/>
      <c r="B174" s="58"/>
      <c r="C174" s="58"/>
      <c r="D174" s="58"/>
      <c r="E174" s="58"/>
      <c r="F174" s="58"/>
      <c r="G174" s="58"/>
      <c r="H174" s="59"/>
      <c r="I174" s="59"/>
      <c r="J174" s="59"/>
      <c r="K174" s="59"/>
      <c r="L174" s="59"/>
      <c r="M174" s="60"/>
      <c r="N174" s="60"/>
      <c r="O174" s="60"/>
      <c r="P174" s="59"/>
      <c r="Q174" s="59"/>
      <c r="R174" s="60"/>
      <c r="S174" s="60"/>
      <c r="T174" s="60"/>
      <c r="U174" s="60"/>
      <c r="V174" s="60"/>
      <c r="W174" s="60"/>
    </row>
    <row r="175" spans="1:23" ht="13" x14ac:dyDescent="0.3">
      <c r="A175" s="58"/>
      <c r="B175" s="58"/>
      <c r="C175" s="58"/>
      <c r="D175" s="58"/>
      <c r="E175" s="58"/>
      <c r="F175" s="58"/>
      <c r="G175" s="58"/>
      <c r="H175" s="59"/>
      <c r="I175" s="59"/>
      <c r="J175" s="59"/>
      <c r="K175" s="59"/>
      <c r="L175" s="59"/>
      <c r="M175" s="60"/>
      <c r="N175" s="60"/>
      <c r="O175" s="60"/>
      <c r="P175" s="59"/>
      <c r="Q175" s="59"/>
      <c r="R175" s="60"/>
      <c r="S175" s="60"/>
      <c r="T175" s="60"/>
      <c r="U175" s="60"/>
      <c r="V175" s="60"/>
      <c r="W175" s="60"/>
    </row>
    <row r="176" spans="1:23" ht="13" x14ac:dyDescent="0.3">
      <c r="A176" s="58"/>
      <c r="B176" s="58"/>
      <c r="C176" s="58"/>
      <c r="D176" s="58"/>
      <c r="E176" s="58"/>
      <c r="F176" s="58"/>
      <c r="G176" s="58"/>
      <c r="H176" s="59"/>
      <c r="I176" s="59"/>
      <c r="J176" s="59"/>
      <c r="K176" s="59"/>
      <c r="L176" s="59"/>
      <c r="M176" s="60"/>
      <c r="N176" s="60"/>
      <c r="O176" s="60"/>
      <c r="P176" s="59"/>
      <c r="Q176" s="59"/>
      <c r="R176" s="60"/>
      <c r="S176" s="60"/>
      <c r="T176" s="60"/>
      <c r="U176" s="60"/>
      <c r="V176" s="60"/>
      <c r="W176" s="60"/>
    </row>
    <row r="177" spans="1:23" ht="13" x14ac:dyDescent="0.3">
      <c r="A177" s="58"/>
      <c r="B177" s="58"/>
      <c r="C177" s="58"/>
      <c r="D177" s="58"/>
      <c r="E177" s="58"/>
      <c r="F177" s="58"/>
      <c r="G177" s="58"/>
      <c r="H177" s="59"/>
      <c r="I177" s="59"/>
      <c r="J177" s="59"/>
      <c r="K177" s="59"/>
      <c r="L177" s="59"/>
      <c r="M177" s="60"/>
      <c r="N177" s="60"/>
      <c r="O177" s="60"/>
      <c r="P177" s="59"/>
      <c r="Q177" s="59"/>
      <c r="R177" s="60"/>
      <c r="S177" s="60"/>
      <c r="T177" s="60"/>
      <c r="U177" s="60"/>
      <c r="V177" s="60"/>
      <c r="W177" s="60"/>
    </row>
    <row r="178" spans="1:23" ht="13" x14ac:dyDescent="0.3">
      <c r="A178" s="58"/>
      <c r="B178" s="58"/>
      <c r="C178" s="58"/>
      <c r="D178" s="58"/>
      <c r="E178" s="58"/>
      <c r="F178" s="58"/>
      <c r="G178" s="58"/>
      <c r="H178" s="59"/>
      <c r="I178" s="59"/>
      <c r="J178" s="59"/>
      <c r="K178" s="59"/>
      <c r="L178" s="59"/>
      <c r="M178" s="60"/>
      <c r="N178" s="60"/>
      <c r="O178" s="60"/>
      <c r="P178" s="59"/>
      <c r="Q178" s="59"/>
      <c r="R178" s="60"/>
      <c r="S178" s="60"/>
      <c r="T178" s="60"/>
      <c r="U178" s="60"/>
      <c r="V178" s="60"/>
      <c r="W178" s="60"/>
    </row>
    <row r="179" spans="1:23" ht="13" x14ac:dyDescent="0.3">
      <c r="A179" s="58"/>
      <c r="B179" s="58"/>
      <c r="C179" s="58"/>
      <c r="D179" s="58"/>
      <c r="E179" s="58"/>
      <c r="F179" s="58"/>
      <c r="G179" s="58"/>
      <c r="H179" s="59"/>
      <c r="I179" s="59"/>
      <c r="J179" s="59"/>
      <c r="K179" s="59"/>
      <c r="L179" s="59"/>
      <c r="M179" s="60"/>
      <c r="N179" s="60"/>
      <c r="O179" s="60"/>
      <c r="P179" s="59"/>
      <c r="Q179" s="59"/>
      <c r="R179" s="60"/>
      <c r="S179" s="60"/>
      <c r="T179" s="60"/>
      <c r="U179" s="60"/>
      <c r="V179" s="60"/>
      <c r="W179" s="60"/>
    </row>
    <row r="180" spans="1:23" ht="13" x14ac:dyDescent="0.3">
      <c r="A180" s="58"/>
      <c r="B180" s="58"/>
      <c r="C180" s="58"/>
      <c r="D180" s="58"/>
      <c r="E180" s="58"/>
      <c r="F180" s="58"/>
      <c r="G180" s="58"/>
      <c r="H180" s="59"/>
      <c r="I180" s="59"/>
      <c r="J180" s="59"/>
      <c r="K180" s="59"/>
      <c r="L180" s="59"/>
      <c r="M180" s="60"/>
      <c r="N180" s="60"/>
      <c r="O180" s="60"/>
      <c r="P180" s="59"/>
      <c r="Q180" s="59"/>
      <c r="R180" s="60"/>
      <c r="S180" s="60"/>
      <c r="T180" s="60"/>
      <c r="U180" s="60"/>
      <c r="V180" s="60"/>
      <c r="W180" s="60"/>
    </row>
    <row r="181" spans="1:23" ht="13" x14ac:dyDescent="0.3">
      <c r="A181" s="58"/>
      <c r="B181" s="58"/>
      <c r="C181" s="58"/>
      <c r="D181" s="58"/>
      <c r="E181" s="58"/>
      <c r="F181" s="58"/>
      <c r="G181" s="58"/>
      <c r="H181" s="59"/>
      <c r="I181" s="59"/>
      <c r="J181" s="59"/>
      <c r="K181" s="59"/>
      <c r="L181" s="59"/>
      <c r="M181" s="60"/>
      <c r="N181" s="60"/>
      <c r="O181" s="60"/>
      <c r="P181" s="59"/>
      <c r="Q181" s="59"/>
      <c r="R181" s="60"/>
      <c r="S181" s="60"/>
      <c r="T181" s="60"/>
      <c r="U181" s="60"/>
      <c r="V181" s="60"/>
      <c r="W181" s="60"/>
    </row>
    <row r="182" spans="1:23" ht="13" x14ac:dyDescent="0.3">
      <c r="A182" s="58"/>
      <c r="B182" s="58"/>
      <c r="C182" s="58"/>
      <c r="D182" s="58"/>
      <c r="E182" s="58"/>
      <c r="F182" s="58"/>
      <c r="G182" s="58"/>
      <c r="H182" s="59"/>
      <c r="I182" s="59"/>
      <c r="J182" s="59"/>
      <c r="K182" s="59"/>
      <c r="L182" s="59"/>
      <c r="M182" s="60"/>
      <c r="N182" s="60"/>
      <c r="O182" s="60"/>
      <c r="P182" s="59"/>
      <c r="Q182" s="59"/>
      <c r="R182" s="60"/>
      <c r="S182" s="60"/>
      <c r="T182" s="60"/>
      <c r="U182" s="60"/>
      <c r="V182" s="60"/>
      <c r="W182" s="60"/>
    </row>
    <row r="183" spans="1:23" ht="13" x14ac:dyDescent="0.3">
      <c r="A183" s="58"/>
      <c r="B183" s="58"/>
      <c r="C183" s="58"/>
      <c r="D183" s="58"/>
      <c r="E183" s="58"/>
      <c r="F183" s="58"/>
      <c r="G183" s="58"/>
      <c r="H183" s="59"/>
      <c r="I183" s="59"/>
      <c r="J183" s="59"/>
      <c r="K183" s="59"/>
      <c r="L183" s="59"/>
      <c r="M183" s="60"/>
      <c r="N183" s="60"/>
      <c r="O183" s="60"/>
      <c r="P183" s="59"/>
      <c r="Q183" s="59"/>
      <c r="R183" s="60"/>
      <c r="S183" s="60"/>
      <c r="T183" s="60"/>
      <c r="U183" s="60"/>
      <c r="V183" s="60"/>
      <c r="W183" s="60"/>
    </row>
    <row r="184" spans="1:23" ht="13" x14ac:dyDescent="0.3">
      <c r="A184" s="58"/>
      <c r="B184" s="58"/>
      <c r="C184" s="58"/>
      <c r="D184" s="58"/>
      <c r="E184" s="58"/>
      <c r="F184" s="58"/>
      <c r="G184" s="58"/>
      <c r="H184" s="59"/>
      <c r="I184" s="59"/>
      <c r="J184" s="59"/>
      <c r="K184" s="59"/>
      <c r="L184" s="59"/>
      <c r="M184" s="60"/>
      <c r="N184" s="60"/>
      <c r="O184" s="60"/>
      <c r="P184" s="59"/>
      <c r="Q184" s="59"/>
      <c r="R184" s="60"/>
      <c r="S184" s="60"/>
      <c r="T184" s="60"/>
      <c r="U184" s="60"/>
      <c r="V184" s="60"/>
      <c r="W184" s="60"/>
    </row>
    <row r="185" spans="1:23" ht="13" x14ac:dyDescent="0.3">
      <c r="A185" s="58"/>
      <c r="B185" s="58"/>
      <c r="C185" s="58"/>
      <c r="D185" s="58"/>
      <c r="E185" s="58"/>
      <c r="F185" s="58"/>
      <c r="G185" s="58"/>
      <c r="H185" s="59"/>
      <c r="I185" s="59"/>
      <c r="J185" s="59"/>
      <c r="K185" s="59"/>
      <c r="L185" s="59"/>
      <c r="M185" s="60"/>
      <c r="N185" s="60"/>
      <c r="O185" s="60"/>
      <c r="P185" s="59"/>
      <c r="Q185" s="59"/>
      <c r="R185" s="60"/>
      <c r="S185" s="60"/>
      <c r="T185" s="60"/>
      <c r="U185" s="60"/>
      <c r="V185" s="60"/>
      <c r="W185" s="60"/>
    </row>
    <row r="186" spans="1:23" ht="13" x14ac:dyDescent="0.3">
      <c r="A186" s="58"/>
      <c r="B186" s="58"/>
      <c r="C186" s="58"/>
      <c r="D186" s="58"/>
      <c r="E186" s="58"/>
      <c r="F186" s="58"/>
      <c r="G186" s="58"/>
      <c r="H186" s="59"/>
      <c r="I186" s="59"/>
      <c r="J186" s="59"/>
      <c r="K186" s="59"/>
      <c r="L186" s="59"/>
      <c r="M186" s="60"/>
      <c r="N186" s="60"/>
      <c r="O186" s="60"/>
      <c r="P186" s="59"/>
      <c r="Q186" s="59"/>
      <c r="R186" s="60"/>
      <c r="S186" s="60"/>
      <c r="T186" s="60"/>
      <c r="U186" s="60"/>
      <c r="V186" s="60"/>
      <c r="W186" s="60"/>
    </row>
    <row r="187" spans="1:23" ht="13" x14ac:dyDescent="0.3">
      <c r="A187" s="58"/>
      <c r="B187" s="58"/>
      <c r="C187" s="58"/>
      <c r="D187" s="58"/>
      <c r="E187" s="58"/>
      <c r="F187" s="58"/>
      <c r="G187" s="58"/>
      <c r="H187" s="59"/>
      <c r="I187" s="59"/>
      <c r="J187" s="59"/>
      <c r="K187" s="59"/>
      <c r="L187" s="59"/>
      <c r="M187" s="60"/>
      <c r="N187" s="60"/>
      <c r="O187" s="60"/>
      <c r="P187" s="59"/>
      <c r="Q187" s="59"/>
      <c r="R187" s="60"/>
      <c r="S187" s="60"/>
      <c r="T187" s="60"/>
      <c r="U187" s="60"/>
      <c r="V187" s="60"/>
      <c r="W187" s="60"/>
    </row>
    <row r="188" spans="1:23" ht="13" x14ac:dyDescent="0.3">
      <c r="A188" s="58"/>
      <c r="B188" s="58"/>
      <c r="C188" s="58"/>
      <c r="D188" s="58"/>
      <c r="E188" s="58"/>
      <c r="F188" s="58"/>
      <c r="G188" s="58"/>
      <c r="H188" s="59"/>
      <c r="I188" s="59"/>
      <c r="J188" s="59"/>
      <c r="K188" s="59"/>
      <c r="L188" s="59"/>
      <c r="M188" s="60"/>
      <c r="N188" s="60"/>
      <c r="O188" s="60"/>
      <c r="P188" s="59"/>
      <c r="Q188" s="59"/>
      <c r="R188" s="60"/>
      <c r="S188" s="60"/>
      <c r="T188" s="60"/>
      <c r="U188" s="60"/>
      <c r="V188" s="60"/>
      <c r="W188" s="60"/>
    </row>
    <row r="189" spans="1:23" ht="13" x14ac:dyDescent="0.3">
      <c r="A189" s="58"/>
      <c r="B189" s="58"/>
      <c r="C189" s="58"/>
      <c r="D189" s="58"/>
      <c r="E189" s="58"/>
      <c r="F189" s="58"/>
      <c r="G189" s="58"/>
      <c r="H189" s="59"/>
      <c r="I189" s="59"/>
      <c r="J189" s="59"/>
      <c r="K189" s="59"/>
      <c r="L189" s="59"/>
      <c r="M189" s="60"/>
      <c r="N189" s="60"/>
      <c r="O189" s="60"/>
      <c r="P189" s="59"/>
      <c r="Q189" s="59"/>
      <c r="R189" s="60"/>
      <c r="S189" s="60"/>
      <c r="T189" s="60"/>
      <c r="U189" s="60"/>
      <c r="V189" s="60"/>
      <c r="W189" s="60"/>
    </row>
    <row r="190" spans="1:23" ht="13" x14ac:dyDescent="0.3">
      <c r="A190" s="58"/>
      <c r="B190" s="58"/>
      <c r="C190" s="58"/>
      <c r="D190" s="58"/>
      <c r="E190" s="58"/>
      <c r="F190" s="58"/>
      <c r="G190" s="58"/>
      <c r="H190" s="59"/>
      <c r="I190" s="59"/>
      <c r="J190" s="59"/>
      <c r="K190" s="59"/>
      <c r="L190" s="59"/>
      <c r="M190" s="60"/>
      <c r="N190" s="60"/>
      <c r="O190" s="60"/>
      <c r="P190" s="59"/>
      <c r="Q190" s="59"/>
      <c r="R190" s="60"/>
      <c r="S190" s="60"/>
      <c r="T190" s="60"/>
      <c r="U190" s="60"/>
      <c r="V190" s="60"/>
      <c r="W190" s="60"/>
    </row>
    <row r="191" spans="1:23" ht="13" x14ac:dyDescent="0.3">
      <c r="A191" s="58"/>
      <c r="B191" s="58"/>
      <c r="C191" s="58"/>
      <c r="D191" s="58"/>
      <c r="E191" s="58"/>
      <c r="F191" s="58"/>
      <c r="G191" s="58"/>
      <c r="H191" s="59"/>
      <c r="I191" s="59"/>
      <c r="J191" s="59"/>
      <c r="K191" s="59"/>
      <c r="L191" s="59"/>
      <c r="M191" s="60"/>
      <c r="N191" s="60"/>
      <c r="O191" s="60"/>
      <c r="P191" s="59"/>
      <c r="Q191" s="59"/>
      <c r="R191" s="60"/>
      <c r="S191" s="60"/>
      <c r="T191" s="60"/>
      <c r="U191" s="60"/>
      <c r="V191" s="60"/>
      <c r="W191" s="60"/>
    </row>
    <row r="192" spans="1:23" ht="13" x14ac:dyDescent="0.3">
      <c r="A192" s="58"/>
      <c r="B192" s="58"/>
      <c r="C192" s="58"/>
      <c r="D192" s="58"/>
      <c r="E192" s="58"/>
      <c r="F192" s="58"/>
      <c r="G192" s="58"/>
      <c r="H192" s="59"/>
      <c r="I192" s="59"/>
      <c r="J192" s="59"/>
      <c r="K192" s="59"/>
      <c r="L192" s="59"/>
      <c r="M192" s="60"/>
      <c r="N192" s="60"/>
      <c r="O192" s="60"/>
      <c r="P192" s="59"/>
      <c r="Q192" s="59"/>
      <c r="R192" s="60"/>
      <c r="S192" s="60"/>
      <c r="T192" s="60"/>
      <c r="U192" s="60"/>
      <c r="V192" s="60"/>
      <c r="W192" s="60"/>
    </row>
    <row r="193" spans="1:23" ht="13" x14ac:dyDescent="0.3">
      <c r="A193" s="58"/>
      <c r="B193" s="58"/>
      <c r="C193" s="58"/>
      <c r="D193" s="58"/>
      <c r="E193" s="58"/>
      <c r="F193" s="58"/>
      <c r="G193" s="58"/>
      <c r="H193" s="59"/>
      <c r="I193" s="59"/>
      <c r="J193" s="59"/>
      <c r="K193" s="59"/>
      <c r="L193" s="59"/>
      <c r="M193" s="60"/>
      <c r="N193" s="60"/>
      <c r="O193" s="60"/>
      <c r="P193" s="59"/>
      <c r="Q193" s="59"/>
      <c r="R193" s="60"/>
      <c r="S193" s="60"/>
      <c r="T193" s="60"/>
      <c r="U193" s="60"/>
      <c r="V193" s="60"/>
      <c r="W193" s="60"/>
    </row>
    <row r="194" spans="1:23" ht="13" x14ac:dyDescent="0.3">
      <c r="A194" s="58"/>
      <c r="B194" s="58"/>
      <c r="C194" s="58"/>
      <c r="D194" s="58"/>
      <c r="E194" s="58"/>
      <c r="F194" s="58"/>
      <c r="G194" s="58"/>
      <c r="H194" s="59"/>
      <c r="I194" s="59"/>
      <c r="J194" s="59"/>
      <c r="K194" s="59"/>
      <c r="L194" s="59"/>
      <c r="M194" s="60"/>
      <c r="N194" s="60"/>
      <c r="O194" s="60"/>
      <c r="P194" s="59"/>
      <c r="Q194" s="59"/>
      <c r="R194" s="60"/>
      <c r="S194" s="60"/>
      <c r="T194" s="60"/>
      <c r="U194" s="60"/>
      <c r="V194" s="60"/>
      <c r="W194" s="60"/>
    </row>
    <row r="195" spans="1:23" ht="13" x14ac:dyDescent="0.3">
      <c r="A195" s="58"/>
      <c r="B195" s="58"/>
      <c r="C195" s="58"/>
      <c r="D195" s="58"/>
      <c r="E195" s="58"/>
      <c r="F195" s="58"/>
      <c r="G195" s="58"/>
      <c r="H195" s="59"/>
      <c r="I195" s="59"/>
      <c r="J195" s="59"/>
      <c r="K195" s="59"/>
      <c r="L195" s="59"/>
      <c r="M195" s="60"/>
      <c r="N195" s="60"/>
      <c r="O195" s="60"/>
      <c r="P195" s="59"/>
      <c r="Q195" s="59"/>
      <c r="R195" s="60"/>
      <c r="S195" s="60"/>
      <c r="T195" s="60"/>
      <c r="U195" s="60"/>
      <c r="V195" s="60"/>
      <c r="W195" s="60"/>
    </row>
    <row r="196" spans="1:23" ht="13" x14ac:dyDescent="0.3">
      <c r="A196" s="58"/>
      <c r="B196" s="58"/>
      <c r="C196" s="58"/>
      <c r="D196" s="58"/>
      <c r="E196" s="58"/>
      <c r="F196" s="58"/>
      <c r="G196" s="58"/>
      <c r="H196" s="59"/>
      <c r="I196" s="59"/>
      <c r="J196" s="59"/>
      <c r="K196" s="59"/>
      <c r="L196" s="59"/>
      <c r="M196" s="60"/>
      <c r="N196" s="60"/>
      <c r="O196" s="60"/>
      <c r="P196" s="59"/>
      <c r="Q196" s="59"/>
      <c r="R196" s="60"/>
      <c r="S196" s="60"/>
      <c r="T196" s="60"/>
      <c r="U196" s="60"/>
      <c r="V196" s="60"/>
      <c r="W196" s="60"/>
    </row>
    <row r="197" spans="1:23" ht="13" x14ac:dyDescent="0.3">
      <c r="A197" s="58"/>
      <c r="B197" s="58"/>
      <c r="C197" s="58"/>
      <c r="D197" s="58"/>
      <c r="E197" s="58"/>
      <c r="F197" s="58"/>
      <c r="G197" s="58"/>
      <c r="H197" s="59"/>
      <c r="I197" s="59"/>
      <c r="J197" s="59"/>
      <c r="K197" s="59"/>
      <c r="L197" s="59"/>
      <c r="M197" s="60"/>
      <c r="N197" s="60"/>
      <c r="O197" s="60"/>
      <c r="P197" s="59"/>
      <c r="Q197" s="59"/>
      <c r="R197" s="60"/>
      <c r="S197" s="60"/>
      <c r="T197" s="60"/>
      <c r="U197" s="60"/>
      <c r="V197" s="60"/>
      <c r="W197" s="60"/>
    </row>
    <row r="198" spans="1:23" ht="13" x14ac:dyDescent="0.3">
      <c r="A198" s="58"/>
      <c r="B198" s="58"/>
      <c r="C198" s="58"/>
      <c r="D198" s="58"/>
      <c r="E198" s="58"/>
      <c r="F198" s="58"/>
      <c r="G198" s="58"/>
      <c r="H198" s="59"/>
      <c r="I198" s="59"/>
      <c r="J198" s="59"/>
      <c r="K198" s="59"/>
      <c r="L198" s="59"/>
      <c r="M198" s="60"/>
      <c r="N198" s="60"/>
      <c r="O198" s="60"/>
      <c r="P198" s="59"/>
      <c r="Q198" s="59"/>
      <c r="R198" s="60"/>
      <c r="S198" s="60"/>
      <c r="T198" s="60"/>
      <c r="U198" s="60"/>
      <c r="V198" s="60"/>
      <c r="W198" s="60"/>
    </row>
    <row r="199" spans="1:23" ht="13" x14ac:dyDescent="0.3">
      <c r="A199" s="58"/>
      <c r="B199" s="58"/>
      <c r="C199" s="58"/>
      <c r="D199" s="58"/>
      <c r="E199" s="58"/>
      <c r="F199" s="58"/>
      <c r="G199" s="58"/>
      <c r="H199" s="59"/>
      <c r="I199" s="59"/>
      <c r="J199" s="59"/>
      <c r="K199" s="59"/>
      <c r="L199" s="59"/>
      <c r="M199" s="60"/>
      <c r="N199" s="60"/>
      <c r="O199" s="60"/>
      <c r="P199" s="59"/>
      <c r="Q199" s="59"/>
      <c r="R199" s="60"/>
      <c r="S199" s="60"/>
      <c r="T199" s="60"/>
      <c r="U199" s="60"/>
      <c r="V199" s="60"/>
      <c r="W199" s="60"/>
    </row>
    <row r="200" spans="1:23" ht="13" x14ac:dyDescent="0.3">
      <c r="A200" s="58"/>
      <c r="B200" s="58"/>
      <c r="C200" s="58"/>
      <c r="D200" s="58"/>
      <c r="E200" s="58"/>
      <c r="F200" s="58"/>
      <c r="G200" s="58"/>
      <c r="H200" s="59"/>
      <c r="I200" s="59"/>
      <c r="J200" s="59"/>
      <c r="K200" s="59"/>
      <c r="L200" s="59"/>
      <c r="M200" s="60"/>
      <c r="N200" s="60"/>
      <c r="O200" s="60"/>
      <c r="P200" s="59"/>
      <c r="Q200" s="59"/>
      <c r="R200" s="60"/>
      <c r="S200" s="60"/>
      <c r="T200" s="60"/>
      <c r="U200" s="60"/>
      <c r="V200" s="60"/>
      <c r="W200" s="60"/>
    </row>
    <row r="201" spans="1:23" ht="13" x14ac:dyDescent="0.3">
      <c r="A201" s="58"/>
      <c r="B201" s="58"/>
      <c r="C201" s="58"/>
      <c r="D201" s="58"/>
      <c r="E201" s="58"/>
      <c r="F201" s="58"/>
      <c r="G201" s="58"/>
      <c r="H201" s="59"/>
      <c r="I201" s="59"/>
      <c r="J201" s="59"/>
      <c r="K201" s="59"/>
      <c r="L201" s="59"/>
      <c r="M201" s="60"/>
      <c r="N201" s="60"/>
      <c r="O201" s="60"/>
      <c r="P201" s="59"/>
      <c r="Q201" s="59"/>
      <c r="R201" s="60"/>
      <c r="S201" s="60"/>
      <c r="T201" s="60"/>
      <c r="U201" s="60"/>
      <c r="V201" s="60"/>
      <c r="W201" s="60"/>
    </row>
    <row r="202" spans="1:23" ht="13" x14ac:dyDescent="0.3">
      <c r="A202" s="58"/>
      <c r="B202" s="58"/>
      <c r="C202" s="58"/>
      <c r="D202" s="58"/>
      <c r="E202" s="58"/>
      <c r="F202" s="58"/>
      <c r="G202" s="58"/>
      <c r="H202" s="59"/>
      <c r="I202" s="59"/>
      <c r="J202" s="59"/>
      <c r="K202" s="59"/>
      <c r="L202" s="59"/>
      <c r="M202" s="60"/>
      <c r="N202" s="60"/>
      <c r="O202" s="60"/>
      <c r="P202" s="59"/>
      <c r="Q202" s="59"/>
      <c r="R202" s="60"/>
      <c r="S202" s="60"/>
      <c r="T202" s="60"/>
      <c r="U202" s="60"/>
      <c r="V202" s="60"/>
      <c r="W202" s="60"/>
    </row>
    <row r="203" spans="1:23" ht="13" x14ac:dyDescent="0.3">
      <c r="A203" s="58"/>
      <c r="B203" s="58"/>
      <c r="C203" s="58"/>
      <c r="D203" s="58"/>
      <c r="E203" s="58"/>
      <c r="F203" s="58"/>
      <c r="G203" s="58"/>
      <c r="H203" s="59"/>
      <c r="I203" s="59"/>
      <c r="J203" s="59"/>
      <c r="K203" s="59"/>
      <c r="L203" s="59"/>
      <c r="M203" s="60"/>
      <c r="N203" s="60"/>
      <c r="O203" s="60"/>
      <c r="P203" s="59"/>
      <c r="Q203" s="59"/>
      <c r="R203" s="60"/>
      <c r="S203" s="60"/>
      <c r="T203" s="60"/>
      <c r="U203" s="60"/>
      <c r="V203" s="60"/>
      <c r="W203" s="60"/>
    </row>
    <row r="204" spans="1:23" ht="13" x14ac:dyDescent="0.3">
      <c r="A204" s="58"/>
      <c r="B204" s="58"/>
      <c r="C204" s="58"/>
      <c r="D204" s="58"/>
      <c r="E204" s="58"/>
      <c r="F204" s="58"/>
      <c r="G204" s="58"/>
      <c r="H204" s="59"/>
      <c r="I204" s="59"/>
      <c r="J204" s="59"/>
      <c r="K204" s="59"/>
      <c r="L204" s="59"/>
      <c r="M204" s="60"/>
      <c r="N204" s="60"/>
      <c r="O204" s="60"/>
      <c r="P204" s="59"/>
      <c r="Q204" s="59"/>
      <c r="R204" s="60"/>
      <c r="S204" s="60"/>
      <c r="T204" s="60"/>
      <c r="U204" s="60"/>
      <c r="V204" s="60"/>
      <c r="W204" s="60"/>
    </row>
    <row r="205" spans="1:23" ht="13" x14ac:dyDescent="0.3">
      <c r="A205" s="58"/>
      <c r="B205" s="58"/>
      <c r="C205" s="58"/>
      <c r="D205" s="58"/>
      <c r="E205" s="58"/>
      <c r="F205" s="58"/>
      <c r="G205" s="58"/>
      <c r="H205" s="59"/>
      <c r="I205" s="59"/>
      <c r="J205" s="59"/>
      <c r="K205" s="59"/>
      <c r="L205" s="59"/>
      <c r="M205" s="60"/>
      <c r="N205" s="60"/>
      <c r="O205" s="60"/>
      <c r="P205" s="59"/>
      <c r="Q205" s="59"/>
      <c r="R205" s="60"/>
      <c r="S205" s="60"/>
      <c r="T205" s="60"/>
      <c r="U205" s="60"/>
      <c r="V205" s="60"/>
      <c r="W205" s="60"/>
    </row>
    <row r="206" spans="1:23" ht="13" x14ac:dyDescent="0.3">
      <c r="A206" s="58"/>
      <c r="B206" s="58"/>
      <c r="C206" s="58"/>
      <c r="D206" s="58"/>
      <c r="E206" s="58"/>
      <c r="F206" s="58"/>
      <c r="G206" s="58"/>
      <c r="H206" s="59"/>
      <c r="I206" s="59"/>
      <c r="J206" s="59"/>
      <c r="K206" s="59"/>
      <c r="L206" s="59"/>
      <c r="M206" s="60"/>
      <c r="N206" s="60"/>
      <c r="O206" s="60"/>
      <c r="P206" s="59"/>
      <c r="Q206" s="59"/>
      <c r="R206" s="60"/>
      <c r="S206" s="60"/>
      <c r="T206" s="60"/>
      <c r="U206" s="60"/>
      <c r="V206" s="60"/>
      <c r="W206" s="60"/>
    </row>
    <row r="207" spans="1:23" ht="13" x14ac:dyDescent="0.3">
      <c r="A207" s="58"/>
      <c r="B207" s="58"/>
      <c r="C207" s="58"/>
      <c r="D207" s="58"/>
      <c r="E207" s="58"/>
      <c r="F207" s="58"/>
      <c r="G207" s="58"/>
      <c r="H207" s="59"/>
      <c r="I207" s="59"/>
      <c r="J207" s="59"/>
      <c r="K207" s="59"/>
      <c r="L207" s="59"/>
      <c r="M207" s="60"/>
      <c r="N207" s="60"/>
      <c r="O207" s="60"/>
      <c r="P207" s="59"/>
      <c r="Q207" s="59"/>
      <c r="R207" s="60"/>
      <c r="S207" s="60"/>
      <c r="T207" s="60"/>
      <c r="U207" s="60"/>
      <c r="V207" s="60"/>
      <c r="W207" s="60"/>
    </row>
    <row r="208" spans="1:23" ht="13" x14ac:dyDescent="0.3">
      <c r="A208" s="58"/>
      <c r="B208" s="58"/>
      <c r="C208" s="58"/>
      <c r="D208" s="58"/>
      <c r="E208" s="58"/>
      <c r="F208" s="58"/>
      <c r="G208" s="58"/>
      <c r="H208" s="59"/>
      <c r="I208" s="59"/>
      <c r="J208" s="59"/>
      <c r="K208" s="59"/>
      <c r="L208" s="59"/>
      <c r="M208" s="60"/>
      <c r="N208" s="60"/>
      <c r="O208" s="60"/>
      <c r="P208" s="59"/>
      <c r="Q208" s="59"/>
      <c r="R208" s="60"/>
      <c r="S208" s="60"/>
      <c r="T208" s="60"/>
      <c r="U208" s="60"/>
      <c r="V208" s="60"/>
      <c r="W208" s="60"/>
    </row>
    <row r="209" spans="1:23" ht="13" x14ac:dyDescent="0.3">
      <c r="A209" s="58"/>
      <c r="B209" s="58"/>
      <c r="C209" s="58"/>
      <c r="D209" s="58"/>
      <c r="E209" s="58"/>
      <c r="F209" s="58"/>
      <c r="G209" s="58"/>
      <c r="H209" s="59"/>
      <c r="I209" s="59"/>
      <c r="J209" s="59"/>
      <c r="K209" s="59"/>
      <c r="L209" s="59"/>
      <c r="M209" s="60"/>
      <c r="N209" s="60"/>
      <c r="O209" s="60"/>
      <c r="P209" s="59"/>
      <c r="Q209" s="59"/>
      <c r="R209" s="60"/>
      <c r="S209" s="60"/>
      <c r="T209" s="60"/>
      <c r="U209" s="60"/>
      <c r="V209" s="60"/>
      <c r="W209" s="60"/>
    </row>
    <row r="210" spans="1:23" ht="13" x14ac:dyDescent="0.3">
      <c r="A210" s="58"/>
      <c r="B210" s="58"/>
      <c r="C210" s="58"/>
      <c r="D210" s="58"/>
      <c r="E210" s="58"/>
      <c r="F210" s="58"/>
      <c r="G210" s="58"/>
      <c r="H210" s="59"/>
      <c r="I210" s="59"/>
      <c r="J210" s="59"/>
      <c r="K210" s="59"/>
      <c r="L210" s="59"/>
      <c r="M210" s="60"/>
      <c r="N210" s="60"/>
      <c r="O210" s="60"/>
      <c r="P210" s="59"/>
      <c r="Q210" s="59"/>
      <c r="R210" s="60"/>
      <c r="S210" s="60"/>
      <c r="T210" s="60"/>
      <c r="U210" s="60"/>
      <c r="V210" s="60"/>
      <c r="W210" s="60"/>
    </row>
    <row r="211" spans="1:23" ht="13" x14ac:dyDescent="0.3">
      <c r="A211" s="58"/>
      <c r="B211" s="58"/>
      <c r="C211" s="58"/>
      <c r="D211" s="58"/>
      <c r="E211" s="58"/>
      <c r="F211" s="58"/>
      <c r="G211" s="58"/>
      <c r="H211" s="59"/>
      <c r="I211" s="59"/>
      <c r="J211" s="59"/>
      <c r="K211" s="59"/>
      <c r="L211" s="59"/>
      <c r="M211" s="60"/>
      <c r="N211" s="60"/>
      <c r="O211" s="60"/>
      <c r="P211" s="59"/>
      <c r="Q211" s="59"/>
      <c r="R211" s="60"/>
      <c r="S211" s="60"/>
      <c r="T211" s="60"/>
      <c r="U211" s="60"/>
      <c r="V211" s="60"/>
      <c r="W211" s="60"/>
    </row>
    <row r="212" spans="1:23" ht="13" x14ac:dyDescent="0.3">
      <c r="A212" s="58"/>
      <c r="B212" s="58"/>
      <c r="C212" s="58"/>
      <c r="D212" s="58"/>
      <c r="E212" s="58"/>
      <c r="F212" s="58"/>
      <c r="G212" s="58"/>
      <c r="H212" s="59"/>
      <c r="I212" s="59"/>
      <c r="J212" s="59"/>
      <c r="K212" s="59"/>
      <c r="L212" s="59"/>
      <c r="M212" s="60"/>
      <c r="N212" s="60"/>
      <c r="O212" s="60"/>
      <c r="P212" s="59"/>
      <c r="Q212" s="59"/>
      <c r="R212" s="60"/>
      <c r="S212" s="60"/>
      <c r="T212" s="60"/>
      <c r="U212" s="60"/>
      <c r="V212" s="60"/>
      <c r="W212" s="60"/>
    </row>
    <row r="213" spans="1:23" ht="13" x14ac:dyDescent="0.3">
      <c r="A213" s="58"/>
      <c r="B213" s="58"/>
      <c r="C213" s="58"/>
      <c r="D213" s="58"/>
      <c r="E213" s="58"/>
      <c r="F213" s="58"/>
      <c r="G213" s="58"/>
      <c r="H213" s="59"/>
      <c r="I213" s="59"/>
      <c r="J213" s="59"/>
      <c r="K213" s="59"/>
      <c r="L213" s="59"/>
      <c r="M213" s="60"/>
      <c r="N213" s="60"/>
      <c r="O213" s="60"/>
      <c r="P213" s="59"/>
      <c r="Q213" s="59"/>
      <c r="R213" s="60"/>
      <c r="S213" s="60"/>
      <c r="T213" s="60"/>
      <c r="U213" s="60"/>
      <c r="V213" s="60"/>
      <c r="W213" s="60"/>
    </row>
    <row r="214" spans="1:23" ht="13" x14ac:dyDescent="0.3">
      <c r="A214" s="58"/>
      <c r="B214" s="58"/>
      <c r="C214" s="58"/>
      <c r="D214" s="58"/>
      <c r="E214" s="58"/>
      <c r="F214" s="58"/>
      <c r="G214" s="58"/>
      <c r="H214" s="59"/>
      <c r="I214" s="59"/>
      <c r="J214" s="59"/>
      <c r="K214" s="59"/>
      <c r="L214" s="59"/>
      <c r="M214" s="60"/>
      <c r="N214" s="60"/>
      <c r="O214" s="60"/>
      <c r="P214" s="59"/>
      <c r="Q214" s="59"/>
      <c r="R214" s="60"/>
      <c r="S214" s="60"/>
      <c r="T214" s="60"/>
      <c r="U214" s="60"/>
      <c r="V214" s="60"/>
      <c r="W214" s="60"/>
    </row>
    <row r="215" spans="1:23" ht="13" x14ac:dyDescent="0.3">
      <c r="A215" s="58"/>
      <c r="B215" s="58"/>
      <c r="C215" s="58"/>
      <c r="D215" s="58"/>
      <c r="E215" s="58"/>
      <c r="F215" s="58"/>
      <c r="G215" s="58"/>
      <c r="H215" s="59"/>
      <c r="I215" s="59"/>
      <c r="J215" s="59"/>
      <c r="K215" s="59"/>
      <c r="L215" s="59"/>
      <c r="M215" s="60"/>
      <c r="N215" s="60"/>
      <c r="O215" s="60"/>
      <c r="P215" s="59"/>
      <c r="Q215" s="59"/>
      <c r="R215" s="60"/>
      <c r="S215" s="60"/>
      <c r="T215" s="60"/>
      <c r="U215" s="60"/>
      <c r="V215" s="60"/>
      <c r="W215" s="60"/>
    </row>
    <row r="216" spans="1:23" ht="13" x14ac:dyDescent="0.3">
      <c r="A216" s="58"/>
      <c r="B216" s="58"/>
      <c r="C216" s="58"/>
      <c r="D216" s="58"/>
      <c r="E216" s="58"/>
      <c r="F216" s="58"/>
      <c r="G216" s="58"/>
      <c r="H216" s="59"/>
      <c r="I216" s="59"/>
      <c r="J216" s="59"/>
      <c r="K216" s="59"/>
      <c r="L216" s="59"/>
      <c r="M216" s="60"/>
      <c r="N216" s="60"/>
      <c r="O216" s="60"/>
      <c r="P216" s="59"/>
      <c r="Q216" s="59"/>
      <c r="R216" s="60"/>
      <c r="S216" s="60"/>
      <c r="T216" s="60"/>
      <c r="U216" s="60"/>
      <c r="V216" s="60"/>
      <c r="W216" s="60"/>
    </row>
    <row r="217" spans="1:23" ht="13" x14ac:dyDescent="0.3">
      <c r="A217" s="58"/>
      <c r="B217" s="58"/>
      <c r="C217" s="58"/>
      <c r="D217" s="58"/>
      <c r="E217" s="58"/>
      <c r="F217" s="58"/>
      <c r="G217" s="58"/>
      <c r="H217" s="59"/>
      <c r="I217" s="59"/>
      <c r="J217" s="59"/>
      <c r="K217" s="59"/>
      <c r="L217" s="59"/>
      <c r="M217" s="60"/>
      <c r="N217" s="60"/>
      <c r="O217" s="60"/>
      <c r="P217" s="59"/>
      <c r="Q217" s="59"/>
      <c r="R217" s="60"/>
      <c r="S217" s="60"/>
      <c r="T217" s="60"/>
      <c r="U217" s="60"/>
      <c r="V217" s="60"/>
      <c r="W217" s="60"/>
    </row>
    <row r="218" spans="1:23" ht="13" x14ac:dyDescent="0.3">
      <c r="A218" s="58"/>
      <c r="B218" s="58"/>
      <c r="C218" s="58"/>
      <c r="D218" s="58"/>
      <c r="E218" s="58"/>
      <c r="F218" s="58"/>
      <c r="G218" s="58"/>
      <c r="H218" s="59"/>
      <c r="I218" s="59"/>
      <c r="J218" s="59"/>
      <c r="K218" s="59"/>
      <c r="L218" s="59"/>
      <c r="M218" s="60"/>
      <c r="N218" s="60"/>
      <c r="O218" s="60"/>
      <c r="P218" s="59"/>
      <c r="Q218" s="59"/>
      <c r="R218" s="60"/>
      <c r="S218" s="60"/>
      <c r="T218" s="60"/>
      <c r="U218" s="60"/>
      <c r="V218" s="60"/>
      <c r="W218" s="60"/>
    </row>
    <row r="219" spans="1:23" ht="13" x14ac:dyDescent="0.3">
      <c r="A219" s="58"/>
      <c r="B219" s="58"/>
      <c r="C219" s="58"/>
      <c r="D219" s="58"/>
      <c r="E219" s="58"/>
      <c r="F219" s="58"/>
      <c r="G219" s="58"/>
      <c r="H219" s="59"/>
      <c r="I219" s="59"/>
      <c r="J219" s="59"/>
      <c r="K219" s="59"/>
      <c r="L219" s="59"/>
      <c r="M219" s="60"/>
      <c r="N219" s="60"/>
      <c r="O219" s="60"/>
      <c r="P219" s="59"/>
      <c r="Q219" s="59"/>
      <c r="R219" s="60"/>
      <c r="S219" s="60"/>
      <c r="T219" s="60"/>
      <c r="U219" s="60"/>
      <c r="V219" s="60"/>
      <c r="W219" s="60"/>
    </row>
    <row r="220" spans="1:23" ht="13" x14ac:dyDescent="0.3">
      <c r="A220" s="58"/>
      <c r="B220" s="58"/>
      <c r="C220" s="58"/>
      <c r="D220" s="58"/>
      <c r="E220" s="58"/>
      <c r="F220" s="58"/>
      <c r="G220" s="58"/>
      <c r="H220" s="59"/>
      <c r="I220" s="59"/>
      <c r="J220" s="59"/>
      <c r="K220" s="59"/>
      <c r="L220" s="59"/>
      <c r="M220" s="60"/>
      <c r="N220" s="60"/>
      <c r="O220" s="60"/>
      <c r="P220" s="59"/>
      <c r="Q220" s="59"/>
      <c r="R220" s="60"/>
      <c r="S220" s="60"/>
      <c r="T220" s="60"/>
      <c r="U220" s="60"/>
      <c r="V220" s="60"/>
      <c r="W220" s="60"/>
    </row>
    <row r="221" spans="1:23" ht="13" x14ac:dyDescent="0.3">
      <c r="A221" s="58"/>
      <c r="B221" s="58"/>
      <c r="C221" s="58"/>
      <c r="D221" s="58"/>
      <c r="E221" s="58"/>
      <c r="F221" s="58"/>
      <c r="G221" s="58"/>
      <c r="H221" s="59"/>
      <c r="I221" s="59"/>
      <c r="J221" s="59"/>
      <c r="K221" s="59"/>
      <c r="L221" s="59"/>
      <c r="M221" s="60"/>
      <c r="N221" s="60"/>
      <c r="O221" s="60"/>
      <c r="P221" s="59"/>
      <c r="Q221" s="59"/>
      <c r="R221" s="60"/>
      <c r="S221" s="60"/>
      <c r="T221" s="60"/>
      <c r="U221" s="60"/>
      <c r="V221" s="60"/>
      <c r="W221" s="60"/>
    </row>
    <row r="222" spans="1:23" ht="13" x14ac:dyDescent="0.3">
      <c r="A222" s="58"/>
      <c r="B222" s="58"/>
      <c r="C222" s="58"/>
      <c r="D222" s="58"/>
      <c r="E222" s="58"/>
      <c r="F222" s="58"/>
      <c r="G222" s="58"/>
      <c r="H222" s="59"/>
      <c r="I222" s="59"/>
      <c r="J222" s="59"/>
      <c r="K222" s="59"/>
      <c r="L222" s="59"/>
      <c r="M222" s="60"/>
      <c r="N222" s="60"/>
      <c r="O222" s="60"/>
      <c r="P222" s="59"/>
      <c r="Q222" s="59"/>
      <c r="R222" s="60"/>
      <c r="S222" s="60"/>
      <c r="T222" s="60"/>
      <c r="U222" s="60"/>
      <c r="V222" s="60"/>
      <c r="W222" s="60"/>
    </row>
    <row r="223" spans="1:23" ht="13" x14ac:dyDescent="0.3">
      <c r="A223" s="58"/>
      <c r="B223" s="58"/>
      <c r="C223" s="58"/>
      <c r="D223" s="58"/>
      <c r="E223" s="58"/>
      <c r="F223" s="58"/>
      <c r="G223" s="58"/>
      <c r="H223" s="59"/>
      <c r="I223" s="59"/>
      <c r="J223" s="59"/>
      <c r="K223" s="59"/>
      <c r="L223" s="59"/>
      <c r="M223" s="60"/>
      <c r="N223" s="60"/>
      <c r="O223" s="60"/>
      <c r="P223" s="59"/>
      <c r="Q223" s="59"/>
      <c r="R223" s="60"/>
      <c r="S223" s="60"/>
      <c r="T223" s="60"/>
      <c r="U223" s="60"/>
      <c r="V223" s="60"/>
      <c r="W223" s="60"/>
    </row>
    <row r="224" spans="1:23" ht="13" x14ac:dyDescent="0.3">
      <c r="A224" s="58"/>
      <c r="B224" s="58"/>
      <c r="C224" s="58"/>
      <c r="D224" s="58"/>
      <c r="E224" s="58"/>
      <c r="F224" s="58"/>
      <c r="G224" s="58"/>
      <c r="H224" s="59"/>
      <c r="I224" s="59"/>
      <c r="J224" s="59"/>
      <c r="K224" s="59"/>
      <c r="L224" s="59"/>
      <c r="M224" s="60"/>
      <c r="N224" s="60"/>
      <c r="O224" s="60"/>
      <c r="P224" s="59"/>
      <c r="Q224" s="59"/>
      <c r="R224" s="60"/>
      <c r="S224" s="60"/>
      <c r="T224" s="60"/>
      <c r="U224" s="60"/>
      <c r="V224" s="60"/>
      <c r="W224" s="60"/>
    </row>
    <row r="225" spans="1:23" ht="13" x14ac:dyDescent="0.3">
      <c r="A225" s="58"/>
      <c r="B225" s="58"/>
      <c r="C225" s="58"/>
      <c r="D225" s="58"/>
      <c r="E225" s="58"/>
      <c r="F225" s="58"/>
      <c r="G225" s="58"/>
      <c r="H225" s="59"/>
      <c r="I225" s="59"/>
      <c r="J225" s="59"/>
      <c r="K225" s="59"/>
      <c r="L225" s="59"/>
      <c r="M225" s="60"/>
      <c r="N225" s="60"/>
      <c r="O225" s="60"/>
      <c r="P225" s="59"/>
      <c r="Q225" s="59"/>
      <c r="R225" s="60"/>
      <c r="S225" s="60"/>
      <c r="T225" s="60"/>
      <c r="U225" s="60"/>
      <c r="V225" s="60"/>
      <c r="W225" s="60"/>
    </row>
    <row r="226" spans="1:23" ht="13" x14ac:dyDescent="0.3">
      <c r="A226" s="58"/>
      <c r="B226" s="58"/>
      <c r="C226" s="58"/>
      <c r="D226" s="58"/>
      <c r="E226" s="58"/>
      <c r="F226" s="58"/>
      <c r="G226" s="58"/>
      <c r="H226" s="59"/>
      <c r="I226" s="59"/>
      <c r="J226" s="59"/>
      <c r="K226" s="59"/>
      <c r="L226" s="59"/>
      <c r="M226" s="60"/>
      <c r="N226" s="60"/>
      <c r="O226" s="60"/>
      <c r="P226" s="59"/>
      <c r="Q226" s="59"/>
      <c r="R226" s="60"/>
      <c r="S226" s="60"/>
      <c r="T226" s="60"/>
      <c r="U226" s="60"/>
      <c r="V226" s="60"/>
      <c r="W226" s="60"/>
    </row>
    <row r="227" spans="1:23" ht="13" x14ac:dyDescent="0.3">
      <c r="A227" s="58"/>
      <c r="B227" s="58"/>
      <c r="C227" s="58"/>
      <c r="D227" s="58"/>
      <c r="E227" s="58"/>
      <c r="F227" s="58"/>
      <c r="G227" s="58"/>
      <c r="H227" s="59"/>
      <c r="I227" s="59"/>
      <c r="J227" s="59"/>
      <c r="K227" s="59"/>
      <c r="L227" s="59"/>
      <c r="M227" s="60"/>
      <c r="N227" s="60"/>
      <c r="O227" s="60"/>
      <c r="P227" s="59"/>
      <c r="Q227" s="59"/>
      <c r="R227" s="60"/>
      <c r="S227" s="60"/>
      <c r="T227" s="60"/>
      <c r="U227" s="60"/>
      <c r="V227" s="60"/>
      <c r="W227" s="60"/>
    </row>
    <row r="228" spans="1:23" ht="13" x14ac:dyDescent="0.3">
      <c r="A228" s="58"/>
      <c r="B228" s="58"/>
      <c r="C228" s="58"/>
      <c r="D228" s="58"/>
      <c r="E228" s="58"/>
      <c r="F228" s="58"/>
      <c r="G228" s="58"/>
      <c r="H228" s="59"/>
      <c r="I228" s="59"/>
      <c r="J228" s="59"/>
      <c r="K228" s="59"/>
      <c r="L228" s="59"/>
      <c r="M228" s="60"/>
      <c r="N228" s="60"/>
      <c r="O228" s="60"/>
      <c r="P228" s="59"/>
      <c r="Q228" s="59"/>
      <c r="R228" s="60"/>
      <c r="S228" s="60"/>
      <c r="T228" s="60"/>
      <c r="U228" s="60"/>
      <c r="V228" s="60"/>
      <c r="W228" s="60"/>
    </row>
    <row r="229" spans="1:23" ht="13" x14ac:dyDescent="0.3">
      <c r="A229" s="58"/>
      <c r="B229" s="58"/>
      <c r="C229" s="58"/>
      <c r="D229" s="58"/>
      <c r="E229" s="58"/>
      <c r="F229" s="58"/>
      <c r="G229" s="58"/>
      <c r="H229" s="59"/>
      <c r="I229" s="59"/>
      <c r="J229" s="59"/>
      <c r="K229" s="59"/>
      <c r="L229" s="59"/>
      <c r="M229" s="60"/>
      <c r="N229" s="60"/>
      <c r="O229" s="60"/>
      <c r="P229" s="59"/>
      <c r="Q229" s="59"/>
      <c r="R229" s="60"/>
      <c r="S229" s="60"/>
      <c r="T229" s="60"/>
      <c r="U229" s="60"/>
      <c r="V229" s="60"/>
      <c r="W229" s="60"/>
    </row>
    <row r="230" spans="1:23" ht="13" x14ac:dyDescent="0.3">
      <c r="A230" s="58"/>
      <c r="B230" s="58"/>
      <c r="C230" s="58"/>
      <c r="D230" s="58"/>
      <c r="E230" s="58"/>
      <c r="F230" s="58"/>
      <c r="G230" s="58"/>
      <c r="H230" s="59"/>
      <c r="I230" s="59"/>
      <c r="J230" s="59"/>
      <c r="K230" s="59"/>
      <c r="L230" s="59"/>
      <c r="M230" s="60"/>
      <c r="N230" s="60"/>
      <c r="O230" s="60"/>
      <c r="P230" s="59"/>
      <c r="Q230" s="59"/>
      <c r="R230" s="60"/>
      <c r="S230" s="60"/>
      <c r="T230" s="60"/>
      <c r="U230" s="60"/>
      <c r="V230" s="60"/>
      <c r="W230" s="60"/>
    </row>
    <row r="231" spans="1:23" ht="13" x14ac:dyDescent="0.3">
      <c r="A231" s="58"/>
      <c r="B231" s="58"/>
      <c r="C231" s="58"/>
      <c r="D231" s="58"/>
      <c r="E231" s="58"/>
      <c r="F231" s="58"/>
      <c r="G231" s="58"/>
      <c r="H231" s="59"/>
      <c r="I231" s="59"/>
      <c r="J231" s="59"/>
      <c r="K231" s="59"/>
      <c r="L231" s="59"/>
      <c r="M231" s="60"/>
      <c r="N231" s="60"/>
      <c r="O231" s="60"/>
      <c r="P231" s="59"/>
      <c r="Q231" s="59"/>
      <c r="R231" s="60"/>
      <c r="S231" s="60"/>
      <c r="T231" s="60"/>
      <c r="U231" s="60"/>
      <c r="V231" s="60"/>
      <c r="W231" s="60"/>
    </row>
    <row r="232" spans="1:23" ht="13" x14ac:dyDescent="0.3">
      <c r="A232" s="58"/>
      <c r="B232" s="58"/>
      <c r="C232" s="58"/>
      <c r="D232" s="58"/>
      <c r="E232" s="58"/>
      <c r="F232" s="58"/>
      <c r="G232" s="58"/>
      <c r="H232" s="59"/>
      <c r="I232" s="59"/>
      <c r="J232" s="59"/>
      <c r="K232" s="59"/>
      <c r="L232" s="59"/>
      <c r="M232" s="60"/>
      <c r="N232" s="60"/>
      <c r="O232" s="60"/>
      <c r="P232" s="59"/>
      <c r="Q232" s="59"/>
      <c r="R232" s="60"/>
      <c r="S232" s="60"/>
      <c r="T232" s="60"/>
      <c r="U232" s="60"/>
      <c r="V232" s="60"/>
      <c r="W232" s="60"/>
    </row>
    <row r="233" spans="1:23" ht="13" x14ac:dyDescent="0.3">
      <c r="A233" s="58"/>
      <c r="B233" s="58"/>
      <c r="C233" s="58"/>
      <c r="D233" s="58"/>
      <c r="E233" s="58"/>
      <c r="F233" s="58"/>
      <c r="G233" s="58"/>
      <c r="H233" s="59"/>
      <c r="I233" s="59"/>
      <c r="J233" s="59"/>
      <c r="K233" s="59"/>
      <c r="L233" s="59"/>
      <c r="M233" s="60"/>
      <c r="N233" s="60"/>
      <c r="O233" s="60"/>
      <c r="P233" s="59"/>
      <c r="Q233" s="59"/>
      <c r="R233" s="60"/>
      <c r="S233" s="60"/>
      <c r="T233" s="60"/>
      <c r="U233" s="60"/>
      <c r="V233" s="60"/>
      <c r="W233" s="60"/>
    </row>
    <row r="234" spans="1:23" ht="13" x14ac:dyDescent="0.3">
      <c r="A234" s="58"/>
      <c r="B234" s="58"/>
      <c r="C234" s="58"/>
      <c r="D234" s="58"/>
      <c r="E234" s="58"/>
      <c r="F234" s="58"/>
      <c r="G234" s="58"/>
      <c r="H234" s="59"/>
      <c r="I234" s="59"/>
      <c r="J234" s="59"/>
      <c r="K234" s="59"/>
      <c r="L234" s="59"/>
      <c r="M234" s="60"/>
      <c r="N234" s="60"/>
      <c r="O234" s="60"/>
      <c r="P234" s="59"/>
      <c r="Q234" s="59"/>
      <c r="R234" s="60"/>
      <c r="S234" s="60"/>
      <c r="T234" s="60"/>
      <c r="U234" s="60"/>
      <c r="V234" s="60"/>
      <c r="W234" s="60"/>
    </row>
    <row r="235" spans="1:23" ht="13" x14ac:dyDescent="0.3">
      <c r="A235" s="58"/>
      <c r="B235" s="58"/>
      <c r="C235" s="58"/>
      <c r="D235" s="58"/>
      <c r="E235" s="58"/>
      <c r="F235" s="58"/>
      <c r="G235" s="58"/>
      <c r="H235" s="59"/>
      <c r="I235" s="59"/>
      <c r="J235" s="59"/>
      <c r="K235" s="59"/>
      <c r="L235" s="59"/>
      <c r="M235" s="60"/>
      <c r="N235" s="60"/>
      <c r="O235" s="60"/>
      <c r="P235" s="59"/>
      <c r="Q235" s="59"/>
      <c r="R235" s="60"/>
      <c r="S235" s="60"/>
      <c r="T235" s="60"/>
      <c r="U235" s="60"/>
      <c r="V235" s="60"/>
      <c r="W235" s="60"/>
    </row>
    <row r="236" spans="1:23" ht="13" x14ac:dyDescent="0.3">
      <c r="A236" s="58"/>
      <c r="B236" s="58"/>
      <c r="C236" s="58"/>
      <c r="D236" s="58"/>
      <c r="E236" s="58"/>
      <c r="F236" s="58"/>
      <c r="G236" s="58"/>
      <c r="H236" s="59"/>
      <c r="I236" s="59"/>
      <c r="J236" s="59"/>
      <c r="K236" s="59"/>
      <c r="L236" s="59"/>
      <c r="M236" s="60"/>
      <c r="N236" s="60"/>
      <c r="O236" s="60"/>
      <c r="P236" s="59"/>
      <c r="Q236" s="59"/>
      <c r="R236" s="60"/>
      <c r="S236" s="60"/>
      <c r="T236" s="60"/>
      <c r="U236" s="60"/>
      <c r="V236" s="60"/>
      <c r="W236" s="60"/>
    </row>
    <row r="237" spans="1:23" ht="13" x14ac:dyDescent="0.3">
      <c r="A237" s="58"/>
      <c r="B237" s="58"/>
      <c r="C237" s="58"/>
      <c r="D237" s="58"/>
      <c r="E237" s="58"/>
      <c r="F237" s="58"/>
      <c r="G237" s="58"/>
      <c r="H237" s="59"/>
      <c r="I237" s="59"/>
      <c r="J237" s="59"/>
      <c r="K237" s="59"/>
      <c r="L237" s="59"/>
      <c r="M237" s="60"/>
      <c r="N237" s="60"/>
      <c r="O237" s="60"/>
      <c r="P237" s="59"/>
      <c r="Q237" s="59"/>
      <c r="R237" s="60"/>
      <c r="S237" s="60"/>
      <c r="T237" s="60"/>
      <c r="U237" s="60"/>
      <c r="V237" s="60"/>
      <c r="W237" s="60"/>
    </row>
    <row r="238" spans="1:23" ht="13" x14ac:dyDescent="0.3">
      <c r="A238" s="58"/>
      <c r="B238" s="58"/>
      <c r="C238" s="58"/>
      <c r="D238" s="58"/>
      <c r="E238" s="58"/>
      <c r="F238" s="58"/>
      <c r="G238" s="58"/>
      <c r="H238" s="59"/>
      <c r="I238" s="59"/>
      <c r="J238" s="59"/>
      <c r="K238" s="59"/>
      <c r="L238" s="59"/>
      <c r="M238" s="60"/>
      <c r="N238" s="60"/>
      <c r="O238" s="60"/>
      <c r="P238" s="59"/>
      <c r="Q238" s="59"/>
      <c r="R238" s="60"/>
      <c r="S238" s="60"/>
      <c r="T238" s="60"/>
      <c r="U238" s="60"/>
      <c r="V238" s="60"/>
      <c r="W238" s="60"/>
    </row>
    <row r="239" spans="1:23" ht="13" x14ac:dyDescent="0.3">
      <c r="A239" s="58"/>
      <c r="B239" s="58"/>
      <c r="C239" s="58"/>
      <c r="D239" s="58"/>
      <c r="E239" s="58"/>
      <c r="F239" s="58"/>
      <c r="G239" s="58"/>
      <c r="H239" s="59"/>
      <c r="I239" s="59"/>
      <c r="J239" s="59"/>
      <c r="K239" s="59"/>
      <c r="L239" s="59"/>
      <c r="M239" s="60"/>
      <c r="N239" s="60"/>
      <c r="O239" s="60"/>
      <c r="P239" s="59"/>
      <c r="Q239" s="59"/>
      <c r="R239" s="60"/>
      <c r="S239" s="60"/>
      <c r="T239" s="60"/>
      <c r="U239" s="60"/>
      <c r="V239" s="60"/>
      <c r="W239" s="60"/>
    </row>
    <row r="240" spans="1:23" ht="13" x14ac:dyDescent="0.3">
      <c r="A240" s="58"/>
      <c r="B240" s="58"/>
      <c r="C240" s="58"/>
      <c r="D240" s="58"/>
      <c r="E240" s="58"/>
      <c r="F240" s="58"/>
      <c r="G240" s="58"/>
      <c r="H240" s="59"/>
      <c r="I240" s="59"/>
      <c r="J240" s="59"/>
      <c r="K240" s="59"/>
      <c r="L240" s="59"/>
      <c r="M240" s="60"/>
      <c r="N240" s="60"/>
      <c r="O240" s="60"/>
      <c r="P240" s="59"/>
      <c r="Q240" s="59"/>
      <c r="R240" s="60"/>
      <c r="S240" s="60"/>
      <c r="T240" s="60"/>
      <c r="U240" s="60"/>
      <c r="V240" s="60"/>
      <c r="W240" s="60"/>
    </row>
    <row r="241" spans="1:23" ht="13" x14ac:dyDescent="0.3">
      <c r="A241" s="58"/>
      <c r="B241" s="58"/>
      <c r="C241" s="58"/>
      <c r="D241" s="58"/>
      <c r="E241" s="58"/>
      <c r="F241" s="58"/>
      <c r="G241" s="58"/>
      <c r="H241" s="59"/>
      <c r="I241" s="59"/>
      <c r="J241" s="59"/>
      <c r="K241" s="59"/>
      <c r="L241" s="59"/>
      <c r="M241" s="60"/>
      <c r="N241" s="60"/>
      <c r="O241" s="60"/>
      <c r="P241" s="59"/>
      <c r="Q241" s="59"/>
      <c r="R241" s="60"/>
      <c r="S241" s="60"/>
      <c r="T241" s="60"/>
      <c r="U241" s="60"/>
      <c r="V241" s="60"/>
      <c r="W241" s="60"/>
    </row>
    <row r="242" spans="1:23" ht="13" x14ac:dyDescent="0.3">
      <c r="A242" s="58"/>
      <c r="B242" s="58"/>
      <c r="C242" s="58"/>
      <c r="D242" s="58"/>
      <c r="E242" s="58"/>
      <c r="F242" s="58"/>
      <c r="G242" s="58"/>
      <c r="H242" s="59"/>
      <c r="I242" s="59"/>
      <c r="J242" s="59"/>
      <c r="K242" s="59"/>
      <c r="L242" s="59"/>
      <c r="M242" s="60"/>
      <c r="N242" s="60"/>
      <c r="O242" s="60"/>
      <c r="P242" s="59"/>
      <c r="Q242" s="59"/>
      <c r="R242" s="60"/>
      <c r="S242" s="60"/>
      <c r="T242" s="60"/>
      <c r="U242" s="60"/>
      <c r="V242" s="60"/>
      <c r="W242" s="60"/>
    </row>
    <row r="243" spans="1:23" ht="13" x14ac:dyDescent="0.3">
      <c r="A243" s="58"/>
      <c r="B243" s="58"/>
      <c r="C243" s="58"/>
      <c r="D243" s="58"/>
      <c r="E243" s="58"/>
      <c r="F243" s="58"/>
      <c r="G243" s="58"/>
      <c r="H243" s="59"/>
      <c r="I243" s="59"/>
      <c r="J243" s="59"/>
      <c r="K243" s="59"/>
      <c r="L243" s="59"/>
      <c r="M243" s="60"/>
      <c r="N243" s="60"/>
      <c r="O243" s="60"/>
      <c r="P243" s="59"/>
      <c r="Q243" s="59"/>
      <c r="R243" s="60"/>
      <c r="S243" s="60"/>
      <c r="T243" s="60"/>
      <c r="U243" s="60"/>
      <c r="V243" s="60"/>
      <c r="W243" s="60"/>
    </row>
    <row r="244" spans="1:23" ht="13" x14ac:dyDescent="0.3">
      <c r="A244" s="58"/>
      <c r="B244" s="58"/>
      <c r="C244" s="58"/>
      <c r="D244" s="58"/>
      <c r="E244" s="58"/>
      <c r="F244" s="58"/>
      <c r="G244" s="58"/>
      <c r="H244" s="59"/>
      <c r="I244" s="59"/>
      <c r="J244" s="59"/>
      <c r="K244" s="59"/>
      <c r="L244" s="59"/>
      <c r="M244" s="60"/>
      <c r="N244" s="60"/>
      <c r="O244" s="60"/>
      <c r="P244" s="59"/>
      <c r="Q244" s="59"/>
      <c r="R244" s="60"/>
      <c r="S244" s="60"/>
      <c r="T244" s="60"/>
      <c r="U244" s="60"/>
      <c r="V244" s="60"/>
      <c r="W244" s="60"/>
    </row>
    <row r="245" spans="1:23" ht="13" x14ac:dyDescent="0.3">
      <c r="A245" s="58"/>
      <c r="B245" s="58"/>
      <c r="C245" s="58"/>
      <c r="D245" s="58"/>
      <c r="E245" s="58"/>
      <c r="F245" s="58"/>
      <c r="G245" s="58"/>
      <c r="H245" s="59"/>
      <c r="I245" s="59"/>
      <c r="J245" s="59"/>
      <c r="K245" s="59"/>
      <c r="L245" s="59"/>
      <c r="M245" s="60"/>
      <c r="N245" s="60"/>
      <c r="O245" s="60"/>
      <c r="P245" s="59"/>
      <c r="Q245" s="59"/>
      <c r="R245" s="60"/>
      <c r="S245" s="60"/>
      <c r="T245" s="60"/>
      <c r="U245" s="60"/>
      <c r="V245" s="60"/>
      <c r="W245" s="60"/>
    </row>
    <row r="246" spans="1:23" ht="13" x14ac:dyDescent="0.3">
      <c r="A246" s="58"/>
      <c r="B246" s="58"/>
      <c r="C246" s="58"/>
      <c r="D246" s="58"/>
      <c r="E246" s="58"/>
      <c r="F246" s="58"/>
      <c r="G246" s="58"/>
      <c r="H246" s="59"/>
      <c r="I246" s="59"/>
      <c r="J246" s="59"/>
      <c r="K246" s="59"/>
      <c r="L246" s="59"/>
      <c r="M246" s="60"/>
      <c r="N246" s="60"/>
      <c r="O246" s="60"/>
      <c r="P246" s="59"/>
      <c r="Q246" s="59"/>
      <c r="R246" s="60"/>
      <c r="S246" s="60"/>
      <c r="T246" s="60"/>
      <c r="U246" s="60"/>
      <c r="V246" s="60"/>
      <c r="W246" s="60"/>
    </row>
    <row r="247" spans="1:23" ht="13" x14ac:dyDescent="0.3">
      <c r="A247" s="58"/>
      <c r="B247" s="58"/>
      <c r="C247" s="58"/>
      <c r="D247" s="58"/>
      <c r="E247" s="58"/>
      <c r="F247" s="58"/>
      <c r="G247" s="58"/>
      <c r="H247" s="59"/>
      <c r="I247" s="59"/>
      <c r="J247" s="59"/>
      <c r="K247" s="59"/>
      <c r="L247" s="59"/>
      <c r="M247" s="60"/>
      <c r="N247" s="60"/>
      <c r="O247" s="60"/>
      <c r="P247" s="59"/>
      <c r="Q247" s="59"/>
      <c r="R247" s="60"/>
      <c r="S247" s="60"/>
      <c r="T247" s="60"/>
      <c r="U247" s="60"/>
      <c r="V247" s="60"/>
      <c r="W247" s="60"/>
    </row>
    <row r="248" spans="1:23" ht="13" x14ac:dyDescent="0.3">
      <c r="A248" s="58"/>
      <c r="B248" s="58"/>
      <c r="C248" s="58"/>
      <c r="D248" s="58"/>
      <c r="E248" s="58"/>
      <c r="F248" s="58"/>
      <c r="G248" s="58"/>
      <c r="H248" s="59"/>
      <c r="I248" s="59"/>
      <c r="J248" s="59"/>
      <c r="K248" s="59"/>
      <c r="L248" s="59"/>
      <c r="M248" s="60"/>
      <c r="N248" s="60"/>
      <c r="O248" s="60"/>
      <c r="P248" s="59"/>
      <c r="Q248" s="59"/>
      <c r="R248" s="60"/>
      <c r="S248" s="60"/>
      <c r="T248" s="60"/>
      <c r="U248" s="60"/>
      <c r="V248" s="60"/>
      <c r="W248" s="60"/>
    </row>
    <row r="249" spans="1:23" ht="13" x14ac:dyDescent="0.3">
      <c r="A249" s="58"/>
      <c r="B249" s="58"/>
      <c r="C249" s="58"/>
      <c r="D249" s="58"/>
      <c r="E249" s="58"/>
      <c r="F249" s="58"/>
      <c r="G249" s="58"/>
      <c r="H249" s="59"/>
      <c r="I249" s="59"/>
      <c r="J249" s="59"/>
      <c r="K249" s="59"/>
      <c r="L249" s="59"/>
      <c r="M249" s="60"/>
      <c r="N249" s="60"/>
      <c r="O249" s="60"/>
      <c r="P249" s="59"/>
      <c r="Q249" s="59"/>
      <c r="R249" s="60"/>
      <c r="S249" s="60"/>
      <c r="T249" s="60"/>
      <c r="U249" s="60"/>
      <c r="V249" s="60"/>
      <c r="W249" s="60"/>
    </row>
    <row r="250" spans="1:23" ht="13" x14ac:dyDescent="0.3">
      <c r="A250" s="58"/>
      <c r="B250" s="58"/>
      <c r="C250" s="58"/>
      <c r="D250" s="58"/>
      <c r="E250" s="58"/>
      <c r="F250" s="58"/>
      <c r="G250" s="58"/>
      <c r="H250" s="59"/>
      <c r="I250" s="59"/>
      <c r="J250" s="59"/>
      <c r="K250" s="59"/>
      <c r="L250" s="59"/>
      <c r="M250" s="60"/>
      <c r="N250" s="60"/>
      <c r="O250" s="60"/>
      <c r="P250" s="59"/>
      <c r="Q250" s="59"/>
      <c r="R250" s="60"/>
      <c r="S250" s="60"/>
      <c r="T250" s="60"/>
      <c r="U250" s="60"/>
      <c r="V250" s="60"/>
      <c r="W250" s="60"/>
    </row>
    <row r="251" spans="1:23" ht="13" x14ac:dyDescent="0.3">
      <c r="A251" s="58"/>
      <c r="B251" s="58"/>
      <c r="C251" s="58"/>
      <c r="D251" s="58"/>
      <c r="E251" s="58"/>
      <c r="F251" s="58"/>
      <c r="G251" s="58"/>
      <c r="H251" s="59"/>
      <c r="I251" s="59"/>
      <c r="J251" s="59"/>
      <c r="K251" s="59"/>
      <c r="L251" s="59"/>
      <c r="M251" s="60"/>
      <c r="N251" s="60"/>
      <c r="O251" s="60"/>
      <c r="P251" s="59"/>
      <c r="Q251" s="59"/>
      <c r="R251" s="60"/>
      <c r="S251" s="60"/>
      <c r="T251" s="60"/>
      <c r="U251" s="60"/>
      <c r="V251" s="60"/>
      <c r="W251" s="60"/>
    </row>
    <row r="252" spans="1:23" ht="13" x14ac:dyDescent="0.3">
      <c r="A252" s="58"/>
      <c r="B252" s="58"/>
      <c r="C252" s="58"/>
      <c r="D252" s="58"/>
      <c r="E252" s="58"/>
      <c r="F252" s="58"/>
      <c r="G252" s="58"/>
      <c r="H252" s="59"/>
      <c r="I252" s="59"/>
      <c r="J252" s="59"/>
      <c r="K252" s="59"/>
      <c r="L252" s="59"/>
      <c r="M252" s="60"/>
      <c r="N252" s="60"/>
      <c r="O252" s="60"/>
      <c r="P252" s="59"/>
      <c r="Q252" s="59"/>
      <c r="R252" s="60"/>
      <c r="S252" s="60"/>
      <c r="T252" s="60"/>
      <c r="U252" s="60"/>
      <c r="V252" s="60"/>
      <c r="W252" s="60"/>
    </row>
    <row r="253" spans="1:23" ht="13" x14ac:dyDescent="0.3">
      <c r="A253" s="58"/>
      <c r="B253" s="58"/>
      <c r="C253" s="58"/>
      <c r="D253" s="58"/>
      <c r="E253" s="58"/>
      <c r="F253" s="58"/>
      <c r="G253" s="58"/>
      <c r="H253" s="59"/>
      <c r="I253" s="59"/>
      <c r="J253" s="59"/>
      <c r="K253" s="59"/>
      <c r="L253" s="59"/>
      <c r="M253" s="60"/>
      <c r="N253" s="60"/>
      <c r="O253" s="60"/>
      <c r="P253" s="59"/>
      <c r="Q253" s="59"/>
      <c r="R253" s="60"/>
      <c r="S253" s="60"/>
      <c r="T253" s="60"/>
      <c r="U253" s="60"/>
      <c r="V253" s="60"/>
      <c r="W253" s="60"/>
    </row>
    <row r="254" spans="1:23" ht="13" x14ac:dyDescent="0.3">
      <c r="A254" s="58"/>
      <c r="B254" s="58"/>
      <c r="C254" s="58"/>
      <c r="D254" s="58"/>
      <c r="E254" s="58"/>
      <c r="F254" s="58"/>
      <c r="G254" s="58"/>
      <c r="H254" s="59"/>
      <c r="I254" s="59"/>
      <c r="J254" s="59"/>
      <c r="K254" s="59"/>
      <c r="L254" s="59"/>
      <c r="M254" s="60"/>
      <c r="N254" s="60"/>
      <c r="O254" s="60"/>
      <c r="P254" s="59"/>
      <c r="Q254" s="59"/>
      <c r="R254" s="60"/>
      <c r="S254" s="60"/>
      <c r="T254" s="60"/>
      <c r="U254" s="60"/>
      <c r="V254" s="60"/>
      <c r="W254" s="60"/>
    </row>
    <row r="255" spans="1:23" ht="13" x14ac:dyDescent="0.3">
      <c r="A255" s="58"/>
      <c r="B255" s="58"/>
      <c r="C255" s="58"/>
      <c r="D255" s="58"/>
      <c r="E255" s="58"/>
      <c r="F255" s="58"/>
      <c r="G255" s="58"/>
      <c r="H255" s="59"/>
      <c r="I255" s="59"/>
      <c r="J255" s="59"/>
      <c r="K255" s="59"/>
      <c r="L255" s="59"/>
      <c r="M255" s="60"/>
      <c r="N255" s="60"/>
      <c r="O255" s="60"/>
      <c r="P255" s="59"/>
      <c r="Q255" s="59"/>
      <c r="R255" s="60"/>
      <c r="S255" s="60"/>
      <c r="T255" s="60"/>
      <c r="U255" s="60"/>
      <c r="V255" s="60"/>
      <c r="W255" s="60"/>
    </row>
    <row r="256" spans="1:23" ht="13" x14ac:dyDescent="0.3">
      <c r="A256" s="58"/>
      <c r="B256" s="58"/>
      <c r="C256" s="58"/>
      <c r="D256" s="58"/>
      <c r="E256" s="58"/>
      <c r="F256" s="58"/>
      <c r="G256" s="58"/>
      <c r="H256" s="59"/>
      <c r="I256" s="59"/>
      <c r="J256" s="59"/>
      <c r="K256" s="59"/>
      <c r="L256" s="59"/>
      <c r="M256" s="60"/>
      <c r="N256" s="60"/>
      <c r="O256" s="60"/>
      <c r="P256" s="59"/>
      <c r="Q256" s="59"/>
      <c r="R256" s="60"/>
      <c r="S256" s="60"/>
      <c r="T256" s="60"/>
      <c r="U256" s="60"/>
      <c r="V256" s="60"/>
      <c r="W256" s="60"/>
    </row>
    <row r="257" spans="1:23" ht="13" x14ac:dyDescent="0.3">
      <c r="A257" s="58"/>
      <c r="B257" s="58"/>
      <c r="C257" s="58"/>
      <c r="D257" s="58"/>
      <c r="E257" s="58"/>
      <c r="F257" s="58"/>
      <c r="G257" s="58"/>
      <c r="H257" s="59"/>
      <c r="I257" s="59"/>
      <c r="J257" s="59"/>
      <c r="K257" s="59"/>
      <c r="L257" s="59"/>
      <c r="M257" s="60"/>
      <c r="N257" s="60"/>
      <c r="O257" s="60"/>
      <c r="P257" s="59"/>
      <c r="Q257" s="59"/>
      <c r="R257" s="60"/>
      <c r="S257" s="60"/>
      <c r="T257" s="60"/>
      <c r="U257" s="60"/>
      <c r="V257" s="60"/>
      <c r="W257" s="60"/>
    </row>
    <row r="258" spans="1:23" ht="13" x14ac:dyDescent="0.3">
      <c r="A258" s="58"/>
      <c r="B258" s="58"/>
      <c r="C258" s="58"/>
      <c r="D258" s="58"/>
      <c r="E258" s="58"/>
      <c r="F258" s="58"/>
      <c r="G258" s="58"/>
      <c r="H258" s="59"/>
      <c r="I258" s="59"/>
      <c r="J258" s="59"/>
      <c r="K258" s="59"/>
      <c r="L258" s="59"/>
      <c r="M258" s="60"/>
      <c r="N258" s="60"/>
      <c r="O258" s="60"/>
      <c r="P258" s="59"/>
      <c r="Q258" s="59"/>
      <c r="R258" s="60"/>
      <c r="S258" s="60"/>
      <c r="T258" s="60"/>
      <c r="U258" s="60"/>
      <c r="V258" s="60"/>
      <c r="W258" s="60"/>
    </row>
    <row r="259" spans="1:23" ht="13" x14ac:dyDescent="0.3">
      <c r="A259" s="58"/>
      <c r="B259" s="58"/>
      <c r="C259" s="58"/>
      <c r="D259" s="58"/>
      <c r="E259" s="58"/>
      <c r="F259" s="58"/>
      <c r="G259" s="58"/>
      <c r="H259" s="59"/>
      <c r="I259" s="59"/>
      <c r="J259" s="59"/>
      <c r="K259" s="59"/>
      <c r="L259" s="59"/>
      <c r="M259" s="60"/>
      <c r="N259" s="60"/>
      <c r="O259" s="60"/>
      <c r="P259" s="59"/>
      <c r="Q259" s="59"/>
      <c r="R259" s="60"/>
      <c r="S259" s="60"/>
      <c r="T259" s="60"/>
      <c r="U259" s="60"/>
      <c r="V259" s="60"/>
      <c r="W259" s="60"/>
    </row>
    <row r="260" spans="1:23" ht="13" x14ac:dyDescent="0.3">
      <c r="A260" s="58"/>
      <c r="B260" s="58"/>
      <c r="C260" s="58"/>
      <c r="D260" s="58"/>
      <c r="E260" s="58"/>
      <c r="F260" s="58"/>
      <c r="G260" s="58"/>
      <c r="H260" s="59"/>
      <c r="I260" s="59"/>
      <c r="J260" s="59"/>
      <c r="K260" s="59"/>
      <c r="L260" s="59"/>
      <c r="M260" s="60"/>
      <c r="N260" s="60"/>
      <c r="O260" s="60"/>
      <c r="P260" s="59"/>
      <c r="Q260" s="59"/>
      <c r="R260" s="60"/>
      <c r="S260" s="60"/>
      <c r="T260" s="60"/>
      <c r="U260" s="60"/>
      <c r="V260" s="60"/>
      <c r="W260" s="60"/>
    </row>
    <row r="261" spans="1:23" ht="13" x14ac:dyDescent="0.3">
      <c r="A261" s="58"/>
      <c r="B261" s="58"/>
      <c r="C261" s="58"/>
      <c r="D261" s="58"/>
      <c r="E261" s="58"/>
      <c r="F261" s="58"/>
      <c r="G261" s="58"/>
      <c r="H261" s="59"/>
      <c r="I261" s="59"/>
      <c r="J261" s="59"/>
      <c r="K261" s="59"/>
      <c r="L261" s="59"/>
      <c r="M261" s="60"/>
      <c r="N261" s="60"/>
      <c r="O261" s="60"/>
      <c r="P261" s="59"/>
      <c r="Q261" s="59"/>
      <c r="R261" s="60"/>
      <c r="S261" s="60"/>
      <c r="T261" s="60"/>
      <c r="U261" s="60"/>
      <c r="V261" s="60"/>
      <c r="W261" s="60"/>
    </row>
    <row r="262" spans="1:23" ht="13" x14ac:dyDescent="0.3">
      <c r="A262" s="58"/>
      <c r="B262" s="58"/>
      <c r="C262" s="58"/>
      <c r="D262" s="58"/>
      <c r="E262" s="58"/>
      <c r="F262" s="58"/>
      <c r="G262" s="58"/>
      <c r="H262" s="59"/>
      <c r="I262" s="59"/>
      <c r="J262" s="59"/>
      <c r="K262" s="59"/>
      <c r="L262" s="59"/>
      <c r="M262" s="60"/>
      <c r="N262" s="60"/>
      <c r="O262" s="60"/>
      <c r="P262" s="59"/>
      <c r="Q262" s="59"/>
      <c r="R262" s="60"/>
      <c r="S262" s="60"/>
      <c r="T262" s="60"/>
      <c r="U262" s="60"/>
      <c r="V262" s="60"/>
      <c r="W262" s="60"/>
    </row>
    <row r="263" spans="1:23" ht="13" x14ac:dyDescent="0.3">
      <c r="A263" s="58"/>
      <c r="B263" s="58"/>
      <c r="C263" s="58"/>
      <c r="D263" s="58"/>
      <c r="E263" s="58"/>
      <c r="F263" s="58"/>
      <c r="G263" s="58"/>
      <c r="H263" s="59"/>
      <c r="I263" s="59"/>
      <c r="J263" s="59"/>
      <c r="K263" s="59"/>
      <c r="L263" s="59"/>
      <c r="M263" s="60"/>
      <c r="N263" s="60"/>
      <c r="O263" s="60"/>
      <c r="P263" s="59"/>
      <c r="Q263" s="59"/>
      <c r="R263" s="60"/>
      <c r="S263" s="60"/>
      <c r="T263" s="60"/>
      <c r="U263" s="60"/>
      <c r="V263" s="60"/>
      <c r="W263" s="60"/>
    </row>
    <row r="264" spans="1:23" ht="13" x14ac:dyDescent="0.3">
      <c r="A264" s="58"/>
      <c r="B264" s="58"/>
      <c r="C264" s="58"/>
      <c r="D264" s="58"/>
      <c r="E264" s="58"/>
      <c r="F264" s="58"/>
      <c r="G264" s="58"/>
      <c r="H264" s="59"/>
      <c r="I264" s="59"/>
      <c r="J264" s="59"/>
      <c r="K264" s="59"/>
      <c r="L264" s="59"/>
      <c r="M264" s="60"/>
      <c r="N264" s="60"/>
      <c r="O264" s="60"/>
      <c r="P264" s="59"/>
      <c r="Q264" s="59"/>
      <c r="R264" s="60"/>
      <c r="S264" s="60"/>
      <c r="T264" s="60"/>
      <c r="U264" s="60"/>
      <c r="V264" s="60"/>
      <c r="W264" s="60"/>
    </row>
    <row r="265" spans="1:23" ht="13" x14ac:dyDescent="0.3">
      <c r="A265" s="58"/>
      <c r="B265" s="58"/>
      <c r="C265" s="58"/>
      <c r="D265" s="58"/>
      <c r="E265" s="58"/>
      <c r="F265" s="58"/>
      <c r="G265" s="58"/>
      <c r="H265" s="59"/>
      <c r="I265" s="59"/>
      <c r="J265" s="59"/>
      <c r="K265" s="59"/>
      <c r="L265" s="59"/>
      <c r="M265" s="60"/>
      <c r="N265" s="60"/>
      <c r="O265" s="60"/>
      <c r="P265" s="59"/>
      <c r="Q265" s="59"/>
      <c r="R265" s="60"/>
      <c r="S265" s="60"/>
      <c r="T265" s="60"/>
      <c r="U265" s="60"/>
      <c r="V265" s="60"/>
      <c r="W265" s="60"/>
    </row>
    <row r="266" spans="1:23" ht="13" x14ac:dyDescent="0.3">
      <c r="A266" s="58"/>
      <c r="B266" s="58"/>
      <c r="C266" s="58"/>
      <c r="D266" s="58"/>
      <c r="E266" s="58"/>
      <c r="F266" s="58"/>
      <c r="G266" s="58"/>
      <c r="H266" s="59"/>
      <c r="I266" s="59"/>
      <c r="J266" s="59"/>
      <c r="K266" s="59"/>
      <c r="L266" s="59"/>
      <c r="M266" s="60"/>
      <c r="N266" s="60"/>
      <c r="O266" s="60"/>
      <c r="P266" s="59"/>
      <c r="Q266" s="59"/>
      <c r="R266" s="60"/>
      <c r="S266" s="60"/>
      <c r="T266" s="60"/>
      <c r="U266" s="60"/>
      <c r="V266" s="60"/>
      <c r="W266" s="60"/>
    </row>
    <row r="267" spans="1:23" ht="13" x14ac:dyDescent="0.3">
      <c r="A267" s="58"/>
      <c r="B267" s="58"/>
      <c r="C267" s="58"/>
      <c r="D267" s="58"/>
      <c r="E267" s="58"/>
      <c r="F267" s="58"/>
      <c r="G267" s="58"/>
      <c r="H267" s="59"/>
      <c r="I267" s="59"/>
      <c r="J267" s="59"/>
      <c r="K267" s="59"/>
      <c r="L267" s="59"/>
      <c r="M267" s="60"/>
      <c r="N267" s="60"/>
      <c r="O267" s="60"/>
      <c r="P267" s="59"/>
      <c r="Q267" s="59"/>
      <c r="R267" s="60"/>
      <c r="S267" s="60"/>
      <c r="T267" s="60"/>
      <c r="U267" s="60"/>
      <c r="V267" s="60"/>
      <c r="W267" s="60"/>
    </row>
    <row r="268" spans="1:23" ht="13" x14ac:dyDescent="0.3">
      <c r="A268" s="58"/>
      <c r="B268" s="58"/>
      <c r="C268" s="58"/>
      <c r="D268" s="58"/>
      <c r="E268" s="58"/>
      <c r="F268" s="58"/>
      <c r="G268" s="58"/>
      <c r="H268" s="59"/>
      <c r="I268" s="59"/>
      <c r="J268" s="59"/>
      <c r="K268" s="59"/>
      <c r="L268" s="59"/>
      <c r="M268" s="60"/>
      <c r="N268" s="60"/>
      <c r="O268" s="60"/>
      <c r="P268" s="59"/>
      <c r="Q268" s="59"/>
      <c r="R268" s="60"/>
      <c r="S268" s="60"/>
      <c r="T268" s="60"/>
      <c r="U268" s="60"/>
      <c r="V268" s="60"/>
      <c r="W268" s="60"/>
    </row>
    <row r="269" spans="1:23" ht="13" x14ac:dyDescent="0.3">
      <c r="A269" s="58"/>
      <c r="B269" s="58"/>
      <c r="C269" s="58"/>
      <c r="D269" s="58"/>
      <c r="E269" s="58"/>
      <c r="F269" s="58"/>
      <c r="G269" s="58"/>
      <c r="H269" s="59"/>
      <c r="I269" s="59"/>
      <c r="J269" s="59"/>
      <c r="K269" s="59"/>
      <c r="L269" s="59"/>
      <c r="M269" s="60"/>
      <c r="N269" s="60"/>
      <c r="O269" s="60"/>
      <c r="P269" s="59"/>
      <c r="Q269" s="59"/>
      <c r="R269" s="60"/>
      <c r="S269" s="60"/>
      <c r="T269" s="60"/>
      <c r="U269" s="60"/>
      <c r="V269" s="60"/>
      <c r="W269" s="60"/>
    </row>
    <row r="270" spans="1:23" ht="13" x14ac:dyDescent="0.3">
      <c r="A270" s="58"/>
      <c r="B270" s="58"/>
      <c r="C270" s="58"/>
      <c r="D270" s="58"/>
      <c r="E270" s="58"/>
      <c r="F270" s="58"/>
      <c r="G270" s="58"/>
      <c r="H270" s="59"/>
      <c r="I270" s="59"/>
      <c r="J270" s="59"/>
      <c r="K270" s="59"/>
      <c r="L270" s="59"/>
      <c r="M270" s="60"/>
      <c r="N270" s="60"/>
      <c r="O270" s="60"/>
      <c r="P270" s="59"/>
      <c r="Q270" s="59"/>
      <c r="R270" s="60"/>
      <c r="S270" s="60"/>
      <c r="T270" s="60"/>
      <c r="U270" s="60"/>
      <c r="V270" s="60"/>
      <c r="W270" s="60"/>
    </row>
    <row r="271" spans="1:23" ht="13" x14ac:dyDescent="0.3">
      <c r="A271" s="58"/>
      <c r="B271" s="58"/>
      <c r="C271" s="58"/>
      <c r="D271" s="58"/>
      <c r="E271" s="58"/>
      <c r="F271" s="58"/>
      <c r="G271" s="58"/>
      <c r="H271" s="59"/>
      <c r="I271" s="59"/>
      <c r="J271" s="59"/>
      <c r="K271" s="59"/>
      <c r="L271" s="59"/>
      <c r="M271" s="60"/>
      <c r="N271" s="60"/>
      <c r="O271" s="60"/>
      <c r="P271" s="59"/>
      <c r="Q271" s="59"/>
      <c r="R271" s="60"/>
      <c r="S271" s="60"/>
      <c r="T271" s="60"/>
      <c r="U271" s="60"/>
      <c r="V271" s="60"/>
      <c r="W271" s="60"/>
    </row>
    <row r="272" spans="1:23" ht="13" x14ac:dyDescent="0.3">
      <c r="A272" s="58"/>
      <c r="B272" s="58"/>
      <c r="C272" s="58"/>
      <c r="D272" s="58"/>
      <c r="E272" s="58"/>
      <c r="F272" s="58"/>
      <c r="G272" s="58"/>
      <c r="H272" s="59"/>
      <c r="I272" s="59"/>
      <c r="J272" s="59"/>
      <c r="K272" s="59"/>
      <c r="L272" s="59"/>
      <c r="M272" s="60"/>
      <c r="N272" s="60"/>
      <c r="O272" s="60"/>
      <c r="P272" s="59"/>
      <c r="Q272" s="59"/>
      <c r="R272" s="60"/>
      <c r="S272" s="60"/>
      <c r="T272" s="60"/>
      <c r="U272" s="60"/>
      <c r="V272" s="60"/>
      <c r="W272" s="60"/>
    </row>
    <row r="273" spans="1:23" ht="13" x14ac:dyDescent="0.3">
      <c r="A273" s="58"/>
      <c r="B273" s="58"/>
      <c r="C273" s="58"/>
      <c r="D273" s="58"/>
      <c r="E273" s="58"/>
      <c r="F273" s="58"/>
      <c r="G273" s="58"/>
      <c r="H273" s="59"/>
      <c r="I273" s="59"/>
      <c r="J273" s="59"/>
      <c r="K273" s="59"/>
      <c r="L273" s="59"/>
      <c r="M273" s="60"/>
      <c r="N273" s="60"/>
      <c r="O273" s="60"/>
      <c r="P273" s="59"/>
      <c r="Q273" s="59"/>
      <c r="R273" s="60"/>
      <c r="S273" s="60"/>
      <c r="T273" s="60"/>
      <c r="U273" s="60"/>
      <c r="V273" s="60"/>
      <c r="W273" s="60"/>
    </row>
    <row r="274" spans="1:23" ht="13" x14ac:dyDescent="0.3">
      <c r="A274" s="58"/>
      <c r="B274" s="58"/>
      <c r="C274" s="58"/>
      <c r="D274" s="58"/>
      <c r="E274" s="58"/>
      <c r="F274" s="58"/>
      <c r="G274" s="58"/>
      <c r="H274" s="59"/>
      <c r="I274" s="59"/>
      <c r="J274" s="59"/>
      <c r="K274" s="59"/>
      <c r="L274" s="59"/>
      <c r="M274" s="60"/>
      <c r="N274" s="60"/>
      <c r="O274" s="60"/>
      <c r="P274" s="59"/>
      <c r="Q274" s="59"/>
      <c r="R274" s="60"/>
      <c r="S274" s="60"/>
      <c r="T274" s="60"/>
      <c r="U274" s="60"/>
      <c r="V274" s="60"/>
      <c r="W274" s="60"/>
    </row>
    <row r="275" spans="1:23" ht="13" x14ac:dyDescent="0.3">
      <c r="A275" s="58"/>
      <c r="B275" s="58"/>
      <c r="C275" s="58"/>
      <c r="D275" s="58"/>
      <c r="E275" s="58"/>
      <c r="F275" s="58"/>
      <c r="G275" s="58"/>
      <c r="H275" s="59"/>
      <c r="I275" s="59"/>
      <c r="J275" s="59"/>
      <c r="K275" s="59"/>
      <c r="L275" s="59"/>
      <c r="M275" s="60"/>
      <c r="N275" s="60"/>
      <c r="O275" s="60"/>
      <c r="P275" s="59"/>
      <c r="Q275" s="59"/>
      <c r="R275" s="60"/>
      <c r="S275" s="60"/>
      <c r="T275" s="60"/>
      <c r="U275" s="60"/>
      <c r="V275" s="60"/>
      <c r="W275" s="60"/>
    </row>
    <row r="276" spans="1:23" ht="13" x14ac:dyDescent="0.3">
      <c r="A276" s="58"/>
      <c r="B276" s="58"/>
      <c r="C276" s="58"/>
      <c r="D276" s="58"/>
      <c r="E276" s="58"/>
      <c r="F276" s="58"/>
      <c r="G276" s="58"/>
      <c r="H276" s="59"/>
      <c r="I276" s="59"/>
      <c r="J276" s="59"/>
      <c r="K276" s="59"/>
      <c r="L276" s="59"/>
      <c r="M276" s="60"/>
      <c r="N276" s="60"/>
      <c r="O276" s="60"/>
      <c r="P276" s="59"/>
      <c r="Q276" s="59"/>
      <c r="R276" s="60"/>
      <c r="S276" s="60"/>
      <c r="T276" s="60"/>
      <c r="U276" s="60"/>
      <c r="V276" s="60"/>
      <c r="W276" s="60"/>
    </row>
    <row r="277" spans="1:23" ht="13" x14ac:dyDescent="0.3">
      <c r="A277" s="58"/>
      <c r="B277" s="58"/>
      <c r="C277" s="58"/>
      <c r="D277" s="58"/>
      <c r="E277" s="58"/>
      <c r="F277" s="58"/>
      <c r="G277" s="58"/>
      <c r="H277" s="59"/>
      <c r="I277" s="59"/>
      <c r="J277" s="59"/>
      <c r="K277" s="59"/>
      <c r="L277" s="59"/>
      <c r="M277" s="60"/>
      <c r="N277" s="60"/>
      <c r="O277" s="60"/>
      <c r="P277" s="59"/>
      <c r="Q277" s="59"/>
      <c r="R277" s="60"/>
      <c r="S277" s="60"/>
      <c r="T277" s="60"/>
      <c r="U277" s="60"/>
      <c r="V277" s="60"/>
      <c r="W277" s="60"/>
    </row>
    <row r="278" spans="1:23" ht="13" x14ac:dyDescent="0.3">
      <c r="A278" s="58"/>
      <c r="B278" s="58"/>
      <c r="C278" s="58"/>
      <c r="D278" s="58"/>
      <c r="E278" s="58"/>
      <c r="F278" s="58"/>
      <c r="G278" s="58"/>
      <c r="H278" s="59"/>
      <c r="I278" s="59"/>
      <c r="J278" s="59"/>
      <c r="K278" s="59"/>
      <c r="L278" s="59"/>
      <c r="M278" s="60"/>
      <c r="N278" s="60"/>
      <c r="O278" s="60"/>
      <c r="P278" s="59"/>
      <c r="Q278" s="59"/>
      <c r="R278" s="60"/>
      <c r="S278" s="60"/>
      <c r="T278" s="60"/>
      <c r="U278" s="60"/>
      <c r="V278" s="60"/>
      <c r="W278" s="60"/>
    </row>
    <row r="279" spans="1:23" ht="13" x14ac:dyDescent="0.3">
      <c r="A279" s="58"/>
      <c r="B279" s="58"/>
      <c r="C279" s="58"/>
      <c r="D279" s="58"/>
      <c r="E279" s="58"/>
      <c r="F279" s="58"/>
      <c r="G279" s="58"/>
      <c r="H279" s="59"/>
      <c r="I279" s="59"/>
      <c r="J279" s="59"/>
      <c r="K279" s="59"/>
      <c r="L279" s="59"/>
      <c r="M279" s="60"/>
      <c r="N279" s="60"/>
      <c r="O279" s="60"/>
      <c r="P279" s="59"/>
      <c r="Q279" s="59"/>
      <c r="R279" s="60"/>
      <c r="S279" s="60"/>
      <c r="T279" s="60"/>
      <c r="U279" s="60"/>
      <c r="V279" s="60"/>
      <c r="W279" s="60"/>
    </row>
    <row r="280" spans="1:23" ht="13" x14ac:dyDescent="0.3">
      <c r="A280" s="58"/>
      <c r="B280" s="58"/>
      <c r="C280" s="58"/>
      <c r="D280" s="58"/>
      <c r="E280" s="58"/>
      <c r="F280" s="58"/>
      <c r="G280" s="58"/>
      <c r="H280" s="59"/>
      <c r="I280" s="59"/>
      <c r="J280" s="59"/>
      <c r="K280" s="59"/>
      <c r="L280" s="59"/>
      <c r="M280" s="60"/>
      <c r="N280" s="60"/>
      <c r="O280" s="60"/>
      <c r="P280" s="59"/>
      <c r="Q280" s="59"/>
      <c r="R280" s="60"/>
      <c r="S280" s="60"/>
      <c r="T280" s="60"/>
      <c r="U280" s="60"/>
      <c r="V280" s="60"/>
      <c r="W280" s="60"/>
    </row>
    <row r="281" spans="1:23" ht="13" x14ac:dyDescent="0.3">
      <c r="A281" s="58"/>
      <c r="B281" s="58"/>
      <c r="C281" s="58"/>
      <c r="D281" s="58"/>
      <c r="E281" s="58"/>
      <c r="F281" s="58"/>
      <c r="G281" s="58"/>
      <c r="H281" s="59"/>
      <c r="I281" s="59"/>
      <c r="J281" s="59"/>
      <c r="K281" s="59"/>
      <c r="L281" s="59"/>
      <c r="M281" s="60"/>
      <c r="N281" s="60"/>
      <c r="O281" s="60"/>
      <c r="P281" s="59"/>
      <c r="Q281" s="59"/>
      <c r="R281" s="60"/>
      <c r="S281" s="60"/>
      <c r="T281" s="60"/>
      <c r="U281" s="60"/>
      <c r="V281" s="60"/>
      <c r="W281" s="60"/>
    </row>
    <row r="282" spans="1:23" ht="13" x14ac:dyDescent="0.3">
      <c r="A282" s="58"/>
      <c r="B282" s="58"/>
      <c r="C282" s="58"/>
      <c r="D282" s="58"/>
      <c r="E282" s="58"/>
      <c r="F282" s="58"/>
      <c r="G282" s="58"/>
      <c r="H282" s="59"/>
      <c r="I282" s="59"/>
      <c r="J282" s="59"/>
      <c r="K282" s="59"/>
      <c r="L282" s="59"/>
      <c r="M282" s="60"/>
      <c r="N282" s="60"/>
      <c r="O282" s="60"/>
      <c r="P282" s="59"/>
      <c r="Q282" s="59"/>
      <c r="R282" s="60"/>
      <c r="S282" s="60"/>
      <c r="T282" s="60"/>
      <c r="U282" s="60"/>
      <c r="V282" s="60"/>
      <c r="W282" s="60"/>
    </row>
    <row r="283" spans="1:23" ht="13" x14ac:dyDescent="0.3">
      <c r="A283" s="58"/>
      <c r="B283" s="58"/>
      <c r="C283" s="58"/>
      <c r="D283" s="58"/>
      <c r="E283" s="58"/>
      <c r="F283" s="58"/>
      <c r="G283" s="58"/>
      <c r="H283" s="59"/>
      <c r="I283" s="59"/>
      <c r="J283" s="59"/>
      <c r="K283" s="59"/>
      <c r="L283" s="59"/>
      <c r="M283" s="60"/>
      <c r="N283" s="60"/>
      <c r="O283" s="60"/>
      <c r="P283" s="59"/>
      <c r="Q283" s="59"/>
      <c r="R283" s="60"/>
      <c r="S283" s="60"/>
      <c r="T283" s="60"/>
      <c r="U283" s="60"/>
      <c r="V283" s="60"/>
      <c r="W283" s="60"/>
    </row>
    <row r="284" spans="1:23" ht="13" x14ac:dyDescent="0.3">
      <c r="A284" s="58"/>
      <c r="B284" s="58"/>
      <c r="C284" s="58"/>
      <c r="D284" s="58"/>
      <c r="E284" s="58"/>
      <c r="F284" s="58"/>
      <c r="G284" s="58"/>
      <c r="H284" s="59"/>
      <c r="I284" s="59"/>
      <c r="J284" s="59"/>
      <c r="K284" s="59"/>
      <c r="L284" s="59"/>
      <c r="M284" s="60"/>
      <c r="N284" s="60"/>
      <c r="O284" s="60"/>
      <c r="P284" s="59"/>
      <c r="Q284" s="59"/>
      <c r="R284" s="60"/>
      <c r="S284" s="60"/>
      <c r="T284" s="60"/>
      <c r="U284" s="60"/>
      <c r="V284" s="60"/>
      <c r="W284" s="60"/>
    </row>
    <row r="285" spans="1:23" ht="13" x14ac:dyDescent="0.3">
      <c r="A285" s="58"/>
      <c r="B285" s="58"/>
      <c r="C285" s="58"/>
      <c r="D285" s="58"/>
      <c r="E285" s="58"/>
      <c r="F285" s="58"/>
      <c r="G285" s="58"/>
      <c r="H285" s="59"/>
      <c r="I285" s="59"/>
      <c r="J285" s="59"/>
      <c r="K285" s="59"/>
      <c r="L285" s="59"/>
      <c r="M285" s="60"/>
      <c r="N285" s="60"/>
      <c r="O285" s="60"/>
      <c r="P285" s="59"/>
      <c r="Q285" s="59"/>
      <c r="R285" s="60"/>
      <c r="S285" s="60"/>
      <c r="T285" s="60"/>
      <c r="U285" s="60"/>
      <c r="V285" s="60"/>
      <c r="W285" s="60"/>
    </row>
    <row r="286" spans="1:23" ht="13" x14ac:dyDescent="0.3">
      <c r="A286" s="58"/>
      <c r="B286" s="58"/>
      <c r="C286" s="58"/>
      <c r="D286" s="58"/>
      <c r="E286" s="58"/>
      <c r="F286" s="58"/>
      <c r="G286" s="58"/>
      <c r="H286" s="59"/>
      <c r="I286" s="59"/>
      <c r="J286" s="59"/>
      <c r="K286" s="59"/>
      <c r="L286" s="59"/>
      <c r="M286" s="60"/>
      <c r="N286" s="60"/>
      <c r="O286" s="60"/>
      <c r="P286" s="59"/>
      <c r="Q286" s="59"/>
      <c r="R286" s="60"/>
      <c r="S286" s="60"/>
      <c r="T286" s="60"/>
      <c r="U286" s="60"/>
      <c r="V286" s="60"/>
      <c r="W286" s="60"/>
    </row>
    <row r="287" spans="1:23" ht="13" x14ac:dyDescent="0.3">
      <c r="A287" s="58"/>
      <c r="B287" s="58"/>
      <c r="C287" s="58"/>
      <c r="D287" s="58"/>
      <c r="E287" s="58"/>
      <c r="F287" s="58"/>
      <c r="G287" s="58"/>
      <c r="H287" s="59"/>
      <c r="I287" s="59"/>
      <c r="J287" s="59"/>
      <c r="K287" s="59"/>
      <c r="L287" s="59"/>
      <c r="M287" s="60"/>
      <c r="N287" s="60"/>
      <c r="O287" s="60"/>
      <c r="P287" s="59"/>
      <c r="Q287" s="59"/>
      <c r="R287" s="60"/>
      <c r="S287" s="60"/>
      <c r="T287" s="60"/>
      <c r="U287" s="60"/>
      <c r="V287" s="60"/>
      <c r="W287" s="60"/>
    </row>
    <row r="288" spans="1:23" ht="13" x14ac:dyDescent="0.3">
      <c r="A288" s="58"/>
      <c r="B288" s="58"/>
      <c r="C288" s="58"/>
      <c r="D288" s="58"/>
      <c r="E288" s="58"/>
      <c r="F288" s="58"/>
      <c r="G288" s="58"/>
      <c r="H288" s="59"/>
      <c r="I288" s="59"/>
      <c r="J288" s="59"/>
      <c r="K288" s="59"/>
      <c r="L288" s="59"/>
      <c r="M288" s="60"/>
      <c r="N288" s="60"/>
      <c r="O288" s="60"/>
      <c r="P288" s="59"/>
      <c r="Q288" s="59"/>
      <c r="R288" s="60"/>
      <c r="S288" s="60"/>
      <c r="T288" s="60"/>
      <c r="U288" s="60"/>
      <c r="V288" s="60"/>
      <c r="W288" s="60"/>
    </row>
    <row r="289" spans="1:23" ht="13" x14ac:dyDescent="0.3">
      <c r="A289" s="58"/>
      <c r="B289" s="58"/>
      <c r="C289" s="58"/>
      <c r="D289" s="58"/>
      <c r="E289" s="58"/>
      <c r="F289" s="58"/>
      <c r="G289" s="58"/>
      <c r="H289" s="59"/>
      <c r="I289" s="59"/>
      <c r="J289" s="59"/>
      <c r="K289" s="59"/>
      <c r="L289" s="59"/>
      <c r="M289" s="60"/>
      <c r="N289" s="60"/>
      <c r="O289" s="60"/>
      <c r="P289" s="59"/>
      <c r="Q289" s="59"/>
      <c r="R289" s="60"/>
      <c r="S289" s="60"/>
      <c r="T289" s="60"/>
      <c r="U289" s="60"/>
      <c r="V289" s="60"/>
      <c r="W289" s="60"/>
    </row>
    <row r="290" spans="1:23" ht="13" x14ac:dyDescent="0.3">
      <c r="A290" s="58"/>
      <c r="B290" s="58"/>
      <c r="C290" s="58"/>
      <c r="D290" s="58"/>
      <c r="E290" s="58"/>
      <c r="F290" s="58"/>
      <c r="G290" s="58"/>
      <c r="H290" s="59"/>
      <c r="I290" s="59"/>
      <c r="J290" s="59"/>
      <c r="K290" s="59"/>
      <c r="L290" s="59"/>
      <c r="M290" s="60"/>
      <c r="N290" s="60"/>
      <c r="O290" s="60"/>
      <c r="P290" s="59"/>
      <c r="Q290" s="59"/>
      <c r="R290" s="60"/>
      <c r="S290" s="60"/>
      <c r="T290" s="60"/>
      <c r="U290" s="60"/>
      <c r="V290" s="60"/>
      <c r="W290" s="60"/>
    </row>
    <row r="291" spans="1:23" ht="13" x14ac:dyDescent="0.3">
      <c r="A291" s="58"/>
      <c r="B291" s="58"/>
      <c r="C291" s="58"/>
      <c r="D291" s="58"/>
      <c r="E291" s="58"/>
      <c r="F291" s="58"/>
      <c r="G291" s="58"/>
      <c r="H291" s="59"/>
      <c r="I291" s="59"/>
      <c r="J291" s="59"/>
      <c r="K291" s="59"/>
      <c r="L291" s="59"/>
      <c r="M291" s="60"/>
      <c r="N291" s="60"/>
      <c r="O291" s="60"/>
      <c r="P291" s="59"/>
      <c r="Q291" s="59"/>
      <c r="R291" s="60"/>
      <c r="S291" s="60"/>
      <c r="T291" s="60"/>
      <c r="U291" s="60"/>
      <c r="V291" s="60"/>
      <c r="W291" s="60"/>
    </row>
    <row r="292" spans="1:23" ht="13" x14ac:dyDescent="0.3">
      <c r="A292" s="58"/>
      <c r="B292" s="58"/>
      <c r="C292" s="58"/>
      <c r="D292" s="58"/>
      <c r="E292" s="58"/>
      <c r="F292" s="58"/>
      <c r="G292" s="58"/>
      <c r="H292" s="59"/>
      <c r="I292" s="59"/>
      <c r="J292" s="59"/>
      <c r="K292" s="59"/>
      <c r="L292" s="59"/>
      <c r="M292" s="60"/>
      <c r="N292" s="60"/>
      <c r="O292" s="60"/>
      <c r="P292" s="59"/>
      <c r="Q292" s="59"/>
      <c r="R292" s="60"/>
      <c r="S292" s="60"/>
      <c r="T292" s="60"/>
      <c r="U292" s="60"/>
      <c r="V292" s="60"/>
      <c r="W292" s="60"/>
    </row>
    <row r="293" spans="1:23" ht="13" x14ac:dyDescent="0.3">
      <c r="A293" s="58"/>
      <c r="B293" s="58"/>
      <c r="C293" s="58"/>
      <c r="D293" s="58"/>
      <c r="E293" s="58"/>
      <c r="F293" s="58"/>
      <c r="G293" s="58"/>
      <c r="H293" s="59"/>
      <c r="I293" s="59"/>
      <c r="J293" s="59"/>
      <c r="K293" s="59"/>
      <c r="L293" s="59"/>
      <c r="M293" s="60"/>
      <c r="N293" s="60"/>
      <c r="O293" s="60"/>
      <c r="P293" s="59"/>
      <c r="Q293" s="59"/>
      <c r="R293" s="60"/>
      <c r="S293" s="60"/>
      <c r="T293" s="60"/>
      <c r="U293" s="60"/>
      <c r="V293" s="60"/>
      <c r="W293" s="60"/>
    </row>
    <row r="294" spans="1:23" ht="13" x14ac:dyDescent="0.3">
      <c r="A294" s="58"/>
      <c r="B294" s="58"/>
      <c r="C294" s="58"/>
      <c r="D294" s="58"/>
      <c r="E294" s="58"/>
      <c r="F294" s="58"/>
      <c r="G294" s="58"/>
      <c r="H294" s="59"/>
      <c r="I294" s="59"/>
      <c r="J294" s="59"/>
      <c r="K294" s="59"/>
      <c r="L294" s="59"/>
      <c r="M294" s="60"/>
      <c r="N294" s="60"/>
      <c r="O294" s="60"/>
      <c r="P294" s="59"/>
      <c r="Q294" s="59"/>
      <c r="R294" s="60"/>
      <c r="S294" s="60"/>
      <c r="T294" s="60"/>
      <c r="U294" s="60"/>
      <c r="V294" s="60"/>
      <c r="W294" s="60"/>
    </row>
    <row r="295" spans="1:23" ht="13" x14ac:dyDescent="0.3">
      <c r="A295" s="58"/>
      <c r="B295" s="58"/>
      <c r="C295" s="58"/>
      <c r="D295" s="58"/>
      <c r="E295" s="58"/>
      <c r="F295" s="58"/>
      <c r="G295" s="58"/>
      <c r="H295" s="59"/>
      <c r="I295" s="59"/>
      <c r="J295" s="59"/>
      <c r="K295" s="59"/>
      <c r="L295" s="59"/>
      <c r="M295" s="60"/>
      <c r="N295" s="60"/>
      <c r="O295" s="60"/>
      <c r="P295" s="59"/>
      <c r="Q295" s="59"/>
      <c r="R295" s="60"/>
      <c r="S295" s="60"/>
      <c r="T295" s="60"/>
      <c r="U295" s="60"/>
      <c r="V295" s="60"/>
      <c r="W295" s="60"/>
    </row>
    <row r="296" spans="1:23" ht="13" x14ac:dyDescent="0.3">
      <c r="A296" s="58"/>
      <c r="B296" s="58"/>
      <c r="C296" s="58"/>
      <c r="D296" s="58"/>
      <c r="E296" s="58"/>
      <c r="F296" s="58"/>
      <c r="G296" s="58"/>
      <c r="H296" s="59"/>
      <c r="I296" s="59"/>
      <c r="J296" s="59"/>
      <c r="K296" s="59"/>
      <c r="L296" s="59"/>
      <c r="M296" s="60"/>
      <c r="N296" s="60"/>
      <c r="O296" s="60"/>
      <c r="P296" s="59"/>
      <c r="Q296" s="59"/>
      <c r="R296" s="60"/>
      <c r="S296" s="60"/>
      <c r="T296" s="60"/>
      <c r="U296" s="60"/>
      <c r="V296" s="60"/>
      <c r="W296" s="60"/>
    </row>
    <row r="297" spans="1:23" ht="13" x14ac:dyDescent="0.3">
      <c r="A297" s="58"/>
      <c r="B297" s="58"/>
      <c r="C297" s="58"/>
      <c r="D297" s="58"/>
      <c r="E297" s="58"/>
      <c r="F297" s="58"/>
      <c r="G297" s="58"/>
      <c r="H297" s="59"/>
      <c r="I297" s="59"/>
      <c r="J297" s="59"/>
      <c r="K297" s="59"/>
      <c r="L297" s="59"/>
      <c r="M297" s="60"/>
      <c r="N297" s="60"/>
      <c r="O297" s="60"/>
      <c r="P297" s="59"/>
      <c r="Q297" s="59"/>
      <c r="R297" s="60"/>
      <c r="S297" s="60"/>
      <c r="T297" s="60"/>
      <c r="U297" s="60"/>
      <c r="V297" s="60"/>
      <c r="W297" s="60"/>
    </row>
    <row r="298" spans="1:23" ht="13" x14ac:dyDescent="0.3">
      <c r="A298" s="58"/>
      <c r="B298" s="58"/>
      <c r="C298" s="58"/>
      <c r="D298" s="58"/>
      <c r="E298" s="58"/>
      <c r="F298" s="58"/>
      <c r="G298" s="58"/>
      <c r="H298" s="59"/>
      <c r="I298" s="59"/>
      <c r="J298" s="59"/>
      <c r="K298" s="59"/>
      <c r="L298" s="59"/>
      <c r="M298" s="60"/>
      <c r="N298" s="60"/>
      <c r="O298" s="60"/>
      <c r="P298" s="59"/>
      <c r="Q298" s="59"/>
      <c r="R298" s="60"/>
      <c r="S298" s="60"/>
      <c r="T298" s="60"/>
      <c r="U298" s="60"/>
      <c r="V298" s="60"/>
      <c r="W298" s="60"/>
    </row>
    <row r="299" spans="1:23" ht="13" x14ac:dyDescent="0.3">
      <c r="A299" s="58"/>
      <c r="B299" s="58"/>
      <c r="C299" s="58"/>
      <c r="D299" s="58"/>
      <c r="E299" s="58"/>
      <c r="F299" s="58"/>
      <c r="G299" s="58"/>
      <c r="H299" s="59"/>
      <c r="I299" s="59"/>
      <c r="J299" s="59"/>
      <c r="K299" s="59"/>
      <c r="L299" s="59"/>
      <c r="M299" s="60"/>
      <c r="N299" s="60"/>
      <c r="O299" s="60"/>
      <c r="P299" s="59"/>
      <c r="Q299" s="59"/>
      <c r="R299" s="60"/>
      <c r="S299" s="60"/>
      <c r="T299" s="60"/>
      <c r="U299" s="60"/>
      <c r="V299" s="60"/>
      <c r="W299" s="60"/>
    </row>
    <row r="300" spans="1:23" ht="13" x14ac:dyDescent="0.3">
      <c r="A300" s="58"/>
      <c r="B300" s="58"/>
      <c r="C300" s="58"/>
      <c r="D300" s="58"/>
      <c r="E300" s="58"/>
      <c r="F300" s="58"/>
      <c r="G300" s="58"/>
      <c r="H300" s="59"/>
      <c r="I300" s="59"/>
      <c r="J300" s="59"/>
      <c r="K300" s="59"/>
      <c r="L300" s="59"/>
      <c r="M300" s="60"/>
      <c r="N300" s="60"/>
      <c r="O300" s="60"/>
      <c r="P300" s="59"/>
      <c r="Q300" s="59"/>
      <c r="R300" s="60"/>
      <c r="S300" s="60"/>
      <c r="T300" s="60"/>
      <c r="U300" s="60"/>
      <c r="V300" s="60"/>
      <c r="W300" s="60"/>
    </row>
    <row r="301" spans="1:23" ht="13" x14ac:dyDescent="0.3">
      <c r="A301" s="58"/>
      <c r="B301" s="58"/>
      <c r="C301" s="58"/>
      <c r="D301" s="58"/>
      <c r="E301" s="58"/>
      <c r="F301" s="58"/>
      <c r="G301" s="58"/>
      <c r="H301" s="59"/>
      <c r="I301" s="59"/>
      <c r="J301" s="59"/>
      <c r="K301" s="59"/>
      <c r="L301" s="59"/>
      <c r="M301" s="60"/>
      <c r="N301" s="60"/>
      <c r="O301" s="60"/>
      <c r="P301" s="59"/>
      <c r="Q301" s="59"/>
      <c r="R301" s="60"/>
      <c r="S301" s="60"/>
      <c r="T301" s="60"/>
      <c r="U301" s="60"/>
      <c r="V301" s="60"/>
      <c r="W301" s="60"/>
    </row>
    <row r="302" spans="1:23" ht="13" x14ac:dyDescent="0.3">
      <c r="A302" s="58"/>
      <c r="B302" s="58"/>
      <c r="C302" s="58"/>
      <c r="D302" s="58"/>
      <c r="E302" s="58"/>
      <c r="F302" s="58"/>
      <c r="G302" s="58"/>
      <c r="H302" s="59"/>
      <c r="I302" s="59"/>
      <c r="J302" s="59"/>
      <c r="K302" s="59"/>
      <c r="L302" s="59"/>
      <c r="M302" s="60"/>
      <c r="N302" s="60"/>
      <c r="O302" s="60"/>
      <c r="P302" s="59"/>
      <c r="Q302" s="59"/>
      <c r="R302" s="60"/>
      <c r="S302" s="60"/>
      <c r="T302" s="60"/>
      <c r="U302" s="60"/>
      <c r="V302" s="60"/>
      <c r="W302" s="60"/>
    </row>
    <row r="303" spans="1:23" ht="13" x14ac:dyDescent="0.3">
      <c r="A303" s="58"/>
      <c r="B303" s="58"/>
      <c r="C303" s="58"/>
      <c r="D303" s="58"/>
      <c r="E303" s="58"/>
      <c r="F303" s="58"/>
      <c r="G303" s="58"/>
      <c r="H303" s="59"/>
      <c r="I303" s="59"/>
      <c r="J303" s="59"/>
      <c r="K303" s="59"/>
      <c r="L303" s="59"/>
      <c r="M303" s="60"/>
      <c r="N303" s="60"/>
      <c r="O303" s="60"/>
      <c r="P303" s="59"/>
      <c r="Q303" s="59"/>
      <c r="R303" s="60"/>
      <c r="S303" s="60"/>
      <c r="T303" s="60"/>
      <c r="U303" s="60"/>
      <c r="V303" s="60"/>
      <c r="W303" s="60"/>
    </row>
    <row r="304" spans="1:23" ht="13" x14ac:dyDescent="0.3">
      <c r="A304" s="58"/>
      <c r="B304" s="58"/>
      <c r="C304" s="58"/>
      <c r="D304" s="58"/>
      <c r="E304" s="58"/>
      <c r="F304" s="58"/>
      <c r="G304" s="58"/>
      <c r="H304" s="59"/>
      <c r="I304" s="59"/>
      <c r="J304" s="59"/>
      <c r="K304" s="59"/>
      <c r="L304" s="59"/>
      <c r="M304" s="60"/>
      <c r="N304" s="60"/>
      <c r="O304" s="60"/>
      <c r="P304" s="59"/>
      <c r="Q304" s="59"/>
      <c r="R304" s="60"/>
      <c r="S304" s="60"/>
      <c r="T304" s="60"/>
      <c r="U304" s="60"/>
      <c r="V304" s="60"/>
      <c r="W304" s="60"/>
    </row>
    <row r="305" spans="1:23" ht="13" x14ac:dyDescent="0.3">
      <c r="A305" s="58"/>
      <c r="B305" s="58"/>
      <c r="C305" s="58"/>
      <c r="D305" s="58"/>
      <c r="E305" s="58"/>
      <c r="F305" s="58"/>
      <c r="G305" s="58"/>
      <c r="H305" s="59"/>
      <c r="I305" s="59"/>
      <c r="J305" s="59"/>
      <c r="K305" s="59"/>
      <c r="L305" s="59"/>
      <c r="M305" s="60"/>
      <c r="N305" s="60"/>
      <c r="O305" s="60"/>
      <c r="P305" s="59"/>
      <c r="Q305" s="59"/>
      <c r="R305" s="60"/>
      <c r="S305" s="60"/>
      <c r="T305" s="60"/>
      <c r="U305" s="60"/>
      <c r="V305" s="60"/>
      <c r="W305" s="60"/>
    </row>
    <row r="306" spans="1:23" ht="13" x14ac:dyDescent="0.3">
      <c r="A306" s="58"/>
      <c r="B306" s="58"/>
      <c r="C306" s="58"/>
      <c r="D306" s="58"/>
      <c r="E306" s="58"/>
      <c r="F306" s="58"/>
      <c r="G306" s="58"/>
      <c r="H306" s="59"/>
      <c r="I306" s="59"/>
      <c r="J306" s="59"/>
      <c r="K306" s="59"/>
      <c r="L306" s="59"/>
      <c r="M306" s="60"/>
      <c r="N306" s="60"/>
      <c r="O306" s="60"/>
      <c r="P306" s="59"/>
      <c r="Q306" s="59"/>
      <c r="R306" s="60"/>
      <c r="S306" s="60"/>
      <c r="T306" s="60"/>
      <c r="U306" s="60"/>
      <c r="V306" s="60"/>
      <c r="W306" s="60"/>
    </row>
    <row r="307" spans="1:23" ht="13" x14ac:dyDescent="0.3">
      <c r="A307" s="58"/>
      <c r="B307" s="58"/>
      <c r="C307" s="58"/>
      <c r="D307" s="58"/>
      <c r="E307" s="58"/>
      <c r="F307" s="58"/>
      <c r="G307" s="58"/>
      <c r="H307" s="59"/>
      <c r="I307" s="59"/>
      <c r="J307" s="59"/>
      <c r="K307" s="59"/>
      <c r="L307" s="59"/>
      <c r="M307" s="60"/>
      <c r="N307" s="60"/>
      <c r="O307" s="60"/>
      <c r="P307" s="59"/>
      <c r="Q307" s="59"/>
      <c r="R307" s="60"/>
      <c r="S307" s="60"/>
      <c r="T307" s="60"/>
      <c r="U307" s="60"/>
      <c r="V307" s="60"/>
      <c r="W307" s="60"/>
    </row>
    <row r="308" spans="1:23" ht="13" x14ac:dyDescent="0.3">
      <c r="A308" s="58"/>
      <c r="B308" s="58"/>
      <c r="C308" s="58"/>
      <c r="D308" s="58"/>
      <c r="E308" s="58"/>
      <c r="F308" s="58"/>
      <c r="G308" s="58"/>
      <c r="H308" s="59"/>
      <c r="I308" s="59"/>
      <c r="J308" s="59"/>
      <c r="K308" s="59"/>
      <c r="L308" s="59"/>
      <c r="M308" s="60"/>
      <c r="N308" s="60"/>
      <c r="O308" s="60"/>
      <c r="P308" s="59"/>
      <c r="Q308" s="59"/>
      <c r="R308" s="60"/>
      <c r="S308" s="60"/>
      <c r="T308" s="60"/>
      <c r="U308" s="60"/>
      <c r="V308" s="60"/>
      <c r="W308" s="60"/>
    </row>
    <row r="309" spans="1:23" ht="13" x14ac:dyDescent="0.3">
      <c r="A309" s="58"/>
      <c r="B309" s="58"/>
      <c r="C309" s="58"/>
      <c r="D309" s="58"/>
      <c r="E309" s="58"/>
      <c r="F309" s="58"/>
      <c r="G309" s="58"/>
      <c r="H309" s="59"/>
      <c r="I309" s="59"/>
      <c r="J309" s="59"/>
      <c r="K309" s="59"/>
      <c r="L309" s="59"/>
      <c r="M309" s="60"/>
      <c r="N309" s="60"/>
      <c r="O309" s="60"/>
      <c r="P309" s="59"/>
      <c r="Q309" s="59"/>
      <c r="R309" s="60"/>
      <c r="S309" s="60"/>
      <c r="T309" s="60"/>
      <c r="U309" s="60"/>
      <c r="V309" s="60"/>
      <c r="W309" s="60"/>
    </row>
    <row r="310" spans="1:23" ht="13" x14ac:dyDescent="0.3">
      <c r="A310" s="58"/>
      <c r="B310" s="58"/>
      <c r="C310" s="58"/>
      <c r="D310" s="58"/>
      <c r="E310" s="58"/>
      <c r="F310" s="58"/>
      <c r="G310" s="58"/>
      <c r="H310" s="59"/>
      <c r="I310" s="59"/>
      <c r="J310" s="59"/>
      <c r="K310" s="59"/>
      <c r="L310" s="59"/>
      <c r="M310" s="60"/>
      <c r="N310" s="60"/>
      <c r="O310" s="60"/>
      <c r="P310" s="59"/>
      <c r="Q310" s="59"/>
      <c r="R310" s="60"/>
      <c r="S310" s="60"/>
      <c r="T310" s="60"/>
      <c r="U310" s="60"/>
      <c r="V310" s="60"/>
      <c r="W310" s="60"/>
    </row>
    <row r="311" spans="1:23" ht="13" x14ac:dyDescent="0.3">
      <c r="A311" s="58"/>
      <c r="B311" s="58"/>
      <c r="C311" s="58"/>
      <c r="D311" s="58"/>
      <c r="E311" s="58"/>
      <c r="F311" s="58"/>
      <c r="G311" s="58"/>
      <c r="H311" s="59"/>
      <c r="I311" s="59"/>
      <c r="J311" s="59"/>
      <c r="K311" s="59"/>
      <c r="L311" s="59"/>
      <c r="M311" s="60"/>
      <c r="N311" s="60"/>
      <c r="O311" s="60"/>
      <c r="P311" s="59"/>
      <c r="Q311" s="59"/>
      <c r="R311" s="60"/>
      <c r="S311" s="60"/>
      <c r="T311" s="60"/>
      <c r="U311" s="60"/>
      <c r="V311" s="60"/>
      <c r="W311" s="60"/>
    </row>
    <row r="312" spans="1:23" ht="13" x14ac:dyDescent="0.3">
      <c r="A312" s="58"/>
      <c r="B312" s="58"/>
      <c r="C312" s="58"/>
      <c r="D312" s="58"/>
      <c r="E312" s="58"/>
      <c r="F312" s="58"/>
      <c r="G312" s="58"/>
      <c r="H312" s="59"/>
      <c r="I312" s="59"/>
      <c r="J312" s="59"/>
      <c r="K312" s="59"/>
      <c r="L312" s="59"/>
      <c r="M312" s="60"/>
      <c r="N312" s="60"/>
      <c r="O312" s="60"/>
      <c r="P312" s="59"/>
      <c r="Q312" s="59"/>
      <c r="R312" s="60"/>
      <c r="S312" s="60"/>
      <c r="T312" s="60"/>
      <c r="U312" s="60"/>
      <c r="V312" s="60"/>
      <c r="W312" s="60"/>
    </row>
    <row r="313" spans="1:23" ht="13" x14ac:dyDescent="0.3">
      <c r="A313" s="58"/>
      <c r="B313" s="58"/>
      <c r="C313" s="58"/>
      <c r="D313" s="58"/>
      <c r="E313" s="58"/>
      <c r="F313" s="58"/>
      <c r="G313" s="58"/>
      <c r="H313" s="59"/>
      <c r="I313" s="59"/>
      <c r="J313" s="59"/>
      <c r="K313" s="59"/>
      <c r="L313" s="59"/>
      <c r="M313" s="60"/>
      <c r="N313" s="60"/>
      <c r="O313" s="60"/>
      <c r="P313" s="59"/>
      <c r="Q313" s="59"/>
      <c r="R313" s="60"/>
      <c r="S313" s="60"/>
      <c r="T313" s="60"/>
      <c r="U313" s="60"/>
      <c r="V313" s="60"/>
      <c r="W313" s="60"/>
    </row>
    <row r="314" spans="1:23" ht="13" x14ac:dyDescent="0.3">
      <c r="A314" s="58"/>
      <c r="B314" s="58"/>
      <c r="C314" s="58"/>
      <c r="D314" s="58"/>
      <c r="E314" s="58"/>
      <c r="F314" s="58"/>
      <c r="G314" s="58"/>
      <c r="H314" s="59"/>
      <c r="I314" s="59"/>
      <c r="J314" s="59"/>
      <c r="K314" s="59"/>
      <c r="L314" s="59"/>
      <c r="M314" s="60"/>
      <c r="N314" s="60"/>
      <c r="O314" s="60"/>
      <c r="P314" s="59"/>
      <c r="Q314" s="59"/>
      <c r="R314" s="60"/>
      <c r="S314" s="60"/>
      <c r="T314" s="60"/>
      <c r="U314" s="60"/>
      <c r="V314" s="60"/>
      <c r="W314" s="60"/>
    </row>
    <row r="315" spans="1:23" ht="13" x14ac:dyDescent="0.3">
      <c r="A315" s="58"/>
      <c r="B315" s="58"/>
      <c r="C315" s="58"/>
      <c r="D315" s="58"/>
      <c r="E315" s="58"/>
      <c r="F315" s="58"/>
      <c r="G315" s="58"/>
      <c r="H315" s="59"/>
      <c r="I315" s="59"/>
      <c r="J315" s="59"/>
      <c r="K315" s="59"/>
      <c r="L315" s="59"/>
      <c r="M315" s="60"/>
      <c r="N315" s="60"/>
      <c r="O315" s="60"/>
      <c r="P315" s="59"/>
      <c r="Q315" s="59"/>
      <c r="R315" s="60"/>
      <c r="S315" s="60"/>
      <c r="T315" s="60"/>
      <c r="U315" s="60"/>
      <c r="V315" s="60"/>
      <c r="W315" s="60"/>
    </row>
    <row r="316" spans="1:23" ht="13" x14ac:dyDescent="0.3">
      <c r="A316" s="58"/>
      <c r="B316" s="58"/>
      <c r="C316" s="58"/>
      <c r="D316" s="58"/>
      <c r="E316" s="58"/>
      <c r="F316" s="58"/>
      <c r="G316" s="58"/>
      <c r="H316" s="59"/>
      <c r="I316" s="59"/>
      <c r="J316" s="59"/>
      <c r="K316" s="59"/>
      <c r="L316" s="59"/>
      <c r="M316" s="60"/>
      <c r="N316" s="60"/>
      <c r="O316" s="60"/>
      <c r="P316" s="59"/>
      <c r="Q316" s="59"/>
      <c r="R316" s="60"/>
      <c r="S316" s="60"/>
      <c r="T316" s="60"/>
      <c r="U316" s="60"/>
      <c r="V316" s="60"/>
      <c r="W316" s="60"/>
    </row>
    <row r="317" spans="1:23" ht="13" x14ac:dyDescent="0.3">
      <c r="A317" s="58"/>
      <c r="B317" s="58"/>
      <c r="C317" s="58"/>
      <c r="D317" s="58"/>
      <c r="E317" s="58"/>
      <c r="F317" s="58"/>
      <c r="G317" s="58"/>
      <c r="H317" s="59"/>
      <c r="I317" s="59"/>
      <c r="J317" s="59"/>
      <c r="K317" s="59"/>
      <c r="L317" s="59"/>
      <c r="M317" s="60"/>
      <c r="N317" s="60"/>
      <c r="O317" s="60"/>
      <c r="P317" s="59"/>
      <c r="Q317" s="59"/>
      <c r="R317" s="60"/>
      <c r="S317" s="60"/>
      <c r="T317" s="60"/>
      <c r="U317" s="60"/>
      <c r="V317" s="60"/>
      <c r="W317" s="60"/>
    </row>
    <row r="318" spans="1:23" ht="13" x14ac:dyDescent="0.3">
      <c r="A318" s="58"/>
      <c r="B318" s="58"/>
      <c r="C318" s="58"/>
      <c r="D318" s="58"/>
      <c r="E318" s="58"/>
      <c r="F318" s="58"/>
      <c r="G318" s="58"/>
      <c r="H318" s="59"/>
      <c r="I318" s="59"/>
      <c r="J318" s="59"/>
      <c r="K318" s="59"/>
      <c r="L318" s="59"/>
      <c r="M318" s="60"/>
      <c r="N318" s="60"/>
      <c r="O318" s="60"/>
      <c r="P318" s="59"/>
      <c r="Q318" s="59"/>
      <c r="R318" s="60"/>
      <c r="S318" s="60"/>
      <c r="T318" s="60"/>
      <c r="U318" s="60"/>
      <c r="V318" s="60"/>
      <c r="W318" s="60"/>
    </row>
    <row r="319" spans="1:23" ht="13" x14ac:dyDescent="0.3">
      <c r="A319" s="58"/>
      <c r="B319" s="58"/>
      <c r="C319" s="58"/>
      <c r="D319" s="58"/>
      <c r="E319" s="58"/>
      <c r="F319" s="58"/>
      <c r="G319" s="58"/>
      <c r="H319" s="59"/>
      <c r="I319" s="59"/>
      <c r="J319" s="59"/>
      <c r="K319" s="59"/>
      <c r="L319" s="59"/>
      <c r="M319" s="60"/>
      <c r="N319" s="60"/>
      <c r="O319" s="60"/>
      <c r="P319" s="59"/>
      <c r="Q319" s="59"/>
      <c r="R319" s="60"/>
      <c r="S319" s="60"/>
      <c r="T319" s="60"/>
      <c r="U319" s="60"/>
      <c r="V319" s="60"/>
      <c r="W319" s="60"/>
    </row>
    <row r="320" spans="1:23" ht="13" x14ac:dyDescent="0.3">
      <c r="A320" s="58"/>
      <c r="B320" s="58"/>
      <c r="C320" s="58"/>
      <c r="D320" s="58"/>
      <c r="E320" s="58"/>
      <c r="F320" s="58"/>
      <c r="G320" s="58"/>
      <c r="H320" s="59"/>
      <c r="I320" s="59"/>
      <c r="J320" s="59"/>
      <c r="K320" s="59"/>
      <c r="L320" s="59"/>
      <c r="M320" s="60"/>
      <c r="N320" s="60"/>
      <c r="O320" s="60"/>
      <c r="P320" s="59"/>
      <c r="Q320" s="59"/>
      <c r="R320" s="60"/>
      <c r="S320" s="60"/>
      <c r="T320" s="60"/>
      <c r="U320" s="60"/>
      <c r="V320" s="60"/>
      <c r="W320" s="60"/>
    </row>
    <row r="321" spans="1:23" ht="13" x14ac:dyDescent="0.3">
      <c r="A321" s="58"/>
      <c r="B321" s="58"/>
      <c r="C321" s="58"/>
      <c r="D321" s="58"/>
      <c r="E321" s="58"/>
      <c r="F321" s="58"/>
      <c r="G321" s="58"/>
      <c r="H321" s="59"/>
      <c r="I321" s="59"/>
      <c r="J321" s="59"/>
      <c r="K321" s="59"/>
      <c r="L321" s="59"/>
      <c r="M321" s="60"/>
      <c r="N321" s="60"/>
      <c r="O321" s="60"/>
      <c r="P321" s="59"/>
      <c r="Q321" s="59"/>
      <c r="R321" s="60"/>
      <c r="S321" s="60"/>
      <c r="T321" s="60"/>
      <c r="U321" s="60"/>
      <c r="V321" s="60"/>
      <c r="W321" s="60"/>
    </row>
    <row r="322" spans="1:23" ht="13" x14ac:dyDescent="0.3">
      <c r="A322" s="58"/>
      <c r="B322" s="58"/>
      <c r="C322" s="58"/>
      <c r="D322" s="58"/>
      <c r="E322" s="58"/>
      <c r="F322" s="58"/>
      <c r="G322" s="58"/>
      <c r="H322" s="59"/>
      <c r="I322" s="59"/>
      <c r="J322" s="59"/>
      <c r="K322" s="59"/>
      <c r="L322" s="59"/>
      <c r="M322" s="60"/>
      <c r="N322" s="60"/>
      <c r="O322" s="60"/>
      <c r="P322" s="59"/>
      <c r="Q322" s="59"/>
      <c r="R322" s="60"/>
      <c r="S322" s="60"/>
      <c r="T322" s="60"/>
      <c r="U322" s="60"/>
      <c r="V322" s="60"/>
      <c r="W322" s="60"/>
    </row>
    <row r="323" spans="1:23" ht="13" x14ac:dyDescent="0.3">
      <c r="A323" s="58"/>
      <c r="B323" s="58"/>
      <c r="C323" s="58"/>
      <c r="D323" s="58"/>
      <c r="E323" s="58"/>
      <c r="F323" s="58"/>
      <c r="G323" s="58"/>
      <c r="H323" s="59"/>
      <c r="I323" s="59"/>
      <c r="J323" s="59"/>
      <c r="K323" s="59"/>
      <c r="L323" s="59"/>
      <c r="M323" s="60"/>
      <c r="N323" s="60"/>
      <c r="O323" s="60"/>
      <c r="P323" s="59"/>
      <c r="Q323" s="59"/>
      <c r="R323" s="60"/>
      <c r="S323" s="60"/>
      <c r="T323" s="60"/>
      <c r="U323" s="60"/>
      <c r="V323" s="60"/>
      <c r="W323" s="60"/>
    </row>
    <row r="324" spans="1:23" ht="13" x14ac:dyDescent="0.3">
      <c r="A324" s="58"/>
      <c r="B324" s="58"/>
      <c r="C324" s="58"/>
      <c r="D324" s="58"/>
      <c r="E324" s="58"/>
      <c r="F324" s="58"/>
      <c r="G324" s="58"/>
      <c r="H324" s="59"/>
      <c r="I324" s="59"/>
      <c r="J324" s="59"/>
      <c r="K324" s="59"/>
      <c r="L324" s="59"/>
      <c r="M324" s="60"/>
      <c r="N324" s="60"/>
      <c r="O324" s="60"/>
      <c r="P324" s="59"/>
      <c r="Q324" s="59"/>
      <c r="R324" s="60"/>
      <c r="S324" s="60"/>
      <c r="T324" s="60"/>
      <c r="U324" s="60"/>
      <c r="V324" s="60"/>
      <c r="W324" s="60"/>
    </row>
    <row r="325" spans="1:23" ht="13" x14ac:dyDescent="0.3">
      <c r="A325" s="58"/>
      <c r="B325" s="58"/>
      <c r="C325" s="58"/>
      <c r="D325" s="58"/>
      <c r="E325" s="58"/>
      <c r="F325" s="58"/>
      <c r="G325" s="58"/>
      <c r="H325" s="59"/>
      <c r="I325" s="59"/>
      <c r="J325" s="59"/>
      <c r="K325" s="59"/>
      <c r="L325" s="59"/>
      <c r="M325" s="60"/>
      <c r="N325" s="60"/>
      <c r="O325" s="60"/>
      <c r="P325" s="59"/>
      <c r="Q325" s="59"/>
      <c r="R325" s="60"/>
      <c r="S325" s="60"/>
      <c r="T325" s="60"/>
      <c r="U325" s="60"/>
      <c r="V325" s="60"/>
      <c r="W325" s="60"/>
    </row>
    <row r="326" spans="1:23" ht="13" x14ac:dyDescent="0.3">
      <c r="A326" s="58"/>
      <c r="B326" s="58"/>
      <c r="C326" s="58"/>
      <c r="D326" s="58"/>
      <c r="E326" s="58"/>
      <c r="F326" s="58"/>
      <c r="G326" s="58"/>
      <c r="H326" s="59"/>
      <c r="I326" s="59"/>
      <c r="J326" s="59"/>
      <c r="K326" s="59"/>
      <c r="L326" s="59"/>
      <c r="M326" s="60"/>
      <c r="N326" s="60"/>
      <c r="O326" s="60"/>
      <c r="P326" s="59"/>
      <c r="Q326" s="59"/>
      <c r="R326" s="60"/>
      <c r="S326" s="60"/>
      <c r="T326" s="60"/>
      <c r="U326" s="60"/>
      <c r="V326" s="60"/>
      <c r="W326" s="60"/>
    </row>
    <row r="327" spans="1:23" ht="13" x14ac:dyDescent="0.3">
      <c r="A327" s="58"/>
      <c r="B327" s="58"/>
      <c r="C327" s="58"/>
      <c r="D327" s="58"/>
      <c r="E327" s="58"/>
      <c r="F327" s="58"/>
      <c r="G327" s="58"/>
      <c r="H327" s="59"/>
      <c r="I327" s="59"/>
      <c r="J327" s="59"/>
      <c r="K327" s="59"/>
      <c r="L327" s="59"/>
      <c r="M327" s="60"/>
      <c r="N327" s="60"/>
      <c r="O327" s="60"/>
      <c r="P327" s="59"/>
      <c r="Q327" s="59"/>
      <c r="R327" s="60"/>
      <c r="S327" s="60"/>
      <c r="T327" s="60"/>
      <c r="U327" s="60"/>
      <c r="V327" s="60"/>
      <c r="W327" s="60"/>
    </row>
    <row r="328" spans="1:23" ht="13" x14ac:dyDescent="0.3">
      <c r="A328" s="58"/>
      <c r="B328" s="58"/>
      <c r="C328" s="58"/>
      <c r="D328" s="58"/>
      <c r="E328" s="58"/>
      <c r="F328" s="58"/>
      <c r="G328" s="58"/>
      <c r="H328" s="59"/>
      <c r="I328" s="59"/>
      <c r="J328" s="59"/>
      <c r="K328" s="59"/>
      <c r="L328" s="59"/>
      <c r="M328" s="60"/>
      <c r="N328" s="60"/>
      <c r="O328" s="60"/>
      <c r="P328" s="59"/>
      <c r="Q328" s="59"/>
      <c r="R328" s="60"/>
      <c r="S328" s="60"/>
      <c r="T328" s="60"/>
      <c r="U328" s="60"/>
      <c r="V328" s="60"/>
      <c r="W328" s="60"/>
    </row>
    <row r="329" spans="1:23" ht="13" x14ac:dyDescent="0.3">
      <c r="A329" s="58"/>
      <c r="B329" s="58"/>
      <c r="C329" s="58"/>
      <c r="D329" s="58"/>
      <c r="E329" s="58"/>
      <c r="F329" s="58"/>
      <c r="G329" s="58"/>
      <c r="H329" s="59"/>
      <c r="I329" s="59"/>
      <c r="J329" s="59"/>
      <c r="K329" s="59"/>
      <c r="L329" s="59"/>
      <c r="M329" s="60"/>
      <c r="N329" s="60"/>
      <c r="O329" s="60"/>
      <c r="P329" s="59"/>
      <c r="Q329" s="59"/>
      <c r="R329" s="60"/>
      <c r="S329" s="60"/>
      <c r="T329" s="60"/>
      <c r="U329" s="60"/>
      <c r="V329" s="60"/>
      <c r="W329" s="60"/>
    </row>
    <row r="330" spans="1:23" ht="13" x14ac:dyDescent="0.3">
      <c r="A330" s="58"/>
      <c r="B330" s="58"/>
      <c r="C330" s="58"/>
      <c r="D330" s="58"/>
      <c r="E330" s="58"/>
      <c r="F330" s="58"/>
      <c r="G330" s="58"/>
      <c r="H330" s="59"/>
      <c r="I330" s="59"/>
      <c r="J330" s="59"/>
      <c r="K330" s="59"/>
      <c r="L330" s="59"/>
      <c r="M330" s="60"/>
      <c r="N330" s="60"/>
      <c r="O330" s="60"/>
      <c r="P330" s="59"/>
      <c r="Q330" s="59"/>
      <c r="R330" s="60"/>
      <c r="S330" s="60"/>
      <c r="T330" s="60"/>
      <c r="U330" s="60"/>
      <c r="V330" s="60"/>
      <c r="W330" s="60"/>
    </row>
    <row r="331" spans="1:23" ht="13" x14ac:dyDescent="0.3">
      <c r="A331" s="58"/>
      <c r="B331" s="58"/>
      <c r="C331" s="58"/>
      <c r="D331" s="58"/>
      <c r="E331" s="58"/>
      <c r="F331" s="58"/>
      <c r="G331" s="58"/>
      <c r="H331" s="59"/>
      <c r="I331" s="59"/>
      <c r="J331" s="59"/>
      <c r="K331" s="59"/>
      <c r="L331" s="59"/>
      <c r="M331" s="60"/>
      <c r="N331" s="60"/>
      <c r="O331" s="60"/>
      <c r="P331" s="59"/>
      <c r="Q331" s="59"/>
      <c r="R331" s="60"/>
      <c r="S331" s="60"/>
      <c r="T331" s="60"/>
      <c r="U331" s="60"/>
      <c r="V331" s="60"/>
      <c r="W331" s="60"/>
    </row>
    <row r="332" spans="1:23" ht="13" x14ac:dyDescent="0.3">
      <c r="A332" s="58"/>
      <c r="B332" s="58"/>
      <c r="C332" s="58"/>
      <c r="D332" s="58"/>
      <c r="E332" s="58"/>
      <c r="F332" s="58"/>
      <c r="G332" s="58"/>
      <c r="H332" s="59"/>
      <c r="I332" s="59"/>
      <c r="J332" s="59"/>
      <c r="K332" s="59"/>
      <c r="L332" s="59"/>
      <c r="M332" s="60"/>
      <c r="N332" s="60"/>
      <c r="O332" s="60"/>
      <c r="P332" s="59"/>
      <c r="Q332" s="59"/>
      <c r="R332" s="60"/>
      <c r="S332" s="60"/>
      <c r="T332" s="60"/>
      <c r="U332" s="60"/>
      <c r="V332" s="60"/>
      <c r="W332" s="60"/>
    </row>
    <row r="333" spans="1:23" ht="13" x14ac:dyDescent="0.3">
      <c r="A333" s="58"/>
      <c r="B333" s="58"/>
      <c r="C333" s="58"/>
      <c r="D333" s="58"/>
      <c r="E333" s="58"/>
      <c r="F333" s="58"/>
      <c r="G333" s="58"/>
      <c r="H333" s="59"/>
      <c r="I333" s="59"/>
      <c r="J333" s="59"/>
      <c r="K333" s="59"/>
      <c r="L333" s="59"/>
      <c r="M333" s="60"/>
      <c r="N333" s="60"/>
      <c r="O333" s="60"/>
      <c r="P333" s="59"/>
      <c r="Q333" s="59"/>
      <c r="R333" s="60"/>
      <c r="S333" s="60"/>
      <c r="T333" s="60"/>
      <c r="U333" s="60"/>
      <c r="V333" s="60"/>
      <c r="W333" s="60"/>
    </row>
    <row r="334" spans="1:23" ht="13" x14ac:dyDescent="0.3">
      <c r="A334" s="58"/>
      <c r="B334" s="58"/>
      <c r="C334" s="58"/>
      <c r="D334" s="58"/>
      <c r="E334" s="58"/>
      <c r="F334" s="58"/>
      <c r="G334" s="58"/>
      <c r="H334" s="59"/>
      <c r="I334" s="59"/>
      <c r="J334" s="59"/>
      <c r="K334" s="59"/>
      <c r="L334" s="59"/>
      <c r="M334" s="60"/>
      <c r="N334" s="60"/>
      <c r="O334" s="60"/>
      <c r="P334" s="59"/>
      <c r="Q334" s="59"/>
      <c r="R334" s="60"/>
      <c r="S334" s="60"/>
      <c r="T334" s="60"/>
      <c r="U334" s="60"/>
      <c r="V334" s="60"/>
      <c r="W334" s="60"/>
    </row>
    <row r="335" spans="1:23" ht="13" x14ac:dyDescent="0.3">
      <c r="A335" s="58"/>
      <c r="B335" s="58"/>
      <c r="C335" s="58"/>
      <c r="D335" s="58"/>
      <c r="E335" s="58"/>
      <c r="F335" s="58"/>
      <c r="G335" s="58"/>
      <c r="H335" s="59"/>
      <c r="I335" s="59"/>
      <c r="J335" s="59"/>
      <c r="K335" s="59"/>
      <c r="L335" s="59"/>
      <c r="M335" s="60"/>
      <c r="N335" s="60"/>
      <c r="O335" s="60"/>
      <c r="P335" s="59"/>
      <c r="Q335" s="59"/>
      <c r="R335" s="60"/>
      <c r="S335" s="60"/>
      <c r="T335" s="60"/>
      <c r="U335" s="60"/>
      <c r="V335" s="60"/>
      <c r="W335" s="60"/>
    </row>
    <row r="336" spans="1:23" ht="13" x14ac:dyDescent="0.3">
      <c r="A336" s="58"/>
      <c r="B336" s="58"/>
      <c r="C336" s="58"/>
      <c r="D336" s="58"/>
      <c r="E336" s="58"/>
      <c r="F336" s="58"/>
      <c r="G336" s="58"/>
      <c r="H336" s="59"/>
      <c r="I336" s="59"/>
      <c r="J336" s="59"/>
      <c r="K336" s="59"/>
      <c r="L336" s="59"/>
      <c r="M336" s="60"/>
      <c r="N336" s="60"/>
      <c r="O336" s="60"/>
      <c r="P336" s="59"/>
      <c r="Q336" s="59"/>
      <c r="R336" s="60"/>
      <c r="S336" s="60"/>
      <c r="T336" s="60"/>
      <c r="U336" s="60"/>
      <c r="V336" s="60"/>
      <c r="W336" s="60"/>
    </row>
    <row r="337" spans="1:23" ht="13" x14ac:dyDescent="0.3">
      <c r="A337" s="58"/>
      <c r="B337" s="58"/>
      <c r="C337" s="58"/>
      <c r="D337" s="58"/>
      <c r="E337" s="58"/>
      <c r="F337" s="58"/>
      <c r="G337" s="58"/>
      <c r="H337" s="59"/>
      <c r="I337" s="59"/>
      <c r="J337" s="59"/>
      <c r="K337" s="59"/>
      <c r="L337" s="59"/>
      <c r="M337" s="60"/>
      <c r="N337" s="60"/>
      <c r="O337" s="60"/>
      <c r="P337" s="59"/>
      <c r="Q337" s="59"/>
      <c r="R337" s="60"/>
      <c r="S337" s="60"/>
      <c r="T337" s="60"/>
      <c r="U337" s="60"/>
      <c r="V337" s="60"/>
      <c r="W337" s="60"/>
    </row>
    <row r="338" spans="1:23" ht="13" x14ac:dyDescent="0.3">
      <c r="A338" s="58"/>
      <c r="B338" s="58"/>
      <c r="C338" s="58"/>
      <c r="D338" s="58"/>
      <c r="E338" s="58"/>
      <c r="F338" s="58"/>
      <c r="G338" s="58"/>
      <c r="H338" s="59"/>
      <c r="I338" s="59"/>
      <c r="J338" s="59"/>
      <c r="K338" s="59"/>
      <c r="L338" s="59"/>
      <c r="M338" s="60"/>
      <c r="N338" s="60"/>
      <c r="O338" s="60"/>
      <c r="P338" s="59"/>
      <c r="Q338" s="59"/>
      <c r="R338" s="60"/>
      <c r="S338" s="60"/>
      <c r="T338" s="60"/>
      <c r="U338" s="60"/>
      <c r="V338" s="60"/>
      <c r="W338" s="60"/>
    </row>
    <row r="339" spans="1:23" ht="13" x14ac:dyDescent="0.3">
      <c r="A339" s="58"/>
      <c r="B339" s="58"/>
      <c r="C339" s="58"/>
      <c r="D339" s="58"/>
      <c r="E339" s="58"/>
      <c r="F339" s="58"/>
      <c r="G339" s="58"/>
      <c r="H339" s="59"/>
      <c r="I339" s="59"/>
      <c r="J339" s="59"/>
      <c r="K339" s="59"/>
      <c r="L339" s="59"/>
      <c r="M339" s="60"/>
      <c r="N339" s="60"/>
      <c r="O339" s="60"/>
      <c r="P339" s="59"/>
      <c r="Q339" s="59"/>
      <c r="R339" s="60"/>
      <c r="S339" s="60"/>
      <c r="T339" s="60"/>
      <c r="U339" s="60"/>
      <c r="V339" s="60"/>
      <c r="W339" s="60"/>
    </row>
    <row r="340" spans="1:23" ht="13" x14ac:dyDescent="0.3">
      <c r="A340" s="58"/>
      <c r="B340" s="58"/>
      <c r="C340" s="58"/>
      <c r="D340" s="58"/>
      <c r="E340" s="58"/>
      <c r="F340" s="58"/>
      <c r="G340" s="58"/>
      <c r="H340" s="59"/>
      <c r="I340" s="59"/>
      <c r="J340" s="59"/>
      <c r="K340" s="59"/>
      <c r="L340" s="59"/>
      <c r="M340" s="60"/>
      <c r="N340" s="60"/>
      <c r="O340" s="60"/>
      <c r="P340" s="59"/>
      <c r="Q340" s="59"/>
      <c r="R340" s="60"/>
      <c r="S340" s="60"/>
      <c r="T340" s="60"/>
      <c r="U340" s="60"/>
      <c r="V340" s="60"/>
      <c r="W340" s="60"/>
    </row>
    <row r="341" spans="1:23" ht="13" x14ac:dyDescent="0.3">
      <c r="A341" s="58"/>
      <c r="B341" s="58"/>
      <c r="C341" s="58"/>
      <c r="D341" s="58"/>
      <c r="E341" s="58"/>
      <c r="F341" s="58"/>
      <c r="G341" s="58"/>
      <c r="H341" s="59"/>
      <c r="I341" s="59"/>
      <c r="J341" s="59"/>
      <c r="K341" s="59"/>
      <c r="L341" s="59"/>
      <c r="M341" s="60"/>
      <c r="N341" s="60"/>
      <c r="O341" s="60"/>
      <c r="P341" s="59"/>
      <c r="Q341" s="59"/>
      <c r="R341" s="60"/>
      <c r="S341" s="60"/>
      <c r="T341" s="60"/>
      <c r="U341" s="60"/>
      <c r="V341" s="60"/>
      <c r="W341" s="60"/>
    </row>
    <row r="342" spans="1:23" ht="13" x14ac:dyDescent="0.3">
      <c r="A342" s="58"/>
      <c r="B342" s="58"/>
      <c r="C342" s="58"/>
      <c r="D342" s="58"/>
      <c r="E342" s="58"/>
      <c r="F342" s="58"/>
      <c r="G342" s="58"/>
      <c r="H342" s="59"/>
      <c r="I342" s="59"/>
      <c r="J342" s="59"/>
      <c r="K342" s="59"/>
      <c r="L342" s="59"/>
      <c r="M342" s="60"/>
      <c r="N342" s="60"/>
      <c r="O342" s="60"/>
      <c r="P342" s="59"/>
      <c r="Q342" s="59"/>
      <c r="R342" s="60"/>
      <c r="S342" s="60"/>
      <c r="T342" s="60"/>
      <c r="U342" s="60"/>
      <c r="V342" s="60"/>
      <c r="W342" s="60"/>
    </row>
    <row r="343" spans="1:23" ht="13" x14ac:dyDescent="0.3">
      <c r="A343" s="58"/>
      <c r="B343" s="58"/>
      <c r="C343" s="58"/>
      <c r="D343" s="58"/>
      <c r="E343" s="58"/>
      <c r="F343" s="58"/>
      <c r="G343" s="58"/>
      <c r="H343" s="59"/>
      <c r="I343" s="59"/>
      <c r="J343" s="59"/>
      <c r="K343" s="59"/>
      <c r="L343" s="59"/>
      <c r="M343" s="60"/>
      <c r="N343" s="60"/>
      <c r="O343" s="60"/>
      <c r="P343" s="59"/>
      <c r="Q343" s="59"/>
      <c r="R343" s="60"/>
      <c r="S343" s="60"/>
      <c r="T343" s="60"/>
      <c r="U343" s="60"/>
      <c r="V343" s="60"/>
      <c r="W343" s="60"/>
    </row>
    <row r="344" spans="1:23" ht="13" x14ac:dyDescent="0.3">
      <c r="A344" s="58"/>
      <c r="B344" s="58"/>
      <c r="C344" s="58"/>
      <c r="D344" s="58"/>
      <c r="E344" s="58"/>
      <c r="F344" s="58"/>
      <c r="G344" s="58"/>
      <c r="H344" s="59"/>
      <c r="I344" s="59"/>
      <c r="J344" s="59"/>
      <c r="K344" s="59"/>
      <c r="L344" s="59"/>
      <c r="M344" s="60"/>
      <c r="N344" s="60"/>
      <c r="O344" s="60"/>
      <c r="P344" s="59"/>
      <c r="Q344" s="59"/>
      <c r="R344" s="60"/>
      <c r="S344" s="60"/>
      <c r="T344" s="60"/>
      <c r="U344" s="60"/>
      <c r="V344" s="60"/>
      <c r="W344" s="60"/>
    </row>
    <row r="345" spans="1:23" ht="13" x14ac:dyDescent="0.3">
      <c r="A345" s="58"/>
      <c r="B345" s="58"/>
      <c r="C345" s="58"/>
      <c r="D345" s="58"/>
      <c r="E345" s="58"/>
      <c r="F345" s="58"/>
      <c r="G345" s="58"/>
      <c r="H345" s="59"/>
      <c r="I345" s="59"/>
      <c r="J345" s="59"/>
      <c r="K345" s="59"/>
      <c r="L345" s="59"/>
      <c r="M345" s="60"/>
      <c r="N345" s="60"/>
      <c r="O345" s="60"/>
      <c r="P345" s="59"/>
      <c r="Q345" s="59"/>
      <c r="R345" s="60"/>
      <c r="S345" s="60"/>
      <c r="T345" s="60"/>
      <c r="U345" s="60"/>
      <c r="V345" s="60"/>
      <c r="W345" s="60"/>
    </row>
    <row r="346" spans="1:23" ht="13" x14ac:dyDescent="0.3">
      <c r="A346" s="58"/>
      <c r="B346" s="58"/>
      <c r="C346" s="58"/>
      <c r="D346" s="58"/>
      <c r="E346" s="58"/>
      <c r="F346" s="58"/>
      <c r="G346" s="58"/>
      <c r="H346" s="59"/>
      <c r="I346" s="59"/>
      <c r="J346" s="59"/>
      <c r="K346" s="59"/>
      <c r="L346" s="59"/>
      <c r="M346" s="60"/>
      <c r="N346" s="60"/>
      <c r="O346" s="60"/>
      <c r="P346" s="59"/>
      <c r="Q346" s="59"/>
      <c r="R346" s="60"/>
      <c r="S346" s="60"/>
      <c r="T346" s="60"/>
      <c r="U346" s="60"/>
      <c r="V346" s="60"/>
      <c r="W346" s="60"/>
    </row>
    <row r="347" spans="1:23" ht="13" x14ac:dyDescent="0.3">
      <c r="A347" s="58"/>
      <c r="B347" s="58"/>
      <c r="C347" s="58"/>
      <c r="D347" s="58"/>
      <c r="E347" s="58"/>
      <c r="F347" s="58"/>
      <c r="G347" s="58"/>
      <c r="H347" s="59"/>
      <c r="I347" s="59"/>
      <c r="J347" s="59"/>
      <c r="K347" s="59"/>
      <c r="L347" s="59"/>
      <c r="M347" s="60"/>
      <c r="N347" s="60"/>
      <c r="O347" s="60"/>
      <c r="P347" s="59"/>
      <c r="Q347" s="59"/>
      <c r="R347" s="60"/>
      <c r="S347" s="60"/>
      <c r="T347" s="60"/>
      <c r="U347" s="60"/>
      <c r="V347" s="60"/>
      <c r="W347" s="60"/>
    </row>
    <row r="348" spans="1:23" ht="13" x14ac:dyDescent="0.3">
      <c r="A348" s="58"/>
      <c r="B348" s="58"/>
      <c r="C348" s="58"/>
      <c r="D348" s="58"/>
      <c r="E348" s="58"/>
      <c r="F348" s="58"/>
      <c r="G348" s="58"/>
      <c r="H348" s="59"/>
      <c r="I348" s="59"/>
      <c r="J348" s="59"/>
      <c r="K348" s="59"/>
      <c r="L348" s="59"/>
      <c r="M348" s="60"/>
      <c r="N348" s="60"/>
      <c r="O348" s="60"/>
      <c r="P348" s="59"/>
      <c r="Q348" s="59"/>
      <c r="R348" s="60"/>
      <c r="S348" s="60"/>
      <c r="T348" s="60"/>
      <c r="U348" s="60"/>
      <c r="V348" s="60"/>
      <c r="W348" s="60"/>
    </row>
    <row r="349" spans="1:23" ht="13" x14ac:dyDescent="0.3">
      <c r="A349" s="58"/>
      <c r="B349" s="58"/>
      <c r="C349" s="58"/>
      <c r="D349" s="58"/>
      <c r="E349" s="58"/>
      <c r="F349" s="58"/>
      <c r="G349" s="58"/>
      <c r="H349" s="59"/>
      <c r="I349" s="59"/>
      <c r="J349" s="59"/>
      <c r="K349" s="59"/>
      <c r="L349" s="59"/>
      <c r="M349" s="60"/>
      <c r="N349" s="60"/>
      <c r="O349" s="60"/>
      <c r="P349" s="59"/>
      <c r="Q349" s="59"/>
      <c r="R349" s="60"/>
      <c r="S349" s="60"/>
      <c r="T349" s="60"/>
      <c r="U349" s="60"/>
      <c r="V349" s="60"/>
      <c r="W349" s="60"/>
    </row>
    <row r="350" spans="1:23" ht="13" x14ac:dyDescent="0.3">
      <c r="A350" s="58"/>
      <c r="B350" s="58"/>
      <c r="C350" s="58"/>
      <c r="D350" s="58"/>
      <c r="E350" s="58"/>
      <c r="F350" s="58"/>
      <c r="G350" s="58"/>
      <c r="H350" s="59"/>
      <c r="I350" s="59"/>
      <c r="J350" s="59"/>
      <c r="K350" s="59"/>
      <c r="L350" s="59"/>
      <c r="M350" s="60"/>
      <c r="N350" s="60"/>
      <c r="O350" s="60"/>
      <c r="P350" s="59"/>
      <c r="Q350" s="59"/>
      <c r="R350" s="60"/>
      <c r="S350" s="60"/>
      <c r="T350" s="60"/>
      <c r="U350" s="60"/>
      <c r="V350" s="60"/>
      <c r="W350" s="60"/>
    </row>
    <row r="351" spans="1:23" ht="13" x14ac:dyDescent="0.3">
      <c r="A351" s="58"/>
      <c r="B351" s="58"/>
      <c r="C351" s="58"/>
      <c r="D351" s="58"/>
      <c r="E351" s="58"/>
      <c r="F351" s="58"/>
      <c r="G351" s="58"/>
      <c r="H351" s="59"/>
      <c r="I351" s="59"/>
      <c r="J351" s="59"/>
      <c r="K351" s="59"/>
      <c r="L351" s="59"/>
      <c r="M351" s="60"/>
      <c r="N351" s="60"/>
      <c r="O351" s="60"/>
      <c r="P351" s="59"/>
      <c r="Q351" s="59"/>
      <c r="R351" s="60"/>
      <c r="S351" s="60"/>
      <c r="T351" s="60"/>
      <c r="U351" s="60"/>
      <c r="V351" s="60"/>
      <c r="W351" s="60"/>
    </row>
    <row r="352" spans="1:23" ht="13" x14ac:dyDescent="0.3">
      <c r="A352" s="58"/>
      <c r="B352" s="58"/>
      <c r="C352" s="58"/>
      <c r="D352" s="58"/>
      <c r="E352" s="58"/>
      <c r="F352" s="58"/>
      <c r="G352" s="58"/>
      <c r="H352" s="59"/>
      <c r="I352" s="59"/>
      <c r="J352" s="59"/>
      <c r="K352" s="59"/>
      <c r="L352" s="59"/>
      <c r="M352" s="60"/>
      <c r="N352" s="60"/>
      <c r="O352" s="60"/>
      <c r="P352" s="59"/>
      <c r="Q352" s="59"/>
      <c r="R352" s="60"/>
      <c r="S352" s="60"/>
      <c r="T352" s="60"/>
      <c r="U352" s="60"/>
      <c r="V352" s="60"/>
      <c r="W352" s="60"/>
    </row>
    <row r="353" spans="1:23" ht="13" x14ac:dyDescent="0.3">
      <c r="A353" s="58"/>
      <c r="B353" s="58"/>
      <c r="C353" s="58"/>
      <c r="D353" s="58"/>
      <c r="E353" s="58"/>
      <c r="F353" s="58"/>
      <c r="G353" s="58"/>
      <c r="H353" s="59"/>
      <c r="I353" s="59"/>
      <c r="J353" s="59"/>
      <c r="K353" s="59"/>
      <c r="L353" s="59"/>
      <c r="M353" s="60"/>
      <c r="N353" s="60"/>
      <c r="O353" s="60"/>
      <c r="P353" s="59"/>
      <c r="Q353" s="59"/>
      <c r="R353" s="60"/>
      <c r="S353" s="60"/>
      <c r="T353" s="60"/>
      <c r="U353" s="60"/>
      <c r="V353" s="60"/>
      <c r="W353" s="60"/>
    </row>
    <row r="354" spans="1:23" ht="13" x14ac:dyDescent="0.3">
      <c r="A354" s="58"/>
      <c r="B354" s="58"/>
      <c r="C354" s="58"/>
      <c r="D354" s="58"/>
      <c r="E354" s="58"/>
      <c r="F354" s="58"/>
      <c r="G354" s="58"/>
      <c r="H354" s="59"/>
      <c r="I354" s="59"/>
      <c r="J354" s="59"/>
      <c r="K354" s="59"/>
      <c r="L354" s="59"/>
      <c r="M354" s="60"/>
      <c r="N354" s="60"/>
      <c r="O354" s="60"/>
      <c r="P354" s="59"/>
      <c r="Q354" s="59"/>
      <c r="R354" s="60"/>
      <c r="S354" s="60"/>
      <c r="T354" s="60"/>
      <c r="U354" s="60"/>
      <c r="V354" s="60"/>
      <c r="W354" s="60"/>
    </row>
    <row r="355" spans="1:23" ht="13" x14ac:dyDescent="0.3">
      <c r="A355" s="58"/>
      <c r="B355" s="58"/>
      <c r="C355" s="58"/>
      <c r="D355" s="58"/>
      <c r="E355" s="58"/>
      <c r="F355" s="58"/>
      <c r="G355" s="58"/>
      <c r="H355" s="59"/>
      <c r="I355" s="59"/>
      <c r="J355" s="59"/>
      <c r="K355" s="59"/>
      <c r="L355" s="59"/>
      <c r="M355" s="60"/>
      <c r="N355" s="60"/>
      <c r="O355" s="60"/>
      <c r="P355" s="59"/>
      <c r="Q355" s="59"/>
      <c r="R355" s="60"/>
      <c r="S355" s="60"/>
      <c r="T355" s="60"/>
      <c r="U355" s="60"/>
      <c r="V355" s="60"/>
      <c r="W355" s="60"/>
    </row>
    <row r="356" spans="1:23" ht="13" x14ac:dyDescent="0.3">
      <c r="A356" s="58"/>
      <c r="B356" s="58"/>
      <c r="C356" s="58"/>
      <c r="D356" s="58"/>
      <c r="E356" s="58"/>
      <c r="F356" s="58"/>
      <c r="G356" s="58"/>
      <c r="H356" s="59"/>
      <c r="I356" s="59"/>
      <c r="J356" s="59"/>
      <c r="K356" s="59"/>
      <c r="L356" s="59"/>
      <c r="M356" s="60"/>
      <c r="N356" s="60"/>
      <c r="O356" s="60"/>
      <c r="P356" s="59"/>
      <c r="Q356" s="59"/>
      <c r="R356" s="60"/>
      <c r="S356" s="60"/>
      <c r="T356" s="60"/>
      <c r="U356" s="60"/>
      <c r="V356" s="60"/>
      <c r="W356" s="60"/>
    </row>
    <row r="357" spans="1:23" ht="13" x14ac:dyDescent="0.3">
      <c r="A357" s="58"/>
      <c r="B357" s="58"/>
      <c r="C357" s="58"/>
      <c r="D357" s="58"/>
      <c r="E357" s="58"/>
      <c r="F357" s="58"/>
      <c r="G357" s="58"/>
      <c r="H357" s="59"/>
      <c r="I357" s="59"/>
      <c r="J357" s="59"/>
      <c r="K357" s="59"/>
      <c r="L357" s="59"/>
      <c r="M357" s="60"/>
      <c r="N357" s="60"/>
      <c r="O357" s="60"/>
      <c r="P357" s="59"/>
      <c r="Q357" s="59"/>
      <c r="R357" s="60"/>
      <c r="S357" s="60"/>
      <c r="T357" s="60"/>
      <c r="U357" s="60"/>
      <c r="V357" s="60"/>
      <c r="W357" s="60"/>
    </row>
    <row r="358" spans="1:23" ht="13" x14ac:dyDescent="0.3">
      <c r="A358" s="58"/>
      <c r="B358" s="58"/>
      <c r="C358" s="58"/>
      <c r="D358" s="58"/>
      <c r="E358" s="58"/>
      <c r="F358" s="58"/>
      <c r="G358" s="58"/>
      <c r="H358" s="59"/>
      <c r="I358" s="59"/>
      <c r="J358" s="59"/>
      <c r="K358" s="59"/>
      <c r="L358" s="59"/>
      <c r="M358" s="60"/>
      <c r="N358" s="60"/>
      <c r="O358" s="60"/>
      <c r="P358" s="59"/>
      <c r="Q358" s="59"/>
      <c r="R358" s="60"/>
      <c r="S358" s="60"/>
      <c r="T358" s="60"/>
      <c r="U358" s="60"/>
      <c r="V358" s="60"/>
      <c r="W358" s="60"/>
    </row>
    <row r="359" spans="1:23" ht="13" x14ac:dyDescent="0.3">
      <c r="A359" s="58"/>
      <c r="B359" s="58"/>
      <c r="C359" s="58"/>
      <c r="D359" s="58"/>
      <c r="E359" s="58"/>
      <c r="F359" s="58"/>
      <c r="G359" s="58"/>
      <c r="H359" s="59"/>
      <c r="I359" s="59"/>
      <c r="J359" s="59"/>
      <c r="K359" s="59"/>
      <c r="L359" s="59"/>
      <c r="M359" s="60"/>
      <c r="N359" s="60"/>
      <c r="O359" s="60"/>
      <c r="P359" s="59"/>
      <c r="Q359" s="59"/>
      <c r="R359" s="60"/>
      <c r="S359" s="60"/>
      <c r="T359" s="60"/>
      <c r="U359" s="60"/>
      <c r="V359" s="60"/>
      <c r="W359" s="60"/>
    </row>
    <row r="360" spans="1:23" ht="13" x14ac:dyDescent="0.3">
      <c r="A360" s="58"/>
      <c r="B360" s="58"/>
      <c r="C360" s="58"/>
      <c r="D360" s="58"/>
      <c r="E360" s="58"/>
      <c r="F360" s="58"/>
      <c r="G360" s="58"/>
      <c r="H360" s="59"/>
      <c r="I360" s="59"/>
      <c r="J360" s="59"/>
      <c r="K360" s="59"/>
      <c r="L360" s="59"/>
      <c r="M360" s="60"/>
      <c r="N360" s="60"/>
      <c r="O360" s="60"/>
      <c r="P360" s="59"/>
      <c r="Q360" s="59"/>
      <c r="R360" s="60"/>
      <c r="S360" s="60"/>
      <c r="T360" s="60"/>
      <c r="U360" s="60"/>
      <c r="V360" s="60"/>
      <c r="W360" s="60"/>
    </row>
    <row r="361" spans="1:23" ht="13" x14ac:dyDescent="0.3">
      <c r="A361" s="58"/>
      <c r="B361" s="58"/>
      <c r="C361" s="58"/>
      <c r="D361" s="58"/>
      <c r="E361" s="58"/>
      <c r="F361" s="58"/>
      <c r="G361" s="58"/>
      <c r="H361" s="59"/>
      <c r="I361" s="59"/>
      <c r="J361" s="59"/>
      <c r="K361" s="59"/>
      <c r="L361" s="59"/>
      <c r="M361" s="60"/>
      <c r="N361" s="60"/>
      <c r="O361" s="60"/>
      <c r="P361" s="59"/>
      <c r="Q361" s="59"/>
      <c r="R361" s="60"/>
      <c r="S361" s="60"/>
      <c r="T361" s="60"/>
      <c r="U361" s="60"/>
      <c r="V361" s="60"/>
      <c r="W361" s="60"/>
    </row>
    <row r="362" spans="1:23" ht="13" x14ac:dyDescent="0.3">
      <c r="A362" s="58"/>
      <c r="B362" s="58"/>
      <c r="C362" s="58"/>
      <c r="D362" s="58"/>
      <c r="E362" s="58"/>
      <c r="F362" s="58"/>
      <c r="G362" s="58"/>
      <c r="H362" s="59"/>
      <c r="I362" s="59"/>
      <c r="J362" s="59"/>
      <c r="K362" s="59"/>
      <c r="L362" s="59"/>
      <c r="M362" s="60"/>
      <c r="N362" s="60"/>
      <c r="O362" s="60"/>
      <c r="P362" s="59"/>
      <c r="Q362" s="59"/>
      <c r="R362" s="60"/>
      <c r="S362" s="60"/>
      <c r="T362" s="60"/>
      <c r="U362" s="60"/>
      <c r="V362" s="60"/>
      <c r="W362" s="60"/>
    </row>
    <row r="363" spans="1:23" ht="13" x14ac:dyDescent="0.3">
      <c r="A363" s="58"/>
      <c r="B363" s="58"/>
      <c r="C363" s="58"/>
      <c r="D363" s="58"/>
      <c r="E363" s="58"/>
      <c r="F363" s="58"/>
      <c r="G363" s="58"/>
      <c r="H363" s="59"/>
      <c r="I363" s="59"/>
      <c r="J363" s="59"/>
      <c r="K363" s="59"/>
      <c r="L363" s="59"/>
      <c r="M363" s="60"/>
      <c r="N363" s="60"/>
      <c r="O363" s="60"/>
      <c r="P363" s="59"/>
      <c r="Q363" s="59"/>
      <c r="R363" s="60"/>
      <c r="S363" s="60"/>
      <c r="T363" s="60"/>
      <c r="U363" s="60"/>
      <c r="V363" s="60"/>
      <c r="W363" s="60"/>
    </row>
    <row r="364" spans="1:23" ht="13" x14ac:dyDescent="0.3">
      <c r="A364" s="58"/>
      <c r="B364" s="58"/>
      <c r="C364" s="58"/>
      <c r="D364" s="58"/>
      <c r="E364" s="58"/>
      <c r="F364" s="58"/>
      <c r="G364" s="58"/>
      <c r="H364" s="59"/>
      <c r="I364" s="59"/>
      <c r="J364" s="59"/>
      <c r="K364" s="59"/>
      <c r="L364" s="59"/>
      <c r="M364" s="60"/>
      <c r="N364" s="60"/>
      <c r="O364" s="60"/>
      <c r="P364" s="59"/>
      <c r="Q364" s="59"/>
      <c r="R364" s="60"/>
      <c r="S364" s="60"/>
      <c r="T364" s="60"/>
      <c r="U364" s="60"/>
      <c r="V364" s="60"/>
      <c r="W364" s="60"/>
    </row>
    <row r="365" spans="1:23" ht="13" x14ac:dyDescent="0.3">
      <c r="A365" s="58"/>
      <c r="B365" s="58"/>
      <c r="C365" s="58"/>
      <c r="D365" s="58"/>
      <c r="E365" s="58"/>
      <c r="F365" s="58"/>
      <c r="G365" s="58"/>
      <c r="H365" s="59"/>
      <c r="I365" s="59"/>
      <c r="J365" s="59"/>
      <c r="K365" s="59"/>
      <c r="L365" s="59"/>
      <c r="M365" s="60"/>
      <c r="N365" s="60"/>
      <c r="O365" s="60"/>
      <c r="P365" s="59"/>
      <c r="Q365" s="59"/>
      <c r="R365" s="60"/>
      <c r="S365" s="60"/>
      <c r="T365" s="60"/>
      <c r="U365" s="60"/>
      <c r="V365" s="60"/>
      <c r="W365" s="60"/>
    </row>
    <row r="366" spans="1:23" ht="13" x14ac:dyDescent="0.3">
      <c r="A366" s="58"/>
      <c r="B366" s="58"/>
      <c r="C366" s="58"/>
      <c r="D366" s="58"/>
      <c r="E366" s="58"/>
      <c r="F366" s="58"/>
      <c r="G366" s="58"/>
      <c r="H366" s="59"/>
      <c r="I366" s="59"/>
      <c r="J366" s="59"/>
      <c r="K366" s="59"/>
      <c r="L366" s="59"/>
      <c r="M366" s="60"/>
      <c r="N366" s="60"/>
      <c r="O366" s="60"/>
      <c r="P366" s="59"/>
      <c r="Q366" s="59"/>
      <c r="R366" s="60"/>
      <c r="S366" s="60"/>
      <c r="T366" s="60"/>
      <c r="U366" s="60"/>
      <c r="V366" s="60"/>
      <c r="W366" s="60"/>
    </row>
    <row r="367" spans="1:23" ht="13" x14ac:dyDescent="0.3">
      <c r="A367" s="58"/>
      <c r="B367" s="58"/>
      <c r="C367" s="58"/>
      <c r="D367" s="58"/>
      <c r="E367" s="58"/>
      <c r="F367" s="58"/>
      <c r="G367" s="58"/>
      <c r="H367" s="59"/>
      <c r="I367" s="59"/>
      <c r="J367" s="59"/>
      <c r="K367" s="59"/>
      <c r="L367" s="59"/>
      <c r="M367" s="60"/>
      <c r="N367" s="60"/>
      <c r="O367" s="60"/>
      <c r="P367" s="59"/>
      <c r="Q367" s="59"/>
      <c r="R367" s="60"/>
      <c r="S367" s="60"/>
      <c r="T367" s="60"/>
      <c r="U367" s="60"/>
      <c r="V367" s="60"/>
      <c r="W367" s="60"/>
    </row>
    <row r="368" spans="1:23" ht="13" x14ac:dyDescent="0.3">
      <c r="A368" s="58"/>
      <c r="B368" s="58"/>
      <c r="C368" s="58"/>
      <c r="D368" s="58"/>
      <c r="E368" s="58"/>
      <c r="F368" s="58"/>
      <c r="G368" s="58"/>
      <c r="H368" s="59"/>
      <c r="I368" s="59"/>
      <c r="J368" s="59"/>
      <c r="K368" s="59"/>
      <c r="L368" s="59"/>
      <c r="M368" s="60"/>
      <c r="N368" s="60"/>
      <c r="O368" s="60"/>
      <c r="P368" s="59"/>
      <c r="Q368" s="59"/>
      <c r="R368" s="60"/>
      <c r="S368" s="60"/>
      <c r="T368" s="60"/>
      <c r="U368" s="60"/>
      <c r="V368" s="60"/>
      <c r="W368" s="60"/>
    </row>
    <row r="369" spans="1:23" ht="13" x14ac:dyDescent="0.3">
      <c r="A369" s="58"/>
      <c r="B369" s="58"/>
      <c r="C369" s="58"/>
      <c r="D369" s="58"/>
      <c r="E369" s="58"/>
      <c r="F369" s="58"/>
      <c r="G369" s="58"/>
      <c r="H369" s="59"/>
      <c r="I369" s="59"/>
      <c r="J369" s="59"/>
      <c r="K369" s="59"/>
      <c r="L369" s="59"/>
      <c r="M369" s="60"/>
      <c r="N369" s="60"/>
      <c r="O369" s="60"/>
      <c r="P369" s="59"/>
      <c r="Q369" s="59"/>
      <c r="R369" s="60"/>
      <c r="S369" s="60"/>
      <c r="T369" s="60"/>
      <c r="U369" s="60"/>
      <c r="V369" s="60"/>
      <c r="W369" s="60"/>
    </row>
    <row r="370" spans="1:23" ht="13" x14ac:dyDescent="0.3">
      <c r="A370" s="58"/>
      <c r="B370" s="58"/>
      <c r="C370" s="58"/>
      <c r="D370" s="58"/>
      <c r="E370" s="58"/>
      <c r="F370" s="58"/>
      <c r="G370" s="58"/>
      <c r="H370" s="59"/>
      <c r="I370" s="59"/>
      <c r="J370" s="59"/>
      <c r="K370" s="59"/>
      <c r="L370" s="59"/>
      <c r="M370" s="60"/>
      <c r="N370" s="60"/>
      <c r="O370" s="60"/>
      <c r="P370" s="59"/>
      <c r="Q370" s="59"/>
      <c r="R370" s="60"/>
      <c r="S370" s="60"/>
      <c r="T370" s="60"/>
      <c r="U370" s="60"/>
      <c r="V370" s="60"/>
      <c r="W370" s="60"/>
    </row>
    <row r="371" spans="1:23" ht="13" x14ac:dyDescent="0.3">
      <c r="A371" s="58"/>
      <c r="B371" s="58"/>
      <c r="C371" s="58"/>
      <c r="D371" s="58"/>
      <c r="E371" s="58"/>
      <c r="F371" s="58"/>
      <c r="G371" s="58"/>
      <c r="H371" s="59"/>
      <c r="I371" s="59"/>
      <c r="J371" s="59"/>
      <c r="K371" s="59"/>
      <c r="L371" s="59"/>
      <c r="M371" s="60"/>
      <c r="N371" s="60"/>
      <c r="O371" s="60"/>
      <c r="P371" s="59"/>
      <c r="Q371" s="59"/>
      <c r="R371" s="60"/>
      <c r="S371" s="60"/>
      <c r="T371" s="60"/>
      <c r="U371" s="60"/>
      <c r="V371" s="60"/>
      <c r="W371" s="60"/>
    </row>
    <row r="372" spans="1:23" ht="13" x14ac:dyDescent="0.3">
      <c r="A372" s="58"/>
      <c r="B372" s="58"/>
      <c r="C372" s="58"/>
      <c r="D372" s="58"/>
      <c r="E372" s="58"/>
      <c r="F372" s="58"/>
      <c r="G372" s="58"/>
      <c r="H372" s="59"/>
      <c r="I372" s="59"/>
      <c r="J372" s="59"/>
      <c r="K372" s="59"/>
      <c r="L372" s="59"/>
      <c r="M372" s="60"/>
      <c r="N372" s="60"/>
      <c r="O372" s="60"/>
      <c r="P372" s="59"/>
      <c r="Q372" s="59"/>
      <c r="R372" s="60"/>
      <c r="S372" s="60"/>
      <c r="T372" s="60"/>
      <c r="U372" s="60"/>
      <c r="V372" s="60"/>
      <c r="W372" s="60"/>
    </row>
    <row r="373" spans="1:23" ht="13" x14ac:dyDescent="0.3">
      <c r="A373" s="58"/>
      <c r="B373" s="58"/>
      <c r="C373" s="58"/>
      <c r="D373" s="58"/>
      <c r="E373" s="58"/>
      <c r="F373" s="58"/>
      <c r="G373" s="58"/>
      <c r="H373" s="59"/>
      <c r="I373" s="59"/>
      <c r="J373" s="59"/>
      <c r="K373" s="59"/>
      <c r="L373" s="59"/>
      <c r="M373" s="60"/>
      <c r="N373" s="60"/>
      <c r="O373" s="60"/>
      <c r="P373" s="59"/>
      <c r="Q373" s="59"/>
      <c r="R373" s="60"/>
      <c r="S373" s="60"/>
      <c r="T373" s="60"/>
      <c r="U373" s="60"/>
      <c r="V373" s="60"/>
      <c r="W373" s="60"/>
    </row>
    <row r="374" spans="1:23" ht="13" x14ac:dyDescent="0.3">
      <c r="A374" s="58"/>
      <c r="B374" s="58"/>
      <c r="C374" s="58"/>
      <c r="D374" s="58"/>
      <c r="E374" s="58"/>
      <c r="F374" s="58"/>
      <c r="G374" s="58"/>
      <c r="H374" s="59"/>
      <c r="I374" s="59"/>
      <c r="J374" s="59"/>
      <c r="K374" s="59"/>
      <c r="L374" s="59"/>
      <c r="M374" s="60"/>
      <c r="N374" s="60"/>
      <c r="O374" s="60"/>
      <c r="P374" s="59"/>
      <c r="Q374" s="59"/>
      <c r="R374" s="60"/>
      <c r="S374" s="60"/>
      <c r="T374" s="60"/>
      <c r="U374" s="60"/>
      <c r="V374" s="60"/>
      <c r="W374" s="60"/>
    </row>
    <row r="375" spans="1:23" ht="13" x14ac:dyDescent="0.3">
      <c r="A375" s="58"/>
      <c r="B375" s="58"/>
      <c r="C375" s="58"/>
      <c r="D375" s="58"/>
      <c r="E375" s="58"/>
      <c r="F375" s="58"/>
      <c r="G375" s="58"/>
      <c r="H375" s="59"/>
      <c r="I375" s="59"/>
      <c r="J375" s="59"/>
      <c r="K375" s="59"/>
      <c r="L375" s="59"/>
      <c r="M375" s="60"/>
      <c r="N375" s="60"/>
      <c r="O375" s="60"/>
      <c r="P375" s="59"/>
      <c r="Q375" s="59"/>
      <c r="R375" s="60"/>
      <c r="S375" s="60"/>
      <c r="T375" s="60"/>
      <c r="U375" s="60"/>
      <c r="V375" s="60"/>
      <c r="W375" s="60"/>
    </row>
    <row r="376" spans="1:23" ht="13" x14ac:dyDescent="0.3">
      <c r="A376" s="58"/>
      <c r="B376" s="58"/>
      <c r="C376" s="58"/>
      <c r="D376" s="58"/>
      <c r="E376" s="58"/>
      <c r="F376" s="58"/>
      <c r="G376" s="58"/>
      <c r="H376" s="59"/>
      <c r="I376" s="59"/>
      <c r="J376" s="59"/>
      <c r="K376" s="59"/>
      <c r="L376" s="59"/>
      <c r="M376" s="60"/>
      <c r="N376" s="60"/>
      <c r="O376" s="60"/>
      <c r="P376" s="59"/>
      <c r="Q376" s="59"/>
      <c r="R376" s="60"/>
      <c r="S376" s="60"/>
      <c r="T376" s="60"/>
      <c r="U376" s="60"/>
      <c r="V376" s="60"/>
      <c r="W376" s="60"/>
    </row>
    <row r="377" spans="1:23" ht="13" x14ac:dyDescent="0.3">
      <c r="A377" s="58"/>
      <c r="B377" s="58"/>
      <c r="C377" s="58"/>
      <c r="D377" s="58"/>
      <c r="E377" s="58"/>
      <c r="F377" s="58"/>
      <c r="G377" s="58"/>
      <c r="H377" s="59"/>
      <c r="I377" s="59"/>
      <c r="J377" s="59"/>
      <c r="K377" s="59"/>
      <c r="L377" s="59"/>
      <c r="M377" s="60"/>
      <c r="N377" s="60"/>
      <c r="O377" s="60"/>
      <c r="P377" s="59"/>
      <c r="Q377" s="59"/>
      <c r="R377" s="60"/>
      <c r="S377" s="60"/>
      <c r="T377" s="60"/>
      <c r="U377" s="60"/>
      <c r="V377" s="60"/>
      <c r="W377" s="60"/>
    </row>
    <row r="378" spans="1:23" ht="13" x14ac:dyDescent="0.3">
      <c r="A378" s="58"/>
      <c r="B378" s="58"/>
      <c r="C378" s="58"/>
      <c r="D378" s="58"/>
      <c r="E378" s="58"/>
      <c r="F378" s="58"/>
      <c r="G378" s="58"/>
      <c r="H378" s="59"/>
      <c r="I378" s="59"/>
      <c r="J378" s="59"/>
      <c r="K378" s="59"/>
      <c r="L378" s="59"/>
      <c r="M378" s="60"/>
      <c r="N378" s="60"/>
      <c r="O378" s="60"/>
      <c r="P378" s="59"/>
      <c r="Q378" s="59"/>
      <c r="R378" s="60"/>
      <c r="S378" s="60"/>
      <c r="T378" s="60"/>
      <c r="U378" s="60"/>
      <c r="V378" s="60"/>
      <c r="W378" s="60"/>
    </row>
    <row r="379" spans="1:23" ht="13" x14ac:dyDescent="0.3">
      <c r="A379" s="58"/>
      <c r="B379" s="58"/>
      <c r="C379" s="58"/>
      <c r="D379" s="58"/>
      <c r="E379" s="58"/>
      <c r="F379" s="58"/>
      <c r="G379" s="58"/>
      <c r="H379" s="59"/>
      <c r="I379" s="59"/>
      <c r="J379" s="59"/>
      <c r="K379" s="59"/>
      <c r="L379" s="59"/>
      <c r="M379" s="60"/>
      <c r="N379" s="60"/>
      <c r="O379" s="60"/>
      <c r="P379" s="59"/>
      <c r="Q379" s="59"/>
      <c r="R379" s="60"/>
      <c r="S379" s="60"/>
      <c r="T379" s="60"/>
      <c r="U379" s="60"/>
      <c r="V379" s="60"/>
      <c r="W379" s="60"/>
    </row>
    <row r="380" spans="1:23" ht="13" x14ac:dyDescent="0.3">
      <c r="A380" s="58"/>
      <c r="B380" s="58"/>
      <c r="C380" s="58"/>
      <c r="D380" s="58"/>
      <c r="E380" s="58"/>
      <c r="F380" s="58"/>
      <c r="G380" s="58"/>
      <c r="H380" s="59"/>
      <c r="I380" s="59"/>
      <c r="J380" s="59"/>
      <c r="K380" s="59"/>
      <c r="L380" s="59"/>
      <c r="M380" s="60"/>
      <c r="N380" s="60"/>
      <c r="O380" s="60"/>
      <c r="P380" s="59"/>
      <c r="Q380" s="59"/>
      <c r="R380" s="60"/>
      <c r="S380" s="60"/>
      <c r="T380" s="60"/>
      <c r="U380" s="60"/>
      <c r="V380" s="60"/>
      <c r="W380" s="60"/>
    </row>
    <row r="381" spans="1:23" ht="13" x14ac:dyDescent="0.3">
      <c r="A381" s="58"/>
      <c r="B381" s="58"/>
      <c r="C381" s="58"/>
      <c r="D381" s="58"/>
      <c r="E381" s="58"/>
      <c r="F381" s="58"/>
      <c r="G381" s="58"/>
      <c r="H381" s="59"/>
      <c r="I381" s="59"/>
      <c r="J381" s="59"/>
      <c r="K381" s="59"/>
      <c r="L381" s="59"/>
      <c r="M381" s="60"/>
      <c r="N381" s="60"/>
      <c r="O381" s="60"/>
      <c r="P381" s="59"/>
      <c r="Q381" s="59"/>
      <c r="R381" s="60"/>
      <c r="S381" s="60"/>
      <c r="T381" s="60"/>
      <c r="U381" s="60"/>
      <c r="V381" s="60"/>
      <c r="W381" s="60"/>
    </row>
    <row r="382" spans="1:23" ht="13" x14ac:dyDescent="0.3">
      <c r="A382" s="58"/>
      <c r="B382" s="58"/>
      <c r="C382" s="58"/>
      <c r="D382" s="58"/>
      <c r="E382" s="58"/>
      <c r="F382" s="58"/>
      <c r="G382" s="58"/>
      <c r="H382" s="59"/>
      <c r="I382" s="59"/>
      <c r="J382" s="59"/>
      <c r="K382" s="59"/>
      <c r="L382" s="59"/>
      <c r="M382" s="60"/>
      <c r="N382" s="60"/>
      <c r="O382" s="60"/>
      <c r="P382" s="59"/>
      <c r="Q382" s="59"/>
      <c r="R382" s="60"/>
      <c r="S382" s="60"/>
      <c r="T382" s="60"/>
      <c r="U382" s="60"/>
      <c r="V382" s="60"/>
      <c r="W382" s="60"/>
    </row>
    <row r="383" spans="1:23" ht="13" x14ac:dyDescent="0.3">
      <c r="A383" s="58"/>
      <c r="B383" s="58"/>
      <c r="C383" s="58"/>
      <c r="D383" s="58"/>
      <c r="E383" s="58"/>
      <c r="F383" s="58"/>
      <c r="G383" s="58"/>
      <c r="H383" s="59"/>
      <c r="I383" s="59"/>
      <c r="J383" s="59"/>
      <c r="K383" s="59"/>
      <c r="L383" s="59"/>
      <c r="M383" s="60"/>
      <c r="N383" s="60"/>
      <c r="O383" s="60"/>
      <c r="P383" s="59"/>
      <c r="Q383" s="59"/>
      <c r="R383" s="60"/>
      <c r="S383" s="60"/>
      <c r="T383" s="60"/>
      <c r="U383" s="60"/>
      <c r="V383" s="60"/>
      <c r="W383" s="60"/>
    </row>
    <row r="384" spans="1:23" ht="13" x14ac:dyDescent="0.3">
      <c r="A384" s="58"/>
      <c r="B384" s="58"/>
      <c r="C384" s="58"/>
      <c r="D384" s="58"/>
      <c r="E384" s="58"/>
      <c r="F384" s="58"/>
      <c r="G384" s="58"/>
      <c r="H384" s="59"/>
      <c r="I384" s="59"/>
      <c r="J384" s="59"/>
      <c r="K384" s="59"/>
      <c r="L384" s="59"/>
      <c r="M384" s="60"/>
      <c r="N384" s="60"/>
      <c r="O384" s="60"/>
      <c r="P384" s="59"/>
      <c r="Q384" s="59"/>
      <c r="R384" s="60"/>
      <c r="S384" s="60"/>
      <c r="T384" s="60"/>
      <c r="U384" s="60"/>
      <c r="V384" s="60"/>
      <c r="W384" s="60"/>
    </row>
    <row r="385" spans="1:23" ht="13" x14ac:dyDescent="0.3">
      <c r="A385" s="58"/>
      <c r="B385" s="58"/>
      <c r="C385" s="58"/>
      <c r="D385" s="58"/>
      <c r="E385" s="58"/>
      <c r="F385" s="58"/>
      <c r="G385" s="58"/>
      <c r="H385" s="59"/>
      <c r="I385" s="59"/>
      <c r="J385" s="59"/>
      <c r="K385" s="59"/>
      <c r="L385" s="59"/>
      <c r="M385" s="60"/>
      <c r="N385" s="60"/>
      <c r="O385" s="60"/>
      <c r="P385" s="59"/>
      <c r="Q385" s="59"/>
      <c r="R385" s="60"/>
      <c r="S385" s="60"/>
      <c r="T385" s="60"/>
      <c r="U385" s="60"/>
      <c r="V385" s="60"/>
      <c r="W385" s="60"/>
    </row>
    <row r="386" spans="1:23" ht="13" x14ac:dyDescent="0.3">
      <c r="A386" s="58"/>
      <c r="B386" s="58"/>
      <c r="C386" s="58"/>
      <c r="D386" s="58"/>
      <c r="E386" s="58"/>
      <c r="F386" s="58"/>
      <c r="G386" s="58"/>
      <c r="H386" s="59"/>
      <c r="I386" s="59"/>
      <c r="J386" s="59"/>
      <c r="K386" s="59"/>
      <c r="L386" s="59"/>
      <c r="M386" s="60"/>
      <c r="N386" s="60"/>
      <c r="O386" s="60"/>
      <c r="P386" s="59"/>
      <c r="Q386" s="59"/>
      <c r="R386" s="60"/>
      <c r="S386" s="60"/>
      <c r="T386" s="60"/>
      <c r="U386" s="60"/>
      <c r="V386" s="60"/>
      <c r="W386" s="60"/>
    </row>
    <row r="387" spans="1:23" ht="13" x14ac:dyDescent="0.3">
      <c r="A387" s="58"/>
      <c r="B387" s="58"/>
      <c r="C387" s="58"/>
      <c r="D387" s="58"/>
      <c r="E387" s="58"/>
      <c r="F387" s="58"/>
      <c r="G387" s="58"/>
      <c r="H387" s="59"/>
      <c r="I387" s="59"/>
      <c r="J387" s="59"/>
      <c r="K387" s="59"/>
      <c r="L387" s="59"/>
      <c r="M387" s="60"/>
      <c r="N387" s="60"/>
      <c r="O387" s="60"/>
      <c r="P387" s="59"/>
      <c r="Q387" s="59"/>
      <c r="R387" s="60"/>
      <c r="S387" s="60"/>
      <c r="T387" s="60"/>
      <c r="U387" s="60"/>
      <c r="V387" s="60"/>
      <c r="W387" s="60"/>
    </row>
    <row r="388" spans="1:23" ht="13" x14ac:dyDescent="0.3">
      <c r="A388" s="58"/>
      <c r="B388" s="58"/>
      <c r="C388" s="58"/>
      <c r="D388" s="58"/>
      <c r="E388" s="58"/>
      <c r="F388" s="58"/>
      <c r="G388" s="58"/>
      <c r="H388" s="59"/>
      <c r="I388" s="59"/>
      <c r="J388" s="59"/>
      <c r="K388" s="59"/>
      <c r="L388" s="59"/>
      <c r="M388" s="60"/>
      <c r="N388" s="60"/>
      <c r="O388" s="60"/>
      <c r="P388" s="59"/>
      <c r="Q388" s="59"/>
      <c r="R388" s="60"/>
      <c r="S388" s="60"/>
      <c r="T388" s="60"/>
      <c r="U388" s="60"/>
      <c r="V388" s="60"/>
      <c r="W388" s="60"/>
    </row>
    <row r="389" spans="1:23" ht="13" x14ac:dyDescent="0.3">
      <c r="A389" s="58"/>
      <c r="B389" s="58"/>
      <c r="C389" s="58"/>
      <c r="D389" s="58"/>
      <c r="E389" s="58"/>
      <c r="F389" s="58"/>
      <c r="G389" s="58"/>
      <c r="H389" s="59"/>
      <c r="I389" s="59"/>
      <c r="J389" s="59"/>
      <c r="K389" s="59"/>
      <c r="L389" s="59"/>
      <c r="M389" s="60"/>
      <c r="N389" s="60"/>
      <c r="O389" s="60"/>
      <c r="P389" s="59"/>
      <c r="Q389" s="59"/>
      <c r="R389" s="60"/>
      <c r="S389" s="60"/>
      <c r="T389" s="60"/>
      <c r="U389" s="60"/>
      <c r="V389" s="60"/>
      <c r="W389" s="60"/>
    </row>
    <row r="390" spans="1:23" ht="13" x14ac:dyDescent="0.3">
      <c r="A390" s="58"/>
      <c r="B390" s="58"/>
      <c r="C390" s="58"/>
      <c r="D390" s="58"/>
      <c r="E390" s="58"/>
      <c r="F390" s="58"/>
      <c r="G390" s="58"/>
      <c r="H390" s="59"/>
      <c r="I390" s="59"/>
      <c r="J390" s="59"/>
      <c r="K390" s="59"/>
      <c r="L390" s="59"/>
      <c r="M390" s="60"/>
      <c r="N390" s="60"/>
      <c r="O390" s="60"/>
      <c r="P390" s="59"/>
      <c r="Q390" s="59"/>
      <c r="R390" s="60"/>
      <c r="S390" s="60"/>
      <c r="T390" s="60"/>
      <c r="U390" s="60"/>
      <c r="V390" s="60"/>
      <c r="W390" s="60"/>
    </row>
    <row r="391" spans="1:23" ht="13" x14ac:dyDescent="0.3">
      <c r="A391" s="58"/>
      <c r="B391" s="58"/>
      <c r="C391" s="58"/>
      <c r="D391" s="58"/>
      <c r="E391" s="58"/>
      <c r="F391" s="58"/>
      <c r="G391" s="58"/>
      <c r="H391" s="59"/>
      <c r="I391" s="59"/>
      <c r="J391" s="59"/>
      <c r="K391" s="59"/>
      <c r="L391" s="59"/>
      <c r="M391" s="60"/>
      <c r="N391" s="60"/>
      <c r="O391" s="60"/>
      <c r="P391" s="59"/>
      <c r="Q391" s="59"/>
      <c r="R391" s="60"/>
      <c r="S391" s="60"/>
      <c r="T391" s="60"/>
      <c r="U391" s="60"/>
      <c r="V391" s="60"/>
      <c r="W391" s="60"/>
    </row>
    <row r="392" spans="1:23" ht="13" x14ac:dyDescent="0.3">
      <c r="A392" s="58"/>
      <c r="B392" s="58"/>
      <c r="C392" s="58"/>
      <c r="D392" s="58"/>
      <c r="E392" s="58"/>
      <c r="F392" s="58"/>
      <c r="G392" s="58"/>
      <c r="H392" s="59"/>
      <c r="I392" s="59"/>
      <c r="J392" s="59"/>
      <c r="K392" s="59"/>
      <c r="L392" s="59"/>
      <c r="M392" s="60"/>
      <c r="N392" s="60"/>
      <c r="O392" s="60"/>
      <c r="P392" s="59"/>
      <c r="Q392" s="59"/>
      <c r="R392" s="60"/>
      <c r="S392" s="60"/>
      <c r="T392" s="60"/>
      <c r="U392" s="60"/>
      <c r="V392" s="60"/>
      <c r="W392" s="60"/>
    </row>
    <row r="393" spans="1:23" ht="13" x14ac:dyDescent="0.3">
      <c r="A393" s="58"/>
      <c r="B393" s="58"/>
      <c r="C393" s="58"/>
      <c r="D393" s="58"/>
      <c r="E393" s="58"/>
      <c r="F393" s="58"/>
      <c r="G393" s="58"/>
      <c r="H393" s="59"/>
      <c r="I393" s="59"/>
      <c r="J393" s="59"/>
      <c r="K393" s="59"/>
      <c r="L393" s="59"/>
      <c r="M393" s="60"/>
      <c r="N393" s="60"/>
      <c r="O393" s="60"/>
      <c r="P393" s="59"/>
      <c r="Q393" s="59"/>
      <c r="R393" s="60"/>
      <c r="S393" s="60"/>
      <c r="T393" s="60"/>
      <c r="U393" s="60"/>
      <c r="V393" s="60"/>
      <c r="W393" s="60"/>
    </row>
    <row r="394" spans="1:23" ht="13" x14ac:dyDescent="0.3">
      <c r="A394" s="58"/>
      <c r="B394" s="58"/>
      <c r="C394" s="58"/>
      <c r="D394" s="58"/>
      <c r="E394" s="58"/>
      <c r="F394" s="58"/>
      <c r="G394" s="58"/>
      <c r="H394" s="59"/>
      <c r="I394" s="59"/>
      <c r="J394" s="59"/>
      <c r="K394" s="59"/>
      <c r="L394" s="59"/>
      <c r="M394" s="60"/>
      <c r="N394" s="60"/>
      <c r="O394" s="60"/>
      <c r="P394" s="59"/>
      <c r="Q394" s="59"/>
      <c r="R394" s="60"/>
      <c r="S394" s="60"/>
      <c r="T394" s="60"/>
      <c r="U394" s="60"/>
      <c r="V394" s="60"/>
      <c r="W394" s="60"/>
    </row>
    <row r="395" spans="1:23" ht="13" x14ac:dyDescent="0.3">
      <c r="A395" s="58"/>
      <c r="B395" s="58"/>
      <c r="C395" s="58"/>
      <c r="D395" s="58"/>
      <c r="E395" s="58"/>
      <c r="F395" s="58"/>
      <c r="G395" s="58"/>
      <c r="H395" s="59"/>
      <c r="I395" s="59"/>
      <c r="J395" s="59"/>
      <c r="K395" s="59"/>
      <c r="L395" s="59"/>
      <c r="M395" s="60"/>
      <c r="N395" s="60"/>
      <c r="O395" s="60"/>
      <c r="P395" s="59"/>
      <c r="Q395" s="59"/>
      <c r="R395" s="60"/>
      <c r="S395" s="60"/>
      <c r="T395" s="60"/>
      <c r="U395" s="60"/>
      <c r="V395" s="60"/>
      <c r="W395" s="60"/>
    </row>
    <row r="396" spans="1:23" ht="13" x14ac:dyDescent="0.3">
      <c r="A396" s="58"/>
      <c r="B396" s="58"/>
      <c r="C396" s="58"/>
      <c r="D396" s="58"/>
      <c r="E396" s="58"/>
      <c r="F396" s="58"/>
      <c r="G396" s="58"/>
      <c r="H396" s="59"/>
      <c r="I396" s="59"/>
      <c r="J396" s="59"/>
      <c r="K396" s="59"/>
      <c r="L396" s="59"/>
      <c r="M396" s="60"/>
      <c r="N396" s="60"/>
      <c r="O396" s="60"/>
      <c r="P396" s="59"/>
      <c r="Q396" s="59"/>
      <c r="R396" s="60"/>
      <c r="S396" s="60"/>
      <c r="T396" s="60"/>
      <c r="U396" s="60"/>
      <c r="V396" s="60"/>
      <c r="W396" s="60"/>
    </row>
    <row r="397" spans="1:23" ht="13" x14ac:dyDescent="0.3">
      <c r="A397" s="58"/>
      <c r="B397" s="58"/>
      <c r="C397" s="58"/>
      <c r="D397" s="58"/>
      <c r="E397" s="58"/>
      <c r="F397" s="58"/>
      <c r="G397" s="58"/>
      <c r="H397" s="59"/>
      <c r="I397" s="59"/>
      <c r="J397" s="59"/>
      <c r="K397" s="59"/>
      <c r="L397" s="59"/>
      <c r="M397" s="60"/>
      <c r="N397" s="60"/>
      <c r="O397" s="60"/>
      <c r="P397" s="59"/>
      <c r="Q397" s="59"/>
      <c r="R397" s="60"/>
      <c r="S397" s="60"/>
      <c r="T397" s="60"/>
      <c r="U397" s="60"/>
      <c r="V397" s="60"/>
      <c r="W397" s="60"/>
    </row>
    <row r="398" spans="1:23" ht="13" x14ac:dyDescent="0.3">
      <c r="A398" s="58"/>
      <c r="B398" s="58"/>
      <c r="C398" s="58"/>
      <c r="D398" s="58"/>
      <c r="E398" s="58"/>
      <c r="F398" s="58"/>
      <c r="G398" s="58"/>
      <c r="H398" s="59"/>
      <c r="I398" s="59"/>
      <c r="J398" s="59"/>
      <c r="K398" s="59"/>
      <c r="L398" s="59"/>
      <c r="M398" s="60"/>
      <c r="N398" s="60"/>
      <c r="O398" s="60"/>
      <c r="P398" s="59"/>
      <c r="Q398" s="59"/>
      <c r="R398" s="60"/>
      <c r="S398" s="60"/>
      <c r="T398" s="60"/>
      <c r="U398" s="60"/>
      <c r="V398" s="60"/>
      <c r="W398" s="60"/>
    </row>
    <row r="399" spans="1:23" ht="13" x14ac:dyDescent="0.3">
      <c r="A399" s="58"/>
      <c r="B399" s="58"/>
      <c r="C399" s="58"/>
      <c r="D399" s="58"/>
      <c r="E399" s="58"/>
      <c r="F399" s="58"/>
      <c r="G399" s="58"/>
      <c r="H399" s="59"/>
      <c r="I399" s="59"/>
      <c r="J399" s="59"/>
      <c r="K399" s="59"/>
      <c r="L399" s="59"/>
      <c r="M399" s="60"/>
      <c r="N399" s="60"/>
      <c r="O399" s="60"/>
      <c r="P399" s="59"/>
      <c r="Q399" s="59"/>
      <c r="R399" s="60"/>
      <c r="S399" s="60"/>
      <c r="T399" s="60"/>
      <c r="U399" s="60"/>
      <c r="V399" s="60"/>
      <c r="W399" s="60"/>
    </row>
    <row r="400" spans="1:23" ht="13" x14ac:dyDescent="0.3">
      <c r="A400" s="58"/>
      <c r="B400" s="58"/>
      <c r="C400" s="58"/>
      <c r="D400" s="58"/>
      <c r="E400" s="58"/>
      <c r="F400" s="58"/>
      <c r="G400" s="58"/>
      <c r="H400" s="59"/>
      <c r="I400" s="59"/>
      <c r="J400" s="59"/>
      <c r="K400" s="59"/>
      <c r="L400" s="59"/>
      <c r="M400" s="60"/>
      <c r="N400" s="60"/>
      <c r="O400" s="60"/>
      <c r="P400" s="59"/>
      <c r="Q400" s="59"/>
      <c r="R400" s="60"/>
      <c r="S400" s="60"/>
      <c r="T400" s="60"/>
      <c r="U400" s="60"/>
      <c r="V400" s="60"/>
      <c r="W400" s="60"/>
    </row>
    <row r="401" spans="1:23" ht="13" x14ac:dyDescent="0.3">
      <c r="A401" s="58"/>
      <c r="B401" s="58"/>
      <c r="C401" s="58"/>
      <c r="D401" s="58"/>
      <c r="E401" s="58"/>
      <c r="F401" s="58"/>
      <c r="G401" s="58"/>
      <c r="H401" s="59"/>
      <c r="I401" s="59"/>
      <c r="J401" s="59"/>
      <c r="K401" s="59"/>
      <c r="L401" s="59"/>
      <c r="M401" s="60"/>
      <c r="N401" s="60"/>
      <c r="O401" s="60"/>
      <c r="P401" s="59"/>
      <c r="Q401" s="59"/>
      <c r="R401" s="60"/>
      <c r="S401" s="60"/>
      <c r="T401" s="60"/>
      <c r="U401" s="60"/>
      <c r="V401" s="60"/>
      <c r="W401" s="60"/>
    </row>
    <row r="402" spans="1:23" ht="13" x14ac:dyDescent="0.3">
      <c r="A402" s="58"/>
      <c r="B402" s="58"/>
      <c r="C402" s="58"/>
      <c r="D402" s="58"/>
      <c r="E402" s="58"/>
      <c r="F402" s="58"/>
      <c r="G402" s="58"/>
      <c r="H402" s="59"/>
      <c r="I402" s="59"/>
      <c r="J402" s="59"/>
      <c r="K402" s="59"/>
      <c r="L402" s="59"/>
      <c r="M402" s="60"/>
      <c r="N402" s="60"/>
      <c r="O402" s="60"/>
      <c r="P402" s="59"/>
      <c r="Q402" s="59"/>
      <c r="R402" s="60"/>
      <c r="S402" s="60"/>
      <c r="T402" s="60"/>
      <c r="U402" s="60"/>
      <c r="V402" s="60"/>
      <c r="W402" s="60"/>
    </row>
    <row r="403" spans="1:23" ht="13" x14ac:dyDescent="0.3">
      <c r="A403" s="58"/>
      <c r="B403" s="58"/>
      <c r="C403" s="58"/>
      <c r="D403" s="58"/>
      <c r="E403" s="58"/>
      <c r="F403" s="58"/>
      <c r="G403" s="58"/>
      <c r="H403" s="59"/>
      <c r="I403" s="59"/>
      <c r="J403" s="59"/>
      <c r="K403" s="59"/>
      <c r="L403" s="59"/>
      <c r="M403" s="60"/>
      <c r="N403" s="60"/>
      <c r="O403" s="60"/>
      <c r="P403" s="59"/>
      <c r="Q403" s="59"/>
      <c r="R403" s="60"/>
      <c r="S403" s="60"/>
      <c r="T403" s="60"/>
      <c r="U403" s="60"/>
      <c r="V403" s="60"/>
      <c r="W403" s="60"/>
    </row>
    <row r="404" spans="1:23" ht="13" x14ac:dyDescent="0.3">
      <c r="A404" s="58"/>
      <c r="B404" s="58"/>
      <c r="C404" s="58"/>
      <c r="D404" s="58"/>
      <c r="E404" s="58"/>
      <c r="F404" s="58"/>
      <c r="G404" s="58"/>
      <c r="H404" s="59"/>
      <c r="I404" s="59"/>
      <c r="J404" s="59"/>
      <c r="K404" s="59"/>
      <c r="L404" s="59"/>
      <c r="M404" s="60"/>
      <c r="N404" s="60"/>
      <c r="O404" s="60"/>
      <c r="P404" s="59"/>
      <c r="Q404" s="59"/>
      <c r="R404" s="60"/>
      <c r="S404" s="60"/>
      <c r="T404" s="60"/>
      <c r="U404" s="60"/>
      <c r="V404" s="60"/>
      <c r="W404" s="60"/>
    </row>
    <row r="405" spans="1:23" ht="13" x14ac:dyDescent="0.3">
      <c r="A405" s="58"/>
      <c r="B405" s="58"/>
      <c r="C405" s="58"/>
      <c r="D405" s="58"/>
      <c r="E405" s="58"/>
      <c r="F405" s="58"/>
      <c r="G405" s="58"/>
      <c r="H405" s="59"/>
      <c r="I405" s="59"/>
      <c r="J405" s="59"/>
      <c r="K405" s="59"/>
      <c r="L405" s="59"/>
      <c r="M405" s="60"/>
      <c r="N405" s="60"/>
      <c r="O405" s="60"/>
      <c r="P405" s="59"/>
      <c r="Q405" s="59"/>
      <c r="R405" s="60"/>
      <c r="S405" s="60"/>
      <c r="T405" s="60"/>
      <c r="U405" s="60"/>
      <c r="V405" s="60"/>
      <c r="W405" s="60"/>
    </row>
    <row r="406" spans="1:23" ht="13" x14ac:dyDescent="0.3">
      <c r="A406" s="58"/>
      <c r="B406" s="58"/>
      <c r="C406" s="58"/>
      <c r="D406" s="58"/>
      <c r="E406" s="58"/>
      <c r="F406" s="58"/>
      <c r="G406" s="58"/>
      <c r="H406" s="59"/>
      <c r="I406" s="59"/>
      <c r="J406" s="59"/>
      <c r="K406" s="59"/>
      <c r="L406" s="59"/>
      <c r="M406" s="60"/>
      <c r="N406" s="60"/>
      <c r="O406" s="60"/>
      <c r="P406" s="59"/>
      <c r="Q406" s="59"/>
      <c r="R406" s="60"/>
      <c r="S406" s="60"/>
      <c r="T406" s="60"/>
      <c r="U406" s="60"/>
      <c r="V406" s="60"/>
      <c r="W406" s="60"/>
    </row>
    <row r="407" spans="1:23" ht="13" x14ac:dyDescent="0.3">
      <c r="A407" s="58"/>
      <c r="B407" s="58"/>
      <c r="C407" s="58"/>
      <c r="D407" s="58"/>
      <c r="E407" s="58"/>
      <c r="F407" s="58"/>
      <c r="G407" s="58"/>
      <c r="H407" s="59"/>
      <c r="I407" s="59"/>
      <c r="J407" s="59"/>
      <c r="K407" s="59"/>
      <c r="L407" s="59"/>
      <c r="M407" s="60"/>
      <c r="N407" s="60"/>
      <c r="O407" s="60"/>
      <c r="P407" s="59"/>
      <c r="Q407" s="59"/>
      <c r="R407" s="60"/>
      <c r="S407" s="60"/>
      <c r="T407" s="60"/>
      <c r="U407" s="60"/>
      <c r="V407" s="60"/>
      <c r="W407" s="60"/>
    </row>
    <row r="408" spans="1:23" ht="13" x14ac:dyDescent="0.3">
      <c r="A408" s="58"/>
      <c r="B408" s="58"/>
      <c r="C408" s="58"/>
      <c r="D408" s="58"/>
      <c r="E408" s="58"/>
      <c r="F408" s="58"/>
      <c r="G408" s="58"/>
      <c r="H408" s="59"/>
      <c r="I408" s="59"/>
      <c r="J408" s="59"/>
      <c r="K408" s="59"/>
      <c r="L408" s="59"/>
      <c r="M408" s="60"/>
      <c r="N408" s="60"/>
      <c r="O408" s="60"/>
      <c r="P408" s="59"/>
      <c r="Q408" s="59"/>
      <c r="R408" s="60"/>
      <c r="S408" s="60"/>
      <c r="T408" s="60"/>
      <c r="U408" s="60"/>
      <c r="V408" s="60"/>
      <c r="W408" s="60"/>
    </row>
    <row r="409" spans="1:23" ht="13" x14ac:dyDescent="0.3">
      <c r="A409" s="58"/>
      <c r="B409" s="58"/>
      <c r="C409" s="58"/>
      <c r="D409" s="58"/>
      <c r="E409" s="58"/>
      <c r="F409" s="58"/>
      <c r="G409" s="58"/>
      <c r="H409" s="59"/>
      <c r="I409" s="59"/>
      <c r="J409" s="59"/>
      <c r="K409" s="59"/>
      <c r="L409" s="59"/>
      <c r="M409" s="60"/>
      <c r="N409" s="60"/>
      <c r="O409" s="60"/>
      <c r="P409" s="59"/>
      <c r="Q409" s="59"/>
      <c r="R409" s="60"/>
      <c r="S409" s="60"/>
      <c r="T409" s="60"/>
      <c r="U409" s="60"/>
      <c r="V409" s="60"/>
      <c r="W409" s="60"/>
    </row>
    <row r="410" spans="1:23" ht="13" x14ac:dyDescent="0.3">
      <c r="A410" s="58"/>
      <c r="B410" s="58"/>
      <c r="C410" s="58"/>
      <c r="D410" s="58"/>
      <c r="E410" s="58"/>
      <c r="F410" s="58"/>
      <c r="G410" s="58"/>
      <c r="H410" s="59"/>
      <c r="I410" s="59"/>
      <c r="J410" s="59"/>
      <c r="K410" s="59"/>
      <c r="L410" s="59"/>
      <c r="M410" s="60"/>
      <c r="N410" s="60"/>
      <c r="O410" s="60"/>
      <c r="P410" s="59"/>
      <c r="Q410" s="59"/>
      <c r="R410" s="60"/>
      <c r="S410" s="60"/>
      <c r="T410" s="60"/>
      <c r="U410" s="60"/>
      <c r="V410" s="60"/>
      <c r="W410" s="60"/>
    </row>
    <row r="411" spans="1:23" ht="13" x14ac:dyDescent="0.3">
      <c r="A411" s="58"/>
      <c r="B411" s="58"/>
      <c r="C411" s="58"/>
      <c r="D411" s="58"/>
      <c r="E411" s="58"/>
      <c r="F411" s="58"/>
      <c r="G411" s="58"/>
      <c r="H411" s="59"/>
      <c r="I411" s="59"/>
      <c r="J411" s="59"/>
      <c r="K411" s="59"/>
      <c r="L411" s="59"/>
      <c r="M411" s="60"/>
      <c r="N411" s="60"/>
      <c r="O411" s="60"/>
      <c r="P411" s="59"/>
      <c r="Q411" s="59"/>
      <c r="R411" s="60"/>
      <c r="S411" s="60"/>
      <c r="T411" s="60"/>
      <c r="U411" s="60"/>
      <c r="V411" s="60"/>
      <c r="W411" s="60"/>
    </row>
    <row r="412" spans="1:23" ht="13" x14ac:dyDescent="0.3">
      <c r="A412" s="58"/>
      <c r="B412" s="58"/>
      <c r="C412" s="58"/>
      <c r="D412" s="58"/>
      <c r="E412" s="58"/>
      <c r="F412" s="58"/>
      <c r="G412" s="58"/>
      <c r="H412" s="59"/>
      <c r="I412" s="59"/>
      <c r="J412" s="59"/>
      <c r="K412" s="59"/>
      <c r="L412" s="59"/>
      <c r="M412" s="60"/>
      <c r="N412" s="60"/>
      <c r="O412" s="60"/>
      <c r="P412" s="59"/>
      <c r="Q412" s="59"/>
      <c r="R412" s="60"/>
      <c r="S412" s="60"/>
      <c r="T412" s="60"/>
      <c r="U412" s="60"/>
      <c r="V412" s="60"/>
      <c r="W412" s="60"/>
    </row>
    <row r="413" spans="1:23" ht="13" x14ac:dyDescent="0.3">
      <c r="A413" s="58"/>
      <c r="B413" s="58"/>
      <c r="C413" s="58"/>
      <c r="D413" s="58"/>
      <c r="E413" s="58"/>
      <c r="F413" s="58"/>
      <c r="G413" s="58"/>
      <c r="H413" s="59"/>
      <c r="I413" s="59"/>
      <c r="J413" s="59"/>
      <c r="K413" s="59"/>
      <c r="L413" s="59"/>
      <c r="M413" s="60"/>
      <c r="N413" s="60"/>
      <c r="O413" s="60"/>
      <c r="P413" s="59"/>
      <c r="Q413" s="59"/>
      <c r="R413" s="60"/>
      <c r="S413" s="60"/>
      <c r="T413" s="60"/>
      <c r="U413" s="60"/>
      <c r="V413" s="60"/>
      <c r="W413" s="60"/>
    </row>
    <row r="414" spans="1:23" ht="13" x14ac:dyDescent="0.3">
      <c r="A414" s="58"/>
      <c r="B414" s="58"/>
      <c r="C414" s="58"/>
      <c r="D414" s="58"/>
      <c r="E414" s="58"/>
      <c r="F414" s="58"/>
      <c r="G414" s="58"/>
      <c r="H414" s="59"/>
      <c r="I414" s="59"/>
      <c r="J414" s="59"/>
      <c r="K414" s="59"/>
      <c r="L414" s="59"/>
      <c r="M414" s="60"/>
      <c r="N414" s="60"/>
      <c r="O414" s="60"/>
      <c r="P414" s="59"/>
      <c r="Q414" s="59"/>
      <c r="R414" s="60"/>
      <c r="S414" s="60"/>
      <c r="T414" s="60"/>
      <c r="U414" s="60"/>
      <c r="V414" s="60"/>
      <c r="W414" s="60"/>
    </row>
    <row r="415" spans="1:23" ht="13" x14ac:dyDescent="0.3">
      <c r="A415" s="58"/>
      <c r="B415" s="58"/>
      <c r="C415" s="58"/>
      <c r="D415" s="58"/>
      <c r="E415" s="58"/>
      <c r="F415" s="58"/>
      <c r="G415" s="58"/>
      <c r="H415" s="59"/>
      <c r="I415" s="59"/>
      <c r="J415" s="59"/>
      <c r="K415" s="59"/>
      <c r="L415" s="59"/>
      <c r="M415" s="60"/>
      <c r="N415" s="60"/>
      <c r="O415" s="60"/>
      <c r="P415" s="59"/>
      <c r="Q415" s="59"/>
      <c r="R415" s="60"/>
      <c r="S415" s="60"/>
      <c r="T415" s="60"/>
      <c r="U415" s="60"/>
      <c r="V415" s="60"/>
      <c r="W415" s="60"/>
    </row>
    <row r="416" spans="1:23" ht="13" x14ac:dyDescent="0.3">
      <c r="A416" s="58"/>
      <c r="B416" s="58"/>
      <c r="C416" s="58"/>
      <c r="D416" s="58"/>
      <c r="E416" s="58"/>
      <c r="F416" s="58"/>
      <c r="G416" s="58"/>
      <c r="H416" s="59"/>
      <c r="I416" s="59"/>
      <c r="J416" s="59"/>
      <c r="K416" s="59"/>
      <c r="L416" s="59"/>
      <c r="M416" s="60"/>
      <c r="N416" s="60"/>
      <c r="O416" s="60"/>
      <c r="P416" s="59"/>
      <c r="Q416" s="59"/>
      <c r="R416" s="60"/>
      <c r="S416" s="60"/>
      <c r="T416" s="60"/>
      <c r="U416" s="60"/>
      <c r="V416" s="60"/>
      <c r="W416" s="60"/>
    </row>
    <row r="417" spans="1:23" ht="13" x14ac:dyDescent="0.3">
      <c r="A417" s="58"/>
      <c r="B417" s="58"/>
      <c r="C417" s="58"/>
      <c r="D417" s="58"/>
      <c r="E417" s="58"/>
      <c r="F417" s="58"/>
      <c r="G417" s="58"/>
      <c r="H417" s="59"/>
      <c r="I417" s="59"/>
      <c r="J417" s="59"/>
      <c r="K417" s="59"/>
      <c r="L417" s="59"/>
      <c r="M417" s="60"/>
      <c r="N417" s="60"/>
      <c r="O417" s="60"/>
      <c r="P417" s="59"/>
      <c r="Q417" s="59"/>
      <c r="R417" s="60"/>
      <c r="S417" s="60"/>
      <c r="T417" s="60"/>
      <c r="U417" s="60"/>
      <c r="V417" s="60"/>
      <c r="W417" s="60"/>
    </row>
    <row r="418" spans="1:23" ht="13" x14ac:dyDescent="0.3">
      <c r="A418" s="58"/>
      <c r="B418" s="58"/>
      <c r="C418" s="58"/>
      <c r="D418" s="58"/>
      <c r="E418" s="58"/>
      <c r="F418" s="58"/>
      <c r="G418" s="58"/>
      <c r="H418" s="59"/>
      <c r="I418" s="59"/>
      <c r="J418" s="59"/>
      <c r="K418" s="59"/>
      <c r="L418" s="59"/>
      <c r="M418" s="60"/>
      <c r="N418" s="60"/>
      <c r="O418" s="60"/>
      <c r="P418" s="59"/>
      <c r="Q418" s="59"/>
      <c r="R418" s="60"/>
      <c r="S418" s="60"/>
      <c r="T418" s="60"/>
      <c r="U418" s="60"/>
      <c r="V418" s="60"/>
      <c r="W418" s="60"/>
    </row>
    <row r="419" spans="1:23" ht="13" x14ac:dyDescent="0.3">
      <c r="A419" s="58"/>
      <c r="B419" s="58"/>
      <c r="C419" s="58"/>
      <c r="D419" s="58"/>
      <c r="E419" s="58"/>
      <c r="F419" s="58"/>
      <c r="G419" s="58"/>
      <c r="H419" s="59"/>
      <c r="I419" s="59"/>
      <c r="J419" s="59"/>
      <c r="K419" s="59"/>
      <c r="L419" s="59"/>
      <c r="M419" s="60"/>
      <c r="N419" s="60"/>
      <c r="O419" s="60"/>
      <c r="P419" s="59"/>
      <c r="Q419" s="59"/>
      <c r="R419" s="60"/>
      <c r="S419" s="60"/>
      <c r="T419" s="60"/>
      <c r="U419" s="60"/>
      <c r="V419" s="60"/>
      <c r="W419" s="60"/>
    </row>
    <row r="420" spans="1:23" ht="13" x14ac:dyDescent="0.3">
      <c r="A420" s="58"/>
      <c r="B420" s="58"/>
      <c r="C420" s="58"/>
      <c r="D420" s="58"/>
      <c r="E420" s="58"/>
      <c r="F420" s="58"/>
      <c r="G420" s="58"/>
      <c r="H420" s="59"/>
      <c r="I420" s="59"/>
      <c r="J420" s="59"/>
      <c r="K420" s="59"/>
      <c r="L420" s="59"/>
      <c r="M420" s="60"/>
      <c r="N420" s="60"/>
      <c r="O420" s="60"/>
      <c r="P420" s="59"/>
      <c r="Q420" s="59"/>
      <c r="R420" s="60"/>
      <c r="S420" s="60"/>
      <c r="T420" s="60"/>
      <c r="U420" s="60"/>
      <c r="V420" s="60"/>
      <c r="W420" s="60"/>
    </row>
    <row r="421" spans="1:23" ht="13" x14ac:dyDescent="0.3">
      <c r="A421" s="58"/>
      <c r="B421" s="58"/>
      <c r="C421" s="58"/>
      <c r="D421" s="58"/>
      <c r="E421" s="58"/>
      <c r="F421" s="58"/>
      <c r="G421" s="58"/>
      <c r="H421" s="59"/>
      <c r="I421" s="59"/>
      <c r="J421" s="59"/>
      <c r="K421" s="59"/>
      <c r="L421" s="59"/>
      <c r="M421" s="60"/>
      <c r="N421" s="60"/>
      <c r="O421" s="60"/>
      <c r="P421" s="59"/>
      <c r="Q421" s="59"/>
      <c r="R421" s="60"/>
      <c r="S421" s="60"/>
      <c r="T421" s="60"/>
      <c r="U421" s="60"/>
      <c r="V421" s="60"/>
      <c r="W421" s="60"/>
    </row>
    <row r="422" spans="1:23" ht="13" x14ac:dyDescent="0.3">
      <c r="A422" s="58"/>
      <c r="B422" s="58"/>
      <c r="C422" s="58"/>
      <c r="D422" s="58"/>
      <c r="E422" s="58"/>
      <c r="F422" s="58"/>
      <c r="G422" s="58"/>
      <c r="H422" s="59"/>
      <c r="I422" s="59"/>
      <c r="J422" s="59"/>
      <c r="K422" s="59"/>
      <c r="L422" s="59"/>
      <c r="M422" s="60"/>
      <c r="N422" s="60"/>
      <c r="O422" s="60"/>
      <c r="P422" s="59"/>
      <c r="Q422" s="59"/>
      <c r="R422" s="60"/>
      <c r="S422" s="60"/>
      <c r="T422" s="60"/>
      <c r="U422" s="60"/>
      <c r="V422" s="60"/>
      <c r="W422" s="60"/>
    </row>
    <row r="423" spans="1:23" ht="13" x14ac:dyDescent="0.3">
      <c r="A423" s="58"/>
      <c r="B423" s="58"/>
      <c r="C423" s="58"/>
      <c r="D423" s="58"/>
      <c r="E423" s="58"/>
      <c r="F423" s="58"/>
      <c r="G423" s="58"/>
      <c r="H423" s="59"/>
      <c r="I423" s="59"/>
      <c r="J423" s="59"/>
      <c r="K423" s="59"/>
      <c r="L423" s="59"/>
      <c r="M423" s="60"/>
      <c r="N423" s="60"/>
      <c r="O423" s="60"/>
      <c r="P423" s="59"/>
      <c r="Q423" s="59"/>
      <c r="R423" s="60"/>
      <c r="S423" s="60"/>
      <c r="T423" s="60"/>
      <c r="U423" s="60"/>
      <c r="V423" s="60"/>
      <c r="W423" s="60"/>
    </row>
    <row r="424" spans="1:23" ht="13" x14ac:dyDescent="0.3">
      <c r="A424" s="58"/>
      <c r="B424" s="58"/>
      <c r="C424" s="58"/>
      <c r="D424" s="58"/>
      <c r="E424" s="58"/>
      <c r="F424" s="58"/>
      <c r="G424" s="58"/>
      <c r="H424" s="59"/>
      <c r="I424" s="59"/>
      <c r="J424" s="59"/>
      <c r="K424" s="59"/>
      <c r="L424" s="59"/>
      <c r="M424" s="60"/>
      <c r="N424" s="60"/>
      <c r="O424" s="60"/>
      <c r="P424" s="59"/>
      <c r="Q424" s="59"/>
      <c r="R424" s="60"/>
      <c r="S424" s="60"/>
      <c r="T424" s="60"/>
      <c r="U424" s="60"/>
      <c r="V424" s="60"/>
      <c r="W424" s="60"/>
    </row>
    <row r="425" spans="1:23" ht="13" x14ac:dyDescent="0.3">
      <c r="A425" s="58"/>
      <c r="B425" s="58"/>
      <c r="C425" s="58"/>
      <c r="D425" s="58"/>
      <c r="E425" s="58"/>
      <c r="F425" s="58"/>
      <c r="G425" s="58"/>
      <c r="H425" s="59"/>
      <c r="I425" s="59"/>
      <c r="J425" s="59"/>
      <c r="K425" s="59"/>
      <c r="L425" s="59"/>
      <c r="M425" s="60"/>
      <c r="N425" s="60"/>
      <c r="O425" s="60"/>
      <c r="P425" s="59"/>
      <c r="Q425" s="59"/>
      <c r="R425" s="60"/>
      <c r="S425" s="60"/>
      <c r="T425" s="60"/>
      <c r="U425" s="60"/>
      <c r="V425" s="60"/>
      <c r="W425" s="60"/>
    </row>
    <row r="426" spans="1:23" ht="13" x14ac:dyDescent="0.3">
      <c r="A426" s="58"/>
      <c r="B426" s="58"/>
      <c r="C426" s="58"/>
      <c r="D426" s="58"/>
      <c r="E426" s="58"/>
      <c r="F426" s="58"/>
      <c r="G426" s="58"/>
      <c r="H426" s="59"/>
      <c r="I426" s="59"/>
      <c r="J426" s="59"/>
      <c r="K426" s="59"/>
      <c r="L426" s="59"/>
      <c r="M426" s="60"/>
      <c r="N426" s="60"/>
      <c r="O426" s="60"/>
      <c r="P426" s="59"/>
      <c r="Q426" s="59"/>
      <c r="R426" s="60"/>
      <c r="S426" s="60"/>
      <c r="T426" s="60"/>
      <c r="U426" s="60"/>
      <c r="V426" s="60"/>
      <c r="W426" s="60"/>
    </row>
    <row r="427" spans="1:23" ht="13" x14ac:dyDescent="0.3">
      <c r="A427" s="58"/>
      <c r="B427" s="58"/>
      <c r="C427" s="58"/>
      <c r="D427" s="58"/>
      <c r="E427" s="58"/>
      <c r="F427" s="58"/>
      <c r="G427" s="58"/>
      <c r="H427" s="59"/>
      <c r="I427" s="59"/>
      <c r="J427" s="59"/>
      <c r="K427" s="59"/>
      <c r="L427" s="59"/>
      <c r="M427" s="60"/>
      <c r="N427" s="60"/>
      <c r="O427" s="60"/>
      <c r="P427" s="59"/>
      <c r="Q427" s="59"/>
      <c r="R427" s="60"/>
      <c r="S427" s="60"/>
      <c r="T427" s="60"/>
      <c r="U427" s="60"/>
      <c r="V427" s="60"/>
      <c r="W427" s="60"/>
    </row>
    <row r="428" spans="1:23" ht="13" x14ac:dyDescent="0.3">
      <c r="A428" s="58"/>
      <c r="B428" s="58"/>
      <c r="C428" s="58"/>
      <c r="D428" s="58"/>
      <c r="E428" s="58"/>
      <c r="F428" s="58"/>
      <c r="G428" s="58"/>
      <c r="H428" s="59"/>
      <c r="I428" s="59"/>
      <c r="J428" s="59"/>
      <c r="K428" s="59"/>
      <c r="L428" s="59"/>
      <c r="M428" s="60"/>
      <c r="N428" s="60"/>
      <c r="O428" s="60"/>
      <c r="P428" s="59"/>
      <c r="Q428" s="59"/>
      <c r="R428" s="60"/>
      <c r="S428" s="60"/>
      <c r="T428" s="60"/>
      <c r="U428" s="60"/>
      <c r="V428" s="60"/>
      <c r="W428" s="60"/>
    </row>
    <row r="429" spans="1:23" ht="13" x14ac:dyDescent="0.3">
      <c r="A429" s="58"/>
      <c r="B429" s="58"/>
      <c r="C429" s="58"/>
      <c r="D429" s="58"/>
      <c r="E429" s="58"/>
      <c r="F429" s="58"/>
      <c r="G429" s="58"/>
      <c r="H429" s="59"/>
      <c r="I429" s="59"/>
      <c r="J429" s="59"/>
      <c r="K429" s="59"/>
      <c r="L429" s="59"/>
      <c r="M429" s="60"/>
      <c r="N429" s="60"/>
      <c r="O429" s="60"/>
      <c r="P429" s="59"/>
      <c r="Q429" s="59"/>
      <c r="R429" s="60"/>
      <c r="S429" s="60"/>
      <c r="T429" s="60"/>
      <c r="U429" s="60"/>
      <c r="V429" s="60"/>
      <c r="W429" s="60"/>
    </row>
    <row r="430" spans="1:23" ht="13" x14ac:dyDescent="0.3">
      <c r="A430" s="58"/>
      <c r="B430" s="58"/>
      <c r="C430" s="58"/>
      <c r="D430" s="58"/>
      <c r="E430" s="58"/>
      <c r="F430" s="58"/>
      <c r="G430" s="58"/>
      <c r="H430" s="59"/>
      <c r="I430" s="59"/>
      <c r="J430" s="59"/>
      <c r="K430" s="59"/>
      <c r="L430" s="59"/>
      <c r="M430" s="60"/>
      <c r="N430" s="60"/>
      <c r="O430" s="60"/>
      <c r="P430" s="59"/>
      <c r="Q430" s="59"/>
      <c r="R430" s="60"/>
      <c r="S430" s="60"/>
      <c r="T430" s="60"/>
      <c r="U430" s="60"/>
      <c r="V430" s="60"/>
      <c r="W430" s="60"/>
    </row>
    <row r="431" spans="1:23" ht="13" x14ac:dyDescent="0.3">
      <c r="A431" s="58"/>
      <c r="B431" s="58"/>
      <c r="C431" s="58"/>
      <c r="D431" s="58"/>
      <c r="E431" s="58"/>
      <c r="F431" s="58"/>
      <c r="G431" s="58"/>
      <c r="H431" s="59"/>
      <c r="I431" s="59"/>
      <c r="J431" s="59"/>
      <c r="K431" s="59"/>
      <c r="L431" s="59"/>
      <c r="M431" s="60"/>
      <c r="N431" s="60"/>
      <c r="O431" s="60"/>
      <c r="P431" s="59"/>
      <c r="Q431" s="59"/>
      <c r="R431" s="60"/>
      <c r="S431" s="60"/>
      <c r="T431" s="60"/>
      <c r="U431" s="60"/>
      <c r="V431" s="60"/>
      <c r="W431" s="60"/>
    </row>
    <row r="432" spans="1:23" ht="13" x14ac:dyDescent="0.3">
      <c r="A432" s="58"/>
      <c r="B432" s="58"/>
      <c r="C432" s="58"/>
      <c r="D432" s="58"/>
      <c r="E432" s="58"/>
      <c r="F432" s="58"/>
      <c r="G432" s="58"/>
      <c r="H432" s="59"/>
      <c r="I432" s="59"/>
      <c r="J432" s="59"/>
      <c r="K432" s="59"/>
      <c r="L432" s="59"/>
      <c r="M432" s="60"/>
      <c r="N432" s="60"/>
      <c r="O432" s="60"/>
      <c r="P432" s="59"/>
      <c r="Q432" s="59"/>
      <c r="R432" s="60"/>
      <c r="S432" s="60"/>
      <c r="T432" s="60"/>
      <c r="U432" s="60"/>
      <c r="V432" s="60"/>
      <c r="W432" s="60"/>
    </row>
    <row r="433" spans="1:23" ht="13" x14ac:dyDescent="0.3">
      <c r="A433" s="58"/>
      <c r="B433" s="58"/>
      <c r="C433" s="58"/>
      <c r="D433" s="58"/>
      <c r="E433" s="58"/>
      <c r="F433" s="58"/>
      <c r="G433" s="58"/>
      <c r="H433" s="59"/>
      <c r="I433" s="59"/>
      <c r="J433" s="59"/>
      <c r="K433" s="59"/>
      <c r="L433" s="59"/>
      <c r="M433" s="60"/>
      <c r="N433" s="60"/>
      <c r="O433" s="60"/>
      <c r="P433" s="59"/>
      <c r="Q433" s="59"/>
      <c r="R433" s="60"/>
      <c r="S433" s="60"/>
      <c r="T433" s="60"/>
      <c r="U433" s="60"/>
      <c r="V433" s="60"/>
      <c r="W433" s="60"/>
    </row>
    <row r="434" spans="1:23" ht="13" x14ac:dyDescent="0.3">
      <c r="A434" s="58"/>
      <c r="B434" s="58"/>
      <c r="C434" s="58"/>
      <c r="D434" s="58"/>
      <c r="E434" s="58"/>
      <c r="F434" s="58"/>
      <c r="G434" s="58"/>
      <c r="H434" s="59"/>
      <c r="I434" s="59"/>
      <c r="J434" s="59"/>
      <c r="K434" s="59"/>
      <c r="L434" s="59"/>
      <c r="M434" s="60"/>
      <c r="N434" s="60"/>
      <c r="O434" s="60"/>
      <c r="P434" s="59"/>
      <c r="Q434" s="59"/>
      <c r="R434" s="60"/>
      <c r="S434" s="60"/>
      <c r="T434" s="60"/>
      <c r="U434" s="60"/>
      <c r="V434" s="60"/>
      <c r="W434" s="60"/>
    </row>
    <row r="435" spans="1:23" ht="13" x14ac:dyDescent="0.3">
      <c r="A435" s="58"/>
      <c r="B435" s="58"/>
      <c r="C435" s="58"/>
      <c r="D435" s="58"/>
      <c r="E435" s="58"/>
      <c r="F435" s="58"/>
      <c r="G435" s="58"/>
      <c r="H435" s="59"/>
      <c r="I435" s="59"/>
      <c r="J435" s="59"/>
      <c r="K435" s="59"/>
      <c r="L435" s="59"/>
      <c r="M435" s="60"/>
      <c r="N435" s="60"/>
      <c r="O435" s="60"/>
      <c r="P435" s="59"/>
      <c r="Q435" s="59"/>
      <c r="R435" s="60"/>
      <c r="S435" s="60"/>
      <c r="T435" s="60"/>
      <c r="U435" s="60"/>
      <c r="V435" s="60"/>
      <c r="W435" s="60"/>
    </row>
    <row r="436" spans="1:23" ht="13" x14ac:dyDescent="0.3">
      <c r="A436" s="58"/>
      <c r="B436" s="58"/>
      <c r="C436" s="58"/>
      <c r="D436" s="58"/>
      <c r="E436" s="58"/>
      <c r="F436" s="58"/>
      <c r="G436" s="58"/>
      <c r="H436" s="59"/>
      <c r="I436" s="59"/>
      <c r="J436" s="59"/>
      <c r="K436" s="59"/>
      <c r="L436" s="59"/>
      <c r="M436" s="60"/>
      <c r="N436" s="60"/>
      <c r="O436" s="60"/>
      <c r="P436" s="59"/>
      <c r="Q436" s="59"/>
      <c r="R436" s="60"/>
      <c r="S436" s="60"/>
      <c r="T436" s="60"/>
      <c r="U436" s="60"/>
      <c r="V436" s="60"/>
      <c r="W436" s="60"/>
    </row>
    <row r="437" spans="1:23" ht="13" x14ac:dyDescent="0.3">
      <c r="A437" s="58"/>
      <c r="B437" s="58"/>
      <c r="C437" s="58"/>
      <c r="D437" s="58"/>
      <c r="E437" s="58"/>
      <c r="F437" s="58"/>
      <c r="G437" s="58"/>
      <c r="H437" s="59"/>
      <c r="I437" s="59"/>
      <c r="J437" s="59"/>
      <c r="K437" s="59"/>
      <c r="L437" s="59"/>
      <c r="M437" s="60"/>
      <c r="N437" s="60"/>
      <c r="O437" s="60"/>
      <c r="P437" s="59"/>
      <c r="Q437" s="59"/>
      <c r="R437" s="60"/>
      <c r="S437" s="60"/>
      <c r="T437" s="60"/>
      <c r="U437" s="60"/>
      <c r="V437" s="60"/>
      <c r="W437" s="60"/>
    </row>
    <row r="438" spans="1:23" ht="13" x14ac:dyDescent="0.3">
      <c r="A438" s="58"/>
      <c r="B438" s="58"/>
      <c r="C438" s="58"/>
      <c r="D438" s="58"/>
      <c r="E438" s="58"/>
      <c r="F438" s="58"/>
      <c r="G438" s="58"/>
      <c r="H438" s="59"/>
      <c r="I438" s="59"/>
      <c r="J438" s="59"/>
      <c r="K438" s="59"/>
      <c r="L438" s="59"/>
      <c r="M438" s="60"/>
      <c r="N438" s="60"/>
      <c r="O438" s="60"/>
      <c r="P438" s="59"/>
      <c r="Q438" s="59"/>
      <c r="R438" s="60"/>
      <c r="S438" s="60"/>
      <c r="T438" s="60"/>
      <c r="U438" s="60"/>
      <c r="V438" s="60"/>
      <c r="W438" s="60"/>
    </row>
    <row r="439" spans="1:23" ht="13" x14ac:dyDescent="0.3">
      <c r="A439" s="58"/>
      <c r="B439" s="58"/>
      <c r="C439" s="58"/>
      <c r="D439" s="58"/>
      <c r="E439" s="58"/>
      <c r="F439" s="58"/>
      <c r="G439" s="58"/>
      <c r="H439" s="59"/>
      <c r="I439" s="59"/>
      <c r="J439" s="59"/>
      <c r="K439" s="59"/>
      <c r="L439" s="59"/>
      <c r="M439" s="60"/>
      <c r="N439" s="60"/>
      <c r="O439" s="60"/>
      <c r="P439" s="59"/>
      <c r="Q439" s="59"/>
      <c r="R439" s="60"/>
      <c r="S439" s="60"/>
      <c r="T439" s="60"/>
      <c r="U439" s="60"/>
      <c r="V439" s="60"/>
      <c r="W439" s="60"/>
    </row>
    <row r="440" spans="1:23" ht="13" x14ac:dyDescent="0.3">
      <c r="A440" s="58"/>
      <c r="B440" s="58"/>
      <c r="C440" s="58"/>
      <c r="D440" s="58"/>
      <c r="E440" s="58"/>
      <c r="F440" s="58"/>
      <c r="G440" s="58"/>
      <c r="H440" s="59"/>
      <c r="I440" s="59"/>
      <c r="J440" s="59"/>
      <c r="K440" s="59"/>
      <c r="L440" s="59"/>
      <c r="M440" s="60"/>
      <c r="N440" s="60"/>
      <c r="O440" s="60"/>
      <c r="P440" s="59"/>
      <c r="Q440" s="59"/>
      <c r="R440" s="60"/>
      <c r="S440" s="60"/>
      <c r="T440" s="60"/>
      <c r="U440" s="60"/>
      <c r="V440" s="60"/>
      <c r="W440" s="60"/>
    </row>
    <row r="441" spans="1:23" ht="13" x14ac:dyDescent="0.3">
      <c r="A441" s="58"/>
      <c r="B441" s="58"/>
      <c r="C441" s="58"/>
      <c r="D441" s="58"/>
      <c r="E441" s="58"/>
      <c r="F441" s="58"/>
      <c r="G441" s="58"/>
      <c r="H441" s="59"/>
      <c r="I441" s="59"/>
      <c r="J441" s="59"/>
      <c r="K441" s="59"/>
      <c r="L441" s="59"/>
      <c r="M441" s="60"/>
      <c r="N441" s="60"/>
      <c r="O441" s="60"/>
      <c r="P441" s="59"/>
      <c r="Q441" s="59"/>
      <c r="R441" s="60"/>
      <c r="S441" s="60"/>
      <c r="T441" s="60"/>
      <c r="U441" s="60"/>
      <c r="V441" s="60"/>
      <c r="W441" s="60"/>
    </row>
    <row r="442" spans="1:23" ht="13" x14ac:dyDescent="0.3">
      <c r="A442" s="58"/>
      <c r="B442" s="58"/>
      <c r="C442" s="58"/>
      <c r="D442" s="58"/>
      <c r="E442" s="58"/>
      <c r="F442" s="58"/>
      <c r="G442" s="58"/>
      <c r="H442" s="59"/>
      <c r="I442" s="59"/>
      <c r="J442" s="59"/>
      <c r="K442" s="59"/>
      <c r="L442" s="59"/>
      <c r="M442" s="60"/>
      <c r="N442" s="60"/>
      <c r="O442" s="60"/>
      <c r="P442" s="59"/>
      <c r="Q442" s="59"/>
      <c r="R442" s="60"/>
      <c r="S442" s="60"/>
      <c r="T442" s="60"/>
      <c r="U442" s="60"/>
      <c r="V442" s="60"/>
      <c r="W442" s="60"/>
    </row>
    <row r="443" spans="1:23" ht="13" x14ac:dyDescent="0.3">
      <c r="A443" s="58"/>
      <c r="B443" s="58"/>
      <c r="C443" s="58"/>
      <c r="D443" s="58"/>
      <c r="E443" s="58"/>
      <c r="F443" s="58"/>
      <c r="G443" s="58"/>
      <c r="H443" s="59"/>
      <c r="I443" s="59"/>
      <c r="J443" s="59"/>
      <c r="K443" s="59"/>
      <c r="L443" s="59"/>
      <c r="M443" s="60"/>
      <c r="N443" s="60"/>
      <c r="O443" s="60"/>
      <c r="P443" s="59"/>
      <c r="Q443" s="59"/>
      <c r="R443" s="60"/>
      <c r="S443" s="60"/>
      <c r="T443" s="60"/>
      <c r="U443" s="60"/>
      <c r="V443" s="60"/>
      <c r="W443" s="60"/>
    </row>
    <row r="444" spans="1:23" ht="13" x14ac:dyDescent="0.3">
      <c r="A444" s="58"/>
      <c r="B444" s="58"/>
      <c r="C444" s="58"/>
      <c r="D444" s="58"/>
      <c r="E444" s="58"/>
      <c r="F444" s="58"/>
      <c r="G444" s="58"/>
      <c r="H444" s="59"/>
      <c r="I444" s="59"/>
      <c r="J444" s="59"/>
      <c r="K444" s="59"/>
      <c r="L444" s="59"/>
      <c r="M444" s="60"/>
      <c r="N444" s="60"/>
      <c r="O444" s="60"/>
      <c r="P444" s="59"/>
      <c r="Q444" s="59"/>
      <c r="R444" s="60"/>
      <c r="S444" s="60"/>
      <c r="T444" s="60"/>
      <c r="U444" s="60"/>
      <c r="V444" s="60"/>
      <c r="W444" s="60"/>
    </row>
    <row r="445" spans="1:23" ht="13" x14ac:dyDescent="0.3">
      <c r="A445" s="58"/>
      <c r="B445" s="58"/>
      <c r="C445" s="58"/>
      <c r="D445" s="58"/>
      <c r="E445" s="58"/>
      <c r="F445" s="58"/>
      <c r="G445" s="58"/>
      <c r="H445" s="59"/>
      <c r="I445" s="59"/>
      <c r="J445" s="59"/>
      <c r="K445" s="59"/>
      <c r="L445" s="59"/>
      <c r="M445" s="60"/>
      <c r="N445" s="60"/>
      <c r="O445" s="60"/>
      <c r="P445" s="59"/>
      <c r="Q445" s="59"/>
      <c r="R445" s="60"/>
      <c r="S445" s="60"/>
      <c r="T445" s="60"/>
      <c r="U445" s="60"/>
      <c r="V445" s="60"/>
      <c r="W445" s="60"/>
    </row>
    <row r="446" spans="1:23" ht="13" x14ac:dyDescent="0.3">
      <c r="A446" s="58"/>
      <c r="B446" s="58"/>
      <c r="C446" s="58"/>
      <c r="D446" s="58"/>
      <c r="E446" s="58"/>
      <c r="F446" s="58"/>
      <c r="G446" s="58"/>
      <c r="H446" s="59"/>
      <c r="I446" s="59"/>
      <c r="J446" s="59"/>
      <c r="K446" s="59"/>
      <c r="L446" s="59"/>
      <c r="M446" s="60"/>
      <c r="N446" s="60"/>
      <c r="O446" s="60"/>
      <c r="P446" s="59"/>
      <c r="Q446" s="59"/>
      <c r="R446" s="60"/>
      <c r="S446" s="60"/>
      <c r="T446" s="60"/>
      <c r="U446" s="60"/>
      <c r="V446" s="60"/>
      <c r="W446" s="60"/>
    </row>
    <row r="447" spans="1:23" ht="13" x14ac:dyDescent="0.3">
      <c r="A447" s="58"/>
      <c r="B447" s="58"/>
      <c r="C447" s="58"/>
      <c r="D447" s="58"/>
      <c r="E447" s="58"/>
      <c r="F447" s="58"/>
      <c r="G447" s="58"/>
      <c r="H447" s="59"/>
      <c r="I447" s="59"/>
      <c r="J447" s="59"/>
      <c r="K447" s="59"/>
      <c r="L447" s="59"/>
      <c r="M447" s="60"/>
      <c r="N447" s="60"/>
      <c r="O447" s="60"/>
      <c r="P447" s="59"/>
      <c r="Q447" s="59"/>
      <c r="R447" s="60"/>
      <c r="S447" s="60"/>
      <c r="T447" s="60"/>
      <c r="U447" s="60"/>
      <c r="V447" s="60"/>
      <c r="W447" s="60"/>
    </row>
    <row r="448" spans="1:23" ht="13" x14ac:dyDescent="0.3">
      <c r="A448" s="58"/>
      <c r="B448" s="58"/>
      <c r="C448" s="58"/>
      <c r="D448" s="58"/>
      <c r="E448" s="58"/>
      <c r="F448" s="58"/>
      <c r="G448" s="58"/>
      <c r="H448" s="59"/>
      <c r="I448" s="59"/>
      <c r="J448" s="59"/>
      <c r="K448" s="59"/>
      <c r="L448" s="59"/>
      <c r="M448" s="60"/>
      <c r="N448" s="60"/>
      <c r="O448" s="60"/>
      <c r="P448" s="59"/>
      <c r="Q448" s="59"/>
      <c r="R448" s="60"/>
      <c r="S448" s="60"/>
      <c r="T448" s="60"/>
      <c r="U448" s="60"/>
      <c r="V448" s="60"/>
      <c r="W448" s="60"/>
    </row>
    <row r="449" spans="1:23" ht="13" x14ac:dyDescent="0.3">
      <c r="A449" s="58"/>
      <c r="B449" s="58"/>
      <c r="C449" s="58"/>
      <c r="D449" s="58"/>
      <c r="E449" s="58"/>
      <c r="F449" s="58"/>
      <c r="G449" s="58"/>
      <c r="H449" s="59"/>
      <c r="I449" s="59"/>
      <c r="J449" s="59"/>
      <c r="K449" s="59"/>
      <c r="L449" s="59"/>
      <c r="M449" s="60"/>
      <c r="N449" s="60"/>
      <c r="O449" s="60"/>
      <c r="P449" s="59"/>
      <c r="Q449" s="59"/>
      <c r="R449" s="60"/>
      <c r="S449" s="60"/>
      <c r="T449" s="60"/>
      <c r="U449" s="60"/>
      <c r="V449" s="60"/>
      <c r="W449" s="60"/>
    </row>
    <row r="450" spans="1:23" ht="13" x14ac:dyDescent="0.3">
      <c r="A450" s="58"/>
      <c r="B450" s="58"/>
      <c r="C450" s="58"/>
      <c r="D450" s="58"/>
      <c r="E450" s="58"/>
      <c r="F450" s="58"/>
      <c r="G450" s="58"/>
      <c r="H450" s="59"/>
      <c r="I450" s="59"/>
      <c r="J450" s="59"/>
      <c r="K450" s="59"/>
      <c r="L450" s="59"/>
      <c r="M450" s="60"/>
      <c r="N450" s="60"/>
      <c r="O450" s="60"/>
      <c r="P450" s="59"/>
      <c r="Q450" s="59"/>
      <c r="R450" s="60"/>
      <c r="S450" s="60"/>
      <c r="T450" s="60"/>
      <c r="U450" s="60"/>
      <c r="V450" s="60"/>
      <c r="W450" s="60"/>
    </row>
    <row r="451" spans="1:23" ht="13" x14ac:dyDescent="0.3">
      <c r="A451" s="58"/>
      <c r="B451" s="58"/>
      <c r="C451" s="58"/>
      <c r="D451" s="58"/>
      <c r="E451" s="58"/>
      <c r="F451" s="58"/>
      <c r="G451" s="58"/>
      <c r="H451" s="59"/>
      <c r="I451" s="59"/>
      <c r="J451" s="59"/>
      <c r="K451" s="59"/>
      <c r="L451" s="59"/>
      <c r="M451" s="60"/>
      <c r="N451" s="60"/>
      <c r="O451" s="60"/>
      <c r="P451" s="59"/>
      <c r="Q451" s="59"/>
      <c r="R451" s="60"/>
      <c r="S451" s="60"/>
      <c r="T451" s="60"/>
      <c r="U451" s="60"/>
      <c r="V451" s="60"/>
      <c r="W451" s="60"/>
    </row>
    <row r="452" spans="1:23" ht="13" x14ac:dyDescent="0.3">
      <c r="A452" s="58"/>
      <c r="B452" s="58"/>
      <c r="C452" s="58"/>
      <c r="D452" s="58"/>
      <c r="E452" s="58"/>
      <c r="F452" s="58"/>
      <c r="G452" s="58"/>
      <c r="H452" s="59"/>
      <c r="I452" s="59"/>
      <c r="J452" s="59"/>
      <c r="K452" s="59"/>
      <c r="L452" s="59"/>
      <c r="M452" s="60"/>
      <c r="N452" s="60"/>
      <c r="O452" s="60"/>
      <c r="P452" s="59"/>
      <c r="Q452" s="59"/>
      <c r="R452" s="60"/>
      <c r="S452" s="60"/>
      <c r="T452" s="60"/>
      <c r="U452" s="60"/>
      <c r="V452" s="60"/>
      <c r="W452" s="60"/>
    </row>
    <row r="453" spans="1:23" ht="13" x14ac:dyDescent="0.3">
      <c r="A453" s="58"/>
      <c r="B453" s="58"/>
      <c r="C453" s="58"/>
      <c r="D453" s="58"/>
      <c r="E453" s="58"/>
      <c r="F453" s="58"/>
      <c r="G453" s="58"/>
      <c r="H453" s="59"/>
      <c r="I453" s="59"/>
      <c r="J453" s="59"/>
      <c r="K453" s="59"/>
      <c r="L453" s="59"/>
      <c r="M453" s="60"/>
      <c r="N453" s="60"/>
      <c r="O453" s="60"/>
      <c r="P453" s="59"/>
      <c r="Q453" s="59"/>
      <c r="R453" s="60"/>
      <c r="S453" s="60"/>
      <c r="T453" s="60"/>
      <c r="U453" s="60"/>
      <c r="V453" s="60"/>
      <c r="W453" s="60"/>
    </row>
    <row r="454" spans="1:23" ht="13" x14ac:dyDescent="0.3">
      <c r="A454" s="58"/>
      <c r="B454" s="58"/>
      <c r="C454" s="58"/>
      <c r="D454" s="58"/>
      <c r="E454" s="58"/>
      <c r="F454" s="58"/>
      <c r="G454" s="58"/>
      <c r="H454" s="59"/>
      <c r="I454" s="59"/>
      <c r="J454" s="59"/>
      <c r="K454" s="59"/>
      <c r="L454" s="59"/>
      <c r="M454" s="60"/>
      <c r="N454" s="60"/>
      <c r="O454" s="60"/>
      <c r="P454" s="59"/>
      <c r="Q454" s="59"/>
      <c r="R454" s="60"/>
      <c r="S454" s="60"/>
      <c r="T454" s="60"/>
      <c r="U454" s="60"/>
      <c r="V454" s="60"/>
      <c r="W454" s="60"/>
    </row>
    <row r="455" spans="1:23" ht="13" x14ac:dyDescent="0.3">
      <c r="A455" s="58"/>
      <c r="B455" s="58"/>
      <c r="C455" s="58"/>
      <c r="D455" s="58"/>
      <c r="E455" s="58"/>
      <c r="F455" s="58"/>
      <c r="G455" s="58"/>
      <c r="H455" s="59"/>
      <c r="I455" s="59"/>
      <c r="J455" s="59"/>
      <c r="K455" s="59"/>
      <c r="L455" s="59"/>
      <c r="M455" s="60"/>
      <c r="N455" s="60"/>
      <c r="O455" s="60"/>
      <c r="P455" s="59"/>
      <c r="Q455" s="59"/>
      <c r="R455" s="60"/>
      <c r="S455" s="60"/>
      <c r="T455" s="60"/>
      <c r="U455" s="60"/>
      <c r="V455" s="60"/>
      <c r="W455" s="60"/>
    </row>
    <row r="456" spans="1:23" ht="13" x14ac:dyDescent="0.3">
      <c r="A456" s="58"/>
      <c r="B456" s="58"/>
      <c r="C456" s="58"/>
      <c r="D456" s="58"/>
      <c r="E456" s="58"/>
      <c r="F456" s="58"/>
      <c r="G456" s="58"/>
      <c r="H456" s="59"/>
      <c r="I456" s="59"/>
      <c r="J456" s="59"/>
      <c r="K456" s="59"/>
      <c r="L456" s="59"/>
      <c r="M456" s="60"/>
      <c r="N456" s="60"/>
      <c r="O456" s="60"/>
      <c r="P456" s="59"/>
      <c r="Q456" s="59"/>
      <c r="R456" s="60"/>
      <c r="S456" s="60"/>
      <c r="T456" s="60"/>
      <c r="U456" s="60"/>
      <c r="V456" s="60"/>
      <c r="W456" s="60"/>
    </row>
    <row r="457" spans="1:23" ht="13" x14ac:dyDescent="0.3">
      <c r="A457" s="58"/>
      <c r="B457" s="58"/>
      <c r="C457" s="58"/>
      <c r="D457" s="58"/>
      <c r="E457" s="58"/>
      <c r="F457" s="58"/>
      <c r="G457" s="58"/>
      <c r="H457" s="59"/>
      <c r="I457" s="59"/>
      <c r="J457" s="59"/>
      <c r="K457" s="59"/>
      <c r="L457" s="59"/>
      <c r="M457" s="60"/>
      <c r="N457" s="60"/>
      <c r="O457" s="60"/>
      <c r="P457" s="59"/>
      <c r="Q457" s="59"/>
      <c r="R457" s="60"/>
      <c r="S457" s="60"/>
      <c r="T457" s="60"/>
      <c r="U457" s="60"/>
      <c r="V457" s="60"/>
      <c r="W457" s="60"/>
    </row>
    <row r="458" spans="1:23" ht="13" x14ac:dyDescent="0.3">
      <c r="A458" s="58"/>
      <c r="B458" s="58"/>
      <c r="C458" s="58"/>
      <c r="D458" s="58"/>
      <c r="E458" s="58"/>
      <c r="F458" s="58"/>
      <c r="G458" s="58"/>
      <c r="H458" s="59"/>
      <c r="I458" s="59"/>
      <c r="J458" s="59"/>
      <c r="K458" s="59"/>
      <c r="L458" s="59"/>
      <c r="M458" s="60"/>
      <c r="N458" s="60"/>
      <c r="O458" s="60"/>
      <c r="P458" s="59"/>
      <c r="Q458" s="59"/>
      <c r="R458" s="60"/>
      <c r="S458" s="60"/>
      <c r="T458" s="60"/>
      <c r="U458" s="60"/>
      <c r="V458" s="60"/>
      <c r="W458" s="60"/>
    </row>
    <row r="459" spans="1:23" ht="13" x14ac:dyDescent="0.3">
      <c r="A459" s="58"/>
      <c r="B459" s="58"/>
      <c r="C459" s="58"/>
      <c r="D459" s="58"/>
      <c r="E459" s="58"/>
      <c r="F459" s="58"/>
      <c r="G459" s="58"/>
      <c r="H459" s="59"/>
      <c r="I459" s="59"/>
      <c r="J459" s="59"/>
      <c r="K459" s="59"/>
      <c r="L459" s="59"/>
      <c r="M459" s="60"/>
      <c r="N459" s="60"/>
      <c r="O459" s="60"/>
      <c r="P459" s="59"/>
      <c r="Q459" s="59"/>
      <c r="R459" s="60"/>
      <c r="S459" s="60"/>
      <c r="T459" s="60"/>
      <c r="U459" s="60"/>
      <c r="V459" s="60"/>
      <c r="W459" s="60"/>
    </row>
    <row r="460" spans="1:23" ht="13" x14ac:dyDescent="0.3">
      <c r="A460" s="58"/>
      <c r="B460" s="58"/>
      <c r="C460" s="58"/>
      <c r="D460" s="58"/>
      <c r="E460" s="58"/>
      <c r="F460" s="58"/>
      <c r="G460" s="58"/>
      <c r="H460" s="59"/>
      <c r="I460" s="59"/>
      <c r="J460" s="59"/>
      <c r="K460" s="59"/>
      <c r="L460" s="59"/>
      <c r="M460" s="60"/>
      <c r="N460" s="60"/>
      <c r="O460" s="60"/>
      <c r="P460" s="59"/>
      <c r="Q460" s="59"/>
      <c r="R460" s="60"/>
      <c r="S460" s="60"/>
      <c r="T460" s="60"/>
      <c r="U460" s="60"/>
      <c r="V460" s="60"/>
      <c r="W460" s="60"/>
    </row>
    <row r="461" spans="1:23" ht="13" x14ac:dyDescent="0.3">
      <c r="A461" s="58"/>
      <c r="B461" s="58"/>
      <c r="C461" s="58"/>
      <c r="D461" s="58"/>
      <c r="E461" s="58"/>
      <c r="F461" s="58"/>
      <c r="G461" s="58"/>
      <c r="H461" s="59"/>
      <c r="I461" s="59"/>
      <c r="J461" s="59"/>
      <c r="K461" s="59"/>
      <c r="L461" s="59"/>
      <c r="M461" s="60"/>
      <c r="N461" s="60"/>
      <c r="O461" s="60"/>
      <c r="P461" s="59"/>
      <c r="Q461" s="59"/>
      <c r="R461" s="60"/>
      <c r="S461" s="60"/>
      <c r="T461" s="60"/>
      <c r="U461" s="60"/>
      <c r="V461" s="60"/>
      <c r="W461" s="60"/>
    </row>
    <row r="462" spans="1:23" ht="13" x14ac:dyDescent="0.3">
      <c r="A462" s="58"/>
      <c r="B462" s="58"/>
      <c r="C462" s="58"/>
      <c r="D462" s="58"/>
      <c r="E462" s="58"/>
      <c r="F462" s="58"/>
      <c r="G462" s="58"/>
      <c r="H462" s="59"/>
      <c r="I462" s="59"/>
      <c r="J462" s="59"/>
      <c r="K462" s="59"/>
      <c r="L462" s="59"/>
      <c r="M462" s="60"/>
      <c r="N462" s="60"/>
      <c r="O462" s="60"/>
      <c r="P462" s="59"/>
      <c r="Q462" s="59"/>
      <c r="R462" s="60"/>
      <c r="S462" s="60"/>
      <c r="T462" s="60"/>
      <c r="U462" s="60"/>
      <c r="V462" s="60"/>
      <c r="W462" s="60"/>
    </row>
    <row r="463" spans="1:23" ht="13" x14ac:dyDescent="0.3">
      <c r="A463" s="58"/>
      <c r="B463" s="58"/>
      <c r="C463" s="58"/>
      <c r="D463" s="58"/>
      <c r="E463" s="58"/>
      <c r="F463" s="58"/>
      <c r="G463" s="58"/>
      <c r="H463" s="59"/>
      <c r="I463" s="59"/>
      <c r="J463" s="59"/>
      <c r="K463" s="59"/>
      <c r="L463" s="59"/>
      <c r="M463" s="60"/>
      <c r="N463" s="60"/>
      <c r="O463" s="60"/>
      <c r="P463" s="59"/>
      <c r="Q463" s="59"/>
      <c r="R463" s="60"/>
      <c r="S463" s="60"/>
      <c r="T463" s="60"/>
      <c r="U463" s="60"/>
      <c r="V463" s="60"/>
      <c r="W463" s="60"/>
    </row>
    <row r="464" spans="1:23" ht="13" x14ac:dyDescent="0.3">
      <c r="A464" s="58"/>
      <c r="B464" s="58"/>
      <c r="C464" s="58"/>
      <c r="D464" s="58"/>
      <c r="E464" s="58"/>
      <c r="F464" s="58"/>
      <c r="G464" s="58"/>
      <c r="H464" s="59"/>
      <c r="I464" s="59"/>
      <c r="J464" s="59"/>
      <c r="K464" s="59"/>
      <c r="L464" s="59"/>
      <c r="M464" s="60"/>
      <c r="N464" s="60"/>
      <c r="O464" s="60"/>
      <c r="P464" s="59"/>
      <c r="Q464" s="59"/>
      <c r="R464" s="60"/>
      <c r="S464" s="60"/>
      <c r="T464" s="60"/>
      <c r="U464" s="60"/>
      <c r="V464" s="60"/>
      <c r="W464" s="60"/>
    </row>
    <row r="465" spans="1:23" ht="13" x14ac:dyDescent="0.3">
      <c r="A465" s="58"/>
      <c r="B465" s="58"/>
      <c r="C465" s="58"/>
      <c r="D465" s="58"/>
      <c r="E465" s="58"/>
      <c r="F465" s="58"/>
      <c r="G465" s="58"/>
      <c r="H465" s="59"/>
      <c r="I465" s="59"/>
      <c r="J465" s="59"/>
      <c r="K465" s="59"/>
      <c r="L465" s="59"/>
      <c r="M465" s="60"/>
      <c r="N465" s="60"/>
      <c r="O465" s="60"/>
      <c r="P465" s="59"/>
      <c r="Q465" s="59"/>
      <c r="R465" s="60"/>
      <c r="S465" s="60"/>
      <c r="T465" s="60"/>
      <c r="U465" s="60"/>
      <c r="V465" s="60"/>
      <c r="W465" s="60"/>
    </row>
    <row r="466" spans="1:23" ht="13" x14ac:dyDescent="0.3">
      <c r="A466" s="58"/>
      <c r="B466" s="58"/>
      <c r="C466" s="58"/>
      <c r="D466" s="58"/>
      <c r="E466" s="58"/>
      <c r="F466" s="58"/>
      <c r="G466" s="58"/>
      <c r="H466" s="59"/>
      <c r="I466" s="59"/>
      <c r="J466" s="59"/>
      <c r="K466" s="59"/>
      <c r="L466" s="59"/>
      <c r="M466" s="60"/>
      <c r="N466" s="60"/>
      <c r="O466" s="60"/>
      <c r="P466" s="59"/>
      <c r="Q466" s="59"/>
      <c r="R466" s="60"/>
      <c r="S466" s="60"/>
      <c r="T466" s="60"/>
      <c r="U466" s="60"/>
      <c r="V466" s="60"/>
      <c r="W466" s="60"/>
    </row>
    <row r="467" spans="1:23" ht="13" x14ac:dyDescent="0.3">
      <c r="A467" s="58"/>
      <c r="B467" s="58"/>
      <c r="C467" s="58"/>
      <c r="D467" s="58"/>
      <c r="E467" s="58"/>
      <c r="F467" s="58"/>
      <c r="G467" s="58"/>
      <c r="H467" s="59"/>
      <c r="I467" s="59"/>
      <c r="J467" s="59"/>
      <c r="K467" s="59"/>
      <c r="L467" s="59"/>
      <c r="M467" s="60"/>
      <c r="N467" s="60"/>
      <c r="O467" s="60"/>
      <c r="P467" s="59"/>
      <c r="Q467" s="59"/>
      <c r="R467" s="60"/>
      <c r="S467" s="60"/>
      <c r="T467" s="60"/>
      <c r="U467" s="60"/>
      <c r="V467" s="60"/>
      <c r="W467" s="60"/>
    </row>
    <row r="468" spans="1:23" ht="13" x14ac:dyDescent="0.3">
      <c r="A468" s="58"/>
      <c r="B468" s="58"/>
      <c r="C468" s="58"/>
      <c r="D468" s="58"/>
      <c r="E468" s="58"/>
      <c r="F468" s="58"/>
      <c r="G468" s="58"/>
      <c r="H468" s="59"/>
      <c r="I468" s="59"/>
      <c r="J468" s="59"/>
      <c r="K468" s="59"/>
      <c r="L468" s="59"/>
      <c r="M468" s="60"/>
      <c r="N468" s="60"/>
      <c r="O468" s="60"/>
      <c r="P468" s="59"/>
      <c r="Q468" s="59"/>
      <c r="R468" s="60"/>
      <c r="S468" s="60"/>
      <c r="T468" s="60"/>
      <c r="U468" s="60"/>
      <c r="V468" s="60"/>
      <c r="W468" s="60"/>
    </row>
    <row r="469" spans="1:23" ht="13" x14ac:dyDescent="0.3">
      <c r="A469" s="58"/>
      <c r="B469" s="58"/>
      <c r="C469" s="58"/>
      <c r="D469" s="58"/>
      <c r="E469" s="58"/>
      <c r="F469" s="58"/>
      <c r="G469" s="58"/>
      <c r="H469" s="59"/>
      <c r="I469" s="59"/>
      <c r="J469" s="59"/>
      <c r="K469" s="59"/>
      <c r="L469" s="59"/>
      <c r="M469" s="60"/>
      <c r="N469" s="60"/>
      <c r="O469" s="60"/>
      <c r="P469" s="59"/>
      <c r="Q469" s="59"/>
      <c r="R469" s="60"/>
      <c r="S469" s="60"/>
      <c r="T469" s="60"/>
      <c r="U469" s="60"/>
      <c r="V469" s="60"/>
      <c r="W469" s="60"/>
    </row>
    <row r="470" spans="1:23" ht="13" x14ac:dyDescent="0.3">
      <c r="A470" s="58"/>
      <c r="B470" s="58"/>
      <c r="C470" s="58"/>
      <c r="D470" s="58"/>
      <c r="E470" s="58"/>
      <c r="F470" s="58"/>
      <c r="G470" s="58"/>
      <c r="H470" s="59"/>
      <c r="I470" s="59"/>
      <c r="J470" s="59"/>
      <c r="K470" s="59"/>
      <c r="L470" s="59"/>
      <c r="M470" s="60"/>
      <c r="N470" s="60"/>
      <c r="O470" s="60"/>
      <c r="P470" s="59"/>
      <c r="Q470" s="59"/>
      <c r="R470" s="60"/>
      <c r="S470" s="60"/>
      <c r="T470" s="60"/>
      <c r="U470" s="60"/>
      <c r="V470" s="60"/>
      <c r="W470" s="60"/>
    </row>
    <row r="471" spans="1:23" ht="13" x14ac:dyDescent="0.3">
      <c r="A471" s="58"/>
      <c r="B471" s="58"/>
      <c r="C471" s="58"/>
      <c r="D471" s="58"/>
      <c r="E471" s="58"/>
      <c r="F471" s="58"/>
      <c r="G471" s="58"/>
      <c r="H471" s="59"/>
      <c r="I471" s="59"/>
      <c r="J471" s="59"/>
      <c r="K471" s="59"/>
      <c r="L471" s="59"/>
      <c r="M471" s="60"/>
      <c r="N471" s="60"/>
      <c r="O471" s="60"/>
      <c r="P471" s="59"/>
      <c r="Q471" s="59"/>
      <c r="R471" s="60"/>
      <c r="S471" s="60"/>
      <c r="T471" s="60"/>
      <c r="U471" s="60"/>
      <c r="V471" s="60"/>
      <c r="W471" s="60"/>
    </row>
    <row r="472" spans="1:23" ht="13" x14ac:dyDescent="0.3">
      <c r="A472" s="58"/>
      <c r="B472" s="58"/>
      <c r="C472" s="58"/>
      <c r="D472" s="58"/>
      <c r="E472" s="58"/>
      <c r="F472" s="58"/>
      <c r="G472" s="58"/>
      <c r="H472" s="59"/>
      <c r="I472" s="59"/>
      <c r="J472" s="59"/>
      <c r="K472" s="59"/>
      <c r="L472" s="59"/>
      <c r="M472" s="60"/>
      <c r="N472" s="60"/>
      <c r="O472" s="60"/>
      <c r="P472" s="59"/>
      <c r="Q472" s="59"/>
      <c r="R472" s="60"/>
      <c r="S472" s="60"/>
      <c r="T472" s="60"/>
      <c r="U472" s="60"/>
      <c r="V472" s="60"/>
      <c r="W472" s="60"/>
    </row>
    <row r="473" spans="1:23" ht="13" x14ac:dyDescent="0.3">
      <c r="A473" s="58"/>
      <c r="B473" s="58"/>
      <c r="C473" s="58"/>
      <c r="D473" s="58"/>
      <c r="E473" s="58"/>
      <c r="F473" s="58"/>
      <c r="G473" s="58"/>
      <c r="H473" s="59"/>
      <c r="I473" s="59"/>
      <c r="J473" s="59"/>
      <c r="K473" s="59"/>
      <c r="L473" s="59"/>
      <c r="M473" s="60"/>
      <c r="N473" s="60"/>
      <c r="O473" s="60"/>
      <c r="P473" s="59"/>
      <c r="Q473" s="59"/>
      <c r="R473" s="60"/>
      <c r="S473" s="60"/>
      <c r="T473" s="60"/>
      <c r="U473" s="60"/>
      <c r="V473" s="60"/>
      <c r="W473" s="60"/>
    </row>
    <row r="474" spans="1:23" ht="13" x14ac:dyDescent="0.3">
      <c r="A474" s="58"/>
      <c r="B474" s="58"/>
      <c r="C474" s="58"/>
      <c r="D474" s="58"/>
      <c r="E474" s="58"/>
      <c r="F474" s="58"/>
      <c r="G474" s="58"/>
      <c r="H474" s="59"/>
      <c r="I474" s="59"/>
      <c r="J474" s="59"/>
      <c r="K474" s="59"/>
      <c r="L474" s="59"/>
      <c r="M474" s="60"/>
      <c r="N474" s="60"/>
      <c r="O474" s="60"/>
      <c r="P474" s="59"/>
      <c r="Q474" s="59"/>
      <c r="R474" s="60"/>
      <c r="S474" s="60"/>
      <c r="T474" s="60"/>
      <c r="U474" s="60"/>
      <c r="V474" s="60"/>
      <c r="W474" s="60"/>
    </row>
    <row r="475" spans="1:23" ht="13" x14ac:dyDescent="0.3">
      <c r="A475" s="58"/>
      <c r="B475" s="58"/>
      <c r="C475" s="58"/>
      <c r="D475" s="58"/>
      <c r="E475" s="58"/>
      <c r="F475" s="58"/>
      <c r="G475" s="58"/>
      <c r="H475" s="59"/>
      <c r="I475" s="59"/>
      <c r="J475" s="59"/>
      <c r="K475" s="59"/>
      <c r="L475" s="59"/>
      <c r="M475" s="60"/>
      <c r="N475" s="60"/>
      <c r="O475" s="60"/>
      <c r="P475" s="59"/>
      <c r="Q475" s="59"/>
      <c r="R475" s="60"/>
      <c r="S475" s="60"/>
      <c r="T475" s="60"/>
      <c r="U475" s="60"/>
      <c r="V475" s="60"/>
      <c r="W475" s="60"/>
    </row>
    <row r="476" spans="1:23" ht="13" x14ac:dyDescent="0.3">
      <c r="A476" s="58"/>
      <c r="B476" s="58"/>
      <c r="C476" s="58"/>
      <c r="D476" s="58"/>
      <c r="E476" s="58"/>
      <c r="F476" s="58"/>
      <c r="G476" s="58"/>
      <c r="H476" s="59"/>
      <c r="I476" s="59"/>
      <c r="J476" s="59"/>
      <c r="K476" s="59"/>
      <c r="L476" s="59"/>
      <c r="M476" s="60"/>
      <c r="N476" s="60"/>
      <c r="O476" s="60"/>
      <c r="P476" s="59"/>
      <c r="Q476" s="59"/>
      <c r="R476" s="60"/>
      <c r="S476" s="60"/>
      <c r="T476" s="60"/>
      <c r="U476" s="60"/>
      <c r="V476" s="60"/>
      <c r="W476" s="60"/>
    </row>
    <row r="477" spans="1:23" ht="13" x14ac:dyDescent="0.3">
      <c r="A477" s="58"/>
      <c r="B477" s="58"/>
      <c r="C477" s="58"/>
      <c r="D477" s="58"/>
      <c r="E477" s="58"/>
      <c r="F477" s="58"/>
      <c r="G477" s="58"/>
      <c r="H477" s="59"/>
      <c r="I477" s="59"/>
      <c r="J477" s="59"/>
      <c r="K477" s="59"/>
      <c r="L477" s="59"/>
      <c r="M477" s="60"/>
      <c r="N477" s="60"/>
      <c r="O477" s="60"/>
      <c r="P477" s="59"/>
      <c r="Q477" s="59"/>
      <c r="R477" s="60"/>
      <c r="S477" s="60"/>
      <c r="T477" s="60"/>
      <c r="U477" s="60"/>
      <c r="V477" s="60"/>
      <c r="W477" s="60"/>
    </row>
    <row r="478" spans="1:23" ht="13" x14ac:dyDescent="0.3">
      <c r="A478" s="58"/>
      <c r="B478" s="58"/>
      <c r="C478" s="58"/>
      <c r="D478" s="58"/>
      <c r="E478" s="58"/>
      <c r="F478" s="58"/>
      <c r="G478" s="58"/>
      <c r="H478" s="59"/>
      <c r="I478" s="59"/>
      <c r="J478" s="59"/>
      <c r="K478" s="59"/>
      <c r="L478" s="59"/>
      <c r="M478" s="60"/>
      <c r="N478" s="60"/>
      <c r="O478" s="60"/>
      <c r="P478" s="59"/>
      <c r="Q478" s="59"/>
      <c r="R478" s="60"/>
      <c r="S478" s="60"/>
      <c r="T478" s="60"/>
      <c r="U478" s="60"/>
      <c r="V478" s="60"/>
      <c r="W478" s="60"/>
    </row>
    <row r="479" spans="1:23" ht="13" x14ac:dyDescent="0.3">
      <c r="A479" s="58"/>
      <c r="B479" s="58"/>
      <c r="C479" s="58"/>
      <c r="D479" s="58"/>
      <c r="E479" s="58"/>
      <c r="F479" s="58"/>
      <c r="G479" s="58"/>
      <c r="H479" s="59"/>
      <c r="I479" s="59"/>
      <c r="J479" s="59"/>
      <c r="K479" s="59"/>
      <c r="L479" s="59"/>
      <c r="M479" s="60"/>
      <c r="N479" s="60"/>
      <c r="O479" s="60"/>
      <c r="P479" s="59"/>
      <c r="Q479" s="59"/>
      <c r="R479" s="60"/>
      <c r="S479" s="60"/>
      <c r="T479" s="60"/>
      <c r="U479" s="60"/>
      <c r="V479" s="60"/>
      <c r="W479" s="60"/>
    </row>
    <row r="480" spans="1:23" ht="13" x14ac:dyDescent="0.3">
      <c r="A480" s="58"/>
      <c r="B480" s="58"/>
      <c r="C480" s="58"/>
      <c r="D480" s="58"/>
      <c r="E480" s="58"/>
      <c r="F480" s="58"/>
      <c r="G480" s="58"/>
      <c r="H480" s="59"/>
      <c r="I480" s="59"/>
      <c r="J480" s="59"/>
      <c r="K480" s="59"/>
      <c r="L480" s="59"/>
      <c r="M480" s="60"/>
      <c r="N480" s="60"/>
      <c r="O480" s="60"/>
      <c r="P480" s="59"/>
      <c r="Q480" s="59"/>
      <c r="R480" s="60"/>
      <c r="S480" s="60"/>
      <c r="T480" s="60"/>
      <c r="U480" s="60"/>
      <c r="V480" s="60"/>
      <c r="W480" s="60"/>
    </row>
    <row r="481" spans="1:23" ht="13" x14ac:dyDescent="0.3">
      <c r="A481" s="58"/>
      <c r="B481" s="58"/>
      <c r="C481" s="58"/>
      <c r="D481" s="58"/>
      <c r="E481" s="58"/>
      <c r="F481" s="58"/>
      <c r="G481" s="58"/>
      <c r="H481" s="59"/>
      <c r="I481" s="59"/>
      <c r="J481" s="59"/>
      <c r="K481" s="59"/>
      <c r="L481" s="59"/>
      <c r="M481" s="60"/>
      <c r="N481" s="60"/>
      <c r="O481" s="60"/>
      <c r="P481" s="59"/>
      <c r="Q481" s="59"/>
      <c r="R481" s="60"/>
      <c r="S481" s="60"/>
      <c r="T481" s="60"/>
      <c r="U481" s="60"/>
      <c r="V481" s="60"/>
      <c r="W481" s="60"/>
    </row>
    <row r="482" spans="1:23" ht="13" x14ac:dyDescent="0.3">
      <c r="A482" s="58"/>
      <c r="B482" s="58"/>
      <c r="C482" s="58"/>
      <c r="D482" s="58"/>
      <c r="E482" s="58"/>
      <c r="F482" s="58"/>
      <c r="G482" s="58"/>
      <c r="H482" s="59"/>
      <c r="I482" s="59"/>
      <c r="J482" s="59"/>
      <c r="K482" s="59"/>
      <c r="L482" s="59"/>
      <c r="M482" s="60"/>
      <c r="N482" s="60"/>
      <c r="O482" s="60"/>
      <c r="P482" s="59"/>
      <c r="Q482" s="59"/>
      <c r="R482" s="60"/>
      <c r="S482" s="60"/>
      <c r="T482" s="60"/>
      <c r="U482" s="60"/>
      <c r="V482" s="60"/>
      <c r="W482" s="60"/>
    </row>
    <row r="483" spans="1:23" ht="13" x14ac:dyDescent="0.3">
      <c r="A483" s="58"/>
      <c r="B483" s="58"/>
      <c r="C483" s="58"/>
      <c r="D483" s="58"/>
      <c r="E483" s="58"/>
      <c r="F483" s="58"/>
      <c r="G483" s="58"/>
      <c r="H483" s="59"/>
      <c r="I483" s="59"/>
      <c r="J483" s="59"/>
      <c r="K483" s="59"/>
      <c r="L483" s="59"/>
      <c r="M483" s="60"/>
      <c r="N483" s="60"/>
      <c r="O483" s="60"/>
      <c r="P483" s="59"/>
      <c r="Q483" s="59"/>
      <c r="R483" s="60"/>
      <c r="S483" s="60"/>
      <c r="T483" s="60"/>
      <c r="U483" s="60"/>
      <c r="V483" s="60"/>
      <c r="W483" s="60"/>
    </row>
    <row r="484" spans="1:23" ht="13" x14ac:dyDescent="0.3">
      <c r="A484" s="58"/>
      <c r="B484" s="58"/>
      <c r="C484" s="58"/>
      <c r="D484" s="58"/>
      <c r="E484" s="58"/>
      <c r="F484" s="58"/>
      <c r="G484" s="58"/>
      <c r="H484" s="59"/>
      <c r="I484" s="59"/>
      <c r="J484" s="59"/>
      <c r="K484" s="59"/>
      <c r="L484" s="59"/>
      <c r="M484" s="60"/>
      <c r="N484" s="60"/>
      <c r="O484" s="60"/>
      <c r="P484" s="59"/>
      <c r="Q484" s="59"/>
      <c r="R484" s="60"/>
      <c r="S484" s="60"/>
      <c r="T484" s="60"/>
      <c r="U484" s="60"/>
      <c r="V484" s="60"/>
      <c r="W484" s="60"/>
    </row>
    <row r="485" spans="1:23" ht="13" x14ac:dyDescent="0.3">
      <c r="A485" s="58"/>
      <c r="B485" s="58"/>
      <c r="C485" s="58"/>
      <c r="D485" s="58"/>
      <c r="E485" s="58"/>
      <c r="F485" s="58"/>
      <c r="G485" s="58"/>
      <c r="H485" s="59"/>
      <c r="I485" s="59"/>
      <c r="J485" s="59"/>
      <c r="K485" s="59"/>
      <c r="L485" s="59"/>
      <c r="M485" s="60"/>
      <c r="N485" s="60"/>
      <c r="O485" s="60"/>
      <c r="P485" s="59"/>
      <c r="Q485" s="59"/>
      <c r="R485" s="60"/>
      <c r="S485" s="60"/>
      <c r="T485" s="60"/>
      <c r="U485" s="60"/>
      <c r="V485" s="60"/>
      <c r="W485" s="60"/>
    </row>
    <row r="486" spans="1:23" ht="13" x14ac:dyDescent="0.3">
      <c r="A486" s="58"/>
      <c r="B486" s="58"/>
      <c r="C486" s="58"/>
      <c r="D486" s="58"/>
      <c r="E486" s="58"/>
      <c r="F486" s="58"/>
      <c r="G486" s="58"/>
      <c r="H486" s="59"/>
      <c r="I486" s="59"/>
      <c r="J486" s="59"/>
      <c r="K486" s="59"/>
      <c r="L486" s="59"/>
      <c r="M486" s="60"/>
      <c r="N486" s="60"/>
      <c r="O486" s="60"/>
      <c r="P486" s="59"/>
      <c r="Q486" s="59"/>
      <c r="R486" s="60"/>
      <c r="S486" s="60"/>
      <c r="T486" s="60"/>
      <c r="U486" s="60"/>
      <c r="V486" s="60"/>
      <c r="W486" s="60"/>
    </row>
    <row r="487" spans="1:23" ht="13" x14ac:dyDescent="0.3">
      <c r="A487" s="58"/>
      <c r="B487" s="58"/>
      <c r="C487" s="58"/>
      <c r="D487" s="58"/>
      <c r="E487" s="58"/>
      <c r="F487" s="58"/>
      <c r="G487" s="58"/>
      <c r="H487" s="59"/>
      <c r="I487" s="59"/>
      <c r="J487" s="59"/>
      <c r="K487" s="59"/>
      <c r="L487" s="59"/>
      <c r="M487" s="60"/>
      <c r="N487" s="60"/>
      <c r="O487" s="60"/>
      <c r="P487" s="59"/>
      <c r="Q487" s="59"/>
      <c r="R487" s="60"/>
      <c r="S487" s="60"/>
      <c r="T487" s="60"/>
      <c r="U487" s="60"/>
      <c r="V487" s="60"/>
      <c r="W487" s="60"/>
    </row>
    <row r="488" spans="1:23" ht="13" x14ac:dyDescent="0.3">
      <c r="A488" s="58"/>
      <c r="B488" s="58"/>
      <c r="C488" s="58"/>
      <c r="D488" s="58"/>
      <c r="E488" s="58"/>
      <c r="F488" s="58"/>
      <c r="G488" s="58"/>
      <c r="H488" s="59"/>
      <c r="I488" s="59"/>
      <c r="J488" s="59"/>
      <c r="K488" s="59"/>
      <c r="L488" s="59"/>
      <c r="M488" s="60"/>
      <c r="N488" s="60"/>
      <c r="O488" s="60"/>
      <c r="P488" s="59"/>
      <c r="Q488" s="59"/>
      <c r="R488" s="60"/>
      <c r="S488" s="60"/>
      <c r="T488" s="60"/>
      <c r="U488" s="60"/>
      <c r="V488" s="60"/>
      <c r="W488" s="60"/>
    </row>
    <row r="489" spans="1:23" ht="13" x14ac:dyDescent="0.3">
      <c r="A489" s="58"/>
      <c r="B489" s="58"/>
      <c r="C489" s="58"/>
      <c r="D489" s="58"/>
      <c r="E489" s="58"/>
      <c r="F489" s="58"/>
      <c r="G489" s="58"/>
      <c r="H489" s="59"/>
      <c r="I489" s="59"/>
      <c r="J489" s="59"/>
      <c r="K489" s="59"/>
      <c r="L489" s="59"/>
      <c r="M489" s="60"/>
      <c r="N489" s="60"/>
      <c r="O489" s="60"/>
      <c r="P489" s="59"/>
      <c r="Q489" s="59"/>
      <c r="R489" s="60"/>
      <c r="S489" s="60"/>
      <c r="T489" s="60"/>
      <c r="U489" s="60"/>
      <c r="V489" s="60"/>
      <c r="W489" s="60"/>
    </row>
    <row r="490" spans="1:23" ht="13" x14ac:dyDescent="0.3">
      <c r="A490" s="58"/>
      <c r="B490" s="58"/>
      <c r="C490" s="58"/>
      <c r="D490" s="58"/>
      <c r="E490" s="58"/>
      <c r="F490" s="58"/>
      <c r="G490" s="58"/>
      <c r="H490" s="59"/>
      <c r="I490" s="59"/>
      <c r="J490" s="59"/>
      <c r="K490" s="59"/>
      <c r="L490" s="59"/>
      <c r="M490" s="60"/>
      <c r="N490" s="60"/>
      <c r="O490" s="60"/>
      <c r="P490" s="59"/>
      <c r="Q490" s="59"/>
      <c r="R490" s="60"/>
      <c r="S490" s="60"/>
      <c r="T490" s="60"/>
      <c r="U490" s="60"/>
      <c r="V490" s="60"/>
      <c r="W490" s="60"/>
    </row>
    <row r="491" spans="1:23" ht="13" x14ac:dyDescent="0.3">
      <c r="A491" s="58"/>
      <c r="B491" s="58"/>
      <c r="C491" s="58"/>
      <c r="D491" s="58"/>
      <c r="E491" s="58"/>
      <c r="F491" s="58"/>
      <c r="G491" s="58"/>
      <c r="H491" s="59"/>
      <c r="I491" s="59"/>
      <c r="J491" s="59"/>
      <c r="K491" s="59"/>
      <c r="L491" s="59"/>
      <c r="M491" s="60"/>
      <c r="N491" s="60"/>
      <c r="O491" s="60"/>
      <c r="P491" s="59"/>
      <c r="Q491" s="59"/>
      <c r="R491" s="60"/>
      <c r="S491" s="60"/>
      <c r="T491" s="60"/>
      <c r="U491" s="60"/>
      <c r="V491" s="60"/>
      <c r="W491" s="60"/>
    </row>
    <row r="492" spans="1:23" ht="13" x14ac:dyDescent="0.3">
      <c r="A492" s="58"/>
      <c r="B492" s="58"/>
      <c r="C492" s="58"/>
      <c r="D492" s="58"/>
      <c r="E492" s="58"/>
      <c r="F492" s="58"/>
      <c r="G492" s="58"/>
      <c r="H492" s="59"/>
      <c r="I492" s="59"/>
      <c r="J492" s="59"/>
      <c r="K492" s="59"/>
      <c r="L492" s="59"/>
      <c r="M492" s="60"/>
      <c r="N492" s="60"/>
      <c r="O492" s="60"/>
      <c r="P492" s="59"/>
      <c r="Q492" s="59"/>
      <c r="R492" s="60"/>
      <c r="S492" s="60"/>
      <c r="T492" s="60"/>
      <c r="U492" s="60"/>
      <c r="V492" s="60"/>
      <c r="W492" s="60"/>
    </row>
    <row r="493" spans="1:23" ht="13" x14ac:dyDescent="0.3">
      <c r="A493" s="58"/>
      <c r="B493" s="58"/>
      <c r="C493" s="58"/>
      <c r="D493" s="58"/>
      <c r="E493" s="58"/>
      <c r="F493" s="58"/>
      <c r="G493" s="58"/>
      <c r="H493" s="59"/>
      <c r="I493" s="59"/>
      <c r="J493" s="59"/>
      <c r="K493" s="59"/>
      <c r="L493" s="59"/>
      <c r="M493" s="60"/>
      <c r="N493" s="60"/>
      <c r="O493" s="60"/>
      <c r="P493" s="59"/>
      <c r="Q493" s="59"/>
      <c r="R493" s="60"/>
      <c r="S493" s="60"/>
      <c r="T493" s="60"/>
      <c r="U493" s="60"/>
      <c r="V493" s="60"/>
      <c r="W493" s="60"/>
    </row>
    <row r="494" spans="1:23" ht="13" x14ac:dyDescent="0.3">
      <c r="A494" s="58"/>
      <c r="B494" s="58"/>
      <c r="C494" s="58"/>
      <c r="D494" s="58"/>
      <c r="E494" s="58"/>
      <c r="F494" s="58"/>
      <c r="G494" s="58"/>
      <c r="H494" s="59"/>
      <c r="I494" s="59"/>
      <c r="J494" s="59"/>
      <c r="K494" s="59"/>
      <c r="L494" s="59"/>
      <c r="M494" s="60"/>
      <c r="N494" s="60"/>
      <c r="O494" s="60"/>
      <c r="P494" s="59"/>
      <c r="Q494" s="59"/>
      <c r="R494" s="60"/>
      <c r="S494" s="60"/>
      <c r="T494" s="60"/>
      <c r="U494" s="60"/>
      <c r="V494" s="60"/>
      <c r="W494" s="60"/>
    </row>
    <row r="495" spans="1:23" ht="13" x14ac:dyDescent="0.3">
      <c r="A495" s="58"/>
      <c r="B495" s="58"/>
      <c r="C495" s="58"/>
      <c r="D495" s="58"/>
      <c r="E495" s="58"/>
      <c r="F495" s="58"/>
      <c r="G495" s="58"/>
      <c r="H495" s="59"/>
      <c r="I495" s="59"/>
      <c r="J495" s="59"/>
      <c r="K495" s="59"/>
      <c r="L495" s="59"/>
      <c r="M495" s="60"/>
      <c r="N495" s="60"/>
      <c r="O495" s="60"/>
      <c r="P495" s="59"/>
      <c r="Q495" s="59"/>
      <c r="R495" s="60"/>
      <c r="S495" s="60"/>
      <c r="T495" s="60"/>
      <c r="U495" s="60"/>
      <c r="V495" s="60"/>
      <c r="W495" s="60"/>
    </row>
    <row r="496" spans="1:23" ht="13" x14ac:dyDescent="0.3">
      <c r="A496" s="58"/>
      <c r="B496" s="58"/>
      <c r="C496" s="58"/>
      <c r="D496" s="58"/>
      <c r="E496" s="58"/>
      <c r="F496" s="58"/>
      <c r="G496" s="58"/>
      <c r="H496" s="59"/>
      <c r="I496" s="59"/>
      <c r="J496" s="59"/>
      <c r="K496" s="59"/>
      <c r="L496" s="59"/>
      <c r="M496" s="60"/>
      <c r="N496" s="60"/>
      <c r="O496" s="60"/>
      <c r="P496" s="59"/>
      <c r="Q496" s="59"/>
      <c r="R496" s="60"/>
      <c r="S496" s="60"/>
      <c r="T496" s="60"/>
      <c r="U496" s="60"/>
      <c r="V496" s="60"/>
      <c r="W496" s="60"/>
    </row>
    <row r="497" spans="1:23" ht="13" x14ac:dyDescent="0.3">
      <c r="A497" s="58"/>
      <c r="B497" s="58"/>
      <c r="C497" s="58"/>
      <c r="D497" s="58"/>
      <c r="E497" s="58"/>
      <c r="F497" s="58"/>
      <c r="G497" s="58"/>
      <c r="H497" s="59"/>
      <c r="I497" s="59"/>
      <c r="J497" s="59"/>
      <c r="K497" s="59"/>
      <c r="L497" s="59"/>
      <c r="M497" s="60"/>
      <c r="N497" s="60"/>
      <c r="O497" s="60"/>
      <c r="P497" s="59"/>
      <c r="Q497" s="59"/>
      <c r="R497" s="60"/>
      <c r="S497" s="60"/>
      <c r="T497" s="60"/>
      <c r="U497" s="60"/>
      <c r="V497" s="60"/>
      <c r="W497" s="60"/>
    </row>
    <row r="498" spans="1:23" ht="13" x14ac:dyDescent="0.3">
      <c r="A498" s="58"/>
      <c r="B498" s="58"/>
      <c r="C498" s="58"/>
      <c r="D498" s="58"/>
      <c r="E498" s="58"/>
      <c r="F498" s="58"/>
      <c r="G498" s="58"/>
      <c r="H498" s="59"/>
      <c r="I498" s="59"/>
      <c r="J498" s="59"/>
      <c r="K498" s="59"/>
      <c r="L498" s="59"/>
      <c r="M498" s="60"/>
      <c r="N498" s="60"/>
      <c r="O498" s="60"/>
      <c r="P498" s="59"/>
      <c r="Q498" s="59"/>
      <c r="R498" s="60"/>
      <c r="S498" s="60"/>
      <c r="T498" s="60"/>
      <c r="U498" s="60"/>
      <c r="V498" s="60"/>
      <c r="W498" s="60"/>
    </row>
    <row r="499" spans="1:23" ht="13" x14ac:dyDescent="0.3">
      <c r="A499" s="58"/>
      <c r="B499" s="58"/>
      <c r="C499" s="58"/>
      <c r="D499" s="58"/>
      <c r="E499" s="58"/>
      <c r="F499" s="58"/>
      <c r="G499" s="58"/>
      <c r="H499" s="59"/>
      <c r="I499" s="59"/>
      <c r="J499" s="59"/>
      <c r="K499" s="59"/>
      <c r="L499" s="59"/>
      <c r="M499" s="60"/>
      <c r="N499" s="60"/>
      <c r="O499" s="60"/>
      <c r="P499" s="59"/>
      <c r="Q499" s="59"/>
      <c r="R499" s="60"/>
      <c r="S499" s="60"/>
      <c r="T499" s="60"/>
      <c r="U499" s="60"/>
      <c r="V499" s="60"/>
      <c r="W499" s="60"/>
    </row>
    <row r="500" spans="1:23" ht="13" x14ac:dyDescent="0.3">
      <c r="A500" s="58"/>
      <c r="B500" s="58"/>
      <c r="C500" s="58"/>
      <c r="D500" s="58"/>
      <c r="E500" s="58"/>
      <c r="F500" s="58"/>
      <c r="G500" s="58"/>
      <c r="H500" s="59"/>
      <c r="I500" s="59"/>
      <c r="J500" s="59"/>
      <c r="K500" s="59"/>
      <c r="L500" s="59"/>
      <c r="M500" s="60"/>
      <c r="N500" s="60"/>
      <c r="O500" s="60"/>
      <c r="P500" s="59"/>
      <c r="Q500" s="59"/>
      <c r="R500" s="60"/>
      <c r="S500" s="60"/>
      <c r="T500" s="60"/>
      <c r="U500" s="60"/>
      <c r="V500" s="60"/>
      <c r="W500" s="60"/>
    </row>
    <row r="501" spans="1:23" ht="13" x14ac:dyDescent="0.3">
      <c r="A501" s="58"/>
      <c r="B501" s="58"/>
      <c r="C501" s="58"/>
      <c r="D501" s="58"/>
      <c r="E501" s="58"/>
      <c r="F501" s="58"/>
      <c r="G501" s="58"/>
      <c r="H501" s="59"/>
      <c r="I501" s="59"/>
      <c r="J501" s="59"/>
      <c r="K501" s="59"/>
      <c r="L501" s="59"/>
      <c r="M501" s="60"/>
      <c r="N501" s="60"/>
      <c r="O501" s="60"/>
      <c r="P501" s="59"/>
      <c r="Q501" s="59"/>
      <c r="R501" s="60"/>
      <c r="S501" s="60"/>
      <c r="T501" s="60"/>
      <c r="U501" s="60"/>
      <c r="V501" s="60"/>
      <c r="W501" s="60"/>
    </row>
    <row r="502" spans="1:23" ht="13" x14ac:dyDescent="0.3">
      <c r="A502" s="58"/>
      <c r="B502" s="58"/>
      <c r="C502" s="58"/>
      <c r="D502" s="58"/>
      <c r="E502" s="58"/>
      <c r="F502" s="58"/>
      <c r="G502" s="58"/>
      <c r="H502" s="59"/>
      <c r="I502" s="59"/>
      <c r="J502" s="59"/>
      <c r="K502" s="59"/>
      <c r="L502" s="59"/>
      <c r="M502" s="60"/>
      <c r="N502" s="60"/>
      <c r="O502" s="60"/>
      <c r="P502" s="59"/>
      <c r="Q502" s="59"/>
      <c r="R502" s="60"/>
      <c r="S502" s="60"/>
      <c r="T502" s="60"/>
      <c r="U502" s="60"/>
      <c r="V502" s="60"/>
      <c r="W502" s="60"/>
    </row>
    <row r="503" spans="1:23" ht="13" x14ac:dyDescent="0.3">
      <c r="A503" s="58"/>
      <c r="B503" s="58"/>
      <c r="C503" s="58"/>
      <c r="D503" s="58"/>
      <c r="E503" s="58"/>
      <c r="F503" s="58"/>
      <c r="G503" s="58"/>
      <c r="H503" s="59"/>
      <c r="I503" s="59"/>
      <c r="J503" s="59"/>
      <c r="K503" s="59"/>
      <c r="L503" s="59"/>
      <c r="M503" s="60"/>
      <c r="N503" s="60"/>
      <c r="O503" s="60"/>
      <c r="P503" s="59"/>
      <c r="Q503" s="59"/>
      <c r="R503" s="60"/>
      <c r="S503" s="60"/>
      <c r="T503" s="60"/>
      <c r="U503" s="60"/>
      <c r="V503" s="60"/>
      <c r="W503" s="60"/>
    </row>
    <row r="504" spans="1:23" ht="13" x14ac:dyDescent="0.3">
      <c r="A504" s="58"/>
      <c r="B504" s="58"/>
      <c r="C504" s="58"/>
      <c r="D504" s="58"/>
      <c r="E504" s="58"/>
      <c r="F504" s="58"/>
      <c r="G504" s="58"/>
      <c r="H504" s="59"/>
      <c r="I504" s="59"/>
      <c r="J504" s="59"/>
      <c r="K504" s="59"/>
      <c r="L504" s="59"/>
      <c r="M504" s="60"/>
      <c r="N504" s="60"/>
      <c r="O504" s="60"/>
      <c r="P504" s="59"/>
      <c r="Q504" s="59"/>
      <c r="R504" s="60"/>
      <c r="S504" s="60"/>
      <c r="T504" s="60"/>
      <c r="U504" s="60"/>
      <c r="V504" s="60"/>
      <c r="W504" s="60"/>
    </row>
    <row r="505" spans="1:23" ht="13" x14ac:dyDescent="0.3">
      <c r="A505" s="58"/>
      <c r="B505" s="58"/>
      <c r="C505" s="58"/>
      <c r="D505" s="58"/>
      <c r="E505" s="58"/>
      <c r="F505" s="58"/>
      <c r="G505" s="58"/>
      <c r="H505" s="59"/>
      <c r="I505" s="59"/>
      <c r="J505" s="59"/>
      <c r="K505" s="59"/>
      <c r="L505" s="59"/>
      <c r="M505" s="60"/>
      <c r="N505" s="60"/>
      <c r="O505" s="60"/>
      <c r="P505" s="59"/>
      <c r="Q505" s="59"/>
      <c r="R505" s="60"/>
      <c r="S505" s="60"/>
      <c r="T505" s="60"/>
      <c r="U505" s="60"/>
      <c r="V505" s="60"/>
      <c r="W505" s="60"/>
    </row>
    <row r="506" spans="1:23" ht="13" x14ac:dyDescent="0.3">
      <c r="A506" s="58"/>
      <c r="B506" s="58"/>
      <c r="C506" s="58"/>
      <c r="D506" s="58"/>
      <c r="E506" s="58"/>
      <c r="F506" s="58"/>
      <c r="G506" s="58"/>
      <c r="H506" s="59"/>
      <c r="I506" s="59"/>
      <c r="J506" s="59"/>
      <c r="K506" s="59"/>
      <c r="L506" s="59"/>
      <c r="M506" s="60"/>
      <c r="N506" s="60"/>
      <c r="O506" s="60"/>
      <c r="P506" s="59"/>
      <c r="Q506" s="59"/>
      <c r="R506" s="60"/>
      <c r="S506" s="60"/>
      <c r="T506" s="60"/>
      <c r="U506" s="60"/>
      <c r="V506" s="60"/>
      <c r="W506" s="60"/>
    </row>
    <row r="507" spans="1:23" ht="13" x14ac:dyDescent="0.3">
      <c r="A507" s="58"/>
      <c r="B507" s="58"/>
      <c r="C507" s="58"/>
      <c r="D507" s="58"/>
      <c r="E507" s="58"/>
      <c r="F507" s="58"/>
      <c r="G507" s="58"/>
      <c r="H507" s="59"/>
      <c r="I507" s="59"/>
      <c r="J507" s="59"/>
      <c r="K507" s="59"/>
      <c r="L507" s="59"/>
      <c r="M507" s="60"/>
      <c r="N507" s="60"/>
      <c r="O507" s="60"/>
      <c r="P507" s="59"/>
      <c r="Q507" s="59"/>
      <c r="R507" s="60"/>
      <c r="S507" s="60"/>
      <c r="T507" s="60"/>
      <c r="U507" s="60"/>
      <c r="V507" s="60"/>
      <c r="W507" s="60"/>
    </row>
    <row r="508" spans="1:23" ht="13" x14ac:dyDescent="0.3">
      <c r="A508" s="58"/>
      <c r="B508" s="58"/>
      <c r="C508" s="58"/>
      <c r="D508" s="58"/>
      <c r="E508" s="58"/>
      <c r="F508" s="58"/>
      <c r="G508" s="58"/>
      <c r="H508" s="59"/>
      <c r="I508" s="59"/>
      <c r="J508" s="59"/>
      <c r="K508" s="59"/>
      <c r="L508" s="59"/>
      <c r="M508" s="60"/>
      <c r="N508" s="60"/>
      <c r="O508" s="60"/>
      <c r="P508" s="59"/>
      <c r="Q508" s="59"/>
      <c r="R508" s="60"/>
      <c r="S508" s="60"/>
      <c r="T508" s="60"/>
      <c r="U508" s="60"/>
      <c r="V508" s="60"/>
      <c r="W508" s="60"/>
    </row>
    <row r="509" spans="1:23" ht="13" x14ac:dyDescent="0.3">
      <c r="A509" s="58"/>
      <c r="B509" s="58"/>
      <c r="C509" s="58"/>
      <c r="D509" s="58"/>
      <c r="E509" s="58"/>
      <c r="F509" s="58"/>
      <c r="G509" s="58"/>
      <c r="H509" s="59"/>
      <c r="I509" s="59"/>
      <c r="J509" s="59"/>
      <c r="K509" s="59"/>
      <c r="L509" s="59"/>
      <c r="M509" s="60"/>
      <c r="N509" s="60"/>
      <c r="O509" s="60"/>
      <c r="P509" s="59"/>
      <c r="Q509" s="59"/>
      <c r="R509" s="60"/>
      <c r="S509" s="60"/>
      <c r="T509" s="60"/>
      <c r="U509" s="60"/>
      <c r="V509" s="60"/>
      <c r="W509" s="60"/>
    </row>
    <row r="510" spans="1:23" ht="13" x14ac:dyDescent="0.3">
      <c r="A510" s="58"/>
      <c r="B510" s="58"/>
      <c r="C510" s="58"/>
      <c r="D510" s="58"/>
      <c r="E510" s="58"/>
      <c r="F510" s="58"/>
      <c r="G510" s="58"/>
      <c r="H510" s="59"/>
      <c r="I510" s="59"/>
      <c r="J510" s="59"/>
      <c r="K510" s="59"/>
      <c r="L510" s="59"/>
      <c r="M510" s="60"/>
      <c r="N510" s="60"/>
      <c r="O510" s="60"/>
      <c r="P510" s="59"/>
      <c r="Q510" s="59"/>
      <c r="R510" s="60"/>
      <c r="S510" s="60"/>
      <c r="T510" s="60"/>
      <c r="U510" s="60"/>
      <c r="V510" s="60"/>
      <c r="W510" s="60"/>
    </row>
    <row r="511" spans="1:23" ht="13" x14ac:dyDescent="0.3">
      <c r="A511" s="58"/>
      <c r="B511" s="58"/>
      <c r="C511" s="58"/>
      <c r="D511" s="58"/>
      <c r="E511" s="58"/>
      <c r="F511" s="58"/>
      <c r="G511" s="58"/>
      <c r="H511" s="59"/>
      <c r="I511" s="59"/>
      <c r="J511" s="59"/>
      <c r="K511" s="59"/>
      <c r="L511" s="59"/>
      <c r="M511" s="60"/>
      <c r="N511" s="60"/>
      <c r="O511" s="60"/>
      <c r="P511" s="59"/>
      <c r="Q511" s="59"/>
      <c r="R511" s="60"/>
      <c r="S511" s="60"/>
      <c r="T511" s="60"/>
      <c r="U511" s="60"/>
      <c r="V511" s="60"/>
      <c r="W511" s="60"/>
    </row>
    <row r="512" spans="1:23" ht="13" x14ac:dyDescent="0.3">
      <c r="A512" s="58"/>
      <c r="B512" s="58"/>
      <c r="C512" s="58"/>
      <c r="D512" s="58"/>
      <c r="E512" s="58"/>
      <c r="F512" s="58"/>
      <c r="G512" s="58"/>
      <c r="H512" s="59"/>
      <c r="I512" s="59"/>
      <c r="J512" s="59"/>
      <c r="K512" s="59"/>
      <c r="L512" s="59"/>
      <c r="M512" s="60"/>
      <c r="N512" s="60"/>
      <c r="O512" s="60"/>
      <c r="P512" s="59"/>
      <c r="Q512" s="59"/>
      <c r="R512" s="60"/>
      <c r="S512" s="60"/>
      <c r="T512" s="60"/>
      <c r="U512" s="60"/>
      <c r="V512" s="60"/>
      <c r="W512" s="60"/>
    </row>
    <row r="513" spans="1:23" ht="13" x14ac:dyDescent="0.3">
      <c r="A513" s="58"/>
      <c r="B513" s="58"/>
      <c r="C513" s="58"/>
      <c r="D513" s="58"/>
      <c r="E513" s="58"/>
      <c r="F513" s="58"/>
      <c r="G513" s="58"/>
      <c r="H513" s="59"/>
      <c r="I513" s="59"/>
      <c r="J513" s="59"/>
      <c r="K513" s="59"/>
      <c r="L513" s="59"/>
      <c r="M513" s="60"/>
      <c r="N513" s="60"/>
      <c r="O513" s="60"/>
      <c r="P513" s="59"/>
      <c r="Q513" s="59"/>
      <c r="R513" s="60"/>
      <c r="S513" s="60"/>
      <c r="T513" s="60"/>
      <c r="U513" s="60"/>
      <c r="V513" s="60"/>
      <c r="W513" s="60"/>
    </row>
    <row r="514" spans="1:23" ht="13" x14ac:dyDescent="0.3">
      <c r="A514" s="58"/>
      <c r="B514" s="58"/>
      <c r="C514" s="58"/>
      <c r="D514" s="58"/>
      <c r="E514" s="58"/>
      <c r="F514" s="58"/>
      <c r="G514" s="58"/>
      <c r="H514" s="59"/>
      <c r="I514" s="59"/>
      <c r="J514" s="59"/>
      <c r="K514" s="59"/>
      <c r="L514" s="59"/>
      <c r="M514" s="60"/>
      <c r="N514" s="60"/>
      <c r="O514" s="60"/>
      <c r="P514" s="59"/>
      <c r="Q514" s="59"/>
      <c r="R514" s="60"/>
      <c r="S514" s="60"/>
      <c r="T514" s="60"/>
      <c r="U514" s="60"/>
      <c r="V514" s="60"/>
      <c r="W514" s="60"/>
    </row>
    <row r="515" spans="1:23" ht="13" x14ac:dyDescent="0.3">
      <c r="A515" s="58"/>
      <c r="B515" s="58"/>
      <c r="C515" s="58"/>
      <c r="D515" s="58"/>
      <c r="E515" s="58"/>
      <c r="F515" s="58"/>
      <c r="G515" s="58"/>
      <c r="H515" s="59"/>
      <c r="I515" s="59"/>
      <c r="J515" s="59"/>
      <c r="K515" s="59"/>
      <c r="L515" s="59"/>
      <c r="M515" s="60"/>
      <c r="N515" s="60"/>
      <c r="O515" s="60"/>
      <c r="P515" s="59"/>
      <c r="Q515" s="59"/>
      <c r="R515" s="60"/>
      <c r="S515" s="60"/>
      <c r="T515" s="60"/>
      <c r="U515" s="60"/>
      <c r="V515" s="60"/>
      <c r="W515" s="60"/>
    </row>
    <row r="516" spans="1:23" ht="13" x14ac:dyDescent="0.3">
      <c r="A516" s="58"/>
      <c r="B516" s="58"/>
      <c r="C516" s="58"/>
      <c r="D516" s="58"/>
      <c r="E516" s="58"/>
      <c r="F516" s="58"/>
      <c r="G516" s="58"/>
      <c r="H516" s="59"/>
      <c r="I516" s="59"/>
      <c r="J516" s="59"/>
      <c r="K516" s="59"/>
      <c r="L516" s="59"/>
      <c r="M516" s="60"/>
      <c r="N516" s="60"/>
      <c r="O516" s="60"/>
      <c r="P516" s="59"/>
      <c r="Q516" s="59"/>
      <c r="R516" s="60"/>
      <c r="S516" s="60"/>
      <c r="T516" s="60"/>
      <c r="U516" s="60"/>
      <c r="V516" s="60"/>
      <c r="W516" s="60"/>
    </row>
    <row r="517" spans="1:23" ht="13" x14ac:dyDescent="0.3">
      <c r="A517" s="58"/>
      <c r="B517" s="58"/>
      <c r="C517" s="58"/>
      <c r="D517" s="58"/>
      <c r="E517" s="58"/>
      <c r="F517" s="58"/>
      <c r="G517" s="58"/>
      <c r="H517" s="59"/>
      <c r="I517" s="59"/>
      <c r="J517" s="59"/>
      <c r="K517" s="59"/>
      <c r="L517" s="59"/>
      <c r="M517" s="60"/>
      <c r="N517" s="60"/>
      <c r="O517" s="60"/>
      <c r="P517" s="59"/>
      <c r="Q517" s="59"/>
      <c r="R517" s="60"/>
      <c r="S517" s="60"/>
      <c r="T517" s="60"/>
      <c r="U517" s="60"/>
      <c r="V517" s="60"/>
      <c r="W517" s="60"/>
    </row>
    <row r="518" spans="1:23" ht="13" x14ac:dyDescent="0.3">
      <c r="A518" s="58"/>
      <c r="B518" s="58"/>
      <c r="C518" s="58"/>
      <c r="D518" s="58"/>
      <c r="E518" s="58"/>
      <c r="F518" s="58"/>
      <c r="G518" s="58"/>
      <c r="H518" s="59"/>
      <c r="I518" s="59"/>
      <c r="J518" s="59"/>
      <c r="K518" s="59"/>
      <c r="L518" s="59"/>
      <c r="M518" s="60"/>
      <c r="N518" s="60"/>
      <c r="O518" s="60"/>
      <c r="P518" s="59"/>
      <c r="Q518" s="59"/>
      <c r="R518" s="60"/>
      <c r="S518" s="60"/>
      <c r="T518" s="60"/>
      <c r="U518" s="60"/>
      <c r="V518" s="60"/>
      <c r="W518" s="60"/>
    </row>
    <row r="519" spans="1:23" ht="13" x14ac:dyDescent="0.3">
      <c r="A519" s="58"/>
      <c r="B519" s="58"/>
      <c r="C519" s="58"/>
      <c r="D519" s="58"/>
      <c r="E519" s="58"/>
      <c r="F519" s="58"/>
      <c r="G519" s="58"/>
      <c r="H519" s="59"/>
      <c r="I519" s="59"/>
      <c r="J519" s="59"/>
      <c r="K519" s="59"/>
      <c r="L519" s="59"/>
      <c r="M519" s="60"/>
      <c r="N519" s="60"/>
      <c r="O519" s="60"/>
      <c r="P519" s="59"/>
      <c r="Q519" s="59"/>
      <c r="R519" s="60"/>
      <c r="S519" s="60"/>
      <c r="T519" s="60"/>
      <c r="U519" s="60"/>
      <c r="V519" s="60"/>
      <c r="W519" s="60"/>
    </row>
    <row r="520" spans="1:23" ht="13" x14ac:dyDescent="0.3">
      <c r="A520" s="58"/>
      <c r="B520" s="58"/>
      <c r="C520" s="58"/>
      <c r="D520" s="58"/>
      <c r="E520" s="58"/>
      <c r="F520" s="58"/>
      <c r="G520" s="58"/>
      <c r="H520" s="59"/>
      <c r="I520" s="59"/>
      <c r="J520" s="59"/>
      <c r="K520" s="59"/>
      <c r="L520" s="59"/>
      <c r="M520" s="60"/>
      <c r="N520" s="60"/>
      <c r="O520" s="60"/>
      <c r="P520" s="59"/>
      <c r="Q520" s="59"/>
      <c r="R520" s="60"/>
      <c r="S520" s="60"/>
      <c r="T520" s="60"/>
      <c r="U520" s="60"/>
      <c r="V520" s="60"/>
      <c r="W520" s="60"/>
    </row>
    <row r="521" spans="1:23" ht="13" x14ac:dyDescent="0.3">
      <c r="A521" s="58"/>
      <c r="B521" s="58"/>
      <c r="C521" s="58"/>
      <c r="D521" s="58"/>
      <c r="E521" s="58"/>
      <c r="F521" s="58"/>
      <c r="G521" s="58"/>
      <c r="H521" s="59"/>
      <c r="I521" s="59"/>
      <c r="J521" s="59"/>
      <c r="K521" s="59"/>
      <c r="L521" s="59"/>
      <c r="M521" s="60"/>
      <c r="N521" s="60"/>
      <c r="O521" s="60"/>
      <c r="P521" s="59"/>
      <c r="Q521" s="59"/>
      <c r="R521" s="60"/>
      <c r="S521" s="60"/>
      <c r="T521" s="60"/>
      <c r="U521" s="60"/>
      <c r="V521" s="60"/>
      <c r="W521" s="60"/>
    </row>
    <row r="522" spans="1:23" ht="13" x14ac:dyDescent="0.3">
      <c r="A522" s="58"/>
      <c r="B522" s="58"/>
      <c r="C522" s="58"/>
      <c r="D522" s="58"/>
      <c r="E522" s="58"/>
      <c r="F522" s="58"/>
      <c r="G522" s="58"/>
      <c r="H522" s="59"/>
      <c r="I522" s="59"/>
      <c r="J522" s="59"/>
      <c r="K522" s="59"/>
      <c r="L522" s="59"/>
      <c r="M522" s="60"/>
      <c r="N522" s="60"/>
      <c r="O522" s="60"/>
      <c r="P522" s="59"/>
      <c r="Q522" s="59"/>
      <c r="R522" s="60"/>
      <c r="S522" s="60"/>
      <c r="T522" s="60"/>
      <c r="U522" s="60"/>
      <c r="V522" s="60"/>
      <c r="W522" s="60"/>
    </row>
    <row r="523" spans="1:23" ht="13" x14ac:dyDescent="0.3">
      <c r="A523" s="58"/>
      <c r="B523" s="58"/>
      <c r="C523" s="58"/>
      <c r="D523" s="58"/>
      <c r="E523" s="58"/>
      <c r="F523" s="58"/>
      <c r="G523" s="58"/>
      <c r="H523" s="59"/>
      <c r="I523" s="59"/>
      <c r="J523" s="59"/>
      <c r="K523" s="59"/>
      <c r="L523" s="59"/>
      <c r="M523" s="60"/>
      <c r="N523" s="60"/>
      <c r="O523" s="60"/>
      <c r="P523" s="59"/>
      <c r="Q523" s="59"/>
      <c r="R523" s="60"/>
      <c r="S523" s="60"/>
      <c r="T523" s="60"/>
      <c r="U523" s="60"/>
      <c r="V523" s="60"/>
      <c r="W523" s="60"/>
    </row>
    <row r="524" spans="1:23" ht="13" x14ac:dyDescent="0.3">
      <c r="A524" s="58"/>
      <c r="B524" s="58"/>
      <c r="C524" s="58"/>
      <c r="D524" s="58"/>
      <c r="E524" s="58"/>
      <c r="F524" s="58"/>
      <c r="G524" s="58"/>
      <c r="H524" s="59"/>
      <c r="I524" s="59"/>
      <c r="J524" s="59"/>
      <c r="K524" s="59"/>
      <c r="L524" s="59"/>
      <c r="M524" s="60"/>
      <c r="N524" s="60"/>
      <c r="O524" s="60"/>
      <c r="P524" s="59"/>
      <c r="Q524" s="59"/>
      <c r="R524" s="60"/>
      <c r="S524" s="60"/>
      <c r="T524" s="60"/>
      <c r="U524" s="60"/>
      <c r="V524" s="60"/>
      <c r="W524" s="60"/>
    </row>
    <row r="525" spans="1:23" ht="13" x14ac:dyDescent="0.3">
      <c r="A525" s="58"/>
      <c r="B525" s="58"/>
      <c r="C525" s="58"/>
      <c r="D525" s="58"/>
      <c r="E525" s="58"/>
      <c r="F525" s="58"/>
      <c r="G525" s="58"/>
      <c r="H525" s="59"/>
      <c r="I525" s="59"/>
      <c r="J525" s="59"/>
      <c r="K525" s="59"/>
      <c r="L525" s="59"/>
      <c r="M525" s="60"/>
      <c r="N525" s="60"/>
      <c r="O525" s="60"/>
      <c r="P525" s="59"/>
      <c r="Q525" s="59"/>
      <c r="R525" s="60"/>
      <c r="S525" s="60"/>
      <c r="T525" s="60"/>
      <c r="U525" s="60"/>
      <c r="V525" s="60"/>
      <c r="W525" s="60"/>
    </row>
    <row r="526" spans="1:23" ht="13" x14ac:dyDescent="0.3">
      <c r="A526" s="58"/>
      <c r="B526" s="58"/>
      <c r="C526" s="58"/>
      <c r="D526" s="58"/>
      <c r="E526" s="58"/>
      <c r="F526" s="58"/>
      <c r="G526" s="58"/>
      <c r="H526" s="59"/>
      <c r="I526" s="59"/>
      <c r="J526" s="59"/>
      <c r="K526" s="59"/>
      <c r="L526" s="59"/>
      <c r="M526" s="60"/>
      <c r="N526" s="60"/>
      <c r="O526" s="60"/>
      <c r="P526" s="59"/>
      <c r="Q526" s="59"/>
      <c r="R526" s="60"/>
      <c r="S526" s="60"/>
      <c r="T526" s="60"/>
      <c r="U526" s="60"/>
      <c r="V526" s="60"/>
      <c r="W526" s="60"/>
    </row>
    <row r="527" spans="1:23" ht="13" x14ac:dyDescent="0.3">
      <c r="A527" s="58"/>
      <c r="B527" s="58"/>
      <c r="C527" s="58"/>
      <c r="D527" s="58"/>
      <c r="E527" s="58"/>
      <c r="F527" s="58"/>
      <c r="G527" s="58"/>
      <c r="H527" s="59"/>
      <c r="I527" s="59"/>
      <c r="J527" s="59"/>
      <c r="K527" s="59"/>
      <c r="L527" s="59"/>
      <c r="M527" s="60"/>
      <c r="N527" s="60"/>
      <c r="O527" s="60"/>
      <c r="P527" s="59"/>
      <c r="Q527" s="59"/>
      <c r="R527" s="60"/>
      <c r="S527" s="60"/>
      <c r="T527" s="60"/>
      <c r="U527" s="60"/>
      <c r="V527" s="60"/>
      <c r="W527" s="60"/>
    </row>
    <row r="528" spans="1:23" ht="13" x14ac:dyDescent="0.3">
      <c r="A528" s="58"/>
      <c r="B528" s="58"/>
      <c r="C528" s="58"/>
      <c r="D528" s="58"/>
      <c r="E528" s="58"/>
      <c r="F528" s="58"/>
      <c r="G528" s="58"/>
      <c r="H528" s="59"/>
      <c r="I528" s="59"/>
      <c r="J528" s="59"/>
      <c r="K528" s="59"/>
      <c r="L528" s="59"/>
      <c r="M528" s="60"/>
      <c r="N528" s="60"/>
      <c r="O528" s="60"/>
      <c r="P528" s="59"/>
      <c r="Q528" s="59"/>
      <c r="R528" s="60"/>
      <c r="S528" s="60"/>
      <c r="T528" s="60"/>
      <c r="U528" s="60"/>
      <c r="V528" s="60"/>
      <c r="W528" s="60"/>
    </row>
    <row r="529" spans="1:23" ht="13" x14ac:dyDescent="0.3">
      <c r="A529" s="58"/>
      <c r="B529" s="58"/>
      <c r="C529" s="58"/>
      <c r="D529" s="58"/>
      <c r="E529" s="58"/>
      <c r="F529" s="58"/>
      <c r="G529" s="58"/>
      <c r="H529" s="59"/>
      <c r="I529" s="59"/>
      <c r="J529" s="59"/>
      <c r="K529" s="59"/>
      <c r="L529" s="59"/>
      <c r="M529" s="60"/>
      <c r="N529" s="60"/>
      <c r="O529" s="60"/>
      <c r="P529" s="59"/>
      <c r="Q529" s="59"/>
      <c r="R529" s="60"/>
      <c r="S529" s="60"/>
      <c r="T529" s="60"/>
      <c r="U529" s="60"/>
      <c r="V529" s="60"/>
      <c r="W529" s="60"/>
    </row>
    <row r="530" spans="1:23" ht="13" x14ac:dyDescent="0.3">
      <c r="A530" s="58"/>
      <c r="B530" s="58"/>
      <c r="C530" s="58"/>
      <c r="D530" s="58"/>
      <c r="E530" s="58"/>
      <c r="F530" s="58"/>
      <c r="G530" s="58"/>
      <c r="H530" s="59"/>
      <c r="I530" s="59"/>
      <c r="J530" s="59"/>
      <c r="K530" s="59"/>
      <c r="L530" s="59"/>
      <c r="M530" s="60"/>
      <c r="N530" s="60"/>
      <c r="O530" s="60"/>
      <c r="P530" s="59"/>
      <c r="Q530" s="59"/>
      <c r="R530" s="60"/>
      <c r="S530" s="60"/>
      <c r="T530" s="60"/>
      <c r="U530" s="60"/>
      <c r="V530" s="60"/>
      <c r="W530" s="60"/>
    </row>
    <row r="531" spans="1:23" ht="13" x14ac:dyDescent="0.3">
      <c r="A531" s="58"/>
      <c r="B531" s="58"/>
      <c r="C531" s="58"/>
      <c r="D531" s="58"/>
      <c r="E531" s="58"/>
      <c r="F531" s="58"/>
      <c r="G531" s="58"/>
      <c r="H531" s="59"/>
      <c r="I531" s="59"/>
      <c r="J531" s="59"/>
      <c r="K531" s="59"/>
      <c r="L531" s="59"/>
      <c r="M531" s="60"/>
      <c r="N531" s="60"/>
      <c r="O531" s="60"/>
      <c r="P531" s="59"/>
      <c r="Q531" s="59"/>
      <c r="R531" s="60"/>
      <c r="S531" s="60"/>
      <c r="T531" s="60"/>
      <c r="U531" s="60"/>
      <c r="V531" s="60"/>
      <c r="W531" s="60"/>
    </row>
    <row r="532" spans="1:23" ht="13" x14ac:dyDescent="0.3">
      <c r="A532" s="58"/>
      <c r="B532" s="58"/>
      <c r="C532" s="58"/>
      <c r="D532" s="58"/>
      <c r="E532" s="58"/>
      <c r="F532" s="58"/>
      <c r="G532" s="58"/>
      <c r="H532" s="59"/>
      <c r="I532" s="59"/>
      <c r="J532" s="59"/>
      <c r="K532" s="59"/>
      <c r="L532" s="59"/>
      <c r="M532" s="60"/>
      <c r="N532" s="60"/>
      <c r="O532" s="60"/>
      <c r="P532" s="59"/>
      <c r="Q532" s="59"/>
      <c r="R532" s="60"/>
      <c r="S532" s="60"/>
      <c r="T532" s="60"/>
      <c r="U532" s="60"/>
      <c r="V532" s="60"/>
      <c r="W532" s="60"/>
    </row>
    <row r="533" spans="1:23" ht="13" x14ac:dyDescent="0.3">
      <c r="A533" s="58"/>
      <c r="B533" s="58"/>
      <c r="C533" s="58"/>
      <c r="D533" s="58"/>
      <c r="E533" s="58"/>
      <c r="F533" s="58"/>
      <c r="G533" s="58"/>
      <c r="H533" s="59"/>
      <c r="I533" s="59"/>
      <c r="J533" s="59"/>
      <c r="K533" s="59"/>
      <c r="L533" s="59"/>
      <c r="M533" s="60"/>
      <c r="N533" s="60"/>
      <c r="O533" s="60"/>
      <c r="P533" s="59"/>
      <c r="Q533" s="59"/>
      <c r="R533" s="60"/>
      <c r="S533" s="60"/>
      <c r="T533" s="60"/>
      <c r="U533" s="60"/>
      <c r="V533" s="60"/>
      <c r="W533" s="60"/>
    </row>
    <row r="534" spans="1:23" ht="13" x14ac:dyDescent="0.3">
      <c r="A534" s="58"/>
      <c r="B534" s="58"/>
      <c r="C534" s="58"/>
      <c r="D534" s="58"/>
      <c r="E534" s="58"/>
      <c r="F534" s="58"/>
      <c r="G534" s="58"/>
      <c r="H534" s="59"/>
      <c r="I534" s="59"/>
      <c r="J534" s="59"/>
      <c r="K534" s="59"/>
      <c r="L534" s="59"/>
      <c r="M534" s="60"/>
      <c r="N534" s="60"/>
      <c r="O534" s="60"/>
      <c r="P534" s="59"/>
      <c r="Q534" s="59"/>
      <c r="R534" s="60"/>
      <c r="S534" s="60"/>
      <c r="T534" s="60"/>
      <c r="U534" s="60"/>
      <c r="V534" s="60"/>
      <c r="W534" s="60"/>
    </row>
    <row r="535" spans="1:23" ht="13" x14ac:dyDescent="0.3">
      <c r="A535" s="58"/>
      <c r="B535" s="58"/>
      <c r="C535" s="58"/>
      <c r="D535" s="58"/>
      <c r="E535" s="58"/>
      <c r="F535" s="58"/>
      <c r="G535" s="58"/>
      <c r="H535" s="59"/>
      <c r="I535" s="59"/>
      <c r="J535" s="59"/>
      <c r="K535" s="59"/>
      <c r="L535" s="59"/>
      <c r="M535" s="60"/>
      <c r="N535" s="60"/>
      <c r="O535" s="60"/>
      <c r="P535" s="59"/>
      <c r="Q535" s="59"/>
      <c r="R535" s="60"/>
      <c r="S535" s="60"/>
      <c r="T535" s="60"/>
      <c r="U535" s="60"/>
      <c r="V535" s="60"/>
      <c r="W535" s="60"/>
    </row>
    <row r="536" spans="1:23" ht="13" x14ac:dyDescent="0.3">
      <c r="A536" s="58"/>
      <c r="B536" s="58"/>
      <c r="C536" s="58"/>
      <c r="D536" s="58"/>
      <c r="E536" s="58"/>
      <c r="F536" s="58"/>
      <c r="G536" s="58"/>
      <c r="H536" s="59"/>
      <c r="I536" s="59"/>
      <c r="J536" s="59"/>
      <c r="K536" s="59"/>
      <c r="L536" s="59"/>
      <c r="M536" s="60"/>
      <c r="N536" s="60"/>
      <c r="O536" s="60"/>
      <c r="P536" s="59"/>
      <c r="Q536" s="59"/>
      <c r="R536" s="60"/>
      <c r="S536" s="60"/>
      <c r="T536" s="60"/>
      <c r="U536" s="60"/>
      <c r="V536" s="60"/>
      <c r="W536" s="60"/>
    </row>
    <row r="537" spans="1:23" ht="13" x14ac:dyDescent="0.3">
      <c r="A537" s="58"/>
      <c r="B537" s="58"/>
      <c r="C537" s="58"/>
      <c r="D537" s="58"/>
      <c r="E537" s="58"/>
      <c r="F537" s="58"/>
      <c r="G537" s="58"/>
      <c r="H537" s="59"/>
      <c r="I537" s="59"/>
      <c r="J537" s="59"/>
      <c r="K537" s="59"/>
      <c r="L537" s="59"/>
      <c r="M537" s="60"/>
      <c r="N537" s="60"/>
      <c r="O537" s="60"/>
      <c r="P537" s="59"/>
      <c r="Q537" s="59"/>
      <c r="R537" s="60"/>
      <c r="S537" s="60"/>
      <c r="T537" s="60"/>
      <c r="U537" s="60"/>
      <c r="V537" s="60"/>
      <c r="W537" s="60"/>
    </row>
    <row r="538" spans="1:23" ht="13" x14ac:dyDescent="0.3">
      <c r="A538" s="58"/>
      <c r="B538" s="58"/>
      <c r="C538" s="58"/>
      <c r="D538" s="58"/>
      <c r="E538" s="58"/>
      <c r="F538" s="58"/>
      <c r="G538" s="58"/>
      <c r="H538" s="59"/>
      <c r="I538" s="59"/>
      <c r="J538" s="59"/>
      <c r="K538" s="59"/>
      <c r="L538" s="59"/>
      <c r="M538" s="60"/>
      <c r="N538" s="60"/>
      <c r="O538" s="60"/>
      <c r="P538" s="59"/>
      <c r="Q538" s="59"/>
      <c r="R538" s="60"/>
      <c r="S538" s="60"/>
      <c r="T538" s="60"/>
      <c r="U538" s="60"/>
      <c r="V538" s="60"/>
      <c r="W538" s="60"/>
    </row>
    <row r="539" spans="1:23" ht="13" x14ac:dyDescent="0.3">
      <c r="A539" s="58"/>
      <c r="B539" s="58"/>
      <c r="C539" s="58"/>
      <c r="D539" s="58"/>
      <c r="E539" s="58"/>
      <c r="F539" s="58"/>
      <c r="G539" s="58"/>
      <c r="H539" s="59"/>
      <c r="I539" s="59"/>
      <c r="J539" s="59"/>
      <c r="K539" s="59"/>
      <c r="L539" s="59"/>
      <c r="M539" s="60"/>
      <c r="N539" s="60"/>
      <c r="O539" s="60"/>
      <c r="P539" s="59"/>
      <c r="Q539" s="59"/>
      <c r="R539" s="60"/>
      <c r="S539" s="60"/>
      <c r="T539" s="60"/>
      <c r="U539" s="60"/>
      <c r="V539" s="60"/>
      <c r="W539" s="60"/>
    </row>
    <row r="540" spans="1:23" ht="13" x14ac:dyDescent="0.3">
      <c r="A540" s="58"/>
      <c r="B540" s="58"/>
      <c r="C540" s="58"/>
      <c r="D540" s="58"/>
      <c r="E540" s="58"/>
      <c r="F540" s="58"/>
      <c r="G540" s="58"/>
      <c r="H540" s="59"/>
      <c r="I540" s="59"/>
      <c r="J540" s="59"/>
      <c r="K540" s="59"/>
      <c r="L540" s="59"/>
      <c r="M540" s="60"/>
      <c r="N540" s="60"/>
      <c r="O540" s="60"/>
      <c r="P540" s="59"/>
      <c r="Q540" s="59"/>
      <c r="R540" s="60"/>
      <c r="S540" s="60"/>
      <c r="T540" s="60"/>
      <c r="U540" s="60"/>
      <c r="V540" s="60"/>
      <c r="W540" s="60"/>
    </row>
    <row r="541" spans="1:23" ht="13" x14ac:dyDescent="0.3">
      <c r="A541" s="58"/>
      <c r="B541" s="58"/>
      <c r="C541" s="58"/>
      <c r="D541" s="58"/>
      <c r="E541" s="58"/>
      <c r="F541" s="58"/>
      <c r="G541" s="58"/>
      <c r="H541" s="59"/>
      <c r="I541" s="59"/>
      <c r="J541" s="59"/>
      <c r="K541" s="59"/>
      <c r="L541" s="59"/>
      <c r="M541" s="60"/>
      <c r="N541" s="60"/>
      <c r="O541" s="60"/>
      <c r="P541" s="59"/>
      <c r="Q541" s="59"/>
      <c r="R541" s="60"/>
      <c r="S541" s="60"/>
      <c r="T541" s="60"/>
      <c r="U541" s="60"/>
      <c r="V541" s="60"/>
      <c r="W541" s="60"/>
    </row>
    <row r="542" spans="1:23" ht="13" x14ac:dyDescent="0.3">
      <c r="A542" s="58"/>
      <c r="B542" s="58"/>
      <c r="C542" s="58"/>
      <c r="D542" s="58"/>
      <c r="E542" s="58"/>
      <c r="F542" s="58"/>
      <c r="G542" s="58"/>
      <c r="H542" s="59"/>
      <c r="I542" s="59"/>
      <c r="J542" s="59"/>
      <c r="K542" s="59"/>
      <c r="L542" s="59"/>
      <c r="M542" s="60"/>
      <c r="N542" s="60"/>
      <c r="O542" s="60"/>
      <c r="P542" s="59"/>
      <c r="Q542" s="59"/>
      <c r="R542" s="60"/>
      <c r="S542" s="60"/>
      <c r="T542" s="60"/>
      <c r="U542" s="60"/>
      <c r="V542" s="60"/>
      <c r="W542" s="60"/>
    </row>
    <row r="543" spans="1:23" ht="13" x14ac:dyDescent="0.3">
      <c r="A543" s="58"/>
      <c r="B543" s="58"/>
      <c r="C543" s="58"/>
      <c r="D543" s="58"/>
      <c r="E543" s="58"/>
      <c r="F543" s="58"/>
      <c r="G543" s="58"/>
      <c r="H543" s="59"/>
      <c r="I543" s="59"/>
      <c r="J543" s="59"/>
      <c r="K543" s="59"/>
      <c r="L543" s="59"/>
      <c r="M543" s="60"/>
      <c r="N543" s="60"/>
      <c r="O543" s="60"/>
      <c r="P543" s="59"/>
      <c r="Q543" s="59"/>
      <c r="R543" s="60"/>
      <c r="S543" s="60"/>
      <c r="T543" s="60"/>
      <c r="U543" s="60"/>
      <c r="V543" s="60"/>
      <c r="W543" s="60"/>
    </row>
    <row r="544" spans="1:23" ht="13" x14ac:dyDescent="0.3">
      <c r="A544" s="58"/>
      <c r="B544" s="58"/>
      <c r="C544" s="58"/>
      <c r="D544" s="58"/>
      <c r="E544" s="58"/>
      <c r="F544" s="58"/>
      <c r="G544" s="58"/>
      <c r="H544" s="59"/>
      <c r="I544" s="59"/>
      <c r="J544" s="59"/>
      <c r="K544" s="59"/>
      <c r="L544" s="59"/>
      <c r="M544" s="60"/>
      <c r="N544" s="60"/>
      <c r="O544" s="60"/>
      <c r="P544" s="59"/>
      <c r="Q544" s="59"/>
      <c r="R544" s="60"/>
      <c r="S544" s="60"/>
      <c r="T544" s="60"/>
      <c r="U544" s="60"/>
      <c r="V544" s="60"/>
      <c r="W544" s="60"/>
    </row>
    <row r="545" spans="1:23" ht="13" x14ac:dyDescent="0.3">
      <c r="A545" s="58"/>
      <c r="B545" s="58"/>
      <c r="C545" s="58"/>
      <c r="D545" s="58"/>
      <c r="E545" s="58"/>
      <c r="F545" s="58"/>
      <c r="G545" s="58"/>
      <c r="H545" s="59"/>
      <c r="I545" s="59"/>
      <c r="J545" s="59"/>
      <c r="K545" s="59"/>
      <c r="L545" s="59"/>
      <c r="M545" s="60"/>
      <c r="N545" s="60"/>
      <c r="O545" s="60"/>
      <c r="P545" s="59"/>
      <c r="Q545" s="59"/>
      <c r="R545" s="60"/>
      <c r="S545" s="60"/>
      <c r="T545" s="60"/>
      <c r="U545" s="60"/>
      <c r="V545" s="60"/>
      <c r="W545" s="60"/>
    </row>
    <row r="546" spans="1:23" ht="13" x14ac:dyDescent="0.3">
      <c r="A546" s="58"/>
      <c r="B546" s="58"/>
      <c r="C546" s="58"/>
      <c r="D546" s="58"/>
      <c r="E546" s="58"/>
      <c r="F546" s="58"/>
      <c r="G546" s="58"/>
      <c r="H546" s="59"/>
      <c r="I546" s="59"/>
      <c r="J546" s="59"/>
      <c r="K546" s="59"/>
      <c r="L546" s="59"/>
      <c r="M546" s="60"/>
      <c r="N546" s="60"/>
      <c r="O546" s="60"/>
      <c r="P546" s="59"/>
      <c r="Q546" s="59"/>
      <c r="R546" s="60"/>
      <c r="S546" s="60"/>
      <c r="T546" s="60"/>
      <c r="U546" s="60"/>
      <c r="V546" s="60"/>
      <c r="W546" s="60"/>
    </row>
    <row r="547" spans="1:23" ht="13" x14ac:dyDescent="0.3">
      <c r="A547" s="58"/>
      <c r="B547" s="58"/>
      <c r="C547" s="58"/>
      <c r="D547" s="58"/>
      <c r="E547" s="58"/>
      <c r="F547" s="58"/>
      <c r="G547" s="58"/>
      <c r="H547" s="59"/>
      <c r="I547" s="59"/>
      <c r="J547" s="59"/>
      <c r="K547" s="59"/>
      <c r="L547" s="59"/>
      <c r="M547" s="60"/>
      <c r="N547" s="60"/>
      <c r="O547" s="60"/>
      <c r="P547" s="59"/>
      <c r="Q547" s="59"/>
      <c r="R547" s="60"/>
      <c r="S547" s="60"/>
      <c r="T547" s="60"/>
      <c r="U547" s="60"/>
      <c r="V547" s="60"/>
      <c r="W547" s="60"/>
    </row>
    <row r="548" spans="1:23" ht="13" x14ac:dyDescent="0.3">
      <c r="A548" s="58"/>
      <c r="B548" s="58"/>
      <c r="C548" s="58"/>
      <c r="D548" s="58"/>
      <c r="E548" s="58"/>
      <c r="F548" s="58"/>
      <c r="G548" s="58"/>
      <c r="H548" s="59"/>
      <c r="I548" s="59"/>
      <c r="J548" s="59"/>
      <c r="K548" s="59"/>
      <c r="L548" s="59"/>
      <c r="M548" s="60"/>
      <c r="N548" s="60"/>
      <c r="O548" s="60"/>
      <c r="P548" s="59"/>
      <c r="Q548" s="59"/>
      <c r="R548" s="60"/>
      <c r="S548" s="60"/>
      <c r="T548" s="60"/>
      <c r="U548" s="60"/>
      <c r="V548" s="60"/>
      <c r="W548" s="60"/>
    </row>
    <row r="549" spans="1:23" ht="13" x14ac:dyDescent="0.3">
      <c r="A549" s="58"/>
      <c r="B549" s="58"/>
      <c r="C549" s="58"/>
      <c r="D549" s="58"/>
      <c r="E549" s="58"/>
      <c r="F549" s="58"/>
      <c r="G549" s="58"/>
      <c r="H549" s="59"/>
      <c r="I549" s="59"/>
      <c r="J549" s="59"/>
      <c r="K549" s="59"/>
      <c r="L549" s="59"/>
      <c r="M549" s="60"/>
      <c r="N549" s="60"/>
      <c r="O549" s="60"/>
      <c r="P549" s="59"/>
      <c r="Q549" s="59"/>
      <c r="R549" s="60"/>
      <c r="S549" s="60"/>
      <c r="T549" s="60"/>
      <c r="U549" s="60"/>
      <c r="V549" s="60"/>
      <c r="W549" s="60"/>
    </row>
    <row r="550" spans="1:23" ht="13" x14ac:dyDescent="0.3">
      <c r="A550" s="58"/>
      <c r="B550" s="58"/>
      <c r="C550" s="58"/>
      <c r="D550" s="58"/>
      <c r="E550" s="58"/>
      <c r="F550" s="58"/>
      <c r="G550" s="58"/>
      <c r="H550" s="59"/>
      <c r="I550" s="59"/>
      <c r="J550" s="59"/>
      <c r="K550" s="59"/>
      <c r="L550" s="59"/>
      <c r="M550" s="60"/>
      <c r="N550" s="60"/>
      <c r="O550" s="60"/>
      <c r="P550" s="59"/>
      <c r="Q550" s="59"/>
      <c r="R550" s="60"/>
      <c r="S550" s="60"/>
      <c r="T550" s="60"/>
      <c r="U550" s="60"/>
      <c r="V550" s="60"/>
      <c r="W550" s="60"/>
    </row>
    <row r="551" spans="1:23" ht="13" x14ac:dyDescent="0.3">
      <c r="A551" s="58"/>
      <c r="B551" s="58"/>
      <c r="C551" s="58"/>
      <c r="D551" s="58"/>
      <c r="E551" s="58"/>
      <c r="F551" s="58"/>
      <c r="G551" s="58"/>
      <c r="H551" s="59"/>
      <c r="I551" s="59"/>
      <c r="J551" s="59"/>
      <c r="K551" s="59"/>
      <c r="L551" s="59"/>
      <c r="M551" s="60"/>
      <c r="N551" s="60"/>
      <c r="O551" s="60"/>
      <c r="P551" s="59"/>
      <c r="Q551" s="59"/>
      <c r="R551" s="60"/>
      <c r="S551" s="60"/>
      <c r="T551" s="60"/>
      <c r="U551" s="60"/>
      <c r="V551" s="60"/>
      <c r="W551" s="60"/>
    </row>
    <row r="552" spans="1:23" ht="13" x14ac:dyDescent="0.3">
      <c r="A552" s="58"/>
      <c r="B552" s="58"/>
      <c r="C552" s="58"/>
      <c r="D552" s="58"/>
      <c r="E552" s="58"/>
      <c r="F552" s="58"/>
      <c r="G552" s="58"/>
      <c r="H552" s="59"/>
      <c r="I552" s="59"/>
      <c r="J552" s="59"/>
      <c r="K552" s="59"/>
      <c r="L552" s="59"/>
      <c r="M552" s="60"/>
      <c r="N552" s="60"/>
      <c r="O552" s="60"/>
      <c r="P552" s="59"/>
      <c r="Q552" s="59"/>
      <c r="R552" s="60"/>
      <c r="S552" s="60"/>
      <c r="T552" s="60"/>
      <c r="U552" s="60"/>
      <c r="V552" s="60"/>
      <c r="W552" s="60"/>
    </row>
    <row r="553" spans="1:23" ht="13" x14ac:dyDescent="0.3">
      <c r="A553" s="58"/>
      <c r="B553" s="58"/>
      <c r="C553" s="58"/>
      <c r="D553" s="58"/>
      <c r="E553" s="58"/>
      <c r="F553" s="58"/>
      <c r="G553" s="58"/>
      <c r="H553" s="59"/>
      <c r="I553" s="59"/>
      <c r="J553" s="59"/>
      <c r="K553" s="59"/>
      <c r="L553" s="59"/>
      <c r="M553" s="60"/>
      <c r="N553" s="60"/>
      <c r="O553" s="60"/>
      <c r="P553" s="59"/>
      <c r="Q553" s="59"/>
      <c r="R553" s="60"/>
      <c r="S553" s="60"/>
      <c r="T553" s="60"/>
      <c r="U553" s="60"/>
      <c r="V553" s="60"/>
      <c r="W553" s="60"/>
    </row>
    <row r="554" spans="1:23" ht="13" x14ac:dyDescent="0.3">
      <c r="A554" s="58"/>
      <c r="B554" s="58"/>
      <c r="C554" s="58"/>
      <c r="D554" s="58"/>
      <c r="E554" s="58"/>
      <c r="F554" s="58"/>
      <c r="G554" s="58"/>
      <c r="H554" s="59"/>
      <c r="I554" s="59"/>
      <c r="J554" s="59"/>
      <c r="K554" s="59"/>
      <c r="L554" s="59"/>
      <c r="M554" s="60"/>
      <c r="N554" s="60"/>
      <c r="O554" s="60"/>
      <c r="P554" s="59"/>
      <c r="Q554" s="59"/>
      <c r="R554" s="60"/>
      <c r="S554" s="60"/>
      <c r="T554" s="60"/>
      <c r="U554" s="60"/>
      <c r="V554" s="60"/>
      <c r="W554" s="60"/>
    </row>
    <row r="555" spans="1:23" ht="13" x14ac:dyDescent="0.3">
      <c r="A555" s="58"/>
      <c r="B555" s="58"/>
      <c r="C555" s="58"/>
      <c r="D555" s="58"/>
      <c r="E555" s="58"/>
      <c r="F555" s="58"/>
      <c r="G555" s="58"/>
      <c r="H555" s="59"/>
      <c r="I555" s="59"/>
      <c r="J555" s="59"/>
      <c r="K555" s="59"/>
      <c r="L555" s="59"/>
      <c r="M555" s="60"/>
      <c r="N555" s="60"/>
      <c r="O555" s="60"/>
      <c r="P555" s="59"/>
      <c r="Q555" s="59"/>
      <c r="R555" s="60"/>
      <c r="S555" s="60"/>
      <c r="T555" s="60"/>
      <c r="U555" s="60"/>
      <c r="V555" s="60"/>
      <c r="W555" s="60"/>
    </row>
    <row r="556" spans="1:23" ht="13" x14ac:dyDescent="0.3">
      <c r="A556" s="58"/>
      <c r="B556" s="58"/>
      <c r="C556" s="58"/>
      <c r="D556" s="58"/>
      <c r="E556" s="58"/>
      <c r="F556" s="58"/>
      <c r="G556" s="58"/>
      <c r="H556" s="59"/>
      <c r="I556" s="59"/>
      <c r="J556" s="59"/>
      <c r="K556" s="59"/>
      <c r="L556" s="59"/>
      <c r="M556" s="60"/>
      <c r="N556" s="60"/>
      <c r="O556" s="60"/>
      <c r="P556" s="59"/>
      <c r="Q556" s="59"/>
      <c r="R556" s="60"/>
      <c r="S556" s="60"/>
      <c r="T556" s="60"/>
      <c r="U556" s="60"/>
      <c r="V556" s="60"/>
      <c r="W556" s="60"/>
    </row>
    <row r="557" spans="1:23" ht="13" x14ac:dyDescent="0.3">
      <c r="A557" s="58"/>
      <c r="B557" s="58"/>
      <c r="C557" s="58"/>
      <c r="D557" s="58"/>
      <c r="E557" s="58"/>
      <c r="F557" s="58"/>
      <c r="G557" s="58"/>
      <c r="H557" s="59"/>
      <c r="I557" s="59"/>
      <c r="J557" s="59"/>
      <c r="K557" s="59"/>
      <c r="L557" s="59"/>
      <c r="M557" s="60"/>
      <c r="N557" s="60"/>
      <c r="O557" s="60"/>
      <c r="P557" s="59"/>
      <c r="Q557" s="59"/>
      <c r="R557" s="60"/>
      <c r="S557" s="60"/>
      <c r="T557" s="60"/>
      <c r="U557" s="60"/>
      <c r="V557" s="60"/>
      <c r="W557" s="60"/>
    </row>
    <row r="558" spans="1:23" ht="13" x14ac:dyDescent="0.3">
      <c r="A558" s="58"/>
      <c r="B558" s="58"/>
      <c r="C558" s="58"/>
      <c r="D558" s="58"/>
      <c r="E558" s="58"/>
      <c r="F558" s="58"/>
      <c r="G558" s="58"/>
      <c r="H558" s="59"/>
      <c r="I558" s="59"/>
      <c r="J558" s="59"/>
      <c r="K558" s="59"/>
      <c r="L558" s="59"/>
      <c r="M558" s="60"/>
      <c r="N558" s="60"/>
      <c r="O558" s="60"/>
      <c r="P558" s="59"/>
      <c r="Q558" s="59"/>
      <c r="R558" s="60"/>
      <c r="S558" s="60"/>
      <c r="T558" s="60"/>
      <c r="U558" s="60"/>
      <c r="V558" s="60"/>
      <c r="W558" s="60"/>
    </row>
    <row r="559" spans="1:23" ht="13" x14ac:dyDescent="0.3">
      <c r="A559" s="58"/>
      <c r="B559" s="58"/>
      <c r="C559" s="58"/>
      <c r="D559" s="58"/>
      <c r="E559" s="58"/>
      <c r="F559" s="58"/>
      <c r="G559" s="58"/>
      <c r="H559" s="59"/>
      <c r="I559" s="59"/>
      <c r="J559" s="59"/>
      <c r="K559" s="59"/>
      <c r="L559" s="59"/>
      <c r="M559" s="60"/>
      <c r="N559" s="60"/>
      <c r="O559" s="60"/>
      <c r="P559" s="59"/>
      <c r="Q559" s="59"/>
      <c r="R559" s="60"/>
      <c r="S559" s="60"/>
      <c r="T559" s="60"/>
      <c r="U559" s="60"/>
      <c r="V559" s="60"/>
      <c r="W559" s="60"/>
    </row>
    <row r="560" spans="1:23" ht="13" x14ac:dyDescent="0.3">
      <c r="A560" s="58"/>
      <c r="B560" s="58"/>
      <c r="C560" s="58"/>
      <c r="D560" s="58"/>
      <c r="E560" s="58"/>
      <c r="F560" s="58"/>
      <c r="G560" s="58"/>
      <c r="H560" s="59"/>
      <c r="I560" s="59"/>
      <c r="J560" s="59"/>
      <c r="K560" s="59"/>
      <c r="L560" s="59"/>
      <c r="M560" s="60"/>
      <c r="N560" s="60"/>
      <c r="O560" s="60"/>
      <c r="P560" s="59"/>
      <c r="Q560" s="59"/>
      <c r="R560" s="60"/>
      <c r="S560" s="60"/>
      <c r="T560" s="60"/>
      <c r="U560" s="60"/>
      <c r="V560" s="60"/>
      <c r="W560" s="60"/>
    </row>
    <row r="561" spans="1:23" ht="13" x14ac:dyDescent="0.3">
      <c r="A561" s="58"/>
      <c r="B561" s="58"/>
      <c r="C561" s="58"/>
      <c r="D561" s="58"/>
      <c r="E561" s="58"/>
      <c r="F561" s="58"/>
      <c r="G561" s="58"/>
      <c r="H561" s="59"/>
      <c r="I561" s="59"/>
      <c r="J561" s="59"/>
      <c r="K561" s="59"/>
      <c r="L561" s="59"/>
      <c r="M561" s="60"/>
      <c r="N561" s="60"/>
      <c r="O561" s="60"/>
      <c r="P561" s="59"/>
      <c r="Q561" s="59"/>
      <c r="R561" s="60"/>
      <c r="S561" s="60"/>
      <c r="T561" s="60"/>
      <c r="U561" s="60"/>
      <c r="V561" s="60"/>
      <c r="W561" s="60"/>
    </row>
    <row r="562" spans="1:23" ht="13" x14ac:dyDescent="0.3">
      <c r="A562" s="58"/>
      <c r="B562" s="58"/>
      <c r="C562" s="58"/>
      <c r="D562" s="58"/>
      <c r="E562" s="58"/>
      <c r="F562" s="58"/>
      <c r="G562" s="58"/>
      <c r="H562" s="59"/>
      <c r="I562" s="59"/>
      <c r="J562" s="59"/>
      <c r="K562" s="59"/>
      <c r="L562" s="59"/>
      <c r="M562" s="60"/>
      <c r="N562" s="60"/>
      <c r="O562" s="60"/>
      <c r="P562" s="59"/>
      <c r="Q562" s="59"/>
      <c r="R562" s="60"/>
      <c r="S562" s="60"/>
      <c r="T562" s="60"/>
      <c r="U562" s="60"/>
      <c r="V562" s="60"/>
      <c r="W562" s="60"/>
    </row>
    <row r="563" spans="1:23" ht="13" x14ac:dyDescent="0.3">
      <c r="A563" s="58"/>
      <c r="B563" s="58"/>
      <c r="C563" s="58"/>
      <c r="D563" s="58"/>
      <c r="E563" s="58"/>
      <c r="F563" s="58"/>
      <c r="G563" s="58"/>
      <c r="H563" s="59"/>
      <c r="I563" s="59"/>
      <c r="J563" s="59"/>
      <c r="K563" s="59"/>
      <c r="L563" s="59"/>
      <c r="M563" s="60"/>
      <c r="N563" s="60"/>
      <c r="O563" s="60"/>
      <c r="P563" s="59"/>
      <c r="Q563" s="59"/>
      <c r="R563" s="60"/>
      <c r="S563" s="60"/>
      <c r="T563" s="60"/>
      <c r="U563" s="60"/>
      <c r="V563" s="60"/>
      <c r="W563" s="60"/>
    </row>
    <row r="564" spans="1:23" ht="13" x14ac:dyDescent="0.3">
      <c r="A564" s="58"/>
      <c r="B564" s="58"/>
      <c r="C564" s="58"/>
      <c r="D564" s="58"/>
      <c r="E564" s="58"/>
      <c r="F564" s="58"/>
      <c r="G564" s="58"/>
      <c r="H564" s="59"/>
      <c r="I564" s="59"/>
      <c r="J564" s="59"/>
      <c r="K564" s="59"/>
      <c r="L564" s="59"/>
      <c r="M564" s="60"/>
      <c r="N564" s="60"/>
      <c r="O564" s="60"/>
      <c r="P564" s="59"/>
      <c r="Q564" s="59"/>
      <c r="R564" s="60"/>
      <c r="S564" s="60"/>
      <c r="T564" s="60"/>
      <c r="U564" s="60"/>
      <c r="V564" s="60"/>
      <c r="W564" s="60"/>
    </row>
    <row r="565" spans="1:23" ht="13" x14ac:dyDescent="0.3">
      <c r="A565" s="58"/>
      <c r="B565" s="58"/>
      <c r="C565" s="58"/>
      <c r="D565" s="58"/>
      <c r="E565" s="58"/>
      <c r="F565" s="58"/>
      <c r="G565" s="58"/>
      <c r="H565" s="59"/>
      <c r="I565" s="59"/>
      <c r="J565" s="59"/>
      <c r="K565" s="59"/>
      <c r="L565" s="59"/>
      <c r="M565" s="60"/>
      <c r="N565" s="60"/>
      <c r="O565" s="60"/>
      <c r="P565" s="59"/>
      <c r="Q565" s="59"/>
      <c r="R565" s="60"/>
      <c r="S565" s="60"/>
      <c r="T565" s="60"/>
      <c r="U565" s="60"/>
      <c r="V565" s="60"/>
      <c r="W565" s="60"/>
    </row>
    <row r="566" spans="1:23" ht="13" x14ac:dyDescent="0.3">
      <c r="A566" s="58"/>
      <c r="B566" s="58"/>
      <c r="C566" s="58"/>
      <c r="D566" s="58"/>
      <c r="E566" s="58"/>
      <c r="F566" s="58"/>
      <c r="G566" s="58"/>
      <c r="H566" s="59"/>
      <c r="I566" s="59"/>
      <c r="J566" s="59"/>
      <c r="K566" s="59"/>
      <c r="L566" s="59"/>
      <c r="M566" s="60"/>
      <c r="N566" s="60"/>
      <c r="O566" s="60"/>
      <c r="P566" s="59"/>
      <c r="Q566" s="59"/>
      <c r="R566" s="60"/>
      <c r="S566" s="60"/>
      <c r="T566" s="60"/>
      <c r="U566" s="60"/>
      <c r="V566" s="60"/>
      <c r="W566" s="60"/>
    </row>
    <row r="567" spans="1:23" ht="13" x14ac:dyDescent="0.3">
      <c r="A567" s="58"/>
      <c r="B567" s="58"/>
      <c r="C567" s="58"/>
      <c r="D567" s="58"/>
      <c r="E567" s="58"/>
      <c r="F567" s="58"/>
      <c r="G567" s="58"/>
      <c r="H567" s="59"/>
      <c r="I567" s="59"/>
      <c r="J567" s="59"/>
      <c r="K567" s="59"/>
      <c r="L567" s="59"/>
      <c r="M567" s="60"/>
      <c r="N567" s="60"/>
      <c r="O567" s="60"/>
      <c r="P567" s="59"/>
      <c r="Q567" s="59"/>
      <c r="R567" s="60"/>
      <c r="S567" s="60"/>
      <c r="T567" s="60"/>
      <c r="U567" s="60"/>
      <c r="V567" s="60"/>
      <c r="W567" s="60"/>
    </row>
    <row r="568" spans="1:23" ht="13" x14ac:dyDescent="0.3">
      <c r="A568" s="58"/>
      <c r="B568" s="58"/>
      <c r="C568" s="58"/>
      <c r="D568" s="58"/>
      <c r="E568" s="58"/>
      <c r="F568" s="58"/>
      <c r="G568" s="58"/>
      <c r="H568" s="59"/>
      <c r="I568" s="59"/>
      <c r="J568" s="59"/>
      <c r="K568" s="59"/>
      <c r="L568" s="59"/>
      <c r="M568" s="60"/>
      <c r="N568" s="60"/>
      <c r="O568" s="60"/>
      <c r="P568" s="59"/>
      <c r="Q568" s="59"/>
      <c r="R568" s="60"/>
      <c r="S568" s="60"/>
      <c r="T568" s="60"/>
      <c r="U568" s="60"/>
      <c r="V568" s="60"/>
      <c r="W568" s="60"/>
    </row>
    <row r="569" spans="1:23" ht="13" x14ac:dyDescent="0.3">
      <c r="A569" s="58"/>
      <c r="B569" s="58"/>
      <c r="C569" s="58"/>
      <c r="D569" s="58"/>
      <c r="E569" s="58"/>
      <c r="F569" s="58"/>
      <c r="G569" s="58"/>
      <c r="H569" s="59"/>
      <c r="I569" s="59"/>
      <c r="J569" s="59"/>
      <c r="K569" s="59"/>
      <c r="L569" s="59"/>
      <c r="M569" s="60"/>
      <c r="N569" s="60"/>
      <c r="O569" s="60"/>
      <c r="P569" s="59"/>
      <c r="Q569" s="59"/>
      <c r="R569" s="60"/>
      <c r="S569" s="60"/>
      <c r="T569" s="60"/>
      <c r="U569" s="60"/>
      <c r="V569" s="60"/>
      <c r="W569" s="60"/>
    </row>
    <row r="570" spans="1:23" ht="13" x14ac:dyDescent="0.3">
      <c r="A570" s="58"/>
      <c r="B570" s="58"/>
      <c r="C570" s="58"/>
      <c r="D570" s="58"/>
      <c r="E570" s="58"/>
      <c r="F570" s="58"/>
      <c r="G570" s="58"/>
      <c r="H570" s="59"/>
      <c r="I570" s="59"/>
      <c r="J570" s="59"/>
      <c r="K570" s="59"/>
      <c r="L570" s="59"/>
      <c r="M570" s="60"/>
      <c r="N570" s="60"/>
      <c r="O570" s="60"/>
      <c r="P570" s="59"/>
      <c r="Q570" s="59"/>
      <c r="R570" s="60"/>
      <c r="S570" s="60"/>
      <c r="T570" s="60"/>
      <c r="U570" s="60"/>
      <c r="V570" s="60"/>
      <c r="W570" s="60"/>
    </row>
    <row r="571" spans="1:23" ht="13" x14ac:dyDescent="0.3">
      <c r="A571" s="58"/>
      <c r="B571" s="58"/>
      <c r="C571" s="58"/>
      <c r="D571" s="58"/>
      <c r="E571" s="58"/>
      <c r="F571" s="58"/>
      <c r="G571" s="58"/>
      <c r="H571" s="59"/>
      <c r="I571" s="59"/>
      <c r="J571" s="59"/>
      <c r="K571" s="59"/>
      <c r="L571" s="59"/>
      <c r="M571" s="60"/>
      <c r="N571" s="60"/>
      <c r="O571" s="60"/>
      <c r="P571" s="59"/>
      <c r="Q571" s="59"/>
      <c r="R571" s="60"/>
      <c r="S571" s="60"/>
      <c r="T571" s="60"/>
      <c r="U571" s="60"/>
      <c r="V571" s="60"/>
      <c r="W571" s="60"/>
    </row>
    <row r="572" spans="1:23" ht="13" x14ac:dyDescent="0.3">
      <c r="A572" s="58"/>
      <c r="B572" s="58"/>
      <c r="C572" s="58"/>
      <c r="D572" s="58"/>
      <c r="E572" s="58"/>
      <c r="F572" s="58"/>
      <c r="G572" s="58"/>
      <c r="H572" s="59"/>
      <c r="I572" s="59"/>
      <c r="J572" s="59"/>
      <c r="K572" s="59"/>
      <c r="L572" s="59"/>
      <c r="M572" s="60"/>
      <c r="N572" s="60"/>
      <c r="O572" s="60"/>
      <c r="P572" s="59"/>
      <c r="Q572" s="59"/>
      <c r="R572" s="60"/>
      <c r="S572" s="60"/>
      <c r="T572" s="60"/>
      <c r="U572" s="60"/>
      <c r="V572" s="60"/>
      <c r="W572" s="60"/>
    </row>
    <row r="573" spans="1:23" ht="13" x14ac:dyDescent="0.3">
      <c r="A573" s="58"/>
      <c r="B573" s="58"/>
      <c r="C573" s="58"/>
      <c r="D573" s="58"/>
      <c r="E573" s="58"/>
      <c r="F573" s="58"/>
      <c r="G573" s="58"/>
      <c r="H573" s="59"/>
      <c r="I573" s="59"/>
      <c r="J573" s="59"/>
      <c r="K573" s="59"/>
      <c r="L573" s="59"/>
      <c r="M573" s="60"/>
      <c r="N573" s="60"/>
      <c r="O573" s="60"/>
      <c r="P573" s="59"/>
      <c r="Q573" s="59"/>
      <c r="R573" s="60"/>
      <c r="S573" s="60"/>
      <c r="T573" s="60"/>
      <c r="U573" s="60"/>
      <c r="V573" s="60"/>
      <c r="W573" s="60"/>
    </row>
    <row r="574" spans="1:23" ht="13" x14ac:dyDescent="0.3">
      <c r="A574" s="58"/>
      <c r="B574" s="58"/>
      <c r="C574" s="58"/>
      <c r="D574" s="58"/>
      <c r="E574" s="58"/>
      <c r="F574" s="58"/>
      <c r="G574" s="58"/>
      <c r="H574" s="59"/>
      <c r="I574" s="59"/>
      <c r="J574" s="59"/>
      <c r="K574" s="59"/>
      <c r="L574" s="59"/>
      <c r="M574" s="60"/>
      <c r="N574" s="60"/>
      <c r="O574" s="60"/>
      <c r="P574" s="59"/>
      <c r="Q574" s="59"/>
      <c r="R574" s="60"/>
      <c r="S574" s="60"/>
      <c r="T574" s="60"/>
      <c r="U574" s="60"/>
      <c r="V574" s="60"/>
      <c r="W574" s="60"/>
    </row>
    <row r="575" spans="1:23" ht="13" x14ac:dyDescent="0.3">
      <c r="A575" s="58"/>
      <c r="B575" s="58"/>
      <c r="C575" s="58"/>
      <c r="D575" s="58"/>
      <c r="E575" s="58"/>
      <c r="F575" s="58"/>
      <c r="G575" s="58"/>
      <c r="H575" s="59"/>
      <c r="I575" s="59"/>
      <c r="J575" s="59"/>
      <c r="K575" s="59"/>
      <c r="L575" s="59"/>
      <c r="M575" s="60"/>
      <c r="N575" s="60"/>
      <c r="O575" s="60"/>
      <c r="P575" s="59"/>
      <c r="Q575" s="59"/>
      <c r="R575" s="60"/>
      <c r="S575" s="60"/>
      <c r="T575" s="60"/>
      <c r="U575" s="60"/>
      <c r="V575" s="60"/>
      <c r="W575" s="60"/>
    </row>
    <row r="576" spans="1:23" ht="13" x14ac:dyDescent="0.3">
      <c r="A576" s="58"/>
      <c r="B576" s="58"/>
      <c r="C576" s="58"/>
      <c r="D576" s="58"/>
      <c r="E576" s="58"/>
      <c r="F576" s="58"/>
      <c r="G576" s="58"/>
      <c r="H576" s="59"/>
      <c r="I576" s="59"/>
      <c r="J576" s="59"/>
      <c r="K576" s="59"/>
      <c r="L576" s="59"/>
      <c r="M576" s="60"/>
      <c r="N576" s="60"/>
      <c r="O576" s="60"/>
      <c r="P576" s="59"/>
      <c r="Q576" s="59"/>
      <c r="R576" s="60"/>
      <c r="S576" s="60"/>
      <c r="T576" s="60"/>
      <c r="U576" s="60"/>
      <c r="V576" s="60"/>
      <c r="W576" s="60"/>
    </row>
    <row r="577" spans="1:23" ht="13" x14ac:dyDescent="0.3">
      <c r="A577" s="58"/>
      <c r="B577" s="58"/>
      <c r="C577" s="58"/>
      <c r="D577" s="58"/>
      <c r="E577" s="58"/>
      <c r="F577" s="58"/>
      <c r="G577" s="58"/>
      <c r="H577" s="59"/>
      <c r="I577" s="59"/>
      <c r="J577" s="59"/>
      <c r="K577" s="59"/>
      <c r="L577" s="59"/>
      <c r="M577" s="60"/>
      <c r="N577" s="60"/>
      <c r="O577" s="60"/>
      <c r="P577" s="59"/>
      <c r="Q577" s="59"/>
      <c r="R577" s="60"/>
      <c r="S577" s="60"/>
      <c r="T577" s="60"/>
      <c r="U577" s="60"/>
      <c r="V577" s="60"/>
      <c r="W577" s="60"/>
    </row>
    <row r="578" spans="1:23" ht="13" x14ac:dyDescent="0.3">
      <c r="A578" s="58"/>
      <c r="B578" s="58"/>
      <c r="C578" s="58"/>
      <c r="D578" s="58"/>
      <c r="E578" s="58"/>
      <c r="F578" s="58"/>
      <c r="G578" s="58"/>
      <c r="H578" s="59"/>
      <c r="I578" s="59"/>
      <c r="J578" s="59"/>
      <c r="K578" s="59"/>
      <c r="L578" s="59"/>
      <c r="M578" s="60"/>
      <c r="N578" s="60"/>
      <c r="O578" s="60"/>
      <c r="P578" s="59"/>
      <c r="Q578" s="59"/>
      <c r="R578" s="60"/>
      <c r="S578" s="60"/>
      <c r="T578" s="60"/>
      <c r="U578" s="60"/>
      <c r="V578" s="60"/>
      <c r="W578" s="60"/>
    </row>
    <row r="579" spans="1:23" ht="13" x14ac:dyDescent="0.3">
      <c r="A579" s="58"/>
      <c r="B579" s="58"/>
      <c r="C579" s="58"/>
      <c r="D579" s="58"/>
      <c r="E579" s="58"/>
      <c r="F579" s="58"/>
      <c r="G579" s="58"/>
      <c r="H579" s="59"/>
      <c r="I579" s="59"/>
      <c r="J579" s="59"/>
      <c r="K579" s="59"/>
      <c r="L579" s="59"/>
      <c r="M579" s="60"/>
      <c r="N579" s="60"/>
      <c r="O579" s="60"/>
      <c r="P579" s="59"/>
      <c r="Q579" s="59"/>
      <c r="R579" s="60"/>
      <c r="S579" s="60"/>
      <c r="T579" s="60"/>
      <c r="U579" s="60"/>
      <c r="V579" s="60"/>
      <c r="W579" s="60"/>
    </row>
    <row r="580" spans="1:23" ht="13" x14ac:dyDescent="0.3">
      <c r="A580" s="58"/>
      <c r="B580" s="58"/>
      <c r="C580" s="58"/>
      <c r="D580" s="58"/>
      <c r="E580" s="58"/>
      <c r="F580" s="58"/>
      <c r="G580" s="58"/>
      <c r="H580" s="59"/>
      <c r="I580" s="59"/>
      <c r="J580" s="59"/>
      <c r="K580" s="59"/>
      <c r="L580" s="59"/>
      <c r="M580" s="60"/>
      <c r="N580" s="60"/>
      <c r="O580" s="60"/>
      <c r="P580" s="59"/>
      <c r="Q580" s="59"/>
      <c r="R580" s="60"/>
      <c r="S580" s="60"/>
      <c r="T580" s="60"/>
      <c r="U580" s="60"/>
      <c r="V580" s="60"/>
      <c r="W580" s="60"/>
    </row>
    <row r="581" spans="1:23" ht="13" x14ac:dyDescent="0.3">
      <c r="A581" s="58"/>
      <c r="B581" s="58"/>
      <c r="C581" s="58"/>
      <c r="D581" s="58"/>
      <c r="E581" s="58"/>
      <c r="F581" s="58"/>
      <c r="G581" s="58"/>
      <c r="H581" s="59"/>
      <c r="I581" s="59"/>
      <c r="J581" s="59"/>
      <c r="K581" s="59"/>
      <c r="L581" s="59"/>
      <c r="M581" s="60"/>
      <c r="N581" s="60"/>
      <c r="O581" s="60"/>
      <c r="P581" s="59"/>
      <c r="Q581" s="59"/>
      <c r="R581" s="60"/>
      <c r="S581" s="60"/>
      <c r="T581" s="60"/>
      <c r="U581" s="60"/>
      <c r="V581" s="60"/>
      <c r="W581" s="60"/>
    </row>
    <row r="582" spans="1:23" ht="13" x14ac:dyDescent="0.3">
      <c r="A582" s="58"/>
      <c r="B582" s="58"/>
      <c r="C582" s="58"/>
      <c r="D582" s="58"/>
      <c r="E582" s="58"/>
      <c r="F582" s="58"/>
      <c r="G582" s="58"/>
      <c r="H582" s="59"/>
      <c r="I582" s="59"/>
      <c r="J582" s="59"/>
      <c r="K582" s="59"/>
      <c r="L582" s="59"/>
      <c r="M582" s="60"/>
      <c r="N582" s="60"/>
      <c r="O582" s="60"/>
      <c r="P582" s="59"/>
      <c r="Q582" s="59"/>
      <c r="R582" s="60"/>
      <c r="S582" s="60"/>
      <c r="T582" s="60"/>
      <c r="U582" s="60"/>
      <c r="V582" s="60"/>
      <c r="W582" s="60"/>
    </row>
    <row r="583" spans="1:23" ht="13" x14ac:dyDescent="0.3">
      <c r="A583" s="58"/>
      <c r="B583" s="58"/>
      <c r="C583" s="58"/>
      <c r="D583" s="58"/>
      <c r="E583" s="58"/>
      <c r="F583" s="58"/>
      <c r="G583" s="58"/>
      <c r="H583" s="59"/>
      <c r="I583" s="59"/>
      <c r="J583" s="59"/>
      <c r="K583" s="59"/>
      <c r="L583" s="59"/>
      <c r="M583" s="60"/>
      <c r="N583" s="60"/>
      <c r="O583" s="60"/>
      <c r="P583" s="59"/>
      <c r="Q583" s="59"/>
      <c r="R583" s="60"/>
      <c r="S583" s="60"/>
      <c r="T583" s="60"/>
      <c r="U583" s="60"/>
      <c r="V583" s="60"/>
      <c r="W583" s="60"/>
    </row>
    <row r="584" spans="1:23" ht="13" x14ac:dyDescent="0.3">
      <c r="A584" s="58"/>
      <c r="B584" s="58"/>
      <c r="C584" s="58"/>
      <c r="D584" s="58"/>
      <c r="E584" s="58"/>
      <c r="F584" s="58"/>
      <c r="G584" s="58"/>
      <c r="H584" s="59"/>
      <c r="I584" s="59"/>
      <c r="J584" s="59"/>
      <c r="K584" s="59"/>
      <c r="L584" s="59"/>
      <c r="M584" s="60"/>
      <c r="N584" s="60"/>
      <c r="O584" s="60"/>
      <c r="P584" s="59"/>
      <c r="Q584" s="59"/>
      <c r="R584" s="60"/>
      <c r="S584" s="60"/>
      <c r="T584" s="60"/>
      <c r="U584" s="60"/>
      <c r="V584" s="60"/>
      <c r="W584" s="60"/>
    </row>
    <row r="585" spans="1:23" ht="13" x14ac:dyDescent="0.3">
      <c r="A585" s="58"/>
      <c r="B585" s="58"/>
      <c r="C585" s="58"/>
      <c r="D585" s="58"/>
      <c r="E585" s="58"/>
      <c r="F585" s="58"/>
      <c r="G585" s="58"/>
      <c r="H585" s="59"/>
      <c r="I585" s="59"/>
      <c r="J585" s="59"/>
      <c r="K585" s="59"/>
      <c r="L585" s="59"/>
      <c r="M585" s="60"/>
      <c r="N585" s="60"/>
      <c r="O585" s="60"/>
      <c r="P585" s="59"/>
      <c r="Q585" s="59"/>
      <c r="R585" s="60"/>
      <c r="S585" s="60"/>
      <c r="T585" s="60"/>
      <c r="U585" s="60"/>
      <c r="V585" s="60"/>
      <c r="W585" s="60"/>
    </row>
    <row r="586" spans="1:23" ht="13" x14ac:dyDescent="0.3">
      <c r="A586" s="58"/>
      <c r="B586" s="58"/>
      <c r="C586" s="58"/>
      <c r="D586" s="58"/>
      <c r="E586" s="58"/>
      <c r="F586" s="58"/>
      <c r="G586" s="58"/>
      <c r="H586" s="59"/>
      <c r="I586" s="59"/>
      <c r="J586" s="59"/>
      <c r="K586" s="59"/>
      <c r="L586" s="59"/>
      <c r="M586" s="60"/>
      <c r="N586" s="60"/>
      <c r="O586" s="60"/>
      <c r="P586" s="59"/>
      <c r="Q586" s="59"/>
      <c r="R586" s="60"/>
      <c r="S586" s="60"/>
      <c r="T586" s="60"/>
      <c r="U586" s="60"/>
      <c r="V586" s="60"/>
      <c r="W586" s="60"/>
    </row>
    <row r="587" spans="1:23" ht="13" x14ac:dyDescent="0.3">
      <c r="A587" s="58"/>
      <c r="B587" s="58"/>
      <c r="C587" s="58"/>
      <c r="D587" s="58"/>
      <c r="E587" s="58"/>
      <c r="F587" s="58"/>
      <c r="G587" s="58"/>
      <c r="H587" s="59"/>
      <c r="I587" s="59"/>
      <c r="J587" s="59"/>
      <c r="K587" s="59"/>
      <c r="L587" s="59"/>
      <c r="M587" s="60"/>
      <c r="N587" s="60"/>
      <c r="O587" s="60"/>
      <c r="P587" s="59"/>
      <c r="Q587" s="59"/>
      <c r="R587" s="60"/>
      <c r="S587" s="60"/>
      <c r="T587" s="60"/>
      <c r="U587" s="60"/>
      <c r="V587" s="60"/>
      <c r="W587" s="60"/>
    </row>
    <row r="588" spans="1:23" ht="13" x14ac:dyDescent="0.3">
      <c r="A588" s="58"/>
      <c r="B588" s="58"/>
      <c r="C588" s="58"/>
      <c r="D588" s="58"/>
      <c r="E588" s="58"/>
      <c r="F588" s="58"/>
      <c r="G588" s="58"/>
      <c r="H588" s="59"/>
      <c r="I588" s="59"/>
      <c r="J588" s="59"/>
      <c r="K588" s="59"/>
      <c r="L588" s="59"/>
      <c r="M588" s="60"/>
      <c r="N588" s="60"/>
      <c r="O588" s="60"/>
      <c r="P588" s="59"/>
      <c r="Q588" s="59"/>
      <c r="R588" s="60"/>
      <c r="S588" s="60"/>
      <c r="T588" s="60"/>
      <c r="U588" s="60"/>
      <c r="V588" s="60"/>
      <c r="W588" s="60"/>
    </row>
    <row r="589" spans="1:23" ht="13" x14ac:dyDescent="0.3">
      <c r="A589" s="58"/>
      <c r="B589" s="58"/>
      <c r="C589" s="58"/>
      <c r="D589" s="58"/>
      <c r="E589" s="58"/>
      <c r="F589" s="58"/>
      <c r="G589" s="58"/>
      <c r="H589" s="59"/>
      <c r="I589" s="59"/>
      <c r="J589" s="59"/>
      <c r="K589" s="59"/>
      <c r="L589" s="59"/>
      <c r="M589" s="60"/>
      <c r="N589" s="60"/>
      <c r="O589" s="60"/>
      <c r="P589" s="59"/>
      <c r="Q589" s="59"/>
      <c r="R589" s="60"/>
      <c r="S589" s="60"/>
      <c r="T589" s="60"/>
      <c r="U589" s="60"/>
      <c r="V589" s="60"/>
      <c r="W589" s="60"/>
    </row>
    <row r="590" spans="1:23" ht="13" x14ac:dyDescent="0.3">
      <c r="A590" s="58"/>
      <c r="B590" s="58"/>
      <c r="C590" s="58"/>
      <c r="D590" s="58"/>
      <c r="E590" s="58"/>
      <c r="F590" s="58"/>
      <c r="G590" s="58"/>
      <c r="H590" s="59"/>
      <c r="I590" s="59"/>
      <c r="J590" s="59"/>
      <c r="K590" s="59"/>
      <c r="L590" s="59"/>
      <c r="M590" s="60"/>
      <c r="N590" s="60"/>
      <c r="O590" s="60"/>
      <c r="P590" s="59"/>
      <c r="Q590" s="59"/>
      <c r="R590" s="60"/>
      <c r="S590" s="60"/>
      <c r="T590" s="60"/>
      <c r="U590" s="60"/>
      <c r="V590" s="60"/>
      <c r="W590" s="60"/>
    </row>
    <row r="591" spans="1:23" ht="13" x14ac:dyDescent="0.3">
      <c r="A591" s="58"/>
      <c r="B591" s="58"/>
      <c r="C591" s="58"/>
      <c r="D591" s="58"/>
      <c r="E591" s="58"/>
      <c r="F591" s="58"/>
      <c r="G591" s="58"/>
      <c r="H591" s="59"/>
      <c r="I591" s="59"/>
      <c r="J591" s="59"/>
      <c r="K591" s="59"/>
      <c r="L591" s="59"/>
      <c r="M591" s="60"/>
      <c r="N591" s="60"/>
      <c r="O591" s="60"/>
      <c r="P591" s="59"/>
      <c r="Q591" s="59"/>
      <c r="R591" s="60"/>
      <c r="S591" s="60"/>
      <c r="T591" s="60"/>
      <c r="U591" s="60"/>
      <c r="V591" s="60"/>
      <c r="W591" s="60"/>
    </row>
    <row r="592" spans="1:23" ht="13" x14ac:dyDescent="0.3">
      <c r="A592" s="58"/>
      <c r="B592" s="58"/>
      <c r="C592" s="58"/>
      <c r="D592" s="58"/>
      <c r="E592" s="58"/>
      <c r="F592" s="58"/>
      <c r="G592" s="58"/>
      <c r="H592" s="59"/>
      <c r="I592" s="59"/>
      <c r="J592" s="59"/>
      <c r="K592" s="59"/>
      <c r="L592" s="59"/>
      <c r="M592" s="60"/>
      <c r="N592" s="60"/>
      <c r="O592" s="60"/>
      <c r="P592" s="59"/>
      <c r="Q592" s="59"/>
      <c r="R592" s="60"/>
      <c r="S592" s="60"/>
      <c r="T592" s="60"/>
      <c r="U592" s="60"/>
      <c r="V592" s="60"/>
      <c r="W592" s="60"/>
    </row>
    <row r="593" spans="1:23" ht="13" x14ac:dyDescent="0.3">
      <c r="A593" s="58"/>
      <c r="B593" s="58"/>
      <c r="C593" s="58"/>
      <c r="D593" s="58"/>
      <c r="E593" s="58"/>
      <c r="F593" s="58"/>
      <c r="G593" s="58"/>
      <c r="H593" s="59"/>
      <c r="I593" s="59"/>
      <c r="J593" s="59"/>
      <c r="K593" s="59"/>
      <c r="L593" s="59"/>
      <c r="M593" s="60"/>
      <c r="N593" s="60"/>
      <c r="O593" s="60"/>
      <c r="P593" s="59"/>
      <c r="Q593" s="59"/>
      <c r="R593" s="60"/>
      <c r="S593" s="60"/>
      <c r="T593" s="60"/>
      <c r="U593" s="60"/>
      <c r="V593" s="60"/>
      <c r="W593" s="60"/>
    </row>
    <row r="594" spans="1:23" ht="13" x14ac:dyDescent="0.3">
      <c r="A594" s="58"/>
      <c r="B594" s="58"/>
      <c r="C594" s="58"/>
      <c r="D594" s="58"/>
      <c r="E594" s="58"/>
      <c r="F594" s="58"/>
      <c r="G594" s="58"/>
      <c r="H594" s="59"/>
      <c r="I594" s="59"/>
      <c r="J594" s="59"/>
      <c r="K594" s="59"/>
      <c r="L594" s="59"/>
      <c r="M594" s="60"/>
      <c r="N594" s="60"/>
      <c r="O594" s="60"/>
      <c r="P594" s="59"/>
      <c r="Q594" s="59"/>
      <c r="R594" s="60"/>
      <c r="S594" s="60"/>
      <c r="T594" s="60"/>
      <c r="U594" s="60"/>
      <c r="V594" s="60"/>
      <c r="W594" s="60"/>
    </row>
    <row r="595" spans="1:23" ht="13" x14ac:dyDescent="0.3">
      <c r="A595" s="58"/>
      <c r="B595" s="58"/>
      <c r="C595" s="58"/>
      <c r="D595" s="58"/>
      <c r="E595" s="58"/>
      <c r="F595" s="58"/>
      <c r="G595" s="58"/>
      <c r="H595" s="59"/>
      <c r="I595" s="59"/>
      <c r="J595" s="59"/>
      <c r="K595" s="59"/>
      <c r="L595" s="59"/>
      <c r="M595" s="60"/>
      <c r="N595" s="60"/>
      <c r="O595" s="60"/>
      <c r="P595" s="59"/>
      <c r="Q595" s="59"/>
      <c r="R595" s="60"/>
      <c r="S595" s="60"/>
      <c r="T595" s="60"/>
      <c r="U595" s="60"/>
      <c r="V595" s="60"/>
      <c r="W595" s="60"/>
    </row>
    <row r="596" spans="1:23" ht="13" x14ac:dyDescent="0.3">
      <c r="A596" s="58"/>
      <c r="B596" s="58"/>
      <c r="C596" s="58"/>
      <c r="D596" s="58"/>
      <c r="E596" s="58"/>
      <c r="F596" s="58"/>
      <c r="G596" s="58"/>
      <c r="H596" s="59"/>
      <c r="I596" s="59"/>
      <c r="J596" s="59"/>
      <c r="K596" s="59"/>
      <c r="L596" s="59"/>
      <c r="M596" s="60"/>
      <c r="N596" s="60"/>
      <c r="O596" s="60"/>
      <c r="P596" s="59"/>
      <c r="Q596" s="59"/>
      <c r="R596" s="60"/>
      <c r="S596" s="60"/>
      <c r="T596" s="60"/>
      <c r="U596" s="60"/>
      <c r="V596" s="60"/>
      <c r="W596" s="60"/>
    </row>
    <row r="597" spans="1:23" ht="13" x14ac:dyDescent="0.3">
      <c r="A597" s="58"/>
      <c r="B597" s="58"/>
      <c r="C597" s="58"/>
      <c r="D597" s="58"/>
      <c r="E597" s="58"/>
      <c r="F597" s="58"/>
      <c r="G597" s="58"/>
      <c r="H597" s="59"/>
      <c r="I597" s="59"/>
      <c r="J597" s="59"/>
      <c r="K597" s="59"/>
      <c r="L597" s="59"/>
      <c r="M597" s="60"/>
      <c r="N597" s="60"/>
      <c r="O597" s="60"/>
      <c r="P597" s="59"/>
      <c r="Q597" s="59"/>
      <c r="R597" s="60"/>
      <c r="S597" s="60"/>
      <c r="T597" s="60"/>
      <c r="U597" s="60"/>
      <c r="V597" s="60"/>
      <c r="W597" s="60"/>
    </row>
    <row r="598" spans="1:23" ht="13" x14ac:dyDescent="0.3">
      <c r="A598" s="58"/>
      <c r="B598" s="58"/>
      <c r="C598" s="58"/>
      <c r="D598" s="58"/>
      <c r="E598" s="58"/>
      <c r="F598" s="58"/>
      <c r="G598" s="58"/>
      <c r="H598" s="59"/>
      <c r="I598" s="59"/>
      <c r="J598" s="59"/>
      <c r="K598" s="59"/>
      <c r="L598" s="59"/>
      <c r="M598" s="60"/>
      <c r="N598" s="60"/>
      <c r="O598" s="60"/>
      <c r="P598" s="59"/>
      <c r="Q598" s="59"/>
      <c r="R598" s="60"/>
      <c r="S598" s="60"/>
      <c r="T598" s="60"/>
      <c r="U598" s="60"/>
      <c r="V598" s="60"/>
      <c r="W598" s="60"/>
    </row>
    <row r="599" spans="1:23" ht="13" x14ac:dyDescent="0.3">
      <c r="A599" s="58"/>
      <c r="B599" s="58"/>
      <c r="C599" s="58"/>
      <c r="D599" s="58"/>
      <c r="E599" s="58"/>
      <c r="F599" s="58"/>
      <c r="G599" s="58"/>
      <c r="H599" s="59"/>
      <c r="I599" s="59"/>
      <c r="J599" s="59"/>
      <c r="K599" s="59"/>
      <c r="L599" s="59"/>
      <c r="M599" s="60"/>
      <c r="N599" s="60"/>
      <c r="O599" s="60"/>
      <c r="P599" s="59"/>
      <c r="Q599" s="59"/>
      <c r="R599" s="60"/>
      <c r="S599" s="60"/>
      <c r="T599" s="60"/>
      <c r="U599" s="60"/>
      <c r="V599" s="60"/>
      <c r="W599" s="60"/>
    </row>
    <row r="600" spans="1:23" ht="13" x14ac:dyDescent="0.3">
      <c r="A600" s="58"/>
      <c r="B600" s="58"/>
      <c r="C600" s="58"/>
      <c r="D600" s="58"/>
      <c r="E600" s="58"/>
      <c r="F600" s="58"/>
      <c r="G600" s="58"/>
      <c r="H600" s="59"/>
      <c r="I600" s="59"/>
      <c r="J600" s="59"/>
      <c r="K600" s="59"/>
      <c r="L600" s="59"/>
      <c r="M600" s="60"/>
      <c r="N600" s="60"/>
      <c r="O600" s="60"/>
      <c r="P600" s="59"/>
      <c r="Q600" s="59"/>
      <c r="R600" s="60"/>
      <c r="S600" s="60"/>
      <c r="T600" s="60"/>
      <c r="U600" s="60"/>
      <c r="V600" s="60"/>
      <c r="W600" s="60"/>
    </row>
    <row r="601" spans="1:23" ht="13" x14ac:dyDescent="0.3">
      <c r="A601" s="58"/>
      <c r="B601" s="58"/>
      <c r="C601" s="58"/>
      <c r="D601" s="58"/>
      <c r="E601" s="58"/>
      <c r="F601" s="58"/>
      <c r="G601" s="58"/>
      <c r="H601" s="59"/>
      <c r="I601" s="59"/>
      <c r="J601" s="59"/>
      <c r="K601" s="59"/>
      <c r="L601" s="59"/>
      <c r="M601" s="60"/>
      <c r="N601" s="60"/>
      <c r="O601" s="60"/>
      <c r="P601" s="59"/>
      <c r="Q601" s="59"/>
      <c r="R601" s="60"/>
      <c r="S601" s="60"/>
      <c r="T601" s="60"/>
      <c r="U601" s="60"/>
      <c r="V601" s="60"/>
      <c r="W601" s="60"/>
    </row>
    <row r="602" spans="1:23" ht="13" x14ac:dyDescent="0.3">
      <c r="A602" s="58"/>
      <c r="B602" s="58"/>
      <c r="C602" s="58"/>
      <c r="D602" s="58"/>
      <c r="E602" s="58"/>
      <c r="F602" s="58"/>
      <c r="G602" s="58"/>
      <c r="H602" s="59"/>
      <c r="I602" s="59"/>
      <c r="J602" s="59"/>
      <c r="K602" s="59"/>
      <c r="L602" s="59"/>
      <c r="M602" s="60"/>
      <c r="N602" s="60"/>
      <c r="O602" s="60"/>
      <c r="P602" s="59"/>
      <c r="Q602" s="59"/>
      <c r="R602" s="60"/>
      <c r="S602" s="60"/>
      <c r="T602" s="60"/>
      <c r="U602" s="60"/>
      <c r="V602" s="60"/>
      <c r="W602" s="60"/>
    </row>
    <row r="603" spans="1:23" ht="13" x14ac:dyDescent="0.3">
      <c r="A603" s="58"/>
      <c r="B603" s="58"/>
      <c r="C603" s="58"/>
      <c r="D603" s="58"/>
      <c r="E603" s="58"/>
      <c r="F603" s="58"/>
      <c r="G603" s="58"/>
      <c r="H603" s="59"/>
      <c r="I603" s="59"/>
      <c r="J603" s="59"/>
      <c r="K603" s="59"/>
      <c r="L603" s="59"/>
      <c r="M603" s="60"/>
      <c r="N603" s="60"/>
      <c r="O603" s="60"/>
      <c r="P603" s="59"/>
      <c r="Q603" s="59"/>
      <c r="R603" s="60"/>
      <c r="S603" s="60"/>
      <c r="T603" s="60"/>
      <c r="U603" s="60"/>
      <c r="V603" s="60"/>
      <c r="W603" s="60"/>
    </row>
    <row r="604" spans="1:23" ht="13" x14ac:dyDescent="0.3">
      <c r="A604" s="58"/>
      <c r="B604" s="58"/>
      <c r="C604" s="58"/>
      <c r="D604" s="58"/>
      <c r="E604" s="58"/>
      <c r="F604" s="58"/>
      <c r="G604" s="58"/>
      <c r="H604" s="59"/>
      <c r="I604" s="59"/>
      <c r="J604" s="59"/>
      <c r="K604" s="59"/>
      <c r="L604" s="59"/>
      <c r="M604" s="60"/>
      <c r="N604" s="60"/>
      <c r="O604" s="60"/>
      <c r="P604" s="59"/>
      <c r="Q604" s="59"/>
      <c r="R604" s="60"/>
      <c r="S604" s="60"/>
      <c r="T604" s="60"/>
      <c r="U604" s="60"/>
      <c r="V604" s="60"/>
      <c r="W604" s="60"/>
    </row>
    <row r="605" spans="1:23" ht="13" x14ac:dyDescent="0.3">
      <c r="A605" s="58"/>
      <c r="B605" s="58"/>
      <c r="C605" s="58"/>
      <c r="D605" s="58"/>
      <c r="E605" s="58"/>
      <c r="F605" s="58"/>
      <c r="G605" s="58"/>
      <c r="H605" s="59"/>
      <c r="I605" s="59"/>
      <c r="J605" s="59"/>
      <c r="K605" s="59"/>
      <c r="L605" s="59"/>
      <c r="M605" s="60"/>
      <c r="N605" s="60"/>
      <c r="O605" s="60"/>
      <c r="P605" s="59"/>
      <c r="Q605" s="59"/>
      <c r="R605" s="60"/>
      <c r="S605" s="60"/>
      <c r="T605" s="60"/>
      <c r="U605" s="60"/>
      <c r="V605" s="60"/>
      <c r="W605" s="60"/>
    </row>
    <row r="606" spans="1:23" ht="13" x14ac:dyDescent="0.3">
      <c r="A606" s="58"/>
      <c r="B606" s="58"/>
      <c r="C606" s="58"/>
      <c r="D606" s="58"/>
      <c r="E606" s="58"/>
      <c r="F606" s="58"/>
      <c r="G606" s="58"/>
      <c r="H606" s="59"/>
      <c r="I606" s="59"/>
      <c r="J606" s="59"/>
      <c r="K606" s="59"/>
      <c r="L606" s="59"/>
      <c r="M606" s="60"/>
      <c r="N606" s="60"/>
      <c r="O606" s="60"/>
      <c r="P606" s="59"/>
      <c r="Q606" s="59"/>
      <c r="R606" s="60"/>
      <c r="S606" s="60"/>
      <c r="T606" s="60"/>
      <c r="U606" s="60"/>
      <c r="V606" s="60"/>
      <c r="W606" s="60"/>
    </row>
    <row r="607" spans="1:23" ht="13" x14ac:dyDescent="0.3">
      <c r="A607" s="58"/>
      <c r="B607" s="58"/>
      <c r="C607" s="58"/>
      <c r="D607" s="58"/>
      <c r="E607" s="58"/>
      <c r="F607" s="58"/>
      <c r="G607" s="58"/>
      <c r="H607" s="59"/>
      <c r="I607" s="59"/>
      <c r="J607" s="59"/>
      <c r="K607" s="59"/>
      <c r="L607" s="59"/>
      <c r="M607" s="60"/>
      <c r="N607" s="60"/>
      <c r="O607" s="60"/>
      <c r="P607" s="59"/>
      <c r="Q607" s="59"/>
      <c r="R607" s="60"/>
      <c r="S607" s="60"/>
      <c r="T607" s="60"/>
      <c r="U607" s="60"/>
      <c r="V607" s="60"/>
      <c r="W607" s="60"/>
    </row>
    <row r="608" spans="1:23" ht="13" x14ac:dyDescent="0.3">
      <c r="A608" s="58"/>
      <c r="B608" s="58"/>
      <c r="C608" s="58"/>
      <c r="D608" s="58"/>
      <c r="E608" s="58"/>
      <c r="F608" s="58"/>
      <c r="G608" s="58"/>
      <c r="H608" s="59"/>
      <c r="I608" s="59"/>
      <c r="J608" s="59"/>
      <c r="K608" s="59"/>
      <c r="L608" s="59"/>
      <c r="M608" s="60"/>
      <c r="N608" s="60"/>
      <c r="O608" s="60"/>
      <c r="P608" s="59"/>
      <c r="Q608" s="59"/>
      <c r="R608" s="60"/>
      <c r="S608" s="60"/>
      <c r="T608" s="60"/>
      <c r="U608" s="60"/>
      <c r="V608" s="60"/>
      <c r="W608" s="60"/>
    </row>
    <row r="609" spans="1:23" ht="13" x14ac:dyDescent="0.3">
      <c r="A609" s="58"/>
      <c r="B609" s="58"/>
      <c r="C609" s="58"/>
      <c r="D609" s="58"/>
      <c r="E609" s="58"/>
      <c r="F609" s="58"/>
      <c r="G609" s="58"/>
      <c r="H609" s="59"/>
      <c r="I609" s="59"/>
      <c r="J609" s="59"/>
      <c r="K609" s="59"/>
      <c r="L609" s="59"/>
      <c r="M609" s="60"/>
      <c r="N609" s="60"/>
      <c r="O609" s="60"/>
      <c r="P609" s="59"/>
      <c r="Q609" s="59"/>
      <c r="R609" s="60"/>
      <c r="S609" s="60"/>
      <c r="T609" s="60"/>
      <c r="U609" s="60"/>
      <c r="V609" s="60"/>
      <c r="W609" s="60"/>
    </row>
    <row r="610" spans="1:23" ht="13" x14ac:dyDescent="0.3">
      <c r="A610" s="58"/>
      <c r="B610" s="58"/>
      <c r="C610" s="58"/>
      <c r="D610" s="58"/>
      <c r="E610" s="58"/>
      <c r="F610" s="58"/>
      <c r="G610" s="58"/>
      <c r="H610" s="59"/>
      <c r="I610" s="59"/>
      <c r="J610" s="59"/>
      <c r="K610" s="59"/>
      <c r="L610" s="59"/>
      <c r="M610" s="60"/>
      <c r="N610" s="60"/>
      <c r="O610" s="60"/>
      <c r="P610" s="59"/>
      <c r="Q610" s="59"/>
      <c r="R610" s="60"/>
      <c r="S610" s="60"/>
      <c r="T610" s="60"/>
      <c r="U610" s="60"/>
      <c r="V610" s="60"/>
      <c r="W610" s="60"/>
    </row>
    <row r="611" spans="1:23" ht="13" x14ac:dyDescent="0.3">
      <c r="A611" s="58"/>
      <c r="B611" s="58"/>
      <c r="C611" s="58"/>
      <c r="D611" s="58"/>
      <c r="E611" s="58"/>
      <c r="F611" s="58"/>
      <c r="G611" s="58"/>
      <c r="H611" s="59"/>
      <c r="I611" s="59"/>
      <c r="J611" s="59"/>
      <c r="K611" s="59"/>
      <c r="L611" s="59"/>
      <c r="M611" s="60"/>
      <c r="N611" s="60"/>
      <c r="O611" s="60"/>
      <c r="P611" s="59"/>
      <c r="Q611" s="59"/>
      <c r="R611" s="60"/>
      <c r="S611" s="60"/>
      <c r="T611" s="60"/>
      <c r="U611" s="60"/>
      <c r="V611" s="60"/>
      <c r="W611" s="60"/>
    </row>
    <row r="612" spans="1:23" ht="13" x14ac:dyDescent="0.3">
      <c r="A612" s="58"/>
      <c r="B612" s="58"/>
      <c r="C612" s="58"/>
      <c r="D612" s="58"/>
      <c r="E612" s="58"/>
      <c r="F612" s="58"/>
      <c r="G612" s="58"/>
      <c r="H612" s="59"/>
      <c r="I612" s="59"/>
      <c r="J612" s="59"/>
      <c r="K612" s="59"/>
      <c r="L612" s="59"/>
      <c r="M612" s="60"/>
      <c r="N612" s="60"/>
      <c r="O612" s="60"/>
      <c r="P612" s="59"/>
      <c r="Q612" s="59"/>
      <c r="R612" s="60"/>
      <c r="S612" s="60"/>
      <c r="T612" s="60"/>
      <c r="U612" s="60"/>
      <c r="V612" s="60"/>
      <c r="W612" s="60"/>
    </row>
    <row r="613" spans="1:23" ht="13" x14ac:dyDescent="0.3">
      <c r="A613" s="58"/>
      <c r="B613" s="58"/>
      <c r="C613" s="58"/>
      <c r="D613" s="58"/>
      <c r="E613" s="58"/>
      <c r="F613" s="58"/>
      <c r="G613" s="58"/>
      <c r="H613" s="59"/>
      <c r="I613" s="59"/>
      <c r="J613" s="59"/>
      <c r="K613" s="59"/>
      <c r="L613" s="59"/>
      <c r="M613" s="60"/>
      <c r="N613" s="60"/>
      <c r="O613" s="60"/>
      <c r="P613" s="59"/>
      <c r="Q613" s="59"/>
      <c r="R613" s="60"/>
      <c r="S613" s="60"/>
      <c r="T613" s="60"/>
      <c r="U613" s="60"/>
      <c r="V613" s="60"/>
      <c r="W613" s="60"/>
    </row>
    <row r="614" spans="1:23" ht="13" x14ac:dyDescent="0.3">
      <c r="A614" s="58"/>
      <c r="B614" s="58"/>
      <c r="C614" s="58"/>
      <c r="D614" s="58"/>
      <c r="E614" s="58"/>
      <c r="F614" s="58"/>
      <c r="G614" s="58"/>
      <c r="H614" s="59"/>
      <c r="I614" s="59"/>
      <c r="J614" s="59"/>
      <c r="K614" s="59"/>
      <c r="L614" s="59"/>
      <c r="M614" s="60"/>
      <c r="N614" s="60"/>
      <c r="O614" s="60"/>
      <c r="P614" s="59"/>
      <c r="Q614" s="59"/>
      <c r="R614" s="60"/>
      <c r="S614" s="60"/>
      <c r="T614" s="60"/>
      <c r="U614" s="60"/>
      <c r="V614" s="60"/>
      <c r="W614" s="60"/>
    </row>
    <row r="615" spans="1:23" ht="13" x14ac:dyDescent="0.3">
      <c r="A615" s="58"/>
      <c r="B615" s="58"/>
      <c r="C615" s="58"/>
      <c r="D615" s="58"/>
      <c r="E615" s="58"/>
      <c r="F615" s="58"/>
      <c r="G615" s="58"/>
      <c r="H615" s="59"/>
      <c r="I615" s="59"/>
      <c r="J615" s="59"/>
      <c r="K615" s="59"/>
      <c r="L615" s="59"/>
      <c r="M615" s="60"/>
      <c r="N615" s="60"/>
      <c r="O615" s="60"/>
      <c r="P615" s="59"/>
      <c r="Q615" s="59"/>
      <c r="R615" s="60"/>
      <c r="S615" s="60"/>
      <c r="T615" s="60"/>
      <c r="U615" s="60"/>
      <c r="V615" s="60"/>
      <c r="W615" s="60"/>
    </row>
    <row r="616" spans="1:23" ht="13" x14ac:dyDescent="0.3">
      <c r="A616" s="58"/>
      <c r="B616" s="58"/>
      <c r="C616" s="58"/>
      <c r="D616" s="58"/>
      <c r="E616" s="58"/>
      <c r="F616" s="58"/>
      <c r="G616" s="58"/>
      <c r="H616" s="59"/>
      <c r="I616" s="59"/>
      <c r="J616" s="59"/>
      <c r="K616" s="59"/>
      <c r="L616" s="59"/>
      <c r="M616" s="60"/>
      <c r="N616" s="60"/>
      <c r="O616" s="60"/>
      <c r="P616" s="59"/>
      <c r="Q616" s="59"/>
      <c r="R616" s="60"/>
      <c r="S616" s="60"/>
      <c r="T616" s="60"/>
      <c r="U616" s="60"/>
      <c r="V616" s="60"/>
      <c r="W616" s="60"/>
    </row>
    <row r="617" spans="1:23" ht="13" x14ac:dyDescent="0.3">
      <c r="A617" s="58"/>
      <c r="B617" s="58"/>
      <c r="C617" s="58"/>
      <c r="D617" s="58"/>
      <c r="E617" s="58"/>
      <c r="F617" s="58"/>
      <c r="G617" s="58"/>
      <c r="H617" s="59"/>
      <c r="I617" s="59"/>
      <c r="J617" s="59"/>
      <c r="K617" s="59"/>
      <c r="L617" s="59"/>
      <c r="M617" s="60"/>
      <c r="N617" s="60"/>
      <c r="O617" s="60"/>
      <c r="P617" s="59"/>
      <c r="Q617" s="59"/>
      <c r="R617" s="60"/>
      <c r="S617" s="60"/>
      <c r="T617" s="60"/>
      <c r="U617" s="60"/>
      <c r="V617" s="60"/>
      <c r="W617" s="60"/>
    </row>
    <row r="618" spans="1:23" ht="13" x14ac:dyDescent="0.3">
      <c r="A618" s="58"/>
      <c r="B618" s="58"/>
      <c r="C618" s="58"/>
      <c r="D618" s="58"/>
      <c r="E618" s="58"/>
      <c r="F618" s="58"/>
      <c r="G618" s="58"/>
      <c r="H618" s="59"/>
      <c r="I618" s="59"/>
      <c r="J618" s="59"/>
      <c r="K618" s="59"/>
      <c r="L618" s="59"/>
      <c r="M618" s="60"/>
      <c r="N618" s="60"/>
      <c r="O618" s="60"/>
      <c r="P618" s="59"/>
      <c r="Q618" s="59"/>
      <c r="R618" s="60"/>
      <c r="S618" s="60"/>
      <c r="T618" s="60"/>
      <c r="U618" s="60"/>
      <c r="V618" s="60"/>
      <c r="W618" s="60"/>
    </row>
    <row r="619" spans="1:23" ht="13" x14ac:dyDescent="0.3">
      <c r="A619" s="58"/>
      <c r="B619" s="58"/>
      <c r="C619" s="58"/>
      <c r="D619" s="58"/>
      <c r="E619" s="58"/>
      <c r="F619" s="58"/>
      <c r="G619" s="58"/>
      <c r="H619" s="59"/>
      <c r="I619" s="59"/>
      <c r="J619" s="59"/>
      <c r="K619" s="59"/>
      <c r="L619" s="59"/>
      <c r="M619" s="60"/>
      <c r="N619" s="60"/>
      <c r="O619" s="60"/>
      <c r="P619" s="59"/>
      <c r="Q619" s="59"/>
      <c r="R619" s="60"/>
      <c r="S619" s="60"/>
      <c r="T619" s="60"/>
      <c r="U619" s="60"/>
      <c r="V619" s="60"/>
      <c r="W619" s="60"/>
    </row>
    <row r="620" spans="1:23" ht="13" x14ac:dyDescent="0.3">
      <c r="A620" s="58"/>
      <c r="B620" s="58"/>
      <c r="C620" s="58"/>
      <c r="D620" s="58"/>
      <c r="E620" s="58"/>
      <c r="F620" s="58"/>
      <c r="G620" s="58"/>
      <c r="H620" s="59"/>
      <c r="I620" s="59"/>
      <c r="J620" s="59"/>
      <c r="K620" s="59"/>
      <c r="L620" s="59"/>
      <c r="M620" s="60"/>
      <c r="N620" s="60"/>
      <c r="O620" s="60"/>
      <c r="P620" s="59"/>
      <c r="Q620" s="59"/>
      <c r="R620" s="60"/>
      <c r="S620" s="60"/>
      <c r="T620" s="60"/>
      <c r="U620" s="60"/>
      <c r="V620" s="60"/>
      <c r="W620" s="60"/>
    </row>
    <row r="621" spans="1:23" ht="13" x14ac:dyDescent="0.3">
      <c r="A621" s="58"/>
      <c r="B621" s="58"/>
      <c r="C621" s="58"/>
      <c r="D621" s="58"/>
      <c r="E621" s="58"/>
      <c r="F621" s="58"/>
      <c r="G621" s="58"/>
      <c r="H621" s="59"/>
      <c r="I621" s="59"/>
      <c r="J621" s="59"/>
      <c r="K621" s="59"/>
      <c r="L621" s="59"/>
      <c r="M621" s="60"/>
      <c r="N621" s="60"/>
      <c r="O621" s="60"/>
      <c r="P621" s="59"/>
      <c r="Q621" s="59"/>
      <c r="R621" s="60"/>
      <c r="S621" s="60"/>
      <c r="T621" s="60"/>
      <c r="U621" s="60"/>
      <c r="V621" s="60"/>
      <c r="W621" s="60"/>
    </row>
    <row r="622" spans="1:23" ht="13" x14ac:dyDescent="0.3">
      <c r="A622" s="58"/>
      <c r="B622" s="58"/>
      <c r="C622" s="58"/>
      <c r="D622" s="58"/>
      <c r="E622" s="58"/>
      <c r="F622" s="58"/>
      <c r="G622" s="58"/>
      <c r="H622" s="59"/>
      <c r="I622" s="59"/>
      <c r="J622" s="59"/>
      <c r="K622" s="59"/>
      <c r="L622" s="59"/>
      <c r="M622" s="60"/>
      <c r="N622" s="60"/>
      <c r="O622" s="60"/>
      <c r="P622" s="59"/>
      <c r="Q622" s="59"/>
      <c r="R622" s="60"/>
      <c r="S622" s="60"/>
      <c r="T622" s="60"/>
      <c r="U622" s="60"/>
      <c r="V622" s="60"/>
      <c r="W622" s="60"/>
    </row>
    <row r="623" spans="1:23" ht="13" x14ac:dyDescent="0.3">
      <c r="A623" s="58"/>
      <c r="B623" s="58"/>
      <c r="C623" s="58"/>
      <c r="D623" s="58"/>
      <c r="E623" s="58"/>
      <c r="F623" s="58"/>
      <c r="G623" s="58"/>
      <c r="H623" s="59"/>
      <c r="I623" s="59"/>
      <c r="J623" s="59"/>
      <c r="K623" s="59"/>
      <c r="L623" s="59"/>
      <c r="M623" s="60"/>
      <c r="N623" s="60"/>
      <c r="O623" s="60"/>
      <c r="P623" s="59"/>
      <c r="Q623" s="59"/>
      <c r="R623" s="60"/>
      <c r="S623" s="60"/>
      <c r="T623" s="60"/>
      <c r="U623" s="60"/>
      <c r="V623" s="60"/>
      <c r="W623" s="60"/>
    </row>
    <row r="624" spans="1:23" ht="13" x14ac:dyDescent="0.3">
      <c r="A624" s="58"/>
      <c r="B624" s="58"/>
      <c r="C624" s="58"/>
      <c r="D624" s="58"/>
      <c r="E624" s="58"/>
      <c r="F624" s="58"/>
      <c r="G624" s="58"/>
      <c r="H624" s="59"/>
      <c r="I624" s="59"/>
      <c r="J624" s="59"/>
      <c r="K624" s="59"/>
      <c r="L624" s="59"/>
      <c r="M624" s="60"/>
      <c r="N624" s="60"/>
      <c r="O624" s="60"/>
      <c r="P624" s="59"/>
      <c r="Q624" s="59"/>
      <c r="R624" s="60"/>
      <c r="S624" s="60"/>
      <c r="T624" s="60"/>
      <c r="U624" s="60"/>
      <c r="V624" s="60"/>
      <c r="W624" s="60"/>
    </row>
    <row r="625" spans="1:23" ht="13" x14ac:dyDescent="0.3">
      <c r="A625" s="58"/>
      <c r="B625" s="58"/>
      <c r="C625" s="58"/>
      <c r="D625" s="58"/>
      <c r="E625" s="58"/>
      <c r="F625" s="58"/>
      <c r="G625" s="58"/>
      <c r="H625" s="59"/>
      <c r="I625" s="59"/>
      <c r="J625" s="59"/>
      <c r="K625" s="59"/>
      <c r="L625" s="59"/>
      <c r="M625" s="60"/>
      <c r="N625" s="60"/>
      <c r="O625" s="60"/>
      <c r="P625" s="59"/>
      <c r="Q625" s="59"/>
      <c r="R625" s="60"/>
      <c r="S625" s="60"/>
      <c r="T625" s="60"/>
      <c r="U625" s="60"/>
      <c r="V625" s="60"/>
      <c r="W625" s="60"/>
    </row>
    <row r="626" spans="1:23" ht="13" x14ac:dyDescent="0.3">
      <c r="A626" s="58"/>
      <c r="B626" s="58"/>
      <c r="C626" s="58"/>
      <c r="D626" s="58"/>
      <c r="E626" s="58"/>
      <c r="F626" s="58"/>
      <c r="G626" s="58"/>
      <c r="H626" s="59"/>
      <c r="I626" s="59"/>
      <c r="J626" s="59"/>
      <c r="K626" s="59"/>
      <c r="L626" s="59"/>
      <c r="M626" s="60"/>
      <c r="N626" s="60"/>
      <c r="O626" s="60"/>
      <c r="P626" s="59"/>
      <c r="Q626" s="59"/>
      <c r="R626" s="60"/>
      <c r="S626" s="60"/>
      <c r="T626" s="60"/>
      <c r="U626" s="60"/>
      <c r="V626" s="60"/>
      <c r="W626" s="60"/>
    </row>
    <row r="627" spans="1:23" ht="13" x14ac:dyDescent="0.3">
      <c r="A627" s="58"/>
      <c r="B627" s="58"/>
      <c r="C627" s="58"/>
      <c r="D627" s="58"/>
      <c r="E627" s="58"/>
      <c r="F627" s="58"/>
      <c r="G627" s="58"/>
      <c r="H627" s="59"/>
      <c r="I627" s="59"/>
      <c r="J627" s="59"/>
      <c r="K627" s="59"/>
      <c r="L627" s="59"/>
      <c r="M627" s="60"/>
      <c r="N627" s="60"/>
      <c r="O627" s="60"/>
      <c r="P627" s="59"/>
      <c r="Q627" s="59"/>
      <c r="R627" s="60"/>
      <c r="S627" s="60"/>
      <c r="T627" s="60"/>
      <c r="U627" s="60"/>
      <c r="V627" s="60"/>
      <c r="W627" s="60"/>
    </row>
    <row r="628" spans="1:23" ht="13" x14ac:dyDescent="0.3">
      <c r="A628" s="58"/>
      <c r="B628" s="58"/>
      <c r="C628" s="58"/>
      <c r="D628" s="58"/>
      <c r="E628" s="58"/>
      <c r="F628" s="58"/>
      <c r="G628" s="58"/>
      <c r="H628" s="59"/>
      <c r="I628" s="59"/>
      <c r="J628" s="59"/>
      <c r="K628" s="59"/>
      <c r="L628" s="59"/>
      <c r="M628" s="60"/>
      <c r="N628" s="60"/>
      <c r="O628" s="60"/>
      <c r="P628" s="59"/>
      <c r="Q628" s="59"/>
      <c r="R628" s="60"/>
      <c r="S628" s="60"/>
      <c r="T628" s="60"/>
      <c r="U628" s="60"/>
      <c r="V628" s="60"/>
      <c r="W628" s="60"/>
    </row>
    <row r="629" spans="1:23" ht="13" x14ac:dyDescent="0.3">
      <c r="A629" s="58"/>
      <c r="B629" s="58"/>
      <c r="C629" s="58"/>
      <c r="D629" s="58"/>
      <c r="E629" s="58"/>
      <c r="F629" s="58"/>
      <c r="G629" s="58"/>
      <c r="H629" s="59"/>
      <c r="I629" s="59"/>
      <c r="J629" s="59"/>
      <c r="K629" s="59"/>
      <c r="L629" s="59"/>
      <c r="M629" s="60"/>
      <c r="N629" s="60"/>
      <c r="O629" s="60"/>
      <c r="P629" s="59"/>
      <c r="Q629" s="59"/>
      <c r="R629" s="60"/>
      <c r="S629" s="60"/>
      <c r="T629" s="60"/>
      <c r="U629" s="60"/>
      <c r="V629" s="60"/>
      <c r="W629" s="60"/>
    </row>
    <row r="630" spans="1:23" ht="13" x14ac:dyDescent="0.3">
      <c r="A630" s="58"/>
      <c r="B630" s="58"/>
      <c r="C630" s="58"/>
      <c r="D630" s="58"/>
      <c r="E630" s="58"/>
      <c r="F630" s="58"/>
      <c r="G630" s="58"/>
      <c r="H630" s="59"/>
      <c r="I630" s="59"/>
      <c r="J630" s="59"/>
      <c r="K630" s="59"/>
      <c r="L630" s="59"/>
      <c r="M630" s="60"/>
      <c r="N630" s="60"/>
      <c r="O630" s="60"/>
      <c r="P630" s="59"/>
      <c r="Q630" s="59"/>
      <c r="R630" s="60"/>
      <c r="S630" s="60"/>
      <c r="T630" s="60"/>
      <c r="U630" s="60"/>
      <c r="V630" s="60"/>
      <c r="W630" s="60"/>
    </row>
    <row r="631" spans="1:23" ht="13" x14ac:dyDescent="0.3">
      <c r="A631" s="58"/>
      <c r="B631" s="58"/>
      <c r="C631" s="58"/>
      <c r="D631" s="58"/>
      <c r="E631" s="58"/>
      <c r="F631" s="58"/>
      <c r="G631" s="58"/>
      <c r="H631" s="59"/>
      <c r="I631" s="59"/>
      <c r="J631" s="59"/>
      <c r="K631" s="59"/>
      <c r="L631" s="59"/>
      <c r="M631" s="60"/>
      <c r="N631" s="60"/>
      <c r="O631" s="60"/>
      <c r="P631" s="59"/>
      <c r="Q631" s="59"/>
      <c r="R631" s="60"/>
      <c r="S631" s="60"/>
      <c r="T631" s="60"/>
      <c r="U631" s="60"/>
      <c r="V631" s="60"/>
      <c r="W631" s="60"/>
    </row>
    <row r="632" spans="1:23" ht="13" x14ac:dyDescent="0.3">
      <c r="A632" s="58"/>
      <c r="B632" s="58"/>
      <c r="C632" s="58"/>
      <c r="D632" s="58"/>
      <c r="E632" s="58"/>
      <c r="F632" s="58"/>
      <c r="G632" s="58"/>
      <c r="H632" s="59"/>
      <c r="I632" s="59"/>
      <c r="J632" s="59"/>
      <c r="K632" s="59"/>
      <c r="L632" s="59"/>
      <c r="M632" s="60"/>
      <c r="N632" s="60"/>
      <c r="O632" s="60"/>
      <c r="P632" s="59"/>
      <c r="Q632" s="59"/>
      <c r="R632" s="60"/>
      <c r="S632" s="60"/>
      <c r="T632" s="60"/>
      <c r="U632" s="60"/>
      <c r="V632" s="60"/>
      <c r="W632" s="60"/>
    </row>
    <row r="633" spans="1:23" ht="13" x14ac:dyDescent="0.3">
      <c r="A633" s="58"/>
      <c r="B633" s="58"/>
      <c r="C633" s="58"/>
      <c r="D633" s="58"/>
      <c r="E633" s="58"/>
      <c r="F633" s="58"/>
      <c r="G633" s="58"/>
      <c r="H633" s="59"/>
      <c r="I633" s="59"/>
      <c r="J633" s="59"/>
      <c r="K633" s="59"/>
      <c r="L633" s="59"/>
      <c r="M633" s="60"/>
      <c r="N633" s="60"/>
      <c r="O633" s="60"/>
      <c r="P633" s="59"/>
      <c r="Q633" s="59"/>
      <c r="R633" s="60"/>
      <c r="S633" s="60"/>
      <c r="T633" s="60"/>
      <c r="U633" s="60"/>
      <c r="V633" s="60"/>
      <c r="W633" s="60"/>
    </row>
    <row r="634" spans="1:23" ht="13" x14ac:dyDescent="0.3">
      <c r="A634" s="58"/>
      <c r="B634" s="58"/>
      <c r="C634" s="58"/>
      <c r="D634" s="58"/>
      <c r="E634" s="58"/>
      <c r="F634" s="58"/>
      <c r="G634" s="58"/>
      <c r="H634" s="59"/>
      <c r="I634" s="59"/>
      <c r="J634" s="59"/>
      <c r="K634" s="59"/>
      <c r="L634" s="59"/>
      <c r="M634" s="60"/>
      <c r="N634" s="60"/>
      <c r="O634" s="60"/>
      <c r="P634" s="59"/>
      <c r="Q634" s="59"/>
      <c r="R634" s="60"/>
      <c r="S634" s="60"/>
      <c r="T634" s="60"/>
      <c r="U634" s="60"/>
      <c r="V634" s="60"/>
      <c r="W634" s="60"/>
    </row>
    <row r="635" spans="1:23" ht="13" x14ac:dyDescent="0.3">
      <c r="A635" s="58"/>
      <c r="B635" s="58"/>
      <c r="C635" s="58"/>
      <c r="D635" s="58"/>
      <c r="E635" s="58"/>
      <c r="F635" s="58"/>
      <c r="G635" s="58"/>
      <c r="H635" s="59"/>
      <c r="I635" s="59"/>
      <c r="J635" s="59"/>
      <c r="K635" s="59"/>
      <c r="L635" s="59"/>
      <c r="M635" s="60"/>
      <c r="N635" s="60"/>
      <c r="O635" s="60"/>
      <c r="P635" s="59"/>
      <c r="Q635" s="59"/>
      <c r="R635" s="60"/>
      <c r="S635" s="60"/>
      <c r="T635" s="60"/>
      <c r="U635" s="60"/>
      <c r="V635" s="60"/>
      <c r="W635" s="60"/>
    </row>
    <row r="636" spans="1:23" ht="13" x14ac:dyDescent="0.3">
      <c r="A636" s="58"/>
      <c r="B636" s="58"/>
      <c r="C636" s="58"/>
      <c r="D636" s="58"/>
      <c r="E636" s="58"/>
      <c r="F636" s="58"/>
      <c r="G636" s="58"/>
      <c r="H636" s="59"/>
      <c r="I636" s="59"/>
      <c r="J636" s="59"/>
      <c r="K636" s="59"/>
      <c r="L636" s="59"/>
      <c r="M636" s="60"/>
      <c r="N636" s="60"/>
      <c r="O636" s="60"/>
      <c r="P636" s="59"/>
      <c r="Q636" s="59"/>
      <c r="R636" s="60"/>
      <c r="S636" s="60"/>
      <c r="T636" s="60"/>
      <c r="U636" s="60"/>
      <c r="V636" s="60"/>
      <c r="W636" s="60"/>
    </row>
    <row r="637" spans="1:23" ht="13" x14ac:dyDescent="0.3">
      <c r="A637" s="58"/>
      <c r="B637" s="58"/>
      <c r="C637" s="58"/>
      <c r="D637" s="58"/>
      <c r="E637" s="58"/>
      <c r="F637" s="58"/>
      <c r="G637" s="58"/>
      <c r="H637" s="59"/>
      <c r="I637" s="59"/>
      <c r="J637" s="59"/>
      <c r="K637" s="59"/>
      <c r="L637" s="59"/>
      <c r="M637" s="60"/>
      <c r="N637" s="60"/>
      <c r="O637" s="60"/>
      <c r="P637" s="59"/>
      <c r="Q637" s="59"/>
      <c r="R637" s="60"/>
      <c r="S637" s="60"/>
      <c r="T637" s="60"/>
      <c r="U637" s="60"/>
      <c r="V637" s="60"/>
      <c r="W637" s="60"/>
    </row>
    <row r="638" spans="1:23" ht="13" x14ac:dyDescent="0.3">
      <c r="A638" s="58"/>
      <c r="B638" s="58"/>
      <c r="C638" s="58"/>
      <c r="D638" s="58"/>
      <c r="E638" s="58"/>
      <c r="F638" s="58"/>
      <c r="G638" s="58"/>
      <c r="H638" s="59"/>
      <c r="I638" s="59"/>
      <c r="J638" s="59"/>
      <c r="K638" s="59"/>
      <c r="L638" s="59"/>
      <c r="M638" s="60"/>
      <c r="N638" s="60"/>
      <c r="O638" s="60"/>
      <c r="P638" s="59"/>
      <c r="Q638" s="59"/>
      <c r="R638" s="60"/>
      <c r="S638" s="60"/>
      <c r="T638" s="60"/>
      <c r="U638" s="60"/>
      <c r="V638" s="60"/>
      <c r="W638" s="60"/>
    </row>
    <row r="639" spans="1:23" ht="13" x14ac:dyDescent="0.3">
      <c r="A639" s="58"/>
      <c r="B639" s="58"/>
      <c r="C639" s="58"/>
      <c r="D639" s="58"/>
      <c r="E639" s="58"/>
      <c r="F639" s="58"/>
      <c r="G639" s="58"/>
      <c r="H639" s="59"/>
      <c r="I639" s="59"/>
      <c r="J639" s="59"/>
      <c r="K639" s="59"/>
      <c r="L639" s="59"/>
      <c r="M639" s="60"/>
      <c r="N639" s="60"/>
      <c r="O639" s="60"/>
      <c r="P639" s="59"/>
      <c r="Q639" s="59"/>
      <c r="R639" s="60"/>
      <c r="S639" s="60"/>
      <c r="T639" s="60"/>
      <c r="U639" s="60"/>
      <c r="V639" s="60"/>
      <c r="W639" s="60"/>
    </row>
    <row r="640" spans="1:23" ht="13" x14ac:dyDescent="0.3">
      <c r="A640" s="58"/>
      <c r="B640" s="58"/>
      <c r="C640" s="58"/>
      <c r="D640" s="58"/>
      <c r="E640" s="58"/>
      <c r="F640" s="58"/>
      <c r="G640" s="58"/>
      <c r="H640" s="59"/>
      <c r="I640" s="59"/>
      <c r="J640" s="59"/>
      <c r="K640" s="59"/>
      <c r="L640" s="59"/>
      <c r="M640" s="60"/>
      <c r="N640" s="60"/>
      <c r="O640" s="60"/>
      <c r="P640" s="59"/>
      <c r="Q640" s="59"/>
      <c r="R640" s="60"/>
      <c r="S640" s="60"/>
      <c r="T640" s="60"/>
      <c r="U640" s="60"/>
      <c r="V640" s="60"/>
      <c r="W640" s="60"/>
    </row>
    <row r="641" spans="1:23" ht="13" x14ac:dyDescent="0.3">
      <c r="A641" s="58"/>
      <c r="B641" s="58"/>
      <c r="C641" s="58"/>
      <c r="D641" s="58"/>
      <c r="E641" s="58"/>
      <c r="F641" s="58"/>
      <c r="G641" s="58"/>
      <c r="H641" s="59"/>
      <c r="I641" s="59"/>
      <c r="J641" s="59"/>
      <c r="K641" s="59"/>
      <c r="L641" s="59"/>
      <c r="M641" s="60"/>
      <c r="N641" s="60"/>
      <c r="O641" s="60"/>
      <c r="P641" s="59"/>
      <c r="Q641" s="59"/>
      <c r="R641" s="60"/>
      <c r="S641" s="60"/>
      <c r="T641" s="60"/>
      <c r="U641" s="60"/>
      <c r="V641" s="60"/>
      <c r="W641" s="60"/>
    </row>
    <row r="642" spans="1:23" ht="13" x14ac:dyDescent="0.3">
      <c r="A642" s="58"/>
      <c r="B642" s="58"/>
      <c r="C642" s="58"/>
      <c r="D642" s="58"/>
      <c r="E642" s="58"/>
      <c r="F642" s="58"/>
      <c r="G642" s="58"/>
      <c r="H642" s="59"/>
      <c r="I642" s="59"/>
      <c r="J642" s="59"/>
      <c r="K642" s="59"/>
      <c r="L642" s="59"/>
      <c r="M642" s="60"/>
      <c r="N642" s="60"/>
      <c r="O642" s="60"/>
      <c r="P642" s="59"/>
      <c r="Q642" s="59"/>
      <c r="R642" s="60"/>
      <c r="S642" s="60"/>
      <c r="T642" s="60"/>
      <c r="U642" s="60"/>
      <c r="V642" s="60"/>
      <c r="W642" s="60"/>
    </row>
    <row r="643" spans="1:23" ht="13" x14ac:dyDescent="0.3">
      <c r="A643" s="58"/>
      <c r="B643" s="58"/>
      <c r="C643" s="58"/>
      <c r="D643" s="58"/>
      <c r="E643" s="58"/>
      <c r="F643" s="58"/>
      <c r="G643" s="58"/>
      <c r="H643" s="59"/>
      <c r="I643" s="59"/>
      <c r="J643" s="59"/>
      <c r="K643" s="59"/>
      <c r="L643" s="59"/>
      <c r="M643" s="60"/>
      <c r="N643" s="60"/>
      <c r="O643" s="60"/>
      <c r="P643" s="59"/>
      <c r="Q643" s="59"/>
      <c r="R643" s="60"/>
      <c r="S643" s="60"/>
      <c r="T643" s="60"/>
      <c r="U643" s="60"/>
      <c r="V643" s="60"/>
      <c r="W643" s="60"/>
    </row>
    <row r="644" spans="1:23" ht="13" x14ac:dyDescent="0.3">
      <c r="A644" s="58"/>
      <c r="B644" s="58"/>
      <c r="C644" s="58"/>
      <c r="D644" s="58"/>
      <c r="E644" s="58"/>
      <c r="F644" s="58"/>
      <c r="G644" s="58"/>
      <c r="H644" s="59"/>
      <c r="I644" s="59"/>
      <c r="J644" s="59"/>
      <c r="K644" s="59"/>
      <c r="L644" s="59"/>
      <c r="M644" s="60"/>
      <c r="N644" s="60"/>
      <c r="O644" s="60"/>
      <c r="P644" s="59"/>
      <c r="Q644" s="59"/>
      <c r="R644" s="60"/>
      <c r="S644" s="60"/>
      <c r="T644" s="60"/>
      <c r="U644" s="60"/>
      <c r="V644" s="60"/>
      <c r="W644" s="60"/>
    </row>
    <row r="645" spans="1:23" ht="13" x14ac:dyDescent="0.3">
      <c r="A645" s="58"/>
      <c r="B645" s="58"/>
      <c r="C645" s="58"/>
      <c r="D645" s="58"/>
      <c r="E645" s="58"/>
      <c r="F645" s="58"/>
      <c r="G645" s="58"/>
      <c r="H645" s="59"/>
      <c r="I645" s="59"/>
      <c r="J645" s="59"/>
      <c r="K645" s="59"/>
      <c r="L645" s="59"/>
      <c r="M645" s="60"/>
      <c r="N645" s="60"/>
      <c r="O645" s="60"/>
      <c r="P645" s="59"/>
      <c r="Q645" s="59"/>
      <c r="R645" s="60"/>
      <c r="S645" s="60"/>
      <c r="T645" s="60"/>
      <c r="U645" s="60"/>
      <c r="V645" s="60"/>
      <c r="W645" s="60"/>
    </row>
    <row r="646" spans="1:23" ht="13" x14ac:dyDescent="0.3">
      <c r="A646" s="58"/>
      <c r="B646" s="58"/>
      <c r="C646" s="58"/>
      <c r="D646" s="58"/>
      <c r="E646" s="58"/>
      <c r="F646" s="58"/>
      <c r="G646" s="58"/>
      <c r="H646" s="59"/>
      <c r="I646" s="59"/>
      <c r="J646" s="59"/>
      <c r="K646" s="59"/>
      <c r="L646" s="59"/>
      <c r="M646" s="60"/>
      <c r="N646" s="60"/>
      <c r="O646" s="60"/>
      <c r="P646" s="59"/>
      <c r="Q646" s="59"/>
      <c r="R646" s="60"/>
      <c r="S646" s="60"/>
      <c r="T646" s="60"/>
      <c r="U646" s="60"/>
      <c r="V646" s="60"/>
      <c r="W646" s="60"/>
    </row>
    <row r="647" spans="1:23" ht="13" x14ac:dyDescent="0.3">
      <c r="A647" s="58"/>
      <c r="B647" s="58"/>
      <c r="C647" s="58"/>
      <c r="D647" s="58"/>
      <c r="E647" s="58"/>
      <c r="F647" s="58"/>
      <c r="G647" s="58"/>
      <c r="H647" s="59"/>
      <c r="I647" s="59"/>
      <c r="J647" s="59"/>
      <c r="K647" s="59"/>
      <c r="L647" s="59"/>
      <c r="M647" s="60"/>
      <c r="N647" s="60"/>
      <c r="O647" s="60"/>
      <c r="P647" s="59"/>
      <c r="Q647" s="59"/>
      <c r="R647" s="60"/>
      <c r="S647" s="60"/>
      <c r="T647" s="60"/>
      <c r="U647" s="60"/>
      <c r="V647" s="60"/>
      <c r="W647" s="60"/>
    </row>
    <row r="648" spans="1:23" ht="13" x14ac:dyDescent="0.3">
      <c r="A648" s="58"/>
      <c r="B648" s="58"/>
      <c r="C648" s="58"/>
      <c r="D648" s="58"/>
      <c r="E648" s="58"/>
      <c r="F648" s="58"/>
      <c r="G648" s="58"/>
      <c r="H648" s="59"/>
      <c r="I648" s="59"/>
      <c r="J648" s="59"/>
      <c r="K648" s="59"/>
      <c r="L648" s="59"/>
      <c r="M648" s="60"/>
      <c r="N648" s="60"/>
      <c r="O648" s="60"/>
      <c r="P648" s="59"/>
      <c r="Q648" s="59"/>
      <c r="R648" s="60"/>
      <c r="S648" s="60"/>
      <c r="T648" s="60"/>
      <c r="U648" s="60"/>
      <c r="V648" s="60"/>
      <c r="W648" s="60"/>
    </row>
    <row r="649" spans="1:23" ht="13" x14ac:dyDescent="0.3">
      <c r="A649" s="58"/>
      <c r="B649" s="58"/>
      <c r="C649" s="58"/>
      <c r="D649" s="58"/>
      <c r="E649" s="58"/>
      <c r="F649" s="58"/>
      <c r="G649" s="58"/>
      <c r="H649" s="59"/>
      <c r="I649" s="59"/>
      <c r="J649" s="59"/>
      <c r="K649" s="59"/>
      <c r="L649" s="59"/>
      <c r="M649" s="60"/>
      <c r="N649" s="60"/>
      <c r="O649" s="60"/>
      <c r="P649" s="59"/>
      <c r="Q649" s="59"/>
      <c r="R649" s="60"/>
      <c r="S649" s="60"/>
      <c r="T649" s="60"/>
      <c r="U649" s="60"/>
      <c r="V649" s="60"/>
      <c r="W649" s="60"/>
    </row>
    <row r="650" spans="1:23" ht="13" x14ac:dyDescent="0.3">
      <c r="A650" s="58"/>
      <c r="B650" s="58"/>
      <c r="C650" s="58"/>
      <c r="D650" s="58"/>
      <c r="E650" s="58"/>
      <c r="F650" s="58"/>
      <c r="G650" s="58"/>
      <c r="H650" s="59"/>
      <c r="I650" s="59"/>
      <c r="J650" s="59"/>
      <c r="K650" s="59"/>
      <c r="L650" s="59"/>
      <c r="M650" s="60"/>
      <c r="N650" s="60"/>
      <c r="O650" s="60"/>
      <c r="P650" s="59"/>
      <c r="Q650" s="59"/>
      <c r="R650" s="60"/>
      <c r="S650" s="60"/>
      <c r="T650" s="60"/>
      <c r="U650" s="60"/>
      <c r="V650" s="60"/>
      <c r="W650" s="60"/>
    </row>
    <row r="651" spans="1:23" ht="13" x14ac:dyDescent="0.3">
      <c r="A651" s="58"/>
      <c r="B651" s="58"/>
      <c r="C651" s="58"/>
      <c r="D651" s="58"/>
      <c r="E651" s="58"/>
      <c r="F651" s="58"/>
      <c r="G651" s="58"/>
      <c r="H651" s="59"/>
      <c r="I651" s="59"/>
      <c r="J651" s="59"/>
      <c r="K651" s="59"/>
      <c r="L651" s="59"/>
      <c r="M651" s="60"/>
      <c r="N651" s="60"/>
      <c r="O651" s="60"/>
      <c r="P651" s="59"/>
      <c r="Q651" s="59"/>
      <c r="R651" s="60"/>
      <c r="S651" s="60"/>
      <c r="T651" s="60"/>
      <c r="U651" s="60"/>
      <c r="V651" s="60"/>
      <c r="W651" s="60"/>
    </row>
    <row r="652" spans="1:23" ht="13" x14ac:dyDescent="0.3">
      <c r="A652" s="58"/>
      <c r="B652" s="58"/>
      <c r="C652" s="58"/>
      <c r="D652" s="58"/>
      <c r="E652" s="58"/>
      <c r="F652" s="58"/>
      <c r="G652" s="58"/>
      <c r="H652" s="59"/>
      <c r="I652" s="59"/>
      <c r="J652" s="59"/>
      <c r="K652" s="59"/>
      <c r="L652" s="59"/>
      <c r="M652" s="60"/>
      <c r="N652" s="60"/>
      <c r="O652" s="60"/>
      <c r="P652" s="59"/>
      <c r="Q652" s="59"/>
      <c r="R652" s="60"/>
      <c r="S652" s="60"/>
      <c r="T652" s="60"/>
      <c r="U652" s="60"/>
      <c r="V652" s="60"/>
      <c r="W652" s="60"/>
    </row>
    <row r="653" spans="1:23" ht="13" x14ac:dyDescent="0.3">
      <c r="A653" s="58"/>
      <c r="B653" s="58"/>
      <c r="C653" s="58"/>
      <c r="D653" s="58"/>
      <c r="E653" s="58"/>
      <c r="F653" s="58"/>
      <c r="G653" s="58"/>
      <c r="H653" s="59"/>
      <c r="I653" s="59"/>
      <c r="J653" s="59"/>
      <c r="K653" s="59"/>
      <c r="L653" s="59"/>
      <c r="M653" s="60"/>
      <c r="N653" s="60"/>
      <c r="O653" s="60"/>
      <c r="P653" s="59"/>
      <c r="Q653" s="59"/>
      <c r="R653" s="60"/>
      <c r="S653" s="60"/>
      <c r="T653" s="60"/>
      <c r="U653" s="60"/>
      <c r="V653" s="60"/>
      <c r="W653" s="60"/>
    </row>
    <row r="654" spans="1:23" ht="13" x14ac:dyDescent="0.3">
      <c r="A654" s="58"/>
      <c r="B654" s="58"/>
      <c r="C654" s="58"/>
      <c r="D654" s="58"/>
      <c r="E654" s="58"/>
      <c r="F654" s="58"/>
      <c r="G654" s="58"/>
      <c r="H654" s="59"/>
      <c r="I654" s="59"/>
      <c r="J654" s="59"/>
      <c r="K654" s="59"/>
      <c r="L654" s="59"/>
      <c r="M654" s="60"/>
      <c r="N654" s="60"/>
      <c r="O654" s="60"/>
      <c r="P654" s="59"/>
      <c r="Q654" s="59"/>
      <c r="R654" s="60"/>
      <c r="S654" s="60"/>
      <c r="T654" s="60"/>
      <c r="U654" s="60"/>
      <c r="V654" s="60"/>
      <c r="W654" s="60"/>
    </row>
    <row r="655" spans="1:23" ht="13" x14ac:dyDescent="0.3">
      <c r="A655" s="58"/>
      <c r="B655" s="58"/>
      <c r="C655" s="58"/>
      <c r="D655" s="58"/>
      <c r="E655" s="58"/>
      <c r="F655" s="58"/>
      <c r="G655" s="58"/>
      <c r="H655" s="59"/>
      <c r="I655" s="59"/>
      <c r="J655" s="59"/>
      <c r="K655" s="59"/>
      <c r="L655" s="59"/>
      <c r="M655" s="60"/>
      <c r="N655" s="60"/>
      <c r="O655" s="60"/>
      <c r="P655" s="59"/>
      <c r="Q655" s="59"/>
      <c r="R655" s="60"/>
      <c r="S655" s="60"/>
      <c r="T655" s="60"/>
      <c r="U655" s="60"/>
      <c r="V655" s="60"/>
      <c r="W655" s="60"/>
    </row>
    <row r="656" spans="1:23" ht="13" x14ac:dyDescent="0.3">
      <c r="A656" s="58"/>
      <c r="B656" s="58"/>
      <c r="C656" s="58"/>
      <c r="D656" s="58"/>
      <c r="E656" s="58"/>
      <c r="F656" s="58"/>
      <c r="G656" s="58"/>
      <c r="H656" s="59"/>
      <c r="I656" s="59"/>
      <c r="J656" s="59"/>
      <c r="K656" s="59"/>
      <c r="L656" s="59"/>
      <c r="M656" s="60"/>
      <c r="N656" s="60"/>
      <c r="O656" s="60"/>
      <c r="P656" s="59"/>
      <c r="Q656" s="59"/>
      <c r="R656" s="60"/>
      <c r="S656" s="60"/>
      <c r="T656" s="60"/>
      <c r="U656" s="60"/>
      <c r="V656" s="60"/>
      <c r="W656" s="60"/>
    </row>
    <row r="657" spans="1:23" ht="13" x14ac:dyDescent="0.3">
      <c r="A657" s="58"/>
      <c r="B657" s="58"/>
      <c r="C657" s="58"/>
      <c r="D657" s="58"/>
      <c r="E657" s="58"/>
      <c r="F657" s="58"/>
      <c r="G657" s="58"/>
      <c r="H657" s="59"/>
      <c r="I657" s="59"/>
      <c r="J657" s="59"/>
      <c r="K657" s="59"/>
      <c r="L657" s="59"/>
      <c r="M657" s="60"/>
      <c r="N657" s="60"/>
      <c r="O657" s="60"/>
      <c r="P657" s="59"/>
      <c r="Q657" s="59"/>
      <c r="R657" s="60"/>
      <c r="S657" s="60"/>
      <c r="T657" s="60"/>
      <c r="U657" s="60"/>
      <c r="V657" s="60"/>
      <c r="W657" s="60"/>
    </row>
    <row r="658" spans="1:23" ht="13" x14ac:dyDescent="0.3">
      <c r="A658" s="58"/>
      <c r="B658" s="58"/>
      <c r="C658" s="58"/>
      <c r="D658" s="58"/>
      <c r="E658" s="58"/>
      <c r="F658" s="58"/>
      <c r="G658" s="58"/>
      <c r="H658" s="59"/>
      <c r="I658" s="59"/>
      <c r="J658" s="59"/>
      <c r="K658" s="59"/>
      <c r="L658" s="59"/>
      <c r="M658" s="60"/>
      <c r="N658" s="60"/>
      <c r="O658" s="60"/>
      <c r="P658" s="59"/>
      <c r="Q658" s="59"/>
      <c r="R658" s="60"/>
      <c r="S658" s="60"/>
      <c r="T658" s="60"/>
      <c r="U658" s="60"/>
      <c r="V658" s="60"/>
      <c r="W658" s="60"/>
    </row>
    <row r="659" spans="1:23" ht="13" x14ac:dyDescent="0.3">
      <c r="A659" s="58"/>
      <c r="B659" s="58"/>
      <c r="C659" s="58"/>
      <c r="D659" s="58"/>
      <c r="E659" s="58"/>
      <c r="F659" s="58"/>
      <c r="G659" s="58"/>
      <c r="H659" s="59"/>
      <c r="I659" s="59"/>
      <c r="J659" s="59"/>
      <c r="K659" s="59"/>
      <c r="L659" s="59"/>
      <c r="M659" s="60"/>
      <c r="N659" s="60"/>
      <c r="O659" s="60"/>
      <c r="P659" s="59"/>
      <c r="Q659" s="59"/>
      <c r="R659" s="60"/>
      <c r="S659" s="60"/>
      <c r="T659" s="60"/>
      <c r="U659" s="60"/>
      <c r="V659" s="60"/>
      <c r="W659" s="60"/>
    </row>
    <row r="660" spans="1:23" ht="13" x14ac:dyDescent="0.3">
      <c r="A660" s="58"/>
      <c r="B660" s="58"/>
      <c r="C660" s="58"/>
      <c r="D660" s="58"/>
      <c r="E660" s="58"/>
      <c r="F660" s="58"/>
      <c r="G660" s="58"/>
      <c r="H660" s="59"/>
      <c r="I660" s="59"/>
      <c r="J660" s="59"/>
      <c r="K660" s="59"/>
      <c r="L660" s="59"/>
      <c r="M660" s="60"/>
      <c r="N660" s="60"/>
      <c r="O660" s="60"/>
      <c r="P660" s="59"/>
      <c r="Q660" s="59"/>
      <c r="R660" s="60"/>
      <c r="S660" s="60"/>
      <c r="T660" s="60"/>
      <c r="U660" s="60"/>
      <c r="V660" s="60"/>
      <c r="W660" s="60"/>
    </row>
    <row r="661" spans="1:23" ht="13" x14ac:dyDescent="0.3">
      <c r="A661" s="58"/>
      <c r="B661" s="58"/>
      <c r="C661" s="58"/>
      <c r="D661" s="58"/>
      <c r="E661" s="58"/>
      <c r="F661" s="58"/>
      <c r="G661" s="58"/>
      <c r="H661" s="59"/>
      <c r="I661" s="59"/>
      <c r="J661" s="59"/>
      <c r="K661" s="59"/>
      <c r="L661" s="59"/>
      <c r="M661" s="60"/>
      <c r="N661" s="60"/>
      <c r="O661" s="60"/>
      <c r="P661" s="59"/>
      <c r="Q661" s="59"/>
      <c r="R661" s="60"/>
      <c r="S661" s="60"/>
      <c r="T661" s="60"/>
      <c r="U661" s="60"/>
      <c r="V661" s="60"/>
      <c r="W661" s="60"/>
    </row>
    <row r="662" spans="1:23" ht="13" x14ac:dyDescent="0.3">
      <c r="A662" s="58"/>
      <c r="B662" s="58"/>
      <c r="C662" s="58"/>
      <c r="D662" s="58"/>
      <c r="E662" s="58"/>
      <c r="F662" s="58"/>
      <c r="G662" s="58"/>
      <c r="H662" s="59"/>
      <c r="I662" s="59"/>
      <c r="J662" s="59"/>
      <c r="K662" s="59"/>
      <c r="L662" s="59"/>
      <c r="M662" s="60"/>
      <c r="N662" s="60"/>
      <c r="O662" s="60"/>
      <c r="P662" s="59"/>
      <c r="Q662" s="59"/>
      <c r="R662" s="60"/>
      <c r="S662" s="60"/>
      <c r="T662" s="60"/>
      <c r="U662" s="60"/>
      <c r="V662" s="60"/>
      <c r="W662" s="60"/>
    </row>
    <row r="663" spans="1:23" ht="13" x14ac:dyDescent="0.3">
      <c r="A663" s="58"/>
      <c r="B663" s="58"/>
      <c r="C663" s="58"/>
      <c r="D663" s="58"/>
      <c r="E663" s="58"/>
      <c r="F663" s="58"/>
      <c r="G663" s="58"/>
      <c r="H663" s="59"/>
      <c r="I663" s="59"/>
      <c r="J663" s="59"/>
      <c r="K663" s="59"/>
      <c r="L663" s="59"/>
      <c r="M663" s="60"/>
      <c r="N663" s="60"/>
      <c r="O663" s="60"/>
      <c r="P663" s="59"/>
      <c r="Q663" s="59"/>
      <c r="R663" s="60"/>
      <c r="S663" s="60"/>
      <c r="T663" s="60"/>
      <c r="U663" s="60"/>
      <c r="V663" s="60"/>
      <c r="W663" s="60"/>
    </row>
    <row r="664" spans="1:23" ht="13" x14ac:dyDescent="0.3">
      <c r="A664" s="58"/>
      <c r="B664" s="58"/>
      <c r="C664" s="58"/>
      <c r="D664" s="58"/>
      <c r="E664" s="58"/>
      <c r="F664" s="58"/>
      <c r="G664" s="58"/>
      <c r="H664" s="59"/>
      <c r="I664" s="59"/>
      <c r="J664" s="59"/>
      <c r="K664" s="59"/>
      <c r="L664" s="59"/>
      <c r="M664" s="60"/>
      <c r="N664" s="60"/>
      <c r="O664" s="60"/>
      <c r="P664" s="59"/>
      <c r="Q664" s="59"/>
      <c r="R664" s="60"/>
      <c r="S664" s="60"/>
      <c r="T664" s="60"/>
      <c r="U664" s="60"/>
      <c r="V664" s="60"/>
      <c r="W664" s="60"/>
    </row>
    <row r="665" spans="1:23" ht="13" x14ac:dyDescent="0.3">
      <c r="A665" s="58"/>
      <c r="B665" s="58"/>
      <c r="C665" s="58"/>
      <c r="D665" s="58"/>
      <c r="E665" s="58"/>
      <c r="F665" s="58"/>
      <c r="G665" s="58"/>
      <c r="H665" s="59"/>
      <c r="I665" s="59"/>
      <c r="J665" s="59"/>
      <c r="K665" s="59"/>
      <c r="L665" s="59"/>
      <c r="M665" s="60"/>
      <c r="N665" s="60"/>
      <c r="O665" s="60"/>
      <c r="P665" s="59"/>
      <c r="Q665" s="59"/>
      <c r="R665" s="60"/>
      <c r="S665" s="60"/>
      <c r="T665" s="60"/>
      <c r="U665" s="60"/>
      <c r="V665" s="60"/>
      <c r="W665" s="60"/>
    </row>
    <row r="666" spans="1:23" ht="13" x14ac:dyDescent="0.3">
      <c r="A666" s="58"/>
      <c r="B666" s="58"/>
      <c r="C666" s="58"/>
      <c r="D666" s="58"/>
      <c r="E666" s="58"/>
      <c r="F666" s="58"/>
      <c r="G666" s="58"/>
      <c r="H666" s="59"/>
      <c r="I666" s="59"/>
      <c r="J666" s="59"/>
      <c r="K666" s="59"/>
      <c r="L666" s="59"/>
      <c r="M666" s="60"/>
      <c r="N666" s="60"/>
      <c r="O666" s="60"/>
      <c r="P666" s="59"/>
      <c r="Q666" s="59"/>
      <c r="R666" s="60"/>
      <c r="S666" s="60"/>
      <c r="T666" s="60"/>
      <c r="U666" s="60"/>
      <c r="V666" s="60"/>
      <c r="W666" s="60"/>
    </row>
    <row r="667" spans="1:23" ht="13" x14ac:dyDescent="0.3">
      <c r="A667" s="58"/>
      <c r="B667" s="58"/>
      <c r="C667" s="58"/>
      <c r="D667" s="58"/>
      <c r="E667" s="58"/>
      <c r="F667" s="58"/>
      <c r="G667" s="58"/>
      <c r="H667" s="59"/>
      <c r="I667" s="59"/>
      <c r="J667" s="59"/>
      <c r="K667" s="59"/>
      <c r="L667" s="59"/>
      <c r="M667" s="60"/>
      <c r="N667" s="60"/>
      <c r="O667" s="60"/>
      <c r="P667" s="59"/>
      <c r="Q667" s="59"/>
      <c r="R667" s="60"/>
      <c r="S667" s="60"/>
      <c r="T667" s="60"/>
      <c r="U667" s="60"/>
      <c r="V667" s="60"/>
      <c r="W667" s="60"/>
    </row>
    <row r="668" spans="1:23" ht="13" x14ac:dyDescent="0.3">
      <c r="A668" s="58"/>
      <c r="B668" s="58"/>
      <c r="C668" s="58"/>
      <c r="D668" s="58"/>
      <c r="E668" s="58"/>
      <c r="F668" s="58"/>
      <c r="G668" s="58"/>
      <c r="H668" s="59"/>
      <c r="I668" s="59"/>
      <c r="J668" s="59"/>
      <c r="K668" s="59"/>
      <c r="L668" s="59"/>
      <c r="M668" s="60"/>
      <c r="N668" s="60"/>
      <c r="O668" s="60"/>
      <c r="P668" s="59"/>
      <c r="Q668" s="59"/>
      <c r="R668" s="60"/>
      <c r="S668" s="60"/>
      <c r="T668" s="60"/>
      <c r="U668" s="60"/>
      <c r="V668" s="60"/>
      <c r="W668" s="60"/>
    </row>
    <row r="669" spans="1:23" ht="13" x14ac:dyDescent="0.3">
      <c r="A669" s="58"/>
      <c r="B669" s="58"/>
      <c r="C669" s="58"/>
      <c r="D669" s="58"/>
      <c r="E669" s="58"/>
      <c r="F669" s="58"/>
      <c r="G669" s="58"/>
      <c r="H669" s="59"/>
      <c r="I669" s="59"/>
      <c r="J669" s="59"/>
      <c r="K669" s="59"/>
      <c r="L669" s="59"/>
      <c r="M669" s="60"/>
      <c r="N669" s="60"/>
      <c r="O669" s="60"/>
      <c r="P669" s="59"/>
      <c r="Q669" s="59"/>
      <c r="R669" s="60"/>
      <c r="S669" s="60"/>
      <c r="T669" s="60"/>
      <c r="U669" s="60"/>
      <c r="V669" s="60"/>
      <c r="W669" s="60"/>
    </row>
    <row r="670" spans="1:23" ht="13" x14ac:dyDescent="0.3">
      <c r="A670" s="58"/>
      <c r="B670" s="58"/>
      <c r="C670" s="58"/>
      <c r="D670" s="58"/>
      <c r="E670" s="58"/>
      <c r="F670" s="58"/>
      <c r="G670" s="58"/>
      <c r="H670" s="59"/>
      <c r="I670" s="59"/>
      <c r="J670" s="59"/>
      <c r="K670" s="59"/>
      <c r="L670" s="59"/>
      <c r="M670" s="60"/>
      <c r="N670" s="60"/>
      <c r="O670" s="60"/>
      <c r="P670" s="59"/>
      <c r="Q670" s="59"/>
      <c r="R670" s="60"/>
      <c r="S670" s="60"/>
      <c r="T670" s="60"/>
      <c r="U670" s="60"/>
      <c r="V670" s="60"/>
      <c r="W670" s="60"/>
    </row>
    <row r="671" spans="1:23" ht="13" x14ac:dyDescent="0.3">
      <c r="A671" s="58"/>
      <c r="B671" s="58"/>
      <c r="C671" s="58"/>
      <c r="D671" s="58"/>
      <c r="E671" s="58"/>
      <c r="F671" s="58"/>
      <c r="G671" s="58"/>
      <c r="H671" s="59"/>
      <c r="I671" s="59"/>
      <c r="J671" s="59"/>
      <c r="K671" s="59"/>
      <c r="L671" s="59"/>
      <c r="M671" s="60"/>
      <c r="N671" s="60"/>
      <c r="O671" s="60"/>
      <c r="P671" s="59"/>
      <c r="Q671" s="59"/>
      <c r="R671" s="60"/>
      <c r="S671" s="60"/>
      <c r="T671" s="60"/>
      <c r="U671" s="60"/>
      <c r="V671" s="60"/>
      <c r="W671" s="60"/>
    </row>
    <row r="672" spans="1:23" ht="13" x14ac:dyDescent="0.3">
      <c r="A672" s="58"/>
      <c r="B672" s="58"/>
      <c r="C672" s="58"/>
      <c r="D672" s="58"/>
      <c r="E672" s="58"/>
      <c r="F672" s="58"/>
      <c r="G672" s="58"/>
      <c r="H672" s="59"/>
      <c r="I672" s="59"/>
      <c r="J672" s="59"/>
      <c r="K672" s="59"/>
      <c r="L672" s="59"/>
      <c r="M672" s="60"/>
      <c r="N672" s="60"/>
      <c r="O672" s="60"/>
      <c r="P672" s="59"/>
      <c r="Q672" s="59"/>
      <c r="R672" s="60"/>
      <c r="S672" s="60"/>
      <c r="T672" s="60"/>
      <c r="U672" s="60"/>
      <c r="V672" s="60"/>
      <c r="W672" s="60"/>
    </row>
    <row r="673" spans="1:23" ht="13" x14ac:dyDescent="0.3">
      <c r="A673" s="58"/>
      <c r="B673" s="58"/>
      <c r="C673" s="58"/>
      <c r="D673" s="58"/>
      <c r="E673" s="58"/>
      <c r="F673" s="58"/>
      <c r="G673" s="58"/>
      <c r="H673" s="59"/>
      <c r="I673" s="59"/>
      <c r="J673" s="59"/>
      <c r="K673" s="59"/>
      <c r="L673" s="59"/>
      <c r="M673" s="60"/>
      <c r="N673" s="60"/>
      <c r="O673" s="60"/>
      <c r="P673" s="59"/>
      <c r="Q673" s="59"/>
      <c r="R673" s="60"/>
      <c r="S673" s="60"/>
      <c r="T673" s="60"/>
      <c r="U673" s="60"/>
      <c r="V673" s="60"/>
      <c r="W673" s="60"/>
    </row>
    <row r="674" spans="1:23" ht="13" x14ac:dyDescent="0.3">
      <c r="A674" s="58"/>
      <c r="B674" s="58"/>
      <c r="C674" s="58"/>
      <c r="D674" s="58"/>
      <c r="E674" s="58"/>
      <c r="F674" s="58"/>
      <c r="G674" s="58"/>
      <c r="H674" s="59"/>
      <c r="I674" s="59"/>
      <c r="J674" s="59"/>
      <c r="K674" s="59"/>
      <c r="L674" s="59"/>
      <c r="M674" s="60"/>
      <c r="N674" s="60"/>
      <c r="O674" s="60"/>
      <c r="P674" s="59"/>
      <c r="Q674" s="59"/>
      <c r="R674" s="60"/>
      <c r="S674" s="60"/>
      <c r="T674" s="60"/>
      <c r="U674" s="60"/>
      <c r="V674" s="60"/>
      <c r="W674" s="60"/>
    </row>
    <row r="675" spans="1:23" ht="13" x14ac:dyDescent="0.3">
      <c r="A675" s="58"/>
      <c r="B675" s="58"/>
      <c r="C675" s="58"/>
      <c r="D675" s="58"/>
      <c r="E675" s="58"/>
      <c r="F675" s="58"/>
      <c r="G675" s="58"/>
      <c r="H675" s="59"/>
      <c r="I675" s="59"/>
      <c r="J675" s="59"/>
      <c r="K675" s="59"/>
      <c r="L675" s="59"/>
      <c r="M675" s="60"/>
      <c r="N675" s="60"/>
      <c r="O675" s="60"/>
      <c r="P675" s="59"/>
      <c r="Q675" s="59"/>
      <c r="R675" s="60"/>
      <c r="S675" s="60"/>
      <c r="T675" s="60"/>
      <c r="U675" s="60"/>
      <c r="V675" s="60"/>
      <c r="W675" s="60"/>
    </row>
    <row r="676" spans="1:23" ht="13" x14ac:dyDescent="0.3">
      <c r="A676" s="58"/>
      <c r="B676" s="58"/>
      <c r="C676" s="58"/>
      <c r="D676" s="58"/>
      <c r="E676" s="58"/>
      <c r="F676" s="58"/>
      <c r="G676" s="58"/>
      <c r="H676" s="59"/>
      <c r="I676" s="59"/>
      <c r="J676" s="59"/>
      <c r="K676" s="59"/>
      <c r="L676" s="59"/>
      <c r="M676" s="60"/>
      <c r="N676" s="60"/>
      <c r="O676" s="60"/>
      <c r="P676" s="59"/>
      <c r="Q676" s="59"/>
      <c r="R676" s="60"/>
      <c r="S676" s="60"/>
      <c r="T676" s="60"/>
      <c r="U676" s="60"/>
      <c r="V676" s="60"/>
      <c r="W676" s="60"/>
    </row>
    <row r="677" spans="1:23" ht="13" x14ac:dyDescent="0.3">
      <c r="A677" s="58"/>
      <c r="B677" s="58"/>
      <c r="C677" s="58"/>
      <c r="D677" s="58"/>
      <c r="E677" s="58"/>
      <c r="F677" s="58"/>
      <c r="G677" s="58"/>
      <c r="H677" s="59"/>
      <c r="I677" s="59"/>
      <c r="J677" s="59"/>
      <c r="K677" s="59"/>
      <c r="L677" s="59"/>
      <c r="M677" s="60"/>
      <c r="N677" s="60"/>
      <c r="O677" s="60"/>
      <c r="P677" s="59"/>
      <c r="Q677" s="59"/>
      <c r="R677" s="60"/>
      <c r="S677" s="60"/>
      <c r="T677" s="60"/>
      <c r="U677" s="60"/>
      <c r="V677" s="60"/>
      <c r="W677" s="60"/>
    </row>
    <row r="678" spans="1:23" ht="13" x14ac:dyDescent="0.3">
      <c r="A678" s="58"/>
      <c r="B678" s="58"/>
      <c r="C678" s="58"/>
      <c r="D678" s="58"/>
      <c r="E678" s="58"/>
      <c r="F678" s="58"/>
      <c r="G678" s="58"/>
      <c r="H678" s="59"/>
      <c r="I678" s="59"/>
      <c r="J678" s="59"/>
      <c r="K678" s="59"/>
      <c r="L678" s="59"/>
      <c r="M678" s="60"/>
      <c r="N678" s="60"/>
      <c r="O678" s="60"/>
      <c r="P678" s="59"/>
      <c r="Q678" s="59"/>
      <c r="R678" s="60"/>
      <c r="S678" s="60"/>
      <c r="T678" s="60"/>
      <c r="U678" s="60"/>
      <c r="V678" s="60"/>
      <c r="W678" s="60"/>
    </row>
    <row r="679" spans="1:23" ht="13" x14ac:dyDescent="0.3">
      <c r="A679" s="58"/>
      <c r="B679" s="58"/>
      <c r="C679" s="58"/>
      <c r="D679" s="58"/>
      <c r="E679" s="58"/>
      <c r="F679" s="58"/>
      <c r="G679" s="58"/>
      <c r="H679" s="59"/>
      <c r="I679" s="59"/>
      <c r="J679" s="59"/>
      <c r="K679" s="59"/>
      <c r="L679" s="59"/>
      <c r="M679" s="60"/>
      <c r="N679" s="60"/>
      <c r="O679" s="60"/>
      <c r="P679" s="59"/>
      <c r="Q679" s="59"/>
      <c r="R679" s="60"/>
      <c r="S679" s="60"/>
      <c r="T679" s="60"/>
      <c r="U679" s="60"/>
      <c r="V679" s="60"/>
      <c r="W679" s="60"/>
    </row>
    <row r="680" spans="1:23" ht="13" x14ac:dyDescent="0.3">
      <c r="A680" s="58"/>
      <c r="B680" s="58"/>
      <c r="C680" s="58"/>
      <c r="D680" s="58"/>
      <c r="E680" s="58"/>
      <c r="F680" s="58"/>
      <c r="G680" s="58"/>
      <c r="H680" s="59"/>
      <c r="I680" s="59"/>
      <c r="J680" s="59"/>
      <c r="K680" s="59"/>
      <c r="L680" s="59"/>
      <c r="M680" s="60"/>
      <c r="N680" s="60"/>
      <c r="O680" s="60"/>
      <c r="P680" s="59"/>
      <c r="Q680" s="59"/>
      <c r="R680" s="60"/>
      <c r="S680" s="60"/>
      <c r="T680" s="60"/>
      <c r="U680" s="60"/>
      <c r="V680" s="60"/>
      <c r="W680" s="60"/>
    </row>
    <row r="681" spans="1:23" ht="13" x14ac:dyDescent="0.3">
      <c r="A681" s="58"/>
      <c r="B681" s="58"/>
      <c r="C681" s="58"/>
      <c r="D681" s="58"/>
      <c r="E681" s="58"/>
      <c r="F681" s="58"/>
      <c r="G681" s="58"/>
      <c r="H681" s="59"/>
      <c r="I681" s="59"/>
      <c r="J681" s="59"/>
      <c r="K681" s="59"/>
      <c r="L681" s="59"/>
      <c r="M681" s="60"/>
      <c r="N681" s="60"/>
      <c r="O681" s="60"/>
      <c r="P681" s="59"/>
      <c r="Q681" s="59"/>
      <c r="R681" s="60"/>
      <c r="S681" s="60"/>
      <c r="T681" s="60"/>
      <c r="U681" s="60"/>
      <c r="V681" s="60"/>
      <c r="W681" s="60"/>
    </row>
    <row r="682" spans="1:23" ht="13" x14ac:dyDescent="0.3">
      <c r="A682" s="58"/>
      <c r="B682" s="58"/>
      <c r="C682" s="58"/>
      <c r="D682" s="58"/>
      <c r="E682" s="58"/>
      <c r="F682" s="58"/>
      <c r="G682" s="58"/>
      <c r="H682" s="59"/>
      <c r="I682" s="59"/>
      <c r="J682" s="59"/>
      <c r="K682" s="59"/>
      <c r="L682" s="59"/>
      <c r="M682" s="60"/>
      <c r="N682" s="60"/>
      <c r="O682" s="60"/>
      <c r="P682" s="59"/>
      <c r="Q682" s="59"/>
      <c r="R682" s="60"/>
      <c r="S682" s="60"/>
      <c r="T682" s="60"/>
      <c r="U682" s="60"/>
      <c r="V682" s="60"/>
      <c r="W682" s="60"/>
    </row>
    <row r="683" spans="1:23" ht="13" x14ac:dyDescent="0.3">
      <c r="A683" s="58"/>
      <c r="B683" s="58"/>
      <c r="C683" s="58"/>
      <c r="D683" s="58"/>
      <c r="E683" s="58"/>
      <c r="F683" s="58"/>
      <c r="G683" s="58"/>
      <c r="H683" s="59"/>
      <c r="I683" s="59"/>
      <c r="J683" s="59"/>
      <c r="K683" s="59"/>
      <c r="L683" s="59"/>
      <c r="M683" s="60"/>
      <c r="N683" s="60"/>
      <c r="O683" s="60"/>
      <c r="P683" s="59"/>
      <c r="Q683" s="59"/>
      <c r="R683" s="60"/>
      <c r="S683" s="60"/>
      <c r="T683" s="60"/>
      <c r="U683" s="60"/>
      <c r="V683" s="60"/>
      <c r="W683" s="60"/>
    </row>
    <row r="684" spans="1:23" ht="13" x14ac:dyDescent="0.3">
      <c r="A684" s="58"/>
      <c r="B684" s="58"/>
      <c r="C684" s="58"/>
      <c r="D684" s="58"/>
      <c r="E684" s="58"/>
      <c r="F684" s="58"/>
      <c r="G684" s="58"/>
      <c r="H684" s="59"/>
      <c r="I684" s="59"/>
      <c r="J684" s="59"/>
      <c r="K684" s="59"/>
      <c r="L684" s="59"/>
      <c r="M684" s="60"/>
      <c r="N684" s="60"/>
      <c r="O684" s="60"/>
      <c r="P684" s="59"/>
      <c r="Q684" s="59"/>
      <c r="R684" s="60"/>
      <c r="S684" s="60"/>
      <c r="T684" s="60"/>
      <c r="U684" s="60"/>
      <c r="V684" s="60"/>
      <c r="W684" s="60"/>
    </row>
    <row r="685" spans="1:23" ht="13" x14ac:dyDescent="0.3">
      <c r="A685" s="58"/>
      <c r="B685" s="58"/>
      <c r="C685" s="58"/>
      <c r="D685" s="58"/>
      <c r="E685" s="58"/>
      <c r="F685" s="58"/>
      <c r="G685" s="58"/>
      <c r="H685" s="59"/>
      <c r="I685" s="59"/>
      <c r="J685" s="59"/>
      <c r="K685" s="59"/>
      <c r="L685" s="59"/>
      <c r="M685" s="60"/>
      <c r="N685" s="60"/>
      <c r="O685" s="60"/>
      <c r="P685" s="59"/>
      <c r="Q685" s="59"/>
      <c r="R685" s="60"/>
      <c r="S685" s="60"/>
      <c r="T685" s="60"/>
      <c r="U685" s="60"/>
      <c r="V685" s="60"/>
      <c r="W685" s="60"/>
    </row>
    <row r="686" spans="1:23" ht="13" x14ac:dyDescent="0.3">
      <c r="A686" s="58"/>
      <c r="B686" s="58"/>
      <c r="C686" s="58"/>
      <c r="D686" s="58"/>
      <c r="E686" s="58"/>
      <c r="F686" s="58"/>
      <c r="G686" s="58"/>
      <c r="H686" s="59"/>
      <c r="I686" s="59"/>
      <c r="J686" s="59"/>
      <c r="K686" s="59"/>
      <c r="L686" s="59"/>
      <c r="M686" s="60"/>
      <c r="N686" s="60"/>
      <c r="O686" s="60"/>
      <c r="P686" s="59"/>
      <c r="Q686" s="59"/>
      <c r="R686" s="60"/>
      <c r="S686" s="60"/>
      <c r="T686" s="60"/>
      <c r="U686" s="60"/>
      <c r="V686" s="60"/>
      <c r="W686" s="60"/>
    </row>
    <row r="687" spans="1:23" ht="13" x14ac:dyDescent="0.3">
      <c r="A687" s="58"/>
      <c r="B687" s="58"/>
      <c r="C687" s="58"/>
      <c r="D687" s="58"/>
      <c r="E687" s="58"/>
      <c r="F687" s="58"/>
      <c r="G687" s="58"/>
      <c r="H687" s="59"/>
      <c r="I687" s="59"/>
      <c r="J687" s="59"/>
      <c r="K687" s="59"/>
      <c r="L687" s="59"/>
      <c r="M687" s="60"/>
      <c r="N687" s="60"/>
      <c r="O687" s="60"/>
      <c r="P687" s="59"/>
      <c r="Q687" s="59"/>
      <c r="R687" s="60"/>
      <c r="S687" s="60"/>
      <c r="T687" s="60"/>
      <c r="U687" s="60"/>
      <c r="V687" s="60"/>
      <c r="W687" s="60"/>
    </row>
    <row r="688" spans="1:23" ht="13" x14ac:dyDescent="0.3">
      <c r="A688" s="58"/>
      <c r="B688" s="58"/>
      <c r="C688" s="58"/>
      <c r="D688" s="58"/>
      <c r="E688" s="58"/>
      <c r="F688" s="58"/>
      <c r="G688" s="58"/>
      <c r="H688" s="59"/>
      <c r="I688" s="59"/>
      <c r="J688" s="59"/>
      <c r="K688" s="59"/>
      <c r="L688" s="59"/>
      <c r="M688" s="60"/>
      <c r="N688" s="60"/>
      <c r="O688" s="60"/>
      <c r="P688" s="59"/>
      <c r="Q688" s="59"/>
      <c r="R688" s="60"/>
      <c r="S688" s="60"/>
      <c r="T688" s="60"/>
      <c r="U688" s="60"/>
      <c r="V688" s="60"/>
      <c r="W688" s="60"/>
    </row>
    <row r="689" spans="1:23" ht="13" x14ac:dyDescent="0.3">
      <c r="A689" s="58"/>
      <c r="B689" s="58"/>
      <c r="C689" s="58"/>
      <c r="D689" s="58"/>
      <c r="E689" s="58"/>
      <c r="F689" s="58"/>
      <c r="G689" s="58"/>
      <c r="H689" s="59"/>
      <c r="I689" s="59"/>
      <c r="J689" s="59"/>
      <c r="K689" s="59"/>
      <c r="L689" s="59"/>
      <c r="M689" s="60"/>
      <c r="N689" s="60"/>
      <c r="O689" s="60"/>
      <c r="P689" s="59"/>
      <c r="Q689" s="59"/>
      <c r="R689" s="60"/>
      <c r="S689" s="60"/>
      <c r="T689" s="60"/>
      <c r="U689" s="60"/>
      <c r="V689" s="60"/>
      <c r="W689" s="60"/>
    </row>
    <row r="690" spans="1:23" ht="13" x14ac:dyDescent="0.3">
      <c r="A690" s="58"/>
      <c r="B690" s="58"/>
      <c r="C690" s="58"/>
      <c r="D690" s="58"/>
      <c r="E690" s="58"/>
      <c r="F690" s="58"/>
      <c r="G690" s="58"/>
      <c r="H690" s="59"/>
      <c r="I690" s="59"/>
      <c r="J690" s="59"/>
      <c r="K690" s="59"/>
      <c r="L690" s="59"/>
      <c r="M690" s="60"/>
      <c r="N690" s="60"/>
      <c r="O690" s="60"/>
      <c r="P690" s="59"/>
      <c r="Q690" s="59"/>
      <c r="R690" s="60"/>
      <c r="S690" s="60"/>
      <c r="T690" s="60"/>
      <c r="U690" s="60"/>
      <c r="V690" s="60"/>
      <c r="W690" s="60"/>
    </row>
    <row r="691" spans="1:23" ht="13" x14ac:dyDescent="0.3">
      <c r="A691" s="58"/>
      <c r="B691" s="58"/>
      <c r="C691" s="58"/>
      <c r="D691" s="58"/>
      <c r="E691" s="58"/>
      <c r="F691" s="58"/>
      <c r="G691" s="58"/>
      <c r="H691" s="59"/>
      <c r="I691" s="59"/>
      <c r="J691" s="59"/>
      <c r="K691" s="59"/>
      <c r="L691" s="59"/>
      <c r="M691" s="60"/>
      <c r="N691" s="60"/>
      <c r="O691" s="60"/>
      <c r="P691" s="59"/>
      <c r="Q691" s="59"/>
      <c r="R691" s="60"/>
      <c r="S691" s="60"/>
      <c r="T691" s="60"/>
      <c r="U691" s="60"/>
      <c r="V691" s="60"/>
      <c r="W691" s="60"/>
    </row>
    <row r="692" spans="1:23" ht="13" x14ac:dyDescent="0.3">
      <c r="A692" s="58"/>
      <c r="B692" s="58"/>
      <c r="C692" s="58"/>
      <c r="D692" s="58"/>
      <c r="E692" s="58"/>
      <c r="F692" s="58"/>
      <c r="G692" s="58"/>
      <c r="H692" s="59"/>
      <c r="I692" s="59"/>
      <c r="J692" s="59"/>
      <c r="K692" s="59"/>
      <c r="L692" s="59"/>
      <c r="M692" s="60"/>
      <c r="N692" s="60"/>
      <c r="O692" s="60"/>
      <c r="P692" s="59"/>
      <c r="Q692" s="59"/>
      <c r="R692" s="60"/>
      <c r="S692" s="60"/>
      <c r="T692" s="60"/>
      <c r="U692" s="60"/>
      <c r="V692" s="60"/>
      <c r="W692" s="60"/>
    </row>
    <row r="693" spans="1:23" ht="13" x14ac:dyDescent="0.3">
      <c r="A693" s="58"/>
      <c r="B693" s="58"/>
      <c r="C693" s="58"/>
      <c r="D693" s="58"/>
      <c r="E693" s="58"/>
      <c r="F693" s="58"/>
      <c r="G693" s="58"/>
      <c r="H693" s="59"/>
      <c r="I693" s="59"/>
      <c r="J693" s="59"/>
      <c r="K693" s="59"/>
      <c r="L693" s="59"/>
      <c r="M693" s="60"/>
      <c r="N693" s="60"/>
      <c r="O693" s="60"/>
      <c r="P693" s="59"/>
      <c r="Q693" s="59"/>
      <c r="R693" s="60"/>
      <c r="S693" s="60"/>
      <c r="T693" s="60"/>
      <c r="U693" s="60"/>
      <c r="V693" s="60"/>
      <c r="W693" s="60"/>
    </row>
    <row r="694" spans="1:23" ht="13" x14ac:dyDescent="0.3">
      <c r="A694" s="58"/>
      <c r="B694" s="58"/>
      <c r="C694" s="58"/>
      <c r="D694" s="58"/>
      <c r="E694" s="58"/>
      <c r="F694" s="58"/>
      <c r="G694" s="58"/>
      <c r="H694" s="59"/>
      <c r="I694" s="59"/>
      <c r="J694" s="59"/>
      <c r="K694" s="59"/>
      <c r="L694" s="59"/>
      <c r="M694" s="60"/>
      <c r="N694" s="60"/>
      <c r="O694" s="60"/>
      <c r="P694" s="59"/>
      <c r="Q694" s="59"/>
      <c r="R694" s="60"/>
      <c r="S694" s="60"/>
      <c r="T694" s="60"/>
      <c r="U694" s="60"/>
      <c r="V694" s="60"/>
      <c r="W694" s="60"/>
    </row>
    <row r="695" spans="1:23" ht="13" x14ac:dyDescent="0.3">
      <c r="A695" s="58"/>
      <c r="B695" s="58"/>
      <c r="C695" s="58"/>
      <c r="D695" s="58"/>
      <c r="E695" s="58"/>
      <c r="F695" s="58"/>
      <c r="G695" s="58"/>
      <c r="H695" s="59"/>
      <c r="I695" s="59"/>
      <c r="J695" s="59"/>
      <c r="K695" s="59"/>
      <c r="L695" s="59"/>
      <c r="M695" s="60"/>
      <c r="N695" s="60"/>
      <c r="O695" s="60"/>
      <c r="P695" s="59"/>
      <c r="Q695" s="59"/>
      <c r="R695" s="60"/>
      <c r="S695" s="60"/>
      <c r="T695" s="60"/>
      <c r="U695" s="60"/>
      <c r="V695" s="60"/>
      <c r="W695" s="60"/>
    </row>
    <row r="696" spans="1:23" ht="13" x14ac:dyDescent="0.3">
      <c r="A696" s="58"/>
      <c r="B696" s="58"/>
      <c r="C696" s="58"/>
      <c r="D696" s="58"/>
      <c r="E696" s="58"/>
      <c r="F696" s="58"/>
      <c r="G696" s="58"/>
      <c r="H696" s="59"/>
      <c r="I696" s="59"/>
      <c r="J696" s="59"/>
      <c r="K696" s="59"/>
      <c r="L696" s="59"/>
      <c r="M696" s="60"/>
      <c r="N696" s="60"/>
      <c r="O696" s="60"/>
      <c r="P696" s="59"/>
      <c r="Q696" s="59"/>
      <c r="R696" s="60"/>
      <c r="S696" s="60"/>
      <c r="T696" s="60"/>
      <c r="U696" s="60"/>
      <c r="V696" s="60"/>
      <c r="W696" s="60"/>
    </row>
    <row r="697" spans="1:23" ht="13" x14ac:dyDescent="0.3">
      <c r="A697" s="58"/>
      <c r="B697" s="58"/>
      <c r="C697" s="58"/>
      <c r="D697" s="58"/>
      <c r="E697" s="58"/>
      <c r="F697" s="58"/>
      <c r="G697" s="58"/>
      <c r="H697" s="59"/>
      <c r="I697" s="59"/>
      <c r="J697" s="59"/>
      <c r="K697" s="59"/>
      <c r="L697" s="59"/>
      <c r="M697" s="60"/>
      <c r="N697" s="60"/>
      <c r="O697" s="60"/>
      <c r="P697" s="59"/>
      <c r="Q697" s="59"/>
      <c r="R697" s="60"/>
      <c r="S697" s="60"/>
      <c r="T697" s="60"/>
      <c r="U697" s="60"/>
      <c r="V697" s="60"/>
      <c r="W697" s="60"/>
    </row>
    <row r="698" spans="1:23" ht="13" x14ac:dyDescent="0.3">
      <c r="A698" s="58"/>
      <c r="B698" s="58"/>
      <c r="C698" s="58"/>
      <c r="D698" s="58"/>
      <c r="E698" s="58"/>
      <c r="F698" s="58"/>
      <c r="G698" s="58"/>
      <c r="H698" s="59"/>
      <c r="I698" s="59"/>
      <c r="J698" s="59"/>
      <c r="K698" s="59"/>
      <c r="L698" s="59"/>
      <c r="M698" s="60"/>
      <c r="N698" s="60"/>
      <c r="O698" s="60"/>
      <c r="P698" s="59"/>
      <c r="Q698" s="59"/>
      <c r="R698" s="60"/>
      <c r="S698" s="60"/>
      <c r="T698" s="60"/>
      <c r="U698" s="60"/>
      <c r="V698" s="60"/>
      <c r="W698" s="60"/>
    </row>
    <row r="699" spans="1:23" ht="13" x14ac:dyDescent="0.3">
      <c r="A699" s="58"/>
      <c r="B699" s="58"/>
      <c r="C699" s="58"/>
      <c r="D699" s="58"/>
      <c r="E699" s="58"/>
      <c r="F699" s="58"/>
      <c r="G699" s="58"/>
      <c r="H699" s="59"/>
      <c r="I699" s="59"/>
      <c r="J699" s="59"/>
      <c r="K699" s="59"/>
      <c r="L699" s="59"/>
      <c r="M699" s="60"/>
      <c r="N699" s="60"/>
      <c r="O699" s="60"/>
      <c r="P699" s="59"/>
      <c r="Q699" s="59"/>
      <c r="R699" s="60"/>
      <c r="S699" s="60"/>
      <c r="T699" s="60"/>
      <c r="U699" s="60"/>
      <c r="V699" s="60"/>
      <c r="W699" s="60"/>
    </row>
    <row r="700" spans="1:23" ht="13" x14ac:dyDescent="0.3">
      <c r="A700" s="58"/>
      <c r="B700" s="58"/>
      <c r="C700" s="58"/>
      <c r="D700" s="58"/>
      <c r="E700" s="58"/>
      <c r="F700" s="58"/>
      <c r="G700" s="58"/>
      <c r="H700" s="59"/>
      <c r="I700" s="59"/>
      <c r="J700" s="59"/>
      <c r="K700" s="59"/>
      <c r="L700" s="59"/>
      <c r="M700" s="60"/>
      <c r="N700" s="60"/>
      <c r="O700" s="60"/>
      <c r="P700" s="59"/>
      <c r="Q700" s="59"/>
      <c r="R700" s="60"/>
      <c r="S700" s="60"/>
      <c r="T700" s="60"/>
      <c r="U700" s="60"/>
      <c r="V700" s="60"/>
      <c r="W700" s="60"/>
    </row>
    <row r="701" spans="1:23" ht="13" x14ac:dyDescent="0.3">
      <c r="A701" s="58"/>
      <c r="B701" s="58"/>
      <c r="C701" s="58"/>
      <c r="D701" s="58"/>
      <c r="E701" s="58"/>
      <c r="F701" s="58"/>
      <c r="G701" s="58"/>
      <c r="H701" s="59"/>
      <c r="I701" s="59"/>
      <c r="J701" s="59"/>
      <c r="K701" s="59"/>
      <c r="L701" s="59"/>
      <c r="M701" s="60"/>
      <c r="N701" s="60"/>
      <c r="O701" s="60"/>
      <c r="P701" s="59"/>
      <c r="Q701" s="59"/>
      <c r="R701" s="60"/>
      <c r="S701" s="60"/>
      <c r="T701" s="60"/>
      <c r="U701" s="60"/>
      <c r="V701" s="60"/>
      <c r="W701" s="60"/>
    </row>
    <row r="702" spans="1:23" ht="13" x14ac:dyDescent="0.3">
      <c r="A702" s="58"/>
      <c r="B702" s="58"/>
      <c r="C702" s="58"/>
      <c r="D702" s="58"/>
      <c r="E702" s="58"/>
      <c r="F702" s="58"/>
      <c r="G702" s="58"/>
      <c r="H702" s="59"/>
      <c r="I702" s="59"/>
      <c r="J702" s="59"/>
      <c r="K702" s="59"/>
      <c r="L702" s="59"/>
      <c r="M702" s="60"/>
      <c r="N702" s="60"/>
      <c r="O702" s="60"/>
      <c r="P702" s="59"/>
      <c r="Q702" s="59"/>
      <c r="R702" s="60"/>
      <c r="S702" s="60"/>
      <c r="T702" s="60"/>
      <c r="U702" s="60"/>
      <c r="V702" s="60"/>
      <c r="W702" s="60"/>
    </row>
    <row r="703" spans="1:23" ht="13" x14ac:dyDescent="0.3">
      <c r="A703" s="58"/>
      <c r="B703" s="58"/>
      <c r="C703" s="58"/>
      <c r="D703" s="58"/>
      <c r="E703" s="58"/>
      <c r="F703" s="58"/>
      <c r="G703" s="58"/>
      <c r="H703" s="59"/>
      <c r="I703" s="59"/>
      <c r="J703" s="59"/>
      <c r="K703" s="59"/>
      <c r="L703" s="59"/>
      <c r="M703" s="60"/>
      <c r="N703" s="60"/>
      <c r="O703" s="60"/>
      <c r="P703" s="59"/>
      <c r="Q703" s="59"/>
      <c r="R703" s="60"/>
      <c r="S703" s="60"/>
      <c r="T703" s="60"/>
      <c r="U703" s="60"/>
      <c r="V703" s="60"/>
      <c r="W703" s="60"/>
    </row>
    <row r="704" spans="1:23" ht="13" x14ac:dyDescent="0.3">
      <c r="A704" s="58"/>
      <c r="B704" s="58"/>
      <c r="C704" s="58"/>
      <c r="D704" s="58"/>
      <c r="E704" s="58"/>
      <c r="F704" s="58"/>
      <c r="G704" s="58"/>
      <c r="H704" s="59"/>
      <c r="I704" s="59"/>
      <c r="J704" s="59"/>
      <c r="K704" s="59"/>
      <c r="L704" s="59"/>
      <c r="M704" s="60"/>
      <c r="N704" s="60"/>
      <c r="O704" s="60"/>
      <c r="P704" s="59"/>
      <c r="Q704" s="59"/>
      <c r="R704" s="60"/>
      <c r="S704" s="60"/>
      <c r="T704" s="60"/>
      <c r="U704" s="60"/>
      <c r="V704" s="60"/>
      <c r="W704" s="60"/>
    </row>
    <row r="705" spans="1:23" ht="13" x14ac:dyDescent="0.3">
      <c r="A705" s="58"/>
      <c r="B705" s="58"/>
      <c r="C705" s="58"/>
      <c r="D705" s="58"/>
      <c r="E705" s="58"/>
      <c r="F705" s="58"/>
      <c r="G705" s="58"/>
      <c r="H705" s="59"/>
      <c r="I705" s="59"/>
      <c r="J705" s="59"/>
      <c r="K705" s="59"/>
      <c r="L705" s="59"/>
      <c r="M705" s="60"/>
      <c r="N705" s="60"/>
      <c r="O705" s="60"/>
      <c r="P705" s="59"/>
      <c r="Q705" s="59"/>
      <c r="R705" s="60"/>
      <c r="S705" s="60"/>
      <c r="T705" s="60"/>
      <c r="U705" s="60"/>
      <c r="V705" s="60"/>
      <c r="W705" s="60"/>
    </row>
    <row r="706" spans="1:23" ht="13" x14ac:dyDescent="0.3">
      <c r="A706" s="58"/>
      <c r="B706" s="58"/>
      <c r="C706" s="58"/>
      <c r="D706" s="58"/>
      <c r="E706" s="58"/>
      <c r="F706" s="58"/>
      <c r="G706" s="58"/>
      <c r="H706" s="59"/>
      <c r="I706" s="59"/>
      <c r="J706" s="59"/>
      <c r="K706" s="59"/>
      <c r="L706" s="59"/>
      <c r="M706" s="60"/>
      <c r="N706" s="60"/>
      <c r="O706" s="60"/>
      <c r="P706" s="59"/>
      <c r="Q706" s="59"/>
      <c r="R706" s="60"/>
      <c r="S706" s="60"/>
      <c r="T706" s="60"/>
      <c r="U706" s="60"/>
      <c r="V706" s="60"/>
      <c r="W706" s="60"/>
    </row>
    <row r="707" spans="1:23" ht="13" x14ac:dyDescent="0.3">
      <c r="A707" s="58"/>
      <c r="B707" s="58"/>
      <c r="C707" s="58"/>
      <c r="D707" s="58"/>
      <c r="E707" s="58"/>
      <c r="F707" s="58"/>
      <c r="G707" s="58"/>
      <c r="H707" s="59"/>
      <c r="I707" s="59"/>
      <c r="J707" s="59"/>
      <c r="K707" s="59"/>
      <c r="L707" s="59"/>
      <c r="M707" s="60"/>
      <c r="N707" s="60"/>
      <c r="O707" s="60"/>
      <c r="P707" s="59"/>
      <c r="Q707" s="59"/>
      <c r="R707" s="60"/>
      <c r="S707" s="60"/>
      <c r="T707" s="60"/>
      <c r="U707" s="60"/>
      <c r="V707" s="60"/>
      <c r="W707" s="60"/>
    </row>
    <row r="708" spans="1:23" ht="13" x14ac:dyDescent="0.3">
      <c r="A708" s="58"/>
      <c r="B708" s="58"/>
      <c r="C708" s="58"/>
      <c r="D708" s="58"/>
      <c r="E708" s="58"/>
      <c r="F708" s="58"/>
      <c r="G708" s="58"/>
      <c r="H708" s="59"/>
      <c r="I708" s="59"/>
      <c r="J708" s="59"/>
      <c r="K708" s="59"/>
      <c r="L708" s="59"/>
      <c r="M708" s="60"/>
      <c r="N708" s="60"/>
      <c r="O708" s="60"/>
      <c r="P708" s="59"/>
      <c r="Q708" s="59"/>
      <c r="R708" s="60"/>
      <c r="S708" s="60"/>
      <c r="T708" s="60"/>
      <c r="U708" s="60"/>
      <c r="V708" s="60"/>
      <c r="W708" s="60"/>
    </row>
    <row r="709" spans="1:23" ht="13" x14ac:dyDescent="0.3">
      <c r="A709" s="58"/>
      <c r="B709" s="58"/>
      <c r="C709" s="58"/>
      <c r="D709" s="58"/>
      <c r="E709" s="58"/>
      <c r="F709" s="58"/>
      <c r="G709" s="58"/>
      <c r="H709" s="59"/>
      <c r="I709" s="59"/>
      <c r="J709" s="59"/>
      <c r="K709" s="59"/>
      <c r="L709" s="59"/>
      <c r="M709" s="60"/>
      <c r="N709" s="60"/>
      <c r="O709" s="60"/>
      <c r="P709" s="59"/>
      <c r="Q709" s="59"/>
      <c r="R709" s="60"/>
      <c r="S709" s="60"/>
      <c r="T709" s="60"/>
      <c r="U709" s="60"/>
      <c r="V709" s="60"/>
      <c r="W709" s="60"/>
    </row>
    <row r="710" spans="1:23" ht="13" x14ac:dyDescent="0.3">
      <c r="A710" s="58"/>
      <c r="B710" s="58"/>
      <c r="C710" s="58"/>
      <c r="D710" s="58"/>
      <c r="E710" s="58"/>
      <c r="F710" s="58"/>
      <c r="G710" s="58"/>
      <c r="H710" s="59"/>
      <c r="I710" s="59"/>
      <c r="J710" s="59"/>
      <c r="K710" s="59"/>
      <c r="L710" s="59"/>
      <c r="M710" s="60"/>
      <c r="N710" s="60"/>
      <c r="O710" s="60"/>
      <c r="P710" s="59"/>
      <c r="Q710" s="59"/>
      <c r="R710" s="60"/>
      <c r="S710" s="60"/>
      <c r="T710" s="60"/>
      <c r="U710" s="60"/>
      <c r="V710" s="60"/>
      <c r="W710" s="60"/>
    </row>
    <row r="711" spans="1:23" ht="13" x14ac:dyDescent="0.3">
      <c r="A711" s="58"/>
      <c r="B711" s="58"/>
      <c r="C711" s="58"/>
      <c r="D711" s="58"/>
      <c r="E711" s="58"/>
      <c r="F711" s="58"/>
      <c r="G711" s="58"/>
      <c r="H711" s="59"/>
      <c r="I711" s="59"/>
      <c r="J711" s="59"/>
      <c r="K711" s="59"/>
      <c r="L711" s="59"/>
      <c r="M711" s="60"/>
      <c r="N711" s="60"/>
      <c r="O711" s="60"/>
      <c r="P711" s="59"/>
      <c r="Q711" s="59"/>
      <c r="R711" s="60"/>
      <c r="S711" s="60"/>
      <c r="T711" s="60"/>
      <c r="U711" s="60"/>
      <c r="V711" s="60"/>
      <c r="W711" s="60"/>
    </row>
    <row r="712" spans="1:23" ht="13" x14ac:dyDescent="0.3">
      <c r="A712" s="58"/>
      <c r="B712" s="58"/>
      <c r="C712" s="58"/>
      <c r="D712" s="58"/>
      <c r="E712" s="58"/>
      <c r="F712" s="58"/>
      <c r="G712" s="58"/>
      <c r="H712" s="59"/>
      <c r="I712" s="59"/>
      <c r="J712" s="59"/>
      <c r="K712" s="59"/>
      <c r="L712" s="59"/>
      <c r="M712" s="60"/>
      <c r="N712" s="60"/>
      <c r="O712" s="60"/>
      <c r="P712" s="59"/>
      <c r="Q712" s="59"/>
      <c r="R712" s="60"/>
      <c r="S712" s="60"/>
      <c r="T712" s="60"/>
      <c r="U712" s="60"/>
      <c r="V712" s="60"/>
      <c r="W712" s="60"/>
    </row>
    <row r="713" spans="1:23" ht="13" x14ac:dyDescent="0.3">
      <c r="A713" s="58"/>
      <c r="B713" s="58"/>
      <c r="C713" s="58"/>
      <c r="D713" s="58"/>
      <c r="E713" s="58"/>
      <c r="F713" s="58"/>
      <c r="G713" s="58"/>
      <c r="H713" s="59"/>
      <c r="I713" s="59"/>
      <c r="J713" s="59"/>
      <c r="K713" s="59"/>
      <c r="L713" s="59"/>
      <c r="M713" s="60"/>
      <c r="N713" s="60"/>
      <c r="O713" s="60"/>
      <c r="P713" s="59"/>
      <c r="Q713" s="59"/>
      <c r="R713" s="60"/>
      <c r="S713" s="60"/>
      <c r="T713" s="60"/>
      <c r="U713" s="60"/>
      <c r="V713" s="60"/>
      <c r="W713" s="60"/>
    </row>
    <row r="714" spans="1:23" ht="13" x14ac:dyDescent="0.3">
      <c r="A714" s="58"/>
      <c r="B714" s="58"/>
      <c r="C714" s="58"/>
      <c r="D714" s="58"/>
      <c r="E714" s="58"/>
      <c r="F714" s="58"/>
      <c r="G714" s="58"/>
      <c r="H714" s="59"/>
      <c r="I714" s="59"/>
      <c r="J714" s="59"/>
      <c r="K714" s="59"/>
      <c r="L714" s="59"/>
      <c r="M714" s="60"/>
      <c r="N714" s="60"/>
      <c r="O714" s="60"/>
      <c r="P714" s="59"/>
      <c r="Q714" s="59"/>
      <c r="R714" s="60"/>
      <c r="S714" s="60"/>
      <c r="T714" s="60"/>
      <c r="U714" s="60"/>
      <c r="V714" s="60"/>
      <c r="W714" s="60"/>
    </row>
    <row r="715" spans="1:23" ht="13" x14ac:dyDescent="0.3">
      <c r="A715" s="58"/>
      <c r="B715" s="58"/>
      <c r="C715" s="58"/>
      <c r="D715" s="58"/>
      <c r="E715" s="58"/>
      <c r="F715" s="58"/>
      <c r="G715" s="58"/>
      <c r="H715" s="59"/>
      <c r="I715" s="59"/>
      <c r="J715" s="59"/>
      <c r="K715" s="59"/>
      <c r="L715" s="59"/>
      <c r="M715" s="60"/>
      <c r="N715" s="60"/>
      <c r="O715" s="60"/>
      <c r="P715" s="59"/>
      <c r="Q715" s="59"/>
      <c r="R715" s="60"/>
      <c r="S715" s="60"/>
      <c r="T715" s="60"/>
      <c r="U715" s="60"/>
      <c r="V715" s="60"/>
      <c r="W715" s="60"/>
    </row>
    <row r="716" spans="1:23" ht="13" x14ac:dyDescent="0.3">
      <c r="A716" s="58"/>
      <c r="B716" s="58"/>
      <c r="C716" s="58"/>
      <c r="D716" s="58"/>
      <c r="E716" s="58"/>
      <c r="F716" s="58"/>
      <c r="G716" s="58"/>
      <c r="H716" s="59"/>
      <c r="I716" s="59"/>
      <c r="J716" s="59"/>
      <c r="K716" s="59"/>
      <c r="L716" s="59"/>
      <c r="M716" s="60"/>
      <c r="N716" s="60"/>
      <c r="O716" s="60"/>
      <c r="P716" s="59"/>
      <c r="Q716" s="59"/>
      <c r="R716" s="60"/>
      <c r="S716" s="60"/>
      <c r="T716" s="60"/>
      <c r="U716" s="60"/>
      <c r="V716" s="60"/>
      <c r="W716" s="60"/>
    </row>
    <row r="717" spans="1:23" ht="13" x14ac:dyDescent="0.3">
      <c r="A717" s="58"/>
      <c r="B717" s="58"/>
      <c r="C717" s="58"/>
      <c r="D717" s="58"/>
      <c r="E717" s="58"/>
      <c r="F717" s="58"/>
      <c r="G717" s="58"/>
      <c r="H717" s="59"/>
      <c r="I717" s="59"/>
      <c r="J717" s="59"/>
      <c r="K717" s="59"/>
      <c r="L717" s="59"/>
      <c r="M717" s="60"/>
      <c r="N717" s="60"/>
      <c r="O717" s="60"/>
      <c r="P717" s="59"/>
      <c r="Q717" s="59"/>
      <c r="R717" s="60"/>
      <c r="S717" s="60"/>
      <c r="T717" s="60"/>
      <c r="U717" s="60"/>
      <c r="V717" s="60"/>
      <c r="W717" s="60"/>
    </row>
    <row r="718" spans="1:23" ht="13" x14ac:dyDescent="0.3">
      <c r="A718" s="58"/>
      <c r="B718" s="58"/>
      <c r="C718" s="58"/>
      <c r="D718" s="58"/>
      <c r="E718" s="58"/>
      <c r="F718" s="58"/>
      <c r="G718" s="58"/>
      <c r="H718" s="59"/>
      <c r="I718" s="59"/>
      <c r="J718" s="59"/>
      <c r="K718" s="59"/>
      <c r="L718" s="59"/>
      <c r="M718" s="60"/>
      <c r="N718" s="60"/>
      <c r="O718" s="60"/>
      <c r="P718" s="59"/>
      <c r="Q718" s="59"/>
      <c r="R718" s="60"/>
      <c r="S718" s="60"/>
      <c r="T718" s="60"/>
      <c r="U718" s="60"/>
      <c r="V718" s="60"/>
      <c r="W718" s="60"/>
    </row>
    <row r="719" spans="1:23" ht="13" x14ac:dyDescent="0.3">
      <c r="A719" s="58"/>
      <c r="B719" s="58"/>
      <c r="C719" s="58"/>
      <c r="D719" s="58"/>
      <c r="E719" s="58"/>
      <c r="F719" s="58"/>
      <c r="G719" s="58"/>
      <c r="H719" s="59"/>
      <c r="I719" s="59"/>
      <c r="J719" s="59"/>
      <c r="K719" s="59"/>
      <c r="L719" s="59"/>
      <c r="M719" s="60"/>
      <c r="N719" s="60"/>
      <c r="O719" s="60"/>
      <c r="P719" s="59"/>
      <c r="Q719" s="59"/>
      <c r="R719" s="60"/>
      <c r="S719" s="60"/>
      <c r="T719" s="60"/>
      <c r="U719" s="60"/>
      <c r="V719" s="60"/>
      <c r="W719" s="60"/>
    </row>
    <row r="720" spans="1:23" ht="13" x14ac:dyDescent="0.3">
      <c r="A720" s="58"/>
      <c r="B720" s="58"/>
      <c r="C720" s="58"/>
      <c r="D720" s="58"/>
      <c r="E720" s="58"/>
      <c r="F720" s="58"/>
      <c r="G720" s="58"/>
      <c r="H720" s="59"/>
      <c r="I720" s="59"/>
      <c r="J720" s="59"/>
      <c r="K720" s="59"/>
      <c r="L720" s="59"/>
      <c r="M720" s="60"/>
      <c r="N720" s="60"/>
      <c r="O720" s="60"/>
      <c r="P720" s="59"/>
      <c r="Q720" s="59"/>
      <c r="R720" s="60"/>
      <c r="S720" s="60"/>
      <c r="T720" s="60"/>
      <c r="U720" s="60"/>
      <c r="V720" s="60"/>
      <c r="W720" s="60"/>
    </row>
    <row r="721" spans="1:23" ht="13" x14ac:dyDescent="0.3">
      <c r="A721" s="58"/>
      <c r="B721" s="58"/>
      <c r="C721" s="58"/>
      <c r="D721" s="58"/>
      <c r="E721" s="58"/>
      <c r="F721" s="58"/>
      <c r="G721" s="58"/>
      <c r="H721" s="59"/>
      <c r="I721" s="59"/>
      <c r="J721" s="59"/>
      <c r="K721" s="59"/>
      <c r="L721" s="59"/>
      <c r="M721" s="60"/>
      <c r="N721" s="60"/>
      <c r="O721" s="60"/>
      <c r="P721" s="59"/>
      <c r="Q721" s="59"/>
      <c r="R721" s="60"/>
      <c r="S721" s="60"/>
      <c r="T721" s="60"/>
      <c r="U721" s="60"/>
      <c r="V721" s="60"/>
      <c r="W721" s="60"/>
    </row>
    <row r="722" spans="1:23" ht="13" x14ac:dyDescent="0.3">
      <c r="A722" s="58"/>
      <c r="B722" s="58"/>
      <c r="C722" s="58"/>
      <c r="D722" s="58"/>
      <c r="E722" s="58"/>
      <c r="F722" s="58"/>
      <c r="G722" s="58"/>
      <c r="H722" s="59"/>
      <c r="I722" s="59"/>
      <c r="J722" s="59"/>
      <c r="K722" s="59"/>
      <c r="L722" s="59"/>
      <c r="M722" s="60"/>
      <c r="N722" s="60"/>
      <c r="O722" s="60"/>
      <c r="P722" s="59"/>
      <c r="Q722" s="59"/>
      <c r="R722" s="60"/>
      <c r="S722" s="60"/>
      <c r="T722" s="60"/>
      <c r="U722" s="60"/>
      <c r="V722" s="60"/>
      <c r="W722" s="60"/>
    </row>
    <row r="723" spans="1:23" ht="13" x14ac:dyDescent="0.3">
      <c r="A723" s="58"/>
      <c r="B723" s="58"/>
      <c r="C723" s="58"/>
      <c r="D723" s="58"/>
      <c r="E723" s="58"/>
      <c r="F723" s="58"/>
      <c r="G723" s="58"/>
      <c r="H723" s="59"/>
      <c r="I723" s="59"/>
      <c r="J723" s="59"/>
      <c r="K723" s="59"/>
      <c r="L723" s="59"/>
      <c r="M723" s="60"/>
      <c r="N723" s="60"/>
      <c r="O723" s="60"/>
      <c r="P723" s="59"/>
      <c r="Q723" s="59"/>
      <c r="R723" s="60"/>
      <c r="S723" s="60"/>
      <c r="T723" s="60"/>
      <c r="U723" s="60"/>
      <c r="V723" s="60"/>
      <c r="W723" s="60"/>
    </row>
    <row r="724" spans="1:23" ht="13" x14ac:dyDescent="0.3">
      <c r="A724" s="58"/>
      <c r="B724" s="58"/>
      <c r="C724" s="58"/>
      <c r="D724" s="58"/>
      <c r="E724" s="58"/>
      <c r="F724" s="58"/>
      <c r="G724" s="58"/>
      <c r="H724" s="59"/>
      <c r="I724" s="59"/>
      <c r="J724" s="59"/>
      <c r="K724" s="59"/>
      <c r="L724" s="59"/>
      <c r="M724" s="60"/>
      <c r="N724" s="60"/>
      <c r="O724" s="60"/>
      <c r="P724" s="59"/>
      <c r="Q724" s="59"/>
      <c r="R724" s="60"/>
      <c r="S724" s="60"/>
      <c r="T724" s="60"/>
      <c r="U724" s="60"/>
      <c r="V724" s="60"/>
      <c r="W724" s="60"/>
    </row>
    <row r="725" spans="1:23" ht="13" x14ac:dyDescent="0.3">
      <c r="A725" s="58"/>
      <c r="B725" s="58"/>
      <c r="C725" s="58"/>
      <c r="D725" s="58"/>
      <c r="E725" s="58"/>
      <c r="F725" s="58"/>
      <c r="G725" s="58"/>
      <c r="H725" s="59"/>
      <c r="I725" s="59"/>
      <c r="J725" s="59"/>
      <c r="K725" s="59"/>
      <c r="L725" s="59"/>
      <c r="M725" s="60"/>
      <c r="N725" s="60"/>
      <c r="O725" s="60"/>
      <c r="P725" s="59"/>
      <c r="Q725" s="59"/>
      <c r="R725" s="60"/>
      <c r="S725" s="60"/>
      <c r="T725" s="60"/>
      <c r="U725" s="60"/>
      <c r="V725" s="60"/>
      <c r="W725" s="60"/>
    </row>
    <row r="726" spans="1:23" ht="13" x14ac:dyDescent="0.3">
      <c r="A726" s="58"/>
      <c r="B726" s="58"/>
      <c r="C726" s="58"/>
      <c r="D726" s="58"/>
      <c r="E726" s="58"/>
      <c r="F726" s="58"/>
      <c r="G726" s="58"/>
      <c r="H726" s="59"/>
      <c r="I726" s="59"/>
      <c r="J726" s="59"/>
      <c r="K726" s="59"/>
      <c r="L726" s="59"/>
      <c r="M726" s="60"/>
      <c r="N726" s="60"/>
      <c r="O726" s="60"/>
      <c r="P726" s="59"/>
      <c r="Q726" s="59"/>
      <c r="R726" s="60"/>
      <c r="S726" s="60"/>
      <c r="T726" s="60"/>
      <c r="U726" s="60"/>
      <c r="V726" s="60"/>
      <c r="W726" s="60"/>
    </row>
    <row r="727" spans="1:23" ht="13" x14ac:dyDescent="0.3">
      <c r="A727" s="58"/>
      <c r="B727" s="58"/>
      <c r="C727" s="58"/>
      <c r="D727" s="58"/>
      <c r="E727" s="58"/>
      <c r="F727" s="58"/>
      <c r="G727" s="58"/>
      <c r="H727" s="59"/>
      <c r="I727" s="59"/>
      <c r="J727" s="59"/>
      <c r="K727" s="59"/>
      <c r="L727" s="59"/>
      <c r="M727" s="60"/>
      <c r="N727" s="60"/>
      <c r="O727" s="60"/>
      <c r="P727" s="59"/>
      <c r="Q727" s="59"/>
      <c r="R727" s="60"/>
      <c r="S727" s="60"/>
      <c r="T727" s="60"/>
      <c r="U727" s="60"/>
      <c r="V727" s="60"/>
      <c r="W727" s="60"/>
    </row>
    <row r="728" spans="1:23" ht="13" x14ac:dyDescent="0.3">
      <c r="A728" s="58"/>
      <c r="B728" s="58"/>
      <c r="C728" s="58"/>
      <c r="D728" s="58"/>
      <c r="E728" s="58"/>
      <c r="F728" s="58"/>
      <c r="G728" s="58"/>
      <c r="H728" s="59"/>
      <c r="I728" s="59"/>
      <c r="J728" s="59"/>
      <c r="K728" s="59"/>
      <c r="L728" s="59"/>
      <c r="M728" s="60"/>
      <c r="N728" s="60"/>
      <c r="O728" s="60"/>
      <c r="P728" s="59"/>
      <c r="Q728" s="59"/>
      <c r="R728" s="60"/>
      <c r="S728" s="60"/>
      <c r="T728" s="60"/>
      <c r="U728" s="60"/>
      <c r="V728" s="60"/>
      <c r="W728" s="60"/>
    </row>
    <row r="729" spans="1:23" ht="13" x14ac:dyDescent="0.3">
      <c r="A729" s="58"/>
      <c r="B729" s="58"/>
      <c r="C729" s="58"/>
      <c r="D729" s="58"/>
      <c r="E729" s="58"/>
      <c r="F729" s="58"/>
      <c r="G729" s="58"/>
      <c r="H729" s="59"/>
      <c r="I729" s="59"/>
      <c r="J729" s="59"/>
      <c r="K729" s="59"/>
      <c r="L729" s="59"/>
      <c r="M729" s="60"/>
      <c r="N729" s="60"/>
      <c r="O729" s="60"/>
      <c r="P729" s="59"/>
      <c r="Q729" s="59"/>
      <c r="R729" s="60"/>
      <c r="S729" s="60"/>
      <c r="T729" s="60"/>
      <c r="U729" s="60"/>
      <c r="V729" s="60"/>
      <c r="W729" s="60"/>
    </row>
    <row r="730" spans="1:23" ht="13" x14ac:dyDescent="0.3">
      <c r="A730" s="58"/>
      <c r="B730" s="58"/>
      <c r="C730" s="58"/>
      <c r="D730" s="58"/>
      <c r="E730" s="58"/>
      <c r="F730" s="58"/>
      <c r="G730" s="58"/>
      <c r="H730" s="59"/>
      <c r="I730" s="59"/>
      <c r="J730" s="59"/>
      <c r="K730" s="59"/>
      <c r="L730" s="59"/>
      <c r="M730" s="60"/>
      <c r="N730" s="60"/>
      <c r="O730" s="60"/>
      <c r="P730" s="59"/>
      <c r="Q730" s="59"/>
      <c r="R730" s="60"/>
      <c r="S730" s="60"/>
      <c r="T730" s="60"/>
      <c r="U730" s="60"/>
      <c r="V730" s="60"/>
      <c r="W730" s="60"/>
    </row>
    <row r="731" spans="1:23" ht="13" x14ac:dyDescent="0.3">
      <c r="A731" s="58"/>
      <c r="B731" s="58"/>
      <c r="C731" s="58"/>
      <c r="D731" s="58"/>
      <c r="E731" s="58"/>
      <c r="F731" s="58"/>
      <c r="G731" s="58"/>
      <c r="H731" s="59"/>
      <c r="I731" s="59"/>
      <c r="J731" s="59"/>
      <c r="K731" s="59"/>
      <c r="L731" s="59"/>
      <c r="M731" s="60"/>
      <c r="N731" s="60"/>
      <c r="O731" s="60"/>
      <c r="P731" s="59"/>
      <c r="Q731" s="59"/>
      <c r="R731" s="60"/>
      <c r="S731" s="60"/>
      <c r="T731" s="60"/>
      <c r="U731" s="60"/>
      <c r="V731" s="60"/>
      <c r="W731" s="60"/>
    </row>
    <row r="732" spans="1:23" ht="13" x14ac:dyDescent="0.3">
      <c r="A732" s="58"/>
      <c r="B732" s="58"/>
      <c r="C732" s="58"/>
      <c r="D732" s="58"/>
      <c r="E732" s="58"/>
      <c r="F732" s="58"/>
      <c r="G732" s="58"/>
      <c r="H732" s="59"/>
      <c r="I732" s="59"/>
      <c r="J732" s="59"/>
      <c r="K732" s="59"/>
      <c r="L732" s="59"/>
      <c r="M732" s="60"/>
      <c r="N732" s="60"/>
      <c r="O732" s="60"/>
      <c r="P732" s="59"/>
      <c r="Q732" s="59"/>
      <c r="R732" s="60"/>
      <c r="S732" s="60"/>
      <c r="T732" s="60"/>
      <c r="U732" s="60"/>
      <c r="V732" s="60"/>
      <c r="W732" s="60"/>
    </row>
    <row r="733" spans="1:23" ht="13" x14ac:dyDescent="0.3">
      <c r="A733" s="58"/>
      <c r="B733" s="58"/>
      <c r="C733" s="58"/>
      <c r="D733" s="58"/>
      <c r="E733" s="58"/>
      <c r="F733" s="58"/>
      <c r="G733" s="58"/>
      <c r="H733" s="59"/>
      <c r="I733" s="59"/>
      <c r="J733" s="59"/>
      <c r="K733" s="59"/>
      <c r="L733" s="59"/>
      <c r="M733" s="60"/>
      <c r="N733" s="60"/>
      <c r="O733" s="60"/>
      <c r="P733" s="59"/>
      <c r="Q733" s="59"/>
      <c r="R733" s="60"/>
      <c r="S733" s="60"/>
      <c r="T733" s="60"/>
      <c r="U733" s="60"/>
      <c r="V733" s="60"/>
      <c r="W733" s="60"/>
    </row>
    <row r="734" spans="1:23" ht="13" x14ac:dyDescent="0.3">
      <c r="A734" s="58"/>
      <c r="B734" s="58"/>
      <c r="C734" s="58"/>
      <c r="D734" s="58"/>
      <c r="E734" s="58"/>
      <c r="F734" s="58"/>
      <c r="G734" s="58"/>
      <c r="H734" s="59"/>
      <c r="I734" s="59"/>
      <c r="J734" s="59"/>
      <c r="K734" s="59"/>
      <c r="L734" s="59"/>
      <c r="M734" s="60"/>
      <c r="N734" s="60"/>
      <c r="O734" s="60"/>
      <c r="P734" s="59"/>
      <c r="Q734" s="59"/>
      <c r="R734" s="60"/>
      <c r="S734" s="60"/>
      <c r="T734" s="60"/>
      <c r="U734" s="60"/>
      <c r="V734" s="60"/>
      <c r="W734" s="60"/>
    </row>
    <row r="735" spans="1:23" ht="13" x14ac:dyDescent="0.3">
      <c r="A735" s="58"/>
      <c r="B735" s="58"/>
      <c r="C735" s="58"/>
      <c r="D735" s="58"/>
      <c r="E735" s="58"/>
      <c r="F735" s="58"/>
      <c r="G735" s="58"/>
      <c r="H735" s="59"/>
      <c r="I735" s="59"/>
      <c r="J735" s="59"/>
      <c r="K735" s="59"/>
      <c r="L735" s="59"/>
      <c r="M735" s="60"/>
      <c r="N735" s="60"/>
      <c r="O735" s="60"/>
      <c r="P735" s="59"/>
      <c r="Q735" s="59"/>
      <c r="R735" s="60"/>
      <c r="S735" s="60"/>
      <c r="T735" s="60"/>
      <c r="U735" s="60"/>
      <c r="V735" s="60"/>
      <c r="W735" s="60"/>
    </row>
    <row r="736" spans="1:23" ht="13" x14ac:dyDescent="0.3">
      <c r="A736" s="58"/>
      <c r="B736" s="58"/>
      <c r="C736" s="58"/>
      <c r="D736" s="58"/>
      <c r="E736" s="58"/>
      <c r="F736" s="58"/>
      <c r="G736" s="58"/>
      <c r="H736" s="59"/>
      <c r="I736" s="59"/>
      <c r="J736" s="59"/>
      <c r="K736" s="59"/>
      <c r="L736" s="59"/>
      <c r="M736" s="60"/>
      <c r="N736" s="60"/>
      <c r="O736" s="60"/>
      <c r="P736" s="59"/>
      <c r="Q736" s="59"/>
      <c r="R736" s="60"/>
      <c r="S736" s="60"/>
      <c r="T736" s="60"/>
      <c r="U736" s="60"/>
      <c r="V736" s="60"/>
      <c r="W736" s="60"/>
    </row>
    <row r="737" spans="1:23" ht="13" x14ac:dyDescent="0.3">
      <c r="A737" s="58"/>
      <c r="B737" s="58"/>
      <c r="C737" s="58"/>
      <c r="D737" s="58"/>
      <c r="E737" s="58"/>
      <c r="F737" s="58"/>
      <c r="G737" s="58"/>
      <c r="H737" s="59"/>
      <c r="I737" s="59"/>
      <c r="J737" s="59"/>
      <c r="K737" s="59"/>
      <c r="L737" s="59"/>
      <c r="M737" s="60"/>
      <c r="N737" s="60"/>
      <c r="O737" s="60"/>
      <c r="P737" s="59"/>
      <c r="Q737" s="59"/>
      <c r="R737" s="60"/>
      <c r="S737" s="60"/>
      <c r="T737" s="60"/>
      <c r="U737" s="60"/>
      <c r="V737" s="60"/>
      <c r="W737" s="60"/>
    </row>
    <row r="738" spans="1:23" ht="13" x14ac:dyDescent="0.3">
      <c r="A738" s="58"/>
      <c r="B738" s="58"/>
      <c r="C738" s="58"/>
      <c r="D738" s="58"/>
      <c r="E738" s="58"/>
      <c r="F738" s="58"/>
      <c r="G738" s="58"/>
      <c r="H738" s="59"/>
      <c r="I738" s="59"/>
      <c r="J738" s="59"/>
      <c r="K738" s="59"/>
      <c r="L738" s="59"/>
      <c r="M738" s="60"/>
      <c r="N738" s="60"/>
      <c r="O738" s="60"/>
      <c r="P738" s="59"/>
      <c r="Q738" s="59"/>
      <c r="R738" s="60"/>
      <c r="S738" s="60"/>
      <c r="T738" s="60"/>
      <c r="U738" s="60"/>
      <c r="V738" s="60"/>
      <c r="W738" s="60"/>
    </row>
    <row r="739" spans="1:23" ht="13" x14ac:dyDescent="0.3">
      <c r="A739" s="58"/>
      <c r="B739" s="58"/>
      <c r="C739" s="58"/>
      <c r="D739" s="58"/>
      <c r="E739" s="58"/>
      <c r="F739" s="58"/>
      <c r="G739" s="58"/>
      <c r="H739" s="59"/>
      <c r="I739" s="59"/>
      <c r="J739" s="59"/>
      <c r="K739" s="59"/>
      <c r="L739" s="59"/>
      <c r="M739" s="60"/>
      <c r="N739" s="60"/>
      <c r="O739" s="60"/>
      <c r="P739" s="59"/>
      <c r="Q739" s="59"/>
      <c r="R739" s="60"/>
      <c r="S739" s="60"/>
      <c r="T739" s="60"/>
      <c r="U739" s="60"/>
      <c r="V739" s="60"/>
      <c r="W739" s="60"/>
    </row>
    <row r="740" spans="1:23" ht="13" x14ac:dyDescent="0.3">
      <c r="A740" s="58"/>
      <c r="B740" s="58"/>
      <c r="C740" s="58"/>
      <c r="D740" s="58"/>
      <c r="E740" s="58"/>
      <c r="F740" s="58"/>
      <c r="G740" s="58"/>
      <c r="H740" s="59"/>
      <c r="I740" s="59"/>
      <c r="J740" s="59"/>
      <c r="K740" s="59"/>
      <c r="L740" s="59"/>
      <c r="M740" s="60"/>
      <c r="N740" s="60"/>
      <c r="O740" s="60"/>
      <c r="P740" s="59"/>
      <c r="Q740" s="59"/>
      <c r="R740" s="60"/>
      <c r="S740" s="60"/>
      <c r="T740" s="60"/>
      <c r="U740" s="60"/>
      <c r="V740" s="60"/>
      <c r="W740" s="60"/>
    </row>
    <row r="741" spans="1:23" ht="13" x14ac:dyDescent="0.3">
      <c r="A741" s="58"/>
      <c r="B741" s="58"/>
      <c r="C741" s="58"/>
      <c r="D741" s="58"/>
      <c r="E741" s="58"/>
      <c r="F741" s="58"/>
      <c r="G741" s="58"/>
      <c r="H741" s="59"/>
      <c r="I741" s="59"/>
      <c r="J741" s="59"/>
      <c r="K741" s="59"/>
      <c r="L741" s="59"/>
      <c r="M741" s="60"/>
      <c r="N741" s="60"/>
      <c r="O741" s="60"/>
      <c r="P741" s="59"/>
      <c r="Q741" s="59"/>
      <c r="R741" s="60"/>
      <c r="S741" s="60"/>
      <c r="T741" s="60"/>
      <c r="U741" s="60"/>
      <c r="V741" s="60"/>
      <c r="W741" s="60"/>
    </row>
    <row r="742" spans="1:23" ht="13" x14ac:dyDescent="0.3">
      <c r="A742" s="58"/>
      <c r="B742" s="58"/>
      <c r="C742" s="58"/>
      <c r="D742" s="58"/>
      <c r="E742" s="58"/>
      <c r="F742" s="58"/>
      <c r="G742" s="58"/>
      <c r="H742" s="59"/>
      <c r="I742" s="59"/>
      <c r="J742" s="59"/>
      <c r="K742" s="59"/>
      <c r="L742" s="59"/>
      <c r="M742" s="60"/>
      <c r="N742" s="60"/>
      <c r="O742" s="60"/>
      <c r="P742" s="59"/>
      <c r="Q742" s="59"/>
      <c r="R742" s="60"/>
      <c r="S742" s="60"/>
      <c r="T742" s="60"/>
      <c r="U742" s="60"/>
      <c r="V742" s="60"/>
      <c r="W742" s="60"/>
    </row>
    <row r="743" spans="1:23" ht="13" x14ac:dyDescent="0.3">
      <c r="A743" s="58"/>
      <c r="B743" s="58"/>
      <c r="C743" s="58"/>
      <c r="D743" s="58"/>
      <c r="E743" s="58"/>
      <c r="F743" s="58"/>
      <c r="G743" s="58"/>
      <c r="H743" s="59"/>
      <c r="I743" s="59"/>
      <c r="J743" s="59"/>
      <c r="K743" s="59"/>
      <c r="L743" s="59"/>
      <c r="M743" s="60"/>
      <c r="N743" s="60"/>
      <c r="O743" s="60"/>
      <c r="P743" s="59"/>
      <c r="Q743" s="59"/>
      <c r="R743" s="60"/>
      <c r="S743" s="60"/>
      <c r="T743" s="60"/>
      <c r="U743" s="60"/>
      <c r="V743" s="60"/>
      <c r="W743" s="60"/>
    </row>
    <row r="744" spans="1:23" ht="13" x14ac:dyDescent="0.3">
      <c r="A744" s="58"/>
      <c r="B744" s="58"/>
      <c r="C744" s="58"/>
      <c r="D744" s="58"/>
      <c r="E744" s="58"/>
      <c r="F744" s="58"/>
      <c r="G744" s="58"/>
      <c r="H744" s="59"/>
      <c r="I744" s="59"/>
      <c r="J744" s="59"/>
      <c r="K744" s="59"/>
      <c r="L744" s="59"/>
      <c r="M744" s="60"/>
      <c r="N744" s="60"/>
      <c r="O744" s="60"/>
      <c r="P744" s="59"/>
      <c r="Q744" s="59"/>
      <c r="R744" s="60"/>
      <c r="S744" s="60"/>
      <c r="T744" s="60"/>
      <c r="U744" s="60"/>
      <c r="V744" s="60"/>
      <c r="W744" s="60"/>
    </row>
    <row r="745" spans="1:23" ht="13" x14ac:dyDescent="0.3">
      <c r="A745" s="58"/>
      <c r="B745" s="58"/>
      <c r="C745" s="58"/>
      <c r="D745" s="58"/>
      <c r="E745" s="58"/>
      <c r="F745" s="58"/>
      <c r="G745" s="58"/>
      <c r="H745" s="59"/>
      <c r="I745" s="59"/>
      <c r="J745" s="59"/>
      <c r="K745" s="59"/>
      <c r="L745" s="59"/>
      <c r="M745" s="60"/>
      <c r="N745" s="60"/>
      <c r="O745" s="60"/>
      <c r="P745" s="59"/>
      <c r="Q745" s="59"/>
      <c r="R745" s="60"/>
      <c r="S745" s="60"/>
      <c r="T745" s="60"/>
      <c r="U745" s="60"/>
      <c r="V745" s="60"/>
      <c r="W745" s="60"/>
    </row>
    <row r="746" spans="1:23" ht="13" x14ac:dyDescent="0.3">
      <c r="A746" s="58"/>
      <c r="B746" s="58"/>
      <c r="C746" s="58"/>
      <c r="D746" s="58"/>
      <c r="E746" s="58"/>
      <c r="F746" s="58"/>
      <c r="G746" s="58"/>
      <c r="H746" s="59"/>
      <c r="I746" s="59"/>
      <c r="J746" s="59"/>
      <c r="K746" s="59"/>
      <c r="L746" s="59"/>
      <c r="M746" s="60"/>
      <c r="N746" s="60"/>
      <c r="O746" s="60"/>
      <c r="P746" s="59"/>
      <c r="Q746" s="59"/>
      <c r="R746" s="60"/>
      <c r="S746" s="60"/>
      <c r="T746" s="60"/>
      <c r="U746" s="60"/>
      <c r="V746" s="60"/>
      <c r="W746" s="60"/>
    </row>
    <row r="747" spans="1:23" ht="13" x14ac:dyDescent="0.3">
      <c r="A747" s="58"/>
      <c r="B747" s="58"/>
      <c r="C747" s="58"/>
      <c r="D747" s="58"/>
      <c r="E747" s="58"/>
      <c r="F747" s="58"/>
      <c r="G747" s="58"/>
      <c r="H747" s="59"/>
      <c r="I747" s="59"/>
      <c r="J747" s="59"/>
      <c r="K747" s="59"/>
      <c r="L747" s="59"/>
      <c r="M747" s="60"/>
      <c r="N747" s="60"/>
      <c r="O747" s="60"/>
      <c r="P747" s="59"/>
      <c r="Q747" s="59"/>
      <c r="R747" s="60"/>
      <c r="S747" s="60"/>
      <c r="T747" s="60"/>
      <c r="U747" s="60"/>
      <c r="V747" s="60"/>
      <c r="W747" s="60"/>
    </row>
    <row r="748" spans="1:23" ht="13" x14ac:dyDescent="0.3">
      <c r="A748" s="58"/>
      <c r="B748" s="58"/>
      <c r="C748" s="58"/>
      <c r="D748" s="58"/>
      <c r="E748" s="58"/>
      <c r="F748" s="58"/>
      <c r="G748" s="58"/>
      <c r="H748" s="59"/>
      <c r="I748" s="59"/>
      <c r="J748" s="59"/>
      <c r="K748" s="59"/>
      <c r="L748" s="59"/>
      <c r="M748" s="60"/>
      <c r="N748" s="60"/>
      <c r="O748" s="60"/>
      <c r="P748" s="59"/>
      <c r="Q748" s="59"/>
      <c r="R748" s="60"/>
      <c r="S748" s="60"/>
      <c r="T748" s="60"/>
      <c r="U748" s="60"/>
      <c r="V748" s="60"/>
      <c r="W748" s="60"/>
    </row>
    <row r="749" spans="1:23" ht="13" x14ac:dyDescent="0.3">
      <c r="A749" s="58"/>
      <c r="B749" s="58"/>
      <c r="C749" s="58"/>
      <c r="D749" s="58"/>
      <c r="E749" s="58"/>
      <c r="F749" s="58"/>
      <c r="G749" s="58"/>
      <c r="H749" s="59"/>
      <c r="I749" s="59"/>
      <c r="J749" s="59"/>
      <c r="K749" s="59"/>
      <c r="L749" s="59"/>
      <c r="M749" s="60"/>
      <c r="N749" s="60"/>
      <c r="O749" s="60"/>
      <c r="P749" s="59"/>
      <c r="Q749" s="59"/>
      <c r="R749" s="60"/>
      <c r="S749" s="60"/>
      <c r="T749" s="60"/>
      <c r="U749" s="60"/>
      <c r="V749" s="60"/>
      <c r="W749" s="60"/>
    </row>
    <row r="750" spans="1:23" ht="13" x14ac:dyDescent="0.3">
      <c r="A750" s="58"/>
      <c r="B750" s="58"/>
      <c r="C750" s="58"/>
      <c r="D750" s="58"/>
      <c r="E750" s="58"/>
      <c r="F750" s="58"/>
      <c r="G750" s="58"/>
      <c r="H750" s="59"/>
      <c r="I750" s="59"/>
      <c r="J750" s="59"/>
      <c r="K750" s="59"/>
      <c r="L750" s="59"/>
      <c r="M750" s="60"/>
      <c r="N750" s="60"/>
      <c r="O750" s="60"/>
      <c r="P750" s="59"/>
      <c r="Q750" s="59"/>
      <c r="R750" s="60"/>
      <c r="S750" s="60"/>
      <c r="T750" s="60"/>
      <c r="U750" s="60"/>
      <c r="V750" s="60"/>
      <c r="W750" s="60"/>
    </row>
    <row r="751" spans="1:23" ht="13" x14ac:dyDescent="0.3">
      <c r="A751" s="58"/>
      <c r="B751" s="58"/>
      <c r="C751" s="58"/>
      <c r="D751" s="58"/>
      <c r="E751" s="58"/>
      <c r="F751" s="58"/>
      <c r="G751" s="58"/>
      <c r="H751" s="59"/>
      <c r="I751" s="59"/>
      <c r="J751" s="59"/>
      <c r="K751" s="59"/>
      <c r="L751" s="59"/>
      <c r="M751" s="60"/>
      <c r="N751" s="60"/>
      <c r="O751" s="60"/>
      <c r="P751" s="59"/>
      <c r="Q751" s="59"/>
      <c r="R751" s="60"/>
      <c r="S751" s="60"/>
      <c r="T751" s="60"/>
      <c r="U751" s="60"/>
      <c r="V751" s="60"/>
      <c r="W751" s="60"/>
    </row>
    <row r="752" spans="1:23" ht="13" x14ac:dyDescent="0.3">
      <c r="A752" s="58"/>
      <c r="B752" s="58"/>
      <c r="C752" s="58"/>
      <c r="D752" s="58"/>
      <c r="E752" s="58"/>
      <c r="F752" s="58"/>
      <c r="G752" s="58"/>
      <c r="H752" s="59"/>
      <c r="I752" s="59"/>
      <c r="J752" s="59"/>
      <c r="K752" s="59"/>
      <c r="L752" s="59"/>
      <c r="M752" s="60"/>
      <c r="N752" s="60"/>
      <c r="O752" s="60"/>
      <c r="P752" s="59"/>
      <c r="Q752" s="59"/>
      <c r="R752" s="60"/>
      <c r="S752" s="60"/>
      <c r="T752" s="60"/>
      <c r="U752" s="60"/>
      <c r="V752" s="60"/>
      <c r="W752" s="60"/>
    </row>
    <row r="753" spans="1:23" ht="13" x14ac:dyDescent="0.3">
      <c r="A753" s="58"/>
      <c r="B753" s="58"/>
      <c r="C753" s="58"/>
      <c r="D753" s="58"/>
      <c r="E753" s="58"/>
      <c r="F753" s="58"/>
      <c r="G753" s="58"/>
      <c r="H753" s="59"/>
      <c r="I753" s="59"/>
      <c r="J753" s="59"/>
      <c r="K753" s="59"/>
      <c r="L753" s="59"/>
      <c r="M753" s="60"/>
      <c r="N753" s="60"/>
      <c r="O753" s="60"/>
      <c r="P753" s="59"/>
      <c r="Q753" s="59"/>
      <c r="R753" s="60"/>
      <c r="S753" s="60"/>
      <c r="T753" s="60"/>
      <c r="U753" s="60"/>
      <c r="V753" s="60"/>
      <c r="W753" s="60"/>
    </row>
    <row r="754" spans="1:23" ht="13" x14ac:dyDescent="0.3">
      <c r="A754" s="58"/>
      <c r="B754" s="58"/>
      <c r="C754" s="58"/>
      <c r="D754" s="58"/>
      <c r="E754" s="58"/>
      <c r="F754" s="58"/>
      <c r="G754" s="58"/>
      <c r="H754" s="59"/>
      <c r="I754" s="59"/>
      <c r="J754" s="59"/>
      <c r="K754" s="59"/>
      <c r="L754" s="59"/>
      <c r="M754" s="60"/>
      <c r="N754" s="60"/>
      <c r="O754" s="60"/>
      <c r="P754" s="59"/>
      <c r="Q754" s="59"/>
      <c r="R754" s="60"/>
      <c r="S754" s="60"/>
      <c r="T754" s="60"/>
      <c r="U754" s="60"/>
      <c r="V754" s="60"/>
      <c r="W754" s="60"/>
    </row>
    <row r="755" spans="1:23" ht="13" x14ac:dyDescent="0.3">
      <c r="A755" s="58"/>
      <c r="B755" s="58"/>
      <c r="C755" s="58"/>
      <c r="D755" s="58"/>
      <c r="E755" s="58"/>
      <c r="F755" s="58"/>
      <c r="G755" s="58"/>
      <c r="H755" s="59"/>
      <c r="I755" s="59"/>
      <c r="J755" s="59"/>
      <c r="K755" s="59"/>
      <c r="L755" s="59"/>
      <c r="M755" s="60"/>
      <c r="N755" s="60"/>
      <c r="O755" s="60"/>
      <c r="P755" s="59"/>
      <c r="Q755" s="59"/>
      <c r="R755" s="60"/>
      <c r="S755" s="60"/>
      <c r="T755" s="60"/>
      <c r="U755" s="60"/>
      <c r="V755" s="60"/>
      <c r="W755" s="60"/>
    </row>
    <row r="756" spans="1:23" ht="13" x14ac:dyDescent="0.3">
      <c r="A756" s="58"/>
      <c r="B756" s="58"/>
      <c r="C756" s="58"/>
      <c r="D756" s="58"/>
      <c r="E756" s="58"/>
      <c r="F756" s="58"/>
      <c r="G756" s="58"/>
      <c r="H756" s="59"/>
      <c r="I756" s="59"/>
      <c r="J756" s="59"/>
      <c r="K756" s="59"/>
      <c r="L756" s="59"/>
      <c r="M756" s="60"/>
      <c r="N756" s="60"/>
      <c r="O756" s="60"/>
      <c r="P756" s="59"/>
      <c r="Q756" s="59"/>
      <c r="R756" s="60"/>
      <c r="S756" s="60"/>
      <c r="T756" s="60"/>
      <c r="U756" s="60"/>
      <c r="V756" s="60"/>
      <c r="W756" s="60"/>
    </row>
    <row r="757" spans="1:23" ht="13" x14ac:dyDescent="0.3">
      <c r="A757" s="58"/>
      <c r="B757" s="58"/>
      <c r="C757" s="58"/>
      <c r="D757" s="58"/>
      <c r="E757" s="58"/>
      <c r="F757" s="58"/>
      <c r="G757" s="58"/>
      <c r="H757" s="59"/>
      <c r="I757" s="59"/>
      <c r="J757" s="59"/>
      <c r="K757" s="59"/>
      <c r="L757" s="59"/>
      <c r="M757" s="60"/>
      <c r="N757" s="60"/>
      <c r="O757" s="60"/>
      <c r="P757" s="59"/>
      <c r="Q757" s="59"/>
      <c r="R757" s="60"/>
      <c r="S757" s="60"/>
      <c r="T757" s="60"/>
      <c r="U757" s="60"/>
      <c r="V757" s="60"/>
      <c r="W757" s="60"/>
    </row>
    <row r="758" spans="1:23" ht="13" x14ac:dyDescent="0.3">
      <c r="A758" s="58"/>
      <c r="B758" s="58"/>
      <c r="C758" s="58"/>
      <c r="D758" s="58"/>
      <c r="E758" s="58"/>
      <c r="F758" s="58"/>
      <c r="G758" s="58"/>
      <c r="H758" s="59"/>
      <c r="I758" s="59"/>
      <c r="J758" s="59"/>
      <c r="K758" s="59"/>
      <c r="L758" s="59"/>
      <c r="M758" s="60"/>
      <c r="N758" s="60"/>
      <c r="O758" s="60"/>
      <c r="P758" s="59"/>
      <c r="Q758" s="59"/>
      <c r="R758" s="60"/>
      <c r="S758" s="60"/>
      <c r="T758" s="60"/>
      <c r="U758" s="60"/>
      <c r="V758" s="60"/>
      <c r="W758" s="60"/>
    </row>
    <row r="759" spans="1:23" ht="13" x14ac:dyDescent="0.3">
      <c r="A759" s="58"/>
      <c r="B759" s="58"/>
      <c r="C759" s="58"/>
      <c r="D759" s="58"/>
      <c r="E759" s="58"/>
      <c r="F759" s="58"/>
      <c r="G759" s="58"/>
      <c r="H759" s="59"/>
      <c r="I759" s="59"/>
      <c r="J759" s="59"/>
      <c r="K759" s="59"/>
      <c r="L759" s="59"/>
      <c r="M759" s="60"/>
      <c r="N759" s="60"/>
      <c r="O759" s="60"/>
      <c r="P759" s="59"/>
      <c r="Q759" s="59"/>
      <c r="R759" s="60"/>
      <c r="S759" s="60"/>
      <c r="T759" s="60"/>
      <c r="U759" s="60"/>
      <c r="V759" s="60"/>
      <c r="W759" s="60"/>
    </row>
    <row r="760" spans="1:23" ht="13" x14ac:dyDescent="0.3">
      <c r="A760" s="58"/>
      <c r="B760" s="58"/>
      <c r="C760" s="58"/>
      <c r="D760" s="58"/>
      <c r="E760" s="58"/>
      <c r="F760" s="58"/>
      <c r="G760" s="58"/>
      <c r="H760" s="59"/>
      <c r="I760" s="59"/>
      <c r="J760" s="59"/>
      <c r="K760" s="59"/>
      <c r="L760" s="59"/>
      <c r="M760" s="60"/>
      <c r="N760" s="60"/>
      <c r="O760" s="60"/>
      <c r="P760" s="59"/>
      <c r="Q760" s="59"/>
      <c r="R760" s="60"/>
      <c r="S760" s="60"/>
      <c r="T760" s="60"/>
      <c r="U760" s="60"/>
      <c r="V760" s="60"/>
      <c r="W760" s="60"/>
    </row>
    <row r="761" spans="1:23" ht="13" x14ac:dyDescent="0.3">
      <c r="A761" s="58"/>
      <c r="B761" s="58"/>
      <c r="C761" s="58"/>
      <c r="D761" s="58"/>
      <c r="E761" s="58"/>
      <c r="F761" s="58"/>
      <c r="G761" s="58"/>
      <c r="H761" s="59"/>
      <c r="I761" s="59"/>
      <c r="J761" s="59"/>
      <c r="K761" s="59"/>
      <c r="L761" s="59"/>
      <c r="M761" s="60"/>
      <c r="N761" s="60"/>
      <c r="O761" s="60"/>
      <c r="P761" s="59"/>
      <c r="Q761" s="59"/>
      <c r="R761" s="60"/>
      <c r="S761" s="60"/>
      <c r="T761" s="60"/>
      <c r="U761" s="60"/>
      <c r="V761" s="60"/>
      <c r="W761" s="60"/>
    </row>
    <row r="762" spans="1:23" ht="13" x14ac:dyDescent="0.3">
      <c r="A762" s="58"/>
      <c r="B762" s="58"/>
      <c r="C762" s="58"/>
      <c r="D762" s="58"/>
      <c r="E762" s="58"/>
      <c r="F762" s="58"/>
      <c r="G762" s="58"/>
      <c r="H762" s="59"/>
      <c r="I762" s="59"/>
      <c r="J762" s="59"/>
      <c r="K762" s="59"/>
      <c r="L762" s="59"/>
      <c r="M762" s="60"/>
      <c r="N762" s="60"/>
      <c r="O762" s="60"/>
      <c r="P762" s="59"/>
      <c r="Q762" s="59"/>
      <c r="R762" s="60"/>
      <c r="S762" s="60"/>
      <c r="T762" s="60"/>
      <c r="U762" s="60"/>
      <c r="V762" s="60"/>
      <c r="W762" s="60"/>
    </row>
    <row r="763" spans="1:23" ht="13" x14ac:dyDescent="0.3">
      <c r="A763" s="58"/>
      <c r="B763" s="58"/>
      <c r="C763" s="58"/>
      <c r="D763" s="58"/>
      <c r="E763" s="58"/>
      <c r="F763" s="58"/>
      <c r="G763" s="58"/>
      <c r="H763" s="59"/>
      <c r="I763" s="59"/>
      <c r="J763" s="59"/>
      <c r="K763" s="59"/>
      <c r="L763" s="59"/>
      <c r="M763" s="60"/>
      <c r="N763" s="60"/>
      <c r="O763" s="60"/>
      <c r="P763" s="59"/>
      <c r="Q763" s="59"/>
      <c r="R763" s="60"/>
      <c r="S763" s="60"/>
      <c r="T763" s="60"/>
      <c r="U763" s="60"/>
      <c r="V763" s="60"/>
      <c r="W763" s="60"/>
    </row>
    <row r="764" spans="1:23" ht="13" x14ac:dyDescent="0.3">
      <c r="A764" s="58"/>
      <c r="B764" s="58"/>
      <c r="C764" s="58"/>
      <c r="D764" s="58"/>
      <c r="E764" s="58"/>
      <c r="F764" s="58"/>
      <c r="G764" s="58"/>
      <c r="H764" s="59"/>
      <c r="I764" s="59"/>
      <c r="J764" s="59"/>
      <c r="K764" s="59"/>
      <c r="L764" s="59"/>
      <c r="M764" s="60"/>
      <c r="N764" s="60"/>
      <c r="O764" s="60"/>
      <c r="P764" s="59"/>
      <c r="Q764" s="59"/>
      <c r="R764" s="60"/>
      <c r="S764" s="60"/>
      <c r="T764" s="60"/>
      <c r="U764" s="60"/>
      <c r="V764" s="60"/>
      <c r="W764" s="60"/>
    </row>
    <row r="765" spans="1:23" ht="13" x14ac:dyDescent="0.3">
      <c r="A765" s="58"/>
      <c r="B765" s="58"/>
      <c r="C765" s="58"/>
      <c r="D765" s="58"/>
      <c r="E765" s="58"/>
      <c r="F765" s="58"/>
      <c r="G765" s="58"/>
      <c r="H765" s="59"/>
      <c r="I765" s="59"/>
      <c r="J765" s="59"/>
      <c r="K765" s="59"/>
      <c r="L765" s="59"/>
      <c r="M765" s="60"/>
      <c r="N765" s="60"/>
      <c r="O765" s="60"/>
      <c r="P765" s="59"/>
      <c r="Q765" s="59"/>
      <c r="R765" s="60"/>
      <c r="S765" s="60"/>
      <c r="T765" s="60"/>
      <c r="U765" s="60"/>
      <c r="V765" s="60"/>
      <c r="W765" s="60"/>
    </row>
    <row r="766" spans="1:23" ht="13" x14ac:dyDescent="0.3">
      <c r="A766" s="58"/>
      <c r="B766" s="58"/>
      <c r="C766" s="58"/>
      <c r="D766" s="58"/>
      <c r="E766" s="58"/>
      <c r="F766" s="58"/>
      <c r="G766" s="58"/>
      <c r="H766" s="59"/>
      <c r="I766" s="59"/>
      <c r="J766" s="59"/>
      <c r="K766" s="59"/>
      <c r="L766" s="59"/>
      <c r="M766" s="60"/>
      <c r="N766" s="60"/>
      <c r="O766" s="60"/>
      <c r="P766" s="59"/>
      <c r="Q766" s="59"/>
      <c r="R766" s="60"/>
      <c r="S766" s="60"/>
      <c r="T766" s="60"/>
      <c r="U766" s="60"/>
      <c r="V766" s="60"/>
      <c r="W766" s="60"/>
    </row>
    <row r="767" spans="1:23" ht="13" x14ac:dyDescent="0.3">
      <c r="A767" s="58"/>
      <c r="B767" s="58"/>
      <c r="C767" s="58"/>
      <c r="D767" s="58"/>
      <c r="E767" s="58"/>
      <c r="F767" s="58"/>
      <c r="G767" s="58"/>
      <c r="H767" s="59"/>
      <c r="I767" s="59"/>
      <c r="J767" s="59"/>
      <c r="K767" s="59"/>
      <c r="L767" s="59"/>
      <c r="M767" s="60"/>
      <c r="N767" s="60"/>
      <c r="O767" s="60"/>
      <c r="P767" s="59"/>
      <c r="Q767" s="59"/>
      <c r="R767" s="60"/>
      <c r="S767" s="60"/>
      <c r="T767" s="60"/>
      <c r="U767" s="60"/>
      <c r="V767" s="60"/>
      <c r="W767" s="60"/>
    </row>
    <row r="768" spans="1:23" ht="13" x14ac:dyDescent="0.3">
      <c r="A768" s="58"/>
      <c r="B768" s="58"/>
      <c r="C768" s="58"/>
      <c r="D768" s="58"/>
      <c r="E768" s="58"/>
      <c r="F768" s="58"/>
      <c r="G768" s="58"/>
      <c r="H768" s="59"/>
      <c r="I768" s="59"/>
      <c r="J768" s="59"/>
      <c r="K768" s="59"/>
      <c r="L768" s="59"/>
      <c r="M768" s="60"/>
      <c r="N768" s="60"/>
      <c r="O768" s="60"/>
      <c r="P768" s="59"/>
      <c r="Q768" s="59"/>
      <c r="R768" s="60"/>
      <c r="S768" s="60"/>
      <c r="T768" s="60"/>
      <c r="U768" s="60"/>
      <c r="V768" s="60"/>
      <c r="W768" s="60"/>
    </row>
    <row r="769" spans="1:23" ht="13" x14ac:dyDescent="0.3">
      <c r="A769" s="58"/>
      <c r="B769" s="58"/>
      <c r="C769" s="58"/>
      <c r="D769" s="58"/>
      <c r="E769" s="58"/>
      <c r="F769" s="58"/>
      <c r="G769" s="58"/>
      <c r="H769" s="59"/>
      <c r="I769" s="59"/>
      <c r="J769" s="59"/>
      <c r="K769" s="59"/>
      <c r="L769" s="59"/>
      <c r="M769" s="60"/>
      <c r="N769" s="60"/>
      <c r="O769" s="60"/>
      <c r="P769" s="59"/>
      <c r="Q769" s="59"/>
      <c r="R769" s="60"/>
      <c r="S769" s="60"/>
      <c r="T769" s="60"/>
      <c r="U769" s="60"/>
      <c r="V769" s="60"/>
      <c r="W769" s="60"/>
    </row>
    <row r="770" spans="1:23" ht="13" x14ac:dyDescent="0.3">
      <c r="A770" s="58"/>
      <c r="B770" s="58"/>
      <c r="C770" s="58"/>
      <c r="D770" s="58"/>
      <c r="E770" s="58"/>
      <c r="F770" s="58"/>
      <c r="G770" s="58"/>
      <c r="H770" s="59"/>
      <c r="I770" s="59"/>
      <c r="J770" s="59"/>
      <c r="K770" s="59"/>
      <c r="L770" s="59"/>
      <c r="M770" s="60"/>
      <c r="N770" s="60"/>
      <c r="O770" s="60"/>
      <c r="P770" s="59"/>
      <c r="Q770" s="59"/>
      <c r="R770" s="60"/>
      <c r="S770" s="60"/>
      <c r="T770" s="60"/>
      <c r="U770" s="60"/>
      <c r="V770" s="60"/>
      <c r="W770" s="60"/>
    </row>
    <row r="771" spans="1:23" ht="13" x14ac:dyDescent="0.3">
      <c r="A771" s="58"/>
      <c r="B771" s="58"/>
      <c r="C771" s="58"/>
      <c r="D771" s="58"/>
      <c r="E771" s="58"/>
      <c r="F771" s="58"/>
      <c r="G771" s="58"/>
      <c r="H771" s="59"/>
      <c r="I771" s="59"/>
      <c r="J771" s="59"/>
      <c r="K771" s="59"/>
      <c r="L771" s="59"/>
      <c r="M771" s="60"/>
      <c r="N771" s="60"/>
      <c r="O771" s="60"/>
      <c r="P771" s="59"/>
      <c r="Q771" s="59"/>
      <c r="R771" s="60"/>
      <c r="S771" s="60"/>
      <c r="T771" s="60"/>
      <c r="U771" s="60"/>
      <c r="V771" s="60"/>
      <c r="W771" s="60"/>
    </row>
    <row r="772" spans="1:23" ht="13" x14ac:dyDescent="0.3">
      <c r="A772" s="58"/>
      <c r="B772" s="58"/>
      <c r="C772" s="58"/>
      <c r="D772" s="58"/>
      <c r="E772" s="58"/>
      <c r="F772" s="58"/>
      <c r="G772" s="58"/>
      <c r="H772" s="59"/>
      <c r="I772" s="59"/>
      <c r="J772" s="59"/>
      <c r="K772" s="59"/>
      <c r="L772" s="59"/>
      <c r="M772" s="60"/>
      <c r="N772" s="60"/>
      <c r="O772" s="60"/>
      <c r="P772" s="59"/>
      <c r="Q772" s="59"/>
      <c r="R772" s="60"/>
      <c r="S772" s="60"/>
      <c r="T772" s="60"/>
      <c r="U772" s="60"/>
      <c r="V772" s="60"/>
      <c r="W772" s="60"/>
    </row>
    <row r="773" spans="1:23" ht="13" x14ac:dyDescent="0.3">
      <c r="A773" s="58"/>
      <c r="B773" s="58"/>
      <c r="C773" s="58"/>
      <c r="D773" s="58"/>
      <c r="E773" s="58"/>
      <c r="F773" s="58"/>
      <c r="G773" s="58"/>
      <c r="H773" s="59"/>
      <c r="I773" s="59"/>
      <c r="J773" s="59"/>
      <c r="K773" s="59"/>
      <c r="L773" s="59"/>
      <c r="M773" s="60"/>
      <c r="N773" s="60"/>
      <c r="O773" s="60"/>
      <c r="P773" s="59"/>
      <c r="Q773" s="59"/>
      <c r="R773" s="60"/>
      <c r="S773" s="60"/>
      <c r="T773" s="60"/>
      <c r="U773" s="60"/>
      <c r="V773" s="60"/>
      <c r="W773" s="60"/>
    </row>
    <row r="774" spans="1:23" ht="13" x14ac:dyDescent="0.3">
      <c r="A774" s="58"/>
      <c r="B774" s="58"/>
      <c r="C774" s="58"/>
      <c r="D774" s="58"/>
      <c r="E774" s="58"/>
      <c r="F774" s="58"/>
      <c r="G774" s="58"/>
      <c r="H774" s="59"/>
      <c r="I774" s="59"/>
      <c r="J774" s="59"/>
      <c r="K774" s="59"/>
      <c r="L774" s="59"/>
      <c r="M774" s="60"/>
      <c r="N774" s="60"/>
      <c r="O774" s="60"/>
      <c r="P774" s="59"/>
      <c r="Q774" s="59"/>
      <c r="R774" s="60"/>
      <c r="S774" s="60"/>
      <c r="T774" s="60"/>
      <c r="U774" s="60"/>
      <c r="V774" s="60"/>
      <c r="W774" s="60"/>
    </row>
    <row r="775" spans="1:23" ht="13" x14ac:dyDescent="0.3">
      <c r="A775" s="58"/>
      <c r="B775" s="58"/>
      <c r="C775" s="58"/>
      <c r="D775" s="58"/>
      <c r="E775" s="58"/>
      <c r="F775" s="58"/>
      <c r="G775" s="58"/>
      <c r="H775" s="59"/>
      <c r="I775" s="59"/>
      <c r="J775" s="59"/>
      <c r="K775" s="59"/>
      <c r="L775" s="59"/>
      <c r="M775" s="60"/>
      <c r="N775" s="60"/>
      <c r="O775" s="60"/>
      <c r="P775" s="59"/>
      <c r="Q775" s="59"/>
      <c r="R775" s="60"/>
      <c r="S775" s="60"/>
      <c r="T775" s="60"/>
      <c r="U775" s="60"/>
      <c r="V775" s="60"/>
      <c r="W775" s="60"/>
    </row>
    <row r="776" spans="1:23" ht="13" x14ac:dyDescent="0.3">
      <c r="A776" s="58"/>
      <c r="B776" s="58"/>
      <c r="C776" s="58"/>
      <c r="D776" s="58"/>
      <c r="E776" s="58"/>
      <c r="F776" s="58"/>
      <c r="G776" s="58"/>
      <c r="H776" s="59"/>
      <c r="I776" s="59"/>
      <c r="J776" s="59"/>
      <c r="K776" s="59"/>
      <c r="L776" s="59"/>
      <c r="M776" s="60"/>
      <c r="N776" s="60"/>
      <c r="O776" s="60"/>
      <c r="P776" s="59"/>
      <c r="Q776" s="59"/>
      <c r="R776" s="60"/>
      <c r="S776" s="60"/>
      <c r="T776" s="60"/>
      <c r="U776" s="60"/>
      <c r="V776" s="60"/>
      <c r="W776" s="60"/>
    </row>
    <row r="777" spans="1:23" ht="13" x14ac:dyDescent="0.3">
      <c r="A777" s="58"/>
      <c r="B777" s="58"/>
      <c r="C777" s="58"/>
      <c r="D777" s="58"/>
      <c r="E777" s="58"/>
      <c r="F777" s="58"/>
      <c r="G777" s="58"/>
      <c r="H777" s="59"/>
      <c r="I777" s="59"/>
      <c r="J777" s="59"/>
      <c r="K777" s="59"/>
      <c r="L777" s="59"/>
      <c r="M777" s="60"/>
      <c r="N777" s="60"/>
      <c r="O777" s="60"/>
      <c r="P777" s="59"/>
      <c r="Q777" s="59"/>
      <c r="R777" s="60"/>
      <c r="S777" s="60"/>
      <c r="T777" s="60"/>
      <c r="U777" s="60"/>
      <c r="V777" s="60"/>
      <c r="W777" s="60"/>
    </row>
    <row r="778" spans="1:23" ht="13" x14ac:dyDescent="0.3">
      <c r="A778" s="58"/>
      <c r="B778" s="58"/>
      <c r="C778" s="58"/>
      <c r="D778" s="58"/>
      <c r="E778" s="58"/>
      <c r="F778" s="58"/>
      <c r="G778" s="58"/>
      <c r="H778" s="59"/>
      <c r="I778" s="59"/>
      <c r="J778" s="59"/>
      <c r="K778" s="59"/>
      <c r="L778" s="59"/>
      <c r="M778" s="60"/>
      <c r="N778" s="60"/>
      <c r="O778" s="60"/>
      <c r="P778" s="59"/>
      <c r="Q778" s="59"/>
      <c r="R778" s="60"/>
      <c r="S778" s="60"/>
      <c r="T778" s="60"/>
      <c r="U778" s="60"/>
      <c r="V778" s="60"/>
      <c r="W778" s="60"/>
    </row>
    <row r="779" spans="1:23" ht="13" x14ac:dyDescent="0.3">
      <c r="A779" s="58"/>
      <c r="B779" s="58"/>
      <c r="C779" s="58"/>
      <c r="D779" s="58"/>
      <c r="E779" s="58"/>
      <c r="F779" s="58"/>
      <c r="G779" s="58"/>
      <c r="H779" s="59"/>
      <c r="I779" s="59"/>
      <c r="J779" s="59"/>
      <c r="K779" s="59"/>
      <c r="L779" s="59"/>
      <c r="M779" s="60"/>
      <c r="N779" s="60"/>
      <c r="O779" s="60"/>
      <c r="P779" s="59"/>
      <c r="Q779" s="59"/>
      <c r="R779" s="60"/>
      <c r="S779" s="60"/>
      <c r="T779" s="60"/>
      <c r="U779" s="60"/>
      <c r="V779" s="60"/>
      <c r="W779" s="60"/>
    </row>
    <row r="780" spans="1:23" ht="13" x14ac:dyDescent="0.3">
      <c r="A780" s="58"/>
      <c r="B780" s="58"/>
      <c r="C780" s="58"/>
      <c r="D780" s="58"/>
      <c r="E780" s="58"/>
      <c r="F780" s="58"/>
      <c r="G780" s="58"/>
      <c r="H780" s="59"/>
      <c r="I780" s="59"/>
      <c r="J780" s="59"/>
      <c r="K780" s="59"/>
      <c r="L780" s="59"/>
      <c r="M780" s="60"/>
      <c r="N780" s="60"/>
      <c r="O780" s="60"/>
      <c r="P780" s="59"/>
      <c r="Q780" s="59"/>
      <c r="R780" s="60"/>
      <c r="S780" s="60"/>
      <c r="T780" s="60"/>
      <c r="U780" s="60"/>
      <c r="V780" s="60"/>
      <c r="W780" s="60"/>
    </row>
    <row r="781" spans="1:23" ht="13" x14ac:dyDescent="0.3">
      <c r="A781" s="58"/>
      <c r="B781" s="58"/>
      <c r="C781" s="58"/>
      <c r="D781" s="58"/>
      <c r="E781" s="58"/>
      <c r="F781" s="58"/>
      <c r="G781" s="58"/>
      <c r="H781" s="59"/>
      <c r="I781" s="59"/>
      <c r="J781" s="59"/>
      <c r="K781" s="59"/>
      <c r="L781" s="59"/>
      <c r="M781" s="60"/>
      <c r="N781" s="60"/>
      <c r="O781" s="60"/>
      <c r="P781" s="59"/>
      <c r="Q781" s="59"/>
      <c r="R781" s="60"/>
      <c r="S781" s="60"/>
      <c r="T781" s="60"/>
      <c r="U781" s="60"/>
      <c r="V781" s="60"/>
      <c r="W781" s="60"/>
    </row>
    <row r="782" spans="1:23" ht="13" x14ac:dyDescent="0.3">
      <c r="A782" s="58"/>
      <c r="B782" s="58"/>
      <c r="C782" s="58"/>
      <c r="D782" s="58"/>
      <c r="E782" s="58"/>
      <c r="F782" s="58"/>
      <c r="G782" s="58"/>
      <c r="H782" s="59"/>
      <c r="I782" s="59"/>
      <c r="J782" s="59"/>
      <c r="K782" s="59"/>
      <c r="L782" s="59"/>
      <c r="M782" s="60"/>
      <c r="N782" s="60"/>
      <c r="O782" s="60"/>
      <c r="P782" s="59"/>
      <c r="Q782" s="59"/>
      <c r="R782" s="60"/>
      <c r="S782" s="60"/>
      <c r="T782" s="60"/>
      <c r="U782" s="60"/>
      <c r="V782" s="60"/>
      <c r="W782" s="60"/>
    </row>
    <row r="783" spans="1:23" ht="13" x14ac:dyDescent="0.3">
      <c r="A783" s="58"/>
      <c r="B783" s="58"/>
      <c r="C783" s="58"/>
      <c r="D783" s="58"/>
      <c r="E783" s="58"/>
      <c r="F783" s="58"/>
      <c r="G783" s="58"/>
      <c r="H783" s="59"/>
      <c r="I783" s="59"/>
      <c r="J783" s="59"/>
      <c r="K783" s="59"/>
      <c r="L783" s="59"/>
      <c r="M783" s="60"/>
      <c r="N783" s="60"/>
      <c r="O783" s="60"/>
      <c r="P783" s="59"/>
      <c r="Q783" s="59"/>
      <c r="R783" s="60"/>
      <c r="S783" s="60"/>
      <c r="T783" s="60"/>
      <c r="U783" s="60"/>
      <c r="V783" s="60"/>
      <c r="W783" s="60"/>
    </row>
    <row r="784" spans="1:23" ht="13" x14ac:dyDescent="0.3">
      <c r="A784" s="58"/>
      <c r="B784" s="58"/>
      <c r="C784" s="58"/>
      <c r="D784" s="58"/>
      <c r="E784" s="58"/>
      <c r="F784" s="58"/>
      <c r="G784" s="58"/>
      <c r="H784" s="59"/>
      <c r="I784" s="59"/>
      <c r="J784" s="59"/>
      <c r="K784" s="59"/>
      <c r="L784" s="59"/>
      <c r="M784" s="60"/>
      <c r="N784" s="60"/>
      <c r="O784" s="60"/>
      <c r="P784" s="59"/>
      <c r="Q784" s="59"/>
      <c r="R784" s="60"/>
      <c r="S784" s="60"/>
      <c r="T784" s="60"/>
      <c r="U784" s="60"/>
      <c r="V784" s="60"/>
      <c r="W784" s="60"/>
    </row>
    <row r="785" spans="1:23" ht="13" x14ac:dyDescent="0.3">
      <c r="A785" s="58"/>
      <c r="B785" s="58"/>
      <c r="C785" s="58"/>
      <c r="D785" s="58"/>
      <c r="E785" s="58"/>
      <c r="F785" s="58"/>
      <c r="G785" s="58"/>
      <c r="H785" s="59"/>
      <c r="I785" s="59"/>
      <c r="J785" s="59"/>
      <c r="K785" s="59"/>
      <c r="L785" s="59"/>
      <c r="M785" s="60"/>
      <c r="N785" s="60"/>
      <c r="O785" s="60"/>
      <c r="P785" s="59"/>
      <c r="Q785" s="59"/>
      <c r="R785" s="60"/>
      <c r="S785" s="60"/>
      <c r="T785" s="60"/>
      <c r="U785" s="60"/>
      <c r="V785" s="60"/>
      <c r="W785" s="60"/>
    </row>
    <row r="786" spans="1:23" ht="13" x14ac:dyDescent="0.3">
      <c r="A786" s="58"/>
      <c r="B786" s="58"/>
      <c r="C786" s="58"/>
      <c r="D786" s="58"/>
      <c r="E786" s="58"/>
      <c r="F786" s="58"/>
      <c r="G786" s="58"/>
      <c r="H786" s="59"/>
      <c r="I786" s="59"/>
      <c r="J786" s="59"/>
      <c r="K786" s="59"/>
      <c r="L786" s="59"/>
      <c r="M786" s="60"/>
      <c r="N786" s="60"/>
      <c r="O786" s="60"/>
      <c r="P786" s="59"/>
      <c r="Q786" s="59"/>
      <c r="R786" s="60"/>
      <c r="S786" s="60"/>
      <c r="T786" s="60"/>
      <c r="U786" s="60"/>
      <c r="V786" s="60"/>
      <c r="W786" s="60"/>
    </row>
    <row r="787" spans="1:23" ht="13" x14ac:dyDescent="0.3">
      <c r="A787" s="58"/>
      <c r="B787" s="58"/>
      <c r="C787" s="58"/>
      <c r="D787" s="58"/>
      <c r="E787" s="58"/>
      <c r="F787" s="58"/>
      <c r="G787" s="58"/>
      <c r="H787" s="59"/>
      <c r="I787" s="59"/>
      <c r="J787" s="59"/>
      <c r="K787" s="59"/>
      <c r="L787" s="59"/>
      <c r="M787" s="60"/>
      <c r="N787" s="60"/>
      <c r="O787" s="60"/>
      <c r="P787" s="59"/>
      <c r="Q787" s="59"/>
      <c r="R787" s="60"/>
      <c r="S787" s="60"/>
      <c r="T787" s="60"/>
      <c r="U787" s="60"/>
      <c r="V787" s="60"/>
      <c r="W787" s="60"/>
    </row>
    <row r="788" spans="1:23" ht="13" x14ac:dyDescent="0.3">
      <c r="A788" s="58"/>
      <c r="B788" s="58"/>
      <c r="C788" s="58"/>
      <c r="D788" s="58"/>
      <c r="E788" s="58"/>
      <c r="F788" s="58"/>
      <c r="G788" s="58"/>
      <c r="H788" s="59"/>
      <c r="I788" s="59"/>
      <c r="J788" s="59"/>
      <c r="K788" s="59"/>
      <c r="L788" s="59"/>
      <c r="M788" s="60"/>
      <c r="N788" s="60"/>
      <c r="O788" s="60"/>
      <c r="P788" s="59"/>
      <c r="Q788" s="59"/>
      <c r="R788" s="60"/>
      <c r="S788" s="60"/>
      <c r="T788" s="60"/>
      <c r="U788" s="60"/>
      <c r="V788" s="60"/>
      <c r="W788" s="60"/>
    </row>
    <row r="789" spans="1:23" ht="13" x14ac:dyDescent="0.3">
      <c r="A789" s="58"/>
      <c r="B789" s="58"/>
      <c r="C789" s="58"/>
      <c r="D789" s="58"/>
      <c r="E789" s="58"/>
      <c r="F789" s="58"/>
      <c r="G789" s="58"/>
      <c r="H789" s="59"/>
      <c r="I789" s="59"/>
      <c r="J789" s="59"/>
      <c r="K789" s="59"/>
      <c r="L789" s="59"/>
      <c r="M789" s="60"/>
      <c r="N789" s="60"/>
      <c r="O789" s="60"/>
      <c r="P789" s="59"/>
      <c r="Q789" s="59"/>
      <c r="R789" s="60"/>
      <c r="S789" s="60"/>
      <c r="T789" s="60"/>
      <c r="U789" s="60"/>
      <c r="V789" s="60"/>
      <c r="W789" s="60"/>
    </row>
    <row r="790" spans="1:23" ht="13" x14ac:dyDescent="0.3">
      <c r="A790" s="58"/>
      <c r="B790" s="58"/>
      <c r="C790" s="58"/>
      <c r="D790" s="58"/>
      <c r="E790" s="58"/>
      <c r="F790" s="58"/>
      <c r="G790" s="58"/>
      <c r="H790" s="59"/>
      <c r="I790" s="59"/>
      <c r="J790" s="59"/>
      <c r="K790" s="59"/>
      <c r="L790" s="59"/>
      <c r="M790" s="60"/>
      <c r="N790" s="60"/>
      <c r="O790" s="60"/>
      <c r="P790" s="59"/>
      <c r="Q790" s="59"/>
      <c r="R790" s="60"/>
      <c r="S790" s="60"/>
      <c r="T790" s="60"/>
      <c r="U790" s="60"/>
      <c r="V790" s="60"/>
      <c r="W790" s="60"/>
    </row>
    <row r="791" spans="1:23" ht="13" x14ac:dyDescent="0.3">
      <c r="A791" s="58"/>
      <c r="B791" s="58"/>
      <c r="C791" s="58"/>
      <c r="D791" s="58"/>
      <c r="E791" s="58"/>
      <c r="F791" s="58"/>
      <c r="G791" s="58"/>
      <c r="H791" s="59"/>
      <c r="I791" s="59"/>
      <c r="J791" s="59"/>
      <c r="K791" s="59"/>
      <c r="L791" s="59"/>
      <c r="M791" s="60"/>
      <c r="N791" s="60"/>
      <c r="O791" s="60"/>
      <c r="P791" s="59"/>
      <c r="Q791" s="59"/>
      <c r="R791" s="60"/>
      <c r="S791" s="60"/>
      <c r="T791" s="60"/>
      <c r="U791" s="60"/>
      <c r="V791" s="60"/>
      <c r="W791" s="60"/>
    </row>
    <row r="792" spans="1:23" ht="13" x14ac:dyDescent="0.3">
      <c r="A792" s="58"/>
      <c r="B792" s="58"/>
      <c r="C792" s="58"/>
      <c r="D792" s="58"/>
      <c r="E792" s="58"/>
      <c r="F792" s="58"/>
      <c r="G792" s="58"/>
      <c r="H792" s="59"/>
      <c r="I792" s="59"/>
      <c r="J792" s="59"/>
      <c r="K792" s="59"/>
      <c r="L792" s="59"/>
      <c r="M792" s="60"/>
      <c r="N792" s="60"/>
      <c r="O792" s="60"/>
      <c r="P792" s="59"/>
      <c r="Q792" s="59"/>
      <c r="R792" s="60"/>
      <c r="S792" s="60"/>
      <c r="T792" s="60"/>
      <c r="U792" s="60"/>
      <c r="V792" s="60"/>
      <c r="W792" s="60"/>
    </row>
    <row r="793" spans="1:23" ht="13" x14ac:dyDescent="0.3">
      <c r="A793" s="58"/>
      <c r="B793" s="58"/>
      <c r="C793" s="58"/>
      <c r="D793" s="58"/>
      <c r="E793" s="58"/>
      <c r="F793" s="58"/>
      <c r="G793" s="58"/>
      <c r="H793" s="59"/>
      <c r="I793" s="59"/>
      <c r="J793" s="59"/>
      <c r="K793" s="59"/>
      <c r="L793" s="59"/>
      <c r="M793" s="60"/>
      <c r="N793" s="60"/>
      <c r="O793" s="60"/>
      <c r="P793" s="59"/>
      <c r="Q793" s="59"/>
      <c r="R793" s="60"/>
      <c r="S793" s="60"/>
      <c r="T793" s="60"/>
      <c r="U793" s="60"/>
      <c r="V793" s="60"/>
      <c r="W793" s="60"/>
    </row>
    <row r="794" spans="1:23" ht="13" x14ac:dyDescent="0.3">
      <c r="A794" s="58"/>
      <c r="B794" s="58"/>
      <c r="C794" s="58"/>
      <c r="D794" s="58"/>
      <c r="E794" s="58"/>
      <c r="F794" s="58"/>
      <c r="G794" s="58"/>
      <c r="H794" s="59"/>
      <c r="I794" s="59"/>
      <c r="J794" s="59"/>
      <c r="K794" s="59"/>
      <c r="L794" s="59"/>
      <c r="M794" s="60"/>
      <c r="N794" s="60"/>
      <c r="O794" s="60"/>
      <c r="P794" s="59"/>
      <c r="Q794" s="59"/>
      <c r="R794" s="60"/>
      <c r="S794" s="60"/>
      <c r="T794" s="60"/>
      <c r="U794" s="60"/>
      <c r="V794" s="60"/>
      <c r="W794" s="60"/>
    </row>
    <row r="795" spans="1:23" ht="13" x14ac:dyDescent="0.3">
      <c r="A795" s="58"/>
      <c r="B795" s="58"/>
      <c r="C795" s="58"/>
      <c r="D795" s="58"/>
      <c r="E795" s="58"/>
      <c r="F795" s="58"/>
      <c r="G795" s="58"/>
      <c r="H795" s="59"/>
      <c r="I795" s="59"/>
      <c r="J795" s="59"/>
      <c r="K795" s="59"/>
      <c r="L795" s="59"/>
      <c r="M795" s="60"/>
      <c r="N795" s="60"/>
      <c r="O795" s="60"/>
      <c r="P795" s="59"/>
      <c r="Q795" s="59"/>
      <c r="R795" s="60"/>
      <c r="S795" s="60"/>
      <c r="T795" s="60"/>
      <c r="U795" s="60"/>
      <c r="V795" s="60"/>
      <c r="W795" s="60"/>
    </row>
    <row r="796" spans="1:23" ht="13" x14ac:dyDescent="0.3">
      <c r="A796" s="58"/>
      <c r="B796" s="58"/>
      <c r="C796" s="58"/>
      <c r="D796" s="58"/>
      <c r="E796" s="58"/>
      <c r="F796" s="58"/>
      <c r="G796" s="58"/>
      <c r="H796" s="59"/>
      <c r="I796" s="59"/>
      <c r="J796" s="59"/>
      <c r="K796" s="59"/>
      <c r="L796" s="59"/>
      <c r="M796" s="60"/>
      <c r="N796" s="60"/>
      <c r="O796" s="60"/>
      <c r="P796" s="59"/>
      <c r="Q796" s="59"/>
      <c r="R796" s="60"/>
      <c r="S796" s="60"/>
      <c r="T796" s="60"/>
      <c r="U796" s="60"/>
      <c r="V796" s="60"/>
      <c r="W796" s="60"/>
    </row>
    <row r="797" spans="1:23" ht="13" x14ac:dyDescent="0.3">
      <c r="A797" s="58"/>
      <c r="B797" s="58"/>
      <c r="C797" s="58"/>
      <c r="D797" s="58"/>
      <c r="E797" s="58"/>
      <c r="F797" s="58"/>
      <c r="G797" s="58"/>
      <c r="H797" s="59"/>
      <c r="I797" s="59"/>
      <c r="J797" s="59"/>
      <c r="K797" s="59"/>
      <c r="L797" s="59"/>
      <c r="M797" s="60"/>
      <c r="N797" s="60"/>
      <c r="O797" s="60"/>
      <c r="P797" s="59"/>
      <c r="Q797" s="59"/>
      <c r="R797" s="60"/>
      <c r="S797" s="60"/>
      <c r="T797" s="60"/>
      <c r="U797" s="60"/>
      <c r="V797" s="60"/>
      <c r="W797" s="60"/>
    </row>
    <row r="798" spans="1:23" ht="13" x14ac:dyDescent="0.3">
      <c r="A798" s="58"/>
      <c r="B798" s="58"/>
      <c r="C798" s="58"/>
      <c r="D798" s="58"/>
      <c r="E798" s="58"/>
      <c r="F798" s="58"/>
      <c r="G798" s="58"/>
      <c r="H798" s="59"/>
      <c r="I798" s="59"/>
      <c r="J798" s="59"/>
      <c r="K798" s="59"/>
      <c r="L798" s="59"/>
      <c r="M798" s="60"/>
      <c r="N798" s="60"/>
      <c r="O798" s="60"/>
      <c r="P798" s="59"/>
      <c r="Q798" s="59"/>
      <c r="R798" s="60"/>
      <c r="S798" s="60"/>
      <c r="T798" s="60"/>
      <c r="U798" s="60"/>
      <c r="V798" s="60"/>
      <c r="W798" s="60"/>
    </row>
    <row r="799" spans="1:23" ht="13" x14ac:dyDescent="0.3">
      <c r="A799" s="58"/>
      <c r="B799" s="58"/>
      <c r="C799" s="58"/>
      <c r="D799" s="58"/>
      <c r="E799" s="58"/>
      <c r="F799" s="58"/>
      <c r="G799" s="58"/>
      <c r="H799" s="59"/>
      <c r="I799" s="59"/>
      <c r="J799" s="59"/>
      <c r="K799" s="59"/>
      <c r="L799" s="59"/>
      <c r="M799" s="60"/>
      <c r="N799" s="60"/>
      <c r="O799" s="60"/>
      <c r="P799" s="59"/>
      <c r="Q799" s="59"/>
      <c r="R799" s="60"/>
      <c r="S799" s="60"/>
      <c r="T799" s="60"/>
      <c r="U799" s="60"/>
      <c r="V799" s="60"/>
      <c r="W799" s="60"/>
    </row>
    <row r="800" spans="1:23" ht="13" x14ac:dyDescent="0.3">
      <c r="A800" s="58"/>
      <c r="B800" s="58"/>
      <c r="C800" s="58"/>
      <c r="D800" s="58"/>
      <c r="E800" s="58"/>
      <c r="F800" s="58"/>
      <c r="G800" s="58"/>
      <c r="H800" s="59"/>
      <c r="I800" s="59"/>
      <c r="J800" s="59"/>
      <c r="K800" s="59"/>
      <c r="L800" s="59"/>
      <c r="M800" s="60"/>
      <c r="N800" s="60"/>
      <c r="O800" s="60"/>
      <c r="P800" s="59"/>
      <c r="Q800" s="59"/>
      <c r="R800" s="60"/>
      <c r="S800" s="60"/>
      <c r="T800" s="60"/>
      <c r="U800" s="60"/>
      <c r="V800" s="60"/>
      <c r="W800" s="60"/>
    </row>
    <row r="801" spans="1:23" ht="13" x14ac:dyDescent="0.3">
      <c r="A801" s="58"/>
      <c r="B801" s="58"/>
      <c r="C801" s="58"/>
      <c r="D801" s="58"/>
      <c r="E801" s="58"/>
      <c r="F801" s="58"/>
      <c r="G801" s="58"/>
      <c r="H801" s="59"/>
      <c r="I801" s="59"/>
      <c r="J801" s="59"/>
      <c r="K801" s="59"/>
      <c r="L801" s="59"/>
      <c r="M801" s="60"/>
      <c r="N801" s="60"/>
      <c r="O801" s="60"/>
      <c r="P801" s="59"/>
      <c r="Q801" s="59"/>
      <c r="R801" s="60"/>
      <c r="S801" s="60"/>
      <c r="T801" s="60"/>
      <c r="U801" s="60"/>
      <c r="V801" s="60"/>
      <c r="W801" s="60"/>
    </row>
    <row r="802" spans="1:23" ht="13" x14ac:dyDescent="0.3">
      <c r="A802" s="58"/>
      <c r="B802" s="58"/>
      <c r="C802" s="58"/>
      <c r="D802" s="58"/>
      <c r="E802" s="58"/>
      <c r="F802" s="58"/>
      <c r="G802" s="58"/>
      <c r="H802" s="59"/>
      <c r="I802" s="59"/>
      <c r="J802" s="59"/>
      <c r="K802" s="59"/>
      <c r="L802" s="59"/>
      <c r="M802" s="60"/>
      <c r="N802" s="60"/>
      <c r="O802" s="60"/>
      <c r="P802" s="59"/>
      <c r="Q802" s="59"/>
      <c r="R802" s="60"/>
      <c r="S802" s="60"/>
      <c r="T802" s="60"/>
      <c r="U802" s="60"/>
      <c r="V802" s="60"/>
      <c r="W802" s="60"/>
    </row>
    <row r="803" spans="1:23" ht="13" x14ac:dyDescent="0.3">
      <c r="A803" s="58"/>
      <c r="B803" s="58"/>
      <c r="C803" s="58"/>
      <c r="D803" s="58"/>
      <c r="E803" s="58"/>
      <c r="F803" s="58"/>
      <c r="G803" s="58"/>
      <c r="H803" s="59"/>
      <c r="I803" s="59"/>
      <c r="J803" s="59"/>
      <c r="K803" s="59"/>
      <c r="L803" s="59"/>
      <c r="M803" s="60"/>
      <c r="N803" s="60"/>
      <c r="O803" s="60"/>
      <c r="P803" s="59"/>
      <c r="Q803" s="59"/>
      <c r="R803" s="60"/>
      <c r="S803" s="60"/>
      <c r="T803" s="60"/>
      <c r="U803" s="60"/>
      <c r="V803" s="60"/>
      <c r="W803" s="60"/>
    </row>
    <row r="804" spans="1:23" ht="13" x14ac:dyDescent="0.3">
      <c r="A804" s="58"/>
      <c r="B804" s="58"/>
      <c r="C804" s="58"/>
      <c r="D804" s="58"/>
      <c r="E804" s="58"/>
      <c r="F804" s="58"/>
      <c r="G804" s="58"/>
      <c r="H804" s="59"/>
      <c r="I804" s="59"/>
      <c r="J804" s="59"/>
      <c r="K804" s="59"/>
      <c r="L804" s="59"/>
      <c r="M804" s="60"/>
      <c r="N804" s="60"/>
      <c r="O804" s="60"/>
      <c r="P804" s="59"/>
      <c r="Q804" s="59"/>
      <c r="R804" s="60"/>
      <c r="S804" s="60"/>
      <c r="T804" s="60"/>
      <c r="U804" s="60"/>
      <c r="V804" s="60"/>
      <c r="W804" s="60"/>
    </row>
    <row r="805" spans="1:23" ht="13" x14ac:dyDescent="0.3">
      <c r="A805" s="58"/>
      <c r="B805" s="58"/>
      <c r="C805" s="58"/>
      <c r="D805" s="58"/>
      <c r="E805" s="58"/>
      <c r="F805" s="58"/>
      <c r="G805" s="58"/>
      <c r="H805" s="59"/>
      <c r="I805" s="59"/>
      <c r="J805" s="59"/>
      <c r="K805" s="59"/>
      <c r="L805" s="59"/>
      <c r="M805" s="60"/>
      <c r="N805" s="60"/>
      <c r="O805" s="60"/>
      <c r="P805" s="59"/>
      <c r="Q805" s="59"/>
      <c r="R805" s="60"/>
      <c r="S805" s="60"/>
      <c r="T805" s="60"/>
      <c r="U805" s="60"/>
      <c r="V805" s="60"/>
      <c r="W805" s="60"/>
    </row>
    <row r="806" spans="1:23" ht="13" x14ac:dyDescent="0.3">
      <c r="A806" s="58"/>
      <c r="B806" s="58"/>
      <c r="C806" s="58"/>
      <c r="D806" s="58"/>
      <c r="E806" s="58"/>
      <c r="F806" s="58"/>
      <c r="G806" s="58"/>
      <c r="H806" s="59"/>
      <c r="I806" s="59"/>
      <c r="J806" s="59"/>
      <c r="K806" s="59"/>
      <c r="L806" s="59"/>
      <c r="M806" s="60"/>
      <c r="N806" s="60"/>
      <c r="O806" s="60"/>
      <c r="P806" s="59"/>
      <c r="Q806" s="59"/>
      <c r="R806" s="60"/>
      <c r="S806" s="60"/>
      <c r="T806" s="60"/>
      <c r="U806" s="60"/>
      <c r="V806" s="60"/>
      <c r="W806" s="60"/>
    </row>
    <row r="807" spans="1:23" ht="13" x14ac:dyDescent="0.3">
      <c r="A807" s="58"/>
      <c r="B807" s="58"/>
      <c r="C807" s="58"/>
      <c r="D807" s="58"/>
      <c r="E807" s="58"/>
      <c r="F807" s="58"/>
      <c r="G807" s="58"/>
      <c r="H807" s="59"/>
      <c r="I807" s="59"/>
      <c r="J807" s="59"/>
      <c r="K807" s="59"/>
      <c r="L807" s="59"/>
      <c r="M807" s="60"/>
      <c r="N807" s="60"/>
      <c r="O807" s="60"/>
      <c r="P807" s="59"/>
      <c r="Q807" s="59"/>
      <c r="R807" s="60"/>
      <c r="S807" s="60"/>
      <c r="T807" s="60"/>
      <c r="U807" s="60"/>
      <c r="V807" s="60"/>
      <c r="W807" s="60"/>
    </row>
    <row r="808" spans="1:23" ht="13" x14ac:dyDescent="0.3">
      <c r="A808" s="58"/>
      <c r="B808" s="58"/>
      <c r="C808" s="58"/>
      <c r="D808" s="58"/>
      <c r="E808" s="58"/>
      <c r="F808" s="58"/>
      <c r="G808" s="58"/>
      <c r="H808" s="59"/>
      <c r="I808" s="59"/>
      <c r="J808" s="59"/>
      <c r="K808" s="59"/>
      <c r="L808" s="59"/>
      <c r="M808" s="60"/>
      <c r="N808" s="60"/>
      <c r="O808" s="60"/>
      <c r="P808" s="59"/>
      <c r="Q808" s="59"/>
      <c r="R808" s="60"/>
      <c r="S808" s="60"/>
      <c r="T808" s="60"/>
      <c r="U808" s="60"/>
      <c r="V808" s="60"/>
      <c r="W808" s="60"/>
    </row>
    <row r="809" spans="1:23" ht="13" x14ac:dyDescent="0.3">
      <c r="A809" s="58"/>
      <c r="B809" s="58"/>
      <c r="C809" s="58"/>
      <c r="D809" s="58"/>
      <c r="E809" s="58"/>
      <c r="F809" s="58"/>
      <c r="G809" s="58"/>
      <c r="H809" s="59"/>
      <c r="I809" s="59"/>
      <c r="J809" s="59"/>
      <c r="K809" s="59"/>
      <c r="L809" s="59"/>
      <c r="M809" s="60"/>
      <c r="N809" s="60"/>
      <c r="O809" s="60"/>
      <c r="P809" s="59"/>
      <c r="Q809" s="59"/>
      <c r="R809" s="60"/>
      <c r="S809" s="60"/>
      <c r="T809" s="60"/>
      <c r="U809" s="60"/>
      <c r="V809" s="60"/>
      <c r="W809" s="60"/>
    </row>
    <row r="810" spans="1:23" ht="13" x14ac:dyDescent="0.3">
      <c r="A810" s="58"/>
      <c r="B810" s="58"/>
      <c r="C810" s="58"/>
      <c r="D810" s="58"/>
      <c r="E810" s="58"/>
      <c r="F810" s="58"/>
      <c r="G810" s="58"/>
      <c r="H810" s="59"/>
      <c r="I810" s="59"/>
      <c r="J810" s="59"/>
      <c r="K810" s="59"/>
      <c r="L810" s="59"/>
      <c r="M810" s="60"/>
      <c r="N810" s="60"/>
      <c r="O810" s="60"/>
      <c r="P810" s="59"/>
      <c r="Q810" s="59"/>
      <c r="R810" s="60"/>
      <c r="S810" s="60"/>
      <c r="T810" s="60"/>
      <c r="U810" s="60"/>
      <c r="V810" s="60"/>
      <c r="W810" s="60"/>
    </row>
    <row r="811" spans="1:23" ht="13" x14ac:dyDescent="0.3">
      <c r="A811" s="58"/>
      <c r="B811" s="58"/>
      <c r="C811" s="58"/>
      <c r="D811" s="58"/>
      <c r="E811" s="58"/>
      <c r="F811" s="58"/>
      <c r="G811" s="58"/>
      <c r="H811" s="59"/>
      <c r="I811" s="59"/>
      <c r="J811" s="59"/>
      <c r="K811" s="59"/>
      <c r="L811" s="59"/>
      <c r="M811" s="60"/>
      <c r="N811" s="60"/>
      <c r="O811" s="60"/>
      <c r="P811" s="59"/>
      <c r="Q811" s="59"/>
      <c r="R811" s="60"/>
      <c r="S811" s="60"/>
      <c r="T811" s="60"/>
      <c r="U811" s="60"/>
      <c r="V811" s="60"/>
      <c r="W811" s="60"/>
    </row>
    <row r="812" spans="1:23" ht="13" x14ac:dyDescent="0.3">
      <c r="A812" s="58"/>
      <c r="B812" s="58"/>
      <c r="C812" s="58"/>
      <c r="D812" s="58"/>
      <c r="E812" s="58"/>
      <c r="F812" s="58"/>
      <c r="G812" s="58"/>
      <c r="H812" s="59"/>
      <c r="I812" s="59"/>
      <c r="J812" s="59"/>
      <c r="K812" s="59"/>
      <c r="L812" s="59"/>
      <c r="M812" s="60"/>
      <c r="N812" s="60"/>
      <c r="O812" s="60"/>
      <c r="P812" s="59"/>
      <c r="Q812" s="59"/>
      <c r="R812" s="60"/>
      <c r="S812" s="60"/>
      <c r="T812" s="60"/>
      <c r="U812" s="60"/>
      <c r="V812" s="60"/>
      <c r="W812" s="60"/>
    </row>
    <row r="813" spans="1:23" ht="13" x14ac:dyDescent="0.3">
      <c r="A813" s="58"/>
      <c r="B813" s="58"/>
      <c r="C813" s="58"/>
      <c r="D813" s="58"/>
      <c r="E813" s="58"/>
      <c r="F813" s="58"/>
      <c r="G813" s="58"/>
      <c r="H813" s="59"/>
      <c r="I813" s="59"/>
      <c r="J813" s="59"/>
      <c r="K813" s="59"/>
      <c r="L813" s="59"/>
      <c r="M813" s="60"/>
      <c r="N813" s="60"/>
      <c r="O813" s="60"/>
      <c r="P813" s="59"/>
      <c r="Q813" s="59"/>
      <c r="R813" s="60"/>
      <c r="S813" s="60"/>
      <c r="T813" s="60"/>
      <c r="U813" s="60"/>
      <c r="V813" s="60"/>
      <c r="W813" s="60"/>
    </row>
    <row r="814" spans="1:23" ht="13" x14ac:dyDescent="0.3">
      <c r="A814" s="58"/>
      <c r="B814" s="58"/>
      <c r="C814" s="58"/>
      <c r="D814" s="58"/>
      <c r="E814" s="58"/>
      <c r="F814" s="58"/>
      <c r="G814" s="58"/>
      <c r="H814" s="59"/>
      <c r="I814" s="59"/>
      <c r="J814" s="59"/>
      <c r="K814" s="59"/>
      <c r="L814" s="59"/>
      <c r="M814" s="60"/>
      <c r="N814" s="60"/>
      <c r="O814" s="60"/>
      <c r="P814" s="59"/>
      <c r="Q814" s="59"/>
      <c r="R814" s="60"/>
      <c r="S814" s="60"/>
      <c r="T814" s="60"/>
      <c r="U814" s="60"/>
      <c r="V814" s="60"/>
      <c r="W814" s="60"/>
    </row>
    <row r="815" spans="1:23" ht="13" x14ac:dyDescent="0.3">
      <c r="A815" s="58"/>
      <c r="B815" s="58"/>
      <c r="C815" s="58"/>
      <c r="D815" s="58"/>
      <c r="E815" s="58"/>
      <c r="F815" s="58"/>
      <c r="G815" s="58"/>
      <c r="H815" s="59"/>
      <c r="I815" s="59"/>
      <c r="J815" s="59"/>
      <c r="K815" s="59"/>
      <c r="L815" s="59"/>
      <c r="M815" s="60"/>
      <c r="N815" s="60"/>
      <c r="O815" s="60"/>
      <c r="P815" s="59"/>
      <c r="Q815" s="59"/>
      <c r="R815" s="60"/>
      <c r="S815" s="60"/>
      <c r="T815" s="60"/>
      <c r="U815" s="60"/>
      <c r="V815" s="60"/>
      <c r="W815" s="60"/>
    </row>
    <row r="816" spans="1:23" ht="13" x14ac:dyDescent="0.3">
      <c r="A816" s="58"/>
      <c r="B816" s="58"/>
      <c r="C816" s="58"/>
      <c r="D816" s="58"/>
      <c r="E816" s="58"/>
      <c r="F816" s="58"/>
      <c r="G816" s="58"/>
      <c r="H816" s="59"/>
      <c r="I816" s="59"/>
      <c r="J816" s="59"/>
      <c r="K816" s="59"/>
      <c r="L816" s="59"/>
      <c r="M816" s="60"/>
      <c r="N816" s="60"/>
      <c r="O816" s="60"/>
      <c r="P816" s="59"/>
      <c r="Q816" s="59"/>
      <c r="R816" s="60"/>
      <c r="S816" s="60"/>
      <c r="T816" s="60"/>
      <c r="U816" s="60"/>
      <c r="V816" s="60"/>
      <c r="W816" s="60"/>
    </row>
    <row r="817" spans="1:23" ht="13" x14ac:dyDescent="0.3">
      <c r="A817" s="58"/>
      <c r="B817" s="58"/>
      <c r="C817" s="58"/>
      <c r="D817" s="58"/>
      <c r="E817" s="58"/>
      <c r="F817" s="58"/>
      <c r="G817" s="58"/>
      <c r="H817" s="59"/>
      <c r="I817" s="59"/>
      <c r="J817" s="59"/>
      <c r="K817" s="59"/>
      <c r="L817" s="59"/>
      <c r="M817" s="60"/>
      <c r="N817" s="60"/>
      <c r="O817" s="60"/>
      <c r="P817" s="59"/>
      <c r="Q817" s="59"/>
      <c r="R817" s="60"/>
      <c r="S817" s="60"/>
      <c r="T817" s="60"/>
      <c r="U817" s="60"/>
      <c r="V817" s="60"/>
      <c r="W817" s="60"/>
    </row>
    <row r="818" spans="1:23" ht="13" x14ac:dyDescent="0.3">
      <c r="A818" s="58"/>
      <c r="B818" s="58"/>
      <c r="C818" s="58"/>
      <c r="D818" s="58"/>
      <c r="E818" s="58"/>
      <c r="F818" s="58"/>
      <c r="G818" s="58"/>
      <c r="H818" s="59"/>
      <c r="I818" s="59"/>
      <c r="J818" s="59"/>
      <c r="K818" s="59"/>
      <c r="L818" s="59"/>
      <c r="M818" s="60"/>
      <c r="N818" s="60"/>
      <c r="O818" s="60"/>
      <c r="P818" s="59"/>
      <c r="Q818" s="59"/>
      <c r="R818" s="60"/>
      <c r="S818" s="60"/>
      <c r="T818" s="60"/>
      <c r="U818" s="60"/>
      <c r="V818" s="60"/>
      <c r="W818" s="60"/>
    </row>
    <row r="819" spans="1:23" ht="13" x14ac:dyDescent="0.3">
      <c r="A819" s="58"/>
      <c r="B819" s="58"/>
      <c r="C819" s="58"/>
      <c r="D819" s="58"/>
      <c r="E819" s="58"/>
      <c r="F819" s="58"/>
      <c r="G819" s="58"/>
      <c r="H819" s="59"/>
      <c r="I819" s="59"/>
      <c r="J819" s="59"/>
      <c r="K819" s="59"/>
      <c r="L819" s="59"/>
      <c r="M819" s="60"/>
      <c r="N819" s="60"/>
      <c r="O819" s="60"/>
      <c r="P819" s="59"/>
      <c r="Q819" s="59"/>
      <c r="R819" s="60"/>
      <c r="S819" s="60"/>
      <c r="T819" s="60"/>
      <c r="U819" s="60"/>
      <c r="V819" s="60"/>
      <c r="W819" s="60"/>
    </row>
    <row r="820" spans="1:23" ht="13" x14ac:dyDescent="0.3">
      <c r="A820" s="58"/>
      <c r="B820" s="58"/>
      <c r="C820" s="58"/>
      <c r="D820" s="58"/>
      <c r="E820" s="58"/>
      <c r="F820" s="58"/>
      <c r="G820" s="58"/>
      <c r="H820" s="59"/>
      <c r="I820" s="59"/>
      <c r="J820" s="59"/>
      <c r="K820" s="59"/>
      <c r="L820" s="59"/>
      <c r="M820" s="60"/>
      <c r="N820" s="60"/>
      <c r="O820" s="60"/>
      <c r="P820" s="59"/>
      <c r="Q820" s="59"/>
      <c r="R820" s="60"/>
      <c r="S820" s="60"/>
      <c r="T820" s="60"/>
      <c r="U820" s="60"/>
      <c r="V820" s="60"/>
      <c r="W820" s="60"/>
    </row>
    <row r="821" spans="1:23" ht="13" x14ac:dyDescent="0.3">
      <c r="A821" s="58"/>
      <c r="B821" s="58"/>
      <c r="C821" s="58"/>
      <c r="D821" s="58"/>
      <c r="E821" s="58"/>
      <c r="F821" s="58"/>
      <c r="G821" s="58"/>
      <c r="H821" s="59"/>
      <c r="I821" s="59"/>
      <c r="J821" s="59"/>
      <c r="K821" s="59"/>
      <c r="L821" s="59"/>
      <c r="M821" s="60"/>
      <c r="N821" s="60"/>
      <c r="O821" s="60"/>
      <c r="P821" s="59"/>
      <c r="Q821" s="59"/>
      <c r="R821" s="60"/>
      <c r="S821" s="60"/>
      <c r="T821" s="60"/>
      <c r="U821" s="60"/>
      <c r="V821" s="60"/>
      <c r="W821" s="60"/>
    </row>
    <row r="822" spans="1:23" ht="13" x14ac:dyDescent="0.3">
      <c r="A822" s="58"/>
      <c r="B822" s="58"/>
      <c r="C822" s="58"/>
      <c r="D822" s="58"/>
      <c r="E822" s="58"/>
      <c r="F822" s="58"/>
      <c r="G822" s="58"/>
      <c r="H822" s="59"/>
      <c r="I822" s="59"/>
      <c r="J822" s="59"/>
      <c r="K822" s="59"/>
      <c r="L822" s="59"/>
      <c r="M822" s="60"/>
      <c r="N822" s="60"/>
      <c r="O822" s="60"/>
      <c r="P822" s="59"/>
      <c r="Q822" s="59"/>
      <c r="R822" s="60"/>
      <c r="S822" s="60"/>
      <c r="T822" s="60"/>
      <c r="U822" s="60"/>
      <c r="V822" s="60"/>
      <c r="W822" s="60"/>
    </row>
    <row r="823" spans="1:23" ht="13" x14ac:dyDescent="0.3">
      <c r="A823" s="58"/>
      <c r="B823" s="58"/>
      <c r="C823" s="58"/>
      <c r="D823" s="58"/>
      <c r="E823" s="58"/>
      <c r="F823" s="58"/>
      <c r="G823" s="58"/>
      <c r="H823" s="59"/>
      <c r="I823" s="59"/>
      <c r="J823" s="59"/>
      <c r="K823" s="59"/>
      <c r="L823" s="59"/>
      <c r="M823" s="60"/>
      <c r="N823" s="60"/>
      <c r="O823" s="60"/>
      <c r="P823" s="59"/>
      <c r="Q823" s="59"/>
      <c r="R823" s="60"/>
      <c r="S823" s="60"/>
      <c r="T823" s="60"/>
      <c r="U823" s="60"/>
      <c r="V823" s="60"/>
      <c r="W823" s="60"/>
    </row>
    <row r="824" spans="1:23" ht="13" x14ac:dyDescent="0.3">
      <c r="A824" s="58"/>
      <c r="B824" s="58"/>
      <c r="C824" s="58"/>
      <c r="D824" s="58"/>
      <c r="E824" s="58"/>
      <c r="F824" s="58"/>
      <c r="G824" s="58"/>
      <c r="H824" s="59"/>
      <c r="I824" s="59"/>
      <c r="J824" s="59"/>
      <c r="K824" s="59"/>
      <c r="L824" s="59"/>
      <c r="M824" s="60"/>
      <c r="N824" s="60"/>
      <c r="O824" s="60"/>
      <c r="P824" s="59"/>
      <c r="Q824" s="59"/>
      <c r="R824" s="60"/>
      <c r="S824" s="60"/>
      <c r="T824" s="60"/>
      <c r="U824" s="60"/>
      <c r="V824" s="60"/>
      <c r="W824" s="60"/>
    </row>
    <row r="825" spans="1:23" ht="13" x14ac:dyDescent="0.3">
      <c r="A825" s="58"/>
      <c r="B825" s="58"/>
      <c r="C825" s="58"/>
      <c r="D825" s="58"/>
      <c r="E825" s="58"/>
      <c r="F825" s="58"/>
      <c r="G825" s="58"/>
      <c r="H825" s="59"/>
      <c r="I825" s="59"/>
      <c r="J825" s="59"/>
      <c r="K825" s="59"/>
      <c r="L825" s="59"/>
      <c r="M825" s="60"/>
      <c r="N825" s="60"/>
      <c r="O825" s="60"/>
      <c r="P825" s="59"/>
      <c r="Q825" s="59"/>
      <c r="R825" s="60"/>
      <c r="S825" s="60"/>
      <c r="T825" s="60"/>
      <c r="U825" s="60"/>
      <c r="V825" s="60"/>
      <c r="W825" s="60"/>
    </row>
    <row r="826" spans="1:23" ht="13" x14ac:dyDescent="0.3">
      <c r="A826" s="58"/>
      <c r="B826" s="58"/>
      <c r="C826" s="58"/>
      <c r="D826" s="58"/>
      <c r="E826" s="58"/>
      <c r="F826" s="58"/>
      <c r="G826" s="58"/>
      <c r="H826" s="59"/>
      <c r="I826" s="59"/>
      <c r="J826" s="59"/>
      <c r="K826" s="59"/>
      <c r="L826" s="59"/>
      <c r="M826" s="60"/>
      <c r="N826" s="60"/>
      <c r="O826" s="60"/>
      <c r="P826" s="59"/>
      <c r="Q826" s="59"/>
      <c r="R826" s="60"/>
      <c r="S826" s="60"/>
      <c r="T826" s="60"/>
      <c r="U826" s="60"/>
      <c r="V826" s="60"/>
      <c r="W826" s="60"/>
    </row>
    <row r="827" spans="1:23" ht="13" x14ac:dyDescent="0.3">
      <c r="A827" s="58"/>
      <c r="B827" s="58"/>
      <c r="C827" s="58"/>
      <c r="D827" s="58"/>
      <c r="E827" s="58"/>
      <c r="F827" s="58"/>
      <c r="G827" s="58"/>
      <c r="H827" s="59"/>
      <c r="I827" s="59"/>
      <c r="J827" s="59"/>
      <c r="K827" s="59"/>
      <c r="L827" s="59"/>
      <c r="M827" s="60"/>
      <c r="N827" s="60"/>
      <c r="O827" s="60"/>
      <c r="P827" s="59"/>
      <c r="Q827" s="59"/>
      <c r="R827" s="60"/>
      <c r="S827" s="60"/>
      <c r="T827" s="60"/>
      <c r="U827" s="60"/>
      <c r="V827" s="60"/>
      <c r="W827" s="60"/>
    </row>
    <row r="828" spans="1:23" ht="13" x14ac:dyDescent="0.3">
      <c r="A828" s="58"/>
      <c r="B828" s="58"/>
      <c r="C828" s="58"/>
      <c r="D828" s="58"/>
      <c r="E828" s="58"/>
      <c r="F828" s="58"/>
      <c r="G828" s="58"/>
      <c r="H828" s="59"/>
      <c r="I828" s="59"/>
      <c r="J828" s="59"/>
      <c r="K828" s="59"/>
      <c r="L828" s="59"/>
      <c r="M828" s="60"/>
      <c r="N828" s="60"/>
      <c r="O828" s="60"/>
      <c r="P828" s="59"/>
      <c r="Q828" s="59"/>
      <c r="R828" s="60"/>
      <c r="S828" s="60"/>
      <c r="T828" s="60"/>
      <c r="U828" s="60"/>
      <c r="V828" s="60"/>
      <c r="W828" s="60"/>
    </row>
    <row r="829" spans="1:23" ht="13" x14ac:dyDescent="0.3">
      <c r="A829" s="58"/>
      <c r="B829" s="58"/>
      <c r="C829" s="58"/>
      <c r="D829" s="58"/>
      <c r="E829" s="58"/>
      <c r="F829" s="58"/>
      <c r="G829" s="58"/>
      <c r="H829" s="59"/>
      <c r="I829" s="59"/>
      <c r="J829" s="59"/>
      <c r="K829" s="59"/>
      <c r="L829" s="59"/>
      <c r="M829" s="60"/>
      <c r="N829" s="60"/>
      <c r="O829" s="60"/>
      <c r="P829" s="59"/>
      <c r="Q829" s="59"/>
      <c r="R829" s="60"/>
      <c r="S829" s="60"/>
      <c r="T829" s="60"/>
      <c r="U829" s="60"/>
      <c r="V829" s="60"/>
      <c r="W829" s="60"/>
    </row>
    <row r="830" spans="1:23" ht="13" x14ac:dyDescent="0.3">
      <c r="A830" s="58"/>
      <c r="B830" s="58"/>
      <c r="C830" s="58"/>
      <c r="D830" s="58"/>
      <c r="E830" s="58"/>
      <c r="F830" s="58"/>
      <c r="G830" s="58"/>
      <c r="H830" s="59"/>
      <c r="I830" s="59"/>
      <c r="J830" s="59"/>
      <c r="K830" s="59"/>
      <c r="L830" s="59"/>
      <c r="M830" s="60"/>
      <c r="N830" s="60"/>
      <c r="O830" s="60"/>
      <c r="P830" s="59"/>
      <c r="Q830" s="59"/>
      <c r="R830" s="60"/>
      <c r="S830" s="60"/>
      <c r="T830" s="60"/>
      <c r="U830" s="60"/>
      <c r="V830" s="60"/>
      <c r="W830" s="60"/>
    </row>
    <row r="831" spans="1:23" ht="13" x14ac:dyDescent="0.3">
      <c r="A831" s="58"/>
      <c r="B831" s="58"/>
      <c r="C831" s="58"/>
      <c r="D831" s="58"/>
      <c r="E831" s="58"/>
      <c r="F831" s="58"/>
      <c r="G831" s="58"/>
      <c r="H831" s="59"/>
      <c r="I831" s="59"/>
      <c r="J831" s="59"/>
      <c r="K831" s="59"/>
      <c r="L831" s="59"/>
      <c r="M831" s="60"/>
      <c r="N831" s="60"/>
      <c r="O831" s="60"/>
      <c r="P831" s="59"/>
      <c r="Q831" s="59"/>
      <c r="R831" s="60"/>
      <c r="S831" s="60"/>
      <c r="T831" s="60"/>
      <c r="U831" s="60"/>
      <c r="V831" s="60"/>
      <c r="W831" s="60"/>
    </row>
    <row r="832" spans="1:23" ht="13" x14ac:dyDescent="0.3">
      <c r="A832" s="58"/>
      <c r="B832" s="58"/>
      <c r="C832" s="58"/>
      <c r="D832" s="58"/>
      <c r="E832" s="58"/>
      <c r="F832" s="58"/>
      <c r="G832" s="58"/>
      <c r="H832" s="59"/>
      <c r="I832" s="59"/>
      <c r="J832" s="59"/>
      <c r="K832" s="59"/>
      <c r="L832" s="59"/>
      <c r="M832" s="60"/>
      <c r="N832" s="60"/>
      <c r="O832" s="60"/>
      <c r="P832" s="59"/>
      <c r="Q832" s="59"/>
      <c r="R832" s="60"/>
      <c r="S832" s="60"/>
      <c r="T832" s="60"/>
      <c r="U832" s="60"/>
      <c r="V832" s="60"/>
      <c r="W832" s="60"/>
    </row>
    <row r="833" spans="1:23" ht="13" x14ac:dyDescent="0.3">
      <c r="A833" s="58"/>
      <c r="B833" s="58"/>
      <c r="C833" s="58"/>
      <c r="D833" s="58"/>
      <c r="E833" s="58"/>
      <c r="F833" s="58"/>
      <c r="G833" s="58"/>
      <c r="H833" s="59"/>
      <c r="I833" s="59"/>
      <c r="J833" s="59"/>
      <c r="K833" s="59"/>
      <c r="L833" s="59"/>
      <c r="M833" s="60"/>
      <c r="N833" s="60"/>
      <c r="O833" s="60"/>
      <c r="P833" s="59"/>
      <c r="Q833" s="59"/>
      <c r="R833" s="60"/>
      <c r="S833" s="60"/>
      <c r="T833" s="60"/>
      <c r="U833" s="60"/>
      <c r="V833" s="60"/>
      <c r="W833" s="60"/>
    </row>
    <row r="834" spans="1:23" ht="13" x14ac:dyDescent="0.3">
      <c r="A834" s="58"/>
      <c r="B834" s="58"/>
      <c r="C834" s="58"/>
      <c r="D834" s="58"/>
      <c r="E834" s="58"/>
      <c r="F834" s="58"/>
      <c r="G834" s="58"/>
      <c r="H834" s="59"/>
      <c r="I834" s="59"/>
      <c r="J834" s="59"/>
      <c r="K834" s="59"/>
      <c r="L834" s="59"/>
      <c r="M834" s="60"/>
      <c r="N834" s="60"/>
      <c r="O834" s="60"/>
      <c r="P834" s="59"/>
      <c r="Q834" s="59"/>
      <c r="R834" s="60"/>
      <c r="S834" s="60"/>
      <c r="T834" s="60"/>
      <c r="U834" s="60"/>
      <c r="V834" s="60"/>
      <c r="W834" s="60"/>
    </row>
    <row r="835" spans="1:23" ht="13" x14ac:dyDescent="0.3">
      <c r="A835" s="58"/>
      <c r="B835" s="58"/>
      <c r="C835" s="58"/>
      <c r="D835" s="58"/>
      <c r="E835" s="58"/>
      <c r="F835" s="58"/>
      <c r="G835" s="58"/>
      <c r="H835" s="59"/>
      <c r="I835" s="59"/>
      <c r="J835" s="59"/>
      <c r="K835" s="59"/>
      <c r="L835" s="59"/>
      <c r="M835" s="60"/>
      <c r="N835" s="60"/>
      <c r="O835" s="60"/>
      <c r="P835" s="59"/>
      <c r="Q835" s="59"/>
      <c r="R835" s="60"/>
      <c r="S835" s="60"/>
      <c r="T835" s="60"/>
      <c r="U835" s="60"/>
      <c r="V835" s="60"/>
      <c r="W835" s="60"/>
    </row>
    <row r="836" spans="1:23" ht="13" x14ac:dyDescent="0.3">
      <c r="A836" s="58"/>
      <c r="B836" s="58"/>
      <c r="C836" s="58"/>
      <c r="D836" s="58"/>
      <c r="E836" s="58"/>
      <c r="F836" s="58"/>
      <c r="G836" s="58"/>
      <c r="H836" s="59"/>
      <c r="I836" s="59"/>
      <c r="J836" s="59"/>
      <c r="K836" s="59"/>
      <c r="L836" s="59"/>
      <c r="M836" s="60"/>
      <c r="N836" s="60"/>
      <c r="O836" s="60"/>
      <c r="P836" s="59"/>
      <c r="Q836" s="59"/>
      <c r="R836" s="60"/>
      <c r="S836" s="60"/>
      <c r="T836" s="60"/>
      <c r="U836" s="60"/>
      <c r="V836" s="60"/>
      <c r="W836" s="60"/>
    </row>
    <row r="837" spans="1:23" ht="13" x14ac:dyDescent="0.3">
      <c r="A837" s="58"/>
      <c r="B837" s="58"/>
      <c r="C837" s="58"/>
      <c r="D837" s="58"/>
      <c r="E837" s="58"/>
      <c r="F837" s="58"/>
      <c r="G837" s="58"/>
      <c r="H837" s="59"/>
      <c r="I837" s="59"/>
      <c r="J837" s="59"/>
      <c r="K837" s="59"/>
      <c r="L837" s="59"/>
      <c r="M837" s="60"/>
      <c r="N837" s="60"/>
      <c r="O837" s="60"/>
      <c r="P837" s="59"/>
      <c r="Q837" s="59"/>
      <c r="R837" s="60"/>
      <c r="S837" s="60"/>
      <c r="T837" s="60"/>
      <c r="U837" s="60"/>
      <c r="V837" s="60"/>
      <c r="W837" s="60"/>
    </row>
    <row r="838" spans="1:23" ht="13" x14ac:dyDescent="0.3">
      <c r="A838" s="58"/>
      <c r="B838" s="58"/>
      <c r="C838" s="58"/>
      <c r="D838" s="58"/>
      <c r="E838" s="58"/>
      <c r="F838" s="58"/>
      <c r="G838" s="58"/>
      <c r="H838" s="59"/>
      <c r="I838" s="59"/>
      <c r="J838" s="59"/>
      <c r="K838" s="59"/>
      <c r="L838" s="59"/>
      <c r="M838" s="60"/>
      <c r="N838" s="60"/>
      <c r="O838" s="60"/>
      <c r="P838" s="59"/>
      <c r="Q838" s="59"/>
      <c r="R838" s="60"/>
      <c r="S838" s="60"/>
      <c r="T838" s="60"/>
      <c r="U838" s="60"/>
      <c r="V838" s="60"/>
      <c r="W838" s="60"/>
    </row>
    <row r="839" spans="1:23" ht="13" x14ac:dyDescent="0.3">
      <c r="A839" s="58"/>
      <c r="B839" s="58"/>
      <c r="C839" s="58"/>
      <c r="D839" s="58"/>
      <c r="E839" s="58"/>
      <c r="F839" s="58"/>
      <c r="G839" s="58"/>
      <c r="H839" s="59"/>
      <c r="I839" s="59"/>
      <c r="J839" s="59"/>
      <c r="K839" s="59"/>
      <c r="L839" s="59"/>
      <c r="M839" s="60"/>
      <c r="N839" s="60"/>
      <c r="O839" s="60"/>
      <c r="P839" s="59"/>
      <c r="Q839" s="59"/>
      <c r="R839" s="60"/>
      <c r="S839" s="60"/>
      <c r="T839" s="60"/>
      <c r="U839" s="60"/>
      <c r="V839" s="60"/>
      <c r="W839" s="60"/>
    </row>
    <row r="840" spans="1:23" ht="13" x14ac:dyDescent="0.3">
      <c r="A840" s="58"/>
      <c r="B840" s="58"/>
      <c r="C840" s="58"/>
      <c r="D840" s="58"/>
      <c r="E840" s="58"/>
      <c r="F840" s="58"/>
      <c r="G840" s="58"/>
      <c r="H840" s="59"/>
      <c r="I840" s="59"/>
      <c r="J840" s="59"/>
      <c r="K840" s="59"/>
      <c r="L840" s="59"/>
      <c r="M840" s="60"/>
      <c r="N840" s="60"/>
      <c r="O840" s="60"/>
      <c r="P840" s="59"/>
      <c r="Q840" s="59"/>
      <c r="R840" s="60"/>
      <c r="S840" s="60"/>
      <c r="T840" s="60"/>
      <c r="U840" s="60"/>
      <c r="V840" s="60"/>
      <c r="W840" s="60"/>
    </row>
    <row r="841" spans="1:23" ht="13" x14ac:dyDescent="0.3">
      <c r="A841" s="58"/>
      <c r="B841" s="58"/>
      <c r="C841" s="58"/>
      <c r="D841" s="58"/>
      <c r="E841" s="58"/>
      <c r="F841" s="58"/>
      <c r="G841" s="58"/>
      <c r="H841" s="59"/>
      <c r="I841" s="59"/>
      <c r="J841" s="59"/>
      <c r="K841" s="59"/>
      <c r="L841" s="59"/>
      <c r="M841" s="60"/>
      <c r="N841" s="60"/>
      <c r="O841" s="60"/>
      <c r="P841" s="59"/>
      <c r="Q841" s="59"/>
      <c r="R841" s="60"/>
      <c r="S841" s="60"/>
      <c r="T841" s="60"/>
      <c r="U841" s="60"/>
      <c r="V841" s="60"/>
      <c r="W841" s="60"/>
    </row>
    <row r="842" spans="1:23" ht="13" x14ac:dyDescent="0.3">
      <c r="A842" s="58"/>
      <c r="B842" s="58"/>
      <c r="C842" s="58"/>
      <c r="D842" s="58"/>
      <c r="E842" s="58"/>
      <c r="F842" s="58"/>
      <c r="G842" s="58"/>
      <c r="H842" s="59"/>
      <c r="I842" s="59"/>
      <c r="J842" s="59"/>
      <c r="K842" s="59"/>
      <c r="L842" s="59"/>
      <c r="M842" s="60"/>
      <c r="N842" s="60"/>
      <c r="O842" s="60"/>
      <c r="P842" s="59"/>
      <c r="Q842" s="59"/>
      <c r="R842" s="60"/>
      <c r="S842" s="60"/>
      <c r="T842" s="60"/>
      <c r="U842" s="60"/>
      <c r="V842" s="60"/>
      <c r="W842" s="60"/>
    </row>
    <row r="843" spans="1:23" ht="13" x14ac:dyDescent="0.3">
      <c r="A843" s="58"/>
      <c r="B843" s="58"/>
      <c r="C843" s="58"/>
      <c r="D843" s="58"/>
      <c r="E843" s="58"/>
      <c r="F843" s="58"/>
      <c r="G843" s="58"/>
      <c r="H843" s="59"/>
      <c r="I843" s="59"/>
      <c r="J843" s="59"/>
      <c r="K843" s="59"/>
      <c r="L843" s="59"/>
      <c r="M843" s="60"/>
      <c r="N843" s="60"/>
      <c r="O843" s="60"/>
      <c r="P843" s="59"/>
      <c r="Q843" s="59"/>
      <c r="R843" s="60"/>
      <c r="S843" s="60"/>
      <c r="T843" s="60"/>
      <c r="U843" s="60"/>
      <c r="V843" s="60"/>
      <c r="W843" s="60"/>
    </row>
    <row r="844" spans="1:23" ht="13" x14ac:dyDescent="0.3">
      <c r="A844" s="58"/>
      <c r="B844" s="58"/>
      <c r="C844" s="58"/>
      <c r="D844" s="58"/>
      <c r="E844" s="58"/>
      <c r="F844" s="58"/>
      <c r="G844" s="58"/>
      <c r="H844" s="59"/>
      <c r="I844" s="59"/>
      <c r="J844" s="59"/>
      <c r="K844" s="59"/>
      <c r="L844" s="59"/>
      <c r="M844" s="60"/>
      <c r="N844" s="60"/>
      <c r="O844" s="60"/>
      <c r="P844" s="59"/>
      <c r="Q844" s="59"/>
      <c r="R844" s="60"/>
      <c r="S844" s="60"/>
      <c r="T844" s="60"/>
      <c r="U844" s="60"/>
      <c r="V844" s="60"/>
      <c r="W844" s="60"/>
    </row>
    <row r="845" spans="1:23" ht="13" x14ac:dyDescent="0.3">
      <c r="A845" s="58"/>
      <c r="B845" s="58"/>
      <c r="C845" s="58"/>
      <c r="D845" s="58"/>
      <c r="E845" s="58"/>
      <c r="F845" s="58"/>
      <c r="G845" s="58"/>
      <c r="H845" s="59"/>
      <c r="I845" s="59"/>
      <c r="J845" s="59"/>
      <c r="K845" s="59"/>
      <c r="L845" s="59"/>
      <c r="M845" s="60"/>
      <c r="N845" s="60"/>
      <c r="O845" s="60"/>
      <c r="P845" s="59"/>
      <c r="Q845" s="59"/>
      <c r="R845" s="60"/>
      <c r="S845" s="60"/>
      <c r="T845" s="60"/>
      <c r="U845" s="60"/>
      <c r="V845" s="60"/>
      <c r="W845" s="60"/>
    </row>
    <row r="846" spans="1:23" ht="13" x14ac:dyDescent="0.3">
      <c r="A846" s="58"/>
      <c r="B846" s="58"/>
      <c r="C846" s="58"/>
      <c r="D846" s="58"/>
      <c r="E846" s="58"/>
      <c r="F846" s="58"/>
      <c r="G846" s="58"/>
      <c r="H846" s="59"/>
      <c r="I846" s="59"/>
      <c r="J846" s="59"/>
      <c r="K846" s="59"/>
      <c r="L846" s="59"/>
      <c r="M846" s="60"/>
      <c r="N846" s="60"/>
      <c r="O846" s="60"/>
      <c r="P846" s="59"/>
      <c r="Q846" s="59"/>
      <c r="R846" s="60"/>
      <c r="S846" s="60"/>
      <c r="T846" s="60"/>
      <c r="U846" s="60"/>
      <c r="V846" s="60"/>
      <c r="W846" s="60"/>
    </row>
    <row r="847" spans="1:23" ht="13" x14ac:dyDescent="0.3">
      <c r="A847" s="58"/>
      <c r="B847" s="58"/>
      <c r="C847" s="58"/>
      <c r="D847" s="58"/>
      <c r="E847" s="58"/>
      <c r="F847" s="58"/>
      <c r="G847" s="58"/>
      <c r="H847" s="59"/>
      <c r="I847" s="59"/>
      <c r="J847" s="59"/>
      <c r="K847" s="59"/>
      <c r="L847" s="59"/>
      <c r="M847" s="60"/>
      <c r="N847" s="60"/>
      <c r="O847" s="60"/>
      <c r="P847" s="59"/>
      <c r="Q847" s="59"/>
      <c r="R847" s="60"/>
      <c r="S847" s="60"/>
      <c r="T847" s="60"/>
      <c r="U847" s="60"/>
      <c r="V847" s="60"/>
      <c r="W847" s="60"/>
    </row>
    <row r="848" spans="1:23" ht="13" x14ac:dyDescent="0.3">
      <c r="A848" s="58"/>
      <c r="B848" s="58"/>
      <c r="C848" s="58"/>
      <c r="D848" s="58"/>
      <c r="E848" s="58"/>
      <c r="F848" s="58"/>
      <c r="G848" s="58"/>
      <c r="H848" s="59"/>
      <c r="I848" s="59"/>
      <c r="J848" s="59"/>
      <c r="K848" s="59"/>
      <c r="L848" s="59"/>
      <c r="M848" s="60"/>
      <c r="N848" s="60"/>
      <c r="O848" s="60"/>
      <c r="P848" s="59"/>
      <c r="Q848" s="59"/>
      <c r="R848" s="60"/>
      <c r="S848" s="60"/>
      <c r="T848" s="60"/>
      <c r="U848" s="60"/>
      <c r="V848" s="60"/>
      <c r="W848" s="60"/>
    </row>
    <row r="849" spans="1:23" ht="13" x14ac:dyDescent="0.3">
      <c r="A849" s="58"/>
      <c r="B849" s="58"/>
      <c r="C849" s="58"/>
      <c r="D849" s="58"/>
      <c r="E849" s="58"/>
      <c r="F849" s="58"/>
      <c r="G849" s="58"/>
      <c r="H849" s="59"/>
      <c r="I849" s="59"/>
      <c r="J849" s="59"/>
      <c r="K849" s="59"/>
      <c r="L849" s="59"/>
      <c r="M849" s="60"/>
      <c r="N849" s="60"/>
      <c r="O849" s="60"/>
      <c r="P849" s="59"/>
      <c r="Q849" s="59"/>
      <c r="R849" s="60"/>
      <c r="S849" s="60"/>
      <c r="T849" s="60"/>
      <c r="U849" s="60"/>
      <c r="V849" s="60"/>
      <c r="W849" s="60"/>
    </row>
    <row r="850" spans="1:23" ht="13" x14ac:dyDescent="0.3">
      <c r="A850" s="58"/>
      <c r="B850" s="58"/>
      <c r="C850" s="58"/>
      <c r="D850" s="58"/>
      <c r="E850" s="58"/>
      <c r="F850" s="58"/>
      <c r="G850" s="58"/>
      <c r="H850" s="59"/>
      <c r="I850" s="59"/>
      <c r="J850" s="59"/>
      <c r="K850" s="59"/>
      <c r="L850" s="59"/>
      <c r="M850" s="60"/>
      <c r="N850" s="60"/>
      <c r="O850" s="60"/>
      <c r="P850" s="59"/>
      <c r="Q850" s="59"/>
      <c r="R850" s="60"/>
      <c r="S850" s="60"/>
      <c r="T850" s="60"/>
      <c r="U850" s="60"/>
      <c r="V850" s="60"/>
      <c r="W850" s="60"/>
    </row>
    <row r="851" spans="1:23" ht="13" x14ac:dyDescent="0.3">
      <c r="A851" s="58"/>
      <c r="B851" s="58"/>
      <c r="C851" s="58"/>
      <c r="D851" s="58"/>
      <c r="E851" s="58"/>
      <c r="F851" s="58"/>
      <c r="G851" s="58"/>
      <c r="H851" s="59"/>
      <c r="I851" s="59"/>
      <c r="J851" s="59"/>
      <c r="K851" s="59"/>
      <c r="L851" s="59"/>
      <c r="M851" s="60"/>
      <c r="N851" s="60"/>
      <c r="O851" s="60"/>
      <c r="P851" s="59"/>
      <c r="Q851" s="59"/>
      <c r="R851" s="60"/>
      <c r="S851" s="60"/>
      <c r="T851" s="60"/>
      <c r="U851" s="60"/>
      <c r="V851" s="60"/>
      <c r="W851" s="60"/>
    </row>
    <row r="852" spans="1:23" ht="13" x14ac:dyDescent="0.3">
      <c r="A852" s="58"/>
      <c r="B852" s="58"/>
      <c r="C852" s="58"/>
      <c r="D852" s="58"/>
      <c r="E852" s="58"/>
      <c r="F852" s="58"/>
      <c r="G852" s="58"/>
      <c r="H852" s="59"/>
      <c r="I852" s="59"/>
      <c r="J852" s="59"/>
      <c r="K852" s="59"/>
      <c r="L852" s="59"/>
      <c r="M852" s="60"/>
      <c r="N852" s="60"/>
      <c r="O852" s="60"/>
      <c r="P852" s="59"/>
      <c r="Q852" s="59"/>
      <c r="R852" s="60"/>
      <c r="S852" s="60"/>
      <c r="T852" s="60"/>
      <c r="U852" s="60"/>
      <c r="V852" s="60"/>
      <c r="W852" s="60"/>
    </row>
    <row r="853" spans="1:23" ht="13" x14ac:dyDescent="0.3">
      <c r="A853" s="58"/>
      <c r="B853" s="58"/>
      <c r="C853" s="58"/>
      <c r="D853" s="58"/>
      <c r="E853" s="58"/>
      <c r="F853" s="58"/>
      <c r="G853" s="58"/>
      <c r="H853" s="59"/>
      <c r="I853" s="59"/>
      <c r="J853" s="59"/>
      <c r="K853" s="59"/>
      <c r="L853" s="59"/>
      <c r="M853" s="60"/>
      <c r="N853" s="60"/>
      <c r="O853" s="60"/>
      <c r="P853" s="59"/>
      <c r="Q853" s="59"/>
      <c r="R853" s="60"/>
      <c r="S853" s="60"/>
      <c r="T853" s="60"/>
      <c r="U853" s="60"/>
      <c r="V853" s="60"/>
      <c r="W853" s="60"/>
    </row>
    <row r="854" spans="1:23" ht="13" x14ac:dyDescent="0.3">
      <c r="A854" s="58"/>
      <c r="B854" s="58"/>
      <c r="C854" s="58"/>
      <c r="D854" s="58"/>
      <c r="E854" s="58"/>
      <c r="F854" s="58"/>
      <c r="G854" s="58"/>
      <c r="H854" s="59"/>
      <c r="I854" s="59"/>
      <c r="J854" s="59"/>
      <c r="K854" s="59"/>
      <c r="L854" s="59"/>
      <c r="M854" s="60"/>
      <c r="N854" s="60"/>
      <c r="O854" s="60"/>
      <c r="P854" s="59"/>
      <c r="Q854" s="59"/>
      <c r="R854" s="60"/>
      <c r="S854" s="60"/>
      <c r="T854" s="60"/>
      <c r="U854" s="60"/>
      <c r="V854" s="60"/>
      <c r="W854" s="60"/>
    </row>
    <row r="855" spans="1:23" ht="13" x14ac:dyDescent="0.3">
      <c r="A855" s="58"/>
      <c r="B855" s="58"/>
      <c r="C855" s="58"/>
      <c r="D855" s="58"/>
      <c r="E855" s="58"/>
      <c r="F855" s="58"/>
      <c r="G855" s="58"/>
      <c r="H855" s="59"/>
      <c r="I855" s="59"/>
      <c r="J855" s="59"/>
      <c r="K855" s="59"/>
      <c r="L855" s="59"/>
      <c r="M855" s="60"/>
      <c r="N855" s="60"/>
      <c r="O855" s="60"/>
      <c r="P855" s="59"/>
      <c r="Q855" s="59"/>
      <c r="R855" s="60"/>
      <c r="S855" s="60"/>
      <c r="T855" s="60"/>
      <c r="U855" s="60"/>
      <c r="V855" s="60"/>
      <c r="W855" s="60"/>
    </row>
    <row r="856" spans="1:23" ht="13" x14ac:dyDescent="0.3">
      <c r="A856" s="58"/>
      <c r="B856" s="58"/>
      <c r="C856" s="58"/>
      <c r="D856" s="58"/>
      <c r="E856" s="58"/>
      <c r="F856" s="58"/>
      <c r="G856" s="58"/>
      <c r="H856" s="59"/>
      <c r="I856" s="59"/>
      <c r="J856" s="59"/>
      <c r="K856" s="59"/>
      <c r="L856" s="59"/>
      <c r="M856" s="60"/>
      <c r="N856" s="60"/>
      <c r="O856" s="60"/>
      <c r="P856" s="59"/>
      <c r="Q856" s="59"/>
      <c r="R856" s="60"/>
      <c r="S856" s="60"/>
      <c r="T856" s="60"/>
      <c r="U856" s="60"/>
      <c r="V856" s="60"/>
      <c r="W856" s="60"/>
    </row>
    <row r="857" spans="1:23" ht="13" x14ac:dyDescent="0.3">
      <c r="A857" s="58"/>
      <c r="B857" s="58"/>
      <c r="C857" s="58"/>
      <c r="D857" s="58"/>
      <c r="E857" s="58"/>
      <c r="F857" s="58"/>
      <c r="G857" s="58"/>
      <c r="H857" s="59"/>
      <c r="I857" s="59"/>
      <c r="J857" s="59"/>
      <c r="K857" s="59"/>
      <c r="L857" s="59"/>
      <c r="M857" s="60"/>
      <c r="N857" s="60"/>
      <c r="O857" s="60"/>
      <c r="P857" s="59"/>
      <c r="Q857" s="59"/>
      <c r="R857" s="60"/>
      <c r="S857" s="60"/>
      <c r="T857" s="60"/>
      <c r="U857" s="60"/>
      <c r="V857" s="60"/>
      <c r="W857" s="60"/>
    </row>
    <row r="858" spans="1:23" ht="13" x14ac:dyDescent="0.3">
      <c r="A858" s="58"/>
      <c r="B858" s="58"/>
      <c r="C858" s="58"/>
      <c r="D858" s="58"/>
      <c r="E858" s="58"/>
      <c r="F858" s="58"/>
      <c r="G858" s="58"/>
      <c r="H858" s="59"/>
      <c r="I858" s="59"/>
      <c r="J858" s="59"/>
      <c r="K858" s="59"/>
      <c r="L858" s="59"/>
      <c r="M858" s="60"/>
      <c r="N858" s="60"/>
      <c r="O858" s="60"/>
      <c r="P858" s="59"/>
      <c r="Q858" s="59"/>
      <c r="R858" s="60"/>
      <c r="S858" s="60"/>
      <c r="T858" s="60"/>
      <c r="U858" s="60"/>
      <c r="V858" s="60"/>
      <c r="W858" s="60"/>
    </row>
    <row r="859" spans="1:23" ht="13" x14ac:dyDescent="0.3">
      <c r="A859" s="58"/>
      <c r="B859" s="58"/>
      <c r="C859" s="58"/>
      <c r="D859" s="58"/>
      <c r="E859" s="58"/>
      <c r="F859" s="58"/>
      <c r="G859" s="58"/>
      <c r="H859" s="59"/>
      <c r="I859" s="59"/>
      <c r="J859" s="59"/>
      <c r="K859" s="59"/>
      <c r="L859" s="59"/>
      <c r="M859" s="60"/>
      <c r="N859" s="60"/>
      <c r="O859" s="60"/>
      <c r="P859" s="59"/>
      <c r="Q859" s="59"/>
      <c r="R859" s="60"/>
      <c r="S859" s="60"/>
      <c r="T859" s="60"/>
      <c r="U859" s="60"/>
      <c r="V859" s="60"/>
      <c r="W859" s="60"/>
    </row>
  </sheetData>
  <autoFilter ref="A1:R38" xr:uid="{00000000-0001-0000-0000-000000000000}"/>
  <conditionalFormatting sqref="B36:B38">
    <cfRule type="duplicateValues" dxfId="67" priority="24"/>
    <cfRule type="duplicateValues" dxfId="66" priority="25"/>
  </conditionalFormatting>
  <conditionalFormatting sqref="B39:B1048576 B1:B35">
    <cfRule type="duplicateValues" dxfId="65" priority="187"/>
    <cfRule type="duplicateValues" dxfId="64" priority="188"/>
  </conditionalFormatting>
  <conditionalFormatting sqref="B1:D1048576">
    <cfRule type="duplicateValues" dxfId="63" priority="165"/>
  </conditionalFormatting>
  <conditionalFormatting sqref="B39:D1048576 B1:D35 D3:D38">
    <cfRule type="duplicateValues" dxfId="62" priority="184"/>
  </conditionalFormatting>
  <conditionalFormatting sqref="C36:D38">
    <cfRule type="duplicateValues" dxfId="61" priority="21"/>
    <cfRule type="duplicateValues" dxfId="60" priority="22"/>
    <cfRule type="duplicateValues" dxfId="59" priority="23"/>
  </conditionalFormatting>
  <conditionalFormatting sqref="C39:D1048576 C1:D16 C18:D35 D3:D38">
    <cfRule type="duplicateValues" dxfId="58" priority="168"/>
    <cfRule type="duplicateValues" dxfId="57" priority="169"/>
    <cfRule type="duplicateValues" dxfId="56" priority="170"/>
    <cfRule type="duplicateValues" dxfId="55" priority="171"/>
  </conditionalFormatting>
  <dataValidations count="1">
    <dataValidation type="list" allowBlank="1" showErrorMessage="1" sqref="E23:E33" xr:uid="{986709E0-589A-4DD6-B3A4-D4CC7D2B4334}">
      <formula1>"II/a,II/b,II/c,II/d,III/a,III/b,III/c,III/d,IV/a,IV/b,IV/c"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3B86-AB33-4C1C-9C89-7962A80B3CB5}">
  <sheetPr>
    <outlinePr summaryBelow="0" summaryRight="0"/>
  </sheetPr>
  <dimension ref="A1:W866"/>
  <sheetViews>
    <sheetView zoomScale="60" zoomScaleNormal="6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W18"/>
    </sheetView>
  </sheetViews>
  <sheetFormatPr defaultColWidth="12.6328125" defaultRowHeight="15.75" customHeight="1" x14ac:dyDescent="0.3"/>
  <cols>
    <col min="1" max="1" width="5.26953125" style="11" customWidth="1"/>
    <col min="2" max="2" width="39" style="11" customWidth="1"/>
    <col min="3" max="4" width="24.7265625" style="11" customWidth="1"/>
    <col min="5" max="5" width="25.6328125" style="11" customWidth="1"/>
    <col min="6" max="6" width="44.90625" style="11" customWidth="1"/>
    <col min="7" max="7" width="12.90625" style="11" customWidth="1"/>
    <col min="8" max="9" width="33.26953125" style="61" customWidth="1"/>
    <col min="10" max="10" width="17.7265625" style="56" customWidth="1"/>
    <col min="11" max="11" width="31.81640625" style="61" customWidth="1"/>
    <col min="12" max="12" width="19.54296875" style="56" customWidth="1"/>
    <col min="13" max="14" width="18.7265625" style="11" customWidth="1"/>
    <col min="15" max="15" width="16.6328125" style="11" customWidth="1"/>
    <col min="16" max="17" width="20.90625" style="56" customWidth="1"/>
    <col min="18" max="19" width="20.26953125" style="11" customWidth="1"/>
    <col min="20" max="20" width="37.26953125" style="11" customWidth="1"/>
    <col min="21" max="22" width="36.54296875" style="11" customWidth="1"/>
    <col min="23" max="23" width="31.7265625" style="11" customWidth="1"/>
    <col min="24" max="16384" width="12.6328125" style="11"/>
  </cols>
  <sheetData>
    <row r="1" spans="1:23" ht="112.5" customHeight="1" x14ac:dyDescent="0.3">
      <c r="A1" s="1"/>
      <c r="B1" s="2" t="s">
        <v>0</v>
      </c>
      <c r="C1" s="2" t="s">
        <v>1</v>
      </c>
      <c r="D1" s="2" t="s">
        <v>2930</v>
      </c>
      <c r="E1" s="2" t="s">
        <v>2</v>
      </c>
      <c r="F1" s="2" t="s">
        <v>3</v>
      </c>
      <c r="G1" s="2" t="s">
        <v>4</v>
      </c>
      <c r="H1" s="1" t="s">
        <v>5</v>
      </c>
      <c r="I1" s="3" t="s">
        <v>6</v>
      </c>
      <c r="J1" s="4" t="s">
        <v>7</v>
      </c>
      <c r="K1" s="4" t="s">
        <v>8</v>
      </c>
      <c r="L1" s="5" t="s">
        <v>9</v>
      </c>
      <c r="M1" s="5" t="s">
        <v>10</v>
      </c>
      <c r="N1" s="6" t="s">
        <v>11</v>
      </c>
      <c r="O1" s="6" t="s">
        <v>12</v>
      </c>
      <c r="P1" s="7" t="s">
        <v>13</v>
      </c>
      <c r="Q1" s="7" t="s">
        <v>14</v>
      </c>
      <c r="R1" s="8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10" t="s">
        <v>20</v>
      </c>
    </row>
    <row r="2" spans="1:23" s="17" customFormat="1" ht="14.5" x14ac:dyDescent="0.35">
      <c r="A2" s="12">
        <v>1</v>
      </c>
      <c r="B2" s="13" t="s">
        <v>1427</v>
      </c>
      <c r="C2" s="14" t="s">
        <v>1428</v>
      </c>
      <c r="D2" s="14" t="str">
        <f>IF(MID(C2,15,1)="1","Laki-Laki","Perempuan")</f>
        <v>Laki-Laki</v>
      </c>
      <c r="E2" s="13"/>
      <c r="F2" s="18"/>
      <c r="G2" s="13" t="s">
        <v>1429</v>
      </c>
      <c r="H2" s="15" t="s">
        <v>1430</v>
      </c>
      <c r="I2" s="15" t="s">
        <v>1431</v>
      </c>
      <c r="J2" s="12" t="s">
        <v>26</v>
      </c>
      <c r="K2" s="15" t="s">
        <v>257</v>
      </c>
      <c r="L2" s="15" t="s">
        <v>205</v>
      </c>
      <c r="M2" s="15">
        <v>2020</v>
      </c>
      <c r="N2" s="15" t="str">
        <f>L2</f>
        <v xml:space="preserve">September </v>
      </c>
      <c r="O2" s="15">
        <v>2022</v>
      </c>
      <c r="P2" s="15">
        <v>2020</v>
      </c>
      <c r="Q2" s="15"/>
      <c r="R2" s="16" t="s">
        <v>29</v>
      </c>
      <c r="S2" s="15"/>
      <c r="T2" s="15"/>
      <c r="U2" s="15"/>
      <c r="V2" s="15"/>
      <c r="W2" s="15"/>
    </row>
    <row r="3" spans="1:23" s="17" customFormat="1" ht="28" x14ac:dyDescent="0.35">
      <c r="A3" s="12">
        <v>2</v>
      </c>
      <c r="B3" s="13" t="s">
        <v>1432</v>
      </c>
      <c r="C3" s="14" t="s">
        <v>1433</v>
      </c>
      <c r="D3" s="14" t="str">
        <f t="shared" ref="D3:D18" si="0">IF(MID(C3,15,1)="1","Laki-Laki","Perempuan")</f>
        <v>Perempuan</v>
      </c>
      <c r="E3" s="13"/>
      <c r="F3" s="13"/>
      <c r="G3" s="13" t="s">
        <v>1429</v>
      </c>
      <c r="H3" s="15" t="s">
        <v>1434</v>
      </c>
      <c r="I3" s="15" t="s">
        <v>852</v>
      </c>
      <c r="J3" s="12" t="s">
        <v>45</v>
      </c>
      <c r="K3" s="15" t="s">
        <v>286</v>
      </c>
      <c r="L3" s="23" t="s">
        <v>28</v>
      </c>
      <c r="M3" s="21">
        <v>2022</v>
      </c>
      <c r="N3" s="15" t="str">
        <f>L3</f>
        <v>September</v>
      </c>
      <c r="O3" s="15">
        <v>2026</v>
      </c>
      <c r="P3" s="15">
        <v>2022</v>
      </c>
      <c r="Q3" s="15"/>
      <c r="R3" s="34" t="s">
        <v>51</v>
      </c>
      <c r="S3" s="21"/>
      <c r="T3" s="21"/>
      <c r="U3" s="21"/>
      <c r="V3" s="21"/>
      <c r="W3" s="21"/>
    </row>
    <row r="4" spans="1:23" s="17" customFormat="1" ht="14.5" x14ac:dyDescent="0.35">
      <c r="A4" s="12">
        <v>3</v>
      </c>
      <c r="B4" s="25" t="s">
        <v>1435</v>
      </c>
      <c r="C4" s="63" t="s">
        <v>1436</v>
      </c>
      <c r="D4" s="14" t="str">
        <f t="shared" si="0"/>
        <v>Laki-Laki</v>
      </c>
      <c r="E4" s="24" t="s">
        <v>104</v>
      </c>
      <c r="F4" s="64" t="s">
        <v>1437</v>
      </c>
      <c r="G4" s="13" t="s">
        <v>1429</v>
      </c>
      <c r="H4" s="19" t="s">
        <v>1438</v>
      </c>
      <c r="I4" s="19" t="s">
        <v>549</v>
      </c>
      <c r="J4" s="12" t="s">
        <v>26</v>
      </c>
      <c r="K4" s="19" t="s">
        <v>46</v>
      </c>
      <c r="L4" s="86" t="s">
        <v>1439</v>
      </c>
      <c r="M4" s="15">
        <v>2023</v>
      </c>
      <c r="N4" s="15" t="str">
        <f>L4</f>
        <v xml:space="preserve">Maret  </v>
      </c>
      <c r="O4" s="15">
        <v>2025</v>
      </c>
      <c r="P4" s="15">
        <v>2023</v>
      </c>
      <c r="Q4" s="15"/>
      <c r="R4" s="34" t="s">
        <v>51</v>
      </c>
      <c r="S4" s="21"/>
      <c r="T4" s="21"/>
      <c r="U4" s="21"/>
      <c r="V4" s="21"/>
      <c r="W4" s="21"/>
    </row>
    <row r="5" spans="1:23" s="17" customFormat="1" ht="14.5" x14ac:dyDescent="0.35">
      <c r="A5" s="12">
        <v>4</v>
      </c>
      <c r="B5" s="72" t="s">
        <v>1440</v>
      </c>
      <c r="C5" s="63" t="s">
        <v>1441</v>
      </c>
      <c r="D5" s="14" t="str">
        <f t="shared" si="0"/>
        <v>Perempuan</v>
      </c>
      <c r="E5" s="24" t="s">
        <v>98</v>
      </c>
      <c r="F5" s="64" t="s">
        <v>1442</v>
      </c>
      <c r="G5" s="13" t="s">
        <v>1429</v>
      </c>
      <c r="H5" s="19" t="s">
        <v>1443</v>
      </c>
      <c r="I5" s="19" t="s">
        <v>90</v>
      </c>
      <c r="J5" s="12" t="s">
        <v>45</v>
      </c>
      <c r="K5" s="19" t="s">
        <v>569</v>
      </c>
      <c r="L5" s="86" t="s">
        <v>1439</v>
      </c>
      <c r="M5" s="15">
        <v>2023</v>
      </c>
      <c r="N5" s="15" t="str">
        <f t="shared" ref="N5:N16" si="1">L5</f>
        <v xml:space="preserve">Maret  </v>
      </c>
      <c r="O5" s="15">
        <v>2027</v>
      </c>
      <c r="P5" s="15">
        <v>2023</v>
      </c>
      <c r="Q5" s="15"/>
      <c r="R5" s="34" t="s">
        <v>51</v>
      </c>
      <c r="S5" s="21"/>
      <c r="T5" s="21"/>
      <c r="U5" s="21"/>
      <c r="V5" s="21"/>
      <c r="W5" s="21"/>
    </row>
    <row r="6" spans="1:23" s="17" customFormat="1" ht="28" x14ac:dyDescent="0.35">
      <c r="A6" s="12">
        <v>5</v>
      </c>
      <c r="B6" s="72" t="s">
        <v>1444</v>
      </c>
      <c r="C6" s="63" t="s">
        <v>1445</v>
      </c>
      <c r="D6" s="14" t="str">
        <f t="shared" si="0"/>
        <v>Perempuan</v>
      </c>
      <c r="E6" s="24" t="s">
        <v>126</v>
      </c>
      <c r="F6" s="64" t="s">
        <v>1106</v>
      </c>
      <c r="G6" s="13" t="s">
        <v>1429</v>
      </c>
      <c r="H6" s="19" t="s">
        <v>1446</v>
      </c>
      <c r="I6" s="19" t="s">
        <v>320</v>
      </c>
      <c r="J6" s="12" t="s">
        <v>45</v>
      </c>
      <c r="K6" s="19" t="s">
        <v>295</v>
      </c>
      <c r="L6" s="86" t="s">
        <v>1439</v>
      </c>
      <c r="M6" s="15">
        <v>2023</v>
      </c>
      <c r="N6" s="15" t="str">
        <f t="shared" si="1"/>
        <v xml:space="preserve">Maret  </v>
      </c>
      <c r="O6" s="15">
        <v>2027</v>
      </c>
      <c r="P6" s="15">
        <v>2023</v>
      </c>
      <c r="Q6" s="15"/>
      <c r="R6" s="34" t="s">
        <v>51</v>
      </c>
      <c r="S6" s="21"/>
      <c r="T6" s="21"/>
      <c r="U6" s="21"/>
      <c r="V6" s="21"/>
      <c r="W6" s="21"/>
    </row>
    <row r="7" spans="1:23" s="17" customFormat="1" ht="14.5" x14ac:dyDescent="0.35">
      <c r="A7" s="12">
        <v>6</v>
      </c>
      <c r="B7" s="25" t="s">
        <v>1447</v>
      </c>
      <c r="C7" s="69" t="s">
        <v>1448</v>
      </c>
      <c r="D7" s="14" t="str">
        <f t="shared" si="0"/>
        <v>Laki-Laki</v>
      </c>
      <c r="E7" s="24" t="s">
        <v>791</v>
      </c>
      <c r="F7" s="72" t="s">
        <v>1449</v>
      </c>
      <c r="G7" s="13" t="s">
        <v>1429</v>
      </c>
      <c r="H7" s="19" t="s">
        <v>1450</v>
      </c>
      <c r="I7" s="19" t="s">
        <v>241</v>
      </c>
      <c r="J7" s="12" t="s">
        <v>242</v>
      </c>
      <c r="K7" s="19" t="s">
        <v>243</v>
      </c>
      <c r="L7" s="86" t="s">
        <v>145</v>
      </c>
      <c r="M7" s="15">
        <v>2020</v>
      </c>
      <c r="N7" s="15" t="str">
        <f t="shared" si="1"/>
        <v xml:space="preserve">Agustus </v>
      </c>
      <c r="O7" s="15">
        <v>2023</v>
      </c>
      <c r="P7" s="15">
        <v>2022</v>
      </c>
      <c r="Q7" s="15"/>
      <c r="R7" s="34" t="s">
        <v>51</v>
      </c>
      <c r="S7" s="21"/>
      <c r="T7" s="21"/>
      <c r="U7" s="21"/>
      <c r="V7" s="21"/>
      <c r="W7" s="21"/>
    </row>
    <row r="8" spans="1:23" s="17" customFormat="1" ht="28" x14ac:dyDescent="0.35">
      <c r="A8" s="12">
        <v>7</v>
      </c>
      <c r="B8" s="73" t="s">
        <v>2838</v>
      </c>
      <c r="C8" s="69" t="s">
        <v>1451</v>
      </c>
      <c r="D8" s="14" t="str">
        <f t="shared" si="0"/>
        <v>Perempuan</v>
      </c>
      <c r="E8" s="24" t="s">
        <v>116</v>
      </c>
      <c r="F8" s="72" t="s">
        <v>99</v>
      </c>
      <c r="G8" s="13" t="s">
        <v>1429</v>
      </c>
      <c r="H8" s="19" t="s">
        <v>1452</v>
      </c>
      <c r="I8" s="19" t="s">
        <v>1453</v>
      </c>
      <c r="J8" s="19" t="s">
        <v>45</v>
      </c>
      <c r="K8" s="19" t="s">
        <v>273</v>
      </c>
      <c r="L8" s="86" t="s">
        <v>205</v>
      </c>
      <c r="M8" s="15">
        <v>2022</v>
      </c>
      <c r="N8" s="15" t="str">
        <f t="shared" si="1"/>
        <v xml:space="preserve">September </v>
      </c>
      <c r="O8" s="15"/>
      <c r="P8" s="15">
        <v>2022</v>
      </c>
      <c r="Q8" s="15"/>
      <c r="R8" s="16" t="s">
        <v>29</v>
      </c>
      <c r="S8" s="15"/>
      <c r="T8" s="15"/>
      <c r="U8" s="15"/>
      <c r="V8" s="15"/>
      <c r="W8" s="15"/>
    </row>
    <row r="9" spans="1:23" s="17" customFormat="1" ht="28" x14ac:dyDescent="0.35">
      <c r="A9" s="12">
        <v>8</v>
      </c>
      <c r="B9" s="25" t="s">
        <v>1454</v>
      </c>
      <c r="C9" s="69" t="s">
        <v>1455</v>
      </c>
      <c r="D9" s="14" t="str">
        <f t="shared" si="0"/>
        <v>Laki-Laki</v>
      </c>
      <c r="E9" s="24" t="s">
        <v>116</v>
      </c>
      <c r="F9" s="72" t="s">
        <v>1414</v>
      </c>
      <c r="G9" s="13" t="s">
        <v>1429</v>
      </c>
      <c r="H9" s="19" t="s">
        <v>1456</v>
      </c>
      <c r="I9" s="19" t="s">
        <v>90</v>
      </c>
      <c r="J9" s="19" t="s">
        <v>81</v>
      </c>
      <c r="K9" s="19" t="s">
        <v>117</v>
      </c>
      <c r="L9" s="86" t="s">
        <v>205</v>
      </c>
      <c r="M9" s="15">
        <v>2022</v>
      </c>
      <c r="N9" s="15" t="str">
        <f t="shared" si="1"/>
        <v xml:space="preserve">September </v>
      </c>
      <c r="O9" s="15">
        <v>2026</v>
      </c>
      <c r="P9" s="15">
        <v>2022</v>
      </c>
      <c r="Q9" s="15"/>
      <c r="R9" s="16" t="s">
        <v>51</v>
      </c>
      <c r="S9" s="15"/>
      <c r="T9" s="15"/>
      <c r="U9" s="15"/>
      <c r="V9" s="15"/>
      <c r="W9" s="15"/>
    </row>
    <row r="10" spans="1:23" s="17" customFormat="1" ht="28" x14ac:dyDescent="0.35">
      <c r="A10" s="12">
        <v>9</v>
      </c>
      <c r="B10" s="25" t="s">
        <v>1457</v>
      </c>
      <c r="C10" s="69" t="s">
        <v>1458</v>
      </c>
      <c r="D10" s="14" t="str">
        <f t="shared" si="0"/>
        <v>Laki-Laki</v>
      </c>
      <c r="E10" s="24" t="s">
        <v>116</v>
      </c>
      <c r="F10" s="72" t="s">
        <v>1414</v>
      </c>
      <c r="G10" s="13" t="s">
        <v>1429</v>
      </c>
      <c r="H10" s="19" t="s">
        <v>1456</v>
      </c>
      <c r="I10" s="19" t="s">
        <v>90</v>
      </c>
      <c r="J10" s="19" t="s">
        <v>45</v>
      </c>
      <c r="K10" s="19" t="s">
        <v>46</v>
      </c>
      <c r="L10" s="86" t="s">
        <v>205</v>
      </c>
      <c r="M10" s="15">
        <v>2022</v>
      </c>
      <c r="N10" s="15" t="str">
        <f t="shared" si="1"/>
        <v xml:space="preserve">September </v>
      </c>
      <c r="O10" s="15">
        <v>2026</v>
      </c>
      <c r="P10" s="15">
        <v>2022</v>
      </c>
      <c r="Q10" s="15"/>
      <c r="R10" s="16" t="s">
        <v>51</v>
      </c>
      <c r="S10" s="15"/>
      <c r="T10" s="15"/>
      <c r="U10" s="15"/>
      <c r="V10" s="15"/>
      <c r="W10" s="15"/>
    </row>
    <row r="11" spans="1:23" s="17" customFormat="1" ht="28" x14ac:dyDescent="0.35">
      <c r="A11" s="12">
        <v>10</v>
      </c>
      <c r="B11" s="25" t="s">
        <v>1459</v>
      </c>
      <c r="C11" s="69" t="s">
        <v>1460</v>
      </c>
      <c r="D11" s="14" t="str">
        <f t="shared" si="0"/>
        <v>Laki-Laki</v>
      </c>
      <c r="E11" s="24" t="s">
        <v>116</v>
      </c>
      <c r="F11" s="72" t="s">
        <v>526</v>
      </c>
      <c r="G11" s="13" t="s">
        <v>1429</v>
      </c>
      <c r="H11" s="19" t="s">
        <v>1456</v>
      </c>
      <c r="I11" s="19" t="s">
        <v>90</v>
      </c>
      <c r="J11" s="19" t="s">
        <v>45</v>
      </c>
      <c r="K11" s="19" t="s">
        <v>196</v>
      </c>
      <c r="L11" s="86" t="s">
        <v>205</v>
      </c>
      <c r="M11" s="15">
        <v>2022</v>
      </c>
      <c r="N11" s="15" t="str">
        <f t="shared" si="1"/>
        <v xml:space="preserve">September </v>
      </c>
      <c r="O11" s="15">
        <v>2026</v>
      </c>
      <c r="P11" s="15">
        <v>2022</v>
      </c>
      <c r="Q11" s="15"/>
      <c r="R11" s="16" t="s">
        <v>51</v>
      </c>
      <c r="S11" s="15"/>
      <c r="T11" s="15"/>
      <c r="U11" s="15"/>
      <c r="V11" s="15"/>
      <c r="W11" s="15"/>
    </row>
    <row r="12" spans="1:23" s="17" customFormat="1" ht="28" x14ac:dyDescent="0.35">
      <c r="A12" s="12">
        <v>11</v>
      </c>
      <c r="B12" s="25" t="s">
        <v>1461</v>
      </c>
      <c r="C12" s="69" t="s">
        <v>1462</v>
      </c>
      <c r="D12" s="14" t="str">
        <f t="shared" si="0"/>
        <v>Perempuan</v>
      </c>
      <c r="E12" s="24" t="s">
        <v>109</v>
      </c>
      <c r="F12" s="72" t="s">
        <v>1463</v>
      </c>
      <c r="G12" s="13" t="s">
        <v>1429</v>
      </c>
      <c r="H12" s="19" t="s">
        <v>1456</v>
      </c>
      <c r="I12" s="19" t="s">
        <v>426</v>
      </c>
      <c r="J12" s="19" t="s">
        <v>26</v>
      </c>
      <c r="K12" s="19" t="s">
        <v>46</v>
      </c>
      <c r="L12" s="86" t="s">
        <v>205</v>
      </c>
      <c r="M12" s="15">
        <v>2022</v>
      </c>
      <c r="N12" s="15" t="str">
        <f t="shared" si="1"/>
        <v xml:space="preserve">September </v>
      </c>
      <c r="O12" s="15">
        <v>2024</v>
      </c>
      <c r="P12" s="15">
        <v>2022</v>
      </c>
      <c r="Q12" s="15"/>
      <c r="R12" s="16" t="s">
        <v>51</v>
      </c>
      <c r="S12" s="15"/>
      <c r="T12" s="15"/>
      <c r="U12" s="15"/>
      <c r="V12" s="15"/>
      <c r="W12" s="15"/>
    </row>
    <row r="13" spans="1:23" s="17" customFormat="1" ht="14.5" x14ac:dyDescent="0.35">
      <c r="A13" s="12">
        <v>12</v>
      </c>
      <c r="B13" s="13" t="s">
        <v>1464</v>
      </c>
      <c r="C13" s="14" t="s">
        <v>1465</v>
      </c>
      <c r="D13" s="14" t="str">
        <f t="shared" si="0"/>
        <v>Perempuan</v>
      </c>
      <c r="E13" s="13" t="s">
        <v>152</v>
      </c>
      <c r="F13" s="18" t="s">
        <v>153</v>
      </c>
      <c r="G13" s="13" t="s">
        <v>1429</v>
      </c>
      <c r="H13" s="15" t="s">
        <v>1438</v>
      </c>
      <c r="I13" s="15" t="s">
        <v>25</v>
      </c>
      <c r="J13" s="19" t="s">
        <v>45</v>
      </c>
      <c r="K13" s="15" t="s">
        <v>46</v>
      </c>
      <c r="L13" s="15" t="s">
        <v>60</v>
      </c>
      <c r="M13" s="15">
        <v>2024</v>
      </c>
      <c r="N13" s="15" t="str">
        <f t="shared" si="1"/>
        <v>Agustus</v>
      </c>
      <c r="O13" s="15">
        <v>2028</v>
      </c>
      <c r="P13" s="15">
        <v>2024</v>
      </c>
      <c r="Q13" s="15"/>
      <c r="R13" s="16" t="s">
        <v>51</v>
      </c>
      <c r="S13" s="15"/>
      <c r="T13" s="15"/>
      <c r="U13" s="15"/>
      <c r="V13" s="15"/>
      <c r="W13" s="15"/>
    </row>
    <row r="14" spans="1:23" s="17" customFormat="1" ht="14.5" x14ac:dyDescent="0.35">
      <c r="A14" s="12">
        <v>13</v>
      </c>
      <c r="B14" s="13" t="s">
        <v>1466</v>
      </c>
      <c r="C14" s="14" t="s">
        <v>1467</v>
      </c>
      <c r="D14" s="14" t="str">
        <f t="shared" si="0"/>
        <v>Perempuan</v>
      </c>
      <c r="E14" s="13" t="s">
        <v>152</v>
      </c>
      <c r="F14" s="18" t="s">
        <v>99</v>
      </c>
      <c r="G14" s="13" t="s">
        <v>1429</v>
      </c>
      <c r="H14" s="15" t="s">
        <v>1468</v>
      </c>
      <c r="I14" s="15" t="s">
        <v>225</v>
      </c>
      <c r="J14" s="19" t="s">
        <v>45</v>
      </c>
      <c r="K14" s="15" t="s">
        <v>40</v>
      </c>
      <c r="L14" s="15" t="s">
        <v>160</v>
      </c>
      <c r="M14" s="15">
        <v>2024</v>
      </c>
      <c r="N14" s="15" t="str">
        <f t="shared" si="1"/>
        <v>Juli</v>
      </c>
      <c r="O14" s="15">
        <v>2028</v>
      </c>
      <c r="P14" s="15">
        <v>2024</v>
      </c>
      <c r="Q14" s="15"/>
      <c r="R14" s="16" t="s">
        <v>51</v>
      </c>
      <c r="S14" s="15"/>
      <c r="T14" s="15"/>
      <c r="U14" s="15"/>
      <c r="V14" s="15"/>
      <c r="W14" s="15"/>
    </row>
    <row r="15" spans="1:23" s="17" customFormat="1" ht="14.5" x14ac:dyDescent="0.35">
      <c r="A15" s="12">
        <v>14</v>
      </c>
      <c r="B15" s="13" t="s">
        <v>1469</v>
      </c>
      <c r="C15" s="14" t="s">
        <v>1470</v>
      </c>
      <c r="D15" s="14" t="str">
        <f t="shared" si="0"/>
        <v>Perempuan</v>
      </c>
      <c r="E15" s="13" t="s">
        <v>152</v>
      </c>
      <c r="F15" s="18" t="s">
        <v>153</v>
      </c>
      <c r="G15" s="13" t="s">
        <v>1429</v>
      </c>
      <c r="H15" s="15" t="s">
        <v>1438</v>
      </c>
      <c r="I15" s="15" t="s">
        <v>1471</v>
      </c>
      <c r="J15" s="19" t="s">
        <v>45</v>
      </c>
      <c r="K15" s="15" t="s">
        <v>46</v>
      </c>
      <c r="L15" s="15" t="s">
        <v>60</v>
      </c>
      <c r="M15" s="15">
        <v>2024</v>
      </c>
      <c r="N15" s="15" t="str">
        <f t="shared" si="1"/>
        <v>Agustus</v>
      </c>
      <c r="O15" s="15">
        <v>2028</v>
      </c>
      <c r="P15" s="15">
        <v>2024</v>
      </c>
      <c r="Q15" s="15"/>
      <c r="R15" s="16" t="s">
        <v>51</v>
      </c>
      <c r="S15" s="15"/>
      <c r="T15" s="15"/>
      <c r="U15" s="15"/>
      <c r="V15" s="15"/>
      <c r="W15" s="15"/>
    </row>
    <row r="16" spans="1:23" s="17" customFormat="1" ht="28" x14ac:dyDescent="0.35">
      <c r="A16" s="12">
        <v>15</v>
      </c>
      <c r="B16" s="13" t="s">
        <v>1472</v>
      </c>
      <c r="C16" s="14" t="s">
        <v>1473</v>
      </c>
      <c r="D16" s="14" t="str">
        <f t="shared" si="0"/>
        <v>Perempuan</v>
      </c>
      <c r="E16" s="13" t="s">
        <v>215</v>
      </c>
      <c r="F16" s="18" t="s">
        <v>1474</v>
      </c>
      <c r="G16" s="13" t="s">
        <v>1429</v>
      </c>
      <c r="H16" s="15" t="s">
        <v>1456</v>
      </c>
      <c r="I16" s="15" t="s">
        <v>426</v>
      </c>
      <c r="J16" s="19" t="s">
        <v>26</v>
      </c>
      <c r="K16" s="15" t="s">
        <v>1475</v>
      </c>
      <c r="L16" s="15" t="s">
        <v>28</v>
      </c>
      <c r="M16" s="15">
        <v>2024</v>
      </c>
      <c r="N16" s="15" t="str">
        <f t="shared" si="1"/>
        <v>September</v>
      </c>
      <c r="O16" s="15">
        <v>2026</v>
      </c>
      <c r="P16" s="15">
        <v>2024</v>
      </c>
      <c r="Q16" s="15"/>
      <c r="R16" s="16" t="s">
        <v>51</v>
      </c>
      <c r="S16" s="15"/>
      <c r="T16" s="15"/>
      <c r="U16" s="15"/>
      <c r="V16" s="15"/>
      <c r="W16" s="15"/>
    </row>
    <row r="17" spans="1:23" s="17" customFormat="1" ht="28" x14ac:dyDescent="0.35">
      <c r="A17" s="12">
        <v>16</v>
      </c>
      <c r="B17" s="25" t="s">
        <v>1476</v>
      </c>
      <c r="C17" s="26" t="s">
        <v>1477</v>
      </c>
      <c r="D17" s="14" t="str">
        <f t="shared" si="0"/>
        <v>Perempuan</v>
      </c>
      <c r="E17" s="25" t="s">
        <v>188</v>
      </c>
      <c r="F17" s="33" t="s">
        <v>1478</v>
      </c>
      <c r="G17" s="13" t="s">
        <v>1429</v>
      </c>
      <c r="H17" s="19" t="s">
        <v>1456</v>
      </c>
      <c r="I17" s="28" t="s">
        <v>90</v>
      </c>
      <c r="J17" s="32" t="s">
        <v>190</v>
      </c>
      <c r="K17" s="32" t="s">
        <v>394</v>
      </c>
      <c r="L17" s="27" t="s">
        <v>118</v>
      </c>
      <c r="M17" s="15">
        <v>2025</v>
      </c>
      <c r="N17" s="15" t="str">
        <f>L17</f>
        <v xml:space="preserve">Januari </v>
      </c>
      <c r="O17" s="15">
        <v>2027</v>
      </c>
      <c r="P17" s="15">
        <v>2025</v>
      </c>
      <c r="Q17" s="15"/>
      <c r="R17" s="16" t="s">
        <v>51</v>
      </c>
      <c r="S17" s="15"/>
      <c r="T17" s="15"/>
      <c r="U17" s="15"/>
      <c r="V17" s="15"/>
      <c r="W17" s="15"/>
    </row>
    <row r="18" spans="1:23" s="17" customFormat="1" ht="28" x14ac:dyDescent="0.35">
      <c r="A18" s="12">
        <v>17</v>
      </c>
      <c r="B18" s="25" t="s">
        <v>1479</v>
      </c>
      <c r="C18" s="26" t="s">
        <v>1480</v>
      </c>
      <c r="D18" s="14" t="str">
        <f t="shared" si="0"/>
        <v>Laki-Laki</v>
      </c>
      <c r="E18" s="25" t="s">
        <v>152</v>
      </c>
      <c r="F18" s="33" t="s">
        <v>99</v>
      </c>
      <c r="G18" s="13" t="s">
        <v>1429</v>
      </c>
      <c r="H18" s="19" t="s">
        <v>1456</v>
      </c>
      <c r="I18" s="28" t="s">
        <v>90</v>
      </c>
      <c r="J18" s="32" t="s">
        <v>180</v>
      </c>
      <c r="K18" s="32" t="s">
        <v>1481</v>
      </c>
      <c r="L18" s="27" t="s">
        <v>113</v>
      </c>
      <c r="M18" s="15">
        <v>2025</v>
      </c>
      <c r="N18" s="15" t="str">
        <f>L18</f>
        <v>April</v>
      </c>
      <c r="O18" s="15">
        <v>2029</v>
      </c>
      <c r="P18" s="15">
        <v>2025</v>
      </c>
      <c r="Q18" s="15"/>
      <c r="R18" s="16" t="s">
        <v>51</v>
      </c>
      <c r="S18" s="15"/>
      <c r="T18" s="15"/>
      <c r="U18" s="15"/>
      <c r="V18" s="15"/>
      <c r="W18" s="15"/>
    </row>
    <row r="19" spans="1:23" ht="13" x14ac:dyDescent="0.3">
      <c r="A19" s="58"/>
      <c r="B19" s="58"/>
      <c r="C19" s="58"/>
      <c r="D19" s="58"/>
      <c r="E19" s="58"/>
      <c r="F19" s="58"/>
      <c r="G19" s="58"/>
      <c r="H19" s="59"/>
      <c r="I19" s="59"/>
      <c r="J19" s="59"/>
      <c r="K19" s="59"/>
      <c r="L19" s="59"/>
      <c r="M19" s="60"/>
      <c r="N19" s="60"/>
      <c r="O19" s="60"/>
      <c r="P19" s="59"/>
      <c r="Q19" s="59"/>
      <c r="R19" s="60"/>
      <c r="S19" s="60"/>
      <c r="T19" s="60"/>
      <c r="U19" s="60"/>
      <c r="V19" s="60"/>
      <c r="W19" s="60"/>
    </row>
    <row r="20" spans="1:23" ht="13" x14ac:dyDescent="0.3">
      <c r="A20" s="58"/>
      <c r="B20" s="58"/>
      <c r="C20" s="58"/>
      <c r="D20" s="58"/>
      <c r="E20" s="58"/>
      <c r="F20" s="58"/>
      <c r="G20" s="58"/>
      <c r="H20" s="59"/>
      <c r="I20" s="59"/>
      <c r="J20" s="59"/>
      <c r="K20" s="59"/>
      <c r="L20" s="59"/>
      <c r="M20" s="60"/>
      <c r="N20" s="60"/>
      <c r="O20" s="60"/>
      <c r="P20" s="59"/>
      <c r="Q20" s="59"/>
      <c r="R20" s="60"/>
      <c r="S20" s="60"/>
      <c r="T20" s="60"/>
      <c r="U20" s="60"/>
      <c r="V20" s="60"/>
      <c r="W20" s="60"/>
    </row>
    <row r="21" spans="1:23" ht="13" x14ac:dyDescent="0.3">
      <c r="A21" s="58"/>
      <c r="B21" s="58"/>
      <c r="C21" s="58"/>
      <c r="D21" s="58"/>
      <c r="E21" s="58"/>
      <c r="F21" s="58"/>
      <c r="G21" s="58"/>
      <c r="H21" s="59"/>
      <c r="I21" s="59"/>
      <c r="J21" s="59"/>
      <c r="K21" s="59"/>
      <c r="L21" s="59"/>
      <c r="M21" s="60"/>
      <c r="N21" s="60"/>
      <c r="O21" s="60"/>
      <c r="P21" s="59"/>
      <c r="Q21" s="59"/>
      <c r="R21" s="60"/>
      <c r="S21" s="60"/>
      <c r="T21" s="60"/>
      <c r="U21" s="60"/>
      <c r="V21" s="60"/>
      <c r="W21" s="60"/>
    </row>
    <row r="22" spans="1:23" ht="13" x14ac:dyDescent="0.3">
      <c r="A22" s="58"/>
      <c r="B22" s="58"/>
      <c r="C22" s="58"/>
      <c r="D22" s="58"/>
      <c r="E22" s="58"/>
      <c r="F22" s="58"/>
      <c r="G22" s="58"/>
      <c r="H22" s="59"/>
      <c r="I22" s="59"/>
      <c r="J22" s="59"/>
      <c r="K22" s="59"/>
      <c r="L22" s="59"/>
      <c r="M22" s="60"/>
      <c r="N22" s="60"/>
      <c r="O22" s="60"/>
      <c r="P22" s="59"/>
      <c r="Q22" s="59"/>
      <c r="R22" s="60"/>
      <c r="S22" s="60"/>
      <c r="T22" s="60"/>
      <c r="U22" s="60"/>
      <c r="V22" s="60"/>
      <c r="W22" s="60"/>
    </row>
    <row r="23" spans="1:23" ht="13" x14ac:dyDescent="0.3">
      <c r="A23" s="58"/>
      <c r="B23" s="58"/>
      <c r="C23" s="58"/>
      <c r="D23" s="58"/>
      <c r="E23" s="58"/>
      <c r="F23" s="58"/>
      <c r="G23" s="58"/>
      <c r="H23" s="59"/>
      <c r="I23" s="59"/>
      <c r="J23" s="59"/>
      <c r="K23" s="59"/>
      <c r="L23" s="59"/>
      <c r="M23" s="60"/>
      <c r="N23" s="60"/>
      <c r="O23" s="60"/>
      <c r="P23" s="59"/>
      <c r="Q23" s="59"/>
      <c r="R23" s="60"/>
      <c r="S23" s="60"/>
      <c r="T23" s="60"/>
      <c r="U23" s="60"/>
      <c r="V23" s="60"/>
      <c r="W23" s="60"/>
    </row>
    <row r="24" spans="1:23" ht="13" x14ac:dyDescent="0.3">
      <c r="A24" s="58"/>
      <c r="B24" s="58"/>
      <c r="C24" s="58"/>
      <c r="D24" s="58"/>
      <c r="E24" s="58"/>
      <c r="F24" s="58"/>
      <c r="G24" s="58"/>
      <c r="H24" s="59"/>
      <c r="I24" s="59"/>
      <c r="J24" s="59"/>
      <c r="K24" s="59"/>
      <c r="L24" s="59"/>
      <c r="M24" s="60"/>
      <c r="N24" s="60"/>
      <c r="O24" s="60"/>
      <c r="P24" s="59"/>
      <c r="Q24" s="59"/>
      <c r="R24" s="60"/>
      <c r="S24" s="60"/>
      <c r="T24" s="60"/>
      <c r="U24" s="60"/>
      <c r="V24" s="60"/>
      <c r="W24" s="60"/>
    </row>
    <row r="25" spans="1:23" ht="13" x14ac:dyDescent="0.3">
      <c r="A25" s="58"/>
      <c r="B25" s="58"/>
      <c r="C25" s="58"/>
      <c r="D25" s="58"/>
      <c r="E25" s="58"/>
      <c r="F25" s="58"/>
      <c r="G25" s="58"/>
      <c r="H25" s="59"/>
      <c r="I25" s="59"/>
      <c r="J25" s="59"/>
      <c r="K25" s="59"/>
      <c r="L25" s="59"/>
      <c r="M25" s="60"/>
      <c r="N25" s="60"/>
      <c r="O25" s="60"/>
      <c r="P25" s="59"/>
      <c r="Q25" s="59"/>
      <c r="R25" s="60"/>
      <c r="S25" s="60"/>
      <c r="T25" s="60"/>
      <c r="U25" s="60"/>
      <c r="V25" s="60"/>
      <c r="W25" s="60"/>
    </row>
    <row r="26" spans="1:23" ht="13" x14ac:dyDescent="0.3">
      <c r="A26" s="58"/>
      <c r="B26" s="58"/>
      <c r="C26" s="58"/>
      <c r="D26" s="58"/>
      <c r="E26" s="58"/>
      <c r="F26" s="58"/>
      <c r="G26" s="58"/>
      <c r="H26" s="59"/>
      <c r="I26" s="59"/>
      <c r="J26" s="59"/>
      <c r="K26" s="59"/>
      <c r="L26" s="59"/>
      <c r="M26" s="60"/>
      <c r="N26" s="60"/>
      <c r="O26" s="60"/>
      <c r="P26" s="59"/>
      <c r="Q26" s="59"/>
      <c r="R26" s="60"/>
      <c r="S26" s="60"/>
      <c r="T26" s="60"/>
      <c r="U26" s="60"/>
      <c r="V26" s="60"/>
      <c r="W26" s="60"/>
    </row>
    <row r="27" spans="1:23" ht="13" x14ac:dyDescent="0.3">
      <c r="A27" s="58"/>
      <c r="B27" s="58"/>
      <c r="C27" s="58"/>
      <c r="D27" s="58"/>
      <c r="E27" s="58"/>
      <c r="F27" s="58"/>
      <c r="G27" s="58"/>
      <c r="H27" s="59"/>
      <c r="I27" s="59"/>
      <c r="J27" s="59"/>
      <c r="K27" s="59"/>
      <c r="L27" s="59"/>
      <c r="M27" s="60"/>
      <c r="N27" s="60"/>
      <c r="O27" s="60"/>
      <c r="P27" s="59"/>
      <c r="Q27" s="59"/>
      <c r="R27" s="60"/>
      <c r="S27" s="60"/>
      <c r="T27" s="60"/>
      <c r="U27" s="60"/>
      <c r="V27" s="60"/>
      <c r="W27" s="60"/>
    </row>
    <row r="28" spans="1:23" ht="13" x14ac:dyDescent="0.3">
      <c r="A28" s="58"/>
      <c r="B28" s="58"/>
      <c r="C28" s="58"/>
      <c r="D28" s="58"/>
      <c r="E28" s="58"/>
      <c r="F28" s="58"/>
      <c r="G28" s="58"/>
      <c r="H28" s="59"/>
      <c r="I28" s="59"/>
      <c r="J28" s="59"/>
      <c r="K28" s="59"/>
      <c r="L28" s="59"/>
      <c r="M28" s="60"/>
      <c r="N28" s="60"/>
      <c r="O28" s="60"/>
      <c r="P28" s="59"/>
      <c r="Q28" s="59"/>
      <c r="R28" s="60"/>
      <c r="S28" s="60"/>
      <c r="T28" s="60"/>
      <c r="U28" s="60"/>
      <c r="V28" s="60"/>
      <c r="W28" s="60"/>
    </row>
    <row r="29" spans="1:23" ht="13" x14ac:dyDescent="0.3">
      <c r="A29" s="58"/>
      <c r="B29" s="58"/>
      <c r="C29" s="58"/>
      <c r="D29" s="58"/>
      <c r="E29" s="58"/>
      <c r="F29" s="58"/>
      <c r="G29" s="58"/>
      <c r="H29" s="59"/>
      <c r="I29" s="59"/>
      <c r="J29" s="59"/>
      <c r="K29" s="59"/>
      <c r="L29" s="59"/>
      <c r="M29" s="60"/>
      <c r="N29" s="60"/>
      <c r="O29" s="60"/>
      <c r="P29" s="59"/>
      <c r="Q29" s="59"/>
      <c r="R29" s="60"/>
      <c r="S29" s="60"/>
      <c r="T29" s="60"/>
      <c r="U29" s="60"/>
      <c r="V29" s="60"/>
      <c r="W29" s="60"/>
    </row>
    <row r="30" spans="1:23" ht="13" x14ac:dyDescent="0.3">
      <c r="A30" s="58"/>
      <c r="B30" s="58"/>
      <c r="C30" s="58"/>
      <c r="D30" s="58"/>
      <c r="E30" s="58"/>
      <c r="F30" s="58"/>
      <c r="G30" s="58"/>
      <c r="H30" s="59"/>
      <c r="I30" s="59"/>
      <c r="J30" s="59"/>
      <c r="K30" s="59"/>
      <c r="L30" s="59"/>
      <c r="M30" s="60"/>
      <c r="N30" s="60"/>
      <c r="O30" s="60"/>
      <c r="P30" s="59"/>
      <c r="Q30" s="59"/>
      <c r="R30" s="60"/>
      <c r="S30" s="60"/>
      <c r="T30" s="60"/>
      <c r="U30" s="60"/>
      <c r="V30" s="60"/>
      <c r="W30" s="60"/>
    </row>
    <row r="31" spans="1:23" ht="13" x14ac:dyDescent="0.3">
      <c r="A31" s="58"/>
      <c r="B31" s="58"/>
      <c r="C31" s="58"/>
      <c r="D31" s="58"/>
      <c r="E31" s="58"/>
      <c r="F31" s="58"/>
      <c r="G31" s="58"/>
      <c r="H31" s="59"/>
      <c r="I31" s="59"/>
      <c r="J31" s="59"/>
      <c r="K31" s="59"/>
      <c r="L31" s="59"/>
      <c r="M31" s="60"/>
      <c r="N31" s="60"/>
      <c r="O31" s="60"/>
      <c r="P31" s="59"/>
      <c r="Q31" s="59"/>
      <c r="R31" s="60"/>
      <c r="S31" s="60"/>
      <c r="T31" s="60"/>
      <c r="U31" s="60"/>
      <c r="V31" s="60"/>
      <c r="W31" s="60"/>
    </row>
    <row r="32" spans="1:23" ht="13" x14ac:dyDescent="0.3">
      <c r="A32" s="58"/>
      <c r="B32" s="58"/>
      <c r="C32" s="58"/>
      <c r="D32" s="58"/>
      <c r="E32" s="58"/>
      <c r="F32" s="58"/>
      <c r="G32" s="58"/>
      <c r="H32" s="59"/>
      <c r="I32" s="59"/>
      <c r="J32" s="59"/>
      <c r="K32" s="59"/>
      <c r="L32" s="59"/>
      <c r="M32" s="60"/>
      <c r="N32" s="60"/>
      <c r="O32" s="60"/>
      <c r="P32" s="59"/>
      <c r="Q32" s="59"/>
      <c r="R32" s="60"/>
      <c r="S32" s="60"/>
      <c r="T32" s="60"/>
      <c r="U32" s="60"/>
      <c r="V32" s="60"/>
      <c r="W32" s="60"/>
    </row>
    <row r="33" spans="1:23" ht="13" x14ac:dyDescent="0.3">
      <c r="A33" s="58"/>
      <c r="B33" s="58"/>
      <c r="C33" s="58"/>
      <c r="D33" s="58"/>
      <c r="E33" s="58"/>
      <c r="F33" s="58"/>
      <c r="G33" s="58"/>
      <c r="H33" s="59"/>
      <c r="I33" s="59"/>
      <c r="J33" s="59"/>
      <c r="K33" s="59"/>
      <c r="L33" s="59"/>
      <c r="M33" s="60"/>
      <c r="N33" s="60"/>
      <c r="O33" s="60"/>
      <c r="P33" s="59"/>
      <c r="Q33" s="59"/>
      <c r="R33" s="60"/>
      <c r="S33" s="60"/>
      <c r="T33" s="60"/>
      <c r="U33" s="60"/>
      <c r="V33" s="60"/>
      <c r="W33" s="60"/>
    </row>
    <row r="34" spans="1:23" ht="13" x14ac:dyDescent="0.3">
      <c r="A34" s="58"/>
      <c r="B34" s="58"/>
      <c r="C34" s="58"/>
      <c r="D34" s="58"/>
      <c r="E34" s="58"/>
      <c r="F34" s="58"/>
      <c r="G34" s="58"/>
      <c r="H34" s="59"/>
      <c r="I34" s="59"/>
      <c r="J34" s="59"/>
      <c r="K34" s="59"/>
      <c r="L34" s="59"/>
      <c r="M34" s="60"/>
      <c r="N34" s="60"/>
      <c r="O34" s="60"/>
      <c r="P34" s="59"/>
      <c r="Q34" s="59"/>
      <c r="R34" s="60"/>
      <c r="S34" s="60"/>
      <c r="T34" s="60"/>
      <c r="U34" s="60"/>
      <c r="V34" s="60"/>
      <c r="W34" s="60"/>
    </row>
    <row r="35" spans="1:23" ht="13" x14ac:dyDescent="0.3">
      <c r="A35" s="58"/>
      <c r="B35" s="58"/>
      <c r="C35" s="58"/>
      <c r="D35" s="58"/>
      <c r="E35" s="58"/>
      <c r="F35" s="58"/>
      <c r="G35" s="58"/>
      <c r="H35" s="59"/>
      <c r="I35" s="59"/>
      <c r="J35" s="59"/>
      <c r="K35" s="59"/>
      <c r="L35" s="59"/>
      <c r="M35" s="60"/>
      <c r="N35" s="60"/>
      <c r="O35" s="60"/>
      <c r="P35" s="59"/>
      <c r="Q35" s="59"/>
      <c r="R35" s="60"/>
      <c r="S35" s="60"/>
      <c r="T35" s="60"/>
      <c r="U35" s="60"/>
      <c r="V35" s="60"/>
      <c r="W35" s="60"/>
    </row>
    <row r="36" spans="1:23" ht="13" x14ac:dyDescent="0.3">
      <c r="A36" s="58"/>
      <c r="B36" s="58"/>
      <c r="C36" s="58"/>
      <c r="D36" s="58"/>
      <c r="E36" s="58"/>
      <c r="F36" s="58"/>
      <c r="G36" s="58"/>
      <c r="H36" s="59"/>
      <c r="I36" s="59"/>
      <c r="J36" s="59"/>
      <c r="K36" s="59"/>
      <c r="L36" s="59"/>
      <c r="M36" s="60"/>
      <c r="N36" s="60"/>
      <c r="O36" s="60"/>
      <c r="P36" s="59"/>
      <c r="Q36" s="59"/>
      <c r="R36" s="60"/>
      <c r="S36" s="60"/>
      <c r="T36" s="60"/>
      <c r="U36" s="60"/>
      <c r="V36" s="60"/>
      <c r="W36" s="60"/>
    </row>
    <row r="37" spans="1:23" ht="13" x14ac:dyDescent="0.3">
      <c r="A37" s="58"/>
      <c r="B37" s="58"/>
      <c r="C37" s="58"/>
      <c r="D37" s="58"/>
      <c r="E37" s="58"/>
      <c r="F37" s="58"/>
      <c r="G37" s="58"/>
      <c r="H37" s="59"/>
      <c r="I37" s="59"/>
      <c r="J37" s="59"/>
      <c r="K37" s="59"/>
      <c r="L37" s="59"/>
      <c r="M37" s="60"/>
      <c r="N37" s="60"/>
      <c r="O37" s="60"/>
      <c r="P37" s="59"/>
      <c r="Q37" s="59"/>
      <c r="R37" s="60"/>
      <c r="S37" s="60"/>
      <c r="T37" s="60"/>
      <c r="U37" s="60"/>
      <c r="V37" s="60"/>
      <c r="W37" s="60"/>
    </row>
    <row r="38" spans="1:23" ht="13" x14ac:dyDescent="0.3">
      <c r="A38" s="58"/>
      <c r="B38" s="58"/>
      <c r="C38" s="58"/>
      <c r="D38" s="58"/>
      <c r="E38" s="58"/>
      <c r="F38" s="58"/>
      <c r="G38" s="58"/>
      <c r="H38" s="59"/>
      <c r="I38" s="59"/>
      <c r="J38" s="59"/>
      <c r="K38" s="59"/>
      <c r="L38" s="59"/>
      <c r="M38" s="60"/>
      <c r="N38" s="60"/>
      <c r="O38" s="60"/>
      <c r="P38" s="59"/>
      <c r="Q38" s="59"/>
      <c r="R38" s="60"/>
      <c r="S38" s="60"/>
      <c r="T38" s="60"/>
      <c r="U38" s="60"/>
      <c r="V38" s="60"/>
      <c r="W38" s="60"/>
    </row>
    <row r="39" spans="1:23" ht="13" x14ac:dyDescent="0.3">
      <c r="A39" s="58"/>
      <c r="B39" s="58"/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  <c r="N39" s="60"/>
      <c r="O39" s="60"/>
      <c r="P39" s="59"/>
      <c r="Q39" s="59"/>
      <c r="R39" s="60"/>
      <c r="S39" s="60"/>
      <c r="T39" s="60"/>
      <c r="U39" s="60"/>
      <c r="V39" s="60"/>
      <c r="W39" s="60"/>
    </row>
    <row r="40" spans="1:23" ht="13" x14ac:dyDescent="0.3">
      <c r="A40" s="58"/>
      <c r="B40" s="58"/>
      <c r="C40" s="58"/>
      <c r="D40" s="58"/>
      <c r="E40" s="58"/>
      <c r="F40" s="58"/>
      <c r="G40" s="58"/>
      <c r="H40" s="59"/>
      <c r="I40" s="59"/>
      <c r="J40" s="59"/>
      <c r="K40" s="59"/>
      <c r="L40" s="59"/>
      <c r="M40" s="60"/>
      <c r="N40" s="60"/>
      <c r="O40" s="60"/>
      <c r="P40" s="59"/>
      <c r="Q40" s="59"/>
      <c r="R40" s="60"/>
      <c r="S40" s="60"/>
      <c r="T40" s="60"/>
      <c r="U40" s="60"/>
      <c r="V40" s="60"/>
      <c r="W40" s="60"/>
    </row>
    <row r="41" spans="1:23" ht="13" x14ac:dyDescent="0.3">
      <c r="A41" s="58"/>
      <c r="B41" s="58"/>
      <c r="C41" s="58"/>
      <c r="D41" s="58"/>
      <c r="E41" s="58"/>
      <c r="F41" s="58"/>
      <c r="G41" s="58"/>
      <c r="H41" s="59"/>
      <c r="I41" s="59"/>
      <c r="J41" s="59"/>
      <c r="K41" s="59"/>
      <c r="L41" s="59"/>
      <c r="M41" s="60"/>
      <c r="N41" s="60"/>
      <c r="O41" s="60"/>
      <c r="P41" s="59"/>
      <c r="Q41" s="59"/>
      <c r="R41" s="60"/>
      <c r="S41" s="60"/>
      <c r="T41" s="60"/>
      <c r="U41" s="60"/>
      <c r="V41" s="60"/>
      <c r="W41" s="60"/>
    </row>
    <row r="42" spans="1:23" ht="13" x14ac:dyDescent="0.3">
      <c r="A42" s="58"/>
      <c r="B42" s="58"/>
      <c r="C42" s="58"/>
      <c r="D42" s="58"/>
      <c r="E42" s="58"/>
      <c r="F42" s="58"/>
      <c r="G42" s="58"/>
      <c r="H42" s="59"/>
      <c r="I42" s="59"/>
      <c r="J42" s="59"/>
      <c r="K42" s="59"/>
      <c r="L42" s="59"/>
      <c r="M42" s="60"/>
      <c r="N42" s="60"/>
      <c r="O42" s="60"/>
      <c r="P42" s="59"/>
      <c r="Q42" s="59"/>
      <c r="R42" s="60"/>
      <c r="S42" s="60"/>
      <c r="T42" s="60"/>
      <c r="U42" s="60"/>
      <c r="V42" s="60"/>
      <c r="W42" s="60"/>
    </row>
    <row r="43" spans="1:23" ht="13" x14ac:dyDescent="0.3">
      <c r="A43" s="58"/>
      <c r="B43" s="58"/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  <c r="N43" s="60"/>
      <c r="O43" s="60"/>
      <c r="P43" s="59"/>
      <c r="Q43" s="59"/>
      <c r="R43" s="60"/>
      <c r="S43" s="60"/>
      <c r="T43" s="60"/>
      <c r="U43" s="60"/>
      <c r="V43" s="60"/>
      <c r="W43" s="60"/>
    </row>
    <row r="44" spans="1:23" ht="13" x14ac:dyDescent="0.3">
      <c r="A44" s="58"/>
      <c r="B44" s="58"/>
      <c r="C44" s="58"/>
      <c r="D44" s="58"/>
      <c r="E44" s="58"/>
      <c r="F44" s="58"/>
      <c r="G44" s="58"/>
      <c r="H44" s="59"/>
      <c r="I44" s="59"/>
      <c r="J44" s="59"/>
      <c r="K44" s="59"/>
      <c r="L44" s="59"/>
      <c r="M44" s="60"/>
      <c r="N44" s="60"/>
      <c r="O44" s="60"/>
      <c r="P44" s="59"/>
      <c r="Q44" s="59"/>
      <c r="R44" s="60"/>
      <c r="S44" s="60"/>
      <c r="T44" s="60"/>
      <c r="U44" s="60"/>
      <c r="V44" s="60"/>
      <c r="W44" s="60"/>
    </row>
    <row r="45" spans="1:23" ht="13" x14ac:dyDescent="0.3">
      <c r="A45" s="58"/>
      <c r="B45" s="58"/>
      <c r="C45" s="58"/>
      <c r="D45" s="58"/>
      <c r="E45" s="58"/>
      <c r="F45" s="58"/>
      <c r="G45" s="58"/>
      <c r="H45" s="59"/>
      <c r="I45" s="59"/>
      <c r="J45" s="59"/>
      <c r="K45" s="59"/>
      <c r="L45" s="59"/>
      <c r="M45" s="60"/>
      <c r="N45" s="60"/>
      <c r="O45" s="60"/>
      <c r="P45" s="59"/>
      <c r="Q45" s="59"/>
      <c r="R45" s="60"/>
      <c r="S45" s="60"/>
      <c r="T45" s="60"/>
      <c r="U45" s="60"/>
      <c r="V45" s="60"/>
      <c r="W45" s="60"/>
    </row>
    <row r="46" spans="1:23" ht="13" x14ac:dyDescent="0.3">
      <c r="A46" s="58"/>
      <c r="B46" s="58"/>
      <c r="C46" s="58"/>
      <c r="D46" s="58"/>
      <c r="E46" s="58"/>
      <c r="F46" s="58"/>
      <c r="G46" s="58"/>
      <c r="H46" s="59"/>
      <c r="I46" s="59"/>
      <c r="J46" s="59"/>
      <c r="K46" s="59"/>
      <c r="L46" s="59"/>
      <c r="M46" s="60"/>
      <c r="N46" s="60"/>
      <c r="O46" s="60"/>
      <c r="P46" s="59"/>
      <c r="Q46" s="59"/>
      <c r="R46" s="60"/>
      <c r="S46" s="60"/>
      <c r="T46" s="60"/>
      <c r="U46" s="60"/>
      <c r="V46" s="60"/>
      <c r="W46" s="60"/>
    </row>
    <row r="47" spans="1:23" ht="13" x14ac:dyDescent="0.3">
      <c r="A47" s="58"/>
      <c r="B47" s="58"/>
      <c r="C47" s="58"/>
      <c r="D47" s="58"/>
      <c r="E47" s="58"/>
      <c r="F47" s="58"/>
      <c r="G47" s="58"/>
      <c r="H47" s="59"/>
      <c r="I47" s="59"/>
      <c r="J47" s="59"/>
      <c r="K47" s="59"/>
      <c r="L47" s="59"/>
      <c r="M47" s="60"/>
      <c r="N47" s="60"/>
      <c r="O47" s="60"/>
      <c r="P47" s="59"/>
      <c r="Q47" s="59"/>
      <c r="R47" s="60"/>
      <c r="S47" s="60"/>
      <c r="T47" s="60"/>
      <c r="U47" s="60"/>
      <c r="V47" s="60"/>
      <c r="W47" s="60"/>
    </row>
    <row r="48" spans="1:23" ht="13" x14ac:dyDescent="0.3">
      <c r="A48" s="58"/>
      <c r="B48" s="58"/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  <c r="N48" s="60"/>
      <c r="O48" s="60"/>
      <c r="P48" s="59"/>
      <c r="Q48" s="59"/>
      <c r="R48" s="60"/>
      <c r="S48" s="60"/>
      <c r="T48" s="60"/>
      <c r="U48" s="60"/>
      <c r="V48" s="60"/>
      <c r="W48" s="60"/>
    </row>
    <row r="49" spans="1:23" ht="13" x14ac:dyDescent="0.3">
      <c r="A49" s="58"/>
      <c r="B49" s="58"/>
      <c r="C49" s="58"/>
      <c r="D49" s="58"/>
      <c r="E49" s="58"/>
      <c r="F49" s="58"/>
      <c r="G49" s="58"/>
      <c r="H49" s="59"/>
      <c r="I49" s="59"/>
      <c r="J49" s="59"/>
      <c r="K49" s="59"/>
      <c r="L49" s="59"/>
      <c r="M49" s="60"/>
      <c r="N49" s="60"/>
      <c r="O49" s="60"/>
      <c r="P49" s="59"/>
      <c r="Q49" s="59"/>
      <c r="R49" s="60"/>
      <c r="S49" s="60"/>
      <c r="T49" s="60"/>
      <c r="U49" s="60"/>
      <c r="V49" s="60"/>
      <c r="W49" s="60"/>
    </row>
    <row r="50" spans="1:23" ht="13" x14ac:dyDescent="0.3">
      <c r="A50" s="58"/>
      <c r="B50" s="58"/>
      <c r="C50" s="58"/>
      <c r="D50" s="58"/>
      <c r="E50" s="58"/>
      <c r="F50" s="58"/>
      <c r="G50" s="58"/>
      <c r="H50" s="59"/>
      <c r="I50" s="59"/>
      <c r="J50" s="59"/>
      <c r="K50" s="59"/>
      <c r="L50" s="59"/>
      <c r="M50" s="60"/>
      <c r="N50" s="60"/>
      <c r="O50" s="60"/>
      <c r="P50" s="59"/>
      <c r="Q50" s="59"/>
      <c r="R50" s="60"/>
      <c r="S50" s="60"/>
      <c r="T50" s="60"/>
      <c r="U50" s="60"/>
      <c r="V50" s="60"/>
      <c r="W50" s="60"/>
    </row>
    <row r="51" spans="1:23" ht="13" x14ac:dyDescent="0.3">
      <c r="A51" s="58"/>
      <c r="B51" s="58"/>
      <c r="C51" s="58"/>
      <c r="D51" s="58"/>
      <c r="E51" s="58"/>
      <c r="F51" s="58"/>
      <c r="G51" s="58"/>
      <c r="H51" s="59"/>
      <c r="I51" s="59"/>
      <c r="J51" s="59"/>
      <c r="K51" s="59"/>
      <c r="L51" s="59"/>
      <c r="M51" s="60"/>
      <c r="N51" s="60"/>
      <c r="O51" s="60"/>
      <c r="P51" s="59"/>
      <c r="Q51" s="59"/>
      <c r="R51" s="60"/>
      <c r="S51" s="60"/>
      <c r="T51" s="60"/>
      <c r="U51" s="60"/>
      <c r="V51" s="60"/>
      <c r="W51" s="60"/>
    </row>
    <row r="52" spans="1:23" ht="13" x14ac:dyDescent="0.3">
      <c r="A52" s="58"/>
      <c r="B52" s="58"/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  <c r="N52" s="60"/>
      <c r="O52" s="60"/>
      <c r="P52" s="59"/>
      <c r="Q52" s="59"/>
      <c r="R52" s="60"/>
      <c r="S52" s="60"/>
      <c r="T52" s="60"/>
      <c r="U52" s="60"/>
      <c r="V52" s="60"/>
      <c r="W52" s="60"/>
    </row>
    <row r="53" spans="1:23" ht="13" x14ac:dyDescent="0.3">
      <c r="A53" s="58"/>
      <c r="B53" s="58"/>
      <c r="C53" s="58"/>
      <c r="D53" s="58"/>
      <c r="E53" s="58"/>
      <c r="F53" s="58"/>
      <c r="G53" s="58"/>
      <c r="H53" s="59"/>
      <c r="I53" s="59"/>
      <c r="J53" s="59"/>
      <c r="K53" s="59"/>
      <c r="L53" s="59"/>
      <c r="M53" s="60"/>
      <c r="N53" s="60"/>
      <c r="O53" s="60"/>
      <c r="P53" s="59"/>
      <c r="Q53" s="59"/>
      <c r="R53" s="60"/>
      <c r="S53" s="60"/>
      <c r="T53" s="60"/>
      <c r="U53" s="60"/>
      <c r="V53" s="60"/>
      <c r="W53" s="60"/>
    </row>
    <row r="54" spans="1:23" ht="13" x14ac:dyDescent="0.3">
      <c r="A54" s="58"/>
      <c r="B54" s="58"/>
      <c r="C54" s="58"/>
      <c r="D54" s="58"/>
      <c r="E54" s="58"/>
      <c r="F54" s="58"/>
      <c r="G54" s="58"/>
      <c r="H54" s="59"/>
      <c r="I54" s="59"/>
      <c r="J54" s="59"/>
      <c r="K54" s="59"/>
      <c r="L54" s="59"/>
      <c r="M54" s="60"/>
      <c r="N54" s="60"/>
      <c r="O54" s="60"/>
      <c r="P54" s="59"/>
      <c r="Q54" s="59"/>
      <c r="R54" s="60"/>
      <c r="S54" s="60"/>
      <c r="T54" s="60"/>
      <c r="U54" s="60"/>
      <c r="V54" s="60"/>
      <c r="W54" s="60"/>
    </row>
    <row r="55" spans="1:23" ht="13" x14ac:dyDescent="0.3">
      <c r="A55" s="58"/>
      <c r="B55" s="58"/>
      <c r="C55" s="58"/>
      <c r="D55" s="58"/>
      <c r="E55" s="58"/>
      <c r="F55" s="58"/>
      <c r="G55" s="58"/>
      <c r="H55" s="59"/>
      <c r="I55" s="59"/>
      <c r="J55" s="59"/>
      <c r="K55" s="59"/>
      <c r="L55" s="59"/>
      <c r="M55" s="60"/>
      <c r="N55" s="60"/>
      <c r="O55" s="60"/>
      <c r="P55" s="59"/>
      <c r="Q55" s="59"/>
      <c r="R55" s="60"/>
      <c r="S55" s="60"/>
      <c r="T55" s="60"/>
      <c r="U55" s="60"/>
      <c r="V55" s="60"/>
      <c r="W55" s="60"/>
    </row>
    <row r="56" spans="1:23" ht="13" x14ac:dyDescent="0.3">
      <c r="A56" s="58"/>
      <c r="B56" s="58"/>
      <c r="C56" s="58"/>
      <c r="D56" s="58"/>
      <c r="E56" s="58"/>
      <c r="F56" s="58"/>
      <c r="G56" s="58"/>
      <c r="H56" s="59"/>
      <c r="I56" s="59"/>
      <c r="J56" s="59"/>
      <c r="K56" s="59"/>
      <c r="L56" s="59"/>
      <c r="M56" s="60"/>
      <c r="N56" s="60"/>
      <c r="O56" s="60"/>
      <c r="P56" s="59"/>
      <c r="Q56" s="59"/>
      <c r="R56" s="60"/>
      <c r="S56" s="60"/>
      <c r="T56" s="60"/>
      <c r="U56" s="60"/>
      <c r="V56" s="60"/>
      <c r="W56" s="60"/>
    </row>
    <row r="57" spans="1:23" ht="13" x14ac:dyDescent="0.3">
      <c r="A57" s="58"/>
      <c r="B57" s="58"/>
      <c r="C57" s="58"/>
      <c r="D57" s="58"/>
      <c r="E57" s="58"/>
      <c r="F57" s="58"/>
      <c r="G57" s="58"/>
      <c r="H57" s="59"/>
      <c r="I57" s="59"/>
      <c r="J57" s="59"/>
      <c r="K57" s="59"/>
      <c r="L57" s="59"/>
      <c r="M57" s="60"/>
      <c r="N57" s="60"/>
      <c r="O57" s="60"/>
      <c r="P57" s="59"/>
      <c r="Q57" s="59"/>
      <c r="R57" s="60"/>
      <c r="S57" s="60"/>
      <c r="T57" s="60"/>
      <c r="U57" s="60"/>
      <c r="V57" s="60"/>
      <c r="W57" s="60"/>
    </row>
    <row r="58" spans="1:23" ht="13" x14ac:dyDescent="0.3">
      <c r="A58" s="58"/>
      <c r="B58" s="58"/>
      <c r="C58" s="58"/>
      <c r="D58" s="58"/>
      <c r="E58" s="58"/>
      <c r="F58" s="58"/>
      <c r="G58" s="58"/>
      <c r="H58" s="59"/>
      <c r="I58" s="59"/>
      <c r="J58" s="59"/>
      <c r="K58" s="59"/>
      <c r="L58" s="59"/>
      <c r="M58" s="60"/>
      <c r="N58" s="60"/>
      <c r="O58" s="60"/>
      <c r="P58" s="59"/>
      <c r="Q58" s="59"/>
      <c r="R58" s="60"/>
      <c r="S58" s="60"/>
      <c r="T58" s="60"/>
      <c r="U58" s="60"/>
      <c r="V58" s="60"/>
      <c r="W58" s="60"/>
    </row>
    <row r="59" spans="1:23" ht="13" x14ac:dyDescent="0.3">
      <c r="A59" s="58"/>
      <c r="B59" s="58"/>
      <c r="C59" s="58"/>
      <c r="D59" s="58"/>
      <c r="E59" s="58"/>
      <c r="F59" s="58"/>
      <c r="G59" s="58"/>
      <c r="H59" s="59"/>
      <c r="I59" s="59"/>
      <c r="J59" s="59"/>
      <c r="K59" s="59"/>
      <c r="L59" s="59"/>
      <c r="M59" s="60"/>
      <c r="N59" s="60"/>
      <c r="O59" s="60"/>
      <c r="P59" s="59"/>
      <c r="Q59" s="59"/>
      <c r="R59" s="60"/>
      <c r="S59" s="60"/>
      <c r="T59" s="60"/>
      <c r="U59" s="60"/>
      <c r="V59" s="60"/>
      <c r="W59" s="60"/>
    </row>
    <row r="60" spans="1:23" ht="13" x14ac:dyDescent="0.3">
      <c r="A60" s="58"/>
      <c r="B60" s="58"/>
      <c r="C60" s="58"/>
      <c r="D60" s="58"/>
      <c r="E60" s="58"/>
      <c r="F60" s="58"/>
      <c r="G60" s="58"/>
      <c r="H60" s="59"/>
      <c r="I60" s="59"/>
      <c r="J60" s="59"/>
      <c r="K60" s="59"/>
      <c r="L60" s="59"/>
      <c r="M60" s="60"/>
      <c r="N60" s="60"/>
      <c r="O60" s="60"/>
      <c r="P60" s="59"/>
      <c r="Q60" s="59"/>
      <c r="R60" s="60"/>
      <c r="S60" s="60"/>
      <c r="T60" s="60"/>
      <c r="U60" s="60"/>
      <c r="V60" s="60"/>
      <c r="W60" s="60"/>
    </row>
    <row r="61" spans="1:23" ht="13" x14ac:dyDescent="0.3">
      <c r="A61" s="58"/>
      <c r="B61" s="58"/>
      <c r="C61" s="58"/>
      <c r="D61" s="58"/>
      <c r="E61" s="58"/>
      <c r="F61" s="58"/>
      <c r="G61" s="58"/>
      <c r="H61" s="59"/>
      <c r="I61" s="59"/>
      <c r="J61" s="59"/>
      <c r="K61" s="59"/>
      <c r="L61" s="59"/>
      <c r="M61" s="60"/>
      <c r="N61" s="60"/>
      <c r="O61" s="60"/>
      <c r="P61" s="59"/>
      <c r="Q61" s="59"/>
      <c r="R61" s="60"/>
      <c r="S61" s="60"/>
      <c r="T61" s="60"/>
      <c r="U61" s="60"/>
      <c r="V61" s="60"/>
      <c r="W61" s="60"/>
    </row>
    <row r="62" spans="1:23" ht="13" x14ac:dyDescent="0.3">
      <c r="A62" s="58"/>
      <c r="B62" s="58"/>
      <c r="C62" s="58"/>
      <c r="D62" s="58"/>
      <c r="E62" s="58"/>
      <c r="F62" s="58"/>
      <c r="G62" s="58"/>
      <c r="H62" s="59"/>
      <c r="I62" s="59"/>
      <c r="J62" s="59"/>
      <c r="K62" s="59"/>
      <c r="L62" s="59"/>
      <c r="M62" s="60"/>
      <c r="N62" s="60"/>
      <c r="O62" s="60"/>
      <c r="P62" s="59"/>
      <c r="Q62" s="59"/>
      <c r="R62" s="60"/>
      <c r="S62" s="60"/>
      <c r="T62" s="60"/>
      <c r="U62" s="60"/>
      <c r="V62" s="60"/>
      <c r="W62" s="60"/>
    </row>
    <row r="63" spans="1:23" ht="13" x14ac:dyDescent="0.3">
      <c r="A63" s="58"/>
      <c r="B63" s="58"/>
      <c r="C63" s="58"/>
      <c r="D63" s="58"/>
      <c r="E63" s="58"/>
      <c r="F63" s="58"/>
      <c r="G63" s="58"/>
      <c r="H63" s="59"/>
      <c r="I63" s="59"/>
      <c r="J63" s="59"/>
      <c r="K63" s="59"/>
      <c r="L63" s="59"/>
      <c r="M63" s="60"/>
      <c r="N63" s="60"/>
      <c r="O63" s="60"/>
      <c r="P63" s="59"/>
      <c r="Q63" s="59"/>
      <c r="R63" s="60"/>
      <c r="S63" s="60"/>
      <c r="T63" s="60"/>
      <c r="U63" s="60"/>
      <c r="V63" s="60"/>
      <c r="W63" s="60"/>
    </row>
    <row r="64" spans="1:23" ht="13" x14ac:dyDescent="0.3">
      <c r="A64" s="58"/>
      <c r="B64" s="58"/>
      <c r="C64" s="58"/>
      <c r="D64" s="58"/>
      <c r="E64" s="58"/>
      <c r="F64" s="58"/>
      <c r="G64" s="58"/>
      <c r="H64" s="59"/>
      <c r="I64" s="59"/>
      <c r="J64" s="59"/>
      <c r="K64" s="59"/>
      <c r="L64" s="59"/>
      <c r="M64" s="60"/>
      <c r="N64" s="60"/>
      <c r="O64" s="60"/>
      <c r="P64" s="59"/>
      <c r="Q64" s="59"/>
      <c r="R64" s="60"/>
      <c r="S64" s="60"/>
      <c r="T64" s="60"/>
      <c r="U64" s="60"/>
      <c r="V64" s="60"/>
      <c r="W64" s="60"/>
    </row>
    <row r="65" spans="1:23" ht="13" x14ac:dyDescent="0.3">
      <c r="A65" s="58"/>
      <c r="B65" s="58"/>
      <c r="C65" s="58"/>
      <c r="D65" s="58"/>
      <c r="E65" s="58"/>
      <c r="F65" s="58"/>
      <c r="G65" s="58"/>
      <c r="H65" s="59"/>
      <c r="I65" s="59"/>
      <c r="J65" s="59"/>
      <c r="K65" s="59"/>
      <c r="L65" s="59"/>
      <c r="M65" s="60"/>
      <c r="N65" s="60"/>
      <c r="O65" s="60"/>
      <c r="P65" s="59"/>
      <c r="Q65" s="59"/>
      <c r="R65" s="60"/>
      <c r="S65" s="60"/>
      <c r="T65" s="60"/>
      <c r="U65" s="60"/>
      <c r="V65" s="60"/>
      <c r="W65" s="60"/>
    </row>
    <row r="66" spans="1:23" ht="13" x14ac:dyDescent="0.3">
      <c r="A66" s="58"/>
      <c r="B66" s="58"/>
      <c r="C66" s="58"/>
      <c r="D66" s="58"/>
      <c r="E66" s="58"/>
      <c r="F66" s="58"/>
      <c r="G66" s="58"/>
      <c r="H66" s="59"/>
      <c r="I66" s="59"/>
      <c r="J66" s="59"/>
      <c r="K66" s="59"/>
      <c r="L66" s="59"/>
      <c r="M66" s="60"/>
      <c r="N66" s="60"/>
      <c r="O66" s="60"/>
      <c r="P66" s="59"/>
      <c r="Q66" s="59"/>
      <c r="R66" s="60"/>
      <c r="S66" s="60"/>
      <c r="T66" s="60"/>
      <c r="U66" s="60"/>
      <c r="V66" s="60"/>
      <c r="W66" s="60"/>
    </row>
    <row r="67" spans="1:23" ht="13" x14ac:dyDescent="0.3">
      <c r="A67" s="58"/>
      <c r="B67" s="58"/>
      <c r="C67" s="58"/>
      <c r="D67" s="58"/>
      <c r="E67" s="58"/>
      <c r="F67" s="58"/>
      <c r="G67" s="58"/>
      <c r="H67" s="59"/>
      <c r="I67" s="59"/>
      <c r="J67" s="59"/>
      <c r="K67" s="59"/>
      <c r="L67" s="59"/>
      <c r="M67" s="60"/>
      <c r="N67" s="60"/>
      <c r="O67" s="60"/>
      <c r="P67" s="59"/>
      <c r="Q67" s="59"/>
      <c r="R67" s="60"/>
      <c r="S67" s="60"/>
      <c r="T67" s="60"/>
      <c r="U67" s="60"/>
      <c r="V67" s="60"/>
      <c r="W67" s="60"/>
    </row>
    <row r="68" spans="1:23" ht="13" x14ac:dyDescent="0.3">
      <c r="A68" s="58"/>
      <c r="B68" s="58"/>
      <c r="C68" s="58"/>
      <c r="D68" s="58"/>
      <c r="E68" s="58"/>
      <c r="F68" s="58"/>
      <c r="G68" s="58"/>
      <c r="H68" s="59"/>
      <c r="I68" s="59"/>
      <c r="J68" s="59"/>
      <c r="K68" s="59"/>
      <c r="L68" s="59"/>
      <c r="M68" s="60"/>
      <c r="N68" s="60"/>
      <c r="O68" s="60"/>
      <c r="P68" s="59"/>
      <c r="Q68" s="59"/>
      <c r="R68" s="60"/>
      <c r="S68" s="60"/>
      <c r="T68" s="60"/>
      <c r="U68" s="60"/>
      <c r="V68" s="60"/>
      <c r="W68" s="60"/>
    </row>
    <row r="69" spans="1:23" ht="13" x14ac:dyDescent="0.3">
      <c r="A69" s="58"/>
      <c r="B69" s="58"/>
      <c r="C69" s="58"/>
      <c r="D69" s="58"/>
      <c r="E69" s="58"/>
      <c r="F69" s="58"/>
      <c r="G69" s="58"/>
      <c r="H69" s="59"/>
      <c r="I69" s="59"/>
      <c r="J69" s="59"/>
      <c r="K69" s="59"/>
      <c r="L69" s="59"/>
      <c r="M69" s="60"/>
      <c r="N69" s="60"/>
      <c r="O69" s="60"/>
      <c r="P69" s="59"/>
      <c r="Q69" s="59"/>
      <c r="R69" s="60"/>
      <c r="S69" s="60"/>
      <c r="T69" s="60"/>
      <c r="U69" s="60"/>
      <c r="V69" s="60"/>
      <c r="W69" s="60"/>
    </row>
    <row r="70" spans="1:23" ht="13" x14ac:dyDescent="0.3">
      <c r="A70" s="58"/>
      <c r="B70" s="58"/>
      <c r="C70" s="58"/>
      <c r="D70" s="58"/>
      <c r="E70" s="58"/>
      <c r="F70" s="58"/>
      <c r="G70" s="58"/>
      <c r="H70" s="59"/>
      <c r="I70" s="59"/>
      <c r="J70" s="59"/>
      <c r="K70" s="59"/>
      <c r="L70" s="59"/>
      <c r="M70" s="60"/>
      <c r="N70" s="60"/>
      <c r="O70" s="60"/>
      <c r="P70" s="59"/>
      <c r="Q70" s="59"/>
      <c r="R70" s="60"/>
      <c r="S70" s="60"/>
      <c r="T70" s="60"/>
      <c r="U70" s="60"/>
      <c r="V70" s="60"/>
      <c r="W70" s="60"/>
    </row>
    <row r="71" spans="1:23" ht="13" x14ac:dyDescent="0.3">
      <c r="A71" s="58"/>
      <c r="B71" s="58"/>
      <c r="C71" s="58"/>
      <c r="D71" s="58"/>
      <c r="E71" s="58"/>
      <c r="F71" s="58"/>
      <c r="G71" s="58"/>
      <c r="H71" s="59"/>
      <c r="I71" s="59"/>
      <c r="J71" s="59"/>
      <c r="K71" s="59"/>
      <c r="L71" s="59"/>
      <c r="M71" s="60"/>
      <c r="N71" s="60"/>
      <c r="O71" s="60"/>
      <c r="P71" s="59"/>
      <c r="Q71" s="59"/>
      <c r="R71" s="60"/>
      <c r="S71" s="60"/>
      <c r="T71" s="60"/>
      <c r="U71" s="60"/>
      <c r="V71" s="60"/>
      <c r="W71" s="60"/>
    </row>
    <row r="72" spans="1:23" ht="13" x14ac:dyDescent="0.3">
      <c r="A72" s="58"/>
      <c r="B72" s="58"/>
      <c r="C72" s="58"/>
      <c r="D72" s="58"/>
      <c r="E72" s="58"/>
      <c r="F72" s="58"/>
      <c r="G72" s="58"/>
      <c r="H72" s="59"/>
      <c r="I72" s="59"/>
      <c r="J72" s="59"/>
      <c r="K72" s="59"/>
      <c r="L72" s="59"/>
      <c r="M72" s="60"/>
      <c r="N72" s="60"/>
      <c r="O72" s="60"/>
      <c r="P72" s="59"/>
      <c r="Q72" s="59"/>
      <c r="R72" s="60"/>
      <c r="S72" s="60"/>
      <c r="T72" s="60"/>
      <c r="U72" s="60"/>
      <c r="V72" s="60"/>
      <c r="W72" s="60"/>
    </row>
    <row r="73" spans="1:23" ht="13" x14ac:dyDescent="0.3">
      <c r="A73" s="58"/>
      <c r="B73" s="58"/>
      <c r="C73" s="58"/>
      <c r="D73" s="58"/>
      <c r="E73" s="58"/>
      <c r="F73" s="58"/>
      <c r="G73" s="58"/>
      <c r="H73" s="59"/>
      <c r="I73" s="59"/>
      <c r="J73" s="59"/>
      <c r="K73" s="59"/>
      <c r="L73" s="59"/>
      <c r="M73" s="60"/>
      <c r="N73" s="60"/>
      <c r="O73" s="60"/>
      <c r="P73" s="59"/>
      <c r="Q73" s="59"/>
      <c r="R73" s="60"/>
      <c r="S73" s="60"/>
      <c r="T73" s="60"/>
      <c r="U73" s="60"/>
      <c r="V73" s="60"/>
      <c r="W73" s="60"/>
    </row>
    <row r="74" spans="1:23" ht="13" x14ac:dyDescent="0.3">
      <c r="A74" s="58"/>
      <c r="B74" s="58"/>
      <c r="C74" s="58"/>
      <c r="D74" s="58"/>
      <c r="E74" s="58"/>
      <c r="F74" s="58"/>
      <c r="G74" s="58"/>
      <c r="H74" s="59"/>
      <c r="I74" s="59"/>
      <c r="J74" s="59"/>
      <c r="K74" s="59"/>
      <c r="L74" s="59"/>
      <c r="M74" s="60"/>
      <c r="N74" s="60"/>
      <c r="O74" s="60"/>
      <c r="P74" s="59"/>
      <c r="Q74" s="59"/>
      <c r="R74" s="60"/>
      <c r="S74" s="60"/>
      <c r="T74" s="60"/>
      <c r="U74" s="60"/>
      <c r="V74" s="60"/>
      <c r="W74" s="60"/>
    </row>
    <row r="75" spans="1:23" ht="13" x14ac:dyDescent="0.3">
      <c r="A75" s="58"/>
      <c r="B75" s="58"/>
      <c r="C75" s="58"/>
      <c r="D75" s="58"/>
      <c r="E75" s="58"/>
      <c r="F75" s="58"/>
      <c r="G75" s="58"/>
      <c r="H75" s="59"/>
      <c r="I75" s="59"/>
      <c r="J75" s="59"/>
      <c r="K75" s="59"/>
      <c r="L75" s="59"/>
      <c r="M75" s="60"/>
      <c r="N75" s="60"/>
      <c r="O75" s="60"/>
      <c r="P75" s="59"/>
      <c r="Q75" s="59"/>
      <c r="R75" s="60"/>
      <c r="S75" s="60"/>
      <c r="T75" s="60"/>
      <c r="U75" s="60"/>
      <c r="V75" s="60"/>
      <c r="W75" s="60"/>
    </row>
    <row r="76" spans="1:23" ht="13" x14ac:dyDescent="0.3">
      <c r="A76" s="58"/>
      <c r="B76" s="58"/>
      <c r="C76" s="58"/>
      <c r="D76" s="58"/>
      <c r="E76" s="58"/>
      <c r="F76" s="58"/>
      <c r="G76" s="58"/>
      <c r="H76" s="59"/>
      <c r="I76" s="59"/>
      <c r="J76" s="59"/>
      <c r="K76" s="59"/>
      <c r="L76" s="59"/>
      <c r="M76" s="60"/>
      <c r="N76" s="60"/>
      <c r="O76" s="60"/>
      <c r="P76" s="59"/>
      <c r="Q76" s="59"/>
      <c r="R76" s="60"/>
      <c r="S76" s="60"/>
      <c r="T76" s="60"/>
      <c r="U76" s="60"/>
      <c r="V76" s="60"/>
      <c r="W76" s="60"/>
    </row>
    <row r="77" spans="1:23" ht="13" x14ac:dyDescent="0.3">
      <c r="A77" s="58"/>
      <c r="B77" s="58"/>
      <c r="C77" s="58"/>
      <c r="D77" s="58"/>
      <c r="E77" s="58"/>
      <c r="F77" s="58"/>
      <c r="G77" s="58"/>
      <c r="H77" s="59"/>
      <c r="I77" s="59"/>
      <c r="J77" s="59"/>
      <c r="K77" s="59"/>
      <c r="L77" s="59"/>
      <c r="M77" s="60"/>
      <c r="N77" s="60"/>
      <c r="O77" s="60"/>
      <c r="P77" s="59"/>
      <c r="Q77" s="59"/>
      <c r="R77" s="60"/>
      <c r="S77" s="60"/>
      <c r="T77" s="60"/>
      <c r="U77" s="60"/>
      <c r="V77" s="60"/>
      <c r="W77" s="60"/>
    </row>
    <row r="78" spans="1:23" ht="13" x14ac:dyDescent="0.3">
      <c r="A78" s="58"/>
      <c r="B78" s="58"/>
      <c r="C78" s="58"/>
      <c r="D78" s="58"/>
      <c r="E78" s="58"/>
      <c r="F78" s="58"/>
      <c r="G78" s="58"/>
      <c r="H78" s="59"/>
      <c r="I78" s="59"/>
      <c r="J78" s="59"/>
      <c r="K78" s="59"/>
      <c r="L78" s="59"/>
      <c r="M78" s="60"/>
      <c r="N78" s="60"/>
      <c r="O78" s="60"/>
      <c r="P78" s="59"/>
      <c r="Q78" s="59"/>
      <c r="R78" s="60"/>
      <c r="S78" s="60"/>
      <c r="T78" s="60"/>
      <c r="U78" s="60"/>
      <c r="V78" s="60"/>
      <c r="W78" s="60"/>
    </row>
    <row r="79" spans="1:23" ht="13" x14ac:dyDescent="0.3">
      <c r="A79" s="58"/>
      <c r="B79" s="58"/>
      <c r="C79" s="58"/>
      <c r="D79" s="58"/>
      <c r="E79" s="58"/>
      <c r="F79" s="58"/>
      <c r="G79" s="58"/>
      <c r="H79" s="59"/>
      <c r="I79" s="59"/>
      <c r="J79" s="59"/>
      <c r="K79" s="59"/>
      <c r="L79" s="59"/>
      <c r="M79" s="60"/>
      <c r="N79" s="60"/>
      <c r="O79" s="60"/>
      <c r="P79" s="59"/>
      <c r="Q79" s="59"/>
      <c r="R79" s="60"/>
      <c r="S79" s="60"/>
      <c r="T79" s="60"/>
      <c r="U79" s="60"/>
      <c r="V79" s="60"/>
      <c r="W79" s="60"/>
    </row>
    <row r="80" spans="1:23" ht="13" x14ac:dyDescent="0.3">
      <c r="A80" s="58"/>
      <c r="B80" s="58"/>
      <c r="C80" s="58"/>
      <c r="D80" s="58"/>
      <c r="E80" s="58"/>
      <c r="F80" s="58"/>
      <c r="G80" s="58"/>
      <c r="H80" s="59"/>
      <c r="I80" s="59"/>
      <c r="J80" s="59"/>
      <c r="K80" s="59"/>
      <c r="L80" s="59"/>
      <c r="M80" s="60"/>
      <c r="N80" s="60"/>
      <c r="O80" s="60"/>
      <c r="P80" s="59"/>
      <c r="Q80" s="59"/>
      <c r="R80" s="60"/>
      <c r="S80" s="60"/>
      <c r="T80" s="60"/>
      <c r="U80" s="60"/>
      <c r="V80" s="60"/>
      <c r="W80" s="60"/>
    </row>
    <row r="81" spans="1:23" ht="13" x14ac:dyDescent="0.3">
      <c r="A81" s="58"/>
      <c r="B81" s="58"/>
      <c r="C81" s="58"/>
      <c r="D81" s="58"/>
      <c r="E81" s="58"/>
      <c r="F81" s="58"/>
      <c r="G81" s="58"/>
      <c r="H81" s="59"/>
      <c r="I81" s="59"/>
      <c r="J81" s="59"/>
      <c r="K81" s="59"/>
      <c r="L81" s="59"/>
      <c r="M81" s="60"/>
      <c r="N81" s="60"/>
      <c r="O81" s="60"/>
      <c r="P81" s="59"/>
      <c r="Q81" s="59"/>
      <c r="R81" s="60"/>
      <c r="S81" s="60"/>
      <c r="T81" s="60"/>
      <c r="U81" s="60"/>
      <c r="V81" s="60"/>
      <c r="W81" s="60"/>
    </row>
    <row r="82" spans="1:23" ht="13" x14ac:dyDescent="0.3">
      <c r="A82" s="58"/>
      <c r="B82" s="58"/>
      <c r="C82" s="58"/>
      <c r="D82" s="58"/>
      <c r="E82" s="58"/>
      <c r="F82" s="58"/>
      <c r="G82" s="58"/>
      <c r="H82" s="59"/>
      <c r="I82" s="59"/>
      <c r="J82" s="59"/>
      <c r="K82" s="59"/>
      <c r="L82" s="59"/>
      <c r="M82" s="60"/>
      <c r="N82" s="60"/>
      <c r="O82" s="60"/>
      <c r="P82" s="59"/>
      <c r="Q82" s="59"/>
      <c r="R82" s="60"/>
      <c r="S82" s="60"/>
      <c r="T82" s="60"/>
      <c r="U82" s="60"/>
      <c r="V82" s="60"/>
      <c r="W82" s="60"/>
    </row>
    <row r="83" spans="1:23" ht="13" x14ac:dyDescent="0.3">
      <c r="A83" s="58"/>
      <c r="B83" s="58"/>
      <c r="C83" s="58"/>
      <c r="D83" s="58"/>
      <c r="E83" s="58"/>
      <c r="F83" s="58"/>
      <c r="G83" s="58"/>
      <c r="H83" s="59"/>
      <c r="I83" s="59"/>
      <c r="J83" s="59"/>
      <c r="K83" s="59"/>
      <c r="L83" s="59"/>
      <c r="M83" s="60"/>
      <c r="N83" s="60"/>
      <c r="O83" s="60"/>
      <c r="P83" s="59"/>
      <c r="Q83" s="59"/>
      <c r="R83" s="60"/>
      <c r="S83" s="60"/>
      <c r="T83" s="60"/>
      <c r="U83" s="60"/>
      <c r="V83" s="60"/>
      <c r="W83" s="60"/>
    </row>
    <row r="84" spans="1:23" ht="13" x14ac:dyDescent="0.3">
      <c r="A84" s="58"/>
      <c r="B84" s="58"/>
      <c r="C84" s="58"/>
      <c r="D84" s="58"/>
      <c r="E84" s="58"/>
      <c r="F84" s="58"/>
      <c r="G84" s="58"/>
      <c r="H84" s="59"/>
      <c r="I84" s="59"/>
      <c r="J84" s="59"/>
      <c r="K84" s="59"/>
      <c r="L84" s="59"/>
      <c r="M84" s="60"/>
      <c r="N84" s="60"/>
      <c r="O84" s="60"/>
      <c r="P84" s="59"/>
      <c r="Q84" s="59"/>
      <c r="R84" s="60"/>
      <c r="S84" s="60"/>
      <c r="T84" s="60"/>
      <c r="U84" s="60"/>
      <c r="V84" s="60"/>
      <c r="W84" s="60"/>
    </row>
    <row r="85" spans="1:23" ht="13" x14ac:dyDescent="0.3">
      <c r="A85" s="58"/>
      <c r="B85" s="58"/>
      <c r="C85" s="58"/>
      <c r="D85" s="58"/>
      <c r="E85" s="58"/>
      <c r="F85" s="58"/>
      <c r="G85" s="58"/>
      <c r="H85" s="59"/>
      <c r="I85" s="59"/>
      <c r="J85" s="59"/>
      <c r="K85" s="59"/>
      <c r="L85" s="59"/>
      <c r="M85" s="60"/>
      <c r="N85" s="60"/>
      <c r="O85" s="60"/>
      <c r="P85" s="59"/>
      <c r="Q85" s="59"/>
      <c r="R85" s="60"/>
      <c r="S85" s="60"/>
      <c r="T85" s="60"/>
      <c r="U85" s="60"/>
      <c r="V85" s="60"/>
      <c r="W85" s="60"/>
    </row>
    <row r="86" spans="1:23" ht="13" x14ac:dyDescent="0.3">
      <c r="A86" s="58"/>
      <c r="B86" s="58"/>
      <c r="C86" s="58"/>
      <c r="D86" s="58"/>
      <c r="E86" s="58"/>
      <c r="F86" s="58"/>
      <c r="G86" s="58"/>
      <c r="H86" s="59"/>
      <c r="I86" s="59"/>
      <c r="J86" s="59"/>
      <c r="K86" s="59"/>
      <c r="L86" s="59"/>
      <c r="M86" s="60"/>
      <c r="N86" s="60"/>
      <c r="O86" s="60"/>
      <c r="P86" s="59"/>
      <c r="Q86" s="59"/>
      <c r="R86" s="60"/>
      <c r="S86" s="60"/>
      <c r="T86" s="60"/>
      <c r="U86" s="60"/>
      <c r="V86" s="60"/>
      <c r="W86" s="60"/>
    </row>
    <row r="87" spans="1:23" ht="13" x14ac:dyDescent="0.3">
      <c r="A87" s="58"/>
      <c r="B87" s="58"/>
      <c r="C87" s="58"/>
      <c r="D87" s="58"/>
      <c r="E87" s="58"/>
      <c r="F87" s="58"/>
      <c r="G87" s="58"/>
      <c r="H87" s="59"/>
      <c r="I87" s="59"/>
      <c r="J87" s="59"/>
      <c r="K87" s="59"/>
      <c r="L87" s="59"/>
      <c r="M87" s="60"/>
      <c r="N87" s="60"/>
      <c r="O87" s="60"/>
      <c r="P87" s="59"/>
      <c r="Q87" s="59"/>
      <c r="R87" s="60"/>
      <c r="S87" s="60"/>
      <c r="T87" s="60"/>
      <c r="U87" s="60"/>
      <c r="V87" s="60"/>
      <c r="W87" s="60"/>
    </row>
    <row r="88" spans="1:23" ht="13" x14ac:dyDescent="0.3">
      <c r="A88" s="58"/>
      <c r="B88" s="58"/>
      <c r="C88" s="58"/>
      <c r="D88" s="58"/>
      <c r="E88" s="58"/>
      <c r="F88" s="58"/>
      <c r="G88" s="58"/>
      <c r="H88" s="59"/>
      <c r="I88" s="59"/>
      <c r="J88" s="59"/>
      <c r="K88" s="59"/>
      <c r="L88" s="59"/>
      <c r="M88" s="60"/>
      <c r="N88" s="60"/>
      <c r="O88" s="60"/>
      <c r="P88" s="59"/>
      <c r="Q88" s="59"/>
      <c r="R88" s="60"/>
      <c r="S88" s="60"/>
      <c r="T88" s="60"/>
      <c r="U88" s="60"/>
      <c r="V88" s="60"/>
      <c r="W88" s="60"/>
    </row>
    <row r="89" spans="1:23" ht="13" x14ac:dyDescent="0.3">
      <c r="A89" s="58"/>
      <c r="B89" s="58"/>
      <c r="C89" s="58"/>
      <c r="D89" s="58"/>
      <c r="E89" s="58"/>
      <c r="F89" s="58"/>
      <c r="G89" s="58"/>
      <c r="H89" s="59"/>
      <c r="I89" s="59"/>
      <c r="J89" s="59"/>
      <c r="K89" s="59"/>
      <c r="L89" s="59"/>
      <c r="M89" s="60"/>
      <c r="N89" s="60"/>
      <c r="O89" s="60"/>
      <c r="P89" s="59"/>
      <c r="Q89" s="59"/>
      <c r="R89" s="60"/>
      <c r="S89" s="60"/>
      <c r="T89" s="60"/>
      <c r="U89" s="60"/>
      <c r="V89" s="60"/>
      <c r="W89" s="60"/>
    </row>
    <row r="90" spans="1:23" ht="13" x14ac:dyDescent="0.3">
      <c r="A90" s="58"/>
      <c r="B90" s="58"/>
      <c r="C90" s="58"/>
      <c r="D90" s="58"/>
      <c r="E90" s="58"/>
      <c r="F90" s="58"/>
      <c r="G90" s="58"/>
      <c r="H90" s="59"/>
      <c r="I90" s="59"/>
      <c r="J90" s="59"/>
      <c r="K90" s="59"/>
      <c r="L90" s="59"/>
      <c r="M90" s="60"/>
      <c r="N90" s="60"/>
      <c r="O90" s="60"/>
      <c r="P90" s="59"/>
      <c r="Q90" s="59"/>
      <c r="R90" s="60"/>
      <c r="S90" s="60"/>
      <c r="T90" s="60"/>
      <c r="U90" s="60"/>
      <c r="V90" s="60"/>
      <c r="W90" s="60"/>
    </row>
    <row r="91" spans="1:23" ht="13" x14ac:dyDescent="0.3">
      <c r="A91" s="58"/>
      <c r="B91" s="58"/>
      <c r="C91" s="58"/>
      <c r="D91" s="58"/>
      <c r="E91" s="58"/>
      <c r="F91" s="58"/>
      <c r="G91" s="58"/>
      <c r="H91" s="59"/>
      <c r="I91" s="59"/>
      <c r="J91" s="59"/>
      <c r="K91" s="59"/>
      <c r="L91" s="59"/>
      <c r="M91" s="60"/>
      <c r="N91" s="60"/>
      <c r="O91" s="60"/>
      <c r="P91" s="59"/>
      <c r="Q91" s="59"/>
      <c r="R91" s="60"/>
      <c r="S91" s="60"/>
      <c r="T91" s="60"/>
      <c r="U91" s="60"/>
      <c r="V91" s="60"/>
      <c r="W91" s="60"/>
    </row>
    <row r="92" spans="1:23" ht="13" x14ac:dyDescent="0.3">
      <c r="A92" s="58"/>
      <c r="B92" s="58"/>
      <c r="C92" s="58"/>
      <c r="D92" s="58"/>
      <c r="E92" s="58"/>
      <c r="F92" s="58"/>
      <c r="G92" s="58"/>
      <c r="H92" s="59"/>
      <c r="I92" s="59"/>
      <c r="J92" s="59"/>
      <c r="K92" s="59"/>
      <c r="L92" s="59"/>
      <c r="M92" s="60"/>
      <c r="N92" s="60"/>
      <c r="O92" s="60"/>
      <c r="P92" s="59"/>
      <c r="Q92" s="59"/>
      <c r="R92" s="60"/>
      <c r="S92" s="60"/>
      <c r="T92" s="60"/>
      <c r="U92" s="60"/>
      <c r="V92" s="60"/>
      <c r="W92" s="60"/>
    </row>
    <row r="93" spans="1:23" ht="13" x14ac:dyDescent="0.3">
      <c r="A93" s="58"/>
      <c r="B93" s="58"/>
      <c r="C93" s="58"/>
      <c r="D93" s="58"/>
      <c r="E93" s="58"/>
      <c r="F93" s="58"/>
      <c r="G93" s="58"/>
      <c r="H93" s="59"/>
      <c r="I93" s="59"/>
      <c r="J93" s="59"/>
      <c r="K93" s="59"/>
      <c r="L93" s="59"/>
      <c r="M93" s="60"/>
      <c r="N93" s="60"/>
      <c r="O93" s="60"/>
      <c r="P93" s="59"/>
      <c r="Q93" s="59"/>
      <c r="R93" s="60"/>
      <c r="S93" s="60"/>
      <c r="T93" s="60"/>
      <c r="U93" s="60"/>
      <c r="V93" s="60"/>
      <c r="W93" s="60"/>
    </row>
    <row r="94" spans="1:23" ht="13" x14ac:dyDescent="0.3">
      <c r="A94" s="58"/>
      <c r="B94" s="58"/>
      <c r="C94" s="58"/>
      <c r="D94" s="58"/>
      <c r="E94" s="58"/>
      <c r="F94" s="58"/>
      <c r="G94" s="58"/>
      <c r="H94" s="59"/>
      <c r="I94" s="59"/>
      <c r="J94" s="59"/>
      <c r="K94" s="59"/>
      <c r="L94" s="59"/>
      <c r="M94" s="60"/>
      <c r="N94" s="60"/>
      <c r="O94" s="60"/>
      <c r="P94" s="59"/>
      <c r="Q94" s="59"/>
      <c r="R94" s="60"/>
      <c r="S94" s="60"/>
      <c r="T94" s="60"/>
      <c r="U94" s="60"/>
      <c r="V94" s="60"/>
      <c r="W94" s="60"/>
    </row>
    <row r="95" spans="1:23" ht="13" x14ac:dyDescent="0.3">
      <c r="A95" s="58"/>
      <c r="B95" s="58"/>
      <c r="C95" s="58"/>
      <c r="D95" s="58"/>
      <c r="E95" s="58"/>
      <c r="F95" s="58"/>
      <c r="G95" s="58"/>
      <c r="H95" s="59"/>
      <c r="I95" s="59"/>
      <c r="J95" s="59"/>
      <c r="K95" s="59"/>
      <c r="L95" s="59"/>
      <c r="M95" s="60"/>
      <c r="N95" s="60"/>
      <c r="O95" s="60"/>
      <c r="P95" s="59"/>
      <c r="Q95" s="59"/>
      <c r="R95" s="60"/>
      <c r="S95" s="60"/>
      <c r="T95" s="60"/>
      <c r="U95" s="60"/>
      <c r="V95" s="60"/>
      <c r="W95" s="60"/>
    </row>
    <row r="96" spans="1:23" ht="13" x14ac:dyDescent="0.3">
      <c r="A96" s="58"/>
      <c r="B96" s="58"/>
      <c r="C96" s="58"/>
      <c r="D96" s="58"/>
      <c r="E96" s="58"/>
      <c r="F96" s="58"/>
      <c r="G96" s="58"/>
      <c r="H96" s="59"/>
      <c r="I96" s="59"/>
      <c r="J96" s="59"/>
      <c r="K96" s="59"/>
      <c r="L96" s="59"/>
      <c r="M96" s="60"/>
      <c r="N96" s="60"/>
      <c r="O96" s="60"/>
      <c r="P96" s="59"/>
      <c r="Q96" s="59"/>
      <c r="R96" s="60"/>
      <c r="S96" s="60"/>
      <c r="T96" s="60"/>
      <c r="U96" s="60"/>
      <c r="V96" s="60"/>
      <c r="W96" s="60"/>
    </row>
    <row r="97" spans="1:23" ht="13" x14ac:dyDescent="0.3">
      <c r="A97" s="58"/>
      <c r="B97" s="58"/>
      <c r="C97" s="58"/>
      <c r="D97" s="58"/>
      <c r="E97" s="58"/>
      <c r="F97" s="58"/>
      <c r="G97" s="58"/>
      <c r="H97" s="59"/>
      <c r="I97" s="59"/>
      <c r="J97" s="59"/>
      <c r="K97" s="59"/>
      <c r="L97" s="59"/>
      <c r="M97" s="60"/>
      <c r="N97" s="60"/>
      <c r="O97" s="60"/>
      <c r="P97" s="59"/>
      <c r="Q97" s="59"/>
      <c r="R97" s="60"/>
      <c r="S97" s="60"/>
      <c r="T97" s="60"/>
      <c r="U97" s="60"/>
      <c r="V97" s="60"/>
      <c r="W97" s="60"/>
    </row>
    <row r="98" spans="1:23" ht="13" x14ac:dyDescent="0.3">
      <c r="A98" s="58"/>
      <c r="B98" s="58"/>
      <c r="C98" s="58"/>
      <c r="D98" s="58"/>
      <c r="E98" s="58"/>
      <c r="F98" s="58"/>
      <c r="G98" s="58"/>
      <c r="H98" s="59"/>
      <c r="I98" s="59"/>
      <c r="J98" s="59"/>
      <c r="K98" s="59"/>
      <c r="L98" s="59"/>
      <c r="M98" s="60"/>
      <c r="N98" s="60"/>
      <c r="O98" s="60"/>
      <c r="P98" s="59"/>
      <c r="Q98" s="59"/>
      <c r="R98" s="60"/>
      <c r="S98" s="60"/>
      <c r="T98" s="60"/>
      <c r="U98" s="60"/>
      <c r="V98" s="60"/>
      <c r="W98" s="60"/>
    </row>
    <row r="99" spans="1:23" ht="13" x14ac:dyDescent="0.3">
      <c r="A99" s="58"/>
      <c r="B99" s="58"/>
      <c r="C99" s="58"/>
      <c r="D99" s="58"/>
      <c r="E99" s="58"/>
      <c r="F99" s="58"/>
      <c r="G99" s="58"/>
      <c r="H99" s="59"/>
      <c r="I99" s="59"/>
      <c r="J99" s="59"/>
      <c r="K99" s="59"/>
      <c r="L99" s="59"/>
      <c r="M99" s="60"/>
      <c r="N99" s="60"/>
      <c r="O99" s="60"/>
      <c r="P99" s="59"/>
      <c r="Q99" s="59"/>
      <c r="R99" s="60"/>
      <c r="S99" s="60"/>
      <c r="T99" s="60"/>
      <c r="U99" s="60"/>
      <c r="V99" s="60"/>
      <c r="W99" s="60"/>
    </row>
    <row r="100" spans="1:23" ht="13" x14ac:dyDescent="0.3">
      <c r="A100" s="58"/>
      <c r="B100" s="58"/>
      <c r="C100" s="58"/>
      <c r="D100" s="58"/>
      <c r="E100" s="58"/>
      <c r="F100" s="58"/>
      <c r="G100" s="58"/>
      <c r="H100" s="59"/>
      <c r="I100" s="59"/>
      <c r="J100" s="59"/>
      <c r="K100" s="59"/>
      <c r="L100" s="59"/>
      <c r="M100" s="60"/>
      <c r="N100" s="60"/>
      <c r="O100" s="60"/>
      <c r="P100" s="59"/>
      <c r="Q100" s="59"/>
      <c r="R100" s="60"/>
      <c r="S100" s="60"/>
      <c r="T100" s="60"/>
      <c r="U100" s="60"/>
      <c r="V100" s="60"/>
      <c r="W100" s="60"/>
    </row>
    <row r="101" spans="1:23" ht="13" x14ac:dyDescent="0.3">
      <c r="A101" s="58"/>
      <c r="B101" s="58"/>
      <c r="C101" s="58"/>
      <c r="D101" s="58"/>
      <c r="E101" s="58"/>
      <c r="F101" s="58"/>
      <c r="G101" s="58"/>
      <c r="H101" s="59"/>
      <c r="I101" s="59"/>
      <c r="J101" s="59"/>
      <c r="K101" s="59"/>
      <c r="L101" s="59"/>
      <c r="M101" s="60"/>
      <c r="N101" s="60"/>
      <c r="O101" s="60"/>
      <c r="P101" s="59"/>
      <c r="Q101" s="59"/>
      <c r="R101" s="60"/>
      <c r="S101" s="60"/>
      <c r="T101" s="60"/>
      <c r="U101" s="60"/>
      <c r="V101" s="60"/>
      <c r="W101" s="60"/>
    </row>
    <row r="102" spans="1:23" ht="13" x14ac:dyDescent="0.3">
      <c r="A102" s="58"/>
      <c r="B102" s="58"/>
      <c r="C102" s="58"/>
      <c r="D102" s="58"/>
      <c r="E102" s="58"/>
      <c r="F102" s="58"/>
      <c r="G102" s="58"/>
      <c r="H102" s="59"/>
      <c r="I102" s="59"/>
      <c r="J102" s="59"/>
      <c r="K102" s="59"/>
      <c r="L102" s="59"/>
      <c r="M102" s="60"/>
      <c r="N102" s="60"/>
      <c r="O102" s="60"/>
      <c r="P102" s="59"/>
      <c r="Q102" s="59"/>
      <c r="R102" s="60"/>
      <c r="S102" s="60"/>
      <c r="T102" s="60"/>
      <c r="U102" s="60"/>
      <c r="V102" s="60"/>
      <c r="W102" s="60"/>
    </row>
    <row r="103" spans="1:23" ht="13" x14ac:dyDescent="0.3">
      <c r="A103" s="58"/>
      <c r="B103" s="58"/>
      <c r="C103" s="58"/>
      <c r="D103" s="58"/>
      <c r="E103" s="58"/>
      <c r="F103" s="58"/>
      <c r="G103" s="58"/>
      <c r="H103" s="59"/>
      <c r="I103" s="59"/>
      <c r="J103" s="59"/>
      <c r="K103" s="59"/>
      <c r="L103" s="59"/>
      <c r="M103" s="60"/>
      <c r="N103" s="60"/>
      <c r="O103" s="60"/>
      <c r="P103" s="59"/>
      <c r="Q103" s="59"/>
      <c r="R103" s="60"/>
      <c r="S103" s="60"/>
      <c r="T103" s="60"/>
      <c r="U103" s="60"/>
      <c r="V103" s="60"/>
      <c r="W103" s="60"/>
    </row>
    <row r="104" spans="1:23" ht="13" x14ac:dyDescent="0.3">
      <c r="A104" s="58"/>
      <c r="B104" s="58"/>
      <c r="C104" s="58"/>
      <c r="D104" s="58"/>
      <c r="E104" s="58"/>
      <c r="F104" s="58"/>
      <c r="G104" s="58"/>
      <c r="H104" s="59"/>
      <c r="I104" s="59"/>
      <c r="J104" s="59"/>
      <c r="K104" s="59"/>
      <c r="L104" s="59"/>
      <c r="M104" s="60"/>
      <c r="N104" s="60"/>
      <c r="O104" s="60"/>
      <c r="P104" s="59"/>
      <c r="Q104" s="59"/>
      <c r="R104" s="60"/>
      <c r="S104" s="60"/>
      <c r="T104" s="60"/>
      <c r="U104" s="60"/>
      <c r="V104" s="60"/>
      <c r="W104" s="60"/>
    </row>
    <row r="105" spans="1:23" ht="13" x14ac:dyDescent="0.3">
      <c r="A105" s="58"/>
      <c r="B105" s="58"/>
      <c r="C105" s="58"/>
      <c r="D105" s="58"/>
      <c r="E105" s="58"/>
      <c r="F105" s="58"/>
      <c r="G105" s="58"/>
      <c r="H105" s="59"/>
      <c r="I105" s="59"/>
      <c r="J105" s="59"/>
      <c r="K105" s="59"/>
      <c r="L105" s="59"/>
      <c r="M105" s="60"/>
      <c r="N105" s="60"/>
      <c r="O105" s="60"/>
      <c r="P105" s="59"/>
      <c r="Q105" s="59"/>
      <c r="R105" s="60"/>
      <c r="S105" s="60"/>
      <c r="T105" s="60"/>
      <c r="U105" s="60"/>
      <c r="V105" s="60"/>
      <c r="W105" s="60"/>
    </row>
    <row r="106" spans="1:23" ht="13" x14ac:dyDescent="0.3">
      <c r="A106" s="58"/>
      <c r="B106" s="58"/>
      <c r="C106" s="58"/>
      <c r="D106" s="58"/>
      <c r="E106" s="58"/>
      <c r="F106" s="58"/>
      <c r="G106" s="58"/>
      <c r="H106" s="59"/>
      <c r="I106" s="59"/>
      <c r="J106" s="59"/>
      <c r="K106" s="59"/>
      <c r="L106" s="59"/>
      <c r="M106" s="60"/>
      <c r="N106" s="60"/>
      <c r="O106" s="60"/>
      <c r="P106" s="59"/>
      <c r="Q106" s="59"/>
      <c r="R106" s="60"/>
      <c r="S106" s="60"/>
      <c r="T106" s="60"/>
      <c r="U106" s="60"/>
      <c r="V106" s="60"/>
      <c r="W106" s="60"/>
    </row>
    <row r="107" spans="1:23" ht="13" x14ac:dyDescent="0.3">
      <c r="A107" s="58"/>
      <c r="B107" s="58"/>
      <c r="C107" s="58"/>
      <c r="D107" s="58"/>
      <c r="E107" s="58"/>
      <c r="F107" s="58"/>
      <c r="G107" s="58"/>
      <c r="H107" s="59"/>
      <c r="I107" s="59"/>
      <c r="J107" s="59"/>
      <c r="K107" s="59"/>
      <c r="L107" s="59"/>
      <c r="M107" s="60"/>
      <c r="N107" s="60"/>
      <c r="O107" s="60"/>
      <c r="P107" s="59"/>
      <c r="Q107" s="59"/>
      <c r="R107" s="60"/>
      <c r="S107" s="60"/>
      <c r="T107" s="60"/>
      <c r="U107" s="60"/>
      <c r="V107" s="60"/>
      <c r="W107" s="60"/>
    </row>
    <row r="108" spans="1:23" ht="13" x14ac:dyDescent="0.3">
      <c r="A108" s="58"/>
      <c r="B108" s="58"/>
      <c r="C108" s="58"/>
      <c r="D108" s="58"/>
      <c r="E108" s="58"/>
      <c r="F108" s="58"/>
      <c r="G108" s="58"/>
      <c r="H108" s="59"/>
      <c r="I108" s="59"/>
      <c r="J108" s="59"/>
      <c r="K108" s="59"/>
      <c r="L108" s="59"/>
      <c r="M108" s="60"/>
      <c r="N108" s="60"/>
      <c r="O108" s="60"/>
      <c r="P108" s="59"/>
      <c r="Q108" s="59"/>
      <c r="R108" s="60"/>
      <c r="S108" s="60"/>
      <c r="T108" s="60"/>
      <c r="U108" s="60"/>
      <c r="V108" s="60"/>
      <c r="W108" s="60"/>
    </row>
    <row r="109" spans="1:23" ht="13" x14ac:dyDescent="0.3">
      <c r="A109" s="58"/>
      <c r="B109" s="58"/>
      <c r="C109" s="58"/>
      <c r="D109" s="58"/>
      <c r="E109" s="58"/>
      <c r="F109" s="58"/>
      <c r="G109" s="58"/>
      <c r="H109" s="59"/>
      <c r="I109" s="59"/>
      <c r="J109" s="59"/>
      <c r="K109" s="59"/>
      <c r="L109" s="59"/>
      <c r="M109" s="60"/>
      <c r="N109" s="60"/>
      <c r="O109" s="60"/>
      <c r="P109" s="59"/>
      <c r="Q109" s="59"/>
      <c r="R109" s="60"/>
      <c r="S109" s="60"/>
      <c r="T109" s="60"/>
      <c r="U109" s="60"/>
      <c r="V109" s="60"/>
      <c r="W109" s="60"/>
    </row>
    <row r="110" spans="1:23" ht="13" x14ac:dyDescent="0.3">
      <c r="A110" s="58"/>
      <c r="B110" s="58"/>
      <c r="C110" s="58"/>
      <c r="D110" s="58"/>
      <c r="E110" s="58"/>
      <c r="F110" s="58"/>
      <c r="G110" s="58"/>
      <c r="H110" s="59"/>
      <c r="I110" s="59"/>
      <c r="J110" s="59"/>
      <c r="K110" s="59"/>
      <c r="L110" s="59"/>
      <c r="M110" s="60"/>
      <c r="N110" s="60"/>
      <c r="O110" s="60"/>
      <c r="P110" s="59"/>
      <c r="Q110" s="59"/>
      <c r="R110" s="60"/>
      <c r="S110" s="60"/>
      <c r="T110" s="60"/>
      <c r="U110" s="60"/>
      <c r="V110" s="60"/>
      <c r="W110" s="60"/>
    </row>
    <row r="111" spans="1:23" ht="13" x14ac:dyDescent="0.3">
      <c r="A111" s="58"/>
      <c r="B111" s="58"/>
      <c r="C111" s="58"/>
      <c r="D111" s="58"/>
      <c r="E111" s="58"/>
      <c r="F111" s="58"/>
      <c r="G111" s="58"/>
      <c r="H111" s="59"/>
      <c r="I111" s="59"/>
      <c r="J111" s="59"/>
      <c r="K111" s="59"/>
      <c r="L111" s="59"/>
      <c r="M111" s="60"/>
      <c r="N111" s="60"/>
      <c r="O111" s="60"/>
      <c r="P111" s="59"/>
      <c r="Q111" s="59"/>
      <c r="R111" s="60"/>
      <c r="S111" s="60"/>
      <c r="T111" s="60"/>
      <c r="U111" s="60"/>
      <c r="V111" s="60"/>
      <c r="W111" s="60"/>
    </row>
    <row r="112" spans="1:23" ht="13" x14ac:dyDescent="0.3">
      <c r="A112" s="58"/>
      <c r="B112" s="58"/>
      <c r="C112" s="58"/>
      <c r="D112" s="58"/>
      <c r="E112" s="58"/>
      <c r="F112" s="58"/>
      <c r="G112" s="58"/>
      <c r="H112" s="59"/>
      <c r="I112" s="59"/>
      <c r="J112" s="59"/>
      <c r="K112" s="59"/>
      <c r="L112" s="59"/>
      <c r="M112" s="60"/>
      <c r="N112" s="60"/>
      <c r="O112" s="60"/>
      <c r="P112" s="59"/>
      <c r="Q112" s="59"/>
      <c r="R112" s="60"/>
      <c r="S112" s="60"/>
      <c r="T112" s="60"/>
      <c r="U112" s="60"/>
      <c r="V112" s="60"/>
      <c r="W112" s="60"/>
    </row>
    <row r="113" spans="1:23" ht="13" x14ac:dyDescent="0.3">
      <c r="A113" s="58"/>
      <c r="B113" s="58"/>
      <c r="C113" s="58"/>
      <c r="D113" s="58"/>
      <c r="E113" s="58"/>
      <c r="F113" s="58"/>
      <c r="G113" s="58"/>
      <c r="H113" s="59"/>
      <c r="I113" s="59"/>
      <c r="J113" s="59"/>
      <c r="K113" s="59"/>
      <c r="L113" s="59"/>
      <c r="M113" s="60"/>
      <c r="N113" s="60"/>
      <c r="O113" s="60"/>
      <c r="P113" s="59"/>
      <c r="Q113" s="59"/>
      <c r="R113" s="60"/>
      <c r="S113" s="60"/>
      <c r="T113" s="60"/>
      <c r="U113" s="60"/>
      <c r="V113" s="60"/>
      <c r="W113" s="60"/>
    </row>
    <row r="114" spans="1:23" ht="13" x14ac:dyDescent="0.3">
      <c r="A114" s="58"/>
      <c r="B114" s="58"/>
      <c r="C114" s="58"/>
      <c r="D114" s="58"/>
      <c r="E114" s="58"/>
      <c r="F114" s="58"/>
      <c r="G114" s="58"/>
      <c r="H114" s="59"/>
      <c r="I114" s="59"/>
      <c r="J114" s="59"/>
      <c r="K114" s="59"/>
      <c r="L114" s="59"/>
      <c r="M114" s="60"/>
      <c r="N114" s="60"/>
      <c r="O114" s="60"/>
      <c r="P114" s="59"/>
      <c r="Q114" s="59"/>
      <c r="R114" s="60"/>
      <c r="S114" s="60"/>
      <c r="T114" s="60"/>
      <c r="U114" s="60"/>
      <c r="V114" s="60"/>
      <c r="W114" s="60"/>
    </row>
    <row r="115" spans="1:23" ht="13" x14ac:dyDescent="0.3">
      <c r="A115" s="58"/>
      <c r="B115" s="58"/>
      <c r="C115" s="58"/>
      <c r="D115" s="58"/>
      <c r="E115" s="58"/>
      <c r="F115" s="58"/>
      <c r="G115" s="58"/>
      <c r="H115" s="59"/>
      <c r="I115" s="59"/>
      <c r="J115" s="59"/>
      <c r="K115" s="59"/>
      <c r="L115" s="59"/>
      <c r="M115" s="60"/>
      <c r="N115" s="60"/>
      <c r="O115" s="60"/>
      <c r="P115" s="59"/>
      <c r="Q115" s="59"/>
      <c r="R115" s="60"/>
      <c r="S115" s="60"/>
      <c r="T115" s="60"/>
      <c r="U115" s="60"/>
      <c r="V115" s="60"/>
      <c r="W115" s="60"/>
    </row>
    <row r="116" spans="1:23" ht="13" x14ac:dyDescent="0.3">
      <c r="A116" s="58"/>
      <c r="B116" s="58"/>
      <c r="C116" s="58"/>
      <c r="D116" s="58"/>
      <c r="E116" s="58"/>
      <c r="F116" s="58"/>
      <c r="G116" s="58"/>
      <c r="H116" s="59"/>
      <c r="I116" s="59"/>
      <c r="J116" s="59"/>
      <c r="K116" s="59"/>
      <c r="L116" s="59"/>
      <c r="M116" s="60"/>
      <c r="N116" s="60"/>
      <c r="O116" s="60"/>
      <c r="P116" s="59"/>
      <c r="Q116" s="59"/>
      <c r="R116" s="60"/>
      <c r="S116" s="60"/>
      <c r="T116" s="60"/>
      <c r="U116" s="60"/>
      <c r="V116" s="60"/>
      <c r="W116" s="60"/>
    </row>
    <row r="117" spans="1:23" ht="13" x14ac:dyDescent="0.3">
      <c r="A117" s="58"/>
      <c r="B117" s="58"/>
      <c r="C117" s="58"/>
      <c r="D117" s="58"/>
      <c r="E117" s="58"/>
      <c r="F117" s="58"/>
      <c r="G117" s="58"/>
      <c r="H117" s="59"/>
      <c r="I117" s="59"/>
      <c r="J117" s="59"/>
      <c r="K117" s="59"/>
      <c r="L117" s="59"/>
      <c r="M117" s="60"/>
      <c r="N117" s="60"/>
      <c r="O117" s="60"/>
      <c r="P117" s="59"/>
      <c r="Q117" s="59"/>
      <c r="R117" s="60"/>
      <c r="S117" s="60"/>
      <c r="T117" s="60"/>
      <c r="U117" s="60"/>
      <c r="V117" s="60"/>
      <c r="W117" s="60"/>
    </row>
    <row r="118" spans="1:23" ht="13" x14ac:dyDescent="0.3">
      <c r="A118" s="58"/>
      <c r="B118" s="58"/>
      <c r="C118" s="58"/>
      <c r="D118" s="58"/>
      <c r="E118" s="58"/>
      <c r="F118" s="58"/>
      <c r="G118" s="58"/>
      <c r="H118" s="59"/>
      <c r="I118" s="59"/>
      <c r="J118" s="59"/>
      <c r="K118" s="59"/>
      <c r="L118" s="59"/>
      <c r="M118" s="60"/>
      <c r="N118" s="60"/>
      <c r="O118" s="60"/>
      <c r="P118" s="59"/>
      <c r="Q118" s="59"/>
      <c r="R118" s="60"/>
      <c r="S118" s="60"/>
      <c r="T118" s="60"/>
      <c r="U118" s="60"/>
      <c r="V118" s="60"/>
      <c r="W118" s="60"/>
    </row>
    <row r="119" spans="1:23" ht="13" x14ac:dyDescent="0.3">
      <c r="A119" s="58"/>
      <c r="B119" s="58"/>
      <c r="C119" s="58"/>
      <c r="D119" s="58"/>
      <c r="E119" s="58"/>
      <c r="F119" s="58"/>
      <c r="G119" s="58"/>
      <c r="H119" s="59"/>
      <c r="I119" s="59"/>
      <c r="J119" s="59"/>
      <c r="K119" s="59"/>
      <c r="L119" s="59"/>
      <c r="M119" s="60"/>
      <c r="N119" s="60"/>
      <c r="O119" s="60"/>
      <c r="P119" s="59"/>
      <c r="Q119" s="59"/>
      <c r="R119" s="60"/>
      <c r="S119" s="60"/>
      <c r="T119" s="60"/>
      <c r="U119" s="60"/>
      <c r="V119" s="60"/>
      <c r="W119" s="60"/>
    </row>
    <row r="120" spans="1:23" ht="13" x14ac:dyDescent="0.3">
      <c r="A120" s="58"/>
      <c r="B120" s="58"/>
      <c r="C120" s="58"/>
      <c r="D120" s="58"/>
      <c r="E120" s="58"/>
      <c r="F120" s="58"/>
      <c r="G120" s="58"/>
      <c r="H120" s="59"/>
      <c r="I120" s="59"/>
      <c r="J120" s="59"/>
      <c r="K120" s="59"/>
      <c r="L120" s="59"/>
      <c r="M120" s="60"/>
      <c r="N120" s="60"/>
      <c r="O120" s="60"/>
      <c r="P120" s="59"/>
      <c r="Q120" s="59"/>
      <c r="R120" s="60"/>
      <c r="S120" s="60"/>
      <c r="T120" s="60"/>
      <c r="U120" s="60"/>
      <c r="V120" s="60"/>
      <c r="W120" s="60"/>
    </row>
    <row r="121" spans="1:23" ht="13" x14ac:dyDescent="0.3">
      <c r="A121" s="58"/>
      <c r="B121" s="58"/>
      <c r="C121" s="58"/>
      <c r="D121" s="58"/>
      <c r="E121" s="58"/>
      <c r="F121" s="58"/>
      <c r="G121" s="58"/>
      <c r="H121" s="59"/>
      <c r="I121" s="59"/>
      <c r="J121" s="59"/>
      <c r="K121" s="59"/>
      <c r="L121" s="59"/>
      <c r="M121" s="60"/>
      <c r="N121" s="60"/>
      <c r="O121" s="60"/>
      <c r="P121" s="59"/>
      <c r="Q121" s="59"/>
      <c r="R121" s="60"/>
      <c r="S121" s="60"/>
      <c r="T121" s="60"/>
      <c r="U121" s="60"/>
      <c r="V121" s="60"/>
      <c r="W121" s="60"/>
    </row>
    <row r="122" spans="1:23" ht="13" x14ac:dyDescent="0.3">
      <c r="A122" s="58"/>
      <c r="B122" s="58"/>
      <c r="C122" s="58"/>
      <c r="D122" s="58"/>
      <c r="E122" s="58"/>
      <c r="F122" s="58"/>
      <c r="G122" s="58"/>
      <c r="H122" s="59"/>
      <c r="I122" s="59"/>
      <c r="J122" s="59"/>
      <c r="K122" s="59"/>
      <c r="L122" s="59"/>
      <c r="M122" s="60"/>
      <c r="N122" s="60"/>
      <c r="O122" s="60"/>
      <c r="P122" s="59"/>
      <c r="Q122" s="59"/>
      <c r="R122" s="60"/>
      <c r="S122" s="60"/>
      <c r="T122" s="60"/>
      <c r="U122" s="60"/>
      <c r="V122" s="60"/>
      <c r="W122" s="60"/>
    </row>
    <row r="123" spans="1:23" ht="13" x14ac:dyDescent="0.3">
      <c r="A123" s="58"/>
      <c r="B123" s="58"/>
      <c r="C123" s="58"/>
      <c r="D123" s="58"/>
      <c r="E123" s="58"/>
      <c r="F123" s="58"/>
      <c r="G123" s="58"/>
      <c r="H123" s="59"/>
      <c r="I123" s="59"/>
      <c r="J123" s="59"/>
      <c r="K123" s="59"/>
      <c r="L123" s="59"/>
      <c r="M123" s="60"/>
      <c r="N123" s="60"/>
      <c r="O123" s="60"/>
      <c r="P123" s="59"/>
      <c r="Q123" s="59"/>
      <c r="R123" s="60"/>
      <c r="S123" s="60"/>
      <c r="T123" s="60"/>
      <c r="U123" s="60"/>
      <c r="V123" s="60"/>
      <c r="W123" s="60"/>
    </row>
    <row r="124" spans="1:23" ht="13" x14ac:dyDescent="0.3">
      <c r="A124" s="58"/>
      <c r="B124" s="58"/>
      <c r="C124" s="58"/>
      <c r="D124" s="58"/>
      <c r="E124" s="58"/>
      <c r="F124" s="58"/>
      <c r="G124" s="58"/>
      <c r="H124" s="59"/>
      <c r="I124" s="59"/>
      <c r="J124" s="59"/>
      <c r="K124" s="59"/>
      <c r="L124" s="59"/>
      <c r="M124" s="60"/>
      <c r="N124" s="60"/>
      <c r="O124" s="60"/>
      <c r="P124" s="59"/>
      <c r="Q124" s="59"/>
      <c r="R124" s="60"/>
      <c r="S124" s="60"/>
      <c r="T124" s="60"/>
      <c r="U124" s="60"/>
      <c r="V124" s="60"/>
      <c r="W124" s="60"/>
    </row>
    <row r="125" spans="1:23" ht="13" x14ac:dyDescent="0.3">
      <c r="A125" s="58"/>
      <c r="B125" s="58"/>
      <c r="C125" s="58"/>
      <c r="D125" s="58"/>
      <c r="E125" s="58"/>
      <c r="F125" s="58"/>
      <c r="G125" s="58"/>
      <c r="H125" s="59"/>
      <c r="I125" s="59"/>
      <c r="J125" s="59"/>
      <c r="K125" s="59"/>
      <c r="L125" s="59"/>
      <c r="M125" s="60"/>
      <c r="N125" s="60"/>
      <c r="O125" s="60"/>
      <c r="P125" s="59"/>
      <c r="Q125" s="59"/>
      <c r="R125" s="60"/>
      <c r="S125" s="60"/>
      <c r="T125" s="60"/>
      <c r="U125" s="60"/>
      <c r="V125" s="60"/>
      <c r="W125" s="60"/>
    </row>
    <row r="126" spans="1:23" ht="13" x14ac:dyDescent="0.3">
      <c r="A126" s="58"/>
      <c r="B126" s="58"/>
      <c r="C126" s="58"/>
      <c r="D126" s="58"/>
      <c r="E126" s="58"/>
      <c r="F126" s="58"/>
      <c r="G126" s="58"/>
      <c r="H126" s="59"/>
      <c r="I126" s="59"/>
      <c r="J126" s="59"/>
      <c r="K126" s="59"/>
      <c r="L126" s="59"/>
      <c r="M126" s="60"/>
      <c r="N126" s="60"/>
      <c r="O126" s="60"/>
      <c r="P126" s="59"/>
      <c r="Q126" s="59"/>
      <c r="R126" s="60"/>
      <c r="S126" s="60"/>
      <c r="T126" s="60"/>
      <c r="U126" s="60"/>
      <c r="V126" s="60"/>
      <c r="W126" s="60"/>
    </row>
    <row r="127" spans="1:23" ht="13" x14ac:dyDescent="0.3">
      <c r="A127" s="58"/>
      <c r="B127" s="58"/>
      <c r="C127" s="58"/>
      <c r="D127" s="58"/>
      <c r="E127" s="58"/>
      <c r="F127" s="58"/>
      <c r="G127" s="58"/>
      <c r="H127" s="59"/>
      <c r="I127" s="59"/>
      <c r="J127" s="59"/>
      <c r="K127" s="59"/>
      <c r="L127" s="59"/>
      <c r="M127" s="60"/>
      <c r="N127" s="60"/>
      <c r="O127" s="60"/>
      <c r="P127" s="59"/>
      <c r="Q127" s="59"/>
      <c r="R127" s="60"/>
      <c r="S127" s="60"/>
      <c r="T127" s="60"/>
      <c r="U127" s="60"/>
      <c r="V127" s="60"/>
      <c r="W127" s="60"/>
    </row>
    <row r="128" spans="1:23" ht="13" x14ac:dyDescent="0.3">
      <c r="A128" s="58"/>
      <c r="B128" s="58"/>
      <c r="C128" s="58"/>
      <c r="D128" s="58"/>
      <c r="E128" s="58"/>
      <c r="F128" s="58"/>
      <c r="G128" s="58"/>
      <c r="H128" s="59"/>
      <c r="I128" s="59"/>
      <c r="J128" s="59"/>
      <c r="K128" s="59"/>
      <c r="L128" s="59"/>
      <c r="M128" s="60"/>
      <c r="N128" s="60"/>
      <c r="O128" s="60"/>
      <c r="P128" s="59"/>
      <c r="Q128" s="59"/>
      <c r="R128" s="60"/>
      <c r="S128" s="60"/>
      <c r="T128" s="60"/>
      <c r="U128" s="60"/>
      <c r="V128" s="60"/>
      <c r="W128" s="60"/>
    </row>
    <row r="129" spans="1:23" ht="13" x14ac:dyDescent="0.3">
      <c r="A129" s="58"/>
      <c r="B129" s="58"/>
      <c r="C129" s="58"/>
      <c r="D129" s="58"/>
      <c r="E129" s="58"/>
      <c r="F129" s="58"/>
      <c r="G129" s="58"/>
      <c r="H129" s="59"/>
      <c r="I129" s="59"/>
      <c r="J129" s="59"/>
      <c r="K129" s="59"/>
      <c r="L129" s="59"/>
      <c r="M129" s="60"/>
      <c r="N129" s="60"/>
      <c r="O129" s="60"/>
      <c r="P129" s="59"/>
      <c r="Q129" s="59"/>
      <c r="R129" s="60"/>
      <c r="S129" s="60"/>
      <c r="T129" s="60"/>
      <c r="U129" s="60"/>
      <c r="V129" s="60"/>
      <c r="W129" s="60"/>
    </row>
    <row r="130" spans="1:23" ht="13" x14ac:dyDescent="0.3">
      <c r="A130" s="58"/>
      <c r="B130" s="58"/>
      <c r="C130" s="58"/>
      <c r="D130" s="58"/>
      <c r="E130" s="58"/>
      <c r="F130" s="58"/>
      <c r="G130" s="58"/>
      <c r="H130" s="59"/>
      <c r="I130" s="59"/>
      <c r="J130" s="59"/>
      <c r="K130" s="59"/>
      <c r="L130" s="59"/>
      <c r="M130" s="60"/>
      <c r="N130" s="60"/>
      <c r="O130" s="60"/>
      <c r="P130" s="59"/>
      <c r="Q130" s="59"/>
      <c r="R130" s="60"/>
      <c r="S130" s="60"/>
      <c r="T130" s="60"/>
      <c r="U130" s="60"/>
      <c r="V130" s="60"/>
      <c r="W130" s="60"/>
    </row>
    <row r="131" spans="1:23" ht="13" x14ac:dyDescent="0.3">
      <c r="A131" s="58"/>
      <c r="B131" s="58"/>
      <c r="C131" s="58"/>
      <c r="D131" s="58"/>
      <c r="E131" s="58"/>
      <c r="F131" s="58"/>
      <c r="G131" s="58"/>
      <c r="H131" s="59"/>
      <c r="I131" s="59"/>
      <c r="J131" s="59"/>
      <c r="K131" s="59"/>
      <c r="L131" s="59"/>
      <c r="M131" s="60"/>
      <c r="N131" s="60"/>
      <c r="O131" s="60"/>
      <c r="P131" s="59"/>
      <c r="Q131" s="59"/>
      <c r="R131" s="60"/>
      <c r="S131" s="60"/>
      <c r="T131" s="60"/>
      <c r="U131" s="60"/>
      <c r="V131" s="60"/>
      <c r="W131" s="60"/>
    </row>
    <row r="132" spans="1:23" ht="13" x14ac:dyDescent="0.3">
      <c r="A132" s="58"/>
      <c r="B132" s="58"/>
      <c r="C132" s="58"/>
      <c r="D132" s="58"/>
      <c r="E132" s="58"/>
      <c r="F132" s="58"/>
      <c r="G132" s="58"/>
      <c r="H132" s="59"/>
      <c r="I132" s="59"/>
      <c r="J132" s="59"/>
      <c r="K132" s="59"/>
      <c r="L132" s="59"/>
      <c r="M132" s="60"/>
      <c r="N132" s="60"/>
      <c r="O132" s="60"/>
      <c r="P132" s="59"/>
      <c r="Q132" s="59"/>
      <c r="R132" s="60"/>
      <c r="S132" s="60"/>
      <c r="T132" s="60"/>
      <c r="U132" s="60"/>
      <c r="V132" s="60"/>
      <c r="W132" s="60"/>
    </row>
    <row r="133" spans="1:23" ht="13" x14ac:dyDescent="0.3">
      <c r="A133" s="58"/>
      <c r="B133" s="58"/>
      <c r="C133" s="58"/>
      <c r="D133" s="58"/>
      <c r="E133" s="58"/>
      <c r="F133" s="58"/>
      <c r="G133" s="58"/>
      <c r="H133" s="59"/>
      <c r="I133" s="59"/>
      <c r="J133" s="59"/>
      <c r="K133" s="59"/>
      <c r="L133" s="59"/>
      <c r="M133" s="60"/>
      <c r="N133" s="60"/>
      <c r="O133" s="60"/>
      <c r="P133" s="59"/>
      <c r="Q133" s="59"/>
      <c r="R133" s="60"/>
      <c r="S133" s="60"/>
      <c r="T133" s="60"/>
      <c r="U133" s="60"/>
      <c r="V133" s="60"/>
      <c r="W133" s="60"/>
    </row>
    <row r="134" spans="1:23" ht="13" x14ac:dyDescent="0.3">
      <c r="A134" s="58"/>
      <c r="B134" s="58"/>
      <c r="C134" s="58"/>
      <c r="D134" s="58"/>
      <c r="E134" s="58"/>
      <c r="F134" s="58"/>
      <c r="G134" s="58"/>
      <c r="H134" s="59"/>
      <c r="I134" s="59"/>
      <c r="J134" s="59"/>
      <c r="K134" s="59"/>
      <c r="L134" s="59"/>
      <c r="M134" s="60"/>
      <c r="N134" s="60"/>
      <c r="O134" s="60"/>
      <c r="P134" s="59"/>
      <c r="Q134" s="59"/>
      <c r="R134" s="60"/>
      <c r="S134" s="60"/>
      <c r="T134" s="60"/>
      <c r="U134" s="60"/>
      <c r="V134" s="60"/>
      <c r="W134" s="60"/>
    </row>
    <row r="135" spans="1:23" ht="13" x14ac:dyDescent="0.3">
      <c r="A135" s="58"/>
      <c r="B135" s="58"/>
      <c r="C135" s="58"/>
      <c r="D135" s="58"/>
      <c r="E135" s="58"/>
      <c r="F135" s="58"/>
      <c r="G135" s="58"/>
      <c r="H135" s="59"/>
      <c r="I135" s="59"/>
      <c r="J135" s="59"/>
      <c r="K135" s="59"/>
      <c r="L135" s="59"/>
      <c r="M135" s="60"/>
      <c r="N135" s="60"/>
      <c r="O135" s="60"/>
      <c r="P135" s="59"/>
      <c r="Q135" s="59"/>
      <c r="R135" s="60"/>
      <c r="S135" s="60"/>
      <c r="T135" s="60"/>
      <c r="U135" s="60"/>
      <c r="V135" s="60"/>
      <c r="W135" s="60"/>
    </row>
    <row r="136" spans="1:23" ht="13" x14ac:dyDescent="0.3">
      <c r="A136" s="58"/>
      <c r="B136" s="58"/>
      <c r="C136" s="58"/>
      <c r="D136" s="58"/>
      <c r="E136" s="58"/>
      <c r="F136" s="58"/>
      <c r="G136" s="58"/>
      <c r="H136" s="59"/>
      <c r="I136" s="59"/>
      <c r="J136" s="59"/>
      <c r="K136" s="59"/>
      <c r="L136" s="59"/>
      <c r="M136" s="60"/>
      <c r="N136" s="60"/>
      <c r="O136" s="60"/>
      <c r="P136" s="59"/>
      <c r="Q136" s="59"/>
      <c r="R136" s="60"/>
      <c r="S136" s="60"/>
      <c r="T136" s="60"/>
      <c r="U136" s="60"/>
      <c r="V136" s="60"/>
      <c r="W136" s="60"/>
    </row>
    <row r="137" spans="1:23" ht="13" x14ac:dyDescent="0.3">
      <c r="A137" s="58"/>
      <c r="B137" s="58"/>
      <c r="C137" s="58"/>
      <c r="D137" s="58"/>
      <c r="E137" s="58"/>
      <c r="F137" s="58"/>
      <c r="G137" s="58"/>
      <c r="H137" s="59"/>
      <c r="I137" s="59"/>
      <c r="J137" s="59"/>
      <c r="K137" s="59"/>
      <c r="L137" s="59"/>
      <c r="M137" s="60"/>
      <c r="N137" s="60"/>
      <c r="O137" s="60"/>
      <c r="P137" s="59"/>
      <c r="Q137" s="59"/>
      <c r="R137" s="60"/>
      <c r="S137" s="60"/>
      <c r="T137" s="60"/>
      <c r="U137" s="60"/>
      <c r="V137" s="60"/>
      <c r="W137" s="60"/>
    </row>
    <row r="138" spans="1:23" ht="13" x14ac:dyDescent="0.3">
      <c r="A138" s="58"/>
      <c r="B138" s="58"/>
      <c r="C138" s="58"/>
      <c r="D138" s="58"/>
      <c r="E138" s="58"/>
      <c r="F138" s="58"/>
      <c r="G138" s="58"/>
      <c r="H138" s="59"/>
      <c r="I138" s="59"/>
      <c r="J138" s="59"/>
      <c r="K138" s="59"/>
      <c r="L138" s="59"/>
      <c r="M138" s="60"/>
      <c r="N138" s="60"/>
      <c r="O138" s="60"/>
      <c r="P138" s="59"/>
      <c r="Q138" s="59"/>
      <c r="R138" s="60"/>
      <c r="S138" s="60"/>
      <c r="T138" s="60"/>
      <c r="U138" s="60"/>
      <c r="V138" s="60"/>
      <c r="W138" s="60"/>
    </row>
    <row r="139" spans="1:23" ht="13" x14ac:dyDescent="0.3">
      <c r="A139" s="58"/>
      <c r="B139" s="58"/>
      <c r="C139" s="58"/>
      <c r="D139" s="58"/>
      <c r="E139" s="58"/>
      <c r="F139" s="58"/>
      <c r="G139" s="58"/>
      <c r="H139" s="59"/>
      <c r="I139" s="59"/>
      <c r="J139" s="59"/>
      <c r="K139" s="59"/>
      <c r="L139" s="59"/>
      <c r="M139" s="60"/>
      <c r="N139" s="60"/>
      <c r="O139" s="60"/>
      <c r="P139" s="59"/>
      <c r="Q139" s="59"/>
      <c r="R139" s="60"/>
      <c r="S139" s="60"/>
      <c r="T139" s="60"/>
      <c r="U139" s="60"/>
      <c r="V139" s="60"/>
      <c r="W139" s="60"/>
    </row>
    <row r="140" spans="1:23" ht="13" x14ac:dyDescent="0.3">
      <c r="A140" s="58"/>
      <c r="B140" s="58"/>
      <c r="C140" s="58"/>
      <c r="D140" s="58"/>
      <c r="E140" s="58"/>
      <c r="F140" s="58"/>
      <c r="G140" s="58"/>
      <c r="H140" s="59"/>
      <c r="I140" s="59"/>
      <c r="J140" s="59"/>
      <c r="K140" s="59"/>
      <c r="L140" s="59"/>
      <c r="M140" s="60"/>
      <c r="N140" s="60"/>
      <c r="O140" s="60"/>
      <c r="P140" s="59"/>
      <c r="Q140" s="59"/>
      <c r="R140" s="60"/>
      <c r="S140" s="60"/>
      <c r="T140" s="60"/>
      <c r="U140" s="60"/>
      <c r="V140" s="60"/>
      <c r="W140" s="60"/>
    </row>
    <row r="141" spans="1:23" ht="13" x14ac:dyDescent="0.3">
      <c r="A141" s="58"/>
      <c r="B141" s="58"/>
      <c r="C141" s="58"/>
      <c r="D141" s="58"/>
      <c r="E141" s="58"/>
      <c r="F141" s="58"/>
      <c r="G141" s="58"/>
      <c r="H141" s="59"/>
      <c r="I141" s="59"/>
      <c r="J141" s="59"/>
      <c r="K141" s="59"/>
      <c r="L141" s="59"/>
      <c r="M141" s="60"/>
      <c r="N141" s="60"/>
      <c r="O141" s="60"/>
      <c r="P141" s="59"/>
      <c r="Q141" s="59"/>
      <c r="R141" s="60"/>
      <c r="S141" s="60"/>
      <c r="T141" s="60"/>
      <c r="U141" s="60"/>
      <c r="V141" s="60"/>
      <c r="W141" s="60"/>
    </row>
    <row r="142" spans="1:23" ht="13" x14ac:dyDescent="0.3">
      <c r="A142" s="58"/>
      <c r="B142" s="58"/>
      <c r="C142" s="58"/>
      <c r="D142" s="58"/>
      <c r="E142" s="58"/>
      <c r="F142" s="58"/>
      <c r="G142" s="58"/>
      <c r="H142" s="59"/>
      <c r="I142" s="59"/>
      <c r="J142" s="59"/>
      <c r="K142" s="59"/>
      <c r="L142" s="59"/>
      <c r="M142" s="60"/>
      <c r="N142" s="60"/>
      <c r="O142" s="60"/>
      <c r="P142" s="59"/>
      <c r="Q142" s="59"/>
      <c r="R142" s="60"/>
      <c r="S142" s="60"/>
      <c r="T142" s="60"/>
      <c r="U142" s="60"/>
      <c r="V142" s="60"/>
      <c r="W142" s="60"/>
    </row>
    <row r="143" spans="1:23" ht="13" x14ac:dyDescent="0.3">
      <c r="A143" s="58"/>
      <c r="B143" s="58"/>
      <c r="C143" s="58"/>
      <c r="D143" s="58"/>
      <c r="E143" s="58"/>
      <c r="F143" s="58"/>
      <c r="G143" s="58"/>
      <c r="H143" s="59"/>
      <c r="I143" s="59"/>
      <c r="J143" s="59"/>
      <c r="K143" s="59"/>
      <c r="L143" s="59"/>
      <c r="M143" s="60"/>
      <c r="N143" s="60"/>
      <c r="O143" s="60"/>
      <c r="P143" s="59"/>
      <c r="Q143" s="59"/>
      <c r="R143" s="60"/>
      <c r="S143" s="60"/>
      <c r="T143" s="60"/>
      <c r="U143" s="60"/>
      <c r="V143" s="60"/>
      <c r="W143" s="60"/>
    </row>
    <row r="144" spans="1:23" ht="13" x14ac:dyDescent="0.3">
      <c r="A144" s="58"/>
      <c r="B144" s="58"/>
      <c r="C144" s="58"/>
      <c r="D144" s="58"/>
      <c r="E144" s="58"/>
      <c r="F144" s="58"/>
      <c r="G144" s="58"/>
      <c r="H144" s="59"/>
      <c r="I144" s="59"/>
      <c r="J144" s="59"/>
      <c r="K144" s="59"/>
      <c r="L144" s="59"/>
      <c r="M144" s="60"/>
      <c r="N144" s="60"/>
      <c r="O144" s="60"/>
      <c r="P144" s="59"/>
      <c r="Q144" s="59"/>
      <c r="R144" s="60"/>
      <c r="S144" s="60"/>
      <c r="T144" s="60"/>
      <c r="U144" s="60"/>
      <c r="V144" s="60"/>
      <c r="W144" s="60"/>
    </row>
    <row r="145" spans="1:23" ht="13" x14ac:dyDescent="0.3">
      <c r="A145" s="58"/>
      <c r="B145" s="58"/>
      <c r="C145" s="58"/>
      <c r="D145" s="58"/>
      <c r="E145" s="58"/>
      <c r="F145" s="58"/>
      <c r="G145" s="58"/>
      <c r="H145" s="59"/>
      <c r="I145" s="59"/>
      <c r="J145" s="59"/>
      <c r="K145" s="59"/>
      <c r="L145" s="59"/>
      <c r="M145" s="60"/>
      <c r="N145" s="60"/>
      <c r="O145" s="60"/>
      <c r="P145" s="59"/>
      <c r="Q145" s="59"/>
      <c r="R145" s="60"/>
      <c r="S145" s="60"/>
      <c r="T145" s="60"/>
      <c r="U145" s="60"/>
      <c r="V145" s="60"/>
      <c r="W145" s="60"/>
    </row>
    <row r="146" spans="1:23" ht="13" x14ac:dyDescent="0.3">
      <c r="A146" s="58"/>
      <c r="B146" s="58"/>
      <c r="C146" s="58"/>
      <c r="D146" s="58"/>
      <c r="E146" s="58"/>
      <c r="F146" s="58"/>
      <c r="G146" s="58"/>
      <c r="H146" s="59"/>
      <c r="I146" s="59"/>
      <c r="J146" s="59"/>
      <c r="K146" s="59"/>
      <c r="L146" s="59"/>
      <c r="M146" s="60"/>
      <c r="N146" s="60"/>
      <c r="O146" s="60"/>
      <c r="P146" s="59"/>
      <c r="Q146" s="59"/>
      <c r="R146" s="60"/>
      <c r="S146" s="60"/>
      <c r="T146" s="60"/>
      <c r="U146" s="60"/>
      <c r="V146" s="60"/>
      <c r="W146" s="60"/>
    </row>
    <row r="147" spans="1:23" ht="13" x14ac:dyDescent="0.3">
      <c r="A147" s="58"/>
      <c r="B147" s="58"/>
      <c r="C147" s="58"/>
      <c r="D147" s="58"/>
      <c r="E147" s="58"/>
      <c r="F147" s="58"/>
      <c r="G147" s="58"/>
      <c r="H147" s="59"/>
      <c r="I147" s="59"/>
      <c r="J147" s="59"/>
      <c r="K147" s="59"/>
      <c r="L147" s="59"/>
      <c r="M147" s="60"/>
      <c r="N147" s="60"/>
      <c r="O147" s="60"/>
      <c r="P147" s="59"/>
      <c r="Q147" s="59"/>
      <c r="R147" s="60"/>
      <c r="S147" s="60"/>
      <c r="T147" s="60"/>
      <c r="U147" s="60"/>
      <c r="V147" s="60"/>
      <c r="W147" s="60"/>
    </row>
    <row r="148" spans="1:23" ht="13" x14ac:dyDescent="0.3">
      <c r="A148" s="58"/>
      <c r="B148" s="58"/>
      <c r="C148" s="58"/>
      <c r="D148" s="58"/>
      <c r="E148" s="58"/>
      <c r="F148" s="58"/>
      <c r="G148" s="58"/>
      <c r="H148" s="59"/>
      <c r="I148" s="59"/>
      <c r="J148" s="59"/>
      <c r="K148" s="59"/>
      <c r="L148" s="59"/>
      <c r="M148" s="60"/>
      <c r="N148" s="60"/>
      <c r="O148" s="60"/>
      <c r="P148" s="59"/>
      <c r="Q148" s="59"/>
      <c r="R148" s="60"/>
      <c r="S148" s="60"/>
      <c r="T148" s="60"/>
      <c r="U148" s="60"/>
      <c r="V148" s="60"/>
      <c r="W148" s="60"/>
    </row>
    <row r="149" spans="1:23" ht="13" x14ac:dyDescent="0.3">
      <c r="A149" s="58"/>
      <c r="B149" s="58"/>
      <c r="C149" s="58"/>
      <c r="D149" s="58"/>
      <c r="E149" s="58"/>
      <c r="F149" s="58"/>
      <c r="G149" s="58"/>
      <c r="H149" s="59"/>
      <c r="I149" s="59"/>
      <c r="J149" s="59"/>
      <c r="K149" s="59"/>
      <c r="L149" s="59"/>
      <c r="M149" s="60"/>
      <c r="N149" s="60"/>
      <c r="O149" s="60"/>
      <c r="P149" s="59"/>
      <c r="Q149" s="59"/>
      <c r="R149" s="60"/>
      <c r="S149" s="60"/>
      <c r="T149" s="60"/>
      <c r="U149" s="60"/>
      <c r="V149" s="60"/>
      <c r="W149" s="60"/>
    </row>
    <row r="150" spans="1:23" ht="13" x14ac:dyDescent="0.3">
      <c r="A150" s="58"/>
      <c r="B150" s="58"/>
      <c r="C150" s="58"/>
      <c r="D150" s="58"/>
      <c r="E150" s="58"/>
      <c r="F150" s="58"/>
      <c r="G150" s="58"/>
      <c r="H150" s="59"/>
      <c r="I150" s="59"/>
      <c r="J150" s="59"/>
      <c r="K150" s="59"/>
      <c r="L150" s="59"/>
      <c r="M150" s="60"/>
      <c r="N150" s="60"/>
      <c r="O150" s="60"/>
      <c r="P150" s="59"/>
      <c r="Q150" s="59"/>
      <c r="R150" s="60"/>
      <c r="S150" s="60"/>
      <c r="T150" s="60"/>
      <c r="U150" s="60"/>
      <c r="V150" s="60"/>
      <c r="W150" s="60"/>
    </row>
    <row r="151" spans="1:23" ht="13" x14ac:dyDescent="0.3">
      <c r="A151" s="58"/>
      <c r="B151" s="58"/>
      <c r="C151" s="58"/>
      <c r="D151" s="58"/>
      <c r="E151" s="58"/>
      <c r="F151" s="58"/>
      <c r="G151" s="58"/>
      <c r="H151" s="59"/>
      <c r="I151" s="59"/>
      <c r="J151" s="59"/>
      <c r="K151" s="59"/>
      <c r="L151" s="59"/>
      <c r="M151" s="60"/>
      <c r="N151" s="60"/>
      <c r="O151" s="60"/>
      <c r="P151" s="59"/>
      <c r="Q151" s="59"/>
      <c r="R151" s="60"/>
      <c r="S151" s="60"/>
      <c r="T151" s="60"/>
      <c r="U151" s="60"/>
      <c r="V151" s="60"/>
      <c r="W151" s="60"/>
    </row>
    <row r="152" spans="1:23" ht="13" x14ac:dyDescent="0.3">
      <c r="A152" s="58"/>
      <c r="B152" s="58"/>
      <c r="C152" s="58"/>
      <c r="D152" s="58"/>
      <c r="E152" s="58"/>
      <c r="F152" s="58"/>
      <c r="G152" s="58"/>
      <c r="H152" s="59"/>
      <c r="I152" s="59"/>
      <c r="J152" s="59"/>
      <c r="K152" s="59"/>
      <c r="L152" s="59"/>
      <c r="M152" s="60"/>
      <c r="N152" s="60"/>
      <c r="O152" s="60"/>
      <c r="P152" s="59"/>
      <c r="Q152" s="59"/>
      <c r="R152" s="60"/>
      <c r="S152" s="60"/>
      <c r="T152" s="60"/>
      <c r="U152" s="60"/>
      <c r="V152" s="60"/>
      <c r="W152" s="60"/>
    </row>
    <row r="153" spans="1:23" ht="13" x14ac:dyDescent="0.3">
      <c r="A153" s="58"/>
      <c r="B153" s="58"/>
      <c r="C153" s="58"/>
      <c r="D153" s="58"/>
      <c r="E153" s="58"/>
      <c r="F153" s="58"/>
      <c r="G153" s="58"/>
      <c r="H153" s="59"/>
      <c r="I153" s="59"/>
      <c r="J153" s="59"/>
      <c r="K153" s="59"/>
      <c r="L153" s="59"/>
      <c r="M153" s="60"/>
      <c r="N153" s="60"/>
      <c r="O153" s="60"/>
      <c r="P153" s="59"/>
      <c r="Q153" s="59"/>
      <c r="R153" s="60"/>
      <c r="S153" s="60"/>
      <c r="T153" s="60"/>
      <c r="U153" s="60"/>
      <c r="V153" s="60"/>
      <c r="W153" s="60"/>
    </row>
    <row r="154" spans="1:23" ht="13" x14ac:dyDescent="0.3">
      <c r="A154" s="58"/>
      <c r="B154" s="58"/>
      <c r="C154" s="58"/>
      <c r="D154" s="58"/>
      <c r="E154" s="58"/>
      <c r="F154" s="58"/>
      <c r="G154" s="58"/>
      <c r="H154" s="59"/>
      <c r="I154" s="59"/>
      <c r="J154" s="59"/>
      <c r="K154" s="59"/>
      <c r="L154" s="59"/>
      <c r="M154" s="60"/>
      <c r="N154" s="60"/>
      <c r="O154" s="60"/>
      <c r="P154" s="59"/>
      <c r="Q154" s="59"/>
      <c r="R154" s="60"/>
      <c r="S154" s="60"/>
      <c r="T154" s="60"/>
      <c r="U154" s="60"/>
      <c r="V154" s="60"/>
      <c r="W154" s="60"/>
    </row>
    <row r="155" spans="1:23" ht="13" x14ac:dyDescent="0.3">
      <c r="A155" s="58"/>
      <c r="B155" s="58"/>
      <c r="C155" s="58"/>
      <c r="D155" s="58"/>
      <c r="E155" s="58"/>
      <c r="F155" s="58"/>
      <c r="G155" s="58"/>
      <c r="H155" s="59"/>
      <c r="I155" s="59"/>
      <c r="J155" s="59"/>
      <c r="K155" s="59"/>
      <c r="L155" s="59"/>
      <c r="M155" s="60"/>
      <c r="N155" s="60"/>
      <c r="O155" s="60"/>
      <c r="P155" s="59"/>
      <c r="Q155" s="59"/>
      <c r="R155" s="60"/>
      <c r="S155" s="60"/>
      <c r="T155" s="60"/>
      <c r="U155" s="60"/>
      <c r="V155" s="60"/>
      <c r="W155" s="60"/>
    </row>
    <row r="156" spans="1:23" ht="13" x14ac:dyDescent="0.3">
      <c r="A156" s="58"/>
      <c r="B156" s="58"/>
      <c r="C156" s="58"/>
      <c r="D156" s="58"/>
      <c r="E156" s="58"/>
      <c r="F156" s="58"/>
      <c r="G156" s="58"/>
      <c r="H156" s="59"/>
      <c r="I156" s="59"/>
      <c r="J156" s="59"/>
      <c r="K156" s="59"/>
      <c r="L156" s="59"/>
      <c r="M156" s="60"/>
      <c r="N156" s="60"/>
      <c r="O156" s="60"/>
      <c r="P156" s="59"/>
      <c r="Q156" s="59"/>
      <c r="R156" s="60"/>
      <c r="S156" s="60"/>
      <c r="T156" s="60"/>
      <c r="U156" s="60"/>
      <c r="V156" s="60"/>
      <c r="W156" s="60"/>
    </row>
    <row r="157" spans="1:23" ht="13" x14ac:dyDescent="0.3">
      <c r="A157" s="58"/>
      <c r="B157" s="58"/>
      <c r="C157" s="58"/>
      <c r="D157" s="58"/>
      <c r="E157" s="58"/>
      <c r="F157" s="58"/>
      <c r="G157" s="58"/>
      <c r="H157" s="59"/>
      <c r="I157" s="59"/>
      <c r="J157" s="59"/>
      <c r="K157" s="59"/>
      <c r="L157" s="59"/>
      <c r="M157" s="60"/>
      <c r="N157" s="60"/>
      <c r="O157" s="60"/>
      <c r="P157" s="59"/>
      <c r="Q157" s="59"/>
      <c r="R157" s="60"/>
      <c r="S157" s="60"/>
      <c r="T157" s="60"/>
      <c r="U157" s="60"/>
      <c r="V157" s="60"/>
      <c r="W157" s="60"/>
    </row>
    <row r="158" spans="1:23" ht="13" x14ac:dyDescent="0.3">
      <c r="A158" s="58"/>
      <c r="B158" s="58"/>
      <c r="C158" s="58"/>
      <c r="D158" s="58"/>
      <c r="E158" s="58"/>
      <c r="F158" s="58"/>
      <c r="G158" s="58"/>
      <c r="H158" s="59"/>
      <c r="I158" s="59"/>
      <c r="J158" s="59"/>
      <c r="K158" s="59"/>
      <c r="L158" s="59"/>
      <c r="M158" s="60"/>
      <c r="N158" s="60"/>
      <c r="O158" s="60"/>
      <c r="P158" s="59"/>
      <c r="Q158" s="59"/>
      <c r="R158" s="60"/>
      <c r="S158" s="60"/>
      <c r="T158" s="60"/>
      <c r="U158" s="60"/>
      <c r="V158" s="60"/>
      <c r="W158" s="60"/>
    </row>
    <row r="159" spans="1:23" ht="13" x14ac:dyDescent="0.3">
      <c r="A159" s="58"/>
      <c r="B159" s="58"/>
      <c r="C159" s="58"/>
      <c r="D159" s="58"/>
      <c r="E159" s="58"/>
      <c r="F159" s="58"/>
      <c r="G159" s="58"/>
      <c r="H159" s="59"/>
      <c r="I159" s="59"/>
      <c r="J159" s="59"/>
      <c r="K159" s="59"/>
      <c r="L159" s="59"/>
      <c r="M159" s="60"/>
      <c r="N159" s="60"/>
      <c r="O159" s="60"/>
      <c r="P159" s="59"/>
      <c r="Q159" s="59"/>
      <c r="R159" s="60"/>
      <c r="S159" s="60"/>
      <c r="T159" s="60"/>
      <c r="U159" s="60"/>
      <c r="V159" s="60"/>
      <c r="W159" s="60"/>
    </row>
    <row r="160" spans="1:23" ht="13" x14ac:dyDescent="0.3">
      <c r="A160" s="58"/>
      <c r="B160" s="58"/>
      <c r="C160" s="58"/>
      <c r="D160" s="58"/>
      <c r="E160" s="58"/>
      <c r="F160" s="58"/>
      <c r="G160" s="58"/>
      <c r="H160" s="59"/>
      <c r="I160" s="59"/>
      <c r="J160" s="59"/>
      <c r="K160" s="59"/>
      <c r="L160" s="59"/>
      <c r="M160" s="60"/>
      <c r="N160" s="60"/>
      <c r="O160" s="60"/>
      <c r="P160" s="59"/>
      <c r="Q160" s="59"/>
      <c r="R160" s="60"/>
      <c r="S160" s="60"/>
      <c r="T160" s="60"/>
      <c r="U160" s="60"/>
      <c r="V160" s="60"/>
      <c r="W160" s="60"/>
    </row>
    <row r="161" spans="1:23" ht="13" x14ac:dyDescent="0.3">
      <c r="A161" s="58"/>
      <c r="B161" s="58"/>
      <c r="C161" s="58"/>
      <c r="D161" s="58"/>
      <c r="E161" s="58"/>
      <c r="F161" s="58"/>
      <c r="G161" s="58"/>
      <c r="H161" s="59"/>
      <c r="I161" s="59"/>
      <c r="J161" s="59"/>
      <c r="K161" s="59"/>
      <c r="L161" s="59"/>
      <c r="M161" s="60"/>
      <c r="N161" s="60"/>
      <c r="O161" s="60"/>
      <c r="P161" s="59"/>
      <c r="Q161" s="59"/>
      <c r="R161" s="60"/>
      <c r="S161" s="60"/>
      <c r="T161" s="60"/>
      <c r="U161" s="60"/>
      <c r="V161" s="60"/>
      <c r="W161" s="60"/>
    </row>
    <row r="162" spans="1:23" ht="13" x14ac:dyDescent="0.3">
      <c r="A162" s="58"/>
      <c r="B162" s="58"/>
      <c r="C162" s="58"/>
      <c r="D162" s="58"/>
      <c r="E162" s="58"/>
      <c r="F162" s="58"/>
      <c r="G162" s="58"/>
      <c r="H162" s="59"/>
      <c r="I162" s="59"/>
      <c r="J162" s="59"/>
      <c r="K162" s="59"/>
      <c r="L162" s="59"/>
      <c r="M162" s="60"/>
      <c r="N162" s="60"/>
      <c r="O162" s="60"/>
      <c r="P162" s="59"/>
      <c r="Q162" s="59"/>
      <c r="R162" s="60"/>
      <c r="S162" s="60"/>
      <c r="T162" s="60"/>
      <c r="U162" s="60"/>
      <c r="V162" s="60"/>
      <c r="W162" s="60"/>
    </row>
    <row r="163" spans="1:23" ht="13" x14ac:dyDescent="0.3">
      <c r="A163" s="58"/>
      <c r="B163" s="58"/>
      <c r="C163" s="58"/>
      <c r="D163" s="58"/>
      <c r="E163" s="58"/>
      <c r="F163" s="58"/>
      <c r="G163" s="58"/>
      <c r="H163" s="59"/>
      <c r="I163" s="59"/>
      <c r="J163" s="59"/>
      <c r="K163" s="59"/>
      <c r="L163" s="59"/>
      <c r="M163" s="60"/>
      <c r="N163" s="60"/>
      <c r="O163" s="60"/>
      <c r="P163" s="59"/>
      <c r="Q163" s="59"/>
      <c r="R163" s="60"/>
      <c r="S163" s="60"/>
      <c r="T163" s="60"/>
      <c r="U163" s="60"/>
      <c r="V163" s="60"/>
      <c r="W163" s="60"/>
    </row>
    <row r="164" spans="1:23" ht="13" x14ac:dyDescent="0.3">
      <c r="A164" s="58"/>
      <c r="B164" s="58"/>
      <c r="C164" s="58"/>
      <c r="D164" s="58"/>
      <c r="E164" s="58"/>
      <c r="F164" s="58"/>
      <c r="G164" s="58"/>
      <c r="H164" s="59"/>
      <c r="I164" s="59"/>
      <c r="J164" s="59"/>
      <c r="K164" s="59"/>
      <c r="L164" s="59"/>
      <c r="M164" s="60"/>
      <c r="N164" s="60"/>
      <c r="O164" s="60"/>
      <c r="P164" s="59"/>
      <c r="Q164" s="59"/>
      <c r="R164" s="60"/>
      <c r="S164" s="60"/>
      <c r="T164" s="60"/>
      <c r="U164" s="60"/>
      <c r="V164" s="60"/>
      <c r="W164" s="60"/>
    </row>
    <row r="165" spans="1:23" ht="13" x14ac:dyDescent="0.3">
      <c r="A165" s="58"/>
      <c r="B165" s="58"/>
      <c r="C165" s="58"/>
      <c r="D165" s="58"/>
      <c r="E165" s="58"/>
      <c r="F165" s="58"/>
      <c r="G165" s="58"/>
      <c r="H165" s="59"/>
      <c r="I165" s="59"/>
      <c r="J165" s="59"/>
      <c r="K165" s="59"/>
      <c r="L165" s="59"/>
      <c r="M165" s="60"/>
      <c r="N165" s="60"/>
      <c r="O165" s="60"/>
      <c r="P165" s="59"/>
      <c r="Q165" s="59"/>
      <c r="R165" s="60"/>
      <c r="S165" s="60"/>
      <c r="T165" s="60"/>
      <c r="U165" s="60"/>
      <c r="V165" s="60"/>
      <c r="W165" s="60"/>
    </row>
    <row r="166" spans="1:23" ht="13" x14ac:dyDescent="0.3">
      <c r="A166" s="58"/>
      <c r="B166" s="58"/>
      <c r="C166" s="58"/>
      <c r="D166" s="58"/>
      <c r="E166" s="58"/>
      <c r="F166" s="58"/>
      <c r="G166" s="58"/>
      <c r="H166" s="59"/>
      <c r="I166" s="59"/>
      <c r="J166" s="59"/>
      <c r="K166" s="59"/>
      <c r="L166" s="59"/>
      <c r="M166" s="60"/>
      <c r="N166" s="60"/>
      <c r="O166" s="60"/>
      <c r="P166" s="59"/>
      <c r="Q166" s="59"/>
      <c r="R166" s="60"/>
      <c r="S166" s="60"/>
      <c r="T166" s="60"/>
      <c r="U166" s="60"/>
      <c r="V166" s="60"/>
      <c r="W166" s="60"/>
    </row>
    <row r="167" spans="1:23" ht="13" x14ac:dyDescent="0.3">
      <c r="A167" s="58"/>
      <c r="B167" s="58"/>
      <c r="C167" s="58"/>
      <c r="D167" s="58"/>
      <c r="E167" s="58"/>
      <c r="F167" s="58"/>
      <c r="G167" s="58"/>
      <c r="H167" s="59"/>
      <c r="I167" s="59"/>
      <c r="J167" s="59"/>
      <c r="K167" s="59"/>
      <c r="L167" s="59"/>
      <c r="M167" s="60"/>
      <c r="N167" s="60"/>
      <c r="O167" s="60"/>
      <c r="P167" s="59"/>
      <c r="Q167" s="59"/>
      <c r="R167" s="60"/>
      <c r="S167" s="60"/>
      <c r="T167" s="60"/>
      <c r="U167" s="60"/>
      <c r="V167" s="60"/>
      <c r="W167" s="60"/>
    </row>
    <row r="168" spans="1:23" ht="13" x14ac:dyDescent="0.3">
      <c r="A168" s="58"/>
      <c r="B168" s="58"/>
      <c r="C168" s="58"/>
      <c r="D168" s="58"/>
      <c r="E168" s="58"/>
      <c r="F168" s="58"/>
      <c r="G168" s="58"/>
      <c r="H168" s="59"/>
      <c r="I168" s="59"/>
      <c r="J168" s="59"/>
      <c r="K168" s="59"/>
      <c r="L168" s="59"/>
      <c r="M168" s="60"/>
      <c r="N168" s="60"/>
      <c r="O168" s="60"/>
      <c r="P168" s="59"/>
      <c r="Q168" s="59"/>
      <c r="R168" s="60"/>
      <c r="S168" s="60"/>
      <c r="T168" s="60"/>
      <c r="U168" s="60"/>
      <c r="V168" s="60"/>
      <c r="W168" s="60"/>
    </row>
    <row r="169" spans="1:23" ht="13" x14ac:dyDescent="0.3">
      <c r="A169" s="58"/>
      <c r="B169" s="58"/>
      <c r="C169" s="58"/>
      <c r="D169" s="58"/>
      <c r="E169" s="58"/>
      <c r="F169" s="58"/>
      <c r="G169" s="58"/>
      <c r="H169" s="59"/>
      <c r="I169" s="59"/>
      <c r="J169" s="59"/>
      <c r="K169" s="59"/>
      <c r="L169" s="59"/>
      <c r="M169" s="60"/>
      <c r="N169" s="60"/>
      <c r="O169" s="60"/>
      <c r="P169" s="59"/>
      <c r="Q169" s="59"/>
      <c r="R169" s="60"/>
      <c r="S169" s="60"/>
      <c r="T169" s="60"/>
      <c r="U169" s="60"/>
      <c r="V169" s="60"/>
      <c r="W169" s="60"/>
    </row>
    <row r="170" spans="1:23" ht="13" x14ac:dyDescent="0.3">
      <c r="A170" s="58"/>
      <c r="B170" s="58"/>
      <c r="C170" s="58"/>
      <c r="D170" s="58"/>
      <c r="E170" s="58"/>
      <c r="F170" s="58"/>
      <c r="G170" s="58"/>
      <c r="H170" s="59"/>
      <c r="I170" s="59"/>
      <c r="J170" s="59"/>
      <c r="K170" s="59"/>
      <c r="L170" s="59"/>
      <c r="M170" s="60"/>
      <c r="N170" s="60"/>
      <c r="O170" s="60"/>
      <c r="P170" s="59"/>
      <c r="Q170" s="59"/>
      <c r="R170" s="60"/>
      <c r="S170" s="60"/>
      <c r="T170" s="60"/>
      <c r="U170" s="60"/>
      <c r="V170" s="60"/>
      <c r="W170" s="60"/>
    </row>
    <row r="171" spans="1:23" ht="13" x14ac:dyDescent="0.3">
      <c r="A171" s="58"/>
      <c r="B171" s="58"/>
      <c r="C171" s="58"/>
      <c r="D171" s="58"/>
      <c r="E171" s="58"/>
      <c r="F171" s="58"/>
      <c r="G171" s="58"/>
      <c r="H171" s="59"/>
      <c r="I171" s="59"/>
      <c r="J171" s="59"/>
      <c r="K171" s="59"/>
      <c r="L171" s="59"/>
      <c r="M171" s="60"/>
      <c r="N171" s="60"/>
      <c r="O171" s="60"/>
      <c r="P171" s="59"/>
      <c r="Q171" s="59"/>
      <c r="R171" s="60"/>
      <c r="S171" s="60"/>
      <c r="T171" s="60"/>
      <c r="U171" s="60"/>
      <c r="V171" s="60"/>
      <c r="W171" s="60"/>
    </row>
    <row r="172" spans="1:23" ht="13" x14ac:dyDescent="0.3">
      <c r="A172" s="58"/>
      <c r="B172" s="58"/>
      <c r="C172" s="58"/>
      <c r="D172" s="58"/>
      <c r="E172" s="58"/>
      <c r="F172" s="58"/>
      <c r="G172" s="58"/>
      <c r="H172" s="59"/>
      <c r="I172" s="59"/>
      <c r="J172" s="59"/>
      <c r="K172" s="59"/>
      <c r="L172" s="59"/>
      <c r="M172" s="60"/>
      <c r="N172" s="60"/>
      <c r="O172" s="60"/>
      <c r="P172" s="59"/>
      <c r="Q172" s="59"/>
      <c r="R172" s="60"/>
      <c r="S172" s="60"/>
      <c r="T172" s="60"/>
      <c r="U172" s="60"/>
      <c r="V172" s="60"/>
      <c r="W172" s="60"/>
    </row>
    <row r="173" spans="1:23" ht="13" x14ac:dyDescent="0.3">
      <c r="A173" s="58"/>
      <c r="B173" s="58"/>
      <c r="C173" s="58"/>
      <c r="D173" s="58"/>
      <c r="E173" s="58"/>
      <c r="F173" s="58"/>
      <c r="G173" s="58"/>
      <c r="H173" s="59"/>
      <c r="I173" s="59"/>
      <c r="J173" s="59"/>
      <c r="K173" s="59"/>
      <c r="L173" s="59"/>
      <c r="M173" s="60"/>
      <c r="N173" s="60"/>
      <c r="O173" s="60"/>
      <c r="P173" s="59"/>
      <c r="Q173" s="59"/>
      <c r="R173" s="60"/>
      <c r="S173" s="60"/>
      <c r="T173" s="60"/>
      <c r="U173" s="60"/>
      <c r="V173" s="60"/>
      <c r="W173" s="60"/>
    </row>
    <row r="174" spans="1:23" ht="13" x14ac:dyDescent="0.3">
      <c r="A174" s="58"/>
      <c r="B174" s="58"/>
      <c r="C174" s="58"/>
      <c r="D174" s="58"/>
      <c r="E174" s="58"/>
      <c r="F174" s="58"/>
      <c r="G174" s="58"/>
      <c r="H174" s="59"/>
      <c r="I174" s="59"/>
      <c r="J174" s="59"/>
      <c r="K174" s="59"/>
      <c r="L174" s="59"/>
      <c r="M174" s="60"/>
      <c r="N174" s="60"/>
      <c r="O174" s="60"/>
      <c r="P174" s="59"/>
      <c r="Q174" s="59"/>
      <c r="R174" s="60"/>
      <c r="S174" s="60"/>
      <c r="T174" s="60"/>
      <c r="U174" s="60"/>
      <c r="V174" s="60"/>
      <c r="W174" s="60"/>
    </row>
    <row r="175" spans="1:23" ht="13" x14ac:dyDescent="0.3">
      <c r="A175" s="58"/>
      <c r="B175" s="58"/>
      <c r="C175" s="58"/>
      <c r="D175" s="58"/>
      <c r="E175" s="58"/>
      <c r="F175" s="58"/>
      <c r="G175" s="58"/>
      <c r="H175" s="59"/>
      <c r="I175" s="59"/>
      <c r="J175" s="59"/>
      <c r="K175" s="59"/>
      <c r="L175" s="59"/>
      <c r="M175" s="60"/>
      <c r="N175" s="60"/>
      <c r="O175" s="60"/>
      <c r="P175" s="59"/>
      <c r="Q175" s="59"/>
      <c r="R175" s="60"/>
      <c r="S175" s="60"/>
      <c r="T175" s="60"/>
      <c r="U175" s="60"/>
      <c r="V175" s="60"/>
      <c r="W175" s="60"/>
    </row>
    <row r="176" spans="1:23" ht="13" x14ac:dyDescent="0.3">
      <c r="A176" s="58"/>
      <c r="B176" s="58"/>
      <c r="C176" s="58"/>
      <c r="D176" s="58"/>
      <c r="E176" s="58"/>
      <c r="F176" s="58"/>
      <c r="G176" s="58"/>
      <c r="H176" s="59"/>
      <c r="I176" s="59"/>
      <c r="J176" s="59"/>
      <c r="K176" s="59"/>
      <c r="L176" s="59"/>
      <c r="M176" s="60"/>
      <c r="N176" s="60"/>
      <c r="O176" s="60"/>
      <c r="P176" s="59"/>
      <c r="Q176" s="59"/>
      <c r="R176" s="60"/>
      <c r="S176" s="60"/>
      <c r="T176" s="60"/>
      <c r="U176" s="60"/>
      <c r="V176" s="60"/>
      <c r="W176" s="60"/>
    </row>
    <row r="177" spans="1:23" ht="13" x14ac:dyDescent="0.3">
      <c r="A177" s="58"/>
      <c r="B177" s="58"/>
      <c r="C177" s="58"/>
      <c r="D177" s="58"/>
      <c r="E177" s="58"/>
      <c r="F177" s="58"/>
      <c r="G177" s="58"/>
      <c r="H177" s="59"/>
      <c r="I177" s="59"/>
      <c r="J177" s="59"/>
      <c r="K177" s="59"/>
      <c r="L177" s="59"/>
      <c r="M177" s="60"/>
      <c r="N177" s="60"/>
      <c r="O177" s="60"/>
      <c r="P177" s="59"/>
      <c r="Q177" s="59"/>
      <c r="R177" s="60"/>
      <c r="S177" s="60"/>
      <c r="T177" s="60"/>
      <c r="U177" s="60"/>
      <c r="V177" s="60"/>
      <c r="W177" s="60"/>
    </row>
    <row r="178" spans="1:23" ht="13" x14ac:dyDescent="0.3">
      <c r="A178" s="58"/>
      <c r="B178" s="58"/>
      <c r="C178" s="58"/>
      <c r="D178" s="58"/>
      <c r="E178" s="58"/>
      <c r="F178" s="58"/>
      <c r="G178" s="58"/>
      <c r="H178" s="59"/>
      <c r="I178" s="59"/>
      <c r="J178" s="59"/>
      <c r="K178" s="59"/>
      <c r="L178" s="59"/>
      <c r="M178" s="60"/>
      <c r="N178" s="60"/>
      <c r="O178" s="60"/>
      <c r="P178" s="59"/>
      <c r="Q178" s="59"/>
      <c r="R178" s="60"/>
      <c r="S178" s="60"/>
      <c r="T178" s="60"/>
      <c r="U178" s="60"/>
      <c r="V178" s="60"/>
      <c r="W178" s="60"/>
    </row>
    <row r="179" spans="1:23" ht="13" x14ac:dyDescent="0.3">
      <c r="A179" s="58"/>
      <c r="B179" s="58"/>
      <c r="C179" s="58"/>
      <c r="D179" s="58"/>
      <c r="E179" s="58"/>
      <c r="F179" s="58"/>
      <c r="G179" s="58"/>
      <c r="H179" s="59"/>
      <c r="I179" s="59"/>
      <c r="J179" s="59"/>
      <c r="K179" s="59"/>
      <c r="L179" s="59"/>
      <c r="M179" s="60"/>
      <c r="N179" s="60"/>
      <c r="O179" s="60"/>
      <c r="P179" s="59"/>
      <c r="Q179" s="59"/>
      <c r="R179" s="60"/>
      <c r="S179" s="60"/>
      <c r="T179" s="60"/>
      <c r="U179" s="60"/>
      <c r="V179" s="60"/>
      <c r="W179" s="60"/>
    </row>
    <row r="180" spans="1:23" ht="13" x14ac:dyDescent="0.3">
      <c r="A180" s="58"/>
      <c r="B180" s="58"/>
      <c r="C180" s="58"/>
      <c r="D180" s="58"/>
      <c r="E180" s="58"/>
      <c r="F180" s="58"/>
      <c r="G180" s="58"/>
      <c r="H180" s="59"/>
      <c r="I180" s="59"/>
      <c r="J180" s="59"/>
      <c r="K180" s="59"/>
      <c r="L180" s="59"/>
      <c r="M180" s="60"/>
      <c r="N180" s="60"/>
      <c r="O180" s="60"/>
      <c r="P180" s="59"/>
      <c r="Q180" s="59"/>
      <c r="R180" s="60"/>
      <c r="S180" s="60"/>
      <c r="T180" s="60"/>
      <c r="U180" s="60"/>
      <c r="V180" s="60"/>
      <c r="W180" s="60"/>
    </row>
    <row r="181" spans="1:23" ht="13" x14ac:dyDescent="0.3">
      <c r="A181" s="58"/>
      <c r="B181" s="58"/>
      <c r="C181" s="58"/>
      <c r="D181" s="58"/>
      <c r="E181" s="58"/>
      <c r="F181" s="58"/>
      <c r="G181" s="58"/>
      <c r="H181" s="59"/>
      <c r="I181" s="59"/>
      <c r="J181" s="59"/>
      <c r="K181" s="59"/>
      <c r="L181" s="59"/>
      <c r="M181" s="60"/>
      <c r="N181" s="60"/>
      <c r="O181" s="60"/>
      <c r="P181" s="59"/>
      <c r="Q181" s="59"/>
      <c r="R181" s="60"/>
      <c r="S181" s="60"/>
      <c r="T181" s="60"/>
      <c r="U181" s="60"/>
      <c r="V181" s="60"/>
      <c r="W181" s="60"/>
    </row>
    <row r="182" spans="1:23" ht="13" x14ac:dyDescent="0.3">
      <c r="A182" s="58"/>
      <c r="B182" s="58"/>
      <c r="C182" s="58"/>
      <c r="D182" s="58"/>
      <c r="E182" s="58"/>
      <c r="F182" s="58"/>
      <c r="G182" s="58"/>
      <c r="H182" s="59"/>
      <c r="I182" s="59"/>
      <c r="J182" s="59"/>
      <c r="K182" s="59"/>
      <c r="L182" s="59"/>
      <c r="M182" s="60"/>
      <c r="N182" s="60"/>
      <c r="O182" s="60"/>
      <c r="P182" s="59"/>
      <c r="Q182" s="59"/>
      <c r="R182" s="60"/>
      <c r="S182" s="60"/>
      <c r="T182" s="60"/>
      <c r="U182" s="60"/>
      <c r="V182" s="60"/>
      <c r="W182" s="60"/>
    </row>
    <row r="183" spans="1:23" ht="13" x14ac:dyDescent="0.3">
      <c r="A183" s="58"/>
      <c r="B183" s="58"/>
      <c r="C183" s="58"/>
      <c r="D183" s="58"/>
      <c r="E183" s="58"/>
      <c r="F183" s="58"/>
      <c r="G183" s="58"/>
      <c r="H183" s="59"/>
      <c r="I183" s="59"/>
      <c r="J183" s="59"/>
      <c r="K183" s="59"/>
      <c r="L183" s="59"/>
      <c r="M183" s="60"/>
      <c r="N183" s="60"/>
      <c r="O183" s="60"/>
      <c r="P183" s="59"/>
      <c r="Q183" s="59"/>
      <c r="R183" s="60"/>
      <c r="S183" s="60"/>
      <c r="T183" s="60"/>
      <c r="U183" s="60"/>
      <c r="V183" s="60"/>
      <c r="W183" s="60"/>
    </row>
    <row r="184" spans="1:23" ht="13" x14ac:dyDescent="0.3">
      <c r="A184" s="58"/>
      <c r="B184" s="58"/>
      <c r="C184" s="58"/>
      <c r="D184" s="58"/>
      <c r="E184" s="58"/>
      <c r="F184" s="58"/>
      <c r="G184" s="58"/>
      <c r="H184" s="59"/>
      <c r="I184" s="59"/>
      <c r="J184" s="59"/>
      <c r="K184" s="59"/>
      <c r="L184" s="59"/>
      <c r="M184" s="60"/>
      <c r="N184" s="60"/>
      <c r="O184" s="60"/>
      <c r="P184" s="59"/>
      <c r="Q184" s="59"/>
      <c r="R184" s="60"/>
      <c r="S184" s="60"/>
      <c r="T184" s="60"/>
      <c r="U184" s="60"/>
      <c r="V184" s="60"/>
      <c r="W184" s="60"/>
    </row>
    <row r="185" spans="1:23" ht="13" x14ac:dyDescent="0.3">
      <c r="A185" s="58"/>
      <c r="B185" s="58"/>
      <c r="C185" s="58"/>
      <c r="D185" s="58"/>
      <c r="E185" s="58"/>
      <c r="F185" s="58"/>
      <c r="G185" s="58"/>
      <c r="H185" s="59"/>
      <c r="I185" s="59"/>
      <c r="J185" s="59"/>
      <c r="K185" s="59"/>
      <c r="L185" s="59"/>
      <c r="M185" s="60"/>
      <c r="N185" s="60"/>
      <c r="O185" s="60"/>
      <c r="P185" s="59"/>
      <c r="Q185" s="59"/>
      <c r="R185" s="60"/>
      <c r="S185" s="60"/>
      <c r="T185" s="60"/>
      <c r="U185" s="60"/>
      <c r="V185" s="60"/>
      <c r="W185" s="60"/>
    </row>
    <row r="186" spans="1:23" ht="13" x14ac:dyDescent="0.3">
      <c r="A186" s="58"/>
      <c r="B186" s="58"/>
      <c r="C186" s="58"/>
      <c r="D186" s="58"/>
      <c r="E186" s="58"/>
      <c r="F186" s="58"/>
      <c r="G186" s="58"/>
      <c r="H186" s="59"/>
      <c r="I186" s="59"/>
      <c r="J186" s="59"/>
      <c r="K186" s="59"/>
      <c r="L186" s="59"/>
      <c r="M186" s="60"/>
      <c r="N186" s="60"/>
      <c r="O186" s="60"/>
      <c r="P186" s="59"/>
      <c r="Q186" s="59"/>
      <c r="R186" s="60"/>
      <c r="S186" s="60"/>
      <c r="T186" s="60"/>
      <c r="U186" s="60"/>
      <c r="V186" s="60"/>
      <c r="W186" s="60"/>
    </row>
    <row r="187" spans="1:23" ht="13" x14ac:dyDescent="0.3">
      <c r="A187" s="58"/>
      <c r="B187" s="58"/>
      <c r="C187" s="58"/>
      <c r="D187" s="58"/>
      <c r="E187" s="58"/>
      <c r="F187" s="58"/>
      <c r="G187" s="58"/>
      <c r="H187" s="59"/>
      <c r="I187" s="59"/>
      <c r="J187" s="59"/>
      <c r="K187" s="59"/>
      <c r="L187" s="59"/>
      <c r="M187" s="60"/>
      <c r="N187" s="60"/>
      <c r="O187" s="60"/>
      <c r="P187" s="59"/>
      <c r="Q187" s="59"/>
      <c r="R187" s="60"/>
      <c r="S187" s="60"/>
      <c r="T187" s="60"/>
      <c r="U187" s="60"/>
      <c r="V187" s="60"/>
      <c r="W187" s="60"/>
    </row>
    <row r="188" spans="1:23" ht="13" x14ac:dyDescent="0.3">
      <c r="A188" s="58"/>
      <c r="B188" s="58"/>
      <c r="C188" s="58"/>
      <c r="D188" s="58"/>
      <c r="E188" s="58"/>
      <c r="F188" s="58"/>
      <c r="G188" s="58"/>
      <c r="H188" s="59"/>
      <c r="I188" s="59"/>
      <c r="J188" s="59"/>
      <c r="K188" s="59"/>
      <c r="L188" s="59"/>
      <c r="M188" s="60"/>
      <c r="N188" s="60"/>
      <c r="O188" s="60"/>
      <c r="P188" s="59"/>
      <c r="Q188" s="59"/>
      <c r="R188" s="60"/>
      <c r="S188" s="60"/>
      <c r="T188" s="60"/>
      <c r="U188" s="60"/>
      <c r="V188" s="60"/>
      <c r="W188" s="60"/>
    </row>
    <row r="189" spans="1:23" ht="13" x14ac:dyDescent="0.3">
      <c r="A189" s="58"/>
      <c r="B189" s="58"/>
      <c r="C189" s="58"/>
      <c r="D189" s="58"/>
      <c r="E189" s="58"/>
      <c r="F189" s="58"/>
      <c r="G189" s="58"/>
      <c r="H189" s="59"/>
      <c r="I189" s="59"/>
      <c r="J189" s="59"/>
      <c r="K189" s="59"/>
      <c r="L189" s="59"/>
      <c r="M189" s="60"/>
      <c r="N189" s="60"/>
      <c r="O189" s="60"/>
      <c r="P189" s="59"/>
      <c r="Q189" s="59"/>
      <c r="R189" s="60"/>
      <c r="S189" s="60"/>
      <c r="T189" s="60"/>
      <c r="U189" s="60"/>
      <c r="V189" s="60"/>
      <c r="W189" s="60"/>
    </row>
    <row r="190" spans="1:23" ht="13" x14ac:dyDescent="0.3">
      <c r="A190" s="58"/>
      <c r="B190" s="58"/>
      <c r="C190" s="58"/>
      <c r="D190" s="58"/>
      <c r="E190" s="58"/>
      <c r="F190" s="58"/>
      <c r="G190" s="58"/>
      <c r="H190" s="59"/>
      <c r="I190" s="59"/>
      <c r="J190" s="59"/>
      <c r="K190" s="59"/>
      <c r="L190" s="59"/>
      <c r="M190" s="60"/>
      <c r="N190" s="60"/>
      <c r="O190" s="60"/>
      <c r="P190" s="59"/>
      <c r="Q190" s="59"/>
      <c r="R190" s="60"/>
      <c r="S190" s="60"/>
      <c r="T190" s="60"/>
      <c r="U190" s="60"/>
      <c r="V190" s="60"/>
      <c r="W190" s="60"/>
    </row>
    <row r="191" spans="1:23" ht="13" x14ac:dyDescent="0.3">
      <c r="A191" s="58"/>
      <c r="B191" s="58"/>
      <c r="C191" s="58"/>
      <c r="D191" s="58"/>
      <c r="E191" s="58"/>
      <c r="F191" s="58"/>
      <c r="G191" s="58"/>
      <c r="H191" s="59"/>
      <c r="I191" s="59"/>
      <c r="J191" s="59"/>
      <c r="K191" s="59"/>
      <c r="L191" s="59"/>
      <c r="M191" s="60"/>
      <c r="N191" s="60"/>
      <c r="O191" s="60"/>
      <c r="P191" s="59"/>
      <c r="Q191" s="59"/>
      <c r="R191" s="60"/>
      <c r="S191" s="60"/>
      <c r="T191" s="60"/>
      <c r="U191" s="60"/>
      <c r="V191" s="60"/>
      <c r="W191" s="60"/>
    </row>
    <row r="192" spans="1:23" ht="13" x14ac:dyDescent="0.3">
      <c r="A192" s="58"/>
      <c r="B192" s="58"/>
      <c r="C192" s="58"/>
      <c r="D192" s="58"/>
      <c r="E192" s="58"/>
      <c r="F192" s="58"/>
      <c r="G192" s="58"/>
      <c r="H192" s="59"/>
      <c r="I192" s="59"/>
      <c r="J192" s="59"/>
      <c r="K192" s="59"/>
      <c r="L192" s="59"/>
      <c r="M192" s="60"/>
      <c r="N192" s="60"/>
      <c r="O192" s="60"/>
      <c r="P192" s="59"/>
      <c r="Q192" s="59"/>
      <c r="R192" s="60"/>
      <c r="S192" s="60"/>
      <c r="T192" s="60"/>
      <c r="U192" s="60"/>
      <c r="V192" s="60"/>
      <c r="W192" s="60"/>
    </row>
    <row r="193" spans="1:23" ht="13" x14ac:dyDescent="0.3">
      <c r="A193" s="58"/>
      <c r="B193" s="58"/>
      <c r="C193" s="58"/>
      <c r="D193" s="58"/>
      <c r="E193" s="58"/>
      <c r="F193" s="58"/>
      <c r="G193" s="58"/>
      <c r="H193" s="59"/>
      <c r="I193" s="59"/>
      <c r="J193" s="59"/>
      <c r="K193" s="59"/>
      <c r="L193" s="59"/>
      <c r="M193" s="60"/>
      <c r="N193" s="60"/>
      <c r="O193" s="60"/>
      <c r="P193" s="59"/>
      <c r="Q193" s="59"/>
      <c r="R193" s="60"/>
      <c r="S193" s="60"/>
      <c r="T193" s="60"/>
      <c r="U193" s="60"/>
      <c r="V193" s="60"/>
      <c r="W193" s="60"/>
    </row>
    <row r="194" spans="1:23" ht="13" x14ac:dyDescent="0.3">
      <c r="A194" s="58"/>
      <c r="B194" s="58"/>
      <c r="C194" s="58"/>
      <c r="D194" s="58"/>
      <c r="E194" s="58"/>
      <c r="F194" s="58"/>
      <c r="G194" s="58"/>
      <c r="H194" s="59"/>
      <c r="I194" s="59"/>
      <c r="J194" s="59"/>
      <c r="K194" s="59"/>
      <c r="L194" s="59"/>
      <c r="M194" s="60"/>
      <c r="N194" s="60"/>
      <c r="O194" s="60"/>
      <c r="P194" s="59"/>
      <c r="Q194" s="59"/>
      <c r="R194" s="60"/>
      <c r="S194" s="60"/>
      <c r="T194" s="60"/>
      <c r="U194" s="60"/>
      <c r="V194" s="60"/>
      <c r="W194" s="60"/>
    </row>
    <row r="195" spans="1:23" ht="13" x14ac:dyDescent="0.3">
      <c r="A195" s="58"/>
      <c r="B195" s="58"/>
      <c r="C195" s="58"/>
      <c r="D195" s="58"/>
      <c r="E195" s="58"/>
      <c r="F195" s="58"/>
      <c r="G195" s="58"/>
      <c r="H195" s="59"/>
      <c r="I195" s="59"/>
      <c r="J195" s="59"/>
      <c r="K195" s="59"/>
      <c r="L195" s="59"/>
      <c r="M195" s="60"/>
      <c r="N195" s="60"/>
      <c r="O195" s="60"/>
      <c r="P195" s="59"/>
      <c r="Q195" s="59"/>
      <c r="R195" s="60"/>
      <c r="S195" s="60"/>
      <c r="T195" s="60"/>
      <c r="U195" s="60"/>
      <c r="V195" s="60"/>
      <c r="W195" s="60"/>
    </row>
    <row r="196" spans="1:23" ht="13" x14ac:dyDescent="0.3">
      <c r="A196" s="58"/>
      <c r="B196" s="58"/>
      <c r="C196" s="58"/>
      <c r="D196" s="58"/>
      <c r="E196" s="58"/>
      <c r="F196" s="58"/>
      <c r="G196" s="58"/>
      <c r="H196" s="59"/>
      <c r="I196" s="59"/>
      <c r="J196" s="59"/>
      <c r="K196" s="59"/>
      <c r="L196" s="59"/>
      <c r="M196" s="60"/>
      <c r="N196" s="60"/>
      <c r="O196" s="60"/>
      <c r="P196" s="59"/>
      <c r="Q196" s="59"/>
      <c r="R196" s="60"/>
      <c r="S196" s="60"/>
      <c r="T196" s="60"/>
      <c r="U196" s="60"/>
      <c r="V196" s="60"/>
      <c r="W196" s="60"/>
    </row>
    <row r="197" spans="1:23" ht="13" x14ac:dyDescent="0.3">
      <c r="A197" s="58"/>
      <c r="B197" s="58"/>
      <c r="C197" s="58"/>
      <c r="D197" s="58"/>
      <c r="E197" s="58"/>
      <c r="F197" s="58"/>
      <c r="G197" s="58"/>
      <c r="H197" s="59"/>
      <c r="I197" s="59"/>
      <c r="J197" s="59"/>
      <c r="K197" s="59"/>
      <c r="L197" s="59"/>
      <c r="M197" s="60"/>
      <c r="N197" s="60"/>
      <c r="O197" s="60"/>
      <c r="P197" s="59"/>
      <c r="Q197" s="59"/>
      <c r="R197" s="60"/>
      <c r="S197" s="60"/>
      <c r="T197" s="60"/>
      <c r="U197" s="60"/>
      <c r="V197" s="60"/>
      <c r="W197" s="60"/>
    </row>
    <row r="198" spans="1:23" ht="13" x14ac:dyDescent="0.3">
      <c r="A198" s="58"/>
      <c r="B198" s="58"/>
      <c r="C198" s="58"/>
      <c r="D198" s="58"/>
      <c r="E198" s="58"/>
      <c r="F198" s="58"/>
      <c r="G198" s="58"/>
      <c r="H198" s="59"/>
      <c r="I198" s="59"/>
      <c r="J198" s="59"/>
      <c r="K198" s="59"/>
      <c r="L198" s="59"/>
      <c r="M198" s="60"/>
      <c r="N198" s="60"/>
      <c r="O198" s="60"/>
      <c r="P198" s="59"/>
      <c r="Q198" s="59"/>
      <c r="R198" s="60"/>
      <c r="S198" s="60"/>
      <c r="T198" s="60"/>
      <c r="U198" s="60"/>
      <c r="V198" s="60"/>
      <c r="W198" s="60"/>
    </row>
    <row r="199" spans="1:23" ht="13" x14ac:dyDescent="0.3">
      <c r="A199" s="58"/>
      <c r="B199" s="58"/>
      <c r="C199" s="58"/>
      <c r="D199" s="58"/>
      <c r="E199" s="58"/>
      <c r="F199" s="58"/>
      <c r="G199" s="58"/>
      <c r="H199" s="59"/>
      <c r="I199" s="59"/>
      <c r="J199" s="59"/>
      <c r="K199" s="59"/>
      <c r="L199" s="59"/>
      <c r="M199" s="60"/>
      <c r="N199" s="60"/>
      <c r="O199" s="60"/>
      <c r="P199" s="59"/>
      <c r="Q199" s="59"/>
      <c r="R199" s="60"/>
      <c r="S199" s="60"/>
      <c r="T199" s="60"/>
      <c r="U199" s="60"/>
      <c r="V199" s="60"/>
      <c r="W199" s="60"/>
    </row>
    <row r="200" spans="1:23" ht="13" x14ac:dyDescent="0.3">
      <c r="A200" s="58"/>
      <c r="B200" s="58"/>
      <c r="C200" s="58"/>
      <c r="D200" s="58"/>
      <c r="E200" s="58"/>
      <c r="F200" s="58"/>
      <c r="G200" s="58"/>
      <c r="H200" s="59"/>
      <c r="I200" s="59"/>
      <c r="J200" s="59"/>
      <c r="K200" s="59"/>
      <c r="L200" s="59"/>
      <c r="M200" s="60"/>
      <c r="N200" s="60"/>
      <c r="O200" s="60"/>
      <c r="P200" s="59"/>
      <c r="Q200" s="59"/>
      <c r="R200" s="60"/>
      <c r="S200" s="60"/>
      <c r="T200" s="60"/>
      <c r="U200" s="60"/>
      <c r="V200" s="60"/>
      <c r="W200" s="60"/>
    </row>
    <row r="201" spans="1:23" ht="13" x14ac:dyDescent="0.3">
      <c r="A201" s="58"/>
      <c r="B201" s="58"/>
      <c r="C201" s="58"/>
      <c r="D201" s="58"/>
      <c r="E201" s="58"/>
      <c r="F201" s="58"/>
      <c r="G201" s="58"/>
      <c r="H201" s="59"/>
      <c r="I201" s="59"/>
      <c r="J201" s="59"/>
      <c r="K201" s="59"/>
      <c r="L201" s="59"/>
      <c r="M201" s="60"/>
      <c r="N201" s="60"/>
      <c r="O201" s="60"/>
      <c r="P201" s="59"/>
      <c r="Q201" s="59"/>
      <c r="R201" s="60"/>
      <c r="S201" s="60"/>
      <c r="T201" s="60"/>
      <c r="U201" s="60"/>
      <c r="V201" s="60"/>
      <c r="W201" s="60"/>
    </row>
    <row r="202" spans="1:23" ht="13" x14ac:dyDescent="0.3">
      <c r="A202" s="58"/>
      <c r="B202" s="58"/>
      <c r="C202" s="58"/>
      <c r="D202" s="58"/>
      <c r="E202" s="58"/>
      <c r="F202" s="58"/>
      <c r="G202" s="58"/>
      <c r="H202" s="59"/>
      <c r="I202" s="59"/>
      <c r="J202" s="59"/>
      <c r="K202" s="59"/>
      <c r="L202" s="59"/>
      <c r="M202" s="60"/>
      <c r="N202" s="60"/>
      <c r="O202" s="60"/>
      <c r="P202" s="59"/>
      <c r="Q202" s="59"/>
      <c r="R202" s="60"/>
      <c r="S202" s="60"/>
      <c r="T202" s="60"/>
      <c r="U202" s="60"/>
      <c r="V202" s="60"/>
      <c r="W202" s="60"/>
    </row>
    <row r="203" spans="1:23" ht="13" x14ac:dyDescent="0.3">
      <c r="A203" s="58"/>
      <c r="B203" s="58"/>
      <c r="C203" s="58"/>
      <c r="D203" s="58"/>
      <c r="E203" s="58"/>
      <c r="F203" s="58"/>
      <c r="G203" s="58"/>
      <c r="H203" s="59"/>
      <c r="I203" s="59"/>
      <c r="J203" s="59"/>
      <c r="K203" s="59"/>
      <c r="L203" s="59"/>
      <c r="M203" s="60"/>
      <c r="N203" s="60"/>
      <c r="O203" s="60"/>
      <c r="P203" s="59"/>
      <c r="Q203" s="59"/>
      <c r="R203" s="60"/>
      <c r="S203" s="60"/>
      <c r="T203" s="60"/>
      <c r="U203" s="60"/>
      <c r="V203" s="60"/>
      <c r="W203" s="60"/>
    </row>
    <row r="204" spans="1:23" ht="13" x14ac:dyDescent="0.3">
      <c r="A204" s="58"/>
      <c r="B204" s="58"/>
      <c r="C204" s="58"/>
      <c r="D204" s="58"/>
      <c r="E204" s="58"/>
      <c r="F204" s="58"/>
      <c r="G204" s="58"/>
      <c r="H204" s="59"/>
      <c r="I204" s="59"/>
      <c r="J204" s="59"/>
      <c r="K204" s="59"/>
      <c r="L204" s="59"/>
      <c r="M204" s="60"/>
      <c r="N204" s="60"/>
      <c r="O204" s="60"/>
      <c r="P204" s="59"/>
      <c r="Q204" s="59"/>
      <c r="R204" s="60"/>
      <c r="S204" s="60"/>
      <c r="T204" s="60"/>
      <c r="U204" s="60"/>
      <c r="V204" s="60"/>
      <c r="W204" s="60"/>
    </row>
    <row r="205" spans="1:23" ht="13" x14ac:dyDescent="0.3">
      <c r="A205" s="58"/>
      <c r="B205" s="58"/>
      <c r="C205" s="58"/>
      <c r="D205" s="58"/>
      <c r="E205" s="58"/>
      <c r="F205" s="58"/>
      <c r="G205" s="58"/>
      <c r="H205" s="59"/>
      <c r="I205" s="59"/>
      <c r="J205" s="59"/>
      <c r="K205" s="59"/>
      <c r="L205" s="59"/>
      <c r="M205" s="60"/>
      <c r="N205" s="60"/>
      <c r="O205" s="60"/>
      <c r="P205" s="59"/>
      <c r="Q205" s="59"/>
      <c r="R205" s="60"/>
      <c r="S205" s="60"/>
      <c r="T205" s="60"/>
      <c r="U205" s="60"/>
      <c r="V205" s="60"/>
      <c r="W205" s="60"/>
    </row>
    <row r="206" spans="1:23" ht="13" x14ac:dyDescent="0.3">
      <c r="A206" s="58"/>
      <c r="B206" s="58"/>
      <c r="C206" s="58"/>
      <c r="D206" s="58"/>
      <c r="E206" s="58"/>
      <c r="F206" s="58"/>
      <c r="G206" s="58"/>
      <c r="H206" s="59"/>
      <c r="I206" s="59"/>
      <c r="J206" s="59"/>
      <c r="K206" s="59"/>
      <c r="L206" s="59"/>
      <c r="M206" s="60"/>
      <c r="N206" s="60"/>
      <c r="O206" s="60"/>
      <c r="P206" s="59"/>
      <c r="Q206" s="59"/>
      <c r="R206" s="60"/>
      <c r="S206" s="60"/>
      <c r="T206" s="60"/>
      <c r="U206" s="60"/>
      <c r="V206" s="60"/>
      <c r="W206" s="60"/>
    </row>
    <row r="207" spans="1:23" ht="13" x14ac:dyDescent="0.3">
      <c r="A207" s="58"/>
      <c r="B207" s="58"/>
      <c r="C207" s="58"/>
      <c r="D207" s="58"/>
      <c r="E207" s="58"/>
      <c r="F207" s="58"/>
      <c r="G207" s="58"/>
      <c r="H207" s="59"/>
      <c r="I207" s="59"/>
      <c r="J207" s="59"/>
      <c r="K207" s="59"/>
      <c r="L207" s="59"/>
      <c r="M207" s="60"/>
      <c r="N207" s="60"/>
      <c r="O207" s="60"/>
      <c r="P207" s="59"/>
      <c r="Q207" s="59"/>
      <c r="R207" s="60"/>
      <c r="S207" s="60"/>
      <c r="T207" s="60"/>
      <c r="U207" s="60"/>
      <c r="V207" s="60"/>
      <c r="W207" s="60"/>
    </row>
    <row r="208" spans="1:23" ht="13" x14ac:dyDescent="0.3">
      <c r="A208" s="58"/>
      <c r="B208" s="58"/>
      <c r="C208" s="58"/>
      <c r="D208" s="58"/>
      <c r="E208" s="58"/>
      <c r="F208" s="58"/>
      <c r="G208" s="58"/>
      <c r="H208" s="59"/>
      <c r="I208" s="59"/>
      <c r="J208" s="59"/>
      <c r="K208" s="59"/>
      <c r="L208" s="59"/>
      <c r="M208" s="60"/>
      <c r="N208" s="60"/>
      <c r="O208" s="60"/>
      <c r="P208" s="59"/>
      <c r="Q208" s="59"/>
      <c r="R208" s="60"/>
      <c r="S208" s="60"/>
      <c r="T208" s="60"/>
      <c r="U208" s="60"/>
      <c r="V208" s="60"/>
      <c r="W208" s="60"/>
    </row>
    <row r="209" spans="1:23" ht="13" x14ac:dyDescent="0.3">
      <c r="A209" s="58"/>
      <c r="B209" s="58"/>
      <c r="C209" s="58"/>
      <c r="D209" s="58"/>
      <c r="E209" s="58"/>
      <c r="F209" s="58"/>
      <c r="G209" s="58"/>
      <c r="H209" s="59"/>
      <c r="I209" s="59"/>
      <c r="J209" s="59"/>
      <c r="K209" s="59"/>
      <c r="L209" s="59"/>
      <c r="M209" s="60"/>
      <c r="N209" s="60"/>
      <c r="O209" s="60"/>
      <c r="P209" s="59"/>
      <c r="Q209" s="59"/>
      <c r="R209" s="60"/>
      <c r="S209" s="60"/>
      <c r="T209" s="60"/>
      <c r="U209" s="60"/>
      <c r="V209" s="60"/>
      <c r="W209" s="60"/>
    </row>
    <row r="210" spans="1:23" ht="13" x14ac:dyDescent="0.3">
      <c r="A210" s="58"/>
      <c r="B210" s="58"/>
      <c r="C210" s="58"/>
      <c r="D210" s="58"/>
      <c r="E210" s="58"/>
      <c r="F210" s="58"/>
      <c r="G210" s="58"/>
      <c r="H210" s="59"/>
      <c r="I210" s="59"/>
      <c r="J210" s="59"/>
      <c r="K210" s="59"/>
      <c r="L210" s="59"/>
      <c r="M210" s="60"/>
      <c r="N210" s="60"/>
      <c r="O210" s="60"/>
      <c r="P210" s="59"/>
      <c r="Q210" s="59"/>
      <c r="R210" s="60"/>
      <c r="S210" s="60"/>
      <c r="T210" s="60"/>
      <c r="U210" s="60"/>
      <c r="V210" s="60"/>
      <c r="W210" s="60"/>
    </row>
    <row r="211" spans="1:23" ht="13" x14ac:dyDescent="0.3">
      <c r="A211" s="58"/>
      <c r="B211" s="58"/>
      <c r="C211" s="58"/>
      <c r="D211" s="58"/>
      <c r="E211" s="58"/>
      <c r="F211" s="58"/>
      <c r="G211" s="58"/>
      <c r="H211" s="59"/>
      <c r="I211" s="59"/>
      <c r="J211" s="59"/>
      <c r="K211" s="59"/>
      <c r="L211" s="59"/>
      <c r="M211" s="60"/>
      <c r="N211" s="60"/>
      <c r="O211" s="60"/>
      <c r="P211" s="59"/>
      <c r="Q211" s="59"/>
      <c r="R211" s="60"/>
      <c r="S211" s="60"/>
      <c r="T211" s="60"/>
      <c r="U211" s="60"/>
      <c r="V211" s="60"/>
      <c r="W211" s="60"/>
    </row>
    <row r="212" spans="1:23" ht="13" x14ac:dyDescent="0.3">
      <c r="A212" s="58"/>
      <c r="B212" s="58"/>
      <c r="C212" s="58"/>
      <c r="D212" s="58"/>
      <c r="E212" s="58"/>
      <c r="F212" s="58"/>
      <c r="G212" s="58"/>
      <c r="H212" s="59"/>
      <c r="I212" s="59"/>
      <c r="J212" s="59"/>
      <c r="K212" s="59"/>
      <c r="L212" s="59"/>
      <c r="M212" s="60"/>
      <c r="N212" s="60"/>
      <c r="O212" s="60"/>
      <c r="P212" s="59"/>
      <c r="Q212" s="59"/>
      <c r="R212" s="60"/>
      <c r="S212" s="60"/>
      <c r="T212" s="60"/>
      <c r="U212" s="60"/>
      <c r="V212" s="60"/>
      <c r="W212" s="60"/>
    </row>
    <row r="213" spans="1:23" ht="13" x14ac:dyDescent="0.3">
      <c r="A213" s="58"/>
      <c r="B213" s="58"/>
      <c r="C213" s="58"/>
      <c r="D213" s="58"/>
      <c r="E213" s="58"/>
      <c r="F213" s="58"/>
      <c r="G213" s="58"/>
      <c r="H213" s="59"/>
      <c r="I213" s="59"/>
      <c r="J213" s="59"/>
      <c r="K213" s="59"/>
      <c r="L213" s="59"/>
      <c r="M213" s="60"/>
      <c r="N213" s="60"/>
      <c r="O213" s="60"/>
      <c r="P213" s="59"/>
      <c r="Q213" s="59"/>
      <c r="R213" s="60"/>
      <c r="S213" s="60"/>
      <c r="T213" s="60"/>
      <c r="U213" s="60"/>
      <c r="V213" s="60"/>
      <c r="W213" s="60"/>
    </row>
    <row r="214" spans="1:23" ht="13" x14ac:dyDescent="0.3">
      <c r="A214" s="58"/>
      <c r="B214" s="58"/>
      <c r="C214" s="58"/>
      <c r="D214" s="58"/>
      <c r="E214" s="58"/>
      <c r="F214" s="58"/>
      <c r="G214" s="58"/>
      <c r="H214" s="59"/>
      <c r="I214" s="59"/>
      <c r="J214" s="59"/>
      <c r="K214" s="59"/>
      <c r="L214" s="59"/>
      <c r="M214" s="60"/>
      <c r="N214" s="60"/>
      <c r="O214" s="60"/>
      <c r="P214" s="59"/>
      <c r="Q214" s="59"/>
      <c r="R214" s="60"/>
      <c r="S214" s="60"/>
      <c r="T214" s="60"/>
      <c r="U214" s="60"/>
      <c r="V214" s="60"/>
      <c r="W214" s="60"/>
    </row>
    <row r="215" spans="1:23" ht="13" x14ac:dyDescent="0.3">
      <c r="A215" s="58"/>
      <c r="B215" s="58"/>
      <c r="C215" s="58"/>
      <c r="D215" s="58"/>
      <c r="E215" s="58"/>
      <c r="F215" s="58"/>
      <c r="G215" s="58"/>
      <c r="H215" s="59"/>
      <c r="I215" s="59"/>
      <c r="J215" s="59"/>
      <c r="K215" s="59"/>
      <c r="L215" s="59"/>
      <c r="M215" s="60"/>
      <c r="N215" s="60"/>
      <c r="O215" s="60"/>
      <c r="P215" s="59"/>
      <c r="Q215" s="59"/>
      <c r="R215" s="60"/>
      <c r="S215" s="60"/>
      <c r="T215" s="60"/>
      <c r="U215" s="60"/>
      <c r="V215" s="60"/>
      <c r="W215" s="60"/>
    </row>
    <row r="216" spans="1:23" ht="13" x14ac:dyDescent="0.3">
      <c r="A216" s="58"/>
      <c r="B216" s="58"/>
      <c r="C216" s="58"/>
      <c r="D216" s="58"/>
      <c r="E216" s="58"/>
      <c r="F216" s="58"/>
      <c r="G216" s="58"/>
      <c r="H216" s="59"/>
      <c r="I216" s="59"/>
      <c r="J216" s="59"/>
      <c r="K216" s="59"/>
      <c r="L216" s="59"/>
      <c r="M216" s="60"/>
      <c r="N216" s="60"/>
      <c r="O216" s="60"/>
      <c r="P216" s="59"/>
      <c r="Q216" s="59"/>
      <c r="R216" s="60"/>
      <c r="S216" s="60"/>
      <c r="T216" s="60"/>
      <c r="U216" s="60"/>
      <c r="V216" s="60"/>
      <c r="W216" s="60"/>
    </row>
    <row r="217" spans="1:23" ht="13" x14ac:dyDescent="0.3">
      <c r="A217" s="58"/>
      <c r="B217" s="58"/>
      <c r="C217" s="58"/>
      <c r="D217" s="58"/>
      <c r="E217" s="58"/>
      <c r="F217" s="58"/>
      <c r="G217" s="58"/>
      <c r="H217" s="59"/>
      <c r="I217" s="59"/>
      <c r="J217" s="59"/>
      <c r="K217" s="59"/>
      <c r="L217" s="59"/>
      <c r="M217" s="60"/>
      <c r="N217" s="60"/>
      <c r="O217" s="60"/>
      <c r="P217" s="59"/>
      <c r="Q217" s="59"/>
      <c r="R217" s="60"/>
      <c r="S217" s="60"/>
      <c r="T217" s="60"/>
      <c r="U217" s="60"/>
      <c r="V217" s="60"/>
      <c r="W217" s="60"/>
    </row>
    <row r="218" spans="1:23" ht="13" x14ac:dyDescent="0.3">
      <c r="A218" s="58"/>
      <c r="B218" s="58"/>
      <c r="C218" s="58"/>
      <c r="D218" s="58"/>
      <c r="E218" s="58"/>
      <c r="F218" s="58"/>
      <c r="G218" s="58"/>
      <c r="H218" s="59"/>
      <c r="I218" s="59"/>
      <c r="J218" s="59"/>
      <c r="K218" s="59"/>
      <c r="L218" s="59"/>
      <c r="M218" s="60"/>
      <c r="N218" s="60"/>
      <c r="O218" s="60"/>
      <c r="P218" s="59"/>
      <c r="Q218" s="59"/>
      <c r="R218" s="60"/>
      <c r="S218" s="60"/>
      <c r="T218" s="60"/>
      <c r="U218" s="60"/>
      <c r="V218" s="60"/>
      <c r="W218" s="60"/>
    </row>
    <row r="219" spans="1:23" ht="13" x14ac:dyDescent="0.3">
      <c r="A219" s="58"/>
      <c r="B219" s="58"/>
      <c r="C219" s="58"/>
      <c r="D219" s="58"/>
      <c r="E219" s="58"/>
      <c r="F219" s="58"/>
      <c r="G219" s="58"/>
      <c r="H219" s="59"/>
      <c r="I219" s="59"/>
      <c r="J219" s="59"/>
      <c r="K219" s="59"/>
      <c r="L219" s="59"/>
      <c r="M219" s="60"/>
      <c r="N219" s="60"/>
      <c r="O219" s="60"/>
      <c r="P219" s="59"/>
      <c r="Q219" s="59"/>
      <c r="R219" s="60"/>
      <c r="S219" s="60"/>
      <c r="T219" s="60"/>
      <c r="U219" s="60"/>
      <c r="V219" s="60"/>
      <c r="W219" s="60"/>
    </row>
    <row r="220" spans="1:23" ht="13" x14ac:dyDescent="0.3">
      <c r="A220" s="58"/>
      <c r="B220" s="58"/>
      <c r="C220" s="58"/>
      <c r="D220" s="58"/>
      <c r="E220" s="58"/>
      <c r="F220" s="58"/>
      <c r="G220" s="58"/>
      <c r="H220" s="59"/>
      <c r="I220" s="59"/>
      <c r="J220" s="59"/>
      <c r="K220" s="59"/>
      <c r="L220" s="59"/>
      <c r="M220" s="60"/>
      <c r="N220" s="60"/>
      <c r="O220" s="60"/>
      <c r="P220" s="59"/>
      <c r="Q220" s="59"/>
      <c r="R220" s="60"/>
      <c r="S220" s="60"/>
      <c r="T220" s="60"/>
      <c r="U220" s="60"/>
      <c r="V220" s="60"/>
      <c r="W220" s="60"/>
    </row>
    <row r="221" spans="1:23" ht="13" x14ac:dyDescent="0.3">
      <c r="A221" s="58"/>
      <c r="B221" s="58"/>
      <c r="C221" s="58"/>
      <c r="D221" s="58"/>
      <c r="E221" s="58"/>
      <c r="F221" s="58"/>
      <c r="G221" s="58"/>
      <c r="H221" s="59"/>
      <c r="I221" s="59"/>
      <c r="J221" s="59"/>
      <c r="K221" s="59"/>
      <c r="L221" s="59"/>
      <c r="M221" s="60"/>
      <c r="N221" s="60"/>
      <c r="O221" s="60"/>
      <c r="P221" s="59"/>
      <c r="Q221" s="59"/>
      <c r="R221" s="60"/>
      <c r="S221" s="60"/>
      <c r="T221" s="60"/>
      <c r="U221" s="60"/>
      <c r="V221" s="60"/>
      <c r="W221" s="60"/>
    </row>
    <row r="222" spans="1:23" ht="13" x14ac:dyDescent="0.3">
      <c r="A222" s="58"/>
      <c r="B222" s="58"/>
      <c r="C222" s="58"/>
      <c r="D222" s="58"/>
      <c r="E222" s="58"/>
      <c r="F222" s="58"/>
      <c r="G222" s="58"/>
      <c r="H222" s="59"/>
      <c r="I222" s="59"/>
      <c r="J222" s="59"/>
      <c r="K222" s="59"/>
      <c r="L222" s="59"/>
      <c r="M222" s="60"/>
      <c r="N222" s="60"/>
      <c r="O222" s="60"/>
      <c r="P222" s="59"/>
      <c r="Q222" s="59"/>
      <c r="R222" s="60"/>
      <c r="S222" s="60"/>
      <c r="T222" s="60"/>
      <c r="U222" s="60"/>
      <c r="V222" s="60"/>
      <c r="W222" s="60"/>
    </row>
    <row r="223" spans="1:23" ht="13" x14ac:dyDescent="0.3">
      <c r="A223" s="58"/>
      <c r="B223" s="58"/>
      <c r="C223" s="58"/>
      <c r="D223" s="58"/>
      <c r="E223" s="58"/>
      <c r="F223" s="58"/>
      <c r="G223" s="58"/>
      <c r="H223" s="59"/>
      <c r="I223" s="59"/>
      <c r="J223" s="59"/>
      <c r="K223" s="59"/>
      <c r="L223" s="59"/>
      <c r="M223" s="60"/>
      <c r="N223" s="60"/>
      <c r="O223" s="60"/>
      <c r="P223" s="59"/>
      <c r="Q223" s="59"/>
      <c r="R223" s="60"/>
      <c r="S223" s="60"/>
      <c r="T223" s="60"/>
      <c r="U223" s="60"/>
      <c r="V223" s="60"/>
      <c r="W223" s="60"/>
    </row>
    <row r="224" spans="1:23" ht="13" x14ac:dyDescent="0.3">
      <c r="A224" s="58"/>
      <c r="B224" s="58"/>
      <c r="C224" s="58"/>
      <c r="D224" s="58"/>
      <c r="E224" s="58"/>
      <c r="F224" s="58"/>
      <c r="G224" s="58"/>
      <c r="H224" s="59"/>
      <c r="I224" s="59"/>
      <c r="J224" s="59"/>
      <c r="K224" s="59"/>
      <c r="L224" s="59"/>
      <c r="M224" s="60"/>
      <c r="N224" s="60"/>
      <c r="O224" s="60"/>
      <c r="P224" s="59"/>
      <c r="Q224" s="59"/>
      <c r="R224" s="60"/>
      <c r="S224" s="60"/>
      <c r="T224" s="60"/>
      <c r="U224" s="60"/>
      <c r="V224" s="60"/>
      <c r="W224" s="60"/>
    </row>
    <row r="225" spans="1:23" ht="13" x14ac:dyDescent="0.3">
      <c r="A225" s="58"/>
      <c r="B225" s="58"/>
      <c r="C225" s="58"/>
      <c r="D225" s="58"/>
      <c r="E225" s="58"/>
      <c r="F225" s="58"/>
      <c r="G225" s="58"/>
      <c r="H225" s="59"/>
      <c r="I225" s="59"/>
      <c r="J225" s="59"/>
      <c r="K225" s="59"/>
      <c r="L225" s="59"/>
      <c r="M225" s="60"/>
      <c r="N225" s="60"/>
      <c r="O225" s="60"/>
      <c r="P225" s="59"/>
      <c r="Q225" s="59"/>
      <c r="R225" s="60"/>
      <c r="S225" s="60"/>
      <c r="T225" s="60"/>
      <c r="U225" s="60"/>
      <c r="V225" s="60"/>
      <c r="W225" s="60"/>
    </row>
    <row r="226" spans="1:23" ht="13" x14ac:dyDescent="0.3">
      <c r="A226" s="58"/>
      <c r="B226" s="58"/>
      <c r="C226" s="58"/>
      <c r="D226" s="58"/>
      <c r="E226" s="58"/>
      <c r="F226" s="58"/>
      <c r="G226" s="58"/>
      <c r="H226" s="59"/>
      <c r="I226" s="59"/>
      <c r="J226" s="59"/>
      <c r="K226" s="59"/>
      <c r="L226" s="59"/>
      <c r="M226" s="60"/>
      <c r="N226" s="60"/>
      <c r="O226" s="60"/>
      <c r="P226" s="59"/>
      <c r="Q226" s="59"/>
      <c r="R226" s="60"/>
      <c r="S226" s="60"/>
      <c r="T226" s="60"/>
      <c r="U226" s="60"/>
      <c r="V226" s="60"/>
      <c r="W226" s="60"/>
    </row>
    <row r="227" spans="1:23" ht="13" x14ac:dyDescent="0.3">
      <c r="A227" s="58"/>
      <c r="B227" s="58"/>
      <c r="C227" s="58"/>
      <c r="D227" s="58"/>
      <c r="E227" s="58"/>
      <c r="F227" s="58"/>
      <c r="G227" s="58"/>
      <c r="H227" s="59"/>
      <c r="I227" s="59"/>
      <c r="J227" s="59"/>
      <c r="K227" s="59"/>
      <c r="L227" s="59"/>
      <c r="M227" s="60"/>
      <c r="N227" s="60"/>
      <c r="O227" s="60"/>
      <c r="P227" s="59"/>
      <c r="Q227" s="59"/>
      <c r="R227" s="60"/>
      <c r="S227" s="60"/>
      <c r="T227" s="60"/>
      <c r="U227" s="60"/>
      <c r="V227" s="60"/>
      <c r="W227" s="60"/>
    </row>
    <row r="228" spans="1:23" ht="13" x14ac:dyDescent="0.3">
      <c r="A228" s="58"/>
      <c r="B228" s="58"/>
      <c r="C228" s="58"/>
      <c r="D228" s="58"/>
      <c r="E228" s="58"/>
      <c r="F228" s="58"/>
      <c r="G228" s="58"/>
      <c r="H228" s="59"/>
      <c r="I228" s="59"/>
      <c r="J228" s="59"/>
      <c r="K228" s="59"/>
      <c r="L228" s="59"/>
      <c r="M228" s="60"/>
      <c r="N228" s="60"/>
      <c r="O228" s="60"/>
      <c r="P228" s="59"/>
      <c r="Q228" s="59"/>
      <c r="R228" s="60"/>
      <c r="S228" s="60"/>
      <c r="T228" s="60"/>
      <c r="U228" s="60"/>
      <c r="V228" s="60"/>
      <c r="W228" s="60"/>
    </row>
    <row r="229" spans="1:23" ht="13" x14ac:dyDescent="0.3">
      <c r="A229" s="58"/>
      <c r="B229" s="58"/>
      <c r="C229" s="58"/>
      <c r="D229" s="58"/>
      <c r="E229" s="58"/>
      <c r="F229" s="58"/>
      <c r="G229" s="58"/>
      <c r="H229" s="59"/>
      <c r="I229" s="59"/>
      <c r="J229" s="59"/>
      <c r="K229" s="59"/>
      <c r="L229" s="59"/>
      <c r="M229" s="60"/>
      <c r="N229" s="60"/>
      <c r="O229" s="60"/>
      <c r="P229" s="59"/>
      <c r="Q229" s="59"/>
      <c r="R229" s="60"/>
      <c r="S229" s="60"/>
      <c r="T229" s="60"/>
      <c r="U229" s="60"/>
      <c r="V229" s="60"/>
      <c r="W229" s="60"/>
    </row>
    <row r="230" spans="1:23" ht="13" x14ac:dyDescent="0.3">
      <c r="A230" s="58"/>
      <c r="B230" s="58"/>
      <c r="C230" s="58"/>
      <c r="D230" s="58"/>
      <c r="E230" s="58"/>
      <c r="F230" s="58"/>
      <c r="G230" s="58"/>
      <c r="H230" s="59"/>
      <c r="I230" s="59"/>
      <c r="J230" s="59"/>
      <c r="K230" s="59"/>
      <c r="L230" s="59"/>
      <c r="M230" s="60"/>
      <c r="N230" s="60"/>
      <c r="O230" s="60"/>
      <c r="P230" s="59"/>
      <c r="Q230" s="59"/>
      <c r="R230" s="60"/>
      <c r="S230" s="60"/>
      <c r="T230" s="60"/>
      <c r="U230" s="60"/>
      <c r="V230" s="60"/>
      <c r="W230" s="60"/>
    </row>
    <row r="231" spans="1:23" ht="13" x14ac:dyDescent="0.3">
      <c r="A231" s="58"/>
      <c r="B231" s="58"/>
      <c r="C231" s="58"/>
      <c r="D231" s="58"/>
      <c r="E231" s="58"/>
      <c r="F231" s="58"/>
      <c r="G231" s="58"/>
      <c r="H231" s="59"/>
      <c r="I231" s="59"/>
      <c r="J231" s="59"/>
      <c r="K231" s="59"/>
      <c r="L231" s="59"/>
      <c r="M231" s="60"/>
      <c r="N231" s="60"/>
      <c r="O231" s="60"/>
      <c r="P231" s="59"/>
      <c r="Q231" s="59"/>
      <c r="R231" s="60"/>
      <c r="S231" s="60"/>
      <c r="T231" s="60"/>
      <c r="U231" s="60"/>
      <c r="V231" s="60"/>
      <c r="W231" s="60"/>
    </row>
    <row r="232" spans="1:23" ht="13" x14ac:dyDescent="0.3">
      <c r="A232" s="58"/>
      <c r="B232" s="58"/>
      <c r="C232" s="58"/>
      <c r="D232" s="58"/>
      <c r="E232" s="58"/>
      <c r="F232" s="58"/>
      <c r="G232" s="58"/>
      <c r="H232" s="59"/>
      <c r="I232" s="59"/>
      <c r="J232" s="59"/>
      <c r="K232" s="59"/>
      <c r="L232" s="59"/>
      <c r="M232" s="60"/>
      <c r="N232" s="60"/>
      <c r="O232" s="60"/>
      <c r="P232" s="59"/>
      <c r="Q232" s="59"/>
      <c r="R232" s="60"/>
      <c r="S232" s="60"/>
      <c r="T232" s="60"/>
      <c r="U232" s="60"/>
      <c r="V232" s="60"/>
      <c r="W232" s="60"/>
    </row>
    <row r="233" spans="1:23" ht="13" x14ac:dyDescent="0.3">
      <c r="A233" s="58"/>
      <c r="B233" s="58"/>
      <c r="C233" s="58"/>
      <c r="D233" s="58"/>
      <c r="E233" s="58"/>
      <c r="F233" s="58"/>
      <c r="G233" s="58"/>
      <c r="H233" s="59"/>
      <c r="I233" s="59"/>
      <c r="J233" s="59"/>
      <c r="K233" s="59"/>
      <c r="L233" s="59"/>
      <c r="M233" s="60"/>
      <c r="N233" s="60"/>
      <c r="O233" s="60"/>
      <c r="P233" s="59"/>
      <c r="Q233" s="59"/>
      <c r="R233" s="60"/>
      <c r="S233" s="60"/>
      <c r="T233" s="60"/>
      <c r="U233" s="60"/>
      <c r="V233" s="60"/>
      <c r="W233" s="60"/>
    </row>
    <row r="234" spans="1:23" ht="13" x14ac:dyDescent="0.3">
      <c r="A234" s="58"/>
      <c r="B234" s="58"/>
      <c r="C234" s="58"/>
      <c r="D234" s="58"/>
      <c r="E234" s="58"/>
      <c r="F234" s="58"/>
      <c r="G234" s="58"/>
      <c r="H234" s="59"/>
      <c r="I234" s="59"/>
      <c r="J234" s="59"/>
      <c r="K234" s="59"/>
      <c r="L234" s="59"/>
      <c r="M234" s="60"/>
      <c r="N234" s="60"/>
      <c r="O234" s="60"/>
      <c r="P234" s="59"/>
      <c r="Q234" s="59"/>
      <c r="R234" s="60"/>
      <c r="S234" s="60"/>
      <c r="T234" s="60"/>
      <c r="U234" s="60"/>
      <c r="V234" s="60"/>
      <c r="W234" s="60"/>
    </row>
    <row r="235" spans="1:23" ht="13" x14ac:dyDescent="0.3">
      <c r="A235" s="58"/>
      <c r="B235" s="58"/>
      <c r="C235" s="58"/>
      <c r="D235" s="58"/>
      <c r="E235" s="58"/>
      <c r="F235" s="58"/>
      <c r="G235" s="58"/>
      <c r="H235" s="59"/>
      <c r="I235" s="59"/>
      <c r="J235" s="59"/>
      <c r="K235" s="59"/>
      <c r="L235" s="59"/>
      <c r="M235" s="60"/>
      <c r="N235" s="60"/>
      <c r="O235" s="60"/>
      <c r="P235" s="59"/>
      <c r="Q235" s="59"/>
      <c r="R235" s="60"/>
      <c r="S235" s="60"/>
      <c r="T235" s="60"/>
      <c r="U235" s="60"/>
      <c r="V235" s="60"/>
      <c r="W235" s="60"/>
    </row>
    <row r="236" spans="1:23" ht="13" x14ac:dyDescent="0.3">
      <c r="A236" s="58"/>
      <c r="B236" s="58"/>
      <c r="C236" s="58"/>
      <c r="D236" s="58"/>
      <c r="E236" s="58"/>
      <c r="F236" s="58"/>
      <c r="G236" s="58"/>
      <c r="H236" s="59"/>
      <c r="I236" s="59"/>
      <c r="J236" s="59"/>
      <c r="K236" s="59"/>
      <c r="L236" s="59"/>
      <c r="M236" s="60"/>
      <c r="N236" s="60"/>
      <c r="O236" s="60"/>
      <c r="P236" s="59"/>
      <c r="Q236" s="59"/>
      <c r="R236" s="60"/>
      <c r="S236" s="60"/>
      <c r="T236" s="60"/>
      <c r="U236" s="60"/>
      <c r="V236" s="60"/>
      <c r="W236" s="60"/>
    </row>
    <row r="237" spans="1:23" ht="13" x14ac:dyDescent="0.3">
      <c r="A237" s="58"/>
      <c r="B237" s="58"/>
      <c r="C237" s="58"/>
      <c r="D237" s="58"/>
      <c r="E237" s="58"/>
      <c r="F237" s="58"/>
      <c r="G237" s="58"/>
      <c r="H237" s="59"/>
      <c r="I237" s="59"/>
      <c r="J237" s="59"/>
      <c r="K237" s="59"/>
      <c r="L237" s="59"/>
      <c r="M237" s="60"/>
      <c r="N237" s="60"/>
      <c r="O237" s="60"/>
      <c r="P237" s="59"/>
      <c r="Q237" s="59"/>
      <c r="R237" s="60"/>
      <c r="S237" s="60"/>
      <c r="T237" s="60"/>
      <c r="U237" s="60"/>
      <c r="V237" s="60"/>
      <c r="W237" s="60"/>
    </row>
    <row r="238" spans="1:23" ht="13" x14ac:dyDescent="0.3">
      <c r="A238" s="58"/>
      <c r="B238" s="58"/>
      <c r="C238" s="58"/>
      <c r="D238" s="58"/>
      <c r="E238" s="58"/>
      <c r="F238" s="58"/>
      <c r="G238" s="58"/>
      <c r="H238" s="59"/>
      <c r="I238" s="59"/>
      <c r="J238" s="59"/>
      <c r="K238" s="59"/>
      <c r="L238" s="59"/>
      <c r="M238" s="60"/>
      <c r="N238" s="60"/>
      <c r="O238" s="60"/>
      <c r="P238" s="59"/>
      <c r="Q238" s="59"/>
      <c r="R238" s="60"/>
      <c r="S238" s="60"/>
      <c r="T238" s="60"/>
      <c r="U238" s="60"/>
      <c r="V238" s="60"/>
      <c r="W238" s="60"/>
    </row>
    <row r="239" spans="1:23" ht="13" x14ac:dyDescent="0.3">
      <c r="A239" s="58"/>
      <c r="B239" s="58"/>
      <c r="C239" s="58"/>
      <c r="D239" s="58"/>
      <c r="E239" s="58"/>
      <c r="F239" s="58"/>
      <c r="G239" s="58"/>
      <c r="H239" s="59"/>
      <c r="I239" s="59"/>
      <c r="J239" s="59"/>
      <c r="K239" s="59"/>
      <c r="L239" s="59"/>
      <c r="M239" s="60"/>
      <c r="N239" s="60"/>
      <c r="O239" s="60"/>
      <c r="P239" s="59"/>
      <c r="Q239" s="59"/>
      <c r="R239" s="60"/>
      <c r="S239" s="60"/>
      <c r="T239" s="60"/>
      <c r="U239" s="60"/>
      <c r="V239" s="60"/>
      <c r="W239" s="60"/>
    </row>
    <row r="240" spans="1:23" ht="13" x14ac:dyDescent="0.3">
      <c r="A240" s="58"/>
      <c r="B240" s="58"/>
      <c r="C240" s="58"/>
      <c r="D240" s="58"/>
      <c r="E240" s="58"/>
      <c r="F240" s="58"/>
      <c r="G240" s="58"/>
      <c r="H240" s="59"/>
      <c r="I240" s="59"/>
      <c r="J240" s="59"/>
      <c r="K240" s="59"/>
      <c r="L240" s="59"/>
      <c r="M240" s="60"/>
      <c r="N240" s="60"/>
      <c r="O240" s="60"/>
      <c r="P240" s="59"/>
      <c r="Q240" s="59"/>
      <c r="R240" s="60"/>
      <c r="S240" s="60"/>
      <c r="T240" s="60"/>
      <c r="U240" s="60"/>
      <c r="V240" s="60"/>
      <c r="W240" s="60"/>
    </row>
    <row r="241" spans="1:23" ht="13" x14ac:dyDescent="0.3">
      <c r="A241" s="58"/>
      <c r="B241" s="58"/>
      <c r="C241" s="58"/>
      <c r="D241" s="58"/>
      <c r="E241" s="58"/>
      <c r="F241" s="58"/>
      <c r="G241" s="58"/>
      <c r="H241" s="59"/>
      <c r="I241" s="59"/>
      <c r="J241" s="59"/>
      <c r="K241" s="59"/>
      <c r="L241" s="59"/>
      <c r="M241" s="60"/>
      <c r="N241" s="60"/>
      <c r="O241" s="60"/>
      <c r="P241" s="59"/>
      <c r="Q241" s="59"/>
      <c r="R241" s="60"/>
      <c r="S241" s="60"/>
      <c r="T241" s="60"/>
      <c r="U241" s="60"/>
      <c r="V241" s="60"/>
      <c r="W241" s="60"/>
    </row>
    <row r="242" spans="1:23" ht="13" x14ac:dyDescent="0.3">
      <c r="A242" s="58"/>
      <c r="B242" s="58"/>
      <c r="C242" s="58"/>
      <c r="D242" s="58"/>
      <c r="E242" s="58"/>
      <c r="F242" s="58"/>
      <c r="G242" s="58"/>
      <c r="H242" s="59"/>
      <c r="I242" s="59"/>
      <c r="J242" s="59"/>
      <c r="K242" s="59"/>
      <c r="L242" s="59"/>
      <c r="M242" s="60"/>
      <c r="N242" s="60"/>
      <c r="O242" s="60"/>
      <c r="P242" s="59"/>
      <c r="Q242" s="59"/>
      <c r="R242" s="60"/>
      <c r="S242" s="60"/>
      <c r="T242" s="60"/>
      <c r="U242" s="60"/>
      <c r="V242" s="60"/>
      <c r="W242" s="60"/>
    </row>
    <row r="243" spans="1:23" ht="13" x14ac:dyDescent="0.3">
      <c r="A243" s="58"/>
      <c r="B243" s="58"/>
      <c r="C243" s="58"/>
      <c r="D243" s="58"/>
      <c r="E243" s="58"/>
      <c r="F243" s="58"/>
      <c r="G243" s="58"/>
      <c r="H243" s="59"/>
      <c r="I243" s="59"/>
      <c r="J243" s="59"/>
      <c r="K243" s="59"/>
      <c r="L243" s="59"/>
      <c r="M243" s="60"/>
      <c r="N243" s="60"/>
      <c r="O243" s="60"/>
      <c r="P243" s="59"/>
      <c r="Q243" s="59"/>
      <c r="R243" s="60"/>
      <c r="S243" s="60"/>
      <c r="T243" s="60"/>
      <c r="U243" s="60"/>
      <c r="V243" s="60"/>
      <c r="W243" s="60"/>
    </row>
    <row r="244" spans="1:23" ht="13" x14ac:dyDescent="0.3">
      <c r="A244" s="58"/>
      <c r="B244" s="58"/>
      <c r="C244" s="58"/>
      <c r="D244" s="58"/>
      <c r="E244" s="58"/>
      <c r="F244" s="58"/>
      <c r="G244" s="58"/>
      <c r="H244" s="59"/>
      <c r="I244" s="59"/>
      <c r="J244" s="59"/>
      <c r="K244" s="59"/>
      <c r="L244" s="59"/>
      <c r="M244" s="60"/>
      <c r="N244" s="60"/>
      <c r="O244" s="60"/>
      <c r="P244" s="59"/>
      <c r="Q244" s="59"/>
      <c r="R244" s="60"/>
      <c r="S244" s="60"/>
      <c r="T244" s="60"/>
      <c r="U244" s="60"/>
      <c r="V244" s="60"/>
      <c r="W244" s="60"/>
    </row>
    <row r="245" spans="1:23" ht="13" x14ac:dyDescent="0.3">
      <c r="A245" s="58"/>
      <c r="B245" s="58"/>
      <c r="C245" s="58"/>
      <c r="D245" s="58"/>
      <c r="E245" s="58"/>
      <c r="F245" s="58"/>
      <c r="G245" s="58"/>
      <c r="H245" s="59"/>
      <c r="I245" s="59"/>
      <c r="J245" s="59"/>
      <c r="K245" s="59"/>
      <c r="L245" s="59"/>
      <c r="M245" s="60"/>
      <c r="N245" s="60"/>
      <c r="O245" s="60"/>
      <c r="P245" s="59"/>
      <c r="Q245" s="59"/>
      <c r="R245" s="60"/>
      <c r="S245" s="60"/>
      <c r="T245" s="60"/>
      <c r="U245" s="60"/>
      <c r="V245" s="60"/>
      <c r="W245" s="60"/>
    </row>
    <row r="246" spans="1:23" ht="13" x14ac:dyDescent="0.3">
      <c r="A246" s="58"/>
      <c r="B246" s="58"/>
      <c r="C246" s="58"/>
      <c r="D246" s="58"/>
      <c r="E246" s="58"/>
      <c r="F246" s="58"/>
      <c r="G246" s="58"/>
      <c r="H246" s="59"/>
      <c r="I246" s="59"/>
      <c r="J246" s="59"/>
      <c r="K246" s="59"/>
      <c r="L246" s="59"/>
      <c r="M246" s="60"/>
      <c r="N246" s="60"/>
      <c r="O246" s="60"/>
      <c r="P246" s="59"/>
      <c r="Q246" s="59"/>
      <c r="R246" s="60"/>
      <c r="S246" s="60"/>
      <c r="T246" s="60"/>
      <c r="U246" s="60"/>
      <c r="V246" s="60"/>
      <c r="W246" s="60"/>
    </row>
    <row r="247" spans="1:23" ht="13" x14ac:dyDescent="0.3">
      <c r="A247" s="58"/>
      <c r="B247" s="58"/>
      <c r="C247" s="58"/>
      <c r="D247" s="58"/>
      <c r="E247" s="58"/>
      <c r="F247" s="58"/>
      <c r="G247" s="58"/>
      <c r="H247" s="59"/>
      <c r="I247" s="59"/>
      <c r="J247" s="59"/>
      <c r="K247" s="59"/>
      <c r="L247" s="59"/>
      <c r="M247" s="60"/>
      <c r="N247" s="60"/>
      <c r="O247" s="60"/>
      <c r="P247" s="59"/>
      <c r="Q247" s="59"/>
      <c r="R247" s="60"/>
      <c r="S247" s="60"/>
      <c r="T247" s="60"/>
      <c r="U247" s="60"/>
      <c r="V247" s="60"/>
      <c r="W247" s="60"/>
    </row>
    <row r="248" spans="1:23" ht="13" x14ac:dyDescent="0.3">
      <c r="A248" s="58"/>
      <c r="B248" s="58"/>
      <c r="C248" s="58"/>
      <c r="D248" s="58"/>
      <c r="E248" s="58"/>
      <c r="F248" s="58"/>
      <c r="G248" s="58"/>
      <c r="H248" s="59"/>
      <c r="I248" s="59"/>
      <c r="J248" s="59"/>
      <c r="K248" s="59"/>
      <c r="L248" s="59"/>
      <c r="M248" s="60"/>
      <c r="N248" s="60"/>
      <c r="O248" s="60"/>
      <c r="P248" s="59"/>
      <c r="Q248" s="59"/>
      <c r="R248" s="60"/>
      <c r="S248" s="60"/>
      <c r="T248" s="60"/>
      <c r="U248" s="60"/>
      <c r="V248" s="60"/>
      <c r="W248" s="60"/>
    </row>
    <row r="249" spans="1:23" ht="13" x14ac:dyDescent="0.3">
      <c r="A249" s="58"/>
      <c r="B249" s="58"/>
      <c r="C249" s="58"/>
      <c r="D249" s="58"/>
      <c r="E249" s="58"/>
      <c r="F249" s="58"/>
      <c r="G249" s="58"/>
      <c r="H249" s="59"/>
      <c r="I249" s="59"/>
      <c r="J249" s="59"/>
      <c r="K249" s="59"/>
      <c r="L249" s="59"/>
      <c r="M249" s="60"/>
      <c r="N249" s="60"/>
      <c r="O249" s="60"/>
      <c r="P249" s="59"/>
      <c r="Q249" s="59"/>
      <c r="R249" s="60"/>
      <c r="S249" s="60"/>
      <c r="T249" s="60"/>
      <c r="U249" s="60"/>
      <c r="V249" s="60"/>
      <c r="W249" s="60"/>
    </row>
    <row r="250" spans="1:23" ht="13" x14ac:dyDescent="0.3">
      <c r="A250" s="58"/>
      <c r="B250" s="58"/>
      <c r="C250" s="58"/>
      <c r="D250" s="58"/>
      <c r="E250" s="58"/>
      <c r="F250" s="58"/>
      <c r="G250" s="58"/>
      <c r="H250" s="59"/>
      <c r="I250" s="59"/>
      <c r="J250" s="59"/>
      <c r="K250" s="59"/>
      <c r="L250" s="59"/>
      <c r="M250" s="60"/>
      <c r="N250" s="60"/>
      <c r="O250" s="60"/>
      <c r="P250" s="59"/>
      <c r="Q250" s="59"/>
      <c r="R250" s="60"/>
      <c r="S250" s="60"/>
      <c r="T250" s="60"/>
      <c r="U250" s="60"/>
      <c r="V250" s="60"/>
      <c r="W250" s="60"/>
    </row>
    <row r="251" spans="1:23" ht="13" x14ac:dyDescent="0.3">
      <c r="A251" s="58"/>
      <c r="B251" s="58"/>
      <c r="C251" s="58"/>
      <c r="D251" s="58"/>
      <c r="E251" s="58"/>
      <c r="F251" s="58"/>
      <c r="G251" s="58"/>
      <c r="H251" s="59"/>
      <c r="I251" s="59"/>
      <c r="J251" s="59"/>
      <c r="K251" s="59"/>
      <c r="L251" s="59"/>
      <c r="M251" s="60"/>
      <c r="N251" s="60"/>
      <c r="O251" s="60"/>
      <c r="P251" s="59"/>
      <c r="Q251" s="59"/>
      <c r="R251" s="60"/>
      <c r="S251" s="60"/>
      <c r="T251" s="60"/>
      <c r="U251" s="60"/>
      <c r="V251" s="60"/>
      <c r="W251" s="60"/>
    </row>
    <row r="252" spans="1:23" ht="13" x14ac:dyDescent="0.3">
      <c r="A252" s="58"/>
      <c r="B252" s="58"/>
      <c r="C252" s="58"/>
      <c r="D252" s="58"/>
      <c r="E252" s="58"/>
      <c r="F252" s="58"/>
      <c r="G252" s="58"/>
      <c r="H252" s="59"/>
      <c r="I252" s="59"/>
      <c r="J252" s="59"/>
      <c r="K252" s="59"/>
      <c r="L252" s="59"/>
      <c r="M252" s="60"/>
      <c r="N252" s="60"/>
      <c r="O252" s="60"/>
      <c r="P252" s="59"/>
      <c r="Q252" s="59"/>
      <c r="R252" s="60"/>
      <c r="S252" s="60"/>
      <c r="T252" s="60"/>
      <c r="U252" s="60"/>
      <c r="V252" s="60"/>
      <c r="W252" s="60"/>
    </row>
    <row r="253" spans="1:23" ht="13" x14ac:dyDescent="0.3">
      <c r="A253" s="58"/>
      <c r="B253" s="58"/>
      <c r="C253" s="58"/>
      <c r="D253" s="58"/>
      <c r="E253" s="58"/>
      <c r="F253" s="58"/>
      <c r="G253" s="58"/>
      <c r="H253" s="59"/>
      <c r="I253" s="59"/>
      <c r="J253" s="59"/>
      <c r="K253" s="59"/>
      <c r="L253" s="59"/>
      <c r="M253" s="60"/>
      <c r="N253" s="60"/>
      <c r="O253" s="60"/>
      <c r="P253" s="59"/>
      <c r="Q253" s="59"/>
      <c r="R253" s="60"/>
      <c r="S253" s="60"/>
      <c r="T253" s="60"/>
      <c r="U253" s="60"/>
      <c r="V253" s="60"/>
      <c r="W253" s="60"/>
    </row>
    <row r="254" spans="1:23" ht="13" x14ac:dyDescent="0.3">
      <c r="A254" s="58"/>
      <c r="B254" s="58"/>
      <c r="C254" s="58"/>
      <c r="D254" s="58"/>
      <c r="E254" s="58"/>
      <c r="F254" s="58"/>
      <c r="G254" s="58"/>
      <c r="H254" s="59"/>
      <c r="I254" s="59"/>
      <c r="J254" s="59"/>
      <c r="K254" s="59"/>
      <c r="L254" s="59"/>
      <c r="M254" s="60"/>
      <c r="N254" s="60"/>
      <c r="O254" s="60"/>
      <c r="P254" s="59"/>
      <c r="Q254" s="59"/>
      <c r="R254" s="60"/>
      <c r="S254" s="60"/>
      <c r="T254" s="60"/>
      <c r="U254" s="60"/>
      <c r="V254" s="60"/>
      <c r="W254" s="60"/>
    </row>
    <row r="255" spans="1:23" ht="13" x14ac:dyDescent="0.3">
      <c r="A255" s="58"/>
      <c r="B255" s="58"/>
      <c r="C255" s="58"/>
      <c r="D255" s="58"/>
      <c r="E255" s="58"/>
      <c r="F255" s="58"/>
      <c r="G255" s="58"/>
      <c r="H255" s="59"/>
      <c r="I255" s="59"/>
      <c r="J255" s="59"/>
      <c r="K255" s="59"/>
      <c r="L255" s="59"/>
      <c r="M255" s="60"/>
      <c r="N255" s="60"/>
      <c r="O255" s="60"/>
      <c r="P255" s="59"/>
      <c r="Q255" s="59"/>
      <c r="R255" s="60"/>
      <c r="S255" s="60"/>
      <c r="T255" s="60"/>
      <c r="U255" s="60"/>
      <c r="V255" s="60"/>
      <c r="W255" s="60"/>
    </row>
    <row r="256" spans="1:23" ht="13" x14ac:dyDescent="0.3">
      <c r="A256" s="58"/>
      <c r="B256" s="58"/>
      <c r="C256" s="58"/>
      <c r="D256" s="58"/>
      <c r="E256" s="58"/>
      <c r="F256" s="58"/>
      <c r="G256" s="58"/>
      <c r="H256" s="59"/>
      <c r="I256" s="59"/>
      <c r="J256" s="59"/>
      <c r="K256" s="59"/>
      <c r="L256" s="59"/>
      <c r="M256" s="60"/>
      <c r="N256" s="60"/>
      <c r="O256" s="60"/>
      <c r="P256" s="59"/>
      <c r="Q256" s="59"/>
      <c r="R256" s="60"/>
      <c r="S256" s="60"/>
      <c r="T256" s="60"/>
      <c r="U256" s="60"/>
      <c r="V256" s="60"/>
      <c r="W256" s="60"/>
    </row>
    <row r="257" spans="1:23" ht="13" x14ac:dyDescent="0.3">
      <c r="A257" s="58"/>
      <c r="B257" s="58"/>
      <c r="C257" s="58"/>
      <c r="D257" s="58"/>
      <c r="E257" s="58"/>
      <c r="F257" s="58"/>
      <c r="G257" s="58"/>
      <c r="H257" s="59"/>
      <c r="I257" s="59"/>
      <c r="J257" s="59"/>
      <c r="K257" s="59"/>
      <c r="L257" s="59"/>
      <c r="M257" s="60"/>
      <c r="N257" s="60"/>
      <c r="O257" s="60"/>
      <c r="P257" s="59"/>
      <c r="Q257" s="59"/>
      <c r="R257" s="60"/>
      <c r="S257" s="60"/>
      <c r="T257" s="60"/>
      <c r="U257" s="60"/>
      <c r="V257" s="60"/>
      <c r="W257" s="60"/>
    </row>
    <row r="258" spans="1:23" ht="13" x14ac:dyDescent="0.3">
      <c r="A258" s="58"/>
      <c r="B258" s="58"/>
      <c r="C258" s="58"/>
      <c r="D258" s="58"/>
      <c r="E258" s="58"/>
      <c r="F258" s="58"/>
      <c r="G258" s="58"/>
      <c r="H258" s="59"/>
      <c r="I258" s="59"/>
      <c r="J258" s="59"/>
      <c r="K258" s="59"/>
      <c r="L258" s="59"/>
      <c r="M258" s="60"/>
      <c r="N258" s="60"/>
      <c r="O258" s="60"/>
      <c r="P258" s="59"/>
      <c r="Q258" s="59"/>
      <c r="R258" s="60"/>
      <c r="S258" s="60"/>
      <c r="T258" s="60"/>
      <c r="U258" s="60"/>
      <c r="V258" s="60"/>
      <c r="W258" s="60"/>
    </row>
    <row r="259" spans="1:23" ht="13" x14ac:dyDescent="0.3">
      <c r="A259" s="58"/>
      <c r="B259" s="58"/>
      <c r="C259" s="58"/>
      <c r="D259" s="58"/>
      <c r="E259" s="58"/>
      <c r="F259" s="58"/>
      <c r="G259" s="58"/>
      <c r="H259" s="59"/>
      <c r="I259" s="59"/>
      <c r="J259" s="59"/>
      <c r="K259" s="59"/>
      <c r="L259" s="59"/>
      <c r="M259" s="60"/>
      <c r="N259" s="60"/>
      <c r="O259" s="60"/>
      <c r="P259" s="59"/>
      <c r="Q259" s="59"/>
      <c r="R259" s="60"/>
      <c r="S259" s="60"/>
      <c r="T259" s="60"/>
      <c r="U259" s="60"/>
      <c r="V259" s="60"/>
      <c r="W259" s="60"/>
    </row>
    <row r="260" spans="1:23" ht="13" x14ac:dyDescent="0.3">
      <c r="A260" s="58"/>
      <c r="B260" s="58"/>
      <c r="C260" s="58"/>
      <c r="D260" s="58"/>
      <c r="E260" s="58"/>
      <c r="F260" s="58"/>
      <c r="G260" s="58"/>
      <c r="H260" s="59"/>
      <c r="I260" s="59"/>
      <c r="J260" s="59"/>
      <c r="K260" s="59"/>
      <c r="L260" s="59"/>
      <c r="M260" s="60"/>
      <c r="N260" s="60"/>
      <c r="O260" s="60"/>
      <c r="P260" s="59"/>
      <c r="Q260" s="59"/>
      <c r="R260" s="60"/>
      <c r="S260" s="60"/>
      <c r="T260" s="60"/>
      <c r="U260" s="60"/>
      <c r="V260" s="60"/>
      <c r="W260" s="60"/>
    </row>
    <row r="261" spans="1:23" ht="13" x14ac:dyDescent="0.3">
      <c r="A261" s="58"/>
      <c r="B261" s="58"/>
      <c r="C261" s="58"/>
      <c r="D261" s="58"/>
      <c r="E261" s="58"/>
      <c r="F261" s="58"/>
      <c r="G261" s="58"/>
      <c r="H261" s="59"/>
      <c r="I261" s="59"/>
      <c r="J261" s="59"/>
      <c r="K261" s="59"/>
      <c r="L261" s="59"/>
      <c r="M261" s="60"/>
      <c r="N261" s="60"/>
      <c r="O261" s="60"/>
      <c r="P261" s="59"/>
      <c r="Q261" s="59"/>
      <c r="R261" s="60"/>
      <c r="S261" s="60"/>
      <c r="T261" s="60"/>
      <c r="U261" s="60"/>
      <c r="V261" s="60"/>
      <c r="W261" s="60"/>
    </row>
    <row r="262" spans="1:23" ht="13" x14ac:dyDescent="0.3">
      <c r="A262" s="58"/>
      <c r="B262" s="58"/>
      <c r="C262" s="58"/>
      <c r="D262" s="58"/>
      <c r="E262" s="58"/>
      <c r="F262" s="58"/>
      <c r="G262" s="58"/>
      <c r="H262" s="59"/>
      <c r="I262" s="59"/>
      <c r="J262" s="59"/>
      <c r="K262" s="59"/>
      <c r="L262" s="59"/>
      <c r="M262" s="60"/>
      <c r="N262" s="60"/>
      <c r="O262" s="60"/>
      <c r="P262" s="59"/>
      <c r="Q262" s="59"/>
      <c r="R262" s="60"/>
      <c r="S262" s="60"/>
      <c r="T262" s="60"/>
      <c r="U262" s="60"/>
      <c r="V262" s="60"/>
      <c r="W262" s="60"/>
    </row>
    <row r="263" spans="1:23" ht="13" x14ac:dyDescent="0.3">
      <c r="A263" s="58"/>
      <c r="B263" s="58"/>
      <c r="C263" s="58"/>
      <c r="D263" s="58"/>
      <c r="E263" s="58"/>
      <c r="F263" s="58"/>
      <c r="G263" s="58"/>
      <c r="H263" s="59"/>
      <c r="I263" s="59"/>
      <c r="J263" s="59"/>
      <c r="K263" s="59"/>
      <c r="L263" s="59"/>
      <c r="M263" s="60"/>
      <c r="N263" s="60"/>
      <c r="O263" s="60"/>
      <c r="P263" s="59"/>
      <c r="Q263" s="59"/>
      <c r="R263" s="60"/>
      <c r="S263" s="60"/>
      <c r="T263" s="60"/>
      <c r="U263" s="60"/>
      <c r="V263" s="60"/>
      <c r="W263" s="60"/>
    </row>
    <row r="264" spans="1:23" ht="13" x14ac:dyDescent="0.3">
      <c r="A264" s="58"/>
      <c r="B264" s="58"/>
      <c r="C264" s="58"/>
      <c r="D264" s="58"/>
      <c r="E264" s="58"/>
      <c r="F264" s="58"/>
      <c r="G264" s="58"/>
      <c r="H264" s="59"/>
      <c r="I264" s="59"/>
      <c r="J264" s="59"/>
      <c r="K264" s="59"/>
      <c r="L264" s="59"/>
      <c r="M264" s="60"/>
      <c r="N264" s="60"/>
      <c r="O264" s="60"/>
      <c r="P264" s="59"/>
      <c r="Q264" s="59"/>
      <c r="R264" s="60"/>
      <c r="S264" s="60"/>
      <c r="T264" s="60"/>
      <c r="U264" s="60"/>
      <c r="V264" s="60"/>
      <c r="W264" s="60"/>
    </row>
    <row r="265" spans="1:23" ht="13" x14ac:dyDescent="0.3">
      <c r="A265" s="58"/>
      <c r="B265" s="58"/>
      <c r="C265" s="58"/>
      <c r="D265" s="58"/>
      <c r="E265" s="58"/>
      <c r="F265" s="58"/>
      <c r="G265" s="58"/>
      <c r="H265" s="59"/>
      <c r="I265" s="59"/>
      <c r="J265" s="59"/>
      <c r="K265" s="59"/>
      <c r="L265" s="59"/>
      <c r="M265" s="60"/>
      <c r="N265" s="60"/>
      <c r="O265" s="60"/>
      <c r="P265" s="59"/>
      <c r="Q265" s="59"/>
      <c r="R265" s="60"/>
      <c r="S265" s="60"/>
      <c r="T265" s="60"/>
      <c r="U265" s="60"/>
      <c r="V265" s="60"/>
      <c r="W265" s="60"/>
    </row>
    <row r="266" spans="1:23" ht="13" x14ac:dyDescent="0.3">
      <c r="A266" s="58"/>
      <c r="B266" s="58"/>
      <c r="C266" s="58"/>
      <c r="D266" s="58"/>
      <c r="E266" s="58"/>
      <c r="F266" s="58"/>
      <c r="G266" s="58"/>
      <c r="H266" s="59"/>
      <c r="I266" s="59"/>
      <c r="J266" s="59"/>
      <c r="K266" s="59"/>
      <c r="L266" s="59"/>
      <c r="M266" s="60"/>
      <c r="N266" s="60"/>
      <c r="O266" s="60"/>
      <c r="P266" s="59"/>
      <c r="Q266" s="59"/>
      <c r="R266" s="60"/>
      <c r="S266" s="60"/>
      <c r="T266" s="60"/>
      <c r="U266" s="60"/>
      <c r="V266" s="60"/>
      <c r="W266" s="60"/>
    </row>
    <row r="267" spans="1:23" ht="13" x14ac:dyDescent="0.3">
      <c r="A267" s="58"/>
      <c r="B267" s="58"/>
      <c r="C267" s="58"/>
      <c r="D267" s="58"/>
      <c r="E267" s="58"/>
      <c r="F267" s="58"/>
      <c r="G267" s="58"/>
      <c r="H267" s="59"/>
      <c r="I267" s="59"/>
      <c r="J267" s="59"/>
      <c r="K267" s="59"/>
      <c r="L267" s="59"/>
      <c r="M267" s="60"/>
      <c r="N267" s="60"/>
      <c r="O267" s="60"/>
      <c r="P267" s="59"/>
      <c r="Q267" s="59"/>
      <c r="R267" s="60"/>
      <c r="S267" s="60"/>
      <c r="T267" s="60"/>
      <c r="U267" s="60"/>
      <c r="V267" s="60"/>
      <c r="W267" s="60"/>
    </row>
    <row r="268" spans="1:23" ht="13" x14ac:dyDescent="0.3">
      <c r="A268" s="58"/>
      <c r="B268" s="58"/>
      <c r="C268" s="58"/>
      <c r="D268" s="58"/>
      <c r="E268" s="58"/>
      <c r="F268" s="58"/>
      <c r="G268" s="58"/>
      <c r="H268" s="59"/>
      <c r="I268" s="59"/>
      <c r="J268" s="59"/>
      <c r="K268" s="59"/>
      <c r="L268" s="59"/>
      <c r="M268" s="60"/>
      <c r="N268" s="60"/>
      <c r="O268" s="60"/>
      <c r="P268" s="59"/>
      <c r="Q268" s="59"/>
      <c r="R268" s="60"/>
      <c r="S268" s="60"/>
      <c r="T268" s="60"/>
      <c r="U268" s="60"/>
      <c r="V268" s="60"/>
      <c r="W268" s="60"/>
    </row>
    <row r="269" spans="1:23" ht="13" x14ac:dyDescent="0.3">
      <c r="A269" s="58"/>
      <c r="B269" s="58"/>
      <c r="C269" s="58"/>
      <c r="D269" s="58"/>
      <c r="E269" s="58"/>
      <c r="F269" s="58"/>
      <c r="G269" s="58"/>
      <c r="H269" s="59"/>
      <c r="I269" s="59"/>
      <c r="J269" s="59"/>
      <c r="K269" s="59"/>
      <c r="L269" s="59"/>
      <c r="M269" s="60"/>
      <c r="N269" s="60"/>
      <c r="O269" s="60"/>
      <c r="P269" s="59"/>
      <c r="Q269" s="59"/>
      <c r="R269" s="60"/>
      <c r="S269" s="60"/>
      <c r="T269" s="60"/>
      <c r="U269" s="60"/>
      <c r="V269" s="60"/>
      <c r="W269" s="60"/>
    </row>
    <row r="270" spans="1:23" ht="13" x14ac:dyDescent="0.3">
      <c r="A270" s="58"/>
      <c r="B270" s="58"/>
      <c r="C270" s="58"/>
      <c r="D270" s="58"/>
      <c r="E270" s="58"/>
      <c r="F270" s="58"/>
      <c r="G270" s="58"/>
      <c r="H270" s="59"/>
      <c r="I270" s="59"/>
      <c r="J270" s="59"/>
      <c r="K270" s="59"/>
      <c r="L270" s="59"/>
      <c r="M270" s="60"/>
      <c r="N270" s="60"/>
      <c r="O270" s="60"/>
      <c r="P270" s="59"/>
      <c r="Q270" s="59"/>
      <c r="R270" s="60"/>
      <c r="S270" s="60"/>
      <c r="T270" s="60"/>
      <c r="U270" s="60"/>
      <c r="V270" s="60"/>
      <c r="W270" s="60"/>
    </row>
    <row r="271" spans="1:23" ht="13" x14ac:dyDescent="0.3">
      <c r="A271" s="58"/>
      <c r="B271" s="58"/>
      <c r="C271" s="58"/>
      <c r="D271" s="58"/>
      <c r="E271" s="58"/>
      <c r="F271" s="58"/>
      <c r="G271" s="58"/>
      <c r="H271" s="59"/>
      <c r="I271" s="59"/>
      <c r="J271" s="59"/>
      <c r="K271" s="59"/>
      <c r="L271" s="59"/>
      <c r="M271" s="60"/>
      <c r="N271" s="60"/>
      <c r="O271" s="60"/>
      <c r="P271" s="59"/>
      <c r="Q271" s="59"/>
      <c r="R271" s="60"/>
      <c r="S271" s="60"/>
      <c r="T271" s="60"/>
      <c r="U271" s="60"/>
      <c r="V271" s="60"/>
      <c r="W271" s="60"/>
    </row>
    <row r="272" spans="1:23" ht="13" x14ac:dyDescent="0.3">
      <c r="A272" s="58"/>
      <c r="B272" s="58"/>
      <c r="C272" s="58"/>
      <c r="D272" s="58"/>
      <c r="E272" s="58"/>
      <c r="F272" s="58"/>
      <c r="G272" s="58"/>
      <c r="H272" s="59"/>
      <c r="I272" s="59"/>
      <c r="J272" s="59"/>
      <c r="K272" s="59"/>
      <c r="L272" s="59"/>
      <c r="M272" s="60"/>
      <c r="N272" s="60"/>
      <c r="O272" s="60"/>
      <c r="P272" s="59"/>
      <c r="Q272" s="59"/>
      <c r="R272" s="60"/>
      <c r="S272" s="60"/>
      <c r="T272" s="60"/>
      <c r="U272" s="60"/>
      <c r="V272" s="60"/>
      <c r="W272" s="60"/>
    </row>
    <row r="273" spans="1:23" ht="13" x14ac:dyDescent="0.3">
      <c r="A273" s="58"/>
      <c r="B273" s="58"/>
      <c r="C273" s="58"/>
      <c r="D273" s="58"/>
      <c r="E273" s="58"/>
      <c r="F273" s="58"/>
      <c r="G273" s="58"/>
      <c r="H273" s="59"/>
      <c r="I273" s="59"/>
      <c r="J273" s="59"/>
      <c r="K273" s="59"/>
      <c r="L273" s="59"/>
      <c r="M273" s="60"/>
      <c r="N273" s="60"/>
      <c r="O273" s="60"/>
      <c r="P273" s="59"/>
      <c r="Q273" s="59"/>
      <c r="R273" s="60"/>
      <c r="S273" s="60"/>
      <c r="T273" s="60"/>
      <c r="U273" s="60"/>
      <c r="V273" s="60"/>
      <c r="W273" s="60"/>
    </row>
    <row r="274" spans="1:23" ht="13" x14ac:dyDescent="0.3">
      <c r="A274" s="58"/>
      <c r="B274" s="58"/>
      <c r="C274" s="58"/>
      <c r="D274" s="58"/>
      <c r="E274" s="58"/>
      <c r="F274" s="58"/>
      <c r="G274" s="58"/>
      <c r="H274" s="59"/>
      <c r="I274" s="59"/>
      <c r="J274" s="59"/>
      <c r="K274" s="59"/>
      <c r="L274" s="59"/>
      <c r="M274" s="60"/>
      <c r="N274" s="60"/>
      <c r="O274" s="60"/>
      <c r="P274" s="59"/>
      <c r="Q274" s="59"/>
      <c r="R274" s="60"/>
      <c r="S274" s="60"/>
      <c r="T274" s="60"/>
      <c r="U274" s="60"/>
      <c r="V274" s="60"/>
      <c r="W274" s="60"/>
    </row>
    <row r="275" spans="1:23" ht="13" x14ac:dyDescent="0.3">
      <c r="A275" s="58"/>
      <c r="B275" s="58"/>
      <c r="C275" s="58"/>
      <c r="D275" s="58"/>
      <c r="E275" s="58"/>
      <c r="F275" s="58"/>
      <c r="G275" s="58"/>
      <c r="H275" s="59"/>
      <c r="I275" s="59"/>
      <c r="J275" s="59"/>
      <c r="K275" s="59"/>
      <c r="L275" s="59"/>
      <c r="M275" s="60"/>
      <c r="N275" s="60"/>
      <c r="O275" s="60"/>
      <c r="P275" s="59"/>
      <c r="Q275" s="59"/>
      <c r="R275" s="60"/>
      <c r="S275" s="60"/>
      <c r="T275" s="60"/>
      <c r="U275" s="60"/>
      <c r="V275" s="60"/>
      <c r="W275" s="60"/>
    </row>
    <row r="276" spans="1:23" ht="13" x14ac:dyDescent="0.3">
      <c r="A276" s="58"/>
      <c r="B276" s="58"/>
      <c r="C276" s="58"/>
      <c r="D276" s="58"/>
      <c r="E276" s="58"/>
      <c r="F276" s="58"/>
      <c r="G276" s="58"/>
      <c r="H276" s="59"/>
      <c r="I276" s="59"/>
      <c r="J276" s="59"/>
      <c r="K276" s="59"/>
      <c r="L276" s="59"/>
      <c r="M276" s="60"/>
      <c r="N276" s="60"/>
      <c r="O276" s="60"/>
      <c r="P276" s="59"/>
      <c r="Q276" s="59"/>
      <c r="R276" s="60"/>
      <c r="S276" s="60"/>
      <c r="T276" s="60"/>
      <c r="U276" s="60"/>
      <c r="V276" s="60"/>
      <c r="W276" s="60"/>
    </row>
    <row r="277" spans="1:23" ht="13" x14ac:dyDescent="0.3">
      <c r="A277" s="58"/>
      <c r="B277" s="58"/>
      <c r="C277" s="58"/>
      <c r="D277" s="58"/>
      <c r="E277" s="58"/>
      <c r="F277" s="58"/>
      <c r="G277" s="58"/>
      <c r="H277" s="59"/>
      <c r="I277" s="59"/>
      <c r="J277" s="59"/>
      <c r="K277" s="59"/>
      <c r="L277" s="59"/>
      <c r="M277" s="60"/>
      <c r="N277" s="60"/>
      <c r="O277" s="60"/>
      <c r="P277" s="59"/>
      <c r="Q277" s="59"/>
      <c r="R277" s="60"/>
      <c r="S277" s="60"/>
      <c r="T277" s="60"/>
      <c r="U277" s="60"/>
      <c r="V277" s="60"/>
      <c r="W277" s="60"/>
    </row>
    <row r="278" spans="1:23" ht="13" x14ac:dyDescent="0.3">
      <c r="A278" s="58"/>
      <c r="B278" s="58"/>
      <c r="C278" s="58"/>
      <c r="D278" s="58"/>
      <c r="E278" s="58"/>
      <c r="F278" s="58"/>
      <c r="G278" s="58"/>
      <c r="H278" s="59"/>
      <c r="I278" s="59"/>
      <c r="J278" s="59"/>
      <c r="K278" s="59"/>
      <c r="L278" s="59"/>
      <c r="M278" s="60"/>
      <c r="N278" s="60"/>
      <c r="O278" s="60"/>
      <c r="P278" s="59"/>
      <c r="Q278" s="59"/>
      <c r="R278" s="60"/>
      <c r="S278" s="60"/>
      <c r="T278" s="60"/>
      <c r="U278" s="60"/>
      <c r="V278" s="60"/>
      <c r="W278" s="60"/>
    </row>
    <row r="279" spans="1:23" ht="13" x14ac:dyDescent="0.3">
      <c r="A279" s="58"/>
      <c r="B279" s="58"/>
      <c r="C279" s="58"/>
      <c r="D279" s="58"/>
      <c r="E279" s="58"/>
      <c r="F279" s="58"/>
      <c r="G279" s="58"/>
      <c r="H279" s="59"/>
      <c r="I279" s="59"/>
      <c r="J279" s="59"/>
      <c r="K279" s="59"/>
      <c r="L279" s="59"/>
      <c r="M279" s="60"/>
      <c r="N279" s="60"/>
      <c r="O279" s="60"/>
      <c r="P279" s="59"/>
      <c r="Q279" s="59"/>
      <c r="R279" s="60"/>
      <c r="S279" s="60"/>
      <c r="T279" s="60"/>
      <c r="U279" s="60"/>
      <c r="V279" s="60"/>
      <c r="W279" s="60"/>
    </row>
    <row r="280" spans="1:23" ht="13" x14ac:dyDescent="0.3">
      <c r="A280" s="58"/>
      <c r="B280" s="58"/>
      <c r="C280" s="58"/>
      <c r="D280" s="58"/>
      <c r="E280" s="58"/>
      <c r="F280" s="58"/>
      <c r="G280" s="58"/>
      <c r="H280" s="59"/>
      <c r="I280" s="59"/>
      <c r="J280" s="59"/>
      <c r="K280" s="59"/>
      <c r="L280" s="59"/>
      <c r="M280" s="60"/>
      <c r="N280" s="60"/>
      <c r="O280" s="60"/>
      <c r="P280" s="59"/>
      <c r="Q280" s="59"/>
      <c r="R280" s="60"/>
      <c r="S280" s="60"/>
      <c r="T280" s="60"/>
      <c r="U280" s="60"/>
      <c r="V280" s="60"/>
      <c r="W280" s="60"/>
    </row>
    <row r="281" spans="1:23" ht="13" x14ac:dyDescent="0.3">
      <c r="A281" s="58"/>
      <c r="B281" s="58"/>
      <c r="C281" s="58"/>
      <c r="D281" s="58"/>
      <c r="E281" s="58"/>
      <c r="F281" s="58"/>
      <c r="G281" s="58"/>
      <c r="H281" s="59"/>
      <c r="I281" s="59"/>
      <c r="J281" s="59"/>
      <c r="K281" s="59"/>
      <c r="L281" s="59"/>
      <c r="M281" s="60"/>
      <c r="N281" s="60"/>
      <c r="O281" s="60"/>
      <c r="P281" s="59"/>
      <c r="Q281" s="59"/>
      <c r="R281" s="60"/>
      <c r="S281" s="60"/>
      <c r="T281" s="60"/>
      <c r="U281" s="60"/>
      <c r="V281" s="60"/>
      <c r="W281" s="60"/>
    </row>
    <row r="282" spans="1:23" ht="13" x14ac:dyDescent="0.3">
      <c r="A282" s="58"/>
      <c r="B282" s="58"/>
      <c r="C282" s="58"/>
      <c r="D282" s="58"/>
      <c r="E282" s="58"/>
      <c r="F282" s="58"/>
      <c r="G282" s="58"/>
      <c r="H282" s="59"/>
      <c r="I282" s="59"/>
      <c r="J282" s="59"/>
      <c r="K282" s="59"/>
      <c r="L282" s="59"/>
      <c r="M282" s="60"/>
      <c r="N282" s="60"/>
      <c r="O282" s="60"/>
      <c r="P282" s="59"/>
      <c r="Q282" s="59"/>
      <c r="R282" s="60"/>
      <c r="S282" s="60"/>
      <c r="T282" s="60"/>
      <c r="U282" s="60"/>
      <c r="V282" s="60"/>
      <c r="W282" s="60"/>
    </row>
    <row r="283" spans="1:23" ht="13" x14ac:dyDescent="0.3">
      <c r="A283" s="58"/>
      <c r="B283" s="58"/>
      <c r="C283" s="58"/>
      <c r="D283" s="58"/>
      <c r="E283" s="58"/>
      <c r="F283" s="58"/>
      <c r="G283" s="58"/>
      <c r="H283" s="59"/>
      <c r="I283" s="59"/>
      <c r="J283" s="59"/>
      <c r="K283" s="59"/>
      <c r="L283" s="59"/>
      <c r="M283" s="60"/>
      <c r="N283" s="60"/>
      <c r="O283" s="60"/>
      <c r="P283" s="59"/>
      <c r="Q283" s="59"/>
      <c r="R283" s="60"/>
      <c r="S283" s="60"/>
      <c r="T283" s="60"/>
      <c r="U283" s="60"/>
      <c r="V283" s="60"/>
      <c r="W283" s="60"/>
    </row>
    <row r="284" spans="1:23" ht="13" x14ac:dyDescent="0.3">
      <c r="A284" s="58"/>
      <c r="B284" s="58"/>
      <c r="C284" s="58"/>
      <c r="D284" s="58"/>
      <c r="E284" s="58"/>
      <c r="F284" s="58"/>
      <c r="G284" s="58"/>
      <c r="H284" s="59"/>
      <c r="I284" s="59"/>
      <c r="J284" s="59"/>
      <c r="K284" s="59"/>
      <c r="L284" s="59"/>
      <c r="M284" s="60"/>
      <c r="N284" s="60"/>
      <c r="O284" s="60"/>
      <c r="P284" s="59"/>
      <c r="Q284" s="59"/>
      <c r="R284" s="60"/>
      <c r="S284" s="60"/>
      <c r="T284" s="60"/>
      <c r="U284" s="60"/>
      <c r="V284" s="60"/>
      <c r="W284" s="60"/>
    </row>
    <row r="285" spans="1:23" ht="13" x14ac:dyDescent="0.3">
      <c r="A285" s="58"/>
      <c r="B285" s="58"/>
      <c r="C285" s="58"/>
      <c r="D285" s="58"/>
      <c r="E285" s="58"/>
      <c r="F285" s="58"/>
      <c r="G285" s="58"/>
      <c r="H285" s="59"/>
      <c r="I285" s="59"/>
      <c r="J285" s="59"/>
      <c r="K285" s="59"/>
      <c r="L285" s="59"/>
      <c r="M285" s="60"/>
      <c r="N285" s="60"/>
      <c r="O285" s="60"/>
      <c r="P285" s="59"/>
      <c r="Q285" s="59"/>
      <c r="R285" s="60"/>
      <c r="S285" s="60"/>
      <c r="T285" s="60"/>
      <c r="U285" s="60"/>
      <c r="V285" s="60"/>
      <c r="W285" s="60"/>
    </row>
    <row r="286" spans="1:23" ht="13" x14ac:dyDescent="0.3">
      <c r="A286" s="58"/>
      <c r="B286" s="58"/>
      <c r="C286" s="58"/>
      <c r="D286" s="58"/>
      <c r="E286" s="58"/>
      <c r="F286" s="58"/>
      <c r="G286" s="58"/>
      <c r="H286" s="59"/>
      <c r="I286" s="59"/>
      <c r="J286" s="59"/>
      <c r="K286" s="59"/>
      <c r="L286" s="59"/>
      <c r="M286" s="60"/>
      <c r="N286" s="60"/>
      <c r="O286" s="60"/>
      <c r="P286" s="59"/>
      <c r="Q286" s="59"/>
      <c r="R286" s="60"/>
      <c r="S286" s="60"/>
      <c r="T286" s="60"/>
      <c r="U286" s="60"/>
      <c r="V286" s="60"/>
      <c r="W286" s="60"/>
    </row>
    <row r="287" spans="1:23" ht="13" x14ac:dyDescent="0.3">
      <c r="A287" s="58"/>
      <c r="B287" s="58"/>
      <c r="C287" s="58"/>
      <c r="D287" s="58"/>
      <c r="E287" s="58"/>
      <c r="F287" s="58"/>
      <c r="G287" s="58"/>
      <c r="H287" s="59"/>
      <c r="I287" s="59"/>
      <c r="J287" s="59"/>
      <c r="K287" s="59"/>
      <c r="L287" s="59"/>
      <c r="M287" s="60"/>
      <c r="N287" s="60"/>
      <c r="O287" s="60"/>
      <c r="P287" s="59"/>
      <c r="Q287" s="59"/>
      <c r="R287" s="60"/>
      <c r="S287" s="60"/>
      <c r="T287" s="60"/>
      <c r="U287" s="60"/>
      <c r="V287" s="60"/>
      <c r="W287" s="60"/>
    </row>
    <row r="288" spans="1:23" ht="13" x14ac:dyDescent="0.3">
      <c r="A288" s="58"/>
      <c r="B288" s="58"/>
      <c r="C288" s="58"/>
      <c r="D288" s="58"/>
      <c r="E288" s="58"/>
      <c r="F288" s="58"/>
      <c r="G288" s="58"/>
      <c r="H288" s="59"/>
      <c r="I288" s="59"/>
      <c r="J288" s="59"/>
      <c r="K288" s="59"/>
      <c r="L288" s="59"/>
      <c r="M288" s="60"/>
      <c r="N288" s="60"/>
      <c r="O288" s="60"/>
      <c r="P288" s="59"/>
      <c r="Q288" s="59"/>
      <c r="R288" s="60"/>
      <c r="S288" s="60"/>
      <c r="T288" s="60"/>
      <c r="U288" s="60"/>
      <c r="V288" s="60"/>
      <c r="W288" s="60"/>
    </row>
    <row r="289" spans="1:23" ht="13" x14ac:dyDescent="0.3">
      <c r="A289" s="58"/>
      <c r="B289" s="58"/>
      <c r="C289" s="58"/>
      <c r="D289" s="58"/>
      <c r="E289" s="58"/>
      <c r="F289" s="58"/>
      <c r="G289" s="58"/>
      <c r="H289" s="59"/>
      <c r="I289" s="59"/>
      <c r="J289" s="59"/>
      <c r="K289" s="59"/>
      <c r="L289" s="59"/>
      <c r="M289" s="60"/>
      <c r="N289" s="60"/>
      <c r="O289" s="60"/>
      <c r="P289" s="59"/>
      <c r="Q289" s="59"/>
      <c r="R289" s="60"/>
      <c r="S289" s="60"/>
      <c r="T289" s="60"/>
      <c r="U289" s="60"/>
      <c r="V289" s="60"/>
      <c r="W289" s="60"/>
    </row>
    <row r="290" spans="1:23" ht="13" x14ac:dyDescent="0.3">
      <c r="A290" s="58"/>
      <c r="B290" s="58"/>
      <c r="C290" s="58"/>
      <c r="D290" s="58"/>
      <c r="E290" s="58"/>
      <c r="F290" s="58"/>
      <c r="G290" s="58"/>
      <c r="H290" s="59"/>
      <c r="I290" s="59"/>
      <c r="J290" s="59"/>
      <c r="K290" s="59"/>
      <c r="L290" s="59"/>
      <c r="M290" s="60"/>
      <c r="N290" s="60"/>
      <c r="O290" s="60"/>
      <c r="P290" s="59"/>
      <c r="Q290" s="59"/>
      <c r="R290" s="60"/>
      <c r="S290" s="60"/>
      <c r="T290" s="60"/>
      <c r="U290" s="60"/>
      <c r="V290" s="60"/>
      <c r="W290" s="60"/>
    </row>
    <row r="291" spans="1:23" ht="13" x14ac:dyDescent="0.3">
      <c r="A291" s="58"/>
      <c r="B291" s="58"/>
      <c r="C291" s="58"/>
      <c r="D291" s="58"/>
      <c r="E291" s="58"/>
      <c r="F291" s="58"/>
      <c r="G291" s="58"/>
      <c r="H291" s="59"/>
      <c r="I291" s="59"/>
      <c r="J291" s="59"/>
      <c r="K291" s="59"/>
      <c r="L291" s="59"/>
      <c r="M291" s="60"/>
      <c r="N291" s="60"/>
      <c r="O291" s="60"/>
      <c r="P291" s="59"/>
      <c r="Q291" s="59"/>
      <c r="R291" s="60"/>
      <c r="S291" s="60"/>
      <c r="T291" s="60"/>
      <c r="U291" s="60"/>
      <c r="V291" s="60"/>
      <c r="W291" s="60"/>
    </row>
    <row r="292" spans="1:23" ht="13" x14ac:dyDescent="0.3">
      <c r="A292" s="58"/>
      <c r="B292" s="58"/>
      <c r="C292" s="58"/>
      <c r="D292" s="58"/>
      <c r="E292" s="58"/>
      <c r="F292" s="58"/>
      <c r="G292" s="58"/>
      <c r="H292" s="59"/>
      <c r="I292" s="59"/>
      <c r="J292" s="59"/>
      <c r="K292" s="59"/>
      <c r="L292" s="59"/>
      <c r="M292" s="60"/>
      <c r="N292" s="60"/>
      <c r="O292" s="60"/>
      <c r="P292" s="59"/>
      <c r="Q292" s="59"/>
      <c r="R292" s="60"/>
      <c r="S292" s="60"/>
      <c r="T292" s="60"/>
      <c r="U292" s="60"/>
      <c r="V292" s="60"/>
      <c r="W292" s="60"/>
    </row>
    <row r="293" spans="1:23" ht="13" x14ac:dyDescent="0.3">
      <c r="A293" s="58"/>
      <c r="B293" s="58"/>
      <c r="C293" s="58"/>
      <c r="D293" s="58"/>
      <c r="E293" s="58"/>
      <c r="F293" s="58"/>
      <c r="G293" s="58"/>
      <c r="H293" s="59"/>
      <c r="I293" s="59"/>
      <c r="J293" s="59"/>
      <c r="K293" s="59"/>
      <c r="L293" s="59"/>
      <c r="M293" s="60"/>
      <c r="N293" s="60"/>
      <c r="O293" s="60"/>
      <c r="P293" s="59"/>
      <c r="Q293" s="59"/>
      <c r="R293" s="60"/>
      <c r="S293" s="60"/>
      <c r="T293" s="60"/>
      <c r="U293" s="60"/>
      <c r="V293" s="60"/>
      <c r="W293" s="60"/>
    </row>
    <row r="294" spans="1:23" ht="13" x14ac:dyDescent="0.3">
      <c r="A294" s="58"/>
      <c r="B294" s="58"/>
      <c r="C294" s="58"/>
      <c r="D294" s="58"/>
      <c r="E294" s="58"/>
      <c r="F294" s="58"/>
      <c r="G294" s="58"/>
      <c r="H294" s="59"/>
      <c r="I294" s="59"/>
      <c r="J294" s="59"/>
      <c r="K294" s="59"/>
      <c r="L294" s="59"/>
      <c r="M294" s="60"/>
      <c r="N294" s="60"/>
      <c r="O294" s="60"/>
      <c r="P294" s="59"/>
      <c r="Q294" s="59"/>
      <c r="R294" s="60"/>
      <c r="S294" s="60"/>
      <c r="T294" s="60"/>
      <c r="U294" s="60"/>
      <c r="V294" s="60"/>
      <c r="W294" s="60"/>
    </row>
    <row r="295" spans="1:23" ht="13" x14ac:dyDescent="0.3">
      <c r="A295" s="58"/>
      <c r="B295" s="58"/>
      <c r="C295" s="58"/>
      <c r="D295" s="58"/>
      <c r="E295" s="58"/>
      <c r="F295" s="58"/>
      <c r="G295" s="58"/>
      <c r="H295" s="59"/>
      <c r="I295" s="59"/>
      <c r="J295" s="59"/>
      <c r="K295" s="59"/>
      <c r="L295" s="59"/>
      <c r="M295" s="60"/>
      <c r="N295" s="60"/>
      <c r="O295" s="60"/>
      <c r="P295" s="59"/>
      <c r="Q295" s="59"/>
      <c r="R295" s="60"/>
      <c r="S295" s="60"/>
      <c r="T295" s="60"/>
      <c r="U295" s="60"/>
      <c r="V295" s="60"/>
      <c r="W295" s="60"/>
    </row>
    <row r="296" spans="1:23" ht="13" x14ac:dyDescent="0.3">
      <c r="A296" s="58"/>
      <c r="B296" s="58"/>
      <c r="C296" s="58"/>
      <c r="D296" s="58"/>
      <c r="E296" s="58"/>
      <c r="F296" s="58"/>
      <c r="G296" s="58"/>
      <c r="H296" s="59"/>
      <c r="I296" s="59"/>
      <c r="J296" s="59"/>
      <c r="K296" s="59"/>
      <c r="L296" s="59"/>
      <c r="M296" s="60"/>
      <c r="N296" s="60"/>
      <c r="O296" s="60"/>
      <c r="P296" s="59"/>
      <c r="Q296" s="59"/>
      <c r="R296" s="60"/>
      <c r="S296" s="60"/>
      <c r="T296" s="60"/>
      <c r="U296" s="60"/>
      <c r="V296" s="60"/>
      <c r="W296" s="60"/>
    </row>
    <row r="297" spans="1:23" ht="13" x14ac:dyDescent="0.3">
      <c r="A297" s="58"/>
      <c r="B297" s="58"/>
      <c r="C297" s="58"/>
      <c r="D297" s="58"/>
      <c r="E297" s="58"/>
      <c r="F297" s="58"/>
      <c r="G297" s="58"/>
      <c r="H297" s="59"/>
      <c r="I297" s="59"/>
      <c r="J297" s="59"/>
      <c r="K297" s="59"/>
      <c r="L297" s="59"/>
      <c r="M297" s="60"/>
      <c r="N297" s="60"/>
      <c r="O297" s="60"/>
      <c r="P297" s="59"/>
      <c r="Q297" s="59"/>
      <c r="R297" s="60"/>
      <c r="S297" s="60"/>
      <c r="T297" s="60"/>
      <c r="U297" s="60"/>
      <c r="V297" s="60"/>
      <c r="W297" s="60"/>
    </row>
    <row r="298" spans="1:23" ht="13" x14ac:dyDescent="0.3">
      <c r="A298" s="58"/>
      <c r="B298" s="58"/>
      <c r="C298" s="58"/>
      <c r="D298" s="58"/>
      <c r="E298" s="58"/>
      <c r="F298" s="58"/>
      <c r="G298" s="58"/>
      <c r="H298" s="59"/>
      <c r="I298" s="59"/>
      <c r="J298" s="59"/>
      <c r="K298" s="59"/>
      <c r="L298" s="59"/>
      <c r="M298" s="60"/>
      <c r="N298" s="60"/>
      <c r="O298" s="60"/>
      <c r="P298" s="59"/>
      <c r="Q298" s="59"/>
      <c r="R298" s="60"/>
      <c r="S298" s="60"/>
      <c r="T298" s="60"/>
      <c r="U298" s="60"/>
      <c r="V298" s="60"/>
      <c r="W298" s="60"/>
    </row>
    <row r="299" spans="1:23" ht="13" x14ac:dyDescent="0.3">
      <c r="A299" s="58"/>
      <c r="B299" s="58"/>
      <c r="C299" s="58"/>
      <c r="D299" s="58"/>
      <c r="E299" s="58"/>
      <c r="F299" s="58"/>
      <c r="G299" s="58"/>
      <c r="H299" s="59"/>
      <c r="I299" s="59"/>
      <c r="J299" s="59"/>
      <c r="K299" s="59"/>
      <c r="L299" s="59"/>
      <c r="M299" s="60"/>
      <c r="N299" s="60"/>
      <c r="O299" s="60"/>
      <c r="P299" s="59"/>
      <c r="Q299" s="59"/>
      <c r="R299" s="60"/>
      <c r="S299" s="60"/>
      <c r="T299" s="60"/>
      <c r="U299" s="60"/>
      <c r="V299" s="60"/>
      <c r="W299" s="60"/>
    </row>
    <row r="300" spans="1:23" ht="13" x14ac:dyDescent="0.3">
      <c r="A300" s="58"/>
      <c r="B300" s="58"/>
      <c r="C300" s="58"/>
      <c r="D300" s="58"/>
      <c r="E300" s="58"/>
      <c r="F300" s="58"/>
      <c r="G300" s="58"/>
      <c r="H300" s="59"/>
      <c r="I300" s="59"/>
      <c r="J300" s="59"/>
      <c r="K300" s="59"/>
      <c r="L300" s="59"/>
      <c r="M300" s="60"/>
      <c r="N300" s="60"/>
      <c r="O300" s="60"/>
      <c r="P300" s="59"/>
      <c r="Q300" s="59"/>
      <c r="R300" s="60"/>
      <c r="S300" s="60"/>
      <c r="T300" s="60"/>
      <c r="U300" s="60"/>
      <c r="V300" s="60"/>
      <c r="W300" s="60"/>
    </row>
    <row r="301" spans="1:23" ht="13" x14ac:dyDescent="0.3">
      <c r="A301" s="58"/>
      <c r="B301" s="58"/>
      <c r="C301" s="58"/>
      <c r="D301" s="58"/>
      <c r="E301" s="58"/>
      <c r="F301" s="58"/>
      <c r="G301" s="58"/>
      <c r="H301" s="59"/>
      <c r="I301" s="59"/>
      <c r="J301" s="59"/>
      <c r="K301" s="59"/>
      <c r="L301" s="59"/>
      <c r="M301" s="60"/>
      <c r="N301" s="60"/>
      <c r="O301" s="60"/>
      <c r="P301" s="59"/>
      <c r="Q301" s="59"/>
      <c r="R301" s="60"/>
      <c r="S301" s="60"/>
      <c r="T301" s="60"/>
      <c r="U301" s="60"/>
      <c r="V301" s="60"/>
      <c r="W301" s="60"/>
    </row>
    <row r="302" spans="1:23" ht="13" x14ac:dyDescent="0.3">
      <c r="A302" s="58"/>
      <c r="B302" s="58"/>
      <c r="C302" s="58"/>
      <c r="D302" s="58"/>
      <c r="E302" s="58"/>
      <c r="F302" s="58"/>
      <c r="G302" s="58"/>
      <c r="H302" s="59"/>
      <c r="I302" s="59"/>
      <c r="J302" s="59"/>
      <c r="K302" s="59"/>
      <c r="L302" s="59"/>
      <c r="M302" s="60"/>
      <c r="N302" s="60"/>
      <c r="O302" s="60"/>
      <c r="P302" s="59"/>
      <c r="Q302" s="59"/>
      <c r="R302" s="60"/>
      <c r="S302" s="60"/>
      <c r="T302" s="60"/>
      <c r="U302" s="60"/>
      <c r="V302" s="60"/>
      <c r="W302" s="60"/>
    </row>
    <row r="303" spans="1:23" ht="13" x14ac:dyDescent="0.3">
      <c r="A303" s="58"/>
      <c r="B303" s="58"/>
      <c r="C303" s="58"/>
      <c r="D303" s="58"/>
      <c r="E303" s="58"/>
      <c r="F303" s="58"/>
      <c r="G303" s="58"/>
      <c r="H303" s="59"/>
      <c r="I303" s="59"/>
      <c r="J303" s="59"/>
      <c r="K303" s="59"/>
      <c r="L303" s="59"/>
      <c r="M303" s="60"/>
      <c r="N303" s="60"/>
      <c r="O303" s="60"/>
      <c r="P303" s="59"/>
      <c r="Q303" s="59"/>
      <c r="R303" s="60"/>
      <c r="S303" s="60"/>
      <c r="T303" s="60"/>
      <c r="U303" s="60"/>
      <c r="V303" s="60"/>
      <c r="W303" s="60"/>
    </row>
    <row r="304" spans="1:23" ht="13" x14ac:dyDescent="0.3">
      <c r="A304" s="58"/>
      <c r="B304" s="58"/>
      <c r="C304" s="58"/>
      <c r="D304" s="58"/>
      <c r="E304" s="58"/>
      <c r="F304" s="58"/>
      <c r="G304" s="58"/>
      <c r="H304" s="59"/>
      <c r="I304" s="59"/>
      <c r="J304" s="59"/>
      <c r="K304" s="59"/>
      <c r="L304" s="59"/>
      <c r="M304" s="60"/>
      <c r="N304" s="60"/>
      <c r="O304" s="60"/>
      <c r="P304" s="59"/>
      <c r="Q304" s="59"/>
      <c r="R304" s="60"/>
      <c r="S304" s="60"/>
      <c r="T304" s="60"/>
      <c r="U304" s="60"/>
      <c r="V304" s="60"/>
      <c r="W304" s="60"/>
    </row>
    <row r="305" spans="1:23" ht="13" x14ac:dyDescent="0.3">
      <c r="A305" s="58"/>
      <c r="B305" s="58"/>
      <c r="C305" s="58"/>
      <c r="D305" s="58"/>
      <c r="E305" s="58"/>
      <c r="F305" s="58"/>
      <c r="G305" s="58"/>
      <c r="H305" s="59"/>
      <c r="I305" s="59"/>
      <c r="J305" s="59"/>
      <c r="K305" s="59"/>
      <c r="L305" s="59"/>
      <c r="M305" s="60"/>
      <c r="N305" s="60"/>
      <c r="O305" s="60"/>
      <c r="P305" s="59"/>
      <c r="Q305" s="59"/>
      <c r="R305" s="60"/>
      <c r="S305" s="60"/>
      <c r="T305" s="60"/>
      <c r="U305" s="60"/>
      <c r="V305" s="60"/>
      <c r="W305" s="60"/>
    </row>
    <row r="306" spans="1:23" ht="13" x14ac:dyDescent="0.3">
      <c r="A306" s="58"/>
      <c r="B306" s="58"/>
      <c r="C306" s="58"/>
      <c r="D306" s="58"/>
      <c r="E306" s="58"/>
      <c r="F306" s="58"/>
      <c r="G306" s="58"/>
      <c r="H306" s="59"/>
      <c r="I306" s="59"/>
      <c r="J306" s="59"/>
      <c r="K306" s="59"/>
      <c r="L306" s="59"/>
      <c r="M306" s="60"/>
      <c r="N306" s="60"/>
      <c r="O306" s="60"/>
      <c r="P306" s="59"/>
      <c r="Q306" s="59"/>
      <c r="R306" s="60"/>
      <c r="S306" s="60"/>
      <c r="T306" s="60"/>
      <c r="U306" s="60"/>
      <c r="V306" s="60"/>
      <c r="W306" s="60"/>
    </row>
    <row r="307" spans="1:23" ht="13" x14ac:dyDescent="0.3">
      <c r="A307" s="58"/>
      <c r="B307" s="58"/>
      <c r="C307" s="58"/>
      <c r="D307" s="58"/>
      <c r="E307" s="58"/>
      <c r="F307" s="58"/>
      <c r="G307" s="58"/>
      <c r="H307" s="59"/>
      <c r="I307" s="59"/>
      <c r="J307" s="59"/>
      <c r="K307" s="59"/>
      <c r="L307" s="59"/>
      <c r="M307" s="60"/>
      <c r="N307" s="60"/>
      <c r="O307" s="60"/>
      <c r="P307" s="59"/>
      <c r="Q307" s="59"/>
      <c r="R307" s="60"/>
      <c r="S307" s="60"/>
      <c r="T307" s="60"/>
      <c r="U307" s="60"/>
      <c r="V307" s="60"/>
      <c r="W307" s="60"/>
    </row>
    <row r="308" spans="1:23" ht="13" x14ac:dyDescent="0.3">
      <c r="A308" s="58"/>
      <c r="B308" s="58"/>
      <c r="C308" s="58"/>
      <c r="D308" s="58"/>
      <c r="E308" s="58"/>
      <c r="F308" s="58"/>
      <c r="G308" s="58"/>
      <c r="H308" s="59"/>
      <c r="I308" s="59"/>
      <c r="J308" s="59"/>
      <c r="K308" s="59"/>
      <c r="L308" s="59"/>
      <c r="M308" s="60"/>
      <c r="N308" s="60"/>
      <c r="O308" s="60"/>
      <c r="P308" s="59"/>
      <c r="Q308" s="59"/>
      <c r="R308" s="60"/>
      <c r="S308" s="60"/>
      <c r="T308" s="60"/>
      <c r="U308" s="60"/>
      <c r="V308" s="60"/>
      <c r="W308" s="60"/>
    </row>
    <row r="309" spans="1:23" ht="13" x14ac:dyDescent="0.3">
      <c r="A309" s="58"/>
      <c r="B309" s="58"/>
      <c r="C309" s="58"/>
      <c r="D309" s="58"/>
      <c r="E309" s="58"/>
      <c r="F309" s="58"/>
      <c r="G309" s="58"/>
      <c r="H309" s="59"/>
      <c r="I309" s="59"/>
      <c r="J309" s="59"/>
      <c r="K309" s="59"/>
      <c r="L309" s="59"/>
      <c r="M309" s="60"/>
      <c r="N309" s="60"/>
      <c r="O309" s="60"/>
      <c r="P309" s="59"/>
      <c r="Q309" s="59"/>
      <c r="R309" s="60"/>
      <c r="S309" s="60"/>
      <c r="T309" s="60"/>
      <c r="U309" s="60"/>
      <c r="V309" s="60"/>
      <c r="W309" s="60"/>
    </row>
    <row r="310" spans="1:23" ht="13" x14ac:dyDescent="0.3">
      <c r="A310" s="58"/>
      <c r="B310" s="58"/>
      <c r="C310" s="58"/>
      <c r="D310" s="58"/>
      <c r="E310" s="58"/>
      <c r="F310" s="58"/>
      <c r="G310" s="58"/>
      <c r="H310" s="59"/>
      <c r="I310" s="59"/>
      <c r="J310" s="59"/>
      <c r="K310" s="59"/>
      <c r="L310" s="59"/>
      <c r="M310" s="60"/>
      <c r="N310" s="60"/>
      <c r="O310" s="60"/>
      <c r="P310" s="59"/>
      <c r="Q310" s="59"/>
      <c r="R310" s="60"/>
      <c r="S310" s="60"/>
      <c r="T310" s="60"/>
      <c r="U310" s="60"/>
      <c r="V310" s="60"/>
      <c r="W310" s="60"/>
    </row>
    <row r="311" spans="1:23" ht="13" x14ac:dyDescent="0.3">
      <c r="A311" s="58"/>
      <c r="B311" s="58"/>
      <c r="C311" s="58"/>
      <c r="D311" s="58"/>
      <c r="E311" s="58"/>
      <c r="F311" s="58"/>
      <c r="G311" s="58"/>
      <c r="H311" s="59"/>
      <c r="I311" s="59"/>
      <c r="J311" s="59"/>
      <c r="K311" s="59"/>
      <c r="L311" s="59"/>
      <c r="M311" s="60"/>
      <c r="N311" s="60"/>
      <c r="O311" s="60"/>
      <c r="P311" s="59"/>
      <c r="Q311" s="59"/>
      <c r="R311" s="60"/>
      <c r="S311" s="60"/>
      <c r="T311" s="60"/>
      <c r="U311" s="60"/>
      <c r="V311" s="60"/>
      <c r="W311" s="60"/>
    </row>
    <row r="312" spans="1:23" ht="13" x14ac:dyDescent="0.3">
      <c r="A312" s="58"/>
      <c r="B312" s="58"/>
      <c r="C312" s="58"/>
      <c r="D312" s="58"/>
      <c r="E312" s="58"/>
      <c r="F312" s="58"/>
      <c r="G312" s="58"/>
      <c r="H312" s="59"/>
      <c r="I312" s="59"/>
      <c r="J312" s="59"/>
      <c r="K312" s="59"/>
      <c r="L312" s="59"/>
      <c r="M312" s="60"/>
      <c r="N312" s="60"/>
      <c r="O312" s="60"/>
      <c r="P312" s="59"/>
      <c r="Q312" s="59"/>
      <c r="R312" s="60"/>
      <c r="S312" s="60"/>
      <c r="T312" s="60"/>
      <c r="U312" s="60"/>
      <c r="V312" s="60"/>
      <c r="W312" s="60"/>
    </row>
    <row r="313" spans="1:23" ht="13" x14ac:dyDescent="0.3">
      <c r="A313" s="58"/>
      <c r="B313" s="58"/>
      <c r="C313" s="58"/>
      <c r="D313" s="58"/>
      <c r="E313" s="58"/>
      <c r="F313" s="58"/>
      <c r="G313" s="58"/>
      <c r="H313" s="59"/>
      <c r="I313" s="59"/>
      <c r="J313" s="59"/>
      <c r="K313" s="59"/>
      <c r="L313" s="59"/>
      <c r="M313" s="60"/>
      <c r="N313" s="60"/>
      <c r="O313" s="60"/>
      <c r="P313" s="59"/>
      <c r="Q313" s="59"/>
      <c r="R313" s="60"/>
      <c r="S313" s="60"/>
      <c r="T313" s="60"/>
      <c r="U313" s="60"/>
      <c r="V313" s="60"/>
      <c r="W313" s="60"/>
    </row>
    <row r="314" spans="1:23" ht="13" x14ac:dyDescent="0.3">
      <c r="A314" s="58"/>
      <c r="B314" s="58"/>
      <c r="C314" s="58"/>
      <c r="D314" s="58"/>
      <c r="E314" s="58"/>
      <c r="F314" s="58"/>
      <c r="G314" s="58"/>
      <c r="H314" s="59"/>
      <c r="I314" s="59"/>
      <c r="J314" s="59"/>
      <c r="K314" s="59"/>
      <c r="L314" s="59"/>
      <c r="M314" s="60"/>
      <c r="N314" s="60"/>
      <c r="O314" s="60"/>
      <c r="P314" s="59"/>
      <c r="Q314" s="59"/>
      <c r="R314" s="60"/>
      <c r="S314" s="60"/>
      <c r="T314" s="60"/>
      <c r="U314" s="60"/>
      <c r="V314" s="60"/>
      <c r="W314" s="60"/>
    </row>
    <row r="315" spans="1:23" ht="13" x14ac:dyDescent="0.3">
      <c r="A315" s="58"/>
      <c r="B315" s="58"/>
      <c r="C315" s="58"/>
      <c r="D315" s="58"/>
      <c r="E315" s="58"/>
      <c r="F315" s="58"/>
      <c r="G315" s="58"/>
      <c r="H315" s="59"/>
      <c r="I315" s="59"/>
      <c r="J315" s="59"/>
      <c r="K315" s="59"/>
      <c r="L315" s="59"/>
      <c r="M315" s="60"/>
      <c r="N315" s="60"/>
      <c r="O315" s="60"/>
      <c r="P315" s="59"/>
      <c r="Q315" s="59"/>
      <c r="R315" s="60"/>
      <c r="S315" s="60"/>
      <c r="T315" s="60"/>
      <c r="U315" s="60"/>
      <c r="V315" s="60"/>
      <c r="W315" s="60"/>
    </row>
    <row r="316" spans="1:23" ht="13" x14ac:dyDescent="0.3">
      <c r="A316" s="58"/>
      <c r="B316" s="58"/>
      <c r="C316" s="58"/>
      <c r="D316" s="58"/>
      <c r="E316" s="58"/>
      <c r="F316" s="58"/>
      <c r="G316" s="58"/>
      <c r="H316" s="59"/>
      <c r="I316" s="59"/>
      <c r="J316" s="59"/>
      <c r="K316" s="59"/>
      <c r="L316" s="59"/>
      <c r="M316" s="60"/>
      <c r="N316" s="60"/>
      <c r="O316" s="60"/>
      <c r="P316" s="59"/>
      <c r="Q316" s="59"/>
      <c r="R316" s="60"/>
      <c r="S316" s="60"/>
      <c r="T316" s="60"/>
      <c r="U316" s="60"/>
      <c r="V316" s="60"/>
      <c r="W316" s="60"/>
    </row>
    <row r="317" spans="1:23" ht="13" x14ac:dyDescent="0.3">
      <c r="A317" s="58"/>
      <c r="B317" s="58"/>
      <c r="C317" s="58"/>
      <c r="D317" s="58"/>
      <c r="E317" s="58"/>
      <c r="F317" s="58"/>
      <c r="G317" s="58"/>
      <c r="H317" s="59"/>
      <c r="I317" s="59"/>
      <c r="J317" s="59"/>
      <c r="K317" s="59"/>
      <c r="L317" s="59"/>
      <c r="M317" s="60"/>
      <c r="N317" s="60"/>
      <c r="O317" s="60"/>
      <c r="P317" s="59"/>
      <c r="Q317" s="59"/>
      <c r="R317" s="60"/>
      <c r="S317" s="60"/>
      <c r="T317" s="60"/>
      <c r="U317" s="60"/>
      <c r="V317" s="60"/>
      <c r="W317" s="60"/>
    </row>
    <row r="318" spans="1:23" ht="13" x14ac:dyDescent="0.3">
      <c r="A318" s="58"/>
      <c r="B318" s="58"/>
      <c r="C318" s="58"/>
      <c r="D318" s="58"/>
      <c r="E318" s="58"/>
      <c r="F318" s="58"/>
      <c r="G318" s="58"/>
      <c r="H318" s="59"/>
      <c r="I318" s="59"/>
      <c r="J318" s="59"/>
      <c r="K318" s="59"/>
      <c r="L318" s="59"/>
      <c r="M318" s="60"/>
      <c r="N318" s="60"/>
      <c r="O318" s="60"/>
      <c r="P318" s="59"/>
      <c r="Q318" s="59"/>
      <c r="R318" s="60"/>
      <c r="S318" s="60"/>
      <c r="T318" s="60"/>
      <c r="U318" s="60"/>
      <c r="V318" s="60"/>
      <c r="W318" s="60"/>
    </row>
    <row r="319" spans="1:23" ht="13" x14ac:dyDescent="0.3">
      <c r="A319" s="58"/>
      <c r="B319" s="58"/>
      <c r="C319" s="58"/>
      <c r="D319" s="58"/>
      <c r="E319" s="58"/>
      <c r="F319" s="58"/>
      <c r="G319" s="58"/>
      <c r="H319" s="59"/>
      <c r="I319" s="59"/>
      <c r="J319" s="59"/>
      <c r="K319" s="59"/>
      <c r="L319" s="59"/>
      <c r="M319" s="60"/>
      <c r="N319" s="60"/>
      <c r="O319" s="60"/>
      <c r="P319" s="59"/>
      <c r="Q319" s="59"/>
      <c r="R319" s="60"/>
      <c r="S319" s="60"/>
      <c r="T319" s="60"/>
      <c r="U319" s="60"/>
      <c r="V319" s="60"/>
      <c r="W319" s="60"/>
    </row>
    <row r="320" spans="1:23" ht="13" x14ac:dyDescent="0.3">
      <c r="A320" s="58"/>
      <c r="B320" s="58"/>
      <c r="C320" s="58"/>
      <c r="D320" s="58"/>
      <c r="E320" s="58"/>
      <c r="F320" s="58"/>
      <c r="G320" s="58"/>
      <c r="H320" s="59"/>
      <c r="I320" s="59"/>
      <c r="J320" s="59"/>
      <c r="K320" s="59"/>
      <c r="L320" s="59"/>
      <c r="M320" s="60"/>
      <c r="N320" s="60"/>
      <c r="O320" s="60"/>
      <c r="P320" s="59"/>
      <c r="Q320" s="59"/>
      <c r="R320" s="60"/>
      <c r="S320" s="60"/>
      <c r="T320" s="60"/>
      <c r="U320" s="60"/>
      <c r="V320" s="60"/>
      <c r="W320" s="60"/>
    </row>
    <row r="321" spans="1:23" ht="13" x14ac:dyDescent="0.3">
      <c r="A321" s="58"/>
      <c r="B321" s="58"/>
      <c r="C321" s="58"/>
      <c r="D321" s="58"/>
      <c r="E321" s="58"/>
      <c r="F321" s="58"/>
      <c r="G321" s="58"/>
      <c r="H321" s="59"/>
      <c r="I321" s="59"/>
      <c r="J321" s="59"/>
      <c r="K321" s="59"/>
      <c r="L321" s="59"/>
      <c r="M321" s="60"/>
      <c r="N321" s="60"/>
      <c r="O321" s="60"/>
      <c r="P321" s="59"/>
      <c r="Q321" s="59"/>
      <c r="R321" s="60"/>
      <c r="S321" s="60"/>
      <c r="T321" s="60"/>
      <c r="U321" s="60"/>
      <c r="V321" s="60"/>
      <c r="W321" s="60"/>
    </row>
    <row r="322" spans="1:23" ht="13" x14ac:dyDescent="0.3">
      <c r="A322" s="58"/>
      <c r="B322" s="58"/>
      <c r="C322" s="58"/>
      <c r="D322" s="58"/>
      <c r="E322" s="58"/>
      <c r="F322" s="58"/>
      <c r="G322" s="58"/>
      <c r="H322" s="59"/>
      <c r="I322" s="59"/>
      <c r="J322" s="59"/>
      <c r="K322" s="59"/>
      <c r="L322" s="59"/>
      <c r="M322" s="60"/>
      <c r="N322" s="60"/>
      <c r="O322" s="60"/>
      <c r="P322" s="59"/>
      <c r="Q322" s="59"/>
      <c r="R322" s="60"/>
      <c r="S322" s="60"/>
      <c r="T322" s="60"/>
      <c r="U322" s="60"/>
      <c r="V322" s="60"/>
      <c r="W322" s="60"/>
    </row>
    <row r="323" spans="1:23" ht="13" x14ac:dyDescent="0.3">
      <c r="A323" s="58"/>
      <c r="B323" s="58"/>
      <c r="C323" s="58"/>
      <c r="D323" s="58"/>
      <c r="E323" s="58"/>
      <c r="F323" s="58"/>
      <c r="G323" s="58"/>
      <c r="H323" s="59"/>
      <c r="I323" s="59"/>
      <c r="J323" s="59"/>
      <c r="K323" s="59"/>
      <c r="L323" s="59"/>
      <c r="M323" s="60"/>
      <c r="N323" s="60"/>
      <c r="O323" s="60"/>
      <c r="P323" s="59"/>
      <c r="Q323" s="59"/>
      <c r="R323" s="60"/>
      <c r="S323" s="60"/>
      <c r="T323" s="60"/>
      <c r="U323" s="60"/>
      <c r="V323" s="60"/>
      <c r="W323" s="60"/>
    </row>
    <row r="324" spans="1:23" ht="13" x14ac:dyDescent="0.3">
      <c r="A324" s="58"/>
      <c r="B324" s="58"/>
      <c r="C324" s="58"/>
      <c r="D324" s="58"/>
      <c r="E324" s="58"/>
      <c r="F324" s="58"/>
      <c r="G324" s="58"/>
      <c r="H324" s="59"/>
      <c r="I324" s="59"/>
      <c r="J324" s="59"/>
      <c r="K324" s="59"/>
      <c r="L324" s="59"/>
      <c r="M324" s="60"/>
      <c r="N324" s="60"/>
      <c r="O324" s="60"/>
      <c r="P324" s="59"/>
      <c r="Q324" s="59"/>
      <c r="R324" s="60"/>
      <c r="S324" s="60"/>
      <c r="T324" s="60"/>
      <c r="U324" s="60"/>
      <c r="V324" s="60"/>
      <c r="W324" s="60"/>
    </row>
    <row r="325" spans="1:23" ht="13" x14ac:dyDescent="0.3">
      <c r="A325" s="58"/>
      <c r="B325" s="58"/>
      <c r="C325" s="58"/>
      <c r="D325" s="58"/>
      <c r="E325" s="58"/>
      <c r="F325" s="58"/>
      <c r="G325" s="58"/>
      <c r="H325" s="59"/>
      <c r="I325" s="59"/>
      <c r="J325" s="59"/>
      <c r="K325" s="59"/>
      <c r="L325" s="59"/>
      <c r="M325" s="60"/>
      <c r="N325" s="60"/>
      <c r="O325" s="60"/>
      <c r="P325" s="59"/>
      <c r="Q325" s="59"/>
      <c r="R325" s="60"/>
      <c r="S325" s="60"/>
      <c r="T325" s="60"/>
      <c r="U325" s="60"/>
      <c r="V325" s="60"/>
      <c r="W325" s="60"/>
    </row>
    <row r="326" spans="1:23" ht="13" x14ac:dyDescent="0.3">
      <c r="A326" s="58"/>
      <c r="B326" s="58"/>
      <c r="C326" s="58"/>
      <c r="D326" s="58"/>
      <c r="E326" s="58"/>
      <c r="F326" s="58"/>
      <c r="G326" s="58"/>
      <c r="H326" s="59"/>
      <c r="I326" s="59"/>
      <c r="J326" s="59"/>
      <c r="K326" s="59"/>
      <c r="L326" s="59"/>
      <c r="M326" s="60"/>
      <c r="N326" s="60"/>
      <c r="O326" s="60"/>
      <c r="P326" s="59"/>
      <c r="Q326" s="59"/>
      <c r="R326" s="60"/>
      <c r="S326" s="60"/>
      <c r="T326" s="60"/>
      <c r="U326" s="60"/>
      <c r="V326" s="60"/>
      <c r="W326" s="60"/>
    </row>
    <row r="327" spans="1:23" ht="13" x14ac:dyDescent="0.3">
      <c r="A327" s="58"/>
      <c r="B327" s="58"/>
      <c r="C327" s="58"/>
      <c r="D327" s="58"/>
      <c r="E327" s="58"/>
      <c r="F327" s="58"/>
      <c r="G327" s="58"/>
      <c r="H327" s="59"/>
      <c r="I327" s="59"/>
      <c r="J327" s="59"/>
      <c r="K327" s="59"/>
      <c r="L327" s="59"/>
      <c r="M327" s="60"/>
      <c r="N327" s="60"/>
      <c r="O327" s="60"/>
      <c r="P327" s="59"/>
      <c r="Q327" s="59"/>
      <c r="R327" s="60"/>
      <c r="S327" s="60"/>
      <c r="T327" s="60"/>
      <c r="U327" s="60"/>
      <c r="V327" s="60"/>
      <c r="W327" s="60"/>
    </row>
    <row r="328" spans="1:23" ht="13" x14ac:dyDescent="0.3">
      <c r="A328" s="58"/>
      <c r="B328" s="58"/>
      <c r="C328" s="58"/>
      <c r="D328" s="58"/>
      <c r="E328" s="58"/>
      <c r="F328" s="58"/>
      <c r="G328" s="58"/>
      <c r="H328" s="59"/>
      <c r="I328" s="59"/>
      <c r="J328" s="59"/>
      <c r="K328" s="59"/>
      <c r="L328" s="59"/>
      <c r="M328" s="60"/>
      <c r="N328" s="60"/>
      <c r="O328" s="60"/>
      <c r="P328" s="59"/>
      <c r="Q328" s="59"/>
      <c r="R328" s="60"/>
      <c r="S328" s="60"/>
      <c r="T328" s="60"/>
      <c r="U328" s="60"/>
      <c r="V328" s="60"/>
      <c r="W328" s="60"/>
    </row>
    <row r="329" spans="1:23" ht="13" x14ac:dyDescent="0.3">
      <c r="A329" s="58"/>
      <c r="B329" s="58"/>
      <c r="C329" s="58"/>
      <c r="D329" s="58"/>
      <c r="E329" s="58"/>
      <c r="F329" s="58"/>
      <c r="G329" s="58"/>
      <c r="H329" s="59"/>
      <c r="I329" s="59"/>
      <c r="J329" s="59"/>
      <c r="K329" s="59"/>
      <c r="L329" s="59"/>
      <c r="M329" s="60"/>
      <c r="N329" s="60"/>
      <c r="O329" s="60"/>
      <c r="P329" s="59"/>
      <c r="Q329" s="59"/>
      <c r="R329" s="60"/>
      <c r="S329" s="60"/>
      <c r="T329" s="60"/>
      <c r="U329" s="60"/>
      <c r="V329" s="60"/>
      <c r="W329" s="60"/>
    </row>
    <row r="330" spans="1:23" ht="13" x14ac:dyDescent="0.3">
      <c r="A330" s="58"/>
      <c r="B330" s="58"/>
      <c r="C330" s="58"/>
      <c r="D330" s="58"/>
      <c r="E330" s="58"/>
      <c r="F330" s="58"/>
      <c r="G330" s="58"/>
      <c r="H330" s="59"/>
      <c r="I330" s="59"/>
      <c r="J330" s="59"/>
      <c r="K330" s="59"/>
      <c r="L330" s="59"/>
      <c r="M330" s="60"/>
      <c r="N330" s="60"/>
      <c r="O330" s="60"/>
      <c r="P330" s="59"/>
      <c r="Q330" s="59"/>
      <c r="R330" s="60"/>
      <c r="S330" s="60"/>
      <c r="T330" s="60"/>
      <c r="U330" s="60"/>
      <c r="V330" s="60"/>
      <c r="W330" s="60"/>
    </row>
    <row r="331" spans="1:23" ht="13" x14ac:dyDescent="0.3">
      <c r="A331" s="58"/>
      <c r="B331" s="58"/>
      <c r="C331" s="58"/>
      <c r="D331" s="58"/>
      <c r="E331" s="58"/>
      <c r="F331" s="58"/>
      <c r="G331" s="58"/>
      <c r="H331" s="59"/>
      <c r="I331" s="59"/>
      <c r="J331" s="59"/>
      <c r="K331" s="59"/>
      <c r="L331" s="59"/>
      <c r="M331" s="60"/>
      <c r="N331" s="60"/>
      <c r="O331" s="60"/>
      <c r="P331" s="59"/>
      <c r="Q331" s="59"/>
      <c r="R331" s="60"/>
      <c r="S331" s="60"/>
      <c r="T331" s="60"/>
      <c r="U331" s="60"/>
      <c r="V331" s="60"/>
      <c r="W331" s="60"/>
    </row>
    <row r="332" spans="1:23" ht="13" x14ac:dyDescent="0.3">
      <c r="A332" s="58"/>
      <c r="B332" s="58"/>
      <c r="C332" s="58"/>
      <c r="D332" s="58"/>
      <c r="E332" s="58"/>
      <c r="F332" s="58"/>
      <c r="G332" s="58"/>
      <c r="H332" s="59"/>
      <c r="I332" s="59"/>
      <c r="J332" s="59"/>
      <c r="K332" s="59"/>
      <c r="L332" s="59"/>
      <c r="M332" s="60"/>
      <c r="N332" s="60"/>
      <c r="O332" s="60"/>
      <c r="P332" s="59"/>
      <c r="Q332" s="59"/>
      <c r="R332" s="60"/>
      <c r="S332" s="60"/>
      <c r="T332" s="60"/>
      <c r="U332" s="60"/>
      <c r="V332" s="60"/>
      <c r="W332" s="60"/>
    </row>
    <row r="333" spans="1:23" ht="13" x14ac:dyDescent="0.3">
      <c r="A333" s="58"/>
      <c r="B333" s="58"/>
      <c r="C333" s="58"/>
      <c r="D333" s="58"/>
      <c r="E333" s="58"/>
      <c r="F333" s="58"/>
      <c r="G333" s="58"/>
      <c r="H333" s="59"/>
      <c r="I333" s="59"/>
      <c r="J333" s="59"/>
      <c r="K333" s="59"/>
      <c r="L333" s="59"/>
      <c r="M333" s="60"/>
      <c r="N333" s="60"/>
      <c r="O333" s="60"/>
      <c r="P333" s="59"/>
      <c r="Q333" s="59"/>
      <c r="R333" s="60"/>
      <c r="S333" s="60"/>
      <c r="T333" s="60"/>
      <c r="U333" s="60"/>
      <c r="V333" s="60"/>
      <c r="W333" s="60"/>
    </row>
    <row r="334" spans="1:23" ht="13" x14ac:dyDescent="0.3">
      <c r="A334" s="58"/>
      <c r="B334" s="58"/>
      <c r="C334" s="58"/>
      <c r="D334" s="58"/>
      <c r="E334" s="58"/>
      <c r="F334" s="58"/>
      <c r="G334" s="58"/>
      <c r="H334" s="59"/>
      <c r="I334" s="59"/>
      <c r="J334" s="59"/>
      <c r="K334" s="59"/>
      <c r="L334" s="59"/>
      <c r="M334" s="60"/>
      <c r="N334" s="60"/>
      <c r="O334" s="60"/>
      <c r="P334" s="59"/>
      <c r="Q334" s="59"/>
      <c r="R334" s="60"/>
      <c r="S334" s="60"/>
      <c r="T334" s="60"/>
      <c r="U334" s="60"/>
      <c r="V334" s="60"/>
      <c r="W334" s="60"/>
    </row>
    <row r="335" spans="1:23" ht="13" x14ac:dyDescent="0.3">
      <c r="A335" s="58"/>
      <c r="B335" s="58"/>
      <c r="C335" s="58"/>
      <c r="D335" s="58"/>
      <c r="E335" s="58"/>
      <c r="F335" s="58"/>
      <c r="G335" s="58"/>
      <c r="H335" s="59"/>
      <c r="I335" s="59"/>
      <c r="J335" s="59"/>
      <c r="K335" s="59"/>
      <c r="L335" s="59"/>
      <c r="M335" s="60"/>
      <c r="N335" s="60"/>
      <c r="O335" s="60"/>
      <c r="P335" s="59"/>
      <c r="Q335" s="59"/>
      <c r="R335" s="60"/>
      <c r="S335" s="60"/>
      <c r="T335" s="60"/>
      <c r="U335" s="60"/>
      <c r="V335" s="60"/>
      <c r="W335" s="60"/>
    </row>
    <row r="336" spans="1:23" ht="13" x14ac:dyDescent="0.3">
      <c r="A336" s="58"/>
      <c r="B336" s="58"/>
      <c r="C336" s="58"/>
      <c r="D336" s="58"/>
      <c r="E336" s="58"/>
      <c r="F336" s="58"/>
      <c r="G336" s="58"/>
      <c r="H336" s="59"/>
      <c r="I336" s="59"/>
      <c r="J336" s="59"/>
      <c r="K336" s="59"/>
      <c r="L336" s="59"/>
      <c r="M336" s="60"/>
      <c r="N336" s="60"/>
      <c r="O336" s="60"/>
      <c r="P336" s="59"/>
      <c r="Q336" s="59"/>
      <c r="R336" s="60"/>
      <c r="S336" s="60"/>
      <c r="T336" s="60"/>
      <c r="U336" s="60"/>
      <c r="V336" s="60"/>
      <c r="W336" s="60"/>
    </row>
    <row r="337" spans="1:23" ht="13" x14ac:dyDescent="0.3">
      <c r="A337" s="58"/>
      <c r="B337" s="58"/>
      <c r="C337" s="58"/>
      <c r="D337" s="58"/>
      <c r="E337" s="58"/>
      <c r="F337" s="58"/>
      <c r="G337" s="58"/>
      <c r="H337" s="59"/>
      <c r="I337" s="59"/>
      <c r="J337" s="59"/>
      <c r="K337" s="59"/>
      <c r="L337" s="59"/>
      <c r="M337" s="60"/>
      <c r="N337" s="60"/>
      <c r="O337" s="60"/>
      <c r="P337" s="59"/>
      <c r="Q337" s="59"/>
      <c r="R337" s="60"/>
      <c r="S337" s="60"/>
      <c r="T337" s="60"/>
      <c r="U337" s="60"/>
      <c r="V337" s="60"/>
      <c r="W337" s="60"/>
    </row>
    <row r="338" spans="1:23" ht="13" x14ac:dyDescent="0.3">
      <c r="A338" s="58"/>
      <c r="B338" s="58"/>
      <c r="C338" s="58"/>
      <c r="D338" s="58"/>
      <c r="E338" s="58"/>
      <c r="F338" s="58"/>
      <c r="G338" s="58"/>
      <c r="H338" s="59"/>
      <c r="I338" s="59"/>
      <c r="J338" s="59"/>
      <c r="K338" s="59"/>
      <c r="L338" s="59"/>
      <c r="M338" s="60"/>
      <c r="N338" s="60"/>
      <c r="O338" s="60"/>
      <c r="P338" s="59"/>
      <c r="Q338" s="59"/>
      <c r="R338" s="60"/>
      <c r="S338" s="60"/>
      <c r="T338" s="60"/>
      <c r="U338" s="60"/>
      <c r="V338" s="60"/>
      <c r="W338" s="60"/>
    </row>
    <row r="339" spans="1:23" ht="13" x14ac:dyDescent="0.3">
      <c r="A339" s="58"/>
      <c r="B339" s="58"/>
      <c r="C339" s="58"/>
      <c r="D339" s="58"/>
      <c r="E339" s="58"/>
      <c r="F339" s="58"/>
      <c r="G339" s="58"/>
      <c r="H339" s="59"/>
      <c r="I339" s="59"/>
      <c r="J339" s="59"/>
      <c r="K339" s="59"/>
      <c r="L339" s="59"/>
      <c r="M339" s="60"/>
      <c r="N339" s="60"/>
      <c r="O339" s="60"/>
      <c r="P339" s="59"/>
      <c r="Q339" s="59"/>
      <c r="R339" s="60"/>
      <c r="S339" s="60"/>
      <c r="T339" s="60"/>
      <c r="U339" s="60"/>
      <c r="V339" s="60"/>
      <c r="W339" s="60"/>
    </row>
    <row r="340" spans="1:23" ht="13" x14ac:dyDescent="0.3">
      <c r="A340" s="58"/>
      <c r="B340" s="58"/>
      <c r="C340" s="58"/>
      <c r="D340" s="58"/>
      <c r="E340" s="58"/>
      <c r="F340" s="58"/>
      <c r="G340" s="58"/>
      <c r="H340" s="59"/>
      <c r="I340" s="59"/>
      <c r="J340" s="59"/>
      <c r="K340" s="59"/>
      <c r="L340" s="59"/>
      <c r="M340" s="60"/>
      <c r="N340" s="60"/>
      <c r="O340" s="60"/>
      <c r="P340" s="59"/>
      <c r="Q340" s="59"/>
      <c r="R340" s="60"/>
      <c r="S340" s="60"/>
      <c r="T340" s="60"/>
      <c r="U340" s="60"/>
      <c r="V340" s="60"/>
      <c r="W340" s="60"/>
    </row>
    <row r="341" spans="1:23" ht="13" x14ac:dyDescent="0.3">
      <c r="A341" s="58"/>
      <c r="B341" s="58"/>
      <c r="C341" s="58"/>
      <c r="D341" s="58"/>
      <c r="E341" s="58"/>
      <c r="F341" s="58"/>
      <c r="G341" s="58"/>
      <c r="H341" s="59"/>
      <c r="I341" s="59"/>
      <c r="J341" s="59"/>
      <c r="K341" s="59"/>
      <c r="L341" s="59"/>
      <c r="M341" s="60"/>
      <c r="N341" s="60"/>
      <c r="O341" s="60"/>
      <c r="P341" s="59"/>
      <c r="Q341" s="59"/>
      <c r="R341" s="60"/>
      <c r="S341" s="60"/>
      <c r="T341" s="60"/>
      <c r="U341" s="60"/>
      <c r="V341" s="60"/>
      <c r="W341" s="60"/>
    </row>
    <row r="342" spans="1:23" ht="13" x14ac:dyDescent="0.3">
      <c r="A342" s="58"/>
      <c r="B342" s="58"/>
      <c r="C342" s="58"/>
      <c r="D342" s="58"/>
      <c r="E342" s="58"/>
      <c r="F342" s="58"/>
      <c r="G342" s="58"/>
      <c r="H342" s="59"/>
      <c r="I342" s="59"/>
      <c r="J342" s="59"/>
      <c r="K342" s="59"/>
      <c r="L342" s="59"/>
      <c r="M342" s="60"/>
      <c r="N342" s="60"/>
      <c r="O342" s="60"/>
      <c r="P342" s="59"/>
      <c r="Q342" s="59"/>
      <c r="R342" s="60"/>
      <c r="S342" s="60"/>
      <c r="T342" s="60"/>
      <c r="U342" s="60"/>
      <c r="V342" s="60"/>
      <c r="W342" s="60"/>
    </row>
    <row r="343" spans="1:23" ht="13" x14ac:dyDescent="0.3">
      <c r="A343" s="58"/>
      <c r="B343" s="58"/>
      <c r="C343" s="58"/>
      <c r="D343" s="58"/>
      <c r="E343" s="58"/>
      <c r="F343" s="58"/>
      <c r="G343" s="58"/>
      <c r="H343" s="59"/>
      <c r="I343" s="59"/>
      <c r="J343" s="59"/>
      <c r="K343" s="59"/>
      <c r="L343" s="59"/>
      <c r="M343" s="60"/>
      <c r="N343" s="60"/>
      <c r="O343" s="60"/>
      <c r="P343" s="59"/>
      <c r="Q343" s="59"/>
      <c r="R343" s="60"/>
      <c r="S343" s="60"/>
      <c r="T343" s="60"/>
      <c r="U343" s="60"/>
      <c r="V343" s="60"/>
      <c r="W343" s="60"/>
    </row>
    <row r="344" spans="1:23" ht="13" x14ac:dyDescent="0.3">
      <c r="A344" s="58"/>
      <c r="B344" s="58"/>
      <c r="C344" s="58"/>
      <c r="D344" s="58"/>
      <c r="E344" s="58"/>
      <c r="F344" s="58"/>
      <c r="G344" s="58"/>
      <c r="H344" s="59"/>
      <c r="I344" s="59"/>
      <c r="J344" s="59"/>
      <c r="K344" s="59"/>
      <c r="L344" s="59"/>
      <c r="M344" s="60"/>
      <c r="N344" s="60"/>
      <c r="O344" s="60"/>
      <c r="P344" s="59"/>
      <c r="Q344" s="59"/>
      <c r="R344" s="60"/>
      <c r="S344" s="60"/>
      <c r="T344" s="60"/>
      <c r="U344" s="60"/>
      <c r="V344" s="60"/>
      <c r="W344" s="60"/>
    </row>
    <row r="345" spans="1:23" ht="13" x14ac:dyDescent="0.3">
      <c r="A345" s="58"/>
      <c r="B345" s="58"/>
      <c r="C345" s="58"/>
      <c r="D345" s="58"/>
      <c r="E345" s="58"/>
      <c r="F345" s="58"/>
      <c r="G345" s="58"/>
      <c r="H345" s="59"/>
      <c r="I345" s="59"/>
      <c r="J345" s="59"/>
      <c r="K345" s="59"/>
      <c r="L345" s="59"/>
      <c r="M345" s="60"/>
      <c r="N345" s="60"/>
      <c r="O345" s="60"/>
      <c r="P345" s="59"/>
      <c r="Q345" s="59"/>
      <c r="R345" s="60"/>
      <c r="S345" s="60"/>
      <c r="T345" s="60"/>
      <c r="U345" s="60"/>
      <c r="V345" s="60"/>
      <c r="W345" s="60"/>
    </row>
    <row r="346" spans="1:23" ht="13" x14ac:dyDescent="0.3">
      <c r="A346" s="58"/>
      <c r="B346" s="58"/>
      <c r="C346" s="58"/>
      <c r="D346" s="58"/>
      <c r="E346" s="58"/>
      <c r="F346" s="58"/>
      <c r="G346" s="58"/>
      <c r="H346" s="59"/>
      <c r="I346" s="59"/>
      <c r="J346" s="59"/>
      <c r="K346" s="59"/>
      <c r="L346" s="59"/>
      <c r="M346" s="60"/>
      <c r="N346" s="60"/>
      <c r="O346" s="60"/>
      <c r="P346" s="59"/>
      <c r="Q346" s="59"/>
      <c r="R346" s="60"/>
      <c r="S346" s="60"/>
      <c r="T346" s="60"/>
      <c r="U346" s="60"/>
      <c r="V346" s="60"/>
      <c r="W346" s="60"/>
    </row>
    <row r="347" spans="1:23" ht="13" x14ac:dyDescent="0.3">
      <c r="A347" s="58"/>
      <c r="B347" s="58"/>
      <c r="C347" s="58"/>
      <c r="D347" s="58"/>
      <c r="E347" s="58"/>
      <c r="F347" s="58"/>
      <c r="G347" s="58"/>
      <c r="H347" s="59"/>
      <c r="I347" s="59"/>
      <c r="J347" s="59"/>
      <c r="K347" s="59"/>
      <c r="L347" s="59"/>
      <c r="M347" s="60"/>
      <c r="N347" s="60"/>
      <c r="O347" s="60"/>
      <c r="P347" s="59"/>
      <c r="Q347" s="59"/>
      <c r="R347" s="60"/>
      <c r="S347" s="60"/>
      <c r="T347" s="60"/>
      <c r="U347" s="60"/>
      <c r="V347" s="60"/>
      <c r="W347" s="60"/>
    </row>
    <row r="348" spans="1:23" ht="13" x14ac:dyDescent="0.3">
      <c r="A348" s="58"/>
      <c r="B348" s="58"/>
      <c r="C348" s="58"/>
      <c r="D348" s="58"/>
      <c r="E348" s="58"/>
      <c r="F348" s="58"/>
      <c r="G348" s="58"/>
      <c r="H348" s="59"/>
      <c r="I348" s="59"/>
      <c r="J348" s="59"/>
      <c r="K348" s="59"/>
      <c r="L348" s="59"/>
      <c r="M348" s="60"/>
      <c r="N348" s="60"/>
      <c r="O348" s="60"/>
      <c r="P348" s="59"/>
      <c r="Q348" s="59"/>
      <c r="R348" s="60"/>
      <c r="S348" s="60"/>
      <c r="T348" s="60"/>
      <c r="U348" s="60"/>
      <c r="V348" s="60"/>
      <c r="W348" s="60"/>
    </row>
    <row r="349" spans="1:23" ht="13" x14ac:dyDescent="0.3">
      <c r="A349" s="58"/>
      <c r="B349" s="58"/>
      <c r="C349" s="58"/>
      <c r="D349" s="58"/>
      <c r="E349" s="58"/>
      <c r="F349" s="58"/>
      <c r="G349" s="58"/>
      <c r="H349" s="59"/>
      <c r="I349" s="59"/>
      <c r="J349" s="59"/>
      <c r="K349" s="59"/>
      <c r="L349" s="59"/>
      <c r="M349" s="60"/>
      <c r="N349" s="60"/>
      <c r="O349" s="60"/>
      <c r="P349" s="59"/>
      <c r="Q349" s="59"/>
      <c r="R349" s="60"/>
      <c r="S349" s="60"/>
      <c r="T349" s="60"/>
      <c r="U349" s="60"/>
      <c r="V349" s="60"/>
      <c r="W349" s="60"/>
    </row>
    <row r="350" spans="1:23" ht="13" x14ac:dyDescent="0.3">
      <c r="A350" s="58"/>
      <c r="B350" s="58"/>
      <c r="C350" s="58"/>
      <c r="D350" s="58"/>
      <c r="E350" s="58"/>
      <c r="F350" s="58"/>
      <c r="G350" s="58"/>
      <c r="H350" s="59"/>
      <c r="I350" s="59"/>
      <c r="J350" s="59"/>
      <c r="K350" s="59"/>
      <c r="L350" s="59"/>
      <c r="M350" s="60"/>
      <c r="N350" s="60"/>
      <c r="O350" s="60"/>
      <c r="P350" s="59"/>
      <c r="Q350" s="59"/>
      <c r="R350" s="60"/>
      <c r="S350" s="60"/>
      <c r="T350" s="60"/>
      <c r="U350" s="60"/>
      <c r="V350" s="60"/>
      <c r="W350" s="60"/>
    </row>
    <row r="351" spans="1:23" ht="13" x14ac:dyDescent="0.3">
      <c r="A351" s="58"/>
      <c r="B351" s="58"/>
      <c r="C351" s="58"/>
      <c r="D351" s="58"/>
      <c r="E351" s="58"/>
      <c r="F351" s="58"/>
      <c r="G351" s="58"/>
      <c r="H351" s="59"/>
      <c r="I351" s="59"/>
      <c r="J351" s="59"/>
      <c r="K351" s="59"/>
      <c r="L351" s="59"/>
      <c r="M351" s="60"/>
      <c r="N351" s="60"/>
      <c r="O351" s="60"/>
      <c r="P351" s="59"/>
      <c r="Q351" s="59"/>
      <c r="R351" s="60"/>
      <c r="S351" s="60"/>
      <c r="T351" s="60"/>
      <c r="U351" s="60"/>
      <c r="V351" s="60"/>
      <c r="W351" s="60"/>
    </row>
    <row r="352" spans="1:23" ht="13" x14ac:dyDescent="0.3">
      <c r="A352" s="58"/>
      <c r="B352" s="58"/>
      <c r="C352" s="58"/>
      <c r="D352" s="58"/>
      <c r="E352" s="58"/>
      <c r="F352" s="58"/>
      <c r="G352" s="58"/>
      <c r="H352" s="59"/>
      <c r="I352" s="59"/>
      <c r="J352" s="59"/>
      <c r="K352" s="59"/>
      <c r="L352" s="59"/>
      <c r="M352" s="60"/>
      <c r="N352" s="60"/>
      <c r="O352" s="60"/>
      <c r="P352" s="59"/>
      <c r="Q352" s="59"/>
      <c r="R352" s="60"/>
      <c r="S352" s="60"/>
      <c r="T352" s="60"/>
      <c r="U352" s="60"/>
      <c r="V352" s="60"/>
      <c r="W352" s="60"/>
    </row>
    <row r="353" spans="1:23" ht="13" x14ac:dyDescent="0.3">
      <c r="A353" s="58"/>
      <c r="B353" s="58"/>
      <c r="C353" s="58"/>
      <c r="D353" s="58"/>
      <c r="E353" s="58"/>
      <c r="F353" s="58"/>
      <c r="G353" s="58"/>
      <c r="H353" s="59"/>
      <c r="I353" s="59"/>
      <c r="J353" s="59"/>
      <c r="K353" s="59"/>
      <c r="L353" s="59"/>
      <c r="M353" s="60"/>
      <c r="N353" s="60"/>
      <c r="O353" s="60"/>
      <c r="P353" s="59"/>
      <c r="Q353" s="59"/>
      <c r="R353" s="60"/>
      <c r="S353" s="60"/>
      <c r="T353" s="60"/>
      <c r="U353" s="60"/>
      <c r="V353" s="60"/>
      <c r="W353" s="60"/>
    </row>
    <row r="354" spans="1:23" ht="13" x14ac:dyDescent="0.3">
      <c r="A354" s="58"/>
      <c r="B354" s="58"/>
      <c r="C354" s="58"/>
      <c r="D354" s="58"/>
      <c r="E354" s="58"/>
      <c r="F354" s="58"/>
      <c r="G354" s="58"/>
      <c r="H354" s="59"/>
      <c r="I354" s="59"/>
      <c r="J354" s="59"/>
      <c r="K354" s="59"/>
      <c r="L354" s="59"/>
      <c r="M354" s="60"/>
      <c r="N354" s="60"/>
      <c r="O354" s="60"/>
      <c r="P354" s="59"/>
      <c r="Q354" s="59"/>
      <c r="R354" s="60"/>
      <c r="S354" s="60"/>
      <c r="T354" s="60"/>
      <c r="U354" s="60"/>
      <c r="V354" s="60"/>
      <c r="W354" s="60"/>
    </row>
    <row r="355" spans="1:23" ht="13" x14ac:dyDescent="0.3">
      <c r="A355" s="58"/>
      <c r="B355" s="58"/>
      <c r="C355" s="58"/>
      <c r="D355" s="58"/>
      <c r="E355" s="58"/>
      <c r="F355" s="58"/>
      <c r="G355" s="58"/>
      <c r="H355" s="59"/>
      <c r="I355" s="59"/>
      <c r="J355" s="59"/>
      <c r="K355" s="59"/>
      <c r="L355" s="59"/>
      <c r="M355" s="60"/>
      <c r="N355" s="60"/>
      <c r="O355" s="60"/>
      <c r="P355" s="59"/>
      <c r="Q355" s="59"/>
      <c r="R355" s="60"/>
      <c r="S355" s="60"/>
      <c r="T355" s="60"/>
      <c r="U355" s="60"/>
      <c r="V355" s="60"/>
      <c r="W355" s="60"/>
    </row>
    <row r="356" spans="1:23" ht="13" x14ac:dyDescent="0.3">
      <c r="A356" s="58"/>
      <c r="B356" s="58"/>
      <c r="C356" s="58"/>
      <c r="D356" s="58"/>
      <c r="E356" s="58"/>
      <c r="F356" s="58"/>
      <c r="G356" s="58"/>
      <c r="H356" s="59"/>
      <c r="I356" s="59"/>
      <c r="J356" s="59"/>
      <c r="K356" s="59"/>
      <c r="L356" s="59"/>
      <c r="M356" s="60"/>
      <c r="N356" s="60"/>
      <c r="O356" s="60"/>
      <c r="P356" s="59"/>
      <c r="Q356" s="59"/>
      <c r="R356" s="60"/>
      <c r="S356" s="60"/>
      <c r="T356" s="60"/>
      <c r="U356" s="60"/>
      <c r="V356" s="60"/>
      <c r="W356" s="60"/>
    </row>
    <row r="357" spans="1:23" ht="13" x14ac:dyDescent="0.3">
      <c r="A357" s="58"/>
      <c r="B357" s="58"/>
      <c r="C357" s="58"/>
      <c r="D357" s="58"/>
      <c r="E357" s="58"/>
      <c r="F357" s="58"/>
      <c r="G357" s="58"/>
      <c r="H357" s="59"/>
      <c r="I357" s="59"/>
      <c r="J357" s="59"/>
      <c r="K357" s="59"/>
      <c r="L357" s="59"/>
      <c r="M357" s="60"/>
      <c r="N357" s="60"/>
      <c r="O357" s="60"/>
      <c r="P357" s="59"/>
      <c r="Q357" s="59"/>
      <c r="R357" s="60"/>
      <c r="S357" s="60"/>
      <c r="T357" s="60"/>
      <c r="U357" s="60"/>
      <c r="V357" s="60"/>
      <c r="W357" s="60"/>
    </row>
    <row r="358" spans="1:23" ht="13" x14ac:dyDescent="0.3">
      <c r="A358" s="58"/>
      <c r="B358" s="58"/>
      <c r="C358" s="58"/>
      <c r="D358" s="58"/>
      <c r="E358" s="58"/>
      <c r="F358" s="58"/>
      <c r="G358" s="58"/>
      <c r="H358" s="59"/>
      <c r="I358" s="59"/>
      <c r="J358" s="59"/>
      <c r="K358" s="59"/>
      <c r="L358" s="59"/>
      <c r="M358" s="60"/>
      <c r="N358" s="60"/>
      <c r="O358" s="60"/>
      <c r="P358" s="59"/>
      <c r="Q358" s="59"/>
      <c r="R358" s="60"/>
      <c r="S358" s="60"/>
      <c r="T358" s="60"/>
      <c r="U358" s="60"/>
      <c r="V358" s="60"/>
      <c r="W358" s="60"/>
    </row>
    <row r="359" spans="1:23" ht="13" x14ac:dyDescent="0.3">
      <c r="A359" s="58"/>
      <c r="B359" s="58"/>
      <c r="C359" s="58"/>
      <c r="D359" s="58"/>
      <c r="E359" s="58"/>
      <c r="F359" s="58"/>
      <c r="G359" s="58"/>
      <c r="H359" s="59"/>
      <c r="I359" s="59"/>
      <c r="J359" s="59"/>
      <c r="K359" s="59"/>
      <c r="L359" s="59"/>
      <c r="M359" s="60"/>
      <c r="N359" s="60"/>
      <c r="O359" s="60"/>
      <c r="P359" s="59"/>
      <c r="Q359" s="59"/>
      <c r="R359" s="60"/>
      <c r="S359" s="60"/>
      <c r="T359" s="60"/>
      <c r="U359" s="60"/>
      <c r="V359" s="60"/>
      <c r="W359" s="60"/>
    </row>
    <row r="360" spans="1:23" ht="13" x14ac:dyDescent="0.3">
      <c r="A360" s="58"/>
      <c r="B360" s="58"/>
      <c r="C360" s="58"/>
      <c r="D360" s="58"/>
      <c r="E360" s="58"/>
      <c r="F360" s="58"/>
      <c r="G360" s="58"/>
      <c r="H360" s="59"/>
      <c r="I360" s="59"/>
      <c r="J360" s="59"/>
      <c r="K360" s="59"/>
      <c r="L360" s="59"/>
      <c r="M360" s="60"/>
      <c r="N360" s="60"/>
      <c r="O360" s="60"/>
      <c r="P360" s="59"/>
      <c r="Q360" s="59"/>
      <c r="R360" s="60"/>
      <c r="S360" s="60"/>
      <c r="T360" s="60"/>
      <c r="U360" s="60"/>
      <c r="V360" s="60"/>
      <c r="W360" s="60"/>
    </row>
    <row r="361" spans="1:23" ht="13" x14ac:dyDescent="0.3">
      <c r="A361" s="58"/>
      <c r="B361" s="58"/>
      <c r="C361" s="58"/>
      <c r="D361" s="58"/>
      <c r="E361" s="58"/>
      <c r="F361" s="58"/>
      <c r="G361" s="58"/>
      <c r="H361" s="59"/>
      <c r="I361" s="59"/>
      <c r="J361" s="59"/>
      <c r="K361" s="59"/>
      <c r="L361" s="59"/>
      <c r="M361" s="60"/>
      <c r="N361" s="60"/>
      <c r="O361" s="60"/>
      <c r="P361" s="59"/>
      <c r="Q361" s="59"/>
      <c r="R361" s="60"/>
      <c r="S361" s="60"/>
      <c r="T361" s="60"/>
      <c r="U361" s="60"/>
      <c r="V361" s="60"/>
      <c r="W361" s="60"/>
    </row>
    <row r="362" spans="1:23" ht="13" x14ac:dyDescent="0.3">
      <c r="A362" s="58"/>
      <c r="B362" s="58"/>
      <c r="C362" s="58"/>
      <c r="D362" s="58"/>
      <c r="E362" s="58"/>
      <c r="F362" s="58"/>
      <c r="G362" s="58"/>
      <c r="H362" s="59"/>
      <c r="I362" s="59"/>
      <c r="J362" s="59"/>
      <c r="K362" s="59"/>
      <c r="L362" s="59"/>
      <c r="M362" s="60"/>
      <c r="N362" s="60"/>
      <c r="O362" s="60"/>
      <c r="P362" s="59"/>
      <c r="Q362" s="59"/>
      <c r="R362" s="60"/>
      <c r="S362" s="60"/>
      <c r="T362" s="60"/>
      <c r="U362" s="60"/>
      <c r="V362" s="60"/>
      <c r="W362" s="60"/>
    </row>
    <row r="363" spans="1:23" ht="13" x14ac:dyDescent="0.3">
      <c r="A363" s="58"/>
      <c r="B363" s="58"/>
      <c r="C363" s="58"/>
      <c r="D363" s="58"/>
      <c r="E363" s="58"/>
      <c r="F363" s="58"/>
      <c r="G363" s="58"/>
      <c r="H363" s="59"/>
      <c r="I363" s="59"/>
      <c r="J363" s="59"/>
      <c r="K363" s="59"/>
      <c r="L363" s="59"/>
      <c r="M363" s="60"/>
      <c r="N363" s="60"/>
      <c r="O363" s="60"/>
      <c r="P363" s="59"/>
      <c r="Q363" s="59"/>
      <c r="R363" s="60"/>
      <c r="S363" s="60"/>
      <c r="T363" s="60"/>
      <c r="U363" s="60"/>
      <c r="V363" s="60"/>
      <c r="W363" s="60"/>
    </row>
    <row r="364" spans="1:23" ht="13" x14ac:dyDescent="0.3">
      <c r="A364" s="58"/>
      <c r="B364" s="58"/>
      <c r="C364" s="58"/>
      <c r="D364" s="58"/>
      <c r="E364" s="58"/>
      <c r="F364" s="58"/>
      <c r="G364" s="58"/>
      <c r="H364" s="59"/>
      <c r="I364" s="59"/>
      <c r="J364" s="59"/>
      <c r="K364" s="59"/>
      <c r="L364" s="59"/>
      <c r="M364" s="60"/>
      <c r="N364" s="60"/>
      <c r="O364" s="60"/>
      <c r="P364" s="59"/>
      <c r="Q364" s="59"/>
      <c r="R364" s="60"/>
      <c r="S364" s="60"/>
      <c r="T364" s="60"/>
      <c r="U364" s="60"/>
      <c r="V364" s="60"/>
      <c r="W364" s="60"/>
    </row>
    <row r="365" spans="1:23" ht="13" x14ac:dyDescent="0.3">
      <c r="A365" s="58"/>
      <c r="B365" s="58"/>
      <c r="C365" s="58"/>
      <c r="D365" s="58"/>
      <c r="E365" s="58"/>
      <c r="F365" s="58"/>
      <c r="G365" s="58"/>
      <c r="H365" s="59"/>
      <c r="I365" s="59"/>
      <c r="J365" s="59"/>
      <c r="K365" s="59"/>
      <c r="L365" s="59"/>
      <c r="M365" s="60"/>
      <c r="N365" s="60"/>
      <c r="O365" s="60"/>
      <c r="P365" s="59"/>
      <c r="Q365" s="59"/>
      <c r="R365" s="60"/>
      <c r="S365" s="60"/>
      <c r="T365" s="60"/>
      <c r="U365" s="60"/>
      <c r="V365" s="60"/>
      <c r="W365" s="60"/>
    </row>
    <row r="366" spans="1:23" ht="13" x14ac:dyDescent="0.3">
      <c r="A366" s="58"/>
      <c r="B366" s="58"/>
      <c r="C366" s="58"/>
      <c r="D366" s="58"/>
      <c r="E366" s="58"/>
      <c r="F366" s="58"/>
      <c r="G366" s="58"/>
      <c r="H366" s="59"/>
      <c r="I366" s="59"/>
      <c r="J366" s="59"/>
      <c r="K366" s="59"/>
      <c r="L366" s="59"/>
      <c r="M366" s="60"/>
      <c r="N366" s="60"/>
      <c r="O366" s="60"/>
      <c r="P366" s="59"/>
      <c r="Q366" s="59"/>
      <c r="R366" s="60"/>
      <c r="S366" s="60"/>
      <c r="T366" s="60"/>
      <c r="U366" s="60"/>
      <c r="V366" s="60"/>
      <c r="W366" s="60"/>
    </row>
    <row r="367" spans="1:23" ht="13" x14ac:dyDescent="0.3">
      <c r="A367" s="58"/>
      <c r="B367" s="58"/>
      <c r="C367" s="58"/>
      <c r="D367" s="58"/>
      <c r="E367" s="58"/>
      <c r="F367" s="58"/>
      <c r="G367" s="58"/>
      <c r="H367" s="59"/>
      <c r="I367" s="59"/>
      <c r="J367" s="59"/>
      <c r="K367" s="59"/>
      <c r="L367" s="59"/>
      <c r="M367" s="60"/>
      <c r="N367" s="60"/>
      <c r="O367" s="60"/>
      <c r="P367" s="59"/>
      <c r="Q367" s="59"/>
      <c r="R367" s="60"/>
      <c r="S367" s="60"/>
      <c r="T367" s="60"/>
      <c r="U367" s="60"/>
      <c r="V367" s="60"/>
      <c r="W367" s="60"/>
    </row>
    <row r="368" spans="1:23" ht="13" x14ac:dyDescent="0.3">
      <c r="A368" s="58"/>
      <c r="B368" s="58"/>
      <c r="C368" s="58"/>
      <c r="D368" s="58"/>
      <c r="E368" s="58"/>
      <c r="F368" s="58"/>
      <c r="G368" s="58"/>
      <c r="H368" s="59"/>
      <c r="I368" s="59"/>
      <c r="J368" s="59"/>
      <c r="K368" s="59"/>
      <c r="L368" s="59"/>
      <c r="M368" s="60"/>
      <c r="N368" s="60"/>
      <c r="O368" s="60"/>
      <c r="P368" s="59"/>
      <c r="Q368" s="59"/>
      <c r="R368" s="60"/>
      <c r="S368" s="60"/>
      <c r="T368" s="60"/>
      <c r="U368" s="60"/>
      <c r="V368" s="60"/>
      <c r="W368" s="60"/>
    </row>
    <row r="369" spans="1:23" ht="13" x14ac:dyDescent="0.3">
      <c r="A369" s="58"/>
      <c r="B369" s="58"/>
      <c r="C369" s="58"/>
      <c r="D369" s="58"/>
      <c r="E369" s="58"/>
      <c r="F369" s="58"/>
      <c r="G369" s="58"/>
      <c r="H369" s="59"/>
      <c r="I369" s="59"/>
      <c r="J369" s="59"/>
      <c r="K369" s="59"/>
      <c r="L369" s="59"/>
      <c r="M369" s="60"/>
      <c r="N369" s="60"/>
      <c r="O369" s="60"/>
      <c r="P369" s="59"/>
      <c r="Q369" s="59"/>
      <c r="R369" s="60"/>
      <c r="S369" s="60"/>
      <c r="T369" s="60"/>
      <c r="U369" s="60"/>
      <c r="V369" s="60"/>
      <c r="W369" s="60"/>
    </row>
    <row r="370" spans="1:23" ht="13" x14ac:dyDescent="0.3">
      <c r="A370" s="58"/>
      <c r="B370" s="58"/>
      <c r="C370" s="58"/>
      <c r="D370" s="58"/>
      <c r="E370" s="58"/>
      <c r="F370" s="58"/>
      <c r="G370" s="58"/>
      <c r="H370" s="59"/>
      <c r="I370" s="59"/>
      <c r="J370" s="59"/>
      <c r="K370" s="59"/>
      <c r="L370" s="59"/>
      <c r="M370" s="60"/>
      <c r="N370" s="60"/>
      <c r="O370" s="60"/>
      <c r="P370" s="59"/>
      <c r="Q370" s="59"/>
      <c r="R370" s="60"/>
      <c r="S370" s="60"/>
      <c r="T370" s="60"/>
      <c r="U370" s="60"/>
      <c r="V370" s="60"/>
      <c r="W370" s="60"/>
    </row>
    <row r="371" spans="1:23" ht="13" x14ac:dyDescent="0.3">
      <c r="A371" s="58"/>
      <c r="B371" s="58"/>
      <c r="C371" s="58"/>
      <c r="D371" s="58"/>
      <c r="E371" s="58"/>
      <c r="F371" s="58"/>
      <c r="G371" s="58"/>
      <c r="H371" s="59"/>
      <c r="I371" s="59"/>
      <c r="J371" s="59"/>
      <c r="K371" s="59"/>
      <c r="L371" s="59"/>
      <c r="M371" s="60"/>
      <c r="N371" s="60"/>
      <c r="O371" s="60"/>
      <c r="P371" s="59"/>
      <c r="Q371" s="59"/>
      <c r="R371" s="60"/>
      <c r="S371" s="60"/>
      <c r="T371" s="60"/>
      <c r="U371" s="60"/>
      <c r="V371" s="60"/>
      <c r="W371" s="60"/>
    </row>
    <row r="372" spans="1:23" ht="13" x14ac:dyDescent="0.3">
      <c r="A372" s="58"/>
      <c r="B372" s="58"/>
      <c r="C372" s="58"/>
      <c r="D372" s="58"/>
      <c r="E372" s="58"/>
      <c r="F372" s="58"/>
      <c r="G372" s="58"/>
      <c r="H372" s="59"/>
      <c r="I372" s="59"/>
      <c r="J372" s="59"/>
      <c r="K372" s="59"/>
      <c r="L372" s="59"/>
      <c r="M372" s="60"/>
      <c r="N372" s="60"/>
      <c r="O372" s="60"/>
      <c r="P372" s="59"/>
      <c r="Q372" s="59"/>
      <c r="R372" s="60"/>
      <c r="S372" s="60"/>
      <c r="T372" s="60"/>
      <c r="U372" s="60"/>
      <c r="V372" s="60"/>
      <c r="W372" s="60"/>
    </row>
    <row r="373" spans="1:23" ht="13" x14ac:dyDescent="0.3">
      <c r="A373" s="58"/>
      <c r="B373" s="58"/>
      <c r="C373" s="58"/>
      <c r="D373" s="58"/>
      <c r="E373" s="58"/>
      <c r="F373" s="58"/>
      <c r="G373" s="58"/>
      <c r="H373" s="59"/>
      <c r="I373" s="59"/>
      <c r="J373" s="59"/>
      <c r="K373" s="59"/>
      <c r="L373" s="59"/>
      <c r="M373" s="60"/>
      <c r="N373" s="60"/>
      <c r="O373" s="60"/>
      <c r="P373" s="59"/>
      <c r="Q373" s="59"/>
      <c r="R373" s="60"/>
      <c r="S373" s="60"/>
      <c r="T373" s="60"/>
      <c r="U373" s="60"/>
      <c r="V373" s="60"/>
      <c r="W373" s="60"/>
    </row>
    <row r="374" spans="1:23" ht="13" x14ac:dyDescent="0.3">
      <c r="A374" s="58"/>
      <c r="B374" s="58"/>
      <c r="C374" s="58"/>
      <c r="D374" s="58"/>
      <c r="E374" s="58"/>
      <c r="F374" s="58"/>
      <c r="G374" s="58"/>
      <c r="H374" s="59"/>
      <c r="I374" s="59"/>
      <c r="J374" s="59"/>
      <c r="K374" s="59"/>
      <c r="L374" s="59"/>
      <c r="M374" s="60"/>
      <c r="N374" s="60"/>
      <c r="O374" s="60"/>
      <c r="P374" s="59"/>
      <c r="Q374" s="59"/>
      <c r="R374" s="60"/>
      <c r="S374" s="60"/>
      <c r="T374" s="60"/>
      <c r="U374" s="60"/>
      <c r="V374" s="60"/>
      <c r="W374" s="60"/>
    </row>
    <row r="375" spans="1:23" ht="13" x14ac:dyDescent="0.3">
      <c r="A375" s="58"/>
      <c r="B375" s="58"/>
      <c r="C375" s="58"/>
      <c r="D375" s="58"/>
      <c r="E375" s="58"/>
      <c r="F375" s="58"/>
      <c r="G375" s="58"/>
      <c r="H375" s="59"/>
      <c r="I375" s="59"/>
      <c r="J375" s="59"/>
      <c r="K375" s="59"/>
      <c r="L375" s="59"/>
      <c r="M375" s="60"/>
      <c r="N375" s="60"/>
      <c r="O375" s="60"/>
      <c r="P375" s="59"/>
      <c r="Q375" s="59"/>
      <c r="R375" s="60"/>
      <c r="S375" s="60"/>
      <c r="T375" s="60"/>
      <c r="U375" s="60"/>
      <c r="V375" s="60"/>
      <c r="W375" s="60"/>
    </row>
    <row r="376" spans="1:23" ht="13" x14ac:dyDescent="0.3">
      <c r="A376" s="58"/>
      <c r="B376" s="58"/>
      <c r="C376" s="58"/>
      <c r="D376" s="58"/>
      <c r="E376" s="58"/>
      <c r="F376" s="58"/>
      <c r="G376" s="58"/>
      <c r="H376" s="59"/>
      <c r="I376" s="59"/>
      <c r="J376" s="59"/>
      <c r="K376" s="59"/>
      <c r="L376" s="59"/>
      <c r="M376" s="60"/>
      <c r="N376" s="60"/>
      <c r="O376" s="60"/>
      <c r="P376" s="59"/>
      <c r="Q376" s="59"/>
      <c r="R376" s="60"/>
      <c r="S376" s="60"/>
      <c r="T376" s="60"/>
      <c r="U376" s="60"/>
      <c r="V376" s="60"/>
      <c r="W376" s="60"/>
    </row>
    <row r="377" spans="1:23" ht="13" x14ac:dyDescent="0.3">
      <c r="A377" s="58"/>
      <c r="B377" s="58"/>
      <c r="C377" s="58"/>
      <c r="D377" s="58"/>
      <c r="E377" s="58"/>
      <c r="F377" s="58"/>
      <c r="G377" s="58"/>
      <c r="H377" s="59"/>
      <c r="I377" s="59"/>
      <c r="J377" s="59"/>
      <c r="K377" s="59"/>
      <c r="L377" s="59"/>
      <c r="M377" s="60"/>
      <c r="N377" s="60"/>
      <c r="O377" s="60"/>
      <c r="P377" s="59"/>
      <c r="Q377" s="59"/>
      <c r="R377" s="60"/>
      <c r="S377" s="60"/>
      <c r="T377" s="60"/>
      <c r="U377" s="60"/>
      <c r="V377" s="60"/>
      <c r="W377" s="60"/>
    </row>
    <row r="378" spans="1:23" ht="13" x14ac:dyDescent="0.3">
      <c r="A378" s="58"/>
      <c r="B378" s="58"/>
      <c r="C378" s="58"/>
      <c r="D378" s="58"/>
      <c r="E378" s="58"/>
      <c r="F378" s="58"/>
      <c r="G378" s="58"/>
      <c r="H378" s="59"/>
      <c r="I378" s="59"/>
      <c r="J378" s="59"/>
      <c r="K378" s="59"/>
      <c r="L378" s="59"/>
      <c r="M378" s="60"/>
      <c r="N378" s="60"/>
      <c r="O378" s="60"/>
      <c r="P378" s="59"/>
      <c r="Q378" s="59"/>
      <c r="R378" s="60"/>
      <c r="S378" s="60"/>
      <c r="T378" s="60"/>
      <c r="U378" s="60"/>
      <c r="V378" s="60"/>
      <c r="W378" s="60"/>
    </row>
    <row r="379" spans="1:23" ht="13" x14ac:dyDescent="0.3">
      <c r="A379" s="58"/>
      <c r="B379" s="58"/>
      <c r="C379" s="58"/>
      <c r="D379" s="58"/>
      <c r="E379" s="58"/>
      <c r="F379" s="58"/>
      <c r="G379" s="58"/>
      <c r="H379" s="59"/>
      <c r="I379" s="59"/>
      <c r="J379" s="59"/>
      <c r="K379" s="59"/>
      <c r="L379" s="59"/>
      <c r="M379" s="60"/>
      <c r="N379" s="60"/>
      <c r="O379" s="60"/>
      <c r="P379" s="59"/>
      <c r="Q379" s="59"/>
      <c r="R379" s="60"/>
      <c r="S379" s="60"/>
      <c r="T379" s="60"/>
      <c r="U379" s="60"/>
      <c r="V379" s="60"/>
      <c r="W379" s="60"/>
    </row>
    <row r="380" spans="1:23" ht="13" x14ac:dyDescent="0.3">
      <c r="A380" s="58"/>
      <c r="B380" s="58"/>
      <c r="C380" s="58"/>
      <c r="D380" s="58"/>
      <c r="E380" s="58"/>
      <c r="F380" s="58"/>
      <c r="G380" s="58"/>
      <c r="H380" s="59"/>
      <c r="I380" s="59"/>
      <c r="J380" s="59"/>
      <c r="K380" s="59"/>
      <c r="L380" s="59"/>
      <c r="M380" s="60"/>
      <c r="N380" s="60"/>
      <c r="O380" s="60"/>
      <c r="P380" s="59"/>
      <c r="Q380" s="59"/>
      <c r="R380" s="60"/>
      <c r="S380" s="60"/>
      <c r="T380" s="60"/>
      <c r="U380" s="60"/>
      <c r="V380" s="60"/>
      <c r="W380" s="60"/>
    </row>
    <row r="381" spans="1:23" ht="13" x14ac:dyDescent="0.3">
      <c r="A381" s="58"/>
      <c r="B381" s="58"/>
      <c r="C381" s="58"/>
      <c r="D381" s="58"/>
      <c r="E381" s="58"/>
      <c r="F381" s="58"/>
      <c r="G381" s="58"/>
      <c r="H381" s="59"/>
      <c r="I381" s="59"/>
      <c r="J381" s="59"/>
      <c r="K381" s="59"/>
      <c r="L381" s="59"/>
      <c r="M381" s="60"/>
      <c r="N381" s="60"/>
      <c r="O381" s="60"/>
      <c r="P381" s="59"/>
      <c r="Q381" s="59"/>
      <c r="R381" s="60"/>
      <c r="S381" s="60"/>
      <c r="T381" s="60"/>
      <c r="U381" s="60"/>
      <c r="V381" s="60"/>
      <c r="W381" s="60"/>
    </row>
    <row r="382" spans="1:23" ht="13" x14ac:dyDescent="0.3">
      <c r="A382" s="58"/>
      <c r="B382" s="58"/>
      <c r="C382" s="58"/>
      <c r="D382" s="58"/>
      <c r="E382" s="58"/>
      <c r="F382" s="58"/>
      <c r="G382" s="58"/>
      <c r="H382" s="59"/>
      <c r="I382" s="59"/>
      <c r="J382" s="59"/>
      <c r="K382" s="59"/>
      <c r="L382" s="59"/>
      <c r="M382" s="60"/>
      <c r="N382" s="60"/>
      <c r="O382" s="60"/>
      <c r="P382" s="59"/>
      <c r="Q382" s="59"/>
      <c r="R382" s="60"/>
      <c r="S382" s="60"/>
      <c r="T382" s="60"/>
      <c r="U382" s="60"/>
      <c r="V382" s="60"/>
      <c r="W382" s="60"/>
    </row>
    <row r="383" spans="1:23" ht="13" x14ac:dyDescent="0.3">
      <c r="A383" s="58"/>
      <c r="B383" s="58"/>
      <c r="C383" s="58"/>
      <c r="D383" s="58"/>
      <c r="E383" s="58"/>
      <c r="F383" s="58"/>
      <c r="G383" s="58"/>
      <c r="H383" s="59"/>
      <c r="I383" s="59"/>
      <c r="J383" s="59"/>
      <c r="K383" s="59"/>
      <c r="L383" s="59"/>
      <c r="M383" s="60"/>
      <c r="N383" s="60"/>
      <c r="O383" s="60"/>
      <c r="P383" s="59"/>
      <c r="Q383" s="59"/>
      <c r="R383" s="60"/>
      <c r="S383" s="60"/>
      <c r="T383" s="60"/>
      <c r="U383" s="60"/>
      <c r="V383" s="60"/>
      <c r="W383" s="60"/>
    </row>
    <row r="384" spans="1:23" ht="13" x14ac:dyDescent="0.3">
      <c r="A384" s="58"/>
      <c r="B384" s="58"/>
      <c r="C384" s="58"/>
      <c r="D384" s="58"/>
      <c r="E384" s="58"/>
      <c r="F384" s="58"/>
      <c r="G384" s="58"/>
      <c r="H384" s="59"/>
      <c r="I384" s="59"/>
      <c r="J384" s="59"/>
      <c r="K384" s="59"/>
      <c r="L384" s="59"/>
      <c r="M384" s="60"/>
      <c r="N384" s="60"/>
      <c r="O384" s="60"/>
      <c r="P384" s="59"/>
      <c r="Q384" s="59"/>
      <c r="R384" s="60"/>
      <c r="S384" s="60"/>
      <c r="T384" s="60"/>
      <c r="U384" s="60"/>
      <c r="V384" s="60"/>
      <c r="W384" s="60"/>
    </row>
    <row r="385" spans="1:23" ht="13" x14ac:dyDescent="0.3">
      <c r="A385" s="58"/>
      <c r="B385" s="58"/>
      <c r="C385" s="58"/>
      <c r="D385" s="58"/>
      <c r="E385" s="58"/>
      <c r="F385" s="58"/>
      <c r="G385" s="58"/>
      <c r="H385" s="59"/>
      <c r="I385" s="59"/>
      <c r="J385" s="59"/>
      <c r="K385" s="59"/>
      <c r="L385" s="59"/>
      <c r="M385" s="60"/>
      <c r="N385" s="60"/>
      <c r="O385" s="60"/>
      <c r="P385" s="59"/>
      <c r="Q385" s="59"/>
      <c r="R385" s="60"/>
      <c r="S385" s="60"/>
      <c r="T385" s="60"/>
      <c r="U385" s="60"/>
      <c r="V385" s="60"/>
      <c r="W385" s="60"/>
    </row>
    <row r="386" spans="1:23" ht="13" x14ac:dyDescent="0.3">
      <c r="A386" s="58"/>
      <c r="B386" s="58"/>
      <c r="C386" s="58"/>
      <c r="D386" s="58"/>
      <c r="E386" s="58"/>
      <c r="F386" s="58"/>
      <c r="G386" s="58"/>
      <c r="H386" s="59"/>
      <c r="I386" s="59"/>
      <c r="J386" s="59"/>
      <c r="K386" s="59"/>
      <c r="L386" s="59"/>
      <c r="M386" s="60"/>
      <c r="N386" s="60"/>
      <c r="O386" s="60"/>
      <c r="P386" s="59"/>
      <c r="Q386" s="59"/>
      <c r="R386" s="60"/>
      <c r="S386" s="60"/>
      <c r="T386" s="60"/>
      <c r="U386" s="60"/>
      <c r="V386" s="60"/>
      <c r="W386" s="60"/>
    </row>
    <row r="387" spans="1:23" ht="13" x14ac:dyDescent="0.3">
      <c r="A387" s="58"/>
      <c r="B387" s="58"/>
      <c r="C387" s="58"/>
      <c r="D387" s="58"/>
      <c r="E387" s="58"/>
      <c r="F387" s="58"/>
      <c r="G387" s="58"/>
      <c r="H387" s="59"/>
      <c r="I387" s="59"/>
      <c r="J387" s="59"/>
      <c r="K387" s="59"/>
      <c r="L387" s="59"/>
      <c r="M387" s="60"/>
      <c r="N387" s="60"/>
      <c r="O387" s="60"/>
      <c r="P387" s="59"/>
      <c r="Q387" s="59"/>
      <c r="R387" s="60"/>
      <c r="S387" s="60"/>
      <c r="T387" s="60"/>
      <c r="U387" s="60"/>
      <c r="V387" s="60"/>
      <c r="W387" s="60"/>
    </row>
    <row r="388" spans="1:23" ht="13" x14ac:dyDescent="0.3">
      <c r="A388" s="58"/>
      <c r="B388" s="58"/>
      <c r="C388" s="58"/>
      <c r="D388" s="58"/>
      <c r="E388" s="58"/>
      <c r="F388" s="58"/>
      <c r="G388" s="58"/>
      <c r="H388" s="59"/>
      <c r="I388" s="59"/>
      <c r="J388" s="59"/>
      <c r="K388" s="59"/>
      <c r="L388" s="59"/>
      <c r="M388" s="60"/>
      <c r="N388" s="60"/>
      <c r="O388" s="60"/>
      <c r="P388" s="59"/>
      <c r="Q388" s="59"/>
      <c r="R388" s="60"/>
      <c r="S388" s="60"/>
      <c r="T388" s="60"/>
      <c r="U388" s="60"/>
      <c r="V388" s="60"/>
      <c r="W388" s="60"/>
    </row>
    <row r="389" spans="1:23" ht="13" x14ac:dyDescent="0.3">
      <c r="A389" s="58"/>
      <c r="B389" s="58"/>
      <c r="C389" s="58"/>
      <c r="D389" s="58"/>
      <c r="E389" s="58"/>
      <c r="F389" s="58"/>
      <c r="G389" s="58"/>
      <c r="H389" s="59"/>
      <c r="I389" s="59"/>
      <c r="J389" s="59"/>
      <c r="K389" s="59"/>
      <c r="L389" s="59"/>
      <c r="M389" s="60"/>
      <c r="N389" s="60"/>
      <c r="O389" s="60"/>
      <c r="P389" s="59"/>
      <c r="Q389" s="59"/>
      <c r="R389" s="60"/>
      <c r="S389" s="60"/>
      <c r="T389" s="60"/>
      <c r="U389" s="60"/>
      <c r="V389" s="60"/>
      <c r="W389" s="60"/>
    </row>
    <row r="390" spans="1:23" ht="13" x14ac:dyDescent="0.3">
      <c r="A390" s="58"/>
      <c r="B390" s="58"/>
      <c r="C390" s="58"/>
      <c r="D390" s="58"/>
      <c r="E390" s="58"/>
      <c r="F390" s="58"/>
      <c r="G390" s="58"/>
      <c r="H390" s="59"/>
      <c r="I390" s="59"/>
      <c r="J390" s="59"/>
      <c r="K390" s="59"/>
      <c r="L390" s="59"/>
      <c r="M390" s="60"/>
      <c r="N390" s="60"/>
      <c r="O390" s="60"/>
      <c r="P390" s="59"/>
      <c r="Q390" s="59"/>
      <c r="R390" s="60"/>
      <c r="S390" s="60"/>
      <c r="T390" s="60"/>
      <c r="U390" s="60"/>
      <c r="V390" s="60"/>
      <c r="W390" s="60"/>
    </row>
    <row r="391" spans="1:23" ht="13" x14ac:dyDescent="0.3">
      <c r="A391" s="58"/>
      <c r="B391" s="58"/>
      <c r="C391" s="58"/>
      <c r="D391" s="58"/>
      <c r="E391" s="58"/>
      <c r="F391" s="58"/>
      <c r="G391" s="58"/>
      <c r="H391" s="59"/>
      <c r="I391" s="59"/>
      <c r="J391" s="59"/>
      <c r="K391" s="59"/>
      <c r="L391" s="59"/>
      <c r="M391" s="60"/>
      <c r="N391" s="60"/>
      <c r="O391" s="60"/>
      <c r="P391" s="59"/>
      <c r="Q391" s="59"/>
      <c r="R391" s="60"/>
      <c r="S391" s="60"/>
      <c r="T391" s="60"/>
      <c r="U391" s="60"/>
      <c r="V391" s="60"/>
      <c r="W391" s="60"/>
    </row>
    <row r="392" spans="1:23" ht="13" x14ac:dyDescent="0.3">
      <c r="A392" s="58"/>
      <c r="B392" s="58"/>
      <c r="C392" s="58"/>
      <c r="D392" s="58"/>
      <c r="E392" s="58"/>
      <c r="F392" s="58"/>
      <c r="G392" s="58"/>
      <c r="H392" s="59"/>
      <c r="I392" s="59"/>
      <c r="J392" s="59"/>
      <c r="K392" s="59"/>
      <c r="L392" s="59"/>
      <c r="M392" s="60"/>
      <c r="N392" s="60"/>
      <c r="O392" s="60"/>
      <c r="P392" s="59"/>
      <c r="Q392" s="59"/>
      <c r="R392" s="60"/>
      <c r="S392" s="60"/>
      <c r="T392" s="60"/>
      <c r="U392" s="60"/>
      <c r="V392" s="60"/>
      <c r="W392" s="60"/>
    </row>
    <row r="393" spans="1:23" ht="13" x14ac:dyDescent="0.3">
      <c r="A393" s="58"/>
      <c r="B393" s="58"/>
      <c r="C393" s="58"/>
      <c r="D393" s="58"/>
      <c r="E393" s="58"/>
      <c r="F393" s="58"/>
      <c r="G393" s="58"/>
      <c r="H393" s="59"/>
      <c r="I393" s="59"/>
      <c r="J393" s="59"/>
      <c r="K393" s="59"/>
      <c r="L393" s="59"/>
      <c r="M393" s="60"/>
      <c r="N393" s="60"/>
      <c r="O393" s="60"/>
      <c r="P393" s="59"/>
      <c r="Q393" s="59"/>
      <c r="R393" s="60"/>
      <c r="S393" s="60"/>
      <c r="T393" s="60"/>
      <c r="U393" s="60"/>
      <c r="V393" s="60"/>
      <c r="W393" s="60"/>
    </row>
    <row r="394" spans="1:23" ht="13" x14ac:dyDescent="0.3">
      <c r="A394" s="58"/>
      <c r="B394" s="58"/>
      <c r="C394" s="58"/>
      <c r="D394" s="58"/>
      <c r="E394" s="58"/>
      <c r="F394" s="58"/>
      <c r="G394" s="58"/>
      <c r="H394" s="59"/>
      <c r="I394" s="59"/>
      <c r="J394" s="59"/>
      <c r="K394" s="59"/>
      <c r="L394" s="59"/>
      <c r="M394" s="60"/>
      <c r="N394" s="60"/>
      <c r="O394" s="60"/>
      <c r="P394" s="59"/>
      <c r="Q394" s="59"/>
      <c r="R394" s="60"/>
      <c r="S394" s="60"/>
      <c r="T394" s="60"/>
      <c r="U394" s="60"/>
      <c r="V394" s="60"/>
      <c r="W394" s="60"/>
    </row>
    <row r="395" spans="1:23" ht="13" x14ac:dyDescent="0.3">
      <c r="A395" s="58"/>
      <c r="B395" s="58"/>
      <c r="C395" s="58"/>
      <c r="D395" s="58"/>
      <c r="E395" s="58"/>
      <c r="F395" s="58"/>
      <c r="G395" s="58"/>
      <c r="H395" s="59"/>
      <c r="I395" s="59"/>
      <c r="J395" s="59"/>
      <c r="K395" s="59"/>
      <c r="L395" s="59"/>
      <c r="M395" s="60"/>
      <c r="N395" s="60"/>
      <c r="O395" s="60"/>
      <c r="P395" s="59"/>
      <c r="Q395" s="59"/>
      <c r="R395" s="60"/>
      <c r="S395" s="60"/>
      <c r="T395" s="60"/>
      <c r="U395" s="60"/>
      <c r="V395" s="60"/>
      <c r="W395" s="60"/>
    </row>
    <row r="396" spans="1:23" ht="13" x14ac:dyDescent="0.3">
      <c r="A396" s="58"/>
      <c r="B396" s="58"/>
      <c r="C396" s="58"/>
      <c r="D396" s="58"/>
      <c r="E396" s="58"/>
      <c r="F396" s="58"/>
      <c r="G396" s="58"/>
      <c r="H396" s="59"/>
      <c r="I396" s="59"/>
      <c r="J396" s="59"/>
      <c r="K396" s="59"/>
      <c r="L396" s="59"/>
      <c r="M396" s="60"/>
      <c r="N396" s="60"/>
      <c r="O396" s="60"/>
      <c r="P396" s="59"/>
      <c r="Q396" s="59"/>
      <c r="R396" s="60"/>
      <c r="S396" s="60"/>
      <c r="T396" s="60"/>
      <c r="U396" s="60"/>
      <c r="V396" s="60"/>
      <c r="W396" s="60"/>
    </row>
    <row r="397" spans="1:23" ht="13" x14ac:dyDescent="0.3">
      <c r="A397" s="58"/>
      <c r="B397" s="58"/>
      <c r="C397" s="58"/>
      <c r="D397" s="58"/>
      <c r="E397" s="58"/>
      <c r="F397" s="58"/>
      <c r="G397" s="58"/>
      <c r="H397" s="59"/>
      <c r="I397" s="59"/>
      <c r="J397" s="59"/>
      <c r="K397" s="59"/>
      <c r="L397" s="59"/>
      <c r="M397" s="60"/>
      <c r="N397" s="60"/>
      <c r="O397" s="60"/>
      <c r="P397" s="59"/>
      <c r="Q397" s="59"/>
      <c r="R397" s="60"/>
      <c r="S397" s="60"/>
      <c r="T397" s="60"/>
      <c r="U397" s="60"/>
      <c r="V397" s="60"/>
      <c r="W397" s="60"/>
    </row>
    <row r="398" spans="1:23" ht="13" x14ac:dyDescent="0.3">
      <c r="A398" s="58"/>
      <c r="B398" s="58"/>
      <c r="C398" s="58"/>
      <c r="D398" s="58"/>
      <c r="E398" s="58"/>
      <c r="F398" s="58"/>
      <c r="G398" s="58"/>
      <c r="H398" s="59"/>
      <c r="I398" s="59"/>
      <c r="J398" s="59"/>
      <c r="K398" s="59"/>
      <c r="L398" s="59"/>
      <c r="M398" s="60"/>
      <c r="N398" s="60"/>
      <c r="O398" s="60"/>
      <c r="P398" s="59"/>
      <c r="Q398" s="59"/>
      <c r="R398" s="60"/>
      <c r="S398" s="60"/>
      <c r="T398" s="60"/>
      <c r="U398" s="60"/>
      <c r="V398" s="60"/>
      <c r="W398" s="60"/>
    </row>
    <row r="399" spans="1:23" ht="13" x14ac:dyDescent="0.3">
      <c r="A399" s="58"/>
      <c r="B399" s="58"/>
      <c r="C399" s="58"/>
      <c r="D399" s="58"/>
      <c r="E399" s="58"/>
      <c r="F399" s="58"/>
      <c r="G399" s="58"/>
      <c r="H399" s="59"/>
      <c r="I399" s="59"/>
      <c r="J399" s="59"/>
      <c r="K399" s="59"/>
      <c r="L399" s="59"/>
      <c r="M399" s="60"/>
      <c r="N399" s="60"/>
      <c r="O399" s="60"/>
      <c r="P399" s="59"/>
      <c r="Q399" s="59"/>
      <c r="R399" s="60"/>
      <c r="S399" s="60"/>
      <c r="T399" s="60"/>
      <c r="U399" s="60"/>
      <c r="V399" s="60"/>
      <c r="W399" s="60"/>
    </row>
    <row r="400" spans="1:23" ht="13" x14ac:dyDescent="0.3">
      <c r="A400" s="58"/>
      <c r="B400" s="58"/>
      <c r="C400" s="58"/>
      <c r="D400" s="58"/>
      <c r="E400" s="58"/>
      <c r="F400" s="58"/>
      <c r="G400" s="58"/>
      <c r="H400" s="59"/>
      <c r="I400" s="59"/>
      <c r="J400" s="59"/>
      <c r="K400" s="59"/>
      <c r="L400" s="59"/>
      <c r="M400" s="60"/>
      <c r="N400" s="60"/>
      <c r="O400" s="60"/>
      <c r="P400" s="59"/>
      <c r="Q400" s="59"/>
      <c r="R400" s="60"/>
      <c r="S400" s="60"/>
      <c r="T400" s="60"/>
      <c r="U400" s="60"/>
      <c r="V400" s="60"/>
      <c r="W400" s="60"/>
    </row>
    <row r="401" spans="1:23" ht="13" x14ac:dyDescent="0.3">
      <c r="A401" s="58"/>
      <c r="B401" s="58"/>
      <c r="C401" s="58"/>
      <c r="D401" s="58"/>
      <c r="E401" s="58"/>
      <c r="F401" s="58"/>
      <c r="G401" s="58"/>
      <c r="H401" s="59"/>
      <c r="I401" s="59"/>
      <c r="J401" s="59"/>
      <c r="K401" s="59"/>
      <c r="L401" s="59"/>
      <c r="M401" s="60"/>
      <c r="N401" s="60"/>
      <c r="O401" s="60"/>
      <c r="P401" s="59"/>
      <c r="Q401" s="59"/>
      <c r="R401" s="60"/>
      <c r="S401" s="60"/>
      <c r="T401" s="60"/>
      <c r="U401" s="60"/>
      <c r="V401" s="60"/>
      <c r="W401" s="60"/>
    </row>
    <row r="402" spans="1:23" ht="13" x14ac:dyDescent="0.3">
      <c r="A402" s="58"/>
      <c r="B402" s="58"/>
      <c r="C402" s="58"/>
      <c r="D402" s="58"/>
      <c r="E402" s="58"/>
      <c r="F402" s="58"/>
      <c r="G402" s="58"/>
      <c r="H402" s="59"/>
      <c r="I402" s="59"/>
      <c r="J402" s="59"/>
      <c r="K402" s="59"/>
      <c r="L402" s="59"/>
      <c r="M402" s="60"/>
      <c r="N402" s="60"/>
      <c r="O402" s="60"/>
      <c r="P402" s="59"/>
      <c r="Q402" s="59"/>
      <c r="R402" s="60"/>
      <c r="S402" s="60"/>
      <c r="T402" s="60"/>
      <c r="U402" s="60"/>
      <c r="V402" s="60"/>
      <c r="W402" s="60"/>
    </row>
    <row r="403" spans="1:23" ht="13" x14ac:dyDescent="0.3">
      <c r="A403" s="58"/>
      <c r="B403" s="58"/>
      <c r="C403" s="58"/>
      <c r="D403" s="58"/>
      <c r="E403" s="58"/>
      <c r="F403" s="58"/>
      <c r="G403" s="58"/>
      <c r="H403" s="59"/>
      <c r="I403" s="59"/>
      <c r="J403" s="59"/>
      <c r="K403" s="59"/>
      <c r="L403" s="59"/>
      <c r="M403" s="60"/>
      <c r="N403" s="60"/>
      <c r="O403" s="60"/>
      <c r="P403" s="59"/>
      <c r="Q403" s="59"/>
      <c r="R403" s="60"/>
      <c r="S403" s="60"/>
      <c r="T403" s="60"/>
      <c r="U403" s="60"/>
      <c r="V403" s="60"/>
      <c r="W403" s="60"/>
    </row>
    <row r="404" spans="1:23" ht="13" x14ac:dyDescent="0.3">
      <c r="A404" s="58"/>
      <c r="B404" s="58"/>
      <c r="C404" s="58"/>
      <c r="D404" s="58"/>
      <c r="E404" s="58"/>
      <c r="F404" s="58"/>
      <c r="G404" s="58"/>
      <c r="H404" s="59"/>
      <c r="I404" s="59"/>
      <c r="J404" s="59"/>
      <c r="K404" s="59"/>
      <c r="L404" s="59"/>
      <c r="M404" s="60"/>
      <c r="N404" s="60"/>
      <c r="O404" s="60"/>
      <c r="P404" s="59"/>
      <c r="Q404" s="59"/>
      <c r="R404" s="60"/>
      <c r="S404" s="60"/>
      <c r="T404" s="60"/>
      <c r="U404" s="60"/>
      <c r="V404" s="60"/>
      <c r="W404" s="60"/>
    </row>
    <row r="405" spans="1:23" ht="13" x14ac:dyDescent="0.3">
      <c r="A405" s="58"/>
      <c r="B405" s="58"/>
      <c r="C405" s="58"/>
      <c r="D405" s="58"/>
      <c r="E405" s="58"/>
      <c r="F405" s="58"/>
      <c r="G405" s="58"/>
      <c r="H405" s="59"/>
      <c r="I405" s="59"/>
      <c r="J405" s="59"/>
      <c r="K405" s="59"/>
      <c r="L405" s="59"/>
      <c r="M405" s="60"/>
      <c r="N405" s="60"/>
      <c r="O405" s="60"/>
      <c r="P405" s="59"/>
      <c r="Q405" s="59"/>
      <c r="R405" s="60"/>
      <c r="S405" s="60"/>
      <c r="T405" s="60"/>
      <c r="U405" s="60"/>
      <c r="V405" s="60"/>
      <c r="W405" s="60"/>
    </row>
    <row r="406" spans="1:23" ht="13" x14ac:dyDescent="0.3">
      <c r="A406" s="58"/>
      <c r="B406" s="58"/>
      <c r="C406" s="58"/>
      <c r="D406" s="58"/>
      <c r="E406" s="58"/>
      <c r="F406" s="58"/>
      <c r="G406" s="58"/>
      <c r="H406" s="59"/>
      <c r="I406" s="59"/>
      <c r="J406" s="59"/>
      <c r="K406" s="59"/>
      <c r="L406" s="59"/>
      <c r="M406" s="60"/>
      <c r="N406" s="60"/>
      <c r="O406" s="60"/>
      <c r="P406" s="59"/>
      <c r="Q406" s="59"/>
      <c r="R406" s="60"/>
      <c r="S406" s="60"/>
      <c r="T406" s="60"/>
      <c r="U406" s="60"/>
      <c r="V406" s="60"/>
      <c r="W406" s="60"/>
    </row>
    <row r="407" spans="1:23" ht="13" x14ac:dyDescent="0.3">
      <c r="A407" s="58"/>
      <c r="B407" s="58"/>
      <c r="C407" s="58"/>
      <c r="D407" s="58"/>
      <c r="E407" s="58"/>
      <c r="F407" s="58"/>
      <c r="G407" s="58"/>
      <c r="H407" s="59"/>
      <c r="I407" s="59"/>
      <c r="J407" s="59"/>
      <c r="K407" s="59"/>
      <c r="L407" s="59"/>
      <c r="M407" s="60"/>
      <c r="N407" s="60"/>
      <c r="O407" s="60"/>
      <c r="P407" s="59"/>
      <c r="Q407" s="59"/>
      <c r="R407" s="60"/>
      <c r="S407" s="60"/>
      <c r="T407" s="60"/>
      <c r="U407" s="60"/>
      <c r="V407" s="60"/>
      <c r="W407" s="60"/>
    </row>
    <row r="408" spans="1:23" ht="13" x14ac:dyDescent="0.3">
      <c r="A408" s="58"/>
      <c r="B408" s="58"/>
      <c r="C408" s="58"/>
      <c r="D408" s="58"/>
      <c r="E408" s="58"/>
      <c r="F408" s="58"/>
      <c r="G408" s="58"/>
      <c r="H408" s="59"/>
      <c r="I408" s="59"/>
      <c r="J408" s="59"/>
      <c r="K408" s="59"/>
      <c r="L408" s="59"/>
      <c r="M408" s="60"/>
      <c r="N408" s="60"/>
      <c r="O408" s="60"/>
      <c r="P408" s="59"/>
      <c r="Q408" s="59"/>
      <c r="R408" s="60"/>
      <c r="S408" s="60"/>
      <c r="T408" s="60"/>
      <c r="U408" s="60"/>
      <c r="V408" s="60"/>
      <c r="W408" s="60"/>
    </row>
    <row r="409" spans="1:23" ht="13" x14ac:dyDescent="0.3">
      <c r="A409" s="58"/>
      <c r="B409" s="58"/>
      <c r="C409" s="58"/>
      <c r="D409" s="58"/>
      <c r="E409" s="58"/>
      <c r="F409" s="58"/>
      <c r="G409" s="58"/>
      <c r="H409" s="59"/>
      <c r="I409" s="59"/>
      <c r="J409" s="59"/>
      <c r="K409" s="59"/>
      <c r="L409" s="59"/>
      <c r="M409" s="60"/>
      <c r="N409" s="60"/>
      <c r="O409" s="60"/>
      <c r="P409" s="59"/>
      <c r="Q409" s="59"/>
      <c r="R409" s="60"/>
      <c r="S409" s="60"/>
      <c r="T409" s="60"/>
      <c r="U409" s="60"/>
      <c r="V409" s="60"/>
      <c r="W409" s="60"/>
    </row>
    <row r="410" spans="1:23" ht="13" x14ac:dyDescent="0.3">
      <c r="A410" s="58"/>
      <c r="B410" s="58"/>
      <c r="C410" s="58"/>
      <c r="D410" s="58"/>
      <c r="E410" s="58"/>
      <c r="F410" s="58"/>
      <c r="G410" s="58"/>
      <c r="H410" s="59"/>
      <c r="I410" s="59"/>
      <c r="J410" s="59"/>
      <c r="K410" s="59"/>
      <c r="L410" s="59"/>
      <c r="M410" s="60"/>
      <c r="N410" s="60"/>
      <c r="O410" s="60"/>
      <c r="P410" s="59"/>
      <c r="Q410" s="59"/>
      <c r="R410" s="60"/>
      <c r="S410" s="60"/>
      <c r="T410" s="60"/>
      <c r="U410" s="60"/>
      <c r="V410" s="60"/>
      <c r="W410" s="60"/>
    </row>
    <row r="411" spans="1:23" ht="13" x14ac:dyDescent="0.3">
      <c r="A411" s="58"/>
      <c r="B411" s="58"/>
      <c r="C411" s="58"/>
      <c r="D411" s="58"/>
      <c r="E411" s="58"/>
      <c r="F411" s="58"/>
      <c r="G411" s="58"/>
      <c r="H411" s="59"/>
      <c r="I411" s="59"/>
      <c r="J411" s="59"/>
      <c r="K411" s="59"/>
      <c r="L411" s="59"/>
      <c r="M411" s="60"/>
      <c r="N411" s="60"/>
      <c r="O411" s="60"/>
      <c r="P411" s="59"/>
      <c r="Q411" s="59"/>
      <c r="R411" s="60"/>
      <c r="S411" s="60"/>
      <c r="T411" s="60"/>
      <c r="U411" s="60"/>
      <c r="V411" s="60"/>
      <c r="W411" s="60"/>
    </row>
    <row r="412" spans="1:23" ht="13" x14ac:dyDescent="0.3">
      <c r="A412" s="58"/>
      <c r="B412" s="58"/>
      <c r="C412" s="58"/>
      <c r="D412" s="58"/>
      <c r="E412" s="58"/>
      <c r="F412" s="58"/>
      <c r="G412" s="58"/>
      <c r="H412" s="59"/>
      <c r="I412" s="59"/>
      <c r="J412" s="59"/>
      <c r="K412" s="59"/>
      <c r="L412" s="59"/>
      <c r="M412" s="60"/>
      <c r="N412" s="60"/>
      <c r="O412" s="60"/>
      <c r="P412" s="59"/>
      <c r="Q412" s="59"/>
      <c r="R412" s="60"/>
      <c r="S412" s="60"/>
      <c r="T412" s="60"/>
      <c r="U412" s="60"/>
      <c r="V412" s="60"/>
      <c r="W412" s="60"/>
    </row>
    <row r="413" spans="1:23" ht="13" x14ac:dyDescent="0.3">
      <c r="A413" s="58"/>
      <c r="B413" s="58"/>
      <c r="C413" s="58"/>
      <c r="D413" s="58"/>
      <c r="E413" s="58"/>
      <c r="F413" s="58"/>
      <c r="G413" s="58"/>
      <c r="H413" s="59"/>
      <c r="I413" s="59"/>
      <c r="J413" s="59"/>
      <c r="K413" s="59"/>
      <c r="L413" s="59"/>
      <c r="M413" s="60"/>
      <c r="N413" s="60"/>
      <c r="O413" s="60"/>
      <c r="P413" s="59"/>
      <c r="Q413" s="59"/>
      <c r="R413" s="60"/>
      <c r="S413" s="60"/>
      <c r="T413" s="60"/>
      <c r="U413" s="60"/>
      <c r="V413" s="60"/>
      <c r="W413" s="60"/>
    </row>
    <row r="414" spans="1:23" ht="13" x14ac:dyDescent="0.3">
      <c r="A414" s="58"/>
      <c r="B414" s="58"/>
      <c r="C414" s="58"/>
      <c r="D414" s="58"/>
      <c r="E414" s="58"/>
      <c r="F414" s="58"/>
      <c r="G414" s="58"/>
      <c r="H414" s="59"/>
      <c r="I414" s="59"/>
      <c r="J414" s="59"/>
      <c r="K414" s="59"/>
      <c r="L414" s="59"/>
      <c r="M414" s="60"/>
      <c r="N414" s="60"/>
      <c r="O414" s="60"/>
      <c r="P414" s="59"/>
      <c r="Q414" s="59"/>
      <c r="R414" s="60"/>
      <c r="S414" s="60"/>
      <c r="T414" s="60"/>
      <c r="U414" s="60"/>
      <c r="V414" s="60"/>
      <c r="W414" s="60"/>
    </row>
    <row r="415" spans="1:23" ht="13" x14ac:dyDescent="0.3">
      <c r="A415" s="58"/>
      <c r="B415" s="58"/>
      <c r="C415" s="58"/>
      <c r="D415" s="58"/>
      <c r="E415" s="58"/>
      <c r="F415" s="58"/>
      <c r="G415" s="58"/>
      <c r="H415" s="59"/>
      <c r="I415" s="59"/>
      <c r="J415" s="59"/>
      <c r="K415" s="59"/>
      <c r="L415" s="59"/>
      <c r="M415" s="60"/>
      <c r="N415" s="60"/>
      <c r="O415" s="60"/>
      <c r="P415" s="59"/>
      <c r="Q415" s="59"/>
      <c r="R415" s="60"/>
      <c r="S415" s="60"/>
      <c r="T415" s="60"/>
      <c r="U415" s="60"/>
      <c r="V415" s="60"/>
      <c r="W415" s="60"/>
    </row>
    <row r="416" spans="1:23" ht="13" x14ac:dyDescent="0.3">
      <c r="A416" s="58"/>
      <c r="B416" s="58"/>
      <c r="C416" s="58"/>
      <c r="D416" s="58"/>
      <c r="E416" s="58"/>
      <c r="F416" s="58"/>
      <c r="G416" s="58"/>
      <c r="H416" s="59"/>
      <c r="I416" s="59"/>
      <c r="J416" s="59"/>
      <c r="K416" s="59"/>
      <c r="L416" s="59"/>
      <c r="M416" s="60"/>
      <c r="N416" s="60"/>
      <c r="O416" s="60"/>
      <c r="P416" s="59"/>
      <c r="Q416" s="59"/>
      <c r="R416" s="60"/>
      <c r="S416" s="60"/>
      <c r="T416" s="60"/>
      <c r="U416" s="60"/>
      <c r="V416" s="60"/>
      <c r="W416" s="60"/>
    </row>
    <row r="417" spans="1:23" ht="13" x14ac:dyDescent="0.3">
      <c r="A417" s="58"/>
      <c r="B417" s="58"/>
      <c r="C417" s="58"/>
      <c r="D417" s="58"/>
      <c r="E417" s="58"/>
      <c r="F417" s="58"/>
      <c r="G417" s="58"/>
      <c r="H417" s="59"/>
      <c r="I417" s="59"/>
      <c r="J417" s="59"/>
      <c r="K417" s="59"/>
      <c r="L417" s="59"/>
      <c r="M417" s="60"/>
      <c r="N417" s="60"/>
      <c r="O417" s="60"/>
      <c r="P417" s="59"/>
      <c r="Q417" s="59"/>
      <c r="R417" s="60"/>
      <c r="S417" s="60"/>
      <c r="T417" s="60"/>
      <c r="U417" s="60"/>
      <c r="V417" s="60"/>
      <c r="W417" s="60"/>
    </row>
    <row r="418" spans="1:23" ht="13" x14ac:dyDescent="0.3">
      <c r="A418" s="58"/>
      <c r="B418" s="58"/>
      <c r="C418" s="58"/>
      <c r="D418" s="58"/>
      <c r="E418" s="58"/>
      <c r="F418" s="58"/>
      <c r="G418" s="58"/>
      <c r="H418" s="59"/>
      <c r="I418" s="59"/>
      <c r="J418" s="59"/>
      <c r="K418" s="59"/>
      <c r="L418" s="59"/>
      <c r="M418" s="60"/>
      <c r="N418" s="60"/>
      <c r="O418" s="60"/>
      <c r="P418" s="59"/>
      <c r="Q418" s="59"/>
      <c r="R418" s="60"/>
      <c r="S418" s="60"/>
      <c r="T418" s="60"/>
      <c r="U418" s="60"/>
      <c r="V418" s="60"/>
      <c r="W418" s="60"/>
    </row>
    <row r="419" spans="1:23" ht="13" x14ac:dyDescent="0.3">
      <c r="A419" s="58"/>
      <c r="B419" s="58"/>
      <c r="C419" s="58"/>
      <c r="D419" s="58"/>
      <c r="E419" s="58"/>
      <c r="F419" s="58"/>
      <c r="G419" s="58"/>
      <c r="H419" s="59"/>
      <c r="I419" s="59"/>
      <c r="J419" s="59"/>
      <c r="K419" s="59"/>
      <c r="L419" s="59"/>
      <c r="M419" s="60"/>
      <c r="N419" s="60"/>
      <c r="O419" s="60"/>
      <c r="P419" s="59"/>
      <c r="Q419" s="59"/>
      <c r="R419" s="60"/>
      <c r="S419" s="60"/>
      <c r="T419" s="60"/>
      <c r="U419" s="60"/>
      <c r="V419" s="60"/>
      <c r="W419" s="60"/>
    </row>
    <row r="420" spans="1:23" ht="13" x14ac:dyDescent="0.3">
      <c r="A420" s="58"/>
      <c r="B420" s="58"/>
      <c r="C420" s="58"/>
      <c r="D420" s="58"/>
      <c r="E420" s="58"/>
      <c r="F420" s="58"/>
      <c r="G420" s="58"/>
      <c r="H420" s="59"/>
      <c r="I420" s="59"/>
      <c r="J420" s="59"/>
      <c r="K420" s="59"/>
      <c r="L420" s="59"/>
      <c r="M420" s="60"/>
      <c r="N420" s="60"/>
      <c r="O420" s="60"/>
      <c r="P420" s="59"/>
      <c r="Q420" s="59"/>
      <c r="R420" s="60"/>
      <c r="S420" s="60"/>
      <c r="T420" s="60"/>
      <c r="U420" s="60"/>
      <c r="V420" s="60"/>
      <c r="W420" s="60"/>
    </row>
    <row r="421" spans="1:23" ht="13" x14ac:dyDescent="0.3">
      <c r="A421" s="58"/>
      <c r="B421" s="58"/>
      <c r="C421" s="58"/>
      <c r="D421" s="58"/>
      <c r="E421" s="58"/>
      <c r="F421" s="58"/>
      <c r="G421" s="58"/>
      <c r="H421" s="59"/>
      <c r="I421" s="59"/>
      <c r="J421" s="59"/>
      <c r="K421" s="59"/>
      <c r="L421" s="59"/>
      <c r="M421" s="60"/>
      <c r="N421" s="60"/>
      <c r="O421" s="60"/>
      <c r="P421" s="59"/>
      <c r="Q421" s="59"/>
      <c r="R421" s="60"/>
      <c r="S421" s="60"/>
      <c r="T421" s="60"/>
      <c r="U421" s="60"/>
      <c r="V421" s="60"/>
      <c r="W421" s="60"/>
    </row>
    <row r="422" spans="1:23" ht="13" x14ac:dyDescent="0.3">
      <c r="A422" s="58"/>
      <c r="B422" s="58"/>
      <c r="C422" s="58"/>
      <c r="D422" s="58"/>
      <c r="E422" s="58"/>
      <c r="F422" s="58"/>
      <c r="G422" s="58"/>
      <c r="H422" s="59"/>
      <c r="I422" s="59"/>
      <c r="J422" s="59"/>
      <c r="K422" s="59"/>
      <c r="L422" s="59"/>
      <c r="M422" s="60"/>
      <c r="N422" s="60"/>
      <c r="O422" s="60"/>
      <c r="P422" s="59"/>
      <c r="Q422" s="59"/>
      <c r="R422" s="60"/>
      <c r="S422" s="60"/>
      <c r="T422" s="60"/>
      <c r="U422" s="60"/>
      <c r="V422" s="60"/>
      <c r="W422" s="60"/>
    </row>
    <row r="423" spans="1:23" ht="13" x14ac:dyDescent="0.3">
      <c r="A423" s="58"/>
      <c r="B423" s="58"/>
      <c r="C423" s="58"/>
      <c r="D423" s="58"/>
      <c r="E423" s="58"/>
      <c r="F423" s="58"/>
      <c r="G423" s="58"/>
      <c r="H423" s="59"/>
      <c r="I423" s="59"/>
      <c r="J423" s="59"/>
      <c r="K423" s="59"/>
      <c r="L423" s="59"/>
      <c r="M423" s="60"/>
      <c r="N423" s="60"/>
      <c r="O423" s="60"/>
      <c r="P423" s="59"/>
      <c r="Q423" s="59"/>
      <c r="R423" s="60"/>
      <c r="S423" s="60"/>
      <c r="T423" s="60"/>
      <c r="U423" s="60"/>
      <c r="V423" s="60"/>
      <c r="W423" s="60"/>
    </row>
    <row r="424" spans="1:23" ht="13" x14ac:dyDescent="0.3">
      <c r="A424" s="58"/>
      <c r="B424" s="58"/>
      <c r="C424" s="58"/>
      <c r="D424" s="58"/>
      <c r="E424" s="58"/>
      <c r="F424" s="58"/>
      <c r="G424" s="58"/>
      <c r="H424" s="59"/>
      <c r="I424" s="59"/>
      <c r="J424" s="59"/>
      <c r="K424" s="59"/>
      <c r="L424" s="59"/>
      <c r="M424" s="60"/>
      <c r="N424" s="60"/>
      <c r="O424" s="60"/>
      <c r="P424" s="59"/>
      <c r="Q424" s="59"/>
      <c r="R424" s="60"/>
      <c r="S424" s="60"/>
      <c r="T424" s="60"/>
      <c r="U424" s="60"/>
      <c r="V424" s="60"/>
      <c r="W424" s="60"/>
    </row>
    <row r="425" spans="1:23" ht="13" x14ac:dyDescent="0.3">
      <c r="A425" s="58"/>
      <c r="B425" s="58"/>
      <c r="C425" s="58"/>
      <c r="D425" s="58"/>
      <c r="E425" s="58"/>
      <c r="F425" s="58"/>
      <c r="G425" s="58"/>
      <c r="H425" s="59"/>
      <c r="I425" s="59"/>
      <c r="J425" s="59"/>
      <c r="K425" s="59"/>
      <c r="L425" s="59"/>
      <c r="M425" s="60"/>
      <c r="N425" s="60"/>
      <c r="O425" s="60"/>
      <c r="P425" s="59"/>
      <c r="Q425" s="59"/>
      <c r="R425" s="60"/>
      <c r="S425" s="60"/>
      <c r="T425" s="60"/>
      <c r="U425" s="60"/>
      <c r="V425" s="60"/>
      <c r="W425" s="60"/>
    </row>
    <row r="426" spans="1:23" ht="13" x14ac:dyDescent="0.3">
      <c r="A426" s="58"/>
      <c r="B426" s="58"/>
      <c r="C426" s="58"/>
      <c r="D426" s="58"/>
      <c r="E426" s="58"/>
      <c r="F426" s="58"/>
      <c r="G426" s="58"/>
      <c r="H426" s="59"/>
      <c r="I426" s="59"/>
      <c r="J426" s="59"/>
      <c r="K426" s="59"/>
      <c r="L426" s="59"/>
      <c r="M426" s="60"/>
      <c r="N426" s="60"/>
      <c r="O426" s="60"/>
      <c r="P426" s="59"/>
      <c r="Q426" s="59"/>
      <c r="R426" s="60"/>
      <c r="S426" s="60"/>
      <c r="T426" s="60"/>
      <c r="U426" s="60"/>
      <c r="V426" s="60"/>
      <c r="W426" s="60"/>
    </row>
    <row r="427" spans="1:23" ht="13" x14ac:dyDescent="0.3">
      <c r="A427" s="58"/>
      <c r="B427" s="58"/>
      <c r="C427" s="58"/>
      <c r="D427" s="58"/>
      <c r="E427" s="58"/>
      <c r="F427" s="58"/>
      <c r="G427" s="58"/>
      <c r="H427" s="59"/>
      <c r="I427" s="59"/>
      <c r="J427" s="59"/>
      <c r="K427" s="59"/>
      <c r="L427" s="59"/>
      <c r="M427" s="60"/>
      <c r="N427" s="60"/>
      <c r="O427" s="60"/>
      <c r="P427" s="59"/>
      <c r="Q427" s="59"/>
      <c r="R427" s="60"/>
      <c r="S427" s="60"/>
      <c r="T427" s="60"/>
      <c r="U427" s="60"/>
      <c r="V427" s="60"/>
      <c r="W427" s="60"/>
    </row>
    <row r="428" spans="1:23" ht="13" x14ac:dyDescent="0.3">
      <c r="A428" s="58"/>
      <c r="B428" s="58"/>
      <c r="C428" s="58"/>
      <c r="D428" s="58"/>
      <c r="E428" s="58"/>
      <c r="F428" s="58"/>
      <c r="G428" s="58"/>
      <c r="H428" s="59"/>
      <c r="I428" s="59"/>
      <c r="J428" s="59"/>
      <c r="K428" s="59"/>
      <c r="L428" s="59"/>
      <c r="M428" s="60"/>
      <c r="N428" s="60"/>
      <c r="O428" s="60"/>
      <c r="P428" s="59"/>
      <c r="Q428" s="59"/>
      <c r="R428" s="60"/>
      <c r="S428" s="60"/>
      <c r="T428" s="60"/>
      <c r="U428" s="60"/>
      <c r="V428" s="60"/>
      <c r="W428" s="60"/>
    </row>
    <row r="429" spans="1:23" ht="13" x14ac:dyDescent="0.3">
      <c r="A429" s="58"/>
      <c r="B429" s="58"/>
      <c r="C429" s="58"/>
      <c r="D429" s="58"/>
      <c r="E429" s="58"/>
      <c r="F429" s="58"/>
      <c r="G429" s="58"/>
      <c r="H429" s="59"/>
      <c r="I429" s="59"/>
      <c r="J429" s="59"/>
      <c r="K429" s="59"/>
      <c r="L429" s="59"/>
      <c r="M429" s="60"/>
      <c r="N429" s="60"/>
      <c r="O429" s="60"/>
      <c r="P429" s="59"/>
      <c r="Q429" s="59"/>
      <c r="R429" s="60"/>
      <c r="S429" s="60"/>
      <c r="T429" s="60"/>
      <c r="U429" s="60"/>
      <c r="V429" s="60"/>
      <c r="W429" s="60"/>
    </row>
    <row r="430" spans="1:23" ht="13" x14ac:dyDescent="0.3">
      <c r="A430" s="58"/>
      <c r="B430" s="58"/>
      <c r="C430" s="58"/>
      <c r="D430" s="58"/>
      <c r="E430" s="58"/>
      <c r="F430" s="58"/>
      <c r="G430" s="58"/>
      <c r="H430" s="59"/>
      <c r="I430" s="59"/>
      <c r="J430" s="59"/>
      <c r="K430" s="59"/>
      <c r="L430" s="59"/>
      <c r="M430" s="60"/>
      <c r="N430" s="60"/>
      <c r="O430" s="60"/>
      <c r="P430" s="59"/>
      <c r="Q430" s="59"/>
      <c r="R430" s="60"/>
      <c r="S430" s="60"/>
      <c r="T430" s="60"/>
      <c r="U430" s="60"/>
      <c r="V430" s="60"/>
      <c r="W430" s="60"/>
    </row>
    <row r="431" spans="1:23" ht="13" x14ac:dyDescent="0.3">
      <c r="A431" s="58"/>
      <c r="B431" s="58"/>
      <c r="C431" s="58"/>
      <c r="D431" s="58"/>
      <c r="E431" s="58"/>
      <c r="F431" s="58"/>
      <c r="G431" s="58"/>
      <c r="H431" s="59"/>
      <c r="I431" s="59"/>
      <c r="J431" s="59"/>
      <c r="K431" s="59"/>
      <c r="L431" s="59"/>
      <c r="M431" s="60"/>
      <c r="N431" s="60"/>
      <c r="O431" s="60"/>
      <c r="P431" s="59"/>
      <c r="Q431" s="59"/>
      <c r="R431" s="60"/>
      <c r="S431" s="60"/>
      <c r="T431" s="60"/>
      <c r="U431" s="60"/>
      <c r="V431" s="60"/>
      <c r="W431" s="60"/>
    </row>
    <row r="432" spans="1:23" ht="13" x14ac:dyDescent="0.3">
      <c r="A432" s="58"/>
      <c r="B432" s="58"/>
      <c r="C432" s="58"/>
      <c r="D432" s="58"/>
      <c r="E432" s="58"/>
      <c r="F432" s="58"/>
      <c r="G432" s="58"/>
      <c r="H432" s="59"/>
      <c r="I432" s="59"/>
      <c r="J432" s="59"/>
      <c r="K432" s="59"/>
      <c r="L432" s="59"/>
      <c r="M432" s="60"/>
      <c r="N432" s="60"/>
      <c r="O432" s="60"/>
      <c r="P432" s="59"/>
      <c r="Q432" s="59"/>
      <c r="R432" s="60"/>
      <c r="S432" s="60"/>
      <c r="T432" s="60"/>
      <c r="U432" s="60"/>
      <c r="V432" s="60"/>
      <c r="W432" s="60"/>
    </row>
    <row r="433" spans="1:23" ht="13" x14ac:dyDescent="0.3">
      <c r="A433" s="58"/>
      <c r="B433" s="58"/>
      <c r="C433" s="58"/>
      <c r="D433" s="58"/>
      <c r="E433" s="58"/>
      <c r="F433" s="58"/>
      <c r="G433" s="58"/>
      <c r="H433" s="59"/>
      <c r="I433" s="59"/>
      <c r="J433" s="59"/>
      <c r="K433" s="59"/>
      <c r="L433" s="59"/>
      <c r="M433" s="60"/>
      <c r="N433" s="60"/>
      <c r="O433" s="60"/>
      <c r="P433" s="59"/>
      <c r="Q433" s="59"/>
      <c r="R433" s="60"/>
      <c r="S433" s="60"/>
      <c r="T433" s="60"/>
      <c r="U433" s="60"/>
      <c r="V433" s="60"/>
      <c r="W433" s="60"/>
    </row>
    <row r="434" spans="1:23" ht="13" x14ac:dyDescent="0.3">
      <c r="A434" s="58"/>
      <c r="B434" s="58"/>
      <c r="C434" s="58"/>
      <c r="D434" s="58"/>
      <c r="E434" s="58"/>
      <c r="F434" s="58"/>
      <c r="G434" s="58"/>
      <c r="H434" s="59"/>
      <c r="I434" s="59"/>
      <c r="J434" s="59"/>
      <c r="K434" s="59"/>
      <c r="L434" s="59"/>
      <c r="M434" s="60"/>
      <c r="N434" s="60"/>
      <c r="O434" s="60"/>
      <c r="P434" s="59"/>
      <c r="Q434" s="59"/>
      <c r="R434" s="60"/>
      <c r="S434" s="60"/>
      <c r="T434" s="60"/>
      <c r="U434" s="60"/>
      <c r="V434" s="60"/>
      <c r="W434" s="60"/>
    </row>
    <row r="435" spans="1:23" ht="13" x14ac:dyDescent="0.3">
      <c r="A435" s="58"/>
      <c r="B435" s="58"/>
      <c r="C435" s="58"/>
      <c r="D435" s="58"/>
      <c r="E435" s="58"/>
      <c r="F435" s="58"/>
      <c r="G435" s="58"/>
      <c r="H435" s="59"/>
      <c r="I435" s="59"/>
      <c r="J435" s="59"/>
      <c r="K435" s="59"/>
      <c r="L435" s="59"/>
      <c r="M435" s="60"/>
      <c r="N435" s="60"/>
      <c r="O435" s="60"/>
      <c r="P435" s="59"/>
      <c r="Q435" s="59"/>
      <c r="R435" s="60"/>
      <c r="S435" s="60"/>
      <c r="T435" s="60"/>
      <c r="U435" s="60"/>
      <c r="V435" s="60"/>
      <c r="W435" s="60"/>
    </row>
    <row r="436" spans="1:23" ht="13" x14ac:dyDescent="0.3">
      <c r="A436" s="58"/>
      <c r="B436" s="58"/>
      <c r="C436" s="58"/>
      <c r="D436" s="58"/>
      <c r="E436" s="58"/>
      <c r="F436" s="58"/>
      <c r="G436" s="58"/>
      <c r="H436" s="59"/>
      <c r="I436" s="59"/>
      <c r="J436" s="59"/>
      <c r="K436" s="59"/>
      <c r="L436" s="59"/>
      <c r="M436" s="60"/>
      <c r="N436" s="60"/>
      <c r="O436" s="60"/>
      <c r="P436" s="59"/>
      <c r="Q436" s="59"/>
      <c r="R436" s="60"/>
      <c r="S436" s="60"/>
      <c r="T436" s="60"/>
      <c r="U436" s="60"/>
      <c r="V436" s="60"/>
      <c r="W436" s="60"/>
    </row>
    <row r="437" spans="1:23" ht="13" x14ac:dyDescent="0.3">
      <c r="A437" s="58"/>
      <c r="B437" s="58"/>
      <c r="C437" s="58"/>
      <c r="D437" s="58"/>
      <c r="E437" s="58"/>
      <c r="F437" s="58"/>
      <c r="G437" s="58"/>
      <c r="H437" s="59"/>
      <c r="I437" s="59"/>
      <c r="J437" s="59"/>
      <c r="K437" s="59"/>
      <c r="L437" s="59"/>
      <c r="M437" s="60"/>
      <c r="N437" s="60"/>
      <c r="O437" s="60"/>
      <c r="P437" s="59"/>
      <c r="Q437" s="59"/>
      <c r="R437" s="60"/>
      <c r="S437" s="60"/>
      <c r="T437" s="60"/>
      <c r="U437" s="60"/>
      <c r="V437" s="60"/>
      <c r="W437" s="60"/>
    </row>
    <row r="438" spans="1:23" ht="13" x14ac:dyDescent="0.3">
      <c r="A438" s="58"/>
      <c r="B438" s="58"/>
      <c r="C438" s="58"/>
      <c r="D438" s="58"/>
      <c r="E438" s="58"/>
      <c r="F438" s="58"/>
      <c r="G438" s="58"/>
      <c r="H438" s="59"/>
      <c r="I438" s="59"/>
      <c r="J438" s="59"/>
      <c r="K438" s="59"/>
      <c r="L438" s="59"/>
      <c r="M438" s="60"/>
      <c r="N438" s="60"/>
      <c r="O438" s="60"/>
      <c r="P438" s="59"/>
      <c r="Q438" s="59"/>
      <c r="R438" s="60"/>
      <c r="S438" s="60"/>
      <c r="T438" s="60"/>
      <c r="U438" s="60"/>
      <c r="V438" s="60"/>
      <c r="W438" s="60"/>
    </row>
    <row r="439" spans="1:23" ht="13" x14ac:dyDescent="0.3">
      <c r="A439" s="58"/>
      <c r="B439" s="58"/>
      <c r="C439" s="58"/>
      <c r="D439" s="58"/>
      <c r="E439" s="58"/>
      <c r="F439" s="58"/>
      <c r="G439" s="58"/>
      <c r="H439" s="59"/>
      <c r="I439" s="59"/>
      <c r="J439" s="59"/>
      <c r="K439" s="59"/>
      <c r="L439" s="59"/>
      <c r="M439" s="60"/>
      <c r="N439" s="60"/>
      <c r="O439" s="60"/>
      <c r="P439" s="59"/>
      <c r="Q439" s="59"/>
      <c r="R439" s="60"/>
      <c r="S439" s="60"/>
      <c r="T439" s="60"/>
      <c r="U439" s="60"/>
      <c r="V439" s="60"/>
      <c r="W439" s="60"/>
    </row>
    <row r="440" spans="1:23" ht="13" x14ac:dyDescent="0.3">
      <c r="A440" s="58"/>
      <c r="B440" s="58"/>
      <c r="C440" s="58"/>
      <c r="D440" s="58"/>
      <c r="E440" s="58"/>
      <c r="F440" s="58"/>
      <c r="G440" s="58"/>
      <c r="H440" s="59"/>
      <c r="I440" s="59"/>
      <c r="J440" s="59"/>
      <c r="K440" s="59"/>
      <c r="L440" s="59"/>
      <c r="M440" s="60"/>
      <c r="N440" s="60"/>
      <c r="O440" s="60"/>
      <c r="P440" s="59"/>
      <c r="Q440" s="59"/>
      <c r="R440" s="60"/>
      <c r="S440" s="60"/>
      <c r="T440" s="60"/>
      <c r="U440" s="60"/>
      <c r="V440" s="60"/>
      <c r="W440" s="60"/>
    </row>
    <row r="441" spans="1:23" ht="13" x14ac:dyDescent="0.3">
      <c r="A441" s="58"/>
      <c r="B441" s="58"/>
      <c r="C441" s="58"/>
      <c r="D441" s="58"/>
      <c r="E441" s="58"/>
      <c r="F441" s="58"/>
      <c r="G441" s="58"/>
      <c r="H441" s="59"/>
      <c r="I441" s="59"/>
      <c r="J441" s="59"/>
      <c r="K441" s="59"/>
      <c r="L441" s="59"/>
      <c r="M441" s="60"/>
      <c r="N441" s="60"/>
      <c r="O441" s="60"/>
      <c r="P441" s="59"/>
      <c r="Q441" s="59"/>
      <c r="R441" s="60"/>
      <c r="S441" s="60"/>
      <c r="T441" s="60"/>
      <c r="U441" s="60"/>
      <c r="V441" s="60"/>
      <c r="W441" s="60"/>
    </row>
    <row r="442" spans="1:23" ht="13" x14ac:dyDescent="0.3">
      <c r="A442" s="58"/>
      <c r="B442" s="58"/>
      <c r="C442" s="58"/>
      <c r="D442" s="58"/>
      <c r="E442" s="58"/>
      <c r="F442" s="58"/>
      <c r="G442" s="58"/>
      <c r="H442" s="59"/>
      <c r="I442" s="59"/>
      <c r="J442" s="59"/>
      <c r="K442" s="59"/>
      <c r="L442" s="59"/>
      <c r="M442" s="60"/>
      <c r="N442" s="60"/>
      <c r="O442" s="60"/>
      <c r="P442" s="59"/>
      <c r="Q442" s="59"/>
      <c r="R442" s="60"/>
      <c r="S442" s="60"/>
      <c r="T442" s="60"/>
      <c r="U442" s="60"/>
      <c r="V442" s="60"/>
      <c r="W442" s="60"/>
    </row>
    <row r="443" spans="1:23" ht="13" x14ac:dyDescent="0.3">
      <c r="A443" s="58"/>
      <c r="B443" s="58"/>
      <c r="C443" s="58"/>
      <c r="D443" s="58"/>
      <c r="E443" s="58"/>
      <c r="F443" s="58"/>
      <c r="G443" s="58"/>
      <c r="H443" s="59"/>
      <c r="I443" s="59"/>
      <c r="J443" s="59"/>
      <c r="K443" s="59"/>
      <c r="L443" s="59"/>
      <c r="M443" s="60"/>
      <c r="N443" s="60"/>
      <c r="O443" s="60"/>
      <c r="P443" s="59"/>
      <c r="Q443" s="59"/>
      <c r="R443" s="60"/>
      <c r="S443" s="60"/>
      <c r="T443" s="60"/>
      <c r="U443" s="60"/>
      <c r="V443" s="60"/>
      <c r="W443" s="60"/>
    </row>
    <row r="444" spans="1:23" ht="13" x14ac:dyDescent="0.3">
      <c r="A444" s="58"/>
      <c r="B444" s="58"/>
      <c r="C444" s="58"/>
      <c r="D444" s="58"/>
      <c r="E444" s="58"/>
      <c r="F444" s="58"/>
      <c r="G444" s="58"/>
      <c r="H444" s="59"/>
      <c r="I444" s="59"/>
      <c r="J444" s="59"/>
      <c r="K444" s="59"/>
      <c r="L444" s="59"/>
      <c r="M444" s="60"/>
      <c r="N444" s="60"/>
      <c r="O444" s="60"/>
      <c r="P444" s="59"/>
      <c r="Q444" s="59"/>
      <c r="R444" s="60"/>
      <c r="S444" s="60"/>
      <c r="T444" s="60"/>
      <c r="U444" s="60"/>
      <c r="V444" s="60"/>
      <c r="W444" s="60"/>
    </row>
    <row r="445" spans="1:23" ht="13" x14ac:dyDescent="0.3">
      <c r="A445" s="58"/>
      <c r="B445" s="58"/>
      <c r="C445" s="58"/>
      <c r="D445" s="58"/>
      <c r="E445" s="58"/>
      <c r="F445" s="58"/>
      <c r="G445" s="58"/>
      <c r="H445" s="59"/>
      <c r="I445" s="59"/>
      <c r="J445" s="59"/>
      <c r="K445" s="59"/>
      <c r="L445" s="59"/>
      <c r="M445" s="60"/>
      <c r="N445" s="60"/>
      <c r="O445" s="60"/>
      <c r="P445" s="59"/>
      <c r="Q445" s="59"/>
      <c r="R445" s="60"/>
      <c r="S445" s="60"/>
      <c r="T445" s="60"/>
      <c r="U445" s="60"/>
      <c r="V445" s="60"/>
      <c r="W445" s="60"/>
    </row>
    <row r="446" spans="1:23" ht="13" x14ac:dyDescent="0.3">
      <c r="A446" s="58"/>
      <c r="B446" s="58"/>
      <c r="C446" s="58"/>
      <c r="D446" s="58"/>
      <c r="E446" s="58"/>
      <c r="F446" s="58"/>
      <c r="G446" s="58"/>
      <c r="H446" s="59"/>
      <c r="I446" s="59"/>
      <c r="J446" s="59"/>
      <c r="K446" s="59"/>
      <c r="L446" s="59"/>
      <c r="M446" s="60"/>
      <c r="N446" s="60"/>
      <c r="O446" s="60"/>
      <c r="P446" s="59"/>
      <c r="Q446" s="59"/>
      <c r="R446" s="60"/>
      <c r="S446" s="60"/>
      <c r="T446" s="60"/>
      <c r="U446" s="60"/>
      <c r="V446" s="60"/>
      <c r="W446" s="60"/>
    </row>
    <row r="447" spans="1:23" ht="13" x14ac:dyDescent="0.3">
      <c r="A447" s="58"/>
      <c r="B447" s="58"/>
      <c r="C447" s="58"/>
      <c r="D447" s="58"/>
      <c r="E447" s="58"/>
      <c r="F447" s="58"/>
      <c r="G447" s="58"/>
      <c r="H447" s="59"/>
      <c r="I447" s="59"/>
      <c r="J447" s="59"/>
      <c r="K447" s="59"/>
      <c r="L447" s="59"/>
      <c r="M447" s="60"/>
      <c r="N447" s="60"/>
      <c r="O447" s="60"/>
      <c r="P447" s="59"/>
      <c r="Q447" s="59"/>
      <c r="R447" s="60"/>
      <c r="S447" s="60"/>
      <c r="T447" s="60"/>
      <c r="U447" s="60"/>
      <c r="V447" s="60"/>
      <c r="W447" s="60"/>
    </row>
    <row r="448" spans="1:23" ht="13" x14ac:dyDescent="0.3">
      <c r="A448" s="58"/>
      <c r="B448" s="58"/>
      <c r="C448" s="58"/>
      <c r="D448" s="58"/>
      <c r="E448" s="58"/>
      <c r="F448" s="58"/>
      <c r="G448" s="58"/>
      <c r="H448" s="59"/>
      <c r="I448" s="59"/>
      <c r="J448" s="59"/>
      <c r="K448" s="59"/>
      <c r="L448" s="59"/>
      <c r="M448" s="60"/>
      <c r="N448" s="60"/>
      <c r="O448" s="60"/>
      <c r="P448" s="59"/>
      <c r="Q448" s="59"/>
      <c r="R448" s="60"/>
      <c r="S448" s="60"/>
      <c r="T448" s="60"/>
      <c r="U448" s="60"/>
      <c r="V448" s="60"/>
      <c r="W448" s="60"/>
    </row>
    <row r="449" spans="1:23" ht="13" x14ac:dyDescent="0.3">
      <c r="A449" s="58"/>
      <c r="B449" s="58"/>
      <c r="C449" s="58"/>
      <c r="D449" s="58"/>
      <c r="E449" s="58"/>
      <c r="F449" s="58"/>
      <c r="G449" s="58"/>
      <c r="H449" s="59"/>
      <c r="I449" s="59"/>
      <c r="J449" s="59"/>
      <c r="K449" s="59"/>
      <c r="L449" s="59"/>
      <c r="M449" s="60"/>
      <c r="N449" s="60"/>
      <c r="O449" s="60"/>
      <c r="P449" s="59"/>
      <c r="Q449" s="59"/>
      <c r="R449" s="60"/>
      <c r="S449" s="60"/>
      <c r="T449" s="60"/>
      <c r="U449" s="60"/>
      <c r="V449" s="60"/>
      <c r="W449" s="60"/>
    </row>
    <row r="450" spans="1:23" ht="13" x14ac:dyDescent="0.3">
      <c r="A450" s="58"/>
      <c r="B450" s="58"/>
      <c r="C450" s="58"/>
      <c r="D450" s="58"/>
      <c r="E450" s="58"/>
      <c r="F450" s="58"/>
      <c r="G450" s="58"/>
      <c r="H450" s="59"/>
      <c r="I450" s="59"/>
      <c r="J450" s="59"/>
      <c r="K450" s="59"/>
      <c r="L450" s="59"/>
      <c r="M450" s="60"/>
      <c r="N450" s="60"/>
      <c r="O450" s="60"/>
      <c r="P450" s="59"/>
      <c r="Q450" s="59"/>
      <c r="R450" s="60"/>
      <c r="S450" s="60"/>
      <c r="T450" s="60"/>
      <c r="U450" s="60"/>
      <c r="V450" s="60"/>
      <c r="W450" s="60"/>
    </row>
    <row r="451" spans="1:23" ht="13" x14ac:dyDescent="0.3">
      <c r="A451" s="58"/>
      <c r="B451" s="58"/>
      <c r="C451" s="58"/>
      <c r="D451" s="58"/>
      <c r="E451" s="58"/>
      <c r="F451" s="58"/>
      <c r="G451" s="58"/>
      <c r="H451" s="59"/>
      <c r="I451" s="59"/>
      <c r="J451" s="59"/>
      <c r="K451" s="59"/>
      <c r="L451" s="59"/>
      <c r="M451" s="60"/>
      <c r="N451" s="60"/>
      <c r="O451" s="60"/>
      <c r="P451" s="59"/>
      <c r="Q451" s="59"/>
      <c r="R451" s="60"/>
      <c r="S451" s="60"/>
      <c r="T451" s="60"/>
      <c r="U451" s="60"/>
      <c r="V451" s="60"/>
      <c r="W451" s="60"/>
    </row>
    <row r="452" spans="1:23" ht="13" x14ac:dyDescent="0.3">
      <c r="A452" s="58"/>
      <c r="B452" s="58"/>
      <c r="C452" s="58"/>
      <c r="D452" s="58"/>
      <c r="E452" s="58"/>
      <c r="F452" s="58"/>
      <c r="G452" s="58"/>
      <c r="H452" s="59"/>
      <c r="I452" s="59"/>
      <c r="J452" s="59"/>
      <c r="K452" s="59"/>
      <c r="L452" s="59"/>
      <c r="M452" s="60"/>
      <c r="N452" s="60"/>
      <c r="O452" s="60"/>
      <c r="P452" s="59"/>
      <c r="Q452" s="59"/>
      <c r="R452" s="60"/>
      <c r="S452" s="60"/>
      <c r="T452" s="60"/>
      <c r="U452" s="60"/>
      <c r="V452" s="60"/>
      <c r="W452" s="60"/>
    </row>
    <row r="453" spans="1:23" ht="13" x14ac:dyDescent="0.3">
      <c r="A453" s="58"/>
      <c r="B453" s="58"/>
      <c r="C453" s="58"/>
      <c r="D453" s="58"/>
      <c r="E453" s="58"/>
      <c r="F453" s="58"/>
      <c r="G453" s="58"/>
      <c r="H453" s="59"/>
      <c r="I453" s="59"/>
      <c r="J453" s="59"/>
      <c r="K453" s="59"/>
      <c r="L453" s="59"/>
      <c r="M453" s="60"/>
      <c r="N453" s="60"/>
      <c r="O453" s="60"/>
      <c r="P453" s="59"/>
      <c r="Q453" s="59"/>
      <c r="R453" s="60"/>
      <c r="S453" s="60"/>
      <c r="T453" s="60"/>
      <c r="U453" s="60"/>
      <c r="V453" s="60"/>
      <c r="W453" s="60"/>
    </row>
    <row r="454" spans="1:23" ht="13" x14ac:dyDescent="0.3">
      <c r="A454" s="58"/>
      <c r="B454" s="58"/>
      <c r="C454" s="58"/>
      <c r="D454" s="58"/>
      <c r="E454" s="58"/>
      <c r="F454" s="58"/>
      <c r="G454" s="58"/>
      <c r="H454" s="59"/>
      <c r="I454" s="59"/>
      <c r="J454" s="59"/>
      <c r="K454" s="59"/>
      <c r="L454" s="59"/>
      <c r="M454" s="60"/>
      <c r="N454" s="60"/>
      <c r="O454" s="60"/>
      <c r="P454" s="59"/>
      <c r="Q454" s="59"/>
      <c r="R454" s="60"/>
      <c r="S454" s="60"/>
      <c r="T454" s="60"/>
      <c r="U454" s="60"/>
      <c r="V454" s="60"/>
      <c r="W454" s="60"/>
    </row>
    <row r="455" spans="1:23" ht="13" x14ac:dyDescent="0.3">
      <c r="A455" s="58"/>
      <c r="B455" s="58"/>
      <c r="C455" s="58"/>
      <c r="D455" s="58"/>
      <c r="E455" s="58"/>
      <c r="F455" s="58"/>
      <c r="G455" s="58"/>
      <c r="H455" s="59"/>
      <c r="I455" s="59"/>
      <c r="J455" s="59"/>
      <c r="K455" s="59"/>
      <c r="L455" s="59"/>
      <c r="M455" s="60"/>
      <c r="N455" s="60"/>
      <c r="O455" s="60"/>
      <c r="P455" s="59"/>
      <c r="Q455" s="59"/>
      <c r="R455" s="60"/>
      <c r="S455" s="60"/>
      <c r="T455" s="60"/>
      <c r="U455" s="60"/>
      <c r="V455" s="60"/>
      <c r="W455" s="60"/>
    </row>
    <row r="456" spans="1:23" ht="13" x14ac:dyDescent="0.3">
      <c r="A456" s="58"/>
      <c r="B456" s="58"/>
      <c r="C456" s="58"/>
      <c r="D456" s="58"/>
      <c r="E456" s="58"/>
      <c r="F456" s="58"/>
      <c r="G456" s="58"/>
      <c r="H456" s="59"/>
      <c r="I456" s="59"/>
      <c r="J456" s="59"/>
      <c r="K456" s="59"/>
      <c r="L456" s="59"/>
      <c r="M456" s="60"/>
      <c r="N456" s="60"/>
      <c r="O456" s="60"/>
      <c r="P456" s="59"/>
      <c r="Q456" s="59"/>
      <c r="R456" s="60"/>
      <c r="S456" s="60"/>
      <c r="T456" s="60"/>
      <c r="U456" s="60"/>
      <c r="V456" s="60"/>
      <c r="W456" s="60"/>
    </row>
    <row r="457" spans="1:23" ht="13" x14ac:dyDescent="0.3">
      <c r="A457" s="58"/>
      <c r="B457" s="58"/>
      <c r="C457" s="58"/>
      <c r="D457" s="58"/>
      <c r="E457" s="58"/>
      <c r="F457" s="58"/>
      <c r="G457" s="58"/>
      <c r="H457" s="59"/>
      <c r="I457" s="59"/>
      <c r="J457" s="59"/>
      <c r="K457" s="59"/>
      <c r="L457" s="59"/>
      <c r="M457" s="60"/>
      <c r="N457" s="60"/>
      <c r="O457" s="60"/>
      <c r="P457" s="59"/>
      <c r="Q457" s="59"/>
      <c r="R457" s="60"/>
      <c r="S457" s="60"/>
      <c r="T457" s="60"/>
      <c r="U457" s="60"/>
      <c r="V457" s="60"/>
      <c r="W457" s="60"/>
    </row>
    <row r="458" spans="1:23" ht="13" x14ac:dyDescent="0.3">
      <c r="A458" s="58"/>
      <c r="B458" s="58"/>
      <c r="C458" s="58"/>
      <c r="D458" s="58"/>
      <c r="E458" s="58"/>
      <c r="F458" s="58"/>
      <c r="G458" s="58"/>
      <c r="H458" s="59"/>
      <c r="I458" s="59"/>
      <c r="J458" s="59"/>
      <c r="K458" s="59"/>
      <c r="L458" s="59"/>
      <c r="M458" s="60"/>
      <c r="N458" s="60"/>
      <c r="O458" s="60"/>
      <c r="P458" s="59"/>
      <c r="Q458" s="59"/>
      <c r="R458" s="60"/>
      <c r="S458" s="60"/>
      <c r="T458" s="60"/>
      <c r="U458" s="60"/>
      <c r="V458" s="60"/>
      <c r="W458" s="60"/>
    </row>
    <row r="459" spans="1:23" ht="13" x14ac:dyDescent="0.3">
      <c r="A459" s="58"/>
      <c r="B459" s="58"/>
      <c r="C459" s="58"/>
      <c r="D459" s="58"/>
      <c r="E459" s="58"/>
      <c r="F459" s="58"/>
      <c r="G459" s="58"/>
      <c r="H459" s="59"/>
      <c r="I459" s="59"/>
      <c r="J459" s="59"/>
      <c r="K459" s="59"/>
      <c r="L459" s="59"/>
      <c r="M459" s="60"/>
      <c r="N459" s="60"/>
      <c r="O459" s="60"/>
      <c r="P459" s="59"/>
      <c r="Q459" s="59"/>
      <c r="R459" s="60"/>
      <c r="S459" s="60"/>
      <c r="T459" s="60"/>
      <c r="U459" s="60"/>
      <c r="V459" s="60"/>
      <c r="W459" s="60"/>
    </row>
    <row r="460" spans="1:23" ht="13" x14ac:dyDescent="0.3">
      <c r="A460" s="58"/>
      <c r="B460" s="58"/>
      <c r="C460" s="58"/>
      <c r="D460" s="58"/>
      <c r="E460" s="58"/>
      <c r="F460" s="58"/>
      <c r="G460" s="58"/>
      <c r="H460" s="59"/>
      <c r="I460" s="59"/>
      <c r="J460" s="59"/>
      <c r="K460" s="59"/>
      <c r="L460" s="59"/>
      <c r="M460" s="60"/>
      <c r="N460" s="60"/>
      <c r="O460" s="60"/>
      <c r="P460" s="59"/>
      <c r="Q460" s="59"/>
      <c r="R460" s="60"/>
      <c r="S460" s="60"/>
      <c r="T460" s="60"/>
      <c r="U460" s="60"/>
      <c r="V460" s="60"/>
      <c r="W460" s="60"/>
    </row>
    <row r="461" spans="1:23" ht="13" x14ac:dyDescent="0.3">
      <c r="A461" s="58"/>
      <c r="B461" s="58"/>
      <c r="C461" s="58"/>
      <c r="D461" s="58"/>
      <c r="E461" s="58"/>
      <c r="F461" s="58"/>
      <c r="G461" s="58"/>
      <c r="H461" s="59"/>
      <c r="I461" s="59"/>
      <c r="J461" s="59"/>
      <c r="K461" s="59"/>
      <c r="L461" s="59"/>
      <c r="M461" s="60"/>
      <c r="N461" s="60"/>
      <c r="O461" s="60"/>
      <c r="P461" s="59"/>
      <c r="Q461" s="59"/>
      <c r="R461" s="60"/>
      <c r="S461" s="60"/>
      <c r="T461" s="60"/>
      <c r="U461" s="60"/>
      <c r="V461" s="60"/>
      <c r="W461" s="60"/>
    </row>
    <row r="462" spans="1:23" ht="13" x14ac:dyDescent="0.3">
      <c r="A462" s="58"/>
      <c r="B462" s="58"/>
      <c r="C462" s="58"/>
      <c r="D462" s="58"/>
      <c r="E462" s="58"/>
      <c r="F462" s="58"/>
      <c r="G462" s="58"/>
      <c r="H462" s="59"/>
      <c r="I462" s="59"/>
      <c r="J462" s="59"/>
      <c r="K462" s="59"/>
      <c r="L462" s="59"/>
      <c r="M462" s="60"/>
      <c r="N462" s="60"/>
      <c r="O462" s="60"/>
      <c r="P462" s="59"/>
      <c r="Q462" s="59"/>
      <c r="R462" s="60"/>
      <c r="S462" s="60"/>
      <c r="T462" s="60"/>
      <c r="U462" s="60"/>
      <c r="V462" s="60"/>
      <c r="W462" s="60"/>
    </row>
    <row r="463" spans="1:23" ht="13" x14ac:dyDescent="0.3">
      <c r="A463" s="58"/>
      <c r="B463" s="58"/>
      <c r="C463" s="58"/>
      <c r="D463" s="58"/>
      <c r="E463" s="58"/>
      <c r="F463" s="58"/>
      <c r="G463" s="58"/>
      <c r="H463" s="59"/>
      <c r="I463" s="59"/>
      <c r="J463" s="59"/>
      <c r="K463" s="59"/>
      <c r="L463" s="59"/>
      <c r="M463" s="60"/>
      <c r="N463" s="60"/>
      <c r="O463" s="60"/>
      <c r="P463" s="59"/>
      <c r="Q463" s="59"/>
      <c r="R463" s="60"/>
      <c r="S463" s="60"/>
      <c r="T463" s="60"/>
      <c r="U463" s="60"/>
      <c r="V463" s="60"/>
      <c r="W463" s="60"/>
    </row>
    <row r="464" spans="1:23" ht="13" x14ac:dyDescent="0.3">
      <c r="A464" s="58"/>
      <c r="B464" s="58"/>
      <c r="C464" s="58"/>
      <c r="D464" s="58"/>
      <c r="E464" s="58"/>
      <c r="F464" s="58"/>
      <c r="G464" s="58"/>
      <c r="H464" s="59"/>
      <c r="I464" s="59"/>
      <c r="J464" s="59"/>
      <c r="K464" s="59"/>
      <c r="L464" s="59"/>
      <c r="M464" s="60"/>
      <c r="N464" s="60"/>
      <c r="O464" s="60"/>
      <c r="P464" s="59"/>
      <c r="Q464" s="59"/>
      <c r="R464" s="60"/>
      <c r="S464" s="60"/>
      <c r="T464" s="60"/>
      <c r="U464" s="60"/>
      <c r="V464" s="60"/>
      <c r="W464" s="60"/>
    </row>
    <row r="465" spans="1:23" ht="13" x14ac:dyDescent="0.3">
      <c r="A465" s="58"/>
      <c r="B465" s="58"/>
      <c r="C465" s="58"/>
      <c r="D465" s="58"/>
      <c r="E465" s="58"/>
      <c r="F465" s="58"/>
      <c r="G465" s="58"/>
      <c r="H465" s="59"/>
      <c r="I465" s="59"/>
      <c r="J465" s="59"/>
      <c r="K465" s="59"/>
      <c r="L465" s="59"/>
      <c r="M465" s="60"/>
      <c r="N465" s="60"/>
      <c r="O465" s="60"/>
      <c r="P465" s="59"/>
      <c r="Q465" s="59"/>
      <c r="R465" s="60"/>
      <c r="S465" s="60"/>
      <c r="T465" s="60"/>
      <c r="U465" s="60"/>
      <c r="V465" s="60"/>
      <c r="W465" s="60"/>
    </row>
    <row r="466" spans="1:23" ht="13" x14ac:dyDescent="0.3">
      <c r="A466" s="58"/>
      <c r="B466" s="58"/>
      <c r="C466" s="58"/>
      <c r="D466" s="58"/>
      <c r="E466" s="58"/>
      <c r="F466" s="58"/>
      <c r="G466" s="58"/>
      <c r="H466" s="59"/>
      <c r="I466" s="59"/>
      <c r="J466" s="59"/>
      <c r="K466" s="59"/>
      <c r="L466" s="59"/>
      <c r="M466" s="60"/>
      <c r="N466" s="60"/>
      <c r="O466" s="60"/>
      <c r="P466" s="59"/>
      <c r="Q466" s="59"/>
      <c r="R466" s="60"/>
      <c r="S466" s="60"/>
      <c r="T466" s="60"/>
      <c r="U466" s="60"/>
      <c r="V466" s="60"/>
      <c r="W466" s="60"/>
    </row>
    <row r="467" spans="1:23" ht="13" x14ac:dyDescent="0.3">
      <c r="A467" s="58"/>
      <c r="B467" s="58"/>
      <c r="C467" s="58"/>
      <c r="D467" s="58"/>
      <c r="E467" s="58"/>
      <c r="F467" s="58"/>
      <c r="G467" s="58"/>
      <c r="H467" s="59"/>
      <c r="I467" s="59"/>
      <c r="J467" s="59"/>
      <c r="K467" s="59"/>
      <c r="L467" s="59"/>
      <c r="M467" s="60"/>
      <c r="N467" s="60"/>
      <c r="O467" s="60"/>
      <c r="P467" s="59"/>
      <c r="Q467" s="59"/>
      <c r="R467" s="60"/>
      <c r="S467" s="60"/>
      <c r="T467" s="60"/>
      <c r="U467" s="60"/>
      <c r="V467" s="60"/>
      <c r="W467" s="60"/>
    </row>
    <row r="468" spans="1:23" ht="13" x14ac:dyDescent="0.3">
      <c r="A468" s="58"/>
      <c r="B468" s="58"/>
      <c r="C468" s="58"/>
      <c r="D468" s="58"/>
      <c r="E468" s="58"/>
      <c r="F468" s="58"/>
      <c r="G468" s="58"/>
      <c r="H468" s="59"/>
      <c r="I468" s="59"/>
      <c r="J468" s="59"/>
      <c r="K468" s="59"/>
      <c r="L468" s="59"/>
      <c r="M468" s="60"/>
      <c r="N468" s="60"/>
      <c r="O468" s="60"/>
      <c r="P468" s="59"/>
      <c r="Q468" s="59"/>
      <c r="R468" s="60"/>
      <c r="S468" s="60"/>
      <c r="T468" s="60"/>
      <c r="U468" s="60"/>
      <c r="V468" s="60"/>
      <c r="W468" s="60"/>
    </row>
    <row r="469" spans="1:23" ht="13" x14ac:dyDescent="0.3">
      <c r="A469" s="58"/>
      <c r="B469" s="58"/>
      <c r="C469" s="58"/>
      <c r="D469" s="58"/>
      <c r="E469" s="58"/>
      <c r="F469" s="58"/>
      <c r="G469" s="58"/>
      <c r="H469" s="59"/>
      <c r="I469" s="59"/>
      <c r="J469" s="59"/>
      <c r="K469" s="59"/>
      <c r="L469" s="59"/>
      <c r="M469" s="60"/>
      <c r="N469" s="60"/>
      <c r="O469" s="60"/>
      <c r="P469" s="59"/>
      <c r="Q469" s="59"/>
      <c r="R469" s="60"/>
      <c r="S469" s="60"/>
      <c r="T469" s="60"/>
      <c r="U469" s="60"/>
      <c r="V469" s="60"/>
      <c r="W469" s="60"/>
    </row>
    <row r="470" spans="1:23" ht="13" x14ac:dyDescent="0.3">
      <c r="A470" s="58"/>
      <c r="B470" s="58"/>
      <c r="C470" s="58"/>
      <c r="D470" s="58"/>
      <c r="E470" s="58"/>
      <c r="F470" s="58"/>
      <c r="G470" s="58"/>
      <c r="H470" s="59"/>
      <c r="I470" s="59"/>
      <c r="J470" s="59"/>
      <c r="K470" s="59"/>
      <c r="L470" s="59"/>
      <c r="M470" s="60"/>
      <c r="N470" s="60"/>
      <c r="O470" s="60"/>
      <c r="P470" s="59"/>
      <c r="Q470" s="59"/>
      <c r="R470" s="60"/>
      <c r="S470" s="60"/>
      <c r="T470" s="60"/>
      <c r="U470" s="60"/>
      <c r="V470" s="60"/>
      <c r="W470" s="60"/>
    </row>
    <row r="471" spans="1:23" ht="13" x14ac:dyDescent="0.3">
      <c r="A471" s="58"/>
      <c r="B471" s="58"/>
      <c r="C471" s="58"/>
      <c r="D471" s="58"/>
      <c r="E471" s="58"/>
      <c r="F471" s="58"/>
      <c r="G471" s="58"/>
      <c r="H471" s="59"/>
      <c r="I471" s="59"/>
      <c r="J471" s="59"/>
      <c r="K471" s="59"/>
      <c r="L471" s="59"/>
      <c r="M471" s="60"/>
      <c r="N471" s="60"/>
      <c r="O471" s="60"/>
      <c r="P471" s="59"/>
      <c r="Q471" s="59"/>
      <c r="R471" s="60"/>
      <c r="S471" s="60"/>
      <c r="T471" s="60"/>
      <c r="U471" s="60"/>
      <c r="V471" s="60"/>
      <c r="W471" s="60"/>
    </row>
    <row r="472" spans="1:23" ht="13" x14ac:dyDescent="0.3">
      <c r="A472" s="58"/>
      <c r="B472" s="58"/>
      <c r="C472" s="58"/>
      <c r="D472" s="58"/>
      <c r="E472" s="58"/>
      <c r="F472" s="58"/>
      <c r="G472" s="58"/>
      <c r="H472" s="59"/>
      <c r="I472" s="59"/>
      <c r="J472" s="59"/>
      <c r="K472" s="59"/>
      <c r="L472" s="59"/>
      <c r="M472" s="60"/>
      <c r="N472" s="60"/>
      <c r="O472" s="60"/>
      <c r="P472" s="59"/>
      <c r="Q472" s="59"/>
      <c r="R472" s="60"/>
      <c r="S472" s="60"/>
      <c r="T472" s="60"/>
      <c r="U472" s="60"/>
      <c r="V472" s="60"/>
      <c r="W472" s="60"/>
    </row>
    <row r="473" spans="1:23" ht="13" x14ac:dyDescent="0.3">
      <c r="A473" s="58"/>
      <c r="B473" s="58"/>
      <c r="C473" s="58"/>
      <c r="D473" s="58"/>
      <c r="E473" s="58"/>
      <c r="F473" s="58"/>
      <c r="G473" s="58"/>
      <c r="H473" s="59"/>
      <c r="I473" s="59"/>
      <c r="J473" s="59"/>
      <c r="K473" s="59"/>
      <c r="L473" s="59"/>
      <c r="M473" s="60"/>
      <c r="N473" s="60"/>
      <c r="O473" s="60"/>
      <c r="P473" s="59"/>
      <c r="Q473" s="59"/>
      <c r="R473" s="60"/>
      <c r="S473" s="60"/>
      <c r="T473" s="60"/>
      <c r="U473" s="60"/>
      <c r="V473" s="60"/>
      <c r="W473" s="60"/>
    </row>
    <row r="474" spans="1:23" ht="13" x14ac:dyDescent="0.3">
      <c r="A474" s="58"/>
      <c r="B474" s="58"/>
      <c r="C474" s="58"/>
      <c r="D474" s="58"/>
      <c r="E474" s="58"/>
      <c r="F474" s="58"/>
      <c r="G474" s="58"/>
      <c r="H474" s="59"/>
      <c r="I474" s="59"/>
      <c r="J474" s="59"/>
      <c r="K474" s="59"/>
      <c r="L474" s="59"/>
      <c r="M474" s="60"/>
      <c r="N474" s="60"/>
      <c r="O474" s="60"/>
      <c r="P474" s="59"/>
      <c r="Q474" s="59"/>
      <c r="R474" s="60"/>
      <c r="S474" s="60"/>
      <c r="T474" s="60"/>
      <c r="U474" s="60"/>
      <c r="V474" s="60"/>
      <c r="W474" s="60"/>
    </row>
    <row r="475" spans="1:23" ht="13" x14ac:dyDescent="0.3">
      <c r="A475" s="58"/>
      <c r="B475" s="58"/>
      <c r="C475" s="58"/>
      <c r="D475" s="58"/>
      <c r="E475" s="58"/>
      <c r="F475" s="58"/>
      <c r="G475" s="58"/>
      <c r="H475" s="59"/>
      <c r="I475" s="59"/>
      <c r="J475" s="59"/>
      <c r="K475" s="59"/>
      <c r="L475" s="59"/>
      <c r="M475" s="60"/>
      <c r="N475" s="60"/>
      <c r="O475" s="60"/>
      <c r="P475" s="59"/>
      <c r="Q475" s="59"/>
      <c r="R475" s="60"/>
      <c r="S475" s="60"/>
      <c r="T475" s="60"/>
      <c r="U475" s="60"/>
      <c r="V475" s="60"/>
      <c r="W475" s="60"/>
    </row>
    <row r="476" spans="1:23" ht="13" x14ac:dyDescent="0.3">
      <c r="A476" s="58"/>
      <c r="B476" s="58"/>
      <c r="C476" s="58"/>
      <c r="D476" s="58"/>
      <c r="E476" s="58"/>
      <c r="F476" s="58"/>
      <c r="G476" s="58"/>
      <c r="H476" s="59"/>
      <c r="I476" s="59"/>
      <c r="J476" s="59"/>
      <c r="K476" s="59"/>
      <c r="L476" s="59"/>
      <c r="M476" s="60"/>
      <c r="N476" s="60"/>
      <c r="O476" s="60"/>
      <c r="P476" s="59"/>
      <c r="Q476" s="59"/>
      <c r="R476" s="60"/>
      <c r="S476" s="60"/>
      <c r="T476" s="60"/>
      <c r="U476" s="60"/>
      <c r="V476" s="60"/>
      <c r="W476" s="60"/>
    </row>
    <row r="477" spans="1:23" ht="13" x14ac:dyDescent="0.3">
      <c r="A477" s="58"/>
      <c r="B477" s="58"/>
      <c r="C477" s="58"/>
      <c r="D477" s="58"/>
      <c r="E477" s="58"/>
      <c r="F477" s="58"/>
      <c r="G477" s="58"/>
      <c r="H477" s="59"/>
      <c r="I477" s="59"/>
      <c r="J477" s="59"/>
      <c r="K477" s="59"/>
      <c r="L477" s="59"/>
      <c r="M477" s="60"/>
      <c r="N477" s="60"/>
      <c r="O477" s="60"/>
      <c r="P477" s="59"/>
      <c r="Q477" s="59"/>
      <c r="R477" s="60"/>
      <c r="S477" s="60"/>
      <c r="T477" s="60"/>
      <c r="U477" s="60"/>
      <c r="V477" s="60"/>
      <c r="W477" s="60"/>
    </row>
    <row r="478" spans="1:23" ht="13" x14ac:dyDescent="0.3">
      <c r="A478" s="58"/>
      <c r="B478" s="58"/>
      <c r="C478" s="58"/>
      <c r="D478" s="58"/>
      <c r="E478" s="58"/>
      <c r="F478" s="58"/>
      <c r="G478" s="58"/>
      <c r="H478" s="59"/>
      <c r="I478" s="59"/>
      <c r="J478" s="59"/>
      <c r="K478" s="59"/>
      <c r="L478" s="59"/>
      <c r="M478" s="60"/>
      <c r="N478" s="60"/>
      <c r="O478" s="60"/>
      <c r="P478" s="59"/>
      <c r="Q478" s="59"/>
      <c r="R478" s="60"/>
      <c r="S478" s="60"/>
      <c r="T478" s="60"/>
      <c r="U478" s="60"/>
      <c r="V478" s="60"/>
      <c r="W478" s="60"/>
    </row>
    <row r="479" spans="1:23" ht="13" x14ac:dyDescent="0.3">
      <c r="A479" s="58"/>
      <c r="B479" s="58"/>
      <c r="C479" s="58"/>
      <c r="D479" s="58"/>
      <c r="E479" s="58"/>
      <c r="F479" s="58"/>
      <c r="G479" s="58"/>
      <c r="H479" s="59"/>
      <c r="I479" s="59"/>
      <c r="J479" s="59"/>
      <c r="K479" s="59"/>
      <c r="L479" s="59"/>
      <c r="M479" s="60"/>
      <c r="N479" s="60"/>
      <c r="O479" s="60"/>
      <c r="P479" s="59"/>
      <c r="Q479" s="59"/>
      <c r="R479" s="60"/>
      <c r="S479" s="60"/>
      <c r="T479" s="60"/>
      <c r="U479" s="60"/>
      <c r="V479" s="60"/>
      <c r="W479" s="60"/>
    </row>
    <row r="480" spans="1:23" ht="13" x14ac:dyDescent="0.3">
      <c r="A480" s="58"/>
      <c r="B480" s="58"/>
      <c r="C480" s="58"/>
      <c r="D480" s="58"/>
      <c r="E480" s="58"/>
      <c r="F480" s="58"/>
      <c r="G480" s="58"/>
      <c r="H480" s="59"/>
      <c r="I480" s="59"/>
      <c r="J480" s="59"/>
      <c r="K480" s="59"/>
      <c r="L480" s="59"/>
      <c r="M480" s="60"/>
      <c r="N480" s="60"/>
      <c r="O480" s="60"/>
      <c r="P480" s="59"/>
      <c r="Q480" s="59"/>
      <c r="R480" s="60"/>
      <c r="S480" s="60"/>
      <c r="T480" s="60"/>
      <c r="U480" s="60"/>
      <c r="V480" s="60"/>
      <c r="W480" s="60"/>
    </row>
    <row r="481" spans="1:23" ht="13" x14ac:dyDescent="0.3">
      <c r="A481" s="58"/>
      <c r="B481" s="58"/>
      <c r="C481" s="58"/>
      <c r="D481" s="58"/>
      <c r="E481" s="58"/>
      <c r="F481" s="58"/>
      <c r="G481" s="58"/>
      <c r="H481" s="59"/>
      <c r="I481" s="59"/>
      <c r="J481" s="59"/>
      <c r="K481" s="59"/>
      <c r="L481" s="59"/>
      <c r="M481" s="60"/>
      <c r="N481" s="60"/>
      <c r="O481" s="60"/>
      <c r="P481" s="59"/>
      <c r="Q481" s="59"/>
      <c r="R481" s="60"/>
      <c r="S481" s="60"/>
      <c r="T481" s="60"/>
      <c r="U481" s="60"/>
      <c r="V481" s="60"/>
      <c r="W481" s="60"/>
    </row>
    <row r="482" spans="1:23" ht="13" x14ac:dyDescent="0.3">
      <c r="A482" s="58"/>
      <c r="B482" s="58"/>
      <c r="C482" s="58"/>
      <c r="D482" s="58"/>
      <c r="E482" s="58"/>
      <c r="F482" s="58"/>
      <c r="G482" s="58"/>
      <c r="H482" s="59"/>
      <c r="I482" s="59"/>
      <c r="J482" s="59"/>
      <c r="K482" s="59"/>
      <c r="L482" s="59"/>
      <c r="M482" s="60"/>
      <c r="N482" s="60"/>
      <c r="O482" s="60"/>
      <c r="P482" s="59"/>
      <c r="Q482" s="59"/>
      <c r="R482" s="60"/>
      <c r="S482" s="60"/>
      <c r="T482" s="60"/>
      <c r="U482" s="60"/>
      <c r="V482" s="60"/>
      <c r="W482" s="60"/>
    </row>
    <row r="483" spans="1:23" ht="13" x14ac:dyDescent="0.3">
      <c r="A483" s="58"/>
      <c r="B483" s="58"/>
      <c r="C483" s="58"/>
      <c r="D483" s="58"/>
      <c r="E483" s="58"/>
      <c r="F483" s="58"/>
      <c r="G483" s="58"/>
      <c r="H483" s="59"/>
      <c r="I483" s="59"/>
      <c r="J483" s="59"/>
      <c r="K483" s="59"/>
      <c r="L483" s="59"/>
      <c r="M483" s="60"/>
      <c r="N483" s="60"/>
      <c r="O483" s="60"/>
      <c r="P483" s="59"/>
      <c r="Q483" s="59"/>
      <c r="R483" s="60"/>
      <c r="S483" s="60"/>
      <c r="T483" s="60"/>
      <c r="U483" s="60"/>
      <c r="V483" s="60"/>
      <c r="W483" s="60"/>
    </row>
    <row r="484" spans="1:23" ht="13" x14ac:dyDescent="0.3">
      <c r="A484" s="58"/>
      <c r="B484" s="58"/>
      <c r="C484" s="58"/>
      <c r="D484" s="58"/>
      <c r="E484" s="58"/>
      <c r="F484" s="58"/>
      <c r="G484" s="58"/>
      <c r="H484" s="59"/>
      <c r="I484" s="59"/>
      <c r="J484" s="59"/>
      <c r="K484" s="59"/>
      <c r="L484" s="59"/>
      <c r="M484" s="60"/>
      <c r="N484" s="60"/>
      <c r="O484" s="60"/>
      <c r="P484" s="59"/>
      <c r="Q484" s="59"/>
      <c r="R484" s="60"/>
      <c r="S484" s="60"/>
      <c r="T484" s="60"/>
      <c r="U484" s="60"/>
      <c r="V484" s="60"/>
      <c r="W484" s="60"/>
    </row>
    <row r="485" spans="1:23" ht="13" x14ac:dyDescent="0.3">
      <c r="A485" s="58"/>
      <c r="B485" s="58"/>
      <c r="C485" s="58"/>
      <c r="D485" s="58"/>
      <c r="E485" s="58"/>
      <c r="F485" s="58"/>
      <c r="G485" s="58"/>
      <c r="H485" s="59"/>
      <c r="I485" s="59"/>
      <c r="J485" s="59"/>
      <c r="K485" s="59"/>
      <c r="L485" s="59"/>
      <c r="M485" s="60"/>
      <c r="N485" s="60"/>
      <c r="O485" s="60"/>
      <c r="P485" s="59"/>
      <c r="Q485" s="59"/>
      <c r="R485" s="60"/>
      <c r="S485" s="60"/>
      <c r="T485" s="60"/>
      <c r="U485" s="60"/>
      <c r="V485" s="60"/>
      <c r="W485" s="60"/>
    </row>
    <row r="486" spans="1:23" ht="13" x14ac:dyDescent="0.3">
      <c r="A486" s="58"/>
      <c r="B486" s="58"/>
      <c r="C486" s="58"/>
      <c r="D486" s="58"/>
      <c r="E486" s="58"/>
      <c r="F486" s="58"/>
      <c r="G486" s="58"/>
      <c r="H486" s="59"/>
      <c r="I486" s="59"/>
      <c r="J486" s="59"/>
      <c r="K486" s="59"/>
      <c r="L486" s="59"/>
      <c r="M486" s="60"/>
      <c r="N486" s="60"/>
      <c r="O486" s="60"/>
      <c r="P486" s="59"/>
      <c r="Q486" s="59"/>
      <c r="R486" s="60"/>
      <c r="S486" s="60"/>
      <c r="T486" s="60"/>
      <c r="U486" s="60"/>
      <c r="V486" s="60"/>
      <c r="W486" s="60"/>
    </row>
    <row r="487" spans="1:23" ht="13" x14ac:dyDescent="0.3">
      <c r="A487" s="58"/>
      <c r="B487" s="58"/>
      <c r="C487" s="58"/>
      <c r="D487" s="58"/>
      <c r="E487" s="58"/>
      <c r="F487" s="58"/>
      <c r="G487" s="58"/>
      <c r="H487" s="59"/>
      <c r="I487" s="59"/>
      <c r="J487" s="59"/>
      <c r="K487" s="59"/>
      <c r="L487" s="59"/>
      <c r="M487" s="60"/>
      <c r="N487" s="60"/>
      <c r="O487" s="60"/>
      <c r="P487" s="59"/>
      <c r="Q487" s="59"/>
      <c r="R487" s="60"/>
      <c r="S487" s="60"/>
      <c r="T487" s="60"/>
      <c r="U487" s="60"/>
      <c r="V487" s="60"/>
      <c r="W487" s="60"/>
    </row>
    <row r="488" spans="1:23" ht="13" x14ac:dyDescent="0.3">
      <c r="A488" s="58"/>
      <c r="B488" s="58"/>
      <c r="C488" s="58"/>
      <c r="D488" s="58"/>
      <c r="E488" s="58"/>
      <c r="F488" s="58"/>
      <c r="G488" s="58"/>
      <c r="H488" s="59"/>
      <c r="I488" s="59"/>
      <c r="J488" s="59"/>
      <c r="K488" s="59"/>
      <c r="L488" s="59"/>
      <c r="M488" s="60"/>
      <c r="N488" s="60"/>
      <c r="O488" s="60"/>
      <c r="P488" s="59"/>
      <c r="Q488" s="59"/>
      <c r="R488" s="60"/>
      <c r="S488" s="60"/>
      <c r="T488" s="60"/>
      <c r="U488" s="60"/>
      <c r="V488" s="60"/>
      <c r="W488" s="60"/>
    </row>
    <row r="489" spans="1:23" ht="13" x14ac:dyDescent="0.3">
      <c r="A489" s="58"/>
      <c r="B489" s="58"/>
      <c r="C489" s="58"/>
      <c r="D489" s="58"/>
      <c r="E489" s="58"/>
      <c r="F489" s="58"/>
      <c r="G489" s="58"/>
      <c r="H489" s="59"/>
      <c r="I489" s="59"/>
      <c r="J489" s="59"/>
      <c r="K489" s="59"/>
      <c r="L489" s="59"/>
      <c r="M489" s="60"/>
      <c r="N489" s="60"/>
      <c r="O489" s="60"/>
      <c r="P489" s="59"/>
      <c r="Q489" s="59"/>
      <c r="R489" s="60"/>
      <c r="S489" s="60"/>
      <c r="T489" s="60"/>
      <c r="U489" s="60"/>
      <c r="V489" s="60"/>
      <c r="W489" s="60"/>
    </row>
    <row r="490" spans="1:23" ht="13" x14ac:dyDescent="0.3">
      <c r="A490" s="58"/>
      <c r="B490" s="58"/>
      <c r="C490" s="58"/>
      <c r="D490" s="58"/>
      <c r="E490" s="58"/>
      <c r="F490" s="58"/>
      <c r="G490" s="58"/>
      <c r="H490" s="59"/>
      <c r="I490" s="59"/>
      <c r="J490" s="59"/>
      <c r="K490" s="59"/>
      <c r="L490" s="59"/>
      <c r="M490" s="60"/>
      <c r="N490" s="60"/>
      <c r="O490" s="60"/>
      <c r="P490" s="59"/>
      <c r="Q490" s="59"/>
      <c r="R490" s="60"/>
      <c r="S490" s="60"/>
      <c r="T490" s="60"/>
      <c r="U490" s="60"/>
      <c r="V490" s="60"/>
      <c r="W490" s="60"/>
    </row>
    <row r="491" spans="1:23" ht="13" x14ac:dyDescent="0.3">
      <c r="A491" s="58"/>
      <c r="B491" s="58"/>
      <c r="C491" s="58"/>
      <c r="D491" s="58"/>
      <c r="E491" s="58"/>
      <c r="F491" s="58"/>
      <c r="G491" s="58"/>
      <c r="H491" s="59"/>
      <c r="I491" s="59"/>
      <c r="J491" s="59"/>
      <c r="K491" s="59"/>
      <c r="L491" s="59"/>
      <c r="M491" s="60"/>
      <c r="N491" s="60"/>
      <c r="O491" s="60"/>
      <c r="P491" s="59"/>
      <c r="Q491" s="59"/>
      <c r="R491" s="60"/>
      <c r="S491" s="60"/>
      <c r="T491" s="60"/>
      <c r="U491" s="60"/>
      <c r="V491" s="60"/>
      <c r="W491" s="60"/>
    </row>
    <row r="492" spans="1:23" ht="13" x14ac:dyDescent="0.3">
      <c r="A492" s="58"/>
      <c r="B492" s="58"/>
      <c r="C492" s="58"/>
      <c r="D492" s="58"/>
      <c r="E492" s="58"/>
      <c r="F492" s="58"/>
      <c r="G492" s="58"/>
      <c r="H492" s="59"/>
      <c r="I492" s="59"/>
      <c r="J492" s="59"/>
      <c r="K492" s="59"/>
      <c r="L492" s="59"/>
      <c r="M492" s="60"/>
      <c r="N492" s="60"/>
      <c r="O492" s="60"/>
      <c r="P492" s="59"/>
      <c r="Q492" s="59"/>
      <c r="R492" s="60"/>
      <c r="S492" s="60"/>
      <c r="T492" s="60"/>
      <c r="U492" s="60"/>
      <c r="V492" s="60"/>
      <c r="W492" s="60"/>
    </row>
    <row r="493" spans="1:23" ht="13" x14ac:dyDescent="0.3">
      <c r="A493" s="58"/>
      <c r="B493" s="58"/>
      <c r="C493" s="58"/>
      <c r="D493" s="58"/>
      <c r="E493" s="58"/>
      <c r="F493" s="58"/>
      <c r="G493" s="58"/>
      <c r="H493" s="59"/>
      <c r="I493" s="59"/>
      <c r="J493" s="59"/>
      <c r="K493" s="59"/>
      <c r="L493" s="59"/>
      <c r="M493" s="60"/>
      <c r="N493" s="60"/>
      <c r="O493" s="60"/>
      <c r="P493" s="59"/>
      <c r="Q493" s="59"/>
      <c r="R493" s="60"/>
      <c r="S493" s="60"/>
      <c r="T493" s="60"/>
      <c r="U493" s="60"/>
      <c r="V493" s="60"/>
      <c r="W493" s="60"/>
    </row>
    <row r="494" spans="1:23" ht="13" x14ac:dyDescent="0.3">
      <c r="A494" s="58"/>
      <c r="B494" s="58"/>
      <c r="C494" s="58"/>
      <c r="D494" s="58"/>
      <c r="E494" s="58"/>
      <c r="F494" s="58"/>
      <c r="G494" s="58"/>
      <c r="H494" s="59"/>
      <c r="I494" s="59"/>
      <c r="J494" s="59"/>
      <c r="K494" s="59"/>
      <c r="L494" s="59"/>
      <c r="M494" s="60"/>
      <c r="N494" s="60"/>
      <c r="O494" s="60"/>
      <c r="P494" s="59"/>
      <c r="Q494" s="59"/>
      <c r="R494" s="60"/>
      <c r="S494" s="60"/>
      <c r="T494" s="60"/>
      <c r="U494" s="60"/>
      <c r="V494" s="60"/>
      <c r="W494" s="60"/>
    </row>
    <row r="495" spans="1:23" ht="13" x14ac:dyDescent="0.3">
      <c r="A495" s="58"/>
      <c r="B495" s="58"/>
      <c r="C495" s="58"/>
      <c r="D495" s="58"/>
      <c r="E495" s="58"/>
      <c r="F495" s="58"/>
      <c r="G495" s="58"/>
      <c r="H495" s="59"/>
      <c r="I495" s="59"/>
      <c r="J495" s="59"/>
      <c r="K495" s="59"/>
      <c r="L495" s="59"/>
      <c r="M495" s="60"/>
      <c r="N495" s="60"/>
      <c r="O495" s="60"/>
      <c r="P495" s="59"/>
      <c r="Q495" s="59"/>
      <c r="R495" s="60"/>
      <c r="S495" s="60"/>
      <c r="T495" s="60"/>
      <c r="U495" s="60"/>
      <c r="V495" s="60"/>
      <c r="W495" s="60"/>
    </row>
    <row r="496" spans="1:23" ht="13" x14ac:dyDescent="0.3">
      <c r="A496" s="58"/>
      <c r="B496" s="58"/>
      <c r="C496" s="58"/>
      <c r="D496" s="58"/>
      <c r="E496" s="58"/>
      <c r="F496" s="58"/>
      <c r="G496" s="58"/>
      <c r="H496" s="59"/>
      <c r="I496" s="59"/>
      <c r="J496" s="59"/>
      <c r="K496" s="59"/>
      <c r="L496" s="59"/>
      <c r="M496" s="60"/>
      <c r="N496" s="60"/>
      <c r="O496" s="60"/>
      <c r="P496" s="59"/>
      <c r="Q496" s="59"/>
      <c r="R496" s="60"/>
      <c r="S496" s="60"/>
      <c r="T496" s="60"/>
      <c r="U496" s="60"/>
      <c r="V496" s="60"/>
      <c r="W496" s="60"/>
    </row>
    <row r="497" spans="1:23" ht="13" x14ac:dyDescent="0.3">
      <c r="A497" s="58"/>
      <c r="B497" s="58"/>
      <c r="C497" s="58"/>
      <c r="D497" s="58"/>
      <c r="E497" s="58"/>
      <c r="F497" s="58"/>
      <c r="G497" s="58"/>
      <c r="H497" s="59"/>
      <c r="I497" s="59"/>
      <c r="J497" s="59"/>
      <c r="K497" s="59"/>
      <c r="L497" s="59"/>
      <c r="M497" s="60"/>
      <c r="N497" s="60"/>
      <c r="O497" s="60"/>
      <c r="P497" s="59"/>
      <c r="Q497" s="59"/>
      <c r="R497" s="60"/>
      <c r="S497" s="60"/>
      <c r="T497" s="60"/>
      <c r="U497" s="60"/>
      <c r="V497" s="60"/>
      <c r="W497" s="60"/>
    </row>
    <row r="498" spans="1:23" ht="13" x14ac:dyDescent="0.3">
      <c r="A498" s="58"/>
      <c r="B498" s="58"/>
      <c r="C498" s="58"/>
      <c r="D498" s="58"/>
      <c r="E498" s="58"/>
      <c r="F498" s="58"/>
      <c r="G498" s="58"/>
      <c r="H498" s="59"/>
      <c r="I498" s="59"/>
      <c r="J498" s="59"/>
      <c r="K498" s="59"/>
      <c r="L498" s="59"/>
      <c r="M498" s="60"/>
      <c r="N498" s="60"/>
      <c r="O498" s="60"/>
      <c r="P498" s="59"/>
      <c r="Q498" s="59"/>
      <c r="R498" s="60"/>
      <c r="S498" s="60"/>
      <c r="T498" s="60"/>
      <c r="U498" s="60"/>
      <c r="V498" s="60"/>
      <c r="W498" s="60"/>
    </row>
    <row r="499" spans="1:23" ht="13" x14ac:dyDescent="0.3">
      <c r="A499" s="58"/>
      <c r="B499" s="58"/>
      <c r="C499" s="58"/>
      <c r="D499" s="58"/>
      <c r="E499" s="58"/>
      <c r="F499" s="58"/>
      <c r="G499" s="58"/>
      <c r="H499" s="59"/>
      <c r="I499" s="59"/>
      <c r="J499" s="59"/>
      <c r="K499" s="59"/>
      <c r="L499" s="59"/>
      <c r="M499" s="60"/>
      <c r="N499" s="60"/>
      <c r="O499" s="60"/>
      <c r="P499" s="59"/>
      <c r="Q499" s="59"/>
      <c r="R499" s="60"/>
      <c r="S499" s="60"/>
      <c r="T499" s="60"/>
      <c r="U499" s="60"/>
      <c r="V499" s="60"/>
      <c r="W499" s="60"/>
    </row>
    <row r="500" spans="1:23" ht="13" x14ac:dyDescent="0.3">
      <c r="A500" s="58"/>
      <c r="B500" s="58"/>
      <c r="C500" s="58"/>
      <c r="D500" s="58"/>
      <c r="E500" s="58"/>
      <c r="F500" s="58"/>
      <c r="G500" s="58"/>
      <c r="H500" s="59"/>
      <c r="I500" s="59"/>
      <c r="J500" s="59"/>
      <c r="K500" s="59"/>
      <c r="L500" s="59"/>
      <c r="M500" s="60"/>
      <c r="N500" s="60"/>
      <c r="O500" s="60"/>
      <c r="P500" s="59"/>
      <c r="Q500" s="59"/>
      <c r="R500" s="60"/>
      <c r="S500" s="60"/>
      <c r="T500" s="60"/>
      <c r="U500" s="60"/>
      <c r="V500" s="60"/>
      <c r="W500" s="60"/>
    </row>
    <row r="501" spans="1:23" ht="13" x14ac:dyDescent="0.3">
      <c r="A501" s="58"/>
      <c r="B501" s="58"/>
      <c r="C501" s="58"/>
      <c r="D501" s="58"/>
      <c r="E501" s="58"/>
      <c r="F501" s="58"/>
      <c r="G501" s="58"/>
      <c r="H501" s="59"/>
      <c r="I501" s="59"/>
      <c r="J501" s="59"/>
      <c r="K501" s="59"/>
      <c r="L501" s="59"/>
      <c r="M501" s="60"/>
      <c r="N501" s="60"/>
      <c r="O501" s="60"/>
      <c r="P501" s="59"/>
      <c r="Q501" s="59"/>
      <c r="R501" s="60"/>
      <c r="S501" s="60"/>
      <c r="T501" s="60"/>
      <c r="U501" s="60"/>
      <c r="V501" s="60"/>
      <c r="W501" s="60"/>
    </row>
    <row r="502" spans="1:23" ht="13" x14ac:dyDescent="0.3">
      <c r="A502" s="58"/>
      <c r="B502" s="58"/>
      <c r="C502" s="58"/>
      <c r="D502" s="58"/>
      <c r="E502" s="58"/>
      <c r="F502" s="58"/>
      <c r="G502" s="58"/>
      <c r="H502" s="59"/>
      <c r="I502" s="59"/>
      <c r="J502" s="59"/>
      <c r="K502" s="59"/>
      <c r="L502" s="59"/>
      <c r="M502" s="60"/>
      <c r="N502" s="60"/>
      <c r="O502" s="60"/>
      <c r="P502" s="59"/>
      <c r="Q502" s="59"/>
      <c r="R502" s="60"/>
      <c r="S502" s="60"/>
      <c r="T502" s="60"/>
      <c r="U502" s="60"/>
      <c r="V502" s="60"/>
      <c r="W502" s="60"/>
    </row>
    <row r="503" spans="1:23" ht="13" x14ac:dyDescent="0.3">
      <c r="A503" s="58"/>
      <c r="B503" s="58"/>
      <c r="C503" s="58"/>
      <c r="D503" s="58"/>
      <c r="E503" s="58"/>
      <c r="F503" s="58"/>
      <c r="G503" s="58"/>
      <c r="H503" s="59"/>
      <c r="I503" s="59"/>
      <c r="J503" s="59"/>
      <c r="K503" s="59"/>
      <c r="L503" s="59"/>
      <c r="M503" s="60"/>
      <c r="N503" s="60"/>
      <c r="O503" s="60"/>
      <c r="P503" s="59"/>
      <c r="Q503" s="59"/>
      <c r="R503" s="60"/>
      <c r="S503" s="60"/>
      <c r="T503" s="60"/>
      <c r="U503" s="60"/>
      <c r="V503" s="60"/>
      <c r="W503" s="60"/>
    </row>
    <row r="504" spans="1:23" ht="13" x14ac:dyDescent="0.3">
      <c r="A504" s="58"/>
      <c r="B504" s="58"/>
      <c r="C504" s="58"/>
      <c r="D504" s="58"/>
      <c r="E504" s="58"/>
      <c r="F504" s="58"/>
      <c r="G504" s="58"/>
      <c r="H504" s="59"/>
      <c r="I504" s="59"/>
      <c r="J504" s="59"/>
      <c r="K504" s="59"/>
      <c r="L504" s="59"/>
      <c r="M504" s="60"/>
      <c r="N504" s="60"/>
      <c r="O504" s="60"/>
      <c r="P504" s="59"/>
      <c r="Q504" s="59"/>
      <c r="R504" s="60"/>
      <c r="S504" s="60"/>
      <c r="T504" s="60"/>
      <c r="U504" s="60"/>
      <c r="V504" s="60"/>
      <c r="W504" s="60"/>
    </row>
    <row r="505" spans="1:23" ht="13" x14ac:dyDescent="0.3">
      <c r="A505" s="58"/>
      <c r="B505" s="58"/>
      <c r="C505" s="58"/>
      <c r="D505" s="58"/>
      <c r="E505" s="58"/>
      <c r="F505" s="58"/>
      <c r="G505" s="58"/>
      <c r="H505" s="59"/>
      <c r="I505" s="59"/>
      <c r="J505" s="59"/>
      <c r="K505" s="59"/>
      <c r="L505" s="59"/>
      <c r="M505" s="60"/>
      <c r="N505" s="60"/>
      <c r="O505" s="60"/>
      <c r="P505" s="59"/>
      <c r="Q505" s="59"/>
      <c r="R505" s="60"/>
      <c r="S505" s="60"/>
      <c r="T505" s="60"/>
      <c r="U505" s="60"/>
      <c r="V505" s="60"/>
      <c r="W505" s="60"/>
    </row>
    <row r="506" spans="1:23" ht="13" x14ac:dyDescent="0.3">
      <c r="A506" s="58"/>
      <c r="B506" s="58"/>
      <c r="C506" s="58"/>
      <c r="D506" s="58"/>
      <c r="E506" s="58"/>
      <c r="F506" s="58"/>
      <c r="G506" s="58"/>
      <c r="H506" s="59"/>
      <c r="I506" s="59"/>
      <c r="J506" s="59"/>
      <c r="K506" s="59"/>
      <c r="L506" s="59"/>
      <c r="M506" s="60"/>
      <c r="N506" s="60"/>
      <c r="O506" s="60"/>
      <c r="P506" s="59"/>
      <c r="Q506" s="59"/>
      <c r="R506" s="60"/>
      <c r="S506" s="60"/>
      <c r="T506" s="60"/>
      <c r="U506" s="60"/>
      <c r="V506" s="60"/>
      <c r="W506" s="60"/>
    </row>
    <row r="507" spans="1:23" ht="13" x14ac:dyDescent="0.3">
      <c r="A507" s="58"/>
      <c r="B507" s="58"/>
      <c r="C507" s="58"/>
      <c r="D507" s="58"/>
      <c r="E507" s="58"/>
      <c r="F507" s="58"/>
      <c r="G507" s="58"/>
      <c r="H507" s="59"/>
      <c r="I507" s="59"/>
      <c r="J507" s="59"/>
      <c r="K507" s="59"/>
      <c r="L507" s="59"/>
      <c r="M507" s="60"/>
      <c r="N507" s="60"/>
      <c r="O507" s="60"/>
      <c r="P507" s="59"/>
      <c r="Q507" s="59"/>
      <c r="R507" s="60"/>
      <c r="S507" s="60"/>
      <c r="T507" s="60"/>
      <c r="U507" s="60"/>
      <c r="V507" s="60"/>
      <c r="W507" s="60"/>
    </row>
    <row r="508" spans="1:23" ht="13" x14ac:dyDescent="0.3">
      <c r="A508" s="58"/>
      <c r="B508" s="58"/>
      <c r="C508" s="58"/>
      <c r="D508" s="58"/>
      <c r="E508" s="58"/>
      <c r="F508" s="58"/>
      <c r="G508" s="58"/>
      <c r="H508" s="59"/>
      <c r="I508" s="59"/>
      <c r="J508" s="59"/>
      <c r="K508" s="59"/>
      <c r="L508" s="59"/>
      <c r="M508" s="60"/>
      <c r="N508" s="60"/>
      <c r="O508" s="60"/>
      <c r="P508" s="59"/>
      <c r="Q508" s="59"/>
      <c r="R508" s="60"/>
      <c r="S508" s="60"/>
      <c r="T508" s="60"/>
      <c r="U508" s="60"/>
      <c r="V508" s="60"/>
      <c r="W508" s="60"/>
    </row>
    <row r="509" spans="1:23" ht="13" x14ac:dyDescent="0.3">
      <c r="A509" s="58"/>
      <c r="B509" s="58"/>
      <c r="C509" s="58"/>
      <c r="D509" s="58"/>
      <c r="E509" s="58"/>
      <c r="F509" s="58"/>
      <c r="G509" s="58"/>
      <c r="H509" s="59"/>
      <c r="I509" s="59"/>
      <c r="J509" s="59"/>
      <c r="K509" s="59"/>
      <c r="L509" s="59"/>
      <c r="M509" s="60"/>
      <c r="N509" s="60"/>
      <c r="O509" s="60"/>
      <c r="P509" s="59"/>
      <c r="Q509" s="59"/>
      <c r="R509" s="60"/>
      <c r="S509" s="60"/>
      <c r="T509" s="60"/>
      <c r="U509" s="60"/>
      <c r="V509" s="60"/>
      <c r="W509" s="60"/>
    </row>
    <row r="510" spans="1:23" ht="13" x14ac:dyDescent="0.3">
      <c r="A510" s="58"/>
      <c r="B510" s="58"/>
      <c r="C510" s="58"/>
      <c r="D510" s="58"/>
      <c r="E510" s="58"/>
      <c r="F510" s="58"/>
      <c r="G510" s="58"/>
      <c r="H510" s="59"/>
      <c r="I510" s="59"/>
      <c r="J510" s="59"/>
      <c r="K510" s="59"/>
      <c r="L510" s="59"/>
      <c r="M510" s="60"/>
      <c r="N510" s="60"/>
      <c r="O510" s="60"/>
      <c r="P510" s="59"/>
      <c r="Q510" s="59"/>
      <c r="R510" s="60"/>
      <c r="S510" s="60"/>
      <c r="T510" s="60"/>
      <c r="U510" s="60"/>
      <c r="V510" s="60"/>
      <c r="W510" s="60"/>
    </row>
    <row r="511" spans="1:23" ht="13" x14ac:dyDescent="0.3">
      <c r="A511" s="58"/>
      <c r="B511" s="58"/>
      <c r="C511" s="58"/>
      <c r="D511" s="58"/>
      <c r="E511" s="58"/>
      <c r="F511" s="58"/>
      <c r="G511" s="58"/>
      <c r="H511" s="59"/>
      <c r="I511" s="59"/>
      <c r="J511" s="59"/>
      <c r="K511" s="59"/>
      <c r="L511" s="59"/>
      <c r="M511" s="60"/>
      <c r="N511" s="60"/>
      <c r="O511" s="60"/>
      <c r="P511" s="59"/>
      <c r="Q511" s="59"/>
      <c r="R511" s="60"/>
      <c r="S511" s="60"/>
      <c r="T511" s="60"/>
      <c r="U511" s="60"/>
      <c r="V511" s="60"/>
      <c r="W511" s="60"/>
    </row>
    <row r="512" spans="1:23" ht="13" x14ac:dyDescent="0.3">
      <c r="A512" s="58"/>
      <c r="B512" s="58"/>
      <c r="C512" s="58"/>
      <c r="D512" s="58"/>
      <c r="E512" s="58"/>
      <c r="F512" s="58"/>
      <c r="G512" s="58"/>
      <c r="H512" s="59"/>
      <c r="I512" s="59"/>
      <c r="J512" s="59"/>
      <c r="K512" s="59"/>
      <c r="L512" s="59"/>
      <c r="M512" s="60"/>
      <c r="N512" s="60"/>
      <c r="O512" s="60"/>
      <c r="P512" s="59"/>
      <c r="Q512" s="59"/>
      <c r="R512" s="60"/>
      <c r="S512" s="60"/>
      <c r="T512" s="60"/>
      <c r="U512" s="60"/>
      <c r="V512" s="60"/>
      <c r="W512" s="60"/>
    </row>
    <row r="513" spans="1:23" ht="13" x14ac:dyDescent="0.3">
      <c r="A513" s="58"/>
      <c r="B513" s="58"/>
      <c r="C513" s="58"/>
      <c r="D513" s="58"/>
      <c r="E513" s="58"/>
      <c r="F513" s="58"/>
      <c r="G513" s="58"/>
      <c r="H513" s="59"/>
      <c r="I513" s="59"/>
      <c r="J513" s="59"/>
      <c r="K513" s="59"/>
      <c r="L513" s="59"/>
      <c r="M513" s="60"/>
      <c r="N513" s="60"/>
      <c r="O513" s="60"/>
      <c r="P513" s="59"/>
      <c r="Q513" s="59"/>
      <c r="R513" s="60"/>
      <c r="S513" s="60"/>
      <c r="T513" s="60"/>
      <c r="U513" s="60"/>
      <c r="V513" s="60"/>
      <c r="W513" s="60"/>
    </row>
    <row r="514" spans="1:23" ht="13" x14ac:dyDescent="0.3">
      <c r="A514" s="58"/>
      <c r="B514" s="58"/>
      <c r="C514" s="58"/>
      <c r="D514" s="58"/>
      <c r="E514" s="58"/>
      <c r="F514" s="58"/>
      <c r="G514" s="58"/>
      <c r="H514" s="59"/>
      <c r="I514" s="59"/>
      <c r="J514" s="59"/>
      <c r="K514" s="59"/>
      <c r="L514" s="59"/>
      <c r="M514" s="60"/>
      <c r="N514" s="60"/>
      <c r="O514" s="60"/>
      <c r="P514" s="59"/>
      <c r="Q514" s="59"/>
      <c r="R514" s="60"/>
      <c r="S514" s="60"/>
      <c r="T514" s="60"/>
      <c r="U514" s="60"/>
      <c r="V514" s="60"/>
      <c r="W514" s="60"/>
    </row>
    <row r="515" spans="1:23" ht="13" x14ac:dyDescent="0.3">
      <c r="A515" s="58"/>
      <c r="B515" s="58"/>
      <c r="C515" s="58"/>
      <c r="D515" s="58"/>
      <c r="E515" s="58"/>
      <c r="F515" s="58"/>
      <c r="G515" s="58"/>
      <c r="H515" s="59"/>
      <c r="I515" s="59"/>
      <c r="J515" s="59"/>
      <c r="K515" s="59"/>
      <c r="L515" s="59"/>
      <c r="M515" s="60"/>
      <c r="N515" s="60"/>
      <c r="O515" s="60"/>
      <c r="P515" s="59"/>
      <c r="Q515" s="59"/>
      <c r="R515" s="60"/>
      <c r="S515" s="60"/>
      <c r="T515" s="60"/>
      <c r="U515" s="60"/>
      <c r="V515" s="60"/>
      <c r="W515" s="60"/>
    </row>
    <row r="516" spans="1:23" ht="13" x14ac:dyDescent="0.3">
      <c r="A516" s="58"/>
      <c r="B516" s="58"/>
      <c r="C516" s="58"/>
      <c r="D516" s="58"/>
      <c r="E516" s="58"/>
      <c r="F516" s="58"/>
      <c r="G516" s="58"/>
      <c r="H516" s="59"/>
      <c r="I516" s="59"/>
      <c r="J516" s="59"/>
      <c r="K516" s="59"/>
      <c r="L516" s="59"/>
      <c r="M516" s="60"/>
      <c r="N516" s="60"/>
      <c r="O516" s="60"/>
      <c r="P516" s="59"/>
      <c r="Q516" s="59"/>
      <c r="R516" s="60"/>
      <c r="S516" s="60"/>
      <c r="T516" s="60"/>
      <c r="U516" s="60"/>
      <c r="V516" s="60"/>
      <c r="W516" s="60"/>
    </row>
    <row r="517" spans="1:23" ht="13" x14ac:dyDescent="0.3">
      <c r="A517" s="58"/>
      <c r="B517" s="58"/>
      <c r="C517" s="58"/>
      <c r="D517" s="58"/>
      <c r="E517" s="58"/>
      <c r="F517" s="58"/>
      <c r="G517" s="58"/>
      <c r="H517" s="59"/>
      <c r="I517" s="59"/>
      <c r="J517" s="59"/>
      <c r="K517" s="59"/>
      <c r="L517" s="59"/>
      <c r="M517" s="60"/>
      <c r="N517" s="60"/>
      <c r="O517" s="60"/>
      <c r="P517" s="59"/>
      <c r="Q517" s="59"/>
      <c r="R517" s="60"/>
      <c r="S517" s="60"/>
      <c r="T517" s="60"/>
      <c r="U517" s="60"/>
      <c r="V517" s="60"/>
      <c r="W517" s="60"/>
    </row>
    <row r="518" spans="1:23" ht="13" x14ac:dyDescent="0.3">
      <c r="A518" s="58"/>
      <c r="B518" s="58"/>
      <c r="C518" s="58"/>
      <c r="D518" s="58"/>
      <c r="E518" s="58"/>
      <c r="F518" s="58"/>
      <c r="G518" s="58"/>
      <c r="H518" s="59"/>
      <c r="I518" s="59"/>
      <c r="J518" s="59"/>
      <c r="K518" s="59"/>
      <c r="L518" s="59"/>
      <c r="M518" s="60"/>
      <c r="N518" s="60"/>
      <c r="O518" s="60"/>
      <c r="P518" s="59"/>
      <c r="Q518" s="59"/>
      <c r="R518" s="60"/>
      <c r="S518" s="60"/>
      <c r="T518" s="60"/>
      <c r="U518" s="60"/>
      <c r="V518" s="60"/>
      <c r="W518" s="60"/>
    </row>
    <row r="519" spans="1:23" ht="13" x14ac:dyDescent="0.3">
      <c r="A519" s="58"/>
      <c r="B519" s="58"/>
      <c r="C519" s="58"/>
      <c r="D519" s="58"/>
      <c r="E519" s="58"/>
      <c r="F519" s="58"/>
      <c r="G519" s="58"/>
      <c r="H519" s="59"/>
      <c r="I519" s="59"/>
      <c r="J519" s="59"/>
      <c r="K519" s="59"/>
      <c r="L519" s="59"/>
      <c r="M519" s="60"/>
      <c r="N519" s="60"/>
      <c r="O519" s="60"/>
      <c r="P519" s="59"/>
      <c r="Q519" s="59"/>
      <c r="R519" s="60"/>
      <c r="S519" s="60"/>
      <c r="T519" s="60"/>
      <c r="U519" s="60"/>
      <c r="V519" s="60"/>
      <c r="W519" s="60"/>
    </row>
    <row r="520" spans="1:23" ht="13" x14ac:dyDescent="0.3">
      <c r="A520" s="58"/>
      <c r="B520" s="58"/>
      <c r="C520" s="58"/>
      <c r="D520" s="58"/>
      <c r="E520" s="58"/>
      <c r="F520" s="58"/>
      <c r="G520" s="58"/>
      <c r="H520" s="59"/>
      <c r="I520" s="59"/>
      <c r="J520" s="59"/>
      <c r="K520" s="59"/>
      <c r="L520" s="59"/>
      <c r="M520" s="60"/>
      <c r="N520" s="60"/>
      <c r="O520" s="60"/>
      <c r="P520" s="59"/>
      <c r="Q520" s="59"/>
      <c r="R520" s="60"/>
      <c r="S520" s="60"/>
      <c r="T520" s="60"/>
      <c r="U520" s="60"/>
      <c r="V520" s="60"/>
      <c r="W520" s="60"/>
    </row>
    <row r="521" spans="1:23" ht="13" x14ac:dyDescent="0.3">
      <c r="A521" s="58"/>
      <c r="B521" s="58"/>
      <c r="C521" s="58"/>
      <c r="D521" s="58"/>
      <c r="E521" s="58"/>
      <c r="F521" s="58"/>
      <c r="G521" s="58"/>
      <c r="H521" s="59"/>
      <c r="I521" s="59"/>
      <c r="J521" s="59"/>
      <c r="K521" s="59"/>
      <c r="L521" s="59"/>
      <c r="M521" s="60"/>
      <c r="N521" s="60"/>
      <c r="O521" s="60"/>
      <c r="P521" s="59"/>
      <c r="Q521" s="59"/>
      <c r="R521" s="60"/>
      <c r="S521" s="60"/>
      <c r="T521" s="60"/>
      <c r="U521" s="60"/>
      <c r="V521" s="60"/>
      <c r="W521" s="60"/>
    </row>
    <row r="522" spans="1:23" ht="13" x14ac:dyDescent="0.3">
      <c r="A522" s="58"/>
      <c r="B522" s="58"/>
      <c r="C522" s="58"/>
      <c r="D522" s="58"/>
      <c r="E522" s="58"/>
      <c r="F522" s="58"/>
      <c r="G522" s="58"/>
      <c r="H522" s="59"/>
      <c r="I522" s="59"/>
      <c r="J522" s="59"/>
      <c r="K522" s="59"/>
      <c r="L522" s="59"/>
      <c r="M522" s="60"/>
      <c r="N522" s="60"/>
      <c r="O522" s="60"/>
      <c r="P522" s="59"/>
      <c r="Q522" s="59"/>
      <c r="R522" s="60"/>
      <c r="S522" s="60"/>
      <c r="T522" s="60"/>
      <c r="U522" s="60"/>
      <c r="V522" s="60"/>
      <c r="W522" s="60"/>
    </row>
    <row r="523" spans="1:23" ht="13" x14ac:dyDescent="0.3">
      <c r="A523" s="58"/>
      <c r="B523" s="58"/>
      <c r="C523" s="58"/>
      <c r="D523" s="58"/>
      <c r="E523" s="58"/>
      <c r="F523" s="58"/>
      <c r="G523" s="58"/>
      <c r="H523" s="59"/>
      <c r="I523" s="59"/>
      <c r="J523" s="59"/>
      <c r="K523" s="59"/>
      <c r="L523" s="59"/>
      <c r="M523" s="60"/>
      <c r="N523" s="60"/>
      <c r="O523" s="60"/>
      <c r="P523" s="59"/>
      <c r="Q523" s="59"/>
      <c r="R523" s="60"/>
      <c r="S523" s="60"/>
      <c r="T523" s="60"/>
      <c r="U523" s="60"/>
      <c r="V523" s="60"/>
      <c r="W523" s="60"/>
    </row>
    <row r="524" spans="1:23" ht="13" x14ac:dyDescent="0.3">
      <c r="A524" s="58"/>
      <c r="B524" s="58"/>
      <c r="C524" s="58"/>
      <c r="D524" s="58"/>
      <c r="E524" s="58"/>
      <c r="F524" s="58"/>
      <c r="G524" s="58"/>
      <c r="H524" s="59"/>
      <c r="I524" s="59"/>
      <c r="J524" s="59"/>
      <c r="K524" s="59"/>
      <c r="L524" s="59"/>
      <c r="M524" s="60"/>
      <c r="N524" s="60"/>
      <c r="O524" s="60"/>
      <c r="P524" s="59"/>
      <c r="Q524" s="59"/>
      <c r="R524" s="60"/>
      <c r="S524" s="60"/>
      <c r="T524" s="60"/>
      <c r="U524" s="60"/>
      <c r="V524" s="60"/>
      <c r="W524" s="60"/>
    </row>
    <row r="525" spans="1:23" ht="13" x14ac:dyDescent="0.3">
      <c r="A525" s="58"/>
      <c r="B525" s="58"/>
      <c r="C525" s="58"/>
      <c r="D525" s="58"/>
      <c r="E525" s="58"/>
      <c r="F525" s="58"/>
      <c r="G525" s="58"/>
      <c r="H525" s="59"/>
      <c r="I525" s="59"/>
      <c r="J525" s="59"/>
      <c r="K525" s="59"/>
      <c r="L525" s="59"/>
      <c r="M525" s="60"/>
      <c r="N525" s="60"/>
      <c r="O525" s="60"/>
      <c r="P525" s="59"/>
      <c r="Q525" s="59"/>
      <c r="R525" s="60"/>
      <c r="S525" s="60"/>
      <c r="T525" s="60"/>
      <c r="U525" s="60"/>
      <c r="V525" s="60"/>
      <c r="W525" s="60"/>
    </row>
    <row r="526" spans="1:23" ht="13" x14ac:dyDescent="0.3">
      <c r="A526" s="58"/>
      <c r="B526" s="58"/>
      <c r="C526" s="58"/>
      <c r="D526" s="58"/>
      <c r="E526" s="58"/>
      <c r="F526" s="58"/>
      <c r="G526" s="58"/>
      <c r="H526" s="59"/>
      <c r="I526" s="59"/>
      <c r="J526" s="59"/>
      <c r="K526" s="59"/>
      <c r="L526" s="59"/>
      <c r="M526" s="60"/>
      <c r="N526" s="60"/>
      <c r="O526" s="60"/>
      <c r="P526" s="59"/>
      <c r="Q526" s="59"/>
      <c r="R526" s="60"/>
      <c r="S526" s="60"/>
      <c r="T526" s="60"/>
      <c r="U526" s="60"/>
      <c r="V526" s="60"/>
      <c r="W526" s="60"/>
    </row>
    <row r="527" spans="1:23" ht="13" x14ac:dyDescent="0.3">
      <c r="A527" s="58"/>
      <c r="B527" s="58"/>
      <c r="C527" s="58"/>
      <c r="D527" s="58"/>
      <c r="E527" s="58"/>
      <c r="F527" s="58"/>
      <c r="G527" s="58"/>
      <c r="H527" s="59"/>
      <c r="I527" s="59"/>
      <c r="J527" s="59"/>
      <c r="K527" s="59"/>
      <c r="L527" s="59"/>
      <c r="M527" s="60"/>
      <c r="N527" s="60"/>
      <c r="O527" s="60"/>
      <c r="P527" s="59"/>
      <c r="Q527" s="59"/>
      <c r="R527" s="60"/>
      <c r="S527" s="60"/>
      <c r="T527" s="60"/>
      <c r="U527" s="60"/>
      <c r="V527" s="60"/>
      <c r="W527" s="60"/>
    </row>
    <row r="528" spans="1:23" ht="13" x14ac:dyDescent="0.3">
      <c r="A528" s="58"/>
      <c r="B528" s="58"/>
      <c r="C528" s="58"/>
      <c r="D528" s="58"/>
      <c r="E528" s="58"/>
      <c r="F528" s="58"/>
      <c r="G528" s="58"/>
      <c r="H528" s="59"/>
      <c r="I528" s="59"/>
      <c r="J528" s="59"/>
      <c r="K528" s="59"/>
      <c r="L528" s="59"/>
      <c r="M528" s="60"/>
      <c r="N528" s="60"/>
      <c r="O528" s="60"/>
      <c r="P528" s="59"/>
      <c r="Q528" s="59"/>
      <c r="R528" s="60"/>
      <c r="S528" s="60"/>
      <c r="T528" s="60"/>
      <c r="U528" s="60"/>
      <c r="V528" s="60"/>
      <c r="W528" s="60"/>
    </row>
    <row r="529" spans="1:23" ht="13" x14ac:dyDescent="0.3">
      <c r="A529" s="58"/>
      <c r="B529" s="58"/>
      <c r="C529" s="58"/>
      <c r="D529" s="58"/>
      <c r="E529" s="58"/>
      <c r="F529" s="58"/>
      <c r="G529" s="58"/>
      <c r="H529" s="59"/>
      <c r="I529" s="59"/>
      <c r="J529" s="59"/>
      <c r="K529" s="59"/>
      <c r="L529" s="59"/>
      <c r="M529" s="60"/>
      <c r="N529" s="60"/>
      <c r="O529" s="60"/>
      <c r="P529" s="59"/>
      <c r="Q529" s="59"/>
      <c r="R529" s="60"/>
      <c r="S529" s="60"/>
      <c r="T529" s="60"/>
      <c r="U529" s="60"/>
      <c r="V529" s="60"/>
      <c r="W529" s="60"/>
    </row>
    <row r="530" spans="1:23" ht="13" x14ac:dyDescent="0.3">
      <c r="A530" s="58"/>
      <c r="B530" s="58"/>
      <c r="C530" s="58"/>
      <c r="D530" s="58"/>
      <c r="E530" s="58"/>
      <c r="F530" s="58"/>
      <c r="G530" s="58"/>
      <c r="H530" s="59"/>
      <c r="I530" s="59"/>
      <c r="J530" s="59"/>
      <c r="K530" s="59"/>
      <c r="L530" s="59"/>
      <c r="M530" s="60"/>
      <c r="N530" s="60"/>
      <c r="O530" s="60"/>
      <c r="P530" s="59"/>
      <c r="Q530" s="59"/>
      <c r="R530" s="60"/>
      <c r="S530" s="60"/>
      <c r="T530" s="60"/>
      <c r="U530" s="60"/>
      <c r="V530" s="60"/>
      <c r="W530" s="60"/>
    </row>
    <row r="531" spans="1:23" ht="13" x14ac:dyDescent="0.3">
      <c r="A531" s="58"/>
      <c r="B531" s="58"/>
      <c r="C531" s="58"/>
      <c r="D531" s="58"/>
      <c r="E531" s="58"/>
      <c r="F531" s="58"/>
      <c r="G531" s="58"/>
      <c r="H531" s="59"/>
      <c r="I531" s="59"/>
      <c r="J531" s="59"/>
      <c r="K531" s="59"/>
      <c r="L531" s="59"/>
      <c r="M531" s="60"/>
      <c r="N531" s="60"/>
      <c r="O531" s="60"/>
      <c r="P531" s="59"/>
      <c r="Q531" s="59"/>
      <c r="R531" s="60"/>
      <c r="S531" s="60"/>
      <c r="T531" s="60"/>
      <c r="U531" s="60"/>
      <c r="V531" s="60"/>
      <c r="W531" s="60"/>
    </row>
    <row r="532" spans="1:23" ht="13" x14ac:dyDescent="0.3">
      <c r="A532" s="58"/>
      <c r="B532" s="58"/>
      <c r="C532" s="58"/>
      <c r="D532" s="58"/>
      <c r="E532" s="58"/>
      <c r="F532" s="58"/>
      <c r="G532" s="58"/>
      <c r="H532" s="59"/>
      <c r="I532" s="59"/>
      <c r="J532" s="59"/>
      <c r="K532" s="59"/>
      <c r="L532" s="59"/>
      <c r="M532" s="60"/>
      <c r="N532" s="60"/>
      <c r="O532" s="60"/>
      <c r="P532" s="59"/>
      <c r="Q532" s="59"/>
      <c r="R532" s="60"/>
      <c r="S532" s="60"/>
      <c r="T532" s="60"/>
      <c r="U532" s="60"/>
      <c r="V532" s="60"/>
      <c r="W532" s="60"/>
    </row>
    <row r="533" spans="1:23" ht="13" x14ac:dyDescent="0.3">
      <c r="A533" s="58"/>
      <c r="B533" s="58"/>
      <c r="C533" s="58"/>
      <c r="D533" s="58"/>
      <c r="E533" s="58"/>
      <c r="F533" s="58"/>
      <c r="G533" s="58"/>
      <c r="H533" s="59"/>
      <c r="I533" s="59"/>
      <c r="J533" s="59"/>
      <c r="K533" s="59"/>
      <c r="L533" s="59"/>
      <c r="M533" s="60"/>
      <c r="N533" s="60"/>
      <c r="O533" s="60"/>
      <c r="P533" s="59"/>
      <c r="Q533" s="59"/>
      <c r="R533" s="60"/>
      <c r="S533" s="60"/>
      <c r="T533" s="60"/>
      <c r="U533" s="60"/>
      <c r="V533" s="60"/>
      <c r="W533" s="60"/>
    </row>
    <row r="534" spans="1:23" ht="13" x14ac:dyDescent="0.3">
      <c r="A534" s="58"/>
      <c r="B534" s="58"/>
      <c r="C534" s="58"/>
      <c r="D534" s="58"/>
      <c r="E534" s="58"/>
      <c r="F534" s="58"/>
      <c r="G534" s="58"/>
      <c r="H534" s="59"/>
      <c r="I534" s="59"/>
      <c r="J534" s="59"/>
      <c r="K534" s="59"/>
      <c r="L534" s="59"/>
      <c r="M534" s="60"/>
      <c r="N534" s="60"/>
      <c r="O534" s="60"/>
      <c r="P534" s="59"/>
      <c r="Q534" s="59"/>
      <c r="R534" s="60"/>
      <c r="S534" s="60"/>
      <c r="T534" s="60"/>
      <c r="U534" s="60"/>
      <c r="V534" s="60"/>
      <c r="W534" s="60"/>
    </row>
    <row r="535" spans="1:23" ht="13" x14ac:dyDescent="0.3">
      <c r="A535" s="58"/>
      <c r="B535" s="58"/>
      <c r="C535" s="58"/>
      <c r="D535" s="58"/>
      <c r="E535" s="58"/>
      <c r="F535" s="58"/>
      <c r="G535" s="58"/>
      <c r="H535" s="59"/>
      <c r="I535" s="59"/>
      <c r="J535" s="59"/>
      <c r="K535" s="59"/>
      <c r="L535" s="59"/>
      <c r="M535" s="60"/>
      <c r="N535" s="60"/>
      <c r="O535" s="60"/>
      <c r="P535" s="59"/>
      <c r="Q535" s="59"/>
      <c r="R535" s="60"/>
      <c r="S535" s="60"/>
      <c r="T535" s="60"/>
      <c r="U535" s="60"/>
      <c r="V535" s="60"/>
      <c r="W535" s="60"/>
    </row>
    <row r="536" spans="1:23" ht="13" x14ac:dyDescent="0.3">
      <c r="A536" s="58"/>
      <c r="B536" s="58"/>
      <c r="C536" s="58"/>
      <c r="D536" s="58"/>
      <c r="E536" s="58"/>
      <c r="F536" s="58"/>
      <c r="G536" s="58"/>
      <c r="H536" s="59"/>
      <c r="I536" s="59"/>
      <c r="J536" s="59"/>
      <c r="K536" s="59"/>
      <c r="L536" s="59"/>
      <c r="M536" s="60"/>
      <c r="N536" s="60"/>
      <c r="O536" s="60"/>
      <c r="P536" s="59"/>
      <c r="Q536" s="59"/>
      <c r="R536" s="60"/>
      <c r="S536" s="60"/>
      <c r="T536" s="60"/>
      <c r="U536" s="60"/>
      <c r="V536" s="60"/>
      <c r="W536" s="60"/>
    </row>
    <row r="537" spans="1:23" ht="13" x14ac:dyDescent="0.3">
      <c r="A537" s="58"/>
      <c r="B537" s="58"/>
      <c r="C537" s="58"/>
      <c r="D537" s="58"/>
      <c r="E537" s="58"/>
      <c r="F537" s="58"/>
      <c r="G537" s="58"/>
      <c r="H537" s="59"/>
      <c r="I537" s="59"/>
      <c r="J537" s="59"/>
      <c r="K537" s="59"/>
      <c r="L537" s="59"/>
      <c r="M537" s="60"/>
      <c r="N537" s="60"/>
      <c r="O537" s="60"/>
      <c r="P537" s="59"/>
      <c r="Q537" s="59"/>
      <c r="R537" s="60"/>
      <c r="S537" s="60"/>
      <c r="T537" s="60"/>
      <c r="U537" s="60"/>
      <c r="V537" s="60"/>
      <c r="W537" s="60"/>
    </row>
    <row r="538" spans="1:23" ht="13" x14ac:dyDescent="0.3">
      <c r="A538" s="58"/>
      <c r="B538" s="58"/>
      <c r="C538" s="58"/>
      <c r="D538" s="58"/>
      <c r="E538" s="58"/>
      <c r="F538" s="58"/>
      <c r="G538" s="58"/>
      <c r="H538" s="59"/>
      <c r="I538" s="59"/>
      <c r="J538" s="59"/>
      <c r="K538" s="59"/>
      <c r="L538" s="59"/>
      <c r="M538" s="60"/>
      <c r="N538" s="60"/>
      <c r="O538" s="60"/>
      <c r="P538" s="59"/>
      <c r="Q538" s="59"/>
      <c r="R538" s="60"/>
      <c r="S538" s="60"/>
      <c r="T538" s="60"/>
      <c r="U538" s="60"/>
      <c r="V538" s="60"/>
      <c r="W538" s="60"/>
    </row>
    <row r="539" spans="1:23" ht="13" x14ac:dyDescent="0.3">
      <c r="A539" s="58"/>
      <c r="B539" s="58"/>
      <c r="C539" s="58"/>
      <c r="D539" s="58"/>
      <c r="E539" s="58"/>
      <c r="F539" s="58"/>
      <c r="G539" s="58"/>
      <c r="H539" s="59"/>
      <c r="I539" s="59"/>
      <c r="J539" s="59"/>
      <c r="K539" s="59"/>
      <c r="L539" s="59"/>
      <c r="M539" s="60"/>
      <c r="N539" s="60"/>
      <c r="O539" s="60"/>
      <c r="P539" s="59"/>
      <c r="Q539" s="59"/>
      <c r="R539" s="60"/>
      <c r="S539" s="60"/>
      <c r="T539" s="60"/>
      <c r="U539" s="60"/>
      <c r="V539" s="60"/>
      <c r="W539" s="60"/>
    </row>
    <row r="540" spans="1:23" ht="13" x14ac:dyDescent="0.3">
      <c r="A540" s="58"/>
      <c r="B540" s="58"/>
      <c r="C540" s="58"/>
      <c r="D540" s="58"/>
      <c r="E540" s="58"/>
      <c r="F540" s="58"/>
      <c r="G540" s="58"/>
      <c r="H540" s="59"/>
      <c r="I540" s="59"/>
      <c r="J540" s="59"/>
      <c r="K540" s="59"/>
      <c r="L540" s="59"/>
      <c r="M540" s="60"/>
      <c r="N540" s="60"/>
      <c r="O540" s="60"/>
      <c r="P540" s="59"/>
      <c r="Q540" s="59"/>
      <c r="R540" s="60"/>
      <c r="S540" s="60"/>
      <c r="T540" s="60"/>
      <c r="U540" s="60"/>
      <c r="V540" s="60"/>
      <c r="W540" s="60"/>
    </row>
    <row r="541" spans="1:23" ht="13" x14ac:dyDescent="0.3">
      <c r="A541" s="58"/>
      <c r="B541" s="58"/>
      <c r="C541" s="58"/>
      <c r="D541" s="58"/>
      <c r="E541" s="58"/>
      <c r="F541" s="58"/>
      <c r="G541" s="58"/>
      <c r="H541" s="59"/>
      <c r="I541" s="59"/>
      <c r="J541" s="59"/>
      <c r="K541" s="59"/>
      <c r="L541" s="59"/>
      <c r="M541" s="60"/>
      <c r="N541" s="60"/>
      <c r="O541" s="60"/>
      <c r="P541" s="59"/>
      <c r="Q541" s="59"/>
      <c r="R541" s="60"/>
      <c r="S541" s="60"/>
      <c r="T541" s="60"/>
      <c r="U541" s="60"/>
      <c r="V541" s="60"/>
      <c r="W541" s="60"/>
    </row>
    <row r="542" spans="1:23" ht="13" x14ac:dyDescent="0.3">
      <c r="A542" s="58"/>
      <c r="B542" s="58"/>
      <c r="C542" s="58"/>
      <c r="D542" s="58"/>
      <c r="E542" s="58"/>
      <c r="F542" s="58"/>
      <c r="G542" s="58"/>
      <c r="H542" s="59"/>
      <c r="I542" s="59"/>
      <c r="J542" s="59"/>
      <c r="K542" s="59"/>
      <c r="L542" s="59"/>
      <c r="M542" s="60"/>
      <c r="N542" s="60"/>
      <c r="O542" s="60"/>
      <c r="P542" s="59"/>
      <c r="Q542" s="59"/>
      <c r="R542" s="60"/>
      <c r="S542" s="60"/>
      <c r="T542" s="60"/>
      <c r="U542" s="60"/>
      <c r="V542" s="60"/>
      <c r="W542" s="60"/>
    </row>
    <row r="543" spans="1:23" ht="13" x14ac:dyDescent="0.3">
      <c r="A543" s="58"/>
      <c r="B543" s="58"/>
      <c r="C543" s="58"/>
      <c r="D543" s="58"/>
      <c r="E543" s="58"/>
      <c r="F543" s="58"/>
      <c r="G543" s="58"/>
      <c r="H543" s="59"/>
      <c r="I543" s="59"/>
      <c r="J543" s="59"/>
      <c r="K543" s="59"/>
      <c r="L543" s="59"/>
      <c r="M543" s="60"/>
      <c r="N543" s="60"/>
      <c r="O543" s="60"/>
      <c r="P543" s="59"/>
      <c r="Q543" s="59"/>
      <c r="R543" s="60"/>
      <c r="S543" s="60"/>
      <c r="T543" s="60"/>
      <c r="U543" s="60"/>
      <c r="V543" s="60"/>
      <c r="W543" s="60"/>
    </row>
    <row r="544" spans="1:23" ht="13" x14ac:dyDescent="0.3">
      <c r="A544" s="58"/>
      <c r="B544" s="58"/>
      <c r="C544" s="58"/>
      <c r="D544" s="58"/>
      <c r="E544" s="58"/>
      <c r="F544" s="58"/>
      <c r="G544" s="58"/>
      <c r="H544" s="59"/>
      <c r="I544" s="59"/>
      <c r="J544" s="59"/>
      <c r="K544" s="59"/>
      <c r="L544" s="59"/>
      <c r="M544" s="60"/>
      <c r="N544" s="60"/>
      <c r="O544" s="60"/>
      <c r="P544" s="59"/>
      <c r="Q544" s="59"/>
      <c r="R544" s="60"/>
      <c r="S544" s="60"/>
      <c r="T544" s="60"/>
      <c r="U544" s="60"/>
      <c r="V544" s="60"/>
      <c r="W544" s="60"/>
    </row>
    <row r="545" spans="1:23" ht="13" x14ac:dyDescent="0.3">
      <c r="A545" s="58"/>
      <c r="B545" s="58"/>
      <c r="C545" s="58"/>
      <c r="D545" s="58"/>
      <c r="E545" s="58"/>
      <c r="F545" s="58"/>
      <c r="G545" s="58"/>
      <c r="H545" s="59"/>
      <c r="I545" s="59"/>
      <c r="J545" s="59"/>
      <c r="K545" s="59"/>
      <c r="L545" s="59"/>
      <c r="M545" s="60"/>
      <c r="N545" s="60"/>
      <c r="O545" s="60"/>
      <c r="P545" s="59"/>
      <c r="Q545" s="59"/>
      <c r="R545" s="60"/>
      <c r="S545" s="60"/>
      <c r="T545" s="60"/>
      <c r="U545" s="60"/>
      <c r="V545" s="60"/>
      <c r="W545" s="60"/>
    </row>
    <row r="546" spans="1:23" ht="13" x14ac:dyDescent="0.3">
      <c r="A546" s="58"/>
      <c r="B546" s="58"/>
      <c r="C546" s="58"/>
      <c r="D546" s="58"/>
      <c r="E546" s="58"/>
      <c r="F546" s="58"/>
      <c r="G546" s="58"/>
      <c r="H546" s="59"/>
      <c r="I546" s="59"/>
      <c r="J546" s="59"/>
      <c r="K546" s="59"/>
      <c r="L546" s="59"/>
      <c r="M546" s="60"/>
      <c r="N546" s="60"/>
      <c r="O546" s="60"/>
      <c r="P546" s="59"/>
      <c r="Q546" s="59"/>
      <c r="R546" s="60"/>
      <c r="S546" s="60"/>
      <c r="T546" s="60"/>
      <c r="U546" s="60"/>
      <c r="V546" s="60"/>
      <c r="W546" s="60"/>
    </row>
    <row r="547" spans="1:23" ht="13" x14ac:dyDescent="0.3">
      <c r="A547" s="58"/>
      <c r="B547" s="58"/>
      <c r="C547" s="58"/>
      <c r="D547" s="58"/>
      <c r="E547" s="58"/>
      <c r="F547" s="58"/>
      <c r="G547" s="58"/>
      <c r="H547" s="59"/>
      <c r="I547" s="59"/>
      <c r="J547" s="59"/>
      <c r="K547" s="59"/>
      <c r="L547" s="59"/>
      <c r="M547" s="60"/>
      <c r="N547" s="60"/>
      <c r="O547" s="60"/>
      <c r="P547" s="59"/>
      <c r="Q547" s="59"/>
      <c r="R547" s="60"/>
      <c r="S547" s="60"/>
      <c r="T547" s="60"/>
      <c r="U547" s="60"/>
      <c r="V547" s="60"/>
      <c r="W547" s="60"/>
    </row>
    <row r="548" spans="1:23" ht="13" x14ac:dyDescent="0.3">
      <c r="A548" s="58"/>
      <c r="B548" s="58"/>
      <c r="C548" s="58"/>
      <c r="D548" s="58"/>
      <c r="E548" s="58"/>
      <c r="F548" s="58"/>
      <c r="G548" s="58"/>
      <c r="H548" s="59"/>
      <c r="I548" s="59"/>
      <c r="J548" s="59"/>
      <c r="K548" s="59"/>
      <c r="L548" s="59"/>
      <c r="M548" s="60"/>
      <c r="N548" s="60"/>
      <c r="O548" s="60"/>
      <c r="P548" s="59"/>
      <c r="Q548" s="59"/>
      <c r="R548" s="60"/>
      <c r="S548" s="60"/>
      <c r="T548" s="60"/>
      <c r="U548" s="60"/>
      <c r="V548" s="60"/>
      <c r="W548" s="60"/>
    </row>
    <row r="549" spans="1:23" ht="13" x14ac:dyDescent="0.3">
      <c r="A549" s="58"/>
      <c r="B549" s="58"/>
      <c r="C549" s="58"/>
      <c r="D549" s="58"/>
      <c r="E549" s="58"/>
      <c r="F549" s="58"/>
      <c r="G549" s="58"/>
      <c r="H549" s="59"/>
      <c r="I549" s="59"/>
      <c r="J549" s="59"/>
      <c r="K549" s="59"/>
      <c r="L549" s="59"/>
      <c r="M549" s="60"/>
      <c r="N549" s="60"/>
      <c r="O549" s="60"/>
      <c r="P549" s="59"/>
      <c r="Q549" s="59"/>
      <c r="R549" s="60"/>
      <c r="S549" s="60"/>
      <c r="T549" s="60"/>
      <c r="U549" s="60"/>
      <c r="V549" s="60"/>
      <c r="W549" s="60"/>
    </row>
    <row r="550" spans="1:23" ht="13" x14ac:dyDescent="0.3">
      <c r="A550" s="58"/>
      <c r="B550" s="58"/>
      <c r="C550" s="58"/>
      <c r="D550" s="58"/>
      <c r="E550" s="58"/>
      <c r="F550" s="58"/>
      <c r="G550" s="58"/>
      <c r="H550" s="59"/>
      <c r="I550" s="59"/>
      <c r="J550" s="59"/>
      <c r="K550" s="59"/>
      <c r="L550" s="59"/>
      <c r="M550" s="60"/>
      <c r="N550" s="60"/>
      <c r="O550" s="60"/>
      <c r="P550" s="59"/>
      <c r="Q550" s="59"/>
      <c r="R550" s="60"/>
      <c r="S550" s="60"/>
      <c r="T550" s="60"/>
      <c r="U550" s="60"/>
      <c r="V550" s="60"/>
      <c r="W550" s="60"/>
    </row>
    <row r="551" spans="1:23" ht="13" x14ac:dyDescent="0.3">
      <c r="A551" s="58"/>
      <c r="B551" s="58"/>
      <c r="C551" s="58"/>
      <c r="D551" s="58"/>
      <c r="E551" s="58"/>
      <c r="F551" s="58"/>
      <c r="G551" s="58"/>
      <c r="H551" s="59"/>
      <c r="I551" s="59"/>
      <c r="J551" s="59"/>
      <c r="K551" s="59"/>
      <c r="L551" s="59"/>
      <c r="M551" s="60"/>
      <c r="N551" s="60"/>
      <c r="O551" s="60"/>
      <c r="P551" s="59"/>
      <c r="Q551" s="59"/>
      <c r="R551" s="60"/>
      <c r="S551" s="60"/>
      <c r="T551" s="60"/>
      <c r="U551" s="60"/>
      <c r="V551" s="60"/>
      <c r="W551" s="60"/>
    </row>
    <row r="552" spans="1:23" ht="13" x14ac:dyDescent="0.3">
      <c r="A552" s="58"/>
      <c r="B552" s="58"/>
      <c r="C552" s="58"/>
      <c r="D552" s="58"/>
      <c r="E552" s="58"/>
      <c r="F552" s="58"/>
      <c r="G552" s="58"/>
      <c r="H552" s="59"/>
      <c r="I552" s="59"/>
      <c r="J552" s="59"/>
      <c r="K552" s="59"/>
      <c r="L552" s="59"/>
      <c r="M552" s="60"/>
      <c r="N552" s="60"/>
      <c r="O552" s="60"/>
      <c r="P552" s="59"/>
      <c r="Q552" s="59"/>
      <c r="R552" s="60"/>
      <c r="S552" s="60"/>
      <c r="T552" s="60"/>
      <c r="U552" s="60"/>
      <c r="V552" s="60"/>
      <c r="W552" s="60"/>
    </row>
    <row r="553" spans="1:23" ht="13" x14ac:dyDescent="0.3">
      <c r="A553" s="58"/>
      <c r="B553" s="58"/>
      <c r="C553" s="58"/>
      <c r="D553" s="58"/>
      <c r="E553" s="58"/>
      <c r="F553" s="58"/>
      <c r="G553" s="58"/>
      <c r="H553" s="59"/>
      <c r="I553" s="59"/>
      <c r="J553" s="59"/>
      <c r="K553" s="59"/>
      <c r="L553" s="59"/>
      <c r="M553" s="60"/>
      <c r="N553" s="60"/>
      <c r="O553" s="60"/>
      <c r="P553" s="59"/>
      <c r="Q553" s="59"/>
      <c r="R553" s="60"/>
      <c r="S553" s="60"/>
      <c r="T553" s="60"/>
      <c r="U553" s="60"/>
      <c r="V553" s="60"/>
      <c r="W553" s="60"/>
    </row>
    <row r="554" spans="1:23" ht="13" x14ac:dyDescent="0.3">
      <c r="A554" s="58"/>
      <c r="B554" s="58"/>
      <c r="C554" s="58"/>
      <c r="D554" s="58"/>
      <c r="E554" s="58"/>
      <c r="F554" s="58"/>
      <c r="G554" s="58"/>
      <c r="H554" s="59"/>
      <c r="I554" s="59"/>
      <c r="J554" s="59"/>
      <c r="K554" s="59"/>
      <c r="L554" s="59"/>
      <c r="M554" s="60"/>
      <c r="N554" s="60"/>
      <c r="O554" s="60"/>
      <c r="P554" s="59"/>
      <c r="Q554" s="59"/>
      <c r="R554" s="60"/>
      <c r="S554" s="60"/>
      <c r="T554" s="60"/>
      <c r="U554" s="60"/>
      <c r="V554" s="60"/>
      <c r="W554" s="60"/>
    </row>
    <row r="555" spans="1:23" ht="13" x14ac:dyDescent="0.3">
      <c r="A555" s="58"/>
      <c r="B555" s="58"/>
      <c r="C555" s="58"/>
      <c r="D555" s="58"/>
      <c r="E555" s="58"/>
      <c r="F555" s="58"/>
      <c r="G555" s="58"/>
      <c r="H555" s="59"/>
      <c r="I555" s="59"/>
      <c r="J555" s="59"/>
      <c r="K555" s="59"/>
      <c r="L555" s="59"/>
      <c r="M555" s="60"/>
      <c r="N555" s="60"/>
      <c r="O555" s="60"/>
      <c r="P555" s="59"/>
      <c r="Q555" s="59"/>
      <c r="R555" s="60"/>
      <c r="S555" s="60"/>
      <c r="T555" s="60"/>
      <c r="U555" s="60"/>
      <c r="V555" s="60"/>
      <c r="W555" s="60"/>
    </row>
    <row r="556" spans="1:23" ht="13" x14ac:dyDescent="0.3">
      <c r="A556" s="58"/>
      <c r="B556" s="58"/>
      <c r="C556" s="58"/>
      <c r="D556" s="58"/>
      <c r="E556" s="58"/>
      <c r="F556" s="58"/>
      <c r="G556" s="58"/>
      <c r="H556" s="59"/>
      <c r="I556" s="59"/>
      <c r="J556" s="59"/>
      <c r="K556" s="59"/>
      <c r="L556" s="59"/>
      <c r="M556" s="60"/>
      <c r="N556" s="60"/>
      <c r="O556" s="60"/>
      <c r="P556" s="59"/>
      <c r="Q556" s="59"/>
      <c r="R556" s="60"/>
      <c r="S556" s="60"/>
      <c r="T556" s="60"/>
      <c r="U556" s="60"/>
      <c r="V556" s="60"/>
      <c r="W556" s="60"/>
    </row>
    <row r="557" spans="1:23" ht="13" x14ac:dyDescent="0.3">
      <c r="A557" s="58"/>
      <c r="B557" s="58"/>
      <c r="C557" s="58"/>
      <c r="D557" s="58"/>
      <c r="E557" s="58"/>
      <c r="F557" s="58"/>
      <c r="G557" s="58"/>
      <c r="H557" s="59"/>
      <c r="I557" s="59"/>
      <c r="J557" s="59"/>
      <c r="K557" s="59"/>
      <c r="L557" s="59"/>
      <c r="M557" s="60"/>
      <c r="N557" s="60"/>
      <c r="O557" s="60"/>
      <c r="P557" s="59"/>
      <c r="Q557" s="59"/>
      <c r="R557" s="60"/>
      <c r="S557" s="60"/>
      <c r="T557" s="60"/>
      <c r="U557" s="60"/>
      <c r="V557" s="60"/>
      <c r="W557" s="60"/>
    </row>
    <row r="558" spans="1:23" ht="13" x14ac:dyDescent="0.3">
      <c r="A558" s="58"/>
      <c r="B558" s="58"/>
      <c r="C558" s="58"/>
      <c r="D558" s="58"/>
      <c r="E558" s="58"/>
      <c r="F558" s="58"/>
      <c r="G558" s="58"/>
      <c r="H558" s="59"/>
      <c r="I558" s="59"/>
      <c r="J558" s="59"/>
      <c r="K558" s="59"/>
      <c r="L558" s="59"/>
      <c r="M558" s="60"/>
      <c r="N558" s="60"/>
      <c r="O558" s="60"/>
      <c r="P558" s="59"/>
      <c r="Q558" s="59"/>
      <c r="R558" s="60"/>
      <c r="S558" s="60"/>
      <c r="T558" s="60"/>
      <c r="U558" s="60"/>
      <c r="V558" s="60"/>
      <c r="W558" s="60"/>
    </row>
    <row r="559" spans="1:23" ht="13" x14ac:dyDescent="0.3">
      <c r="A559" s="58"/>
      <c r="B559" s="58"/>
      <c r="C559" s="58"/>
      <c r="D559" s="58"/>
      <c r="E559" s="58"/>
      <c r="F559" s="58"/>
      <c r="G559" s="58"/>
      <c r="H559" s="59"/>
      <c r="I559" s="59"/>
      <c r="J559" s="59"/>
      <c r="K559" s="59"/>
      <c r="L559" s="59"/>
      <c r="M559" s="60"/>
      <c r="N559" s="60"/>
      <c r="O559" s="60"/>
      <c r="P559" s="59"/>
      <c r="Q559" s="59"/>
      <c r="R559" s="60"/>
      <c r="S559" s="60"/>
      <c r="T559" s="60"/>
      <c r="U559" s="60"/>
      <c r="V559" s="60"/>
      <c r="W559" s="60"/>
    </row>
    <row r="560" spans="1:23" ht="13" x14ac:dyDescent="0.3">
      <c r="A560" s="58"/>
      <c r="B560" s="58"/>
      <c r="C560" s="58"/>
      <c r="D560" s="58"/>
      <c r="E560" s="58"/>
      <c r="F560" s="58"/>
      <c r="G560" s="58"/>
      <c r="H560" s="59"/>
      <c r="I560" s="59"/>
      <c r="J560" s="59"/>
      <c r="K560" s="59"/>
      <c r="L560" s="59"/>
      <c r="M560" s="60"/>
      <c r="N560" s="60"/>
      <c r="O560" s="60"/>
      <c r="P560" s="59"/>
      <c r="Q560" s="59"/>
      <c r="R560" s="60"/>
      <c r="S560" s="60"/>
      <c r="T560" s="60"/>
      <c r="U560" s="60"/>
      <c r="V560" s="60"/>
      <c r="W560" s="60"/>
    </row>
    <row r="561" spans="1:23" ht="13" x14ac:dyDescent="0.3">
      <c r="A561" s="58"/>
      <c r="B561" s="58"/>
      <c r="C561" s="58"/>
      <c r="D561" s="58"/>
      <c r="E561" s="58"/>
      <c r="F561" s="58"/>
      <c r="G561" s="58"/>
      <c r="H561" s="59"/>
      <c r="I561" s="59"/>
      <c r="J561" s="59"/>
      <c r="K561" s="59"/>
      <c r="L561" s="59"/>
      <c r="M561" s="60"/>
      <c r="N561" s="60"/>
      <c r="O561" s="60"/>
      <c r="P561" s="59"/>
      <c r="Q561" s="59"/>
      <c r="R561" s="60"/>
      <c r="S561" s="60"/>
      <c r="T561" s="60"/>
      <c r="U561" s="60"/>
      <c r="V561" s="60"/>
      <c r="W561" s="60"/>
    </row>
    <row r="562" spans="1:23" ht="13" x14ac:dyDescent="0.3">
      <c r="A562" s="58"/>
      <c r="B562" s="58"/>
      <c r="C562" s="58"/>
      <c r="D562" s="58"/>
      <c r="E562" s="58"/>
      <c r="F562" s="58"/>
      <c r="G562" s="58"/>
      <c r="H562" s="59"/>
      <c r="I562" s="59"/>
      <c r="J562" s="59"/>
      <c r="K562" s="59"/>
      <c r="L562" s="59"/>
      <c r="M562" s="60"/>
      <c r="N562" s="60"/>
      <c r="O562" s="60"/>
      <c r="P562" s="59"/>
      <c r="Q562" s="59"/>
      <c r="R562" s="60"/>
      <c r="S562" s="60"/>
      <c r="T562" s="60"/>
      <c r="U562" s="60"/>
      <c r="V562" s="60"/>
      <c r="W562" s="60"/>
    </row>
    <row r="563" spans="1:23" ht="13" x14ac:dyDescent="0.3">
      <c r="A563" s="58"/>
      <c r="B563" s="58"/>
      <c r="C563" s="58"/>
      <c r="D563" s="58"/>
      <c r="E563" s="58"/>
      <c r="F563" s="58"/>
      <c r="G563" s="58"/>
      <c r="H563" s="59"/>
      <c r="I563" s="59"/>
      <c r="J563" s="59"/>
      <c r="K563" s="59"/>
      <c r="L563" s="59"/>
      <c r="M563" s="60"/>
      <c r="N563" s="60"/>
      <c r="O563" s="60"/>
      <c r="P563" s="59"/>
      <c r="Q563" s="59"/>
      <c r="R563" s="60"/>
      <c r="S563" s="60"/>
      <c r="T563" s="60"/>
      <c r="U563" s="60"/>
      <c r="V563" s="60"/>
      <c r="W563" s="60"/>
    </row>
    <row r="564" spans="1:23" ht="13" x14ac:dyDescent="0.3">
      <c r="A564" s="58"/>
      <c r="B564" s="58"/>
      <c r="C564" s="58"/>
      <c r="D564" s="58"/>
      <c r="E564" s="58"/>
      <c r="F564" s="58"/>
      <c r="G564" s="58"/>
      <c r="H564" s="59"/>
      <c r="I564" s="59"/>
      <c r="J564" s="59"/>
      <c r="K564" s="59"/>
      <c r="L564" s="59"/>
      <c r="M564" s="60"/>
      <c r="N564" s="60"/>
      <c r="O564" s="60"/>
      <c r="P564" s="59"/>
      <c r="Q564" s="59"/>
      <c r="R564" s="60"/>
      <c r="S564" s="60"/>
      <c r="T564" s="60"/>
      <c r="U564" s="60"/>
      <c r="V564" s="60"/>
      <c r="W564" s="60"/>
    </row>
    <row r="565" spans="1:23" ht="13" x14ac:dyDescent="0.3">
      <c r="A565" s="58"/>
      <c r="B565" s="58"/>
      <c r="C565" s="58"/>
      <c r="D565" s="58"/>
      <c r="E565" s="58"/>
      <c r="F565" s="58"/>
      <c r="G565" s="58"/>
      <c r="H565" s="59"/>
      <c r="I565" s="59"/>
      <c r="J565" s="59"/>
      <c r="K565" s="59"/>
      <c r="L565" s="59"/>
      <c r="M565" s="60"/>
      <c r="N565" s="60"/>
      <c r="O565" s="60"/>
      <c r="P565" s="59"/>
      <c r="Q565" s="59"/>
      <c r="R565" s="60"/>
      <c r="S565" s="60"/>
      <c r="T565" s="60"/>
      <c r="U565" s="60"/>
      <c r="V565" s="60"/>
      <c r="W565" s="60"/>
    </row>
    <row r="566" spans="1:23" ht="13" x14ac:dyDescent="0.3">
      <c r="A566" s="58"/>
      <c r="B566" s="58"/>
      <c r="C566" s="58"/>
      <c r="D566" s="58"/>
      <c r="E566" s="58"/>
      <c r="F566" s="58"/>
      <c r="G566" s="58"/>
      <c r="H566" s="59"/>
      <c r="I566" s="59"/>
      <c r="J566" s="59"/>
      <c r="K566" s="59"/>
      <c r="L566" s="59"/>
      <c r="M566" s="60"/>
      <c r="N566" s="60"/>
      <c r="O566" s="60"/>
      <c r="P566" s="59"/>
      <c r="Q566" s="59"/>
      <c r="R566" s="60"/>
      <c r="S566" s="60"/>
      <c r="T566" s="60"/>
      <c r="U566" s="60"/>
      <c r="V566" s="60"/>
      <c r="W566" s="60"/>
    </row>
    <row r="567" spans="1:23" ht="13" x14ac:dyDescent="0.3">
      <c r="A567" s="58"/>
      <c r="B567" s="58"/>
      <c r="C567" s="58"/>
      <c r="D567" s="58"/>
      <c r="E567" s="58"/>
      <c r="F567" s="58"/>
      <c r="G567" s="58"/>
      <c r="H567" s="59"/>
      <c r="I567" s="59"/>
      <c r="J567" s="59"/>
      <c r="K567" s="59"/>
      <c r="L567" s="59"/>
      <c r="M567" s="60"/>
      <c r="N567" s="60"/>
      <c r="O567" s="60"/>
      <c r="P567" s="59"/>
      <c r="Q567" s="59"/>
      <c r="R567" s="60"/>
      <c r="S567" s="60"/>
      <c r="T567" s="60"/>
      <c r="U567" s="60"/>
      <c r="V567" s="60"/>
      <c r="W567" s="60"/>
    </row>
    <row r="568" spans="1:23" ht="13" x14ac:dyDescent="0.3">
      <c r="A568" s="58"/>
      <c r="B568" s="58"/>
      <c r="C568" s="58"/>
      <c r="D568" s="58"/>
      <c r="E568" s="58"/>
      <c r="F568" s="58"/>
      <c r="G568" s="58"/>
      <c r="H568" s="59"/>
      <c r="I568" s="59"/>
      <c r="J568" s="59"/>
      <c r="K568" s="59"/>
      <c r="L568" s="59"/>
      <c r="M568" s="60"/>
      <c r="N568" s="60"/>
      <c r="O568" s="60"/>
      <c r="P568" s="59"/>
      <c r="Q568" s="59"/>
      <c r="R568" s="60"/>
      <c r="S568" s="60"/>
      <c r="T568" s="60"/>
      <c r="U568" s="60"/>
      <c r="V568" s="60"/>
      <c r="W568" s="60"/>
    </row>
    <row r="569" spans="1:23" ht="13" x14ac:dyDescent="0.3">
      <c r="A569" s="58"/>
      <c r="B569" s="58"/>
      <c r="C569" s="58"/>
      <c r="D569" s="58"/>
      <c r="E569" s="58"/>
      <c r="F569" s="58"/>
      <c r="G569" s="58"/>
      <c r="H569" s="59"/>
      <c r="I569" s="59"/>
      <c r="J569" s="59"/>
      <c r="K569" s="59"/>
      <c r="L569" s="59"/>
      <c r="M569" s="60"/>
      <c r="N569" s="60"/>
      <c r="O569" s="60"/>
      <c r="P569" s="59"/>
      <c r="Q569" s="59"/>
      <c r="R569" s="60"/>
      <c r="S569" s="60"/>
      <c r="T569" s="60"/>
      <c r="U569" s="60"/>
      <c r="V569" s="60"/>
      <c r="W569" s="60"/>
    </row>
    <row r="570" spans="1:23" ht="13" x14ac:dyDescent="0.3">
      <c r="A570" s="58"/>
      <c r="B570" s="58"/>
      <c r="C570" s="58"/>
      <c r="D570" s="58"/>
      <c r="E570" s="58"/>
      <c r="F570" s="58"/>
      <c r="G570" s="58"/>
      <c r="H570" s="59"/>
      <c r="I570" s="59"/>
      <c r="J570" s="59"/>
      <c r="K570" s="59"/>
      <c r="L570" s="59"/>
      <c r="M570" s="60"/>
      <c r="N570" s="60"/>
      <c r="O570" s="60"/>
      <c r="P570" s="59"/>
      <c r="Q570" s="59"/>
      <c r="R570" s="60"/>
      <c r="S570" s="60"/>
      <c r="T570" s="60"/>
      <c r="U570" s="60"/>
      <c r="V570" s="60"/>
      <c r="W570" s="60"/>
    </row>
    <row r="571" spans="1:23" ht="13" x14ac:dyDescent="0.3">
      <c r="A571" s="58"/>
      <c r="B571" s="58"/>
      <c r="C571" s="58"/>
      <c r="D571" s="58"/>
      <c r="E571" s="58"/>
      <c r="F571" s="58"/>
      <c r="G571" s="58"/>
      <c r="H571" s="59"/>
      <c r="I571" s="59"/>
      <c r="J571" s="59"/>
      <c r="K571" s="59"/>
      <c r="L571" s="59"/>
      <c r="M571" s="60"/>
      <c r="N571" s="60"/>
      <c r="O571" s="60"/>
      <c r="P571" s="59"/>
      <c r="Q571" s="59"/>
      <c r="R571" s="60"/>
      <c r="S571" s="60"/>
      <c r="T571" s="60"/>
      <c r="U571" s="60"/>
      <c r="V571" s="60"/>
      <c r="W571" s="60"/>
    </row>
    <row r="572" spans="1:23" ht="13" x14ac:dyDescent="0.3">
      <c r="A572" s="58"/>
      <c r="B572" s="58"/>
      <c r="C572" s="58"/>
      <c r="D572" s="58"/>
      <c r="E572" s="58"/>
      <c r="F572" s="58"/>
      <c r="G572" s="58"/>
      <c r="H572" s="59"/>
      <c r="I572" s="59"/>
      <c r="J572" s="59"/>
      <c r="K572" s="59"/>
      <c r="L572" s="59"/>
      <c r="M572" s="60"/>
      <c r="N572" s="60"/>
      <c r="O572" s="60"/>
      <c r="P572" s="59"/>
      <c r="Q572" s="59"/>
      <c r="R572" s="60"/>
      <c r="S572" s="60"/>
      <c r="T572" s="60"/>
      <c r="U572" s="60"/>
      <c r="V572" s="60"/>
      <c r="W572" s="60"/>
    </row>
    <row r="573" spans="1:23" ht="13" x14ac:dyDescent="0.3">
      <c r="A573" s="58"/>
      <c r="B573" s="58"/>
      <c r="C573" s="58"/>
      <c r="D573" s="58"/>
      <c r="E573" s="58"/>
      <c r="F573" s="58"/>
      <c r="G573" s="58"/>
      <c r="H573" s="59"/>
      <c r="I573" s="59"/>
      <c r="J573" s="59"/>
      <c r="K573" s="59"/>
      <c r="L573" s="59"/>
      <c r="M573" s="60"/>
      <c r="N573" s="60"/>
      <c r="O573" s="60"/>
      <c r="P573" s="59"/>
      <c r="Q573" s="59"/>
      <c r="R573" s="60"/>
      <c r="S573" s="60"/>
      <c r="T573" s="60"/>
      <c r="U573" s="60"/>
      <c r="V573" s="60"/>
      <c r="W573" s="60"/>
    </row>
    <row r="574" spans="1:23" ht="13" x14ac:dyDescent="0.3">
      <c r="A574" s="58"/>
      <c r="B574" s="58"/>
      <c r="C574" s="58"/>
      <c r="D574" s="58"/>
      <c r="E574" s="58"/>
      <c r="F574" s="58"/>
      <c r="G574" s="58"/>
      <c r="H574" s="59"/>
      <c r="I574" s="59"/>
      <c r="J574" s="59"/>
      <c r="K574" s="59"/>
      <c r="L574" s="59"/>
      <c r="M574" s="60"/>
      <c r="N574" s="60"/>
      <c r="O574" s="60"/>
      <c r="P574" s="59"/>
      <c r="Q574" s="59"/>
      <c r="R574" s="60"/>
      <c r="S574" s="60"/>
      <c r="T574" s="60"/>
      <c r="U574" s="60"/>
      <c r="V574" s="60"/>
      <c r="W574" s="60"/>
    </row>
    <row r="575" spans="1:23" ht="13" x14ac:dyDescent="0.3">
      <c r="A575" s="58"/>
      <c r="B575" s="58"/>
      <c r="C575" s="58"/>
      <c r="D575" s="58"/>
      <c r="E575" s="58"/>
      <c r="F575" s="58"/>
      <c r="G575" s="58"/>
      <c r="H575" s="59"/>
      <c r="I575" s="59"/>
      <c r="J575" s="59"/>
      <c r="K575" s="59"/>
      <c r="L575" s="59"/>
      <c r="M575" s="60"/>
      <c r="N575" s="60"/>
      <c r="O575" s="60"/>
      <c r="P575" s="59"/>
      <c r="Q575" s="59"/>
      <c r="R575" s="60"/>
      <c r="S575" s="60"/>
      <c r="T575" s="60"/>
      <c r="U575" s="60"/>
      <c r="V575" s="60"/>
      <c r="W575" s="60"/>
    </row>
    <row r="576" spans="1:23" ht="13" x14ac:dyDescent="0.3">
      <c r="A576" s="58"/>
      <c r="B576" s="58"/>
      <c r="C576" s="58"/>
      <c r="D576" s="58"/>
      <c r="E576" s="58"/>
      <c r="F576" s="58"/>
      <c r="G576" s="58"/>
      <c r="H576" s="59"/>
      <c r="I576" s="59"/>
      <c r="J576" s="59"/>
      <c r="K576" s="59"/>
      <c r="L576" s="59"/>
      <c r="M576" s="60"/>
      <c r="N576" s="60"/>
      <c r="O576" s="60"/>
      <c r="P576" s="59"/>
      <c r="Q576" s="59"/>
      <c r="R576" s="60"/>
      <c r="S576" s="60"/>
      <c r="T576" s="60"/>
      <c r="U576" s="60"/>
      <c r="V576" s="60"/>
      <c r="W576" s="60"/>
    </row>
    <row r="577" spans="1:23" ht="13" x14ac:dyDescent="0.3">
      <c r="A577" s="58"/>
      <c r="B577" s="58"/>
      <c r="C577" s="58"/>
      <c r="D577" s="58"/>
      <c r="E577" s="58"/>
      <c r="F577" s="58"/>
      <c r="G577" s="58"/>
      <c r="H577" s="59"/>
      <c r="I577" s="59"/>
      <c r="J577" s="59"/>
      <c r="K577" s="59"/>
      <c r="L577" s="59"/>
      <c r="M577" s="60"/>
      <c r="N577" s="60"/>
      <c r="O577" s="60"/>
      <c r="P577" s="59"/>
      <c r="Q577" s="59"/>
      <c r="R577" s="60"/>
      <c r="S577" s="60"/>
      <c r="T577" s="60"/>
      <c r="U577" s="60"/>
      <c r="V577" s="60"/>
      <c r="W577" s="60"/>
    </row>
    <row r="578" spans="1:23" ht="13" x14ac:dyDescent="0.3">
      <c r="A578" s="58"/>
      <c r="B578" s="58"/>
      <c r="C578" s="58"/>
      <c r="D578" s="58"/>
      <c r="E578" s="58"/>
      <c r="F578" s="58"/>
      <c r="G578" s="58"/>
      <c r="H578" s="59"/>
      <c r="I578" s="59"/>
      <c r="J578" s="59"/>
      <c r="K578" s="59"/>
      <c r="L578" s="59"/>
      <c r="M578" s="60"/>
      <c r="N578" s="60"/>
      <c r="O578" s="60"/>
      <c r="P578" s="59"/>
      <c r="Q578" s="59"/>
      <c r="R578" s="60"/>
      <c r="S578" s="60"/>
      <c r="T578" s="60"/>
      <c r="U578" s="60"/>
      <c r="V578" s="60"/>
      <c r="W578" s="60"/>
    </row>
    <row r="579" spans="1:23" ht="13" x14ac:dyDescent="0.3">
      <c r="A579" s="58"/>
      <c r="B579" s="58"/>
      <c r="C579" s="58"/>
      <c r="D579" s="58"/>
      <c r="E579" s="58"/>
      <c r="F579" s="58"/>
      <c r="G579" s="58"/>
      <c r="H579" s="59"/>
      <c r="I579" s="59"/>
      <c r="J579" s="59"/>
      <c r="K579" s="59"/>
      <c r="L579" s="59"/>
      <c r="M579" s="60"/>
      <c r="N579" s="60"/>
      <c r="O579" s="60"/>
      <c r="P579" s="59"/>
      <c r="Q579" s="59"/>
      <c r="R579" s="60"/>
      <c r="S579" s="60"/>
      <c r="T579" s="60"/>
      <c r="U579" s="60"/>
      <c r="V579" s="60"/>
      <c r="W579" s="60"/>
    </row>
    <row r="580" spans="1:23" ht="13" x14ac:dyDescent="0.3">
      <c r="A580" s="58"/>
      <c r="B580" s="58"/>
      <c r="C580" s="58"/>
      <c r="D580" s="58"/>
      <c r="E580" s="58"/>
      <c r="F580" s="58"/>
      <c r="G580" s="58"/>
      <c r="H580" s="59"/>
      <c r="I580" s="59"/>
      <c r="J580" s="59"/>
      <c r="K580" s="59"/>
      <c r="L580" s="59"/>
      <c r="M580" s="60"/>
      <c r="N580" s="60"/>
      <c r="O580" s="60"/>
      <c r="P580" s="59"/>
      <c r="Q580" s="59"/>
      <c r="R580" s="60"/>
      <c r="S580" s="60"/>
      <c r="T580" s="60"/>
      <c r="U580" s="60"/>
      <c r="V580" s="60"/>
      <c r="W580" s="60"/>
    </row>
    <row r="581" spans="1:23" ht="13" x14ac:dyDescent="0.3">
      <c r="A581" s="58"/>
      <c r="B581" s="58"/>
      <c r="C581" s="58"/>
      <c r="D581" s="58"/>
      <c r="E581" s="58"/>
      <c r="F581" s="58"/>
      <c r="G581" s="58"/>
      <c r="H581" s="59"/>
      <c r="I581" s="59"/>
      <c r="J581" s="59"/>
      <c r="K581" s="59"/>
      <c r="L581" s="59"/>
      <c r="M581" s="60"/>
      <c r="N581" s="60"/>
      <c r="O581" s="60"/>
      <c r="P581" s="59"/>
      <c r="Q581" s="59"/>
      <c r="R581" s="60"/>
      <c r="S581" s="60"/>
      <c r="T581" s="60"/>
      <c r="U581" s="60"/>
      <c r="V581" s="60"/>
      <c r="W581" s="60"/>
    </row>
    <row r="582" spans="1:23" ht="13" x14ac:dyDescent="0.3">
      <c r="A582" s="58"/>
      <c r="B582" s="58"/>
      <c r="C582" s="58"/>
      <c r="D582" s="58"/>
      <c r="E582" s="58"/>
      <c r="F582" s="58"/>
      <c r="G582" s="58"/>
      <c r="H582" s="59"/>
      <c r="I582" s="59"/>
      <c r="J582" s="59"/>
      <c r="K582" s="59"/>
      <c r="L582" s="59"/>
      <c r="M582" s="60"/>
      <c r="N582" s="60"/>
      <c r="O582" s="60"/>
      <c r="P582" s="59"/>
      <c r="Q582" s="59"/>
      <c r="R582" s="60"/>
      <c r="S582" s="60"/>
      <c r="T582" s="60"/>
      <c r="U582" s="60"/>
      <c r="V582" s="60"/>
      <c r="W582" s="60"/>
    </row>
    <row r="583" spans="1:23" ht="13" x14ac:dyDescent="0.3">
      <c r="A583" s="58"/>
      <c r="B583" s="58"/>
      <c r="C583" s="58"/>
      <c r="D583" s="58"/>
      <c r="E583" s="58"/>
      <c r="F583" s="58"/>
      <c r="G583" s="58"/>
      <c r="H583" s="59"/>
      <c r="I583" s="59"/>
      <c r="J583" s="59"/>
      <c r="K583" s="59"/>
      <c r="L583" s="59"/>
      <c r="M583" s="60"/>
      <c r="N583" s="60"/>
      <c r="O583" s="60"/>
      <c r="P583" s="59"/>
      <c r="Q583" s="59"/>
      <c r="R583" s="60"/>
      <c r="S583" s="60"/>
      <c r="T583" s="60"/>
      <c r="U583" s="60"/>
      <c r="V583" s="60"/>
      <c r="W583" s="60"/>
    </row>
    <row r="584" spans="1:23" ht="13" x14ac:dyDescent="0.3">
      <c r="A584" s="58"/>
      <c r="B584" s="58"/>
      <c r="C584" s="58"/>
      <c r="D584" s="58"/>
      <c r="E584" s="58"/>
      <c r="F584" s="58"/>
      <c r="G584" s="58"/>
      <c r="H584" s="59"/>
      <c r="I584" s="59"/>
      <c r="J584" s="59"/>
      <c r="K584" s="59"/>
      <c r="L584" s="59"/>
      <c r="M584" s="60"/>
      <c r="N584" s="60"/>
      <c r="O584" s="60"/>
      <c r="P584" s="59"/>
      <c r="Q584" s="59"/>
      <c r="R584" s="60"/>
      <c r="S584" s="60"/>
      <c r="T584" s="60"/>
      <c r="U584" s="60"/>
      <c r="V584" s="60"/>
      <c r="W584" s="60"/>
    </row>
    <row r="585" spans="1:23" ht="13" x14ac:dyDescent="0.3">
      <c r="A585" s="58"/>
      <c r="B585" s="58"/>
      <c r="C585" s="58"/>
      <c r="D585" s="58"/>
      <c r="E585" s="58"/>
      <c r="F585" s="58"/>
      <c r="G585" s="58"/>
      <c r="H585" s="59"/>
      <c r="I585" s="59"/>
      <c r="J585" s="59"/>
      <c r="K585" s="59"/>
      <c r="L585" s="59"/>
      <c r="M585" s="60"/>
      <c r="N585" s="60"/>
      <c r="O585" s="60"/>
      <c r="P585" s="59"/>
      <c r="Q585" s="59"/>
      <c r="R585" s="60"/>
      <c r="S585" s="60"/>
      <c r="T585" s="60"/>
      <c r="U585" s="60"/>
      <c r="V585" s="60"/>
      <c r="W585" s="60"/>
    </row>
    <row r="586" spans="1:23" ht="13" x14ac:dyDescent="0.3">
      <c r="A586" s="58"/>
      <c r="B586" s="58"/>
      <c r="C586" s="58"/>
      <c r="D586" s="58"/>
      <c r="E586" s="58"/>
      <c r="F586" s="58"/>
      <c r="G586" s="58"/>
      <c r="H586" s="59"/>
      <c r="I586" s="59"/>
      <c r="J586" s="59"/>
      <c r="K586" s="59"/>
      <c r="L586" s="59"/>
      <c r="M586" s="60"/>
      <c r="N586" s="60"/>
      <c r="O586" s="60"/>
      <c r="P586" s="59"/>
      <c r="Q586" s="59"/>
      <c r="R586" s="60"/>
      <c r="S586" s="60"/>
      <c r="T586" s="60"/>
      <c r="U586" s="60"/>
      <c r="V586" s="60"/>
      <c r="W586" s="60"/>
    </row>
    <row r="587" spans="1:23" ht="13" x14ac:dyDescent="0.3">
      <c r="A587" s="58"/>
      <c r="B587" s="58"/>
      <c r="C587" s="58"/>
      <c r="D587" s="58"/>
      <c r="E587" s="58"/>
      <c r="F587" s="58"/>
      <c r="G587" s="58"/>
      <c r="H587" s="59"/>
      <c r="I587" s="59"/>
      <c r="J587" s="59"/>
      <c r="K587" s="59"/>
      <c r="L587" s="59"/>
      <c r="M587" s="60"/>
      <c r="N587" s="60"/>
      <c r="O587" s="60"/>
      <c r="P587" s="59"/>
      <c r="Q587" s="59"/>
      <c r="R587" s="60"/>
      <c r="S587" s="60"/>
      <c r="T587" s="60"/>
      <c r="U587" s="60"/>
      <c r="V587" s="60"/>
      <c r="W587" s="60"/>
    </row>
    <row r="588" spans="1:23" ht="13" x14ac:dyDescent="0.3">
      <c r="A588" s="58"/>
      <c r="B588" s="58"/>
      <c r="C588" s="58"/>
      <c r="D588" s="58"/>
      <c r="E588" s="58"/>
      <c r="F588" s="58"/>
      <c r="G588" s="58"/>
      <c r="H588" s="59"/>
      <c r="I588" s="59"/>
      <c r="J588" s="59"/>
      <c r="K588" s="59"/>
      <c r="L588" s="59"/>
      <c r="M588" s="60"/>
      <c r="N588" s="60"/>
      <c r="O588" s="60"/>
      <c r="P588" s="59"/>
      <c r="Q588" s="59"/>
      <c r="R588" s="60"/>
      <c r="S588" s="60"/>
      <c r="T588" s="60"/>
      <c r="U588" s="60"/>
      <c r="V588" s="60"/>
      <c r="W588" s="60"/>
    </row>
    <row r="589" spans="1:23" ht="13" x14ac:dyDescent="0.3">
      <c r="A589" s="58"/>
      <c r="B589" s="58"/>
      <c r="C589" s="58"/>
      <c r="D589" s="58"/>
      <c r="E589" s="58"/>
      <c r="F589" s="58"/>
      <c r="G589" s="58"/>
      <c r="H589" s="59"/>
      <c r="I589" s="59"/>
      <c r="J589" s="59"/>
      <c r="K589" s="59"/>
      <c r="L589" s="59"/>
      <c r="M589" s="60"/>
      <c r="N589" s="60"/>
      <c r="O589" s="60"/>
      <c r="P589" s="59"/>
      <c r="Q589" s="59"/>
      <c r="R589" s="60"/>
      <c r="S589" s="60"/>
      <c r="T589" s="60"/>
      <c r="U589" s="60"/>
      <c r="V589" s="60"/>
      <c r="W589" s="60"/>
    </row>
    <row r="590" spans="1:23" ht="13" x14ac:dyDescent="0.3">
      <c r="A590" s="58"/>
      <c r="B590" s="58"/>
      <c r="C590" s="58"/>
      <c r="D590" s="58"/>
      <c r="E590" s="58"/>
      <c r="F590" s="58"/>
      <c r="G590" s="58"/>
      <c r="H590" s="59"/>
      <c r="I590" s="59"/>
      <c r="J590" s="59"/>
      <c r="K590" s="59"/>
      <c r="L590" s="59"/>
      <c r="M590" s="60"/>
      <c r="N590" s="60"/>
      <c r="O590" s="60"/>
      <c r="P590" s="59"/>
      <c r="Q590" s="59"/>
      <c r="R590" s="60"/>
      <c r="S590" s="60"/>
      <c r="T590" s="60"/>
      <c r="U590" s="60"/>
      <c r="V590" s="60"/>
      <c r="W590" s="60"/>
    </row>
    <row r="591" spans="1:23" ht="13" x14ac:dyDescent="0.3">
      <c r="A591" s="58"/>
      <c r="B591" s="58"/>
      <c r="C591" s="58"/>
      <c r="D591" s="58"/>
      <c r="E591" s="58"/>
      <c r="F591" s="58"/>
      <c r="G591" s="58"/>
      <c r="H591" s="59"/>
      <c r="I591" s="59"/>
      <c r="J591" s="59"/>
      <c r="K591" s="59"/>
      <c r="L591" s="59"/>
      <c r="M591" s="60"/>
      <c r="N591" s="60"/>
      <c r="O591" s="60"/>
      <c r="P591" s="59"/>
      <c r="Q591" s="59"/>
      <c r="R591" s="60"/>
      <c r="S591" s="60"/>
      <c r="T591" s="60"/>
      <c r="U591" s="60"/>
      <c r="V591" s="60"/>
      <c r="W591" s="60"/>
    </row>
    <row r="592" spans="1:23" ht="13" x14ac:dyDescent="0.3">
      <c r="A592" s="58"/>
      <c r="B592" s="58"/>
      <c r="C592" s="58"/>
      <c r="D592" s="58"/>
      <c r="E592" s="58"/>
      <c r="F592" s="58"/>
      <c r="G592" s="58"/>
      <c r="H592" s="59"/>
      <c r="I592" s="59"/>
      <c r="J592" s="59"/>
      <c r="K592" s="59"/>
      <c r="L592" s="59"/>
      <c r="M592" s="60"/>
      <c r="N592" s="60"/>
      <c r="O592" s="60"/>
      <c r="P592" s="59"/>
      <c r="Q592" s="59"/>
      <c r="R592" s="60"/>
      <c r="S592" s="60"/>
      <c r="T592" s="60"/>
      <c r="U592" s="60"/>
      <c r="V592" s="60"/>
      <c r="W592" s="60"/>
    </row>
    <row r="593" spans="1:23" ht="13" x14ac:dyDescent="0.3">
      <c r="A593" s="58"/>
      <c r="B593" s="58"/>
      <c r="C593" s="58"/>
      <c r="D593" s="58"/>
      <c r="E593" s="58"/>
      <c r="F593" s="58"/>
      <c r="G593" s="58"/>
      <c r="H593" s="59"/>
      <c r="I593" s="59"/>
      <c r="J593" s="59"/>
      <c r="K593" s="59"/>
      <c r="L593" s="59"/>
      <c r="M593" s="60"/>
      <c r="N593" s="60"/>
      <c r="O593" s="60"/>
      <c r="P593" s="59"/>
      <c r="Q593" s="59"/>
      <c r="R593" s="60"/>
      <c r="S593" s="60"/>
      <c r="T593" s="60"/>
      <c r="U593" s="60"/>
      <c r="V593" s="60"/>
      <c r="W593" s="60"/>
    </row>
    <row r="594" spans="1:23" ht="13" x14ac:dyDescent="0.3">
      <c r="A594" s="58"/>
      <c r="B594" s="58"/>
      <c r="C594" s="58"/>
      <c r="D594" s="58"/>
      <c r="E594" s="58"/>
      <c r="F594" s="58"/>
      <c r="G594" s="58"/>
      <c r="H594" s="59"/>
      <c r="I594" s="59"/>
      <c r="J594" s="59"/>
      <c r="K594" s="59"/>
      <c r="L594" s="59"/>
      <c r="M594" s="60"/>
      <c r="N594" s="60"/>
      <c r="O594" s="60"/>
      <c r="P594" s="59"/>
      <c r="Q594" s="59"/>
      <c r="R594" s="60"/>
      <c r="S594" s="60"/>
      <c r="T594" s="60"/>
      <c r="U594" s="60"/>
      <c r="V594" s="60"/>
      <c r="W594" s="60"/>
    </row>
    <row r="595" spans="1:23" ht="13" x14ac:dyDescent="0.3">
      <c r="A595" s="58"/>
      <c r="B595" s="58"/>
      <c r="C595" s="58"/>
      <c r="D595" s="58"/>
      <c r="E595" s="58"/>
      <c r="F595" s="58"/>
      <c r="G595" s="58"/>
      <c r="H595" s="59"/>
      <c r="I595" s="59"/>
      <c r="J595" s="59"/>
      <c r="K595" s="59"/>
      <c r="L595" s="59"/>
      <c r="M595" s="60"/>
      <c r="N595" s="60"/>
      <c r="O595" s="60"/>
      <c r="P595" s="59"/>
      <c r="Q595" s="59"/>
      <c r="R595" s="60"/>
      <c r="S595" s="60"/>
      <c r="T595" s="60"/>
      <c r="U595" s="60"/>
      <c r="V595" s="60"/>
      <c r="W595" s="60"/>
    </row>
    <row r="596" spans="1:23" ht="13" x14ac:dyDescent="0.3">
      <c r="A596" s="58"/>
      <c r="B596" s="58"/>
      <c r="C596" s="58"/>
      <c r="D596" s="58"/>
      <c r="E596" s="58"/>
      <c r="F596" s="58"/>
      <c r="G596" s="58"/>
      <c r="H596" s="59"/>
      <c r="I596" s="59"/>
      <c r="J596" s="59"/>
      <c r="K596" s="59"/>
      <c r="L596" s="59"/>
      <c r="M596" s="60"/>
      <c r="N596" s="60"/>
      <c r="O596" s="60"/>
      <c r="P596" s="59"/>
      <c r="Q596" s="59"/>
      <c r="R596" s="60"/>
      <c r="S596" s="60"/>
      <c r="T596" s="60"/>
      <c r="U596" s="60"/>
      <c r="V596" s="60"/>
      <c r="W596" s="60"/>
    </row>
    <row r="597" spans="1:23" ht="13" x14ac:dyDescent="0.3">
      <c r="A597" s="58"/>
      <c r="B597" s="58"/>
      <c r="C597" s="58"/>
      <c r="D597" s="58"/>
      <c r="E597" s="58"/>
      <c r="F597" s="58"/>
      <c r="G597" s="58"/>
      <c r="H597" s="59"/>
      <c r="I597" s="59"/>
      <c r="J597" s="59"/>
      <c r="K597" s="59"/>
      <c r="L597" s="59"/>
      <c r="M597" s="60"/>
      <c r="N597" s="60"/>
      <c r="O597" s="60"/>
      <c r="P597" s="59"/>
      <c r="Q597" s="59"/>
      <c r="R597" s="60"/>
      <c r="S597" s="60"/>
      <c r="T597" s="60"/>
      <c r="U597" s="60"/>
      <c r="V597" s="60"/>
      <c r="W597" s="60"/>
    </row>
    <row r="598" spans="1:23" ht="13" x14ac:dyDescent="0.3">
      <c r="A598" s="58"/>
      <c r="B598" s="58"/>
      <c r="C598" s="58"/>
      <c r="D598" s="58"/>
      <c r="E598" s="58"/>
      <c r="F598" s="58"/>
      <c r="G598" s="58"/>
      <c r="H598" s="59"/>
      <c r="I598" s="59"/>
      <c r="J598" s="59"/>
      <c r="K598" s="59"/>
      <c r="L598" s="59"/>
      <c r="M598" s="60"/>
      <c r="N598" s="60"/>
      <c r="O598" s="60"/>
      <c r="P598" s="59"/>
      <c r="Q598" s="59"/>
      <c r="R598" s="60"/>
      <c r="S598" s="60"/>
      <c r="T598" s="60"/>
      <c r="U598" s="60"/>
      <c r="V598" s="60"/>
      <c r="W598" s="60"/>
    </row>
    <row r="599" spans="1:23" ht="13" x14ac:dyDescent="0.3">
      <c r="A599" s="58"/>
      <c r="B599" s="58"/>
      <c r="C599" s="58"/>
      <c r="D599" s="58"/>
      <c r="E599" s="58"/>
      <c r="F599" s="58"/>
      <c r="G599" s="58"/>
      <c r="H599" s="59"/>
      <c r="I599" s="59"/>
      <c r="J599" s="59"/>
      <c r="K599" s="59"/>
      <c r="L599" s="59"/>
      <c r="M599" s="60"/>
      <c r="N599" s="60"/>
      <c r="O599" s="60"/>
      <c r="P599" s="59"/>
      <c r="Q599" s="59"/>
      <c r="R599" s="60"/>
      <c r="S599" s="60"/>
      <c r="T599" s="60"/>
      <c r="U599" s="60"/>
      <c r="V599" s="60"/>
      <c r="W599" s="60"/>
    </row>
    <row r="600" spans="1:23" ht="13" x14ac:dyDescent="0.3">
      <c r="A600" s="58"/>
      <c r="B600" s="58"/>
      <c r="C600" s="58"/>
      <c r="D600" s="58"/>
      <c r="E600" s="58"/>
      <c r="F600" s="58"/>
      <c r="G600" s="58"/>
      <c r="H600" s="59"/>
      <c r="I600" s="59"/>
      <c r="J600" s="59"/>
      <c r="K600" s="59"/>
      <c r="L600" s="59"/>
      <c r="M600" s="60"/>
      <c r="N600" s="60"/>
      <c r="O600" s="60"/>
      <c r="P600" s="59"/>
      <c r="Q600" s="59"/>
      <c r="R600" s="60"/>
      <c r="S600" s="60"/>
      <c r="T600" s="60"/>
      <c r="U600" s="60"/>
      <c r="V600" s="60"/>
      <c r="W600" s="60"/>
    </row>
    <row r="601" spans="1:23" ht="13" x14ac:dyDescent="0.3">
      <c r="A601" s="58"/>
      <c r="B601" s="58"/>
      <c r="C601" s="58"/>
      <c r="D601" s="58"/>
      <c r="E601" s="58"/>
      <c r="F601" s="58"/>
      <c r="G601" s="58"/>
      <c r="H601" s="59"/>
      <c r="I601" s="59"/>
      <c r="J601" s="59"/>
      <c r="K601" s="59"/>
      <c r="L601" s="59"/>
      <c r="M601" s="60"/>
      <c r="N601" s="60"/>
      <c r="O601" s="60"/>
      <c r="P601" s="59"/>
      <c r="Q601" s="59"/>
      <c r="R601" s="60"/>
      <c r="S601" s="60"/>
      <c r="T601" s="60"/>
      <c r="U601" s="60"/>
      <c r="V601" s="60"/>
      <c r="W601" s="60"/>
    </row>
    <row r="602" spans="1:23" ht="13" x14ac:dyDescent="0.3">
      <c r="A602" s="58"/>
      <c r="B602" s="58"/>
      <c r="C602" s="58"/>
      <c r="D602" s="58"/>
      <c r="E602" s="58"/>
      <c r="F602" s="58"/>
      <c r="G602" s="58"/>
      <c r="H602" s="59"/>
      <c r="I602" s="59"/>
      <c r="J602" s="59"/>
      <c r="K602" s="59"/>
      <c r="L602" s="59"/>
      <c r="M602" s="60"/>
      <c r="N602" s="60"/>
      <c r="O602" s="60"/>
      <c r="P602" s="59"/>
      <c r="Q602" s="59"/>
      <c r="R602" s="60"/>
      <c r="S602" s="60"/>
      <c r="T602" s="60"/>
      <c r="U602" s="60"/>
      <c r="V602" s="60"/>
      <c r="W602" s="60"/>
    </row>
    <row r="603" spans="1:23" ht="13" x14ac:dyDescent="0.3">
      <c r="A603" s="58"/>
      <c r="B603" s="58"/>
      <c r="C603" s="58"/>
      <c r="D603" s="58"/>
      <c r="E603" s="58"/>
      <c r="F603" s="58"/>
      <c r="G603" s="58"/>
      <c r="H603" s="59"/>
      <c r="I603" s="59"/>
      <c r="J603" s="59"/>
      <c r="K603" s="59"/>
      <c r="L603" s="59"/>
      <c r="M603" s="60"/>
      <c r="N603" s="60"/>
      <c r="O603" s="60"/>
      <c r="P603" s="59"/>
      <c r="Q603" s="59"/>
      <c r="R603" s="60"/>
      <c r="S603" s="60"/>
      <c r="T603" s="60"/>
      <c r="U603" s="60"/>
      <c r="V603" s="60"/>
      <c r="W603" s="60"/>
    </row>
    <row r="604" spans="1:23" ht="13" x14ac:dyDescent="0.3">
      <c r="A604" s="58"/>
      <c r="B604" s="58"/>
      <c r="C604" s="58"/>
      <c r="D604" s="58"/>
      <c r="E604" s="58"/>
      <c r="F604" s="58"/>
      <c r="G604" s="58"/>
      <c r="H604" s="59"/>
      <c r="I604" s="59"/>
      <c r="J604" s="59"/>
      <c r="K604" s="59"/>
      <c r="L604" s="59"/>
      <c r="M604" s="60"/>
      <c r="N604" s="60"/>
      <c r="O604" s="60"/>
      <c r="P604" s="59"/>
      <c r="Q604" s="59"/>
      <c r="R604" s="60"/>
      <c r="S604" s="60"/>
      <c r="T604" s="60"/>
      <c r="U604" s="60"/>
      <c r="V604" s="60"/>
      <c r="W604" s="60"/>
    </row>
    <row r="605" spans="1:23" ht="13" x14ac:dyDescent="0.3">
      <c r="A605" s="58"/>
      <c r="B605" s="58"/>
      <c r="C605" s="58"/>
      <c r="D605" s="58"/>
      <c r="E605" s="58"/>
      <c r="F605" s="58"/>
      <c r="G605" s="58"/>
      <c r="H605" s="59"/>
      <c r="I605" s="59"/>
      <c r="J605" s="59"/>
      <c r="K605" s="59"/>
      <c r="L605" s="59"/>
      <c r="M605" s="60"/>
      <c r="N605" s="60"/>
      <c r="O605" s="60"/>
      <c r="P605" s="59"/>
      <c r="Q605" s="59"/>
      <c r="R605" s="60"/>
      <c r="S605" s="60"/>
      <c r="T605" s="60"/>
      <c r="U605" s="60"/>
      <c r="V605" s="60"/>
      <c r="W605" s="60"/>
    </row>
    <row r="606" spans="1:23" ht="13" x14ac:dyDescent="0.3">
      <c r="A606" s="58"/>
      <c r="B606" s="58"/>
      <c r="C606" s="58"/>
      <c r="D606" s="58"/>
      <c r="E606" s="58"/>
      <c r="F606" s="58"/>
      <c r="G606" s="58"/>
      <c r="H606" s="59"/>
      <c r="I606" s="59"/>
      <c r="J606" s="59"/>
      <c r="K606" s="59"/>
      <c r="L606" s="59"/>
      <c r="M606" s="60"/>
      <c r="N606" s="60"/>
      <c r="O606" s="60"/>
      <c r="P606" s="59"/>
      <c r="Q606" s="59"/>
      <c r="R606" s="60"/>
      <c r="S606" s="60"/>
      <c r="T606" s="60"/>
      <c r="U606" s="60"/>
      <c r="V606" s="60"/>
      <c r="W606" s="60"/>
    </row>
    <row r="607" spans="1:23" ht="13" x14ac:dyDescent="0.3">
      <c r="A607" s="58"/>
      <c r="B607" s="58"/>
      <c r="C607" s="58"/>
      <c r="D607" s="58"/>
      <c r="E607" s="58"/>
      <c r="F607" s="58"/>
      <c r="G607" s="58"/>
      <c r="H607" s="59"/>
      <c r="I607" s="59"/>
      <c r="J607" s="59"/>
      <c r="K607" s="59"/>
      <c r="L607" s="59"/>
      <c r="M607" s="60"/>
      <c r="N607" s="60"/>
      <c r="O607" s="60"/>
      <c r="P607" s="59"/>
      <c r="Q607" s="59"/>
      <c r="R607" s="60"/>
      <c r="S607" s="60"/>
      <c r="T607" s="60"/>
      <c r="U607" s="60"/>
      <c r="V607" s="60"/>
      <c r="W607" s="60"/>
    </row>
    <row r="608" spans="1:23" ht="13" x14ac:dyDescent="0.3">
      <c r="A608" s="58"/>
      <c r="B608" s="58"/>
      <c r="C608" s="58"/>
      <c r="D608" s="58"/>
      <c r="E608" s="58"/>
      <c r="F608" s="58"/>
      <c r="G608" s="58"/>
      <c r="H608" s="59"/>
      <c r="I608" s="59"/>
      <c r="J608" s="59"/>
      <c r="K608" s="59"/>
      <c r="L608" s="59"/>
      <c r="M608" s="60"/>
      <c r="N608" s="60"/>
      <c r="O608" s="60"/>
      <c r="P608" s="59"/>
      <c r="Q608" s="59"/>
      <c r="R608" s="60"/>
      <c r="S608" s="60"/>
      <c r="T608" s="60"/>
      <c r="U608" s="60"/>
      <c r="V608" s="60"/>
      <c r="W608" s="60"/>
    </row>
    <row r="609" spans="1:23" ht="13" x14ac:dyDescent="0.3">
      <c r="A609" s="58"/>
      <c r="B609" s="58"/>
      <c r="C609" s="58"/>
      <c r="D609" s="58"/>
      <c r="E609" s="58"/>
      <c r="F609" s="58"/>
      <c r="G609" s="58"/>
      <c r="H609" s="59"/>
      <c r="I609" s="59"/>
      <c r="J609" s="59"/>
      <c r="K609" s="59"/>
      <c r="L609" s="59"/>
      <c r="M609" s="60"/>
      <c r="N609" s="60"/>
      <c r="O609" s="60"/>
      <c r="P609" s="59"/>
      <c r="Q609" s="59"/>
      <c r="R609" s="60"/>
      <c r="S609" s="60"/>
      <c r="T609" s="60"/>
      <c r="U609" s="60"/>
      <c r="V609" s="60"/>
      <c r="W609" s="60"/>
    </row>
    <row r="610" spans="1:23" ht="13" x14ac:dyDescent="0.3">
      <c r="A610" s="58"/>
      <c r="B610" s="58"/>
      <c r="C610" s="58"/>
      <c r="D610" s="58"/>
      <c r="E610" s="58"/>
      <c r="F610" s="58"/>
      <c r="G610" s="58"/>
      <c r="H610" s="59"/>
      <c r="I610" s="59"/>
      <c r="J610" s="59"/>
      <c r="K610" s="59"/>
      <c r="L610" s="59"/>
      <c r="M610" s="60"/>
      <c r="N610" s="60"/>
      <c r="O610" s="60"/>
      <c r="P610" s="59"/>
      <c r="Q610" s="59"/>
      <c r="R610" s="60"/>
      <c r="S610" s="60"/>
      <c r="T610" s="60"/>
      <c r="U610" s="60"/>
      <c r="V610" s="60"/>
      <c r="W610" s="60"/>
    </row>
    <row r="611" spans="1:23" ht="13" x14ac:dyDescent="0.3">
      <c r="A611" s="58"/>
      <c r="B611" s="58"/>
      <c r="C611" s="58"/>
      <c r="D611" s="58"/>
      <c r="E611" s="58"/>
      <c r="F611" s="58"/>
      <c r="G611" s="58"/>
      <c r="H611" s="59"/>
      <c r="I611" s="59"/>
      <c r="J611" s="59"/>
      <c r="K611" s="59"/>
      <c r="L611" s="59"/>
      <c r="M611" s="60"/>
      <c r="N611" s="60"/>
      <c r="O611" s="60"/>
      <c r="P611" s="59"/>
      <c r="Q611" s="59"/>
      <c r="R611" s="60"/>
      <c r="S611" s="60"/>
      <c r="T611" s="60"/>
      <c r="U611" s="60"/>
      <c r="V611" s="60"/>
      <c r="W611" s="60"/>
    </row>
    <row r="612" spans="1:23" ht="13" x14ac:dyDescent="0.3">
      <c r="A612" s="58"/>
      <c r="B612" s="58"/>
      <c r="C612" s="58"/>
      <c r="D612" s="58"/>
      <c r="E612" s="58"/>
      <c r="F612" s="58"/>
      <c r="G612" s="58"/>
      <c r="H612" s="59"/>
      <c r="I612" s="59"/>
      <c r="J612" s="59"/>
      <c r="K612" s="59"/>
      <c r="L612" s="59"/>
      <c r="M612" s="60"/>
      <c r="N612" s="60"/>
      <c r="O612" s="60"/>
      <c r="P612" s="59"/>
      <c r="Q612" s="59"/>
      <c r="R612" s="60"/>
      <c r="S612" s="60"/>
      <c r="T612" s="60"/>
      <c r="U612" s="60"/>
      <c r="V612" s="60"/>
      <c r="W612" s="60"/>
    </row>
    <row r="613" spans="1:23" ht="13" x14ac:dyDescent="0.3">
      <c r="A613" s="58"/>
      <c r="B613" s="58"/>
      <c r="C613" s="58"/>
      <c r="D613" s="58"/>
      <c r="E613" s="58"/>
      <c r="F613" s="58"/>
      <c r="G613" s="58"/>
      <c r="H613" s="59"/>
      <c r="I613" s="59"/>
      <c r="J613" s="59"/>
      <c r="K613" s="59"/>
      <c r="L613" s="59"/>
      <c r="M613" s="60"/>
      <c r="N613" s="60"/>
      <c r="O613" s="60"/>
      <c r="P613" s="59"/>
      <c r="Q613" s="59"/>
      <c r="R613" s="60"/>
      <c r="S613" s="60"/>
      <c r="T613" s="60"/>
      <c r="U613" s="60"/>
      <c r="V613" s="60"/>
      <c r="W613" s="60"/>
    </row>
    <row r="614" spans="1:23" ht="13" x14ac:dyDescent="0.3">
      <c r="A614" s="58"/>
      <c r="B614" s="58"/>
      <c r="C614" s="58"/>
      <c r="D614" s="58"/>
      <c r="E614" s="58"/>
      <c r="F614" s="58"/>
      <c r="G614" s="58"/>
      <c r="H614" s="59"/>
      <c r="I614" s="59"/>
      <c r="J614" s="59"/>
      <c r="K614" s="59"/>
      <c r="L614" s="59"/>
      <c r="M614" s="60"/>
      <c r="N614" s="60"/>
      <c r="O614" s="60"/>
      <c r="P614" s="59"/>
      <c r="Q614" s="59"/>
      <c r="R614" s="60"/>
      <c r="S614" s="60"/>
      <c r="T614" s="60"/>
      <c r="U614" s="60"/>
      <c r="V614" s="60"/>
      <c r="W614" s="60"/>
    </row>
    <row r="615" spans="1:23" ht="13" x14ac:dyDescent="0.3">
      <c r="A615" s="58"/>
      <c r="B615" s="58"/>
      <c r="C615" s="58"/>
      <c r="D615" s="58"/>
      <c r="E615" s="58"/>
      <c r="F615" s="58"/>
      <c r="G615" s="58"/>
      <c r="H615" s="59"/>
      <c r="I615" s="59"/>
      <c r="J615" s="59"/>
      <c r="K615" s="59"/>
      <c r="L615" s="59"/>
      <c r="M615" s="60"/>
      <c r="N615" s="60"/>
      <c r="O615" s="60"/>
      <c r="P615" s="59"/>
      <c r="Q615" s="59"/>
      <c r="R615" s="60"/>
      <c r="S615" s="60"/>
      <c r="T615" s="60"/>
      <c r="U615" s="60"/>
      <c r="V615" s="60"/>
      <c r="W615" s="60"/>
    </row>
    <row r="616" spans="1:23" ht="13" x14ac:dyDescent="0.3">
      <c r="A616" s="58"/>
      <c r="B616" s="58"/>
      <c r="C616" s="58"/>
      <c r="D616" s="58"/>
      <c r="E616" s="58"/>
      <c r="F616" s="58"/>
      <c r="G616" s="58"/>
      <c r="H616" s="59"/>
      <c r="I616" s="59"/>
      <c r="J616" s="59"/>
      <c r="K616" s="59"/>
      <c r="L616" s="59"/>
      <c r="M616" s="60"/>
      <c r="N616" s="60"/>
      <c r="O616" s="60"/>
      <c r="P616" s="59"/>
      <c r="Q616" s="59"/>
      <c r="R616" s="60"/>
      <c r="S616" s="60"/>
      <c r="T616" s="60"/>
      <c r="U616" s="60"/>
      <c r="V616" s="60"/>
      <c r="W616" s="60"/>
    </row>
    <row r="617" spans="1:23" ht="13" x14ac:dyDescent="0.3">
      <c r="A617" s="58"/>
      <c r="B617" s="58"/>
      <c r="C617" s="58"/>
      <c r="D617" s="58"/>
      <c r="E617" s="58"/>
      <c r="F617" s="58"/>
      <c r="G617" s="58"/>
      <c r="H617" s="59"/>
      <c r="I617" s="59"/>
      <c r="J617" s="59"/>
      <c r="K617" s="59"/>
      <c r="L617" s="59"/>
      <c r="M617" s="60"/>
      <c r="N617" s="60"/>
      <c r="O617" s="60"/>
      <c r="P617" s="59"/>
      <c r="Q617" s="59"/>
      <c r="R617" s="60"/>
      <c r="S617" s="60"/>
      <c r="T617" s="60"/>
      <c r="U617" s="60"/>
      <c r="V617" s="60"/>
      <c r="W617" s="60"/>
    </row>
    <row r="618" spans="1:23" ht="13" x14ac:dyDescent="0.3">
      <c r="A618" s="58"/>
      <c r="B618" s="58"/>
      <c r="C618" s="58"/>
      <c r="D618" s="58"/>
      <c r="E618" s="58"/>
      <c r="F618" s="58"/>
      <c r="G618" s="58"/>
      <c r="H618" s="59"/>
      <c r="I618" s="59"/>
      <c r="J618" s="59"/>
      <c r="K618" s="59"/>
      <c r="L618" s="59"/>
      <c r="M618" s="60"/>
      <c r="N618" s="60"/>
      <c r="O618" s="60"/>
      <c r="P618" s="59"/>
      <c r="Q618" s="59"/>
      <c r="R618" s="60"/>
      <c r="S618" s="60"/>
      <c r="T618" s="60"/>
      <c r="U618" s="60"/>
      <c r="V618" s="60"/>
      <c r="W618" s="60"/>
    </row>
    <row r="619" spans="1:23" ht="13" x14ac:dyDescent="0.3">
      <c r="A619" s="58"/>
      <c r="B619" s="58"/>
      <c r="C619" s="58"/>
      <c r="D619" s="58"/>
      <c r="E619" s="58"/>
      <c r="F619" s="58"/>
      <c r="G619" s="58"/>
      <c r="H619" s="59"/>
      <c r="I619" s="59"/>
      <c r="J619" s="59"/>
      <c r="K619" s="59"/>
      <c r="L619" s="59"/>
      <c r="M619" s="60"/>
      <c r="N619" s="60"/>
      <c r="O619" s="60"/>
      <c r="P619" s="59"/>
      <c r="Q619" s="59"/>
      <c r="R619" s="60"/>
      <c r="S619" s="60"/>
      <c r="T619" s="60"/>
      <c r="U619" s="60"/>
      <c r="V619" s="60"/>
      <c r="W619" s="60"/>
    </row>
    <row r="620" spans="1:23" ht="13" x14ac:dyDescent="0.3">
      <c r="A620" s="58"/>
      <c r="B620" s="58"/>
      <c r="C620" s="58"/>
      <c r="D620" s="58"/>
      <c r="E620" s="58"/>
      <c r="F620" s="58"/>
      <c r="G620" s="58"/>
      <c r="H620" s="59"/>
      <c r="I620" s="59"/>
      <c r="J620" s="59"/>
      <c r="K620" s="59"/>
      <c r="L620" s="59"/>
      <c r="M620" s="60"/>
      <c r="N620" s="60"/>
      <c r="O620" s="60"/>
      <c r="P620" s="59"/>
      <c r="Q620" s="59"/>
      <c r="R620" s="60"/>
      <c r="S620" s="60"/>
      <c r="T620" s="60"/>
      <c r="U620" s="60"/>
      <c r="V620" s="60"/>
      <c r="W620" s="60"/>
    </row>
    <row r="621" spans="1:23" ht="13" x14ac:dyDescent="0.3">
      <c r="A621" s="58"/>
      <c r="B621" s="58"/>
      <c r="C621" s="58"/>
      <c r="D621" s="58"/>
      <c r="E621" s="58"/>
      <c r="F621" s="58"/>
      <c r="G621" s="58"/>
      <c r="H621" s="59"/>
      <c r="I621" s="59"/>
      <c r="J621" s="59"/>
      <c r="K621" s="59"/>
      <c r="L621" s="59"/>
      <c r="M621" s="60"/>
      <c r="N621" s="60"/>
      <c r="O621" s="60"/>
      <c r="P621" s="59"/>
      <c r="Q621" s="59"/>
      <c r="R621" s="60"/>
      <c r="S621" s="60"/>
      <c r="T621" s="60"/>
      <c r="U621" s="60"/>
      <c r="V621" s="60"/>
      <c r="W621" s="60"/>
    </row>
    <row r="622" spans="1:23" ht="13" x14ac:dyDescent="0.3">
      <c r="A622" s="58"/>
      <c r="B622" s="58"/>
      <c r="C622" s="58"/>
      <c r="D622" s="58"/>
      <c r="E622" s="58"/>
      <c r="F622" s="58"/>
      <c r="G622" s="58"/>
      <c r="H622" s="59"/>
      <c r="I622" s="59"/>
      <c r="J622" s="59"/>
      <c r="K622" s="59"/>
      <c r="L622" s="59"/>
      <c r="M622" s="60"/>
      <c r="N622" s="60"/>
      <c r="O622" s="60"/>
      <c r="P622" s="59"/>
      <c r="Q622" s="59"/>
      <c r="R622" s="60"/>
      <c r="S622" s="60"/>
      <c r="T622" s="60"/>
      <c r="U622" s="60"/>
      <c r="V622" s="60"/>
      <c r="W622" s="60"/>
    </row>
    <row r="623" spans="1:23" ht="13" x14ac:dyDescent="0.3">
      <c r="A623" s="58"/>
      <c r="B623" s="58"/>
      <c r="C623" s="58"/>
      <c r="D623" s="58"/>
      <c r="E623" s="58"/>
      <c r="F623" s="58"/>
      <c r="G623" s="58"/>
      <c r="H623" s="59"/>
      <c r="I623" s="59"/>
      <c r="J623" s="59"/>
      <c r="K623" s="59"/>
      <c r="L623" s="59"/>
      <c r="M623" s="60"/>
      <c r="N623" s="60"/>
      <c r="O623" s="60"/>
      <c r="P623" s="59"/>
      <c r="Q623" s="59"/>
      <c r="R623" s="60"/>
      <c r="S623" s="60"/>
      <c r="T623" s="60"/>
      <c r="U623" s="60"/>
      <c r="V623" s="60"/>
      <c r="W623" s="60"/>
    </row>
    <row r="624" spans="1:23" ht="13" x14ac:dyDescent="0.3">
      <c r="A624" s="58"/>
      <c r="B624" s="58"/>
      <c r="C624" s="58"/>
      <c r="D624" s="58"/>
      <c r="E624" s="58"/>
      <c r="F624" s="58"/>
      <c r="G624" s="58"/>
      <c r="H624" s="59"/>
      <c r="I624" s="59"/>
      <c r="J624" s="59"/>
      <c r="K624" s="59"/>
      <c r="L624" s="59"/>
      <c r="M624" s="60"/>
      <c r="N624" s="60"/>
      <c r="O624" s="60"/>
      <c r="P624" s="59"/>
      <c r="Q624" s="59"/>
      <c r="R624" s="60"/>
      <c r="S624" s="60"/>
      <c r="T624" s="60"/>
      <c r="U624" s="60"/>
      <c r="V624" s="60"/>
      <c r="W624" s="60"/>
    </row>
    <row r="625" spans="1:23" ht="13" x14ac:dyDescent="0.3">
      <c r="A625" s="58"/>
      <c r="B625" s="58"/>
      <c r="C625" s="58"/>
      <c r="D625" s="58"/>
      <c r="E625" s="58"/>
      <c r="F625" s="58"/>
      <c r="G625" s="58"/>
      <c r="H625" s="59"/>
      <c r="I625" s="59"/>
      <c r="J625" s="59"/>
      <c r="K625" s="59"/>
      <c r="L625" s="59"/>
      <c r="M625" s="60"/>
      <c r="N625" s="60"/>
      <c r="O625" s="60"/>
      <c r="P625" s="59"/>
      <c r="Q625" s="59"/>
      <c r="R625" s="60"/>
      <c r="S625" s="60"/>
      <c r="T625" s="60"/>
      <c r="U625" s="60"/>
      <c r="V625" s="60"/>
      <c r="W625" s="60"/>
    </row>
    <row r="626" spans="1:23" ht="13" x14ac:dyDescent="0.3">
      <c r="A626" s="58"/>
      <c r="B626" s="58"/>
      <c r="C626" s="58"/>
      <c r="D626" s="58"/>
      <c r="E626" s="58"/>
      <c r="F626" s="58"/>
      <c r="G626" s="58"/>
      <c r="H626" s="59"/>
      <c r="I626" s="59"/>
      <c r="J626" s="59"/>
      <c r="K626" s="59"/>
      <c r="L626" s="59"/>
      <c r="M626" s="60"/>
      <c r="N626" s="60"/>
      <c r="O626" s="60"/>
      <c r="P626" s="59"/>
      <c r="Q626" s="59"/>
      <c r="R626" s="60"/>
      <c r="S626" s="60"/>
      <c r="T626" s="60"/>
      <c r="U626" s="60"/>
      <c r="V626" s="60"/>
      <c r="W626" s="60"/>
    </row>
    <row r="627" spans="1:23" ht="13" x14ac:dyDescent="0.3">
      <c r="A627" s="58"/>
      <c r="B627" s="58"/>
      <c r="C627" s="58"/>
      <c r="D627" s="58"/>
      <c r="E627" s="58"/>
      <c r="F627" s="58"/>
      <c r="G627" s="58"/>
      <c r="H627" s="59"/>
      <c r="I627" s="59"/>
      <c r="J627" s="59"/>
      <c r="K627" s="59"/>
      <c r="L627" s="59"/>
      <c r="M627" s="60"/>
      <c r="N627" s="60"/>
      <c r="O627" s="60"/>
      <c r="P627" s="59"/>
      <c r="Q627" s="59"/>
      <c r="R627" s="60"/>
      <c r="S627" s="60"/>
      <c r="T627" s="60"/>
      <c r="U627" s="60"/>
      <c r="V627" s="60"/>
      <c r="W627" s="60"/>
    </row>
    <row r="628" spans="1:23" ht="13" x14ac:dyDescent="0.3">
      <c r="A628" s="58"/>
      <c r="B628" s="58"/>
      <c r="C628" s="58"/>
      <c r="D628" s="58"/>
      <c r="E628" s="58"/>
      <c r="F628" s="58"/>
      <c r="G628" s="58"/>
      <c r="H628" s="59"/>
      <c r="I628" s="59"/>
      <c r="J628" s="59"/>
      <c r="K628" s="59"/>
      <c r="L628" s="59"/>
      <c r="M628" s="60"/>
      <c r="N628" s="60"/>
      <c r="O628" s="60"/>
      <c r="P628" s="59"/>
      <c r="Q628" s="59"/>
      <c r="R628" s="60"/>
      <c r="S628" s="60"/>
      <c r="T628" s="60"/>
      <c r="U628" s="60"/>
      <c r="V628" s="60"/>
      <c r="W628" s="60"/>
    </row>
    <row r="629" spans="1:23" ht="13" x14ac:dyDescent="0.3">
      <c r="A629" s="58"/>
      <c r="B629" s="58"/>
      <c r="C629" s="58"/>
      <c r="D629" s="58"/>
      <c r="E629" s="58"/>
      <c r="F629" s="58"/>
      <c r="G629" s="58"/>
      <c r="H629" s="59"/>
      <c r="I629" s="59"/>
      <c r="J629" s="59"/>
      <c r="K629" s="59"/>
      <c r="L629" s="59"/>
      <c r="M629" s="60"/>
      <c r="N629" s="60"/>
      <c r="O629" s="60"/>
      <c r="P629" s="59"/>
      <c r="Q629" s="59"/>
      <c r="R629" s="60"/>
      <c r="S629" s="60"/>
      <c r="T629" s="60"/>
      <c r="U629" s="60"/>
      <c r="V629" s="60"/>
      <c r="W629" s="60"/>
    </row>
    <row r="630" spans="1:23" ht="13" x14ac:dyDescent="0.3">
      <c r="A630" s="58"/>
      <c r="B630" s="58"/>
      <c r="C630" s="58"/>
      <c r="D630" s="58"/>
      <c r="E630" s="58"/>
      <c r="F630" s="58"/>
      <c r="G630" s="58"/>
      <c r="H630" s="59"/>
      <c r="I630" s="59"/>
      <c r="J630" s="59"/>
      <c r="K630" s="59"/>
      <c r="L630" s="59"/>
      <c r="M630" s="60"/>
      <c r="N630" s="60"/>
      <c r="O630" s="60"/>
      <c r="P630" s="59"/>
      <c r="Q630" s="59"/>
      <c r="R630" s="60"/>
      <c r="S630" s="60"/>
      <c r="T630" s="60"/>
      <c r="U630" s="60"/>
      <c r="V630" s="60"/>
      <c r="W630" s="60"/>
    </row>
    <row r="631" spans="1:23" ht="13" x14ac:dyDescent="0.3">
      <c r="A631" s="58"/>
      <c r="B631" s="58"/>
      <c r="C631" s="58"/>
      <c r="D631" s="58"/>
      <c r="E631" s="58"/>
      <c r="F631" s="58"/>
      <c r="G631" s="58"/>
      <c r="H631" s="59"/>
      <c r="I631" s="59"/>
      <c r="J631" s="59"/>
      <c r="K631" s="59"/>
      <c r="L631" s="59"/>
      <c r="M631" s="60"/>
      <c r="N631" s="60"/>
      <c r="O631" s="60"/>
      <c r="P631" s="59"/>
      <c r="Q631" s="59"/>
      <c r="R631" s="60"/>
      <c r="S631" s="60"/>
      <c r="T631" s="60"/>
      <c r="U631" s="60"/>
      <c r="V631" s="60"/>
      <c r="W631" s="60"/>
    </row>
    <row r="632" spans="1:23" ht="13" x14ac:dyDescent="0.3">
      <c r="A632" s="58"/>
      <c r="B632" s="58"/>
      <c r="C632" s="58"/>
      <c r="D632" s="58"/>
      <c r="E632" s="58"/>
      <c r="F632" s="58"/>
      <c r="G632" s="58"/>
      <c r="H632" s="59"/>
      <c r="I632" s="59"/>
      <c r="J632" s="59"/>
      <c r="K632" s="59"/>
      <c r="L632" s="59"/>
      <c r="M632" s="60"/>
      <c r="N632" s="60"/>
      <c r="O632" s="60"/>
      <c r="P632" s="59"/>
      <c r="Q632" s="59"/>
      <c r="R632" s="60"/>
      <c r="S632" s="60"/>
      <c r="T632" s="60"/>
      <c r="U632" s="60"/>
      <c r="V632" s="60"/>
      <c r="W632" s="60"/>
    </row>
    <row r="633" spans="1:23" ht="13" x14ac:dyDescent="0.3">
      <c r="A633" s="58"/>
      <c r="B633" s="58"/>
      <c r="C633" s="58"/>
      <c r="D633" s="58"/>
      <c r="E633" s="58"/>
      <c r="F633" s="58"/>
      <c r="G633" s="58"/>
      <c r="H633" s="59"/>
      <c r="I633" s="59"/>
      <c r="J633" s="59"/>
      <c r="K633" s="59"/>
      <c r="L633" s="59"/>
      <c r="M633" s="60"/>
      <c r="N633" s="60"/>
      <c r="O633" s="60"/>
      <c r="P633" s="59"/>
      <c r="Q633" s="59"/>
      <c r="R633" s="60"/>
      <c r="S633" s="60"/>
      <c r="T633" s="60"/>
      <c r="U633" s="60"/>
      <c r="V633" s="60"/>
      <c r="W633" s="60"/>
    </row>
    <row r="634" spans="1:23" ht="13" x14ac:dyDescent="0.3">
      <c r="A634" s="58"/>
      <c r="B634" s="58"/>
      <c r="C634" s="58"/>
      <c r="D634" s="58"/>
      <c r="E634" s="58"/>
      <c r="F634" s="58"/>
      <c r="G634" s="58"/>
      <c r="H634" s="59"/>
      <c r="I634" s="59"/>
      <c r="J634" s="59"/>
      <c r="K634" s="59"/>
      <c r="L634" s="59"/>
      <c r="M634" s="60"/>
      <c r="N634" s="60"/>
      <c r="O634" s="60"/>
      <c r="P634" s="59"/>
      <c r="Q634" s="59"/>
      <c r="R634" s="60"/>
      <c r="S634" s="60"/>
      <c r="T634" s="60"/>
      <c r="U634" s="60"/>
      <c r="V634" s="60"/>
      <c r="W634" s="60"/>
    </row>
    <row r="635" spans="1:23" ht="13" x14ac:dyDescent="0.3">
      <c r="A635" s="58"/>
      <c r="B635" s="58"/>
      <c r="C635" s="58"/>
      <c r="D635" s="58"/>
      <c r="E635" s="58"/>
      <c r="F635" s="58"/>
      <c r="G635" s="58"/>
      <c r="H635" s="59"/>
      <c r="I635" s="59"/>
      <c r="J635" s="59"/>
      <c r="K635" s="59"/>
      <c r="L635" s="59"/>
      <c r="M635" s="60"/>
      <c r="N635" s="60"/>
      <c r="O635" s="60"/>
      <c r="P635" s="59"/>
      <c r="Q635" s="59"/>
      <c r="R635" s="60"/>
      <c r="S635" s="60"/>
      <c r="T635" s="60"/>
      <c r="U635" s="60"/>
      <c r="V635" s="60"/>
      <c r="W635" s="60"/>
    </row>
    <row r="636" spans="1:23" ht="13" x14ac:dyDescent="0.3">
      <c r="A636" s="58"/>
      <c r="B636" s="58"/>
      <c r="C636" s="58"/>
      <c r="D636" s="58"/>
      <c r="E636" s="58"/>
      <c r="F636" s="58"/>
      <c r="G636" s="58"/>
      <c r="H636" s="59"/>
      <c r="I636" s="59"/>
      <c r="J636" s="59"/>
      <c r="K636" s="59"/>
      <c r="L636" s="59"/>
      <c r="M636" s="60"/>
      <c r="N636" s="60"/>
      <c r="O636" s="60"/>
      <c r="P636" s="59"/>
      <c r="Q636" s="59"/>
      <c r="R636" s="60"/>
      <c r="S636" s="60"/>
      <c r="T636" s="60"/>
      <c r="U636" s="60"/>
      <c r="V636" s="60"/>
      <c r="W636" s="60"/>
    </row>
    <row r="637" spans="1:23" ht="13" x14ac:dyDescent="0.3">
      <c r="A637" s="58"/>
      <c r="B637" s="58"/>
      <c r="C637" s="58"/>
      <c r="D637" s="58"/>
      <c r="E637" s="58"/>
      <c r="F637" s="58"/>
      <c r="G637" s="58"/>
      <c r="H637" s="59"/>
      <c r="I637" s="59"/>
      <c r="J637" s="59"/>
      <c r="K637" s="59"/>
      <c r="L637" s="59"/>
      <c r="M637" s="60"/>
      <c r="N637" s="60"/>
      <c r="O637" s="60"/>
      <c r="P637" s="59"/>
      <c r="Q637" s="59"/>
      <c r="R637" s="60"/>
      <c r="S637" s="60"/>
      <c r="T637" s="60"/>
      <c r="U637" s="60"/>
      <c r="V637" s="60"/>
      <c r="W637" s="60"/>
    </row>
    <row r="638" spans="1:23" ht="13" x14ac:dyDescent="0.3">
      <c r="A638" s="58"/>
      <c r="B638" s="58"/>
      <c r="C638" s="58"/>
      <c r="D638" s="58"/>
      <c r="E638" s="58"/>
      <c r="F638" s="58"/>
      <c r="G638" s="58"/>
      <c r="H638" s="59"/>
      <c r="I638" s="59"/>
      <c r="J638" s="59"/>
      <c r="K638" s="59"/>
      <c r="L638" s="59"/>
      <c r="M638" s="60"/>
      <c r="N638" s="60"/>
      <c r="O638" s="60"/>
      <c r="P638" s="59"/>
      <c r="Q638" s="59"/>
      <c r="R638" s="60"/>
      <c r="S638" s="60"/>
      <c r="T638" s="60"/>
      <c r="U638" s="60"/>
      <c r="V638" s="60"/>
      <c r="W638" s="60"/>
    </row>
    <row r="639" spans="1:23" ht="13" x14ac:dyDescent="0.3">
      <c r="A639" s="58"/>
      <c r="B639" s="58"/>
      <c r="C639" s="58"/>
      <c r="D639" s="58"/>
      <c r="E639" s="58"/>
      <c r="F639" s="58"/>
      <c r="G639" s="58"/>
      <c r="H639" s="59"/>
      <c r="I639" s="59"/>
      <c r="J639" s="59"/>
      <c r="K639" s="59"/>
      <c r="L639" s="59"/>
      <c r="M639" s="60"/>
      <c r="N639" s="60"/>
      <c r="O639" s="60"/>
      <c r="P639" s="59"/>
      <c r="Q639" s="59"/>
      <c r="R639" s="60"/>
      <c r="S639" s="60"/>
      <c r="T639" s="60"/>
      <c r="U639" s="60"/>
      <c r="V639" s="60"/>
      <c r="W639" s="60"/>
    </row>
    <row r="640" spans="1:23" ht="13" x14ac:dyDescent="0.3">
      <c r="A640" s="58"/>
      <c r="B640" s="58"/>
      <c r="C640" s="58"/>
      <c r="D640" s="58"/>
      <c r="E640" s="58"/>
      <c r="F640" s="58"/>
      <c r="G640" s="58"/>
      <c r="H640" s="59"/>
      <c r="I640" s="59"/>
      <c r="J640" s="59"/>
      <c r="K640" s="59"/>
      <c r="L640" s="59"/>
      <c r="M640" s="60"/>
      <c r="N640" s="60"/>
      <c r="O640" s="60"/>
      <c r="P640" s="59"/>
      <c r="Q640" s="59"/>
      <c r="R640" s="60"/>
      <c r="S640" s="60"/>
      <c r="T640" s="60"/>
      <c r="U640" s="60"/>
      <c r="V640" s="60"/>
      <c r="W640" s="60"/>
    </row>
    <row r="641" spans="1:23" ht="13" x14ac:dyDescent="0.3">
      <c r="A641" s="58"/>
      <c r="B641" s="58"/>
      <c r="C641" s="58"/>
      <c r="D641" s="58"/>
      <c r="E641" s="58"/>
      <c r="F641" s="58"/>
      <c r="G641" s="58"/>
      <c r="H641" s="59"/>
      <c r="I641" s="59"/>
      <c r="J641" s="59"/>
      <c r="K641" s="59"/>
      <c r="L641" s="59"/>
      <c r="M641" s="60"/>
      <c r="N641" s="60"/>
      <c r="O641" s="60"/>
      <c r="P641" s="59"/>
      <c r="Q641" s="59"/>
      <c r="R641" s="60"/>
      <c r="S641" s="60"/>
      <c r="T641" s="60"/>
      <c r="U641" s="60"/>
      <c r="V641" s="60"/>
      <c r="W641" s="60"/>
    </row>
    <row r="642" spans="1:23" ht="13" x14ac:dyDescent="0.3">
      <c r="A642" s="58"/>
      <c r="B642" s="58"/>
      <c r="C642" s="58"/>
      <c r="D642" s="58"/>
      <c r="E642" s="58"/>
      <c r="F642" s="58"/>
      <c r="G642" s="58"/>
      <c r="H642" s="59"/>
      <c r="I642" s="59"/>
      <c r="J642" s="59"/>
      <c r="K642" s="59"/>
      <c r="L642" s="59"/>
      <c r="M642" s="60"/>
      <c r="N642" s="60"/>
      <c r="O642" s="60"/>
      <c r="P642" s="59"/>
      <c r="Q642" s="59"/>
      <c r="R642" s="60"/>
      <c r="S642" s="60"/>
      <c r="T642" s="60"/>
      <c r="U642" s="60"/>
      <c r="V642" s="60"/>
      <c r="W642" s="60"/>
    </row>
    <row r="643" spans="1:23" ht="13" x14ac:dyDescent="0.3">
      <c r="A643" s="58"/>
      <c r="B643" s="58"/>
      <c r="C643" s="58"/>
      <c r="D643" s="58"/>
      <c r="E643" s="58"/>
      <c r="F643" s="58"/>
      <c r="G643" s="58"/>
      <c r="H643" s="59"/>
      <c r="I643" s="59"/>
      <c r="J643" s="59"/>
      <c r="K643" s="59"/>
      <c r="L643" s="59"/>
      <c r="M643" s="60"/>
      <c r="N643" s="60"/>
      <c r="O643" s="60"/>
      <c r="P643" s="59"/>
      <c r="Q643" s="59"/>
      <c r="R643" s="60"/>
      <c r="S643" s="60"/>
      <c r="T643" s="60"/>
      <c r="U643" s="60"/>
      <c r="V643" s="60"/>
      <c r="W643" s="60"/>
    </row>
    <row r="644" spans="1:23" ht="13" x14ac:dyDescent="0.3">
      <c r="A644" s="58"/>
      <c r="B644" s="58"/>
      <c r="C644" s="58"/>
      <c r="D644" s="58"/>
      <c r="E644" s="58"/>
      <c r="F644" s="58"/>
      <c r="G644" s="58"/>
      <c r="H644" s="59"/>
      <c r="I644" s="59"/>
      <c r="J644" s="59"/>
      <c r="K644" s="59"/>
      <c r="L644" s="59"/>
      <c r="M644" s="60"/>
      <c r="N644" s="60"/>
      <c r="O644" s="60"/>
      <c r="P644" s="59"/>
      <c r="Q644" s="59"/>
      <c r="R644" s="60"/>
      <c r="S644" s="60"/>
      <c r="T644" s="60"/>
      <c r="U644" s="60"/>
      <c r="V644" s="60"/>
      <c r="W644" s="60"/>
    </row>
    <row r="645" spans="1:23" ht="13" x14ac:dyDescent="0.3">
      <c r="A645" s="58"/>
      <c r="B645" s="58"/>
      <c r="C645" s="58"/>
      <c r="D645" s="58"/>
      <c r="E645" s="58"/>
      <c r="F645" s="58"/>
      <c r="G645" s="58"/>
      <c r="H645" s="59"/>
      <c r="I645" s="59"/>
      <c r="J645" s="59"/>
      <c r="K645" s="59"/>
      <c r="L645" s="59"/>
      <c r="M645" s="60"/>
      <c r="N645" s="60"/>
      <c r="O645" s="60"/>
      <c r="P645" s="59"/>
      <c r="Q645" s="59"/>
      <c r="R645" s="60"/>
      <c r="S645" s="60"/>
      <c r="T645" s="60"/>
      <c r="U645" s="60"/>
      <c r="V645" s="60"/>
      <c r="W645" s="60"/>
    </row>
    <row r="646" spans="1:23" ht="13" x14ac:dyDescent="0.3">
      <c r="A646" s="58"/>
      <c r="B646" s="58"/>
      <c r="C646" s="58"/>
      <c r="D646" s="58"/>
      <c r="E646" s="58"/>
      <c r="F646" s="58"/>
      <c r="G646" s="58"/>
      <c r="H646" s="59"/>
      <c r="I646" s="59"/>
      <c r="J646" s="59"/>
      <c r="K646" s="59"/>
      <c r="L646" s="59"/>
      <c r="M646" s="60"/>
      <c r="N646" s="60"/>
      <c r="O646" s="60"/>
      <c r="P646" s="59"/>
      <c r="Q646" s="59"/>
      <c r="R646" s="60"/>
      <c r="S646" s="60"/>
      <c r="T646" s="60"/>
      <c r="U646" s="60"/>
      <c r="V646" s="60"/>
      <c r="W646" s="60"/>
    </row>
    <row r="647" spans="1:23" ht="13" x14ac:dyDescent="0.3">
      <c r="A647" s="58"/>
      <c r="B647" s="58"/>
      <c r="C647" s="58"/>
      <c r="D647" s="58"/>
      <c r="E647" s="58"/>
      <c r="F647" s="58"/>
      <c r="G647" s="58"/>
      <c r="H647" s="59"/>
      <c r="I647" s="59"/>
      <c r="J647" s="59"/>
      <c r="K647" s="59"/>
      <c r="L647" s="59"/>
      <c r="M647" s="60"/>
      <c r="N647" s="60"/>
      <c r="O647" s="60"/>
      <c r="P647" s="59"/>
      <c r="Q647" s="59"/>
      <c r="R647" s="60"/>
      <c r="S647" s="60"/>
      <c r="T647" s="60"/>
      <c r="U647" s="60"/>
      <c r="V647" s="60"/>
      <c r="W647" s="60"/>
    </row>
    <row r="648" spans="1:23" ht="13" x14ac:dyDescent="0.3">
      <c r="A648" s="58"/>
      <c r="B648" s="58"/>
      <c r="C648" s="58"/>
      <c r="D648" s="58"/>
      <c r="E648" s="58"/>
      <c r="F648" s="58"/>
      <c r="G648" s="58"/>
      <c r="H648" s="59"/>
      <c r="I648" s="59"/>
      <c r="J648" s="59"/>
      <c r="K648" s="59"/>
      <c r="L648" s="59"/>
      <c r="M648" s="60"/>
      <c r="N648" s="60"/>
      <c r="O648" s="60"/>
      <c r="P648" s="59"/>
      <c r="Q648" s="59"/>
      <c r="R648" s="60"/>
      <c r="S648" s="60"/>
      <c r="T648" s="60"/>
      <c r="U648" s="60"/>
      <c r="V648" s="60"/>
      <c r="W648" s="60"/>
    </row>
    <row r="649" spans="1:23" ht="13" x14ac:dyDescent="0.3">
      <c r="A649" s="58"/>
      <c r="B649" s="58"/>
      <c r="C649" s="58"/>
      <c r="D649" s="58"/>
      <c r="E649" s="58"/>
      <c r="F649" s="58"/>
      <c r="G649" s="58"/>
      <c r="H649" s="59"/>
      <c r="I649" s="59"/>
      <c r="J649" s="59"/>
      <c r="K649" s="59"/>
      <c r="L649" s="59"/>
      <c r="M649" s="60"/>
      <c r="N649" s="60"/>
      <c r="O649" s="60"/>
      <c r="P649" s="59"/>
      <c r="Q649" s="59"/>
      <c r="R649" s="60"/>
      <c r="S649" s="60"/>
      <c r="T649" s="60"/>
      <c r="U649" s="60"/>
      <c r="V649" s="60"/>
      <c r="W649" s="60"/>
    </row>
    <row r="650" spans="1:23" ht="13" x14ac:dyDescent="0.3">
      <c r="A650" s="58"/>
      <c r="B650" s="58"/>
      <c r="C650" s="58"/>
      <c r="D650" s="58"/>
      <c r="E650" s="58"/>
      <c r="F650" s="58"/>
      <c r="G650" s="58"/>
      <c r="H650" s="59"/>
      <c r="I650" s="59"/>
      <c r="J650" s="59"/>
      <c r="K650" s="59"/>
      <c r="L650" s="59"/>
      <c r="M650" s="60"/>
      <c r="N650" s="60"/>
      <c r="O650" s="60"/>
      <c r="P650" s="59"/>
      <c r="Q650" s="59"/>
      <c r="R650" s="60"/>
      <c r="S650" s="60"/>
      <c r="T650" s="60"/>
      <c r="U650" s="60"/>
      <c r="V650" s="60"/>
      <c r="W650" s="60"/>
    </row>
    <row r="651" spans="1:23" ht="13" x14ac:dyDescent="0.3">
      <c r="A651" s="58"/>
      <c r="B651" s="58"/>
      <c r="C651" s="58"/>
      <c r="D651" s="58"/>
      <c r="E651" s="58"/>
      <c r="F651" s="58"/>
      <c r="G651" s="58"/>
      <c r="H651" s="59"/>
      <c r="I651" s="59"/>
      <c r="J651" s="59"/>
      <c r="K651" s="59"/>
      <c r="L651" s="59"/>
      <c r="M651" s="60"/>
      <c r="N651" s="60"/>
      <c r="O651" s="60"/>
      <c r="P651" s="59"/>
      <c r="Q651" s="59"/>
      <c r="R651" s="60"/>
      <c r="S651" s="60"/>
      <c r="T651" s="60"/>
      <c r="U651" s="60"/>
      <c r="V651" s="60"/>
      <c r="W651" s="60"/>
    </row>
    <row r="652" spans="1:23" ht="13" x14ac:dyDescent="0.3">
      <c r="A652" s="58"/>
      <c r="B652" s="58"/>
      <c r="C652" s="58"/>
      <c r="D652" s="58"/>
      <c r="E652" s="58"/>
      <c r="F652" s="58"/>
      <c r="G652" s="58"/>
      <c r="H652" s="59"/>
      <c r="I652" s="59"/>
      <c r="J652" s="59"/>
      <c r="K652" s="59"/>
      <c r="L652" s="59"/>
      <c r="M652" s="60"/>
      <c r="N652" s="60"/>
      <c r="O652" s="60"/>
      <c r="P652" s="59"/>
      <c r="Q652" s="59"/>
      <c r="R652" s="60"/>
      <c r="S652" s="60"/>
      <c r="T652" s="60"/>
      <c r="U652" s="60"/>
      <c r="V652" s="60"/>
      <c r="W652" s="60"/>
    </row>
    <row r="653" spans="1:23" ht="13" x14ac:dyDescent="0.3">
      <c r="A653" s="58"/>
      <c r="B653" s="58"/>
      <c r="C653" s="58"/>
      <c r="D653" s="58"/>
      <c r="E653" s="58"/>
      <c r="F653" s="58"/>
      <c r="G653" s="58"/>
      <c r="H653" s="59"/>
      <c r="I653" s="59"/>
      <c r="J653" s="59"/>
      <c r="K653" s="59"/>
      <c r="L653" s="59"/>
      <c r="M653" s="60"/>
      <c r="N653" s="60"/>
      <c r="O653" s="60"/>
      <c r="P653" s="59"/>
      <c r="Q653" s="59"/>
      <c r="R653" s="60"/>
      <c r="S653" s="60"/>
      <c r="T653" s="60"/>
      <c r="U653" s="60"/>
      <c r="V653" s="60"/>
      <c r="W653" s="60"/>
    </row>
    <row r="654" spans="1:23" ht="13" x14ac:dyDescent="0.3">
      <c r="A654" s="58"/>
      <c r="B654" s="58"/>
      <c r="C654" s="58"/>
      <c r="D654" s="58"/>
      <c r="E654" s="58"/>
      <c r="F654" s="58"/>
      <c r="G654" s="58"/>
      <c r="H654" s="59"/>
      <c r="I654" s="59"/>
      <c r="J654" s="59"/>
      <c r="K654" s="59"/>
      <c r="L654" s="59"/>
      <c r="M654" s="60"/>
      <c r="N654" s="60"/>
      <c r="O654" s="60"/>
      <c r="P654" s="59"/>
      <c r="Q654" s="59"/>
      <c r="R654" s="60"/>
      <c r="S654" s="60"/>
      <c r="T654" s="60"/>
      <c r="U654" s="60"/>
      <c r="V654" s="60"/>
      <c r="W654" s="60"/>
    </row>
    <row r="655" spans="1:23" ht="13" x14ac:dyDescent="0.3">
      <c r="A655" s="58"/>
      <c r="B655" s="58"/>
      <c r="C655" s="58"/>
      <c r="D655" s="58"/>
      <c r="E655" s="58"/>
      <c r="F655" s="58"/>
      <c r="G655" s="58"/>
      <c r="H655" s="59"/>
      <c r="I655" s="59"/>
      <c r="J655" s="59"/>
      <c r="K655" s="59"/>
      <c r="L655" s="59"/>
      <c r="M655" s="60"/>
      <c r="N655" s="60"/>
      <c r="O655" s="60"/>
      <c r="P655" s="59"/>
      <c r="Q655" s="59"/>
      <c r="R655" s="60"/>
      <c r="S655" s="60"/>
      <c r="T655" s="60"/>
      <c r="U655" s="60"/>
      <c r="V655" s="60"/>
      <c r="W655" s="60"/>
    </row>
    <row r="656" spans="1:23" ht="13" x14ac:dyDescent="0.3">
      <c r="A656" s="58"/>
      <c r="B656" s="58"/>
      <c r="C656" s="58"/>
      <c r="D656" s="58"/>
      <c r="E656" s="58"/>
      <c r="F656" s="58"/>
      <c r="G656" s="58"/>
      <c r="H656" s="59"/>
      <c r="I656" s="59"/>
      <c r="J656" s="59"/>
      <c r="K656" s="59"/>
      <c r="L656" s="59"/>
      <c r="M656" s="60"/>
      <c r="N656" s="60"/>
      <c r="O656" s="60"/>
      <c r="P656" s="59"/>
      <c r="Q656" s="59"/>
      <c r="R656" s="60"/>
      <c r="S656" s="60"/>
      <c r="T656" s="60"/>
      <c r="U656" s="60"/>
      <c r="V656" s="60"/>
      <c r="W656" s="60"/>
    </row>
    <row r="657" spans="1:23" ht="13" x14ac:dyDescent="0.3">
      <c r="A657" s="58"/>
      <c r="B657" s="58"/>
      <c r="C657" s="58"/>
      <c r="D657" s="58"/>
      <c r="E657" s="58"/>
      <c r="F657" s="58"/>
      <c r="G657" s="58"/>
      <c r="H657" s="59"/>
      <c r="I657" s="59"/>
      <c r="J657" s="59"/>
      <c r="K657" s="59"/>
      <c r="L657" s="59"/>
      <c r="M657" s="60"/>
      <c r="N657" s="60"/>
      <c r="O657" s="60"/>
      <c r="P657" s="59"/>
      <c r="Q657" s="59"/>
      <c r="R657" s="60"/>
      <c r="S657" s="60"/>
      <c r="T657" s="60"/>
      <c r="U657" s="60"/>
      <c r="V657" s="60"/>
      <c r="W657" s="60"/>
    </row>
    <row r="658" spans="1:23" ht="13" x14ac:dyDescent="0.3">
      <c r="A658" s="58"/>
      <c r="B658" s="58"/>
      <c r="C658" s="58"/>
      <c r="D658" s="58"/>
      <c r="E658" s="58"/>
      <c r="F658" s="58"/>
      <c r="G658" s="58"/>
      <c r="H658" s="59"/>
      <c r="I658" s="59"/>
      <c r="J658" s="59"/>
      <c r="K658" s="59"/>
      <c r="L658" s="59"/>
      <c r="M658" s="60"/>
      <c r="N658" s="60"/>
      <c r="O658" s="60"/>
      <c r="P658" s="59"/>
      <c r="Q658" s="59"/>
      <c r="R658" s="60"/>
      <c r="S658" s="60"/>
      <c r="T658" s="60"/>
      <c r="U658" s="60"/>
      <c r="V658" s="60"/>
      <c r="W658" s="60"/>
    </row>
    <row r="659" spans="1:23" ht="13" x14ac:dyDescent="0.3">
      <c r="A659" s="58"/>
      <c r="B659" s="58"/>
      <c r="C659" s="58"/>
      <c r="D659" s="58"/>
      <c r="E659" s="58"/>
      <c r="F659" s="58"/>
      <c r="G659" s="58"/>
      <c r="H659" s="59"/>
      <c r="I659" s="59"/>
      <c r="J659" s="59"/>
      <c r="K659" s="59"/>
      <c r="L659" s="59"/>
      <c r="M659" s="60"/>
      <c r="N659" s="60"/>
      <c r="O659" s="60"/>
      <c r="P659" s="59"/>
      <c r="Q659" s="59"/>
      <c r="R659" s="60"/>
      <c r="S659" s="60"/>
      <c r="T659" s="60"/>
      <c r="U659" s="60"/>
      <c r="V659" s="60"/>
      <c r="W659" s="60"/>
    </row>
    <row r="660" spans="1:23" ht="13" x14ac:dyDescent="0.3">
      <c r="A660" s="58"/>
      <c r="B660" s="58"/>
      <c r="C660" s="58"/>
      <c r="D660" s="58"/>
      <c r="E660" s="58"/>
      <c r="F660" s="58"/>
      <c r="G660" s="58"/>
      <c r="H660" s="59"/>
      <c r="I660" s="59"/>
      <c r="J660" s="59"/>
      <c r="K660" s="59"/>
      <c r="L660" s="59"/>
      <c r="M660" s="60"/>
      <c r="N660" s="60"/>
      <c r="O660" s="60"/>
      <c r="P660" s="59"/>
      <c r="Q660" s="59"/>
      <c r="R660" s="60"/>
      <c r="S660" s="60"/>
      <c r="T660" s="60"/>
      <c r="U660" s="60"/>
      <c r="V660" s="60"/>
      <c r="W660" s="60"/>
    </row>
    <row r="661" spans="1:23" ht="13" x14ac:dyDescent="0.3">
      <c r="A661" s="58"/>
      <c r="B661" s="58"/>
      <c r="C661" s="58"/>
      <c r="D661" s="58"/>
      <c r="E661" s="58"/>
      <c r="F661" s="58"/>
      <c r="G661" s="58"/>
      <c r="H661" s="59"/>
      <c r="I661" s="59"/>
      <c r="J661" s="59"/>
      <c r="K661" s="59"/>
      <c r="L661" s="59"/>
      <c r="M661" s="60"/>
      <c r="N661" s="60"/>
      <c r="O661" s="60"/>
      <c r="P661" s="59"/>
      <c r="Q661" s="59"/>
      <c r="R661" s="60"/>
      <c r="S661" s="60"/>
      <c r="T661" s="60"/>
      <c r="U661" s="60"/>
      <c r="V661" s="60"/>
      <c r="W661" s="60"/>
    </row>
    <row r="662" spans="1:23" ht="13" x14ac:dyDescent="0.3">
      <c r="A662" s="58"/>
      <c r="B662" s="58"/>
      <c r="C662" s="58"/>
      <c r="D662" s="58"/>
      <c r="E662" s="58"/>
      <c r="F662" s="58"/>
      <c r="G662" s="58"/>
      <c r="H662" s="59"/>
      <c r="I662" s="59"/>
      <c r="J662" s="59"/>
      <c r="K662" s="59"/>
      <c r="L662" s="59"/>
      <c r="M662" s="60"/>
      <c r="N662" s="60"/>
      <c r="O662" s="60"/>
      <c r="P662" s="59"/>
      <c r="Q662" s="59"/>
      <c r="R662" s="60"/>
      <c r="S662" s="60"/>
      <c r="T662" s="60"/>
      <c r="U662" s="60"/>
      <c r="V662" s="60"/>
      <c r="W662" s="60"/>
    </row>
    <row r="663" spans="1:23" ht="13" x14ac:dyDescent="0.3">
      <c r="A663" s="58"/>
      <c r="B663" s="58"/>
      <c r="C663" s="58"/>
      <c r="D663" s="58"/>
      <c r="E663" s="58"/>
      <c r="F663" s="58"/>
      <c r="G663" s="58"/>
      <c r="H663" s="59"/>
      <c r="I663" s="59"/>
      <c r="J663" s="59"/>
      <c r="K663" s="59"/>
      <c r="L663" s="59"/>
      <c r="M663" s="60"/>
      <c r="N663" s="60"/>
      <c r="O663" s="60"/>
      <c r="P663" s="59"/>
      <c r="Q663" s="59"/>
      <c r="R663" s="60"/>
      <c r="S663" s="60"/>
      <c r="T663" s="60"/>
      <c r="U663" s="60"/>
      <c r="V663" s="60"/>
      <c r="W663" s="60"/>
    </row>
    <row r="664" spans="1:23" ht="13" x14ac:dyDescent="0.3">
      <c r="A664" s="58"/>
      <c r="B664" s="58"/>
      <c r="C664" s="58"/>
      <c r="D664" s="58"/>
      <c r="E664" s="58"/>
      <c r="F664" s="58"/>
      <c r="G664" s="58"/>
      <c r="H664" s="59"/>
      <c r="I664" s="59"/>
      <c r="J664" s="59"/>
      <c r="K664" s="59"/>
      <c r="L664" s="59"/>
      <c r="M664" s="60"/>
      <c r="N664" s="60"/>
      <c r="O664" s="60"/>
      <c r="P664" s="59"/>
      <c r="Q664" s="59"/>
      <c r="R664" s="60"/>
      <c r="S664" s="60"/>
      <c r="T664" s="60"/>
      <c r="U664" s="60"/>
      <c r="V664" s="60"/>
      <c r="W664" s="60"/>
    </row>
    <row r="665" spans="1:23" ht="13" x14ac:dyDescent="0.3">
      <c r="A665" s="58"/>
      <c r="B665" s="58"/>
      <c r="C665" s="58"/>
      <c r="D665" s="58"/>
      <c r="E665" s="58"/>
      <c r="F665" s="58"/>
      <c r="G665" s="58"/>
      <c r="H665" s="59"/>
      <c r="I665" s="59"/>
      <c r="J665" s="59"/>
      <c r="K665" s="59"/>
      <c r="L665" s="59"/>
      <c r="M665" s="60"/>
      <c r="N665" s="60"/>
      <c r="O665" s="60"/>
      <c r="P665" s="59"/>
      <c r="Q665" s="59"/>
      <c r="R665" s="60"/>
      <c r="S665" s="60"/>
      <c r="T665" s="60"/>
      <c r="U665" s="60"/>
      <c r="V665" s="60"/>
      <c r="W665" s="60"/>
    </row>
    <row r="666" spans="1:23" ht="13" x14ac:dyDescent="0.3">
      <c r="A666" s="58"/>
      <c r="B666" s="58"/>
      <c r="C666" s="58"/>
      <c r="D666" s="58"/>
      <c r="E666" s="58"/>
      <c r="F666" s="58"/>
      <c r="G666" s="58"/>
      <c r="H666" s="59"/>
      <c r="I666" s="59"/>
      <c r="J666" s="59"/>
      <c r="K666" s="59"/>
      <c r="L666" s="59"/>
      <c r="M666" s="60"/>
      <c r="N666" s="60"/>
      <c r="O666" s="60"/>
      <c r="P666" s="59"/>
      <c r="Q666" s="59"/>
      <c r="R666" s="60"/>
      <c r="S666" s="60"/>
      <c r="T666" s="60"/>
      <c r="U666" s="60"/>
      <c r="V666" s="60"/>
      <c r="W666" s="60"/>
    </row>
    <row r="667" spans="1:23" ht="13" x14ac:dyDescent="0.3">
      <c r="A667" s="58"/>
      <c r="B667" s="58"/>
      <c r="C667" s="58"/>
      <c r="D667" s="58"/>
      <c r="E667" s="58"/>
      <c r="F667" s="58"/>
      <c r="G667" s="58"/>
      <c r="H667" s="59"/>
      <c r="I667" s="59"/>
      <c r="J667" s="59"/>
      <c r="K667" s="59"/>
      <c r="L667" s="59"/>
      <c r="M667" s="60"/>
      <c r="N667" s="60"/>
      <c r="O667" s="60"/>
      <c r="P667" s="59"/>
      <c r="Q667" s="59"/>
      <c r="R667" s="60"/>
      <c r="S667" s="60"/>
      <c r="T667" s="60"/>
      <c r="U667" s="60"/>
      <c r="V667" s="60"/>
      <c r="W667" s="60"/>
    </row>
    <row r="668" spans="1:23" ht="13" x14ac:dyDescent="0.3">
      <c r="A668" s="58"/>
      <c r="B668" s="58"/>
      <c r="C668" s="58"/>
      <c r="D668" s="58"/>
      <c r="E668" s="58"/>
      <c r="F668" s="58"/>
      <c r="G668" s="58"/>
      <c r="H668" s="59"/>
      <c r="I668" s="59"/>
      <c r="J668" s="59"/>
      <c r="K668" s="59"/>
      <c r="L668" s="59"/>
      <c r="M668" s="60"/>
      <c r="N668" s="60"/>
      <c r="O668" s="60"/>
      <c r="P668" s="59"/>
      <c r="Q668" s="59"/>
      <c r="R668" s="60"/>
      <c r="S668" s="60"/>
      <c r="T668" s="60"/>
      <c r="U668" s="60"/>
      <c r="V668" s="60"/>
      <c r="W668" s="60"/>
    </row>
    <row r="669" spans="1:23" ht="13" x14ac:dyDescent="0.3">
      <c r="A669" s="58"/>
      <c r="B669" s="58"/>
      <c r="C669" s="58"/>
      <c r="D669" s="58"/>
      <c r="E669" s="58"/>
      <c r="F669" s="58"/>
      <c r="G669" s="58"/>
      <c r="H669" s="59"/>
      <c r="I669" s="59"/>
      <c r="J669" s="59"/>
      <c r="K669" s="59"/>
      <c r="L669" s="59"/>
      <c r="M669" s="60"/>
      <c r="N669" s="60"/>
      <c r="O669" s="60"/>
      <c r="P669" s="59"/>
      <c r="Q669" s="59"/>
      <c r="R669" s="60"/>
      <c r="S669" s="60"/>
      <c r="T669" s="60"/>
      <c r="U669" s="60"/>
      <c r="V669" s="60"/>
      <c r="W669" s="60"/>
    </row>
    <row r="670" spans="1:23" ht="13" x14ac:dyDescent="0.3">
      <c r="A670" s="58"/>
      <c r="B670" s="58"/>
      <c r="C670" s="58"/>
      <c r="D670" s="58"/>
      <c r="E670" s="58"/>
      <c r="F670" s="58"/>
      <c r="G670" s="58"/>
      <c r="H670" s="59"/>
      <c r="I670" s="59"/>
      <c r="J670" s="59"/>
      <c r="K670" s="59"/>
      <c r="L670" s="59"/>
      <c r="M670" s="60"/>
      <c r="N670" s="60"/>
      <c r="O670" s="60"/>
      <c r="P670" s="59"/>
      <c r="Q670" s="59"/>
      <c r="R670" s="60"/>
      <c r="S670" s="60"/>
      <c r="T670" s="60"/>
      <c r="U670" s="60"/>
      <c r="V670" s="60"/>
      <c r="W670" s="60"/>
    </row>
    <row r="671" spans="1:23" ht="13" x14ac:dyDescent="0.3">
      <c r="A671" s="58"/>
      <c r="B671" s="58"/>
      <c r="C671" s="58"/>
      <c r="D671" s="58"/>
      <c r="E671" s="58"/>
      <c r="F671" s="58"/>
      <c r="G671" s="58"/>
      <c r="H671" s="59"/>
      <c r="I671" s="59"/>
      <c r="J671" s="59"/>
      <c r="K671" s="59"/>
      <c r="L671" s="59"/>
      <c r="M671" s="60"/>
      <c r="N671" s="60"/>
      <c r="O671" s="60"/>
      <c r="P671" s="59"/>
      <c r="Q671" s="59"/>
      <c r="R671" s="60"/>
      <c r="S671" s="60"/>
      <c r="T671" s="60"/>
      <c r="U671" s="60"/>
      <c r="V671" s="60"/>
      <c r="W671" s="60"/>
    </row>
    <row r="672" spans="1:23" ht="13" x14ac:dyDescent="0.3">
      <c r="A672" s="58"/>
      <c r="B672" s="58"/>
      <c r="C672" s="58"/>
      <c r="D672" s="58"/>
      <c r="E672" s="58"/>
      <c r="F672" s="58"/>
      <c r="G672" s="58"/>
      <c r="H672" s="59"/>
      <c r="I672" s="59"/>
      <c r="J672" s="59"/>
      <c r="K672" s="59"/>
      <c r="L672" s="59"/>
      <c r="M672" s="60"/>
      <c r="N672" s="60"/>
      <c r="O672" s="60"/>
      <c r="P672" s="59"/>
      <c r="Q672" s="59"/>
      <c r="R672" s="60"/>
      <c r="S672" s="60"/>
      <c r="T672" s="60"/>
      <c r="U672" s="60"/>
      <c r="V672" s="60"/>
      <c r="W672" s="60"/>
    </row>
    <row r="673" spans="1:23" ht="13" x14ac:dyDescent="0.3">
      <c r="A673" s="58"/>
      <c r="B673" s="58"/>
      <c r="C673" s="58"/>
      <c r="D673" s="58"/>
      <c r="E673" s="58"/>
      <c r="F673" s="58"/>
      <c r="G673" s="58"/>
      <c r="H673" s="59"/>
      <c r="I673" s="59"/>
      <c r="J673" s="59"/>
      <c r="K673" s="59"/>
      <c r="L673" s="59"/>
      <c r="M673" s="60"/>
      <c r="N673" s="60"/>
      <c r="O673" s="60"/>
      <c r="P673" s="59"/>
      <c r="Q673" s="59"/>
      <c r="R673" s="60"/>
      <c r="S673" s="60"/>
      <c r="T673" s="60"/>
      <c r="U673" s="60"/>
      <c r="V673" s="60"/>
      <c r="W673" s="60"/>
    </row>
    <row r="674" spans="1:23" ht="13" x14ac:dyDescent="0.3">
      <c r="A674" s="58"/>
      <c r="B674" s="58"/>
      <c r="C674" s="58"/>
      <c r="D674" s="58"/>
      <c r="E674" s="58"/>
      <c r="F674" s="58"/>
      <c r="G674" s="58"/>
      <c r="H674" s="59"/>
      <c r="I674" s="59"/>
      <c r="J674" s="59"/>
      <c r="K674" s="59"/>
      <c r="L674" s="59"/>
      <c r="M674" s="60"/>
      <c r="N674" s="60"/>
      <c r="O674" s="60"/>
      <c r="P674" s="59"/>
      <c r="Q674" s="59"/>
      <c r="R674" s="60"/>
      <c r="S674" s="60"/>
      <c r="T674" s="60"/>
      <c r="U674" s="60"/>
      <c r="V674" s="60"/>
      <c r="W674" s="60"/>
    </row>
    <row r="675" spans="1:23" ht="13" x14ac:dyDescent="0.3">
      <c r="A675" s="58"/>
      <c r="B675" s="58"/>
      <c r="C675" s="58"/>
      <c r="D675" s="58"/>
      <c r="E675" s="58"/>
      <c r="F675" s="58"/>
      <c r="G675" s="58"/>
      <c r="H675" s="59"/>
      <c r="I675" s="59"/>
      <c r="J675" s="59"/>
      <c r="K675" s="59"/>
      <c r="L675" s="59"/>
      <c r="M675" s="60"/>
      <c r="N675" s="60"/>
      <c r="O675" s="60"/>
      <c r="P675" s="59"/>
      <c r="Q675" s="59"/>
      <c r="R675" s="60"/>
      <c r="S675" s="60"/>
      <c r="T675" s="60"/>
      <c r="U675" s="60"/>
      <c r="V675" s="60"/>
      <c r="W675" s="60"/>
    </row>
    <row r="676" spans="1:23" ht="13" x14ac:dyDescent="0.3">
      <c r="A676" s="58"/>
      <c r="B676" s="58"/>
      <c r="C676" s="58"/>
      <c r="D676" s="58"/>
      <c r="E676" s="58"/>
      <c r="F676" s="58"/>
      <c r="G676" s="58"/>
      <c r="H676" s="59"/>
      <c r="I676" s="59"/>
      <c r="J676" s="59"/>
      <c r="K676" s="59"/>
      <c r="L676" s="59"/>
      <c r="M676" s="60"/>
      <c r="N676" s="60"/>
      <c r="O676" s="60"/>
      <c r="P676" s="59"/>
      <c r="Q676" s="59"/>
      <c r="R676" s="60"/>
      <c r="S676" s="60"/>
      <c r="T676" s="60"/>
      <c r="U676" s="60"/>
      <c r="V676" s="60"/>
      <c r="W676" s="60"/>
    </row>
    <row r="677" spans="1:23" ht="13" x14ac:dyDescent="0.3">
      <c r="A677" s="58"/>
      <c r="B677" s="58"/>
      <c r="C677" s="58"/>
      <c r="D677" s="58"/>
      <c r="E677" s="58"/>
      <c r="F677" s="58"/>
      <c r="G677" s="58"/>
      <c r="H677" s="59"/>
      <c r="I677" s="59"/>
      <c r="J677" s="59"/>
      <c r="K677" s="59"/>
      <c r="L677" s="59"/>
      <c r="M677" s="60"/>
      <c r="N677" s="60"/>
      <c r="O677" s="60"/>
      <c r="P677" s="59"/>
      <c r="Q677" s="59"/>
      <c r="R677" s="60"/>
      <c r="S677" s="60"/>
      <c r="T677" s="60"/>
      <c r="U677" s="60"/>
      <c r="V677" s="60"/>
      <c r="W677" s="60"/>
    </row>
    <row r="678" spans="1:23" ht="13" x14ac:dyDescent="0.3">
      <c r="A678" s="58"/>
      <c r="B678" s="58"/>
      <c r="C678" s="58"/>
      <c r="D678" s="58"/>
      <c r="E678" s="58"/>
      <c r="F678" s="58"/>
      <c r="G678" s="58"/>
      <c r="H678" s="59"/>
      <c r="I678" s="59"/>
      <c r="J678" s="59"/>
      <c r="K678" s="59"/>
      <c r="L678" s="59"/>
      <c r="M678" s="60"/>
      <c r="N678" s="60"/>
      <c r="O678" s="60"/>
      <c r="P678" s="59"/>
      <c r="Q678" s="59"/>
      <c r="R678" s="60"/>
      <c r="S678" s="60"/>
      <c r="T678" s="60"/>
      <c r="U678" s="60"/>
      <c r="V678" s="60"/>
      <c r="W678" s="60"/>
    </row>
    <row r="679" spans="1:23" ht="13" x14ac:dyDescent="0.3">
      <c r="A679" s="58"/>
      <c r="B679" s="58"/>
      <c r="C679" s="58"/>
      <c r="D679" s="58"/>
      <c r="E679" s="58"/>
      <c r="F679" s="58"/>
      <c r="G679" s="58"/>
      <c r="H679" s="59"/>
      <c r="I679" s="59"/>
      <c r="J679" s="59"/>
      <c r="K679" s="59"/>
      <c r="L679" s="59"/>
      <c r="M679" s="60"/>
      <c r="N679" s="60"/>
      <c r="O679" s="60"/>
      <c r="P679" s="59"/>
      <c r="Q679" s="59"/>
      <c r="R679" s="60"/>
      <c r="S679" s="60"/>
      <c r="T679" s="60"/>
      <c r="U679" s="60"/>
      <c r="V679" s="60"/>
      <c r="W679" s="60"/>
    </row>
    <row r="680" spans="1:23" ht="13" x14ac:dyDescent="0.3">
      <c r="A680" s="58"/>
      <c r="B680" s="58"/>
      <c r="C680" s="58"/>
      <c r="D680" s="58"/>
      <c r="E680" s="58"/>
      <c r="F680" s="58"/>
      <c r="G680" s="58"/>
      <c r="H680" s="59"/>
      <c r="I680" s="59"/>
      <c r="J680" s="59"/>
      <c r="K680" s="59"/>
      <c r="L680" s="59"/>
      <c r="M680" s="60"/>
      <c r="N680" s="60"/>
      <c r="O680" s="60"/>
      <c r="P680" s="59"/>
      <c r="Q680" s="59"/>
      <c r="R680" s="60"/>
      <c r="S680" s="60"/>
      <c r="T680" s="60"/>
      <c r="U680" s="60"/>
      <c r="V680" s="60"/>
      <c r="W680" s="60"/>
    </row>
    <row r="681" spans="1:23" ht="13" x14ac:dyDescent="0.3">
      <c r="A681" s="58"/>
      <c r="B681" s="58"/>
      <c r="C681" s="58"/>
      <c r="D681" s="58"/>
      <c r="E681" s="58"/>
      <c r="F681" s="58"/>
      <c r="G681" s="58"/>
      <c r="H681" s="59"/>
      <c r="I681" s="59"/>
      <c r="J681" s="59"/>
      <c r="K681" s="59"/>
      <c r="L681" s="59"/>
      <c r="M681" s="60"/>
      <c r="N681" s="60"/>
      <c r="O681" s="60"/>
      <c r="P681" s="59"/>
      <c r="Q681" s="59"/>
      <c r="R681" s="60"/>
      <c r="S681" s="60"/>
      <c r="T681" s="60"/>
      <c r="U681" s="60"/>
      <c r="V681" s="60"/>
      <c r="W681" s="60"/>
    </row>
    <row r="682" spans="1:23" ht="13" x14ac:dyDescent="0.3">
      <c r="A682" s="58"/>
      <c r="B682" s="58"/>
      <c r="C682" s="58"/>
      <c r="D682" s="58"/>
      <c r="E682" s="58"/>
      <c r="F682" s="58"/>
      <c r="G682" s="58"/>
      <c r="H682" s="59"/>
      <c r="I682" s="59"/>
      <c r="J682" s="59"/>
      <c r="K682" s="59"/>
      <c r="L682" s="59"/>
      <c r="M682" s="60"/>
      <c r="N682" s="60"/>
      <c r="O682" s="60"/>
      <c r="P682" s="59"/>
      <c r="Q682" s="59"/>
      <c r="R682" s="60"/>
      <c r="S682" s="60"/>
      <c r="T682" s="60"/>
      <c r="U682" s="60"/>
      <c r="V682" s="60"/>
      <c r="W682" s="60"/>
    </row>
    <row r="683" spans="1:23" ht="13" x14ac:dyDescent="0.3">
      <c r="A683" s="58"/>
      <c r="B683" s="58"/>
      <c r="C683" s="58"/>
      <c r="D683" s="58"/>
      <c r="E683" s="58"/>
      <c r="F683" s="58"/>
      <c r="G683" s="58"/>
      <c r="H683" s="59"/>
      <c r="I683" s="59"/>
      <c r="J683" s="59"/>
      <c r="K683" s="59"/>
      <c r="L683" s="59"/>
      <c r="M683" s="60"/>
      <c r="N683" s="60"/>
      <c r="O683" s="60"/>
      <c r="P683" s="59"/>
      <c r="Q683" s="59"/>
      <c r="R683" s="60"/>
      <c r="S683" s="60"/>
      <c r="T683" s="60"/>
      <c r="U683" s="60"/>
      <c r="V683" s="60"/>
      <c r="W683" s="60"/>
    </row>
    <row r="684" spans="1:23" ht="13" x14ac:dyDescent="0.3">
      <c r="A684" s="58"/>
      <c r="B684" s="58"/>
      <c r="C684" s="58"/>
      <c r="D684" s="58"/>
      <c r="E684" s="58"/>
      <c r="F684" s="58"/>
      <c r="G684" s="58"/>
      <c r="H684" s="59"/>
      <c r="I684" s="59"/>
      <c r="J684" s="59"/>
      <c r="K684" s="59"/>
      <c r="L684" s="59"/>
      <c r="M684" s="60"/>
      <c r="N684" s="60"/>
      <c r="O684" s="60"/>
      <c r="P684" s="59"/>
      <c r="Q684" s="59"/>
      <c r="R684" s="60"/>
      <c r="S684" s="60"/>
      <c r="T684" s="60"/>
      <c r="U684" s="60"/>
      <c r="V684" s="60"/>
      <c r="W684" s="60"/>
    </row>
    <row r="685" spans="1:23" ht="13" x14ac:dyDescent="0.3">
      <c r="A685" s="58"/>
      <c r="B685" s="58"/>
      <c r="C685" s="58"/>
      <c r="D685" s="58"/>
      <c r="E685" s="58"/>
      <c r="F685" s="58"/>
      <c r="G685" s="58"/>
      <c r="H685" s="59"/>
      <c r="I685" s="59"/>
      <c r="J685" s="59"/>
      <c r="K685" s="59"/>
      <c r="L685" s="59"/>
      <c r="M685" s="60"/>
      <c r="N685" s="60"/>
      <c r="O685" s="60"/>
      <c r="P685" s="59"/>
      <c r="Q685" s="59"/>
      <c r="R685" s="60"/>
      <c r="S685" s="60"/>
      <c r="T685" s="60"/>
      <c r="U685" s="60"/>
      <c r="V685" s="60"/>
      <c r="W685" s="60"/>
    </row>
    <row r="686" spans="1:23" ht="13" x14ac:dyDescent="0.3">
      <c r="A686" s="58"/>
      <c r="B686" s="58"/>
      <c r="C686" s="58"/>
      <c r="D686" s="58"/>
      <c r="E686" s="58"/>
      <c r="F686" s="58"/>
      <c r="G686" s="58"/>
      <c r="H686" s="59"/>
      <c r="I686" s="59"/>
      <c r="J686" s="59"/>
      <c r="K686" s="59"/>
      <c r="L686" s="59"/>
      <c r="M686" s="60"/>
      <c r="N686" s="60"/>
      <c r="O686" s="60"/>
      <c r="P686" s="59"/>
      <c r="Q686" s="59"/>
      <c r="R686" s="60"/>
      <c r="S686" s="60"/>
      <c r="T686" s="60"/>
      <c r="U686" s="60"/>
      <c r="V686" s="60"/>
      <c r="W686" s="60"/>
    </row>
    <row r="687" spans="1:23" ht="13" x14ac:dyDescent="0.3">
      <c r="A687" s="58"/>
      <c r="B687" s="58"/>
      <c r="C687" s="58"/>
      <c r="D687" s="58"/>
      <c r="E687" s="58"/>
      <c r="F687" s="58"/>
      <c r="G687" s="58"/>
      <c r="H687" s="59"/>
      <c r="I687" s="59"/>
      <c r="J687" s="59"/>
      <c r="K687" s="59"/>
      <c r="L687" s="59"/>
      <c r="M687" s="60"/>
      <c r="N687" s="60"/>
      <c r="O687" s="60"/>
      <c r="P687" s="59"/>
      <c r="Q687" s="59"/>
      <c r="R687" s="60"/>
      <c r="S687" s="60"/>
      <c r="T687" s="60"/>
      <c r="U687" s="60"/>
      <c r="V687" s="60"/>
      <c r="W687" s="60"/>
    </row>
    <row r="688" spans="1:23" ht="13" x14ac:dyDescent="0.3">
      <c r="A688" s="58"/>
      <c r="B688" s="58"/>
      <c r="C688" s="58"/>
      <c r="D688" s="58"/>
      <c r="E688" s="58"/>
      <c r="F688" s="58"/>
      <c r="G688" s="58"/>
      <c r="H688" s="59"/>
      <c r="I688" s="59"/>
      <c r="J688" s="59"/>
      <c r="K688" s="59"/>
      <c r="L688" s="59"/>
      <c r="M688" s="60"/>
      <c r="N688" s="60"/>
      <c r="O688" s="60"/>
      <c r="P688" s="59"/>
      <c r="Q688" s="59"/>
      <c r="R688" s="60"/>
      <c r="S688" s="60"/>
      <c r="T688" s="60"/>
      <c r="U688" s="60"/>
      <c r="V688" s="60"/>
      <c r="W688" s="60"/>
    </row>
    <row r="689" spans="1:23" ht="13" x14ac:dyDescent="0.3">
      <c r="A689" s="58"/>
      <c r="B689" s="58"/>
      <c r="C689" s="58"/>
      <c r="D689" s="58"/>
      <c r="E689" s="58"/>
      <c r="F689" s="58"/>
      <c r="G689" s="58"/>
      <c r="H689" s="59"/>
      <c r="I689" s="59"/>
      <c r="J689" s="59"/>
      <c r="K689" s="59"/>
      <c r="L689" s="59"/>
      <c r="M689" s="60"/>
      <c r="N689" s="60"/>
      <c r="O689" s="60"/>
      <c r="P689" s="59"/>
      <c r="Q689" s="59"/>
      <c r="R689" s="60"/>
      <c r="S689" s="60"/>
      <c r="T689" s="60"/>
      <c r="U689" s="60"/>
      <c r="V689" s="60"/>
      <c r="W689" s="60"/>
    </row>
    <row r="690" spans="1:23" ht="13" x14ac:dyDescent="0.3">
      <c r="A690" s="58"/>
      <c r="B690" s="58"/>
      <c r="C690" s="58"/>
      <c r="D690" s="58"/>
      <c r="E690" s="58"/>
      <c r="F690" s="58"/>
      <c r="G690" s="58"/>
      <c r="H690" s="59"/>
      <c r="I690" s="59"/>
      <c r="J690" s="59"/>
      <c r="K690" s="59"/>
      <c r="L690" s="59"/>
      <c r="M690" s="60"/>
      <c r="N690" s="60"/>
      <c r="O690" s="60"/>
      <c r="P690" s="59"/>
      <c r="Q690" s="59"/>
      <c r="R690" s="60"/>
      <c r="S690" s="60"/>
      <c r="T690" s="60"/>
      <c r="U690" s="60"/>
      <c r="V690" s="60"/>
      <c r="W690" s="60"/>
    </row>
    <row r="691" spans="1:23" ht="13" x14ac:dyDescent="0.3">
      <c r="A691" s="58"/>
      <c r="B691" s="58"/>
      <c r="C691" s="58"/>
      <c r="D691" s="58"/>
      <c r="E691" s="58"/>
      <c r="F691" s="58"/>
      <c r="G691" s="58"/>
      <c r="H691" s="59"/>
      <c r="I691" s="59"/>
      <c r="J691" s="59"/>
      <c r="K691" s="59"/>
      <c r="L691" s="59"/>
      <c r="M691" s="60"/>
      <c r="N691" s="60"/>
      <c r="O691" s="60"/>
      <c r="P691" s="59"/>
      <c r="Q691" s="59"/>
      <c r="R691" s="60"/>
      <c r="S691" s="60"/>
      <c r="T691" s="60"/>
      <c r="U691" s="60"/>
      <c r="V691" s="60"/>
      <c r="W691" s="60"/>
    </row>
    <row r="692" spans="1:23" ht="13" x14ac:dyDescent="0.3">
      <c r="A692" s="58"/>
      <c r="B692" s="58"/>
      <c r="C692" s="58"/>
      <c r="D692" s="58"/>
      <c r="E692" s="58"/>
      <c r="F692" s="58"/>
      <c r="G692" s="58"/>
      <c r="H692" s="59"/>
      <c r="I692" s="59"/>
      <c r="J692" s="59"/>
      <c r="K692" s="59"/>
      <c r="L692" s="59"/>
      <c r="M692" s="60"/>
      <c r="N692" s="60"/>
      <c r="O692" s="60"/>
      <c r="P692" s="59"/>
      <c r="Q692" s="59"/>
      <c r="R692" s="60"/>
      <c r="S692" s="60"/>
      <c r="T692" s="60"/>
      <c r="U692" s="60"/>
      <c r="V692" s="60"/>
      <c r="W692" s="60"/>
    </row>
    <row r="693" spans="1:23" ht="13" x14ac:dyDescent="0.3">
      <c r="A693" s="58"/>
      <c r="B693" s="58"/>
      <c r="C693" s="58"/>
      <c r="D693" s="58"/>
      <c r="E693" s="58"/>
      <c r="F693" s="58"/>
      <c r="G693" s="58"/>
      <c r="H693" s="59"/>
      <c r="I693" s="59"/>
      <c r="J693" s="59"/>
      <c r="K693" s="59"/>
      <c r="L693" s="59"/>
      <c r="M693" s="60"/>
      <c r="N693" s="60"/>
      <c r="O693" s="60"/>
      <c r="P693" s="59"/>
      <c r="Q693" s="59"/>
      <c r="R693" s="60"/>
      <c r="S693" s="60"/>
      <c r="T693" s="60"/>
      <c r="U693" s="60"/>
      <c r="V693" s="60"/>
      <c r="W693" s="60"/>
    </row>
    <row r="694" spans="1:23" ht="13" x14ac:dyDescent="0.3">
      <c r="A694" s="58"/>
      <c r="B694" s="58"/>
      <c r="C694" s="58"/>
      <c r="D694" s="58"/>
      <c r="E694" s="58"/>
      <c r="F694" s="58"/>
      <c r="G694" s="58"/>
      <c r="H694" s="59"/>
      <c r="I694" s="59"/>
      <c r="J694" s="59"/>
      <c r="K694" s="59"/>
      <c r="L694" s="59"/>
      <c r="M694" s="60"/>
      <c r="N694" s="60"/>
      <c r="O694" s="60"/>
      <c r="P694" s="59"/>
      <c r="Q694" s="59"/>
      <c r="R694" s="60"/>
      <c r="S694" s="60"/>
      <c r="T694" s="60"/>
      <c r="U694" s="60"/>
      <c r="V694" s="60"/>
      <c r="W694" s="60"/>
    </row>
    <row r="695" spans="1:23" ht="13" x14ac:dyDescent="0.3">
      <c r="A695" s="58"/>
      <c r="B695" s="58"/>
      <c r="C695" s="58"/>
      <c r="D695" s="58"/>
      <c r="E695" s="58"/>
      <c r="F695" s="58"/>
      <c r="G695" s="58"/>
      <c r="H695" s="59"/>
      <c r="I695" s="59"/>
      <c r="J695" s="59"/>
      <c r="K695" s="59"/>
      <c r="L695" s="59"/>
      <c r="M695" s="60"/>
      <c r="N695" s="60"/>
      <c r="O695" s="60"/>
      <c r="P695" s="59"/>
      <c r="Q695" s="59"/>
      <c r="R695" s="60"/>
      <c r="S695" s="60"/>
      <c r="T695" s="60"/>
      <c r="U695" s="60"/>
      <c r="V695" s="60"/>
      <c r="W695" s="60"/>
    </row>
    <row r="696" spans="1:23" ht="13" x14ac:dyDescent="0.3">
      <c r="A696" s="58"/>
      <c r="B696" s="58"/>
      <c r="C696" s="58"/>
      <c r="D696" s="58"/>
      <c r="E696" s="58"/>
      <c r="F696" s="58"/>
      <c r="G696" s="58"/>
      <c r="H696" s="59"/>
      <c r="I696" s="59"/>
      <c r="J696" s="59"/>
      <c r="K696" s="59"/>
      <c r="L696" s="59"/>
      <c r="M696" s="60"/>
      <c r="N696" s="60"/>
      <c r="O696" s="60"/>
      <c r="P696" s="59"/>
      <c r="Q696" s="59"/>
      <c r="R696" s="60"/>
      <c r="S696" s="60"/>
      <c r="T696" s="60"/>
      <c r="U696" s="60"/>
      <c r="V696" s="60"/>
      <c r="W696" s="60"/>
    </row>
    <row r="697" spans="1:23" ht="13" x14ac:dyDescent="0.3">
      <c r="A697" s="58"/>
      <c r="B697" s="58"/>
      <c r="C697" s="58"/>
      <c r="D697" s="58"/>
      <c r="E697" s="58"/>
      <c r="F697" s="58"/>
      <c r="G697" s="58"/>
      <c r="H697" s="59"/>
      <c r="I697" s="59"/>
      <c r="J697" s="59"/>
      <c r="K697" s="59"/>
      <c r="L697" s="59"/>
      <c r="M697" s="60"/>
      <c r="N697" s="60"/>
      <c r="O697" s="60"/>
      <c r="P697" s="59"/>
      <c r="Q697" s="59"/>
      <c r="R697" s="60"/>
      <c r="S697" s="60"/>
      <c r="T697" s="60"/>
      <c r="U697" s="60"/>
      <c r="V697" s="60"/>
      <c r="W697" s="60"/>
    </row>
    <row r="698" spans="1:23" ht="13" x14ac:dyDescent="0.3">
      <c r="A698" s="58"/>
      <c r="B698" s="58"/>
      <c r="C698" s="58"/>
      <c r="D698" s="58"/>
      <c r="E698" s="58"/>
      <c r="F698" s="58"/>
      <c r="G698" s="58"/>
      <c r="H698" s="59"/>
      <c r="I698" s="59"/>
      <c r="J698" s="59"/>
      <c r="K698" s="59"/>
      <c r="L698" s="59"/>
      <c r="M698" s="60"/>
      <c r="N698" s="60"/>
      <c r="O698" s="60"/>
      <c r="P698" s="59"/>
      <c r="Q698" s="59"/>
      <c r="R698" s="60"/>
      <c r="S698" s="60"/>
      <c r="T698" s="60"/>
      <c r="U698" s="60"/>
      <c r="V698" s="60"/>
      <c r="W698" s="60"/>
    </row>
    <row r="699" spans="1:23" ht="13" x14ac:dyDescent="0.3">
      <c r="A699" s="58"/>
      <c r="B699" s="58"/>
      <c r="C699" s="58"/>
      <c r="D699" s="58"/>
      <c r="E699" s="58"/>
      <c r="F699" s="58"/>
      <c r="G699" s="58"/>
      <c r="H699" s="59"/>
      <c r="I699" s="59"/>
      <c r="J699" s="59"/>
      <c r="K699" s="59"/>
      <c r="L699" s="59"/>
      <c r="M699" s="60"/>
      <c r="N699" s="60"/>
      <c r="O699" s="60"/>
      <c r="P699" s="59"/>
      <c r="Q699" s="59"/>
      <c r="R699" s="60"/>
      <c r="S699" s="60"/>
      <c r="T699" s="60"/>
      <c r="U699" s="60"/>
      <c r="V699" s="60"/>
      <c r="W699" s="60"/>
    </row>
    <row r="700" spans="1:23" ht="13" x14ac:dyDescent="0.3">
      <c r="A700" s="58"/>
      <c r="B700" s="58"/>
      <c r="C700" s="58"/>
      <c r="D700" s="58"/>
      <c r="E700" s="58"/>
      <c r="F700" s="58"/>
      <c r="G700" s="58"/>
      <c r="H700" s="59"/>
      <c r="I700" s="59"/>
      <c r="J700" s="59"/>
      <c r="K700" s="59"/>
      <c r="L700" s="59"/>
      <c r="M700" s="60"/>
      <c r="N700" s="60"/>
      <c r="O700" s="60"/>
      <c r="P700" s="59"/>
      <c r="Q700" s="59"/>
      <c r="R700" s="60"/>
      <c r="S700" s="60"/>
      <c r="T700" s="60"/>
      <c r="U700" s="60"/>
      <c r="V700" s="60"/>
      <c r="W700" s="60"/>
    </row>
    <row r="701" spans="1:23" ht="13" x14ac:dyDescent="0.3">
      <c r="A701" s="58"/>
      <c r="B701" s="58"/>
      <c r="C701" s="58"/>
      <c r="D701" s="58"/>
      <c r="E701" s="58"/>
      <c r="F701" s="58"/>
      <c r="G701" s="58"/>
      <c r="H701" s="59"/>
      <c r="I701" s="59"/>
      <c r="J701" s="59"/>
      <c r="K701" s="59"/>
      <c r="L701" s="59"/>
      <c r="M701" s="60"/>
      <c r="N701" s="60"/>
      <c r="O701" s="60"/>
      <c r="P701" s="59"/>
      <c r="Q701" s="59"/>
      <c r="R701" s="60"/>
      <c r="S701" s="60"/>
      <c r="T701" s="60"/>
      <c r="U701" s="60"/>
      <c r="V701" s="60"/>
      <c r="W701" s="60"/>
    </row>
    <row r="702" spans="1:23" ht="13" x14ac:dyDescent="0.3">
      <c r="A702" s="58"/>
      <c r="B702" s="58"/>
      <c r="C702" s="58"/>
      <c r="D702" s="58"/>
      <c r="E702" s="58"/>
      <c r="F702" s="58"/>
      <c r="G702" s="58"/>
      <c r="H702" s="59"/>
      <c r="I702" s="59"/>
      <c r="J702" s="59"/>
      <c r="K702" s="59"/>
      <c r="L702" s="59"/>
      <c r="M702" s="60"/>
      <c r="N702" s="60"/>
      <c r="O702" s="60"/>
      <c r="P702" s="59"/>
      <c r="Q702" s="59"/>
      <c r="R702" s="60"/>
      <c r="S702" s="60"/>
      <c r="T702" s="60"/>
      <c r="U702" s="60"/>
      <c r="V702" s="60"/>
      <c r="W702" s="60"/>
    </row>
    <row r="703" spans="1:23" ht="13" x14ac:dyDescent="0.3">
      <c r="A703" s="58"/>
      <c r="B703" s="58"/>
      <c r="C703" s="58"/>
      <c r="D703" s="58"/>
      <c r="E703" s="58"/>
      <c r="F703" s="58"/>
      <c r="G703" s="58"/>
      <c r="H703" s="59"/>
      <c r="I703" s="59"/>
      <c r="J703" s="59"/>
      <c r="K703" s="59"/>
      <c r="L703" s="59"/>
      <c r="M703" s="60"/>
      <c r="N703" s="60"/>
      <c r="O703" s="60"/>
      <c r="P703" s="59"/>
      <c r="Q703" s="59"/>
      <c r="R703" s="60"/>
      <c r="S703" s="60"/>
      <c r="T703" s="60"/>
      <c r="U703" s="60"/>
      <c r="V703" s="60"/>
      <c r="W703" s="60"/>
    </row>
    <row r="704" spans="1:23" ht="13" x14ac:dyDescent="0.3">
      <c r="A704" s="58"/>
      <c r="B704" s="58"/>
      <c r="C704" s="58"/>
      <c r="D704" s="58"/>
      <c r="E704" s="58"/>
      <c r="F704" s="58"/>
      <c r="G704" s="58"/>
      <c r="H704" s="59"/>
      <c r="I704" s="59"/>
      <c r="J704" s="59"/>
      <c r="K704" s="59"/>
      <c r="L704" s="59"/>
      <c r="M704" s="60"/>
      <c r="N704" s="60"/>
      <c r="O704" s="60"/>
      <c r="P704" s="59"/>
      <c r="Q704" s="59"/>
      <c r="R704" s="60"/>
      <c r="S704" s="60"/>
      <c r="T704" s="60"/>
      <c r="U704" s="60"/>
      <c r="V704" s="60"/>
      <c r="W704" s="60"/>
    </row>
    <row r="705" spans="1:23" ht="13" x14ac:dyDescent="0.3">
      <c r="A705" s="58"/>
      <c r="B705" s="58"/>
      <c r="C705" s="58"/>
      <c r="D705" s="58"/>
      <c r="E705" s="58"/>
      <c r="F705" s="58"/>
      <c r="G705" s="58"/>
      <c r="H705" s="59"/>
      <c r="I705" s="59"/>
      <c r="J705" s="59"/>
      <c r="K705" s="59"/>
      <c r="L705" s="59"/>
      <c r="M705" s="60"/>
      <c r="N705" s="60"/>
      <c r="O705" s="60"/>
      <c r="P705" s="59"/>
      <c r="Q705" s="59"/>
      <c r="R705" s="60"/>
      <c r="S705" s="60"/>
      <c r="T705" s="60"/>
      <c r="U705" s="60"/>
      <c r="V705" s="60"/>
      <c r="W705" s="60"/>
    </row>
    <row r="706" spans="1:23" ht="13" x14ac:dyDescent="0.3">
      <c r="A706" s="58"/>
      <c r="B706" s="58"/>
      <c r="C706" s="58"/>
      <c r="D706" s="58"/>
      <c r="E706" s="58"/>
      <c r="F706" s="58"/>
      <c r="G706" s="58"/>
      <c r="H706" s="59"/>
      <c r="I706" s="59"/>
      <c r="J706" s="59"/>
      <c r="K706" s="59"/>
      <c r="L706" s="59"/>
      <c r="M706" s="60"/>
      <c r="N706" s="60"/>
      <c r="O706" s="60"/>
      <c r="P706" s="59"/>
      <c r="Q706" s="59"/>
      <c r="R706" s="60"/>
      <c r="S706" s="60"/>
      <c r="T706" s="60"/>
      <c r="U706" s="60"/>
      <c r="V706" s="60"/>
      <c r="W706" s="60"/>
    </row>
    <row r="707" spans="1:23" ht="13" x14ac:dyDescent="0.3">
      <c r="A707" s="58"/>
      <c r="B707" s="58"/>
      <c r="C707" s="58"/>
      <c r="D707" s="58"/>
      <c r="E707" s="58"/>
      <c r="F707" s="58"/>
      <c r="G707" s="58"/>
      <c r="H707" s="59"/>
      <c r="I707" s="59"/>
      <c r="J707" s="59"/>
      <c r="K707" s="59"/>
      <c r="L707" s="59"/>
      <c r="M707" s="60"/>
      <c r="N707" s="60"/>
      <c r="O707" s="60"/>
      <c r="P707" s="59"/>
      <c r="Q707" s="59"/>
      <c r="R707" s="60"/>
      <c r="S707" s="60"/>
      <c r="T707" s="60"/>
      <c r="U707" s="60"/>
      <c r="V707" s="60"/>
      <c r="W707" s="60"/>
    </row>
    <row r="708" spans="1:23" ht="13" x14ac:dyDescent="0.3">
      <c r="A708" s="58"/>
      <c r="B708" s="58"/>
      <c r="C708" s="58"/>
      <c r="D708" s="58"/>
      <c r="E708" s="58"/>
      <c r="F708" s="58"/>
      <c r="G708" s="58"/>
      <c r="H708" s="59"/>
      <c r="I708" s="59"/>
      <c r="J708" s="59"/>
      <c r="K708" s="59"/>
      <c r="L708" s="59"/>
      <c r="M708" s="60"/>
      <c r="N708" s="60"/>
      <c r="O708" s="60"/>
      <c r="P708" s="59"/>
      <c r="Q708" s="59"/>
      <c r="R708" s="60"/>
      <c r="S708" s="60"/>
      <c r="T708" s="60"/>
      <c r="U708" s="60"/>
      <c r="V708" s="60"/>
      <c r="W708" s="60"/>
    </row>
    <row r="709" spans="1:23" ht="13" x14ac:dyDescent="0.3">
      <c r="A709" s="58"/>
      <c r="B709" s="58"/>
      <c r="C709" s="58"/>
      <c r="D709" s="58"/>
      <c r="E709" s="58"/>
      <c r="F709" s="58"/>
      <c r="G709" s="58"/>
      <c r="H709" s="59"/>
      <c r="I709" s="59"/>
      <c r="J709" s="59"/>
      <c r="K709" s="59"/>
      <c r="L709" s="59"/>
      <c r="M709" s="60"/>
      <c r="N709" s="60"/>
      <c r="O709" s="60"/>
      <c r="P709" s="59"/>
      <c r="Q709" s="59"/>
      <c r="R709" s="60"/>
      <c r="S709" s="60"/>
      <c r="T709" s="60"/>
      <c r="U709" s="60"/>
      <c r="V709" s="60"/>
      <c r="W709" s="60"/>
    </row>
    <row r="710" spans="1:23" ht="13" x14ac:dyDescent="0.3">
      <c r="A710" s="58"/>
      <c r="B710" s="58"/>
      <c r="C710" s="58"/>
      <c r="D710" s="58"/>
      <c r="E710" s="58"/>
      <c r="F710" s="58"/>
      <c r="G710" s="58"/>
      <c r="H710" s="59"/>
      <c r="I710" s="59"/>
      <c r="J710" s="59"/>
      <c r="K710" s="59"/>
      <c r="L710" s="59"/>
      <c r="M710" s="60"/>
      <c r="N710" s="60"/>
      <c r="O710" s="60"/>
      <c r="P710" s="59"/>
      <c r="Q710" s="59"/>
      <c r="R710" s="60"/>
      <c r="S710" s="60"/>
      <c r="T710" s="60"/>
      <c r="U710" s="60"/>
      <c r="V710" s="60"/>
      <c r="W710" s="60"/>
    </row>
    <row r="711" spans="1:23" ht="13" x14ac:dyDescent="0.3">
      <c r="A711" s="58"/>
      <c r="B711" s="58"/>
      <c r="C711" s="58"/>
      <c r="D711" s="58"/>
      <c r="E711" s="58"/>
      <c r="F711" s="58"/>
      <c r="G711" s="58"/>
      <c r="H711" s="59"/>
      <c r="I711" s="59"/>
      <c r="J711" s="59"/>
      <c r="K711" s="59"/>
      <c r="L711" s="59"/>
      <c r="M711" s="60"/>
      <c r="N711" s="60"/>
      <c r="O711" s="60"/>
      <c r="P711" s="59"/>
      <c r="Q711" s="59"/>
      <c r="R711" s="60"/>
      <c r="S711" s="60"/>
      <c r="T711" s="60"/>
      <c r="U711" s="60"/>
      <c r="V711" s="60"/>
      <c r="W711" s="60"/>
    </row>
    <row r="712" spans="1:23" ht="13" x14ac:dyDescent="0.3">
      <c r="A712" s="58"/>
      <c r="B712" s="58"/>
      <c r="C712" s="58"/>
      <c r="D712" s="58"/>
      <c r="E712" s="58"/>
      <c r="F712" s="58"/>
      <c r="G712" s="58"/>
      <c r="H712" s="59"/>
      <c r="I712" s="59"/>
      <c r="J712" s="59"/>
      <c r="K712" s="59"/>
      <c r="L712" s="59"/>
      <c r="M712" s="60"/>
      <c r="N712" s="60"/>
      <c r="O712" s="60"/>
      <c r="P712" s="59"/>
      <c r="Q712" s="59"/>
      <c r="R712" s="60"/>
      <c r="S712" s="60"/>
      <c r="T712" s="60"/>
      <c r="U712" s="60"/>
      <c r="V712" s="60"/>
      <c r="W712" s="60"/>
    </row>
    <row r="713" spans="1:23" ht="13" x14ac:dyDescent="0.3">
      <c r="A713" s="58"/>
      <c r="B713" s="58"/>
      <c r="C713" s="58"/>
      <c r="D713" s="58"/>
      <c r="E713" s="58"/>
      <c r="F713" s="58"/>
      <c r="G713" s="58"/>
      <c r="H713" s="59"/>
      <c r="I713" s="59"/>
      <c r="J713" s="59"/>
      <c r="K713" s="59"/>
      <c r="L713" s="59"/>
      <c r="M713" s="60"/>
      <c r="N713" s="60"/>
      <c r="O713" s="60"/>
      <c r="P713" s="59"/>
      <c r="Q713" s="59"/>
      <c r="R713" s="60"/>
      <c r="S713" s="60"/>
      <c r="T713" s="60"/>
      <c r="U713" s="60"/>
      <c r="V713" s="60"/>
      <c r="W713" s="60"/>
    </row>
    <row r="714" spans="1:23" ht="13" x14ac:dyDescent="0.3">
      <c r="A714" s="58"/>
      <c r="B714" s="58"/>
      <c r="C714" s="58"/>
      <c r="D714" s="58"/>
      <c r="E714" s="58"/>
      <c r="F714" s="58"/>
      <c r="G714" s="58"/>
      <c r="H714" s="59"/>
      <c r="I714" s="59"/>
      <c r="J714" s="59"/>
      <c r="K714" s="59"/>
      <c r="L714" s="59"/>
      <c r="M714" s="60"/>
      <c r="N714" s="60"/>
      <c r="O714" s="60"/>
      <c r="P714" s="59"/>
      <c r="Q714" s="59"/>
      <c r="R714" s="60"/>
      <c r="S714" s="60"/>
      <c r="T714" s="60"/>
      <c r="U714" s="60"/>
      <c r="V714" s="60"/>
      <c r="W714" s="60"/>
    </row>
    <row r="715" spans="1:23" ht="13" x14ac:dyDescent="0.3">
      <c r="A715" s="58"/>
      <c r="B715" s="58"/>
      <c r="C715" s="58"/>
      <c r="D715" s="58"/>
      <c r="E715" s="58"/>
      <c r="F715" s="58"/>
      <c r="G715" s="58"/>
      <c r="H715" s="59"/>
      <c r="I715" s="59"/>
      <c r="J715" s="59"/>
      <c r="K715" s="59"/>
      <c r="L715" s="59"/>
      <c r="M715" s="60"/>
      <c r="N715" s="60"/>
      <c r="O715" s="60"/>
      <c r="P715" s="59"/>
      <c r="Q715" s="59"/>
      <c r="R715" s="60"/>
      <c r="S715" s="60"/>
      <c r="T715" s="60"/>
      <c r="U715" s="60"/>
      <c r="V715" s="60"/>
      <c r="W715" s="60"/>
    </row>
    <row r="716" spans="1:23" ht="13" x14ac:dyDescent="0.3">
      <c r="A716" s="58"/>
      <c r="B716" s="58"/>
      <c r="C716" s="58"/>
      <c r="D716" s="58"/>
      <c r="E716" s="58"/>
      <c r="F716" s="58"/>
      <c r="G716" s="58"/>
      <c r="H716" s="59"/>
      <c r="I716" s="59"/>
      <c r="J716" s="59"/>
      <c r="K716" s="59"/>
      <c r="L716" s="59"/>
      <c r="M716" s="60"/>
      <c r="N716" s="60"/>
      <c r="O716" s="60"/>
      <c r="P716" s="59"/>
      <c r="Q716" s="59"/>
      <c r="R716" s="60"/>
      <c r="S716" s="60"/>
      <c r="T716" s="60"/>
      <c r="U716" s="60"/>
      <c r="V716" s="60"/>
      <c r="W716" s="60"/>
    </row>
    <row r="717" spans="1:23" ht="13" x14ac:dyDescent="0.3">
      <c r="A717" s="58"/>
      <c r="B717" s="58"/>
      <c r="C717" s="58"/>
      <c r="D717" s="58"/>
      <c r="E717" s="58"/>
      <c r="F717" s="58"/>
      <c r="G717" s="58"/>
      <c r="H717" s="59"/>
      <c r="I717" s="59"/>
      <c r="J717" s="59"/>
      <c r="K717" s="59"/>
      <c r="L717" s="59"/>
      <c r="M717" s="60"/>
      <c r="N717" s="60"/>
      <c r="O717" s="60"/>
      <c r="P717" s="59"/>
      <c r="Q717" s="59"/>
      <c r="R717" s="60"/>
      <c r="S717" s="60"/>
      <c r="T717" s="60"/>
      <c r="U717" s="60"/>
      <c r="V717" s="60"/>
      <c r="W717" s="60"/>
    </row>
    <row r="718" spans="1:23" ht="13" x14ac:dyDescent="0.3">
      <c r="A718" s="58"/>
      <c r="B718" s="58"/>
      <c r="C718" s="58"/>
      <c r="D718" s="58"/>
      <c r="E718" s="58"/>
      <c r="F718" s="58"/>
      <c r="G718" s="58"/>
      <c r="H718" s="59"/>
      <c r="I718" s="59"/>
      <c r="J718" s="59"/>
      <c r="K718" s="59"/>
      <c r="L718" s="59"/>
      <c r="M718" s="60"/>
      <c r="N718" s="60"/>
      <c r="O718" s="60"/>
      <c r="P718" s="59"/>
      <c r="Q718" s="59"/>
      <c r="R718" s="60"/>
      <c r="S718" s="60"/>
      <c r="T718" s="60"/>
      <c r="U718" s="60"/>
      <c r="V718" s="60"/>
      <c r="W718" s="60"/>
    </row>
    <row r="719" spans="1:23" ht="13" x14ac:dyDescent="0.3">
      <c r="A719" s="58"/>
      <c r="B719" s="58"/>
      <c r="C719" s="58"/>
      <c r="D719" s="58"/>
      <c r="E719" s="58"/>
      <c r="F719" s="58"/>
      <c r="G719" s="58"/>
      <c r="H719" s="59"/>
      <c r="I719" s="59"/>
      <c r="J719" s="59"/>
      <c r="K719" s="59"/>
      <c r="L719" s="59"/>
      <c r="M719" s="60"/>
      <c r="N719" s="60"/>
      <c r="O719" s="60"/>
      <c r="P719" s="59"/>
      <c r="Q719" s="59"/>
      <c r="R719" s="60"/>
      <c r="S719" s="60"/>
      <c r="T719" s="60"/>
      <c r="U719" s="60"/>
      <c r="V719" s="60"/>
      <c r="W719" s="60"/>
    </row>
    <row r="720" spans="1:23" ht="13" x14ac:dyDescent="0.3">
      <c r="A720" s="58"/>
      <c r="B720" s="58"/>
      <c r="C720" s="58"/>
      <c r="D720" s="58"/>
      <c r="E720" s="58"/>
      <c r="F720" s="58"/>
      <c r="G720" s="58"/>
      <c r="H720" s="59"/>
      <c r="I720" s="59"/>
      <c r="J720" s="59"/>
      <c r="K720" s="59"/>
      <c r="L720" s="59"/>
      <c r="M720" s="60"/>
      <c r="N720" s="60"/>
      <c r="O720" s="60"/>
      <c r="P720" s="59"/>
      <c r="Q720" s="59"/>
      <c r="R720" s="60"/>
      <c r="S720" s="60"/>
      <c r="T720" s="60"/>
      <c r="U720" s="60"/>
      <c r="V720" s="60"/>
      <c r="W720" s="60"/>
    </row>
    <row r="721" spans="1:23" ht="13" x14ac:dyDescent="0.3">
      <c r="A721" s="58"/>
      <c r="B721" s="58"/>
      <c r="C721" s="58"/>
      <c r="D721" s="58"/>
      <c r="E721" s="58"/>
      <c r="F721" s="58"/>
      <c r="G721" s="58"/>
      <c r="H721" s="59"/>
      <c r="I721" s="59"/>
      <c r="J721" s="59"/>
      <c r="K721" s="59"/>
      <c r="L721" s="59"/>
      <c r="M721" s="60"/>
      <c r="N721" s="60"/>
      <c r="O721" s="60"/>
      <c r="P721" s="59"/>
      <c r="Q721" s="59"/>
      <c r="R721" s="60"/>
      <c r="S721" s="60"/>
      <c r="T721" s="60"/>
      <c r="U721" s="60"/>
      <c r="V721" s="60"/>
      <c r="W721" s="60"/>
    </row>
    <row r="722" spans="1:23" ht="13" x14ac:dyDescent="0.3">
      <c r="A722" s="58"/>
      <c r="B722" s="58"/>
      <c r="C722" s="58"/>
      <c r="D722" s="58"/>
      <c r="E722" s="58"/>
      <c r="F722" s="58"/>
      <c r="G722" s="58"/>
      <c r="H722" s="59"/>
      <c r="I722" s="59"/>
      <c r="J722" s="59"/>
      <c r="K722" s="59"/>
      <c r="L722" s="59"/>
      <c r="M722" s="60"/>
      <c r="N722" s="60"/>
      <c r="O722" s="60"/>
      <c r="P722" s="59"/>
      <c r="Q722" s="59"/>
      <c r="R722" s="60"/>
      <c r="S722" s="60"/>
      <c r="T722" s="60"/>
      <c r="U722" s="60"/>
      <c r="V722" s="60"/>
      <c r="W722" s="60"/>
    </row>
    <row r="723" spans="1:23" ht="13" x14ac:dyDescent="0.3">
      <c r="A723" s="58"/>
      <c r="B723" s="58"/>
      <c r="C723" s="58"/>
      <c r="D723" s="58"/>
      <c r="E723" s="58"/>
      <c r="F723" s="58"/>
      <c r="G723" s="58"/>
      <c r="H723" s="59"/>
      <c r="I723" s="59"/>
      <c r="J723" s="59"/>
      <c r="K723" s="59"/>
      <c r="L723" s="59"/>
      <c r="M723" s="60"/>
      <c r="N723" s="60"/>
      <c r="O723" s="60"/>
      <c r="P723" s="59"/>
      <c r="Q723" s="59"/>
      <c r="R723" s="60"/>
      <c r="S723" s="60"/>
      <c r="T723" s="60"/>
      <c r="U723" s="60"/>
      <c r="V723" s="60"/>
      <c r="W723" s="60"/>
    </row>
    <row r="724" spans="1:23" ht="13" x14ac:dyDescent="0.3">
      <c r="A724" s="58"/>
      <c r="B724" s="58"/>
      <c r="C724" s="58"/>
      <c r="D724" s="58"/>
      <c r="E724" s="58"/>
      <c r="F724" s="58"/>
      <c r="G724" s="58"/>
      <c r="H724" s="59"/>
      <c r="I724" s="59"/>
      <c r="J724" s="59"/>
      <c r="K724" s="59"/>
      <c r="L724" s="59"/>
      <c r="M724" s="60"/>
      <c r="N724" s="60"/>
      <c r="O724" s="60"/>
      <c r="P724" s="59"/>
      <c r="Q724" s="59"/>
      <c r="R724" s="60"/>
      <c r="S724" s="60"/>
      <c r="T724" s="60"/>
      <c r="U724" s="60"/>
      <c r="V724" s="60"/>
      <c r="W724" s="60"/>
    </row>
    <row r="725" spans="1:23" ht="13" x14ac:dyDescent="0.3">
      <c r="A725" s="58"/>
      <c r="B725" s="58"/>
      <c r="C725" s="58"/>
      <c r="D725" s="58"/>
      <c r="E725" s="58"/>
      <c r="F725" s="58"/>
      <c r="G725" s="58"/>
      <c r="H725" s="59"/>
      <c r="I725" s="59"/>
      <c r="J725" s="59"/>
      <c r="K725" s="59"/>
      <c r="L725" s="59"/>
      <c r="M725" s="60"/>
      <c r="N725" s="60"/>
      <c r="O725" s="60"/>
      <c r="P725" s="59"/>
      <c r="Q725" s="59"/>
      <c r="R725" s="60"/>
      <c r="S725" s="60"/>
      <c r="T725" s="60"/>
      <c r="U725" s="60"/>
      <c r="V725" s="60"/>
      <c r="W725" s="60"/>
    </row>
    <row r="726" spans="1:23" ht="13" x14ac:dyDescent="0.3">
      <c r="A726" s="58"/>
      <c r="B726" s="58"/>
      <c r="C726" s="58"/>
      <c r="D726" s="58"/>
      <c r="E726" s="58"/>
      <c r="F726" s="58"/>
      <c r="G726" s="58"/>
      <c r="H726" s="59"/>
      <c r="I726" s="59"/>
      <c r="J726" s="59"/>
      <c r="K726" s="59"/>
      <c r="L726" s="59"/>
      <c r="M726" s="60"/>
      <c r="N726" s="60"/>
      <c r="O726" s="60"/>
      <c r="P726" s="59"/>
      <c r="Q726" s="59"/>
      <c r="R726" s="60"/>
      <c r="S726" s="60"/>
      <c r="T726" s="60"/>
      <c r="U726" s="60"/>
      <c r="V726" s="60"/>
      <c r="W726" s="60"/>
    </row>
    <row r="727" spans="1:23" ht="13" x14ac:dyDescent="0.3">
      <c r="A727" s="58"/>
      <c r="B727" s="58"/>
      <c r="C727" s="58"/>
      <c r="D727" s="58"/>
      <c r="E727" s="58"/>
      <c r="F727" s="58"/>
      <c r="G727" s="58"/>
      <c r="H727" s="59"/>
      <c r="I727" s="59"/>
      <c r="J727" s="59"/>
      <c r="K727" s="59"/>
      <c r="L727" s="59"/>
      <c r="M727" s="60"/>
      <c r="N727" s="60"/>
      <c r="O727" s="60"/>
      <c r="P727" s="59"/>
      <c r="Q727" s="59"/>
      <c r="R727" s="60"/>
      <c r="S727" s="60"/>
      <c r="T727" s="60"/>
      <c r="U727" s="60"/>
      <c r="V727" s="60"/>
      <c r="W727" s="60"/>
    </row>
    <row r="728" spans="1:23" ht="13" x14ac:dyDescent="0.3">
      <c r="A728" s="58"/>
      <c r="B728" s="58"/>
      <c r="C728" s="58"/>
      <c r="D728" s="58"/>
      <c r="E728" s="58"/>
      <c r="F728" s="58"/>
      <c r="G728" s="58"/>
      <c r="H728" s="59"/>
      <c r="I728" s="59"/>
      <c r="J728" s="59"/>
      <c r="K728" s="59"/>
      <c r="L728" s="59"/>
      <c r="M728" s="60"/>
      <c r="N728" s="60"/>
      <c r="O728" s="60"/>
      <c r="P728" s="59"/>
      <c r="Q728" s="59"/>
      <c r="R728" s="60"/>
      <c r="S728" s="60"/>
      <c r="T728" s="60"/>
      <c r="U728" s="60"/>
      <c r="V728" s="60"/>
      <c r="W728" s="60"/>
    </row>
    <row r="729" spans="1:23" ht="13" x14ac:dyDescent="0.3">
      <c r="A729" s="58"/>
      <c r="B729" s="58"/>
      <c r="C729" s="58"/>
      <c r="D729" s="58"/>
      <c r="E729" s="58"/>
      <c r="F729" s="58"/>
      <c r="G729" s="58"/>
      <c r="H729" s="59"/>
      <c r="I729" s="59"/>
      <c r="J729" s="59"/>
      <c r="K729" s="59"/>
      <c r="L729" s="59"/>
      <c r="M729" s="60"/>
      <c r="N729" s="60"/>
      <c r="O729" s="60"/>
      <c r="P729" s="59"/>
      <c r="Q729" s="59"/>
      <c r="R729" s="60"/>
      <c r="S729" s="60"/>
      <c r="T729" s="60"/>
      <c r="U729" s="60"/>
      <c r="V729" s="60"/>
      <c r="W729" s="60"/>
    </row>
    <row r="730" spans="1:23" ht="13" x14ac:dyDescent="0.3">
      <c r="A730" s="58"/>
      <c r="B730" s="58"/>
      <c r="C730" s="58"/>
      <c r="D730" s="58"/>
      <c r="E730" s="58"/>
      <c r="F730" s="58"/>
      <c r="G730" s="58"/>
      <c r="H730" s="59"/>
      <c r="I730" s="59"/>
      <c r="J730" s="59"/>
      <c r="K730" s="59"/>
      <c r="L730" s="59"/>
      <c r="M730" s="60"/>
      <c r="N730" s="60"/>
      <c r="O730" s="60"/>
      <c r="P730" s="59"/>
      <c r="Q730" s="59"/>
      <c r="R730" s="60"/>
      <c r="S730" s="60"/>
      <c r="T730" s="60"/>
      <c r="U730" s="60"/>
      <c r="V730" s="60"/>
      <c r="W730" s="60"/>
    </row>
    <row r="731" spans="1:23" ht="13" x14ac:dyDescent="0.3">
      <c r="A731" s="58"/>
      <c r="B731" s="58"/>
      <c r="C731" s="58"/>
      <c r="D731" s="58"/>
      <c r="E731" s="58"/>
      <c r="F731" s="58"/>
      <c r="G731" s="58"/>
      <c r="H731" s="59"/>
      <c r="I731" s="59"/>
      <c r="J731" s="59"/>
      <c r="K731" s="59"/>
      <c r="L731" s="59"/>
      <c r="M731" s="60"/>
      <c r="N731" s="60"/>
      <c r="O731" s="60"/>
      <c r="P731" s="59"/>
      <c r="Q731" s="59"/>
      <c r="R731" s="60"/>
      <c r="S731" s="60"/>
      <c r="T731" s="60"/>
      <c r="U731" s="60"/>
      <c r="V731" s="60"/>
      <c r="W731" s="60"/>
    </row>
    <row r="732" spans="1:23" ht="13" x14ac:dyDescent="0.3">
      <c r="A732" s="58"/>
      <c r="B732" s="58"/>
      <c r="C732" s="58"/>
      <c r="D732" s="58"/>
      <c r="E732" s="58"/>
      <c r="F732" s="58"/>
      <c r="G732" s="58"/>
      <c r="H732" s="59"/>
      <c r="I732" s="59"/>
      <c r="J732" s="59"/>
      <c r="K732" s="59"/>
      <c r="L732" s="59"/>
      <c r="M732" s="60"/>
      <c r="N732" s="60"/>
      <c r="O732" s="60"/>
      <c r="P732" s="59"/>
      <c r="Q732" s="59"/>
      <c r="R732" s="60"/>
      <c r="S732" s="60"/>
      <c r="T732" s="60"/>
      <c r="U732" s="60"/>
      <c r="V732" s="60"/>
      <c r="W732" s="60"/>
    </row>
    <row r="733" spans="1:23" ht="13" x14ac:dyDescent="0.3">
      <c r="A733" s="58"/>
      <c r="B733" s="58"/>
      <c r="C733" s="58"/>
      <c r="D733" s="58"/>
      <c r="E733" s="58"/>
      <c r="F733" s="58"/>
      <c r="G733" s="58"/>
      <c r="H733" s="59"/>
      <c r="I733" s="59"/>
      <c r="J733" s="59"/>
      <c r="K733" s="59"/>
      <c r="L733" s="59"/>
      <c r="M733" s="60"/>
      <c r="N733" s="60"/>
      <c r="O733" s="60"/>
      <c r="P733" s="59"/>
      <c r="Q733" s="59"/>
      <c r="R733" s="60"/>
      <c r="S733" s="60"/>
      <c r="T733" s="60"/>
      <c r="U733" s="60"/>
      <c r="V733" s="60"/>
      <c r="W733" s="60"/>
    </row>
    <row r="734" spans="1:23" ht="13" x14ac:dyDescent="0.3">
      <c r="A734" s="58"/>
      <c r="B734" s="58"/>
      <c r="C734" s="58"/>
      <c r="D734" s="58"/>
      <c r="E734" s="58"/>
      <c r="F734" s="58"/>
      <c r="G734" s="58"/>
      <c r="H734" s="59"/>
      <c r="I734" s="59"/>
      <c r="J734" s="59"/>
      <c r="K734" s="59"/>
      <c r="L734" s="59"/>
      <c r="M734" s="60"/>
      <c r="N734" s="60"/>
      <c r="O734" s="60"/>
      <c r="P734" s="59"/>
      <c r="Q734" s="59"/>
      <c r="R734" s="60"/>
      <c r="S734" s="60"/>
      <c r="T734" s="60"/>
      <c r="U734" s="60"/>
      <c r="V734" s="60"/>
      <c r="W734" s="60"/>
    </row>
    <row r="735" spans="1:23" ht="13" x14ac:dyDescent="0.3">
      <c r="A735" s="58"/>
      <c r="B735" s="58"/>
      <c r="C735" s="58"/>
      <c r="D735" s="58"/>
      <c r="E735" s="58"/>
      <c r="F735" s="58"/>
      <c r="G735" s="58"/>
      <c r="H735" s="59"/>
      <c r="I735" s="59"/>
      <c r="J735" s="59"/>
      <c r="K735" s="59"/>
      <c r="L735" s="59"/>
      <c r="M735" s="60"/>
      <c r="N735" s="60"/>
      <c r="O735" s="60"/>
      <c r="P735" s="59"/>
      <c r="Q735" s="59"/>
      <c r="R735" s="60"/>
      <c r="S735" s="60"/>
      <c r="T735" s="60"/>
      <c r="U735" s="60"/>
      <c r="V735" s="60"/>
      <c r="W735" s="60"/>
    </row>
    <row r="736" spans="1:23" ht="13" x14ac:dyDescent="0.3">
      <c r="A736" s="58"/>
      <c r="B736" s="58"/>
      <c r="C736" s="58"/>
      <c r="D736" s="58"/>
      <c r="E736" s="58"/>
      <c r="F736" s="58"/>
      <c r="G736" s="58"/>
      <c r="H736" s="59"/>
      <c r="I736" s="59"/>
      <c r="J736" s="59"/>
      <c r="K736" s="59"/>
      <c r="L736" s="59"/>
      <c r="M736" s="60"/>
      <c r="N736" s="60"/>
      <c r="O736" s="60"/>
      <c r="P736" s="59"/>
      <c r="Q736" s="59"/>
      <c r="R736" s="60"/>
      <c r="S736" s="60"/>
      <c r="T736" s="60"/>
      <c r="U736" s="60"/>
      <c r="V736" s="60"/>
      <c r="W736" s="60"/>
    </row>
    <row r="737" spans="1:23" ht="13" x14ac:dyDescent="0.3">
      <c r="A737" s="58"/>
      <c r="B737" s="58"/>
      <c r="C737" s="58"/>
      <c r="D737" s="58"/>
      <c r="E737" s="58"/>
      <c r="F737" s="58"/>
      <c r="G737" s="58"/>
      <c r="H737" s="59"/>
      <c r="I737" s="59"/>
      <c r="J737" s="59"/>
      <c r="K737" s="59"/>
      <c r="L737" s="59"/>
      <c r="M737" s="60"/>
      <c r="N737" s="60"/>
      <c r="O737" s="60"/>
      <c r="P737" s="59"/>
      <c r="Q737" s="59"/>
      <c r="R737" s="60"/>
      <c r="S737" s="60"/>
      <c r="T737" s="60"/>
      <c r="U737" s="60"/>
      <c r="V737" s="60"/>
      <c r="W737" s="60"/>
    </row>
    <row r="738" spans="1:23" ht="13" x14ac:dyDescent="0.3">
      <c r="A738" s="58"/>
      <c r="B738" s="58"/>
      <c r="C738" s="58"/>
      <c r="D738" s="58"/>
      <c r="E738" s="58"/>
      <c r="F738" s="58"/>
      <c r="G738" s="58"/>
      <c r="H738" s="59"/>
      <c r="I738" s="59"/>
      <c r="J738" s="59"/>
      <c r="K738" s="59"/>
      <c r="L738" s="59"/>
      <c r="M738" s="60"/>
      <c r="N738" s="60"/>
      <c r="O738" s="60"/>
      <c r="P738" s="59"/>
      <c r="Q738" s="59"/>
      <c r="R738" s="60"/>
      <c r="S738" s="60"/>
      <c r="T738" s="60"/>
      <c r="U738" s="60"/>
      <c r="V738" s="60"/>
      <c r="W738" s="60"/>
    </row>
    <row r="739" spans="1:23" ht="13" x14ac:dyDescent="0.3">
      <c r="A739" s="58"/>
      <c r="B739" s="58"/>
      <c r="C739" s="58"/>
      <c r="D739" s="58"/>
      <c r="E739" s="58"/>
      <c r="F739" s="58"/>
      <c r="G739" s="58"/>
      <c r="H739" s="59"/>
      <c r="I739" s="59"/>
      <c r="J739" s="59"/>
      <c r="K739" s="59"/>
      <c r="L739" s="59"/>
      <c r="M739" s="60"/>
      <c r="N739" s="60"/>
      <c r="O739" s="60"/>
      <c r="P739" s="59"/>
      <c r="Q739" s="59"/>
      <c r="R739" s="60"/>
      <c r="S739" s="60"/>
      <c r="T739" s="60"/>
      <c r="U739" s="60"/>
      <c r="V739" s="60"/>
      <c r="W739" s="60"/>
    </row>
    <row r="740" spans="1:23" ht="13" x14ac:dyDescent="0.3">
      <c r="A740" s="58"/>
      <c r="B740" s="58"/>
      <c r="C740" s="58"/>
      <c r="D740" s="58"/>
      <c r="E740" s="58"/>
      <c r="F740" s="58"/>
      <c r="G740" s="58"/>
      <c r="H740" s="59"/>
      <c r="I740" s="59"/>
      <c r="J740" s="59"/>
      <c r="K740" s="59"/>
      <c r="L740" s="59"/>
      <c r="M740" s="60"/>
      <c r="N740" s="60"/>
      <c r="O740" s="60"/>
      <c r="P740" s="59"/>
      <c r="Q740" s="59"/>
      <c r="R740" s="60"/>
      <c r="S740" s="60"/>
      <c r="T740" s="60"/>
      <c r="U740" s="60"/>
      <c r="V740" s="60"/>
      <c r="W740" s="60"/>
    </row>
    <row r="741" spans="1:23" ht="13" x14ac:dyDescent="0.3">
      <c r="A741" s="58"/>
      <c r="B741" s="58"/>
      <c r="C741" s="58"/>
      <c r="D741" s="58"/>
      <c r="E741" s="58"/>
      <c r="F741" s="58"/>
      <c r="G741" s="58"/>
      <c r="H741" s="59"/>
      <c r="I741" s="59"/>
      <c r="J741" s="59"/>
      <c r="K741" s="59"/>
      <c r="L741" s="59"/>
      <c r="M741" s="60"/>
      <c r="N741" s="60"/>
      <c r="O741" s="60"/>
      <c r="P741" s="59"/>
      <c r="Q741" s="59"/>
      <c r="R741" s="60"/>
      <c r="S741" s="60"/>
      <c r="T741" s="60"/>
      <c r="U741" s="60"/>
      <c r="V741" s="60"/>
      <c r="W741" s="60"/>
    </row>
    <row r="742" spans="1:23" ht="13" x14ac:dyDescent="0.3">
      <c r="A742" s="58"/>
      <c r="B742" s="58"/>
      <c r="C742" s="58"/>
      <c r="D742" s="58"/>
      <c r="E742" s="58"/>
      <c r="F742" s="58"/>
      <c r="G742" s="58"/>
      <c r="H742" s="59"/>
      <c r="I742" s="59"/>
      <c r="J742" s="59"/>
      <c r="K742" s="59"/>
      <c r="L742" s="59"/>
      <c r="M742" s="60"/>
      <c r="N742" s="60"/>
      <c r="O742" s="60"/>
      <c r="P742" s="59"/>
      <c r="Q742" s="59"/>
      <c r="R742" s="60"/>
      <c r="S742" s="60"/>
      <c r="T742" s="60"/>
      <c r="U742" s="60"/>
      <c r="V742" s="60"/>
      <c r="W742" s="60"/>
    </row>
    <row r="743" spans="1:23" ht="13" x14ac:dyDescent="0.3">
      <c r="A743" s="58"/>
      <c r="B743" s="58"/>
      <c r="C743" s="58"/>
      <c r="D743" s="58"/>
      <c r="E743" s="58"/>
      <c r="F743" s="58"/>
      <c r="G743" s="58"/>
      <c r="H743" s="59"/>
      <c r="I743" s="59"/>
      <c r="J743" s="59"/>
      <c r="K743" s="59"/>
      <c r="L743" s="59"/>
      <c r="M743" s="60"/>
      <c r="N743" s="60"/>
      <c r="O743" s="60"/>
      <c r="P743" s="59"/>
      <c r="Q743" s="59"/>
      <c r="R743" s="60"/>
      <c r="S743" s="60"/>
      <c r="T743" s="60"/>
      <c r="U743" s="60"/>
      <c r="V743" s="60"/>
      <c r="W743" s="60"/>
    </row>
    <row r="744" spans="1:23" ht="13" x14ac:dyDescent="0.3">
      <c r="A744" s="58"/>
      <c r="B744" s="58"/>
      <c r="C744" s="58"/>
      <c r="D744" s="58"/>
      <c r="E744" s="58"/>
      <c r="F744" s="58"/>
      <c r="G744" s="58"/>
      <c r="H744" s="59"/>
      <c r="I744" s="59"/>
      <c r="J744" s="59"/>
      <c r="K744" s="59"/>
      <c r="L744" s="59"/>
      <c r="M744" s="60"/>
      <c r="N744" s="60"/>
      <c r="O744" s="60"/>
      <c r="P744" s="59"/>
      <c r="Q744" s="59"/>
      <c r="R744" s="60"/>
      <c r="S744" s="60"/>
      <c r="T744" s="60"/>
      <c r="U744" s="60"/>
      <c r="V744" s="60"/>
      <c r="W744" s="60"/>
    </row>
    <row r="745" spans="1:23" ht="13" x14ac:dyDescent="0.3">
      <c r="A745" s="58"/>
      <c r="B745" s="58"/>
      <c r="C745" s="58"/>
      <c r="D745" s="58"/>
      <c r="E745" s="58"/>
      <c r="F745" s="58"/>
      <c r="G745" s="58"/>
      <c r="H745" s="59"/>
      <c r="I745" s="59"/>
      <c r="J745" s="59"/>
      <c r="K745" s="59"/>
      <c r="L745" s="59"/>
      <c r="M745" s="60"/>
      <c r="N745" s="60"/>
      <c r="O745" s="60"/>
      <c r="P745" s="59"/>
      <c r="Q745" s="59"/>
      <c r="R745" s="60"/>
      <c r="S745" s="60"/>
      <c r="T745" s="60"/>
      <c r="U745" s="60"/>
      <c r="V745" s="60"/>
      <c r="W745" s="60"/>
    </row>
    <row r="746" spans="1:23" ht="13" x14ac:dyDescent="0.3">
      <c r="A746" s="58"/>
      <c r="B746" s="58"/>
      <c r="C746" s="58"/>
      <c r="D746" s="58"/>
      <c r="E746" s="58"/>
      <c r="F746" s="58"/>
      <c r="G746" s="58"/>
      <c r="H746" s="59"/>
      <c r="I746" s="59"/>
      <c r="J746" s="59"/>
      <c r="K746" s="59"/>
      <c r="L746" s="59"/>
      <c r="M746" s="60"/>
      <c r="N746" s="60"/>
      <c r="O746" s="60"/>
      <c r="P746" s="59"/>
      <c r="Q746" s="59"/>
      <c r="R746" s="60"/>
      <c r="S746" s="60"/>
      <c r="T746" s="60"/>
      <c r="U746" s="60"/>
      <c r="V746" s="60"/>
      <c r="W746" s="60"/>
    </row>
    <row r="747" spans="1:23" ht="13" x14ac:dyDescent="0.3">
      <c r="A747" s="58"/>
      <c r="B747" s="58"/>
      <c r="C747" s="58"/>
      <c r="D747" s="58"/>
      <c r="E747" s="58"/>
      <c r="F747" s="58"/>
      <c r="G747" s="58"/>
      <c r="H747" s="59"/>
      <c r="I747" s="59"/>
      <c r="J747" s="59"/>
      <c r="K747" s="59"/>
      <c r="L747" s="59"/>
      <c r="M747" s="60"/>
      <c r="N747" s="60"/>
      <c r="O747" s="60"/>
      <c r="P747" s="59"/>
      <c r="Q747" s="59"/>
      <c r="R747" s="60"/>
      <c r="S747" s="60"/>
      <c r="T747" s="60"/>
      <c r="U747" s="60"/>
      <c r="V747" s="60"/>
      <c r="W747" s="60"/>
    </row>
    <row r="748" spans="1:23" ht="13" x14ac:dyDescent="0.3">
      <c r="A748" s="58"/>
      <c r="B748" s="58"/>
      <c r="C748" s="58"/>
      <c r="D748" s="58"/>
      <c r="E748" s="58"/>
      <c r="F748" s="58"/>
      <c r="G748" s="58"/>
      <c r="H748" s="59"/>
      <c r="I748" s="59"/>
      <c r="J748" s="59"/>
      <c r="K748" s="59"/>
      <c r="L748" s="59"/>
      <c r="M748" s="60"/>
      <c r="N748" s="60"/>
      <c r="O748" s="60"/>
      <c r="P748" s="59"/>
      <c r="Q748" s="59"/>
      <c r="R748" s="60"/>
      <c r="S748" s="60"/>
      <c r="T748" s="60"/>
      <c r="U748" s="60"/>
      <c r="V748" s="60"/>
      <c r="W748" s="60"/>
    </row>
    <row r="749" spans="1:23" ht="13" x14ac:dyDescent="0.3">
      <c r="A749" s="58"/>
      <c r="B749" s="58"/>
      <c r="C749" s="58"/>
      <c r="D749" s="58"/>
      <c r="E749" s="58"/>
      <c r="F749" s="58"/>
      <c r="G749" s="58"/>
      <c r="H749" s="59"/>
      <c r="I749" s="59"/>
      <c r="J749" s="59"/>
      <c r="K749" s="59"/>
      <c r="L749" s="59"/>
      <c r="M749" s="60"/>
      <c r="N749" s="60"/>
      <c r="O749" s="60"/>
      <c r="P749" s="59"/>
      <c r="Q749" s="59"/>
      <c r="R749" s="60"/>
      <c r="S749" s="60"/>
      <c r="T749" s="60"/>
      <c r="U749" s="60"/>
      <c r="V749" s="60"/>
      <c r="W749" s="60"/>
    </row>
    <row r="750" spans="1:23" ht="13" x14ac:dyDescent="0.3">
      <c r="A750" s="58"/>
      <c r="B750" s="58"/>
      <c r="C750" s="58"/>
      <c r="D750" s="58"/>
      <c r="E750" s="58"/>
      <c r="F750" s="58"/>
      <c r="G750" s="58"/>
      <c r="H750" s="59"/>
      <c r="I750" s="59"/>
      <c r="J750" s="59"/>
      <c r="K750" s="59"/>
      <c r="L750" s="59"/>
      <c r="M750" s="60"/>
      <c r="N750" s="60"/>
      <c r="O750" s="60"/>
      <c r="P750" s="59"/>
      <c r="Q750" s="59"/>
      <c r="R750" s="60"/>
      <c r="S750" s="60"/>
      <c r="T750" s="60"/>
      <c r="U750" s="60"/>
      <c r="V750" s="60"/>
      <c r="W750" s="60"/>
    </row>
    <row r="751" spans="1:23" ht="13" x14ac:dyDescent="0.3">
      <c r="A751" s="58"/>
      <c r="B751" s="58"/>
      <c r="C751" s="58"/>
      <c r="D751" s="58"/>
      <c r="E751" s="58"/>
      <c r="F751" s="58"/>
      <c r="G751" s="58"/>
      <c r="H751" s="59"/>
      <c r="I751" s="59"/>
      <c r="J751" s="59"/>
      <c r="K751" s="59"/>
      <c r="L751" s="59"/>
      <c r="M751" s="60"/>
      <c r="N751" s="60"/>
      <c r="O751" s="60"/>
      <c r="P751" s="59"/>
      <c r="Q751" s="59"/>
      <c r="R751" s="60"/>
      <c r="S751" s="60"/>
      <c r="T751" s="60"/>
      <c r="U751" s="60"/>
      <c r="V751" s="60"/>
      <c r="W751" s="60"/>
    </row>
    <row r="752" spans="1:23" ht="13" x14ac:dyDescent="0.3">
      <c r="A752" s="58"/>
      <c r="B752" s="58"/>
      <c r="C752" s="58"/>
      <c r="D752" s="58"/>
      <c r="E752" s="58"/>
      <c r="F752" s="58"/>
      <c r="G752" s="58"/>
      <c r="H752" s="59"/>
      <c r="I752" s="59"/>
      <c r="J752" s="59"/>
      <c r="K752" s="59"/>
      <c r="L752" s="59"/>
      <c r="M752" s="60"/>
      <c r="N752" s="60"/>
      <c r="O752" s="60"/>
      <c r="P752" s="59"/>
      <c r="Q752" s="59"/>
      <c r="R752" s="60"/>
      <c r="S752" s="60"/>
      <c r="T752" s="60"/>
      <c r="U752" s="60"/>
      <c r="V752" s="60"/>
      <c r="W752" s="60"/>
    </row>
    <row r="753" spans="1:23" ht="13" x14ac:dyDescent="0.3">
      <c r="A753" s="58"/>
      <c r="B753" s="58"/>
      <c r="C753" s="58"/>
      <c r="D753" s="58"/>
      <c r="E753" s="58"/>
      <c r="F753" s="58"/>
      <c r="G753" s="58"/>
      <c r="H753" s="59"/>
      <c r="I753" s="59"/>
      <c r="J753" s="59"/>
      <c r="K753" s="59"/>
      <c r="L753" s="59"/>
      <c r="M753" s="60"/>
      <c r="N753" s="60"/>
      <c r="O753" s="60"/>
      <c r="P753" s="59"/>
      <c r="Q753" s="59"/>
      <c r="R753" s="60"/>
      <c r="S753" s="60"/>
      <c r="T753" s="60"/>
      <c r="U753" s="60"/>
      <c r="V753" s="60"/>
      <c r="W753" s="60"/>
    </row>
    <row r="754" spans="1:23" ht="13" x14ac:dyDescent="0.3">
      <c r="A754" s="58"/>
      <c r="B754" s="58"/>
      <c r="C754" s="58"/>
      <c r="D754" s="58"/>
      <c r="E754" s="58"/>
      <c r="F754" s="58"/>
      <c r="G754" s="58"/>
      <c r="H754" s="59"/>
      <c r="I754" s="59"/>
      <c r="J754" s="59"/>
      <c r="K754" s="59"/>
      <c r="L754" s="59"/>
      <c r="M754" s="60"/>
      <c r="N754" s="60"/>
      <c r="O754" s="60"/>
      <c r="P754" s="59"/>
      <c r="Q754" s="59"/>
      <c r="R754" s="60"/>
      <c r="S754" s="60"/>
      <c r="T754" s="60"/>
      <c r="U754" s="60"/>
      <c r="V754" s="60"/>
      <c r="W754" s="60"/>
    </row>
    <row r="755" spans="1:23" ht="13" x14ac:dyDescent="0.3">
      <c r="A755" s="58"/>
      <c r="B755" s="58"/>
      <c r="C755" s="58"/>
      <c r="D755" s="58"/>
      <c r="E755" s="58"/>
      <c r="F755" s="58"/>
      <c r="G755" s="58"/>
      <c r="H755" s="59"/>
      <c r="I755" s="59"/>
      <c r="J755" s="59"/>
      <c r="K755" s="59"/>
      <c r="L755" s="59"/>
      <c r="M755" s="60"/>
      <c r="N755" s="60"/>
      <c r="O755" s="60"/>
      <c r="P755" s="59"/>
      <c r="Q755" s="59"/>
      <c r="R755" s="60"/>
      <c r="S755" s="60"/>
      <c r="T755" s="60"/>
      <c r="U755" s="60"/>
      <c r="V755" s="60"/>
      <c r="W755" s="60"/>
    </row>
    <row r="756" spans="1:23" ht="13" x14ac:dyDescent="0.3">
      <c r="A756" s="58"/>
      <c r="B756" s="58"/>
      <c r="C756" s="58"/>
      <c r="D756" s="58"/>
      <c r="E756" s="58"/>
      <c r="F756" s="58"/>
      <c r="G756" s="58"/>
      <c r="H756" s="59"/>
      <c r="I756" s="59"/>
      <c r="J756" s="59"/>
      <c r="K756" s="59"/>
      <c r="L756" s="59"/>
      <c r="M756" s="60"/>
      <c r="N756" s="60"/>
      <c r="O756" s="60"/>
      <c r="P756" s="59"/>
      <c r="Q756" s="59"/>
      <c r="R756" s="60"/>
      <c r="S756" s="60"/>
      <c r="T756" s="60"/>
      <c r="U756" s="60"/>
      <c r="V756" s="60"/>
      <c r="W756" s="60"/>
    </row>
    <row r="757" spans="1:23" ht="13" x14ac:dyDescent="0.3">
      <c r="A757" s="58"/>
      <c r="B757" s="58"/>
      <c r="C757" s="58"/>
      <c r="D757" s="58"/>
      <c r="E757" s="58"/>
      <c r="F757" s="58"/>
      <c r="G757" s="58"/>
      <c r="H757" s="59"/>
      <c r="I757" s="59"/>
      <c r="J757" s="59"/>
      <c r="K757" s="59"/>
      <c r="L757" s="59"/>
      <c r="M757" s="60"/>
      <c r="N757" s="60"/>
      <c r="O757" s="60"/>
      <c r="P757" s="59"/>
      <c r="Q757" s="59"/>
      <c r="R757" s="60"/>
      <c r="S757" s="60"/>
      <c r="T757" s="60"/>
      <c r="U757" s="60"/>
      <c r="V757" s="60"/>
      <c r="W757" s="60"/>
    </row>
    <row r="758" spans="1:23" ht="13" x14ac:dyDescent="0.3">
      <c r="A758" s="58"/>
      <c r="B758" s="58"/>
      <c r="C758" s="58"/>
      <c r="D758" s="58"/>
      <c r="E758" s="58"/>
      <c r="F758" s="58"/>
      <c r="G758" s="58"/>
      <c r="H758" s="59"/>
      <c r="I758" s="59"/>
      <c r="J758" s="59"/>
      <c r="K758" s="59"/>
      <c r="L758" s="59"/>
      <c r="M758" s="60"/>
      <c r="N758" s="60"/>
      <c r="O758" s="60"/>
      <c r="P758" s="59"/>
      <c r="Q758" s="59"/>
      <c r="R758" s="60"/>
      <c r="S758" s="60"/>
      <c r="T758" s="60"/>
      <c r="U758" s="60"/>
      <c r="V758" s="60"/>
      <c r="W758" s="60"/>
    </row>
    <row r="759" spans="1:23" ht="13" x14ac:dyDescent="0.3">
      <c r="A759" s="58"/>
      <c r="B759" s="58"/>
      <c r="C759" s="58"/>
      <c r="D759" s="58"/>
      <c r="E759" s="58"/>
      <c r="F759" s="58"/>
      <c r="G759" s="58"/>
      <c r="H759" s="59"/>
      <c r="I759" s="59"/>
      <c r="J759" s="59"/>
      <c r="K759" s="59"/>
      <c r="L759" s="59"/>
      <c r="M759" s="60"/>
      <c r="N759" s="60"/>
      <c r="O759" s="60"/>
      <c r="P759" s="59"/>
      <c r="Q759" s="59"/>
      <c r="R759" s="60"/>
      <c r="S759" s="60"/>
      <c r="T759" s="60"/>
      <c r="U759" s="60"/>
      <c r="V759" s="60"/>
      <c r="W759" s="60"/>
    </row>
    <row r="760" spans="1:23" ht="13" x14ac:dyDescent="0.3">
      <c r="A760" s="58"/>
      <c r="B760" s="58"/>
      <c r="C760" s="58"/>
      <c r="D760" s="58"/>
      <c r="E760" s="58"/>
      <c r="F760" s="58"/>
      <c r="G760" s="58"/>
      <c r="H760" s="59"/>
      <c r="I760" s="59"/>
      <c r="J760" s="59"/>
      <c r="K760" s="59"/>
      <c r="L760" s="59"/>
      <c r="M760" s="60"/>
      <c r="N760" s="60"/>
      <c r="O760" s="60"/>
      <c r="P760" s="59"/>
      <c r="Q760" s="59"/>
      <c r="R760" s="60"/>
      <c r="S760" s="60"/>
      <c r="T760" s="60"/>
      <c r="U760" s="60"/>
      <c r="V760" s="60"/>
      <c r="W760" s="60"/>
    </row>
    <row r="761" spans="1:23" ht="13" x14ac:dyDescent="0.3">
      <c r="A761" s="58"/>
      <c r="B761" s="58"/>
      <c r="C761" s="58"/>
      <c r="D761" s="58"/>
      <c r="E761" s="58"/>
      <c r="F761" s="58"/>
      <c r="G761" s="58"/>
      <c r="H761" s="59"/>
      <c r="I761" s="59"/>
      <c r="J761" s="59"/>
      <c r="K761" s="59"/>
      <c r="L761" s="59"/>
      <c r="M761" s="60"/>
      <c r="N761" s="60"/>
      <c r="O761" s="60"/>
      <c r="P761" s="59"/>
      <c r="Q761" s="59"/>
      <c r="R761" s="60"/>
      <c r="S761" s="60"/>
      <c r="T761" s="60"/>
      <c r="U761" s="60"/>
      <c r="V761" s="60"/>
      <c r="W761" s="60"/>
    </row>
    <row r="762" spans="1:23" ht="13" x14ac:dyDescent="0.3">
      <c r="A762" s="58"/>
      <c r="B762" s="58"/>
      <c r="C762" s="58"/>
      <c r="D762" s="58"/>
      <c r="E762" s="58"/>
      <c r="F762" s="58"/>
      <c r="G762" s="58"/>
      <c r="H762" s="59"/>
      <c r="I762" s="59"/>
      <c r="J762" s="59"/>
      <c r="K762" s="59"/>
      <c r="L762" s="59"/>
      <c r="M762" s="60"/>
      <c r="N762" s="60"/>
      <c r="O762" s="60"/>
      <c r="P762" s="59"/>
      <c r="Q762" s="59"/>
      <c r="R762" s="60"/>
      <c r="S762" s="60"/>
      <c r="T762" s="60"/>
      <c r="U762" s="60"/>
      <c r="V762" s="60"/>
      <c r="W762" s="60"/>
    </row>
    <row r="763" spans="1:23" ht="13" x14ac:dyDescent="0.3">
      <c r="A763" s="58"/>
      <c r="B763" s="58"/>
      <c r="C763" s="58"/>
      <c r="D763" s="58"/>
      <c r="E763" s="58"/>
      <c r="F763" s="58"/>
      <c r="G763" s="58"/>
      <c r="H763" s="59"/>
      <c r="I763" s="59"/>
      <c r="J763" s="59"/>
      <c r="K763" s="59"/>
      <c r="L763" s="59"/>
      <c r="M763" s="60"/>
      <c r="N763" s="60"/>
      <c r="O763" s="60"/>
      <c r="P763" s="59"/>
      <c r="Q763" s="59"/>
      <c r="R763" s="60"/>
      <c r="S763" s="60"/>
      <c r="T763" s="60"/>
      <c r="U763" s="60"/>
      <c r="V763" s="60"/>
      <c r="W763" s="60"/>
    </row>
    <row r="764" spans="1:23" ht="13" x14ac:dyDescent="0.3">
      <c r="A764" s="58"/>
      <c r="B764" s="58"/>
      <c r="C764" s="58"/>
      <c r="D764" s="58"/>
      <c r="E764" s="58"/>
      <c r="F764" s="58"/>
      <c r="G764" s="58"/>
      <c r="H764" s="59"/>
      <c r="I764" s="59"/>
      <c r="J764" s="59"/>
      <c r="K764" s="59"/>
      <c r="L764" s="59"/>
      <c r="M764" s="60"/>
      <c r="N764" s="60"/>
      <c r="O764" s="60"/>
      <c r="P764" s="59"/>
      <c r="Q764" s="59"/>
      <c r="R764" s="60"/>
      <c r="S764" s="60"/>
      <c r="T764" s="60"/>
      <c r="U764" s="60"/>
      <c r="V764" s="60"/>
      <c r="W764" s="60"/>
    </row>
    <row r="765" spans="1:23" ht="13" x14ac:dyDescent="0.3">
      <c r="A765" s="58"/>
      <c r="B765" s="58"/>
      <c r="C765" s="58"/>
      <c r="D765" s="58"/>
      <c r="E765" s="58"/>
      <c r="F765" s="58"/>
      <c r="G765" s="58"/>
      <c r="H765" s="59"/>
      <c r="I765" s="59"/>
      <c r="J765" s="59"/>
      <c r="K765" s="59"/>
      <c r="L765" s="59"/>
      <c r="M765" s="60"/>
      <c r="N765" s="60"/>
      <c r="O765" s="60"/>
      <c r="P765" s="59"/>
      <c r="Q765" s="59"/>
      <c r="R765" s="60"/>
      <c r="S765" s="60"/>
      <c r="T765" s="60"/>
      <c r="U765" s="60"/>
      <c r="V765" s="60"/>
      <c r="W765" s="60"/>
    </row>
    <row r="766" spans="1:23" ht="13" x14ac:dyDescent="0.3">
      <c r="A766" s="58"/>
      <c r="B766" s="58"/>
      <c r="C766" s="58"/>
      <c r="D766" s="58"/>
      <c r="E766" s="58"/>
      <c r="F766" s="58"/>
      <c r="G766" s="58"/>
      <c r="H766" s="59"/>
      <c r="I766" s="59"/>
      <c r="J766" s="59"/>
      <c r="K766" s="59"/>
      <c r="L766" s="59"/>
      <c r="M766" s="60"/>
      <c r="N766" s="60"/>
      <c r="O766" s="60"/>
      <c r="P766" s="59"/>
      <c r="Q766" s="59"/>
      <c r="R766" s="60"/>
      <c r="S766" s="60"/>
      <c r="T766" s="60"/>
      <c r="U766" s="60"/>
      <c r="V766" s="60"/>
      <c r="W766" s="60"/>
    </row>
    <row r="767" spans="1:23" ht="13" x14ac:dyDescent="0.3">
      <c r="A767" s="58"/>
      <c r="B767" s="58"/>
      <c r="C767" s="58"/>
      <c r="D767" s="58"/>
      <c r="E767" s="58"/>
      <c r="F767" s="58"/>
      <c r="G767" s="58"/>
      <c r="H767" s="59"/>
      <c r="I767" s="59"/>
      <c r="J767" s="59"/>
      <c r="K767" s="59"/>
      <c r="L767" s="59"/>
      <c r="M767" s="60"/>
      <c r="N767" s="60"/>
      <c r="O767" s="60"/>
      <c r="P767" s="59"/>
      <c r="Q767" s="59"/>
      <c r="R767" s="60"/>
      <c r="S767" s="60"/>
      <c r="T767" s="60"/>
      <c r="U767" s="60"/>
      <c r="V767" s="60"/>
      <c r="W767" s="60"/>
    </row>
    <row r="768" spans="1:23" ht="13" x14ac:dyDescent="0.3">
      <c r="A768" s="58"/>
      <c r="B768" s="58"/>
      <c r="C768" s="58"/>
      <c r="D768" s="58"/>
      <c r="E768" s="58"/>
      <c r="F768" s="58"/>
      <c r="G768" s="58"/>
      <c r="H768" s="59"/>
      <c r="I768" s="59"/>
      <c r="J768" s="59"/>
      <c r="K768" s="59"/>
      <c r="L768" s="59"/>
      <c r="M768" s="60"/>
      <c r="N768" s="60"/>
      <c r="O768" s="60"/>
      <c r="P768" s="59"/>
      <c r="Q768" s="59"/>
      <c r="R768" s="60"/>
      <c r="S768" s="60"/>
      <c r="T768" s="60"/>
      <c r="U768" s="60"/>
      <c r="V768" s="60"/>
      <c r="W768" s="60"/>
    </row>
    <row r="769" spans="1:23" ht="13" x14ac:dyDescent="0.3">
      <c r="A769" s="58"/>
      <c r="B769" s="58"/>
      <c r="C769" s="58"/>
      <c r="D769" s="58"/>
      <c r="E769" s="58"/>
      <c r="F769" s="58"/>
      <c r="G769" s="58"/>
      <c r="H769" s="59"/>
      <c r="I769" s="59"/>
      <c r="J769" s="59"/>
      <c r="K769" s="59"/>
      <c r="L769" s="59"/>
      <c r="M769" s="60"/>
      <c r="N769" s="60"/>
      <c r="O769" s="60"/>
      <c r="P769" s="59"/>
      <c r="Q769" s="59"/>
      <c r="R769" s="60"/>
      <c r="S769" s="60"/>
      <c r="T769" s="60"/>
      <c r="U769" s="60"/>
      <c r="V769" s="60"/>
      <c r="W769" s="60"/>
    </row>
    <row r="770" spans="1:23" ht="13" x14ac:dyDescent="0.3">
      <c r="A770" s="58"/>
      <c r="B770" s="58"/>
      <c r="C770" s="58"/>
      <c r="D770" s="58"/>
      <c r="E770" s="58"/>
      <c r="F770" s="58"/>
      <c r="G770" s="58"/>
      <c r="H770" s="59"/>
      <c r="I770" s="59"/>
      <c r="J770" s="59"/>
      <c r="K770" s="59"/>
      <c r="L770" s="59"/>
      <c r="M770" s="60"/>
      <c r="N770" s="60"/>
      <c r="O770" s="60"/>
      <c r="P770" s="59"/>
      <c r="Q770" s="59"/>
      <c r="R770" s="60"/>
      <c r="S770" s="60"/>
      <c r="T770" s="60"/>
      <c r="U770" s="60"/>
      <c r="V770" s="60"/>
      <c r="W770" s="60"/>
    </row>
    <row r="771" spans="1:23" ht="13" x14ac:dyDescent="0.3">
      <c r="A771" s="58"/>
      <c r="B771" s="58"/>
      <c r="C771" s="58"/>
      <c r="D771" s="58"/>
      <c r="E771" s="58"/>
      <c r="F771" s="58"/>
      <c r="G771" s="58"/>
      <c r="H771" s="59"/>
      <c r="I771" s="59"/>
      <c r="J771" s="59"/>
      <c r="K771" s="59"/>
      <c r="L771" s="59"/>
      <c r="M771" s="60"/>
      <c r="N771" s="60"/>
      <c r="O771" s="60"/>
      <c r="P771" s="59"/>
      <c r="Q771" s="59"/>
      <c r="R771" s="60"/>
      <c r="S771" s="60"/>
      <c r="T771" s="60"/>
      <c r="U771" s="60"/>
      <c r="V771" s="60"/>
      <c r="W771" s="60"/>
    </row>
    <row r="772" spans="1:23" ht="13" x14ac:dyDescent="0.3">
      <c r="A772" s="58"/>
      <c r="B772" s="58"/>
      <c r="C772" s="58"/>
      <c r="D772" s="58"/>
      <c r="E772" s="58"/>
      <c r="F772" s="58"/>
      <c r="G772" s="58"/>
      <c r="H772" s="59"/>
      <c r="I772" s="59"/>
      <c r="J772" s="59"/>
      <c r="K772" s="59"/>
      <c r="L772" s="59"/>
      <c r="M772" s="60"/>
      <c r="N772" s="60"/>
      <c r="O772" s="60"/>
      <c r="P772" s="59"/>
      <c r="Q772" s="59"/>
      <c r="R772" s="60"/>
      <c r="S772" s="60"/>
      <c r="T772" s="60"/>
      <c r="U772" s="60"/>
      <c r="V772" s="60"/>
      <c r="W772" s="60"/>
    </row>
    <row r="773" spans="1:23" ht="13" x14ac:dyDescent="0.3">
      <c r="A773" s="58"/>
      <c r="B773" s="58"/>
      <c r="C773" s="58"/>
      <c r="D773" s="58"/>
      <c r="E773" s="58"/>
      <c r="F773" s="58"/>
      <c r="G773" s="58"/>
      <c r="H773" s="59"/>
      <c r="I773" s="59"/>
      <c r="J773" s="59"/>
      <c r="K773" s="59"/>
      <c r="L773" s="59"/>
      <c r="M773" s="60"/>
      <c r="N773" s="60"/>
      <c r="O773" s="60"/>
      <c r="P773" s="59"/>
      <c r="Q773" s="59"/>
      <c r="R773" s="60"/>
      <c r="S773" s="60"/>
      <c r="T773" s="60"/>
      <c r="U773" s="60"/>
      <c r="V773" s="60"/>
      <c r="W773" s="60"/>
    </row>
    <row r="774" spans="1:23" ht="13" x14ac:dyDescent="0.3">
      <c r="A774" s="58"/>
      <c r="B774" s="58"/>
      <c r="C774" s="58"/>
      <c r="D774" s="58"/>
      <c r="E774" s="58"/>
      <c r="F774" s="58"/>
      <c r="G774" s="58"/>
      <c r="H774" s="59"/>
      <c r="I774" s="59"/>
      <c r="J774" s="59"/>
      <c r="K774" s="59"/>
      <c r="L774" s="59"/>
      <c r="M774" s="60"/>
      <c r="N774" s="60"/>
      <c r="O774" s="60"/>
      <c r="P774" s="59"/>
      <c r="Q774" s="59"/>
      <c r="R774" s="60"/>
      <c r="S774" s="60"/>
      <c r="T774" s="60"/>
      <c r="U774" s="60"/>
      <c r="V774" s="60"/>
      <c r="W774" s="60"/>
    </row>
    <row r="775" spans="1:23" ht="13" x14ac:dyDescent="0.3">
      <c r="A775" s="58"/>
      <c r="B775" s="58"/>
      <c r="C775" s="58"/>
      <c r="D775" s="58"/>
      <c r="E775" s="58"/>
      <c r="F775" s="58"/>
      <c r="G775" s="58"/>
      <c r="H775" s="59"/>
      <c r="I775" s="59"/>
      <c r="J775" s="59"/>
      <c r="K775" s="59"/>
      <c r="L775" s="59"/>
      <c r="M775" s="60"/>
      <c r="N775" s="60"/>
      <c r="O775" s="60"/>
      <c r="P775" s="59"/>
      <c r="Q775" s="59"/>
      <c r="R775" s="60"/>
      <c r="S775" s="60"/>
      <c r="T775" s="60"/>
      <c r="U775" s="60"/>
      <c r="V775" s="60"/>
      <c r="W775" s="60"/>
    </row>
    <row r="776" spans="1:23" ht="13" x14ac:dyDescent="0.3">
      <c r="A776" s="58"/>
      <c r="B776" s="58"/>
      <c r="C776" s="58"/>
      <c r="D776" s="58"/>
      <c r="E776" s="58"/>
      <c r="F776" s="58"/>
      <c r="G776" s="58"/>
      <c r="H776" s="59"/>
      <c r="I776" s="59"/>
      <c r="J776" s="59"/>
      <c r="K776" s="59"/>
      <c r="L776" s="59"/>
      <c r="M776" s="60"/>
      <c r="N776" s="60"/>
      <c r="O776" s="60"/>
      <c r="P776" s="59"/>
      <c r="Q776" s="59"/>
      <c r="R776" s="60"/>
      <c r="S776" s="60"/>
      <c r="T776" s="60"/>
      <c r="U776" s="60"/>
      <c r="V776" s="60"/>
      <c r="W776" s="60"/>
    </row>
    <row r="777" spans="1:23" ht="13" x14ac:dyDescent="0.3">
      <c r="A777" s="58"/>
      <c r="B777" s="58"/>
      <c r="C777" s="58"/>
      <c r="D777" s="58"/>
      <c r="E777" s="58"/>
      <c r="F777" s="58"/>
      <c r="G777" s="58"/>
      <c r="H777" s="59"/>
      <c r="I777" s="59"/>
      <c r="J777" s="59"/>
      <c r="K777" s="59"/>
      <c r="L777" s="59"/>
      <c r="M777" s="60"/>
      <c r="N777" s="60"/>
      <c r="O777" s="60"/>
      <c r="P777" s="59"/>
      <c r="Q777" s="59"/>
      <c r="R777" s="60"/>
      <c r="S777" s="60"/>
      <c r="T777" s="60"/>
      <c r="U777" s="60"/>
      <c r="V777" s="60"/>
      <c r="W777" s="60"/>
    </row>
    <row r="778" spans="1:23" ht="13" x14ac:dyDescent="0.3">
      <c r="A778" s="58"/>
      <c r="B778" s="58"/>
      <c r="C778" s="58"/>
      <c r="D778" s="58"/>
      <c r="E778" s="58"/>
      <c r="F778" s="58"/>
      <c r="G778" s="58"/>
      <c r="H778" s="59"/>
      <c r="I778" s="59"/>
      <c r="J778" s="59"/>
      <c r="K778" s="59"/>
      <c r="L778" s="59"/>
      <c r="M778" s="60"/>
      <c r="N778" s="60"/>
      <c r="O778" s="60"/>
      <c r="P778" s="59"/>
      <c r="Q778" s="59"/>
      <c r="R778" s="60"/>
      <c r="S778" s="60"/>
      <c r="T778" s="60"/>
      <c r="U778" s="60"/>
      <c r="V778" s="60"/>
      <c r="W778" s="60"/>
    </row>
    <row r="779" spans="1:23" ht="13" x14ac:dyDescent="0.3">
      <c r="A779" s="58"/>
      <c r="B779" s="58"/>
      <c r="C779" s="58"/>
      <c r="D779" s="58"/>
      <c r="E779" s="58"/>
      <c r="F779" s="58"/>
      <c r="G779" s="58"/>
      <c r="H779" s="59"/>
      <c r="I779" s="59"/>
      <c r="J779" s="59"/>
      <c r="K779" s="59"/>
      <c r="L779" s="59"/>
      <c r="M779" s="60"/>
      <c r="N779" s="60"/>
      <c r="O779" s="60"/>
      <c r="P779" s="59"/>
      <c r="Q779" s="59"/>
      <c r="R779" s="60"/>
      <c r="S779" s="60"/>
      <c r="T779" s="60"/>
      <c r="U779" s="60"/>
      <c r="V779" s="60"/>
      <c r="W779" s="60"/>
    </row>
    <row r="780" spans="1:23" ht="13" x14ac:dyDescent="0.3">
      <c r="A780" s="58"/>
      <c r="B780" s="58"/>
      <c r="C780" s="58"/>
      <c r="D780" s="58"/>
      <c r="E780" s="58"/>
      <c r="F780" s="58"/>
      <c r="G780" s="58"/>
      <c r="H780" s="59"/>
      <c r="I780" s="59"/>
      <c r="J780" s="59"/>
      <c r="K780" s="59"/>
      <c r="L780" s="59"/>
      <c r="M780" s="60"/>
      <c r="N780" s="60"/>
      <c r="O780" s="60"/>
      <c r="P780" s="59"/>
      <c r="Q780" s="59"/>
      <c r="R780" s="60"/>
      <c r="S780" s="60"/>
      <c r="T780" s="60"/>
      <c r="U780" s="60"/>
      <c r="V780" s="60"/>
      <c r="W780" s="60"/>
    </row>
    <row r="781" spans="1:23" ht="13" x14ac:dyDescent="0.3">
      <c r="A781" s="58"/>
      <c r="B781" s="58"/>
      <c r="C781" s="58"/>
      <c r="D781" s="58"/>
      <c r="E781" s="58"/>
      <c r="F781" s="58"/>
      <c r="G781" s="58"/>
      <c r="H781" s="59"/>
      <c r="I781" s="59"/>
      <c r="J781" s="59"/>
      <c r="K781" s="59"/>
      <c r="L781" s="59"/>
      <c r="M781" s="60"/>
      <c r="N781" s="60"/>
      <c r="O781" s="60"/>
      <c r="P781" s="59"/>
      <c r="Q781" s="59"/>
      <c r="R781" s="60"/>
      <c r="S781" s="60"/>
      <c r="T781" s="60"/>
      <c r="U781" s="60"/>
      <c r="V781" s="60"/>
      <c r="W781" s="60"/>
    </row>
    <row r="782" spans="1:23" ht="13" x14ac:dyDescent="0.3">
      <c r="A782" s="58"/>
      <c r="B782" s="58"/>
      <c r="C782" s="58"/>
      <c r="D782" s="58"/>
      <c r="E782" s="58"/>
      <c r="F782" s="58"/>
      <c r="G782" s="58"/>
      <c r="H782" s="59"/>
      <c r="I782" s="59"/>
      <c r="J782" s="59"/>
      <c r="K782" s="59"/>
      <c r="L782" s="59"/>
      <c r="M782" s="60"/>
      <c r="N782" s="60"/>
      <c r="O782" s="60"/>
      <c r="P782" s="59"/>
      <c r="Q782" s="59"/>
      <c r="R782" s="60"/>
      <c r="S782" s="60"/>
      <c r="T782" s="60"/>
      <c r="U782" s="60"/>
      <c r="V782" s="60"/>
      <c r="W782" s="60"/>
    </row>
    <row r="783" spans="1:23" ht="13" x14ac:dyDescent="0.3">
      <c r="A783" s="58"/>
      <c r="B783" s="58"/>
      <c r="C783" s="58"/>
      <c r="D783" s="58"/>
      <c r="E783" s="58"/>
      <c r="F783" s="58"/>
      <c r="G783" s="58"/>
      <c r="H783" s="59"/>
      <c r="I783" s="59"/>
      <c r="J783" s="59"/>
      <c r="K783" s="59"/>
      <c r="L783" s="59"/>
      <c r="M783" s="60"/>
      <c r="N783" s="60"/>
      <c r="O783" s="60"/>
      <c r="P783" s="59"/>
      <c r="Q783" s="59"/>
      <c r="R783" s="60"/>
      <c r="S783" s="60"/>
      <c r="T783" s="60"/>
      <c r="U783" s="60"/>
      <c r="V783" s="60"/>
      <c r="W783" s="60"/>
    </row>
    <row r="784" spans="1:23" ht="13" x14ac:dyDescent="0.3">
      <c r="A784" s="58"/>
      <c r="B784" s="58"/>
      <c r="C784" s="58"/>
      <c r="D784" s="58"/>
      <c r="E784" s="58"/>
      <c r="F784" s="58"/>
      <c r="G784" s="58"/>
      <c r="H784" s="59"/>
      <c r="I784" s="59"/>
      <c r="J784" s="59"/>
      <c r="K784" s="59"/>
      <c r="L784" s="59"/>
      <c r="M784" s="60"/>
      <c r="N784" s="60"/>
      <c r="O784" s="60"/>
      <c r="P784" s="59"/>
      <c r="Q784" s="59"/>
      <c r="R784" s="60"/>
      <c r="S784" s="60"/>
      <c r="T784" s="60"/>
      <c r="U784" s="60"/>
      <c r="V784" s="60"/>
      <c r="W784" s="60"/>
    </row>
    <row r="785" spans="1:23" ht="13" x14ac:dyDescent="0.3">
      <c r="A785" s="58"/>
      <c r="B785" s="58"/>
      <c r="C785" s="58"/>
      <c r="D785" s="58"/>
      <c r="E785" s="58"/>
      <c r="F785" s="58"/>
      <c r="G785" s="58"/>
      <c r="H785" s="59"/>
      <c r="I785" s="59"/>
      <c r="J785" s="59"/>
      <c r="K785" s="59"/>
      <c r="L785" s="59"/>
      <c r="M785" s="60"/>
      <c r="N785" s="60"/>
      <c r="O785" s="60"/>
      <c r="P785" s="59"/>
      <c r="Q785" s="59"/>
      <c r="R785" s="60"/>
      <c r="S785" s="60"/>
      <c r="T785" s="60"/>
      <c r="U785" s="60"/>
      <c r="V785" s="60"/>
      <c r="W785" s="60"/>
    </row>
    <row r="786" spans="1:23" ht="13" x14ac:dyDescent="0.3">
      <c r="A786" s="58"/>
      <c r="B786" s="58"/>
      <c r="C786" s="58"/>
      <c r="D786" s="58"/>
      <c r="E786" s="58"/>
      <c r="F786" s="58"/>
      <c r="G786" s="58"/>
      <c r="H786" s="59"/>
      <c r="I786" s="59"/>
      <c r="J786" s="59"/>
      <c r="K786" s="59"/>
      <c r="L786" s="59"/>
      <c r="M786" s="60"/>
      <c r="N786" s="60"/>
      <c r="O786" s="60"/>
      <c r="P786" s="59"/>
      <c r="Q786" s="59"/>
      <c r="R786" s="60"/>
      <c r="S786" s="60"/>
      <c r="T786" s="60"/>
      <c r="U786" s="60"/>
      <c r="V786" s="60"/>
      <c r="W786" s="60"/>
    </row>
    <row r="787" spans="1:23" ht="13" x14ac:dyDescent="0.3">
      <c r="A787" s="58"/>
      <c r="B787" s="58"/>
      <c r="C787" s="58"/>
      <c r="D787" s="58"/>
      <c r="E787" s="58"/>
      <c r="F787" s="58"/>
      <c r="G787" s="58"/>
      <c r="H787" s="59"/>
      <c r="I787" s="59"/>
      <c r="J787" s="59"/>
      <c r="K787" s="59"/>
      <c r="L787" s="59"/>
      <c r="M787" s="60"/>
      <c r="N787" s="60"/>
      <c r="O787" s="60"/>
      <c r="P787" s="59"/>
      <c r="Q787" s="59"/>
      <c r="R787" s="60"/>
      <c r="S787" s="60"/>
      <c r="T787" s="60"/>
      <c r="U787" s="60"/>
      <c r="V787" s="60"/>
      <c r="W787" s="60"/>
    </row>
    <row r="788" spans="1:23" ht="13" x14ac:dyDescent="0.3">
      <c r="A788" s="58"/>
      <c r="B788" s="58"/>
      <c r="C788" s="58"/>
      <c r="D788" s="58"/>
      <c r="E788" s="58"/>
      <c r="F788" s="58"/>
      <c r="G788" s="58"/>
      <c r="H788" s="59"/>
      <c r="I788" s="59"/>
      <c r="J788" s="59"/>
      <c r="K788" s="59"/>
      <c r="L788" s="59"/>
      <c r="M788" s="60"/>
      <c r="N788" s="60"/>
      <c r="O788" s="60"/>
      <c r="P788" s="59"/>
      <c r="Q788" s="59"/>
      <c r="R788" s="60"/>
      <c r="S788" s="60"/>
      <c r="T788" s="60"/>
      <c r="U788" s="60"/>
      <c r="V788" s="60"/>
      <c r="W788" s="60"/>
    </row>
    <row r="789" spans="1:23" ht="13" x14ac:dyDescent="0.3">
      <c r="A789" s="58"/>
      <c r="B789" s="58"/>
      <c r="C789" s="58"/>
      <c r="D789" s="58"/>
      <c r="E789" s="58"/>
      <c r="F789" s="58"/>
      <c r="G789" s="58"/>
      <c r="H789" s="59"/>
      <c r="I789" s="59"/>
      <c r="J789" s="59"/>
      <c r="K789" s="59"/>
      <c r="L789" s="59"/>
      <c r="M789" s="60"/>
      <c r="N789" s="60"/>
      <c r="O789" s="60"/>
      <c r="P789" s="59"/>
      <c r="Q789" s="59"/>
      <c r="R789" s="60"/>
      <c r="S789" s="60"/>
      <c r="T789" s="60"/>
      <c r="U789" s="60"/>
      <c r="V789" s="60"/>
      <c r="W789" s="60"/>
    </row>
    <row r="790" spans="1:23" ht="13" x14ac:dyDescent="0.3">
      <c r="A790" s="58"/>
      <c r="B790" s="58"/>
      <c r="C790" s="58"/>
      <c r="D790" s="58"/>
      <c r="E790" s="58"/>
      <c r="F790" s="58"/>
      <c r="G790" s="58"/>
      <c r="H790" s="59"/>
      <c r="I790" s="59"/>
      <c r="J790" s="59"/>
      <c r="K790" s="59"/>
      <c r="L790" s="59"/>
      <c r="M790" s="60"/>
      <c r="N790" s="60"/>
      <c r="O790" s="60"/>
      <c r="P790" s="59"/>
      <c r="Q790" s="59"/>
      <c r="R790" s="60"/>
      <c r="S790" s="60"/>
      <c r="T790" s="60"/>
      <c r="U790" s="60"/>
      <c r="V790" s="60"/>
      <c r="W790" s="60"/>
    </row>
    <row r="791" spans="1:23" ht="13" x14ac:dyDescent="0.3">
      <c r="A791" s="58"/>
      <c r="B791" s="58"/>
      <c r="C791" s="58"/>
      <c r="D791" s="58"/>
      <c r="E791" s="58"/>
      <c r="F791" s="58"/>
      <c r="G791" s="58"/>
      <c r="H791" s="59"/>
      <c r="I791" s="59"/>
      <c r="J791" s="59"/>
      <c r="K791" s="59"/>
      <c r="L791" s="59"/>
      <c r="M791" s="60"/>
      <c r="N791" s="60"/>
      <c r="O791" s="60"/>
      <c r="P791" s="59"/>
      <c r="Q791" s="59"/>
      <c r="R791" s="60"/>
      <c r="S791" s="60"/>
      <c r="T791" s="60"/>
      <c r="U791" s="60"/>
      <c r="V791" s="60"/>
      <c r="W791" s="60"/>
    </row>
    <row r="792" spans="1:23" ht="13" x14ac:dyDescent="0.3">
      <c r="A792" s="58"/>
      <c r="B792" s="58"/>
      <c r="C792" s="58"/>
      <c r="D792" s="58"/>
      <c r="E792" s="58"/>
      <c r="F792" s="58"/>
      <c r="G792" s="58"/>
      <c r="H792" s="59"/>
      <c r="I792" s="59"/>
      <c r="J792" s="59"/>
      <c r="K792" s="59"/>
      <c r="L792" s="59"/>
      <c r="M792" s="60"/>
      <c r="N792" s="60"/>
      <c r="O792" s="60"/>
      <c r="P792" s="59"/>
      <c r="Q792" s="59"/>
      <c r="R792" s="60"/>
      <c r="S792" s="60"/>
      <c r="T792" s="60"/>
      <c r="U792" s="60"/>
      <c r="V792" s="60"/>
      <c r="W792" s="60"/>
    </row>
    <row r="793" spans="1:23" ht="13" x14ac:dyDescent="0.3">
      <c r="A793" s="58"/>
      <c r="B793" s="58"/>
      <c r="C793" s="58"/>
      <c r="D793" s="58"/>
      <c r="E793" s="58"/>
      <c r="F793" s="58"/>
      <c r="G793" s="58"/>
      <c r="H793" s="59"/>
      <c r="I793" s="59"/>
      <c r="J793" s="59"/>
      <c r="K793" s="59"/>
      <c r="L793" s="59"/>
      <c r="M793" s="60"/>
      <c r="N793" s="60"/>
      <c r="O793" s="60"/>
      <c r="P793" s="59"/>
      <c r="Q793" s="59"/>
      <c r="R793" s="60"/>
      <c r="S793" s="60"/>
      <c r="T793" s="60"/>
      <c r="U793" s="60"/>
      <c r="V793" s="60"/>
      <c r="W793" s="60"/>
    </row>
    <row r="794" spans="1:23" ht="13" x14ac:dyDescent="0.3">
      <c r="A794" s="58"/>
      <c r="B794" s="58"/>
      <c r="C794" s="58"/>
      <c r="D794" s="58"/>
      <c r="E794" s="58"/>
      <c r="F794" s="58"/>
      <c r="G794" s="58"/>
      <c r="H794" s="59"/>
      <c r="I794" s="59"/>
      <c r="J794" s="59"/>
      <c r="K794" s="59"/>
      <c r="L794" s="59"/>
      <c r="M794" s="60"/>
      <c r="N794" s="60"/>
      <c r="O794" s="60"/>
      <c r="P794" s="59"/>
      <c r="Q794" s="59"/>
      <c r="R794" s="60"/>
      <c r="S794" s="60"/>
      <c r="T794" s="60"/>
      <c r="U794" s="60"/>
      <c r="V794" s="60"/>
      <c r="W794" s="60"/>
    </row>
    <row r="795" spans="1:23" ht="13" x14ac:dyDescent="0.3">
      <c r="A795" s="58"/>
      <c r="B795" s="58"/>
      <c r="C795" s="58"/>
      <c r="D795" s="58"/>
      <c r="E795" s="58"/>
      <c r="F795" s="58"/>
      <c r="G795" s="58"/>
      <c r="H795" s="59"/>
      <c r="I795" s="59"/>
      <c r="J795" s="59"/>
      <c r="K795" s="59"/>
      <c r="L795" s="59"/>
      <c r="M795" s="60"/>
      <c r="N795" s="60"/>
      <c r="O795" s="60"/>
      <c r="P795" s="59"/>
      <c r="Q795" s="59"/>
      <c r="R795" s="60"/>
      <c r="S795" s="60"/>
      <c r="T795" s="60"/>
      <c r="U795" s="60"/>
      <c r="V795" s="60"/>
      <c r="W795" s="60"/>
    </row>
    <row r="796" spans="1:23" ht="13" x14ac:dyDescent="0.3">
      <c r="A796" s="58"/>
      <c r="B796" s="58"/>
      <c r="C796" s="58"/>
      <c r="D796" s="58"/>
      <c r="E796" s="58"/>
      <c r="F796" s="58"/>
      <c r="G796" s="58"/>
      <c r="H796" s="59"/>
      <c r="I796" s="59"/>
      <c r="J796" s="59"/>
      <c r="K796" s="59"/>
      <c r="L796" s="59"/>
      <c r="M796" s="60"/>
      <c r="N796" s="60"/>
      <c r="O796" s="60"/>
      <c r="P796" s="59"/>
      <c r="Q796" s="59"/>
      <c r="R796" s="60"/>
      <c r="S796" s="60"/>
      <c r="T796" s="60"/>
      <c r="U796" s="60"/>
      <c r="V796" s="60"/>
      <c r="W796" s="60"/>
    </row>
    <row r="797" spans="1:23" ht="13" x14ac:dyDescent="0.3">
      <c r="A797" s="58"/>
      <c r="B797" s="58"/>
      <c r="C797" s="58"/>
      <c r="D797" s="58"/>
      <c r="E797" s="58"/>
      <c r="F797" s="58"/>
      <c r="G797" s="58"/>
      <c r="H797" s="59"/>
      <c r="I797" s="59"/>
      <c r="J797" s="59"/>
      <c r="K797" s="59"/>
      <c r="L797" s="59"/>
      <c r="M797" s="60"/>
      <c r="N797" s="60"/>
      <c r="O797" s="60"/>
      <c r="P797" s="59"/>
      <c r="Q797" s="59"/>
      <c r="R797" s="60"/>
      <c r="S797" s="60"/>
      <c r="T797" s="60"/>
      <c r="U797" s="60"/>
      <c r="V797" s="60"/>
      <c r="W797" s="60"/>
    </row>
    <row r="798" spans="1:23" ht="13" x14ac:dyDescent="0.3">
      <c r="A798" s="58"/>
      <c r="B798" s="58"/>
      <c r="C798" s="58"/>
      <c r="D798" s="58"/>
      <c r="E798" s="58"/>
      <c r="F798" s="58"/>
      <c r="G798" s="58"/>
      <c r="H798" s="59"/>
      <c r="I798" s="59"/>
      <c r="J798" s="59"/>
      <c r="K798" s="59"/>
      <c r="L798" s="59"/>
      <c r="M798" s="60"/>
      <c r="N798" s="60"/>
      <c r="O798" s="60"/>
      <c r="P798" s="59"/>
      <c r="Q798" s="59"/>
      <c r="R798" s="60"/>
      <c r="S798" s="60"/>
      <c r="T798" s="60"/>
      <c r="U798" s="60"/>
      <c r="V798" s="60"/>
      <c r="W798" s="60"/>
    </row>
    <row r="799" spans="1:23" ht="13" x14ac:dyDescent="0.3">
      <c r="A799" s="58"/>
      <c r="B799" s="58"/>
      <c r="C799" s="58"/>
      <c r="D799" s="58"/>
      <c r="E799" s="58"/>
      <c r="F799" s="58"/>
      <c r="G799" s="58"/>
      <c r="H799" s="59"/>
      <c r="I799" s="59"/>
      <c r="J799" s="59"/>
      <c r="K799" s="59"/>
      <c r="L799" s="59"/>
      <c r="M799" s="60"/>
      <c r="N799" s="60"/>
      <c r="O799" s="60"/>
      <c r="P799" s="59"/>
      <c r="Q799" s="59"/>
      <c r="R799" s="60"/>
      <c r="S799" s="60"/>
      <c r="T799" s="60"/>
      <c r="U799" s="60"/>
      <c r="V799" s="60"/>
      <c r="W799" s="60"/>
    </row>
    <row r="800" spans="1:23" ht="13" x14ac:dyDescent="0.3">
      <c r="A800" s="58"/>
      <c r="B800" s="58"/>
      <c r="C800" s="58"/>
      <c r="D800" s="58"/>
      <c r="E800" s="58"/>
      <c r="F800" s="58"/>
      <c r="G800" s="58"/>
      <c r="H800" s="59"/>
      <c r="I800" s="59"/>
      <c r="J800" s="59"/>
      <c r="K800" s="59"/>
      <c r="L800" s="59"/>
      <c r="M800" s="60"/>
      <c r="N800" s="60"/>
      <c r="O800" s="60"/>
      <c r="P800" s="59"/>
      <c r="Q800" s="59"/>
      <c r="R800" s="60"/>
      <c r="S800" s="60"/>
      <c r="T800" s="60"/>
      <c r="U800" s="60"/>
      <c r="V800" s="60"/>
      <c r="W800" s="60"/>
    </row>
    <row r="801" spans="1:23" ht="13" x14ac:dyDescent="0.3">
      <c r="A801" s="58"/>
      <c r="B801" s="58"/>
      <c r="C801" s="58"/>
      <c r="D801" s="58"/>
      <c r="E801" s="58"/>
      <c r="F801" s="58"/>
      <c r="G801" s="58"/>
      <c r="H801" s="59"/>
      <c r="I801" s="59"/>
      <c r="J801" s="59"/>
      <c r="K801" s="59"/>
      <c r="L801" s="59"/>
      <c r="M801" s="60"/>
      <c r="N801" s="60"/>
      <c r="O801" s="60"/>
      <c r="P801" s="59"/>
      <c r="Q801" s="59"/>
      <c r="R801" s="60"/>
      <c r="S801" s="60"/>
      <c r="T801" s="60"/>
      <c r="U801" s="60"/>
      <c r="V801" s="60"/>
      <c r="W801" s="60"/>
    </row>
    <row r="802" spans="1:23" ht="13" x14ac:dyDescent="0.3">
      <c r="A802" s="58"/>
      <c r="B802" s="58"/>
      <c r="C802" s="58"/>
      <c r="D802" s="58"/>
      <c r="E802" s="58"/>
      <c r="F802" s="58"/>
      <c r="G802" s="58"/>
      <c r="H802" s="59"/>
      <c r="I802" s="59"/>
      <c r="J802" s="59"/>
      <c r="K802" s="59"/>
      <c r="L802" s="59"/>
      <c r="M802" s="60"/>
      <c r="N802" s="60"/>
      <c r="O802" s="60"/>
      <c r="P802" s="59"/>
      <c r="Q802" s="59"/>
      <c r="R802" s="60"/>
      <c r="S802" s="60"/>
      <c r="T802" s="60"/>
      <c r="U802" s="60"/>
      <c r="V802" s="60"/>
      <c r="W802" s="60"/>
    </row>
    <row r="803" spans="1:23" ht="13" x14ac:dyDescent="0.3">
      <c r="A803" s="58"/>
      <c r="B803" s="58"/>
      <c r="C803" s="58"/>
      <c r="D803" s="58"/>
      <c r="E803" s="58"/>
      <c r="F803" s="58"/>
      <c r="G803" s="58"/>
      <c r="H803" s="59"/>
      <c r="I803" s="59"/>
      <c r="J803" s="59"/>
      <c r="K803" s="59"/>
      <c r="L803" s="59"/>
      <c r="M803" s="60"/>
      <c r="N803" s="60"/>
      <c r="O803" s="60"/>
      <c r="P803" s="59"/>
      <c r="Q803" s="59"/>
      <c r="R803" s="60"/>
      <c r="S803" s="60"/>
      <c r="T803" s="60"/>
      <c r="U803" s="60"/>
      <c r="V803" s="60"/>
      <c r="W803" s="60"/>
    </row>
    <row r="804" spans="1:23" ht="13" x14ac:dyDescent="0.3">
      <c r="A804" s="58"/>
      <c r="B804" s="58"/>
      <c r="C804" s="58"/>
      <c r="D804" s="58"/>
      <c r="E804" s="58"/>
      <c r="F804" s="58"/>
      <c r="G804" s="58"/>
      <c r="H804" s="59"/>
      <c r="I804" s="59"/>
      <c r="J804" s="59"/>
      <c r="K804" s="59"/>
      <c r="L804" s="59"/>
      <c r="M804" s="60"/>
      <c r="N804" s="60"/>
      <c r="O804" s="60"/>
      <c r="P804" s="59"/>
      <c r="Q804" s="59"/>
      <c r="R804" s="60"/>
      <c r="S804" s="60"/>
      <c r="T804" s="60"/>
      <c r="U804" s="60"/>
      <c r="V804" s="60"/>
      <c r="W804" s="60"/>
    </row>
    <row r="805" spans="1:23" ht="13" x14ac:dyDescent="0.3">
      <c r="A805" s="58"/>
      <c r="B805" s="58"/>
      <c r="C805" s="58"/>
      <c r="D805" s="58"/>
      <c r="E805" s="58"/>
      <c r="F805" s="58"/>
      <c r="G805" s="58"/>
      <c r="H805" s="59"/>
      <c r="I805" s="59"/>
      <c r="J805" s="59"/>
      <c r="K805" s="59"/>
      <c r="L805" s="59"/>
      <c r="M805" s="60"/>
      <c r="N805" s="60"/>
      <c r="O805" s="60"/>
      <c r="P805" s="59"/>
      <c r="Q805" s="59"/>
      <c r="R805" s="60"/>
      <c r="S805" s="60"/>
      <c r="T805" s="60"/>
      <c r="U805" s="60"/>
      <c r="V805" s="60"/>
      <c r="W805" s="60"/>
    </row>
    <row r="806" spans="1:23" ht="13" x14ac:dyDescent="0.3">
      <c r="A806" s="58"/>
      <c r="B806" s="58"/>
      <c r="C806" s="58"/>
      <c r="D806" s="58"/>
      <c r="E806" s="58"/>
      <c r="F806" s="58"/>
      <c r="G806" s="58"/>
      <c r="H806" s="59"/>
      <c r="I806" s="59"/>
      <c r="J806" s="59"/>
      <c r="K806" s="59"/>
      <c r="L806" s="59"/>
      <c r="M806" s="60"/>
      <c r="N806" s="60"/>
      <c r="O806" s="60"/>
      <c r="P806" s="59"/>
      <c r="Q806" s="59"/>
      <c r="R806" s="60"/>
      <c r="S806" s="60"/>
      <c r="T806" s="60"/>
      <c r="U806" s="60"/>
      <c r="V806" s="60"/>
      <c r="W806" s="60"/>
    </row>
    <row r="807" spans="1:23" ht="13" x14ac:dyDescent="0.3">
      <c r="A807" s="58"/>
      <c r="B807" s="58"/>
      <c r="C807" s="58"/>
      <c r="D807" s="58"/>
      <c r="E807" s="58"/>
      <c r="F807" s="58"/>
      <c r="G807" s="58"/>
      <c r="H807" s="59"/>
      <c r="I807" s="59"/>
      <c r="J807" s="59"/>
      <c r="K807" s="59"/>
      <c r="L807" s="59"/>
      <c r="M807" s="60"/>
      <c r="N807" s="60"/>
      <c r="O807" s="60"/>
      <c r="P807" s="59"/>
      <c r="Q807" s="59"/>
      <c r="R807" s="60"/>
      <c r="S807" s="60"/>
      <c r="T807" s="60"/>
      <c r="U807" s="60"/>
      <c r="V807" s="60"/>
      <c r="W807" s="60"/>
    </row>
    <row r="808" spans="1:23" ht="13" x14ac:dyDescent="0.3">
      <c r="A808" s="58"/>
      <c r="B808" s="58"/>
      <c r="C808" s="58"/>
      <c r="D808" s="58"/>
      <c r="E808" s="58"/>
      <c r="F808" s="58"/>
      <c r="G808" s="58"/>
      <c r="H808" s="59"/>
      <c r="I808" s="59"/>
      <c r="J808" s="59"/>
      <c r="K808" s="59"/>
      <c r="L808" s="59"/>
      <c r="M808" s="60"/>
      <c r="N808" s="60"/>
      <c r="O808" s="60"/>
      <c r="P808" s="59"/>
      <c r="Q808" s="59"/>
      <c r="R808" s="60"/>
      <c r="S808" s="60"/>
      <c r="T808" s="60"/>
      <c r="U808" s="60"/>
      <c r="V808" s="60"/>
      <c r="W808" s="60"/>
    </row>
    <row r="809" spans="1:23" ht="13" x14ac:dyDescent="0.3">
      <c r="A809" s="58"/>
      <c r="B809" s="58"/>
      <c r="C809" s="58"/>
      <c r="D809" s="58"/>
      <c r="E809" s="58"/>
      <c r="F809" s="58"/>
      <c r="G809" s="58"/>
      <c r="H809" s="59"/>
      <c r="I809" s="59"/>
      <c r="J809" s="59"/>
      <c r="K809" s="59"/>
      <c r="L809" s="59"/>
      <c r="M809" s="60"/>
      <c r="N809" s="60"/>
      <c r="O809" s="60"/>
      <c r="P809" s="59"/>
      <c r="Q809" s="59"/>
      <c r="R809" s="60"/>
      <c r="S809" s="60"/>
      <c r="T809" s="60"/>
      <c r="U809" s="60"/>
      <c r="V809" s="60"/>
      <c r="W809" s="60"/>
    </row>
    <row r="810" spans="1:23" ht="13" x14ac:dyDescent="0.3">
      <c r="A810" s="58"/>
      <c r="B810" s="58"/>
      <c r="C810" s="58"/>
      <c r="D810" s="58"/>
      <c r="E810" s="58"/>
      <c r="F810" s="58"/>
      <c r="G810" s="58"/>
      <c r="H810" s="59"/>
      <c r="I810" s="59"/>
      <c r="J810" s="59"/>
      <c r="K810" s="59"/>
      <c r="L810" s="59"/>
      <c r="M810" s="60"/>
      <c r="N810" s="60"/>
      <c r="O810" s="60"/>
      <c r="P810" s="59"/>
      <c r="Q810" s="59"/>
      <c r="R810" s="60"/>
      <c r="S810" s="60"/>
      <c r="T810" s="60"/>
      <c r="U810" s="60"/>
      <c r="V810" s="60"/>
      <c r="W810" s="60"/>
    </row>
    <row r="811" spans="1:23" ht="13" x14ac:dyDescent="0.3">
      <c r="A811" s="58"/>
      <c r="B811" s="58"/>
      <c r="C811" s="58"/>
      <c r="D811" s="58"/>
      <c r="E811" s="58"/>
      <c r="F811" s="58"/>
      <c r="G811" s="58"/>
      <c r="H811" s="59"/>
      <c r="I811" s="59"/>
      <c r="J811" s="59"/>
      <c r="K811" s="59"/>
      <c r="L811" s="59"/>
      <c r="M811" s="60"/>
      <c r="N811" s="60"/>
      <c r="O811" s="60"/>
      <c r="P811" s="59"/>
      <c r="Q811" s="59"/>
      <c r="R811" s="60"/>
      <c r="S811" s="60"/>
      <c r="T811" s="60"/>
      <c r="U811" s="60"/>
      <c r="V811" s="60"/>
      <c r="W811" s="60"/>
    </row>
    <row r="812" spans="1:23" ht="13" x14ac:dyDescent="0.3">
      <c r="A812" s="58"/>
      <c r="B812" s="58"/>
      <c r="C812" s="58"/>
      <c r="D812" s="58"/>
      <c r="E812" s="58"/>
      <c r="F812" s="58"/>
      <c r="G812" s="58"/>
      <c r="H812" s="59"/>
      <c r="I812" s="59"/>
      <c r="J812" s="59"/>
      <c r="K812" s="59"/>
      <c r="L812" s="59"/>
      <c r="M812" s="60"/>
      <c r="N812" s="60"/>
      <c r="O812" s="60"/>
      <c r="P812" s="59"/>
      <c r="Q812" s="59"/>
      <c r="R812" s="60"/>
      <c r="S812" s="60"/>
      <c r="T812" s="60"/>
      <c r="U812" s="60"/>
      <c r="V812" s="60"/>
      <c r="W812" s="60"/>
    </row>
    <row r="813" spans="1:23" ht="13" x14ac:dyDescent="0.3">
      <c r="A813" s="58"/>
      <c r="B813" s="58"/>
      <c r="C813" s="58"/>
      <c r="D813" s="58"/>
      <c r="E813" s="58"/>
      <c r="F813" s="58"/>
      <c r="G813" s="58"/>
      <c r="H813" s="59"/>
      <c r="I813" s="59"/>
      <c r="J813" s="59"/>
      <c r="K813" s="59"/>
      <c r="L813" s="59"/>
      <c r="M813" s="60"/>
      <c r="N813" s="60"/>
      <c r="O813" s="60"/>
      <c r="P813" s="59"/>
      <c r="Q813" s="59"/>
      <c r="R813" s="60"/>
      <c r="S813" s="60"/>
      <c r="T813" s="60"/>
      <c r="U813" s="60"/>
      <c r="V813" s="60"/>
      <c r="W813" s="60"/>
    </row>
    <row r="814" spans="1:23" ht="13" x14ac:dyDescent="0.3">
      <c r="A814" s="58"/>
      <c r="B814" s="58"/>
      <c r="C814" s="58"/>
      <c r="D814" s="58"/>
      <c r="E814" s="58"/>
      <c r="F814" s="58"/>
      <c r="G814" s="58"/>
      <c r="H814" s="59"/>
      <c r="I814" s="59"/>
      <c r="J814" s="59"/>
      <c r="K814" s="59"/>
      <c r="L814" s="59"/>
      <c r="M814" s="60"/>
      <c r="N814" s="60"/>
      <c r="O814" s="60"/>
      <c r="P814" s="59"/>
      <c r="Q814" s="59"/>
      <c r="R814" s="60"/>
      <c r="S814" s="60"/>
      <c r="T814" s="60"/>
      <c r="U814" s="60"/>
      <c r="V814" s="60"/>
      <c r="W814" s="60"/>
    </row>
    <row r="815" spans="1:23" ht="13" x14ac:dyDescent="0.3">
      <c r="A815" s="58"/>
      <c r="B815" s="58"/>
      <c r="C815" s="58"/>
      <c r="D815" s="58"/>
      <c r="E815" s="58"/>
      <c r="F815" s="58"/>
      <c r="G815" s="58"/>
      <c r="H815" s="59"/>
      <c r="I815" s="59"/>
      <c r="J815" s="59"/>
      <c r="K815" s="59"/>
      <c r="L815" s="59"/>
      <c r="M815" s="60"/>
      <c r="N815" s="60"/>
      <c r="O815" s="60"/>
      <c r="P815" s="59"/>
      <c r="Q815" s="59"/>
      <c r="R815" s="60"/>
      <c r="S815" s="60"/>
      <c r="T815" s="60"/>
      <c r="U815" s="60"/>
      <c r="V815" s="60"/>
      <c r="W815" s="60"/>
    </row>
    <row r="816" spans="1:23" ht="13" x14ac:dyDescent="0.3">
      <c r="A816" s="58"/>
      <c r="B816" s="58"/>
      <c r="C816" s="58"/>
      <c r="D816" s="58"/>
      <c r="E816" s="58"/>
      <c r="F816" s="58"/>
      <c r="G816" s="58"/>
      <c r="H816" s="59"/>
      <c r="I816" s="59"/>
      <c r="J816" s="59"/>
      <c r="K816" s="59"/>
      <c r="L816" s="59"/>
      <c r="M816" s="60"/>
      <c r="N816" s="60"/>
      <c r="O816" s="60"/>
      <c r="P816" s="59"/>
      <c r="Q816" s="59"/>
      <c r="R816" s="60"/>
      <c r="S816" s="60"/>
      <c r="T816" s="60"/>
      <c r="U816" s="60"/>
      <c r="V816" s="60"/>
      <c r="W816" s="60"/>
    </row>
    <row r="817" spans="1:23" ht="13" x14ac:dyDescent="0.3">
      <c r="A817" s="58"/>
      <c r="B817" s="58"/>
      <c r="C817" s="58"/>
      <c r="D817" s="58"/>
      <c r="E817" s="58"/>
      <c r="F817" s="58"/>
      <c r="G817" s="58"/>
      <c r="H817" s="59"/>
      <c r="I817" s="59"/>
      <c r="J817" s="59"/>
      <c r="K817" s="59"/>
      <c r="L817" s="59"/>
      <c r="M817" s="60"/>
      <c r="N817" s="60"/>
      <c r="O817" s="60"/>
      <c r="P817" s="59"/>
      <c r="Q817" s="59"/>
      <c r="R817" s="60"/>
      <c r="S817" s="60"/>
      <c r="T817" s="60"/>
      <c r="U817" s="60"/>
      <c r="V817" s="60"/>
      <c r="W817" s="60"/>
    </row>
    <row r="818" spans="1:23" ht="13" x14ac:dyDescent="0.3">
      <c r="A818" s="58"/>
      <c r="B818" s="58"/>
      <c r="C818" s="58"/>
      <c r="D818" s="58"/>
      <c r="E818" s="58"/>
      <c r="F818" s="58"/>
      <c r="G818" s="58"/>
      <c r="H818" s="59"/>
      <c r="I818" s="59"/>
      <c r="J818" s="59"/>
      <c r="K818" s="59"/>
      <c r="L818" s="59"/>
      <c r="M818" s="60"/>
      <c r="N818" s="60"/>
      <c r="O818" s="60"/>
      <c r="P818" s="59"/>
      <c r="Q818" s="59"/>
      <c r="R818" s="60"/>
      <c r="S818" s="60"/>
      <c r="T818" s="60"/>
      <c r="U818" s="60"/>
      <c r="V818" s="60"/>
      <c r="W818" s="60"/>
    </row>
    <row r="819" spans="1:23" ht="13" x14ac:dyDescent="0.3">
      <c r="A819" s="58"/>
      <c r="B819" s="58"/>
      <c r="C819" s="58"/>
      <c r="D819" s="58"/>
      <c r="E819" s="58"/>
      <c r="F819" s="58"/>
      <c r="G819" s="58"/>
      <c r="H819" s="59"/>
      <c r="I819" s="59"/>
      <c r="J819" s="59"/>
      <c r="K819" s="59"/>
      <c r="L819" s="59"/>
      <c r="M819" s="60"/>
      <c r="N819" s="60"/>
      <c r="O819" s="60"/>
      <c r="P819" s="59"/>
      <c r="Q819" s="59"/>
      <c r="R819" s="60"/>
      <c r="S819" s="60"/>
      <c r="T819" s="60"/>
      <c r="U819" s="60"/>
      <c r="V819" s="60"/>
      <c r="W819" s="60"/>
    </row>
    <row r="820" spans="1:23" ht="13" x14ac:dyDescent="0.3">
      <c r="A820" s="58"/>
      <c r="B820" s="58"/>
      <c r="C820" s="58"/>
      <c r="D820" s="58"/>
      <c r="E820" s="58"/>
      <c r="F820" s="58"/>
      <c r="G820" s="58"/>
      <c r="H820" s="59"/>
      <c r="I820" s="59"/>
      <c r="J820" s="59"/>
      <c r="K820" s="59"/>
      <c r="L820" s="59"/>
      <c r="M820" s="60"/>
      <c r="N820" s="60"/>
      <c r="O820" s="60"/>
      <c r="P820" s="59"/>
      <c r="Q820" s="59"/>
      <c r="R820" s="60"/>
      <c r="S820" s="60"/>
      <c r="T820" s="60"/>
      <c r="U820" s="60"/>
      <c r="V820" s="60"/>
      <c r="W820" s="60"/>
    </row>
    <row r="821" spans="1:23" ht="13" x14ac:dyDescent="0.3">
      <c r="A821" s="58"/>
      <c r="B821" s="58"/>
      <c r="C821" s="58"/>
      <c r="D821" s="58"/>
      <c r="E821" s="58"/>
      <c r="F821" s="58"/>
      <c r="G821" s="58"/>
      <c r="H821" s="59"/>
      <c r="I821" s="59"/>
      <c r="J821" s="59"/>
      <c r="K821" s="59"/>
      <c r="L821" s="59"/>
      <c r="M821" s="60"/>
      <c r="N821" s="60"/>
      <c r="O821" s="60"/>
      <c r="P821" s="59"/>
      <c r="Q821" s="59"/>
      <c r="R821" s="60"/>
      <c r="S821" s="60"/>
      <c r="T821" s="60"/>
      <c r="U821" s="60"/>
      <c r="V821" s="60"/>
      <c r="W821" s="60"/>
    </row>
    <row r="822" spans="1:23" ht="13" x14ac:dyDescent="0.3">
      <c r="A822" s="58"/>
      <c r="B822" s="58"/>
      <c r="C822" s="58"/>
      <c r="D822" s="58"/>
      <c r="E822" s="58"/>
      <c r="F822" s="58"/>
      <c r="G822" s="58"/>
      <c r="H822" s="59"/>
      <c r="I822" s="59"/>
      <c r="J822" s="59"/>
      <c r="K822" s="59"/>
      <c r="L822" s="59"/>
      <c r="M822" s="60"/>
      <c r="N822" s="60"/>
      <c r="O822" s="60"/>
      <c r="P822" s="59"/>
      <c r="Q822" s="59"/>
      <c r="R822" s="60"/>
      <c r="S822" s="60"/>
      <c r="T822" s="60"/>
      <c r="U822" s="60"/>
      <c r="V822" s="60"/>
      <c r="W822" s="60"/>
    </row>
    <row r="823" spans="1:23" ht="13" x14ac:dyDescent="0.3">
      <c r="A823" s="58"/>
      <c r="B823" s="58"/>
      <c r="C823" s="58"/>
      <c r="D823" s="58"/>
      <c r="E823" s="58"/>
      <c r="F823" s="58"/>
      <c r="G823" s="58"/>
      <c r="H823" s="59"/>
      <c r="I823" s="59"/>
      <c r="J823" s="59"/>
      <c r="K823" s="59"/>
      <c r="L823" s="59"/>
      <c r="M823" s="60"/>
      <c r="N823" s="60"/>
      <c r="O823" s="60"/>
      <c r="P823" s="59"/>
      <c r="Q823" s="59"/>
      <c r="R823" s="60"/>
      <c r="S823" s="60"/>
      <c r="T823" s="60"/>
      <c r="U823" s="60"/>
      <c r="V823" s="60"/>
      <c r="W823" s="60"/>
    </row>
    <row r="824" spans="1:23" ht="13" x14ac:dyDescent="0.3">
      <c r="A824" s="58"/>
      <c r="B824" s="58"/>
      <c r="C824" s="58"/>
      <c r="D824" s="58"/>
      <c r="E824" s="58"/>
      <c r="F824" s="58"/>
      <c r="G824" s="58"/>
      <c r="H824" s="59"/>
      <c r="I824" s="59"/>
      <c r="J824" s="59"/>
      <c r="K824" s="59"/>
      <c r="L824" s="59"/>
      <c r="M824" s="60"/>
      <c r="N824" s="60"/>
      <c r="O824" s="60"/>
      <c r="P824" s="59"/>
      <c r="Q824" s="59"/>
      <c r="R824" s="60"/>
      <c r="S824" s="60"/>
      <c r="T824" s="60"/>
      <c r="U824" s="60"/>
      <c r="V824" s="60"/>
      <c r="W824" s="60"/>
    </row>
    <row r="825" spans="1:23" ht="13" x14ac:dyDescent="0.3">
      <c r="A825" s="58"/>
      <c r="B825" s="58"/>
      <c r="C825" s="58"/>
      <c r="D825" s="58"/>
      <c r="E825" s="58"/>
      <c r="F825" s="58"/>
      <c r="G825" s="58"/>
      <c r="H825" s="59"/>
      <c r="I825" s="59"/>
      <c r="J825" s="59"/>
      <c r="K825" s="59"/>
      <c r="L825" s="59"/>
      <c r="M825" s="60"/>
      <c r="N825" s="60"/>
      <c r="O825" s="60"/>
      <c r="P825" s="59"/>
      <c r="Q825" s="59"/>
      <c r="R825" s="60"/>
      <c r="S825" s="60"/>
      <c r="T825" s="60"/>
      <c r="U825" s="60"/>
      <c r="V825" s="60"/>
      <c r="W825" s="60"/>
    </row>
    <row r="826" spans="1:23" ht="13" x14ac:dyDescent="0.3">
      <c r="A826" s="58"/>
      <c r="B826" s="58"/>
      <c r="C826" s="58"/>
      <c r="D826" s="58"/>
      <c r="E826" s="58"/>
      <c r="F826" s="58"/>
      <c r="G826" s="58"/>
      <c r="H826" s="59"/>
      <c r="I826" s="59"/>
      <c r="J826" s="59"/>
      <c r="K826" s="59"/>
      <c r="L826" s="59"/>
      <c r="M826" s="60"/>
      <c r="N826" s="60"/>
      <c r="O826" s="60"/>
      <c r="P826" s="59"/>
      <c r="Q826" s="59"/>
      <c r="R826" s="60"/>
      <c r="S826" s="60"/>
      <c r="T826" s="60"/>
      <c r="U826" s="60"/>
      <c r="V826" s="60"/>
      <c r="W826" s="60"/>
    </row>
    <row r="827" spans="1:23" ht="13" x14ac:dyDescent="0.3">
      <c r="A827" s="58"/>
      <c r="B827" s="58"/>
      <c r="C827" s="58"/>
      <c r="D827" s="58"/>
      <c r="E827" s="58"/>
      <c r="F827" s="58"/>
      <c r="G827" s="58"/>
      <c r="H827" s="59"/>
      <c r="I827" s="59"/>
      <c r="J827" s="59"/>
      <c r="K827" s="59"/>
      <c r="L827" s="59"/>
      <c r="M827" s="60"/>
      <c r="N827" s="60"/>
      <c r="O827" s="60"/>
      <c r="P827" s="59"/>
      <c r="Q827" s="59"/>
      <c r="R827" s="60"/>
      <c r="S827" s="60"/>
      <c r="T827" s="60"/>
      <c r="U827" s="60"/>
      <c r="V827" s="60"/>
      <c r="W827" s="60"/>
    </row>
    <row r="828" spans="1:23" ht="13" x14ac:dyDescent="0.3">
      <c r="A828" s="58"/>
      <c r="B828" s="58"/>
      <c r="C828" s="58"/>
      <c r="D828" s="58"/>
      <c r="E828" s="58"/>
      <c r="F828" s="58"/>
      <c r="G828" s="58"/>
      <c r="H828" s="59"/>
      <c r="I828" s="59"/>
      <c r="J828" s="59"/>
      <c r="K828" s="59"/>
      <c r="L828" s="59"/>
      <c r="M828" s="60"/>
      <c r="N828" s="60"/>
      <c r="O828" s="60"/>
      <c r="P828" s="59"/>
      <c r="Q828" s="59"/>
      <c r="R828" s="60"/>
      <c r="S828" s="60"/>
      <c r="T828" s="60"/>
      <c r="U828" s="60"/>
      <c r="V828" s="60"/>
      <c r="W828" s="60"/>
    </row>
    <row r="829" spans="1:23" ht="13" x14ac:dyDescent="0.3">
      <c r="A829" s="58"/>
      <c r="B829" s="58"/>
      <c r="C829" s="58"/>
      <c r="D829" s="58"/>
      <c r="E829" s="58"/>
      <c r="F829" s="58"/>
      <c r="G829" s="58"/>
      <c r="H829" s="59"/>
      <c r="I829" s="59"/>
      <c r="J829" s="59"/>
      <c r="K829" s="59"/>
      <c r="L829" s="59"/>
      <c r="M829" s="60"/>
      <c r="N829" s="60"/>
      <c r="O829" s="60"/>
      <c r="P829" s="59"/>
      <c r="Q829" s="59"/>
      <c r="R829" s="60"/>
      <c r="S829" s="60"/>
      <c r="T829" s="60"/>
      <c r="U829" s="60"/>
      <c r="V829" s="60"/>
      <c r="W829" s="60"/>
    </row>
    <row r="830" spans="1:23" ht="13" x14ac:dyDescent="0.3">
      <c r="A830" s="58"/>
      <c r="B830" s="58"/>
      <c r="C830" s="58"/>
      <c r="D830" s="58"/>
      <c r="E830" s="58"/>
      <c r="F830" s="58"/>
      <c r="G830" s="58"/>
      <c r="H830" s="59"/>
      <c r="I830" s="59"/>
      <c r="J830" s="59"/>
      <c r="K830" s="59"/>
      <c r="L830" s="59"/>
      <c r="M830" s="60"/>
      <c r="N830" s="60"/>
      <c r="O830" s="60"/>
      <c r="P830" s="59"/>
      <c r="Q830" s="59"/>
      <c r="R830" s="60"/>
      <c r="S830" s="60"/>
      <c r="T830" s="60"/>
      <c r="U830" s="60"/>
      <c r="V830" s="60"/>
      <c r="W830" s="60"/>
    </row>
    <row r="831" spans="1:23" ht="13" x14ac:dyDescent="0.3">
      <c r="A831" s="58"/>
      <c r="B831" s="58"/>
      <c r="C831" s="58"/>
      <c r="D831" s="58"/>
      <c r="E831" s="58"/>
      <c r="F831" s="58"/>
      <c r="G831" s="58"/>
      <c r="H831" s="59"/>
      <c r="I831" s="59"/>
      <c r="J831" s="59"/>
      <c r="K831" s="59"/>
      <c r="L831" s="59"/>
      <c r="M831" s="60"/>
      <c r="N831" s="60"/>
      <c r="O831" s="60"/>
      <c r="P831" s="59"/>
      <c r="Q831" s="59"/>
      <c r="R831" s="60"/>
      <c r="S831" s="60"/>
      <c r="T831" s="60"/>
      <c r="U831" s="60"/>
      <c r="V831" s="60"/>
      <c r="W831" s="60"/>
    </row>
    <row r="832" spans="1:23" ht="13" x14ac:dyDescent="0.3">
      <c r="A832" s="58"/>
      <c r="B832" s="58"/>
      <c r="C832" s="58"/>
      <c r="D832" s="58"/>
      <c r="E832" s="58"/>
      <c r="F832" s="58"/>
      <c r="G832" s="58"/>
      <c r="H832" s="59"/>
      <c r="I832" s="59"/>
      <c r="J832" s="59"/>
      <c r="K832" s="59"/>
      <c r="L832" s="59"/>
      <c r="M832" s="60"/>
      <c r="N832" s="60"/>
      <c r="O832" s="60"/>
      <c r="P832" s="59"/>
      <c r="Q832" s="59"/>
      <c r="R832" s="60"/>
      <c r="S832" s="60"/>
      <c r="T832" s="60"/>
      <c r="U832" s="60"/>
      <c r="V832" s="60"/>
      <c r="W832" s="60"/>
    </row>
    <row r="833" spans="1:23" ht="13" x14ac:dyDescent="0.3">
      <c r="A833" s="58"/>
      <c r="B833" s="58"/>
      <c r="C833" s="58"/>
      <c r="D833" s="58"/>
      <c r="E833" s="58"/>
      <c r="F833" s="58"/>
      <c r="G833" s="58"/>
      <c r="H833" s="59"/>
      <c r="I833" s="59"/>
      <c r="J833" s="59"/>
      <c r="K833" s="59"/>
      <c r="L833" s="59"/>
      <c r="M833" s="60"/>
      <c r="N833" s="60"/>
      <c r="O833" s="60"/>
      <c r="P833" s="59"/>
      <c r="Q833" s="59"/>
      <c r="R833" s="60"/>
      <c r="S833" s="60"/>
      <c r="T833" s="60"/>
      <c r="U833" s="60"/>
      <c r="V833" s="60"/>
      <c r="W833" s="60"/>
    </row>
    <row r="834" spans="1:23" ht="13" x14ac:dyDescent="0.3">
      <c r="A834" s="58"/>
      <c r="B834" s="58"/>
      <c r="C834" s="58"/>
      <c r="D834" s="58"/>
      <c r="E834" s="58"/>
      <c r="F834" s="58"/>
      <c r="G834" s="58"/>
      <c r="H834" s="59"/>
      <c r="I834" s="59"/>
      <c r="J834" s="59"/>
      <c r="K834" s="59"/>
      <c r="L834" s="59"/>
      <c r="M834" s="60"/>
      <c r="N834" s="60"/>
      <c r="O834" s="60"/>
      <c r="P834" s="59"/>
      <c r="Q834" s="59"/>
      <c r="R834" s="60"/>
      <c r="S834" s="60"/>
      <c r="T834" s="60"/>
      <c r="U834" s="60"/>
      <c r="V834" s="60"/>
      <c r="W834" s="60"/>
    </row>
    <row r="835" spans="1:23" ht="13" x14ac:dyDescent="0.3">
      <c r="A835" s="58"/>
      <c r="B835" s="58"/>
      <c r="C835" s="58"/>
      <c r="D835" s="58"/>
      <c r="E835" s="58"/>
      <c r="F835" s="58"/>
      <c r="G835" s="58"/>
      <c r="H835" s="59"/>
      <c r="I835" s="59"/>
      <c r="J835" s="59"/>
      <c r="K835" s="59"/>
      <c r="L835" s="59"/>
      <c r="M835" s="60"/>
      <c r="N835" s="60"/>
      <c r="O835" s="60"/>
      <c r="P835" s="59"/>
      <c r="Q835" s="59"/>
      <c r="R835" s="60"/>
      <c r="S835" s="60"/>
      <c r="T835" s="60"/>
      <c r="U835" s="60"/>
      <c r="V835" s="60"/>
      <c r="W835" s="60"/>
    </row>
    <row r="836" spans="1:23" ht="13" x14ac:dyDescent="0.3">
      <c r="A836" s="58"/>
      <c r="B836" s="58"/>
      <c r="C836" s="58"/>
      <c r="D836" s="58"/>
      <c r="E836" s="58"/>
      <c r="F836" s="58"/>
      <c r="G836" s="58"/>
      <c r="H836" s="59"/>
      <c r="I836" s="59"/>
      <c r="J836" s="59"/>
      <c r="K836" s="59"/>
      <c r="L836" s="59"/>
      <c r="M836" s="60"/>
      <c r="N836" s="60"/>
      <c r="O836" s="60"/>
      <c r="P836" s="59"/>
      <c r="Q836" s="59"/>
      <c r="R836" s="60"/>
      <c r="S836" s="60"/>
      <c r="T836" s="60"/>
      <c r="U836" s="60"/>
      <c r="V836" s="60"/>
      <c r="W836" s="60"/>
    </row>
    <row r="837" spans="1:23" ht="13" x14ac:dyDescent="0.3">
      <c r="A837" s="58"/>
      <c r="B837" s="58"/>
      <c r="C837" s="58"/>
      <c r="D837" s="58"/>
      <c r="E837" s="58"/>
      <c r="F837" s="58"/>
      <c r="G837" s="58"/>
      <c r="H837" s="59"/>
      <c r="I837" s="59"/>
      <c r="J837" s="59"/>
      <c r="K837" s="59"/>
      <c r="L837" s="59"/>
      <c r="M837" s="60"/>
      <c r="N837" s="60"/>
      <c r="O837" s="60"/>
      <c r="P837" s="59"/>
      <c r="Q837" s="59"/>
      <c r="R837" s="60"/>
      <c r="S837" s="60"/>
      <c r="T837" s="60"/>
      <c r="U837" s="60"/>
      <c r="V837" s="60"/>
      <c r="W837" s="60"/>
    </row>
    <row r="838" spans="1:23" ht="13" x14ac:dyDescent="0.3">
      <c r="A838" s="58"/>
      <c r="B838" s="58"/>
      <c r="C838" s="58"/>
      <c r="D838" s="58"/>
      <c r="E838" s="58"/>
      <c r="F838" s="58"/>
      <c r="G838" s="58"/>
      <c r="H838" s="59"/>
      <c r="I838" s="59"/>
      <c r="J838" s="59"/>
      <c r="K838" s="59"/>
      <c r="L838" s="59"/>
      <c r="M838" s="60"/>
      <c r="N838" s="60"/>
      <c r="O838" s="60"/>
      <c r="P838" s="59"/>
      <c r="Q838" s="59"/>
      <c r="R838" s="60"/>
      <c r="S838" s="60"/>
      <c r="T838" s="60"/>
      <c r="U838" s="60"/>
      <c r="V838" s="60"/>
      <c r="W838" s="60"/>
    </row>
    <row r="839" spans="1:23" ht="13" x14ac:dyDescent="0.3">
      <c r="A839" s="58"/>
      <c r="B839" s="58"/>
      <c r="C839" s="58"/>
      <c r="D839" s="58"/>
      <c r="E839" s="58"/>
      <c r="F839" s="58"/>
      <c r="G839" s="58"/>
      <c r="H839" s="59"/>
      <c r="I839" s="59"/>
      <c r="J839" s="59"/>
      <c r="K839" s="59"/>
      <c r="L839" s="59"/>
      <c r="M839" s="60"/>
      <c r="N839" s="60"/>
      <c r="O839" s="60"/>
      <c r="P839" s="59"/>
      <c r="Q839" s="59"/>
      <c r="R839" s="60"/>
      <c r="S839" s="60"/>
      <c r="T839" s="60"/>
      <c r="U839" s="60"/>
      <c r="V839" s="60"/>
      <c r="W839" s="60"/>
    </row>
    <row r="840" spans="1:23" ht="13" x14ac:dyDescent="0.3">
      <c r="A840" s="58"/>
      <c r="B840" s="58"/>
      <c r="C840" s="58"/>
      <c r="D840" s="58"/>
      <c r="E840" s="58"/>
      <c r="F840" s="58"/>
      <c r="G840" s="58"/>
      <c r="H840" s="59"/>
      <c r="I840" s="59"/>
      <c r="J840" s="59"/>
      <c r="K840" s="59"/>
      <c r="L840" s="59"/>
      <c r="M840" s="60"/>
      <c r="N840" s="60"/>
      <c r="O840" s="60"/>
      <c r="P840" s="59"/>
      <c r="Q840" s="59"/>
      <c r="R840" s="60"/>
      <c r="S840" s="60"/>
      <c r="T840" s="60"/>
      <c r="U840" s="60"/>
      <c r="V840" s="60"/>
      <c r="W840" s="60"/>
    </row>
    <row r="841" spans="1:23" ht="13" x14ac:dyDescent="0.3">
      <c r="A841" s="58"/>
      <c r="B841" s="58"/>
      <c r="C841" s="58"/>
      <c r="D841" s="58"/>
      <c r="E841" s="58"/>
      <c r="F841" s="58"/>
      <c r="G841" s="58"/>
      <c r="H841" s="59"/>
      <c r="I841" s="59"/>
      <c r="J841" s="59"/>
      <c r="K841" s="59"/>
      <c r="L841" s="59"/>
      <c r="M841" s="60"/>
      <c r="N841" s="60"/>
      <c r="O841" s="60"/>
      <c r="P841" s="59"/>
      <c r="Q841" s="59"/>
      <c r="R841" s="60"/>
      <c r="S841" s="60"/>
      <c r="T841" s="60"/>
      <c r="U841" s="60"/>
      <c r="V841" s="60"/>
      <c r="W841" s="60"/>
    </row>
    <row r="842" spans="1:23" ht="13" x14ac:dyDescent="0.3">
      <c r="A842" s="58"/>
      <c r="B842" s="58"/>
      <c r="C842" s="58"/>
      <c r="D842" s="58"/>
      <c r="E842" s="58"/>
      <c r="F842" s="58"/>
      <c r="G842" s="58"/>
      <c r="H842" s="59"/>
      <c r="I842" s="59"/>
      <c r="J842" s="59"/>
      <c r="K842" s="59"/>
      <c r="L842" s="59"/>
      <c r="M842" s="60"/>
      <c r="N842" s="60"/>
      <c r="O842" s="60"/>
      <c r="P842" s="59"/>
      <c r="Q842" s="59"/>
      <c r="R842" s="60"/>
      <c r="S842" s="60"/>
      <c r="T842" s="60"/>
      <c r="U842" s="60"/>
      <c r="V842" s="60"/>
      <c r="W842" s="60"/>
    </row>
    <row r="843" spans="1:23" ht="13" x14ac:dyDescent="0.3">
      <c r="A843" s="58"/>
      <c r="B843" s="58"/>
      <c r="C843" s="58"/>
      <c r="D843" s="58"/>
      <c r="E843" s="58"/>
      <c r="F843" s="58"/>
      <c r="G843" s="58"/>
      <c r="H843" s="59"/>
      <c r="I843" s="59"/>
      <c r="J843" s="59"/>
      <c r="K843" s="59"/>
      <c r="L843" s="59"/>
      <c r="M843" s="60"/>
      <c r="N843" s="60"/>
      <c r="O843" s="60"/>
      <c r="P843" s="59"/>
      <c r="Q843" s="59"/>
      <c r="R843" s="60"/>
      <c r="S843" s="60"/>
      <c r="T843" s="60"/>
      <c r="U843" s="60"/>
      <c r="V843" s="60"/>
      <c r="W843" s="60"/>
    </row>
    <row r="844" spans="1:23" ht="13" x14ac:dyDescent="0.3">
      <c r="A844" s="58"/>
      <c r="B844" s="58"/>
      <c r="C844" s="58"/>
      <c r="D844" s="58"/>
      <c r="E844" s="58"/>
      <c r="F844" s="58"/>
      <c r="G844" s="58"/>
      <c r="H844" s="59"/>
      <c r="I844" s="59"/>
      <c r="J844" s="59"/>
      <c r="K844" s="59"/>
      <c r="L844" s="59"/>
      <c r="M844" s="60"/>
      <c r="N844" s="60"/>
      <c r="O844" s="60"/>
      <c r="P844" s="59"/>
      <c r="Q844" s="59"/>
      <c r="R844" s="60"/>
      <c r="S844" s="60"/>
      <c r="T844" s="60"/>
      <c r="U844" s="60"/>
      <c r="V844" s="60"/>
      <c r="W844" s="60"/>
    </row>
    <row r="845" spans="1:23" ht="13" x14ac:dyDescent="0.3">
      <c r="A845" s="58"/>
      <c r="B845" s="58"/>
      <c r="C845" s="58"/>
      <c r="D845" s="58"/>
      <c r="E845" s="58"/>
      <c r="F845" s="58"/>
      <c r="G845" s="58"/>
      <c r="H845" s="59"/>
      <c r="I845" s="59"/>
      <c r="J845" s="59"/>
      <c r="K845" s="59"/>
      <c r="L845" s="59"/>
      <c r="M845" s="60"/>
      <c r="N845" s="60"/>
      <c r="O845" s="60"/>
      <c r="P845" s="59"/>
      <c r="Q845" s="59"/>
      <c r="R845" s="60"/>
      <c r="S845" s="60"/>
      <c r="T845" s="60"/>
      <c r="U845" s="60"/>
      <c r="V845" s="60"/>
      <c r="W845" s="60"/>
    </row>
    <row r="846" spans="1:23" ht="13" x14ac:dyDescent="0.3">
      <c r="A846" s="58"/>
      <c r="B846" s="58"/>
      <c r="C846" s="58"/>
      <c r="D846" s="58"/>
      <c r="E846" s="58"/>
      <c r="F846" s="58"/>
      <c r="G846" s="58"/>
      <c r="H846" s="59"/>
      <c r="I846" s="59"/>
      <c r="J846" s="59"/>
      <c r="K846" s="59"/>
      <c r="L846" s="59"/>
      <c r="M846" s="60"/>
      <c r="N846" s="60"/>
      <c r="O846" s="60"/>
      <c r="P846" s="59"/>
      <c r="Q846" s="59"/>
      <c r="R846" s="60"/>
      <c r="S846" s="60"/>
      <c r="T846" s="60"/>
      <c r="U846" s="60"/>
      <c r="V846" s="60"/>
      <c r="W846" s="60"/>
    </row>
    <row r="847" spans="1:23" ht="13" x14ac:dyDescent="0.3">
      <c r="A847" s="58"/>
      <c r="B847" s="58"/>
      <c r="C847" s="58"/>
      <c r="D847" s="58"/>
      <c r="E847" s="58"/>
      <c r="F847" s="58"/>
      <c r="G847" s="58"/>
      <c r="H847" s="59"/>
      <c r="I847" s="59"/>
      <c r="J847" s="59"/>
      <c r="K847" s="59"/>
      <c r="L847" s="59"/>
      <c r="M847" s="60"/>
      <c r="N847" s="60"/>
      <c r="O847" s="60"/>
      <c r="P847" s="59"/>
      <c r="Q847" s="59"/>
      <c r="R847" s="60"/>
      <c r="S847" s="60"/>
      <c r="T847" s="60"/>
      <c r="U847" s="60"/>
      <c r="V847" s="60"/>
      <c r="W847" s="60"/>
    </row>
    <row r="848" spans="1:23" ht="13" x14ac:dyDescent="0.3">
      <c r="A848" s="58"/>
      <c r="B848" s="58"/>
      <c r="C848" s="58"/>
      <c r="D848" s="58"/>
      <c r="E848" s="58"/>
      <c r="F848" s="58"/>
      <c r="G848" s="58"/>
      <c r="H848" s="59"/>
      <c r="I848" s="59"/>
      <c r="J848" s="59"/>
      <c r="K848" s="59"/>
      <c r="L848" s="59"/>
      <c r="M848" s="60"/>
      <c r="N848" s="60"/>
      <c r="O848" s="60"/>
      <c r="P848" s="59"/>
      <c r="Q848" s="59"/>
      <c r="R848" s="60"/>
      <c r="S848" s="60"/>
      <c r="T848" s="60"/>
      <c r="U848" s="60"/>
      <c r="V848" s="60"/>
      <c r="W848" s="60"/>
    </row>
    <row r="849" spans="1:23" ht="13" x14ac:dyDescent="0.3">
      <c r="A849" s="58"/>
      <c r="B849" s="58"/>
      <c r="C849" s="58"/>
      <c r="D849" s="58"/>
      <c r="E849" s="58"/>
      <c r="F849" s="58"/>
      <c r="G849" s="58"/>
      <c r="H849" s="59"/>
      <c r="I849" s="59"/>
      <c r="J849" s="59"/>
      <c r="K849" s="59"/>
      <c r="L849" s="59"/>
      <c r="M849" s="60"/>
      <c r="N849" s="60"/>
      <c r="O849" s="60"/>
      <c r="P849" s="59"/>
      <c r="Q849" s="59"/>
      <c r="R849" s="60"/>
      <c r="S849" s="60"/>
      <c r="T849" s="60"/>
      <c r="U849" s="60"/>
      <c r="V849" s="60"/>
      <c r="W849" s="60"/>
    </row>
    <row r="850" spans="1:23" ht="13" x14ac:dyDescent="0.3">
      <c r="A850" s="58"/>
      <c r="B850" s="58"/>
      <c r="C850" s="58"/>
      <c r="D850" s="58"/>
      <c r="E850" s="58"/>
      <c r="F850" s="58"/>
      <c r="G850" s="58"/>
      <c r="H850" s="59"/>
      <c r="I850" s="59"/>
      <c r="J850" s="59"/>
      <c r="K850" s="59"/>
      <c r="L850" s="59"/>
      <c r="M850" s="60"/>
      <c r="N850" s="60"/>
      <c r="O850" s="60"/>
      <c r="P850" s="59"/>
      <c r="Q850" s="59"/>
      <c r="R850" s="60"/>
      <c r="S850" s="60"/>
      <c r="T850" s="60"/>
      <c r="U850" s="60"/>
      <c r="V850" s="60"/>
      <c r="W850" s="60"/>
    </row>
    <row r="851" spans="1:23" ht="13" x14ac:dyDescent="0.3">
      <c r="A851" s="58"/>
      <c r="B851" s="58"/>
      <c r="C851" s="58"/>
      <c r="D851" s="58"/>
      <c r="E851" s="58"/>
      <c r="F851" s="58"/>
      <c r="G851" s="58"/>
      <c r="H851" s="59"/>
      <c r="I851" s="59"/>
      <c r="J851" s="59"/>
      <c r="K851" s="59"/>
      <c r="L851" s="59"/>
      <c r="M851" s="60"/>
      <c r="N851" s="60"/>
      <c r="O851" s="60"/>
      <c r="P851" s="59"/>
      <c r="Q851" s="59"/>
      <c r="R851" s="60"/>
      <c r="S851" s="60"/>
      <c r="T851" s="60"/>
      <c r="U851" s="60"/>
      <c r="V851" s="60"/>
      <c r="W851" s="60"/>
    </row>
    <row r="852" spans="1:23" ht="13" x14ac:dyDescent="0.3">
      <c r="A852" s="58"/>
      <c r="B852" s="58"/>
      <c r="C852" s="58"/>
      <c r="D852" s="58"/>
      <c r="E852" s="58"/>
      <c r="F852" s="58"/>
      <c r="G852" s="58"/>
      <c r="H852" s="59"/>
      <c r="I852" s="59"/>
      <c r="J852" s="59"/>
      <c r="K852" s="59"/>
      <c r="L852" s="59"/>
      <c r="M852" s="60"/>
      <c r="N852" s="60"/>
      <c r="O852" s="60"/>
      <c r="P852" s="59"/>
      <c r="Q852" s="59"/>
      <c r="R852" s="60"/>
      <c r="S852" s="60"/>
      <c r="T852" s="60"/>
      <c r="U852" s="60"/>
      <c r="V852" s="60"/>
      <c r="W852" s="60"/>
    </row>
    <row r="853" spans="1:23" ht="13" x14ac:dyDescent="0.3">
      <c r="A853" s="58"/>
      <c r="B853" s="58"/>
      <c r="C853" s="58"/>
      <c r="D853" s="58"/>
      <c r="E853" s="58"/>
      <c r="F853" s="58"/>
      <c r="G853" s="58"/>
      <c r="H853" s="59"/>
      <c r="I853" s="59"/>
      <c r="J853" s="59"/>
      <c r="K853" s="59"/>
      <c r="L853" s="59"/>
      <c r="M853" s="60"/>
      <c r="N853" s="60"/>
      <c r="O853" s="60"/>
      <c r="P853" s="59"/>
      <c r="Q853" s="59"/>
      <c r="R853" s="60"/>
      <c r="S853" s="60"/>
      <c r="T853" s="60"/>
      <c r="U853" s="60"/>
      <c r="V853" s="60"/>
      <c r="W853" s="60"/>
    </row>
    <row r="854" spans="1:23" ht="13" x14ac:dyDescent="0.3">
      <c r="A854" s="58"/>
      <c r="B854" s="58"/>
      <c r="C854" s="58"/>
      <c r="D854" s="58"/>
      <c r="E854" s="58"/>
      <c r="F854" s="58"/>
      <c r="G854" s="58"/>
      <c r="H854" s="59"/>
      <c r="I854" s="59"/>
      <c r="J854" s="59"/>
      <c r="K854" s="59"/>
      <c r="L854" s="59"/>
      <c r="M854" s="60"/>
      <c r="N854" s="60"/>
      <c r="O854" s="60"/>
      <c r="P854" s="59"/>
      <c r="Q854" s="59"/>
      <c r="R854" s="60"/>
      <c r="S854" s="60"/>
      <c r="T854" s="60"/>
      <c r="U854" s="60"/>
      <c r="V854" s="60"/>
      <c r="W854" s="60"/>
    </row>
    <row r="855" spans="1:23" ht="13" x14ac:dyDescent="0.3">
      <c r="A855" s="58"/>
      <c r="B855" s="58"/>
      <c r="C855" s="58"/>
      <c r="D855" s="58"/>
      <c r="E855" s="58"/>
      <c r="F855" s="58"/>
      <c r="G855" s="58"/>
      <c r="H855" s="59"/>
      <c r="I855" s="59"/>
      <c r="J855" s="59"/>
      <c r="K855" s="59"/>
      <c r="L855" s="59"/>
      <c r="M855" s="60"/>
      <c r="N855" s="60"/>
      <c r="O855" s="60"/>
      <c r="P855" s="59"/>
      <c r="Q855" s="59"/>
      <c r="R855" s="60"/>
      <c r="S855" s="60"/>
      <c r="T855" s="60"/>
      <c r="U855" s="60"/>
      <c r="V855" s="60"/>
      <c r="W855" s="60"/>
    </row>
    <row r="856" spans="1:23" ht="13" x14ac:dyDescent="0.3">
      <c r="A856" s="58"/>
      <c r="B856" s="58"/>
      <c r="C856" s="58"/>
      <c r="D856" s="58"/>
      <c r="E856" s="58"/>
      <c r="F856" s="58"/>
      <c r="G856" s="58"/>
      <c r="H856" s="59"/>
      <c r="I856" s="59"/>
      <c r="J856" s="59"/>
      <c r="K856" s="59"/>
      <c r="L856" s="59"/>
      <c r="M856" s="60"/>
      <c r="N856" s="60"/>
      <c r="O856" s="60"/>
      <c r="P856" s="59"/>
      <c r="Q856" s="59"/>
      <c r="R856" s="60"/>
      <c r="S856" s="60"/>
      <c r="T856" s="60"/>
      <c r="U856" s="60"/>
      <c r="V856" s="60"/>
      <c r="W856" s="60"/>
    </row>
    <row r="857" spans="1:23" ht="13" x14ac:dyDescent="0.3">
      <c r="A857" s="58"/>
      <c r="B857" s="58"/>
      <c r="C857" s="58"/>
      <c r="D857" s="58"/>
      <c r="E857" s="58"/>
      <c r="F857" s="58"/>
      <c r="G857" s="58"/>
      <c r="H857" s="59"/>
      <c r="I857" s="59"/>
      <c r="J857" s="59"/>
      <c r="K857" s="59"/>
      <c r="L857" s="59"/>
      <c r="M857" s="60"/>
      <c r="N857" s="60"/>
      <c r="O857" s="60"/>
      <c r="P857" s="59"/>
      <c r="Q857" s="59"/>
      <c r="R857" s="60"/>
      <c r="S857" s="60"/>
      <c r="T857" s="60"/>
      <c r="U857" s="60"/>
      <c r="V857" s="60"/>
      <c r="W857" s="60"/>
    </row>
    <row r="858" spans="1:23" ht="13" x14ac:dyDescent="0.3">
      <c r="A858" s="58"/>
      <c r="B858" s="58"/>
      <c r="C858" s="58"/>
      <c r="D858" s="58"/>
      <c r="E858" s="58"/>
      <c r="F858" s="58"/>
      <c r="G858" s="58"/>
      <c r="H858" s="59"/>
      <c r="I858" s="59"/>
      <c r="J858" s="59"/>
      <c r="K858" s="59"/>
      <c r="L858" s="59"/>
      <c r="M858" s="60"/>
      <c r="N858" s="60"/>
      <c r="O858" s="60"/>
      <c r="P858" s="59"/>
      <c r="Q858" s="59"/>
      <c r="R858" s="60"/>
      <c r="S858" s="60"/>
      <c r="T858" s="60"/>
      <c r="U858" s="60"/>
      <c r="V858" s="60"/>
      <c r="W858" s="60"/>
    </row>
    <row r="859" spans="1:23" ht="13" x14ac:dyDescent="0.3">
      <c r="A859" s="58"/>
      <c r="B859" s="58"/>
      <c r="C859" s="58"/>
      <c r="D859" s="58"/>
      <c r="E859" s="58"/>
      <c r="F859" s="58"/>
      <c r="G859" s="58"/>
      <c r="H859" s="59"/>
      <c r="I859" s="59"/>
      <c r="J859" s="59"/>
      <c r="K859" s="59"/>
      <c r="L859" s="59"/>
      <c r="M859" s="60"/>
      <c r="N859" s="60"/>
      <c r="O859" s="60"/>
      <c r="P859" s="59"/>
      <c r="Q859" s="59"/>
      <c r="R859" s="60"/>
      <c r="S859" s="60"/>
      <c r="T859" s="60"/>
      <c r="U859" s="60"/>
      <c r="V859" s="60"/>
      <c r="W859" s="60"/>
    </row>
    <row r="860" spans="1:23" ht="13" x14ac:dyDescent="0.3">
      <c r="A860" s="58"/>
      <c r="B860" s="58"/>
      <c r="C860" s="58"/>
      <c r="D860" s="58"/>
      <c r="E860" s="58"/>
      <c r="F860" s="58"/>
      <c r="G860" s="58"/>
      <c r="H860" s="59"/>
      <c r="I860" s="59"/>
      <c r="J860" s="59"/>
      <c r="K860" s="59"/>
      <c r="L860" s="59"/>
      <c r="M860" s="60"/>
      <c r="N860" s="60"/>
      <c r="O860" s="60"/>
      <c r="P860" s="59"/>
      <c r="Q860" s="59"/>
      <c r="R860" s="60"/>
      <c r="S860" s="60"/>
      <c r="T860" s="60"/>
      <c r="U860" s="60"/>
      <c r="V860" s="60"/>
      <c r="W860" s="60"/>
    </row>
    <row r="861" spans="1:23" ht="13" x14ac:dyDescent="0.3">
      <c r="A861" s="58"/>
      <c r="B861" s="58"/>
      <c r="C861" s="58"/>
      <c r="D861" s="58"/>
      <c r="E861" s="58"/>
      <c r="F861" s="58"/>
      <c r="G861" s="58"/>
      <c r="H861" s="59"/>
      <c r="I861" s="59"/>
      <c r="J861" s="59"/>
      <c r="K861" s="59"/>
      <c r="L861" s="59"/>
      <c r="M861" s="60"/>
      <c r="N861" s="60"/>
      <c r="O861" s="60"/>
      <c r="P861" s="59"/>
      <c r="Q861" s="59"/>
      <c r="R861" s="60"/>
      <c r="S861" s="60"/>
      <c r="T861" s="60"/>
      <c r="U861" s="60"/>
      <c r="V861" s="60"/>
      <c r="W861" s="60"/>
    </row>
    <row r="862" spans="1:23" ht="13" x14ac:dyDescent="0.3">
      <c r="A862" s="58"/>
      <c r="B862" s="58"/>
      <c r="C862" s="58"/>
      <c r="D862" s="58"/>
      <c r="E862" s="58"/>
      <c r="F862" s="58"/>
      <c r="G862" s="58"/>
      <c r="H862" s="59"/>
      <c r="I862" s="59"/>
      <c r="J862" s="59"/>
      <c r="K862" s="59"/>
      <c r="L862" s="59"/>
      <c r="M862" s="60"/>
      <c r="N862" s="60"/>
      <c r="O862" s="60"/>
      <c r="P862" s="59"/>
      <c r="Q862" s="59"/>
      <c r="R862" s="60"/>
      <c r="S862" s="60"/>
      <c r="T862" s="60"/>
      <c r="U862" s="60"/>
      <c r="V862" s="60"/>
      <c r="W862" s="60"/>
    </row>
    <row r="863" spans="1:23" ht="13" x14ac:dyDescent="0.3">
      <c r="A863" s="58"/>
      <c r="B863" s="58"/>
      <c r="C863" s="58"/>
      <c r="D863" s="58"/>
      <c r="E863" s="58"/>
      <c r="F863" s="58"/>
      <c r="G863" s="58"/>
      <c r="H863" s="59"/>
      <c r="I863" s="59"/>
      <c r="J863" s="59"/>
      <c r="K863" s="59"/>
      <c r="L863" s="59"/>
      <c r="M863" s="60"/>
      <c r="N863" s="60"/>
      <c r="O863" s="60"/>
      <c r="P863" s="59"/>
      <c r="Q863" s="59"/>
      <c r="R863" s="60"/>
      <c r="S863" s="60"/>
      <c r="T863" s="60"/>
      <c r="U863" s="60"/>
      <c r="V863" s="60"/>
      <c r="W863" s="60"/>
    </row>
    <row r="864" spans="1:23" ht="13" x14ac:dyDescent="0.3">
      <c r="A864" s="58"/>
      <c r="B864" s="58"/>
      <c r="C864" s="58"/>
      <c r="D864" s="58"/>
      <c r="E864" s="58"/>
      <c r="F864" s="58"/>
      <c r="G864" s="58"/>
      <c r="H864" s="59"/>
      <c r="I864" s="59"/>
      <c r="J864" s="59"/>
      <c r="K864" s="59"/>
      <c r="L864" s="59"/>
      <c r="M864" s="60"/>
      <c r="N864" s="60"/>
      <c r="O864" s="60"/>
      <c r="P864" s="59"/>
      <c r="Q864" s="59"/>
      <c r="R864" s="60"/>
      <c r="S864" s="60"/>
      <c r="T864" s="60"/>
      <c r="U864" s="60"/>
      <c r="V864" s="60"/>
      <c r="W864" s="60"/>
    </row>
    <row r="865" spans="1:23" ht="13" x14ac:dyDescent="0.3">
      <c r="A865" s="58"/>
      <c r="B865" s="58"/>
      <c r="C865" s="58"/>
      <c r="D865" s="58"/>
      <c r="E865" s="58"/>
      <c r="F865" s="58"/>
      <c r="G865" s="58"/>
      <c r="H865" s="59"/>
      <c r="I865" s="59"/>
      <c r="J865" s="59"/>
      <c r="K865" s="59"/>
      <c r="L865" s="59"/>
      <c r="M865" s="60"/>
      <c r="N865" s="60"/>
      <c r="O865" s="60"/>
      <c r="P865" s="59"/>
      <c r="Q865" s="59"/>
      <c r="R865" s="60"/>
      <c r="S865" s="60"/>
      <c r="T865" s="60"/>
      <c r="U865" s="60"/>
      <c r="V865" s="60"/>
      <c r="W865" s="60"/>
    </row>
    <row r="866" spans="1:23" ht="13" x14ac:dyDescent="0.3">
      <c r="A866" s="58"/>
      <c r="B866" s="58"/>
      <c r="C866" s="58"/>
      <c r="D866" s="58"/>
      <c r="E866" s="58"/>
      <c r="F866" s="58"/>
      <c r="G866" s="58"/>
      <c r="H866" s="59"/>
      <c r="I866" s="59"/>
      <c r="J866" s="59"/>
      <c r="K866" s="59"/>
      <c r="L866" s="59"/>
      <c r="M866" s="60"/>
      <c r="N866" s="60"/>
      <c r="O866" s="60"/>
      <c r="P866" s="59"/>
      <c r="Q866" s="59"/>
      <c r="R866" s="60"/>
      <c r="S866" s="60"/>
      <c r="T866" s="60"/>
      <c r="U866" s="60"/>
      <c r="V866" s="60"/>
      <c r="W866" s="60"/>
    </row>
  </sheetData>
  <autoFilter ref="A1:R18" xr:uid="{00000000-0001-0000-0000-000000000000}"/>
  <conditionalFormatting sqref="B17:B18">
    <cfRule type="duplicateValues" dxfId="54" priority="19"/>
    <cfRule type="duplicateValues" dxfId="53" priority="20"/>
  </conditionalFormatting>
  <conditionalFormatting sqref="B19:B1048576 B1:B16">
    <cfRule type="duplicateValues" dxfId="52" priority="207"/>
    <cfRule type="duplicateValues" dxfId="51" priority="208"/>
  </conditionalFormatting>
  <conditionalFormatting sqref="B1:D1048576">
    <cfRule type="duplicateValues" dxfId="50" priority="189"/>
  </conditionalFormatting>
  <conditionalFormatting sqref="B19:D1048576 B1:D16 D3:D18">
    <cfRule type="duplicateValues" dxfId="49" priority="204"/>
  </conditionalFormatting>
  <conditionalFormatting sqref="C17:D18">
    <cfRule type="duplicateValues" dxfId="48" priority="16"/>
    <cfRule type="duplicateValues" dxfId="47" priority="17"/>
    <cfRule type="duplicateValues" dxfId="46" priority="18"/>
  </conditionalFormatting>
  <conditionalFormatting sqref="C19:D1048576 C1:D16 D3:D18">
    <cfRule type="duplicateValues" dxfId="45" priority="192"/>
    <cfRule type="duplicateValues" dxfId="44" priority="193"/>
    <cfRule type="duplicateValues" dxfId="43" priority="194"/>
    <cfRule type="duplicateValues" dxfId="42" priority="195"/>
  </conditionalFormatting>
  <dataValidations count="1">
    <dataValidation type="list" allowBlank="1" showErrorMessage="1" sqref="E4:E12" xr:uid="{0F136419-F3B7-4DDF-86D0-114F67FF28EE}">
      <formula1>"II/a,II/b,II/c,II/d,III/a,III/b,III/c,III/d,IV/a,IV/b,IV/c"</formula1>
    </dataValidation>
  </dataValidations>
  <hyperlinks>
    <hyperlink ref="B8" r:id="rId1" xr:uid="{7BDAC88D-F5A2-4D60-B9DE-2A4F226F0724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B7C5-49DF-468B-94B0-9A4723FBD767}">
  <sheetPr>
    <outlinePr summaryBelow="0" summaryRight="0"/>
  </sheetPr>
  <dimension ref="A1:X1276"/>
  <sheetViews>
    <sheetView zoomScale="50" zoomScaleNormal="50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A2" sqref="A2:W410"/>
    </sheetView>
  </sheetViews>
  <sheetFormatPr defaultColWidth="12.6328125" defaultRowHeight="15.75" customHeight="1" x14ac:dyDescent="0.3"/>
  <cols>
    <col min="1" max="1" width="5.26953125" style="11" customWidth="1"/>
    <col min="2" max="2" width="39" style="11" customWidth="1"/>
    <col min="3" max="4" width="24.7265625" style="11" customWidth="1"/>
    <col min="5" max="5" width="25.6328125" style="11" customWidth="1"/>
    <col min="6" max="6" width="44.90625" style="11" customWidth="1"/>
    <col min="7" max="7" width="12.90625" style="11" customWidth="1"/>
    <col min="8" max="9" width="33.26953125" style="61" customWidth="1"/>
    <col min="10" max="10" width="17.7265625" style="56" customWidth="1"/>
    <col min="11" max="11" width="31.81640625" style="61" customWidth="1"/>
    <col min="12" max="12" width="19.54296875" style="56" customWidth="1"/>
    <col min="13" max="14" width="18.7265625" style="11" customWidth="1"/>
    <col min="15" max="15" width="16.6328125" style="11" customWidth="1"/>
    <col min="16" max="17" width="20.90625" style="56" customWidth="1"/>
    <col min="18" max="19" width="20.26953125" style="11" customWidth="1"/>
    <col min="20" max="20" width="37.26953125" style="11" customWidth="1"/>
    <col min="21" max="22" width="36.54296875" style="11" customWidth="1"/>
    <col min="23" max="23" width="31.7265625" style="11" customWidth="1"/>
    <col min="24" max="16384" width="12.6328125" style="11"/>
  </cols>
  <sheetData>
    <row r="1" spans="1:24" ht="112.5" customHeight="1" x14ac:dyDescent="0.3">
      <c r="A1" s="1"/>
      <c r="B1" s="2" t="s">
        <v>0</v>
      </c>
      <c r="C1" s="2" t="s">
        <v>1</v>
      </c>
      <c r="D1" s="2" t="s">
        <v>2930</v>
      </c>
      <c r="E1" s="2" t="s">
        <v>2</v>
      </c>
      <c r="F1" s="2" t="s">
        <v>3</v>
      </c>
      <c r="G1" s="2" t="s">
        <v>4</v>
      </c>
      <c r="H1" s="1" t="s">
        <v>5</v>
      </c>
      <c r="I1" s="3" t="s">
        <v>6</v>
      </c>
      <c r="J1" s="4" t="s">
        <v>7</v>
      </c>
      <c r="K1" s="4" t="s">
        <v>8</v>
      </c>
      <c r="L1" s="5" t="s">
        <v>9</v>
      </c>
      <c r="M1" s="5" t="s">
        <v>10</v>
      </c>
      <c r="N1" s="6" t="s">
        <v>11</v>
      </c>
      <c r="O1" s="6" t="s">
        <v>12</v>
      </c>
      <c r="P1" s="7" t="s">
        <v>13</v>
      </c>
      <c r="Q1" s="7" t="s">
        <v>14</v>
      </c>
      <c r="R1" s="8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10" t="s">
        <v>20</v>
      </c>
    </row>
    <row r="2" spans="1:24" s="17" customFormat="1" ht="28" x14ac:dyDescent="0.35">
      <c r="A2" s="12">
        <v>1</v>
      </c>
      <c r="B2" s="13" t="s">
        <v>1482</v>
      </c>
      <c r="C2" s="14" t="s">
        <v>1483</v>
      </c>
      <c r="D2" s="14" t="str">
        <f>IF(MID(C2,15,1)="1","Laki-Laki","Perempuan")</f>
        <v>Perempuan</v>
      </c>
      <c r="E2" s="13"/>
      <c r="F2" s="18"/>
      <c r="G2" s="13" t="s">
        <v>1484</v>
      </c>
      <c r="H2" s="15" t="s">
        <v>1485</v>
      </c>
      <c r="I2" s="15" t="s">
        <v>241</v>
      </c>
      <c r="J2" s="12" t="s">
        <v>242</v>
      </c>
      <c r="K2" s="15" t="s">
        <v>1486</v>
      </c>
      <c r="L2" s="15" t="s">
        <v>60</v>
      </c>
      <c r="M2" s="15">
        <v>2019</v>
      </c>
      <c r="N2" s="15" t="str">
        <f>L2</f>
        <v>Agustus</v>
      </c>
      <c r="O2" s="15">
        <v>2022</v>
      </c>
      <c r="P2" s="15">
        <v>2020</v>
      </c>
      <c r="Q2" s="15"/>
      <c r="R2" s="16" t="s">
        <v>2846</v>
      </c>
      <c r="S2" s="15"/>
      <c r="T2" s="15"/>
      <c r="U2" s="15"/>
      <c r="V2" s="15"/>
      <c r="W2" s="15"/>
    </row>
    <row r="3" spans="1:24" s="17" customFormat="1" ht="14.5" x14ac:dyDescent="0.35">
      <c r="A3" s="12">
        <v>2</v>
      </c>
      <c r="B3" s="13" t="s">
        <v>1487</v>
      </c>
      <c r="C3" s="14" t="s">
        <v>1488</v>
      </c>
      <c r="D3" s="14" t="str">
        <f t="shared" ref="D3:D66" si="0">IF(MID(C3,15,1)="1","Laki-Laki","Perempuan")</f>
        <v>Laki-Laki</v>
      </c>
      <c r="E3" s="13"/>
      <c r="F3" s="18"/>
      <c r="G3" s="13" t="s">
        <v>1484</v>
      </c>
      <c r="H3" s="15" t="s">
        <v>1489</v>
      </c>
      <c r="I3" s="15" t="s">
        <v>1395</v>
      </c>
      <c r="J3" s="12" t="s">
        <v>242</v>
      </c>
      <c r="K3" s="15" t="s">
        <v>407</v>
      </c>
      <c r="L3" s="15" t="s">
        <v>60</v>
      </c>
      <c r="M3" s="15">
        <v>2019</v>
      </c>
      <c r="N3" s="15" t="str">
        <f>L3</f>
        <v>Agustus</v>
      </c>
      <c r="O3" s="15">
        <v>2022</v>
      </c>
      <c r="P3" s="15">
        <v>2020</v>
      </c>
      <c r="Q3" s="15"/>
      <c r="R3" s="16" t="s">
        <v>51</v>
      </c>
      <c r="S3" s="15"/>
      <c r="T3" s="15"/>
      <c r="U3" s="15"/>
      <c r="V3" s="15"/>
      <c r="W3" s="15"/>
      <c r="X3" s="17" t="s">
        <v>304</v>
      </c>
    </row>
    <row r="4" spans="1:24" s="17" customFormat="1" ht="14.5" x14ac:dyDescent="0.35">
      <c r="A4" s="12">
        <v>3</v>
      </c>
      <c r="B4" s="13" t="s">
        <v>1490</v>
      </c>
      <c r="C4" s="14"/>
      <c r="D4" s="14" t="str">
        <f t="shared" si="0"/>
        <v>Perempuan</v>
      </c>
      <c r="E4" s="13"/>
      <c r="F4" s="18"/>
      <c r="G4" s="13" t="s">
        <v>1484</v>
      </c>
      <c r="H4" s="15" t="s">
        <v>1489</v>
      </c>
      <c r="I4" s="15" t="s">
        <v>1395</v>
      </c>
      <c r="J4" s="12" t="s">
        <v>242</v>
      </c>
      <c r="K4" s="15" t="s">
        <v>407</v>
      </c>
      <c r="L4" s="15" t="s">
        <v>60</v>
      </c>
      <c r="M4" s="15">
        <v>2019</v>
      </c>
      <c r="N4" s="15" t="str">
        <f t="shared" ref="N4:N7" si="1">L4</f>
        <v>Agustus</v>
      </c>
      <c r="O4" s="15">
        <v>2022</v>
      </c>
      <c r="P4" s="15">
        <v>2020</v>
      </c>
      <c r="Q4" s="15"/>
      <c r="R4" s="16" t="s">
        <v>51</v>
      </c>
      <c r="S4" s="15"/>
      <c r="T4" s="15"/>
      <c r="U4" s="15"/>
      <c r="V4" s="15"/>
      <c r="W4" s="15"/>
      <c r="X4" s="17" t="s">
        <v>304</v>
      </c>
    </row>
    <row r="5" spans="1:24" s="17" customFormat="1" ht="14.5" x14ac:dyDescent="0.35">
      <c r="A5" s="12">
        <v>4</v>
      </c>
      <c r="B5" s="13" t="s">
        <v>1491</v>
      </c>
      <c r="C5" s="14" t="s">
        <v>1492</v>
      </c>
      <c r="D5" s="14" t="str">
        <f t="shared" si="0"/>
        <v>Perempuan</v>
      </c>
      <c r="E5" s="13"/>
      <c r="F5" s="18"/>
      <c r="G5" s="13" t="s">
        <v>1484</v>
      </c>
      <c r="H5" s="15" t="s">
        <v>1489</v>
      </c>
      <c r="I5" s="15" t="s">
        <v>1395</v>
      </c>
      <c r="J5" s="12" t="s">
        <v>242</v>
      </c>
      <c r="K5" s="15" t="s">
        <v>407</v>
      </c>
      <c r="L5" s="15" t="s">
        <v>60</v>
      </c>
      <c r="M5" s="15">
        <v>2019</v>
      </c>
      <c r="N5" s="15" t="str">
        <f t="shared" si="1"/>
        <v>Agustus</v>
      </c>
      <c r="O5" s="15">
        <v>2022</v>
      </c>
      <c r="P5" s="15">
        <v>2020</v>
      </c>
      <c r="Q5" s="15"/>
      <c r="R5" s="16" t="s">
        <v>51</v>
      </c>
      <c r="S5" s="15"/>
      <c r="T5" s="15"/>
      <c r="U5" s="15"/>
      <c r="V5" s="15"/>
      <c r="W5" s="15"/>
      <c r="X5" s="17" t="s">
        <v>304</v>
      </c>
    </row>
    <row r="6" spans="1:24" s="17" customFormat="1" ht="14.5" x14ac:dyDescent="0.35">
      <c r="A6" s="12">
        <v>5</v>
      </c>
      <c r="B6" s="13" t="s">
        <v>1493</v>
      </c>
      <c r="C6" s="50" t="s">
        <v>1494</v>
      </c>
      <c r="D6" s="14" t="str">
        <f t="shared" si="0"/>
        <v>Laki-Laki</v>
      </c>
      <c r="E6" s="13"/>
      <c r="F6" s="18"/>
      <c r="G6" s="13" t="s">
        <v>1484</v>
      </c>
      <c r="H6" s="15" t="s">
        <v>1489</v>
      </c>
      <c r="I6" s="15" t="s">
        <v>1395</v>
      </c>
      <c r="J6" s="12" t="s">
        <v>242</v>
      </c>
      <c r="K6" s="15" t="s">
        <v>407</v>
      </c>
      <c r="L6" s="15" t="s">
        <v>60</v>
      </c>
      <c r="M6" s="15">
        <v>2019</v>
      </c>
      <c r="N6" s="15" t="str">
        <f t="shared" si="1"/>
        <v>Agustus</v>
      </c>
      <c r="O6" s="15">
        <v>2022</v>
      </c>
      <c r="P6" s="15">
        <v>2020</v>
      </c>
      <c r="Q6" s="15"/>
      <c r="R6" s="16" t="s">
        <v>51</v>
      </c>
      <c r="S6" s="15"/>
      <c r="T6" s="15"/>
      <c r="U6" s="15"/>
      <c r="V6" s="15"/>
      <c r="W6" s="15"/>
      <c r="X6" s="17" t="s">
        <v>304</v>
      </c>
    </row>
    <row r="7" spans="1:24" s="17" customFormat="1" ht="14.5" x14ac:dyDescent="0.35">
      <c r="A7" s="12">
        <v>6</v>
      </c>
      <c r="B7" s="13" t="s">
        <v>1495</v>
      </c>
      <c r="C7" s="14" t="s">
        <v>1496</v>
      </c>
      <c r="D7" s="14" t="str">
        <f t="shared" si="0"/>
        <v>Laki-Laki</v>
      </c>
      <c r="E7" s="13"/>
      <c r="F7" s="18"/>
      <c r="G7" s="13" t="s">
        <v>1484</v>
      </c>
      <c r="H7" s="15" t="s">
        <v>1497</v>
      </c>
      <c r="I7" s="15" t="s">
        <v>1395</v>
      </c>
      <c r="J7" s="12" t="s">
        <v>242</v>
      </c>
      <c r="K7" s="15" t="s">
        <v>407</v>
      </c>
      <c r="L7" s="15" t="s">
        <v>28</v>
      </c>
      <c r="M7" s="15">
        <v>2019</v>
      </c>
      <c r="N7" s="15" t="str">
        <f t="shared" si="1"/>
        <v>September</v>
      </c>
      <c r="O7" s="15">
        <v>2024</v>
      </c>
      <c r="P7" s="15">
        <v>2020</v>
      </c>
      <c r="Q7" s="15"/>
      <c r="R7" s="16" t="s">
        <v>29</v>
      </c>
      <c r="S7" s="15"/>
      <c r="T7" s="15"/>
      <c r="U7" s="15"/>
      <c r="V7" s="15"/>
      <c r="W7" s="15"/>
    </row>
    <row r="8" spans="1:24" s="17" customFormat="1" ht="14.5" x14ac:dyDescent="0.35">
      <c r="A8" s="12">
        <v>7</v>
      </c>
      <c r="B8" s="13" t="s">
        <v>1498</v>
      </c>
      <c r="C8" s="14" t="s">
        <v>1499</v>
      </c>
      <c r="D8" s="14" t="str">
        <f t="shared" si="0"/>
        <v>Perempuan</v>
      </c>
      <c r="E8" s="13"/>
      <c r="F8" s="18"/>
      <c r="G8" s="13" t="s">
        <v>1484</v>
      </c>
      <c r="H8" s="15" t="s">
        <v>1497</v>
      </c>
      <c r="I8" s="15" t="s">
        <v>1395</v>
      </c>
      <c r="J8" s="12" t="s">
        <v>242</v>
      </c>
      <c r="K8" s="15" t="s">
        <v>407</v>
      </c>
      <c r="L8" s="15" t="s">
        <v>28</v>
      </c>
      <c r="M8" s="15">
        <v>2019</v>
      </c>
      <c r="N8" s="15" t="s">
        <v>614</v>
      </c>
      <c r="O8" s="15">
        <v>2025</v>
      </c>
      <c r="P8" s="15">
        <v>2020</v>
      </c>
      <c r="Q8" s="15"/>
      <c r="R8" s="16" t="s">
        <v>29</v>
      </c>
      <c r="S8" s="15"/>
      <c r="T8" s="15"/>
      <c r="U8" s="15"/>
      <c r="V8" s="15"/>
      <c r="W8" s="15"/>
    </row>
    <row r="9" spans="1:24" s="17" customFormat="1" ht="14.5" x14ac:dyDescent="0.35">
      <c r="A9" s="12">
        <v>8</v>
      </c>
      <c r="B9" s="13" t="s">
        <v>1500</v>
      </c>
      <c r="C9" s="14" t="s">
        <v>1501</v>
      </c>
      <c r="D9" s="14" t="str">
        <f t="shared" si="0"/>
        <v>Laki-Laki</v>
      </c>
      <c r="E9" s="13"/>
      <c r="F9" s="18"/>
      <c r="G9" s="13" t="s">
        <v>1484</v>
      </c>
      <c r="H9" s="15" t="s">
        <v>1497</v>
      </c>
      <c r="I9" s="15" t="s">
        <v>1395</v>
      </c>
      <c r="J9" s="12" t="s">
        <v>242</v>
      </c>
      <c r="K9" s="15" t="s">
        <v>407</v>
      </c>
      <c r="L9" s="15" t="s">
        <v>28</v>
      </c>
      <c r="M9" s="15">
        <v>2019</v>
      </c>
      <c r="N9" s="15" t="str">
        <f t="shared" ref="N9:N13" si="2">L9</f>
        <v>September</v>
      </c>
      <c r="O9" s="15">
        <v>2023</v>
      </c>
      <c r="P9" s="15">
        <v>2020</v>
      </c>
      <c r="Q9" s="15"/>
      <c r="R9" s="16" t="s">
        <v>51</v>
      </c>
      <c r="S9" s="15"/>
      <c r="T9" s="15"/>
      <c r="U9" s="15"/>
      <c r="V9" s="15"/>
      <c r="W9" s="15"/>
    </row>
    <row r="10" spans="1:24" s="17" customFormat="1" ht="14.5" x14ac:dyDescent="0.35">
      <c r="A10" s="12">
        <v>9</v>
      </c>
      <c r="B10" s="13" t="s">
        <v>1502</v>
      </c>
      <c r="C10" s="14" t="s">
        <v>1503</v>
      </c>
      <c r="D10" s="14" t="str">
        <f t="shared" si="0"/>
        <v>Laki-Laki</v>
      </c>
      <c r="E10" s="13"/>
      <c r="F10" s="18"/>
      <c r="G10" s="13" t="s">
        <v>1484</v>
      </c>
      <c r="H10" s="15" t="s">
        <v>1497</v>
      </c>
      <c r="I10" s="15" t="s">
        <v>1395</v>
      </c>
      <c r="J10" s="12" t="s">
        <v>242</v>
      </c>
      <c r="K10" s="15" t="s">
        <v>407</v>
      </c>
      <c r="L10" s="15" t="s">
        <v>28</v>
      </c>
      <c r="M10" s="15">
        <v>2019</v>
      </c>
      <c r="N10" s="15" t="str">
        <f t="shared" si="2"/>
        <v>September</v>
      </c>
      <c r="O10" s="15">
        <v>2023</v>
      </c>
      <c r="P10" s="15">
        <v>2020</v>
      </c>
      <c r="Q10" s="15"/>
      <c r="R10" s="16" t="s">
        <v>51</v>
      </c>
      <c r="S10" s="15"/>
      <c r="T10" s="15"/>
      <c r="U10" s="15"/>
      <c r="V10" s="15"/>
      <c r="W10" s="15"/>
    </row>
    <row r="11" spans="1:24" s="17" customFormat="1" ht="14.5" x14ac:dyDescent="0.35">
      <c r="A11" s="12">
        <v>10</v>
      </c>
      <c r="B11" s="13" t="s">
        <v>1504</v>
      </c>
      <c r="C11" s="14" t="s">
        <v>1505</v>
      </c>
      <c r="D11" s="14" t="str">
        <f t="shared" si="0"/>
        <v>Laki-Laki</v>
      </c>
      <c r="E11" s="13"/>
      <c r="F11" s="18"/>
      <c r="G11" s="13" t="s">
        <v>1484</v>
      </c>
      <c r="H11" s="15" t="s">
        <v>1497</v>
      </c>
      <c r="I11" s="15" t="s">
        <v>1395</v>
      </c>
      <c r="J11" s="12" t="s">
        <v>242</v>
      </c>
      <c r="K11" s="15" t="s">
        <v>407</v>
      </c>
      <c r="L11" s="15" t="s">
        <v>28</v>
      </c>
      <c r="M11" s="15">
        <v>2019</v>
      </c>
      <c r="N11" s="15" t="str">
        <f t="shared" si="2"/>
        <v>September</v>
      </c>
      <c r="O11" s="15">
        <v>2023</v>
      </c>
      <c r="P11" s="15">
        <v>2020</v>
      </c>
      <c r="Q11" s="15"/>
      <c r="R11" s="16" t="s">
        <v>51</v>
      </c>
      <c r="S11" s="15"/>
      <c r="T11" s="15"/>
      <c r="U11" s="15"/>
      <c r="V11" s="15"/>
      <c r="W11" s="15"/>
    </row>
    <row r="12" spans="1:24" s="17" customFormat="1" ht="14.5" x14ac:dyDescent="0.35">
      <c r="A12" s="12">
        <v>11</v>
      </c>
      <c r="B12" s="13" t="s">
        <v>1506</v>
      </c>
      <c r="C12" s="14" t="s">
        <v>1507</v>
      </c>
      <c r="D12" s="14" t="str">
        <f t="shared" si="0"/>
        <v>Laki-Laki</v>
      </c>
      <c r="E12" s="13"/>
      <c r="F12" s="18"/>
      <c r="G12" s="13" t="s">
        <v>1484</v>
      </c>
      <c r="H12" s="15" t="s">
        <v>1497</v>
      </c>
      <c r="I12" s="15" t="s">
        <v>1395</v>
      </c>
      <c r="J12" s="12" t="s">
        <v>242</v>
      </c>
      <c r="K12" s="15" t="s">
        <v>407</v>
      </c>
      <c r="L12" s="15" t="s">
        <v>28</v>
      </c>
      <c r="M12" s="15">
        <v>2019</v>
      </c>
      <c r="N12" s="15" t="str">
        <f t="shared" si="2"/>
        <v>September</v>
      </c>
      <c r="O12" s="15">
        <v>2023</v>
      </c>
      <c r="P12" s="15">
        <v>2020</v>
      </c>
      <c r="Q12" s="15"/>
      <c r="R12" s="16" t="s">
        <v>51</v>
      </c>
      <c r="S12" s="15"/>
      <c r="T12" s="15"/>
      <c r="U12" s="15"/>
      <c r="V12" s="15"/>
      <c r="W12" s="15"/>
    </row>
    <row r="13" spans="1:24" s="17" customFormat="1" ht="14.5" x14ac:dyDescent="0.35">
      <c r="A13" s="12">
        <v>12</v>
      </c>
      <c r="B13" s="13" t="s">
        <v>1508</v>
      </c>
      <c r="C13" s="14" t="s">
        <v>1509</v>
      </c>
      <c r="D13" s="14" t="str">
        <f t="shared" si="0"/>
        <v>Laki-Laki</v>
      </c>
      <c r="E13" s="13"/>
      <c r="F13" s="18"/>
      <c r="G13" s="13" t="s">
        <v>1484</v>
      </c>
      <c r="H13" s="15" t="s">
        <v>1497</v>
      </c>
      <c r="I13" s="15" t="s">
        <v>1395</v>
      </c>
      <c r="J13" s="12" t="s">
        <v>242</v>
      </c>
      <c r="K13" s="15" t="s">
        <v>407</v>
      </c>
      <c r="L13" s="15" t="s">
        <v>28</v>
      </c>
      <c r="M13" s="15">
        <v>2019</v>
      </c>
      <c r="N13" s="15" t="str">
        <f t="shared" si="2"/>
        <v>September</v>
      </c>
      <c r="O13" s="15">
        <v>2023</v>
      </c>
      <c r="P13" s="15">
        <v>2020</v>
      </c>
      <c r="Q13" s="15"/>
      <c r="R13" s="16" t="s">
        <v>29</v>
      </c>
      <c r="S13" s="15"/>
      <c r="T13" s="15"/>
      <c r="U13" s="15"/>
      <c r="V13" s="15"/>
      <c r="W13" s="15"/>
    </row>
    <row r="14" spans="1:24" s="17" customFormat="1" ht="14.5" x14ac:dyDescent="0.35">
      <c r="A14" s="12">
        <v>13</v>
      </c>
      <c r="B14" s="13" t="s">
        <v>1510</v>
      </c>
      <c r="C14" s="14" t="s">
        <v>1511</v>
      </c>
      <c r="D14" s="14" t="str">
        <f t="shared" si="0"/>
        <v>Laki-Laki</v>
      </c>
      <c r="E14" s="13"/>
      <c r="F14" s="18"/>
      <c r="G14" s="13" t="s">
        <v>1484</v>
      </c>
      <c r="H14" s="15" t="s">
        <v>1497</v>
      </c>
      <c r="I14" s="15" t="s">
        <v>1395</v>
      </c>
      <c r="J14" s="12" t="s">
        <v>242</v>
      </c>
      <c r="K14" s="15" t="s">
        <v>407</v>
      </c>
      <c r="L14" s="15" t="s">
        <v>28</v>
      </c>
      <c r="M14" s="15">
        <v>2019</v>
      </c>
      <c r="N14" s="15" t="s">
        <v>614</v>
      </c>
      <c r="O14" s="15">
        <v>2025</v>
      </c>
      <c r="P14" s="15">
        <v>2020</v>
      </c>
      <c r="Q14" s="15"/>
      <c r="R14" s="16" t="s">
        <v>29</v>
      </c>
      <c r="S14" s="15"/>
      <c r="T14" s="15"/>
      <c r="U14" s="15"/>
      <c r="V14" s="15"/>
      <c r="W14" s="15"/>
    </row>
    <row r="15" spans="1:24" s="17" customFormat="1" ht="28" x14ac:dyDescent="0.35">
      <c r="A15" s="12">
        <v>14</v>
      </c>
      <c r="B15" s="13" t="s">
        <v>1512</v>
      </c>
      <c r="C15" s="14" t="s">
        <v>1513</v>
      </c>
      <c r="D15" s="14" t="str">
        <f t="shared" si="0"/>
        <v>Laki-Laki</v>
      </c>
      <c r="E15" s="13"/>
      <c r="F15" s="13"/>
      <c r="G15" s="13" t="s">
        <v>1484</v>
      </c>
      <c r="H15" s="15" t="s">
        <v>1514</v>
      </c>
      <c r="I15" s="15" t="s">
        <v>90</v>
      </c>
      <c r="J15" s="12" t="s">
        <v>45</v>
      </c>
      <c r="K15" s="15" t="s">
        <v>905</v>
      </c>
      <c r="L15" s="12" t="s">
        <v>72</v>
      </c>
      <c r="M15" s="12">
        <v>2021</v>
      </c>
      <c r="N15" s="15" t="str">
        <f t="shared" ref="N15:N23" si="3">L15</f>
        <v>Februari</v>
      </c>
      <c r="O15" s="15">
        <v>2025</v>
      </c>
      <c r="P15" s="15">
        <v>2021</v>
      </c>
      <c r="Q15" s="15"/>
      <c r="R15" s="34" t="s">
        <v>51</v>
      </c>
      <c r="S15" s="21"/>
      <c r="T15" s="21"/>
      <c r="U15" s="21"/>
      <c r="V15" s="21"/>
      <c r="W15" s="21"/>
    </row>
    <row r="16" spans="1:24" s="17" customFormat="1" ht="28" x14ac:dyDescent="0.35">
      <c r="A16" s="12">
        <v>15</v>
      </c>
      <c r="B16" s="13" t="s">
        <v>1515</v>
      </c>
      <c r="C16" s="14" t="s">
        <v>1516</v>
      </c>
      <c r="D16" s="14" t="str">
        <f t="shared" si="0"/>
        <v>Laki-Laki</v>
      </c>
      <c r="E16" s="13"/>
      <c r="F16" s="13"/>
      <c r="G16" s="13" t="s">
        <v>1484</v>
      </c>
      <c r="H16" s="15" t="s">
        <v>1514</v>
      </c>
      <c r="I16" s="15" t="s">
        <v>90</v>
      </c>
      <c r="J16" s="12" t="s">
        <v>45</v>
      </c>
      <c r="K16" s="15" t="s">
        <v>46</v>
      </c>
      <c r="L16" s="12" t="s">
        <v>72</v>
      </c>
      <c r="M16" s="12">
        <v>2021</v>
      </c>
      <c r="N16" s="15" t="str">
        <f t="shared" si="3"/>
        <v>Februari</v>
      </c>
      <c r="O16" s="15">
        <v>2025</v>
      </c>
      <c r="P16" s="15">
        <v>2021</v>
      </c>
      <c r="Q16" s="15"/>
      <c r="R16" s="16" t="s">
        <v>51</v>
      </c>
      <c r="S16" s="15"/>
      <c r="T16" s="15"/>
      <c r="U16" s="15"/>
      <c r="V16" s="15"/>
      <c r="W16" s="15"/>
    </row>
    <row r="17" spans="1:24" s="17" customFormat="1" ht="14.5" x14ac:dyDescent="0.35">
      <c r="A17" s="12">
        <v>16</v>
      </c>
      <c r="B17" s="13" t="s">
        <v>1517</v>
      </c>
      <c r="C17" s="14" t="s">
        <v>1518</v>
      </c>
      <c r="D17" s="14" t="str">
        <f t="shared" si="0"/>
        <v>Laki-Laki</v>
      </c>
      <c r="E17" s="13"/>
      <c r="F17" s="13"/>
      <c r="G17" s="13" t="s">
        <v>1484</v>
      </c>
      <c r="H17" s="15" t="s">
        <v>1519</v>
      </c>
      <c r="I17" s="15" t="s">
        <v>241</v>
      </c>
      <c r="J17" s="12" t="s">
        <v>242</v>
      </c>
      <c r="K17" s="15" t="s">
        <v>1327</v>
      </c>
      <c r="L17" s="12" t="s">
        <v>28</v>
      </c>
      <c r="M17" s="12">
        <v>2020</v>
      </c>
      <c r="N17" s="15" t="str">
        <f t="shared" si="3"/>
        <v>September</v>
      </c>
      <c r="O17" s="15">
        <v>2023</v>
      </c>
      <c r="P17" s="15">
        <v>2021</v>
      </c>
      <c r="Q17" s="15"/>
      <c r="R17" s="16" t="s">
        <v>51</v>
      </c>
      <c r="S17" s="15"/>
      <c r="T17" s="15"/>
      <c r="U17" s="15"/>
      <c r="V17" s="15"/>
      <c r="W17" s="15"/>
      <c r="X17" s="17" t="s">
        <v>304</v>
      </c>
    </row>
    <row r="18" spans="1:24" s="17" customFormat="1" ht="14.5" x14ac:dyDescent="0.35">
      <c r="A18" s="12">
        <v>17</v>
      </c>
      <c r="B18" s="13" t="s">
        <v>1520</v>
      </c>
      <c r="C18" s="14" t="s">
        <v>1521</v>
      </c>
      <c r="D18" s="14" t="str">
        <f t="shared" si="0"/>
        <v>Laki-Laki</v>
      </c>
      <c r="E18" s="13"/>
      <c r="F18" s="13"/>
      <c r="G18" s="13" t="s">
        <v>1484</v>
      </c>
      <c r="H18" s="15" t="s">
        <v>1522</v>
      </c>
      <c r="I18" s="15" t="s">
        <v>90</v>
      </c>
      <c r="J18" s="12" t="s">
        <v>26</v>
      </c>
      <c r="K18" s="15" t="s">
        <v>394</v>
      </c>
      <c r="L18" s="15" t="s">
        <v>35</v>
      </c>
      <c r="M18" s="12">
        <v>2021</v>
      </c>
      <c r="N18" s="15" t="str">
        <f t="shared" si="3"/>
        <v>Maret</v>
      </c>
      <c r="O18" s="15">
        <v>2023</v>
      </c>
      <c r="P18" s="15">
        <v>2021</v>
      </c>
      <c r="Q18" s="15"/>
      <c r="R18" s="16" t="s">
        <v>51</v>
      </c>
      <c r="S18" s="15"/>
      <c r="T18" s="15"/>
      <c r="U18" s="15"/>
      <c r="V18" s="15"/>
      <c r="W18" s="15"/>
    </row>
    <row r="19" spans="1:24" s="17" customFormat="1" ht="14.5" x14ac:dyDescent="0.35">
      <c r="A19" s="12">
        <v>18</v>
      </c>
      <c r="B19" s="13" t="s">
        <v>1523</v>
      </c>
      <c r="C19" s="14" t="s">
        <v>1524</v>
      </c>
      <c r="D19" s="14" t="str">
        <f t="shared" si="0"/>
        <v>Perempuan</v>
      </c>
      <c r="E19" s="13"/>
      <c r="F19" s="13"/>
      <c r="G19" s="13" t="s">
        <v>1484</v>
      </c>
      <c r="H19" s="15" t="s">
        <v>1525</v>
      </c>
      <c r="I19" s="15" t="s">
        <v>90</v>
      </c>
      <c r="J19" s="12" t="s">
        <v>26</v>
      </c>
      <c r="K19" s="15" t="s">
        <v>394</v>
      </c>
      <c r="L19" s="15" t="s">
        <v>890</v>
      </c>
      <c r="M19" s="12">
        <v>2020</v>
      </c>
      <c r="N19" s="15" t="str">
        <f t="shared" si="3"/>
        <v>Januari</v>
      </c>
      <c r="O19" s="15">
        <v>2022</v>
      </c>
      <c r="P19" s="15">
        <v>2021</v>
      </c>
      <c r="Q19" s="15"/>
      <c r="R19" s="34" t="s">
        <v>51</v>
      </c>
      <c r="S19" s="21"/>
      <c r="T19" s="21"/>
      <c r="U19" s="21"/>
      <c r="V19" s="21"/>
      <c r="W19" s="21"/>
    </row>
    <row r="20" spans="1:24" s="17" customFormat="1" ht="14.5" x14ac:dyDescent="0.35">
      <c r="A20" s="12">
        <v>19</v>
      </c>
      <c r="B20" s="13" t="s">
        <v>1526</v>
      </c>
      <c r="C20" s="14" t="s">
        <v>1527</v>
      </c>
      <c r="D20" s="14" t="str">
        <f t="shared" si="0"/>
        <v>Laki-Laki</v>
      </c>
      <c r="E20" s="13"/>
      <c r="F20" s="13"/>
      <c r="G20" s="13" t="s">
        <v>1484</v>
      </c>
      <c r="H20" s="15" t="s">
        <v>1528</v>
      </c>
      <c r="I20" s="15" t="s">
        <v>1529</v>
      </c>
      <c r="J20" s="12" t="s">
        <v>26</v>
      </c>
      <c r="K20" s="15" t="s">
        <v>1530</v>
      </c>
      <c r="L20" s="15" t="s">
        <v>60</v>
      </c>
      <c r="M20" s="15">
        <v>2020</v>
      </c>
      <c r="N20" s="15" t="str">
        <f t="shared" si="3"/>
        <v>Agustus</v>
      </c>
      <c r="O20" s="15">
        <v>2024</v>
      </c>
      <c r="P20" s="15">
        <v>2021</v>
      </c>
      <c r="Q20" s="15"/>
      <c r="R20" s="16" t="s">
        <v>29</v>
      </c>
      <c r="S20" s="15"/>
      <c r="T20" s="15"/>
      <c r="U20" s="15"/>
      <c r="V20" s="15"/>
      <c r="W20" s="15"/>
    </row>
    <row r="21" spans="1:24" s="17" customFormat="1" ht="28" x14ac:dyDescent="0.35">
      <c r="A21" s="12">
        <v>20</v>
      </c>
      <c r="B21" s="13" t="s">
        <v>1531</v>
      </c>
      <c r="C21" s="14" t="s">
        <v>1532</v>
      </c>
      <c r="D21" s="14" t="str">
        <f t="shared" si="0"/>
        <v>Perempuan</v>
      </c>
      <c r="E21" s="13"/>
      <c r="F21" s="13"/>
      <c r="G21" s="13" t="s">
        <v>1484</v>
      </c>
      <c r="H21" s="15" t="s">
        <v>1533</v>
      </c>
      <c r="I21" s="15" t="s">
        <v>1108</v>
      </c>
      <c r="J21" s="12" t="s">
        <v>26</v>
      </c>
      <c r="K21" s="15" t="s">
        <v>57</v>
      </c>
      <c r="L21" s="15" t="s">
        <v>60</v>
      </c>
      <c r="M21" s="15">
        <v>2021</v>
      </c>
      <c r="N21" s="15" t="str">
        <f t="shared" si="3"/>
        <v>Agustus</v>
      </c>
      <c r="O21" s="15">
        <v>2023</v>
      </c>
      <c r="P21" s="15">
        <v>2021</v>
      </c>
      <c r="Q21" s="15"/>
      <c r="R21" s="16" t="s">
        <v>51</v>
      </c>
      <c r="S21" s="15"/>
      <c r="T21" s="15"/>
      <c r="U21" s="15"/>
      <c r="V21" s="15"/>
      <c r="W21" s="15"/>
    </row>
    <row r="22" spans="1:24" s="17" customFormat="1" ht="14.5" x14ac:dyDescent="0.35">
      <c r="A22" s="12">
        <v>21</v>
      </c>
      <c r="B22" s="13" t="s">
        <v>1534</v>
      </c>
      <c r="C22" s="14" t="s">
        <v>1535</v>
      </c>
      <c r="D22" s="14" t="str">
        <f t="shared" si="0"/>
        <v>Laki-Laki</v>
      </c>
      <c r="E22" s="13"/>
      <c r="F22" s="13"/>
      <c r="G22" s="13" t="s">
        <v>1484</v>
      </c>
      <c r="H22" s="15" t="s">
        <v>1536</v>
      </c>
      <c r="I22" s="15" t="s">
        <v>90</v>
      </c>
      <c r="J22" s="12" t="s">
        <v>26</v>
      </c>
      <c r="K22" s="15" t="s">
        <v>394</v>
      </c>
      <c r="L22" s="12" t="s">
        <v>72</v>
      </c>
      <c r="M22" s="12">
        <v>2021</v>
      </c>
      <c r="N22" s="15" t="str">
        <f t="shared" si="3"/>
        <v>Februari</v>
      </c>
      <c r="O22" s="15">
        <v>2023</v>
      </c>
      <c r="P22" s="15">
        <v>2021</v>
      </c>
      <c r="Q22" s="15"/>
      <c r="R22" s="16" t="s">
        <v>51</v>
      </c>
      <c r="S22" s="15"/>
      <c r="T22" s="15"/>
      <c r="U22" s="15"/>
      <c r="V22" s="15"/>
      <c r="W22" s="15"/>
    </row>
    <row r="23" spans="1:24" s="17" customFormat="1" ht="14.5" x14ac:dyDescent="0.35">
      <c r="A23" s="12">
        <v>22</v>
      </c>
      <c r="B23" s="13" t="s">
        <v>1537</v>
      </c>
      <c r="C23" s="14" t="s">
        <v>1538</v>
      </c>
      <c r="D23" s="14" t="str">
        <f t="shared" si="0"/>
        <v>Laki-Laki</v>
      </c>
      <c r="E23" s="13"/>
      <c r="F23" s="13"/>
      <c r="G23" s="13" t="s">
        <v>1484</v>
      </c>
      <c r="H23" s="15" t="s">
        <v>1539</v>
      </c>
      <c r="I23" s="15" t="s">
        <v>90</v>
      </c>
      <c r="J23" s="12" t="s">
        <v>26</v>
      </c>
      <c r="K23" s="15" t="s">
        <v>394</v>
      </c>
      <c r="L23" s="12" t="s">
        <v>72</v>
      </c>
      <c r="M23" s="12">
        <v>2021</v>
      </c>
      <c r="N23" s="15" t="str">
        <f t="shared" si="3"/>
        <v>Februari</v>
      </c>
      <c r="O23" s="15">
        <v>2023</v>
      </c>
      <c r="P23" s="15">
        <v>2021</v>
      </c>
      <c r="Q23" s="15"/>
      <c r="R23" s="16" t="s">
        <v>51</v>
      </c>
      <c r="S23" s="15"/>
      <c r="T23" s="15"/>
      <c r="U23" s="15"/>
      <c r="V23" s="15"/>
      <c r="W23" s="15"/>
    </row>
    <row r="24" spans="1:24" s="17" customFormat="1" ht="14.5" x14ac:dyDescent="0.35">
      <c r="A24" s="12">
        <v>23</v>
      </c>
      <c r="B24" s="13" t="s">
        <v>1540</v>
      </c>
      <c r="C24" s="14" t="s">
        <v>1541</v>
      </c>
      <c r="D24" s="14" t="str">
        <f t="shared" si="0"/>
        <v>Laki-Laki</v>
      </c>
      <c r="E24" s="13"/>
      <c r="F24" s="13"/>
      <c r="G24" s="13" t="s">
        <v>1484</v>
      </c>
      <c r="H24" s="15" t="s">
        <v>1542</v>
      </c>
      <c r="I24" s="15" t="s">
        <v>1543</v>
      </c>
      <c r="J24" s="12" t="s">
        <v>26</v>
      </c>
      <c r="K24" s="15" t="s">
        <v>1544</v>
      </c>
      <c r="L24" s="15" t="s">
        <v>160</v>
      </c>
      <c r="M24" s="15">
        <v>2019</v>
      </c>
      <c r="N24" s="15" t="str">
        <f>L24</f>
        <v>Juli</v>
      </c>
      <c r="O24" s="15">
        <v>2021</v>
      </c>
      <c r="P24" s="15">
        <v>2021</v>
      </c>
      <c r="Q24" s="15"/>
      <c r="R24" s="16" t="s">
        <v>29</v>
      </c>
      <c r="S24" s="15"/>
      <c r="T24" s="15"/>
      <c r="U24" s="15"/>
      <c r="V24" s="15"/>
      <c r="W24" s="15"/>
    </row>
    <row r="25" spans="1:24" s="17" customFormat="1" ht="14.5" x14ac:dyDescent="0.35">
      <c r="A25" s="12">
        <v>24</v>
      </c>
      <c r="B25" s="13" t="s">
        <v>1545</v>
      </c>
      <c r="C25" s="14" t="s">
        <v>1546</v>
      </c>
      <c r="D25" s="14" t="str">
        <f t="shared" si="0"/>
        <v>Laki-Laki</v>
      </c>
      <c r="E25" s="13"/>
      <c r="F25" s="13"/>
      <c r="G25" s="13" t="s">
        <v>1484</v>
      </c>
      <c r="H25" s="15" t="s">
        <v>1547</v>
      </c>
      <c r="I25" s="15" t="s">
        <v>1548</v>
      </c>
      <c r="J25" s="15" t="s">
        <v>26</v>
      </c>
      <c r="K25" s="15" t="s">
        <v>50</v>
      </c>
      <c r="L25" s="21" t="s">
        <v>113</v>
      </c>
      <c r="M25" s="21">
        <v>2021</v>
      </c>
      <c r="N25" s="15" t="str">
        <f>L25</f>
        <v>April</v>
      </c>
      <c r="O25" s="15">
        <v>2023</v>
      </c>
      <c r="P25" s="15">
        <v>2021</v>
      </c>
      <c r="Q25" s="15"/>
      <c r="R25" s="16" t="s">
        <v>29</v>
      </c>
      <c r="S25" s="15"/>
      <c r="T25" s="15"/>
      <c r="U25" s="15"/>
      <c r="V25" s="15"/>
      <c r="W25" s="15"/>
    </row>
    <row r="26" spans="1:24" s="17" customFormat="1" ht="14.5" x14ac:dyDescent="0.35">
      <c r="A26" s="12">
        <v>25</v>
      </c>
      <c r="B26" s="13" t="s">
        <v>1549</v>
      </c>
      <c r="C26" s="14" t="s">
        <v>1550</v>
      </c>
      <c r="D26" s="14" t="str">
        <f t="shared" si="0"/>
        <v>Laki-Laki</v>
      </c>
      <c r="E26" s="13"/>
      <c r="F26" s="13"/>
      <c r="G26" s="13" t="s">
        <v>1484</v>
      </c>
      <c r="H26" s="15" t="s">
        <v>1547</v>
      </c>
      <c r="I26" s="15" t="s">
        <v>1548</v>
      </c>
      <c r="J26" s="15" t="s">
        <v>26</v>
      </c>
      <c r="K26" s="15" t="s">
        <v>50</v>
      </c>
      <c r="L26" s="21" t="s">
        <v>113</v>
      </c>
      <c r="M26" s="21">
        <v>2021</v>
      </c>
      <c r="N26" s="15" t="str">
        <f>L26</f>
        <v>April</v>
      </c>
      <c r="O26" s="15">
        <v>2023</v>
      </c>
      <c r="P26" s="15">
        <v>2021</v>
      </c>
      <c r="Q26" s="15"/>
      <c r="R26" s="16" t="s">
        <v>29</v>
      </c>
      <c r="S26" s="15"/>
      <c r="T26" s="15"/>
      <c r="U26" s="15"/>
      <c r="V26" s="15"/>
      <c r="W26" s="15"/>
    </row>
    <row r="27" spans="1:24" s="17" customFormat="1" ht="14.5" x14ac:dyDescent="0.35">
      <c r="A27" s="12">
        <v>26</v>
      </c>
      <c r="B27" s="13" t="s">
        <v>1551</v>
      </c>
      <c r="C27" s="14" t="s">
        <v>1552</v>
      </c>
      <c r="D27" s="14" t="str">
        <f t="shared" si="0"/>
        <v>Perempuan</v>
      </c>
      <c r="E27" s="13"/>
      <c r="F27" s="13"/>
      <c r="G27" s="13" t="s">
        <v>1484</v>
      </c>
      <c r="H27" s="15" t="s">
        <v>1553</v>
      </c>
      <c r="I27" s="15" t="s">
        <v>485</v>
      </c>
      <c r="J27" s="12" t="s">
        <v>45</v>
      </c>
      <c r="K27" s="15" t="s">
        <v>269</v>
      </c>
      <c r="L27" s="21" t="s">
        <v>60</v>
      </c>
      <c r="M27" s="21">
        <v>2019</v>
      </c>
      <c r="N27" s="15" t="str">
        <f>L27</f>
        <v>Agustus</v>
      </c>
      <c r="O27" s="15">
        <v>2023</v>
      </c>
      <c r="P27" s="15">
        <v>2021</v>
      </c>
      <c r="Q27" s="15"/>
      <c r="R27" s="16" t="s">
        <v>29</v>
      </c>
      <c r="S27" s="15"/>
      <c r="T27" s="15"/>
      <c r="U27" s="15"/>
      <c r="V27" s="15"/>
      <c r="W27" s="15"/>
    </row>
    <row r="28" spans="1:24" s="17" customFormat="1" ht="14.5" x14ac:dyDescent="0.35">
      <c r="A28" s="12">
        <v>27</v>
      </c>
      <c r="B28" s="13" t="s">
        <v>1554</v>
      </c>
      <c r="C28" s="14" t="s">
        <v>1555</v>
      </c>
      <c r="D28" s="14" t="str">
        <f t="shared" si="0"/>
        <v>Laki-Laki</v>
      </c>
      <c r="E28" s="13"/>
      <c r="F28" s="13"/>
      <c r="G28" s="13" t="s">
        <v>1484</v>
      </c>
      <c r="H28" s="15" t="s">
        <v>1553</v>
      </c>
      <c r="I28" s="15" t="s">
        <v>485</v>
      </c>
      <c r="J28" s="12" t="s">
        <v>45</v>
      </c>
      <c r="K28" s="15" t="s">
        <v>269</v>
      </c>
      <c r="L28" s="21" t="s">
        <v>60</v>
      </c>
      <c r="M28" s="21">
        <v>2019</v>
      </c>
      <c r="N28" s="15" t="str">
        <f t="shared" ref="N28:N52" si="4">L28</f>
        <v>Agustus</v>
      </c>
      <c r="O28" s="15">
        <v>2023</v>
      </c>
      <c r="P28" s="15">
        <v>2021</v>
      </c>
      <c r="Q28" s="15"/>
      <c r="R28" s="16" t="s">
        <v>29</v>
      </c>
      <c r="S28" s="15"/>
      <c r="T28" s="15"/>
      <c r="U28" s="15"/>
      <c r="V28" s="15"/>
      <c r="W28" s="15"/>
    </row>
    <row r="29" spans="1:24" s="17" customFormat="1" ht="14.5" x14ac:dyDescent="0.35">
      <c r="A29" s="12">
        <v>28</v>
      </c>
      <c r="B29" s="13" t="s">
        <v>1556</v>
      </c>
      <c r="C29" s="14" t="s">
        <v>1557</v>
      </c>
      <c r="D29" s="14" t="str">
        <f t="shared" si="0"/>
        <v>Laki-Laki</v>
      </c>
      <c r="E29" s="13"/>
      <c r="F29" s="13"/>
      <c r="G29" s="13" t="s">
        <v>1484</v>
      </c>
      <c r="H29" s="15" t="s">
        <v>1553</v>
      </c>
      <c r="I29" s="15" t="s">
        <v>485</v>
      </c>
      <c r="J29" s="12" t="s">
        <v>45</v>
      </c>
      <c r="K29" s="15" t="s">
        <v>269</v>
      </c>
      <c r="L29" s="21" t="s">
        <v>60</v>
      </c>
      <c r="M29" s="21">
        <v>2019</v>
      </c>
      <c r="N29" s="15" t="str">
        <f t="shared" si="4"/>
        <v>Agustus</v>
      </c>
      <c r="O29" s="15">
        <v>2023</v>
      </c>
      <c r="P29" s="15">
        <v>2021</v>
      </c>
      <c r="Q29" s="15"/>
      <c r="R29" s="16" t="s">
        <v>29</v>
      </c>
      <c r="S29" s="15"/>
      <c r="T29" s="15"/>
      <c r="U29" s="15"/>
      <c r="V29" s="15"/>
      <c r="W29" s="15"/>
    </row>
    <row r="30" spans="1:24" s="17" customFormat="1" ht="14.5" x14ac:dyDescent="0.35">
      <c r="A30" s="12">
        <v>29</v>
      </c>
      <c r="B30" s="13" t="s">
        <v>1558</v>
      </c>
      <c r="C30" s="14" t="s">
        <v>1559</v>
      </c>
      <c r="D30" s="14" t="str">
        <f t="shared" si="0"/>
        <v>Laki-Laki</v>
      </c>
      <c r="E30" s="13"/>
      <c r="F30" s="18"/>
      <c r="G30" s="13" t="s">
        <v>1484</v>
      </c>
      <c r="H30" s="15" t="s">
        <v>1560</v>
      </c>
      <c r="I30" s="15" t="s">
        <v>1561</v>
      </c>
      <c r="J30" s="12" t="s">
        <v>45</v>
      </c>
      <c r="K30" s="15" t="s">
        <v>51</v>
      </c>
      <c r="L30" s="15" t="s">
        <v>1562</v>
      </c>
      <c r="M30" s="15">
        <v>2021</v>
      </c>
      <c r="N30" s="15" t="str">
        <f t="shared" si="4"/>
        <v>Desember</v>
      </c>
      <c r="O30" s="15">
        <v>2025</v>
      </c>
      <c r="P30" s="15">
        <v>2022</v>
      </c>
      <c r="Q30" s="15"/>
      <c r="R30" s="16" t="s">
        <v>51</v>
      </c>
      <c r="S30" s="15"/>
      <c r="T30" s="15"/>
      <c r="U30" s="15"/>
      <c r="V30" s="15"/>
      <c r="W30" s="15"/>
    </row>
    <row r="31" spans="1:24" s="17" customFormat="1" ht="28" x14ac:dyDescent="0.35">
      <c r="A31" s="12">
        <v>30</v>
      </c>
      <c r="B31" s="13" t="s">
        <v>1563</v>
      </c>
      <c r="C31" s="14" t="s">
        <v>1564</v>
      </c>
      <c r="D31" s="14" t="str">
        <f t="shared" si="0"/>
        <v>Laki-Laki</v>
      </c>
      <c r="E31" s="13"/>
      <c r="F31" s="18"/>
      <c r="G31" s="13" t="s">
        <v>1484</v>
      </c>
      <c r="H31" s="15" t="s">
        <v>1560</v>
      </c>
      <c r="I31" s="15" t="s">
        <v>1565</v>
      </c>
      <c r="J31" s="12" t="s">
        <v>45</v>
      </c>
      <c r="K31" s="15" t="s">
        <v>46</v>
      </c>
      <c r="L31" s="21" t="s">
        <v>169</v>
      </c>
      <c r="M31" s="21">
        <v>2020</v>
      </c>
      <c r="N31" s="15" t="str">
        <f t="shared" si="4"/>
        <v>Oktober</v>
      </c>
      <c r="O31" s="15">
        <v>2024</v>
      </c>
      <c r="P31" s="15">
        <v>2022</v>
      </c>
      <c r="Q31" s="15"/>
      <c r="R31" s="16" t="s">
        <v>51</v>
      </c>
      <c r="S31" s="15"/>
      <c r="T31" s="15"/>
      <c r="U31" s="15"/>
      <c r="V31" s="15"/>
      <c r="W31" s="15"/>
    </row>
    <row r="32" spans="1:24" s="17" customFormat="1" ht="14.5" x14ac:dyDescent="0.35">
      <c r="A32" s="12">
        <v>31</v>
      </c>
      <c r="B32" s="13" t="s">
        <v>1566</v>
      </c>
      <c r="C32" s="14" t="s">
        <v>1567</v>
      </c>
      <c r="D32" s="14" t="str">
        <f t="shared" si="0"/>
        <v>Laki-Laki</v>
      </c>
      <c r="E32" s="13"/>
      <c r="F32" s="13"/>
      <c r="G32" s="13" t="s">
        <v>1484</v>
      </c>
      <c r="H32" s="15"/>
      <c r="I32" s="15" t="s">
        <v>1568</v>
      </c>
      <c r="J32" s="12" t="s">
        <v>26</v>
      </c>
      <c r="K32" s="15" t="s">
        <v>1569</v>
      </c>
      <c r="L32" s="21" t="s">
        <v>28</v>
      </c>
      <c r="M32" s="21">
        <v>2022</v>
      </c>
      <c r="N32" s="15" t="str">
        <f t="shared" si="4"/>
        <v>September</v>
      </c>
      <c r="O32" s="15">
        <v>2024</v>
      </c>
      <c r="P32" s="15">
        <v>2022</v>
      </c>
      <c r="Q32" s="15"/>
      <c r="R32" s="16" t="s">
        <v>29</v>
      </c>
      <c r="S32" s="15"/>
      <c r="T32" s="15"/>
      <c r="U32" s="15"/>
      <c r="V32" s="15"/>
      <c r="W32" s="15"/>
    </row>
    <row r="33" spans="1:23" s="17" customFormat="1" ht="14.5" x14ac:dyDescent="0.35">
      <c r="A33" s="12">
        <v>32</v>
      </c>
      <c r="B33" s="13" t="s">
        <v>1570</v>
      </c>
      <c r="C33" s="14" t="s">
        <v>1571</v>
      </c>
      <c r="D33" s="14" t="str">
        <f t="shared" si="0"/>
        <v>Perempuan</v>
      </c>
      <c r="E33" s="13"/>
      <c r="F33" s="13"/>
      <c r="G33" s="13" t="s">
        <v>1484</v>
      </c>
      <c r="H33" s="15" t="s">
        <v>1572</v>
      </c>
      <c r="I33" s="15" t="s">
        <v>1573</v>
      </c>
      <c r="J33" s="12" t="s">
        <v>45</v>
      </c>
      <c r="K33" s="15" t="s">
        <v>196</v>
      </c>
      <c r="L33" s="21" t="s">
        <v>890</v>
      </c>
      <c r="M33" s="21">
        <v>2022</v>
      </c>
      <c r="N33" s="15" t="str">
        <f t="shared" si="4"/>
        <v>Januari</v>
      </c>
      <c r="O33" s="15">
        <v>2026</v>
      </c>
      <c r="P33" s="15">
        <v>2022</v>
      </c>
      <c r="Q33" s="15"/>
      <c r="R33" s="16" t="s">
        <v>51</v>
      </c>
      <c r="S33" s="15"/>
      <c r="T33" s="15"/>
      <c r="U33" s="15"/>
      <c r="V33" s="15"/>
      <c r="W33" s="15"/>
    </row>
    <row r="34" spans="1:23" s="17" customFormat="1" ht="14.5" x14ac:dyDescent="0.35">
      <c r="A34" s="12">
        <v>33</v>
      </c>
      <c r="B34" s="13" t="s">
        <v>1574</v>
      </c>
      <c r="C34" s="14" t="s">
        <v>1575</v>
      </c>
      <c r="D34" s="14" t="str">
        <f t="shared" si="0"/>
        <v>Laki-Laki</v>
      </c>
      <c r="E34" s="13"/>
      <c r="F34" s="18"/>
      <c r="G34" s="13" t="s">
        <v>1484</v>
      </c>
      <c r="H34" s="15" t="s">
        <v>1560</v>
      </c>
      <c r="I34" s="15" t="s">
        <v>1576</v>
      </c>
      <c r="J34" s="12" t="s">
        <v>26</v>
      </c>
      <c r="K34" s="15" t="s">
        <v>1577</v>
      </c>
      <c r="L34" s="21" t="s">
        <v>60</v>
      </c>
      <c r="M34" s="21">
        <v>2021</v>
      </c>
      <c r="N34" s="15" t="str">
        <f t="shared" si="4"/>
        <v>Agustus</v>
      </c>
      <c r="O34" s="15">
        <v>2023</v>
      </c>
      <c r="P34" s="15">
        <v>2022</v>
      </c>
      <c r="Q34" s="15"/>
      <c r="R34" s="16" t="s">
        <v>29</v>
      </c>
      <c r="S34" s="15"/>
      <c r="T34" s="15"/>
      <c r="U34" s="15"/>
      <c r="V34" s="15"/>
      <c r="W34" s="15"/>
    </row>
    <row r="35" spans="1:23" s="17" customFormat="1" ht="14.5" x14ac:dyDescent="0.35">
      <c r="A35" s="12">
        <v>34</v>
      </c>
      <c r="B35" s="13" t="s">
        <v>1578</v>
      </c>
      <c r="C35" s="14" t="s">
        <v>1579</v>
      </c>
      <c r="D35" s="14" t="str">
        <f t="shared" si="0"/>
        <v>Laki-Laki</v>
      </c>
      <c r="E35" s="13"/>
      <c r="F35" s="13"/>
      <c r="G35" s="13" t="s">
        <v>1484</v>
      </c>
      <c r="H35" s="15"/>
      <c r="I35" s="15" t="s">
        <v>90</v>
      </c>
      <c r="J35" s="12" t="s">
        <v>26</v>
      </c>
      <c r="K35" s="15" t="s">
        <v>46</v>
      </c>
      <c r="L35" s="21" t="s">
        <v>156</v>
      </c>
      <c r="M35" s="21">
        <v>2021</v>
      </c>
      <c r="N35" s="15" t="str">
        <f t="shared" si="4"/>
        <v>November</v>
      </c>
      <c r="O35" s="15">
        <v>2024</v>
      </c>
      <c r="P35" s="15">
        <v>2022</v>
      </c>
      <c r="Q35" s="15"/>
      <c r="R35" s="16" t="s">
        <v>29</v>
      </c>
      <c r="S35" s="15"/>
      <c r="T35" s="15"/>
      <c r="U35" s="15"/>
      <c r="V35" s="15"/>
      <c r="W35" s="15"/>
    </row>
    <row r="36" spans="1:23" s="17" customFormat="1" ht="14.5" x14ac:dyDescent="0.35">
      <c r="A36" s="12">
        <v>35</v>
      </c>
      <c r="B36" s="13" t="s">
        <v>1580</v>
      </c>
      <c r="C36" s="14" t="s">
        <v>1581</v>
      </c>
      <c r="D36" s="14" t="str">
        <f t="shared" si="0"/>
        <v>Perempuan</v>
      </c>
      <c r="E36" s="13"/>
      <c r="F36" s="13"/>
      <c r="G36" s="13" t="s">
        <v>1484</v>
      </c>
      <c r="H36" s="15"/>
      <c r="I36" s="15" t="s">
        <v>485</v>
      </c>
      <c r="J36" s="12" t="s">
        <v>26</v>
      </c>
      <c r="K36" s="15" t="s">
        <v>487</v>
      </c>
      <c r="L36" s="21" t="s">
        <v>28</v>
      </c>
      <c r="M36" s="21">
        <v>2021</v>
      </c>
      <c r="N36" s="15" t="str">
        <f t="shared" si="4"/>
        <v>September</v>
      </c>
      <c r="O36" s="15">
        <v>2023</v>
      </c>
      <c r="P36" s="15">
        <v>2022</v>
      </c>
      <c r="Q36" s="15"/>
      <c r="R36" s="16" t="s">
        <v>29</v>
      </c>
      <c r="S36" s="15"/>
      <c r="T36" s="15"/>
      <c r="U36" s="15"/>
      <c r="V36" s="15"/>
      <c r="W36" s="15"/>
    </row>
    <row r="37" spans="1:23" s="17" customFormat="1" ht="14.5" x14ac:dyDescent="0.35">
      <c r="A37" s="12">
        <v>36</v>
      </c>
      <c r="B37" s="13" t="s">
        <v>1582</v>
      </c>
      <c r="C37" s="14" t="s">
        <v>1583</v>
      </c>
      <c r="D37" s="14" t="str">
        <f t="shared" si="0"/>
        <v>Laki-Laki</v>
      </c>
      <c r="E37" s="14"/>
      <c r="F37" s="18"/>
      <c r="G37" s="13" t="s">
        <v>1484</v>
      </c>
      <c r="H37" s="15"/>
      <c r="I37" s="15" t="s">
        <v>485</v>
      </c>
      <c r="J37" s="12" t="s">
        <v>26</v>
      </c>
      <c r="K37" s="15" t="s">
        <v>487</v>
      </c>
      <c r="L37" s="21" t="s">
        <v>28</v>
      </c>
      <c r="M37" s="21">
        <v>2021</v>
      </c>
      <c r="N37" s="15" t="str">
        <f t="shared" si="4"/>
        <v>September</v>
      </c>
      <c r="O37" s="15">
        <v>2023</v>
      </c>
      <c r="P37" s="15">
        <v>2022</v>
      </c>
      <c r="Q37" s="15"/>
      <c r="R37" s="16" t="s">
        <v>29</v>
      </c>
      <c r="S37" s="15"/>
      <c r="T37" s="15"/>
      <c r="U37" s="15"/>
      <c r="V37" s="15"/>
      <c r="W37" s="15"/>
    </row>
    <row r="38" spans="1:23" s="17" customFormat="1" ht="14.5" x14ac:dyDescent="0.35">
      <c r="A38" s="12">
        <v>37</v>
      </c>
      <c r="B38" s="13" t="s">
        <v>1584</v>
      </c>
      <c r="C38" s="14" t="s">
        <v>1585</v>
      </c>
      <c r="D38" s="14" t="str">
        <f t="shared" si="0"/>
        <v>Laki-Laki</v>
      </c>
      <c r="E38" s="13"/>
      <c r="F38" s="13"/>
      <c r="G38" s="13" t="s">
        <v>1484</v>
      </c>
      <c r="H38" s="15"/>
      <c r="I38" s="15" t="s">
        <v>485</v>
      </c>
      <c r="J38" s="12" t="s">
        <v>26</v>
      </c>
      <c r="K38" s="15" t="s">
        <v>487</v>
      </c>
      <c r="L38" s="21" t="s">
        <v>28</v>
      </c>
      <c r="M38" s="21">
        <v>2021</v>
      </c>
      <c r="N38" s="15" t="str">
        <f t="shared" si="4"/>
        <v>September</v>
      </c>
      <c r="O38" s="15">
        <v>2023</v>
      </c>
      <c r="P38" s="15">
        <v>2022</v>
      </c>
      <c r="Q38" s="15"/>
      <c r="R38" s="16" t="s">
        <v>29</v>
      </c>
      <c r="S38" s="15"/>
      <c r="T38" s="15"/>
      <c r="U38" s="15"/>
      <c r="V38" s="15"/>
      <c r="W38" s="15"/>
    </row>
    <row r="39" spans="1:23" s="17" customFormat="1" ht="14.5" x14ac:dyDescent="0.35">
      <c r="A39" s="12">
        <v>38</v>
      </c>
      <c r="B39" s="13" t="s">
        <v>1586</v>
      </c>
      <c r="C39" s="14" t="s">
        <v>1587</v>
      </c>
      <c r="D39" s="14" t="str">
        <f t="shared" si="0"/>
        <v>Laki-Laki</v>
      </c>
      <c r="E39" s="13"/>
      <c r="F39" s="18"/>
      <c r="G39" s="13" t="s">
        <v>1484</v>
      </c>
      <c r="H39" s="15"/>
      <c r="I39" s="15" t="s">
        <v>1588</v>
      </c>
      <c r="J39" s="12" t="s">
        <v>45</v>
      </c>
      <c r="K39" s="15" t="s">
        <v>46</v>
      </c>
      <c r="L39" s="23" t="s">
        <v>169</v>
      </c>
      <c r="M39" s="21">
        <v>2018</v>
      </c>
      <c r="N39" s="15" t="str">
        <f t="shared" si="4"/>
        <v>Oktober</v>
      </c>
      <c r="O39" s="15">
        <v>2022</v>
      </c>
      <c r="P39" s="15">
        <v>2022</v>
      </c>
      <c r="Q39" s="15"/>
      <c r="R39" s="16" t="s">
        <v>29</v>
      </c>
      <c r="S39" s="15"/>
      <c r="T39" s="15"/>
      <c r="U39" s="15"/>
      <c r="V39" s="15"/>
      <c r="W39" s="15"/>
    </row>
    <row r="40" spans="1:23" s="17" customFormat="1" ht="14.5" x14ac:dyDescent="0.35">
      <c r="A40" s="12">
        <v>39</v>
      </c>
      <c r="B40" s="13" t="s">
        <v>1589</v>
      </c>
      <c r="C40" s="14" t="s">
        <v>1590</v>
      </c>
      <c r="D40" s="14" t="str">
        <f t="shared" si="0"/>
        <v>Perempuan</v>
      </c>
      <c r="E40" s="13"/>
      <c r="F40" s="18"/>
      <c r="G40" s="13" t="s">
        <v>1484</v>
      </c>
      <c r="H40" s="15" t="s">
        <v>1591</v>
      </c>
      <c r="I40" s="15" t="s">
        <v>90</v>
      </c>
      <c r="J40" s="12" t="s">
        <v>45</v>
      </c>
      <c r="K40" s="15" t="s">
        <v>1592</v>
      </c>
      <c r="L40" s="21" t="s">
        <v>28</v>
      </c>
      <c r="M40" s="21">
        <v>2020</v>
      </c>
      <c r="N40" s="15" t="str">
        <f t="shared" si="4"/>
        <v>September</v>
      </c>
      <c r="O40" s="15">
        <v>2024</v>
      </c>
      <c r="P40" s="15">
        <v>2022</v>
      </c>
      <c r="Q40" s="15"/>
      <c r="R40" s="16" t="s">
        <v>51</v>
      </c>
      <c r="S40" s="15"/>
      <c r="T40" s="15"/>
      <c r="U40" s="15"/>
      <c r="V40" s="15"/>
      <c r="W40" s="15"/>
    </row>
    <row r="41" spans="1:23" s="17" customFormat="1" ht="14.5" x14ac:dyDescent="0.35">
      <c r="A41" s="12">
        <v>40</v>
      </c>
      <c r="B41" s="13" t="s">
        <v>1593</v>
      </c>
      <c r="C41" s="14" t="s">
        <v>1594</v>
      </c>
      <c r="D41" s="14" t="str">
        <f t="shared" si="0"/>
        <v>Perempuan</v>
      </c>
      <c r="E41" s="13"/>
      <c r="F41" s="13"/>
      <c r="G41" s="13" t="s">
        <v>1484</v>
      </c>
      <c r="H41" s="15" t="s">
        <v>1595</v>
      </c>
      <c r="I41" s="15" t="s">
        <v>90</v>
      </c>
      <c r="J41" s="12" t="s">
        <v>45</v>
      </c>
      <c r="K41" s="15" t="s">
        <v>1592</v>
      </c>
      <c r="L41" s="23" t="s">
        <v>169</v>
      </c>
      <c r="M41" s="21">
        <v>2021</v>
      </c>
      <c r="N41" s="15" t="str">
        <f t="shared" si="4"/>
        <v>Oktober</v>
      </c>
      <c r="O41" s="15">
        <v>2024</v>
      </c>
      <c r="P41" s="15">
        <v>2022</v>
      </c>
      <c r="Q41" s="15"/>
      <c r="R41" s="16" t="s">
        <v>29</v>
      </c>
      <c r="S41" s="15"/>
      <c r="T41" s="15"/>
      <c r="U41" s="15"/>
      <c r="V41" s="15"/>
      <c r="W41" s="15"/>
    </row>
    <row r="42" spans="1:23" s="17" customFormat="1" ht="14.5" x14ac:dyDescent="0.35">
      <c r="A42" s="12">
        <v>41</v>
      </c>
      <c r="B42" s="13" t="s">
        <v>1596</v>
      </c>
      <c r="C42" s="14" t="s">
        <v>1597</v>
      </c>
      <c r="D42" s="14" t="str">
        <f t="shared" si="0"/>
        <v>Laki-Laki</v>
      </c>
      <c r="E42" s="13"/>
      <c r="F42" s="18"/>
      <c r="G42" s="13" t="s">
        <v>1484</v>
      </c>
      <c r="H42" s="15" t="s">
        <v>1595</v>
      </c>
      <c r="I42" s="15" t="s">
        <v>90</v>
      </c>
      <c r="J42" s="12" t="s">
        <v>45</v>
      </c>
      <c r="K42" s="15" t="s">
        <v>1592</v>
      </c>
      <c r="L42" s="23" t="s">
        <v>169</v>
      </c>
      <c r="M42" s="21">
        <v>2021</v>
      </c>
      <c r="N42" s="15" t="str">
        <f t="shared" si="4"/>
        <v>Oktober</v>
      </c>
      <c r="O42" s="15">
        <v>2025</v>
      </c>
      <c r="P42" s="15">
        <v>2022</v>
      </c>
      <c r="Q42" s="15"/>
      <c r="R42" s="16" t="s">
        <v>51</v>
      </c>
      <c r="S42" s="15"/>
      <c r="T42" s="15"/>
      <c r="U42" s="15"/>
      <c r="V42" s="15"/>
      <c r="W42" s="15"/>
    </row>
    <row r="43" spans="1:23" s="17" customFormat="1" ht="14.5" x14ac:dyDescent="0.35">
      <c r="A43" s="12">
        <v>42</v>
      </c>
      <c r="B43" s="13" t="s">
        <v>1598</v>
      </c>
      <c r="C43" s="14" t="s">
        <v>1599</v>
      </c>
      <c r="D43" s="14" t="str">
        <f t="shared" si="0"/>
        <v>Laki-Laki</v>
      </c>
      <c r="E43" s="13"/>
      <c r="F43" s="13"/>
      <c r="G43" s="13" t="s">
        <v>1484</v>
      </c>
      <c r="H43" s="15" t="s">
        <v>1600</v>
      </c>
      <c r="I43" s="15" t="s">
        <v>90</v>
      </c>
      <c r="J43" s="12" t="s">
        <v>45</v>
      </c>
      <c r="K43" s="15" t="s">
        <v>1592</v>
      </c>
      <c r="L43" s="23" t="s">
        <v>35</v>
      </c>
      <c r="M43" s="21">
        <v>2022</v>
      </c>
      <c r="N43" s="15" t="str">
        <f t="shared" si="4"/>
        <v>Maret</v>
      </c>
      <c r="O43" s="15">
        <v>2026</v>
      </c>
      <c r="P43" s="15">
        <v>2022</v>
      </c>
      <c r="Q43" s="15"/>
      <c r="R43" s="16" t="s">
        <v>51</v>
      </c>
      <c r="S43" s="15"/>
      <c r="T43" s="15"/>
      <c r="U43" s="15"/>
      <c r="V43" s="15"/>
      <c r="W43" s="15"/>
    </row>
    <row r="44" spans="1:23" s="17" customFormat="1" ht="14.5" x14ac:dyDescent="0.35">
      <c r="A44" s="12">
        <v>43</v>
      </c>
      <c r="B44" s="13" t="s">
        <v>1601</v>
      </c>
      <c r="C44" s="14" t="s">
        <v>1602</v>
      </c>
      <c r="D44" s="14" t="str">
        <f t="shared" si="0"/>
        <v>Perempuan</v>
      </c>
      <c r="E44" s="13"/>
      <c r="F44" s="13"/>
      <c r="G44" s="13" t="s">
        <v>1484</v>
      </c>
      <c r="H44" s="15" t="s">
        <v>1600</v>
      </c>
      <c r="I44" s="15" t="s">
        <v>90</v>
      </c>
      <c r="J44" s="12" t="s">
        <v>45</v>
      </c>
      <c r="K44" s="15" t="s">
        <v>1592</v>
      </c>
      <c r="L44" s="21" t="s">
        <v>28</v>
      </c>
      <c r="M44" s="21">
        <v>2021</v>
      </c>
      <c r="N44" s="15" t="str">
        <f t="shared" si="4"/>
        <v>September</v>
      </c>
      <c r="O44" s="15">
        <v>2025</v>
      </c>
      <c r="P44" s="15">
        <v>2022</v>
      </c>
      <c r="Q44" s="15"/>
      <c r="R44" s="16" t="s">
        <v>51</v>
      </c>
      <c r="S44" s="15"/>
      <c r="T44" s="15"/>
      <c r="U44" s="15"/>
      <c r="V44" s="15"/>
      <c r="W44" s="15"/>
    </row>
    <row r="45" spans="1:23" s="17" customFormat="1" ht="14.5" x14ac:dyDescent="0.35">
      <c r="A45" s="12">
        <v>44</v>
      </c>
      <c r="B45" s="13" t="s">
        <v>1603</v>
      </c>
      <c r="C45" s="14" t="s">
        <v>1604</v>
      </c>
      <c r="D45" s="14" t="str">
        <f t="shared" si="0"/>
        <v>Perempuan</v>
      </c>
      <c r="E45" s="13"/>
      <c r="F45" s="13"/>
      <c r="G45" s="13" t="s">
        <v>1484</v>
      </c>
      <c r="H45" s="15" t="s">
        <v>1600</v>
      </c>
      <c r="I45" s="15" t="s">
        <v>90</v>
      </c>
      <c r="J45" s="12" t="s">
        <v>45</v>
      </c>
      <c r="K45" s="15" t="s">
        <v>1592</v>
      </c>
      <c r="L45" s="23" t="s">
        <v>169</v>
      </c>
      <c r="M45" s="21">
        <v>2021</v>
      </c>
      <c r="N45" s="15" t="str">
        <f t="shared" si="4"/>
        <v>Oktober</v>
      </c>
      <c r="O45" s="15">
        <v>2025</v>
      </c>
      <c r="P45" s="15">
        <v>2022</v>
      </c>
      <c r="Q45" s="15"/>
      <c r="R45" s="16" t="s">
        <v>51</v>
      </c>
      <c r="S45" s="15"/>
      <c r="T45" s="15"/>
      <c r="U45" s="15"/>
      <c r="V45" s="15"/>
      <c r="W45" s="15"/>
    </row>
    <row r="46" spans="1:23" s="17" customFormat="1" ht="14.5" x14ac:dyDescent="0.35">
      <c r="A46" s="12">
        <v>45</v>
      </c>
      <c r="B46" s="13" t="s">
        <v>1605</v>
      </c>
      <c r="C46" s="14" t="s">
        <v>1606</v>
      </c>
      <c r="D46" s="14" t="str">
        <f t="shared" si="0"/>
        <v>Perempuan</v>
      </c>
      <c r="E46" s="13"/>
      <c r="F46" s="13"/>
      <c r="G46" s="13" t="s">
        <v>1484</v>
      </c>
      <c r="H46" s="15" t="s">
        <v>1600</v>
      </c>
      <c r="I46" s="15" t="s">
        <v>90</v>
      </c>
      <c r="J46" s="12" t="s">
        <v>45</v>
      </c>
      <c r="K46" s="15" t="s">
        <v>1592</v>
      </c>
      <c r="L46" s="23" t="s">
        <v>169</v>
      </c>
      <c r="M46" s="21">
        <v>2021</v>
      </c>
      <c r="N46" s="15" t="str">
        <f t="shared" si="4"/>
        <v>Oktober</v>
      </c>
      <c r="O46" s="15">
        <v>2025</v>
      </c>
      <c r="P46" s="15">
        <v>2022</v>
      </c>
      <c r="Q46" s="15"/>
      <c r="R46" s="16" t="s">
        <v>51</v>
      </c>
      <c r="S46" s="15"/>
      <c r="T46" s="15"/>
      <c r="U46" s="15"/>
      <c r="V46" s="15"/>
      <c r="W46" s="15"/>
    </row>
    <row r="47" spans="1:23" s="17" customFormat="1" ht="14.5" x14ac:dyDescent="0.35">
      <c r="A47" s="12">
        <v>46</v>
      </c>
      <c r="B47" s="13" t="s">
        <v>1607</v>
      </c>
      <c r="C47" s="14" t="s">
        <v>1608</v>
      </c>
      <c r="D47" s="14" t="str">
        <f t="shared" si="0"/>
        <v>Perempuan</v>
      </c>
      <c r="E47" s="13"/>
      <c r="F47" s="18"/>
      <c r="G47" s="13" t="s">
        <v>1484</v>
      </c>
      <c r="H47" s="15" t="s">
        <v>1600</v>
      </c>
      <c r="I47" s="15" t="s">
        <v>485</v>
      </c>
      <c r="J47" s="12" t="s">
        <v>45</v>
      </c>
      <c r="K47" s="15" t="s">
        <v>46</v>
      </c>
      <c r="L47" s="23" t="s">
        <v>169</v>
      </c>
      <c r="M47" s="21">
        <v>2020</v>
      </c>
      <c r="N47" s="15" t="str">
        <f t="shared" si="4"/>
        <v>Oktober</v>
      </c>
      <c r="O47" s="15">
        <v>2024</v>
      </c>
      <c r="P47" s="15">
        <v>2022</v>
      </c>
      <c r="Q47" s="15"/>
      <c r="R47" s="16" t="s">
        <v>51</v>
      </c>
      <c r="S47" s="15"/>
      <c r="T47" s="15"/>
      <c r="U47" s="15"/>
      <c r="V47" s="15"/>
      <c r="W47" s="15"/>
    </row>
    <row r="48" spans="1:23" s="17" customFormat="1" ht="14.5" x14ac:dyDescent="0.35">
      <c r="A48" s="12">
        <v>47</v>
      </c>
      <c r="B48" s="13" t="s">
        <v>1609</v>
      </c>
      <c r="C48" s="14" t="s">
        <v>1610</v>
      </c>
      <c r="D48" s="14" t="str">
        <f t="shared" si="0"/>
        <v>Laki-Laki</v>
      </c>
      <c r="E48" s="13"/>
      <c r="F48" s="18"/>
      <c r="G48" s="13" t="s">
        <v>1484</v>
      </c>
      <c r="H48" s="15" t="s">
        <v>1600</v>
      </c>
      <c r="I48" s="15" t="s">
        <v>90</v>
      </c>
      <c r="J48" s="12" t="s">
        <v>45</v>
      </c>
      <c r="K48" s="15" t="s">
        <v>1592</v>
      </c>
      <c r="L48" s="23" t="s">
        <v>169</v>
      </c>
      <c r="M48" s="21">
        <v>2021</v>
      </c>
      <c r="N48" s="15" t="str">
        <f t="shared" si="4"/>
        <v>Oktober</v>
      </c>
      <c r="O48" s="15">
        <v>2024</v>
      </c>
      <c r="P48" s="15">
        <v>2022</v>
      </c>
      <c r="Q48" s="15"/>
      <c r="R48" s="16" t="s">
        <v>51</v>
      </c>
      <c r="S48" s="15"/>
      <c r="T48" s="15"/>
      <c r="U48" s="15"/>
      <c r="V48" s="15"/>
      <c r="W48" s="15"/>
    </row>
    <row r="49" spans="1:24" s="17" customFormat="1" ht="14.5" x14ac:dyDescent="0.35">
      <c r="A49" s="12">
        <v>48</v>
      </c>
      <c r="B49" s="13" t="s">
        <v>1611</v>
      </c>
      <c r="C49" s="14" t="s">
        <v>1612</v>
      </c>
      <c r="D49" s="14" t="str">
        <f t="shared" si="0"/>
        <v>Laki-Laki</v>
      </c>
      <c r="E49" s="13"/>
      <c r="F49" s="13"/>
      <c r="G49" s="13" t="s">
        <v>1484</v>
      </c>
      <c r="H49" s="15" t="s">
        <v>1600</v>
      </c>
      <c r="I49" s="15" t="s">
        <v>90</v>
      </c>
      <c r="J49" s="12" t="s">
        <v>45</v>
      </c>
      <c r="K49" s="15" t="s">
        <v>1592</v>
      </c>
      <c r="L49" s="21" t="s">
        <v>113</v>
      </c>
      <c r="M49" s="21">
        <v>2022</v>
      </c>
      <c r="N49" s="15" t="str">
        <f t="shared" si="4"/>
        <v>April</v>
      </c>
      <c r="O49" s="15">
        <v>2026</v>
      </c>
      <c r="P49" s="15">
        <v>2022</v>
      </c>
      <c r="Q49" s="15"/>
      <c r="R49" s="16" t="s">
        <v>51</v>
      </c>
      <c r="S49" s="15"/>
      <c r="T49" s="15"/>
      <c r="U49" s="15"/>
      <c r="V49" s="15"/>
      <c r="W49" s="15"/>
    </row>
    <row r="50" spans="1:24" s="17" customFormat="1" ht="14.5" x14ac:dyDescent="0.35">
      <c r="A50" s="12">
        <v>49</v>
      </c>
      <c r="B50" s="13" t="s">
        <v>1613</v>
      </c>
      <c r="C50" s="14" t="s">
        <v>1614</v>
      </c>
      <c r="D50" s="14" t="str">
        <f t="shared" si="0"/>
        <v>Laki-Laki</v>
      </c>
      <c r="E50" s="13"/>
      <c r="F50" s="13"/>
      <c r="G50" s="13" t="s">
        <v>1484</v>
      </c>
      <c r="H50" s="15" t="s">
        <v>1600</v>
      </c>
      <c r="I50" s="15" t="s">
        <v>90</v>
      </c>
      <c r="J50" s="12" t="s">
        <v>45</v>
      </c>
      <c r="K50" s="15" t="s">
        <v>1592</v>
      </c>
      <c r="L50" s="21" t="s">
        <v>113</v>
      </c>
      <c r="M50" s="21">
        <v>2022</v>
      </c>
      <c r="N50" s="15" t="str">
        <f t="shared" si="4"/>
        <v>April</v>
      </c>
      <c r="O50" s="15">
        <v>2026</v>
      </c>
      <c r="P50" s="15">
        <v>2022</v>
      </c>
      <c r="Q50" s="15"/>
      <c r="R50" s="16" t="s">
        <v>51</v>
      </c>
      <c r="S50" s="15"/>
      <c r="T50" s="15"/>
      <c r="U50" s="15"/>
      <c r="V50" s="15"/>
      <c r="W50" s="15"/>
    </row>
    <row r="51" spans="1:24" s="17" customFormat="1" ht="14.5" x14ac:dyDescent="0.35">
      <c r="A51" s="12">
        <v>50</v>
      </c>
      <c r="B51" s="13" t="s">
        <v>1615</v>
      </c>
      <c r="C51" s="14" t="s">
        <v>1616</v>
      </c>
      <c r="D51" s="14" t="str">
        <f t="shared" si="0"/>
        <v>Laki-Laki</v>
      </c>
      <c r="E51" s="13"/>
      <c r="F51" s="13"/>
      <c r="G51" s="13" t="s">
        <v>1484</v>
      </c>
      <c r="H51" s="15" t="s">
        <v>1600</v>
      </c>
      <c r="I51" s="15" t="s">
        <v>90</v>
      </c>
      <c r="J51" s="12" t="s">
        <v>45</v>
      </c>
      <c r="K51" s="15" t="s">
        <v>1592</v>
      </c>
      <c r="L51" s="21" t="s">
        <v>113</v>
      </c>
      <c r="M51" s="21">
        <v>2022</v>
      </c>
      <c r="N51" s="15" t="str">
        <f t="shared" si="4"/>
        <v>April</v>
      </c>
      <c r="O51" s="15">
        <v>2026</v>
      </c>
      <c r="P51" s="15">
        <v>2022</v>
      </c>
      <c r="Q51" s="15"/>
      <c r="R51" s="16" t="s">
        <v>51</v>
      </c>
      <c r="S51" s="15"/>
      <c r="T51" s="15"/>
      <c r="U51" s="15"/>
      <c r="V51" s="15"/>
      <c r="W51" s="15"/>
    </row>
    <row r="52" spans="1:24" s="17" customFormat="1" ht="14.5" x14ac:dyDescent="0.35">
      <c r="A52" s="12">
        <v>51</v>
      </c>
      <c r="B52" s="13" t="s">
        <v>1617</v>
      </c>
      <c r="C52" s="14" t="s">
        <v>1618</v>
      </c>
      <c r="D52" s="14" t="str">
        <f t="shared" si="0"/>
        <v>Laki-Laki</v>
      </c>
      <c r="E52" s="13"/>
      <c r="F52" s="13"/>
      <c r="G52" s="13" t="s">
        <v>1484</v>
      </c>
      <c r="H52" s="15" t="s">
        <v>1600</v>
      </c>
      <c r="I52" s="15" t="s">
        <v>90</v>
      </c>
      <c r="J52" s="12" t="s">
        <v>45</v>
      </c>
      <c r="K52" s="15" t="s">
        <v>1592</v>
      </c>
      <c r="L52" s="21" t="s">
        <v>113</v>
      </c>
      <c r="M52" s="21">
        <v>2022</v>
      </c>
      <c r="N52" s="15" t="str">
        <f t="shared" si="4"/>
        <v>April</v>
      </c>
      <c r="O52" s="15">
        <v>2026</v>
      </c>
      <c r="P52" s="15">
        <v>2022</v>
      </c>
      <c r="Q52" s="15"/>
      <c r="R52" s="16" t="s">
        <v>51</v>
      </c>
      <c r="S52" s="15"/>
      <c r="T52" s="15"/>
      <c r="U52" s="15"/>
      <c r="V52" s="15"/>
      <c r="W52" s="15"/>
    </row>
    <row r="53" spans="1:24" s="17" customFormat="1" ht="14.5" x14ac:dyDescent="0.35">
      <c r="A53" s="12">
        <v>52</v>
      </c>
      <c r="B53" s="13" t="s">
        <v>1619</v>
      </c>
      <c r="C53" s="14" t="s">
        <v>1620</v>
      </c>
      <c r="D53" s="14" t="str">
        <f t="shared" si="0"/>
        <v>Laki-Laki</v>
      </c>
      <c r="E53" s="13"/>
      <c r="F53" s="13"/>
      <c r="G53" s="13" t="s">
        <v>1484</v>
      </c>
      <c r="H53" s="15" t="s">
        <v>1600</v>
      </c>
      <c r="I53" s="90" t="s">
        <v>1621</v>
      </c>
      <c r="J53" s="91" t="s">
        <v>45</v>
      </c>
      <c r="K53" s="92" t="s">
        <v>1622</v>
      </c>
      <c r="L53" s="21" t="s">
        <v>28</v>
      </c>
      <c r="M53" s="21">
        <v>2022</v>
      </c>
      <c r="N53" s="15" t="str">
        <f>L53</f>
        <v>September</v>
      </c>
      <c r="O53" s="15">
        <v>2026</v>
      </c>
      <c r="P53" s="15">
        <v>2022</v>
      </c>
      <c r="Q53" s="15"/>
      <c r="R53" s="16" t="s">
        <v>51</v>
      </c>
      <c r="S53" s="15"/>
      <c r="T53" s="15"/>
      <c r="U53" s="15"/>
      <c r="V53" s="15"/>
      <c r="W53" s="15"/>
    </row>
    <row r="54" spans="1:24" s="17" customFormat="1" ht="14.5" x14ac:dyDescent="0.35">
      <c r="A54" s="12">
        <v>53</v>
      </c>
      <c r="B54" s="13" t="s">
        <v>1623</v>
      </c>
      <c r="C54" s="14" t="s">
        <v>1624</v>
      </c>
      <c r="D54" s="14" t="str">
        <f t="shared" si="0"/>
        <v>Perempuan</v>
      </c>
      <c r="E54" s="13"/>
      <c r="F54" s="13"/>
      <c r="G54" s="13" t="s">
        <v>1484</v>
      </c>
      <c r="H54" s="15"/>
      <c r="I54" s="91" t="s">
        <v>1625</v>
      </c>
      <c r="J54" s="91" t="s">
        <v>45</v>
      </c>
      <c r="K54" s="92" t="s">
        <v>46</v>
      </c>
      <c r="L54" s="21"/>
      <c r="M54" s="21"/>
      <c r="N54" s="15">
        <f>L54</f>
        <v>0</v>
      </c>
      <c r="O54" s="15"/>
      <c r="P54" s="15">
        <v>2022</v>
      </c>
      <c r="Q54" s="15"/>
      <c r="R54" s="16" t="s">
        <v>51</v>
      </c>
      <c r="S54" s="15"/>
      <c r="T54" s="15"/>
      <c r="U54" s="15"/>
      <c r="V54" s="15"/>
      <c r="W54" s="15"/>
    </row>
    <row r="55" spans="1:24" s="17" customFormat="1" ht="14.5" x14ac:dyDescent="0.35">
      <c r="A55" s="12">
        <v>54</v>
      </c>
      <c r="B55" s="13" t="s">
        <v>1626</v>
      </c>
      <c r="C55" s="14"/>
      <c r="D55" s="14" t="str">
        <f t="shared" si="0"/>
        <v>Perempuan</v>
      </c>
      <c r="E55" s="13"/>
      <c r="F55" s="13"/>
      <c r="G55" s="13" t="s">
        <v>1484</v>
      </c>
      <c r="H55" s="15"/>
      <c r="I55" s="91" t="s">
        <v>1625</v>
      </c>
      <c r="J55" s="91" t="s">
        <v>45</v>
      </c>
      <c r="K55" s="92" t="s">
        <v>905</v>
      </c>
      <c r="L55" s="21"/>
      <c r="M55" s="21"/>
      <c r="N55" s="15">
        <f>L55</f>
        <v>0</v>
      </c>
      <c r="O55" s="15"/>
      <c r="P55" s="15">
        <v>2022</v>
      </c>
      <c r="Q55" s="15"/>
      <c r="R55" s="16" t="s">
        <v>51</v>
      </c>
      <c r="S55" s="15"/>
      <c r="T55" s="15"/>
      <c r="U55" s="15"/>
      <c r="V55" s="15"/>
      <c r="W55" s="15"/>
      <c r="X55" s="17" t="s">
        <v>304</v>
      </c>
    </row>
    <row r="56" spans="1:24" s="17" customFormat="1" ht="28" x14ac:dyDescent="0.35">
      <c r="A56" s="12">
        <v>55</v>
      </c>
      <c r="B56" s="72" t="s">
        <v>1627</v>
      </c>
      <c r="C56" s="67" t="s">
        <v>1628</v>
      </c>
      <c r="D56" s="14" t="str">
        <f t="shared" si="0"/>
        <v>Perempuan</v>
      </c>
      <c r="E56" s="24" t="s">
        <v>126</v>
      </c>
      <c r="F56" s="68" t="s">
        <v>1629</v>
      </c>
      <c r="G56" s="25" t="s">
        <v>1484</v>
      </c>
      <c r="H56" s="88" t="s">
        <v>1630</v>
      </c>
      <c r="I56" s="19" t="s">
        <v>90</v>
      </c>
      <c r="J56" s="19" t="s">
        <v>26</v>
      </c>
      <c r="K56" s="19" t="s">
        <v>1631</v>
      </c>
      <c r="L56" s="83" t="s">
        <v>123</v>
      </c>
      <c r="M56" s="15">
        <v>2023</v>
      </c>
      <c r="N56" s="15" t="str">
        <f>L56</f>
        <v xml:space="preserve">Maret </v>
      </c>
      <c r="O56" s="15">
        <v>2025</v>
      </c>
      <c r="P56" s="15">
        <v>2023</v>
      </c>
      <c r="Q56" s="15"/>
      <c r="R56" s="16"/>
      <c r="S56" s="15"/>
      <c r="T56" s="15"/>
      <c r="U56" s="15"/>
      <c r="V56" s="15"/>
      <c r="W56" s="15"/>
    </row>
    <row r="57" spans="1:24" s="17" customFormat="1" ht="28" x14ac:dyDescent="0.35">
      <c r="A57" s="12">
        <v>56</v>
      </c>
      <c r="B57" s="72" t="s">
        <v>1632</v>
      </c>
      <c r="C57" s="67" t="s">
        <v>1633</v>
      </c>
      <c r="D57" s="14" t="str">
        <f t="shared" si="0"/>
        <v>Perempuan</v>
      </c>
      <c r="E57" s="24" t="s">
        <v>109</v>
      </c>
      <c r="F57" s="68" t="s">
        <v>1629</v>
      </c>
      <c r="G57" s="25" t="s">
        <v>1484</v>
      </c>
      <c r="H57" s="88" t="s">
        <v>1630</v>
      </c>
      <c r="I57" s="19" t="s">
        <v>90</v>
      </c>
      <c r="J57" s="19" t="s">
        <v>26</v>
      </c>
      <c r="K57" s="19" t="s">
        <v>1631</v>
      </c>
      <c r="L57" s="83" t="s">
        <v>123</v>
      </c>
      <c r="M57" s="15">
        <v>2023</v>
      </c>
      <c r="N57" s="15" t="str">
        <f t="shared" ref="N57:N120" si="5">L57</f>
        <v xml:space="preserve">Maret </v>
      </c>
      <c r="O57" s="15">
        <v>2025</v>
      </c>
      <c r="P57" s="15">
        <v>2023</v>
      </c>
      <c r="Q57" s="15"/>
      <c r="R57" s="16"/>
      <c r="S57" s="15"/>
      <c r="T57" s="15"/>
      <c r="U57" s="15"/>
      <c r="V57" s="15"/>
      <c r="W57" s="15"/>
    </row>
    <row r="58" spans="1:24" s="17" customFormat="1" ht="14.5" x14ac:dyDescent="0.35">
      <c r="A58" s="12">
        <v>57</v>
      </c>
      <c r="B58" s="72" t="s">
        <v>1634</v>
      </c>
      <c r="C58" s="93">
        <v>1.9872505200701101E+17</v>
      </c>
      <c r="D58" s="14" t="str">
        <f t="shared" si="0"/>
        <v>Laki-Laki</v>
      </c>
      <c r="E58" s="24" t="s">
        <v>126</v>
      </c>
      <c r="F58" s="68" t="s">
        <v>99</v>
      </c>
      <c r="G58" s="25" t="s">
        <v>1484</v>
      </c>
      <c r="H58" s="88" t="s">
        <v>1635</v>
      </c>
      <c r="I58" s="19" t="s">
        <v>1636</v>
      </c>
      <c r="J58" s="19" t="s">
        <v>26</v>
      </c>
      <c r="K58" s="19" t="s">
        <v>234</v>
      </c>
      <c r="L58" s="86" t="s">
        <v>113</v>
      </c>
      <c r="M58" s="15">
        <v>2023</v>
      </c>
      <c r="N58" s="15" t="str">
        <f t="shared" si="5"/>
        <v>April</v>
      </c>
      <c r="O58" s="15">
        <v>2025</v>
      </c>
      <c r="P58" s="15">
        <v>2023</v>
      </c>
      <c r="Q58" s="15"/>
      <c r="R58" s="16"/>
      <c r="S58" s="15"/>
      <c r="T58" s="15"/>
      <c r="U58" s="15"/>
      <c r="V58" s="15"/>
      <c r="W58" s="15"/>
    </row>
    <row r="59" spans="1:24" s="17" customFormat="1" ht="14.5" x14ac:dyDescent="0.35">
      <c r="A59" s="12">
        <v>58</v>
      </c>
      <c r="B59" s="72" t="s">
        <v>1637</v>
      </c>
      <c r="C59" s="67" t="s">
        <v>1638</v>
      </c>
      <c r="D59" s="14" t="str">
        <f t="shared" si="0"/>
        <v>Laki-Laki</v>
      </c>
      <c r="E59" s="24" t="s">
        <v>109</v>
      </c>
      <c r="F59" s="68" t="s">
        <v>153</v>
      </c>
      <c r="G59" s="25" t="s">
        <v>1484</v>
      </c>
      <c r="H59" s="88" t="s">
        <v>1635</v>
      </c>
      <c r="I59" s="19" t="s">
        <v>1636</v>
      </c>
      <c r="J59" s="19" t="s">
        <v>26</v>
      </c>
      <c r="K59" s="19" t="s">
        <v>234</v>
      </c>
      <c r="L59" s="86" t="s">
        <v>113</v>
      </c>
      <c r="M59" s="15">
        <v>2023</v>
      </c>
      <c r="N59" s="15" t="str">
        <f t="shared" si="5"/>
        <v>April</v>
      </c>
      <c r="O59" s="15">
        <v>2025</v>
      </c>
      <c r="P59" s="15">
        <v>2023</v>
      </c>
      <c r="Q59" s="15"/>
      <c r="R59" s="16"/>
      <c r="S59" s="15"/>
      <c r="T59" s="15"/>
      <c r="U59" s="15"/>
      <c r="V59" s="15"/>
      <c r="W59" s="15"/>
    </row>
    <row r="60" spans="1:24" s="17" customFormat="1" ht="28" x14ac:dyDescent="0.35">
      <c r="A60" s="12">
        <v>59</v>
      </c>
      <c r="B60" s="72" t="s">
        <v>1639</v>
      </c>
      <c r="C60" s="67" t="s">
        <v>1640</v>
      </c>
      <c r="D60" s="14" t="str">
        <f t="shared" si="0"/>
        <v>Laki-Laki</v>
      </c>
      <c r="E60" s="24" t="s">
        <v>109</v>
      </c>
      <c r="F60" s="68" t="s">
        <v>1641</v>
      </c>
      <c r="G60" s="25" t="s">
        <v>1484</v>
      </c>
      <c r="H60" s="88" t="s">
        <v>1642</v>
      </c>
      <c r="I60" s="19" t="s">
        <v>90</v>
      </c>
      <c r="J60" s="19" t="s">
        <v>26</v>
      </c>
      <c r="K60" s="19" t="s">
        <v>1643</v>
      </c>
      <c r="L60" s="86" t="s">
        <v>60</v>
      </c>
      <c r="M60" s="15">
        <v>2023</v>
      </c>
      <c r="N60" s="15" t="str">
        <f t="shared" si="5"/>
        <v>Agustus</v>
      </c>
      <c r="O60" s="15">
        <v>2025</v>
      </c>
      <c r="P60" s="15">
        <v>2023</v>
      </c>
      <c r="Q60" s="15"/>
      <c r="R60" s="16"/>
      <c r="S60" s="15"/>
      <c r="T60" s="15"/>
      <c r="U60" s="15"/>
      <c r="V60" s="15"/>
      <c r="W60" s="15"/>
    </row>
    <row r="61" spans="1:24" s="17" customFormat="1" ht="14.5" x14ac:dyDescent="0.35">
      <c r="A61" s="12">
        <v>60</v>
      </c>
      <c r="B61" s="72" t="s">
        <v>1644</v>
      </c>
      <c r="C61" s="67" t="s">
        <v>1645</v>
      </c>
      <c r="D61" s="14" t="str">
        <f t="shared" si="0"/>
        <v>Perempuan</v>
      </c>
      <c r="E61" s="24" t="s">
        <v>126</v>
      </c>
      <c r="F61" s="68" t="s">
        <v>1252</v>
      </c>
      <c r="G61" s="25" t="s">
        <v>1484</v>
      </c>
      <c r="H61" s="88" t="s">
        <v>1642</v>
      </c>
      <c r="I61" s="19" t="s">
        <v>90</v>
      </c>
      <c r="J61" s="19" t="s">
        <v>26</v>
      </c>
      <c r="K61" s="19" t="s">
        <v>234</v>
      </c>
      <c r="L61" s="86" t="s">
        <v>60</v>
      </c>
      <c r="M61" s="15">
        <v>2023</v>
      </c>
      <c r="N61" s="15" t="str">
        <f t="shared" si="5"/>
        <v>Agustus</v>
      </c>
      <c r="O61" s="15">
        <v>2025</v>
      </c>
      <c r="P61" s="15">
        <v>2023</v>
      </c>
      <c r="Q61" s="15"/>
      <c r="R61" s="16"/>
      <c r="S61" s="15"/>
      <c r="T61" s="15"/>
      <c r="U61" s="15"/>
      <c r="V61" s="15"/>
      <c r="W61" s="15"/>
    </row>
    <row r="62" spans="1:24" s="17" customFormat="1" ht="28" x14ac:dyDescent="0.35">
      <c r="A62" s="12">
        <v>61</v>
      </c>
      <c r="B62" s="72" t="s">
        <v>1646</v>
      </c>
      <c r="C62" s="67" t="s">
        <v>1647</v>
      </c>
      <c r="D62" s="14" t="str">
        <f t="shared" si="0"/>
        <v>Laki-Laki</v>
      </c>
      <c r="E62" s="24" t="s">
        <v>104</v>
      </c>
      <c r="F62" s="68" t="s">
        <v>1648</v>
      </c>
      <c r="G62" s="25" t="s">
        <v>1484</v>
      </c>
      <c r="H62" s="88" t="s">
        <v>1649</v>
      </c>
      <c r="I62" s="19" t="s">
        <v>261</v>
      </c>
      <c r="J62" s="19" t="s">
        <v>26</v>
      </c>
      <c r="K62" s="19" t="s">
        <v>453</v>
      </c>
      <c r="L62" s="86" t="s">
        <v>28</v>
      </c>
      <c r="M62" s="15">
        <v>2023</v>
      </c>
      <c r="N62" s="15" t="str">
        <f t="shared" si="5"/>
        <v>September</v>
      </c>
      <c r="O62" s="15">
        <v>2025</v>
      </c>
      <c r="P62" s="15">
        <v>2023</v>
      </c>
      <c r="Q62" s="15"/>
      <c r="R62" s="16"/>
      <c r="S62" s="15"/>
      <c r="T62" s="15"/>
      <c r="U62" s="15"/>
      <c r="V62" s="15"/>
      <c r="W62" s="15"/>
    </row>
    <row r="63" spans="1:24" s="17" customFormat="1" ht="28" x14ac:dyDescent="0.35">
      <c r="A63" s="12">
        <v>62</v>
      </c>
      <c r="B63" s="72" t="s">
        <v>1650</v>
      </c>
      <c r="C63" s="67" t="s">
        <v>1651</v>
      </c>
      <c r="D63" s="14" t="str">
        <f t="shared" si="0"/>
        <v>Laki-Laki</v>
      </c>
      <c r="E63" s="24" t="s">
        <v>104</v>
      </c>
      <c r="F63" s="68" t="s">
        <v>1652</v>
      </c>
      <c r="G63" s="25" t="s">
        <v>1484</v>
      </c>
      <c r="H63" s="88" t="s">
        <v>1649</v>
      </c>
      <c r="I63" s="19" t="s">
        <v>261</v>
      </c>
      <c r="J63" s="19" t="s">
        <v>26</v>
      </c>
      <c r="K63" s="19" t="s">
        <v>453</v>
      </c>
      <c r="L63" s="86" t="s">
        <v>28</v>
      </c>
      <c r="M63" s="15">
        <v>2023</v>
      </c>
      <c r="N63" s="15" t="str">
        <f t="shared" si="5"/>
        <v>September</v>
      </c>
      <c r="O63" s="15">
        <v>2025</v>
      </c>
      <c r="P63" s="15">
        <v>2023</v>
      </c>
      <c r="Q63" s="15"/>
      <c r="R63" s="16"/>
      <c r="S63" s="15"/>
      <c r="T63" s="15"/>
      <c r="U63" s="15"/>
      <c r="V63" s="15"/>
      <c r="W63" s="15"/>
    </row>
    <row r="64" spans="1:24" s="17" customFormat="1" ht="28" x14ac:dyDescent="0.35">
      <c r="A64" s="12">
        <v>63</v>
      </c>
      <c r="B64" s="72" t="s">
        <v>1653</v>
      </c>
      <c r="C64" s="67" t="s">
        <v>1654</v>
      </c>
      <c r="D64" s="14" t="str">
        <f t="shared" si="0"/>
        <v>Perempuan</v>
      </c>
      <c r="E64" s="24" t="s">
        <v>104</v>
      </c>
      <c r="F64" s="68" t="s">
        <v>579</v>
      </c>
      <c r="G64" s="25" t="s">
        <v>1484</v>
      </c>
      <c r="H64" s="88" t="s">
        <v>1649</v>
      </c>
      <c r="I64" s="19" t="s">
        <v>261</v>
      </c>
      <c r="J64" s="19" t="s">
        <v>26</v>
      </c>
      <c r="K64" s="19" t="s">
        <v>453</v>
      </c>
      <c r="L64" s="86" t="s">
        <v>28</v>
      </c>
      <c r="M64" s="15">
        <v>2023</v>
      </c>
      <c r="N64" s="15" t="str">
        <f t="shared" si="5"/>
        <v>September</v>
      </c>
      <c r="O64" s="15">
        <v>2025</v>
      </c>
      <c r="P64" s="15">
        <v>2023</v>
      </c>
      <c r="Q64" s="15"/>
      <c r="R64" s="16"/>
      <c r="S64" s="15"/>
      <c r="T64" s="15"/>
      <c r="U64" s="15"/>
      <c r="V64" s="15"/>
      <c r="W64" s="15"/>
    </row>
    <row r="65" spans="1:23" s="17" customFormat="1" ht="28" x14ac:dyDescent="0.35">
      <c r="A65" s="12">
        <v>64</v>
      </c>
      <c r="B65" s="25" t="s">
        <v>1655</v>
      </c>
      <c r="C65" s="69" t="s">
        <v>1656</v>
      </c>
      <c r="D65" s="14" t="str">
        <f t="shared" si="0"/>
        <v>Perempuan</v>
      </c>
      <c r="E65" s="24" t="s">
        <v>116</v>
      </c>
      <c r="F65" s="64" t="s">
        <v>1657</v>
      </c>
      <c r="G65" s="25" t="s">
        <v>1484</v>
      </c>
      <c r="H65" s="19" t="s">
        <v>1658</v>
      </c>
      <c r="I65" s="19" t="s">
        <v>90</v>
      </c>
      <c r="J65" s="19" t="s">
        <v>45</v>
      </c>
      <c r="K65" s="19" t="s">
        <v>728</v>
      </c>
      <c r="L65" s="86" t="s">
        <v>28</v>
      </c>
      <c r="M65" s="15">
        <v>2023</v>
      </c>
      <c r="N65" s="15" t="str">
        <f t="shared" si="5"/>
        <v>September</v>
      </c>
      <c r="O65" s="15">
        <v>2027</v>
      </c>
      <c r="P65" s="15">
        <v>2023</v>
      </c>
      <c r="Q65" s="15"/>
      <c r="R65" s="16"/>
      <c r="S65" s="15"/>
      <c r="T65" s="15"/>
      <c r="U65" s="15"/>
      <c r="V65" s="15"/>
      <c r="W65" s="15"/>
    </row>
    <row r="66" spans="1:23" s="17" customFormat="1" ht="28" x14ac:dyDescent="0.35">
      <c r="A66" s="12">
        <v>65</v>
      </c>
      <c r="B66" s="25" t="s">
        <v>1659</v>
      </c>
      <c r="C66" s="69" t="s">
        <v>1660</v>
      </c>
      <c r="D66" s="14" t="str">
        <f t="shared" si="0"/>
        <v>Laki-Laki</v>
      </c>
      <c r="E66" s="24" t="s">
        <v>116</v>
      </c>
      <c r="F66" s="64" t="s">
        <v>1657</v>
      </c>
      <c r="G66" s="25" t="s">
        <v>1484</v>
      </c>
      <c r="H66" s="19" t="s">
        <v>1658</v>
      </c>
      <c r="I66" s="19" t="s">
        <v>90</v>
      </c>
      <c r="J66" s="19" t="s">
        <v>45</v>
      </c>
      <c r="K66" s="19" t="s">
        <v>728</v>
      </c>
      <c r="L66" s="86" t="s">
        <v>28</v>
      </c>
      <c r="M66" s="15">
        <v>2023</v>
      </c>
      <c r="N66" s="15" t="str">
        <f t="shared" si="5"/>
        <v>September</v>
      </c>
      <c r="O66" s="15">
        <v>2027</v>
      </c>
      <c r="P66" s="15">
        <v>2023</v>
      </c>
      <c r="Q66" s="15"/>
      <c r="R66" s="16"/>
      <c r="S66" s="15"/>
      <c r="T66" s="15"/>
      <c r="U66" s="15"/>
      <c r="V66" s="15"/>
      <c r="W66" s="15"/>
    </row>
    <row r="67" spans="1:23" s="17" customFormat="1" ht="14.5" x14ac:dyDescent="0.35">
      <c r="A67" s="12">
        <v>66</v>
      </c>
      <c r="B67" s="25" t="s">
        <v>1661</v>
      </c>
      <c r="C67" s="69" t="s">
        <v>1662</v>
      </c>
      <c r="D67" s="14" t="str">
        <f t="shared" ref="D67:D130" si="6">IF(MID(C67,15,1)="1","Laki-Laki","Perempuan")</f>
        <v>Perempuan</v>
      </c>
      <c r="E67" s="24" t="s">
        <v>109</v>
      </c>
      <c r="F67" s="64" t="s">
        <v>1663</v>
      </c>
      <c r="G67" s="25" t="s">
        <v>1484</v>
      </c>
      <c r="H67" s="19" t="s">
        <v>1536</v>
      </c>
      <c r="I67" s="19" t="s">
        <v>90</v>
      </c>
      <c r="J67" s="19" t="s">
        <v>45</v>
      </c>
      <c r="K67" s="19" t="s">
        <v>728</v>
      </c>
      <c r="L67" s="86" t="s">
        <v>169</v>
      </c>
      <c r="M67" s="15">
        <v>2023</v>
      </c>
      <c r="N67" s="15" t="str">
        <f t="shared" si="5"/>
        <v>Oktober</v>
      </c>
      <c r="O67" s="15">
        <v>2027</v>
      </c>
      <c r="P67" s="15">
        <v>2023</v>
      </c>
      <c r="Q67" s="15"/>
      <c r="R67" s="16"/>
      <c r="S67" s="15"/>
      <c r="T67" s="15"/>
      <c r="U67" s="15"/>
      <c r="V67" s="15"/>
      <c r="W67" s="15"/>
    </row>
    <row r="68" spans="1:23" s="17" customFormat="1" ht="28" x14ac:dyDescent="0.35">
      <c r="A68" s="12">
        <v>67</v>
      </c>
      <c r="B68" s="25" t="s">
        <v>1664</v>
      </c>
      <c r="C68" s="69" t="s">
        <v>1665</v>
      </c>
      <c r="D68" s="14" t="str">
        <f t="shared" si="6"/>
        <v>Laki-Laki</v>
      </c>
      <c r="E68" s="24" t="s">
        <v>370</v>
      </c>
      <c r="F68" s="64" t="s">
        <v>1629</v>
      </c>
      <c r="G68" s="25" t="s">
        <v>1484</v>
      </c>
      <c r="H68" s="19" t="s">
        <v>1536</v>
      </c>
      <c r="I68" s="19" t="s">
        <v>1666</v>
      </c>
      <c r="J68" s="19" t="s">
        <v>26</v>
      </c>
      <c r="K68" s="19" t="s">
        <v>407</v>
      </c>
      <c r="L68" s="86" t="s">
        <v>28</v>
      </c>
      <c r="M68" s="15">
        <v>2023</v>
      </c>
      <c r="N68" s="15" t="str">
        <f t="shared" si="5"/>
        <v>September</v>
      </c>
      <c r="O68" s="15">
        <v>2025</v>
      </c>
      <c r="P68" s="15">
        <v>2023</v>
      </c>
      <c r="Q68" s="15"/>
      <c r="R68" s="16"/>
      <c r="S68" s="15"/>
      <c r="T68" s="15"/>
      <c r="U68" s="15"/>
      <c r="V68" s="15"/>
      <c r="W68" s="15"/>
    </row>
    <row r="69" spans="1:23" s="17" customFormat="1" ht="28" x14ac:dyDescent="0.35">
      <c r="A69" s="12">
        <v>68</v>
      </c>
      <c r="B69" s="25" t="s">
        <v>1667</v>
      </c>
      <c r="C69" s="69" t="s">
        <v>1668</v>
      </c>
      <c r="D69" s="14" t="str">
        <f t="shared" si="6"/>
        <v>Perempuan</v>
      </c>
      <c r="E69" s="24" t="s">
        <v>109</v>
      </c>
      <c r="F69" s="64" t="s">
        <v>1629</v>
      </c>
      <c r="G69" s="25" t="s">
        <v>1484</v>
      </c>
      <c r="H69" s="19" t="s">
        <v>1536</v>
      </c>
      <c r="I69" s="19" t="s">
        <v>1666</v>
      </c>
      <c r="J69" s="19" t="s">
        <v>26</v>
      </c>
      <c r="K69" s="19" t="s">
        <v>407</v>
      </c>
      <c r="L69" s="86" t="s">
        <v>28</v>
      </c>
      <c r="M69" s="15">
        <v>2023</v>
      </c>
      <c r="N69" s="15" t="str">
        <f t="shared" si="5"/>
        <v>September</v>
      </c>
      <c r="O69" s="15">
        <v>2025</v>
      </c>
      <c r="P69" s="15">
        <v>2023</v>
      </c>
      <c r="Q69" s="15"/>
      <c r="R69" s="16"/>
      <c r="S69" s="15"/>
      <c r="T69" s="15"/>
      <c r="U69" s="15"/>
      <c r="V69" s="15"/>
      <c r="W69" s="15"/>
    </row>
    <row r="70" spans="1:23" s="17" customFormat="1" ht="28" x14ac:dyDescent="0.35">
      <c r="A70" s="12">
        <v>69</v>
      </c>
      <c r="B70" s="25" t="s">
        <v>1669</v>
      </c>
      <c r="C70" s="69" t="s">
        <v>1670</v>
      </c>
      <c r="D70" s="14" t="str">
        <f t="shared" si="6"/>
        <v>Laki-Laki</v>
      </c>
      <c r="E70" s="24" t="s">
        <v>370</v>
      </c>
      <c r="F70" s="64" t="s">
        <v>1629</v>
      </c>
      <c r="G70" s="25" t="s">
        <v>1484</v>
      </c>
      <c r="H70" s="19" t="s">
        <v>1536</v>
      </c>
      <c r="I70" s="19" t="s">
        <v>1666</v>
      </c>
      <c r="J70" s="19" t="s">
        <v>26</v>
      </c>
      <c r="K70" s="19" t="s">
        <v>407</v>
      </c>
      <c r="L70" s="86" t="s">
        <v>28</v>
      </c>
      <c r="M70" s="15">
        <v>2023</v>
      </c>
      <c r="N70" s="15" t="str">
        <f t="shared" si="5"/>
        <v>September</v>
      </c>
      <c r="O70" s="15">
        <v>2025</v>
      </c>
      <c r="P70" s="15">
        <v>2023</v>
      </c>
      <c r="Q70" s="15"/>
      <c r="R70" s="16"/>
      <c r="S70" s="15"/>
      <c r="T70" s="15"/>
      <c r="U70" s="15"/>
      <c r="V70" s="15"/>
      <c r="W70" s="15"/>
    </row>
    <row r="71" spans="1:23" s="17" customFormat="1" ht="28" x14ac:dyDescent="0.35">
      <c r="A71" s="12">
        <v>70</v>
      </c>
      <c r="B71" s="25" t="s">
        <v>1671</v>
      </c>
      <c r="C71" s="69" t="s">
        <v>1672</v>
      </c>
      <c r="D71" s="14" t="str">
        <f t="shared" si="6"/>
        <v>Laki-Laki</v>
      </c>
      <c r="E71" s="24" t="s">
        <v>471</v>
      </c>
      <c r="F71" s="64" t="s">
        <v>1673</v>
      </c>
      <c r="G71" s="25" t="s">
        <v>1484</v>
      </c>
      <c r="H71" s="19" t="s">
        <v>1536</v>
      </c>
      <c r="I71" s="19" t="s">
        <v>1666</v>
      </c>
      <c r="J71" s="19" t="s">
        <v>26</v>
      </c>
      <c r="K71" s="19" t="s">
        <v>407</v>
      </c>
      <c r="L71" s="86" t="s">
        <v>28</v>
      </c>
      <c r="M71" s="15">
        <v>2023</v>
      </c>
      <c r="N71" s="15" t="str">
        <f t="shared" si="5"/>
        <v>September</v>
      </c>
      <c r="O71" s="15">
        <v>2025</v>
      </c>
      <c r="P71" s="15">
        <v>2023</v>
      </c>
      <c r="Q71" s="15"/>
      <c r="R71" s="16"/>
      <c r="S71" s="15"/>
      <c r="T71" s="15"/>
      <c r="U71" s="15"/>
      <c r="V71" s="15"/>
      <c r="W71" s="15"/>
    </row>
    <row r="72" spans="1:23" s="17" customFormat="1" ht="28" x14ac:dyDescent="0.35">
      <c r="A72" s="12">
        <v>71</v>
      </c>
      <c r="B72" s="25" t="s">
        <v>1674</v>
      </c>
      <c r="C72" s="69" t="s">
        <v>1675</v>
      </c>
      <c r="D72" s="14" t="str">
        <f t="shared" si="6"/>
        <v>Laki-Laki</v>
      </c>
      <c r="E72" s="24" t="s">
        <v>471</v>
      </c>
      <c r="F72" s="64" t="s">
        <v>1673</v>
      </c>
      <c r="G72" s="25" t="s">
        <v>1484</v>
      </c>
      <c r="H72" s="19" t="s">
        <v>1536</v>
      </c>
      <c r="I72" s="19" t="s">
        <v>1666</v>
      </c>
      <c r="J72" s="19" t="s">
        <v>26</v>
      </c>
      <c r="K72" s="19" t="s">
        <v>407</v>
      </c>
      <c r="L72" s="86" t="s">
        <v>28</v>
      </c>
      <c r="M72" s="15">
        <v>2023</v>
      </c>
      <c r="N72" s="15" t="str">
        <f t="shared" si="5"/>
        <v>September</v>
      </c>
      <c r="O72" s="15">
        <v>2025</v>
      </c>
      <c r="P72" s="15">
        <v>2023</v>
      </c>
      <c r="Q72" s="15"/>
      <c r="R72" s="16"/>
      <c r="S72" s="15"/>
      <c r="T72" s="15"/>
      <c r="U72" s="15"/>
      <c r="V72" s="15"/>
      <c r="W72" s="15"/>
    </row>
    <row r="73" spans="1:23" s="17" customFormat="1" ht="28" x14ac:dyDescent="0.35">
      <c r="A73" s="12">
        <v>72</v>
      </c>
      <c r="B73" s="25" t="s">
        <v>1676</v>
      </c>
      <c r="C73" s="69" t="s">
        <v>1677</v>
      </c>
      <c r="D73" s="14" t="str">
        <f t="shared" si="6"/>
        <v>Perempuan</v>
      </c>
      <c r="E73" s="24" t="s">
        <v>126</v>
      </c>
      <c r="F73" s="64" t="s">
        <v>1678</v>
      </c>
      <c r="G73" s="25" t="s">
        <v>1484</v>
      </c>
      <c r="H73" s="19" t="s">
        <v>1536</v>
      </c>
      <c r="I73" s="19" t="s">
        <v>1666</v>
      </c>
      <c r="J73" s="19" t="s">
        <v>26</v>
      </c>
      <c r="K73" s="19" t="s">
        <v>407</v>
      </c>
      <c r="L73" s="86" t="s">
        <v>28</v>
      </c>
      <c r="M73" s="15">
        <v>2023</v>
      </c>
      <c r="N73" s="15" t="str">
        <f t="shared" si="5"/>
        <v>September</v>
      </c>
      <c r="O73" s="15">
        <v>2025</v>
      </c>
      <c r="P73" s="15">
        <v>2023</v>
      </c>
      <c r="Q73" s="15"/>
      <c r="R73" s="16"/>
      <c r="S73" s="15"/>
      <c r="T73" s="15"/>
      <c r="U73" s="15"/>
      <c r="V73" s="15"/>
      <c r="W73" s="15"/>
    </row>
    <row r="74" spans="1:23" s="17" customFormat="1" ht="28" x14ac:dyDescent="0.35">
      <c r="A74" s="12">
        <v>73</v>
      </c>
      <c r="B74" s="25" t="s">
        <v>1679</v>
      </c>
      <c r="C74" s="69" t="s">
        <v>1680</v>
      </c>
      <c r="D74" s="14" t="str">
        <f t="shared" si="6"/>
        <v>Laki-Laki</v>
      </c>
      <c r="E74" s="24" t="s">
        <v>126</v>
      </c>
      <c r="F74" s="64" t="s">
        <v>1678</v>
      </c>
      <c r="G74" s="25" t="s">
        <v>1484</v>
      </c>
      <c r="H74" s="19" t="s">
        <v>1536</v>
      </c>
      <c r="I74" s="19" t="s">
        <v>1666</v>
      </c>
      <c r="J74" s="19" t="s">
        <v>26</v>
      </c>
      <c r="K74" s="19" t="s">
        <v>407</v>
      </c>
      <c r="L74" s="86" t="s">
        <v>28</v>
      </c>
      <c r="M74" s="15">
        <v>2023</v>
      </c>
      <c r="N74" s="15" t="str">
        <f t="shared" si="5"/>
        <v>September</v>
      </c>
      <c r="O74" s="15">
        <v>2025</v>
      </c>
      <c r="P74" s="15">
        <v>2023</v>
      </c>
      <c r="Q74" s="15"/>
      <c r="R74" s="16"/>
      <c r="S74" s="15"/>
      <c r="T74" s="15"/>
      <c r="U74" s="15"/>
      <c r="V74" s="15"/>
      <c r="W74" s="15"/>
    </row>
    <row r="75" spans="1:23" s="17" customFormat="1" ht="28" x14ac:dyDescent="0.35">
      <c r="A75" s="12">
        <v>74</v>
      </c>
      <c r="B75" s="25" t="s">
        <v>1681</v>
      </c>
      <c r="C75" s="69" t="s">
        <v>1682</v>
      </c>
      <c r="D75" s="14" t="str">
        <f t="shared" si="6"/>
        <v>Laki-Laki</v>
      </c>
      <c r="E75" s="24" t="s">
        <v>109</v>
      </c>
      <c r="F75" s="64" t="s">
        <v>1629</v>
      </c>
      <c r="G75" s="25" t="s">
        <v>1484</v>
      </c>
      <c r="H75" s="19" t="s">
        <v>1536</v>
      </c>
      <c r="I75" s="19" t="s">
        <v>1666</v>
      </c>
      <c r="J75" s="19" t="s">
        <v>26</v>
      </c>
      <c r="K75" s="19" t="s">
        <v>407</v>
      </c>
      <c r="L75" s="86" t="s">
        <v>28</v>
      </c>
      <c r="M75" s="15">
        <v>2023</v>
      </c>
      <c r="N75" s="15" t="str">
        <f t="shared" si="5"/>
        <v>September</v>
      </c>
      <c r="O75" s="15">
        <v>2025</v>
      </c>
      <c r="P75" s="15">
        <v>2023</v>
      </c>
      <c r="Q75" s="15"/>
      <c r="R75" s="16"/>
      <c r="S75" s="15"/>
      <c r="T75" s="15"/>
      <c r="U75" s="15"/>
      <c r="V75" s="15"/>
      <c r="W75" s="15"/>
    </row>
    <row r="76" spans="1:23" s="17" customFormat="1" ht="28" x14ac:dyDescent="0.35">
      <c r="A76" s="12">
        <v>75</v>
      </c>
      <c r="B76" s="25" t="s">
        <v>1683</v>
      </c>
      <c r="C76" s="69" t="s">
        <v>1684</v>
      </c>
      <c r="D76" s="14" t="str">
        <f t="shared" si="6"/>
        <v>Perempuan</v>
      </c>
      <c r="E76" s="24" t="s">
        <v>109</v>
      </c>
      <c r="F76" s="64" t="s">
        <v>1629</v>
      </c>
      <c r="G76" s="25" t="s">
        <v>1484</v>
      </c>
      <c r="H76" s="19" t="s">
        <v>1536</v>
      </c>
      <c r="I76" s="19" t="s">
        <v>1666</v>
      </c>
      <c r="J76" s="19" t="s">
        <v>26</v>
      </c>
      <c r="K76" s="19" t="s">
        <v>407</v>
      </c>
      <c r="L76" s="86" t="s">
        <v>28</v>
      </c>
      <c r="M76" s="15">
        <v>2023</v>
      </c>
      <c r="N76" s="15" t="str">
        <f t="shared" si="5"/>
        <v>September</v>
      </c>
      <c r="O76" s="15">
        <v>2025</v>
      </c>
      <c r="P76" s="15">
        <v>2023</v>
      </c>
      <c r="Q76" s="15"/>
      <c r="R76" s="16"/>
      <c r="S76" s="15"/>
      <c r="T76" s="15"/>
      <c r="U76" s="15"/>
      <c r="V76" s="15"/>
      <c r="W76" s="15"/>
    </row>
    <row r="77" spans="1:23" s="17" customFormat="1" ht="28" x14ac:dyDescent="0.35">
      <c r="A77" s="12">
        <v>76</v>
      </c>
      <c r="B77" s="25" t="s">
        <v>1685</v>
      </c>
      <c r="C77" s="69" t="s">
        <v>1686</v>
      </c>
      <c r="D77" s="14" t="str">
        <f t="shared" si="6"/>
        <v>Laki-Laki</v>
      </c>
      <c r="E77" s="24" t="s">
        <v>370</v>
      </c>
      <c r="F77" s="64" t="s">
        <v>1629</v>
      </c>
      <c r="G77" s="25" t="s">
        <v>1484</v>
      </c>
      <c r="H77" s="19" t="s">
        <v>1536</v>
      </c>
      <c r="I77" s="19" t="s">
        <v>1666</v>
      </c>
      <c r="J77" s="19" t="s">
        <v>26</v>
      </c>
      <c r="K77" s="19" t="s">
        <v>407</v>
      </c>
      <c r="L77" s="86" t="s">
        <v>28</v>
      </c>
      <c r="M77" s="15">
        <v>2023</v>
      </c>
      <c r="N77" s="15" t="str">
        <f t="shared" si="5"/>
        <v>September</v>
      </c>
      <c r="O77" s="15">
        <v>2025</v>
      </c>
      <c r="P77" s="15">
        <v>2023</v>
      </c>
      <c r="Q77" s="15"/>
      <c r="R77" s="16"/>
      <c r="S77" s="15"/>
      <c r="T77" s="15"/>
      <c r="U77" s="15"/>
      <c r="V77" s="15"/>
      <c r="W77" s="15"/>
    </row>
    <row r="78" spans="1:23" s="17" customFormat="1" ht="28" x14ac:dyDescent="0.35">
      <c r="A78" s="12">
        <v>77</v>
      </c>
      <c r="B78" s="25" t="s">
        <v>1687</v>
      </c>
      <c r="C78" s="69" t="s">
        <v>1688</v>
      </c>
      <c r="D78" s="14" t="str">
        <f t="shared" si="6"/>
        <v>Perempuan</v>
      </c>
      <c r="E78" s="24" t="s">
        <v>370</v>
      </c>
      <c r="F78" s="64" t="s">
        <v>1629</v>
      </c>
      <c r="G78" s="25" t="s">
        <v>1484</v>
      </c>
      <c r="H78" s="19" t="s">
        <v>1536</v>
      </c>
      <c r="I78" s="19" t="s">
        <v>1666</v>
      </c>
      <c r="J78" s="19" t="s">
        <v>26</v>
      </c>
      <c r="K78" s="19" t="s">
        <v>407</v>
      </c>
      <c r="L78" s="86" t="s">
        <v>28</v>
      </c>
      <c r="M78" s="15">
        <v>2023</v>
      </c>
      <c r="N78" s="15" t="str">
        <f t="shared" si="5"/>
        <v>September</v>
      </c>
      <c r="O78" s="15">
        <v>2025</v>
      </c>
      <c r="P78" s="15">
        <v>2023</v>
      </c>
      <c r="Q78" s="15"/>
      <c r="R78" s="16"/>
      <c r="S78" s="15"/>
      <c r="T78" s="15"/>
      <c r="U78" s="15"/>
      <c r="V78" s="15"/>
      <c r="W78" s="15"/>
    </row>
    <row r="79" spans="1:23" s="17" customFormat="1" ht="28" x14ac:dyDescent="0.35">
      <c r="A79" s="12">
        <v>78</v>
      </c>
      <c r="B79" s="25" t="s">
        <v>1689</v>
      </c>
      <c r="C79" s="69" t="s">
        <v>1690</v>
      </c>
      <c r="D79" s="14" t="str">
        <f t="shared" si="6"/>
        <v>Perempuan</v>
      </c>
      <c r="E79" s="24" t="s">
        <v>109</v>
      </c>
      <c r="F79" s="64" t="s">
        <v>1629</v>
      </c>
      <c r="G79" s="25" t="s">
        <v>1484</v>
      </c>
      <c r="H79" s="19" t="s">
        <v>1536</v>
      </c>
      <c r="I79" s="19" t="s">
        <v>1666</v>
      </c>
      <c r="J79" s="19" t="s">
        <v>26</v>
      </c>
      <c r="K79" s="19" t="s">
        <v>407</v>
      </c>
      <c r="L79" s="86" t="s">
        <v>28</v>
      </c>
      <c r="M79" s="15">
        <v>2023</v>
      </c>
      <c r="N79" s="15" t="str">
        <f t="shared" si="5"/>
        <v>September</v>
      </c>
      <c r="O79" s="15">
        <v>2025</v>
      </c>
      <c r="P79" s="15">
        <v>2023</v>
      </c>
      <c r="Q79" s="15"/>
      <c r="R79" s="16"/>
      <c r="S79" s="15"/>
      <c r="T79" s="15"/>
      <c r="U79" s="15"/>
      <c r="V79" s="15"/>
      <c r="W79" s="15"/>
    </row>
    <row r="80" spans="1:23" s="17" customFormat="1" ht="28" x14ac:dyDescent="0.35">
      <c r="A80" s="12">
        <v>79</v>
      </c>
      <c r="B80" s="25" t="s">
        <v>1691</v>
      </c>
      <c r="C80" s="69" t="s">
        <v>1692</v>
      </c>
      <c r="D80" s="14" t="str">
        <f t="shared" si="6"/>
        <v>Perempuan</v>
      </c>
      <c r="E80" s="24" t="s">
        <v>109</v>
      </c>
      <c r="F80" s="64" t="s">
        <v>1629</v>
      </c>
      <c r="G80" s="25" t="s">
        <v>1484</v>
      </c>
      <c r="H80" s="19" t="s">
        <v>1536</v>
      </c>
      <c r="I80" s="19" t="s">
        <v>1666</v>
      </c>
      <c r="J80" s="19" t="s">
        <v>26</v>
      </c>
      <c r="K80" s="19" t="s">
        <v>407</v>
      </c>
      <c r="L80" s="86" t="s">
        <v>28</v>
      </c>
      <c r="M80" s="15">
        <v>2023</v>
      </c>
      <c r="N80" s="15" t="str">
        <f t="shared" si="5"/>
        <v>September</v>
      </c>
      <c r="O80" s="15">
        <v>2025</v>
      </c>
      <c r="P80" s="15">
        <v>2023</v>
      </c>
      <c r="Q80" s="15"/>
      <c r="R80" s="16"/>
      <c r="S80" s="15"/>
      <c r="T80" s="15"/>
      <c r="U80" s="15"/>
      <c r="V80" s="15"/>
      <c r="W80" s="15"/>
    </row>
    <row r="81" spans="1:23" s="17" customFormat="1" ht="28" x14ac:dyDescent="0.35">
      <c r="A81" s="12">
        <v>80</v>
      </c>
      <c r="B81" s="25" t="s">
        <v>1693</v>
      </c>
      <c r="C81" s="69" t="s">
        <v>1694</v>
      </c>
      <c r="D81" s="14" t="str">
        <f t="shared" si="6"/>
        <v>Laki-Laki</v>
      </c>
      <c r="E81" s="24" t="s">
        <v>109</v>
      </c>
      <c r="F81" s="64" t="s">
        <v>1629</v>
      </c>
      <c r="G81" s="25" t="s">
        <v>1484</v>
      </c>
      <c r="H81" s="19" t="s">
        <v>1536</v>
      </c>
      <c r="I81" s="19" t="s">
        <v>1666</v>
      </c>
      <c r="J81" s="19" t="s">
        <v>26</v>
      </c>
      <c r="K81" s="19" t="s">
        <v>407</v>
      </c>
      <c r="L81" s="86" t="s">
        <v>28</v>
      </c>
      <c r="M81" s="15">
        <v>2023</v>
      </c>
      <c r="N81" s="15" t="str">
        <f t="shared" si="5"/>
        <v>September</v>
      </c>
      <c r="O81" s="15">
        <v>2025</v>
      </c>
      <c r="P81" s="15">
        <v>2023</v>
      </c>
      <c r="Q81" s="15"/>
      <c r="R81" s="16"/>
      <c r="S81" s="15"/>
      <c r="T81" s="15"/>
      <c r="U81" s="15"/>
      <c r="V81" s="15"/>
      <c r="W81" s="15"/>
    </row>
    <row r="82" spans="1:23" s="17" customFormat="1" ht="14.5" x14ac:dyDescent="0.35">
      <c r="A82" s="12">
        <v>81</v>
      </c>
      <c r="B82" s="25" t="s">
        <v>1695</v>
      </c>
      <c r="C82" s="69" t="s">
        <v>1696</v>
      </c>
      <c r="D82" s="14" t="str">
        <f t="shared" si="6"/>
        <v>Laki-Laki</v>
      </c>
      <c r="E82" s="24" t="s">
        <v>370</v>
      </c>
      <c r="F82" s="64" t="s">
        <v>1629</v>
      </c>
      <c r="G82" s="25" t="s">
        <v>1484</v>
      </c>
      <c r="H82" s="19" t="s">
        <v>1536</v>
      </c>
      <c r="I82" s="19" t="s">
        <v>1697</v>
      </c>
      <c r="J82" s="19" t="s">
        <v>26</v>
      </c>
      <c r="K82" s="19" t="s">
        <v>728</v>
      </c>
      <c r="L82" s="86" t="s">
        <v>28</v>
      </c>
      <c r="M82" s="15">
        <v>2023</v>
      </c>
      <c r="N82" s="15" t="str">
        <f t="shared" si="5"/>
        <v>September</v>
      </c>
      <c r="O82" s="15">
        <v>2025</v>
      </c>
      <c r="P82" s="15">
        <v>2023</v>
      </c>
      <c r="Q82" s="15"/>
      <c r="R82" s="16"/>
      <c r="S82" s="15"/>
      <c r="T82" s="15"/>
      <c r="U82" s="15"/>
      <c r="V82" s="15"/>
      <c r="W82" s="15"/>
    </row>
    <row r="83" spans="1:23" s="17" customFormat="1" ht="14.5" x14ac:dyDescent="0.35">
      <c r="A83" s="12">
        <v>82</v>
      </c>
      <c r="B83" s="25" t="s">
        <v>1698</v>
      </c>
      <c r="C83" s="69" t="s">
        <v>1699</v>
      </c>
      <c r="D83" s="14" t="str">
        <f t="shared" si="6"/>
        <v>Laki-Laki</v>
      </c>
      <c r="E83" s="24" t="s">
        <v>109</v>
      </c>
      <c r="F83" s="64" t="s">
        <v>1629</v>
      </c>
      <c r="G83" s="25" t="s">
        <v>1484</v>
      </c>
      <c r="H83" s="19" t="s">
        <v>1536</v>
      </c>
      <c r="I83" s="19" t="s">
        <v>1700</v>
      </c>
      <c r="J83" s="19" t="s">
        <v>26</v>
      </c>
      <c r="K83" s="19" t="s">
        <v>1701</v>
      </c>
      <c r="L83" s="86" t="s">
        <v>60</v>
      </c>
      <c r="M83" s="15">
        <v>2023</v>
      </c>
      <c r="N83" s="15" t="str">
        <f t="shared" si="5"/>
        <v>Agustus</v>
      </c>
      <c r="O83" s="15">
        <v>2025</v>
      </c>
      <c r="P83" s="15">
        <v>2023</v>
      </c>
      <c r="Q83" s="15"/>
      <c r="R83" s="16"/>
      <c r="S83" s="15"/>
      <c r="T83" s="15"/>
      <c r="U83" s="15"/>
      <c r="V83" s="15"/>
      <c r="W83" s="15"/>
    </row>
    <row r="84" spans="1:23" s="17" customFormat="1" ht="14.5" x14ac:dyDescent="0.35">
      <c r="A84" s="12">
        <v>83</v>
      </c>
      <c r="B84" s="25" t="s">
        <v>1702</v>
      </c>
      <c r="C84" s="69" t="s">
        <v>1703</v>
      </c>
      <c r="D84" s="14" t="str">
        <f t="shared" si="6"/>
        <v>Perempuan</v>
      </c>
      <c r="E84" s="24" t="s">
        <v>471</v>
      </c>
      <c r="F84" s="64" t="s">
        <v>1673</v>
      </c>
      <c r="G84" s="25" t="s">
        <v>1484</v>
      </c>
      <c r="H84" s="19" t="s">
        <v>1536</v>
      </c>
      <c r="I84" s="19" t="s">
        <v>1700</v>
      </c>
      <c r="J84" s="19" t="s">
        <v>26</v>
      </c>
      <c r="K84" s="19" t="s">
        <v>1701</v>
      </c>
      <c r="L84" s="86" t="s">
        <v>60</v>
      </c>
      <c r="M84" s="15">
        <v>2023</v>
      </c>
      <c r="N84" s="15" t="str">
        <f t="shared" si="5"/>
        <v>Agustus</v>
      </c>
      <c r="O84" s="15">
        <v>2025</v>
      </c>
      <c r="P84" s="15">
        <v>2023</v>
      </c>
      <c r="Q84" s="15"/>
      <c r="R84" s="16"/>
      <c r="S84" s="15"/>
      <c r="T84" s="15"/>
      <c r="U84" s="15"/>
      <c r="V84" s="15"/>
      <c r="W84" s="15"/>
    </row>
    <row r="85" spans="1:23" s="17" customFormat="1" ht="14.5" x14ac:dyDescent="0.35">
      <c r="A85" s="12">
        <v>84</v>
      </c>
      <c r="B85" s="25" t="s">
        <v>1704</v>
      </c>
      <c r="C85" s="69" t="s">
        <v>1705</v>
      </c>
      <c r="D85" s="14" t="str">
        <f t="shared" si="6"/>
        <v>Laki-Laki</v>
      </c>
      <c r="E85" s="24" t="s">
        <v>126</v>
      </c>
      <c r="F85" s="64" t="s">
        <v>1678</v>
      </c>
      <c r="G85" s="25" t="s">
        <v>1484</v>
      </c>
      <c r="H85" s="19" t="s">
        <v>1536</v>
      </c>
      <c r="I85" s="19" t="s">
        <v>1700</v>
      </c>
      <c r="J85" s="19" t="s">
        <v>26</v>
      </c>
      <c r="K85" s="19" t="s">
        <v>1701</v>
      </c>
      <c r="L85" s="86" t="s">
        <v>60</v>
      </c>
      <c r="M85" s="15">
        <v>2023</v>
      </c>
      <c r="N85" s="15" t="str">
        <f t="shared" si="5"/>
        <v>Agustus</v>
      </c>
      <c r="O85" s="15">
        <v>2025</v>
      </c>
      <c r="P85" s="15">
        <v>2023</v>
      </c>
      <c r="Q85" s="15"/>
      <c r="R85" s="16"/>
      <c r="S85" s="15"/>
      <c r="T85" s="15"/>
      <c r="U85" s="15"/>
      <c r="V85" s="15"/>
      <c r="W85" s="15"/>
    </row>
    <row r="86" spans="1:23" s="17" customFormat="1" ht="14.5" x14ac:dyDescent="0.35">
      <c r="A86" s="12">
        <v>85</v>
      </c>
      <c r="B86" s="25" t="s">
        <v>1706</v>
      </c>
      <c r="C86" s="69" t="s">
        <v>1707</v>
      </c>
      <c r="D86" s="14" t="str">
        <f t="shared" si="6"/>
        <v>Perempuan</v>
      </c>
      <c r="E86" s="24" t="s">
        <v>370</v>
      </c>
      <c r="F86" s="64" t="s">
        <v>1629</v>
      </c>
      <c r="G86" s="25" t="s">
        <v>1484</v>
      </c>
      <c r="H86" s="19" t="s">
        <v>1536</v>
      </c>
      <c r="I86" s="19" t="s">
        <v>1700</v>
      </c>
      <c r="J86" s="19" t="s">
        <v>26</v>
      </c>
      <c r="K86" s="19" t="s">
        <v>1701</v>
      </c>
      <c r="L86" s="86" t="s">
        <v>60</v>
      </c>
      <c r="M86" s="15">
        <v>2023</v>
      </c>
      <c r="N86" s="15" t="str">
        <f t="shared" si="5"/>
        <v>Agustus</v>
      </c>
      <c r="O86" s="15">
        <v>2025</v>
      </c>
      <c r="P86" s="15">
        <v>2023</v>
      </c>
      <c r="Q86" s="15"/>
      <c r="R86" s="16"/>
      <c r="S86" s="15"/>
      <c r="T86" s="15"/>
      <c r="U86" s="15"/>
      <c r="V86" s="15"/>
      <c r="W86" s="15"/>
    </row>
    <row r="87" spans="1:23" s="17" customFormat="1" ht="14.5" x14ac:dyDescent="0.35">
      <c r="A87" s="12">
        <v>86</v>
      </c>
      <c r="B87" s="25" t="s">
        <v>1708</v>
      </c>
      <c r="C87" s="69" t="s">
        <v>1709</v>
      </c>
      <c r="D87" s="14" t="str">
        <f t="shared" si="6"/>
        <v>Laki-Laki</v>
      </c>
      <c r="E87" s="24" t="s">
        <v>109</v>
      </c>
      <c r="F87" s="64" t="s">
        <v>1629</v>
      </c>
      <c r="G87" s="25" t="s">
        <v>1484</v>
      </c>
      <c r="H87" s="19" t="s">
        <v>1536</v>
      </c>
      <c r="I87" s="19" t="s">
        <v>1700</v>
      </c>
      <c r="J87" s="19" t="s">
        <v>26</v>
      </c>
      <c r="K87" s="19" t="s">
        <v>1701</v>
      </c>
      <c r="L87" s="86" t="s">
        <v>60</v>
      </c>
      <c r="M87" s="15">
        <v>2023</v>
      </c>
      <c r="N87" s="15" t="str">
        <f t="shared" si="5"/>
        <v>Agustus</v>
      </c>
      <c r="O87" s="15">
        <v>2025</v>
      </c>
      <c r="P87" s="15">
        <v>2023</v>
      </c>
      <c r="Q87" s="15"/>
      <c r="R87" s="16"/>
      <c r="S87" s="15"/>
      <c r="T87" s="15"/>
      <c r="U87" s="15"/>
      <c r="V87" s="15"/>
      <c r="W87" s="15"/>
    </row>
    <row r="88" spans="1:23" s="17" customFormat="1" ht="14.5" x14ac:dyDescent="0.35">
      <c r="A88" s="12">
        <v>87</v>
      </c>
      <c r="B88" s="25" t="s">
        <v>1710</v>
      </c>
      <c r="C88" s="69" t="s">
        <v>1711</v>
      </c>
      <c r="D88" s="14" t="str">
        <f t="shared" si="6"/>
        <v>Perempuan</v>
      </c>
      <c r="E88" s="24" t="s">
        <v>109</v>
      </c>
      <c r="F88" s="64" t="s">
        <v>1629</v>
      </c>
      <c r="G88" s="25" t="s">
        <v>1484</v>
      </c>
      <c r="H88" s="19" t="s">
        <v>1536</v>
      </c>
      <c r="I88" s="19" t="s">
        <v>1700</v>
      </c>
      <c r="J88" s="19" t="s">
        <v>26</v>
      </c>
      <c r="K88" s="19" t="s">
        <v>1701</v>
      </c>
      <c r="L88" s="86" t="s">
        <v>60</v>
      </c>
      <c r="M88" s="15">
        <v>2023</v>
      </c>
      <c r="N88" s="15" t="str">
        <f t="shared" si="5"/>
        <v>Agustus</v>
      </c>
      <c r="O88" s="15">
        <v>2025</v>
      </c>
      <c r="P88" s="15">
        <v>2023</v>
      </c>
      <c r="Q88" s="15"/>
      <c r="R88" s="16"/>
      <c r="S88" s="15"/>
      <c r="T88" s="15"/>
      <c r="U88" s="15"/>
      <c r="V88" s="15"/>
      <c r="W88" s="15"/>
    </row>
    <row r="89" spans="1:23" s="17" customFormat="1" ht="14.5" x14ac:dyDescent="0.35">
      <c r="A89" s="12">
        <v>88</v>
      </c>
      <c r="B89" s="25" t="s">
        <v>1712</v>
      </c>
      <c r="C89" s="69" t="s">
        <v>1713</v>
      </c>
      <c r="D89" s="14" t="str">
        <f t="shared" si="6"/>
        <v>Perempuan</v>
      </c>
      <c r="E89" s="24" t="s">
        <v>370</v>
      </c>
      <c r="F89" s="64" t="s">
        <v>1629</v>
      </c>
      <c r="G89" s="25" t="s">
        <v>1484</v>
      </c>
      <c r="H89" s="19" t="s">
        <v>1536</v>
      </c>
      <c r="I89" s="19" t="s">
        <v>1700</v>
      </c>
      <c r="J89" s="19" t="s">
        <v>26</v>
      </c>
      <c r="K89" s="19" t="s">
        <v>1701</v>
      </c>
      <c r="L89" s="86" t="s">
        <v>60</v>
      </c>
      <c r="M89" s="15">
        <v>2023</v>
      </c>
      <c r="N89" s="15" t="str">
        <f t="shared" si="5"/>
        <v>Agustus</v>
      </c>
      <c r="O89" s="15">
        <v>2025</v>
      </c>
      <c r="P89" s="15">
        <v>2023</v>
      </c>
      <c r="Q89" s="15"/>
      <c r="R89" s="16"/>
      <c r="S89" s="15"/>
      <c r="T89" s="15"/>
      <c r="U89" s="15"/>
      <c r="V89" s="15"/>
      <c r="W89" s="15"/>
    </row>
    <row r="90" spans="1:23" s="17" customFormat="1" ht="14.5" x14ac:dyDescent="0.35">
      <c r="A90" s="12">
        <v>89</v>
      </c>
      <c r="B90" s="25" t="s">
        <v>1714</v>
      </c>
      <c r="C90" s="69" t="s">
        <v>1715</v>
      </c>
      <c r="D90" s="14" t="str">
        <f t="shared" si="6"/>
        <v>Laki-Laki</v>
      </c>
      <c r="E90" s="24" t="s">
        <v>116</v>
      </c>
      <c r="F90" s="72" t="s">
        <v>1716</v>
      </c>
      <c r="G90" s="25" t="s">
        <v>1484</v>
      </c>
      <c r="H90" s="19" t="s">
        <v>1536</v>
      </c>
      <c r="I90" s="19" t="s">
        <v>90</v>
      </c>
      <c r="J90" s="19" t="s">
        <v>45</v>
      </c>
      <c r="K90" s="19" t="s">
        <v>728</v>
      </c>
      <c r="L90" s="86" t="s">
        <v>169</v>
      </c>
      <c r="M90" s="15">
        <v>2023</v>
      </c>
      <c r="N90" s="15" t="str">
        <f t="shared" si="5"/>
        <v>Oktober</v>
      </c>
      <c r="O90" s="15">
        <v>2027</v>
      </c>
      <c r="P90" s="15">
        <v>2023</v>
      </c>
      <c r="Q90" s="15"/>
      <c r="R90" s="16"/>
      <c r="S90" s="15"/>
      <c r="T90" s="15"/>
      <c r="U90" s="15"/>
      <c r="V90" s="15"/>
      <c r="W90" s="15"/>
    </row>
    <row r="91" spans="1:23" s="17" customFormat="1" ht="14.5" x14ac:dyDescent="0.35">
      <c r="A91" s="12">
        <v>90</v>
      </c>
      <c r="B91" s="25" t="s">
        <v>1717</v>
      </c>
      <c r="C91" s="69" t="s">
        <v>1718</v>
      </c>
      <c r="D91" s="14" t="str">
        <f t="shared" si="6"/>
        <v>Perempuan</v>
      </c>
      <c r="E91" s="24" t="s">
        <v>104</v>
      </c>
      <c r="F91" s="72" t="s">
        <v>1719</v>
      </c>
      <c r="G91" s="25" t="s">
        <v>1484</v>
      </c>
      <c r="H91" s="19" t="s">
        <v>1536</v>
      </c>
      <c r="I91" s="19" t="s">
        <v>90</v>
      </c>
      <c r="J91" s="19" t="s">
        <v>45</v>
      </c>
      <c r="K91" s="19" t="s">
        <v>728</v>
      </c>
      <c r="L91" s="86" t="s">
        <v>169</v>
      </c>
      <c r="M91" s="15">
        <v>2023</v>
      </c>
      <c r="N91" s="15" t="str">
        <f t="shared" si="5"/>
        <v>Oktober</v>
      </c>
      <c r="O91" s="15">
        <v>2027</v>
      </c>
      <c r="P91" s="15">
        <v>2023</v>
      </c>
      <c r="Q91" s="15"/>
      <c r="R91" s="16"/>
      <c r="S91" s="15"/>
      <c r="T91" s="15"/>
      <c r="U91" s="15"/>
      <c r="V91" s="15"/>
      <c r="W91" s="15"/>
    </row>
    <row r="92" spans="1:23" s="17" customFormat="1" ht="14.5" x14ac:dyDescent="0.35">
      <c r="A92" s="12">
        <v>91</v>
      </c>
      <c r="B92" s="25" t="s">
        <v>1720</v>
      </c>
      <c r="C92" s="69" t="s">
        <v>1721</v>
      </c>
      <c r="D92" s="14" t="str">
        <f t="shared" si="6"/>
        <v>Laki-Laki</v>
      </c>
      <c r="E92" s="24" t="s">
        <v>87</v>
      </c>
      <c r="F92" s="72" t="s">
        <v>1722</v>
      </c>
      <c r="G92" s="25" t="s">
        <v>1484</v>
      </c>
      <c r="H92" s="19" t="s">
        <v>1723</v>
      </c>
      <c r="I92" s="19" t="s">
        <v>90</v>
      </c>
      <c r="J92" s="19" t="s">
        <v>45</v>
      </c>
      <c r="K92" s="19" t="s">
        <v>728</v>
      </c>
      <c r="L92" s="86" t="s">
        <v>60</v>
      </c>
      <c r="M92" s="15">
        <v>2023</v>
      </c>
      <c r="N92" s="15" t="str">
        <f t="shared" si="5"/>
        <v>Agustus</v>
      </c>
      <c r="O92" s="15">
        <v>2027</v>
      </c>
      <c r="P92" s="15">
        <v>2023</v>
      </c>
      <c r="Q92" s="15"/>
      <c r="R92" s="16"/>
      <c r="S92" s="15"/>
      <c r="T92" s="15"/>
      <c r="U92" s="15"/>
      <c r="V92" s="15"/>
      <c r="W92" s="15"/>
    </row>
    <row r="93" spans="1:23" s="17" customFormat="1" ht="14.5" x14ac:dyDescent="0.35">
      <c r="A93" s="12">
        <v>92</v>
      </c>
      <c r="B93" s="25" t="s">
        <v>1724</v>
      </c>
      <c r="C93" s="69" t="s">
        <v>1725</v>
      </c>
      <c r="D93" s="14" t="str">
        <f t="shared" si="6"/>
        <v>Laki-Laki</v>
      </c>
      <c r="E93" s="24" t="s">
        <v>98</v>
      </c>
      <c r="F93" s="72" t="s">
        <v>1716</v>
      </c>
      <c r="G93" s="25" t="s">
        <v>1484</v>
      </c>
      <c r="H93" s="19" t="s">
        <v>1723</v>
      </c>
      <c r="I93" s="19" t="s">
        <v>90</v>
      </c>
      <c r="J93" s="19" t="s">
        <v>45</v>
      </c>
      <c r="K93" s="19" t="s">
        <v>728</v>
      </c>
      <c r="L93" s="86" t="s">
        <v>60</v>
      </c>
      <c r="M93" s="15">
        <v>2023</v>
      </c>
      <c r="N93" s="15" t="str">
        <f t="shared" si="5"/>
        <v>Agustus</v>
      </c>
      <c r="O93" s="15">
        <v>2027</v>
      </c>
      <c r="P93" s="15">
        <v>2023</v>
      </c>
      <c r="Q93" s="15"/>
      <c r="R93" s="16"/>
      <c r="S93" s="15"/>
      <c r="T93" s="15"/>
      <c r="U93" s="15"/>
      <c r="V93" s="15"/>
      <c r="W93" s="15"/>
    </row>
    <row r="94" spans="1:23" s="17" customFormat="1" ht="14.5" x14ac:dyDescent="0.35">
      <c r="A94" s="12">
        <v>93</v>
      </c>
      <c r="B94" s="25" t="s">
        <v>1726</v>
      </c>
      <c r="C94" s="69" t="s">
        <v>1727</v>
      </c>
      <c r="D94" s="14" t="str">
        <f t="shared" si="6"/>
        <v>Perempuan</v>
      </c>
      <c r="E94" s="24" t="s">
        <v>87</v>
      </c>
      <c r="F94" s="72" t="s">
        <v>1722</v>
      </c>
      <c r="G94" s="25" t="s">
        <v>1484</v>
      </c>
      <c r="H94" s="19" t="s">
        <v>1723</v>
      </c>
      <c r="I94" s="19" t="s">
        <v>90</v>
      </c>
      <c r="J94" s="19" t="s">
        <v>45</v>
      </c>
      <c r="K94" s="19" t="s">
        <v>728</v>
      </c>
      <c r="L94" s="86" t="s">
        <v>60</v>
      </c>
      <c r="M94" s="15">
        <v>2023</v>
      </c>
      <c r="N94" s="15" t="str">
        <f t="shared" si="5"/>
        <v>Agustus</v>
      </c>
      <c r="O94" s="15">
        <v>2027</v>
      </c>
      <c r="P94" s="15">
        <v>2023</v>
      </c>
      <c r="Q94" s="15"/>
      <c r="R94" s="16"/>
      <c r="S94" s="15"/>
      <c r="T94" s="15"/>
      <c r="U94" s="15"/>
      <c r="V94" s="15"/>
      <c r="W94" s="15"/>
    </row>
    <row r="95" spans="1:23" s="17" customFormat="1" ht="14.5" x14ac:dyDescent="0.35">
      <c r="A95" s="12">
        <v>94</v>
      </c>
      <c r="B95" s="25" t="s">
        <v>1728</v>
      </c>
      <c r="C95" s="69" t="s">
        <v>1729</v>
      </c>
      <c r="D95" s="14" t="str">
        <f t="shared" si="6"/>
        <v>Perempuan</v>
      </c>
      <c r="E95" s="24" t="s">
        <v>382</v>
      </c>
      <c r="F95" s="72" t="s">
        <v>1730</v>
      </c>
      <c r="G95" s="25" t="s">
        <v>1484</v>
      </c>
      <c r="H95" s="19" t="s">
        <v>1723</v>
      </c>
      <c r="I95" s="19" t="s">
        <v>90</v>
      </c>
      <c r="J95" s="19" t="s">
        <v>45</v>
      </c>
      <c r="K95" s="19" t="s">
        <v>728</v>
      </c>
      <c r="L95" s="86" t="s">
        <v>60</v>
      </c>
      <c r="M95" s="15">
        <v>2023</v>
      </c>
      <c r="N95" s="15" t="str">
        <f t="shared" si="5"/>
        <v>Agustus</v>
      </c>
      <c r="O95" s="15">
        <v>2027</v>
      </c>
      <c r="P95" s="15">
        <v>2023</v>
      </c>
      <c r="Q95" s="15"/>
      <c r="R95" s="16"/>
      <c r="S95" s="15"/>
      <c r="T95" s="15"/>
      <c r="U95" s="15"/>
      <c r="V95" s="15"/>
      <c r="W95" s="15"/>
    </row>
    <row r="96" spans="1:23" s="17" customFormat="1" ht="14.5" x14ac:dyDescent="0.35">
      <c r="A96" s="12">
        <v>95</v>
      </c>
      <c r="B96" s="25" t="s">
        <v>1731</v>
      </c>
      <c r="C96" s="69" t="s">
        <v>1732</v>
      </c>
      <c r="D96" s="14" t="str">
        <f t="shared" si="6"/>
        <v>Perempuan</v>
      </c>
      <c r="E96" s="24" t="s">
        <v>87</v>
      </c>
      <c r="F96" s="72" t="s">
        <v>1722</v>
      </c>
      <c r="G96" s="25" t="s">
        <v>1484</v>
      </c>
      <c r="H96" s="19" t="s">
        <v>1723</v>
      </c>
      <c r="I96" s="19" t="s">
        <v>90</v>
      </c>
      <c r="J96" s="19" t="s">
        <v>45</v>
      </c>
      <c r="K96" s="19" t="s">
        <v>728</v>
      </c>
      <c r="L96" s="86" t="s">
        <v>60</v>
      </c>
      <c r="M96" s="15">
        <v>2023</v>
      </c>
      <c r="N96" s="15" t="str">
        <f t="shared" si="5"/>
        <v>Agustus</v>
      </c>
      <c r="O96" s="15">
        <v>2027</v>
      </c>
      <c r="P96" s="15">
        <v>2023</v>
      </c>
      <c r="Q96" s="15"/>
      <c r="R96" s="16"/>
      <c r="S96" s="15"/>
      <c r="T96" s="15"/>
      <c r="U96" s="15"/>
      <c r="V96" s="15"/>
      <c r="W96" s="15"/>
    </row>
    <row r="97" spans="1:23" s="17" customFormat="1" ht="14.5" x14ac:dyDescent="0.35">
      <c r="A97" s="12">
        <v>96</v>
      </c>
      <c r="B97" s="25" t="s">
        <v>1733</v>
      </c>
      <c r="C97" s="69" t="s">
        <v>1734</v>
      </c>
      <c r="D97" s="14" t="str">
        <f t="shared" si="6"/>
        <v>Perempuan</v>
      </c>
      <c r="E97" s="24" t="s">
        <v>98</v>
      </c>
      <c r="F97" s="72" t="s">
        <v>1716</v>
      </c>
      <c r="G97" s="25" t="s">
        <v>1484</v>
      </c>
      <c r="H97" s="19" t="s">
        <v>1723</v>
      </c>
      <c r="I97" s="19" t="s">
        <v>90</v>
      </c>
      <c r="J97" s="19" t="s">
        <v>45</v>
      </c>
      <c r="K97" s="19" t="s">
        <v>728</v>
      </c>
      <c r="L97" s="86" t="s">
        <v>60</v>
      </c>
      <c r="M97" s="15">
        <v>2023</v>
      </c>
      <c r="N97" s="15" t="str">
        <f t="shared" si="5"/>
        <v>Agustus</v>
      </c>
      <c r="O97" s="15">
        <v>2027</v>
      </c>
      <c r="P97" s="15">
        <v>2023</v>
      </c>
      <c r="Q97" s="15"/>
      <c r="R97" s="16"/>
      <c r="S97" s="15"/>
      <c r="T97" s="15"/>
      <c r="U97" s="15"/>
      <c r="V97" s="15"/>
      <c r="W97" s="15"/>
    </row>
    <row r="98" spans="1:23" s="17" customFormat="1" ht="14.5" x14ac:dyDescent="0.35">
      <c r="A98" s="12">
        <v>97</v>
      </c>
      <c r="B98" s="25" t="s">
        <v>1735</v>
      </c>
      <c r="C98" s="69" t="s">
        <v>1736</v>
      </c>
      <c r="D98" s="14" t="str">
        <f t="shared" si="6"/>
        <v>Perempuan</v>
      </c>
      <c r="E98" s="24" t="s">
        <v>109</v>
      </c>
      <c r="F98" s="72" t="s">
        <v>1629</v>
      </c>
      <c r="G98" s="25" t="s">
        <v>1484</v>
      </c>
      <c r="H98" s="19" t="s">
        <v>1536</v>
      </c>
      <c r="I98" s="19" t="s">
        <v>1700</v>
      </c>
      <c r="J98" s="19" t="s">
        <v>26</v>
      </c>
      <c r="K98" s="19" t="s">
        <v>1701</v>
      </c>
      <c r="L98" s="86" t="s">
        <v>60</v>
      </c>
      <c r="M98" s="15">
        <v>2023</v>
      </c>
      <c r="N98" s="15" t="str">
        <f t="shared" si="5"/>
        <v>Agustus</v>
      </c>
      <c r="O98" s="15">
        <v>2025</v>
      </c>
      <c r="P98" s="15">
        <v>2023</v>
      </c>
      <c r="Q98" s="15"/>
      <c r="R98" s="16"/>
      <c r="S98" s="15"/>
      <c r="T98" s="15"/>
      <c r="U98" s="15"/>
      <c r="V98" s="15"/>
      <c r="W98" s="15"/>
    </row>
    <row r="99" spans="1:23" s="17" customFormat="1" ht="28" x14ac:dyDescent="0.35">
      <c r="A99" s="12">
        <v>98</v>
      </c>
      <c r="B99" s="25" t="s">
        <v>1737</v>
      </c>
      <c r="C99" s="69" t="s">
        <v>1738</v>
      </c>
      <c r="D99" s="14" t="str">
        <f t="shared" si="6"/>
        <v>Perempuan</v>
      </c>
      <c r="E99" s="24" t="s">
        <v>471</v>
      </c>
      <c r="F99" s="72" t="s">
        <v>1673</v>
      </c>
      <c r="G99" s="25" t="s">
        <v>1484</v>
      </c>
      <c r="H99" s="19" t="s">
        <v>1536</v>
      </c>
      <c r="I99" s="19" t="s">
        <v>1666</v>
      </c>
      <c r="J99" s="19" t="s">
        <v>26</v>
      </c>
      <c r="K99" s="19" t="s">
        <v>407</v>
      </c>
      <c r="L99" s="86" t="s">
        <v>60</v>
      </c>
      <c r="M99" s="15">
        <v>2023</v>
      </c>
      <c r="N99" s="15" t="str">
        <f t="shared" si="5"/>
        <v>Agustus</v>
      </c>
      <c r="O99" s="15">
        <v>2025</v>
      </c>
      <c r="P99" s="15">
        <v>2023</v>
      </c>
      <c r="Q99" s="15"/>
      <c r="R99" s="16"/>
      <c r="S99" s="15"/>
      <c r="T99" s="15"/>
      <c r="U99" s="15"/>
      <c r="V99" s="15"/>
      <c r="W99" s="15"/>
    </row>
    <row r="100" spans="1:23" s="17" customFormat="1" ht="28" x14ac:dyDescent="0.35">
      <c r="A100" s="12">
        <v>99</v>
      </c>
      <c r="B100" s="25" t="s">
        <v>1739</v>
      </c>
      <c r="C100" s="69" t="s">
        <v>1740</v>
      </c>
      <c r="D100" s="14" t="str">
        <f t="shared" si="6"/>
        <v>Laki-Laki</v>
      </c>
      <c r="E100" s="24" t="s">
        <v>471</v>
      </c>
      <c r="F100" s="72" t="s">
        <v>1673</v>
      </c>
      <c r="G100" s="25" t="s">
        <v>1484</v>
      </c>
      <c r="H100" s="19" t="s">
        <v>1536</v>
      </c>
      <c r="I100" s="19" t="s">
        <v>1666</v>
      </c>
      <c r="J100" s="19" t="s">
        <v>26</v>
      </c>
      <c r="K100" s="19" t="s">
        <v>407</v>
      </c>
      <c r="L100" s="86" t="s">
        <v>60</v>
      </c>
      <c r="M100" s="15">
        <v>2023</v>
      </c>
      <c r="N100" s="15" t="str">
        <f t="shared" si="5"/>
        <v>Agustus</v>
      </c>
      <c r="O100" s="15">
        <v>2025</v>
      </c>
      <c r="P100" s="15">
        <v>2023</v>
      </c>
      <c r="Q100" s="15"/>
      <c r="R100" s="16"/>
      <c r="S100" s="15"/>
      <c r="T100" s="15"/>
      <c r="U100" s="15"/>
      <c r="V100" s="15"/>
      <c r="W100" s="15"/>
    </row>
    <row r="101" spans="1:23" s="17" customFormat="1" ht="28" x14ac:dyDescent="0.35">
      <c r="A101" s="12">
        <v>100</v>
      </c>
      <c r="B101" s="25" t="s">
        <v>1741</v>
      </c>
      <c r="C101" s="69" t="s">
        <v>1742</v>
      </c>
      <c r="D101" s="14" t="str">
        <f t="shared" si="6"/>
        <v>Perempuan</v>
      </c>
      <c r="E101" s="24" t="s">
        <v>471</v>
      </c>
      <c r="F101" s="72" t="s">
        <v>1673</v>
      </c>
      <c r="G101" s="25" t="s">
        <v>1484</v>
      </c>
      <c r="H101" s="19" t="s">
        <v>1536</v>
      </c>
      <c r="I101" s="19" t="s">
        <v>1666</v>
      </c>
      <c r="J101" s="19" t="s">
        <v>26</v>
      </c>
      <c r="K101" s="19" t="s">
        <v>407</v>
      </c>
      <c r="L101" s="86" t="s">
        <v>60</v>
      </c>
      <c r="M101" s="15">
        <v>2023</v>
      </c>
      <c r="N101" s="15" t="str">
        <f t="shared" si="5"/>
        <v>Agustus</v>
      </c>
      <c r="O101" s="15">
        <v>2025</v>
      </c>
      <c r="P101" s="15">
        <v>2023</v>
      </c>
      <c r="Q101" s="15"/>
      <c r="R101" s="16"/>
      <c r="S101" s="15"/>
      <c r="T101" s="15"/>
      <c r="U101" s="15"/>
      <c r="V101" s="15"/>
      <c r="W101" s="15"/>
    </row>
    <row r="102" spans="1:23" s="17" customFormat="1" ht="28" x14ac:dyDescent="0.35">
      <c r="A102" s="12">
        <v>101</v>
      </c>
      <c r="B102" s="25" t="s">
        <v>1743</v>
      </c>
      <c r="C102" s="69" t="s">
        <v>1744</v>
      </c>
      <c r="D102" s="14" t="str">
        <f t="shared" si="6"/>
        <v>Perempuan</v>
      </c>
      <c r="E102" s="24" t="s">
        <v>471</v>
      </c>
      <c r="F102" s="72" t="s">
        <v>1673</v>
      </c>
      <c r="G102" s="25" t="s">
        <v>1484</v>
      </c>
      <c r="H102" s="19" t="s">
        <v>1536</v>
      </c>
      <c r="I102" s="19" t="s">
        <v>1666</v>
      </c>
      <c r="J102" s="19" t="s">
        <v>26</v>
      </c>
      <c r="K102" s="19" t="s">
        <v>407</v>
      </c>
      <c r="L102" s="86" t="s">
        <v>60</v>
      </c>
      <c r="M102" s="15">
        <v>2023</v>
      </c>
      <c r="N102" s="15" t="str">
        <f t="shared" si="5"/>
        <v>Agustus</v>
      </c>
      <c r="O102" s="15">
        <v>2025</v>
      </c>
      <c r="P102" s="15">
        <v>2023</v>
      </c>
      <c r="Q102" s="15"/>
      <c r="R102" s="16"/>
      <c r="S102" s="15"/>
      <c r="T102" s="15"/>
      <c r="U102" s="15"/>
      <c r="V102" s="15"/>
      <c r="W102" s="15"/>
    </row>
    <row r="103" spans="1:23" s="17" customFormat="1" ht="28" x14ac:dyDescent="0.35">
      <c r="A103" s="12">
        <v>102</v>
      </c>
      <c r="B103" s="25" t="s">
        <v>1745</v>
      </c>
      <c r="C103" s="69" t="s">
        <v>1746</v>
      </c>
      <c r="D103" s="14" t="str">
        <f t="shared" si="6"/>
        <v>Laki-Laki</v>
      </c>
      <c r="E103" s="24" t="s">
        <v>471</v>
      </c>
      <c r="F103" s="72" t="s">
        <v>1673</v>
      </c>
      <c r="G103" s="25" t="s">
        <v>1484</v>
      </c>
      <c r="H103" s="19" t="s">
        <v>1536</v>
      </c>
      <c r="I103" s="19" t="s">
        <v>1666</v>
      </c>
      <c r="J103" s="19" t="s">
        <v>26</v>
      </c>
      <c r="K103" s="19" t="s">
        <v>407</v>
      </c>
      <c r="L103" s="86" t="s">
        <v>60</v>
      </c>
      <c r="M103" s="15">
        <v>2023</v>
      </c>
      <c r="N103" s="15" t="str">
        <f t="shared" si="5"/>
        <v>Agustus</v>
      </c>
      <c r="O103" s="15">
        <v>2025</v>
      </c>
      <c r="P103" s="15">
        <v>2023</v>
      </c>
      <c r="Q103" s="15"/>
      <c r="R103" s="16"/>
      <c r="S103" s="15"/>
      <c r="T103" s="15"/>
      <c r="U103" s="15"/>
      <c r="V103" s="15"/>
      <c r="W103" s="15"/>
    </row>
    <row r="104" spans="1:23" s="17" customFormat="1" ht="14.5" x14ac:dyDescent="0.35">
      <c r="A104" s="12">
        <v>103</v>
      </c>
      <c r="B104" s="25" t="s">
        <v>1747</v>
      </c>
      <c r="C104" s="69" t="s">
        <v>1748</v>
      </c>
      <c r="D104" s="14" t="str">
        <f t="shared" si="6"/>
        <v>Perempuan</v>
      </c>
      <c r="E104" s="24" t="s">
        <v>471</v>
      </c>
      <c r="F104" s="72" t="s">
        <v>1749</v>
      </c>
      <c r="G104" s="25" t="s">
        <v>1484</v>
      </c>
      <c r="H104" s="19" t="s">
        <v>1750</v>
      </c>
      <c r="I104" s="19" t="s">
        <v>1751</v>
      </c>
      <c r="J104" s="19" t="s">
        <v>242</v>
      </c>
      <c r="K104" s="19" t="s">
        <v>50</v>
      </c>
      <c r="L104" s="86" t="s">
        <v>60</v>
      </c>
      <c r="M104" s="15">
        <v>2023</v>
      </c>
      <c r="N104" s="15" t="str">
        <f t="shared" si="5"/>
        <v>Agustus</v>
      </c>
      <c r="O104" s="15">
        <v>2026</v>
      </c>
      <c r="P104" s="15">
        <v>2023</v>
      </c>
      <c r="Q104" s="15"/>
      <c r="R104" s="16"/>
      <c r="S104" s="15"/>
      <c r="T104" s="15"/>
      <c r="U104" s="15"/>
      <c r="V104" s="15"/>
      <c r="W104" s="15"/>
    </row>
    <row r="105" spans="1:23" s="17" customFormat="1" ht="28" x14ac:dyDescent="0.35">
      <c r="A105" s="12">
        <v>104</v>
      </c>
      <c r="B105" s="25" t="s">
        <v>1752</v>
      </c>
      <c r="C105" s="69" t="s">
        <v>1753</v>
      </c>
      <c r="D105" s="14" t="str">
        <f t="shared" si="6"/>
        <v>Perempuan</v>
      </c>
      <c r="E105" s="24" t="s">
        <v>126</v>
      </c>
      <c r="F105" s="72" t="s">
        <v>1657</v>
      </c>
      <c r="G105" s="25" t="s">
        <v>1484</v>
      </c>
      <c r="H105" s="19" t="s">
        <v>1754</v>
      </c>
      <c r="I105" s="19" t="s">
        <v>90</v>
      </c>
      <c r="J105" s="19" t="s">
        <v>45</v>
      </c>
      <c r="K105" s="19" t="s">
        <v>728</v>
      </c>
      <c r="L105" s="86" t="s">
        <v>169</v>
      </c>
      <c r="M105" s="15">
        <v>2023</v>
      </c>
      <c r="N105" s="15" t="str">
        <f t="shared" si="5"/>
        <v>Oktober</v>
      </c>
      <c r="O105" s="15">
        <v>2027</v>
      </c>
      <c r="P105" s="15">
        <v>2023</v>
      </c>
      <c r="Q105" s="15"/>
      <c r="R105" s="16"/>
      <c r="S105" s="15"/>
      <c r="T105" s="15"/>
      <c r="U105" s="15"/>
      <c r="V105" s="15"/>
      <c r="W105" s="15"/>
    </row>
    <row r="106" spans="1:23" s="17" customFormat="1" ht="28" x14ac:dyDescent="0.35">
      <c r="A106" s="12">
        <v>105</v>
      </c>
      <c r="B106" s="25" t="s">
        <v>1755</v>
      </c>
      <c r="C106" s="69" t="s">
        <v>1756</v>
      </c>
      <c r="D106" s="14" t="str">
        <f t="shared" si="6"/>
        <v>Perempuan</v>
      </c>
      <c r="E106" s="24" t="s">
        <v>126</v>
      </c>
      <c r="F106" s="72" t="s">
        <v>105</v>
      </c>
      <c r="G106" s="25" t="s">
        <v>1484</v>
      </c>
      <c r="H106" s="19" t="s">
        <v>1757</v>
      </c>
      <c r="I106" s="19" t="s">
        <v>1758</v>
      </c>
      <c r="J106" s="19" t="s">
        <v>45</v>
      </c>
      <c r="K106" s="19" t="s">
        <v>46</v>
      </c>
      <c r="L106" s="86" t="s">
        <v>28</v>
      </c>
      <c r="M106" s="15">
        <v>2023</v>
      </c>
      <c r="N106" s="15" t="str">
        <f t="shared" si="5"/>
        <v>September</v>
      </c>
      <c r="O106" s="15">
        <v>2027</v>
      </c>
      <c r="P106" s="15">
        <v>2023</v>
      </c>
      <c r="Q106" s="15"/>
      <c r="R106" s="16"/>
      <c r="S106" s="15"/>
      <c r="T106" s="15"/>
      <c r="U106" s="15"/>
      <c r="V106" s="15"/>
      <c r="W106" s="15"/>
    </row>
    <row r="107" spans="1:23" s="17" customFormat="1" ht="14.5" x14ac:dyDescent="0.35">
      <c r="A107" s="12">
        <v>106</v>
      </c>
      <c r="B107" s="25" t="s">
        <v>1759</v>
      </c>
      <c r="C107" s="69" t="s">
        <v>1760</v>
      </c>
      <c r="D107" s="14" t="str">
        <f t="shared" si="6"/>
        <v>Laki-Laki</v>
      </c>
      <c r="E107" s="24" t="s">
        <v>104</v>
      </c>
      <c r="F107" s="72" t="s">
        <v>1657</v>
      </c>
      <c r="G107" s="25" t="s">
        <v>1484</v>
      </c>
      <c r="H107" s="19" t="s">
        <v>1761</v>
      </c>
      <c r="I107" s="19" t="s">
        <v>90</v>
      </c>
      <c r="J107" s="19" t="s">
        <v>45</v>
      </c>
      <c r="K107" s="19" t="s">
        <v>728</v>
      </c>
      <c r="L107" s="86" t="s">
        <v>28</v>
      </c>
      <c r="M107" s="15">
        <v>2023</v>
      </c>
      <c r="N107" s="15" t="str">
        <f t="shared" si="5"/>
        <v>September</v>
      </c>
      <c r="O107" s="15">
        <v>2027</v>
      </c>
      <c r="P107" s="15">
        <v>2023</v>
      </c>
      <c r="Q107" s="15"/>
      <c r="R107" s="16"/>
      <c r="S107" s="15"/>
      <c r="T107" s="15"/>
      <c r="U107" s="15"/>
      <c r="V107" s="15"/>
      <c r="W107" s="15"/>
    </row>
    <row r="108" spans="1:23" s="17" customFormat="1" ht="14.5" x14ac:dyDescent="0.35">
      <c r="A108" s="12">
        <v>107</v>
      </c>
      <c r="B108" s="25" t="s">
        <v>1762</v>
      </c>
      <c r="C108" s="69" t="s">
        <v>1763</v>
      </c>
      <c r="D108" s="14" t="str">
        <f t="shared" si="6"/>
        <v>Laki-Laki</v>
      </c>
      <c r="E108" s="24" t="s">
        <v>98</v>
      </c>
      <c r="F108" s="72" t="s">
        <v>1716</v>
      </c>
      <c r="G108" s="25" t="s">
        <v>1484</v>
      </c>
      <c r="H108" s="19" t="s">
        <v>1761</v>
      </c>
      <c r="I108" s="19" t="s">
        <v>90</v>
      </c>
      <c r="J108" s="19" t="s">
        <v>45</v>
      </c>
      <c r="K108" s="19" t="s">
        <v>728</v>
      </c>
      <c r="L108" s="86" t="s">
        <v>28</v>
      </c>
      <c r="M108" s="15">
        <v>2023</v>
      </c>
      <c r="N108" s="15" t="str">
        <f t="shared" si="5"/>
        <v>September</v>
      </c>
      <c r="O108" s="15">
        <v>2027</v>
      </c>
      <c r="P108" s="15">
        <v>2023</v>
      </c>
      <c r="Q108" s="15"/>
      <c r="R108" s="16"/>
      <c r="S108" s="15"/>
      <c r="T108" s="15"/>
      <c r="U108" s="15"/>
      <c r="V108" s="15"/>
      <c r="W108" s="15"/>
    </row>
    <row r="109" spans="1:23" s="17" customFormat="1" ht="14.5" x14ac:dyDescent="0.35">
      <c r="A109" s="12">
        <v>108</v>
      </c>
      <c r="B109" s="25" t="s">
        <v>1764</v>
      </c>
      <c r="C109" s="69" t="s">
        <v>1765</v>
      </c>
      <c r="D109" s="14" t="str">
        <f t="shared" si="6"/>
        <v>Laki-Laki</v>
      </c>
      <c r="E109" s="24" t="s">
        <v>382</v>
      </c>
      <c r="F109" s="72" t="s">
        <v>1716</v>
      </c>
      <c r="G109" s="25" t="s">
        <v>1484</v>
      </c>
      <c r="H109" s="19" t="s">
        <v>1761</v>
      </c>
      <c r="I109" s="19" t="s">
        <v>90</v>
      </c>
      <c r="J109" s="19" t="s">
        <v>45</v>
      </c>
      <c r="K109" s="19" t="s">
        <v>728</v>
      </c>
      <c r="L109" s="86" t="s">
        <v>28</v>
      </c>
      <c r="M109" s="15">
        <v>2023</v>
      </c>
      <c r="N109" s="15" t="str">
        <f t="shared" si="5"/>
        <v>September</v>
      </c>
      <c r="O109" s="15">
        <v>2027</v>
      </c>
      <c r="P109" s="15">
        <v>2023</v>
      </c>
      <c r="Q109" s="15"/>
      <c r="R109" s="16"/>
      <c r="S109" s="15"/>
      <c r="T109" s="15"/>
      <c r="U109" s="15"/>
      <c r="V109" s="15"/>
      <c r="W109" s="15"/>
    </row>
    <row r="110" spans="1:23" s="17" customFormat="1" ht="14.5" x14ac:dyDescent="0.35">
      <c r="A110" s="12">
        <v>109</v>
      </c>
      <c r="B110" s="25" t="s">
        <v>1766</v>
      </c>
      <c r="C110" s="69" t="s">
        <v>1767</v>
      </c>
      <c r="D110" s="14" t="str">
        <f t="shared" si="6"/>
        <v>Laki-Laki</v>
      </c>
      <c r="E110" s="24" t="s">
        <v>98</v>
      </c>
      <c r="F110" s="72" t="s">
        <v>1716</v>
      </c>
      <c r="G110" s="25" t="s">
        <v>1484</v>
      </c>
      <c r="H110" s="19" t="s">
        <v>1761</v>
      </c>
      <c r="I110" s="19" t="s">
        <v>90</v>
      </c>
      <c r="J110" s="19" t="s">
        <v>45</v>
      </c>
      <c r="K110" s="19" t="s">
        <v>728</v>
      </c>
      <c r="L110" s="86" t="s">
        <v>28</v>
      </c>
      <c r="M110" s="15">
        <v>2023</v>
      </c>
      <c r="N110" s="15" t="str">
        <f t="shared" si="5"/>
        <v>September</v>
      </c>
      <c r="O110" s="15">
        <v>2027</v>
      </c>
      <c r="P110" s="15">
        <v>2023</v>
      </c>
      <c r="Q110" s="15"/>
      <c r="R110" s="16"/>
      <c r="S110" s="15"/>
      <c r="T110" s="15"/>
      <c r="U110" s="15"/>
      <c r="V110" s="15"/>
      <c r="W110" s="15"/>
    </row>
    <row r="111" spans="1:23" s="17" customFormat="1" ht="14.5" x14ac:dyDescent="0.35">
      <c r="A111" s="12">
        <v>110</v>
      </c>
      <c r="B111" s="25" t="s">
        <v>1768</v>
      </c>
      <c r="C111" s="69" t="s">
        <v>1769</v>
      </c>
      <c r="D111" s="14" t="str">
        <f t="shared" si="6"/>
        <v>Laki-Laki</v>
      </c>
      <c r="E111" s="24" t="s">
        <v>87</v>
      </c>
      <c r="F111" s="72" t="s">
        <v>1722</v>
      </c>
      <c r="G111" s="25" t="s">
        <v>1484</v>
      </c>
      <c r="H111" s="19" t="s">
        <v>1761</v>
      </c>
      <c r="I111" s="19" t="s">
        <v>90</v>
      </c>
      <c r="J111" s="19" t="s">
        <v>45</v>
      </c>
      <c r="K111" s="19" t="s">
        <v>728</v>
      </c>
      <c r="L111" s="86" t="s">
        <v>28</v>
      </c>
      <c r="M111" s="15">
        <v>2023</v>
      </c>
      <c r="N111" s="15" t="str">
        <f t="shared" si="5"/>
        <v>September</v>
      </c>
      <c r="O111" s="15">
        <v>2027</v>
      </c>
      <c r="P111" s="15">
        <v>2023</v>
      </c>
      <c r="Q111" s="15"/>
      <c r="R111" s="16"/>
      <c r="S111" s="15"/>
      <c r="T111" s="15"/>
      <c r="U111" s="15"/>
      <c r="V111" s="15"/>
      <c r="W111" s="15"/>
    </row>
    <row r="112" spans="1:23" s="17" customFormat="1" ht="28" x14ac:dyDescent="0.35">
      <c r="A112" s="12">
        <v>111</v>
      </c>
      <c r="B112" s="25" t="s">
        <v>1770</v>
      </c>
      <c r="C112" s="69" t="s">
        <v>1771</v>
      </c>
      <c r="D112" s="14" t="str">
        <f t="shared" si="6"/>
        <v>Perempuan</v>
      </c>
      <c r="E112" s="24" t="s">
        <v>126</v>
      </c>
      <c r="F112" s="72" t="s">
        <v>1657</v>
      </c>
      <c r="G112" s="25" t="s">
        <v>1484</v>
      </c>
      <c r="H112" s="19" t="s">
        <v>1772</v>
      </c>
      <c r="I112" s="19" t="s">
        <v>90</v>
      </c>
      <c r="J112" s="19" t="s">
        <v>45</v>
      </c>
      <c r="K112" s="19" t="s">
        <v>728</v>
      </c>
      <c r="L112" s="86" t="s">
        <v>28</v>
      </c>
      <c r="M112" s="15">
        <v>2023</v>
      </c>
      <c r="N112" s="15" t="str">
        <f t="shared" si="5"/>
        <v>September</v>
      </c>
      <c r="O112" s="15">
        <v>2027</v>
      </c>
      <c r="P112" s="15">
        <v>2023</v>
      </c>
      <c r="Q112" s="15"/>
      <c r="R112" s="16"/>
      <c r="S112" s="15"/>
      <c r="T112" s="15"/>
      <c r="U112" s="15"/>
      <c r="V112" s="15"/>
      <c r="W112" s="15"/>
    </row>
    <row r="113" spans="1:23" s="17" customFormat="1" ht="28" x14ac:dyDescent="0.35">
      <c r="A113" s="12">
        <v>112</v>
      </c>
      <c r="B113" s="25" t="s">
        <v>1773</v>
      </c>
      <c r="C113" s="69" t="s">
        <v>1774</v>
      </c>
      <c r="D113" s="14" t="str">
        <f t="shared" si="6"/>
        <v>Laki-Laki</v>
      </c>
      <c r="E113" s="24" t="s">
        <v>104</v>
      </c>
      <c r="F113" s="72" t="s">
        <v>1657</v>
      </c>
      <c r="G113" s="25" t="s">
        <v>1484</v>
      </c>
      <c r="H113" s="19" t="s">
        <v>1772</v>
      </c>
      <c r="I113" s="19" t="s">
        <v>90</v>
      </c>
      <c r="J113" s="19" t="s">
        <v>45</v>
      </c>
      <c r="K113" s="19" t="s">
        <v>728</v>
      </c>
      <c r="L113" s="86" t="s">
        <v>28</v>
      </c>
      <c r="M113" s="15">
        <v>2023</v>
      </c>
      <c r="N113" s="15" t="str">
        <f t="shared" si="5"/>
        <v>September</v>
      </c>
      <c r="O113" s="15">
        <v>2027</v>
      </c>
      <c r="P113" s="15">
        <v>2023</v>
      </c>
      <c r="Q113" s="15"/>
      <c r="R113" s="16"/>
      <c r="S113" s="15"/>
      <c r="T113" s="15"/>
      <c r="U113" s="15"/>
      <c r="V113" s="15"/>
      <c r="W113" s="15"/>
    </row>
    <row r="114" spans="1:23" s="17" customFormat="1" ht="28" x14ac:dyDescent="0.35">
      <c r="A114" s="12">
        <v>113</v>
      </c>
      <c r="B114" s="25" t="s">
        <v>1775</v>
      </c>
      <c r="C114" s="69" t="s">
        <v>1776</v>
      </c>
      <c r="D114" s="14" t="str">
        <f t="shared" si="6"/>
        <v>Perempuan</v>
      </c>
      <c r="E114" s="24" t="s">
        <v>109</v>
      </c>
      <c r="F114" s="72" t="s">
        <v>1777</v>
      </c>
      <c r="G114" s="25" t="s">
        <v>1484</v>
      </c>
      <c r="H114" s="19" t="s">
        <v>1772</v>
      </c>
      <c r="I114" s="19" t="s">
        <v>90</v>
      </c>
      <c r="J114" s="19" t="s">
        <v>45</v>
      </c>
      <c r="K114" s="19" t="s">
        <v>728</v>
      </c>
      <c r="L114" s="86" t="s">
        <v>28</v>
      </c>
      <c r="M114" s="15">
        <v>2023</v>
      </c>
      <c r="N114" s="15" t="str">
        <f t="shared" si="5"/>
        <v>September</v>
      </c>
      <c r="O114" s="15">
        <v>2027</v>
      </c>
      <c r="P114" s="15">
        <v>2023</v>
      </c>
      <c r="Q114" s="15"/>
      <c r="R114" s="16"/>
      <c r="S114" s="15"/>
      <c r="T114" s="15"/>
      <c r="U114" s="15"/>
      <c r="V114" s="15"/>
      <c r="W114" s="15"/>
    </row>
    <row r="115" spans="1:23" s="17" customFormat="1" ht="28" x14ac:dyDescent="0.35">
      <c r="A115" s="12">
        <v>114</v>
      </c>
      <c r="B115" s="25" t="s">
        <v>1778</v>
      </c>
      <c r="C115" s="69" t="s">
        <v>1779</v>
      </c>
      <c r="D115" s="14" t="str">
        <f t="shared" si="6"/>
        <v>Perempuan</v>
      </c>
      <c r="E115" s="24" t="s">
        <v>791</v>
      </c>
      <c r="F115" s="72" t="s">
        <v>1780</v>
      </c>
      <c r="G115" s="25" t="s">
        <v>1484</v>
      </c>
      <c r="H115" s="19" t="s">
        <v>1757</v>
      </c>
      <c r="I115" s="19" t="s">
        <v>563</v>
      </c>
      <c r="J115" s="19" t="s">
        <v>242</v>
      </c>
      <c r="K115" s="19" t="s">
        <v>674</v>
      </c>
      <c r="L115" s="86" t="s">
        <v>60</v>
      </c>
      <c r="M115" s="15">
        <v>2023</v>
      </c>
      <c r="N115" s="15" t="str">
        <f t="shared" si="5"/>
        <v>Agustus</v>
      </c>
      <c r="O115" s="15">
        <v>2026</v>
      </c>
      <c r="P115" s="15">
        <v>2023</v>
      </c>
      <c r="Q115" s="15"/>
      <c r="R115" s="16"/>
      <c r="S115" s="15"/>
      <c r="T115" s="15"/>
      <c r="U115" s="15"/>
      <c r="V115" s="15"/>
      <c r="W115" s="15"/>
    </row>
    <row r="116" spans="1:23" s="17" customFormat="1" ht="28" x14ac:dyDescent="0.35">
      <c r="A116" s="12">
        <v>115</v>
      </c>
      <c r="B116" s="25" t="s">
        <v>1781</v>
      </c>
      <c r="C116" s="69" t="s">
        <v>1782</v>
      </c>
      <c r="D116" s="14" t="str">
        <f t="shared" si="6"/>
        <v>Laki-Laki</v>
      </c>
      <c r="E116" s="24"/>
      <c r="F116" s="72"/>
      <c r="G116" s="25" t="s">
        <v>1484</v>
      </c>
      <c r="H116" s="19" t="s">
        <v>1642</v>
      </c>
      <c r="I116" s="19" t="s">
        <v>623</v>
      </c>
      <c r="J116" s="19" t="s">
        <v>26</v>
      </c>
      <c r="K116" s="19" t="s">
        <v>723</v>
      </c>
      <c r="L116" s="19"/>
      <c r="M116" s="15"/>
      <c r="N116" s="15">
        <f t="shared" si="5"/>
        <v>0</v>
      </c>
      <c r="O116" s="15" t="s">
        <v>51</v>
      </c>
      <c r="P116" s="15">
        <v>2023</v>
      </c>
      <c r="Q116" s="15"/>
      <c r="R116" s="16"/>
      <c r="S116" s="15"/>
      <c r="T116" s="15"/>
      <c r="U116" s="15"/>
      <c r="V116" s="15"/>
      <c r="W116" s="15"/>
    </row>
    <row r="117" spans="1:23" s="17" customFormat="1" ht="28" x14ac:dyDescent="0.35">
      <c r="A117" s="12">
        <v>116</v>
      </c>
      <c r="B117" s="25" t="s">
        <v>1783</v>
      </c>
      <c r="C117" s="69" t="s">
        <v>1784</v>
      </c>
      <c r="D117" s="14" t="str">
        <f t="shared" si="6"/>
        <v>Laki-Laki</v>
      </c>
      <c r="E117" s="24"/>
      <c r="F117" s="72"/>
      <c r="G117" s="25" t="s">
        <v>1484</v>
      </c>
      <c r="H117" s="19" t="s">
        <v>1642</v>
      </c>
      <c r="I117" s="19" t="s">
        <v>623</v>
      </c>
      <c r="J117" s="19" t="s">
        <v>26</v>
      </c>
      <c r="K117" s="19" t="s">
        <v>723</v>
      </c>
      <c r="L117" s="19"/>
      <c r="M117" s="15"/>
      <c r="N117" s="15">
        <f t="shared" si="5"/>
        <v>0</v>
      </c>
      <c r="O117" s="15" t="s">
        <v>51</v>
      </c>
      <c r="P117" s="15">
        <v>2023</v>
      </c>
      <c r="Q117" s="15"/>
      <c r="R117" s="16"/>
      <c r="S117" s="15"/>
      <c r="T117" s="15"/>
      <c r="U117" s="15"/>
      <c r="V117" s="15"/>
      <c r="W117" s="15"/>
    </row>
    <row r="118" spans="1:23" s="17" customFormat="1" ht="28" x14ac:dyDescent="0.35">
      <c r="A118" s="12">
        <v>117</v>
      </c>
      <c r="B118" s="25" t="s">
        <v>1785</v>
      </c>
      <c r="C118" s="69" t="s">
        <v>1786</v>
      </c>
      <c r="D118" s="14" t="str">
        <f t="shared" si="6"/>
        <v>Laki-Laki</v>
      </c>
      <c r="E118" s="24"/>
      <c r="F118" s="72"/>
      <c r="G118" s="25" t="s">
        <v>1484</v>
      </c>
      <c r="H118" s="19" t="s">
        <v>1642</v>
      </c>
      <c r="I118" s="19" t="s">
        <v>623</v>
      </c>
      <c r="J118" s="19" t="s">
        <v>26</v>
      </c>
      <c r="K118" s="19" t="s">
        <v>723</v>
      </c>
      <c r="L118" s="19"/>
      <c r="M118" s="15"/>
      <c r="N118" s="15">
        <f t="shared" si="5"/>
        <v>0</v>
      </c>
      <c r="O118" s="15" t="s">
        <v>51</v>
      </c>
      <c r="P118" s="15">
        <v>2023</v>
      </c>
      <c r="Q118" s="15"/>
      <c r="R118" s="16"/>
      <c r="S118" s="15"/>
      <c r="T118" s="15"/>
      <c r="U118" s="15"/>
      <c r="V118" s="15"/>
      <c r="W118" s="15"/>
    </row>
    <row r="119" spans="1:23" s="17" customFormat="1" ht="28" x14ac:dyDescent="0.35">
      <c r="A119" s="12">
        <v>118</v>
      </c>
      <c r="B119" s="25" t="s">
        <v>1787</v>
      </c>
      <c r="C119" s="69" t="s">
        <v>1788</v>
      </c>
      <c r="D119" s="14" t="str">
        <f t="shared" si="6"/>
        <v>Perempuan</v>
      </c>
      <c r="E119" s="24"/>
      <c r="F119" s="72"/>
      <c r="G119" s="25" t="s">
        <v>1484</v>
      </c>
      <c r="H119" s="19" t="s">
        <v>1642</v>
      </c>
      <c r="I119" s="19" t="s">
        <v>623</v>
      </c>
      <c r="J119" s="19" t="s">
        <v>26</v>
      </c>
      <c r="K119" s="19" t="s">
        <v>723</v>
      </c>
      <c r="L119" s="19"/>
      <c r="M119" s="15"/>
      <c r="N119" s="15">
        <f t="shared" si="5"/>
        <v>0</v>
      </c>
      <c r="O119" s="15" t="s">
        <v>51</v>
      </c>
      <c r="P119" s="15">
        <v>2023</v>
      </c>
      <c r="Q119" s="15"/>
      <c r="R119" s="16"/>
      <c r="S119" s="15"/>
      <c r="T119" s="15"/>
      <c r="U119" s="15"/>
      <c r="V119" s="15"/>
      <c r="W119" s="15"/>
    </row>
    <row r="120" spans="1:23" s="17" customFormat="1" ht="28" x14ac:dyDescent="0.35">
      <c r="A120" s="12">
        <v>119</v>
      </c>
      <c r="B120" s="25" t="s">
        <v>1789</v>
      </c>
      <c r="C120" s="69" t="s">
        <v>1790</v>
      </c>
      <c r="D120" s="14" t="str">
        <f t="shared" si="6"/>
        <v>Perempuan</v>
      </c>
      <c r="E120" s="24" t="s">
        <v>471</v>
      </c>
      <c r="F120" s="72" t="s">
        <v>1791</v>
      </c>
      <c r="G120" s="25" t="s">
        <v>1484</v>
      </c>
      <c r="H120" s="19" t="s">
        <v>1642</v>
      </c>
      <c r="I120" s="19" t="s">
        <v>90</v>
      </c>
      <c r="J120" s="19" t="s">
        <v>26</v>
      </c>
      <c r="K120" s="19" t="s">
        <v>1631</v>
      </c>
      <c r="L120" s="86" t="s">
        <v>60</v>
      </c>
      <c r="M120" s="15">
        <v>2023</v>
      </c>
      <c r="N120" s="15" t="str">
        <f t="shared" si="5"/>
        <v>Agustus</v>
      </c>
      <c r="O120" s="15">
        <v>2025</v>
      </c>
      <c r="P120" s="15">
        <v>2023</v>
      </c>
      <c r="Q120" s="15"/>
      <c r="R120" s="16"/>
      <c r="S120" s="15"/>
      <c r="T120" s="15"/>
      <c r="U120" s="15"/>
      <c r="V120" s="15"/>
      <c r="W120" s="15"/>
    </row>
    <row r="121" spans="1:23" s="17" customFormat="1" ht="28" x14ac:dyDescent="0.35">
      <c r="A121" s="12">
        <v>120</v>
      </c>
      <c r="B121" s="25" t="s">
        <v>1792</v>
      </c>
      <c r="C121" s="69" t="s">
        <v>1793</v>
      </c>
      <c r="D121" s="14" t="str">
        <f t="shared" si="6"/>
        <v>Laki-Laki</v>
      </c>
      <c r="E121" s="24"/>
      <c r="F121" s="72"/>
      <c r="G121" s="25" t="s">
        <v>1484</v>
      </c>
      <c r="H121" s="19" t="s">
        <v>1642</v>
      </c>
      <c r="I121" s="19" t="s">
        <v>623</v>
      </c>
      <c r="J121" s="19" t="s">
        <v>26</v>
      </c>
      <c r="K121" s="19" t="s">
        <v>723</v>
      </c>
      <c r="L121" s="19"/>
      <c r="M121" s="15"/>
      <c r="N121" s="15">
        <f t="shared" ref="N121:N136" si="7">L121</f>
        <v>0</v>
      </c>
      <c r="O121" s="15" t="s">
        <v>51</v>
      </c>
      <c r="P121" s="15">
        <v>2023</v>
      </c>
      <c r="Q121" s="15"/>
      <c r="R121" s="16"/>
      <c r="S121" s="15"/>
      <c r="T121" s="15"/>
      <c r="U121" s="15"/>
      <c r="V121" s="15"/>
      <c r="W121" s="15"/>
    </row>
    <row r="122" spans="1:23" s="17" customFormat="1" ht="28" x14ac:dyDescent="0.35">
      <c r="A122" s="12">
        <v>121</v>
      </c>
      <c r="B122" s="25" t="s">
        <v>1794</v>
      </c>
      <c r="C122" s="69" t="s">
        <v>1795</v>
      </c>
      <c r="D122" s="14" t="str">
        <f t="shared" si="6"/>
        <v>Perempuan</v>
      </c>
      <c r="E122" s="24"/>
      <c r="F122" s="72"/>
      <c r="G122" s="25" t="s">
        <v>1484</v>
      </c>
      <c r="H122" s="19" t="s">
        <v>1642</v>
      </c>
      <c r="I122" s="19" t="s">
        <v>623</v>
      </c>
      <c r="J122" s="19" t="s">
        <v>26</v>
      </c>
      <c r="K122" s="19" t="s">
        <v>723</v>
      </c>
      <c r="L122" s="19"/>
      <c r="M122" s="15"/>
      <c r="N122" s="15">
        <f t="shared" si="7"/>
        <v>0</v>
      </c>
      <c r="O122" s="15" t="s">
        <v>51</v>
      </c>
      <c r="P122" s="15">
        <v>2023</v>
      </c>
      <c r="Q122" s="15"/>
      <c r="R122" s="16"/>
      <c r="S122" s="15"/>
      <c r="T122" s="15"/>
      <c r="U122" s="15"/>
      <c r="V122" s="15"/>
      <c r="W122" s="15"/>
    </row>
    <row r="123" spans="1:23" s="17" customFormat="1" ht="28" x14ac:dyDescent="0.35">
      <c r="A123" s="12">
        <v>122</v>
      </c>
      <c r="B123" s="25" t="s">
        <v>1796</v>
      </c>
      <c r="C123" s="69" t="s">
        <v>1797</v>
      </c>
      <c r="D123" s="14" t="str">
        <f t="shared" si="6"/>
        <v>Laki-Laki</v>
      </c>
      <c r="E123" s="24"/>
      <c r="F123" s="72"/>
      <c r="G123" s="25" t="s">
        <v>1484</v>
      </c>
      <c r="H123" s="19" t="s">
        <v>1642</v>
      </c>
      <c r="I123" s="19" t="s">
        <v>623</v>
      </c>
      <c r="J123" s="19" t="s">
        <v>26</v>
      </c>
      <c r="K123" s="19" t="s">
        <v>723</v>
      </c>
      <c r="L123" s="19"/>
      <c r="M123" s="15"/>
      <c r="N123" s="15">
        <f t="shared" si="7"/>
        <v>0</v>
      </c>
      <c r="O123" s="15" t="s">
        <v>51</v>
      </c>
      <c r="P123" s="15">
        <v>2023</v>
      </c>
      <c r="Q123" s="15"/>
      <c r="R123" s="16"/>
      <c r="S123" s="15"/>
      <c r="T123" s="15"/>
      <c r="U123" s="15"/>
      <c r="V123" s="15"/>
      <c r="W123" s="15"/>
    </row>
    <row r="124" spans="1:23" s="17" customFormat="1" ht="28" x14ac:dyDescent="0.35">
      <c r="A124" s="12">
        <v>123</v>
      </c>
      <c r="B124" s="25" t="s">
        <v>1798</v>
      </c>
      <c r="C124" s="69" t="s">
        <v>1799</v>
      </c>
      <c r="D124" s="14" t="str">
        <f t="shared" si="6"/>
        <v>Laki-Laki</v>
      </c>
      <c r="E124" s="24"/>
      <c r="F124" s="72"/>
      <c r="G124" s="25" t="s">
        <v>1484</v>
      </c>
      <c r="H124" s="19" t="s">
        <v>1642</v>
      </c>
      <c r="I124" s="19" t="s">
        <v>623</v>
      </c>
      <c r="J124" s="19" t="s">
        <v>26</v>
      </c>
      <c r="K124" s="19" t="s">
        <v>723</v>
      </c>
      <c r="L124" s="19"/>
      <c r="M124" s="15"/>
      <c r="N124" s="15">
        <f t="shared" si="7"/>
        <v>0</v>
      </c>
      <c r="O124" s="15" t="s">
        <v>51</v>
      </c>
      <c r="P124" s="15">
        <v>2023</v>
      </c>
      <c r="Q124" s="15"/>
      <c r="R124" s="16"/>
      <c r="S124" s="15"/>
      <c r="T124" s="15"/>
      <c r="U124" s="15"/>
      <c r="V124" s="15"/>
      <c r="W124" s="15"/>
    </row>
    <row r="125" spans="1:23" s="17" customFormat="1" ht="28" x14ac:dyDescent="0.35">
      <c r="A125" s="12">
        <v>124</v>
      </c>
      <c r="B125" s="25" t="s">
        <v>1800</v>
      </c>
      <c r="C125" s="72">
        <v>1.97605042000032E+17</v>
      </c>
      <c r="D125" s="14" t="str">
        <f t="shared" si="6"/>
        <v>Perempuan</v>
      </c>
      <c r="E125" s="24" t="s">
        <v>471</v>
      </c>
      <c r="F125" s="72" t="s">
        <v>1791</v>
      </c>
      <c r="G125" s="25" t="s">
        <v>1484</v>
      </c>
      <c r="H125" s="19" t="s">
        <v>1642</v>
      </c>
      <c r="I125" s="19" t="s">
        <v>90</v>
      </c>
      <c r="J125" s="19" t="s">
        <v>26</v>
      </c>
      <c r="K125" s="19" t="s">
        <v>1631</v>
      </c>
      <c r="L125" s="86" t="s">
        <v>28</v>
      </c>
      <c r="M125" s="15">
        <v>2023</v>
      </c>
      <c r="N125" s="15" t="str">
        <f t="shared" si="7"/>
        <v>September</v>
      </c>
      <c r="O125" s="15">
        <v>2025</v>
      </c>
      <c r="P125" s="15">
        <v>2023</v>
      </c>
      <c r="Q125" s="15"/>
      <c r="R125" s="16"/>
      <c r="S125" s="15"/>
      <c r="T125" s="15"/>
      <c r="U125" s="15"/>
      <c r="V125" s="15"/>
      <c r="W125" s="15"/>
    </row>
    <row r="126" spans="1:23" s="17" customFormat="1" ht="28" x14ac:dyDescent="0.35">
      <c r="A126" s="12">
        <v>125</v>
      </c>
      <c r="B126" s="25" t="s">
        <v>1801</v>
      </c>
      <c r="C126" s="69" t="s">
        <v>1802</v>
      </c>
      <c r="D126" s="14" t="str">
        <f t="shared" si="6"/>
        <v>Laki-Laki</v>
      </c>
      <c r="E126" s="24"/>
      <c r="F126" s="72"/>
      <c r="G126" s="25" t="s">
        <v>1484</v>
      </c>
      <c r="H126" s="19" t="s">
        <v>1642</v>
      </c>
      <c r="I126" s="19" t="s">
        <v>623</v>
      </c>
      <c r="J126" s="19" t="s">
        <v>26</v>
      </c>
      <c r="K126" s="19" t="s">
        <v>723</v>
      </c>
      <c r="L126" s="19"/>
      <c r="M126" s="15"/>
      <c r="N126" s="15">
        <f t="shared" si="7"/>
        <v>0</v>
      </c>
      <c r="O126" s="15" t="s">
        <v>51</v>
      </c>
      <c r="P126" s="15">
        <v>2023</v>
      </c>
      <c r="Q126" s="15"/>
      <c r="R126" s="16"/>
      <c r="S126" s="15"/>
      <c r="T126" s="15"/>
      <c r="U126" s="15"/>
      <c r="V126" s="15"/>
      <c r="W126" s="15"/>
    </row>
    <row r="127" spans="1:23" s="17" customFormat="1" ht="28" x14ac:dyDescent="0.35">
      <c r="A127" s="12">
        <v>126</v>
      </c>
      <c r="B127" s="25" t="s">
        <v>1803</v>
      </c>
      <c r="C127" s="69" t="s">
        <v>1804</v>
      </c>
      <c r="D127" s="14" t="str">
        <f t="shared" si="6"/>
        <v>Perempuan</v>
      </c>
      <c r="E127" s="24"/>
      <c r="F127" s="72"/>
      <c r="G127" s="25" t="s">
        <v>1484</v>
      </c>
      <c r="H127" s="19" t="s">
        <v>1642</v>
      </c>
      <c r="I127" s="19" t="s">
        <v>623</v>
      </c>
      <c r="J127" s="19" t="s">
        <v>26</v>
      </c>
      <c r="K127" s="19" t="s">
        <v>723</v>
      </c>
      <c r="L127" s="19"/>
      <c r="M127" s="15"/>
      <c r="N127" s="15">
        <f t="shared" si="7"/>
        <v>0</v>
      </c>
      <c r="O127" s="15" t="s">
        <v>51</v>
      </c>
      <c r="P127" s="15">
        <v>2023</v>
      </c>
      <c r="Q127" s="15"/>
      <c r="R127" s="16"/>
      <c r="S127" s="15"/>
      <c r="T127" s="15"/>
      <c r="U127" s="15"/>
      <c r="V127" s="15"/>
      <c r="W127" s="15"/>
    </row>
    <row r="128" spans="1:23" s="17" customFormat="1" ht="28" x14ac:dyDescent="0.35">
      <c r="A128" s="12">
        <v>127</v>
      </c>
      <c r="B128" s="25" t="s">
        <v>1805</v>
      </c>
      <c r="C128" s="69" t="s">
        <v>1806</v>
      </c>
      <c r="D128" s="14" t="str">
        <f t="shared" si="6"/>
        <v>Laki-Laki</v>
      </c>
      <c r="E128" s="24" t="s">
        <v>109</v>
      </c>
      <c r="F128" s="72" t="s">
        <v>1807</v>
      </c>
      <c r="G128" s="25" t="s">
        <v>1484</v>
      </c>
      <c r="H128" s="19" t="s">
        <v>1642</v>
      </c>
      <c r="I128" s="19" t="s">
        <v>90</v>
      </c>
      <c r="J128" s="19" t="s">
        <v>26</v>
      </c>
      <c r="K128" s="19" t="s">
        <v>1631</v>
      </c>
      <c r="L128" s="86" t="s">
        <v>28</v>
      </c>
      <c r="M128" s="15">
        <v>2023</v>
      </c>
      <c r="N128" s="15" t="str">
        <f t="shared" si="7"/>
        <v>September</v>
      </c>
      <c r="O128" s="15">
        <v>2025</v>
      </c>
      <c r="P128" s="15">
        <v>2023</v>
      </c>
      <c r="Q128" s="15"/>
      <c r="R128" s="16"/>
      <c r="S128" s="15"/>
      <c r="T128" s="15"/>
      <c r="U128" s="15"/>
      <c r="V128" s="15"/>
      <c r="W128" s="15"/>
    </row>
    <row r="129" spans="1:23" s="17" customFormat="1" ht="28" x14ac:dyDescent="0.35">
      <c r="A129" s="12">
        <v>128</v>
      </c>
      <c r="B129" s="25" t="s">
        <v>1808</v>
      </c>
      <c r="C129" s="69" t="s">
        <v>1809</v>
      </c>
      <c r="D129" s="14" t="str">
        <f t="shared" si="6"/>
        <v>Perempuan</v>
      </c>
      <c r="E129" s="24"/>
      <c r="F129" s="72"/>
      <c r="G129" s="25" t="s">
        <v>1484</v>
      </c>
      <c r="H129" s="19" t="s">
        <v>1642</v>
      </c>
      <c r="I129" s="19" t="s">
        <v>623</v>
      </c>
      <c r="J129" s="19" t="s">
        <v>26</v>
      </c>
      <c r="K129" s="19" t="s">
        <v>723</v>
      </c>
      <c r="L129" s="19"/>
      <c r="M129" s="15"/>
      <c r="N129" s="15">
        <f t="shared" si="7"/>
        <v>0</v>
      </c>
      <c r="O129" s="15" t="s">
        <v>51</v>
      </c>
      <c r="P129" s="15">
        <v>2023</v>
      </c>
      <c r="Q129" s="15"/>
      <c r="R129" s="16"/>
      <c r="S129" s="15"/>
      <c r="T129" s="15"/>
      <c r="U129" s="15"/>
      <c r="V129" s="15"/>
      <c r="W129" s="15"/>
    </row>
    <row r="130" spans="1:23" s="17" customFormat="1" ht="28" x14ac:dyDescent="0.35">
      <c r="A130" s="12">
        <v>129</v>
      </c>
      <c r="B130" s="25" t="s">
        <v>1810</v>
      </c>
      <c r="C130" s="69" t="s">
        <v>1811</v>
      </c>
      <c r="D130" s="14" t="str">
        <f t="shared" si="6"/>
        <v>Perempuan</v>
      </c>
      <c r="E130" s="24" t="s">
        <v>471</v>
      </c>
      <c r="F130" s="72" t="s">
        <v>1791</v>
      </c>
      <c r="G130" s="25" t="s">
        <v>1484</v>
      </c>
      <c r="H130" s="19" t="s">
        <v>1642</v>
      </c>
      <c r="I130" s="19" t="s">
        <v>90</v>
      </c>
      <c r="J130" s="19" t="s">
        <v>26</v>
      </c>
      <c r="K130" s="19" t="s">
        <v>1631</v>
      </c>
      <c r="L130" s="86" t="s">
        <v>28</v>
      </c>
      <c r="M130" s="15">
        <v>2023</v>
      </c>
      <c r="N130" s="15" t="str">
        <f t="shared" si="7"/>
        <v>September</v>
      </c>
      <c r="O130" s="15">
        <v>2025</v>
      </c>
      <c r="P130" s="15">
        <v>2023</v>
      </c>
      <c r="Q130" s="15"/>
      <c r="R130" s="16"/>
      <c r="S130" s="15"/>
      <c r="T130" s="15"/>
      <c r="U130" s="15"/>
      <c r="V130" s="15"/>
      <c r="W130" s="15"/>
    </row>
    <row r="131" spans="1:23" s="17" customFormat="1" ht="28" x14ac:dyDescent="0.35">
      <c r="A131" s="12">
        <v>130</v>
      </c>
      <c r="B131" s="25" t="s">
        <v>1812</v>
      </c>
      <c r="C131" s="69" t="s">
        <v>1813</v>
      </c>
      <c r="D131" s="14" t="str">
        <f t="shared" ref="D131:D144" si="8">IF(MID(C131,15,1)="1","Laki-Laki","Perempuan")</f>
        <v>Perempuan</v>
      </c>
      <c r="E131" s="24"/>
      <c r="F131" s="72"/>
      <c r="G131" s="25" t="s">
        <v>1484</v>
      </c>
      <c r="H131" s="19" t="s">
        <v>1642</v>
      </c>
      <c r="I131" s="19" t="s">
        <v>623</v>
      </c>
      <c r="J131" s="19" t="s">
        <v>26</v>
      </c>
      <c r="K131" s="19" t="s">
        <v>723</v>
      </c>
      <c r="L131" s="19"/>
      <c r="M131" s="15"/>
      <c r="N131" s="15">
        <f t="shared" si="7"/>
        <v>0</v>
      </c>
      <c r="O131" s="15" t="s">
        <v>51</v>
      </c>
      <c r="P131" s="15">
        <v>2023</v>
      </c>
      <c r="Q131" s="15"/>
      <c r="R131" s="16"/>
      <c r="S131" s="15"/>
      <c r="T131" s="15"/>
      <c r="U131" s="15"/>
      <c r="V131" s="15"/>
      <c r="W131" s="15"/>
    </row>
    <row r="132" spans="1:23" s="17" customFormat="1" ht="28" x14ac:dyDescent="0.35">
      <c r="A132" s="12">
        <v>131</v>
      </c>
      <c r="B132" s="25" t="s">
        <v>1814</v>
      </c>
      <c r="C132" s="69" t="s">
        <v>1815</v>
      </c>
      <c r="D132" s="14" t="str">
        <f t="shared" si="8"/>
        <v>Perempuan</v>
      </c>
      <c r="E132" s="24"/>
      <c r="F132" s="72"/>
      <c r="G132" s="25" t="s">
        <v>1484</v>
      </c>
      <c r="H132" s="19" t="s">
        <v>1642</v>
      </c>
      <c r="I132" s="19" t="s">
        <v>623</v>
      </c>
      <c r="J132" s="19" t="s">
        <v>26</v>
      </c>
      <c r="K132" s="19" t="s">
        <v>723</v>
      </c>
      <c r="L132" s="19"/>
      <c r="M132" s="15"/>
      <c r="N132" s="15">
        <f t="shared" si="7"/>
        <v>0</v>
      </c>
      <c r="O132" s="15" t="s">
        <v>51</v>
      </c>
      <c r="P132" s="15">
        <v>2023</v>
      </c>
      <c r="Q132" s="15"/>
      <c r="R132" s="16"/>
      <c r="S132" s="15"/>
      <c r="T132" s="15"/>
      <c r="U132" s="15"/>
      <c r="V132" s="15"/>
      <c r="W132" s="15"/>
    </row>
    <row r="133" spans="1:23" s="17" customFormat="1" ht="28" x14ac:dyDescent="0.35">
      <c r="A133" s="12">
        <v>132</v>
      </c>
      <c r="B133" s="25" t="s">
        <v>1816</v>
      </c>
      <c r="C133" s="69" t="s">
        <v>1817</v>
      </c>
      <c r="D133" s="14" t="str">
        <f t="shared" si="8"/>
        <v>Laki-Laki</v>
      </c>
      <c r="E133" s="24"/>
      <c r="F133" s="72"/>
      <c r="G133" s="25" t="s">
        <v>1484</v>
      </c>
      <c r="H133" s="19" t="s">
        <v>1642</v>
      </c>
      <c r="I133" s="19" t="s">
        <v>623</v>
      </c>
      <c r="J133" s="19" t="s">
        <v>26</v>
      </c>
      <c r="K133" s="19" t="s">
        <v>723</v>
      </c>
      <c r="L133" s="19"/>
      <c r="M133" s="15"/>
      <c r="N133" s="15">
        <f t="shared" si="7"/>
        <v>0</v>
      </c>
      <c r="O133" s="15" t="s">
        <v>51</v>
      </c>
      <c r="P133" s="15">
        <v>2023</v>
      </c>
      <c r="Q133" s="15"/>
      <c r="R133" s="16"/>
      <c r="S133" s="15"/>
      <c r="T133" s="15"/>
      <c r="U133" s="15"/>
      <c r="V133" s="15"/>
      <c r="W133" s="15"/>
    </row>
    <row r="134" spans="1:23" s="17" customFormat="1" ht="28" x14ac:dyDescent="0.35">
      <c r="A134" s="12">
        <v>133</v>
      </c>
      <c r="B134" s="25" t="s">
        <v>1818</v>
      </c>
      <c r="C134" s="69" t="s">
        <v>1819</v>
      </c>
      <c r="D134" s="14" t="str">
        <f t="shared" si="8"/>
        <v>Laki-Laki</v>
      </c>
      <c r="E134" s="24"/>
      <c r="F134" s="72"/>
      <c r="G134" s="25" t="s">
        <v>1484</v>
      </c>
      <c r="H134" s="19" t="s">
        <v>1642</v>
      </c>
      <c r="I134" s="19" t="s">
        <v>623</v>
      </c>
      <c r="J134" s="19" t="s">
        <v>26</v>
      </c>
      <c r="K134" s="19" t="s">
        <v>723</v>
      </c>
      <c r="L134" s="19"/>
      <c r="M134" s="15"/>
      <c r="N134" s="15">
        <f t="shared" si="7"/>
        <v>0</v>
      </c>
      <c r="O134" s="15" t="s">
        <v>51</v>
      </c>
      <c r="P134" s="15">
        <v>2023</v>
      </c>
      <c r="Q134" s="15"/>
      <c r="R134" s="16"/>
      <c r="S134" s="15"/>
      <c r="T134" s="15"/>
      <c r="U134" s="15"/>
      <c r="V134" s="15"/>
      <c r="W134" s="15"/>
    </row>
    <row r="135" spans="1:23" s="17" customFormat="1" ht="28" x14ac:dyDescent="0.35">
      <c r="A135" s="12">
        <v>134</v>
      </c>
      <c r="B135" s="25" t="s">
        <v>1820</v>
      </c>
      <c r="C135" s="69" t="s">
        <v>1821</v>
      </c>
      <c r="D135" s="14" t="str">
        <f t="shared" si="8"/>
        <v>Laki-Laki</v>
      </c>
      <c r="E135" s="24"/>
      <c r="F135" s="72" t="s">
        <v>1807</v>
      </c>
      <c r="G135" s="25" t="s">
        <v>1484</v>
      </c>
      <c r="H135" s="19" t="s">
        <v>1642</v>
      </c>
      <c r="I135" s="19" t="s">
        <v>623</v>
      </c>
      <c r="J135" s="19" t="s">
        <v>26</v>
      </c>
      <c r="K135" s="19" t="s">
        <v>723</v>
      </c>
      <c r="L135" s="19"/>
      <c r="M135" s="15"/>
      <c r="N135" s="15">
        <f t="shared" si="7"/>
        <v>0</v>
      </c>
      <c r="O135" s="15" t="s">
        <v>51</v>
      </c>
      <c r="P135" s="15">
        <v>2023</v>
      </c>
      <c r="Q135" s="15"/>
      <c r="R135" s="16"/>
      <c r="S135" s="15"/>
      <c r="T135" s="15"/>
      <c r="U135" s="15"/>
      <c r="V135" s="15"/>
      <c r="W135" s="15"/>
    </row>
    <row r="136" spans="1:23" s="17" customFormat="1" ht="28" x14ac:dyDescent="0.35">
      <c r="A136" s="12">
        <v>135</v>
      </c>
      <c r="B136" s="25" t="s">
        <v>1822</v>
      </c>
      <c r="C136" s="69" t="s">
        <v>1823</v>
      </c>
      <c r="D136" s="14" t="str">
        <f t="shared" si="8"/>
        <v>Laki-Laki</v>
      </c>
      <c r="E136" s="24"/>
      <c r="F136" s="72"/>
      <c r="G136" s="25" t="s">
        <v>1484</v>
      </c>
      <c r="H136" s="19" t="s">
        <v>1642</v>
      </c>
      <c r="I136" s="19" t="s">
        <v>623</v>
      </c>
      <c r="J136" s="19" t="s">
        <v>26</v>
      </c>
      <c r="K136" s="19" t="s">
        <v>723</v>
      </c>
      <c r="L136" s="19"/>
      <c r="M136" s="15"/>
      <c r="N136" s="15">
        <f t="shared" si="7"/>
        <v>0</v>
      </c>
      <c r="O136" s="15" t="s">
        <v>51</v>
      </c>
      <c r="P136" s="15">
        <v>2023</v>
      </c>
      <c r="Q136" s="15"/>
      <c r="R136" s="16"/>
      <c r="S136" s="15"/>
      <c r="T136" s="15"/>
      <c r="U136" s="15"/>
      <c r="V136" s="15"/>
      <c r="W136" s="15"/>
    </row>
    <row r="137" spans="1:23" s="17" customFormat="1" ht="14.5" x14ac:dyDescent="0.35">
      <c r="A137" s="12">
        <v>136</v>
      </c>
      <c r="B137" s="25" t="s">
        <v>1824</v>
      </c>
      <c r="C137" s="69" t="s">
        <v>1825</v>
      </c>
      <c r="D137" s="14" t="str">
        <f t="shared" si="8"/>
        <v>Perempuan</v>
      </c>
      <c r="E137" s="24" t="s">
        <v>104</v>
      </c>
      <c r="F137" s="72" t="s">
        <v>1657</v>
      </c>
      <c r="G137" s="25" t="s">
        <v>1484</v>
      </c>
      <c r="H137" s="19" t="s">
        <v>1761</v>
      </c>
      <c r="I137" s="19" t="s">
        <v>90</v>
      </c>
      <c r="J137" s="19" t="s">
        <v>45</v>
      </c>
      <c r="K137" s="19" t="s">
        <v>905</v>
      </c>
      <c r="L137" s="86" t="s">
        <v>418</v>
      </c>
      <c r="M137" s="15">
        <v>2023</v>
      </c>
      <c r="N137" s="15" t="str">
        <f>L137</f>
        <v xml:space="preserve"> Agustus </v>
      </c>
      <c r="O137" s="15">
        <v>2027</v>
      </c>
      <c r="P137" s="15">
        <v>2023</v>
      </c>
      <c r="Q137" s="15"/>
      <c r="R137" s="16"/>
      <c r="S137" s="15"/>
      <c r="T137" s="15"/>
      <c r="U137" s="15"/>
      <c r="V137" s="15"/>
      <c r="W137" s="15"/>
    </row>
    <row r="138" spans="1:23" s="17" customFormat="1" ht="14.5" x14ac:dyDescent="0.35">
      <c r="A138" s="12">
        <v>137</v>
      </c>
      <c r="B138" s="25" t="s">
        <v>1826</v>
      </c>
      <c r="C138" s="69" t="s">
        <v>1827</v>
      </c>
      <c r="D138" s="14" t="str">
        <f t="shared" si="8"/>
        <v>Perempuan</v>
      </c>
      <c r="E138" s="24" t="s">
        <v>104</v>
      </c>
      <c r="F138" s="72" t="s">
        <v>1657</v>
      </c>
      <c r="G138" s="25" t="s">
        <v>1484</v>
      </c>
      <c r="H138" s="19" t="s">
        <v>1761</v>
      </c>
      <c r="I138" s="19" t="s">
        <v>90</v>
      </c>
      <c r="J138" s="19" t="s">
        <v>45</v>
      </c>
      <c r="K138" s="19" t="s">
        <v>905</v>
      </c>
      <c r="L138" s="86" t="s">
        <v>28</v>
      </c>
      <c r="M138" s="15">
        <v>2023</v>
      </c>
      <c r="N138" s="15" t="str">
        <f t="shared" ref="N138:N201" si="9">L138</f>
        <v>September</v>
      </c>
      <c r="O138" s="15">
        <v>2027</v>
      </c>
      <c r="P138" s="15">
        <v>2023</v>
      </c>
      <c r="Q138" s="15"/>
      <c r="R138" s="16"/>
      <c r="S138" s="15"/>
      <c r="T138" s="15"/>
      <c r="U138" s="15"/>
      <c r="V138" s="15"/>
      <c r="W138" s="15"/>
    </row>
    <row r="139" spans="1:23" s="17" customFormat="1" ht="14.5" x14ac:dyDescent="0.35">
      <c r="A139" s="12">
        <v>138</v>
      </c>
      <c r="B139" s="25" t="s">
        <v>1828</v>
      </c>
      <c r="C139" s="69" t="s">
        <v>1829</v>
      </c>
      <c r="D139" s="14" t="str">
        <f t="shared" si="8"/>
        <v>Perempuan</v>
      </c>
      <c r="E139" s="24" t="s">
        <v>104</v>
      </c>
      <c r="F139" s="72" t="s">
        <v>1657</v>
      </c>
      <c r="G139" s="25" t="s">
        <v>1484</v>
      </c>
      <c r="H139" s="19" t="s">
        <v>1761</v>
      </c>
      <c r="I139" s="19" t="s">
        <v>90</v>
      </c>
      <c r="J139" s="19" t="s">
        <v>45</v>
      </c>
      <c r="K139" s="19" t="s">
        <v>905</v>
      </c>
      <c r="L139" s="86" t="s">
        <v>28</v>
      </c>
      <c r="M139" s="15">
        <v>2023</v>
      </c>
      <c r="N139" s="15" t="str">
        <f t="shared" si="9"/>
        <v>September</v>
      </c>
      <c r="O139" s="15">
        <v>2027</v>
      </c>
      <c r="P139" s="15">
        <v>2023</v>
      </c>
      <c r="Q139" s="15"/>
      <c r="R139" s="16"/>
      <c r="S139" s="15"/>
      <c r="T139" s="15"/>
      <c r="U139" s="15"/>
      <c r="V139" s="15"/>
      <c r="W139" s="15"/>
    </row>
    <row r="140" spans="1:23" s="17" customFormat="1" ht="14.5" x14ac:dyDescent="0.35">
      <c r="A140" s="12">
        <v>139</v>
      </c>
      <c r="B140" s="25" t="s">
        <v>1830</v>
      </c>
      <c r="C140" s="69" t="s">
        <v>1831</v>
      </c>
      <c r="D140" s="14" t="str">
        <f t="shared" si="8"/>
        <v>Laki-Laki</v>
      </c>
      <c r="E140" s="24" t="s">
        <v>116</v>
      </c>
      <c r="F140" s="72" t="s">
        <v>1657</v>
      </c>
      <c r="G140" s="25" t="s">
        <v>1484</v>
      </c>
      <c r="H140" s="19" t="s">
        <v>1761</v>
      </c>
      <c r="I140" s="19" t="s">
        <v>90</v>
      </c>
      <c r="J140" s="19" t="s">
        <v>45</v>
      </c>
      <c r="K140" s="19" t="s">
        <v>905</v>
      </c>
      <c r="L140" s="86" t="s">
        <v>28</v>
      </c>
      <c r="M140" s="15">
        <v>2023</v>
      </c>
      <c r="N140" s="15" t="str">
        <f t="shared" si="9"/>
        <v>September</v>
      </c>
      <c r="O140" s="15">
        <v>2027</v>
      </c>
      <c r="P140" s="15">
        <v>2023</v>
      </c>
      <c r="Q140" s="15"/>
      <c r="R140" s="16"/>
      <c r="S140" s="15"/>
      <c r="T140" s="15"/>
      <c r="U140" s="15"/>
      <c r="V140" s="15"/>
      <c r="W140" s="15"/>
    </row>
    <row r="141" spans="1:23" s="17" customFormat="1" ht="14.5" x14ac:dyDescent="0.35">
      <c r="A141" s="12">
        <v>140</v>
      </c>
      <c r="B141" s="25" t="s">
        <v>1832</v>
      </c>
      <c r="C141" s="69" t="s">
        <v>1833</v>
      </c>
      <c r="D141" s="14" t="str">
        <f t="shared" si="8"/>
        <v>Perempuan</v>
      </c>
      <c r="E141" s="24" t="s">
        <v>382</v>
      </c>
      <c r="F141" s="72" t="s">
        <v>1834</v>
      </c>
      <c r="G141" s="25" t="s">
        <v>1484</v>
      </c>
      <c r="H141" s="19" t="s">
        <v>1761</v>
      </c>
      <c r="I141" s="19" t="s">
        <v>90</v>
      </c>
      <c r="J141" s="19" t="s">
        <v>45</v>
      </c>
      <c r="K141" s="19" t="s">
        <v>905</v>
      </c>
      <c r="L141" s="86" t="s">
        <v>28</v>
      </c>
      <c r="M141" s="15">
        <v>2023</v>
      </c>
      <c r="N141" s="15" t="str">
        <f t="shared" si="9"/>
        <v>September</v>
      </c>
      <c r="O141" s="15">
        <v>2027</v>
      </c>
      <c r="P141" s="15">
        <v>2023</v>
      </c>
      <c r="Q141" s="15"/>
      <c r="R141" s="16"/>
      <c r="S141" s="15"/>
      <c r="T141" s="15"/>
      <c r="U141" s="15"/>
      <c r="V141" s="15"/>
      <c r="W141" s="15"/>
    </row>
    <row r="142" spans="1:23" s="17" customFormat="1" ht="28" x14ac:dyDescent="0.35">
      <c r="A142" s="12">
        <v>141</v>
      </c>
      <c r="B142" s="25" t="s">
        <v>1835</v>
      </c>
      <c r="C142" s="69" t="s">
        <v>1836</v>
      </c>
      <c r="D142" s="14" t="str">
        <f t="shared" si="8"/>
        <v>Perempuan</v>
      </c>
      <c r="E142" s="24" t="s">
        <v>109</v>
      </c>
      <c r="F142" s="72" t="s">
        <v>1837</v>
      </c>
      <c r="G142" s="25" t="s">
        <v>1484</v>
      </c>
      <c r="H142" s="19" t="s">
        <v>1838</v>
      </c>
      <c r="I142" s="19" t="s">
        <v>241</v>
      </c>
      <c r="J142" s="19" t="s">
        <v>242</v>
      </c>
      <c r="K142" s="19" t="s">
        <v>1323</v>
      </c>
      <c r="L142" s="86" t="s">
        <v>182</v>
      </c>
      <c r="M142" s="15">
        <v>2023</v>
      </c>
      <c r="N142" s="15" t="str">
        <f t="shared" si="9"/>
        <v xml:space="preserve">Juli </v>
      </c>
      <c r="O142" s="15">
        <v>2026</v>
      </c>
      <c r="P142" s="15">
        <v>2023</v>
      </c>
      <c r="Q142" s="15"/>
      <c r="R142" s="16"/>
      <c r="S142" s="15"/>
      <c r="T142" s="15"/>
      <c r="U142" s="15"/>
      <c r="V142" s="15"/>
      <c r="W142" s="15"/>
    </row>
    <row r="143" spans="1:23" s="17" customFormat="1" ht="28" x14ac:dyDescent="0.35">
      <c r="A143" s="12">
        <v>142</v>
      </c>
      <c r="B143" s="25" t="s">
        <v>1839</v>
      </c>
      <c r="C143" s="69" t="s">
        <v>1840</v>
      </c>
      <c r="D143" s="14" t="str">
        <f t="shared" si="8"/>
        <v>Laki-Laki</v>
      </c>
      <c r="E143" s="24" t="s">
        <v>109</v>
      </c>
      <c r="F143" s="72" t="s">
        <v>1841</v>
      </c>
      <c r="G143" s="25" t="s">
        <v>1484</v>
      </c>
      <c r="H143" s="19" t="s">
        <v>1539</v>
      </c>
      <c r="I143" s="19" t="s">
        <v>1842</v>
      </c>
      <c r="J143" s="19" t="s">
        <v>26</v>
      </c>
      <c r="K143" s="19" t="s">
        <v>1843</v>
      </c>
      <c r="L143" s="86" t="s">
        <v>60</v>
      </c>
      <c r="M143" s="15">
        <v>2021</v>
      </c>
      <c r="N143" s="15" t="str">
        <f t="shared" si="9"/>
        <v>Agustus</v>
      </c>
      <c r="O143" s="15">
        <v>2023</v>
      </c>
      <c r="P143" s="15">
        <v>2023</v>
      </c>
      <c r="Q143" s="15"/>
      <c r="R143" s="16" t="s">
        <v>51</v>
      </c>
      <c r="S143" s="15"/>
      <c r="T143" s="15"/>
      <c r="U143" s="15"/>
      <c r="V143" s="15"/>
      <c r="W143" s="15"/>
    </row>
    <row r="144" spans="1:23" s="17" customFormat="1" ht="14.5" x14ac:dyDescent="0.35">
      <c r="A144" s="12">
        <v>143</v>
      </c>
      <c r="B144" s="76" t="s">
        <v>1844</v>
      </c>
      <c r="C144" s="69" t="s">
        <v>1845</v>
      </c>
      <c r="D144" s="14" t="str">
        <f t="shared" si="8"/>
        <v>Perempuan</v>
      </c>
      <c r="E144" s="24" t="s">
        <v>104</v>
      </c>
      <c r="F144" s="72" t="s">
        <v>1657</v>
      </c>
      <c r="G144" s="25" t="s">
        <v>1484</v>
      </c>
      <c r="H144" s="19" t="s">
        <v>1846</v>
      </c>
      <c r="I144" s="19" t="s">
        <v>90</v>
      </c>
      <c r="J144" s="19" t="s">
        <v>45</v>
      </c>
      <c r="K144" s="19" t="s">
        <v>905</v>
      </c>
      <c r="L144" s="86" t="s">
        <v>123</v>
      </c>
      <c r="M144" s="15">
        <v>2022</v>
      </c>
      <c r="N144" s="15" t="str">
        <f t="shared" si="9"/>
        <v xml:space="preserve">Maret </v>
      </c>
      <c r="O144" s="15">
        <v>2026</v>
      </c>
      <c r="P144" s="15">
        <v>2023</v>
      </c>
      <c r="Q144" s="15"/>
      <c r="R144" s="16"/>
      <c r="S144" s="15"/>
      <c r="T144" s="15"/>
      <c r="U144" s="15"/>
      <c r="V144" s="15"/>
      <c r="W144" s="15"/>
    </row>
    <row r="145" spans="1:23" s="17" customFormat="1" ht="14.5" x14ac:dyDescent="0.35">
      <c r="A145" s="12">
        <v>144</v>
      </c>
      <c r="B145" s="25" t="s">
        <v>1847</v>
      </c>
      <c r="C145" s="72" t="s">
        <v>1848</v>
      </c>
      <c r="D145" s="14" t="str">
        <f>IF(MID(C145,17,1)="1","Laki-Laki","Perempuan")</f>
        <v>Perempuan</v>
      </c>
      <c r="E145" s="24" t="s">
        <v>126</v>
      </c>
      <c r="F145" s="72" t="s">
        <v>1657</v>
      </c>
      <c r="G145" s="25" t="s">
        <v>1484</v>
      </c>
      <c r="H145" s="19" t="s">
        <v>1846</v>
      </c>
      <c r="I145" s="19" t="s">
        <v>90</v>
      </c>
      <c r="J145" s="19" t="s">
        <v>45</v>
      </c>
      <c r="K145" s="19" t="s">
        <v>905</v>
      </c>
      <c r="L145" s="86" t="s">
        <v>123</v>
      </c>
      <c r="M145" s="15">
        <v>2022</v>
      </c>
      <c r="N145" s="15" t="str">
        <f t="shared" si="9"/>
        <v xml:space="preserve">Maret </v>
      </c>
      <c r="O145" s="15">
        <v>2026</v>
      </c>
      <c r="P145" s="15">
        <v>2023</v>
      </c>
      <c r="Q145" s="15"/>
      <c r="R145" s="16"/>
      <c r="S145" s="15"/>
      <c r="T145" s="15"/>
      <c r="U145" s="15"/>
      <c r="V145" s="15"/>
      <c r="W145" s="15"/>
    </row>
    <row r="146" spans="1:23" s="17" customFormat="1" ht="14.5" x14ac:dyDescent="0.35">
      <c r="A146" s="12">
        <v>145</v>
      </c>
      <c r="B146" s="25" t="s">
        <v>1849</v>
      </c>
      <c r="C146" s="72" t="s">
        <v>1850</v>
      </c>
      <c r="D146" s="14" t="str">
        <f t="shared" ref="D146:D209" si="10">IF(MID(C146,17,1)="1","Laki-Laki","Perempuan")</f>
        <v>Perempuan</v>
      </c>
      <c r="E146" s="24" t="s">
        <v>98</v>
      </c>
      <c r="F146" s="72" t="s">
        <v>1851</v>
      </c>
      <c r="G146" s="25" t="s">
        <v>1484</v>
      </c>
      <c r="H146" s="19" t="s">
        <v>1846</v>
      </c>
      <c r="I146" s="19" t="s">
        <v>90</v>
      </c>
      <c r="J146" s="19" t="s">
        <v>45</v>
      </c>
      <c r="K146" s="19" t="s">
        <v>905</v>
      </c>
      <c r="L146" s="86" t="s">
        <v>123</v>
      </c>
      <c r="M146" s="15">
        <v>2022</v>
      </c>
      <c r="N146" s="15" t="str">
        <f t="shared" si="9"/>
        <v xml:space="preserve">Maret </v>
      </c>
      <c r="O146" s="15">
        <v>2026</v>
      </c>
      <c r="P146" s="15">
        <v>2023</v>
      </c>
      <c r="Q146" s="15"/>
      <c r="R146" s="16"/>
      <c r="S146" s="15"/>
      <c r="T146" s="15"/>
      <c r="U146" s="15"/>
      <c r="V146" s="15"/>
      <c r="W146" s="15"/>
    </row>
    <row r="147" spans="1:23" s="17" customFormat="1" ht="14.5" x14ac:dyDescent="0.35">
      <c r="A147" s="12">
        <v>146</v>
      </c>
      <c r="B147" s="25" t="s">
        <v>1852</v>
      </c>
      <c r="C147" s="72" t="s">
        <v>1853</v>
      </c>
      <c r="D147" s="14" t="str">
        <f t="shared" si="10"/>
        <v>Perempuan</v>
      </c>
      <c r="E147" s="24" t="s">
        <v>116</v>
      </c>
      <c r="F147" s="72" t="s">
        <v>1851</v>
      </c>
      <c r="G147" s="25" t="s">
        <v>1484</v>
      </c>
      <c r="H147" s="19" t="s">
        <v>1846</v>
      </c>
      <c r="I147" s="19" t="s">
        <v>90</v>
      </c>
      <c r="J147" s="19" t="s">
        <v>45</v>
      </c>
      <c r="K147" s="19" t="s">
        <v>905</v>
      </c>
      <c r="L147" s="86" t="s">
        <v>123</v>
      </c>
      <c r="M147" s="15">
        <v>2022</v>
      </c>
      <c r="N147" s="15" t="str">
        <f t="shared" si="9"/>
        <v xml:space="preserve">Maret </v>
      </c>
      <c r="O147" s="15">
        <v>2026</v>
      </c>
      <c r="P147" s="15">
        <v>2023</v>
      </c>
      <c r="Q147" s="15"/>
      <c r="R147" s="16"/>
      <c r="S147" s="15"/>
      <c r="T147" s="15"/>
      <c r="U147" s="15"/>
      <c r="V147" s="15"/>
      <c r="W147" s="15"/>
    </row>
    <row r="148" spans="1:23" s="17" customFormat="1" ht="14.5" x14ac:dyDescent="0.35">
      <c r="A148" s="12">
        <v>147</v>
      </c>
      <c r="B148" s="25" t="s">
        <v>1854</v>
      </c>
      <c r="C148" s="72" t="s">
        <v>1855</v>
      </c>
      <c r="D148" s="14" t="str">
        <f t="shared" si="10"/>
        <v>Perempuan</v>
      </c>
      <c r="E148" s="24" t="s">
        <v>382</v>
      </c>
      <c r="F148" s="72" t="s">
        <v>1851</v>
      </c>
      <c r="G148" s="25" t="s">
        <v>1484</v>
      </c>
      <c r="H148" s="19" t="s">
        <v>1846</v>
      </c>
      <c r="I148" s="19" t="s">
        <v>90</v>
      </c>
      <c r="J148" s="19" t="s">
        <v>45</v>
      </c>
      <c r="K148" s="19" t="s">
        <v>905</v>
      </c>
      <c r="L148" s="86" t="s">
        <v>123</v>
      </c>
      <c r="M148" s="15">
        <v>2022</v>
      </c>
      <c r="N148" s="15" t="str">
        <f t="shared" si="9"/>
        <v xml:space="preserve">Maret </v>
      </c>
      <c r="O148" s="15">
        <v>2026</v>
      </c>
      <c r="P148" s="15">
        <v>2023</v>
      </c>
      <c r="Q148" s="15"/>
      <c r="R148" s="16"/>
      <c r="S148" s="15"/>
      <c r="T148" s="15"/>
      <c r="U148" s="15"/>
      <c r="V148" s="15"/>
      <c r="W148" s="15"/>
    </row>
    <row r="149" spans="1:23" s="17" customFormat="1" ht="14.5" x14ac:dyDescent="0.35">
      <c r="A149" s="12">
        <v>148</v>
      </c>
      <c r="B149" s="25" t="s">
        <v>1856</v>
      </c>
      <c r="C149" s="72" t="s">
        <v>1857</v>
      </c>
      <c r="D149" s="14" t="str">
        <f t="shared" si="10"/>
        <v>Perempuan</v>
      </c>
      <c r="E149" s="24" t="s">
        <v>98</v>
      </c>
      <c r="F149" s="72" t="s">
        <v>1851</v>
      </c>
      <c r="G149" s="25" t="s">
        <v>1484</v>
      </c>
      <c r="H149" s="19" t="s">
        <v>1846</v>
      </c>
      <c r="I149" s="19" t="s">
        <v>90</v>
      </c>
      <c r="J149" s="19" t="s">
        <v>45</v>
      </c>
      <c r="K149" s="19" t="s">
        <v>905</v>
      </c>
      <c r="L149" s="86" t="s">
        <v>123</v>
      </c>
      <c r="M149" s="15">
        <v>2022</v>
      </c>
      <c r="N149" s="15" t="str">
        <f t="shared" si="9"/>
        <v xml:space="preserve">Maret </v>
      </c>
      <c r="O149" s="15">
        <v>2026</v>
      </c>
      <c r="P149" s="15">
        <v>2023</v>
      </c>
      <c r="Q149" s="15"/>
      <c r="R149" s="16"/>
      <c r="S149" s="15"/>
      <c r="T149" s="15"/>
      <c r="U149" s="15"/>
      <c r="V149" s="15"/>
      <c r="W149" s="15"/>
    </row>
    <row r="150" spans="1:23" s="17" customFormat="1" ht="14.5" x14ac:dyDescent="0.35">
      <c r="A150" s="12">
        <v>149</v>
      </c>
      <c r="B150" s="25" t="s">
        <v>1858</v>
      </c>
      <c r="C150" s="72" t="s">
        <v>1859</v>
      </c>
      <c r="D150" s="14" t="str">
        <f t="shared" si="10"/>
        <v>Laki-Laki</v>
      </c>
      <c r="E150" s="24" t="s">
        <v>98</v>
      </c>
      <c r="F150" s="72" t="s">
        <v>1851</v>
      </c>
      <c r="G150" s="25" t="s">
        <v>1484</v>
      </c>
      <c r="H150" s="19" t="s">
        <v>1846</v>
      </c>
      <c r="I150" s="19" t="s">
        <v>90</v>
      </c>
      <c r="J150" s="19" t="s">
        <v>45</v>
      </c>
      <c r="K150" s="19" t="s">
        <v>905</v>
      </c>
      <c r="L150" s="86" t="s">
        <v>123</v>
      </c>
      <c r="M150" s="15">
        <v>2022</v>
      </c>
      <c r="N150" s="15" t="str">
        <f t="shared" si="9"/>
        <v xml:space="preserve">Maret </v>
      </c>
      <c r="O150" s="15">
        <v>2026</v>
      </c>
      <c r="P150" s="15">
        <v>2023</v>
      </c>
      <c r="Q150" s="15"/>
      <c r="R150" s="16"/>
      <c r="S150" s="15"/>
      <c r="T150" s="15"/>
      <c r="U150" s="15"/>
      <c r="V150" s="15"/>
      <c r="W150" s="15"/>
    </row>
    <row r="151" spans="1:23" s="17" customFormat="1" ht="14.5" x14ac:dyDescent="0.35">
      <c r="A151" s="12">
        <v>150</v>
      </c>
      <c r="B151" s="25" t="s">
        <v>1860</v>
      </c>
      <c r="C151" s="72" t="s">
        <v>1861</v>
      </c>
      <c r="D151" s="14" t="str">
        <f t="shared" si="10"/>
        <v>Laki-Laki</v>
      </c>
      <c r="E151" s="24" t="s">
        <v>104</v>
      </c>
      <c r="F151" s="72" t="s">
        <v>1657</v>
      </c>
      <c r="G151" s="25" t="s">
        <v>1484</v>
      </c>
      <c r="H151" s="19" t="s">
        <v>1846</v>
      </c>
      <c r="I151" s="19" t="s">
        <v>90</v>
      </c>
      <c r="J151" s="19" t="s">
        <v>45</v>
      </c>
      <c r="K151" s="19" t="s">
        <v>905</v>
      </c>
      <c r="L151" s="86" t="s">
        <v>28</v>
      </c>
      <c r="M151" s="15">
        <v>2021</v>
      </c>
      <c r="N151" s="15" t="str">
        <f t="shared" si="9"/>
        <v>September</v>
      </c>
      <c r="O151" s="15">
        <v>2026</v>
      </c>
      <c r="P151" s="15">
        <v>2023</v>
      </c>
      <c r="Q151" s="15"/>
      <c r="R151" s="16"/>
      <c r="S151" s="15"/>
      <c r="T151" s="15"/>
      <c r="U151" s="15"/>
      <c r="V151" s="15"/>
      <c r="W151" s="15"/>
    </row>
    <row r="152" spans="1:23" s="17" customFormat="1" ht="14.5" x14ac:dyDescent="0.35">
      <c r="A152" s="12">
        <v>151</v>
      </c>
      <c r="B152" s="25" t="s">
        <v>1862</v>
      </c>
      <c r="C152" s="72" t="s">
        <v>1863</v>
      </c>
      <c r="D152" s="14" t="str">
        <f t="shared" si="10"/>
        <v>Laki-Laki</v>
      </c>
      <c r="E152" s="24" t="s">
        <v>116</v>
      </c>
      <c r="F152" s="72" t="s">
        <v>1657</v>
      </c>
      <c r="G152" s="25" t="s">
        <v>1484</v>
      </c>
      <c r="H152" s="19" t="s">
        <v>1846</v>
      </c>
      <c r="I152" s="19" t="s">
        <v>90</v>
      </c>
      <c r="J152" s="19" t="s">
        <v>45</v>
      </c>
      <c r="K152" s="19" t="s">
        <v>905</v>
      </c>
      <c r="L152" s="86" t="s">
        <v>28</v>
      </c>
      <c r="M152" s="15">
        <v>2021</v>
      </c>
      <c r="N152" s="15" t="str">
        <f t="shared" si="9"/>
        <v>September</v>
      </c>
      <c r="O152" s="15">
        <v>2026</v>
      </c>
      <c r="P152" s="15">
        <v>2023</v>
      </c>
      <c r="Q152" s="15"/>
      <c r="R152" s="16"/>
      <c r="S152" s="15"/>
      <c r="T152" s="15"/>
      <c r="U152" s="15"/>
      <c r="V152" s="15"/>
      <c r="W152" s="15"/>
    </row>
    <row r="153" spans="1:23" s="17" customFormat="1" ht="14.5" x14ac:dyDescent="0.35">
      <c r="A153" s="12">
        <v>152</v>
      </c>
      <c r="B153" s="25" t="s">
        <v>1864</v>
      </c>
      <c r="C153" s="72" t="s">
        <v>1865</v>
      </c>
      <c r="D153" s="14" t="str">
        <f t="shared" si="10"/>
        <v>Laki-Laki</v>
      </c>
      <c r="E153" s="24" t="s">
        <v>116</v>
      </c>
      <c r="F153" s="72" t="s">
        <v>99</v>
      </c>
      <c r="G153" s="25" t="s">
        <v>1484</v>
      </c>
      <c r="H153" s="19" t="s">
        <v>1866</v>
      </c>
      <c r="I153" s="19" t="s">
        <v>90</v>
      </c>
      <c r="J153" s="19" t="s">
        <v>45</v>
      </c>
      <c r="K153" s="19" t="s">
        <v>905</v>
      </c>
      <c r="L153" s="86" t="s">
        <v>28</v>
      </c>
      <c r="M153" s="15">
        <v>2022</v>
      </c>
      <c r="N153" s="15" t="str">
        <f t="shared" si="9"/>
        <v>September</v>
      </c>
      <c r="O153" s="15">
        <v>2026</v>
      </c>
      <c r="P153" s="15">
        <v>2023</v>
      </c>
      <c r="Q153" s="15"/>
      <c r="R153" s="16"/>
      <c r="S153" s="15"/>
      <c r="T153" s="15"/>
      <c r="U153" s="15"/>
      <c r="V153" s="15"/>
      <c r="W153" s="15"/>
    </row>
    <row r="154" spans="1:23" s="17" customFormat="1" ht="14.5" x14ac:dyDescent="0.35">
      <c r="A154" s="12">
        <v>153</v>
      </c>
      <c r="B154" s="25" t="s">
        <v>1867</v>
      </c>
      <c r="C154" s="72" t="s">
        <v>1868</v>
      </c>
      <c r="D154" s="14" t="str">
        <f t="shared" si="10"/>
        <v>Laki-Laki</v>
      </c>
      <c r="E154" s="24" t="s">
        <v>116</v>
      </c>
      <c r="F154" s="72" t="s">
        <v>1869</v>
      </c>
      <c r="G154" s="25" t="s">
        <v>1484</v>
      </c>
      <c r="H154" s="19" t="s">
        <v>1870</v>
      </c>
      <c r="I154" s="19" t="s">
        <v>1871</v>
      </c>
      <c r="J154" s="19" t="s">
        <v>45</v>
      </c>
      <c r="K154" s="19" t="s">
        <v>1577</v>
      </c>
      <c r="L154" s="86" t="s">
        <v>205</v>
      </c>
      <c r="M154" s="15">
        <v>2017</v>
      </c>
      <c r="N154" s="15" t="str">
        <f t="shared" si="9"/>
        <v xml:space="preserve">September </v>
      </c>
      <c r="O154" s="15">
        <v>2026</v>
      </c>
      <c r="P154" s="15">
        <v>2023</v>
      </c>
      <c r="Q154" s="15"/>
      <c r="R154" s="16"/>
      <c r="S154" s="15"/>
      <c r="T154" s="15"/>
      <c r="U154" s="15"/>
      <c r="V154" s="15"/>
      <c r="W154" s="15"/>
    </row>
    <row r="155" spans="1:23" s="17" customFormat="1" ht="14.5" x14ac:dyDescent="0.35">
      <c r="A155" s="12">
        <v>154</v>
      </c>
      <c r="B155" s="25" t="s">
        <v>1872</v>
      </c>
      <c r="C155" s="72" t="s">
        <v>1873</v>
      </c>
      <c r="D155" s="14" t="str">
        <f t="shared" si="10"/>
        <v>Laki-Laki</v>
      </c>
      <c r="E155" s="24" t="s">
        <v>116</v>
      </c>
      <c r="F155" s="72" t="s">
        <v>1730</v>
      </c>
      <c r="G155" s="25" t="s">
        <v>1484</v>
      </c>
      <c r="H155" s="19" t="s">
        <v>1723</v>
      </c>
      <c r="I155" s="19" t="s">
        <v>90</v>
      </c>
      <c r="J155" s="19" t="s">
        <v>45</v>
      </c>
      <c r="K155" s="19" t="s">
        <v>905</v>
      </c>
      <c r="L155" s="86" t="s">
        <v>169</v>
      </c>
      <c r="M155" s="15">
        <v>2022</v>
      </c>
      <c r="N155" s="15" t="str">
        <f t="shared" si="9"/>
        <v>Oktober</v>
      </c>
      <c r="O155" s="15">
        <v>2026</v>
      </c>
      <c r="P155" s="15">
        <v>2023</v>
      </c>
      <c r="Q155" s="15"/>
      <c r="R155" s="16"/>
      <c r="S155" s="15"/>
      <c r="T155" s="15"/>
      <c r="U155" s="15"/>
      <c r="V155" s="15"/>
      <c r="W155" s="15"/>
    </row>
    <row r="156" spans="1:23" s="17" customFormat="1" ht="14.5" x14ac:dyDescent="0.35">
      <c r="A156" s="12">
        <v>155</v>
      </c>
      <c r="B156" s="25" t="s">
        <v>1874</v>
      </c>
      <c r="C156" s="72" t="s">
        <v>1875</v>
      </c>
      <c r="D156" s="14" t="str">
        <f t="shared" si="10"/>
        <v>Perempuan</v>
      </c>
      <c r="E156" s="24" t="s">
        <v>104</v>
      </c>
      <c r="F156" s="72" t="s">
        <v>1876</v>
      </c>
      <c r="G156" s="25" t="s">
        <v>1484</v>
      </c>
      <c r="H156" s="19" t="s">
        <v>1877</v>
      </c>
      <c r="I156" s="19" t="s">
        <v>1636</v>
      </c>
      <c r="J156" s="19" t="s">
        <v>45</v>
      </c>
      <c r="K156" s="19" t="s">
        <v>144</v>
      </c>
      <c r="L156" s="86" t="s">
        <v>28</v>
      </c>
      <c r="M156" s="15">
        <v>2022</v>
      </c>
      <c r="N156" s="15" t="str">
        <f t="shared" si="9"/>
        <v>September</v>
      </c>
      <c r="O156" s="15">
        <v>2026</v>
      </c>
      <c r="P156" s="15">
        <v>2023</v>
      </c>
      <c r="Q156" s="15"/>
      <c r="R156" s="16"/>
      <c r="S156" s="15"/>
      <c r="T156" s="15"/>
      <c r="U156" s="15"/>
      <c r="V156" s="15"/>
      <c r="W156" s="15"/>
    </row>
    <row r="157" spans="1:23" s="17" customFormat="1" ht="14.5" x14ac:dyDescent="0.35">
      <c r="A157" s="12">
        <v>156</v>
      </c>
      <c r="B157" s="25" t="s">
        <v>1878</v>
      </c>
      <c r="C157" s="72" t="s">
        <v>1879</v>
      </c>
      <c r="D157" s="14" t="str">
        <f t="shared" si="10"/>
        <v>Laki-Laki</v>
      </c>
      <c r="E157" s="24" t="s">
        <v>104</v>
      </c>
      <c r="F157" s="72" t="s">
        <v>1657</v>
      </c>
      <c r="G157" s="25" t="s">
        <v>1484</v>
      </c>
      <c r="H157" s="19" t="s">
        <v>1877</v>
      </c>
      <c r="I157" s="19" t="s">
        <v>90</v>
      </c>
      <c r="J157" s="19" t="s">
        <v>45</v>
      </c>
      <c r="K157" s="19" t="s">
        <v>905</v>
      </c>
      <c r="L157" s="86" t="s">
        <v>169</v>
      </c>
      <c r="M157" s="15">
        <v>2022</v>
      </c>
      <c r="N157" s="15" t="str">
        <f t="shared" si="9"/>
        <v>Oktober</v>
      </c>
      <c r="O157" s="15">
        <v>2026</v>
      </c>
      <c r="P157" s="15">
        <v>2023</v>
      </c>
      <c r="Q157" s="15"/>
      <c r="R157" s="16"/>
      <c r="S157" s="15"/>
      <c r="T157" s="15"/>
      <c r="U157" s="15"/>
      <c r="V157" s="15"/>
      <c r="W157" s="15"/>
    </row>
    <row r="158" spans="1:23" s="17" customFormat="1" ht="14.5" x14ac:dyDescent="0.35">
      <c r="A158" s="12">
        <v>157</v>
      </c>
      <c r="B158" s="25" t="s">
        <v>1880</v>
      </c>
      <c r="C158" s="72" t="s">
        <v>1881</v>
      </c>
      <c r="D158" s="14" t="str">
        <f t="shared" si="10"/>
        <v>Perempuan</v>
      </c>
      <c r="E158" s="24" t="s">
        <v>87</v>
      </c>
      <c r="F158" s="72" t="s">
        <v>1730</v>
      </c>
      <c r="G158" s="25" t="s">
        <v>1484</v>
      </c>
      <c r="H158" s="19" t="s">
        <v>1877</v>
      </c>
      <c r="I158" s="19" t="s">
        <v>90</v>
      </c>
      <c r="J158" s="19" t="s">
        <v>45</v>
      </c>
      <c r="K158" s="19" t="s">
        <v>905</v>
      </c>
      <c r="L158" s="86" t="s">
        <v>169</v>
      </c>
      <c r="M158" s="15">
        <v>2022</v>
      </c>
      <c r="N158" s="15" t="str">
        <f t="shared" si="9"/>
        <v>Oktober</v>
      </c>
      <c r="O158" s="15">
        <v>2026</v>
      </c>
      <c r="P158" s="15">
        <v>2023</v>
      </c>
      <c r="Q158" s="15"/>
      <c r="R158" s="16"/>
      <c r="S158" s="15"/>
      <c r="T158" s="15"/>
      <c r="U158" s="15"/>
      <c r="V158" s="15"/>
      <c r="W158" s="15"/>
    </row>
    <row r="159" spans="1:23" s="17" customFormat="1" ht="14.5" x14ac:dyDescent="0.35">
      <c r="A159" s="12">
        <v>158</v>
      </c>
      <c r="B159" s="25" t="s">
        <v>1882</v>
      </c>
      <c r="C159" s="72" t="s">
        <v>1883</v>
      </c>
      <c r="D159" s="14" t="str">
        <f t="shared" si="10"/>
        <v>Laki-Laki</v>
      </c>
      <c r="E159" s="24" t="s">
        <v>126</v>
      </c>
      <c r="F159" s="72" t="s">
        <v>1807</v>
      </c>
      <c r="G159" s="25" t="s">
        <v>1484</v>
      </c>
      <c r="H159" s="19" t="s">
        <v>1525</v>
      </c>
      <c r="I159" s="19" t="s">
        <v>1884</v>
      </c>
      <c r="J159" s="19" t="s">
        <v>26</v>
      </c>
      <c r="K159" s="19" t="s">
        <v>407</v>
      </c>
      <c r="L159" s="86" t="s">
        <v>28</v>
      </c>
      <c r="M159" s="15">
        <v>2022</v>
      </c>
      <c r="N159" s="15" t="str">
        <f t="shared" si="9"/>
        <v>September</v>
      </c>
      <c r="O159" s="15">
        <v>2024</v>
      </c>
      <c r="P159" s="15">
        <v>2023</v>
      </c>
      <c r="Q159" s="15"/>
      <c r="R159" s="16"/>
      <c r="S159" s="15"/>
      <c r="T159" s="15"/>
      <c r="U159" s="15"/>
      <c r="V159" s="15"/>
      <c r="W159" s="15"/>
    </row>
    <row r="160" spans="1:23" s="17" customFormat="1" ht="14.5" x14ac:dyDescent="0.35">
      <c r="A160" s="12">
        <v>159</v>
      </c>
      <c r="B160" s="25" t="s">
        <v>1885</v>
      </c>
      <c r="C160" s="72" t="s">
        <v>1886</v>
      </c>
      <c r="D160" s="14" t="str">
        <f t="shared" si="10"/>
        <v>Perempuan</v>
      </c>
      <c r="E160" s="24" t="s">
        <v>109</v>
      </c>
      <c r="F160" s="72" t="s">
        <v>1807</v>
      </c>
      <c r="G160" s="25" t="s">
        <v>1484</v>
      </c>
      <c r="H160" s="19" t="s">
        <v>1525</v>
      </c>
      <c r="I160" s="19" t="s">
        <v>563</v>
      </c>
      <c r="J160" s="19" t="s">
        <v>26</v>
      </c>
      <c r="K160" s="19" t="s">
        <v>564</v>
      </c>
      <c r="L160" s="86" t="s">
        <v>145</v>
      </c>
      <c r="M160" s="15">
        <v>2022</v>
      </c>
      <c r="N160" s="15" t="str">
        <f t="shared" si="9"/>
        <v xml:space="preserve">Agustus </v>
      </c>
      <c r="O160" s="15">
        <v>2024</v>
      </c>
      <c r="P160" s="15">
        <v>2023</v>
      </c>
      <c r="Q160" s="15"/>
      <c r="R160" s="16"/>
      <c r="S160" s="15"/>
      <c r="T160" s="15"/>
      <c r="U160" s="15"/>
      <c r="V160" s="15"/>
      <c r="W160" s="15"/>
    </row>
    <row r="161" spans="1:23" s="17" customFormat="1" ht="14.5" x14ac:dyDescent="0.35">
      <c r="A161" s="12">
        <v>160</v>
      </c>
      <c r="B161" s="25" t="s">
        <v>1887</v>
      </c>
      <c r="C161" s="72" t="s">
        <v>1888</v>
      </c>
      <c r="D161" s="14" t="str">
        <f t="shared" si="10"/>
        <v>Perempuan</v>
      </c>
      <c r="E161" s="24" t="s">
        <v>109</v>
      </c>
      <c r="F161" s="72" t="s">
        <v>1791</v>
      </c>
      <c r="G161" s="25" t="s">
        <v>1484</v>
      </c>
      <c r="H161" s="19" t="s">
        <v>1525</v>
      </c>
      <c r="I161" s="19" t="s">
        <v>563</v>
      </c>
      <c r="J161" s="19" t="s">
        <v>26</v>
      </c>
      <c r="K161" s="19" t="s">
        <v>564</v>
      </c>
      <c r="L161" s="86" t="s">
        <v>145</v>
      </c>
      <c r="M161" s="15">
        <v>2022</v>
      </c>
      <c r="N161" s="15" t="str">
        <f t="shared" si="9"/>
        <v xml:space="preserve">Agustus </v>
      </c>
      <c r="O161" s="15">
        <v>2024</v>
      </c>
      <c r="P161" s="15">
        <v>2023</v>
      </c>
      <c r="Q161" s="15"/>
      <c r="R161" s="16"/>
      <c r="S161" s="15"/>
      <c r="T161" s="15"/>
      <c r="U161" s="15"/>
      <c r="V161" s="15"/>
      <c r="W161" s="15"/>
    </row>
    <row r="162" spans="1:23" s="17" customFormat="1" ht="14.5" x14ac:dyDescent="0.35">
      <c r="A162" s="12">
        <v>161</v>
      </c>
      <c r="B162" s="25" t="s">
        <v>1889</v>
      </c>
      <c r="C162" s="72" t="s">
        <v>1890</v>
      </c>
      <c r="D162" s="14" t="str">
        <f t="shared" si="10"/>
        <v>Laki-Laki</v>
      </c>
      <c r="E162" s="24" t="s">
        <v>126</v>
      </c>
      <c r="F162" s="72" t="s">
        <v>1663</v>
      </c>
      <c r="G162" s="25" t="s">
        <v>1484</v>
      </c>
      <c r="H162" s="19" t="s">
        <v>1525</v>
      </c>
      <c r="I162" s="19" t="s">
        <v>563</v>
      </c>
      <c r="J162" s="19" t="s">
        <v>45</v>
      </c>
      <c r="K162" s="19" t="s">
        <v>591</v>
      </c>
      <c r="L162" s="86" t="s">
        <v>145</v>
      </c>
      <c r="M162" s="15">
        <v>2022</v>
      </c>
      <c r="N162" s="15" t="str">
        <f t="shared" si="9"/>
        <v xml:space="preserve">Agustus </v>
      </c>
      <c r="O162" s="15">
        <v>2026</v>
      </c>
      <c r="P162" s="15">
        <v>2023</v>
      </c>
      <c r="Q162" s="15"/>
      <c r="R162" s="16"/>
      <c r="S162" s="15"/>
      <c r="T162" s="15"/>
      <c r="U162" s="15"/>
      <c r="V162" s="15"/>
      <c r="W162" s="15"/>
    </row>
    <row r="163" spans="1:23" s="17" customFormat="1" ht="14.5" x14ac:dyDescent="0.35">
      <c r="A163" s="12">
        <v>162</v>
      </c>
      <c r="B163" s="25" t="s">
        <v>1891</v>
      </c>
      <c r="C163" s="72" t="s">
        <v>1892</v>
      </c>
      <c r="D163" s="14" t="str">
        <f t="shared" si="10"/>
        <v>Perempuan</v>
      </c>
      <c r="E163" s="24" t="s">
        <v>471</v>
      </c>
      <c r="F163" s="72" t="s">
        <v>1791</v>
      </c>
      <c r="G163" s="25" t="s">
        <v>1484</v>
      </c>
      <c r="H163" s="19" t="s">
        <v>1525</v>
      </c>
      <c r="I163" s="19" t="s">
        <v>563</v>
      </c>
      <c r="J163" s="19" t="s">
        <v>26</v>
      </c>
      <c r="K163" s="19" t="s">
        <v>564</v>
      </c>
      <c r="L163" s="86" t="s">
        <v>145</v>
      </c>
      <c r="M163" s="15">
        <v>2022</v>
      </c>
      <c r="N163" s="15" t="str">
        <f t="shared" si="9"/>
        <v xml:space="preserve">Agustus </v>
      </c>
      <c r="O163" s="15">
        <v>2024</v>
      </c>
      <c r="P163" s="15">
        <v>2023</v>
      </c>
      <c r="Q163" s="15"/>
      <c r="R163" s="16"/>
      <c r="S163" s="15"/>
      <c r="T163" s="15"/>
      <c r="U163" s="15"/>
      <c r="V163" s="15"/>
      <c r="W163" s="15"/>
    </row>
    <row r="164" spans="1:23" s="17" customFormat="1" ht="14.5" x14ac:dyDescent="0.35">
      <c r="A164" s="12">
        <v>163</v>
      </c>
      <c r="B164" s="25" t="s">
        <v>1893</v>
      </c>
      <c r="C164" s="72" t="s">
        <v>1894</v>
      </c>
      <c r="D164" s="14" t="str">
        <f t="shared" si="10"/>
        <v>Laki-Laki</v>
      </c>
      <c r="E164" s="24" t="s">
        <v>126</v>
      </c>
      <c r="F164" s="72" t="s">
        <v>1144</v>
      </c>
      <c r="G164" s="25" t="s">
        <v>1484</v>
      </c>
      <c r="H164" s="19" t="s">
        <v>1525</v>
      </c>
      <c r="I164" s="19" t="s">
        <v>90</v>
      </c>
      <c r="J164" s="19" t="s">
        <v>45</v>
      </c>
      <c r="K164" s="19" t="s">
        <v>905</v>
      </c>
      <c r="L164" s="86" t="s">
        <v>123</v>
      </c>
      <c r="M164" s="15">
        <v>2022</v>
      </c>
      <c r="N164" s="15" t="str">
        <f t="shared" si="9"/>
        <v xml:space="preserve">Maret </v>
      </c>
      <c r="O164" s="15">
        <v>2026</v>
      </c>
      <c r="P164" s="15">
        <v>2023</v>
      </c>
      <c r="Q164" s="15"/>
      <c r="R164" s="16"/>
      <c r="S164" s="15"/>
      <c r="T164" s="15"/>
      <c r="U164" s="15"/>
      <c r="V164" s="15"/>
      <c r="W164" s="15"/>
    </row>
    <row r="165" spans="1:23" s="17" customFormat="1" ht="14.5" x14ac:dyDescent="0.35">
      <c r="A165" s="12">
        <v>164</v>
      </c>
      <c r="B165" s="25" t="s">
        <v>1895</v>
      </c>
      <c r="C165" s="72" t="s">
        <v>1896</v>
      </c>
      <c r="D165" s="14" t="str">
        <f t="shared" si="10"/>
        <v>Laki-Laki</v>
      </c>
      <c r="E165" s="24" t="s">
        <v>116</v>
      </c>
      <c r="F165" s="72" t="s">
        <v>1147</v>
      </c>
      <c r="G165" s="25" t="s">
        <v>1484</v>
      </c>
      <c r="H165" s="19" t="s">
        <v>1525</v>
      </c>
      <c r="I165" s="19" t="s">
        <v>90</v>
      </c>
      <c r="J165" s="19" t="s">
        <v>45</v>
      </c>
      <c r="K165" s="19" t="s">
        <v>46</v>
      </c>
      <c r="L165" s="86" t="s">
        <v>205</v>
      </c>
      <c r="M165" s="15">
        <v>2021</v>
      </c>
      <c r="N165" s="15" t="str">
        <f t="shared" si="9"/>
        <v xml:space="preserve">September </v>
      </c>
      <c r="O165" s="15">
        <v>2025</v>
      </c>
      <c r="P165" s="15">
        <v>2023</v>
      </c>
      <c r="Q165" s="15"/>
      <c r="R165" s="16"/>
      <c r="S165" s="15"/>
      <c r="T165" s="15"/>
      <c r="U165" s="15"/>
      <c r="V165" s="15"/>
      <c r="W165" s="15"/>
    </row>
    <row r="166" spans="1:23" s="17" customFormat="1" ht="14.5" x14ac:dyDescent="0.35">
      <c r="A166" s="12">
        <v>165</v>
      </c>
      <c r="B166" s="25" t="s">
        <v>1897</v>
      </c>
      <c r="C166" s="72" t="s">
        <v>1898</v>
      </c>
      <c r="D166" s="14" t="str">
        <f t="shared" si="10"/>
        <v>Laki-Laki</v>
      </c>
      <c r="E166" s="24" t="s">
        <v>109</v>
      </c>
      <c r="F166" s="72" t="s">
        <v>1463</v>
      </c>
      <c r="G166" s="25" t="s">
        <v>1484</v>
      </c>
      <c r="H166" s="19" t="s">
        <v>1899</v>
      </c>
      <c r="I166" s="19" t="s">
        <v>1900</v>
      </c>
      <c r="J166" s="19" t="s">
        <v>26</v>
      </c>
      <c r="K166" s="19" t="s">
        <v>46</v>
      </c>
      <c r="L166" s="86" t="s">
        <v>145</v>
      </c>
      <c r="M166" s="15">
        <v>2022</v>
      </c>
      <c r="N166" s="15" t="str">
        <f t="shared" si="9"/>
        <v xml:space="preserve">Agustus </v>
      </c>
      <c r="O166" s="15">
        <v>2024</v>
      </c>
      <c r="P166" s="15">
        <v>2023</v>
      </c>
      <c r="Q166" s="15"/>
      <c r="R166" s="16"/>
      <c r="S166" s="15"/>
      <c r="T166" s="15"/>
      <c r="U166" s="15"/>
      <c r="V166" s="15"/>
      <c r="W166" s="15"/>
    </row>
    <row r="167" spans="1:23" s="17" customFormat="1" ht="14.5" x14ac:dyDescent="0.35">
      <c r="A167" s="12">
        <v>166</v>
      </c>
      <c r="B167" s="25" t="s">
        <v>1901</v>
      </c>
      <c r="C167" s="72" t="s">
        <v>1902</v>
      </c>
      <c r="D167" s="14" t="str">
        <f t="shared" si="10"/>
        <v>Perempuan</v>
      </c>
      <c r="E167" s="24" t="s">
        <v>109</v>
      </c>
      <c r="F167" s="72" t="s">
        <v>1126</v>
      </c>
      <c r="G167" s="25" t="s">
        <v>1484</v>
      </c>
      <c r="H167" s="19" t="s">
        <v>1846</v>
      </c>
      <c r="I167" s="19" t="s">
        <v>460</v>
      </c>
      <c r="J167" s="19" t="s">
        <v>26</v>
      </c>
      <c r="K167" s="19" t="s">
        <v>46</v>
      </c>
      <c r="L167" s="86" t="s">
        <v>28</v>
      </c>
      <c r="M167" s="15">
        <v>2022</v>
      </c>
      <c r="N167" s="15" t="str">
        <f t="shared" si="9"/>
        <v>September</v>
      </c>
      <c r="O167" s="15">
        <v>2024</v>
      </c>
      <c r="P167" s="15">
        <v>2023</v>
      </c>
      <c r="Q167" s="15"/>
      <c r="R167" s="16"/>
      <c r="S167" s="15"/>
      <c r="T167" s="15"/>
      <c r="U167" s="15"/>
      <c r="V167" s="15"/>
      <c r="W167" s="15"/>
    </row>
    <row r="168" spans="1:23" s="17" customFormat="1" ht="14.5" x14ac:dyDescent="0.35">
      <c r="A168" s="12">
        <v>167</v>
      </c>
      <c r="B168" s="25" t="s">
        <v>1903</v>
      </c>
      <c r="C168" s="72" t="s">
        <v>1904</v>
      </c>
      <c r="D168" s="14" t="str">
        <f t="shared" si="10"/>
        <v>Perempuan</v>
      </c>
      <c r="E168" s="24" t="s">
        <v>126</v>
      </c>
      <c r="F168" s="72" t="s">
        <v>1807</v>
      </c>
      <c r="G168" s="25" t="s">
        <v>1484</v>
      </c>
      <c r="H168" s="19" t="s">
        <v>1846</v>
      </c>
      <c r="I168" s="19" t="s">
        <v>406</v>
      </c>
      <c r="J168" s="19" t="s">
        <v>26</v>
      </c>
      <c r="K168" s="19" t="s">
        <v>407</v>
      </c>
      <c r="L168" s="86" t="s">
        <v>28</v>
      </c>
      <c r="M168" s="15">
        <v>2022</v>
      </c>
      <c r="N168" s="15" t="str">
        <f t="shared" si="9"/>
        <v>September</v>
      </c>
      <c r="O168" s="15">
        <v>2024</v>
      </c>
      <c r="P168" s="15">
        <v>2023</v>
      </c>
      <c r="Q168" s="15"/>
      <c r="R168" s="16"/>
      <c r="S168" s="15"/>
      <c r="T168" s="15"/>
      <c r="U168" s="15"/>
      <c r="V168" s="15"/>
      <c r="W168" s="15"/>
    </row>
    <row r="169" spans="1:23" s="17" customFormat="1" ht="14.5" x14ac:dyDescent="0.35">
      <c r="A169" s="12">
        <v>168</v>
      </c>
      <c r="B169" s="25" t="s">
        <v>1905</v>
      </c>
      <c r="C169" s="72" t="s">
        <v>1906</v>
      </c>
      <c r="D169" s="14" t="str">
        <f t="shared" si="10"/>
        <v>Perempuan</v>
      </c>
      <c r="E169" s="24" t="s">
        <v>126</v>
      </c>
      <c r="F169" s="72" t="s">
        <v>1907</v>
      </c>
      <c r="G169" s="25" t="s">
        <v>1484</v>
      </c>
      <c r="H169" s="19" t="s">
        <v>1846</v>
      </c>
      <c r="I169" s="19" t="s">
        <v>406</v>
      </c>
      <c r="J169" s="19" t="s">
        <v>26</v>
      </c>
      <c r="K169" s="19" t="s">
        <v>407</v>
      </c>
      <c r="L169" s="86" t="s">
        <v>28</v>
      </c>
      <c r="M169" s="15">
        <v>2022</v>
      </c>
      <c r="N169" s="15" t="str">
        <f t="shared" si="9"/>
        <v>September</v>
      </c>
      <c r="O169" s="15">
        <v>2024</v>
      </c>
      <c r="P169" s="15">
        <v>2023</v>
      </c>
      <c r="Q169" s="15"/>
      <c r="R169" s="16"/>
      <c r="S169" s="15"/>
      <c r="T169" s="15"/>
      <c r="U169" s="15"/>
      <c r="V169" s="15"/>
      <c r="W169" s="15"/>
    </row>
    <row r="170" spans="1:23" s="17" customFormat="1" ht="14.5" x14ac:dyDescent="0.35">
      <c r="A170" s="12">
        <v>169</v>
      </c>
      <c r="B170" s="25" t="s">
        <v>1908</v>
      </c>
      <c r="C170" s="72" t="s">
        <v>1909</v>
      </c>
      <c r="D170" s="14" t="str">
        <f t="shared" si="10"/>
        <v>Perempuan</v>
      </c>
      <c r="E170" s="24" t="s">
        <v>109</v>
      </c>
      <c r="F170" s="72" t="s">
        <v>1807</v>
      </c>
      <c r="G170" s="25" t="s">
        <v>1484</v>
      </c>
      <c r="H170" s="19" t="s">
        <v>1846</v>
      </c>
      <c r="I170" s="19" t="s">
        <v>590</v>
      </c>
      <c r="J170" s="19" t="s">
        <v>26</v>
      </c>
      <c r="K170" s="19" t="s">
        <v>591</v>
      </c>
      <c r="L170" s="86" t="s">
        <v>28</v>
      </c>
      <c r="M170" s="15">
        <v>2022</v>
      </c>
      <c r="N170" s="15" t="str">
        <f t="shared" si="9"/>
        <v>September</v>
      </c>
      <c r="O170" s="15">
        <v>2024</v>
      </c>
      <c r="P170" s="15">
        <v>2023</v>
      </c>
      <c r="Q170" s="15"/>
      <c r="R170" s="16"/>
      <c r="S170" s="15"/>
      <c r="T170" s="15"/>
      <c r="U170" s="15"/>
      <c r="V170" s="15"/>
      <c r="W170" s="15"/>
    </row>
    <row r="171" spans="1:23" s="17" customFormat="1" ht="14.5" x14ac:dyDescent="0.35">
      <c r="A171" s="12">
        <v>170</v>
      </c>
      <c r="B171" s="25" t="s">
        <v>1910</v>
      </c>
      <c r="C171" s="72" t="s">
        <v>1911</v>
      </c>
      <c r="D171" s="14" t="str">
        <f t="shared" si="10"/>
        <v>Laki-Laki</v>
      </c>
      <c r="E171" s="24" t="s">
        <v>109</v>
      </c>
      <c r="F171" s="72" t="s">
        <v>1807</v>
      </c>
      <c r="G171" s="25" t="s">
        <v>1484</v>
      </c>
      <c r="H171" s="19" t="s">
        <v>1846</v>
      </c>
      <c r="I171" s="19" t="s">
        <v>590</v>
      </c>
      <c r="J171" s="19" t="s">
        <v>26</v>
      </c>
      <c r="K171" s="19" t="s">
        <v>591</v>
      </c>
      <c r="L171" s="86" t="s">
        <v>28</v>
      </c>
      <c r="M171" s="15">
        <v>2022</v>
      </c>
      <c r="N171" s="15" t="str">
        <f t="shared" si="9"/>
        <v>September</v>
      </c>
      <c r="O171" s="15">
        <v>2024</v>
      </c>
      <c r="P171" s="15">
        <v>2023</v>
      </c>
      <c r="Q171" s="15"/>
      <c r="R171" s="16"/>
      <c r="S171" s="15"/>
      <c r="T171" s="15"/>
      <c r="U171" s="15"/>
      <c r="V171" s="15"/>
      <c r="W171" s="15"/>
    </row>
    <row r="172" spans="1:23" s="17" customFormat="1" ht="14.5" x14ac:dyDescent="0.35">
      <c r="A172" s="12">
        <v>171</v>
      </c>
      <c r="B172" s="25" t="s">
        <v>1912</v>
      </c>
      <c r="C172" s="72" t="s">
        <v>1913</v>
      </c>
      <c r="D172" s="14" t="str">
        <f t="shared" si="10"/>
        <v>Perempuan</v>
      </c>
      <c r="E172" s="24" t="s">
        <v>370</v>
      </c>
      <c r="F172" s="72" t="s">
        <v>1807</v>
      </c>
      <c r="G172" s="25" t="s">
        <v>1484</v>
      </c>
      <c r="H172" s="19" t="s">
        <v>1846</v>
      </c>
      <c r="I172" s="19" t="s">
        <v>590</v>
      </c>
      <c r="J172" s="19" t="s">
        <v>26</v>
      </c>
      <c r="K172" s="19" t="s">
        <v>591</v>
      </c>
      <c r="L172" s="86" t="s">
        <v>28</v>
      </c>
      <c r="M172" s="15">
        <v>2022</v>
      </c>
      <c r="N172" s="15" t="str">
        <f t="shared" si="9"/>
        <v>September</v>
      </c>
      <c r="O172" s="15">
        <v>2024</v>
      </c>
      <c r="P172" s="15">
        <v>2023</v>
      </c>
      <c r="Q172" s="15"/>
      <c r="R172" s="16"/>
      <c r="S172" s="15"/>
      <c r="T172" s="15"/>
      <c r="U172" s="15"/>
      <c r="V172" s="15"/>
      <c r="W172" s="15"/>
    </row>
    <row r="173" spans="1:23" s="17" customFormat="1" ht="28" x14ac:dyDescent="0.35">
      <c r="A173" s="12">
        <v>172</v>
      </c>
      <c r="B173" s="25" t="s">
        <v>1914</v>
      </c>
      <c r="C173" s="72" t="s">
        <v>1915</v>
      </c>
      <c r="D173" s="14" t="str">
        <f t="shared" si="10"/>
        <v>Laki-Laki</v>
      </c>
      <c r="E173" s="24" t="s">
        <v>104</v>
      </c>
      <c r="F173" s="72" t="s">
        <v>1916</v>
      </c>
      <c r="G173" s="25" t="s">
        <v>1484</v>
      </c>
      <c r="H173" s="19" t="s">
        <v>1846</v>
      </c>
      <c r="I173" s="19" t="s">
        <v>1917</v>
      </c>
      <c r="J173" s="19" t="s">
        <v>45</v>
      </c>
      <c r="K173" s="19" t="s">
        <v>46</v>
      </c>
      <c r="L173" s="86" t="s">
        <v>446</v>
      </c>
      <c r="M173" s="15">
        <v>2022</v>
      </c>
      <c r="N173" s="15" t="str">
        <f t="shared" si="9"/>
        <v xml:space="preserve">Oktober </v>
      </c>
      <c r="O173" s="15">
        <v>2026</v>
      </c>
      <c r="P173" s="15">
        <v>2023</v>
      </c>
      <c r="Q173" s="15"/>
      <c r="R173" s="16"/>
      <c r="S173" s="15"/>
      <c r="T173" s="15"/>
      <c r="U173" s="15"/>
      <c r="V173" s="15"/>
      <c r="W173" s="15"/>
    </row>
    <row r="174" spans="1:23" s="17" customFormat="1" ht="28" x14ac:dyDescent="0.35">
      <c r="A174" s="12">
        <v>173</v>
      </c>
      <c r="B174" s="25" t="s">
        <v>1918</v>
      </c>
      <c r="C174" s="72" t="s">
        <v>1919</v>
      </c>
      <c r="D174" s="14" t="str">
        <f t="shared" si="10"/>
        <v>Laki-Laki</v>
      </c>
      <c r="E174" s="24" t="s">
        <v>382</v>
      </c>
      <c r="F174" s="72" t="s">
        <v>1920</v>
      </c>
      <c r="G174" s="25" t="s">
        <v>1484</v>
      </c>
      <c r="H174" s="19" t="s">
        <v>1846</v>
      </c>
      <c r="I174" s="19" t="s">
        <v>1917</v>
      </c>
      <c r="J174" s="19" t="s">
        <v>45</v>
      </c>
      <c r="K174" s="19" t="s">
        <v>46</v>
      </c>
      <c r="L174" s="86" t="s">
        <v>28</v>
      </c>
      <c r="M174" s="15">
        <v>2022</v>
      </c>
      <c r="N174" s="15" t="str">
        <f t="shared" si="9"/>
        <v>September</v>
      </c>
      <c r="O174" s="15">
        <v>2026</v>
      </c>
      <c r="P174" s="15">
        <v>2023</v>
      </c>
      <c r="Q174" s="15"/>
      <c r="R174" s="16"/>
      <c r="S174" s="15"/>
      <c r="T174" s="15"/>
      <c r="U174" s="15"/>
      <c r="V174" s="15"/>
      <c r="W174" s="15"/>
    </row>
    <row r="175" spans="1:23" s="17" customFormat="1" ht="28" x14ac:dyDescent="0.35">
      <c r="A175" s="12">
        <v>174</v>
      </c>
      <c r="B175" s="25" t="s">
        <v>1921</v>
      </c>
      <c r="C175" s="72" t="s">
        <v>1922</v>
      </c>
      <c r="D175" s="14" t="str">
        <f t="shared" si="10"/>
        <v>Laki-Laki</v>
      </c>
      <c r="E175" s="24" t="s">
        <v>116</v>
      </c>
      <c r="F175" s="72" t="s">
        <v>1923</v>
      </c>
      <c r="G175" s="25" t="s">
        <v>1484</v>
      </c>
      <c r="H175" s="19" t="s">
        <v>1846</v>
      </c>
      <c r="I175" s="19" t="s">
        <v>1917</v>
      </c>
      <c r="J175" s="19" t="s">
        <v>45</v>
      </c>
      <c r="K175" s="19" t="s">
        <v>46</v>
      </c>
      <c r="L175" s="86" t="s">
        <v>28</v>
      </c>
      <c r="M175" s="15">
        <v>2022</v>
      </c>
      <c r="N175" s="15" t="str">
        <f t="shared" si="9"/>
        <v>September</v>
      </c>
      <c r="O175" s="15">
        <v>2026</v>
      </c>
      <c r="P175" s="15">
        <v>2023</v>
      </c>
      <c r="Q175" s="15"/>
      <c r="R175" s="16"/>
      <c r="S175" s="15"/>
      <c r="T175" s="15"/>
      <c r="U175" s="15"/>
      <c r="V175" s="15"/>
      <c r="W175" s="15"/>
    </row>
    <row r="176" spans="1:23" s="17" customFormat="1" ht="28" x14ac:dyDescent="0.35">
      <c r="A176" s="12">
        <v>175</v>
      </c>
      <c r="B176" s="25" t="s">
        <v>1924</v>
      </c>
      <c r="C176" s="72" t="s">
        <v>1925</v>
      </c>
      <c r="D176" s="14" t="str">
        <f t="shared" si="10"/>
        <v>Laki-Laki</v>
      </c>
      <c r="E176" s="24" t="s">
        <v>126</v>
      </c>
      <c r="F176" s="72" t="s">
        <v>1657</v>
      </c>
      <c r="G176" s="25" t="s">
        <v>1484</v>
      </c>
      <c r="H176" s="19" t="s">
        <v>1846</v>
      </c>
      <c r="I176" s="19" t="s">
        <v>1917</v>
      </c>
      <c r="J176" s="19" t="s">
        <v>45</v>
      </c>
      <c r="K176" s="19" t="s">
        <v>46</v>
      </c>
      <c r="L176" s="86" t="s">
        <v>28</v>
      </c>
      <c r="M176" s="15">
        <v>2022</v>
      </c>
      <c r="N176" s="15" t="str">
        <f t="shared" si="9"/>
        <v>September</v>
      </c>
      <c r="O176" s="15">
        <v>2026</v>
      </c>
      <c r="P176" s="15">
        <v>2023</v>
      </c>
      <c r="Q176" s="15"/>
      <c r="R176" s="16"/>
      <c r="S176" s="15"/>
      <c r="T176" s="15"/>
      <c r="U176" s="15"/>
      <c r="V176" s="15"/>
      <c r="W176" s="15"/>
    </row>
    <row r="177" spans="1:23" s="17" customFormat="1" ht="14.5" x14ac:dyDescent="0.35">
      <c r="A177" s="12">
        <v>176</v>
      </c>
      <c r="B177" s="25" t="s">
        <v>1926</v>
      </c>
      <c r="C177" s="72" t="s">
        <v>1927</v>
      </c>
      <c r="D177" s="14" t="str">
        <f t="shared" si="10"/>
        <v>Perempuan</v>
      </c>
      <c r="E177" s="24" t="s">
        <v>370</v>
      </c>
      <c r="F177" s="72" t="s">
        <v>1928</v>
      </c>
      <c r="G177" s="25" t="s">
        <v>1484</v>
      </c>
      <c r="H177" s="19" t="s">
        <v>1642</v>
      </c>
      <c r="I177" s="19" t="s">
        <v>90</v>
      </c>
      <c r="J177" s="19" t="s">
        <v>26</v>
      </c>
      <c r="K177" s="19" t="s">
        <v>394</v>
      </c>
      <c r="L177" s="86" t="s">
        <v>123</v>
      </c>
      <c r="M177" s="15">
        <v>2022</v>
      </c>
      <c r="N177" s="15" t="str">
        <f t="shared" si="9"/>
        <v xml:space="preserve">Maret </v>
      </c>
      <c r="O177" s="15">
        <v>2024</v>
      </c>
      <c r="P177" s="15">
        <v>2023</v>
      </c>
      <c r="Q177" s="15"/>
      <c r="R177" s="16"/>
      <c r="S177" s="15"/>
      <c r="T177" s="15"/>
      <c r="U177" s="15"/>
      <c r="V177" s="15"/>
      <c r="W177" s="15"/>
    </row>
    <row r="178" spans="1:23" s="17" customFormat="1" ht="14.5" x14ac:dyDescent="0.35">
      <c r="A178" s="12">
        <v>177</v>
      </c>
      <c r="B178" s="25" t="s">
        <v>1929</v>
      </c>
      <c r="C178" s="72" t="s">
        <v>1930</v>
      </c>
      <c r="D178" s="14" t="str">
        <f t="shared" si="10"/>
        <v>Laki-Laki</v>
      </c>
      <c r="E178" s="24" t="s">
        <v>126</v>
      </c>
      <c r="F178" s="72" t="s">
        <v>1931</v>
      </c>
      <c r="G178" s="25" t="s">
        <v>1484</v>
      </c>
      <c r="H178" s="19" t="s">
        <v>1877</v>
      </c>
      <c r="I178" s="19" t="s">
        <v>1932</v>
      </c>
      <c r="J178" s="19" t="s">
        <v>26</v>
      </c>
      <c r="K178" s="19" t="s">
        <v>407</v>
      </c>
      <c r="L178" s="86" t="s">
        <v>60</v>
      </c>
      <c r="M178" s="15">
        <v>2021</v>
      </c>
      <c r="N178" s="15" t="str">
        <f t="shared" si="9"/>
        <v>Agustus</v>
      </c>
      <c r="O178" s="15">
        <v>2023</v>
      </c>
      <c r="P178" s="15">
        <v>2023</v>
      </c>
      <c r="Q178" s="15"/>
      <c r="R178" s="16"/>
      <c r="S178" s="15"/>
      <c r="T178" s="15"/>
      <c r="U178" s="15"/>
      <c r="V178" s="15"/>
      <c r="W178" s="15"/>
    </row>
    <row r="179" spans="1:23" s="17" customFormat="1" ht="14.5" x14ac:dyDescent="0.35">
      <c r="A179" s="12">
        <v>178</v>
      </c>
      <c r="B179" s="25" t="s">
        <v>1933</v>
      </c>
      <c r="C179" s="72" t="s">
        <v>1934</v>
      </c>
      <c r="D179" s="14" t="str">
        <f t="shared" si="10"/>
        <v>Perempuan</v>
      </c>
      <c r="E179" s="24" t="s">
        <v>98</v>
      </c>
      <c r="F179" s="72" t="s">
        <v>99</v>
      </c>
      <c r="G179" s="25" t="s">
        <v>1484</v>
      </c>
      <c r="H179" s="19" t="s">
        <v>1877</v>
      </c>
      <c r="I179" s="19" t="s">
        <v>1636</v>
      </c>
      <c r="J179" s="19" t="s">
        <v>45</v>
      </c>
      <c r="K179" s="19" t="s">
        <v>144</v>
      </c>
      <c r="L179" s="86" t="s">
        <v>169</v>
      </c>
      <c r="M179" s="15">
        <v>2021</v>
      </c>
      <c r="N179" s="15" t="str">
        <f t="shared" si="9"/>
        <v>Oktober</v>
      </c>
      <c r="O179" s="15">
        <v>2025</v>
      </c>
      <c r="P179" s="15">
        <v>2023</v>
      </c>
      <c r="Q179" s="15"/>
      <c r="R179" s="16"/>
      <c r="S179" s="15"/>
      <c r="T179" s="15"/>
      <c r="U179" s="15"/>
      <c r="V179" s="15"/>
      <c r="W179" s="15"/>
    </row>
    <row r="180" spans="1:23" s="17" customFormat="1" ht="14.5" x14ac:dyDescent="0.35">
      <c r="A180" s="12">
        <v>179</v>
      </c>
      <c r="B180" s="25" t="s">
        <v>1935</v>
      </c>
      <c r="C180" s="72" t="s">
        <v>1936</v>
      </c>
      <c r="D180" s="14" t="str">
        <f t="shared" si="10"/>
        <v>Perempuan</v>
      </c>
      <c r="E180" s="24" t="s">
        <v>370</v>
      </c>
      <c r="F180" s="72" t="s">
        <v>1928</v>
      </c>
      <c r="G180" s="25" t="s">
        <v>1484</v>
      </c>
      <c r="H180" s="19" t="s">
        <v>1877</v>
      </c>
      <c r="I180" s="19" t="s">
        <v>90</v>
      </c>
      <c r="J180" s="19" t="s">
        <v>26</v>
      </c>
      <c r="K180" s="19" t="s">
        <v>394</v>
      </c>
      <c r="L180" s="86" t="s">
        <v>169</v>
      </c>
      <c r="M180" s="15">
        <v>2021</v>
      </c>
      <c r="N180" s="15" t="str">
        <f t="shared" si="9"/>
        <v>Oktober</v>
      </c>
      <c r="O180" s="15">
        <v>2023</v>
      </c>
      <c r="P180" s="15">
        <v>2023</v>
      </c>
      <c r="Q180" s="15"/>
      <c r="R180" s="16"/>
      <c r="S180" s="15"/>
      <c r="T180" s="15"/>
      <c r="U180" s="15"/>
      <c r="V180" s="15"/>
      <c r="W180" s="15"/>
    </row>
    <row r="181" spans="1:23" s="17" customFormat="1" ht="14.5" x14ac:dyDescent="0.35">
      <c r="A181" s="12">
        <v>180</v>
      </c>
      <c r="B181" s="25" t="s">
        <v>1937</v>
      </c>
      <c r="C181" s="72" t="s">
        <v>1938</v>
      </c>
      <c r="D181" s="14" t="str">
        <f t="shared" si="10"/>
        <v>Perempuan</v>
      </c>
      <c r="E181" s="24" t="s">
        <v>116</v>
      </c>
      <c r="F181" s="72" t="s">
        <v>1730</v>
      </c>
      <c r="G181" s="25" t="s">
        <v>1484</v>
      </c>
      <c r="H181" s="19" t="s">
        <v>1877</v>
      </c>
      <c r="I181" s="19" t="s">
        <v>90</v>
      </c>
      <c r="J181" s="19" t="s">
        <v>45</v>
      </c>
      <c r="K181" s="19" t="s">
        <v>905</v>
      </c>
      <c r="L181" s="86" t="s">
        <v>28</v>
      </c>
      <c r="M181" s="15">
        <v>2021</v>
      </c>
      <c r="N181" s="15" t="str">
        <f t="shared" si="9"/>
        <v>September</v>
      </c>
      <c r="O181" s="15">
        <v>2025</v>
      </c>
      <c r="P181" s="15">
        <v>2023</v>
      </c>
      <c r="Q181" s="15"/>
      <c r="R181" s="16"/>
      <c r="S181" s="15"/>
      <c r="T181" s="15"/>
      <c r="U181" s="15"/>
      <c r="V181" s="15"/>
      <c r="W181" s="15"/>
    </row>
    <row r="182" spans="1:23" s="17" customFormat="1" ht="14.5" x14ac:dyDescent="0.35">
      <c r="A182" s="12">
        <v>181</v>
      </c>
      <c r="B182" s="25" t="s">
        <v>1939</v>
      </c>
      <c r="C182" s="72" t="s">
        <v>1940</v>
      </c>
      <c r="D182" s="14" t="str">
        <f t="shared" si="10"/>
        <v>Laki-Laki</v>
      </c>
      <c r="E182" s="24" t="s">
        <v>98</v>
      </c>
      <c r="F182" s="72" t="s">
        <v>1730</v>
      </c>
      <c r="G182" s="25" t="s">
        <v>1484</v>
      </c>
      <c r="H182" s="19" t="s">
        <v>1877</v>
      </c>
      <c r="I182" s="19" t="s">
        <v>1636</v>
      </c>
      <c r="J182" s="19" t="s">
        <v>45</v>
      </c>
      <c r="K182" s="19" t="s">
        <v>591</v>
      </c>
      <c r="L182" s="86" t="s">
        <v>28</v>
      </c>
      <c r="M182" s="15">
        <v>2020</v>
      </c>
      <c r="N182" s="15" t="str">
        <f t="shared" si="9"/>
        <v>September</v>
      </c>
      <c r="O182" s="15">
        <v>2024</v>
      </c>
      <c r="P182" s="15">
        <v>2023</v>
      </c>
      <c r="Q182" s="15"/>
      <c r="R182" s="16"/>
      <c r="S182" s="15"/>
      <c r="T182" s="15"/>
      <c r="U182" s="15"/>
      <c r="V182" s="15"/>
      <c r="W182" s="15"/>
    </row>
    <row r="183" spans="1:23" s="17" customFormat="1" ht="14.5" x14ac:dyDescent="0.35">
      <c r="A183" s="12">
        <v>182</v>
      </c>
      <c r="B183" s="25" t="s">
        <v>1941</v>
      </c>
      <c r="C183" s="72" t="s">
        <v>1942</v>
      </c>
      <c r="D183" s="14" t="str">
        <f t="shared" si="10"/>
        <v>Laki-Laki</v>
      </c>
      <c r="E183" s="24" t="s">
        <v>104</v>
      </c>
      <c r="F183" s="72" t="s">
        <v>1657</v>
      </c>
      <c r="G183" s="25" t="s">
        <v>1484</v>
      </c>
      <c r="H183" s="19" t="s">
        <v>1877</v>
      </c>
      <c r="I183" s="19" t="s">
        <v>90</v>
      </c>
      <c r="J183" s="19" t="s">
        <v>45</v>
      </c>
      <c r="K183" s="19" t="s">
        <v>905</v>
      </c>
      <c r="L183" s="86" t="s">
        <v>160</v>
      </c>
      <c r="M183" s="15">
        <v>2020</v>
      </c>
      <c r="N183" s="15" t="str">
        <f t="shared" si="9"/>
        <v>Juli</v>
      </c>
      <c r="O183" s="15">
        <v>2024</v>
      </c>
      <c r="P183" s="15">
        <v>2023</v>
      </c>
      <c r="Q183" s="15"/>
      <c r="R183" s="16"/>
      <c r="S183" s="15"/>
      <c r="T183" s="15"/>
      <c r="U183" s="15"/>
      <c r="V183" s="15"/>
      <c r="W183" s="15"/>
    </row>
    <row r="184" spans="1:23" s="17" customFormat="1" ht="14.5" x14ac:dyDescent="0.35">
      <c r="A184" s="12">
        <v>183</v>
      </c>
      <c r="B184" s="25" t="s">
        <v>1943</v>
      </c>
      <c r="C184" s="72" t="s">
        <v>1944</v>
      </c>
      <c r="D184" s="14" t="str">
        <f t="shared" si="10"/>
        <v>Perempuan</v>
      </c>
      <c r="E184" s="24" t="s">
        <v>370</v>
      </c>
      <c r="F184" s="72" t="s">
        <v>1945</v>
      </c>
      <c r="G184" s="25" t="s">
        <v>1484</v>
      </c>
      <c r="H184" s="19" t="s">
        <v>1877</v>
      </c>
      <c r="I184" s="19" t="s">
        <v>90</v>
      </c>
      <c r="J184" s="19" t="s">
        <v>26</v>
      </c>
      <c r="K184" s="19" t="s">
        <v>46</v>
      </c>
      <c r="L184" s="86" t="s">
        <v>60</v>
      </c>
      <c r="M184" s="15">
        <v>2020</v>
      </c>
      <c r="N184" s="15" t="str">
        <f t="shared" si="9"/>
        <v>Agustus</v>
      </c>
      <c r="O184" s="15">
        <v>2022</v>
      </c>
      <c r="P184" s="15">
        <v>2023</v>
      </c>
      <c r="Q184" s="15"/>
      <c r="R184" s="16"/>
      <c r="S184" s="15"/>
      <c r="T184" s="15"/>
      <c r="U184" s="15"/>
      <c r="V184" s="15"/>
      <c r="W184" s="15"/>
    </row>
    <row r="185" spans="1:23" s="17" customFormat="1" ht="14.5" x14ac:dyDescent="0.35">
      <c r="A185" s="12">
        <v>184</v>
      </c>
      <c r="B185" s="25" t="s">
        <v>1946</v>
      </c>
      <c r="C185" s="72" t="s">
        <v>1947</v>
      </c>
      <c r="D185" s="14" t="str">
        <f t="shared" si="10"/>
        <v>Laki-Laki</v>
      </c>
      <c r="E185" s="24" t="s">
        <v>126</v>
      </c>
      <c r="F185" s="72" t="s">
        <v>1657</v>
      </c>
      <c r="G185" s="25" t="s">
        <v>1484</v>
      </c>
      <c r="H185" s="19" t="s">
        <v>1877</v>
      </c>
      <c r="I185" s="19" t="s">
        <v>90</v>
      </c>
      <c r="J185" s="19" t="s">
        <v>45</v>
      </c>
      <c r="K185" s="19" t="s">
        <v>905</v>
      </c>
      <c r="L185" s="86" t="s">
        <v>785</v>
      </c>
      <c r="M185" s="15">
        <v>2020</v>
      </c>
      <c r="N185" s="15" t="str">
        <f t="shared" si="9"/>
        <v xml:space="preserve">Juni </v>
      </c>
      <c r="O185" s="15">
        <v>2024</v>
      </c>
      <c r="P185" s="15">
        <v>2023</v>
      </c>
      <c r="Q185" s="15"/>
      <c r="R185" s="16"/>
      <c r="S185" s="15"/>
      <c r="T185" s="15"/>
      <c r="U185" s="15"/>
      <c r="V185" s="15"/>
      <c r="W185" s="15"/>
    </row>
    <row r="186" spans="1:23" s="17" customFormat="1" ht="14.5" x14ac:dyDescent="0.35">
      <c r="A186" s="12">
        <v>185</v>
      </c>
      <c r="B186" s="25" t="s">
        <v>1948</v>
      </c>
      <c r="C186" s="72" t="s">
        <v>1949</v>
      </c>
      <c r="D186" s="14" t="str">
        <f t="shared" si="10"/>
        <v>Perempuan</v>
      </c>
      <c r="E186" s="24" t="s">
        <v>109</v>
      </c>
      <c r="F186" s="72" t="s">
        <v>1928</v>
      </c>
      <c r="G186" s="25" t="s">
        <v>1484</v>
      </c>
      <c r="H186" s="19" t="s">
        <v>1877</v>
      </c>
      <c r="I186" s="19" t="s">
        <v>1950</v>
      </c>
      <c r="J186" s="19" t="s">
        <v>26</v>
      </c>
      <c r="K186" s="19" t="s">
        <v>1951</v>
      </c>
      <c r="L186" s="86" t="s">
        <v>60</v>
      </c>
      <c r="M186" s="15">
        <v>2020</v>
      </c>
      <c r="N186" s="15" t="str">
        <f t="shared" si="9"/>
        <v>Agustus</v>
      </c>
      <c r="O186" s="15">
        <v>2022</v>
      </c>
      <c r="P186" s="15">
        <v>2023</v>
      </c>
      <c r="Q186" s="15"/>
      <c r="R186" s="16"/>
      <c r="S186" s="15"/>
      <c r="T186" s="15"/>
      <c r="U186" s="15"/>
      <c r="V186" s="15"/>
      <c r="W186" s="15"/>
    </row>
    <row r="187" spans="1:23" s="17" customFormat="1" ht="14.5" x14ac:dyDescent="0.35">
      <c r="A187" s="12">
        <v>186</v>
      </c>
      <c r="B187" s="25" t="s">
        <v>1952</v>
      </c>
      <c r="C187" s="72" t="s">
        <v>1953</v>
      </c>
      <c r="D187" s="14" t="str">
        <f t="shared" si="10"/>
        <v>Perempuan</v>
      </c>
      <c r="E187" s="24" t="s">
        <v>104</v>
      </c>
      <c r="F187" s="72" t="s">
        <v>1657</v>
      </c>
      <c r="G187" s="25" t="s">
        <v>1484</v>
      </c>
      <c r="H187" s="19" t="s">
        <v>1877</v>
      </c>
      <c r="I187" s="19" t="s">
        <v>90</v>
      </c>
      <c r="J187" s="19" t="s">
        <v>45</v>
      </c>
      <c r="K187" s="19" t="s">
        <v>905</v>
      </c>
      <c r="L187" s="86" t="s">
        <v>60</v>
      </c>
      <c r="M187" s="15">
        <v>2021</v>
      </c>
      <c r="N187" s="15" t="str">
        <f t="shared" si="9"/>
        <v>Agustus</v>
      </c>
      <c r="O187" s="15">
        <v>2025</v>
      </c>
      <c r="P187" s="15">
        <v>2023</v>
      </c>
      <c r="Q187" s="15"/>
      <c r="R187" s="16"/>
      <c r="S187" s="15"/>
      <c r="T187" s="15"/>
      <c r="U187" s="15"/>
      <c r="V187" s="15"/>
      <c r="W187" s="15"/>
    </row>
    <row r="188" spans="1:23" s="17" customFormat="1" ht="14.5" x14ac:dyDescent="0.35">
      <c r="A188" s="12">
        <v>187</v>
      </c>
      <c r="B188" s="25" t="s">
        <v>1954</v>
      </c>
      <c r="C188" s="72" t="s">
        <v>1955</v>
      </c>
      <c r="D188" s="14" t="str">
        <f t="shared" si="10"/>
        <v>Perempuan</v>
      </c>
      <c r="E188" s="24" t="s">
        <v>126</v>
      </c>
      <c r="F188" s="72" t="s">
        <v>1657</v>
      </c>
      <c r="G188" s="25" t="s">
        <v>1484</v>
      </c>
      <c r="H188" s="19" t="s">
        <v>1877</v>
      </c>
      <c r="I188" s="19" t="s">
        <v>90</v>
      </c>
      <c r="J188" s="19" t="s">
        <v>45</v>
      </c>
      <c r="K188" s="19" t="s">
        <v>905</v>
      </c>
      <c r="L188" s="86" t="s">
        <v>28</v>
      </c>
      <c r="M188" s="15">
        <v>2021</v>
      </c>
      <c r="N188" s="15" t="str">
        <f t="shared" si="9"/>
        <v>September</v>
      </c>
      <c r="O188" s="15">
        <v>2025</v>
      </c>
      <c r="P188" s="15">
        <v>2023</v>
      </c>
      <c r="Q188" s="15"/>
      <c r="R188" s="16"/>
      <c r="S188" s="15"/>
      <c r="T188" s="15"/>
      <c r="U188" s="15"/>
      <c r="V188" s="15"/>
      <c r="W188" s="15"/>
    </row>
    <row r="189" spans="1:23" s="17" customFormat="1" ht="14.5" x14ac:dyDescent="0.35">
      <c r="A189" s="12">
        <v>188</v>
      </c>
      <c r="B189" s="25" t="s">
        <v>1956</v>
      </c>
      <c r="C189" s="72" t="s">
        <v>1957</v>
      </c>
      <c r="D189" s="14" t="str">
        <f t="shared" si="10"/>
        <v>Perempuan</v>
      </c>
      <c r="E189" s="24" t="s">
        <v>370</v>
      </c>
      <c r="F189" s="72" t="s">
        <v>1928</v>
      </c>
      <c r="G189" s="25" t="s">
        <v>1484</v>
      </c>
      <c r="H189" s="19" t="s">
        <v>1877</v>
      </c>
      <c r="I189" s="19" t="s">
        <v>90</v>
      </c>
      <c r="J189" s="19" t="s">
        <v>26</v>
      </c>
      <c r="K189" s="19" t="s">
        <v>394</v>
      </c>
      <c r="L189" s="86" t="s">
        <v>60</v>
      </c>
      <c r="M189" s="15">
        <v>2020</v>
      </c>
      <c r="N189" s="15" t="str">
        <f t="shared" si="9"/>
        <v>Agustus</v>
      </c>
      <c r="O189" s="15">
        <v>2022</v>
      </c>
      <c r="P189" s="15">
        <v>2023</v>
      </c>
      <c r="Q189" s="15"/>
      <c r="R189" s="16"/>
      <c r="S189" s="15"/>
      <c r="T189" s="15"/>
      <c r="U189" s="15"/>
      <c r="V189" s="15"/>
      <c r="W189" s="15"/>
    </row>
    <row r="190" spans="1:23" s="17" customFormat="1" ht="14.5" x14ac:dyDescent="0.35">
      <c r="A190" s="12">
        <v>189</v>
      </c>
      <c r="B190" s="25" t="s">
        <v>1958</v>
      </c>
      <c r="C190" s="72" t="s">
        <v>1959</v>
      </c>
      <c r="D190" s="14" t="str">
        <f t="shared" si="10"/>
        <v>Laki-Laki</v>
      </c>
      <c r="E190" s="24" t="s">
        <v>126</v>
      </c>
      <c r="F190" s="72" t="s">
        <v>1777</v>
      </c>
      <c r="G190" s="25" t="s">
        <v>1484</v>
      </c>
      <c r="H190" s="19" t="s">
        <v>1877</v>
      </c>
      <c r="I190" s="19" t="s">
        <v>90</v>
      </c>
      <c r="J190" s="19" t="s">
        <v>26</v>
      </c>
      <c r="K190" s="19" t="s">
        <v>394</v>
      </c>
      <c r="L190" s="86" t="s">
        <v>60</v>
      </c>
      <c r="M190" s="15">
        <v>2021</v>
      </c>
      <c r="N190" s="15" t="str">
        <f t="shared" si="9"/>
        <v>Agustus</v>
      </c>
      <c r="O190" s="15">
        <v>2023</v>
      </c>
      <c r="P190" s="15">
        <v>2023</v>
      </c>
      <c r="Q190" s="15"/>
      <c r="R190" s="16"/>
      <c r="S190" s="15"/>
      <c r="T190" s="15"/>
      <c r="U190" s="15"/>
      <c r="V190" s="15"/>
      <c r="W190" s="15"/>
    </row>
    <row r="191" spans="1:23" s="17" customFormat="1" ht="14.5" x14ac:dyDescent="0.35">
      <c r="A191" s="12">
        <v>190</v>
      </c>
      <c r="B191" s="25" t="s">
        <v>1960</v>
      </c>
      <c r="C191" s="72" t="s">
        <v>1961</v>
      </c>
      <c r="D191" s="14" t="str">
        <f t="shared" si="10"/>
        <v>Laki-Laki</v>
      </c>
      <c r="E191" s="24" t="s">
        <v>370</v>
      </c>
      <c r="F191" s="72" t="s">
        <v>1777</v>
      </c>
      <c r="G191" s="25" t="s">
        <v>1484</v>
      </c>
      <c r="H191" s="19" t="s">
        <v>1877</v>
      </c>
      <c r="I191" s="19" t="s">
        <v>90</v>
      </c>
      <c r="J191" s="19" t="s">
        <v>45</v>
      </c>
      <c r="K191" s="19" t="s">
        <v>905</v>
      </c>
      <c r="L191" s="86" t="s">
        <v>890</v>
      </c>
      <c r="M191" s="15">
        <v>2020</v>
      </c>
      <c r="N191" s="15" t="str">
        <f t="shared" si="9"/>
        <v>Januari</v>
      </c>
      <c r="O191" s="15">
        <v>2024</v>
      </c>
      <c r="P191" s="15">
        <v>2023</v>
      </c>
      <c r="Q191" s="15"/>
      <c r="R191" s="16"/>
      <c r="S191" s="15"/>
      <c r="T191" s="15"/>
      <c r="U191" s="15"/>
      <c r="V191" s="15"/>
      <c r="W191" s="15"/>
    </row>
    <row r="192" spans="1:23" s="17" customFormat="1" ht="14.5" x14ac:dyDescent="0.35">
      <c r="A192" s="12">
        <v>191</v>
      </c>
      <c r="B192" s="25" t="s">
        <v>1962</v>
      </c>
      <c r="C192" s="72" t="s">
        <v>1963</v>
      </c>
      <c r="D192" s="14" t="str">
        <f t="shared" si="10"/>
        <v>Laki-Laki</v>
      </c>
      <c r="E192" s="24" t="s">
        <v>126</v>
      </c>
      <c r="F192" s="72" t="s">
        <v>1657</v>
      </c>
      <c r="G192" s="25" t="s">
        <v>1484</v>
      </c>
      <c r="H192" s="19" t="s">
        <v>1877</v>
      </c>
      <c r="I192" s="19" t="s">
        <v>90</v>
      </c>
      <c r="J192" s="19" t="s">
        <v>45</v>
      </c>
      <c r="K192" s="19" t="s">
        <v>905</v>
      </c>
      <c r="L192" s="86" t="s">
        <v>652</v>
      </c>
      <c r="M192" s="15">
        <v>2020</v>
      </c>
      <c r="N192" s="15" t="str">
        <f t="shared" si="9"/>
        <v>Mei</v>
      </c>
      <c r="O192" s="15">
        <v>2024</v>
      </c>
      <c r="P192" s="15">
        <v>2023</v>
      </c>
      <c r="Q192" s="15"/>
      <c r="R192" s="16"/>
      <c r="S192" s="15"/>
      <c r="T192" s="15"/>
      <c r="U192" s="15"/>
      <c r="V192" s="15"/>
      <c r="W192" s="15"/>
    </row>
    <row r="193" spans="1:23" s="17" customFormat="1" ht="28" x14ac:dyDescent="0.35">
      <c r="A193" s="12">
        <v>192</v>
      </c>
      <c r="B193" s="25" t="s">
        <v>1964</v>
      </c>
      <c r="C193" s="72" t="s">
        <v>1965</v>
      </c>
      <c r="D193" s="14" t="str">
        <f t="shared" si="10"/>
        <v>Perempuan</v>
      </c>
      <c r="E193" s="24" t="s">
        <v>104</v>
      </c>
      <c r="F193" s="72" t="s">
        <v>1966</v>
      </c>
      <c r="G193" s="25" t="s">
        <v>1484</v>
      </c>
      <c r="H193" s="19" t="s">
        <v>1877</v>
      </c>
      <c r="I193" s="19" t="s">
        <v>90</v>
      </c>
      <c r="J193" s="19" t="s">
        <v>26</v>
      </c>
      <c r="K193" s="19" t="s">
        <v>1967</v>
      </c>
      <c r="L193" s="86" t="s">
        <v>60</v>
      </c>
      <c r="M193" s="15">
        <v>2020</v>
      </c>
      <c r="N193" s="15" t="str">
        <f t="shared" si="9"/>
        <v>Agustus</v>
      </c>
      <c r="O193" s="15">
        <v>2022</v>
      </c>
      <c r="P193" s="15">
        <v>2023</v>
      </c>
      <c r="Q193" s="15"/>
      <c r="R193" s="16"/>
      <c r="S193" s="15"/>
      <c r="T193" s="15"/>
      <c r="U193" s="15"/>
      <c r="V193" s="15"/>
      <c r="W193" s="15"/>
    </row>
    <row r="194" spans="1:23" s="17" customFormat="1" ht="28" x14ac:dyDescent="0.35">
      <c r="A194" s="12">
        <v>193</v>
      </c>
      <c r="B194" s="25" t="s">
        <v>1968</v>
      </c>
      <c r="C194" s="72" t="s">
        <v>1969</v>
      </c>
      <c r="D194" s="14" t="str">
        <f t="shared" si="10"/>
        <v>Perempuan</v>
      </c>
      <c r="E194" s="24" t="s">
        <v>382</v>
      </c>
      <c r="F194" s="72" t="s">
        <v>1730</v>
      </c>
      <c r="G194" s="25" t="s">
        <v>1484</v>
      </c>
      <c r="H194" s="19" t="s">
        <v>1877</v>
      </c>
      <c r="I194" s="19" t="s">
        <v>1970</v>
      </c>
      <c r="J194" s="19" t="s">
        <v>45</v>
      </c>
      <c r="K194" s="19" t="s">
        <v>591</v>
      </c>
      <c r="L194" s="86" t="s">
        <v>28</v>
      </c>
      <c r="M194" s="15">
        <v>2020</v>
      </c>
      <c r="N194" s="15" t="str">
        <f t="shared" si="9"/>
        <v>September</v>
      </c>
      <c r="O194" s="15">
        <v>2024</v>
      </c>
      <c r="P194" s="15">
        <v>2023</v>
      </c>
      <c r="Q194" s="15"/>
      <c r="R194" s="16"/>
      <c r="S194" s="15"/>
      <c r="T194" s="15"/>
      <c r="U194" s="15"/>
      <c r="V194" s="15"/>
      <c r="W194" s="15"/>
    </row>
    <row r="195" spans="1:23" s="17" customFormat="1" ht="14.5" x14ac:dyDescent="0.35">
      <c r="A195" s="12">
        <v>194</v>
      </c>
      <c r="B195" s="25" t="s">
        <v>1971</v>
      </c>
      <c r="C195" s="72" t="s">
        <v>1972</v>
      </c>
      <c r="D195" s="14" t="str">
        <f t="shared" si="10"/>
        <v>Perempuan</v>
      </c>
      <c r="E195" s="24" t="s">
        <v>382</v>
      </c>
      <c r="F195" s="72" t="s">
        <v>1730</v>
      </c>
      <c r="G195" s="25" t="s">
        <v>1484</v>
      </c>
      <c r="H195" s="19" t="s">
        <v>1877</v>
      </c>
      <c r="I195" s="19" t="s">
        <v>90</v>
      </c>
      <c r="J195" s="19" t="s">
        <v>45</v>
      </c>
      <c r="K195" s="19" t="s">
        <v>905</v>
      </c>
      <c r="L195" s="86" t="s">
        <v>160</v>
      </c>
      <c r="M195" s="15">
        <v>2020</v>
      </c>
      <c r="N195" s="15" t="str">
        <f t="shared" si="9"/>
        <v>Juli</v>
      </c>
      <c r="O195" s="15">
        <v>2024</v>
      </c>
      <c r="P195" s="15">
        <v>2023</v>
      </c>
      <c r="Q195" s="15"/>
      <c r="R195" s="16"/>
      <c r="S195" s="15"/>
      <c r="T195" s="15"/>
      <c r="U195" s="15"/>
      <c r="V195" s="15"/>
      <c r="W195" s="15"/>
    </row>
    <row r="196" spans="1:23" s="17" customFormat="1" ht="14.5" x14ac:dyDescent="0.35">
      <c r="A196" s="12">
        <v>195</v>
      </c>
      <c r="B196" s="25" t="s">
        <v>1973</v>
      </c>
      <c r="C196" s="72" t="s">
        <v>1974</v>
      </c>
      <c r="D196" s="14" t="str">
        <f t="shared" si="10"/>
        <v>Laki-Laki</v>
      </c>
      <c r="E196" s="24" t="s">
        <v>126</v>
      </c>
      <c r="F196" s="72" t="s">
        <v>1657</v>
      </c>
      <c r="G196" s="25" t="s">
        <v>1484</v>
      </c>
      <c r="H196" s="19" t="s">
        <v>1877</v>
      </c>
      <c r="I196" s="19" t="s">
        <v>1636</v>
      </c>
      <c r="J196" s="19" t="s">
        <v>45</v>
      </c>
      <c r="K196" s="19" t="s">
        <v>591</v>
      </c>
      <c r="L196" s="86" t="s">
        <v>60</v>
      </c>
      <c r="M196" s="15">
        <v>2020</v>
      </c>
      <c r="N196" s="15" t="str">
        <f t="shared" si="9"/>
        <v>Agustus</v>
      </c>
      <c r="O196" s="15">
        <v>2024</v>
      </c>
      <c r="P196" s="15">
        <v>2023</v>
      </c>
      <c r="Q196" s="15"/>
      <c r="R196" s="16"/>
      <c r="S196" s="15"/>
      <c r="T196" s="15"/>
      <c r="U196" s="15"/>
      <c r="V196" s="15"/>
      <c r="W196" s="15"/>
    </row>
    <row r="197" spans="1:23" s="17" customFormat="1" ht="14.5" x14ac:dyDescent="0.35">
      <c r="A197" s="12">
        <v>196</v>
      </c>
      <c r="B197" s="25" t="s">
        <v>1975</v>
      </c>
      <c r="C197" s="72" t="s">
        <v>1976</v>
      </c>
      <c r="D197" s="14" t="str">
        <f t="shared" si="10"/>
        <v>Laki-Laki</v>
      </c>
      <c r="E197" s="24" t="s">
        <v>126</v>
      </c>
      <c r="F197" s="72" t="s">
        <v>1657</v>
      </c>
      <c r="G197" s="25" t="s">
        <v>1484</v>
      </c>
      <c r="H197" s="19" t="s">
        <v>1877</v>
      </c>
      <c r="I197" s="19" t="s">
        <v>90</v>
      </c>
      <c r="J197" s="19" t="s">
        <v>45</v>
      </c>
      <c r="K197" s="19" t="s">
        <v>905</v>
      </c>
      <c r="L197" s="86" t="s">
        <v>1003</v>
      </c>
      <c r="M197" s="15">
        <v>2020</v>
      </c>
      <c r="N197" s="15" t="str">
        <f t="shared" si="9"/>
        <v xml:space="preserve">Mei </v>
      </c>
      <c r="O197" s="15">
        <v>2024</v>
      </c>
      <c r="P197" s="15">
        <v>2023</v>
      </c>
      <c r="Q197" s="15"/>
      <c r="R197" s="16"/>
      <c r="S197" s="15"/>
      <c r="T197" s="15"/>
      <c r="U197" s="15"/>
      <c r="V197" s="15"/>
      <c r="W197" s="15"/>
    </row>
    <row r="198" spans="1:23" s="17" customFormat="1" ht="28" x14ac:dyDescent="0.35">
      <c r="A198" s="12">
        <v>197</v>
      </c>
      <c r="B198" s="25" t="s">
        <v>1977</v>
      </c>
      <c r="C198" s="72" t="s">
        <v>1978</v>
      </c>
      <c r="D198" s="14" t="str">
        <f t="shared" si="10"/>
        <v>Laki-Laki</v>
      </c>
      <c r="E198" s="24" t="s">
        <v>104</v>
      </c>
      <c r="F198" s="72" t="s">
        <v>1979</v>
      </c>
      <c r="G198" s="25" t="s">
        <v>1484</v>
      </c>
      <c r="H198" s="19" t="s">
        <v>1877</v>
      </c>
      <c r="I198" s="19" t="s">
        <v>1636</v>
      </c>
      <c r="J198" s="19" t="s">
        <v>45</v>
      </c>
      <c r="K198" s="19" t="s">
        <v>295</v>
      </c>
      <c r="L198" s="86" t="s">
        <v>160</v>
      </c>
      <c r="M198" s="15">
        <v>2020</v>
      </c>
      <c r="N198" s="15" t="str">
        <f t="shared" si="9"/>
        <v>Juli</v>
      </c>
      <c r="O198" s="15">
        <v>2024</v>
      </c>
      <c r="P198" s="15">
        <v>2023</v>
      </c>
      <c r="Q198" s="15"/>
      <c r="R198" s="16"/>
      <c r="S198" s="15"/>
      <c r="T198" s="15"/>
      <c r="U198" s="15"/>
      <c r="V198" s="15"/>
      <c r="W198" s="15"/>
    </row>
    <row r="199" spans="1:23" s="17" customFormat="1" ht="14.5" x14ac:dyDescent="0.35">
      <c r="A199" s="12">
        <v>198</v>
      </c>
      <c r="B199" s="25" t="s">
        <v>1980</v>
      </c>
      <c r="C199" s="72" t="s">
        <v>1981</v>
      </c>
      <c r="D199" s="14" t="str">
        <f t="shared" si="10"/>
        <v>Perempuan</v>
      </c>
      <c r="E199" s="24" t="s">
        <v>370</v>
      </c>
      <c r="F199" s="72" t="s">
        <v>1777</v>
      </c>
      <c r="G199" s="25" t="s">
        <v>1484</v>
      </c>
      <c r="H199" s="19" t="s">
        <v>1877</v>
      </c>
      <c r="I199" s="19" t="s">
        <v>90</v>
      </c>
      <c r="J199" s="19" t="s">
        <v>26</v>
      </c>
      <c r="K199" s="19" t="s">
        <v>394</v>
      </c>
      <c r="L199" s="86" t="s">
        <v>60</v>
      </c>
      <c r="M199" s="15">
        <v>2020</v>
      </c>
      <c r="N199" s="15" t="str">
        <f t="shared" si="9"/>
        <v>Agustus</v>
      </c>
      <c r="O199" s="15">
        <v>2022</v>
      </c>
      <c r="P199" s="15">
        <v>2023</v>
      </c>
      <c r="Q199" s="15"/>
      <c r="R199" s="16"/>
      <c r="S199" s="15"/>
      <c r="T199" s="15"/>
      <c r="U199" s="15"/>
      <c r="V199" s="15"/>
      <c r="W199" s="15"/>
    </row>
    <row r="200" spans="1:23" s="17" customFormat="1" ht="14.5" x14ac:dyDescent="0.35">
      <c r="A200" s="12">
        <v>199</v>
      </c>
      <c r="B200" s="25" t="s">
        <v>1982</v>
      </c>
      <c r="C200" s="72" t="s">
        <v>1983</v>
      </c>
      <c r="D200" s="14" t="str">
        <f t="shared" si="10"/>
        <v>Laki-Laki</v>
      </c>
      <c r="E200" s="24" t="s">
        <v>126</v>
      </c>
      <c r="F200" s="72" t="s">
        <v>1777</v>
      </c>
      <c r="G200" s="25" t="s">
        <v>1484</v>
      </c>
      <c r="H200" s="19" t="s">
        <v>1877</v>
      </c>
      <c r="I200" s="19" t="s">
        <v>90</v>
      </c>
      <c r="J200" s="19" t="s">
        <v>45</v>
      </c>
      <c r="K200" s="19" t="s">
        <v>905</v>
      </c>
      <c r="L200" s="86" t="s">
        <v>652</v>
      </c>
      <c r="M200" s="15">
        <v>2020</v>
      </c>
      <c r="N200" s="15" t="str">
        <f t="shared" si="9"/>
        <v>Mei</v>
      </c>
      <c r="O200" s="15">
        <v>2024</v>
      </c>
      <c r="P200" s="15">
        <v>2023</v>
      </c>
      <c r="Q200" s="15"/>
      <c r="R200" s="16"/>
      <c r="S200" s="15"/>
      <c r="T200" s="15"/>
      <c r="U200" s="15"/>
      <c r="V200" s="15"/>
      <c r="W200" s="15"/>
    </row>
    <row r="201" spans="1:23" s="17" customFormat="1" ht="14.5" x14ac:dyDescent="0.35">
      <c r="A201" s="12">
        <v>200</v>
      </c>
      <c r="B201" s="25" t="s">
        <v>1984</v>
      </c>
      <c r="C201" s="72" t="s">
        <v>1985</v>
      </c>
      <c r="D201" s="14" t="str">
        <f t="shared" si="10"/>
        <v>Laki-Laki</v>
      </c>
      <c r="E201" s="24" t="s">
        <v>370</v>
      </c>
      <c r="F201" s="72" t="s">
        <v>1663</v>
      </c>
      <c r="G201" s="25" t="s">
        <v>1484</v>
      </c>
      <c r="H201" s="19" t="s">
        <v>1877</v>
      </c>
      <c r="I201" s="19" t="s">
        <v>1636</v>
      </c>
      <c r="J201" s="19" t="s">
        <v>45</v>
      </c>
      <c r="K201" s="19" t="s">
        <v>1577</v>
      </c>
      <c r="L201" s="86" t="s">
        <v>28</v>
      </c>
      <c r="M201" s="15">
        <v>2021</v>
      </c>
      <c r="N201" s="15" t="str">
        <f t="shared" si="9"/>
        <v>September</v>
      </c>
      <c r="O201" s="15">
        <v>2025</v>
      </c>
      <c r="P201" s="15">
        <v>2023</v>
      </c>
      <c r="Q201" s="15"/>
      <c r="R201" s="16"/>
      <c r="S201" s="15"/>
      <c r="T201" s="15"/>
      <c r="U201" s="15"/>
      <c r="V201" s="15"/>
      <c r="W201" s="15"/>
    </row>
    <row r="202" spans="1:23" s="17" customFormat="1" ht="28" x14ac:dyDescent="0.35">
      <c r="A202" s="12">
        <v>201</v>
      </c>
      <c r="B202" s="25" t="s">
        <v>1986</v>
      </c>
      <c r="C202" s="72" t="s">
        <v>1987</v>
      </c>
      <c r="D202" s="14" t="str">
        <f t="shared" si="10"/>
        <v>Laki-Laki</v>
      </c>
      <c r="E202" s="24" t="s">
        <v>116</v>
      </c>
      <c r="F202" s="72" t="s">
        <v>783</v>
      </c>
      <c r="G202" s="25" t="s">
        <v>1484</v>
      </c>
      <c r="H202" s="19" t="s">
        <v>1988</v>
      </c>
      <c r="I202" s="19" t="s">
        <v>90</v>
      </c>
      <c r="J202" s="19" t="s">
        <v>45</v>
      </c>
      <c r="K202" s="19" t="s">
        <v>651</v>
      </c>
      <c r="L202" s="86" t="s">
        <v>169</v>
      </c>
      <c r="M202" s="15">
        <v>2022</v>
      </c>
      <c r="N202" s="15" t="str">
        <f t="shared" ref="N202:N265" si="11">L202</f>
        <v>Oktober</v>
      </c>
      <c r="O202" s="15">
        <v>2026</v>
      </c>
      <c r="P202" s="15">
        <v>2022</v>
      </c>
      <c r="Q202" s="15"/>
      <c r="R202" s="16"/>
      <c r="S202" s="15"/>
      <c r="T202" s="15"/>
      <c r="U202" s="15"/>
      <c r="V202" s="15"/>
      <c r="W202" s="15"/>
    </row>
    <row r="203" spans="1:23" s="17" customFormat="1" ht="14.5" x14ac:dyDescent="0.35">
      <c r="A203" s="12">
        <v>202</v>
      </c>
      <c r="B203" s="25" t="s">
        <v>1989</v>
      </c>
      <c r="C203" s="72" t="s">
        <v>1990</v>
      </c>
      <c r="D203" s="14" t="str">
        <f t="shared" si="10"/>
        <v>Perempuan</v>
      </c>
      <c r="E203" s="24" t="s">
        <v>116</v>
      </c>
      <c r="F203" s="72" t="s">
        <v>579</v>
      </c>
      <c r="G203" s="25" t="s">
        <v>1484</v>
      </c>
      <c r="H203" s="19" t="s">
        <v>1522</v>
      </c>
      <c r="I203" s="19" t="s">
        <v>1991</v>
      </c>
      <c r="J203" s="19" t="s">
        <v>45</v>
      </c>
      <c r="K203" s="19" t="s">
        <v>50</v>
      </c>
      <c r="L203" s="86" t="s">
        <v>60</v>
      </c>
      <c r="M203" s="15">
        <v>2022</v>
      </c>
      <c r="N203" s="15" t="str">
        <f t="shared" si="11"/>
        <v>Agustus</v>
      </c>
      <c r="O203" s="15">
        <v>2026</v>
      </c>
      <c r="P203" s="15">
        <v>2022</v>
      </c>
      <c r="Q203" s="15"/>
      <c r="R203" s="16"/>
      <c r="S203" s="15"/>
      <c r="T203" s="15"/>
      <c r="U203" s="15"/>
      <c r="V203" s="15"/>
      <c r="W203" s="15"/>
    </row>
    <row r="204" spans="1:23" s="17" customFormat="1" ht="14.5" x14ac:dyDescent="0.35">
      <c r="A204" s="12">
        <v>203</v>
      </c>
      <c r="B204" s="25" t="s">
        <v>1992</v>
      </c>
      <c r="C204" s="72" t="s">
        <v>1993</v>
      </c>
      <c r="D204" s="14" t="str">
        <f t="shared" si="10"/>
        <v>Perempuan</v>
      </c>
      <c r="E204" s="24" t="s">
        <v>116</v>
      </c>
      <c r="F204" s="72" t="s">
        <v>1994</v>
      </c>
      <c r="G204" s="25" t="s">
        <v>1484</v>
      </c>
      <c r="H204" s="19" t="s">
        <v>1522</v>
      </c>
      <c r="I204" s="19" t="s">
        <v>1991</v>
      </c>
      <c r="J204" s="19" t="s">
        <v>45</v>
      </c>
      <c r="K204" s="19" t="s">
        <v>50</v>
      </c>
      <c r="L204" s="86" t="s">
        <v>60</v>
      </c>
      <c r="M204" s="15">
        <v>2022</v>
      </c>
      <c r="N204" s="15" t="str">
        <f t="shared" si="11"/>
        <v>Agustus</v>
      </c>
      <c r="O204" s="15">
        <v>2026</v>
      </c>
      <c r="P204" s="15">
        <v>2022</v>
      </c>
      <c r="Q204" s="15"/>
      <c r="R204" s="16"/>
      <c r="S204" s="15"/>
      <c r="T204" s="15"/>
      <c r="U204" s="15"/>
      <c r="V204" s="15"/>
      <c r="W204" s="15"/>
    </row>
    <row r="205" spans="1:23" s="17" customFormat="1" ht="14.5" x14ac:dyDescent="0.35">
      <c r="A205" s="12">
        <v>204</v>
      </c>
      <c r="B205" s="25" t="s">
        <v>1995</v>
      </c>
      <c r="C205" s="72" t="s">
        <v>1996</v>
      </c>
      <c r="D205" s="14" t="str">
        <f t="shared" si="10"/>
        <v>Perempuan</v>
      </c>
      <c r="E205" s="24" t="s">
        <v>116</v>
      </c>
      <c r="F205" s="72" t="s">
        <v>1997</v>
      </c>
      <c r="G205" s="25" t="s">
        <v>1484</v>
      </c>
      <c r="H205" s="19" t="s">
        <v>1998</v>
      </c>
      <c r="I205" s="19" t="s">
        <v>90</v>
      </c>
      <c r="J205" s="19" t="s">
        <v>45</v>
      </c>
      <c r="K205" s="19" t="s">
        <v>144</v>
      </c>
      <c r="L205" s="86" t="s">
        <v>28</v>
      </c>
      <c r="M205" s="15">
        <v>2022</v>
      </c>
      <c r="N205" s="15" t="str">
        <f t="shared" si="11"/>
        <v>September</v>
      </c>
      <c r="O205" s="15">
        <v>2026</v>
      </c>
      <c r="P205" s="15">
        <v>2022</v>
      </c>
      <c r="Q205" s="15"/>
      <c r="R205" s="16"/>
      <c r="S205" s="15"/>
      <c r="T205" s="15"/>
      <c r="U205" s="15"/>
      <c r="V205" s="15"/>
      <c r="W205" s="15"/>
    </row>
    <row r="206" spans="1:23" s="17" customFormat="1" ht="14.5" x14ac:dyDescent="0.35">
      <c r="A206" s="12">
        <v>205</v>
      </c>
      <c r="B206" s="25" t="s">
        <v>1999</v>
      </c>
      <c r="C206" s="72" t="s">
        <v>2000</v>
      </c>
      <c r="D206" s="14" t="str">
        <f t="shared" si="10"/>
        <v>Laki-Laki</v>
      </c>
      <c r="E206" s="24" t="s">
        <v>109</v>
      </c>
      <c r="F206" s="72" t="s">
        <v>1928</v>
      </c>
      <c r="G206" s="25" t="s">
        <v>1484</v>
      </c>
      <c r="H206" s="19" t="s">
        <v>1870</v>
      </c>
      <c r="I206" s="19" t="s">
        <v>90</v>
      </c>
      <c r="J206" s="19" t="s">
        <v>26</v>
      </c>
      <c r="K206" s="19" t="s">
        <v>394</v>
      </c>
      <c r="L206" s="86" t="s">
        <v>28</v>
      </c>
      <c r="M206" s="15">
        <v>2022</v>
      </c>
      <c r="N206" s="15" t="str">
        <f t="shared" si="11"/>
        <v>September</v>
      </c>
      <c r="O206" s="15">
        <v>2024</v>
      </c>
      <c r="P206" s="15">
        <v>2022</v>
      </c>
      <c r="Q206" s="15"/>
      <c r="R206" s="16"/>
      <c r="S206" s="15"/>
      <c r="T206" s="15"/>
      <c r="U206" s="15"/>
      <c r="V206" s="15"/>
      <c r="W206" s="15"/>
    </row>
    <row r="207" spans="1:23" s="17" customFormat="1" ht="28" x14ac:dyDescent="0.35">
      <c r="A207" s="12">
        <v>206</v>
      </c>
      <c r="B207" s="25" t="s">
        <v>2001</v>
      </c>
      <c r="C207" s="72" t="s">
        <v>2002</v>
      </c>
      <c r="D207" s="14" t="str">
        <f t="shared" si="10"/>
        <v>Laki-Laki</v>
      </c>
      <c r="E207" s="24" t="s">
        <v>116</v>
      </c>
      <c r="F207" s="72" t="s">
        <v>762</v>
      </c>
      <c r="G207" s="25" t="s">
        <v>1484</v>
      </c>
      <c r="H207" s="19" t="s">
        <v>2003</v>
      </c>
      <c r="I207" s="19" t="s">
        <v>320</v>
      </c>
      <c r="J207" s="19" t="s">
        <v>45</v>
      </c>
      <c r="K207" s="19" t="s">
        <v>2004</v>
      </c>
      <c r="L207" s="86" t="s">
        <v>28</v>
      </c>
      <c r="M207" s="15">
        <v>2022</v>
      </c>
      <c r="N207" s="15" t="str">
        <f t="shared" si="11"/>
        <v>September</v>
      </c>
      <c r="O207" s="15">
        <v>2026</v>
      </c>
      <c r="P207" s="15">
        <v>2022</v>
      </c>
      <c r="Q207" s="15"/>
      <c r="R207" s="16"/>
      <c r="S207" s="15"/>
      <c r="T207" s="15"/>
      <c r="U207" s="15"/>
      <c r="V207" s="15"/>
      <c r="W207" s="15"/>
    </row>
    <row r="208" spans="1:23" s="17" customFormat="1" ht="14.5" x14ac:dyDescent="0.35">
      <c r="A208" s="12">
        <v>207</v>
      </c>
      <c r="B208" s="73" t="s">
        <v>2839</v>
      </c>
      <c r="C208" s="72" t="s">
        <v>2005</v>
      </c>
      <c r="D208" s="14" t="str">
        <f t="shared" si="10"/>
        <v>Perempuan</v>
      </c>
      <c r="E208" s="24" t="s">
        <v>370</v>
      </c>
      <c r="F208" s="72" t="s">
        <v>1777</v>
      </c>
      <c r="G208" s="25" t="s">
        <v>1484</v>
      </c>
      <c r="H208" s="19" t="s">
        <v>1536</v>
      </c>
      <c r="I208" s="19" t="s">
        <v>90</v>
      </c>
      <c r="J208" s="19" t="s">
        <v>45</v>
      </c>
      <c r="K208" s="19" t="s">
        <v>905</v>
      </c>
      <c r="L208" s="86" t="s">
        <v>28</v>
      </c>
      <c r="M208" s="15">
        <v>2022</v>
      </c>
      <c r="N208" s="15" t="str">
        <f t="shared" si="11"/>
        <v>September</v>
      </c>
      <c r="O208" s="15">
        <v>2026</v>
      </c>
      <c r="P208" s="15">
        <v>2022</v>
      </c>
      <c r="Q208" s="15"/>
      <c r="R208" s="16"/>
      <c r="S208" s="15"/>
      <c r="T208" s="15"/>
      <c r="U208" s="15"/>
      <c r="V208" s="15"/>
      <c r="W208" s="15"/>
    </row>
    <row r="209" spans="1:23" s="17" customFormat="1" ht="14.5" x14ac:dyDescent="0.35">
      <c r="A209" s="12">
        <v>208</v>
      </c>
      <c r="B209" s="25" t="s">
        <v>2006</v>
      </c>
      <c r="C209" s="72" t="s">
        <v>2007</v>
      </c>
      <c r="D209" s="14" t="str">
        <f t="shared" si="10"/>
        <v>Perempuan</v>
      </c>
      <c r="E209" s="24" t="s">
        <v>104</v>
      </c>
      <c r="F209" s="72" t="s">
        <v>1437</v>
      </c>
      <c r="G209" s="25" t="s">
        <v>1484</v>
      </c>
      <c r="H209" s="19" t="s">
        <v>1536</v>
      </c>
      <c r="I209" s="19" t="s">
        <v>90</v>
      </c>
      <c r="J209" s="19" t="s">
        <v>45</v>
      </c>
      <c r="K209" s="19" t="s">
        <v>144</v>
      </c>
      <c r="L209" s="86" t="s">
        <v>60</v>
      </c>
      <c r="M209" s="15">
        <v>2022</v>
      </c>
      <c r="N209" s="15" t="str">
        <f t="shared" si="11"/>
        <v>Agustus</v>
      </c>
      <c r="O209" s="15">
        <v>2026</v>
      </c>
      <c r="P209" s="15">
        <v>2022</v>
      </c>
      <c r="Q209" s="15"/>
      <c r="R209" s="16"/>
      <c r="S209" s="15"/>
      <c r="T209" s="15"/>
      <c r="U209" s="15"/>
      <c r="V209" s="15"/>
      <c r="W209" s="15"/>
    </row>
    <row r="210" spans="1:23" s="17" customFormat="1" ht="14.5" x14ac:dyDescent="0.35">
      <c r="A210" s="12">
        <v>209</v>
      </c>
      <c r="B210" s="25" t="s">
        <v>2008</v>
      </c>
      <c r="C210" s="72" t="s">
        <v>2009</v>
      </c>
      <c r="D210" s="14" t="str">
        <f t="shared" ref="D210:D220" si="12">IF(MID(C210,17,1)="1","Laki-Laki","Perempuan")</f>
        <v>Perempuan</v>
      </c>
      <c r="E210" s="24" t="s">
        <v>109</v>
      </c>
      <c r="F210" s="72" t="s">
        <v>1928</v>
      </c>
      <c r="G210" s="25" t="s">
        <v>1484</v>
      </c>
      <c r="H210" s="19" t="s">
        <v>1536</v>
      </c>
      <c r="I210" s="19" t="s">
        <v>788</v>
      </c>
      <c r="J210" s="19" t="s">
        <v>26</v>
      </c>
      <c r="K210" s="19" t="s">
        <v>407</v>
      </c>
      <c r="L210" s="86" t="s">
        <v>60</v>
      </c>
      <c r="M210" s="15">
        <v>2022</v>
      </c>
      <c r="N210" s="15" t="str">
        <f t="shared" si="11"/>
        <v>Agustus</v>
      </c>
      <c r="O210" s="15">
        <v>2024</v>
      </c>
      <c r="P210" s="15">
        <v>2022</v>
      </c>
      <c r="Q210" s="15"/>
      <c r="R210" s="16"/>
      <c r="S210" s="15"/>
      <c r="T210" s="15"/>
      <c r="U210" s="15"/>
      <c r="V210" s="15"/>
      <c r="W210" s="15"/>
    </row>
    <row r="211" spans="1:23" s="17" customFormat="1" ht="28" x14ac:dyDescent="0.35">
      <c r="A211" s="12">
        <v>210</v>
      </c>
      <c r="B211" s="25" t="s">
        <v>2010</v>
      </c>
      <c r="C211" s="72" t="s">
        <v>2011</v>
      </c>
      <c r="D211" s="14" t="str">
        <f t="shared" si="12"/>
        <v>Laki-Laki</v>
      </c>
      <c r="E211" s="24" t="s">
        <v>98</v>
      </c>
      <c r="F211" s="72" t="s">
        <v>1730</v>
      </c>
      <c r="G211" s="25" t="s">
        <v>1484</v>
      </c>
      <c r="H211" s="19" t="s">
        <v>1536</v>
      </c>
      <c r="I211" s="19" t="s">
        <v>772</v>
      </c>
      <c r="J211" s="19" t="s">
        <v>45</v>
      </c>
      <c r="K211" s="19" t="s">
        <v>591</v>
      </c>
      <c r="L211" s="86" t="s">
        <v>28</v>
      </c>
      <c r="M211" s="15">
        <v>2022</v>
      </c>
      <c r="N211" s="15" t="str">
        <f t="shared" si="11"/>
        <v>September</v>
      </c>
      <c r="O211" s="15">
        <v>2026</v>
      </c>
      <c r="P211" s="15">
        <v>2022</v>
      </c>
      <c r="Q211" s="15"/>
      <c r="R211" s="16"/>
      <c r="S211" s="15"/>
      <c r="T211" s="15"/>
      <c r="U211" s="15"/>
      <c r="V211" s="15"/>
      <c r="W211" s="15"/>
    </row>
    <row r="212" spans="1:23" s="17" customFormat="1" ht="28" x14ac:dyDescent="0.35">
      <c r="A212" s="12">
        <v>211</v>
      </c>
      <c r="B212" s="25" t="s">
        <v>2012</v>
      </c>
      <c r="C212" s="72" t="s">
        <v>2013</v>
      </c>
      <c r="D212" s="14" t="str">
        <f t="shared" si="12"/>
        <v>Perempuan</v>
      </c>
      <c r="E212" s="24" t="s">
        <v>104</v>
      </c>
      <c r="F212" s="72" t="s">
        <v>1657</v>
      </c>
      <c r="G212" s="25" t="s">
        <v>1484</v>
      </c>
      <c r="H212" s="19" t="s">
        <v>1536</v>
      </c>
      <c r="I212" s="19" t="s">
        <v>772</v>
      </c>
      <c r="J212" s="19" t="s">
        <v>45</v>
      </c>
      <c r="K212" s="19" t="s">
        <v>591</v>
      </c>
      <c r="L212" s="86" t="s">
        <v>28</v>
      </c>
      <c r="M212" s="15">
        <v>2022</v>
      </c>
      <c r="N212" s="15" t="str">
        <f t="shared" si="11"/>
        <v>September</v>
      </c>
      <c r="O212" s="15">
        <v>2026</v>
      </c>
      <c r="P212" s="15">
        <v>2022</v>
      </c>
      <c r="Q212" s="15"/>
      <c r="R212" s="16"/>
      <c r="S212" s="15"/>
      <c r="T212" s="15"/>
      <c r="U212" s="15"/>
      <c r="V212" s="15"/>
      <c r="W212" s="15"/>
    </row>
    <row r="213" spans="1:23" s="17" customFormat="1" ht="14.5" x14ac:dyDescent="0.35">
      <c r="A213" s="12">
        <v>212</v>
      </c>
      <c r="B213" s="25" t="s">
        <v>2014</v>
      </c>
      <c r="C213" s="72" t="s">
        <v>2015</v>
      </c>
      <c r="D213" s="14" t="str">
        <f t="shared" si="12"/>
        <v>Laki-Laki</v>
      </c>
      <c r="E213" s="24" t="s">
        <v>98</v>
      </c>
      <c r="F213" s="72" t="s">
        <v>1730</v>
      </c>
      <c r="G213" s="25" t="s">
        <v>1484</v>
      </c>
      <c r="H213" s="19" t="s">
        <v>1536</v>
      </c>
      <c r="I213" s="19" t="s">
        <v>90</v>
      </c>
      <c r="J213" s="19" t="s">
        <v>45</v>
      </c>
      <c r="K213" s="19" t="s">
        <v>905</v>
      </c>
      <c r="L213" s="86" t="s">
        <v>28</v>
      </c>
      <c r="M213" s="15">
        <v>2022</v>
      </c>
      <c r="N213" s="15" t="str">
        <f t="shared" si="11"/>
        <v>September</v>
      </c>
      <c r="O213" s="15">
        <v>2026</v>
      </c>
      <c r="P213" s="15">
        <v>2022</v>
      </c>
      <c r="Q213" s="15"/>
      <c r="R213" s="16"/>
      <c r="S213" s="15"/>
      <c r="T213" s="15"/>
      <c r="U213" s="15"/>
      <c r="V213" s="15"/>
      <c r="W213" s="15"/>
    </row>
    <row r="214" spans="1:23" s="17" customFormat="1" ht="14.5" x14ac:dyDescent="0.35">
      <c r="A214" s="12">
        <v>213</v>
      </c>
      <c r="B214" s="25" t="s">
        <v>2016</v>
      </c>
      <c r="C214" s="72" t="s">
        <v>2017</v>
      </c>
      <c r="D214" s="14" t="str">
        <f t="shared" si="12"/>
        <v>Laki-Laki</v>
      </c>
      <c r="E214" s="24" t="s">
        <v>109</v>
      </c>
      <c r="F214" s="72" t="s">
        <v>1928</v>
      </c>
      <c r="G214" s="25" t="s">
        <v>1484</v>
      </c>
      <c r="H214" s="19" t="s">
        <v>1536</v>
      </c>
      <c r="I214" s="19" t="s">
        <v>1700</v>
      </c>
      <c r="J214" s="19" t="s">
        <v>26</v>
      </c>
      <c r="K214" s="19" t="s">
        <v>1701</v>
      </c>
      <c r="L214" s="86" t="s">
        <v>60</v>
      </c>
      <c r="M214" s="15">
        <v>2022</v>
      </c>
      <c r="N214" s="15" t="str">
        <f t="shared" si="11"/>
        <v>Agustus</v>
      </c>
      <c r="O214" s="15">
        <v>2024</v>
      </c>
      <c r="P214" s="15">
        <v>2022</v>
      </c>
      <c r="Q214" s="15"/>
      <c r="R214" s="16"/>
      <c r="S214" s="15"/>
      <c r="T214" s="15"/>
      <c r="U214" s="15"/>
      <c r="V214" s="15"/>
      <c r="W214" s="15"/>
    </row>
    <row r="215" spans="1:23" s="17" customFormat="1" ht="14.5" x14ac:dyDescent="0.35">
      <c r="A215" s="12">
        <v>214</v>
      </c>
      <c r="B215" s="25" t="s">
        <v>2018</v>
      </c>
      <c r="C215" s="72" t="s">
        <v>2019</v>
      </c>
      <c r="D215" s="14" t="str">
        <f t="shared" si="12"/>
        <v>Laki-Laki</v>
      </c>
      <c r="E215" s="24" t="s">
        <v>104</v>
      </c>
      <c r="F215" s="72" t="s">
        <v>1931</v>
      </c>
      <c r="G215" s="25" t="s">
        <v>1484</v>
      </c>
      <c r="H215" s="19" t="s">
        <v>1536</v>
      </c>
      <c r="I215" s="19" t="s">
        <v>1700</v>
      </c>
      <c r="J215" s="19" t="s">
        <v>26</v>
      </c>
      <c r="K215" s="19" t="s">
        <v>1701</v>
      </c>
      <c r="L215" s="86" t="s">
        <v>60</v>
      </c>
      <c r="M215" s="15">
        <v>2022</v>
      </c>
      <c r="N215" s="15" t="str">
        <f t="shared" si="11"/>
        <v>Agustus</v>
      </c>
      <c r="O215" s="15">
        <v>2024</v>
      </c>
      <c r="P215" s="15">
        <v>2022</v>
      </c>
      <c r="Q215" s="15"/>
      <c r="R215" s="16"/>
      <c r="S215" s="15"/>
      <c r="T215" s="15"/>
      <c r="U215" s="15"/>
      <c r="V215" s="15"/>
      <c r="W215" s="15"/>
    </row>
    <row r="216" spans="1:23" s="17" customFormat="1" ht="14.5" x14ac:dyDescent="0.35">
      <c r="A216" s="12">
        <v>215</v>
      </c>
      <c r="B216" s="25" t="s">
        <v>2020</v>
      </c>
      <c r="C216" s="72" t="s">
        <v>2021</v>
      </c>
      <c r="D216" s="14" t="str">
        <f t="shared" si="12"/>
        <v>Perempuan</v>
      </c>
      <c r="E216" s="24" t="s">
        <v>98</v>
      </c>
      <c r="F216" s="72" t="s">
        <v>1730</v>
      </c>
      <c r="G216" s="25" t="s">
        <v>1484</v>
      </c>
      <c r="H216" s="19" t="s">
        <v>1761</v>
      </c>
      <c r="I216" s="19" t="s">
        <v>485</v>
      </c>
      <c r="J216" s="19" t="s">
        <v>45</v>
      </c>
      <c r="K216" s="19" t="s">
        <v>591</v>
      </c>
      <c r="L216" s="86" t="s">
        <v>60</v>
      </c>
      <c r="M216" s="15">
        <v>2022</v>
      </c>
      <c r="N216" s="15" t="str">
        <f t="shared" si="11"/>
        <v>Agustus</v>
      </c>
      <c r="O216" s="15">
        <v>2026</v>
      </c>
      <c r="P216" s="15">
        <v>2022</v>
      </c>
      <c r="Q216" s="15"/>
      <c r="R216" s="16"/>
      <c r="S216" s="15"/>
      <c r="T216" s="15"/>
      <c r="U216" s="15"/>
      <c r="V216" s="15"/>
      <c r="W216" s="15"/>
    </row>
    <row r="217" spans="1:23" s="17" customFormat="1" ht="28" x14ac:dyDescent="0.35">
      <c r="A217" s="12">
        <v>216</v>
      </c>
      <c r="B217" s="25" t="s">
        <v>2022</v>
      </c>
      <c r="C217" s="72" t="s">
        <v>2023</v>
      </c>
      <c r="D217" s="14" t="str">
        <f t="shared" si="12"/>
        <v>Perempuan</v>
      </c>
      <c r="E217" s="24" t="s">
        <v>104</v>
      </c>
      <c r="F217" s="72" t="s">
        <v>88</v>
      </c>
      <c r="G217" s="25" t="s">
        <v>1484</v>
      </c>
      <c r="H217" s="19" t="s">
        <v>1572</v>
      </c>
      <c r="I217" s="19" t="s">
        <v>2024</v>
      </c>
      <c r="J217" s="19" t="s">
        <v>26</v>
      </c>
      <c r="K217" s="19" t="s">
        <v>204</v>
      </c>
      <c r="L217" s="86" t="s">
        <v>28</v>
      </c>
      <c r="M217" s="15">
        <v>2022</v>
      </c>
      <c r="N217" s="15" t="str">
        <f t="shared" si="11"/>
        <v>September</v>
      </c>
      <c r="O217" s="15">
        <v>2024</v>
      </c>
      <c r="P217" s="15">
        <v>2022</v>
      </c>
      <c r="Q217" s="15"/>
      <c r="R217" s="16"/>
      <c r="S217" s="15"/>
      <c r="T217" s="15"/>
      <c r="U217" s="15"/>
      <c r="V217" s="15"/>
      <c r="W217" s="15"/>
    </row>
    <row r="218" spans="1:23" s="17" customFormat="1" ht="28" x14ac:dyDescent="0.35">
      <c r="A218" s="12">
        <v>217</v>
      </c>
      <c r="B218" s="25" t="s">
        <v>2025</v>
      </c>
      <c r="C218" s="72" t="s">
        <v>2026</v>
      </c>
      <c r="D218" s="14" t="str">
        <f t="shared" si="12"/>
        <v>Perempuan</v>
      </c>
      <c r="E218" s="24" t="s">
        <v>109</v>
      </c>
      <c r="F218" s="72" t="s">
        <v>1841</v>
      </c>
      <c r="G218" s="25" t="s">
        <v>1484</v>
      </c>
      <c r="H218" s="19" t="s">
        <v>1572</v>
      </c>
      <c r="I218" s="19" t="s">
        <v>2024</v>
      </c>
      <c r="J218" s="19" t="s">
        <v>26</v>
      </c>
      <c r="K218" s="19" t="s">
        <v>204</v>
      </c>
      <c r="L218" s="86" t="s">
        <v>28</v>
      </c>
      <c r="M218" s="15">
        <v>2022</v>
      </c>
      <c r="N218" s="15" t="str">
        <f t="shared" si="11"/>
        <v>September</v>
      </c>
      <c r="O218" s="15">
        <v>2024</v>
      </c>
      <c r="P218" s="15">
        <v>2022</v>
      </c>
      <c r="Q218" s="15"/>
      <c r="R218" s="16"/>
      <c r="S218" s="15"/>
      <c r="T218" s="15"/>
      <c r="U218" s="15"/>
      <c r="V218" s="15"/>
      <c r="W218" s="15"/>
    </row>
    <row r="219" spans="1:23" s="17" customFormat="1" ht="42" x14ac:dyDescent="0.35">
      <c r="A219" s="12">
        <v>218</v>
      </c>
      <c r="B219" s="25" t="s">
        <v>2027</v>
      </c>
      <c r="C219" s="72" t="s">
        <v>2028</v>
      </c>
      <c r="D219" s="14" t="str">
        <f t="shared" si="12"/>
        <v>Laki-Laki</v>
      </c>
      <c r="E219" s="24" t="s">
        <v>109</v>
      </c>
      <c r="F219" s="72" t="s">
        <v>2029</v>
      </c>
      <c r="G219" s="25" t="s">
        <v>1484</v>
      </c>
      <c r="H219" s="19" t="s">
        <v>2030</v>
      </c>
      <c r="I219" s="19" t="s">
        <v>2031</v>
      </c>
      <c r="J219" s="19" t="s">
        <v>26</v>
      </c>
      <c r="K219" s="19" t="s">
        <v>46</v>
      </c>
      <c r="L219" s="86" t="s">
        <v>28</v>
      </c>
      <c r="M219" s="15">
        <v>2022</v>
      </c>
      <c r="N219" s="15" t="str">
        <f t="shared" si="11"/>
        <v>September</v>
      </c>
      <c r="O219" s="15">
        <v>2024</v>
      </c>
      <c r="P219" s="15">
        <v>2022</v>
      </c>
      <c r="Q219" s="15"/>
      <c r="R219" s="16"/>
      <c r="S219" s="15"/>
      <c r="T219" s="15"/>
      <c r="U219" s="15"/>
      <c r="V219" s="15"/>
      <c r="W219" s="15"/>
    </row>
    <row r="220" spans="1:23" s="17" customFormat="1" ht="42" x14ac:dyDescent="0.35">
      <c r="A220" s="12">
        <v>219</v>
      </c>
      <c r="B220" s="25" t="s">
        <v>2032</v>
      </c>
      <c r="C220" s="72" t="s">
        <v>2033</v>
      </c>
      <c r="D220" s="14" t="str">
        <f t="shared" si="12"/>
        <v>Perempuan</v>
      </c>
      <c r="E220" s="24" t="s">
        <v>370</v>
      </c>
      <c r="F220" s="72" t="s">
        <v>2034</v>
      </c>
      <c r="G220" s="25" t="s">
        <v>1484</v>
      </c>
      <c r="H220" s="19" t="s">
        <v>2030</v>
      </c>
      <c r="I220" s="19" t="s">
        <v>1751</v>
      </c>
      <c r="J220" s="19" t="s">
        <v>26</v>
      </c>
      <c r="K220" s="19" t="s">
        <v>2035</v>
      </c>
      <c r="L220" s="86" t="s">
        <v>60</v>
      </c>
      <c r="M220" s="15">
        <v>2022</v>
      </c>
      <c r="N220" s="15" t="str">
        <f t="shared" si="11"/>
        <v>Agustus</v>
      </c>
      <c r="O220" s="15">
        <v>2024</v>
      </c>
      <c r="P220" s="15">
        <v>2022</v>
      </c>
      <c r="Q220" s="15"/>
      <c r="R220" s="16"/>
      <c r="S220" s="15"/>
      <c r="T220" s="15"/>
      <c r="U220" s="15"/>
      <c r="V220" s="15"/>
      <c r="W220" s="15"/>
    </row>
    <row r="221" spans="1:23" s="17" customFormat="1" ht="14.5" x14ac:dyDescent="0.35">
      <c r="A221" s="12">
        <v>220</v>
      </c>
      <c r="B221" s="25" t="s">
        <v>2036</v>
      </c>
      <c r="C221" s="69" t="s">
        <v>2037</v>
      </c>
      <c r="D221" s="14" t="str">
        <f t="shared" ref="D221:D258" si="13">IF(MID(C221,15,1)="1","Laki-Laki","Perempuan")</f>
        <v>Laki-Laki</v>
      </c>
      <c r="E221" s="24" t="s">
        <v>116</v>
      </c>
      <c r="F221" s="72" t="s">
        <v>2038</v>
      </c>
      <c r="G221" s="25" t="s">
        <v>1484</v>
      </c>
      <c r="H221" s="19" t="s">
        <v>1838</v>
      </c>
      <c r="I221" s="19" t="s">
        <v>2039</v>
      </c>
      <c r="J221" s="19" t="s">
        <v>45</v>
      </c>
      <c r="K221" s="19" t="s">
        <v>1577</v>
      </c>
      <c r="L221" s="86" t="s">
        <v>28</v>
      </c>
      <c r="M221" s="15">
        <v>2022</v>
      </c>
      <c r="N221" s="15" t="str">
        <f t="shared" si="11"/>
        <v>September</v>
      </c>
      <c r="O221" s="94">
        <v>2026</v>
      </c>
      <c r="P221" s="95"/>
      <c r="Q221" s="95"/>
      <c r="R221" s="95"/>
      <c r="S221" s="96"/>
      <c r="T221" s="96"/>
      <c r="U221" s="96"/>
      <c r="V221" s="96"/>
      <c r="W221" s="96"/>
    </row>
    <row r="222" spans="1:23" s="17" customFormat="1" ht="14.5" x14ac:dyDescent="0.35">
      <c r="A222" s="12">
        <v>221</v>
      </c>
      <c r="B222" s="25" t="s">
        <v>2040</v>
      </c>
      <c r="C222" s="69" t="s">
        <v>2041</v>
      </c>
      <c r="D222" s="14" t="str">
        <f t="shared" si="13"/>
        <v>Perempuan</v>
      </c>
      <c r="E222" s="24" t="s">
        <v>109</v>
      </c>
      <c r="F222" s="72" t="s">
        <v>1807</v>
      </c>
      <c r="G222" s="25" t="s">
        <v>1484</v>
      </c>
      <c r="H222" s="19" t="s">
        <v>2042</v>
      </c>
      <c r="I222" s="19" t="s">
        <v>1751</v>
      </c>
      <c r="J222" s="19" t="s">
        <v>26</v>
      </c>
      <c r="K222" s="19" t="s">
        <v>905</v>
      </c>
      <c r="L222" s="86" t="s">
        <v>60</v>
      </c>
      <c r="M222" s="15">
        <v>2022</v>
      </c>
      <c r="N222" s="15" t="str">
        <f t="shared" si="11"/>
        <v>Agustus</v>
      </c>
      <c r="O222" s="15">
        <v>2024</v>
      </c>
      <c r="P222" s="15">
        <v>2022</v>
      </c>
      <c r="Q222" s="15"/>
      <c r="R222" s="16" t="s">
        <v>29</v>
      </c>
      <c r="S222" s="15"/>
      <c r="T222" s="15"/>
      <c r="U222" s="15"/>
      <c r="V222" s="15"/>
      <c r="W222" s="15"/>
    </row>
    <row r="223" spans="1:23" s="17" customFormat="1" ht="14.5" x14ac:dyDescent="0.35">
      <c r="A223" s="12">
        <v>222</v>
      </c>
      <c r="B223" s="25" t="s">
        <v>2043</v>
      </c>
      <c r="C223" s="69" t="s">
        <v>2044</v>
      </c>
      <c r="D223" s="14" t="str">
        <f t="shared" si="13"/>
        <v>Perempuan</v>
      </c>
      <c r="E223" s="24" t="s">
        <v>370</v>
      </c>
      <c r="F223" s="72" t="s">
        <v>1807</v>
      </c>
      <c r="G223" s="25" t="s">
        <v>1484</v>
      </c>
      <c r="H223" s="19" t="s">
        <v>2042</v>
      </c>
      <c r="I223" s="19" t="s">
        <v>1751</v>
      </c>
      <c r="J223" s="19" t="s">
        <v>26</v>
      </c>
      <c r="K223" s="19" t="s">
        <v>905</v>
      </c>
      <c r="L223" s="86" t="s">
        <v>60</v>
      </c>
      <c r="M223" s="15">
        <v>2022</v>
      </c>
      <c r="N223" s="15" t="str">
        <f t="shared" si="11"/>
        <v>Agustus</v>
      </c>
      <c r="O223" s="15">
        <v>2024</v>
      </c>
      <c r="P223" s="15">
        <v>2022</v>
      </c>
      <c r="Q223" s="15"/>
      <c r="R223" s="16" t="s">
        <v>29</v>
      </c>
      <c r="S223" s="15"/>
      <c r="T223" s="15"/>
      <c r="U223" s="15"/>
      <c r="V223" s="15"/>
      <c r="W223" s="15"/>
    </row>
    <row r="224" spans="1:23" s="17" customFormat="1" ht="14.5" x14ac:dyDescent="0.35">
      <c r="A224" s="12">
        <v>223</v>
      </c>
      <c r="B224" s="25" t="s">
        <v>2045</v>
      </c>
      <c r="C224" s="69" t="s">
        <v>2046</v>
      </c>
      <c r="D224" s="14" t="str">
        <f t="shared" si="13"/>
        <v>Laki-Laki</v>
      </c>
      <c r="E224" s="24" t="s">
        <v>104</v>
      </c>
      <c r="F224" s="72" t="s">
        <v>1719</v>
      </c>
      <c r="G224" s="25" t="s">
        <v>1484</v>
      </c>
      <c r="H224" s="19" t="s">
        <v>1761</v>
      </c>
      <c r="I224" s="19" t="s">
        <v>90</v>
      </c>
      <c r="J224" s="19" t="s">
        <v>45</v>
      </c>
      <c r="K224" s="19" t="s">
        <v>905</v>
      </c>
      <c r="L224" s="86" t="s">
        <v>28</v>
      </c>
      <c r="M224" s="15">
        <v>2022</v>
      </c>
      <c r="N224" s="15" t="str">
        <f t="shared" si="11"/>
        <v>September</v>
      </c>
      <c r="O224" s="15">
        <v>2026</v>
      </c>
      <c r="P224" s="15">
        <v>2022</v>
      </c>
      <c r="Q224" s="15"/>
      <c r="R224" s="16"/>
      <c r="S224" s="15"/>
      <c r="T224" s="15"/>
      <c r="U224" s="15"/>
      <c r="V224" s="15"/>
      <c r="W224" s="15"/>
    </row>
    <row r="225" spans="1:23" s="17" customFormat="1" ht="14.5" x14ac:dyDescent="0.35">
      <c r="A225" s="12">
        <v>224</v>
      </c>
      <c r="B225" s="25" t="s">
        <v>2047</v>
      </c>
      <c r="C225" s="72" t="s">
        <v>2048</v>
      </c>
      <c r="D225" s="14" t="str">
        <f>IF(MID(C225,17,1)="1","Laki-Laki","Perempuan")</f>
        <v>Laki-Laki</v>
      </c>
      <c r="E225" s="24" t="s">
        <v>116</v>
      </c>
      <c r="F225" s="72" t="s">
        <v>1657</v>
      </c>
      <c r="G225" s="25" t="s">
        <v>1484</v>
      </c>
      <c r="H225" s="19" t="s">
        <v>1761</v>
      </c>
      <c r="I225" s="19" t="s">
        <v>90</v>
      </c>
      <c r="J225" s="19" t="s">
        <v>45</v>
      </c>
      <c r="K225" s="19" t="s">
        <v>905</v>
      </c>
      <c r="L225" s="86" t="s">
        <v>28</v>
      </c>
      <c r="M225" s="15">
        <v>2022</v>
      </c>
      <c r="N225" s="15" t="str">
        <f t="shared" si="11"/>
        <v>September</v>
      </c>
      <c r="O225" s="15">
        <v>2026</v>
      </c>
      <c r="P225" s="15">
        <v>2022</v>
      </c>
      <c r="Q225" s="15"/>
      <c r="R225" s="16"/>
      <c r="S225" s="15"/>
      <c r="T225" s="15"/>
      <c r="U225" s="15"/>
      <c r="V225" s="15"/>
      <c r="W225" s="15"/>
    </row>
    <row r="226" spans="1:23" s="17" customFormat="1" ht="28" x14ac:dyDescent="0.35">
      <c r="A226" s="12">
        <v>225</v>
      </c>
      <c r="B226" s="25" t="s">
        <v>2049</v>
      </c>
      <c r="C226" s="69" t="s">
        <v>2050</v>
      </c>
      <c r="D226" s="14" t="str">
        <f t="shared" si="13"/>
        <v>Perempuan</v>
      </c>
      <c r="E226" s="24" t="s">
        <v>104</v>
      </c>
      <c r="F226" s="72" t="s">
        <v>1719</v>
      </c>
      <c r="G226" s="25" t="s">
        <v>1484</v>
      </c>
      <c r="H226" s="19" t="s">
        <v>1761</v>
      </c>
      <c r="I226" s="19" t="s">
        <v>485</v>
      </c>
      <c r="J226" s="19" t="s">
        <v>45</v>
      </c>
      <c r="K226" s="19" t="s">
        <v>295</v>
      </c>
      <c r="L226" s="86" t="s">
        <v>60</v>
      </c>
      <c r="M226" s="15">
        <v>2022</v>
      </c>
      <c r="N226" s="15" t="str">
        <f t="shared" si="11"/>
        <v>Agustus</v>
      </c>
      <c r="O226" s="15">
        <v>2026</v>
      </c>
      <c r="P226" s="15">
        <v>2022</v>
      </c>
      <c r="Q226" s="15"/>
      <c r="R226" s="16"/>
      <c r="S226" s="15"/>
      <c r="T226" s="15"/>
      <c r="U226" s="15"/>
      <c r="V226" s="15"/>
      <c r="W226" s="15"/>
    </row>
    <row r="227" spans="1:23" s="17" customFormat="1" ht="14.5" x14ac:dyDescent="0.35">
      <c r="A227" s="12">
        <v>226</v>
      </c>
      <c r="B227" s="25" t="s">
        <v>2051</v>
      </c>
      <c r="C227" s="69" t="s">
        <v>2052</v>
      </c>
      <c r="D227" s="14" t="str">
        <f t="shared" si="13"/>
        <v>Laki-Laki</v>
      </c>
      <c r="E227" s="24" t="s">
        <v>98</v>
      </c>
      <c r="F227" s="72" t="s">
        <v>88</v>
      </c>
      <c r="G227" s="25" t="s">
        <v>1484</v>
      </c>
      <c r="H227" s="19" t="s">
        <v>2053</v>
      </c>
      <c r="I227" s="19" t="s">
        <v>56</v>
      </c>
      <c r="J227" s="19" t="s">
        <v>81</v>
      </c>
      <c r="K227" s="19" t="s">
        <v>82</v>
      </c>
      <c r="L227" s="86" t="s">
        <v>60</v>
      </c>
      <c r="M227" s="15">
        <v>2022</v>
      </c>
      <c r="N227" s="15" t="str">
        <f t="shared" si="11"/>
        <v>Agustus</v>
      </c>
      <c r="O227" s="15">
        <v>2026</v>
      </c>
      <c r="P227" s="15">
        <v>2022</v>
      </c>
      <c r="Q227" s="15"/>
      <c r="R227" s="16"/>
      <c r="S227" s="15"/>
      <c r="T227" s="15"/>
      <c r="U227" s="15"/>
      <c r="V227" s="15"/>
      <c r="W227" s="15"/>
    </row>
    <row r="228" spans="1:23" s="17" customFormat="1" ht="14.5" x14ac:dyDescent="0.35">
      <c r="A228" s="12">
        <v>227</v>
      </c>
      <c r="B228" s="25" t="s">
        <v>2054</v>
      </c>
      <c r="C228" s="69" t="s">
        <v>2055</v>
      </c>
      <c r="D228" s="14" t="str">
        <f t="shared" si="13"/>
        <v>Laki-Laki</v>
      </c>
      <c r="E228" s="24" t="s">
        <v>126</v>
      </c>
      <c r="F228" s="72" t="s">
        <v>2056</v>
      </c>
      <c r="G228" s="25" t="s">
        <v>1484</v>
      </c>
      <c r="H228" s="19" t="s">
        <v>1870</v>
      </c>
      <c r="I228" s="19" t="s">
        <v>911</v>
      </c>
      <c r="J228" s="19" t="s">
        <v>26</v>
      </c>
      <c r="K228" s="19" t="s">
        <v>221</v>
      </c>
      <c r="L228" s="86" t="s">
        <v>28</v>
      </c>
      <c r="M228" s="15">
        <v>2022</v>
      </c>
      <c r="N228" s="15" t="str">
        <f t="shared" si="11"/>
        <v>September</v>
      </c>
      <c r="O228" s="15">
        <v>2024</v>
      </c>
      <c r="P228" s="15">
        <v>2022</v>
      </c>
      <c r="Q228" s="15"/>
      <c r="R228" s="16"/>
      <c r="S228" s="15"/>
      <c r="T228" s="15"/>
      <c r="U228" s="15"/>
      <c r="V228" s="15"/>
      <c r="W228" s="15"/>
    </row>
    <row r="229" spans="1:23" s="17" customFormat="1" ht="28" x14ac:dyDescent="0.35">
      <c r="A229" s="12">
        <v>228</v>
      </c>
      <c r="B229" s="73" t="s">
        <v>2840</v>
      </c>
      <c r="C229" s="72" t="s">
        <v>2057</v>
      </c>
      <c r="D229" s="14" t="str">
        <f>IF(MID(C229,17,1)="1","Laki-Laki","Perempuan")</f>
        <v>Perempuan</v>
      </c>
      <c r="E229" s="24" t="s">
        <v>116</v>
      </c>
      <c r="F229" s="72" t="s">
        <v>142</v>
      </c>
      <c r="G229" s="25" t="s">
        <v>1484</v>
      </c>
      <c r="H229" s="19" t="s">
        <v>1514</v>
      </c>
      <c r="I229" s="19" t="s">
        <v>90</v>
      </c>
      <c r="J229" s="19" t="s">
        <v>45</v>
      </c>
      <c r="K229" s="19" t="s">
        <v>46</v>
      </c>
      <c r="L229" s="86" t="s">
        <v>169</v>
      </c>
      <c r="M229" s="15">
        <v>2022</v>
      </c>
      <c r="N229" s="15" t="str">
        <f t="shared" si="11"/>
        <v>Oktober</v>
      </c>
      <c r="O229" s="15">
        <v>2026</v>
      </c>
      <c r="P229" s="15">
        <v>2022</v>
      </c>
      <c r="Q229" s="15"/>
      <c r="R229" s="16"/>
      <c r="S229" s="15"/>
      <c r="T229" s="15"/>
      <c r="U229" s="15"/>
      <c r="V229" s="15"/>
      <c r="W229" s="15"/>
    </row>
    <row r="230" spans="1:23" s="17" customFormat="1" ht="14.5" x14ac:dyDescent="0.35">
      <c r="A230" s="12">
        <v>229</v>
      </c>
      <c r="B230" s="25" t="s">
        <v>2058</v>
      </c>
      <c r="C230" s="69" t="s">
        <v>2059</v>
      </c>
      <c r="D230" s="14" t="str">
        <f t="shared" si="13"/>
        <v>Laki-Laki</v>
      </c>
      <c r="E230" s="24" t="s">
        <v>471</v>
      </c>
      <c r="F230" s="72" t="s">
        <v>1791</v>
      </c>
      <c r="G230" s="25" t="s">
        <v>1484</v>
      </c>
      <c r="H230" s="19" t="s">
        <v>1761</v>
      </c>
      <c r="I230" s="19" t="s">
        <v>466</v>
      </c>
      <c r="J230" s="19" t="s">
        <v>26</v>
      </c>
      <c r="K230" s="19" t="s">
        <v>449</v>
      </c>
      <c r="L230" s="86" t="s">
        <v>28</v>
      </c>
      <c r="M230" s="15">
        <v>2022</v>
      </c>
      <c r="N230" s="15" t="str">
        <f t="shared" si="11"/>
        <v>September</v>
      </c>
      <c r="O230" s="15">
        <v>2023</v>
      </c>
      <c r="P230" s="15">
        <v>2022</v>
      </c>
      <c r="Q230" s="15"/>
      <c r="R230" s="16" t="s">
        <v>29</v>
      </c>
      <c r="S230" s="15"/>
      <c r="T230" s="15"/>
      <c r="U230" s="15"/>
      <c r="V230" s="15"/>
      <c r="W230" s="15"/>
    </row>
    <row r="231" spans="1:23" s="17" customFormat="1" ht="14.5" x14ac:dyDescent="0.35">
      <c r="A231" s="12">
        <v>230</v>
      </c>
      <c r="B231" s="25" t="s">
        <v>2060</v>
      </c>
      <c r="C231" s="69" t="s">
        <v>2061</v>
      </c>
      <c r="D231" s="14" t="str">
        <f t="shared" si="13"/>
        <v>Perempuan</v>
      </c>
      <c r="E231" s="24" t="s">
        <v>471</v>
      </c>
      <c r="F231" s="72" t="s">
        <v>1791</v>
      </c>
      <c r="G231" s="25" t="s">
        <v>1484</v>
      </c>
      <c r="H231" s="19" t="s">
        <v>1761</v>
      </c>
      <c r="I231" s="19" t="s">
        <v>466</v>
      </c>
      <c r="J231" s="19" t="s">
        <v>26</v>
      </c>
      <c r="K231" s="19" t="s">
        <v>449</v>
      </c>
      <c r="L231" s="86" t="s">
        <v>28</v>
      </c>
      <c r="M231" s="15">
        <v>2022</v>
      </c>
      <c r="N231" s="15" t="str">
        <f t="shared" si="11"/>
        <v>September</v>
      </c>
      <c r="O231" s="15">
        <v>2024</v>
      </c>
      <c r="P231" s="15">
        <v>2022</v>
      </c>
      <c r="Q231" s="15"/>
      <c r="R231" s="16" t="s">
        <v>29</v>
      </c>
      <c r="S231" s="15"/>
      <c r="T231" s="15"/>
      <c r="U231" s="15"/>
      <c r="V231" s="15"/>
      <c r="W231" s="15"/>
    </row>
    <row r="232" spans="1:23" s="17" customFormat="1" ht="14.5" x14ac:dyDescent="0.35">
      <c r="A232" s="12">
        <v>231</v>
      </c>
      <c r="B232" s="25" t="s">
        <v>2062</v>
      </c>
      <c r="C232" s="69" t="s">
        <v>2063</v>
      </c>
      <c r="D232" s="14" t="str">
        <f t="shared" si="13"/>
        <v>Laki-Laki</v>
      </c>
      <c r="E232" s="24" t="s">
        <v>104</v>
      </c>
      <c r="F232" s="72" t="s">
        <v>2064</v>
      </c>
      <c r="G232" s="25" t="s">
        <v>1484</v>
      </c>
      <c r="H232" s="19" t="s">
        <v>2065</v>
      </c>
      <c r="I232" s="19" t="s">
        <v>90</v>
      </c>
      <c r="J232" s="19" t="s">
        <v>45</v>
      </c>
      <c r="K232" s="19" t="s">
        <v>2066</v>
      </c>
      <c r="L232" s="86" t="s">
        <v>28</v>
      </c>
      <c r="M232" s="15">
        <v>2022</v>
      </c>
      <c r="N232" s="15" t="str">
        <f t="shared" si="11"/>
        <v>September</v>
      </c>
      <c r="O232" s="15">
        <v>2026</v>
      </c>
      <c r="P232" s="15">
        <v>2022</v>
      </c>
      <c r="Q232" s="15"/>
      <c r="R232" s="16" t="s">
        <v>51</v>
      </c>
      <c r="S232" s="15"/>
      <c r="T232" s="15"/>
      <c r="U232" s="15"/>
      <c r="V232" s="15"/>
      <c r="W232" s="15"/>
    </row>
    <row r="233" spans="1:23" s="17" customFormat="1" ht="14.5" x14ac:dyDescent="0.35">
      <c r="A233" s="12">
        <v>232</v>
      </c>
      <c r="B233" s="25" t="s">
        <v>2067</v>
      </c>
      <c r="C233" s="69" t="s">
        <v>2068</v>
      </c>
      <c r="D233" s="14" t="str">
        <f t="shared" si="13"/>
        <v>Laki-Laki</v>
      </c>
      <c r="E233" s="24" t="s">
        <v>104</v>
      </c>
      <c r="F233" s="72" t="s">
        <v>88</v>
      </c>
      <c r="G233" s="25" t="s">
        <v>1484</v>
      </c>
      <c r="H233" s="19" t="s">
        <v>2069</v>
      </c>
      <c r="I233" s="19" t="s">
        <v>90</v>
      </c>
      <c r="J233" s="19" t="s">
        <v>45</v>
      </c>
      <c r="K233" s="19" t="s">
        <v>46</v>
      </c>
      <c r="L233" s="86" t="s">
        <v>28</v>
      </c>
      <c r="M233" s="15">
        <v>2022</v>
      </c>
      <c r="N233" s="15" t="str">
        <f t="shared" si="11"/>
        <v>September</v>
      </c>
      <c r="O233" s="15"/>
      <c r="P233" s="15">
        <v>2022</v>
      </c>
      <c r="Q233" s="15"/>
      <c r="R233" s="16"/>
      <c r="S233" s="15"/>
      <c r="T233" s="15"/>
      <c r="U233" s="15"/>
      <c r="V233" s="15"/>
      <c r="W233" s="15"/>
    </row>
    <row r="234" spans="1:23" s="17" customFormat="1" ht="28" x14ac:dyDescent="0.35">
      <c r="A234" s="12">
        <v>233</v>
      </c>
      <c r="B234" s="25" t="s">
        <v>2070</v>
      </c>
      <c r="C234" s="69" t="s">
        <v>2071</v>
      </c>
      <c r="D234" s="14" t="str">
        <f t="shared" si="13"/>
        <v>Laki-Laki</v>
      </c>
      <c r="E234" s="24" t="s">
        <v>116</v>
      </c>
      <c r="F234" s="72" t="s">
        <v>1730</v>
      </c>
      <c r="G234" s="25" t="s">
        <v>1484</v>
      </c>
      <c r="H234" s="19" t="s">
        <v>1761</v>
      </c>
      <c r="I234" s="19" t="s">
        <v>2072</v>
      </c>
      <c r="J234" s="19" t="s">
        <v>45</v>
      </c>
      <c r="K234" s="19" t="s">
        <v>2073</v>
      </c>
      <c r="L234" s="86" t="s">
        <v>28</v>
      </c>
      <c r="M234" s="15">
        <v>2022</v>
      </c>
      <c r="N234" s="15" t="str">
        <f t="shared" si="11"/>
        <v>September</v>
      </c>
      <c r="O234" s="15">
        <v>2026</v>
      </c>
      <c r="P234" s="15">
        <v>2022</v>
      </c>
      <c r="Q234" s="15"/>
      <c r="R234" s="16"/>
      <c r="S234" s="15"/>
      <c r="T234" s="15"/>
      <c r="U234" s="15"/>
      <c r="V234" s="15"/>
      <c r="W234" s="15"/>
    </row>
    <row r="235" spans="1:23" s="17" customFormat="1" ht="14.5" x14ac:dyDescent="0.35">
      <c r="A235" s="12">
        <v>234</v>
      </c>
      <c r="B235" s="25" t="s">
        <v>2074</v>
      </c>
      <c r="C235" s="69" t="s">
        <v>2075</v>
      </c>
      <c r="D235" s="14" t="str">
        <f t="shared" si="13"/>
        <v>Perempuan</v>
      </c>
      <c r="E235" s="24" t="s">
        <v>116</v>
      </c>
      <c r="F235" s="72" t="s">
        <v>1414</v>
      </c>
      <c r="G235" s="25" t="s">
        <v>1484</v>
      </c>
      <c r="H235" s="19" t="s">
        <v>2076</v>
      </c>
      <c r="I235" s="19" t="s">
        <v>2077</v>
      </c>
      <c r="J235" s="19" t="s">
        <v>45</v>
      </c>
      <c r="K235" s="19" t="s">
        <v>46</v>
      </c>
      <c r="L235" s="86" t="s">
        <v>28</v>
      </c>
      <c r="M235" s="15">
        <v>2022</v>
      </c>
      <c r="N235" s="15" t="str">
        <f t="shared" si="11"/>
        <v>September</v>
      </c>
      <c r="O235" s="15">
        <v>2023</v>
      </c>
      <c r="P235" s="15">
        <v>2022</v>
      </c>
      <c r="Q235" s="15"/>
      <c r="R235" s="16" t="s">
        <v>29</v>
      </c>
      <c r="S235" s="15"/>
      <c r="T235" s="15"/>
      <c r="U235" s="15"/>
      <c r="V235" s="15"/>
      <c r="W235" s="15"/>
    </row>
    <row r="236" spans="1:23" s="17" customFormat="1" ht="14.5" x14ac:dyDescent="0.35">
      <c r="A236" s="12">
        <v>235</v>
      </c>
      <c r="B236" s="73" t="s">
        <v>2841</v>
      </c>
      <c r="C236" s="69" t="s">
        <v>2078</v>
      </c>
      <c r="D236" s="14" t="str">
        <f t="shared" si="13"/>
        <v>Laki-Laki</v>
      </c>
      <c r="E236" s="24" t="s">
        <v>370</v>
      </c>
      <c r="F236" s="72" t="s">
        <v>766</v>
      </c>
      <c r="G236" s="25" t="s">
        <v>1484</v>
      </c>
      <c r="H236" s="19" t="s">
        <v>2076</v>
      </c>
      <c r="I236" s="19" t="s">
        <v>2077</v>
      </c>
      <c r="J236" s="19" t="s">
        <v>45</v>
      </c>
      <c r="K236" s="19" t="s">
        <v>46</v>
      </c>
      <c r="L236" s="86" t="s">
        <v>28</v>
      </c>
      <c r="M236" s="15">
        <v>2022</v>
      </c>
      <c r="N236" s="15" t="str">
        <f t="shared" si="11"/>
        <v>September</v>
      </c>
      <c r="O236" s="15">
        <v>2023</v>
      </c>
      <c r="P236" s="15">
        <v>2022</v>
      </c>
      <c r="Q236" s="15"/>
      <c r="R236" s="16" t="s">
        <v>29</v>
      </c>
      <c r="S236" s="15"/>
      <c r="T236" s="15"/>
      <c r="U236" s="15"/>
      <c r="V236" s="15"/>
      <c r="W236" s="15"/>
    </row>
    <row r="237" spans="1:23" s="17" customFormat="1" ht="14.5" x14ac:dyDescent="0.35">
      <c r="A237" s="12">
        <v>236</v>
      </c>
      <c r="B237" s="25" t="s">
        <v>2079</v>
      </c>
      <c r="C237" s="69" t="s">
        <v>2080</v>
      </c>
      <c r="D237" s="14" t="str">
        <f t="shared" si="13"/>
        <v>Laki-Laki</v>
      </c>
      <c r="E237" s="24" t="s">
        <v>104</v>
      </c>
      <c r="F237" s="72" t="s">
        <v>2081</v>
      </c>
      <c r="G237" s="25" t="s">
        <v>1484</v>
      </c>
      <c r="H237" s="19" t="s">
        <v>2076</v>
      </c>
      <c r="I237" s="19" t="s">
        <v>2077</v>
      </c>
      <c r="J237" s="19" t="s">
        <v>45</v>
      </c>
      <c r="K237" s="19" t="s">
        <v>46</v>
      </c>
      <c r="L237" s="86" t="s">
        <v>28</v>
      </c>
      <c r="M237" s="15">
        <v>2022</v>
      </c>
      <c r="N237" s="15" t="str">
        <f t="shared" si="11"/>
        <v>September</v>
      </c>
      <c r="O237" s="15">
        <v>2023</v>
      </c>
      <c r="P237" s="15">
        <v>2022</v>
      </c>
      <c r="Q237" s="15"/>
      <c r="R237" s="16" t="s">
        <v>29</v>
      </c>
      <c r="S237" s="15"/>
      <c r="T237" s="15"/>
      <c r="U237" s="15"/>
      <c r="V237" s="15"/>
      <c r="W237" s="15"/>
    </row>
    <row r="238" spans="1:23" s="17" customFormat="1" ht="28" x14ac:dyDescent="0.35">
      <c r="A238" s="12">
        <v>237</v>
      </c>
      <c r="B238" s="25" t="s">
        <v>2082</v>
      </c>
      <c r="C238" s="69" t="s">
        <v>2083</v>
      </c>
      <c r="D238" s="14" t="str">
        <f t="shared" si="13"/>
        <v>Perempuan</v>
      </c>
      <c r="E238" s="24" t="s">
        <v>109</v>
      </c>
      <c r="F238" s="72" t="s">
        <v>2084</v>
      </c>
      <c r="G238" s="25" t="s">
        <v>1484</v>
      </c>
      <c r="H238" s="19" t="s">
        <v>2085</v>
      </c>
      <c r="I238" s="19" t="s">
        <v>56</v>
      </c>
      <c r="J238" s="12" t="s">
        <v>26</v>
      </c>
      <c r="K238" s="19" t="s">
        <v>57</v>
      </c>
      <c r="L238" s="86" t="s">
        <v>60</v>
      </c>
      <c r="M238" s="15">
        <v>2022</v>
      </c>
      <c r="N238" s="15" t="str">
        <f t="shared" si="11"/>
        <v>Agustus</v>
      </c>
      <c r="O238" s="15">
        <v>2024</v>
      </c>
      <c r="P238" s="15">
        <v>2022</v>
      </c>
      <c r="Q238" s="15"/>
      <c r="R238" s="16" t="s">
        <v>29</v>
      </c>
      <c r="S238" s="15"/>
      <c r="T238" s="15"/>
      <c r="U238" s="15"/>
      <c r="V238" s="15"/>
      <c r="W238" s="15"/>
    </row>
    <row r="239" spans="1:23" s="17" customFormat="1" ht="28" x14ac:dyDescent="0.35">
      <c r="A239" s="12">
        <v>238</v>
      </c>
      <c r="B239" s="25" t="s">
        <v>2086</v>
      </c>
      <c r="C239" s="69" t="s">
        <v>2087</v>
      </c>
      <c r="D239" s="14" t="str">
        <f t="shared" si="13"/>
        <v>Laki-Laki</v>
      </c>
      <c r="E239" s="24" t="s">
        <v>109</v>
      </c>
      <c r="F239" s="72" t="s">
        <v>558</v>
      </c>
      <c r="G239" s="25" t="s">
        <v>1484</v>
      </c>
      <c r="H239" s="19" t="s">
        <v>2085</v>
      </c>
      <c r="I239" s="19" t="s">
        <v>56</v>
      </c>
      <c r="J239" s="12" t="s">
        <v>26</v>
      </c>
      <c r="K239" s="19" t="s">
        <v>57</v>
      </c>
      <c r="L239" s="86" t="s">
        <v>60</v>
      </c>
      <c r="M239" s="15">
        <v>2022</v>
      </c>
      <c r="N239" s="15" t="str">
        <f t="shared" si="11"/>
        <v>Agustus</v>
      </c>
      <c r="O239" s="15">
        <v>2024</v>
      </c>
      <c r="P239" s="15">
        <v>2022</v>
      </c>
      <c r="Q239" s="15"/>
      <c r="R239" s="16" t="s">
        <v>29</v>
      </c>
      <c r="S239" s="15"/>
      <c r="T239" s="15"/>
      <c r="U239" s="15"/>
      <c r="V239" s="15"/>
      <c r="W239" s="15"/>
    </row>
    <row r="240" spans="1:23" s="17" customFormat="1" ht="14.5" x14ac:dyDescent="0.35">
      <c r="A240" s="12">
        <v>239</v>
      </c>
      <c r="B240" s="73" t="s">
        <v>2842</v>
      </c>
      <c r="C240" s="69" t="s">
        <v>2088</v>
      </c>
      <c r="D240" s="14" t="str">
        <f t="shared" si="13"/>
        <v>Perempuan</v>
      </c>
      <c r="E240" s="24" t="s">
        <v>116</v>
      </c>
      <c r="F240" s="72" t="s">
        <v>2089</v>
      </c>
      <c r="G240" s="25" t="s">
        <v>1484</v>
      </c>
      <c r="H240" s="19" t="s">
        <v>2069</v>
      </c>
      <c r="I240" s="19" t="s">
        <v>90</v>
      </c>
      <c r="J240" s="19" t="s">
        <v>45</v>
      </c>
      <c r="K240" s="19" t="s">
        <v>46</v>
      </c>
      <c r="L240" s="86" t="s">
        <v>160</v>
      </c>
      <c r="M240" s="15">
        <v>2022</v>
      </c>
      <c r="N240" s="15" t="str">
        <f t="shared" si="11"/>
        <v>Juli</v>
      </c>
      <c r="O240" s="15">
        <v>2026</v>
      </c>
      <c r="P240" s="15">
        <v>2022</v>
      </c>
      <c r="Q240" s="15"/>
      <c r="R240" s="16" t="s">
        <v>51</v>
      </c>
      <c r="S240" s="15"/>
      <c r="T240" s="15"/>
      <c r="U240" s="15"/>
      <c r="V240" s="15"/>
      <c r="W240" s="15"/>
    </row>
    <row r="241" spans="1:23" s="17" customFormat="1" ht="14.5" x14ac:dyDescent="0.35">
      <c r="A241" s="12">
        <v>240</v>
      </c>
      <c r="B241" s="73" t="s">
        <v>2843</v>
      </c>
      <c r="C241" s="69" t="s">
        <v>2090</v>
      </c>
      <c r="D241" s="14" t="str">
        <f t="shared" si="13"/>
        <v>Laki-Laki</v>
      </c>
      <c r="E241" s="24" t="s">
        <v>126</v>
      </c>
      <c r="F241" s="72"/>
      <c r="G241" s="25" t="s">
        <v>1484</v>
      </c>
      <c r="H241" s="19" t="s">
        <v>2091</v>
      </c>
      <c r="I241" s="19" t="s">
        <v>90</v>
      </c>
      <c r="J241" s="19" t="s">
        <v>45</v>
      </c>
      <c r="K241" s="19" t="s">
        <v>905</v>
      </c>
      <c r="L241" s="86" t="s">
        <v>462</v>
      </c>
      <c r="M241" s="15">
        <v>2020</v>
      </c>
      <c r="N241" s="15" t="str">
        <f t="shared" si="11"/>
        <v xml:space="preserve">Februari </v>
      </c>
      <c r="O241" s="15">
        <v>2024</v>
      </c>
      <c r="P241" s="15">
        <v>2022</v>
      </c>
      <c r="Q241" s="15"/>
      <c r="R241" s="16" t="s">
        <v>29</v>
      </c>
      <c r="S241" s="15"/>
      <c r="T241" s="15"/>
      <c r="U241" s="15"/>
      <c r="V241" s="15"/>
      <c r="W241" s="15"/>
    </row>
    <row r="242" spans="1:23" s="17" customFormat="1" ht="28" x14ac:dyDescent="0.35">
      <c r="A242" s="12">
        <v>241</v>
      </c>
      <c r="B242" s="72" t="s">
        <v>2092</v>
      </c>
      <c r="C242" s="69" t="s">
        <v>2093</v>
      </c>
      <c r="D242" s="14" t="str">
        <f t="shared" si="13"/>
        <v>Perempuan</v>
      </c>
      <c r="E242" s="24" t="s">
        <v>98</v>
      </c>
      <c r="F242" s="72"/>
      <c r="G242" s="25" t="s">
        <v>1484</v>
      </c>
      <c r="H242" s="19" t="s">
        <v>2094</v>
      </c>
      <c r="I242" s="19" t="s">
        <v>90</v>
      </c>
      <c r="J242" s="19" t="s">
        <v>81</v>
      </c>
      <c r="K242" s="19" t="s">
        <v>117</v>
      </c>
      <c r="L242" s="86" t="s">
        <v>123</v>
      </c>
      <c r="M242" s="15">
        <v>2021</v>
      </c>
      <c r="N242" s="15" t="str">
        <f t="shared" si="11"/>
        <v xml:space="preserve">Maret </v>
      </c>
      <c r="O242" s="15">
        <v>2025</v>
      </c>
      <c r="P242" s="15">
        <v>2022</v>
      </c>
      <c r="Q242" s="15"/>
      <c r="R242" s="16" t="s">
        <v>51</v>
      </c>
      <c r="S242" s="15"/>
      <c r="T242" s="15"/>
      <c r="U242" s="15"/>
      <c r="V242" s="15"/>
      <c r="W242" s="15"/>
    </row>
    <row r="243" spans="1:23" s="17" customFormat="1" ht="14.5" x14ac:dyDescent="0.35">
      <c r="A243" s="12">
        <v>242</v>
      </c>
      <c r="B243" s="25" t="s">
        <v>2095</v>
      </c>
      <c r="C243" s="69" t="s">
        <v>2096</v>
      </c>
      <c r="D243" s="14" t="str">
        <f t="shared" si="13"/>
        <v>Laki-Laki</v>
      </c>
      <c r="E243" s="24" t="s">
        <v>98</v>
      </c>
      <c r="F243" s="72" t="s">
        <v>1730</v>
      </c>
      <c r="G243" s="25" t="s">
        <v>1484</v>
      </c>
      <c r="H243" s="19" t="s">
        <v>1761</v>
      </c>
      <c r="I243" s="19" t="s">
        <v>90</v>
      </c>
      <c r="J243" s="19" t="s">
        <v>45</v>
      </c>
      <c r="K243" s="19" t="s">
        <v>905</v>
      </c>
      <c r="L243" s="86" t="s">
        <v>28</v>
      </c>
      <c r="M243" s="15">
        <v>2023</v>
      </c>
      <c r="N243" s="15" t="str">
        <f t="shared" si="11"/>
        <v>September</v>
      </c>
      <c r="O243" s="15">
        <v>2027</v>
      </c>
      <c r="P243" s="15">
        <v>2024</v>
      </c>
      <c r="Q243" s="15"/>
      <c r="R243" s="16"/>
      <c r="S243" s="15"/>
      <c r="T243" s="15"/>
      <c r="U243" s="15"/>
      <c r="V243" s="15"/>
      <c r="W243" s="15"/>
    </row>
    <row r="244" spans="1:23" s="17" customFormat="1" ht="14.5" x14ac:dyDescent="0.35">
      <c r="A244" s="12">
        <v>243</v>
      </c>
      <c r="B244" s="25" t="s">
        <v>2097</v>
      </c>
      <c r="C244" s="69" t="s">
        <v>2098</v>
      </c>
      <c r="D244" s="14" t="str">
        <f t="shared" si="13"/>
        <v>Laki-Laki</v>
      </c>
      <c r="E244" s="24" t="s">
        <v>87</v>
      </c>
      <c r="F244" s="72" t="s">
        <v>1722</v>
      </c>
      <c r="G244" s="25" t="s">
        <v>1484</v>
      </c>
      <c r="H244" s="19" t="s">
        <v>1761</v>
      </c>
      <c r="I244" s="19" t="s">
        <v>90</v>
      </c>
      <c r="J244" s="19" t="s">
        <v>45</v>
      </c>
      <c r="K244" s="19" t="s">
        <v>905</v>
      </c>
      <c r="L244" s="86" t="s">
        <v>28</v>
      </c>
      <c r="M244" s="15">
        <v>2023</v>
      </c>
      <c r="N244" s="15" t="str">
        <f t="shared" si="11"/>
        <v>September</v>
      </c>
      <c r="O244" s="15">
        <v>2027</v>
      </c>
      <c r="P244" s="15">
        <v>2024</v>
      </c>
      <c r="Q244" s="15"/>
      <c r="R244" s="16"/>
      <c r="S244" s="15"/>
      <c r="T244" s="15"/>
      <c r="U244" s="15"/>
      <c r="V244" s="15"/>
      <c r="W244" s="15"/>
    </row>
    <row r="245" spans="1:23" s="17" customFormat="1" ht="14.5" x14ac:dyDescent="0.35">
      <c r="A245" s="12">
        <v>244</v>
      </c>
      <c r="B245" s="25" t="s">
        <v>2099</v>
      </c>
      <c r="C245" s="69" t="s">
        <v>2100</v>
      </c>
      <c r="D245" s="14" t="str">
        <f t="shared" si="13"/>
        <v>Laki-Laki</v>
      </c>
      <c r="E245" s="24" t="s">
        <v>104</v>
      </c>
      <c r="F245" s="72" t="s">
        <v>2101</v>
      </c>
      <c r="G245" s="25" t="s">
        <v>1484</v>
      </c>
      <c r="H245" s="19" t="s">
        <v>1547</v>
      </c>
      <c r="I245" s="19" t="s">
        <v>2102</v>
      </c>
      <c r="J245" s="19" t="s">
        <v>45</v>
      </c>
      <c r="K245" s="19" t="s">
        <v>204</v>
      </c>
      <c r="L245" s="86" t="s">
        <v>169</v>
      </c>
      <c r="M245" s="15">
        <v>2023</v>
      </c>
      <c r="N245" s="15" t="str">
        <f t="shared" si="11"/>
        <v>Oktober</v>
      </c>
      <c r="O245" s="15">
        <v>2027</v>
      </c>
      <c r="P245" s="15">
        <v>2024</v>
      </c>
      <c r="Q245" s="15"/>
      <c r="R245" s="16"/>
      <c r="S245" s="15"/>
      <c r="T245" s="15"/>
      <c r="U245" s="15"/>
      <c r="V245" s="15"/>
      <c r="W245" s="15"/>
    </row>
    <row r="246" spans="1:23" s="17" customFormat="1" ht="14.5" x14ac:dyDescent="0.35">
      <c r="A246" s="12">
        <v>245</v>
      </c>
      <c r="B246" s="25" t="s">
        <v>2103</v>
      </c>
      <c r="C246" s="69" t="s">
        <v>2104</v>
      </c>
      <c r="D246" s="14" t="str">
        <f t="shared" si="13"/>
        <v>Laki-Laki</v>
      </c>
      <c r="E246" s="24" t="s">
        <v>104</v>
      </c>
      <c r="F246" s="72" t="s">
        <v>1657</v>
      </c>
      <c r="G246" s="25" t="s">
        <v>1484</v>
      </c>
      <c r="H246" s="19" t="s">
        <v>1547</v>
      </c>
      <c r="I246" s="19" t="s">
        <v>90</v>
      </c>
      <c r="J246" s="19" t="s">
        <v>45</v>
      </c>
      <c r="K246" s="19" t="s">
        <v>905</v>
      </c>
      <c r="L246" s="86" t="s">
        <v>169</v>
      </c>
      <c r="M246" s="15">
        <v>2023</v>
      </c>
      <c r="N246" s="15" t="str">
        <f t="shared" si="11"/>
        <v>Oktober</v>
      </c>
      <c r="O246" s="15">
        <v>2027</v>
      </c>
      <c r="P246" s="15">
        <v>2024</v>
      </c>
      <c r="Q246" s="15"/>
      <c r="R246" s="16"/>
      <c r="S246" s="15"/>
      <c r="T246" s="15"/>
      <c r="U246" s="15"/>
      <c r="V246" s="15"/>
      <c r="W246" s="15"/>
    </row>
    <row r="247" spans="1:23" s="17" customFormat="1" ht="14.5" x14ac:dyDescent="0.35">
      <c r="A247" s="12">
        <v>246</v>
      </c>
      <c r="B247" s="25" t="s">
        <v>2105</v>
      </c>
      <c r="C247" s="69" t="s">
        <v>2106</v>
      </c>
      <c r="D247" s="14" t="str">
        <f t="shared" si="13"/>
        <v>Laki-Laki</v>
      </c>
      <c r="E247" s="24" t="s">
        <v>382</v>
      </c>
      <c r="F247" s="72" t="s">
        <v>2107</v>
      </c>
      <c r="G247" s="25" t="s">
        <v>1484</v>
      </c>
      <c r="H247" s="19" t="s">
        <v>1547</v>
      </c>
      <c r="I247" s="19" t="s">
        <v>90</v>
      </c>
      <c r="J247" s="19" t="s">
        <v>45</v>
      </c>
      <c r="K247" s="19" t="s">
        <v>905</v>
      </c>
      <c r="L247" s="86" t="s">
        <v>169</v>
      </c>
      <c r="M247" s="15">
        <v>2023</v>
      </c>
      <c r="N247" s="15" t="str">
        <f t="shared" si="11"/>
        <v>Oktober</v>
      </c>
      <c r="O247" s="15">
        <v>2027</v>
      </c>
      <c r="P247" s="15">
        <v>2024</v>
      </c>
      <c r="Q247" s="15"/>
      <c r="R247" s="16"/>
      <c r="S247" s="15"/>
      <c r="T247" s="15"/>
      <c r="U247" s="15"/>
      <c r="V247" s="15"/>
      <c r="W247" s="15"/>
    </row>
    <row r="248" spans="1:23" s="17" customFormat="1" ht="28" x14ac:dyDescent="0.35">
      <c r="A248" s="12">
        <v>247</v>
      </c>
      <c r="B248" s="25" t="s">
        <v>2108</v>
      </c>
      <c r="C248" s="69" t="s">
        <v>2109</v>
      </c>
      <c r="D248" s="14" t="str">
        <f t="shared" si="13"/>
        <v>Perempuan</v>
      </c>
      <c r="E248" s="24" t="s">
        <v>109</v>
      </c>
      <c r="F248" s="72" t="s">
        <v>1807</v>
      </c>
      <c r="G248" s="25" t="s">
        <v>2110</v>
      </c>
      <c r="H248" s="19" t="s">
        <v>2111</v>
      </c>
      <c r="I248" s="19" t="s">
        <v>2112</v>
      </c>
      <c r="J248" s="19" t="s">
        <v>26</v>
      </c>
      <c r="K248" s="19" t="s">
        <v>1238</v>
      </c>
      <c r="L248" s="86" t="s">
        <v>28</v>
      </c>
      <c r="M248" s="15">
        <v>2023</v>
      </c>
      <c r="N248" s="15" t="str">
        <f t="shared" si="11"/>
        <v>September</v>
      </c>
      <c r="O248" s="15">
        <v>2025</v>
      </c>
      <c r="P248" s="15">
        <v>2024</v>
      </c>
      <c r="Q248" s="15"/>
      <c r="R248" s="16"/>
      <c r="S248" s="15"/>
      <c r="T248" s="15"/>
      <c r="U248" s="15"/>
      <c r="V248" s="15"/>
      <c r="W248" s="15"/>
    </row>
    <row r="249" spans="1:23" s="17" customFormat="1" ht="28" x14ac:dyDescent="0.35">
      <c r="A249" s="12">
        <v>248</v>
      </c>
      <c r="B249" s="25" t="s">
        <v>2113</v>
      </c>
      <c r="C249" s="69" t="s">
        <v>2114</v>
      </c>
      <c r="D249" s="14" t="str">
        <f t="shared" si="13"/>
        <v>Perempuan</v>
      </c>
      <c r="E249" s="24" t="s">
        <v>109</v>
      </c>
      <c r="F249" s="72" t="s">
        <v>1807</v>
      </c>
      <c r="G249" s="25" t="s">
        <v>2110</v>
      </c>
      <c r="H249" s="19" t="s">
        <v>2111</v>
      </c>
      <c r="I249" s="19" t="s">
        <v>2112</v>
      </c>
      <c r="J249" s="19" t="s">
        <v>26</v>
      </c>
      <c r="K249" s="19" t="s">
        <v>1238</v>
      </c>
      <c r="L249" s="86" t="s">
        <v>28</v>
      </c>
      <c r="M249" s="15">
        <v>2023</v>
      </c>
      <c r="N249" s="15" t="str">
        <f t="shared" si="11"/>
        <v>September</v>
      </c>
      <c r="O249" s="15">
        <v>2025</v>
      </c>
      <c r="P249" s="15">
        <v>2024</v>
      </c>
      <c r="Q249" s="15"/>
      <c r="R249" s="16"/>
      <c r="S249" s="15"/>
      <c r="T249" s="15"/>
      <c r="U249" s="15"/>
      <c r="V249" s="15"/>
      <c r="W249" s="15"/>
    </row>
    <row r="250" spans="1:23" s="17" customFormat="1" ht="28" x14ac:dyDescent="0.35">
      <c r="A250" s="12">
        <v>249</v>
      </c>
      <c r="B250" s="25" t="s">
        <v>2115</v>
      </c>
      <c r="C250" s="69" t="s">
        <v>2116</v>
      </c>
      <c r="D250" s="14" t="str">
        <f t="shared" si="13"/>
        <v>Laki-Laki</v>
      </c>
      <c r="E250" s="24" t="s">
        <v>109</v>
      </c>
      <c r="F250" s="72" t="s">
        <v>1807</v>
      </c>
      <c r="G250" s="25" t="s">
        <v>2110</v>
      </c>
      <c r="H250" s="19" t="s">
        <v>2111</v>
      </c>
      <c r="I250" s="19" t="s">
        <v>2112</v>
      </c>
      <c r="J250" s="19" t="s">
        <v>26</v>
      </c>
      <c r="K250" s="19" t="s">
        <v>1238</v>
      </c>
      <c r="L250" s="86" t="s">
        <v>28</v>
      </c>
      <c r="M250" s="15">
        <v>2023</v>
      </c>
      <c r="N250" s="15" t="str">
        <f t="shared" si="11"/>
        <v>September</v>
      </c>
      <c r="O250" s="15">
        <v>2025</v>
      </c>
      <c r="P250" s="15">
        <v>2024</v>
      </c>
      <c r="Q250" s="15"/>
      <c r="R250" s="16"/>
      <c r="S250" s="15"/>
      <c r="T250" s="15"/>
      <c r="U250" s="15"/>
      <c r="V250" s="15"/>
      <c r="W250" s="15"/>
    </row>
    <row r="251" spans="1:23" s="17" customFormat="1" ht="28" x14ac:dyDescent="0.35">
      <c r="A251" s="12">
        <v>250</v>
      </c>
      <c r="B251" s="25" t="s">
        <v>2117</v>
      </c>
      <c r="C251" s="69" t="s">
        <v>2118</v>
      </c>
      <c r="D251" s="14" t="str">
        <f t="shared" si="13"/>
        <v>Perempuan</v>
      </c>
      <c r="E251" s="24" t="s">
        <v>109</v>
      </c>
      <c r="F251" s="72" t="s">
        <v>1807</v>
      </c>
      <c r="G251" s="25" t="s">
        <v>2110</v>
      </c>
      <c r="H251" s="19" t="s">
        <v>2111</v>
      </c>
      <c r="I251" s="19" t="s">
        <v>2112</v>
      </c>
      <c r="J251" s="19" t="s">
        <v>26</v>
      </c>
      <c r="K251" s="19" t="s">
        <v>1238</v>
      </c>
      <c r="L251" s="86" t="s">
        <v>28</v>
      </c>
      <c r="M251" s="15">
        <v>2023</v>
      </c>
      <c r="N251" s="15" t="str">
        <f t="shared" si="11"/>
        <v>September</v>
      </c>
      <c r="O251" s="15">
        <v>2025</v>
      </c>
      <c r="P251" s="15">
        <v>2024</v>
      </c>
      <c r="Q251" s="15"/>
      <c r="R251" s="16"/>
      <c r="S251" s="15"/>
      <c r="T251" s="15"/>
      <c r="U251" s="15"/>
      <c r="V251" s="15"/>
      <c r="W251" s="15"/>
    </row>
    <row r="252" spans="1:23" s="17" customFormat="1" ht="28" x14ac:dyDescent="0.35">
      <c r="A252" s="12">
        <v>251</v>
      </c>
      <c r="B252" s="25" t="s">
        <v>2119</v>
      </c>
      <c r="C252" s="69" t="s">
        <v>2120</v>
      </c>
      <c r="D252" s="14" t="str">
        <f t="shared" si="13"/>
        <v>Perempuan</v>
      </c>
      <c r="E252" s="24" t="s">
        <v>471</v>
      </c>
      <c r="F252" s="72" t="s">
        <v>1807</v>
      </c>
      <c r="G252" s="25" t="s">
        <v>2110</v>
      </c>
      <c r="H252" s="19" t="s">
        <v>2111</v>
      </c>
      <c r="I252" s="19" t="s">
        <v>2112</v>
      </c>
      <c r="J252" s="19" t="s">
        <v>26</v>
      </c>
      <c r="K252" s="19" t="s">
        <v>1238</v>
      </c>
      <c r="L252" s="86" t="s">
        <v>28</v>
      </c>
      <c r="M252" s="15">
        <v>2023</v>
      </c>
      <c r="N252" s="15" t="str">
        <f t="shared" si="11"/>
        <v>September</v>
      </c>
      <c r="O252" s="15">
        <v>2025</v>
      </c>
      <c r="P252" s="15">
        <v>2024</v>
      </c>
      <c r="Q252" s="15"/>
      <c r="R252" s="16"/>
      <c r="S252" s="15"/>
      <c r="T252" s="15"/>
      <c r="U252" s="15"/>
      <c r="V252" s="15"/>
      <c r="W252" s="15"/>
    </row>
    <row r="253" spans="1:23" s="17" customFormat="1" ht="28" x14ac:dyDescent="0.35">
      <c r="A253" s="12">
        <v>252</v>
      </c>
      <c r="B253" s="25" t="s">
        <v>2121</v>
      </c>
      <c r="C253" s="69" t="s">
        <v>2122</v>
      </c>
      <c r="D253" s="14" t="str">
        <f t="shared" si="13"/>
        <v>Perempuan</v>
      </c>
      <c r="E253" s="24" t="s">
        <v>109</v>
      </c>
      <c r="F253" s="72" t="s">
        <v>1807</v>
      </c>
      <c r="G253" s="25" t="s">
        <v>2110</v>
      </c>
      <c r="H253" s="19" t="s">
        <v>2111</v>
      </c>
      <c r="I253" s="19" t="s">
        <v>2112</v>
      </c>
      <c r="J253" s="19" t="s">
        <v>26</v>
      </c>
      <c r="K253" s="19" t="s">
        <v>1238</v>
      </c>
      <c r="L253" s="86" t="s">
        <v>28</v>
      </c>
      <c r="M253" s="15">
        <v>2023</v>
      </c>
      <c r="N253" s="15" t="str">
        <f t="shared" si="11"/>
        <v>September</v>
      </c>
      <c r="O253" s="15">
        <v>2025</v>
      </c>
      <c r="P253" s="15">
        <v>2024</v>
      </c>
      <c r="Q253" s="15"/>
      <c r="R253" s="16"/>
      <c r="S253" s="15"/>
      <c r="T253" s="15"/>
      <c r="U253" s="15"/>
      <c r="V253" s="15"/>
      <c r="W253" s="15"/>
    </row>
    <row r="254" spans="1:23" s="17" customFormat="1" ht="28" x14ac:dyDescent="0.35">
      <c r="A254" s="12">
        <v>253</v>
      </c>
      <c r="B254" s="25" t="s">
        <v>2123</v>
      </c>
      <c r="C254" s="69" t="s">
        <v>2124</v>
      </c>
      <c r="D254" s="14" t="str">
        <f t="shared" si="13"/>
        <v>Perempuan</v>
      </c>
      <c r="E254" s="24" t="s">
        <v>109</v>
      </c>
      <c r="F254" s="72" t="s">
        <v>1807</v>
      </c>
      <c r="G254" s="25" t="s">
        <v>2110</v>
      </c>
      <c r="H254" s="19" t="s">
        <v>2111</v>
      </c>
      <c r="I254" s="19" t="s">
        <v>1395</v>
      </c>
      <c r="J254" s="19" t="s">
        <v>26</v>
      </c>
      <c r="K254" s="19" t="s">
        <v>407</v>
      </c>
      <c r="L254" s="86" t="s">
        <v>28</v>
      </c>
      <c r="M254" s="15">
        <v>2023</v>
      </c>
      <c r="N254" s="15" t="str">
        <f t="shared" si="11"/>
        <v>September</v>
      </c>
      <c r="O254" s="15">
        <v>2025</v>
      </c>
      <c r="P254" s="15">
        <v>2024</v>
      </c>
      <c r="Q254" s="15"/>
      <c r="R254" s="16"/>
      <c r="S254" s="15"/>
      <c r="T254" s="15"/>
      <c r="U254" s="15"/>
      <c r="V254" s="15"/>
      <c r="W254" s="15"/>
    </row>
    <row r="255" spans="1:23" s="17" customFormat="1" ht="28" x14ac:dyDescent="0.35">
      <c r="A255" s="12">
        <v>254</v>
      </c>
      <c r="B255" s="25" t="s">
        <v>2125</v>
      </c>
      <c r="C255" s="69" t="s">
        <v>2126</v>
      </c>
      <c r="D255" s="14" t="str">
        <f t="shared" si="13"/>
        <v>Perempuan</v>
      </c>
      <c r="E255" s="24" t="s">
        <v>109</v>
      </c>
      <c r="F255" s="72" t="s">
        <v>1807</v>
      </c>
      <c r="G255" s="25" t="s">
        <v>2110</v>
      </c>
      <c r="H255" s="19" t="s">
        <v>2111</v>
      </c>
      <c r="I255" s="19" t="s">
        <v>406</v>
      </c>
      <c r="J255" s="19" t="s">
        <v>26</v>
      </c>
      <c r="K255" s="19" t="s">
        <v>407</v>
      </c>
      <c r="L255" s="86" t="s">
        <v>28</v>
      </c>
      <c r="M255" s="15">
        <v>2023</v>
      </c>
      <c r="N255" s="15" t="str">
        <f t="shared" si="11"/>
        <v>September</v>
      </c>
      <c r="O255" s="15">
        <v>2025</v>
      </c>
      <c r="P255" s="15">
        <v>2024</v>
      </c>
      <c r="Q255" s="15"/>
      <c r="R255" s="16"/>
      <c r="S255" s="15"/>
      <c r="T255" s="15"/>
      <c r="U255" s="15"/>
      <c r="V255" s="15"/>
      <c r="W255" s="15"/>
    </row>
    <row r="256" spans="1:23" s="17" customFormat="1" ht="28" x14ac:dyDescent="0.35">
      <c r="A256" s="12">
        <v>255</v>
      </c>
      <c r="B256" s="25" t="s">
        <v>2127</v>
      </c>
      <c r="C256" s="69" t="s">
        <v>2128</v>
      </c>
      <c r="D256" s="14" t="str">
        <f t="shared" si="13"/>
        <v>Perempuan</v>
      </c>
      <c r="E256" s="24" t="s">
        <v>109</v>
      </c>
      <c r="F256" s="72" t="s">
        <v>1807</v>
      </c>
      <c r="G256" s="25" t="s">
        <v>2110</v>
      </c>
      <c r="H256" s="19" t="s">
        <v>2111</v>
      </c>
      <c r="I256" s="19" t="s">
        <v>406</v>
      </c>
      <c r="J256" s="19" t="s">
        <v>26</v>
      </c>
      <c r="K256" s="19" t="s">
        <v>407</v>
      </c>
      <c r="L256" s="86" t="s">
        <v>28</v>
      </c>
      <c r="M256" s="15">
        <v>2023</v>
      </c>
      <c r="N256" s="15" t="str">
        <f t="shared" si="11"/>
        <v>September</v>
      </c>
      <c r="O256" s="15">
        <v>2025</v>
      </c>
      <c r="P256" s="15">
        <v>2024</v>
      </c>
      <c r="Q256" s="15"/>
      <c r="R256" s="16"/>
      <c r="S256" s="15"/>
      <c r="T256" s="15"/>
      <c r="U256" s="15"/>
      <c r="V256" s="15"/>
      <c r="W256" s="15"/>
    </row>
    <row r="257" spans="1:23" s="17" customFormat="1" ht="28" x14ac:dyDescent="0.35">
      <c r="A257" s="12">
        <v>256</v>
      </c>
      <c r="B257" s="25" t="s">
        <v>2129</v>
      </c>
      <c r="C257" s="69" t="s">
        <v>2130</v>
      </c>
      <c r="D257" s="14" t="str">
        <f t="shared" si="13"/>
        <v>Laki-Laki</v>
      </c>
      <c r="E257" s="24" t="s">
        <v>109</v>
      </c>
      <c r="F257" s="72" t="s">
        <v>1807</v>
      </c>
      <c r="G257" s="25" t="s">
        <v>2110</v>
      </c>
      <c r="H257" s="19" t="s">
        <v>2111</v>
      </c>
      <c r="I257" s="19" t="s">
        <v>460</v>
      </c>
      <c r="J257" s="19" t="s">
        <v>26</v>
      </c>
      <c r="K257" s="19" t="s">
        <v>2131</v>
      </c>
      <c r="L257" s="86" t="s">
        <v>28</v>
      </c>
      <c r="M257" s="15">
        <v>2023</v>
      </c>
      <c r="N257" s="15" t="str">
        <f t="shared" si="11"/>
        <v>September</v>
      </c>
      <c r="O257" s="15">
        <v>2025</v>
      </c>
      <c r="P257" s="15">
        <v>2024</v>
      </c>
      <c r="Q257" s="15"/>
      <c r="R257" s="16"/>
      <c r="S257" s="15"/>
      <c r="T257" s="15"/>
      <c r="U257" s="15"/>
      <c r="V257" s="15"/>
      <c r="W257" s="15"/>
    </row>
    <row r="258" spans="1:23" s="17" customFormat="1" ht="28" x14ac:dyDescent="0.35">
      <c r="A258" s="12">
        <v>257</v>
      </c>
      <c r="B258" s="25" t="s">
        <v>2132</v>
      </c>
      <c r="C258" s="69" t="s">
        <v>2133</v>
      </c>
      <c r="D258" s="14" t="str">
        <f t="shared" si="13"/>
        <v>Laki-Laki</v>
      </c>
      <c r="E258" s="24" t="s">
        <v>116</v>
      </c>
      <c r="F258" s="72" t="s">
        <v>1730</v>
      </c>
      <c r="G258" s="25" t="s">
        <v>2110</v>
      </c>
      <c r="H258" s="19" t="s">
        <v>2111</v>
      </c>
      <c r="I258" s="19" t="s">
        <v>90</v>
      </c>
      <c r="J258" s="19" t="s">
        <v>45</v>
      </c>
      <c r="K258" s="19" t="s">
        <v>2134</v>
      </c>
      <c r="L258" s="86" t="s">
        <v>28</v>
      </c>
      <c r="M258" s="15">
        <v>2023</v>
      </c>
      <c r="N258" s="15" t="str">
        <f t="shared" si="11"/>
        <v>September</v>
      </c>
      <c r="O258" s="15">
        <v>2027</v>
      </c>
      <c r="P258" s="15">
        <v>2024</v>
      </c>
      <c r="Q258" s="15"/>
      <c r="R258" s="16"/>
      <c r="S258" s="15"/>
      <c r="T258" s="15"/>
      <c r="U258" s="15"/>
      <c r="V258" s="15"/>
      <c r="W258" s="15"/>
    </row>
    <row r="259" spans="1:23" s="17" customFormat="1" ht="28" x14ac:dyDescent="0.35">
      <c r="A259" s="12">
        <v>258</v>
      </c>
      <c r="B259" s="25" t="s">
        <v>2135</v>
      </c>
      <c r="C259" s="69" t="s">
        <v>2136</v>
      </c>
      <c r="D259" s="14" t="str">
        <f t="shared" ref="D259:D322" si="14">IF(MID(C259,15,1)="1","Laki-Laki","Perempuan")</f>
        <v>Laki-Laki</v>
      </c>
      <c r="E259" s="24" t="s">
        <v>116</v>
      </c>
      <c r="F259" s="72" t="s">
        <v>1657</v>
      </c>
      <c r="G259" s="25" t="s">
        <v>2110</v>
      </c>
      <c r="H259" s="19" t="s">
        <v>2111</v>
      </c>
      <c r="I259" s="19" t="s">
        <v>460</v>
      </c>
      <c r="J259" s="19" t="s">
        <v>45</v>
      </c>
      <c r="K259" s="19" t="s">
        <v>1238</v>
      </c>
      <c r="L259" s="86" t="s">
        <v>28</v>
      </c>
      <c r="M259" s="15">
        <v>2023</v>
      </c>
      <c r="N259" s="15" t="str">
        <f t="shared" si="11"/>
        <v>September</v>
      </c>
      <c r="O259" s="15">
        <v>2027</v>
      </c>
      <c r="P259" s="15">
        <v>2024</v>
      </c>
      <c r="Q259" s="15"/>
      <c r="R259" s="16"/>
      <c r="S259" s="15"/>
      <c r="T259" s="15"/>
      <c r="U259" s="15"/>
      <c r="V259" s="15"/>
      <c r="W259" s="15"/>
    </row>
    <row r="260" spans="1:23" s="17" customFormat="1" ht="28" x14ac:dyDescent="0.35">
      <c r="A260" s="12">
        <v>259</v>
      </c>
      <c r="B260" s="25" t="s">
        <v>2137</v>
      </c>
      <c r="C260" s="69" t="s">
        <v>2138</v>
      </c>
      <c r="D260" s="14" t="str">
        <f t="shared" si="14"/>
        <v>Laki-Laki</v>
      </c>
      <c r="E260" s="24" t="s">
        <v>116</v>
      </c>
      <c r="F260" s="72" t="s">
        <v>1657</v>
      </c>
      <c r="G260" s="25" t="s">
        <v>2110</v>
      </c>
      <c r="H260" s="19" t="s">
        <v>2111</v>
      </c>
      <c r="I260" s="19" t="s">
        <v>2112</v>
      </c>
      <c r="J260" s="19" t="s">
        <v>45</v>
      </c>
      <c r="K260" s="19" t="s">
        <v>1238</v>
      </c>
      <c r="L260" s="86" t="s">
        <v>28</v>
      </c>
      <c r="M260" s="15">
        <v>2023</v>
      </c>
      <c r="N260" s="15" t="str">
        <f t="shared" si="11"/>
        <v>September</v>
      </c>
      <c r="O260" s="15">
        <v>2027</v>
      </c>
      <c r="P260" s="15">
        <v>2024</v>
      </c>
      <c r="Q260" s="15"/>
      <c r="R260" s="16"/>
      <c r="S260" s="15"/>
      <c r="T260" s="15"/>
      <c r="U260" s="15"/>
      <c r="V260" s="15"/>
      <c r="W260" s="15"/>
    </row>
    <row r="261" spans="1:23" s="17" customFormat="1" ht="28" x14ac:dyDescent="0.35">
      <c r="A261" s="12">
        <v>260</v>
      </c>
      <c r="B261" s="73" t="s">
        <v>2844</v>
      </c>
      <c r="C261" s="69" t="s">
        <v>2139</v>
      </c>
      <c r="D261" s="14" t="str">
        <f t="shared" si="14"/>
        <v>Perempuan</v>
      </c>
      <c r="E261" s="24" t="s">
        <v>126</v>
      </c>
      <c r="F261" s="72" t="s">
        <v>1657</v>
      </c>
      <c r="G261" s="25" t="s">
        <v>2110</v>
      </c>
      <c r="H261" s="19" t="s">
        <v>2111</v>
      </c>
      <c r="I261" s="19" t="s">
        <v>2140</v>
      </c>
      <c r="J261" s="19" t="s">
        <v>45</v>
      </c>
      <c r="K261" s="19" t="s">
        <v>1238</v>
      </c>
      <c r="L261" s="86" t="s">
        <v>28</v>
      </c>
      <c r="M261" s="15">
        <v>2023</v>
      </c>
      <c r="N261" s="15" t="str">
        <f t="shared" si="11"/>
        <v>September</v>
      </c>
      <c r="O261" s="15">
        <v>2027</v>
      </c>
      <c r="P261" s="15">
        <v>2024</v>
      </c>
      <c r="Q261" s="15"/>
      <c r="R261" s="16"/>
      <c r="S261" s="15"/>
      <c r="T261" s="15"/>
      <c r="U261" s="15"/>
      <c r="V261" s="15"/>
      <c r="W261" s="15"/>
    </row>
    <row r="262" spans="1:23" s="17" customFormat="1" ht="28" x14ac:dyDescent="0.35">
      <c r="A262" s="12">
        <v>261</v>
      </c>
      <c r="B262" s="25" t="s">
        <v>2141</v>
      </c>
      <c r="C262" s="69" t="s">
        <v>2142</v>
      </c>
      <c r="D262" s="14" t="str">
        <f t="shared" si="14"/>
        <v>Laki-Laki</v>
      </c>
      <c r="E262" s="24" t="s">
        <v>98</v>
      </c>
      <c r="F262" s="72" t="s">
        <v>1730</v>
      </c>
      <c r="G262" s="25" t="s">
        <v>2110</v>
      </c>
      <c r="H262" s="19" t="s">
        <v>2111</v>
      </c>
      <c r="I262" s="19" t="s">
        <v>2140</v>
      </c>
      <c r="J262" s="19" t="s">
        <v>45</v>
      </c>
      <c r="K262" s="19" t="s">
        <v>1238</v>
      </c>
      <c r="L262" s="86" t="s">
        <v>28</v>
      </c>
      <c r="M262" s="15">
        <v>2023</v>
      </c>
      <c r="N262" s="15" t="str">
        <f t="shared" si="11"/>
        <v>September</v>
      </c>
      <c r="O262" s="15">
        <v>2027</v>
      </c>
      <c r="P262" s="15">
        <v>2024</v>
      </c>
      <c r="Q262" s="15"/>
      <c r="R262" s="16"/>
      <c r="S262" s="15"/>
      <c r="T262" s="15"/>
      <c r="U262" s="15"/>
      <c r="V262" s="15"/>
      <c r="W262" s="15"/>
    </row>
    <row r="263" spans="1:23" s="17" customFormat="1" ht="28" x14ac:dyDescent="0.35">
      <c r="A263" s="12">
        <v>262</v>
      </c>
      <c r="B263" s="25" t="s">
        <v>2143</v>
      </c>
      <c r="C263" s="69" t="s">
        <v>2144</v>
      </c>
      <c r="D263" s="14" t="str">
        <f t="shared" si="14"/>
        <v>Laki-Laki</v>
      </c>
      <c r="E263" s="24" t="s">
        <v>116</v>
      </c>
      <c r="F263" s="72" t="s">
        <v>1716</v>
      </c>
      <c r="G263" s="25" t="s">
        <v>2110</v>
      </c>
      <c r="H263" s="19" t="s">
        <v>2145</v>
      </c>
      <c r="I263" s="19" t="s">
        <v>90</v>
      </c>
      <c r="J263" s="19" t="s">
        <v>45</v>
      </c>
      <c r="K263" s="19" t="s">
        <v>2134</v>
      </c>
      <c r="L263" s="86" t="s">
        <v>28</v>
      </c>
      <c r="M263" s="15">
        <v>2023</v>
      </c>
      <c r="N263" s="15" t="str">
        <f t="shared" si="11"/>
        <v>September</v>
      </c>
      <c r="O263" s="15">
        <v>2027</v>
      </c>
      <c r="P263" s="15">
        <v>2024</v>
      </c>
      <c r="Q263" s="15"/>
      <c r="R263" s="16"/>
      <c r="S263" s="15"/>
      <c r="T263" s="15"/>
      <c r="U263" s="15"/>
      <c r="V263" s="15"/>
      <c r="W263" s="15"/>
    </row>
    <row r="264" spans="1:23" s="17" customFormat="1" ht="28" x14ac:dyDescent="0.35">
      <c r="A264" s="12">
        <v>263</v>
      </c>
      <c r="B264" s="25" t="s">
        <v>2146</v>
      </c>
      <c r="C264" s="69" t="s">
        <v>2147</v>
      </c>
      <c r="D264" s="14" t="str">
        <f t="shared" si="14"/>
        <v>Laki-Laki</v>
      </c>
      <c r="E264" s="24" t="s">
        <v>126</v>
      </c>
      <c r="F264" s="72" t="s">
        <v>2148</v>
      </c>
      <c r="G264" s="25" t="s">
        <v>2110</v>
      </c>
      <c r="H264" s="19" t="s">
        <v>2149</v>
      </c>
      <c r="I264" s="19" t="s">
        <v>90</v>
      </c>
      <c r="J264" s="19" t="s">
        <v>45</v>
      </c>
      <c r="K264" s="19" t="s">
        <v>2134</v>
      </c>
      <c r="L264" s="86" t="s">
        <v>28</v>
      </c>
      <c r="M264" s="15">
        <v>2023</v>
      </c>
      <c r="N264" s="15" t="str">
        <f t="shared" si="11"/>
        <v>September</v>
      </c>
      <c r="O264" s="15">
        <v>2027</v>
      </c>
      <c r="P264" s="15">
        <v>2024</v>
      </c>
      <c r="Q264" s="15"/>
      <c r="R264" s="16"/>
      <c r="S264" s="15"/>
      <c r="T264" s="15"/>
      <c r="U264" s="15"/>
      <c r="V264" s="15"/>
      <c r="W264" s="15"/>
    </row>
    <row r="265" spans="1:23" s="17" customFormat="1" ht="28" x14ac:dyDescent="0.35">
      <c r="A265" s="12">
        <v>264</v>
      </c>
      <c r="B265" s="25" t="s">
        <v>2150</v>
      </c>
      <c r="C265" s="69" t="s">
        <v>2151</v>
      </c>
      <c r="D265" s="14" t="str">
        <f t="shared" si="14"/>
        <v>Laki-Laki</v>
      </c>
      <c r="E265" s="24" t="s">
        <v>126</v>
      </c>
      <c r="F265" s="72" t="s">
        <v>2148</v>
      </c>
      <c r="G265" s="25" t="s">
        <v>2110</v>
      </c>
      <c r="H265" s="19" t="s">
        <v>2149</v>
      </c>
      <c r="I265" s="19" t="s">
        <v>90</v>
      </c>
      <c r="J265" s="19" t="s">
        <v>45</v>
      </c>
      <c r="K265" s="19" t="s">
        <v>2134</v>
      </c>
      <c r="L265" s="86" t="s">
        <v>169</v>
      </c>
      <c r="M265" s="15">
        <v>2023</v>
      </c>
      <c r="N265" s="15" t="str">
        <f t="shared" si="11"/>
        <v>Oktober</v>
      </c>
      <c r="O265" s="15">
        <v>2027</v>
      </c>
      <c r="P265" s="15">
        <v>2024</v>
      </c>
      <c r="Q265" s="15"/>
      <c r="R265" s="16"/>
      <c r="S265" s="15"/>
      <c r="T265" s="15"/>
      <c r="U265" s="15"/>
      <c r="V265" s="15"/>
      <c r="W265" s="15"/>
    </row>
    <row r="266" spans="1:23" s="17" customFormat="1" ht="28" x14ac:dyDescent="0.35">
      <c r="A266" s="12">
        <v>265</v>
      </c>
      <c r="B266" s="25" t="s">
        <v>2152</v>
      </c>
      <c r="C266" s="69" t="s">
        <v>2153</v>
      </c>
      <c r="D266" s="14" t="str">
        <f t="shared" si="14"/>
        <v>Perempuan</v>
      </c>
      <c r="E266" s="24" t="s">
        <v>109</v>
      </c>
      <c r="F266" s="72" t="s">
        <v>1629</v>
      </c>
      <c r="G266" s="25" t="s">
        <v>2110</v>
      </c>
      <c r="H266" s="19" t="s">
        <v>1547</v>
      </c>
      <c r="I266" s="19" t="s">
        <v>90</v>
      </c>
      <c r="J266" s="19" t="s">
        <v>26</v>
      </c>
      <c r="K266" s="19" t="s">
        <v>1631</v>
      </c>
      <c r="L266" s="86" t="s">
        <v>28</v>
      </c>
      <c r="M266" s="15">
        <v>2023</v>
      </c>
      <c r="N266" s="15" t="str">
        <f t="shared" ref="N266:N268" si="15">L266</f>
        <v>September</v>
      </c>
      <c r="O266" s="15">
        <v>2025</v>
      </c>
      <c r="P266" s="15">
        <v>2024</v>
      </c>
      <c r="Q266" s="15"/>
      <c r="R266" s="16"/>
      <c r="S266" s="15"/>
      <c r="T266" s="15"/>
      <c r="U266" s="15"/>
      <c r="V266" s="15"/>
      <c r="W266" s="15"/>
    </row>
    <row r="267" spans="1:23" s="17" customFormat="1" ht="28" x14ac:dyDescent="0.35">
      <c r="A267" s="12">
        <v>266</v>
      </c>
      <c r="B267" s="25" t="s">
        <v>2154</v>
      </c>
      <c r="C267" s="69" t="s">
        <v>2155</v>
      </c>
      <c r="D267" s="14" t="str">
        <f t="shared" si="14"/>
        <v>Laki-Laki</v>
      </c>
      <c r="E267" s="24"/>
      <c r="F267" s="72" t="s">
        <v>2156</v>
      </c>
      <c r="G267" s="25" t="s">
        <v>2110</v>
      </c>
      <c r="H267" s="19" t="s">
        <v>2157</v>
      </c>
      <c r="I267" s="19" t="s">
        <v>2158</v>
      </c>
      <c r="J267" s="19" t="s">
        <v>242</v>
      </c>
      <c r="K267" s="19" t="s">
        <v>257</v>
      </c>
      <c r="L267" s="19"/>
      <c r="M267" s="15"/>
      <c r="N267" s="15">
        <f t="shared" si="15"/>
        <v>0</v>
      </c>
      <c r="O267" s="15" t="s">
        <v>51</v>
      </c>
      <c r="P267" s="15">
        <v>2024</v>
      </c>
      <c r="Q267" s="15"/>
      <c r="R267" s="16"/>
      <c r="S267" s="15"/>
      <c r="T267" s="15"/>
      <c r="U267" s="15"/>
      <c r="V267" s="15"/>
      <c r="W267" s="15"/>
    </row>
    <row r="268" spans="1:23" s="17" customFormat="1" ht="28" x14ac:dyDescent="0.35">
      <c r="A268" s="12">
        <v>267</v>
      </c>
      <c r="B268" s="97" t="s">
        <v>2845</v>
      </c>
      <c r="C268" s="69" t="s">
        <v>2159</v>
      </c>
      <c r="D268" s="14" t="str">
        <f t="shared" si="14"/>
        <v>Laki-Laki</v>
      </c>
      <c r="E268" s="24"/>
      <c r="F268" s="72" t="s">
        <v>2160</v>
      </c>
      <c r="G268" s="25" t="s">
        <v>2110</v>
      </c>
      <c r="H268" s="19" t="s">
        <v>2157</v>
      </c>
      <c r="I268" s="19" t="s">
        <v>2158</v>
      </c>
      <c r="J268" s="19" t="s">
        <v>242</v>
      </c>
      <c r="K268" s="19" t="s">
        <v>257</v>
      </c>
      <c r="L268" s="19"/>
      <c r="M268" s="15"/>
      <c r="N268" s="15">
        <f t="shared" si="15"/>
        <v>0</v>
      </c>
      <c r="O268" s="15" t="s">
        <v>51</v>
      </c>
      <c r="P268" s="15">
        <v>2024</v>
      </c>
      <c r="Q268" s="15"/>
      <c r="R268" s="16"/>
      <c r="S268" s="15"/>
      <c r="T268" s="15"/>
      <c r="U268" s="15"/>
      <c r="V268" s="15"/>
      <c r="W268" s="15"/>
    </row>
    <row r="269" spans="1:23" s="17" customFormat="1" ht="14.5" x14ac:dyDescent="0.35">
      <c r="A269" s="12">
        <v>268</v>
      </c>
      <c r="B269" s="13" t="s">
        <v>2161</v>
      </c>
      <c r="C269" s="14" t="s">
        <v>2162</v>
      </c>
      <c r="D269" s="14" t="str">
        <f t="shared" si="14"/>
        <v>Laki-Laki</v>
      </c>
      <c r="E269" s="13" t="s">
        <v>507</v>
      </c>
      <c r="F269" s="18" t="s">
        <v>2163</v>
      </c>
      <c r="G269" s="25" t="s">
        <v>2110</v>
      </c>
      <c r="H269" s="15" t="s">
        <v>1553</v>
      </c>
      <c r="I269" s="15" t="s">
        <v>485</v>
      </c>
      <c r="J269" s="12" t="s">
        <v>242</v>
      </c>
      <c r="K269" s="15" t="s">
        <v>449</v>
      </c>
      <c r="L269" s="15" t="s">
        <v>28</v>
      </c>
      <c r="M269" s="15">
        <v>2024</v>
      </c>
      <c r="N269" s="15" t="str">
        <f>L269</f>
        <v>September</v>
      </c>
      <c r="O269" s="15">
        <v>2027</v>
      </c>
      <c r="P269" s="15">
        <v>2024</v>
      </c>
      <c r="Q269" s="15"/>
      <c r="R269" s="16"/>
      <c r="S269" s="15"/>
      <c r="T269" s="15"/>
      <c r="U269" s="15"/>
      <c r="V269" s="15"/>
      <c r="W269" s="15"/>
    </row>
    <row r="270" spans="1:23" s="17" customFormat="1" ht="42" x14ac:dyDescent="0.35">
      <c r="A270" s="12">
        <v>269</v>
      </c>
      <c r="B270" s="13" t="s">
        <v>2164</v>
      </c>
      <c r="C270" s="14" t="s">
        <v>2165</v>
      </c>
      <c r="D270" s="14" t="str">
        <f t="shared" si="14"/>
        <v>Perempuan</v>
      </c>
      <c r="E270" s="13" t="s">
        <v>215</v>
      </c>
      <c r="F270" s="18"/>
      <c r="G270" s="25" t="s">
        <v>2110</v>
      </c>
      <c r="H270" s="15" t="s">
        <v>2166</v>
      </c>
      <c r="I270" s="15" t="s">
        <v>90</v>
      </c>
      <c r="J270" s="12" t="s">
        <v>45</v>
      </c>
      <c r="K270" s="15" t="s">
        <v>2167</v>
      </c>
      <c r="L270" s="15" t="s">
        <v>160</v>
      </c>
      <c r="M270" s="15">
        <v>2024</v>
      </c>
      <c r="N270" s="15" t="str">
        <f t="shared" ref="N270:N333" si="16">L270</f>
        <v>Juli</v>
      </c>
      <c r="O270" s="15">
        <v>2028</v>
      </c>
      <c r="P270" s="15">
        <v>2024</v>
      </c>
      <c r="Q270" s="15"/>
      <c r="R270" s="16"/>
      <c r="S270" s="15"/>
      <c r="T270" s="15"/>
      <c r="U270" s="15"/>
      <c r="V270" s="15"/>
      <c r="W270" s="15"/>
    </row>
    <row r="271" spans="1:23" s="17" customFormat="1" ht="28" x14ac:dyDescent="0.35">
      <c r="A271" s="12">
        <v>270</v>
      </c>
      <c r="B271" s="13" t="s">
        <v>2168</v>
      </c>
      <c r="C271" s="14" t="s">
        <v>2169</v>
      </c>
      <c r="D271" s="14" t="str">
        <f t="shared" si="14"/>
        <v>Laki-Laki</v>
      </c>
      <c r="E271" s="13" t="s">
        <v>172</v>
      </c>
      <c r="F271" s="18" t="s">
        <v>2170</v>
      </c>
      <c r="G271" s="25" t="s">
        <v>2110</v>
      </c>
      <c r="H271" s="15" t="s">
        <v>2171</v>
      </c>
      <c r="I271" s="15" t="s">
        <v>2172</v>
      </c>
      <c r="J271" s="19" t="s">
        <v>26</v>
      </c>
      <c r="K271" s="15" t="s">
        <v>2173</v>
      </c>
      <c r="L271" s="15" t="s">
        <v>2174</v>
      </c>
      <c r="M271" s="15">
        <v>2024</v>
      </c>
      <c r="N271" s="15" t="str">
        <f t="shared" si="16"/>
        <v>Februar</v>
      </c>
      <c r="O271" s="15">
        <v>2026</v>
      </c>
      <c r="P271" s="15">
        <v>2024</v>
      </c>
      <c r="Q271" s="15"/>
      <c r="R271" s="16"/>
      <c r="S271" s="15"/>
      <c r="T271" s="15"/>
      <c r="U271" s="15"/>
      <c r="V271" s="15"/>
      <c r="W271" s="15"/>
    </row>
    <row r="272" spans="1:23" s="17" customFormat="1" ht="42" x14ac:dyDescent="0.35">
      <c r="A272" s="12">
        <v>271</v>
      </c>
      <c r="B272" s="13" t="s">
        <v>2175</v>
      </c>
      <c r="C272" s="14" t="s">
        <v>2176</v>
      </c>
      <c r="D272" s="14" t="str">
        <f t="shared" si="14"/>
        <v>Perempuan</v>
      </c>
      <c r="E272" s="13" t="s">
        <v>507</v>
      </c>
      <c r="F272" s="95" t="s">
        <v>1673</v>
      </c>
      <c r="G272" s="25" t="s">
        <v>2110</v>
      </c>
      <c r="H272" s="15" t="s">
        <v>2177</v>
      </c>
      <c r="I272" s="15" t="s">
        <v>2178</v>
      </c>
      <c r="J272" s="19" t="s">
        <v>26</v>
      </c>
      <c r="K272" s="15" t="s">
        <v>394</v>
      </c>
      <c r="L272" s="15" t="s">
        <v>35</v>
      </c>
      <c r="M272" s="15">
        <v>2024</v>
      </c>
      <c r="N272" s="15" t="str">
        <f t="shared" si="16"/>
        <v>Maret</v>
      </c>
      <c r="O272" s="15">
        <v>2026</v>
      </c>
      <c r="P272" s="15">
        <v>2024</v>
      </c>
      <c r="Q272" s="15"/>
      <c r="R272" s="16"/>
      <c r="S272" s="15"/>
      <c r="T272" s="15"/>
      <c r="U272" s="15"/>
      <c r="V272" s="15"/>
      <c r="W272" s="15"/>
    </row>
    <row r="273" spans="1:23" s="17" customFormat="1" ht="42" x14ac:dyDescent="0.35">
      <c r="A273" s="12">
        <v>272</v>
      </c>
      <c r="B273" s="13" t="s">
        <v>2179</v>
      </c>
      <c r="C273" s="14" t="s">
        <v>2180</v>
      </c>
      <c r="D273" s="14" t="str">
        <f t="shared" si="14"/>
        <v>Laki-Laki</v>
      </c>
      <c r="E273" s="13" t="s">
        <v>507</v>
      </c>
      <c r="F273" s="18"/>
      <c r="G273" s="25" t="s">
        <v>2110</v>
      </c>
      <c r="H273" s="15" t="s">
        <v>2181</v>
      </c>
      <c r="I273" s="15" t="s">
        <v>2182</v>
      </c>
      <c r="J273" s="19" t="s">
        <v>26</v>
      </c>
      <c r="K273" s="15" t="s">
        <v>394</v>
      </c>
      <c r="L273" s="15" t="s">
        <v>35</v>
      </c>
      <c r="M273" s="15">
        <v>2024</v>
      </c>
      <c r="N273" s="15" t="str">
        <f t="shared" si="16"/>
        <v>Maret</v>
      </c>
      <c r="O273" s="15">
        <v>2026</v>
      </c>
      <c r="P273" s="15">
        <v>2024</v>
      </c>
      <c r="Q273" s="15"/>
      <c r="R273" s="16"/>
      <c r="S273" s="15"/>
      <c r="T273" s="15"/>
      <c r="U273" s="15"/>
      <c r="V273" s="15"/>
      <c r="W273" s="15"/>
    </row>
    <row r="274" spans="1:23" s="17" customFormat="1" ht="14.5" x14ac:dyDescent="0.35">
      <c r="A274" s="12">
        <v>273</v>
      </c>
      <c r="B274" s="13" t="s">
        <v>2183</v>
      </c>
      <c r="C274" s="14" t="s">
        <v>2184</v>
      </c>
      <c r="D274" s="14" t="str">
        <f t="shared" si="14"/>
        <v>Perempuan</v>
      </c>
      <c r="E274" s="13" t="s">
        <v>188</v>
      </c>
      <c r="F274" s="18" t="s">
        <v>1807</v>
      </c>
      <c r="G274" s="25" t="s">
        <v>2110</v>
      </c>
      <c r="H274" s="15" t="s">
        <v>1536</v>
      </c>
      <c r="I274" s="15" t="s">
        <v>90</v>
      </c>
      <c r="J274" s="19" t="s">
        <v>26</v>
      </c>
      <c r="K274" s="15" t="s">
        <v>394</v>
      </c>
      <c r="L274" s="15" t="s">
        <v>28</v>
      </c>
      <c r="M274" s="15">
        <v>2024</v>
      </c>
      <c r="N274" s="15" t="str">
        <f t="shared" si="16"/>
        <v>September</v>
      </c>
      <c r="O274" s="15">
        <v>2026</v>
      </c>
      <c r="P274" s="15">
        <v>2024</v>
      </c>
      <c r="Q274" s="15"/>
      <c r="R274" s="16"/>
      <c r="S274" s="15"/>
      <c r="T274" s="15"/>
      <c r="U274" s="15"/>
      <c r="V274" s="15"/>
      <c r="W274" s="15"/>
    </row>
    <row r="275" spans="1:23" s="17" customFormat="1" ht="28" x14ac:dyDescent="0.35">
      <c r="A275" s="12">
        <v>274</v>
      </c>
      <c r="B275" s="95" t="s">
        <v>2185</v>
      </c>
      <c r="C275" s="14" t="s">
        <v>2186</v>
      </c>
      <c r="D275" s="14" t="str">
        <f t="shared" si="14"/>
        <v>Perempuan</v>
      </c>
      <c r="E275" s="13" t="s">
        <v>211</v>
      </c>
      <c r="F275" s="18" t="s">
        <v>1807</v>
      </c>
      <c r="G275" s="25" t="s">
        <v>2110</v>
      </c>
      <c r="H275" s="15" t="s">
        <v>1772</v>
      </c>
      <c r="I275" s="15" t="s">
        <v>2102</v>
      </c>
      <c r="J275" s="19" t="s">
        <v>26</v>
      </c>
      <c r="K275" s="15" t="s">
        <v>905</v>
      </c>
      <c r="L275" s="15" t="s">
        <v>905</v>
      </c>
      <c r="M275" s="15">
        <v>2024</v>
      </c>
      <c r="N275" s="15" t="str">
        <f t="shared" si="16"/>
        <v>Agribisnis</v>
      </c>
      <c r="O275" s="15">
        <v>2026</v>
      </c>
      <c r="P275" s="15">
        <v>2024</v>
      </c>
      <c r="Q275" s="15"/>
      <c r="R275" s="16"/>
      <c r="S275" s="15"/>
      <c r="T275" s="15"/>
      <c r="U275" s="15"/>
      <c r="V275" s="15"/>
      <c r="W275" s="15"/>
    </row>
    <row r="276" spans="1:23" s="17" customFormat="1" ht="14.5" x14ac:dyDescent="0.35">
      <c r="A276" s="12">
        <v>275</v>
      </c>
      <c r="B276" s="13" t="s">
        <v>2187</v>
      </c>
      <c r="C276" s="14" t="s">
        <v>2188</v>
      </c>
      <c r="D276" s="14" t="str">
        <f t="shared" si="14"/>
        <v>Perempuan</v>
      </c>
      <c r="E276" s="13" t="s">
        <v>188</v>
      </c>
      <c r="F276" s="18" t="s">
        <v>1807</v>
      </c>
      <c r="G276" s="25" t="s">
        <v>2110</v>
      </c>
      <c r="H276" s="15" t="s">
        <v>1536</v>
      </c>
      <c r="I276" s="15" t="s">
        <v>90</v>
      </c>
      <c r="J276" s="19" t="s">
        <v>26</v>
      </c>
      <c r="K276" s="15" t="s">
        <v>394</v>
      </c>
      <c r="L276" s="15" t="s">
        <v>28</v>
      </c>
      <c r="M276" s="15">
        <v>2024</v>
      </c>
      <c r="N276" s="15" t="str">
        <f t="shared" si="16"/>
        <v>September</v>
      </c>
      <c r="O276" s="15">
        <v>2026</v>
      </c>
      <c r="P276" s="15">
        <v>2024</v>
      </c>
      <c r="Q276" s="15"/>
      <c r="R276" s="16"/>
      <c r="S276" s="15"/>
      <c r="T276" s="15"/>
      <c r="U276" s="15"/>
      <c r="V276" s="15"/>
      <c r="W276" s="15"/>
    </row>
    <row r="277" spans="1:23" s="17" customFormat="1" ht="28" x14ac:dyDescent="0.35">
      <c r="A277" s="12">
        <v>276</v>
      </c>
      <c r="B277" s="13" t="s">
        <v>2189</v>
      </c>
      <c r="C277" s="14" t="s">
        <v>2190</v>
      </c>
      <c r="D277" s="14" t="str">
        <f t="shared" si="14"/>
        <v>Laki-Laki</v>
      </c>
      <c r="E277" s="13" t="s">
        <v>172</v>
      </c>
      <c r="F277" s="18" t="s">
        <v>2191</v>
      </c>
      <c r="G277" s="25" t="s">
        <v>2110</v>
      </c>
      <c r="H277" s="15" t="s">
        <v>2192</v>
      </c>
      <c r="I277" s="15" t="s">
        <v>2193</v>
      </c>
      <c r="J277" s="12" t="s">
        <v>45</v>
      </c>
      <c r="K277" s="15" t="s">
        <v>2073</v>
      </c>
      <c r="L277" s="15" t="s">
        <v>28</v>
      </c>
      <c r="M277" s="15">
        <v>2024</v>
      </c>
      <c r="N277" s="15" t="str">
        <f t="shared" si="16"/>
        <v>September</v>
      </c>
      <c r="O277" s="15">
        <v>2028</v>
      </c>
      <c r="P277" s="15">
        <v>2024</v>
      </c>
      <c r="Q277" s="15"/>
      <c r="R277" s="16"/>
      <c r="S277" s="15"/>
      <c r="T277" s="15"/>
      <c r="U277" s="15"/>
      <c r="V277" s="15"/>
      <c r="W277" s="15"/>
    </row>
    <row r="278" spans="1:23" s="17" customFormat="1" ht="14.5" x14ac:dyDescent="0.35">
      <c r="A278" s="12">
        <v>277</v>
      </c>
      <c r="B278" s="13" t="s">
        <v>2194</v>
      </c>
      <c r="C278" s="14" t="s">
        <v>2195</v>
      </c>
      <c r="D278" s="14" t="str">
        <f t="shared" si="14"/>
        <v>Perempuan</v>
      </c>
      <c r="E278" s="13" t="s">
        <v>215</v>
      </c>
      <c r="F278" s="18" t="s">
        <v>2196</v>
      </c>
      <c r="G278" s="25" t="s">
        <v>2110</v>
      </c>
      <c r="H278" s="15" t="s">
        <v>2197</v>
      </c>
      <c r="I278" s="15" t="s">
        <v>90</v>
      </c>
      <c r="J278" s="12" t="s">
        <v>45</v>
      </c>
      <c r="K278" s="15" t="s">
        <v>63</v>
      </c>
      <c r="L278" s="15" t="s">
        <v>28</v>
      </c>
      <c r="M278" s="15">
        <v>2024</v>
      </c>
      <c r="N278" s="15" t="str">
        <f t="shared" si="16"/>
        <v>September</v>
      </c>
      <c r="O278" s="15">
        <v>2028</v>
      </c>
      <c r="P278" s="15">
        <v>2024</v>
      </c>
      <c r="Q278" s="15"/>
      <c r="R278" s="16"/>
      <c r="S278" s="15"/>
      <c r="T278" s="15"/>
      <c r="U278" s="15"/>
      <c r="V278" s="15"/>
      <c r="W278" s="15"/>
    </row>
    <row r="279" spans="1:23" s="17" customFormat="1" ht="28" x14ac:dyDescent="0.35">
      <c r="A279" s="12">
        <v>278</v>
      </c>
      <c r="B279" s="13" t="s">
        <v>2198</v>
      </c>
      <c r="C279" s="14" t="s">
        <v>2199</v>
      </c>
      <c r="D279" s="14" t="str">
        <f t="shared" si="14"/>
        <v>Laki-Laki</v>
      </c>
      <c r="E279" s="13" t="s">
        <v>507</v>
      </c>
      <c r="F279" s="18" t="s">
        <v>1673</v>
      </c>
      <c r="G279" s="25" t="s">
        <v>2110</v>
      </c>
      <c r="H279" s="15" t="s">
        <v>1754</v>
      </c>
      <c r="I279" s="15" t="s">
        <v>2178</v>
      </c>
      <c r="J279" s="19" t="s">
        <v>26</v>
      </c>
      <c r="K279" s="15" t="s">
        <v>394</v>
      </c>
      <c r="L279" s="15" t="s">
        <v>35</v>
      </c>
      <c r="M279" s="15">
        <v>2024</v>
      </c>
      <c r="N279" s="15" t="str">
        <f t="shared" si="16"/>
        <v>Maret</v>
      </c>
      <c r="O279" s="15">
        <v>2026</v>
      </c>
      <c r="P279" s="15">
        <v>2024</v>
      </c>
      <c r="Q279" s="15"/>
      <c r="R279" s="16"/>
      <c r="S279" s="15"/>
      <c r="T279" s="15"/>
      <c r="U279" s="15"/>
      <c r="V279" s="15"/>
      <c r="W279" s="15"/>
    </row>
    <row r="280" spans="1:23" s="17" customFormat="1" ht="14.5" x14ac:dyDescent="0.35">
      <c r="A280" s="12">
        <v>279</v>
      </c>
      <c r="B280" s="13" t="s">
        <v>2200</v>
      </c>
      <c r="C280" s="14" t="s">
        <v>2201</v>
      </c>
      <c r="D280" s="14" t="str">
        <f t="shared" si="14"/>
        <v>Perempuan</v>
      </c>
      <c r="E280" s="13" t="s">
        <v>164</v>
      </c>
      <c r="F280" s="18" t="s">
        <v>142</v>
      </c>
      <c r="G280" s="25" t="s">
        <v>2110</v>
      </c>
      <c r="H280" s="15" t="s">
        <v>2202</v>
      </c>
      <c r="I280" s="15" t="s">
        <v>90</v>
      </c>
      <c r="J280" s="12" t="s">
        <v>45</v>
      </c>
      <c r="K280" s="15" t="s">
        <v>46</v>
      </c>
      <c r="L280" s="15" t="s">
        <v>169</v>
      </c>
      <c r="M280" s="15">
        <v>2024</v>
      </c>
      <c r="N280" s="15" t="str">
        <f t="shared" si="16"/>
        <v>Oktober</v>
      </c>
      <c r="O280" s="15">
        <v>2028</v>
      </c>
      <c r="P280" s="15">
        <v>2024</v>
      </c>
      <c r="Q280" s="15"/>
      <c r="R280" s="16"/>
      <c r="S280" s="15"/>
      <c r="T280" s="15"/>
      <c r="U280" s="15"/>
      <c r="V280" s="15"/>
      <c r="W280" s="15"/>
    </row>
    <row r="281" spans="1:23" s="17" customFormat="1" ht="28" x14ac:dyDescent="0.35">
      <c r="A281" s="12">
        <v>280</v>
      </c>
      <c r="B281" s="13" t="s">
        <v>2203</v>
      </c>
      <c r="C281" s="14" t="s">
        <v>2204</v>
      </c>
      <c r="D281" s="14" t="str">
        <f t="shared" si="14"/>
        <v>Laki-Laki</v>
      </c>
      <c r="E281" s="13" t="s">
        <v>507</v>
      </c>
      <c r="F281" s="18" t="s">
        <v>1673</v>
      </c>
      <c r="G281" s="25" t="s">
        <v>2110</v>
      </c>
      <c r="H281" s="15" t="s">
        <v>2149</v>
      </c>
      <c r="I281" s="15" t="s">
        <v>2205</v>
      </c>
      <c r="J281" s="19" t="s">
        <v>26</v>
      </c>
      <c r="K281" s="15" t="s">
        <v>394</v>
      </c>
      <c r="L281" s="15" t="s">
        <v>72</v>
      </c>
      <c r="M281" s="15">
        <v>2024</v>
      </c>
      <c r="N281" s="15" t="str">
        <f t="shared" si="16"/>
        <v>Februari</v>
      </c>
      <c r="O281" s="15">
        <v>2026</v>
      </c>
      <c r="P281" s="15">
        <v>2024</v>
      </c>
      <c r="Q281" s="15"/>
      <c r="R281" s="16"/>
      <c r="S281" s="15"/>
      <c r="T281" s="15"/>
      <c r="U281" s="15"/>
      <c r="V281" s="15"/>
      <c r="W281" s="15"/>
    </row>
    <row r="282" spans="1:23" s="17" customFormat="1" ht="28" x14ac:dyDescent="0.35">
      <c r="A282" s="12">
        <v>281</v>
      </c>
      <c r="B282" s="13" t="s">
        <v>2206</v>
      </c>
      <c r="C282" s="14" t="s">
        <v>2207</v>
      </c>
      <c r="D282" s="14" t="str">
        <f t="shared" si="14"/>
        <v>Laki-Laki</v>
      </c>
      <c r="E282" s="13" t="s">
        <v>903</v>
      </c>
      <c r="F282" s="18" t="s">
        <v>526</v>
      </c>
      <c r="G282" s="25" t="s">
        <v>2110</v>
      </c>
      <c r="H282" s="15" t="s">
        <v>2208</v>
      </c>
      <c r="I282" s="15" t="s">
        <v>90</v>
      </c>
      <c r="J282" s="12" t="s">
        <v>45</v>
      </c>
      <c r="K282" s="15" t="s">
        <v>46</v>
      </c>
      <c r="L282" s="15" t="s">
        <v>72</v>
      </c>
      <c r="M282" s="15">
        <v>2024</v>
      </c>
      <c r="N282" s="15" t="str">
        <f t="shared" si="16"/>
        <v>Februari</v>
      </c>
      <c r="O282" s="15">
        <v>2028</v>
      </c>
      <c r="P282" s="15">
        <v>2024</v>
      </c>
      <c r="Q282" s="15"/>
      <c r="R282" s="16"/>
      <c r="S282" s="15"/>
      <c r="T282" s="15"/>
      <c r="U282" s="15"/>
      <c r="V282" s="15"/>
      <c r="W282" s="15"/>
    </row>
    <row r="283" spans="1:23" s="17" customFormat="1" ht="14.5" x14ac:dyDescent="0.35">
      <c r="A283" s="12">
        <v>282</v>
      </c>
      <c r="B283" s="13" t="s">
        <v>2209</v>
      </c>
      <c r="C283" s="14" t="s">
        <v>2210</v>
      </c>
      <c r="D283" s="14" t="str">
        <f t="shared" si="14"/>
        <v>Laki-Laki</v>
      </c>
      <c r="E283" s="13" t="s">
        <v>188</v>
      </c>
      <c r="F283" s="18" t="s">
        <v>2211</v>
      </c>
      <c r="G283" s="25" t="s">
        <v>2110</v>
      </c>
      <c r="H283" s="15" t="s">
        <v>1536</v>
      </c>
      <c r="I283" s="15" t="s">
        <v>90</v>
      </c>
      <c r="J283" s="19" t="s">
        <v>26</v>
      </c>
      <c r="K283" s="15" t="s">
        <v>394</v>
      </c>
      <c r="L283" s="15" t="s">
        <v>28</v>
      </c>
      <c r="M283" s="15">
        <v>2024</v>
      </c>
      <c r="N283" s="15" t="str">
        <f t="shared" si="16"/>
        <v>September</v>
      </c>
      <c r="O283" s="15">
        <v>2026</v>
      </c>
      <c r="P283" s="15">
        <v>2024</v>
      </c>
      <c r="Q283" s="15"/>
      <c r="R283" s="16"/>
      <c r="S283" s="15"/>
      <c r="T283" s="15"/>
      <c r="U283" s="15"/>
      <c r="V283" s="15"/>
      <c r="W283" s="15"/>
    </row>
    <row r="284" spans="1:23" s="17" customFormat="1" ht="28" x14ac:dyDescent="0.35">
      <c r="A284" s="12">
        <v>283</v>
      </c>
      <c r="B284" s="13" t="s">
        <v>2212</v>
      </c>
      <c r="C284" s="14" t="s">
        <v>2213</v>
      </c>
      <c r="D284" s="14" t="str">
        <f t="shared" si="14"/>
        <v>Laki-Laki</v>
      </c>
      <c r="E284" s="13" t="s">
        <v>2214</v>
      </c>
      <c r="F284" s="18"/>
      <c r="G284" s="25" t="s">
        <v>2110</v>
      </c>
      <c r="H284" s="15" t="s">
        <v>2215</v>
      </c>
      <c r="I284" s="15" t="s">
        <v>2216</v>
      </c>
      <c r="J284" s="19" t="s">
        <v>26</v>
      </c>
      <c r="K284" s="15" t="s">
        <v>394</v>
      </c>
      <c r="L284" s="15" t="s">
        <v>35</v>
      </c>
      <c r="M284" s="15">
        <v>2024</v>
      </c>
      <c r="N284" s="15" t="str">
        <f t="shared" si="16"/>
        <v>Maret</v>
      </c>
      <c r="O284" s="15">
        <v>2026</v>
      </c>
      <c r="P284" s="15">
        <v>2024</v>
      </c>
      <c r="Q284" s="15"/>
      <c r="R284" s="16"/>
      <c r="S284" s="15"/>
      <c r="T284" s="15"/>
      <c r="U284" s="15"/>
      <c r="V284" s="15"/>
      <c r="W284" s="15"/>
    </row>
    <row r="285" spans="1:23" s="17" customFormat="1" ht="28" x14ac:dyDescent="0.35">
      <c r="A285" s="12">
        <v>284</v>
      </c>
      <c r="B285" s="13" t="s">
        <v>2217</v>
      </c>
      <c r="C285" s="14" t="s">
        <v>2218</v>
      </c>
      <c r="D285" s="14" t="str">
        <f t="shared" si="14"/>
        <v>Laki-Laki</v>
      </c>
      <c r="E285" s="13" t="s">
        <v>2214</v>
      </c>
      <c r="F285" s="18"/>
      <c r="G285" s="25" t="s">
        <v>2110</v>
      </c>
      <c r="H285" s="15" t="s">
        <v>1772</v>
      </c>
      <c r="I285" s="15" t="s">
        <v>2182</v>
      </c>
      <c r="J285" s="19" t="s">
        <v>26</v>
      </c>
      <c r="K285" s="15" t="s">
        <v>394</v>
      </c>
      <c r="L285" s="15" t="s">
        <v>35</v>
      </c>
      <c r="M285" s="15">
        <v>2024</v>
      </c>
      <c r="N285" s="15" t="str">
        <f t="shared" si="16"/>
        <v>Maret</v>
      </c>
      <c r="O285" s="15">
        <v>2026</v>
      </c>
      <c r="P285" s="15">
        <v>2024</v>
      </c>
      <c r="Q285" s="15"/>
      <c r="R285" s="16"/>
      <c r="S285" s="15"/>
      <c r="T285" s="15"/>
      <c r="U285" s="15"/>
      <c r="V285" s="15"/>
      <c r="W285" s="15"/>
    </row>
    <row r="286" spans="1:23" s="17" customFormat="1" ht="28" x14ac:dyDescent="0.35">
      <c r="A286" s="12">
        <v>285</v>
      </c>
      <c r="B286" s="13" t="s">
        <v>2219</v>
      </c>
      <c r="C286" s="14" t="s">
        <v>2220</v>
      </c>
      <c r="D286" s="14" t="str">
        <f t="shared" si="14"/>
        <v>Laki-Laki</v>
      </c>
      <c r="E286" s="13" t="s">
        <v>211</v>
      </c>
      <c r="F286" s="18" t="s">
        <v>1807</v>
      </c>
      <c r="G286" s="25" t="s">
        <v>2110</v>
      </c>
      <c r="H286" s="15" t="s">
        <v>1772</v>
      </c>
      <c r="I286" s="15" t="s">
        <v>2102</v>
      </c>
      <c r="J286" s="19" t="s">
        <v>26</v>
      </c>
      <c r="K286" s="15" t="s">
        <v>905</v>
      </c>
      <c r="L286" s="15" t="s">
        <v>169</v>
      </c>
      <c r="M286" s="15">
        <v>2024</v>
      </c>
      <c r="N286" s="15" t="str">
        <f t="shared" si="16"/>
        <v>Oktober</v>
      </c>
      <c r="O286" s="15">
        <v>2026</v>
      </c>
      <c r="P286" s="15">
        <v>2024</v>
      </c>
      <c r="Q286" s="15"/>
      <c r="R286" s="16"/>
      <c r="S286" s="15"/>
      <c r="T286" s="15"/>
      <c r="U286" s="15"/>
      <c r="V286" s="15"/>
      <c r="W286" s="15"/>
    </row>
    <row r="287" spans="1:23" s="17" customFormat="1" ht="14.5" x14ac:dyDescent="0.35">
      <c r="A287" s="12">
        <v>286</v>
      </c>
      <c r="B287" s="13" t="s">
        <v>2221</v>
      </c>
      <c r="C287" s="14" t="s">
        <v>2222</v>
      </c>
      <c r="D287" s="14" t="str">
        <f t="shared" si="14"/>
        <v>Perempuan</v>
      </c>
      <c r="E287" s="13" t="s">
        <v>215</v>
      </c>
      <c r="F287" s="18" t="s">
        <v>2223</v>
      </c>
      <c r="G287" s="25" t="s">
        <v>2110</v>
      </c>
      <c r="H287" s="15" t="s">
        <v>1870</v>
      </c>
      <c r="I287" s="15" t="s">
        <v>90</v>
      </c>
      <c r="J287" s="12" t="s">
        <v>45</v>
      </c>
      <c r="K287" s="15" t="s">
        <v>181</v>
      </c>
      <c r="L287" s="15" t="s">
        <v>28</v>
      </c>
      <c r="M287" s="15">
        <v>2024</v>
      </c>
      <c r="N287" s="15" t="str">
        <f t="shared" si="16"/>
        <v>September</v>
      </c>
      <c r="O287" s="15">
        <v>2028</v>
      </c>
      <c r="P287" s="15">
        <v>2024</v>
      </c>
      <c r="Q287" s="15"/>
      <c r="R287" s="16"/>
      <c r="S287" s="15"/>
      <c r="T287" s="15"/>
      <c r="U287" s="15"/>
      <c r="V287" s="15"/>
      <c r="W287" s="15"/>
    </row>
    <row r="288" spans="1:23" s="17" customFormat="1" ht="14.5" x14ac:dyDescent="0.35">
      <c r="A288" s="12">
        <v>287</v>
      </c>
      <c r="B288" s="13" t="s">
        <v>2224</v>
      </c>
      <c r="C288" s="14" t="s">
        <v>2225</v>
      </c>
      <c r="D288" s="14" t="str">
        <f t="shared" si="14"/>
        <v>Perempuan</v>
      </c>
      <c r="E288" s="13" t="s">
        <v>188</v>
      </c>
      <c r="F288" s="18" t="s">
        <v>1807</v>
      </c>
      <c r="G288" s="25" t="s">
        <v>2110</v>
      </c>
      <c r="H288" s="15" t="s">
        <v>1536</v>
      </c>
      <c r="I288" s="15" t="s">
        <v>90</v>
      </c>
      <c r="J288" s="19" t="s">
        <v>26</v>
      </c>
      <c r="K288" s="15" t="s">
        <v>394</v>
      </c>
      <c r="L288" s="15" t="s">
        <v>28</v>
      </c>
      <c r="M288" s="15">
        <v>2024</v>
      </c>
      <c r="N288" s="15" t="str">
        <f t="shared" si="16"/>
        <v>September</v>
      </c>
      <c r="O288" s="15">
        <v>2026</v>
      </c>
      <c r="P288" s="15">
        <v>2024</v>
      </c>
      <c r="Q288" s="15"/>
      <c r="R288" s="16"/>
      <c r="S288" s="15"/>
      <c r="T288" s="15"/>
      <c r="U288" s="15"/>
      <c r="V288" s="15"/>
      <c r="W288" s="15"/>
    </row>
    <row r="289" spans="1:23" s="17" customFormat="1" ht="28" x14ac:dyDescent="0.35">
      <c r="A289" s="12">
        <v>288</v>
      </c>
      <c r="B289" s="13" t="s">
        <v>2226</v>
      </c>
      <c r="C289" s="14" t="s">
        <v>2227</v>
      </c>
      <c r="D289" s="14" t="str">
        <f t="shared" si="14"/>
        <v>Perempuan</v>
      </c>
      <c r="E289" s="13" t="s">
        <v>507</v>
      </c>
      <c r="F289" s="18" t="s">
        <v>1791</v>
      </c>
      <c r="G289" s="25" t="s">
        <v>2110</v>
      </c>
      <c r="H289" s="15" t="s">
        <v>1870</v>
      </c>
      <c r="I289" s="15" t="s">
        <v>261</v>
      </c>
      <c r="J289" s="19" t="s">
        <v>26</v>
      </c>
      <c r="K289" s="15" t="s">
        <v>262</v>
      </c>
      <c r="L289" s="15" t="s">
        <v>28</v>
      </c>
      <c r="M289" s="15">
        <v>2024</v>
      </c>
      <c r="N289" s="15" t="str">
        <f t="shared" si="16"/>
        <v>September</v>
      </c>
      <c r="O289" s="15">
        <v>2026</v>
      </c>
      <c r="P289" s="15">
        <v>2024</v>
      </c>
      <c r="Q289" s="15"/>
      <c r="R289" s="16"/>
      <c r="S289" s="15"/>
      <c r="T289" s="15"/>
      <c r="U289" s="15"/>
      <c r="V289" s="15"/>
      <c r="W289" s="15"/>
    </row>
    <row r="290" spans="1:23" s="17" customFormat="1" ht="28" x14ac:dyDescent="0.35">
      <c r="A290" s="12">
        <v>289</v>
      </c>
      <c r="B290" s="13" t="s">
        <v>2228</v>
      </c>
      <c r="C290" s="14" t="s">
        <v>2229</v>
      </c>
      <c r="D290" s="14" t="str">
        <f t="shared" si="14"/>
        <v>Perempuan</v>
      </c>
      <c r="E290" s="13" t="s">
        <v>211</v>
      </c>
      <c r="F290" s="18" t="s">
        <v>2230</v>
      </c>
      <c r="G290" s="25" t="s">
        <v>2110</v>
      </c>
      <c r="H290" s="15" t="s">
        <v>1772</v>
      </c>
      <c r="I290" s="15" t="s">
        <v>2102</v>
      </c>
      <c r="J290" s="19" t="s">
        <v>26</v>
      </c>
      <c r="K290" s="15" t="s">
        <v>905</v>
      </c>
      <c r="L290" s="15" t="s">
        <v>169</v>
      </c>
      <c r="M290" s="15">
        <v>2024</v>
      </c>
      <c r="N290" s="15" t="str">
        <f t="shared" si="16"/>
        <v>Oktober</v>
      </c>
      <c r="O290" s="15">
        <v>2026</v>
      </c>
      <c r="P290" s="15">
        <v>2024</v>
      </c>
      <c r="Q290" s="15"/>
      <c r="R290" s="16"/>
      <c r="S290" s="15"/>
      <c r="T290" s="15"/>
      <c r="U290" s="15"/>
      <c r="V290" s="15"/>
      <c r="W290" s="15"/>
    </row>
    <row r="291" spans="1:23" s="17" customFormat="1" ht="28" x14ac:dyDescent="0.35">
      <c r="A291" s="12">
        <v>290</v>
      </c>
      <c r="B291" s="13" t="s">
        <v>2231</v>
      </c>
      <c r="C291" s="14" t="s">
        <v>2232</v>
      </c>
      <c r="D291" s="14" t="str">
        <f t="shared" si="14"/>
        <v>Laki-Laki</v>
      </c>
      <c r="E291" s="13" t="s">
        <v>211</v>
      </c>
      <c r="F291" s="18" t="s">
        <v>397</v>
      </c>
      <c r="G291" s="25" t="s">
        <v>2110</v>
      </c>
      <c r="H291" s="15" t="s">
        <v>1658</v>
      </c>
      <c r="I291" s="15" t="s">
        <v>2233</v>
      </c>
      <c r="J291" s="19" t="s">
        <v>26</v>
      </c>
      <c r="K291" s="15" t="s">
        <v>257</v>
      </c>
      <c r="L291" s="15" t="s">
        <v>28</v>
      </c>
      <c r="M291" s="15">
        <v>2024</v>
      </c>
      <c r="N291" s="15" t="str">
        <f t="shared" si="16"/>
        <v>September</v>
      </c>
      <c r="O291" s="15">
        <v>2026</v>
      </c>
      <c r="P291" s="15">
        <v>2024</v>
      </c>
      <c r="Q291" s="15"/>
      <c r="R291" s="16"/>
      <c r="S291" s="15"/>
      <c r="T291" s="15"/>
      <c r="U291" s="15"/>
      <c r="V291" s="15"/>
      <c r="W291" s="15"/>
    </row>
    <row r="292" spans="1:23" s="17" customFormat="1" ht="14.5" x14ac:dyDescent="0.35">
      <c r="A292" s="12">
        <v>291</v>
      </c>
      <c r="B292" s="13" t="s">
        <v>2234</v>
      </c>
      <c r="C292" s="14" t="s">
        <v>2235</v>
      </c>
      <c r="D292" s="14" t="str">
        <f t="shared" si="14"/>
        <v>Laki-Laki</v>
      </c>
      <c r="E292" s="13" t="s">
        <v>507</v>
      </c>
      <c r="F292" s="18" t="s">
        <v>1673</v>
      </c>
      <c r="G292" s="25" t="s">
        <v>2110</v>
      </c>
      <c r="H292" s="15" t="s">
        <v>1870</v>
      </c>
      <c r="I292" s="15" t="s">
        <v>2236</v>
      </c>
      <c r="J292" s="19" t="s">
        <v>26</v>
      </c>
      <c r="K292" s="15" t="s">
        <v>394</v>
      </c>
      <c r="L292" s="15" t="s">
        <v>35</v>
      </c>
      <c r="M292" s="15">
        <v>2024</v>
      </c>
      <c r="N292" s="15" t="str">
        <f t="shared" si="16"/>
        <v>Maret</v>
      </c>
      <c r="O292" s="15">
        <v>2026</v>
      </c>
      <c r="P292" s="15">
        <v>2024</v>
      </c>
      <c r="Q292" s="15"/>
      <c r="R292" s="16"/>
      <c r="S292" s="15"/>
      <c r="T292" s="15"/>
      <c r="U292" s="15"/>
      <c r="V292" s="15"/>
      <c r="W292" s="15"/>
    </row>
    <row r="293" spans="1:23" s="17" customFormat="1" ht="28.5" x14ac:dyDescent="0.35">
      <c r="A293" s="12">
        <v>292</v>
      </c>
      <c r="B293" s="13" t="s">
        <v>2237</v>
      </c>
      <c r="C293" s="14" t="s">
        <v>2238</v>
      </c>
      <c r="D293" s="14" t="str">
        <f t="shared" si="14"/>
        <v>Laki-Laki</v>
      </c>
      <c r="E293" s="13" t="s">
        <v>211</v>
      </c>
      <c r="F293" s="18" t="s">
        <v>2239</v>
      </c>
      <c r="G293" s="25" t="s">
        <v>2110</v>
      </c>
      <c r="H293" s="15" t="s">
        <v>1560</v>
      </c>
      <c r="I293" s="15" t="s">
        <v>1576</v>
      </c>
      <c r="J293" s="19" t="s">
        <v>26</v>
      </c>
      <c r="K293" s="81" t="s">
        <v>2240</v>
      </c>
      <c r="L293" s="15" t="s">
        <v>890</v>
      </c>
      <c r="M293" s="15">
        <v>2025</v>
      </c>
      <c r="N293" s="15" t="str">
        <f t="shared" si="16"/>
        <v>Januari</v>
      </c>
      <c r="O293" s="15">
        <v>2027</v>
      </c>
      <c r="P293" s="15">
        <v>2024</v>
      </c>
      <c r="Q293" s="15"/>
      <c r="R293" s="16"/>
      <c r="S293" s="15"/>
      <c r="T293" s="15"/>
      <c r="U293" s="15"/>
      <c r="V293" s="15"/>
      <c r="W293" s="15"/>
    </row>
    <row r="294" spans="1:23" s="17" customFormat="1" ht="14.5" x14ac:dyDescent="0.35">
      <c r="A294" s="12">
        <v>293</v>
      </c>
      <c r="B294" s="13" t="s">
        <v>2241</v>
      </c>
      <c r="C294" s="14" t="s">
        <v>2242</v>
      </c>
      <c r="D294" s="14" t="str">
        <f t="shared" si="14"/>
        <v>Laki-Laki</v>
      </c>
      <c r="E294" s="13" t="s">
        <v>188</v>
      </c>
      <c r="F294" s="18" t="s">
        <v>2243</v>
      </c>
      <c r="G294" s="25" t="s">
        <v>2110</v>
      </c>
      <c r="H294" s="15" t="s">
        <v>1525</v>
      </c>
      <c r="I294" s="15" t="s">
        <v>563</v>
      </c>
      <c r="J294" s="19" t="s">
        <v>26</v>
      </c>
      <c r="K294" s="15" t="s">
        <v>564</v>
      </c>
      <c r="L294" s="15" t="s">
        <v>60</v>
      </c>
      <c r="M294" s="15">
        <v>2024</v>
      </c>
      <c r="N294" s="15" t="str">
        <f t="shared" si="16"/>
        <v>Agustus</v>
      </c>
      <c r="O294" s="15">
        <v>2026</v>
      </c>
      <c r="P294" s="15">
        <v>2024</v>
      </c>
      <c r="Q294" s="15"/>
      <c r="R294" s="16"/>
      <c r="S294" s="15"/>
      <c r="T294" s="15"/>
      <c r="U294" s="15"/>
      <c r="V294" s="15"/>
      <c r="W294" s="15"/>
    </row>
    <row r="295" spans="1:23" s="17" customFormat="1" ht="14.5" x14ac:dyDescent="0.35">
      <c r="A295" s="12">
        <v>294</v>
      </c>
      <c r="B295" s="13" t="s">
        <v>2244</v>
      </c>
      <c r="C295" s="14" t="s">
        <v>2245</v>
      </c>
      <c r="D295" s="14" t="str">
        <f t="shared" si="14"/>
        <v>Laki-Laki</v>
      </c>
      <c r="E295" s="13" t="s">
        <v>188</v>
      </c>
      <c r="F295" s="18" t="s">
        <v>1629</v>
      </c>
      <c r="G295" s="25" t="s">
        <v>2110</v>
      </c>
      <c r="H295" s="15" t="s">
        <v>2246</v>
      </c>
      <c r="I295" s="15" t="s">
        <v>563</v>
      </c>
      <c r="J295" s="19" t="s">
        <v>26</v>
      </c>
      <c r="K295" s="15" t="s">
        <v>564</v>
      </c>
      <c r="L295" s="15" t="s">
        <v>60</v>
      </c>
      <c r="M295" s="15">
        <v>2024</v>
      </c>
      <c r="N295" s="15" t="str">
        <f t="shared" si="16"/>
        <v>Agustus</v>
      </c>
      <c r="O295" s="15">
        <v>2026</v>
      </c>
      <c r="P295" s="15">
        <v>2024</v>
      </c>
      <c r="Q295" s="15"/>
      <c r="R295" s="16"/>
      <c r="S295" s="15"/>
      <c r="T295" s="15"/>
      <c r="U295" s="15"/>
      <c r="V295" s="15"/>
      <c r="W295" s="15"/>
    </row>
    <row r="296" spans="1:23" s="17" customFormat="1" ht="28" x14ac:dyDescent="0.35">
      <c r="A296" s="12">
        <v>295</v>
      </c>
      <c r="B296" s="13" t="s">
        <v>2247</v>
      </c>
      <c r="C296" s="14" t="s">
        <v>2248</v>
      </c>
      <c r="D296" s="14" t="str">
        <f t="shared" si="14"/>
        <v>Laki-Laki</v>
      </c>
      <c r="E296" s="13" t="s">
        <v>188</v>
      </c>
      <c r="F296" s="18" t="s">
        <v>2249</v>
      </c>
      <c r="G296" s="25" t="s">
        <v>2110</v>
      </c>
      <c r="H296" s="15" t="s">
        <v>2202</v>
      </c>
      <c r="I296" s="15" t="s">
        <v>2250</v>
      </c>
      <c r="J296" s="12" t="s">
        <v>242</v>
      </c>
      <c r="K296" s="15" t="s">
        <v>2251</v>
      </c>
      <c r="L296" s="15" t="s">
        <v>72</v>
      </c>
      <c r="M296" s="15">
        <v>2024</v>
      </c>
      <c r="N296" s="15" t="str">
        <f t="shared" si="16"/>
        <v>Februari</v>
      </c>
      <c r="O296" s="15">
        <v>2027</v>
      </c>
      <c r="P296" s="15">
        <v>2024</v>
      </c>
      <c r="Q296" s="15"/>
      <c r="R296" s="16"/>
      <c r="S296" s="15"/>
      <c r="T296" s="15"/>
      <c r="U296" s="15"/>
      <c r="V296" s="15"/>
      <c r="W296" s="15"/>
    </row>
    <row r="297" spans="1:23" s="17" customFormat="1" ht="28" x14ac:dyDescent="0.35">
      <c r="A297" s="12">
        <v>296</v>
      </c>
      <c r="B297" s="13" t="s">
        <v>2252</v>
      </c>
      <c r="C297" s="14" t="s">
        <v>2253</v>
      </c>
      <c r="D297" s="14" t="str">
        <f t="shared" si="14"/>
        <v>Laki-Laki</v>
      </c>
      <c r="E297" s="13" t="s">
        <v>2254</v>
      </c>
      <c r="F297" s="18" t="s">
        <v>1437</v>
      </c>
      <c r="G297" s="25" t="s">
        <v>2110</v>
      </c>
      <c r="H297" s="15" t="s">
        <v>2255</v>
      </c>
      <c r="I297" s="15" t="s">
        <v>90</v>
      </c>
      <c r="J297" s="12" t="s">
        <v>45</v>
      </c>
      <c r="K297" s="15" t="s">
        <v>248</v>
      </c>
      <c r="L297" s="15" t="s">
        <v>169</v>
      </c>
      <c r="M297" s="15">
        <v>2024</v>
      </c>
      <c r="N297" s="15" t="str">
        <f t="shared" si="16"/>
        <v>Oktober</v>
      </c>
      <c r="O297" s="15">
        <v>2028</v>
      </c>
      <c r="P297" s="15">
        <v>2024</v>
      </c>
      <c r="Q297" s="15"/>
      <c r="R297" s="16"/>
      <c r="S297" s="15"/>
      <c r="T297" s="15"/>
      <c r="U297" s="15"/>
      <c r="V297" s="15"/>
      <c r="W297" s="15"/>
    </row>
    <row r="298" spans="1:23" s="17" customFormat="1" ht="14.5" x14ac:dyDescent="0.35">
      <c r="A298" s="12">
        <v>297</v>
      </c>
      <c r="B298" s="13" t="s">
        <v>2256</v>
      </c>
      <c r="C298" s="14" t="s">
        <v>2257</v>
      </c>
      <c r="D298" s="14" t="str">
        <f t="shared" si="14"/>
        <v>Laki-Laki</v>
      </c>
      <c r="E298" s="13" t="s">
        <v>188</v>
      </c>
      <c r="F298" s="18" t="s">
        <v>1807</v>
      </c>
      <c r="G298" s="25" t="s">
        <v>2110</v>
      </c>
      <c r="H298" s="15" t="s">
        <v>1536</v>
      </c>
      <c r="I298" s="15" t="s">
        <v>788</v>
      </c>
      <c r="J298" s="12" t="s">
        <v>26</v>
      </c>
      <c r="K298" s="15" t="s">
        <v>407</v>
      </c>
      <c r="L298" s="15" t="s">
        <v>28</v>
      </c>
      <c r="M298" s="15">
        <v>2024</v>
      </c>
      <c r="N298" s="15" t="str">
        <f t="shared" si="16"/>
        <v>September</v>
      </c>
      <c r="O298" s="15">
        <v>2026</v>
      </c>
      <c r="P298" s="15">
        <v>2024</v>
      </c>
      <c r="Q298" s="15"/>
      <c r="R298" s="16"/>
      <c r="S298" s="15"/>
      <c r="T298" s="15"/>
      <c r="U298" s="15"/>
      <c r="V298" s="15"/>
      <c r="W298" s="15"/>
    </row>
    <row r="299" spans="1:23" s="17" customFormat="1" ht="28" x14ac:dyDescent="0.35">
      <c r="A299" s="12">
        <v>298</v>
      </c>
      <c r="B299" s="13" t="s">
        <v>2258</v>
      </c>
      <c r="C299" s="14" t="s">
        <v>2259</v>
      </c>
      <c r="D299" s="14" t="str">
        <f t="shared" si="14"/>
        <v>Perempuan</v>
      </c>
      <c r="E299" s="13" t="s">
        <v>507</v>
      </c>
      <c r="F299" s="18"/>
      <c r="G299" s="25" t="s">
        <v>2110</v>
      </c>
      <c r="H299" s="15" t="s">
        <v>1772</v>
      </c>
      <c r="I299" s="15" t="s">
        <v>2182</v>
      </c>
      <c r="J299" s="12" t="s">
        <v>26</v>
      </c>
      <c r="K299" s="15" t="s">
        <v>394</v>
      </c>
      <c r="L299" s="15" t="s">
        <v>35</v>
      </c>
      <c r="M299" s="15">
        <v>2024</v>
      </c>
      <c r="N299" s="15" t="str">
        <f t="shared" si="16"/>
        <v>Maret</v>
      </c>
      <c r="O299" s="15">
        <v>2026</v>
      </c>
      <c r="P299" s="15">
        <v>2024</v>
      </c>
      <c r="Q299" s="15"/>
      <c r="R299" s="16"/>
      <c r="S299" s="15"/>
      <c r="T299" s="15"/>
      <c r="U299" s="15"/>
      <c r="V299" s="15"/>
      <c r="W299" s="15"/>
    </row>
    <row r="300" spans="1:23" s="17" customFormat="1" ht="14.5" x14ac:dyDescent="0.35">
      <c r="A300" s="12">
        <v>299</v>
      </c>
      <c r="B300" s="13" t="s">
        <v>2260</v>
      </c>
      <c r="C300" s="14" t="s">
        <v>2261</v>
      </c>
      <c r="D300" s="14" t="str">
        <f t="shared" si="14"/>
        <v>Laki-Laki</v>
      </c>
      <c r="E300" s="13" t="s">
        <v>2262</v>
      </c>
      <c r="F300" s="18" t="s">
        <v>2263</v>
      </c>
      <c r="G300" s="25" t="s">
        <v>2110</v>
      </c>
      <c r="H300" s="15" t="s">
        <v>2246</v>
      </c>
      <c r="I300" s="15" t="s">
        <v>90</v>
      </c>
      <c r="J300" s="12" t="s">
        <v>26</v>
      </c>
      <c r="K300" s="15" t="s">
        <v>394</v>
      </c>
      <c r="L300" s="15" t="s">
        <v>35</v>
      </c>
      <c r="M300" s="15">
        <v>2024</v>
      </c>
      <c r="N300" s="15" t="str">
        <f t="shared" si="16"/>
        <v>Maret</v>
      </c>
      <c r="O300" s="15">
        <v>2026</v>
      </c>
      <c r="P300" s="15">
        <v>2024</v>
      </c>
      <c r="Q300" s="15"/>
      <c r="R300" s="16"/>
      <c r="S300" s="15"/>
      <c r="T300" s="15"/>
      <c r="U300" s="15"/>
      <c r="V300" s="15"/>
      <c r="W300" s="15"/>
    </row>
    <row r="301" spans="1:23" s="17" customFormat="1" ht="14.5" x14ac:dyDescent="0.35">
      <c r="A301" s="12">
        <v>300</v>
      </c>
      <c r="B301" s="13" t="s">
        <v>2264</v>
      </c>
      <c r="C301" s="14" t="s">
        <v>2265</v>
      </c>
      <c r="D301" s="14" t="str">
        <f t="shared" si="14"/>
        <v>Laki-Laki</v>
      </c>
      <c r="E301" s="13" t="s">
        <v>152</v>
      </c>
      <c r="F301" s="18" t="s">
        <v>99</v>
      </c>
      <c r="G301" s="25" t="s">
        <v>2110</v>
      </c>
      <c r="H301" s="15" t="s">
        <v>2202</v>
      </c>
      <c r="I301" s="15" t="s">
        <v>90</v>
      </c>
      <c r="J301" s="12" t="s">
        <v>45</v>
      </c>
      <c r="K301" s="15" t="s">
        <v>40</v>
      </c>
      <c r="L301" s="15" t="s">
        <v>169</v>
      </c>
      <c r="M301" s="15">
        <v>2024</v>
      </c>
      <c r="N301" s="15" t="str">
        <f t="shared" si="16"/>
        <v>Oktober</v>
      </c>
      <c r="O301" s="15">
        <v>2028</v>
      </c>
      <c r="P301" s="15">
        <v>2024</v>
      </c>
      <c r="Q301" s="15"/>
      <c r="R301" s="16"/>
      <c r="S301" s="15"/>
      <c r="T301" s="15"/>
      <c r="U301" s="15"/>
      <c r="V301" s="15"/>
      <c r="W301" s="15"/>
    </row>
    <row r="302" spans="1:23" s="17" customFormat="1" ht="14.5" x14ac:dyDescent="0.35">
      <c r="A302" s="12">
        <v>301</v>
      </c>
      <c r="B302" s="13" t="s">
        <v>2266</v>
      </c>
      <c r="C302" s="14" t="s">
        <v>2267</v>
      </c>
      <c r="D302" s="14" t="str">
        <f t="shared" si="14"/>
        <v>Laki-Laki</v>
      </c>
      <c r="E302" s="13" t="s">
        <v>188</v>
      </c>
      <c r="F302" s="18" t="s">
        <v>1629</v>
      </c>
      <c r="G302" s="25" t="s">
        <v>2110</v>
      </c>
      <c r="H302" s="15" t="s">
        <v>1525</v>
      </c>
      <c r="I302" s="15" t="s">
        <v>2268</v>
      </c>
      <c r="J302" s="12" t="s">
        <v>26</v>
      </c>
      <c r="K302" s="15" t="s">
        <v>564</v>
      </c>
      <c r="L302" s="15" t="s">
        <v>60</v>
      </c>
      <c r="M302" s="15">
        <v>2024</v>
      </c>
      <c r="N302" s="15" t="str">
        <f t="shared" si="16"/>
        <v>Agustus</v>
      </c>
      <c r="O302" s="15">
        <v>2026</v>
      </c>
      <c r="P302" s="15">
        <v>2024</v>
      </c>
      <c r="Q302" s="15"/>
      <c r="R302" s="16"/>
      <c r="S302" s="15"/>
      <c r="T302" s="15"/>
      <c r="U302" s="15"/>
      <c r="V302" s="15"/>
      <c r="W302" s="15"/>
    </row>
    <row r="303" spans="1:23" s="17" customFormat="1" ht="14.5" x14ac:dyDescent="0.35">
      <c r="A303" s="12">
        <v>302</v>
      </c>
      <c r="B303" s="13" t="s">
        <v>2269</v>
      </c>
      <c r="C303" s="14" t="s">
        <v>2270</v>
      </c>
      <c r="D303" s="14" t="str">
        <f t="shared" si="14"/>
        <v>Perempuan</v>
      </c>
      <c r="E303" s="13" t="s">
        <v>188</v>
      </c>
      <c r="F303" s="18" t="s">
        <v>1780</v>
      </c>
      <c r="G303" s="25" t="s">
        <v>2110</v>
      </c>
      <c r="H303" s="15" t="s">
        <v>1838</v>
      </c>
      <c r="I303" s="15" t="s">
        <v>2271</v>
      </c>
      <c r="J303" s="12" t="s">
        <v>242</v>
      </c>
      <c r="K303" s="15" t="s">
        <v>651</v>
      </c>
      <c r="L303" s="15" t="s">
        <v>169</v>
      </c>
      <c r="M303" s="15">
        <v>2024</v>
      </c>
      <c r="N303" s="15" t="str">
        <f t="shared" si="16"/>
        <v>Oktober</v>
      </c>
      <c r="O303" s="15">
        <v>2027</v>
      </c>
      <c r="P303" s="15">
        <v>2024</v>
      </c>
      <c r="Q303" s="15"/>
      <c r="R303" s="16"/>
      <c r="S303" s="15"/>
      <c r="T303" s="15"/>
      <c r="U303" s="15"/>
      <c r="V303" s="15"/>
      <c r="W303" s="15"/>
    </row>
    <row r="304" spans="1:23" s="17" customFormat="1" ht="28" x14ac:dyDescent="0.35">
      <c r="A304" s="12">
        <v>303</v>
      </c>
      <c r="B304" s="13" t="s">
        <v>2272</v>
      </c>
      <c r="C304" s="14" t="s">
        <v>2273</v>
      </c>
      <c r="D304" s="14" t="str">
        <f t="shared" si="14"/>
        <v>Laki-Laki</v>
      </c>
      <c r="E304" s="13" t="s">
        <v>215</v>
      </c>
      <c r="F304" s="18" t="s">
        <v>2239</v>
      </c>
      <c r="G304" s="25" t="s">
        <v>2110</v>
      </c>
      <c r="H304" s="15" t="s">
        <v>1560</v>
      </c>
      <c r="I304" s="15" t="s">
        <v>1576</v>
      </c>
      <c r="J304" s="12" t="s">
        <v>26</v>
      </c>
      <c r="K304" s="15" t="s">
        <v>2240</v>
      </c>
      <c r="L304" s="15" t="s">
        <v>890</v>
      </c>
      <c r="M304" s="15">
        <v>2025</v>
      </c>
      <c r="N304" s="15" t="str">
        <f t="shared" si="16"/>
        <v>Januari</v>
      </c>
      <c r="O304" s="15">
        <v>2027</v>
      </c>
      <c r="P304" s="15">
        <v>2024</v>
      </c>
      <c r="Q304" s="15"/>
      <c r="R304" s="16"/>
      <c r="S304" s="15"/>
      <c r="T304" s="15"/>
      <c r="U304" s="15"/>
      <c r="V304" s="15"/>
      <c r="W304" s="15"/>
    </row>
    <row r="305" spans="1:23" s="17" customFormat="1" ht="14.5" x14ac:dyDescent="0.35">
      <c r="A305" s="12">
        <v>304</v>
      </c>
      <c r="B305" s="13" t="s">
        <v>2274</v>
      </c>
      <c r="C305" s="14" t="s">
        <v>2275</v>
      </c>
      <c r="D305" s="14" t="str">
        <f t="shared" si="14"/>
        <v>Laki-Laki</v>
      </c>
      <c r="E305" s="13" t="s">
        <v>152</v>
      </c>
      <c r="F305" s="18" t="s">
        <v>142</v>
      </c>
      <c r="G305" s="25" t="s">
        <v>2110</v>
      </c>
      <c r="H305" s="15" t="s">
        <v>2202</v>
      </c>
      <c r="I305" s="15" t="s">
        <v>90</v>
      </c>
      <c r="J305" s="12" t="s">
        <v>45</v>
      </c>
      <c r="K305" s="15" t="s">
        <v>40</v>
      </c>
      <c r="L305" s="15" t="s">
        <v>169</v>
      </c>
      <c r="M305" s="15">
        <v>2024</v>
      </c>
      <c r="N305" s="15" t="str">
        <f t="shared" si="16"/>
        <v>Oktober</v>
      </c>
      <c r="O305" s="15">
        <v>2028</v>
      </c>
      <c r="P305" s="15">
        <v>2024</v>
      </c>
      <c r="Q305" s="15"/>
      <c r="R305" s="16"/>
      <c r="S305" s="15"/>
      <c r="T305" s="15"/>
      <c r="U305" s="15"/>
      <c r="V305" s="15"/>
      <c r="W305" s="15"/>
    </row>
    <row r="306" spans="1:23" s="17" customFormat="1" ht="28" x14ac:dyDescent="0.35">
      <c r="A306" s="12">
        <v>305</v>
      </c>
      <c r="B306" s="13" t="s">
        <v>2276</v>
      </c>
      <c r="C306" s="14" t="s">
        <v>2277</v>
      </c>
      <c r="D306" s="14" t="str">
        <f t="shared" si="14"/>
        <v>Laki-Laki</v>
      </c>
      <c r="E306" s="13" t="s">
        <v>903</v>
      </c>
      <c r="F306" s="18" t="s">
        <v>2278</v>
      </c>
      <c r="G306" s="25" t="s">
        <v>2110</v>
      </c>
      <c r="H306" s="15" t="s">
        <v>2279</v>
      </c>
      <c r="I306" s="15" t="s">
        <v>2280</v>
      </c>
      <c r="J306" s="12" t="s">
        <v>45</v>
      </c>
      <c r="K306" s="15" t="s">
        <v>2281</v>
      </c>
      <c r="L306" s="15" t="s">
        <v>28</v>
      </c>
      <c r="M306" s="15">
        <v>2024</v>
      </c>
      <c r="N306" s="15" t="str">
        <f t="shared" si="16"/>
        <v>September</v>
      </c>
      <c r="O306" s="15">
        <v>2028</v>
      </c>
      <c r="P306" s="15">
        <v>2024</v>
      </c>
      <c r="Q306" s="15"/>
      <c r="R306" s="16"/>
      <c r="S306" s="15"/>
      <c r="T306" s="15"/>
      <c r="U306" s="15"/>
      <c r="V306" s="15"/>
      <c r="W306" s="15"/>
    </row>
    <row r="307" spans="1:23" s="17" customFormat="1" ht="28" x14ac:dyDescent="0.35">
      <c r="A307" s="12">
        <v>306</v>
      </c>
      <c r="B307" s="13" t="s">
        <v>2282</v>
      </c>
      <c r="C307" s="14" t="s">
        <v>2283</v>
      </c>
      <c r="D307" s="14" t="str">
        <f t="shared" si="14"/>
        <v>Perempuan</v>
      </c>
      <c r="E307" s="13" t="s">
        <v>507</v>
      </c>
      <c r="F307" s="18" t="s">
        <v>1673</v>
      </c>
      <c r="G307" s="25" t="s">
        <v>2110</v>
      </c>
      <c r="H307" s="15" t="s">
        <v>1658</v>
      </c>
      <c r="I307" s="15" t="s">
        <v>2284</v>
      </c>
      <c r="J307" s="12" t="s">
        <v>26</v>
      </c>
      <c r="K307" s="15" t="s">
        <v>394</v>
      </c>
      <c r="L307" s="15" t="s">
        <v>72</v>
      </c>
      <c r="M307" s="15">
        <v>2024</v>
      </c>
      <c r="N307" s="15" t="str">
        <f t="shared" si="16"/>
        <v>Februari</v>
      </c>
      <c r="O307" s="15">
        <v>2026</v>
      </c>
      <c r="P307" s="15">
        <v>2024</v>
      </c>
      <c r="Q307" s="15"/>
      <c r="R307" s="16"/>
      <c r="S307" s="15"/>
      <c r="T307" s="15"/>
      <c r="U307" s="15"/>
      <c r="V307" s="15"/>
      <c r="W307" s="15"/>
    </row>
    <row r="308" spans="1:23" s="17" customFormat="1" ht="28" x14ac:dyDescent="0.35">
      <c r="A308" s="12">
        <v>307</v>
      </c>
      <c r="B308" s="13" t="s">
        <v>2285</v>
      </c>
      <c r="C308" s="14" t="s">
        <v>2286</v>
      </c>
      <c r="D308" s="14" t="str">
        <f t="shared" si="14"/>
        <v>Perempuan</v>
      </c>
      <c r="E308" s="13" t="s">
        <v>507</v>
      </c>
      <c r="F308" s="18" t="s">
        <v>1673</v>
      </c>
      <c r="G308" s="25" t="s">
        <v>2110</v>
      </c>
      <c r="H308" s="15" t="s">
        <v>1658</v>
      </c>
      <c r="I308" s="15" t="s">
        <v>2287</v>
      </c>
      <c r="J308" s="12" t="s">
        <v>26</v>
      </c>
      <c r="K308" s="15" t="s">
        <v>394</v>
      </c>
      <c r="L308" s="15" t="s">
        <v>35</v>
      </c>
      <c r="M308" s="15">
        <v>2024</v>
      </c>
      <c r="N308" s="15" t="str">
        <f t="shared" si="16"/>
        <v>Maret</v>
      </c>
      <c r="O308" s="15">
        <v>2026</v>
      </c>
      <c r="P308" s="15">
        <v>2024</v>
      </c>
      <c r="Q308" s="15"/>
      <c r="R308" s="16"/>
      <c r="S308" s="15"/>
      <c r="T308" s="15"/>
      <c r="U308" s="15"/>
      <c r="V308" s="15"/>
      <c r="W308" s="15"/>
    </row>
    <row r="309" spans="1:23" s="17" customFormat="1" ht="28" x14ac:dyDescent="0.35">
      <c r="A309" s="12">
        <v>308</v>
      </c>
      <c r="B309" s="13" t="s">
        <v>2288</v>
      </c>
      <c r="C309" s="14" t="s">
        <v>2289</v>
      </c>
      <c r="D309" s="14" t="str">
        <f t="shared" si="14"/>
        <v>Perempuan</v>
      </c>
      <c r="E309" s="13" t="s">
        <v>507</v>
      </c>
      <c r="F309" s="18" t="s">
        <v>1791</v>
      </c>
      <c r="G309" s="25" t="s">
        <v>2110</v>
      </c>
      <c r="H309" s="15" t="s">
        <v>1772</v>
      </c>
      <c r="I309" s="15" t="s">
        <v>2102</v>
      </c>
      <c r="J309" s="12" t="s">
        <v>26</v>
      </c>
      <c r="K309" s="15" t="s">
        <v>905</v>
      </c>
      <c r="L309" s="15" t="s">
        <v>169</v>
      </c>
      <c r="M309" s="15">
        <v>2024</v>
      </c>
      <c r="N309" s="15" t="str">
        <f t="shared" si="16"/>
        <v>Oktober</v>
      </c>
      <c r="O309" s="15">
        <v>2026</v>
      </c>
      <c r="P309" s="15">
        <v>2024</v>
      </c>
      <c r="Q309" s="15"/>
      <c r="R309" s="16"/>
      <c r="S309" s="15"/>
      <c r="T309" s="15"/>
      <c r="U309" s="15"/>
      <c r="V309" s="15"/>
      <c r="W309" s="15"/>
    </row>
    <row r="310" spans="1:23" s="17" customFormat="1" ht="28" x14ac:dyDescent="0.35">
      <c r="A310" s="12">
        <v>309</v>
      </c>
      <c r="B310" s="13" t="s">
        <v>2290</v>
      </c>
      <c r="C310" s="14" t="s">
        <v>2291</v>
      </c>
      <c r="D310" s="14" t="str">
        <f t="shared" si="14"/>
        <v>Perempuan</v>
      </c>
      <c r="E310" s="13" t="s">
        <v>188</v>
      </c>
      <c r="F310" s="18" t="s">
        <v>99</v>
      </c>
      <c r="G310" s="25" t="s">
        <v>2110</v>
      </c>
      <c r="H310" s="15" t="s">
        <v>1560</v>
      </c>
      <c r="I310" s="15" t="s">
        <v>1576</v>
      </c>
      <c r="J310" s="12" t="s">
        <v>26</v>
      </c>
      <c r="K310" s="15" t="s">
        <v>2240</v>
      </c>
      <c r="L310" s="15" t="s">
        <v>890</v>
      </c>
      <c r="M310" s="15">
        <v>2025</v>
      </c>
      <c r="N310" s="15" t="str">
        <f t="shared" si="16"/>
        <v>Januari</v>
      </c>
      <c r="O310" s="15">
        <v>2027</v>
      </c>
      <c r="P310" s="15">
        <v>2024</v>
      </c>
      <c r="Q310" s="15"/>
      <c r="R310" s="16"/>
      <c r="S310" s="15"/>
      <c r="T310" s="15"/>
      <c r="U310" s="15"/>
      <c r="V310" s="15"/>
      <c r="W310" s="15"/>
    </row>
    <row r="311" spans="1:23" s="17" customFormat="1" ht="14.5" x14ac:dyDescent="0.35">
      <c r="A311" s="12">
        <v>310</v>
      </c>
      <c r="B311" s="13" t="s">
        <v>2292</v>
      </c>
      <c r="C311" s="14" t="s">
        <v>2293</v>
      </c>
      <c r="D311" s="14" t="str">
        <f t="shared" si="14"/>
        <v>Laki-Laki</v>
      </c>
      <c r="E311" s="13" t="s">
        <v>188</v>
      </c>
      <c r="F311" s="18" t="s">
        <v>397</v>
      </c>
      <c r="G311" s="25" t="s">
        <v>2110</v>
      </c>
      <c r="H311" s="15" t="s">
        <v>1838</v>
      </c>
      <c r="I311" s="15" t="s">
        <v>2294</v>
      </c>
      <c r="J311" s="12" t="s">
        <v>26</v>
      </c>
      <c r="K311" s="15" t="s">
        <v>46</v>
      </c>
      <c r="L311" s="15" t="s">
        <v>60</v>
      </c>
      <c r="M311" s="15">
        <v>2024</v>
      </c>
      <c r="N311" s="15" t="str">
        <f t="shared" si="16"/>
        <v>Agustus</v>
      </c>
      <c r="O311" s="15">
        <v>2026</v>
      </c>
      <c r="P311" s="15">
        <v>2024</v>
      </c>
      <c r="Q311" s="15"/>
      <c r="R311" s="16"/>
      <c r="S311" s="15"/>
      <c r="T311" s="15"/>
      <c r="U311" s="15"/>
      <c r="V311" s="15"/>
      <c r="W311" s="15"/>
    </row>
    <row r="312" spans="1:23" s="17" customFormat="1" ht="14.5" x14ac:dyDescent="0.35">
      <c r="A312" s="12">
        <v>311</v>
      </c>
      <c r="B312" s="13" t="s">
        <v>2295</v>
      </c>
      <c r="C312" s="14" t="s">
        <v>2296</v>
      </c>
      <c r="D312" s="14" t="str">
        <f t="shared" si="14"/>
        <v>Perempuan</v>
      </c>
      <c r="E312" s="13" t="s">
        <v>152</v>
      </c>
      <c r="F312" s="18" t="s">
        <v>153</v>
      </c>
      <c r="G312" s="25" t="s">
        <v>2110</v>
      </c>
      <c r="H312" s="15" t="s">
        <v>2202</v>
      </c>
      <c r="I312" s="15" t="s">
        <v>1471</v>
      </c>
      <c r="J312" s="12" t="s">
        <v>45</v>
      </c>
      <c r="K312" s="15" t="s">
        <v>46</v>
      </c>
      <c r="L312" s="15" t="s">
        <v>60</v>
      </c>
      <c r="M312" s="15">
        <v>2024</v>
      </c>
      <c r="N312" s="15" t="str">
        <f t="shared" si="16"/>
        <v>Agustus</v>
      </c>
      <c r="O312" s="15">
        <v>2026</v>
      </c>
      <c r="P312" s="15">
        <v>2024</v>
      </c>
      <c r="Q312" s="15"/>
      <c r="R312" s="16"/>
      <c r="S312" s="15"/>
      <c r="T312" s="15"/>
      <c r="U312" s="15"/>
      <c r="V312" s="15"/>
      <c r="W312" s="15"/>
    </row>
    <row r="313" spans="1:23" s="17" customFormat="1" ht="28" x14ac:dyDescent="0.35">
      <c r="A313" s="12">
        <v>312</v>
      </c>
      <c r="B313" s="13" t="s">
        <v>2297</v>
      </c>
      <c r="C313" s="14" t="s">
        <v>2298</v>
      </c>
      <c r="D313" s="14" t="str">
        <f t="shared" si="14"/>
        <v>Perempuan</v>
      </c>
      <c r="E313" s="13" t="s">
        <v>152</v>
      </c>
      <c r="F313" s="18" t="s">
        <v>159</v>
      </c>
      <c r="G313" s="25" t="s">
        <v>2110</v>
      </c>
      <c r="H313" s="15" t="s">
        <v>2299</v>
      </c>
      <c r="I313" s="15" t="s">
        <v>90</v>
      </c>
      <c r="J313" s="12" t="s">
        <v>81</v>
      </c>
      <c r="K313" s="15" t="s">
        <v>117</v>
      </c>
      <c r="L313" s="15" t="s">
        <v>169</v>
      </c>
      <c r="M313" s="15">
        <v>2024</v>
      </c>
      <c r="N313" s="15" t="str">
        <f t="shared" si="16"/>
        <v>Oktober</v>
      </c>
      <c r="O313" s="15">
        <v>2026</v>
      </c>
      <c r="P313" s="15">
        <v>2024</v>
      </c>
      <c r="Q313" s="15"/>
      <c r="R313" s="16"/>
      <c r="S313" s="15"/>
      <c r="T313" s="15"/>
      <c r="U313" s="15"/>
      <c r="V313" s="15"/>
      <c r="W313" s="15"/>
    </row>
    <row r="314" spans="1:23" s="17" customFormat="1" ht="14.5" x14ac:dyDescent="0.35">
      <c r="A314" s="12">
        <v>313</v>
      </c>
      <c r="B314" s="13" t="s">
        <v>2300</v>
      </c>
      <c r="C314" s="14" t="s">
        <v>2301</v>
      </c>
      <c r="D314" s="14" t="str">
        <f t="shared" si="14"/>
        <v>Perempuan</v>
      </c>
      <c r="E314" s="13" t="s">
        <v>903</v>
      </c>
      <c r="F314" s="18" t="s">
        <v>2239</v>
      </c>
      <c r="G314" s="25" t="s">
        <v>2110</v>
      </c>
      <c r="H314" s="15" t="s">
        <v>2279</v>
      </c>
      <c r="I314" s="15" t="s">
        <v>476</v>
      </c>
      <c r="J314" s="12" t="s">
        <v>26</v>
      </c>
      <c r="K314" s="15" t="s">
        <v>477</v>
      </c>
      <c r="L314" s="15" t="s">
        <v>28</v>
      </c>
      <c r="M314" s="15">
        <v>2024</v>
      </c>
      <c r="N314" s="15" t="str">
        <f t="shared" si="16"/>
        <v>September</v>
      </c>
      <c r="O314" s="15">
        <v>2026</v>
      </c>
      <c r="P314" s="15">
        <v>2024</v>
      </c>
      <c r="Q314" s="15"/>
      <c r="R314" s="16"/>
      <c r="S314" s="15"/>
      <c r="T314" s="15"/>
      <c r="U314" s="15"/>
      <c r="V314" s="15"/>
      <c r="W314" s="15"/>
    </row>
    <row r="315" spans="1:23" s="17" customFormat="1" ht="14.5" x14ac:dyDescent="0.35">
      <c r="A315" s="12">
        <v>314</v>
      </c>
      <c r="B315" s="13" t="s">
        <v>2302</v>
      </c>
      <c r="C315" s="14" t="s">
        <v>2303</v>
      </c>
      <c r="D315" s="14" t="str">
        <f t="shared" si="14"/>
        <v>Perempuan</v>
      </c>
      <c r="E315" s="13" t="s">
        <v>188</v>
      </c>
      <c r="F315" s="18" t="s">
        <v>1629</v>
      </c>
      <c r="G315" s="25" t="s">
        <v>2110</v>
      </c>
      <c r="H315" s="15" t="s">
        <v>1536</v>
      </c>
      <c r="I315" s="15" t="s">
        <v>2304</v>
      </c>
      <c r="J315" s="12" t="s">
        <v>26</v>
      </c>
      <c r="K315" s="94" t="s">
        <v>394</v>
      </c>
      <c r="L315" s="15" t="s">
        <v>35</v>
      </c>
      <c r="M315" s="15">
        <v>2024</v>
      </c>
      <c r="N315" s="15" t="str">
        <f t="shared" si="16"/>
        <v>Maret</v>
      </c>
      <c r="O315" s="15">
        <v>2026</v>
      </c>
      <c r="P315" s="15">
        <v>2024</v>
      </c>
      <c r="Q315" s="15"/>
      <c r="R315" s="16"/>
      <c r="S315" s="15"/>
      <c r="T315" s="15"/>
      <c r="U315" s="15"/>
      <c r="V315" s="15"/>
      <c r="W315" s="15"/>
    </row>
    <row r="316" spans="1:23" s="17" customFormat="1" ht="14.5" x14ac:dyDescent="0.35">
      <c r="A316" s="12">
        <v>315</v>
      </c>
      <c r="B316" s="13" t="s">
        <v>2305</v>
      </c>
      <c r="C316" s="14" t="s">
        <v>2306</v>
      </c>
      <c r="D316" s="14" t="str">
        <f t="shared" si="14"/>
        <v>Laki-Laki</v>
      </c>
      <c r="E316" s="13" t="s">
        <v>215</v>
      </c>
      <c r="F316" s="18" t="s">
        <v>689</v>
      </c>
      <c r="G316" s="25" t="s">
        <v>2110</v>
      </c>
      <c r="H316" s="15" t="s">
        <v>2202</v>
      </c>
      <c r="I316" s="15" t="s">
        <v>241</v>
      </c>
      <c r="J316" s="12" t="s">
        <v>26</v>
      </c>
      <c r="K316" s="15" t="s">
        <v>2307</v>
      </c>
      <c r="L316" s="15" t="s">
        <v>169</v>
      </c>
      <c r="M316" s="15">
        <v>2024</v>
      </c>
      <c r="N316" s="15" t="str">
        <f t="shared" si="16"/>
        <v>Oktober</v>
      </c>
      <c r="O316" s="15">
        <v>2026</v>
      </c>
      <c r="P316" s="15">
        <v>2024</v>
      </c>
      <c r="Q316" s="15"/>
      <c r="R316" s="16"/>
      <c r="S316" s="15"/>
      <c r="T316" s="15"/>
      <c r="U316" s="15"/>
      <c r="V316" s="15"/>
      <c r="W316" s="15"/>
    </row>
    <row r="317" spans="1:23" s="17" customFormat="1" ht="28" x14ac:dyDescent="0.35">
      <c r="A317" s="12">
        <v>316</v>
      </c>
      <c r="B317" s="13" t="s">
        <v>2308</v>
      </c>
      <c r="C317" s="14" t="s">
        <v>2306</v>
      </c>
      <c r="D317" s="14" t="str">
        <f t="shared" si="14"/>
        <v>Laki-Laki</v>
      </c>
      <c r="E317" s="13" t="s">
        <v>188</v>
      </c>
      <c r="F317" s="18" t="s">
        <v>548</v>
      </c>
      <c r="G317" s="25" t="s">
        <v>2110</v>
      </c>
      <c r="H317" s="15" t="s">
        <v>2208</v>
      </c>
      <c r="I317" s="15" t="s">
        <v>90</v>
      </c>
      <c r="J317" s="12" t="s">
        <v>26</v>
      </c>
      <c r="K317" s="15" t="s">
        <v>46</v>
      </c>
      <c r="L317" s="15" t="s">
        <v>35</v>
      </c>
      <c r="M317" s="15">
        <v>2024</v>
      </c>
      <c r="N317" s="15" t="str">
        <f t="shared" si="16"/>
        <v>Maret</v>
      </c>
      <c r="O317" s="15">
        <v>2026</v>
      </c>
      <c r="P317" s="15">
        <v>2024</v>
      </c>
      <c r="Q317" s="15"/>
      <c r="R317" s="16"/>
      <c r="S317" s="15"/>
      <c r="T317" s="15"/>
      <c r="U317" s="15"/>
      <c r="V317" s="15"/>
      <c r="W317" s="15"/>
    </row>
    <row r="318" spans="1:23" s="17" customFormat="1" ht="28" x14ac:dyDescent="0.35">
      <c r="A318" s="12">
        <v>317</v>
      </c>
      <c r="B318" s="13" t="s">
        <v>2309</v>
      </c>
      <c r="C318" s="14" t="s">
        <v>2310</v>
      </c>
      <c r="D318" s="14" t="str">
        <f t="shared" si="14"/>
        <v>Laki-Laki</v>
      </c>
      <c r="E318" s="13" t="s">
        <v>903</v>
      </c>
      <c r="F318" s="18" t="s">
        <v>142</v>
      </c>
      <c r="G318" s="25" t="s">
        <v>2110</v>
      </c>
      <c r="H318" s="15" t="s">
        <v>2208</v>
      </c>
      <c r="I318" s="15" t="s">
        <v>90</v>
      </c>
      <c r="J318" s="12" t="s">
        <v>45</v>
      </c>
      <c r="K318" s="15" t="s">
        <v>2311</v>
      </c>
      <c r="L318" s="15" t="s">
        <v>35</v>
      </c>
      <c r="M318" s="15">
        <v>2024</v>
      </c>
      <c r="N318" s="15" t="str">
        <f t="shared" si="16"/>
        <v>Maret</v>
      </c>
      <c r="O318" s="15">
        <v>2028</v>
      </c>
      <c r="P318" s="15">
        <v>2024</v>
      </c>
      <c r="Q318" s="15"/>
      <c r="R318" s="16"/>
      <c r="S318" s="15"/>
      <c r="T318" s="15"/>
      <c r="U318" s="15"/>
      <c r="V318" s="15"/>
      <c r="W318" s="15"/>
    </row>
    <row r="319" spans="1:23" s="17" customFormat="1" ht="28" x14ac:dyDescent="0.35">
      <c r="A319" s="12">
        <v>318</v>
      </c>
      <c r="B319" s="13" t="s">
        <v>2312</v>
      </c>
      <c r="C319" s="14" t="s">
        <v>2313</v>
      </c>
      <c r="D319" s="14" t="str">
        <f t="shared" si="14"/>
        <v>Perempuan</v>
      </c>
      <c r="E319" s="13" t="s">
        <v>152</v>
      </c>
      <c r="F319" s="18" t="s">
        <v>1834</v>
      </c>
      <c r="G319" s="25" t="s">
        <v>2110</v>
      </c>
      <c r="H319" s="15" t="s">
        <v>1658</v>
      </c>
      <c r="I319" s="15" t="s">
        <v>90</v>
      </c>
      <c r="J319" s="12" t="s">
        <v>45</v>
      </c>
      <c r="K319" s="15" t="s">
        <v>905</v>
      </c>
      <c r="L319" s="15" t="s">
        <v>35</v>
      </c>
      <c r="M319" s="15">
        <v>2024</v>
      </c>
      <c r="N319" s="15" t="str">
        <f t="shared" si="16"/>
        <v>Maret</v>
      </c>
      <c r="O319" s="15">
        <v>2028</v>
      </c>
      <c r="P319" s="15">
        <v>2024</v>
      </c>
      <c r="Q319" s="15"/>
      <c r="R319" s="16"/>
      <c r="S319" s="15"/>
      <c r="T319" s="15"/>
      <c r="U319" s="15"/>
      <c r="V319" s="15"/>
      <c r="W319" s="15"/>
    </row>
    <row r="320" spans="1:23" s="17" customFormat="1" ht="14.5" x14ac:dyDescent="0.35">
      <c r="A320" s="12">
        <v>319</v>
      </c>
      <c r="B320" s="13" t="s">
        <v>2314</v>
      </c>
      <c r="C320" s="14" t="s">
        <v>2315</v>
      </c>
      <c r="D320" s="14" t="str">
        <f t="shared" si="14"/>
        <v>Perempuan</v>
      </c>
      <c r="E320" s="13" t="s">
        <v>188</v>
      </c>
      <c r="F320" s="18" t="s">
        <v>1629</v>
      </c>
      <c r="G320" s="25" t="s">
        <v>2110</v>
      </c>
      <c r="H320" s="15" t="s">
        <v>1525</v>
      </c>
      <c r="I320" s="15" t="s">
        <v>563</v>
      </c>
      <c r="J320" s="12" t="s">
        <v>26</v>
      </c>
      <c r="K320" s="15" t="s">
        <v>564</v>
      </c>
      <c r="L320" s="15" t="s">
        <v>60</v>
      </c>
      <c r="M320" s="15">
        <v>2024</v>
      </c>
      <c r="N320" s="15" t="str">
        <f t="shared" si="16"/>
        <v>Agustus</v>
      </c>
      <c r="O320" s="15">
        <v>2026</v>
      </c>
      <c r="P320" s="15">
        <v>2024</v>
      </c>
      <c r="Q320" s="15"/>
      <c r="R320" s="16"/>
      <c r="S320" s="15"/>
      <c r="T320" s="15"/>
      <c r="U320" s="15"/>
      <c r="V320" s="15"/>
      <c r="W320" s="15"/>
    </row>
    <row r="321" spans="1:23" s="17" customFormat="1" ht="14.5" x14ac:dyDescent="0.35">
      <c r="A321" s="12">
        <v>320</v>
      </c>
      <c r="B321" s="13" t="s">
        <v>2316</v>
      </c>
      <c r="C321" s="14" t="s">
        <v>2317</v>
      </c>
      <c r="D321" s="14" t="str">
        <f t="shared" si="14"/>
        <v>Laki-Laki</v>
      </c>
      <c r="E321" s="13" t="s">
        <v>211</v>
      </c>
      <c r="F321" s="18" t="s">
        <v>1629</v>
      </c>
      <c r="G321" s="25" t="s">
        <v>2110</v>
      </c>
      <c r="H321" s="15" t="s">
        <v>1536</v>
      </c>
      <c r="I321" s="15" t="s">
        <v>2304</v>
      </c>
      <c r="J321" s="12" t="s">
        <v>26</v>
      </c>
      <c r="K321" s="15" t="s">
        <v>394</v>
      </c>
      <c r="L321" s="15" t="s">
        <v>35</v>
      </c>
      <c r="M321" s="15">
        <v>2024</v>
      </c>
      <c r="N321" s="15" t="str">
        <f t="shared" si="16"/>
        <v>Maret</v>
      </c>
      <c r="O321" s="15">
        <v>2026</v>
      </c>
      <c r="P321" s="15">
        <v>2024</v>
      </c>
      <c r="Q321" s="15"/>
      <c r="R321" s="16"/>
      <c r="S321" s="15"/>
      <c r="T321" s="15"/>
      <c r="U321" s="15"/>
      <c r="V321" s="15"/>
      <c r="W321" s="15"/>
    </row>
    <row r="322" spans="1:23" s="17" customFormat="1" ht="28" x14ac:dyDescent="0.35">
      <c r="A322" s="12">
        <v>321</v>
      </c>
      <c r="B322" s="13" t="s">
        <v>2318</v>
      </c>
      <c r="C322" s="14" t="s">
        <v>2319</v>
      </c>
      <c r="D322" s="14" t="str">
        <f t="shared" si="14"/>
        <v>Laki-Laki</v>
      </c>
      <c r="E322" s="13" t="s">
        <v>507</v>
      </c>
      <c r="F322" s="18" t="s">
        <v>2320</v>
      </c>
      <c r="G322" s="25" t="s">
        <v>2110</v>
      </c>
      <c r="H322" s="15" t="s">
        <v>2208</v>
      </c>
      <c r="I322" s="15" t="s">
        <v>2321</v>
      </c>
      <c r="J322" s="12" t="s">
        <v>242</v>
      </c>
      <c r="K322" s="15" t="s">
        <v>2251</v>
      </c>
      <c r="L322" s="15" t="s">
        <v>72</v>
      </c>
      <c r="M322" s="15">
        <v>2024</v>
      </c>
      <c r="N322" s="15" t="str">
        <f t="shared" si="16"/>
        <v>Februari</v>
      </c>
      <c r="O322" s="15">
        <v>2027</v>
      </c>
      <c r="P322" s="15">
        <v>2024</v>
      </c>
      <c r="Q322" s="15"/>
      <c r="R322" s="16"/>
      <c r="S322" s="15"/>
      <c r="T322" s="15"/>
      <c r="U322" s="15"/>
      <c r="V322" s="15"/>
      <c r="W322" s="15"/>
    </row>
    <row r="323" spans="1:23" s="17" customFormat="1" ht="14.5" x14ac:dyDescent="0.35">
      <c r="A323" s="12">
        <v>322</v>
      </c>
      <c r="B323" s="13" t="s">
        <v>2322</v>
      </c>
      <c r="C323" s="14"/>
      <c r="D323" s="14" t="str">
        <f t="shared" ref="D323:D386" si="17">IF(MID(C323,15,1)="1","Laki-Laki","Perempuan")</f>
        <v>Perempuan</v>
      </c>
      <c r="E323" s="13"/>
      <c r="F323" s="18"/>
      <c r="G323" s="25" t="s">
        <v>2110</v>
      </c>
      <c r="H323" s="15" t="s">
        <v>2202</v>
      </c>
      <c r="I323" s="15" t="s">
        <v>2321</v>
      </c>
      <c r="J323" s="12" t="s">
        <v>242</v>
      </c>
      <c r="K323" s="15" t="s">
        <v>2251</v>
      </c>
      <c r="L323" s="15" t="s">
        <v>72</v>
      </c>
      <c r="M323" s="15">
        <v>2024</v>
      </c>
      <c r="N323" s="15" t="str">
        <f t="shared" si="16"/>
        <v>Februari</v>
      </c>
      <c r="O323" s="15">
        <v>2027</v>
      </c>
      <c r="P323" s="15">
        <v>2024</v>
      </c>
      <c r="Q323" s="15"/>
      <c r="R323" s="16"/>
      <c r="S323" s="15"/>
      <c r="T323" s="15"/>
      <c r="U323" s="15"/>
      <c r="V323" s="15"/>
      <c r="W323" s="15"/>
    </row>
    <row r="324" spans="1:23" s="17" customFormat="1" ht="14.5" x14ac:dyDescent="0.35">
      <c r="A324" s="12">
        <v>323</v>
      </c>
      <c r="B324" s="13" t="s">
        <v>2323</v>
      </c>
      <c r="C324" s="14"/>
      <c r="D324" s="14" t="str">
        <f t="shared" si="17"/>
        <v>Perempuan</v>
      </c>
      <c r="E324" s="13"/>
      <c r="F324" s="18"/>
      <c r="G324" s="25" t="s">
        <v>2110</v>
      </c>
      <c r="H324" s="15" t="s">
        <v>2876</v>
      </c>
      <c r="I324" s="15" t="s">
        <v>2321</v>
      </c>
      <c r="J324" s="12" t="s">
        <v>242</v>
      </c>
      <c r="K324" s="15" t="s">
        <v>2251</v>
      </c>
      <c r="L324" s="15" t="s">
        <v>72</v>
      </c>
      <c r="M324" s="15">
        <v>2024</v>
      </c>
      <c r="N324" s="15" t="str">
        <f t="shared" si="16"/>
        <v>Februari</v>
      </c>
      <c r="O324" s="15">
        <v>2027</v>
      </c>
      <c r="P324" s="15">
        <v>2024</v>
      </c>
      <c r="Q324" s="15"/>
      <c r="R324" s="16"/>
      <c r="S324" s="15"/>
      <c r="T324" s="15"/>
      <c r="U324" s="15"/>
      <c r="V324" s="15"/>
      <c r="W324" s="15"/>
    </row>
    <row r="325" spans="1:23" s="17" customFormat="1" ht="28" x14ac:dyDescent="0.35">
      <c r="A325" s="12">
        <v>324</v>
      </c>
      <c r="B325" s="13" t="s">
        <v>2324</v>
      </c>
      <c r="C325" s="14" t="s">
        <v>2325</v>
      </c>
      <c r="D325" s="14" t="str">
        <f t="shared" si="17"/>
        <v>Perempuan</v>
      </c>
      <c r="E325" s="13" t="s">
        <v>188</v>
      </c>
      <c r="F325" s="18" t="s">
        <v>1807</v>
      </c>
      <c r="G325" s="25" t="s">
        <v>2110</v>
      </c>
      <c r="H325" s="15" t="s">
        <v>1870</v>
      </c>
      <c r="I325" s="15" t="s">
        <v>261</v>
      </c>
      <c r="J325" s="12" t="s">
        <v>26</v>
      </c>
      <c r="K325" s="15" t="s">
        <v>262</v>
      </c>
      <c r="L325" s="15" t="s">
        <v>2326</v>
      </c>
      <c r="M325" s="15">
        <v>2024</v>
      </c>
      <c r="N325" s="15" t="str">
        <f t="shared" si="16"/>
        <v xml:space="preserve"> September</v>
      </c>
      <c r="O325" s="15">
        <v>2026</v>
      </c>
      <c r="P325" s="15">
        <v>2024</v>
      </c>
      <c r="Q325" s="15"/>
      <c r="R325" s="16"/>
      <c r="S325" s="15"/>
      <c r="T325" s="15"/>
      <c r="U325" s="15"/>
      <c r="V325" s="15"/>
      <c r="W325" s="15"/>
    </row>
    <row r="326" spans="1:23" s="17" customFormat="1" ht="28" x14ac:dyDescent="0.35">
      <c r="A326" s="12">
        <v>325</v>
      </c>
      <c r="B326" s="13" t="s">
        <v>2327</v>
      </c>
      <c r="C326" s="14" t="s">
        <v>2328</v>
      </c>
      <c r="D326" s="14" t="str">
        <f t="shared" si="17"/>
        <v>Perempuan</v>
      </c>
      <c r="E326" s="13" t="s">
        <v>539</v>
      </c>
      <c r="F326" s="18" t="s">
        <v>1966</v>
      </c>
      <c r="G326" s="25" t="s">
        <v>2110</v>
      </c>
      <c r="H326" s="15" t="s">
        <v>2202</v>
      </c>
      <c r="I326" s="15" t="s">
        <v>111</v>
      </c>
      <c r="J326" s="12" t="s">
        <v>26</v>
      </c>
      <c r="K326" s="15" t="s">
        <v>2329</v>
      </c>
      <c r="L326" s="15" t="s">
        <v>35</v>
      </c>
      <c r="M326" s="15">
        <v>2024</v>
      </c>
      <c r="N326" s="15" t="str">
        <f t="shared" si="16"/>
        <v>Maret</v>
      </c>
      <c r="O326" s="15">
        <v>2026</v>
      </c>
      <c r="P326" s="15">
        <v>2024</v>
      </c>
      <c r="Q326" s="15"/>
      <c r="R326" s="16"/>
      <c r="S326" s="15"/>
      <c r="T326" s="15"/>
      <c r="U326" s="15"/>
      <c r="V326" s="15"/>
      <c r="W326" s="15"/>
    </row>
    <row r="327" spans="1:23" s="17" customFormat="1" ht="14.5" x14ac:dyDescent="0.35">
      <c r="A327" s="12">
        <v>326</v>
      </c>
      <c r="B327" s="13" t="s">
        <v>2330</v>
      </c>
      <c r="C327" s="14" t="s">
        <v>2331</v>
      </c>
      <c r="D327" s="14" t="str">
        <f t="shared" si="17"/>
        <v>Perempuan</v>
      </c>
      <c r="E327" s="13" t="s">
        <v>507</v>
      </c>
      <c r="F327" s="18" t="s">
        <v>1673</v>
      </c>
      <c r="G327" s="25" t="s">
        <v>2110</v>
      </c>
      <c r="H327" s="15" t="s">
        <v>1525</v>
      </c>
      <c r="I327" s="15" t="s">
        <v>563</v>
      </c>
      <c r="J327" s="12" t="s">
        <v>26</v>
      </c>
      <c r="K327" s="15" t="s">
        <v>564</v>
      </c>
      <c r="L327" s="15" t="s">
        <v>60</v>
      </c>
      <c r="M327" s="15">
        <v>2024</v>
      </c>
      <c r="N327" s="15" t="str">
        <f t="shared" si="16"/>
        <v>Agustus</v>
      </c>
      <c r="O327" s="15">
        <v>2026</v>
      </c>
      <c r="P327" s="15">
        <v>2024</v>
      </c>
      <c r="Q327" s="15"/>
      <c r="R327" s="16"/>
      <c r="S327" s="15"/>
      <c r="T327" s="15"/>
      <c r="U327" s="15"/>
      <c r="V327" s="15"/>
      <c r="W327" s="15"/>
    </row>
    <row r="328" spans="1:23" s="17" customFormat="1" ht="28" x14ac:dyDescent="0.35">
      <c r="A328" s="12">
        <v>327</v>
      </c>
      <c r="B328" s="13" t="s">
        <v>2332</v>
      </c>
      <c r="C328" s="14" t="s">
        <v>2333</v>
      </c>
      <c r="D328" s="14" t="str">
        <f t="shared" si="17"/>
        <v>Perempuan</v>
      </c>
      <c r="E328" s="13" t="s">
        <v>2214</v>
      </c>
      <c r="F328" s="18"/>
      <c r="G328" s="25" t="s">
        <v>2110</v>
      </c>
      <c r="H328" s="15" t="s">
        <v>1772</v>
      </c>
      <c r="I328" s="15" t="s">
        <v>2182</v>
      </c>
      <c r="J328" s="12" t="s">
        <v>26</v>
      </c>
      <c r="K328" s="15" t="s">
        <v>394</v>
      </c>
      <c r="L328" s="15" t="s">
        <v>123</v>
      </c>
      <c r="M328" s="15">
        <v>2024</v>
      </c>
      <c r="N328" s="15" t="str">
        <f t="shared" si="16"/>
        <v xml:space="preserve">Maret </v>
      </c>
      <c r="O328" s="15">
        <v>2026</v>
      </c>
      <c r="P328" s="15">
        <v>2024</v>
      </c>
      <c r="Q328" s="15"/>
      <c r="R328" s="16"/>
      <c r="S328" s="15"/>
      <c r="T328" s="15"/>
      <c r="U328" s="15"/>
      <c r="V328" s="15"/>
      <c r="W328" s="15"/>
    </row>
    <row r="329" spans="1:23" s="17" customFormat="1" ht="28" x14ac:dyDescent="0.35">
      <c r="A329" s="12">
        <v>328</v>
      </c>
      <c r="B329" s="13" t="s">
        <v>2334</v>
      </c>
      <c r="C329" s="14" t="s">
        <v>2335</v>
      </c>
      <c r="D329" s="14" t="str">
        <f t="shared" si="17"/>
        <v>Perempuan</v>
      </c>
      <c r="E329" s="13" t="s">
        <v>188</v>
      </c>
      <c r="F329" s="18" t="s">
        <v>1807</v>
      </c>
      <c r="G329" s="25" t="s">
        <v>2110</v>
      </c>
      <c r="H329" s="15" t="s">
        <v>1870</v>
      </c>
      <c r="I329" s="15" t="s">
        <v>261</v>
      </c>
      <c r="J329" s="12" t="s">
        <v>26</v>
      </c>
      <c r="K329" s="15" t="s">
        <v>262</v>
      </c>
      <c r="L329" s="15" t="s">
        <v>28</v>
      </c>
      <c r="M329" s="15">
        <v>2024</v>
      </c>
      <c r="N329" s="15" t="str">
        <f t="shared" si="16"/>
        <v>September</v>
      </c>
      <c r="O329" s="15">
        <v>2026</v>
      </c>
      <c r="P329" s="15">
        <v>2024</v>
      </c>
      <c r="Q329" s="15"/>
      <c r="R329" s="16"/>
      <c r="S329" s="15"/>
      <c r="T329" s="15"/>
      <c r="U329" s="15"/>
      <c r="V329" s="15"/>
      <c r="W329" s="15"/>
    </row>
    <row r="330" spans="1:23" s="17" customFormat="1" ht="28" x14ac:dyDescent="0.35">
      <c r="A330" s="12">
        <v>329</v>
      </c>
      <c r="B330" s="13" t="s">
        <v>2336</v>
      </c>
      <c r="C330" s="14" t="s">
        <v>2337</v>
      </c>
      <c r="D330" s="14" t="str">
        <f t="shared" si="17"/>
        <v>Laki-Laki</v>
      </c>
      <c r="E330" s="13" t="s">
        <v>188</v>
      </c>
      <c r="F330" s="18" t="s">
        <v>1807</v>
      </c>
      <c r="G330" s="25" t="s">
        <v>2110</v>
      </c>
      <c r="H330" s="15" t="s">
        <v>1870</v>
      </c>
      <c r="I330" s="15" t="s">
        <v>261</v>
      </c>
      <c r="J330" s="12" t="s">
        <v>26</v>
      </c>
      <c r="K330" s="15" t="s">
        <v>262</v>
      </c>
      <c r="L330" s="15" t="s">
        <v>28</v>
      </c>
      <c r="M330" s="15">
        <v>2024</v>
      </c>
      <c r="N330" s="15" t="str">
        <f t="shared" si="16"/>
        <v>September</v>
      </c>
      <c r="O330" s="15">
        <v>2026</v>
      </c>
      <c r="P330" s="15">
        <v>2024</v>
      </c>
      <c r="Q330" s="15"/>
      <c r="R330" s="16"/>
      <c r="S330" s="15"/>
      <c r="T330" s="15"/>
      <c r="U330" s="15"/>
      <c r="V330" s="15"/>
      <c r="W330" s="15"/>
    </row>
    <row r="331" spans="1:23" s="17" customFormat="1" ht="14.5" x14ac:dyDescent="0.35">
      <c r="A331" s="12">
        <v>330</v>
      </c>
      <c r="B331" s="13" t="s">
        <v>2338</v>
      </c>
      <c r="C331" s="14" t="s">
        <v>2339</v>
      </c>
      <c r="D331" s="14" t="str">
        <f t="shared" si="17"/>
        <v>Perempuan</v>
      </c>
      <c r="E331" s="13" t="s">
        <v>507</v>
      </c>
      <c r="F331" s="18" t="s">
        <v>1673</v>
      </c>
      <c r="G331" s="25" t="s">
        <v>2110</v>
      </c>
      <c r="H331" s="15" t="s">
        <v>1870</v>
      </c>
      <c r="I331" s="15" t="s">
        <v>2340</v>
      </c>
      <c r="J331" s="12" t="s">
        <v>26</v>
      </c>
      <c r="K331" s="15" t="s">
        <v>394</v>
      </c>
      <c r="L331" s="15" t="s">
        <v>2341</v>
      </c>
      <c r="M331" s="15">
        <v>2024</v>
      </c>
      <c r="N331" s="15" t="str">
        <f t="shared" si="16"/>
        <v xml:space="preserve"> Maret </v>
      </c>
      <c r="O331" s="15">
        <v>2026</v>
      </c>
      <c r="P331" s="15">
        <v>2024</v>
      </c>
      <c r="Q331" s="15"/>
      <c r="R331" s="16"/>
      <c r="S331" s="15"/>
      <c r="T331" s="15"/>
      <c r="U331" s="15"/>
      <c r="V331" s="15"/>
      <c r="W331" s="15"/>
    </row>
    <row r="332" spans="1:23" s="17" customFormat="1" ht="42" x14ac:dyDescent="0.35">
      <c r="A332" s="12">
        <v>331</v>
      </c>
      <c r="B332" s="13" t="s">
        <v>2342</v>
      </c>
      <c r="C332" s="14" t="s">
        <v>2343</v>
      </c>
      <c r="D332" s="14" t="str">
        <f t="shared" si="17"/>
        <v>Laki-Laki</v>
      </c>
      <c r="E332" s="13" t="s">
        <v>2344</v>
      </c>
      <c r="F332" s="18" t="s">
        <v>1134</v>
      </c>
      <c r="G332" s="25" t="s">
        <v>2110</v>
      </c>
      <c r="H332" s="15" t="s">
        <v>2202</v>
      </c>
      <c r="I332" s="15" t="s">
        <v>1108</v>
      </c>
      <c r="J332" s="12" t="s">
        <v>26</v>
      </c>
      <c r="K332" s="15" t="s">
        <v>2345</v>
      </c>
      <c r="L332" s="15" t="s">
        <v>60</v>
      </c>
      <c r="M332" s="15">
        <v>2024</v>
      </c>
      <c r="N332" s="15" t="str">
        <f t="shared" si="16"/>
        <v>Agustus</v>
      </c>
      <c r="O332" s="15">
        <v>2026</v>
      </c>
      <c r="P332" s="15">
        <v>2024</v>
      </c>
      <c r="Q332" s="15"/>
      <c r="R332" s="16"/>
      <c r="S332" s="15"/>
      <c r="T332" s="15"/>
      <c r="U332" s="15"/>
      <c r="V332" s="15"/>
      <c r="W332" s="15"/>
    </row>
    <row r="333" spans="1:23" s="17" customFormat="1" ht="13" customHeight="1" x14ac:dyDescent="0.35">
      <c r="A333" s="12">
        <v>332</v>
      </c>
      <c r="B333" s="13" t="s">
        <v>2346</v>
      </c>
      <c r="C333" s="14" t="s">
        <v>2347</v>
      </c>
      <c r="D333" s="14" t="str">
        <f t="shared" si="17"/>
        <v>Perempuan</v>
      </c>
      <c r="E333" s="13" t="s">
        <v>188</v>
      </c>
      <c r="F333" s="18" t="s">
        <v>1807</v>
      </c>
      <c r="G333" s="25" t="s">
        <v>2110</v>
      </c>
      <c r="H333" s="15" t="s">
        <v>1536</v>
      </c>
      <c r="I333" s="15" t="s">
        <v>90</v>
      </c>
      <c r="J333" s="12" t="s">
        <v>26</v>
      </c>
      <c r="K333" s="15" t="s">
        <v>394</v>
      </c>
      <c r="L333" s="15" t="s">
        <v>28</v>
      </c>
      <c r="M333" s="15">
        <v>2024</v>
      </c>
      <c r="N333" s="15" t="str">
        <f t="shared" si="16"/>
        <v>September</v>
      </c>
      <c r="O333" s="15">
        <v>2026</v>
      </c>
      <c r="P333" s="15">
        <v>2024</v>
      </c>
      <c r="Q333" s="15"/>
      <c r="R333" s="16"/>
      <c r="S333" s="15"/>
      <c r="T333" s="15"/>
      <c r="U333" s="15"/>
      <c r="V333" s="15"/>
      <c r="W333" s="15"/>
    </row>
    <row r="334" spans="1:23" s="17" customFormat="1" ht="28" x14ac:dyDescent="0.35">
      <c r="A334" s="12">
        <v>333</v>
      </c>
      <c r="B334" s="25" t="s">
        <v>2348</v>
      </c>
      <c r="C334" s="26" t="s">
        <v>2349</v>
      </c>
      <c r="D334" s="14" t="str">
        <f t="shared" si="17"/>
        <v>Laki-Laki</v>
      </c>
      <c r="E334" s="25" t="s">
        <v>554</v>
      </c>
      <c r="F334" s="25" t="s">
        <v>1791</v>
      </c>
      <c r="G334" s="25" t="s">
        <v>2350</v>
      </c>
      <c r="H334" s="19" t="s">
        <v>2351</v>
      </c>
      <c r="I334" s="27" t="s">
        <v>90</v>
      </c>
      <c r="J334" s="12" t="s">
        <v>486</v>
      </c>
      <c r="K334" s="28" t="s">
        <v>394</v>
      </c>
      <c r="L334" s="27" t="s">
        <v>2352</v>
      </c>
      <c r="M334" s="15">
        <v>2024</v>
      </c>
      <c r="N334" s="15" t="str">
        <f t="shared" ref="N334:N395" si="18">L334</f>
        <v xml:space="preserve">8 Maret </v>
      </c>
      <c r="O334" s="15">
        <v>2026</v>
      </c>
      <c r="P334" s="15">
        <v>2025</v>
      </c>
      <c r="Q334" s="15"/>
      <c r="R334" s="16"/>
      <c r="S334" s="15"/>
      <c r="T334" s="15"/>
      <c r="U334" s="15"/>
      <c r="V334" s="15"/>
      <c r="W334" s="15"/>
    </row>
    <row r="335" spans="1:23" s="17" customFormat="1" ht="28" x14ac:dyDescent="0.35">
      <c r="A335" s="12">
        <v>334</v>
      </c>
      <c r="B335" s="25" t="s">
        <v>2353</v>
      </c>
      <c r="C335" s="26" t="s">
        <v>2354</v>
      </c>
      <c r="D335" s="14" t="str">
        <f t="shared" si="17"/>
        <v>Perempuan</v>
      </c>
      <c r="E335" s="25" t="s">
        <v>188</v>
      </c>
      <c r="F335" s="25" t="s">
        <v>1807</v>
      </c>
      <c r="G335" s="25" t="s">
        <v>2350</v>
      </c>
      <c r="H335" s="19" t="s">
        <v>2355</v>
      </c>
      <c r="I335" s="28" t="s">
        <v>2356</v>
      </c>
      <c r="J335" s="32" t="s">
        <v>486</v>
      </c>
      <c r="K335" s="28" t="s">
        <v>1243</v>
      </c>
      <c r="L335" s="27" t="s">
        <v>462</v>
      </c>
      <c r="M335" s="15">
        <v>2025</v>
      </c>
      <c r="N335" s="15" t="str">
        <f t="shared" si="18"/>
        <v xml:space="preserve">Februari </v>
      </c>
      <c r="O335" s="15">
        <v>2027</v>
      </c>
      <c r="P335" s="15">
        <v>2025</v>
      </c>
      <c r="Q335" s="15"/>
      <c r="R335" s="16"/>
      <c r="S335" s="15"/>
      <c r="T335" s="15"/>
      <c r="U335" s="15"/>
      <c r="V335" s="15"/>
      <c r="W335" s="15"/>
    </row>
    <row r="336" spans="1:23" s="17" customFormat="1" ht="28" x14ac:dyDescent="0.35">
      <c r="A336" s="12">
        <v>335</v>
      </c>
      <c r="B336" s="25" t="s">
        <v>2357</v>
      </c>
      <c r="C336" s="26" t="s">
        <v>2358</v>
      </c>
      <c r="D336" s="14" t="str">
        <f t="shared" si="17"/>
        <v>Perempuan</v>
      </c>
      <c r="E336" s="25" t="s">
        <v>211</v>
      </c>
      <c r="F336" s="25" t="s">
        <v>1807</v>
      </c>
      <c r="G336" s="25" t="s">
        <v>2350</v>
      </c>
      <c r="H336" s="19" t="s">
        <v>2355</v>
      </c>
      <c r="I336" s="28" t="s">
        <v>2356</v>
      </c>
      <c r="J336" s="32" t="s">
        <v>486</v>
      </c>
      <c r="K336" s="28" t="s">
        <v>1243</v>
      </c>
      <c r="L336" s="27" t="s">
        <v>462</v>
      </c>
      <c r="M336" s="15">
        <v>2025</v>
      </c>
      <c r="N336" s="15" t="str">
        <f t="shared" si="18"/>
        <v xml:space="preserve">Februari </v>
      </c>
      <c r="O336" s="15">
        <v>2027</v>
      </c>
      <c r="P336" s="15">
        <v>2025</v>
      </c>
      <c r="Q336" s="15"/>
      <c r="R336" s="16"/>
      <c r="S336" s="15"/>
      <c r="T336" s="15"/>
      <c r="U336" s="15"/>
      <c r="V336" s="15"/>
      <c r="W336" s="15"/>
    </row>
    <row r="337" spans="1:23" s="17" customFormat="1" ht="28" x14ac:dyDescent="0.35">
      <c r="A337" s="12">
        <v>336</v>
      </c>
      <c r="B337" s="25" t="s">
        <v>2359</v>
      </c>
      <c r="C337" s="26" t="s">
        <v>2360</v>
      </c>
      <c r="D337" s="14" t="str">
        <f t="shared" si="17"/>
        <v>Laki-Laki</v>
      </c>
      <c r="E337" s="25" t="s">
        <v>188</v>
      </c>
      <c r="F337" s="25" t="s">
        <v>1807</v>
      </c>
      <c r="G337" s="25" t="s">
        <v>2350</v>
      </c>
      <c r="H337" s="19" t="s">
        <v>2355</v>
      </c>
      <c r="I337" s="28" t="s">
        <v>90</v>
      </c>
      <c r="J337" s="32" t="s">
        <v>486</v>
      </c>
      <c r="K337" s="28" t="s">
        <v>394</v>
      </c>
      <c r="L337" s="27" t="s">
        <v>123</v>
      </c>
      <c r="M337" s="15">
        <v>2025</v>
      </c>
      <c r="N337" s="15" t="str">
        <f t="shared" si="18"/>
        <v xml:space="preserve">Maret </v>
      </c>
      <c r="O337" s="15">
        <v>2027</v>
      </c>
      <c r="P337" s="15">
        <v>2025</v>
      </c>
      <c r="Q337" s="15"/>
      <c r="R337" s="16"/>
      <c r="S337" s="15"/>
      <c r="T337" s="15"/>
      <c r="U337" s="15"/>
      <c r="V337" s="15"/>
      <c r="W337" s="15"/>
    </row>
    <row r="338" spans="1:23" s="17" customFormat="1" ht="28" x14ac:dyDescent="0.35">
      <c r="A338" s="12">
        <v>337</v>
      </c>
      <c r="B338" s="25" t="s">
        <v>2361</v>
      </c>
      <c r="C338" s="26" t="s">
        <v>2362</v>
      </c>
      <c r="D338" s="14" t="str">
        <f t="shared" si="17"/>
        <v>Laki-Laki</v>
      </c>
      <c r="E338" s="25" t="s">
        <v>188</v>
      </c>
      <c r="F338" s="25" t="s">
        <v>1807</v>
      </c>
      <c r="G338" s="25" t="s">
        <v>2350</v>
      </c>
      <c r="H338" s="19" t="s">
        <v>2355</v>
      </c>
      <c r="I338" s="28" t="s">
        <v>90</v>
      </c>
      <c r="J338" s="32" t="s">
        <v>486</v>
      </c>
      <c r="K338" s="28" t="s">
        <v>394</v>
      </c>
      <c r="L338" s="27" t="s">
        <v>123</v>
      </c>
      <c r="M338" s="15">
        <v>2025</v>
      </c>
      <c r="N338" s="15" t="str">
        <f t="shared" si="18"/>
        <v xml:space="preserve">Maret </v>
      </c>
      <c r="O338" s="15">
        <v>2027</v>
      </c>
      <c r="P338" s="15">
        <v>2025</v>
      </c>
      <c r="Q338" s="15"/>
      <c r="R338" s="16"/>
      <c r="S338" s="15"/>
      <c r="T338" s="15"/>
      <c r="U338" s="15"/>
      <c r="V338" s="15"/>
      <c r="W338" s="15"/>
    </row>
    <row r="339" spans="1:23" s="17" customFormat="1" ht="28" x14ac:dyDescent="0.35">
      <c r="A339" s="12">
        <v>338</v>
      </c>
      <c r="B339" s="25" t="s">
        <v>2363</v>
      </c>
      <c r="C339" s="26" t="s">
        <v>2364</v>
      </c>
      <c r="D339" s="14" t="str">
        <f t="shared" si="17"/>
        <v>Laki-Laki</v>
      </c>
      <c r="E339" s="25" t="s">
        <v>188</v>
      </c>
      <c r="F339" s="25" t="s">
        <v>1807</v>
      </c>
      <c r="G339" s="25" t="s">
        <v>2350</v>
      </c>
      <c r="H339" s="19" t="s">
        <v>2355</v>
      </c>
      <c r="I339" s="28" t="s">
        <v>90</v>
      </c>
      <c r="J339" s="32" t="s">
        <v>486</v>
      </c>
      <c r="K339" s="28" t="s">
        <v>394</v>
      </c>
      <c r="L339" s="27" t="s">
        <v>123</v>
      </c>
      <c r="M339" s="15">
        <v>2025</v>
      </c>
      <c r="N339" s="15" t="str">
        <f t="shared" si="18"/>
        <v xml:space="preserve">Maret </v>
      </c>
      <c r="O339" s="15">
        <v>2027</v>
      </c>
      <c r="P339" s="15">
        <v>2025</v>
      </c>
      <c r="Q339" s="15"/>
      <c r="R339" s="16"/>
      <c r="S339" s="15"/>
      <c r="T339" s="15"/>
      <c r="U339" s="15"/>
      <c r="V339" s="15"/>
      <c r="W339" s="15"/>
    </row>
    <row r="340" spans="1:23" s="17" customFormat="1" ht="28" x14ac:dyDescent="0.35">
      <c r="A340" s="12">
        <v>339</v>
      </c>
      <c r="B340" s="25" t="s">
        <v>2365</v>
      </c>
      <c r="C340" s="26" t="s">
        <v>2366</v>
      </c>
      <c r="D340" s="14" t="str">
        <f t="shared" si="17"/>
        <v>Perempuan</v>
      </c>
      <c r="E340" s="25" t="s">
        <v>188</v>
      </c>
      <c r="F340" s="25" t="s">
        <v>1807</v>
      </c>
      <c r="G340" s="25" t="s">
        <v>2350</v>
      </c>
      <c r="H340" s="19" t="s">
        <v>2355</v>
      </c>
      <c r="I340" s="28" t="s">
        <v>90</v>
      </c>
      <c r="J340" s="32" t="s">
        <v>486</v>
      </c>
      <c r="K340" s="28" t="s">
        <v>394</v>
      </c>
      <c r="L340" s="27" t="s">
        <v>123</v>
      </c>
      <c r="M340" s="15">
        <v>2025</v>
      </c>
      <c r="N340" s="15" t="str">
        <f t="shared" si="18"/>
        <v xml:space="preserve">Maret </v>
      </c>
      <c r="O340" s="15">
        <v>2027</v>
      </c>
      <c r="P340" s="15">
        <v>2025</v>
      </c>
      <c r="Q340" s="15"/>
      <c r="R340" s="16"/>
      <c r="S340" s="15"/>
      <c r="T340" s="15"/>
      <c r="U340" s="15"/>
      <c r="V340" s="15"/>
      <c r="W340" s="15"/>
    </row>
    <row r="341" spans="1:23" s="17" customFormat="1" ht="28" x14ac:dyDescent="0.35">
      <c r="A341" s="12">
        <v>340</v>
      </c>
      <c r="B341" s="25" t="s">
        <v>2367</v>
      </c>
      <c r="C341" s="26" t="s">
        <v>2368</v>
      </c>
      <c r="D341" s="14" t="str">
        <f t="shared" si="17"/>
        <v>Perempuan</v>
      </c>
      <c r="E341" s="25" t="s">
        <v>188</v>
      </c>
      <c r="F341" s="25" t="s">
        <v>1807</v>
      </c>
      <c r="G341" s="25" t="s">
        <v>2350</v>
      </c>
      <c r="H341" s="19" t="s">
        <v>2355</v>
      </c>
      <c r="I341" s="28" t="s">
        <v>90</v>
      </c>
      <c r="J341" s="32" t="s">
        <v>486</v>
      </c>
      <c r="K341" s="28" t="s">
        <v>394</v>
      </c>
      <c r="L341" s="27" t="s">
        <v>123</v>
      </c>
      <c r="M341" s="15">
        <v>2025</v>
      </c>
      <c r="N341" s="15" t="str">
        <f t="shared" si="18"/>
        <v xml:space="preserve">Maret </v>
      </c>
      <c r="O341" s="15">
        <v>2027</v>
      </c>
      <c r="P341" s="15">
        <v>2025</v>
      </c>
      <c r="Q341" s="15"/>
      <c r="R341" s="16"/>
      <c r="S341" s="15"/>
      <c r="T341" s="15"/>
      <c r="U341" s="15"/>
      <c r="V341" s="15"/>
      <c r="W341" s="15"/>
    </row>
    <row r="342" spans="1:23" s="17" customFormat="1" ht="28" x14ac:dyDescent="0.35">
      <c r="A342" s="12">
        <v>341</v>
      </c>
      <c r="B342" s="25" t="s">
        <v>2369</v>
      </c>
      <c r="C342" s="26" t="s">
        <v>2370</v>
      </c>
      <c r="D342" s="14" t="str">
        <f t="shared" si="17"/>
        <v>Perempuan</v>
      </c>
      <c r="E342" s="25" t="s">
        <v>188</v>
      </c>
      <c r="F342" s="25" t="s">
        <v>1807</v>
      </c>
      <c r="G342" s="25" t="s">
        <v>2350</v>
      </c>
      <c r="H342" s="19" t="s">
        <v>2355</v>
      </c>
      <c r="I342" s="28" t="s">
        <v>90</v>
      </c>
      <c r="J342" s="32" t="s">
        <v>486</v>
      </c>
      <c r="K342" s="28" t="s">
        <v>394</v>
      </c>
      <c r="L342" s="27" t="s">
        <v>123</v>
      </c>
      <c r="M342" s="15">
        <v>2025</v>
      </c>
      <c r="N342" s="15" t="str">
        <f t="shared" si="18"/>
        <v xml:space="preserve">Maret </v>
      </c>
      <c r="O342" s="15">
        <v>2027</v>
      </c>
      <c r="P342" s="15">
        <v>2025</v>
      </c>
      <c r="Q342" s="15"/>
      <c r="R342" s="16"/>
      <c r="S342" s="15"/>
      <c r="T342" s="15"/>
      <c r="U342" s="15"/>
      <c r="V342" s="15"/>
      <c r="W342" s="15"/>
    </row>
    <row r="343" spans="1:23" s="17" customFormat="1" ht="28" x14ac:dyDescent="0.35">
      <c r="A343" s="12">
        <v>342</v>
      </c>
      <c r="B343" s="25" t="s">
        <v>2371</v>
      </c>
      <c r="C343" s="26" t="s">
        <v>2372</v>
      </c>
      <c r="D343" s="14" t="str">
        <f t="shared" si="17"/>
        <v>Perempuan</v>
      </c>
      <c r="E343" s="25" t="s">
        <v>188</v>
      </c>
      <c r="F343" s="25" t="s">
        <v>1807</v>
      </c>
      <c r="G343" s="25" t="s">
        <v>2350</v>
      </c>
      <c r="H343" s="19" t="s">
        <v>2355</v>
      </c>
      <c r="I343" s="28" t="s">
        <v>90</v>
      </c>
      <c r="J343" s="32" t="s">
        <v>486</v>
      </c>
      <c r="K343" s="28" t="s">
        <v>394</v>
      </c>
      <c r="L343" s="27" t="s">
        <v>123</v>
      </c>
      <c r="M343" s="15">
        <v>2025</v>
      </c>
      <c r="N343" s="15" t="str">
        <f t="shared" si="18"/>
        <v xml:space="preserve">Maret </v>
      </c>
      <c r="O343" s="15">
        <v>2027</v>
      </c>
      <c r="P343" s="15">
        <v>2025</v>
      </c>
      <c r="Q343" s="15"/>
      <c r="R343" s="16"/>
      <c r="S343" s="15"/>
      <c r="T343" s="15"/>
      <c r="U343" s="15"/>
      <c r="V343" s="15"/>
      <c r="W343" s="15"/>
    </row>
    <row r="344" spans="1:23" s="17" customFormat="1" ht="28" x14ac:dyDescent="0.35">
      <c r="A344" s="12">
        <v>343</v>
      </c>
      <c r="B344" s="25" t="s">
        <v>2373</v>
      </c>
      <c r="C344" s="26" t="s">
        <v>2374</v>
      </c>
      <c r="D344" s="14" t="str">
        <f t="shared" si="17"/>
        <v>Laki-Laki</v>
      </c>
      <c r="E344" s="25" t="s">
        <v>188</v>
      </c>
      <c r="F344" s="25" t="s">
        <v>1807</v>
      </c>
      <c r="G344" s="25" t="s">
        <v>2350</v>
      </c>
      <c r="H344" s="19" t="s">
        <v>2355</v>
      </c>
      <c r="I344" s="28" t="s">
        <v>90</v>
      </c>
      <c r="J344" s="32" t="s">
        <v>486</v>
      </c>
      <c r="K344" s="28" t="s">
        <v>394</v>
      </c>
      <c r="L344" s="27" t="s">
        <v>446</v>
      </c>
      <c r="M344" s="15">
        <v>2024</v>
      </c>
      <c r="N344" s="15" t="str">
        <f t="shared" si="18"/>
        <v xml:space="preserve">Oktober </v>
      </c>
      <c r="O344" s="15">
        <v>2027</v>
      </c>
      <c r="P344" s="15">
        <v>2025</v>
      </c>
      <c r="Q344" s="15"/>
      <c r="R344" s="16"/>
      <c r="S344" s="15"/>
      <c r="T344" s="15"/>
      <c r="U344" s="15"/>
      <c r="V344" s="15"/>
      <c r="W344" s="15"/>
    </row>
    <row r="345" spans="1:23" s="17" customFormat="1" ht="28" x14ac:dyDescent="0.35">
      <c r="A345" s="12">
        <v>344</v>
      </c>
      <c r="B345" s="25" t="s">
        <v>2375</v>
      </c>
      <c r="C345" s="26" t="s">
        <v>2376</v>
      </c>
      <c r="D345" s="14" t="str">
        <f t="shared" si="17"/>
        <v>Laki-Laki</v>
      </c>
      <c r="E345" s="25" t="s">
        <v>188</v>
      </c>
      <c r="F345" s="33" t="s">
        <v>2377</v>
      </c>
      <c r="G345" s="25" t="s">
        <v>2350</v>
      </c>
      <c r="H345" s="19" t="s">
        <v>2149</v>
      </c>
      <c r="I345" s="28" t="s">
        <v>90</v>
      </c>
      <c r="J345" s="32" t="s">
        <v>486</v>
      </c>
      <c r="K345" s="28" t="s">
        <v>394</v>
      </c>
      <c r="L345" s="27" t="s">
        <v>123</v>
      </c>
      <c r="M345" s="15">
        <v>2025</v>
      </c>
      <c r="N345" s="15" t="str">
        <f t="shared" si="18"/>
        <v xml:space="preserve">Maret </v>
      </c>
      <c r="O345" s="15">
        <v>2027</v>
      </c>
      <c r="P345" s="15">
        <v>2025</v>
      </c>
      <c r="Q345" s="15"/>
      <c r="R345" s="16"/>
      <c r="S345" s="15"/>
      <c r="T345" s="15"/>
      <c r="U345" s="15"/>
      <c r="V345" s="15"/>
      <c r="W345" s="15"/>
    </row>
    <row r="346" spans="1:23" s="17" customFormat="1" ht="28" x14ac:dyDescent="0.35">
      <c r="A346" s="12">
        <v>345</v>
      </c>
      <c r="B346" s="25" t="s">
        <v>2378</v>
      </c>
      <c r="C346" s="26" t="s">
        <v>2379</v>
      </c>
      <c r="D346" s="14" t="str">
        <f t="shared" si="17"/>
        <v>Laki-Laki</v>
      </c>
      <c r="E346" s="25" t="s">
        <v>188</v>
      </c>
      <c r="F346" s="33" t="s">
        <v>2377</v>
      </c>
      <c r="G346" s="25" t="s">
        <v>2350</v>
      </c>
      <c r="H346" s="19" t="s">
        <v>2149</v>
      </c>
      <c r="I346" s="28" t="s">
        <v>90</v>
      </c>
      <c r="J346" s="32" t="s">
        <v>486</v>
      </c>
      <c r="K346" s="28" t="s">
        <v>394</v>
      </c>
      <c r="L346" s="27" t="s">
        <v>123</v>
      </c>
      <c r="M346" s="15">
        <v>2025</v>
      </c>
      <c r="N346" s="15" t="str">
        <f t="shared" si="18"/>
        <v xml:space="preserve">Maret </v>
      </c>
      <c r="O346" s="15">
        <v>2027</v>
      </c>
      <c r="P346" s="15">
        <v>2025</v>
      </c>
      <c r="Q346" s="15"/>
      <c r="R346" s="16"/>
      <c r="S346" s="15"/>
      <c r="T346" s="15"/>
      <c r="U346" s="15"/>
      <c r="V346" s="15"/>
      <c r="W346" s="15"/>
    </row>
    <row r="347" spans="1:23" s="17" customFormat="1" ht="28" x14ac:dyDescent="0.35">
      <c r="A347" s="12">
        <v>346</v>
      </c>
      <c r="B347" s="25" t="s">
        <v>2380</v>
      </c>
      <c r="C347" s="26" t="s">
        <v>2381</v>
      </c>
      <c r="D347" s="14" t="str">
        <f t="shared" si="17"/>
        <v>Perempuan</v>
      </c>
      <c r="E347" s="25" t="s">
        <v>211</v>
      </c>
      <c r="F347" s="33" t="s">
        <v>2377</v>
      </c>
      <c r="G347" s="25" t="s">
        <v>2350</v>
      </c>
      <c r="H347" s="19" t="s">
        <v>2149</v>
      </c>
      <c r="I347" s="28" t="s">
        <v>90</v>
      </c>
      <c r="J347" s="32" t="s">
        <v>486</v>
      </c>
      <c r="K347" s="28" t="s">
        <v>394</v>
      </c>
      <c r="L347" s="27" t="s">
        <v>118</v>
      </c>
      <c r="M347" s="15">
        <v>2025</v>
      </c>
      <c r="N347" s="15" t="str">
        <f t="shared" si="18"/>
        <v xml:space="preserve">Januari </v>
      </c>
      <c r="O347" s="15">
        <v>2027</v>
      </c>
      <c r="P347" s="15">
        <v>2025</v>
      </c>
      <c r="Q347" s="15"/>
      <c r="R347" s="16"/>
      <c r="S347" s="15"/>
      <c r="T347" s="15"/>
      <c r="U347" s="15"/>
      <c r="V347" s="15"/>
      <c r="W347" s="15"/>
    </row>
    <row r="348" spans="1:23" s="17" customFormat="1" ht="28" x14ac:dyDescent="0.35">
      <c r="A348" s="12">
        <v>347</v>
      </c>
      <c r="B348" s="25" t="s">
        <v>2382</v>
      </c>
      <c r="C348" s="26" t="s">
        <v>2383</v>
      </c>
      <c r="D348" s="14" t="str">
        <f t="shared" si="17"/>
        <v>Laki-Laki</v>
      </c>
      <c r="E348" s="25" t="s">
        <v>211</v>
      </c>
      <c r="F348" s="33" t="s">
        <v>2377</v>
      </c>
      <c r="G348" s="25" t="s">
        <v>2350</v>
      </c>
      <c r="H348" s="19" t="s">
        <v>2149</v>
      </c>
      <c r="I348" s="28" t="s">
        <v>90</v>
      </c>
      <c r="J348" s="32" t="s">
        <v>486</v>
      </c>
      <c r="K348" s="28" t="s">
        <v>394</v>
      </c>
      <c r="L348" s="27" t="s">
        <v>123</v>
      </c>
      <c r="M348" s="15">
        <v>2025</v>
      </c>
      <c r="N348" s="15" t="str">
        <f t="shared" si="18"/>
        <v xml:space="preserve">Maret </v>
      </c>
      <c r="O348" s="15">
        <v>2027</v>
      </c>
      <c r="P348" s="15">
        <v>2025</v>
      </c>
      <c r="Q348" s="15"/>
      <c r="R348" s="16"/>
      <c r="S348" s="15"/>
      <c r="T348" s="15"/>
      <c r="U348" s="15"/>
      <c r="V348" s="15"/>
      <c r="W348" s="15"/>
    </row>
    <row r="349" spans="1:23" s="17" customFormat="1" ht="28" x14ac:dyDescent="0.35">
      <c r="A349" s="12">
        <v>348</v>
      </c>
      <c r="B349" s="25" t="s">
        <v>2384</v>
      </c>
      <c r="C349" s="26" t="s">
        <v>2385</v>
      </c>
      <c r="D349" s="14" t="str">
        <f t="shared" si="17"/>
        <v>Perempuan</v>
      </c>
      <c r="E349" s="25" t="s">
        <v>188</v>
      </c>
      <c r="F349" s="33" t="s">
        <v>2377</v>
      </c>
      <c r="G349" s="25" t="s">
        <v>2350</v>
      </c>
      <c r="H349" s="19" t="s">
        <v>2149</v>
      </c>
      <c r="I349" s="28" t="s">
        <v>90</v>
      </c>
      <c r="J349" s="32" t="s">
        <v>486</v>
      </c>
      <c r="K349" s="28" t="s">
        <v>394</v>
      </c>
      <c r="L349" s="27" t="s">
        <v>123</v>
      </c>
      <c r="M349" s="15">
        <v>2025</v>
      </c>
      <c r="N349" s="15" t="str">
        <f t="shared" si="18"/>
        <v xml:space="preserve">Maret </v>
      </c>
      <c r="O349" s="15">
        <v>2027</v>
      </c>
      <c r="P349" s="15">
        <v>2025</v>
      </c>
      <c r="Q349" s="15"/>
      <c r="R349" s="16"/>
      <c r="S349" s="15"/>
      <c r="T349" s="15"/>
      <c r="U349" s="15"/>
      <c r="V349" s="15"/>
      <c r="W349" s="15"/>
    </row>
    <row r="350" spans="1:23" s="17" customFormat="1" ht="28" x14ac:dyDescent="0.35">
      <c r="A350" s="12">
        <v>349</v>
      </c>
      <c r="B350" s="25" t="s">
        <v>2386</v>
      </c>
      <c r="C350" s="26" t="s">
        <v>2387</v>
      </c>
      <c r="D350" s="14" t="str">
        <f t="shared" si="17"/>
        <v>Perempuan</v>
      </c>
      <c r="E350" s="25" t="s">
        <v>188</v>
      </c>
      <c r="F350" s="33" t="s">
        <v>2377</v>
      </c>
      <c r="G350" s="25" t="s">
        <v>2350</v>
      </c>
      <c r="H350" s="19" t="s">
        <v>2149</v>
      </c>
      <c r="I350" s="28" t="s">
        <v>90</v>
      </c>
      <c r="J350" s="32" t="s">
        <v>486</v>
      </c>
      <c r="K350" s="28" t="s">
        <v>394</v>
      </c>
      <c r="L350" s="27" t="s">
        <v>118</v>
      </c>
      <c r="M350" s="15">
        <v>2025</v>
      </c>
      <c r="N350" s="15" t="str">
        <f t="shared" si="18"/>
        <v xml:space="preserve">Januari </v>
      </c>
      <c r="O350" s="15">
        <v>2027</v>
      </c>
      <c r="P350" s="15">
        <v>2025</v>
      </c>
      <c r="Q350" s="15"/>
      <c r="R350" s="16"/>
      <c r="S350" s="15"/>
      <c r="T350" s="15"/>
      <c r="U350" s="15"/>
      <c r="V350" s="15"/>
      <c r="W350" s="15"/>
    </row>
    <row r="351" spans="1:23" s="17" customFormat="1" ht="28" x14ac:dyDescent="0.35">
      <c r="A351" s="12">
        <v>350</v>
      </c>
      <c r="B351" s="25" t="s">
        <v>2388</v>
      </c>
      <c r="C351" s="26" t="s">
        <v>2389</v>
      </c>
      <c r="D351" s="14" t="str">
        <f t="shared" si="17"/>
        <v>Perempuan</v>
      </c>
      <c r="E351" s="25" t="s">
        <v>188</v>
      </c>
      <c r="F351" s="33" t="s">
        <v>2377</v>
      </c>
      <c r="G351" s="25" t="s">
        <v>2350</v>
      </c>
      <c r="H351" s="19" t="s">
        <v>2149</v>
      </c>
      <c r="I351" s="28" t="s">
        <v>90</v>
      </c>
      <c r="J351" s="32" t="s">
        <v>486</v>
      </c>
      <c r="K351" s="28" t="s">
        <v>394</v>
      </c>
      <c r="L351" s="27" t="s">
        <v>123</v>
      </c>
      <c r="M351" s="15">
        <v>2025</v>
      </c>
      <c r="N351" s="15" t="str">
        <f t="shared" si="18"/>
        <v xml:space="preserve">Maret </v>
      </c>
      <c r="O351" s="15">
        <v>2027</v>
      </c>
      <c r="P351" s="15">
        <v>2025</v>
      </c>
      <c r="Q351" s="15"/>
      <c r="R351" s="16"/>
      <c r="S351" s="15"/>
      <c r="T351" s="15"/>
      <c r="U351" s="15"/>
      <c r="V351" s="15"/>
      <c r="W351" s="15"/>
    </row>
    <row r="352" spans="1:23" s="17" customFormat="1" ht="28" x14ac:dyDescent="0.35">
      <c r="A352" s="12">
        <v>351</v>
      </c>
      <c r="B352" s="25" t="s">
        <v>2390</v>
      </c>
      <c r="C352" s="26" t="s">
        <v>2391</v>
      </c>
      <c r="D352" s="14" t="str">
        <f t="shared" si="17"/>
        <v>Laki-Laki</v>
      </c>
      <c r="E352" s="25" t="s">
        <v>507</v>
      </c>
      <c r="F352" s="33" t="s">
        <v>1791</v>
      </c>
      <c r="G352" s="25" t="s">
        <v>2350</v>
      </c>
      <c r="H352" s="19" t="s">
        <v>2149</v>
      </c>
      <c r="I352" s="28" t="s">
        <v>90</v>
      </c>
      <c r="J352" s="32" t="s">
        <v>486</v>
      </c>
      <c r="K352" s="28" t="s">
        <v>394</v>
      </c>
      <c r="L352" s="27" t="s">
        <v>118</v>
      </c>
      <c r="M352" s="15">
        <v>2025</v>
      </c>
      <c r="N352" s="15" t="str">
        <f t="shared" si="18"/>
        <v xml:space="preserve">Januari </v>
      </c>
      <c r="O352" s="15">
        <v>2027</v>
      </c>
      <c r="P352" s="15">
        <v>2025</v>
      </c>
      <c r="Q352" s="15"/>
      <c r="R352" s="16"/>
      <c r="S352" s="15"/>
      <c r="T352" s="15"/>
      <c r="U352" s="15"/>
      <c r="V352" s="15"/>
      <c r="W352" s="15"/>
    </row>
    <row r="353" spans="1:23" s="17" customFormat="1" ht="28" x14ac:dyDescent="0.35">
      <c r="A353" s="12">
        <v>352</v>
      </c>
      <c r="B353" s="25" t="s">
        <v>2392</v>
      </c>
      <c r="C353" s="26" t="s">
        <v>2393</v>
      </c>
      <c r="D353" s="14" t="str">
        <f t="shared" si="17"/>
        <v>Perempuan</v>
      </c>
      <c r="E353" s="25" t="s">
        <v>211</v>
      </c>
      <c r="F353" s="33" t="s">
        <v>2394</v>
      </c>
      <c r="G353" s="25" t="s">
        <v>2350</v>
      </c>
      <c r="H353" s="19" t="s">
        <v>2149</v>
      </c>
      <c r="I353" s="28" t="s">
        <v>90</v>
      </c>
      <c r="J353" s="32" t="s">
        <v>486</v>
      </c>
      <c r="K353" s="28" t="s">
        <v>50</v>
      </c>
      <c r="L353" s="27" t="s">
        <v>123</v>
      </c>
      <c r="M353" s="15">
        <v>2025</v>
      </c>
      <c r="N353" s="15" t="str">
        <f t="shared" si="18"/>
        <v xml:space="preserve">Maret </v>
      </c>
      <c r="O353" s="15">
        <v>2027</v>
      </c>
      <c r="P353" s="15">
        <v>2025</v>
      </c>
      <c r="Q353" s="15"/>
      <c r="R353" s="16"/>
      <c r="S353" s="15"/>
      <c r="T353" s="15"/>
      <c r="U353" s="15"/>
      <c r="V353" s="15"/>
      <c r="W353" s="15"/>
    </row>
    <row r="354" spans="1:23" s="17" customFormat="1" ht="28" x14ac:dyDescent="0.35">
      <c r="A354" s="12">
        <v>353</v>
      </c>
      <c r="B354" s="25" t="s">
        <v>2395</v>
      </c>
      <c r="C354" s="26" t="s">
        <v>2396</v>
      </c>
      <c r="D354" s="14" t="str">
        <f t="shared" si="17"/>
        <v>Perempuan</v>
      </c>
      <c r="E354" s="25" t="s">
        <v>188</v>
      </c>
      <c r="F354" s="33" t="s">
        <v>2377</v>
      </c>
      <c r="G354" s="25" t="s">
        <v>2350</v>
      </c>
      <c r="H354" s="19" t="s">
        <v>1754</v>
      </c>
      <c r="I354" s="28" t="s">
        <v>90</v>
      </c>
      <c r="J354" s="32" t="s">
        <v>486</v>
      </c>
      <c r="K354" s="28" t="s">
        <v>394</v>
      </c>
      <c r="L354" s="27" t="s">
        <v>123</v>
      </c>
      <c r="M354" s="15">
        <v>2025</v>
      </c>
      <c r="N354" s="15" t="str">
        <f t="shared" si="18"/>
        <v xml:space="preserve">Maret </v>
      </c>
      <c r="O354" s="15">
        <v>2027</v>
      </c>
      <c r="P354" s="15">
        <v>2025</v>
      </c>
      <c r="Q354" s="15"/>
      <c r="R354" s="16"/>
      <c r="S354" s="15"/>
      <c r="T354" s="15"/>
      <c r="U354" s="15"/>
      <c r="V354" s="15"/>
      <c r="W354" s="15"/>
    </row>
    <row r="355" spans="1:23" s="17" customFormat="1" ht="28" x14ac:dyDescent="0.35">
      <c r="A355" s="12">
        <v>354</v>
      </c>
      <c r="B355" s="25" t="s">
        <v>2397</v>
      </c>
      <c r="C355" s="26" t="s">
        <v>2398</v>
      </c>
      <c r="D355" s="14" t="str">
        <f t="shared" si="17"/>
        <v>Perempuan</v>
      </c>
      <c r="E355" s="25" t="s">
        <v>188</v>
      </c>
      <c r="F355" s="33" t="s">
        <v>2377</v>
      </c>
      <c r="G355" s="25" t="s">
        <v>2350</v>
      </c>
      <c r="H355" s="19" t="s">
        <v>1754</v>
      </c>
      <c r="I355" s="28" t="s">
        <v>90</v>
      </c>
      <c r="J355" s="32" t="s">
        <v>486</v>
      </c>
      <c r="K355" s="28" t="s">
        <v>394</v>
      </c>
      <c r="L355" s="27" t="s">
        <v>123</v>
      </c>
      <c r="M355" s="15">
        <v>2025</v>
      </c>
      <c r="N355" s="15" t="str">
        <f t="shared" si="18"/>
        <v xml:space="preserve">Maret </v>
      </c>
      <c r="O355" s="15">
        <v>2027</v>
      </c>
      <c r="P355" s="15">
        <v>2025</v>
      </c>
      <c r="Q355" s="15"/>
      <c r="R355" s="16"/>
      <c r="S355" s="15"/>
      <c r="T355" s="15"/>
      <c r="U355" s="15"/>
      <c r="V355" s="15"/>
      <c r="W355" s="15"/>
    </row>
    <row r="356" spans="1:23" s="17" customFormat="1" ht="28" x14ac:dyDescent="0.35">
      <c r="A356" s="12">
        <v>355</v>
      </c>
      <c r="B356" s="25" t="s">
        <v>2399</v>
      </c>
      <c r="C356" s="26" t="s">
        <v>2400</v>
      </c>
      <c r="D356" s="14" t="str">
        <f t="shared" si="17"/>
        <v>Perempuan</v>
      </c>
      <c r="E356" s="25" t="s">
        <v>188</v>
      </c>
      <c r="F356" s="33" t="s">
        <v>2377</v>
      </c>
      <c r="G356" s="25" t="s">
        <v>2350</v>
      </c>
      <c r="H356" s="19" t="s">
        <v>1754</v>
      </c>
      <c r="I356" s="28" t="s">
        <v>90</v>
      </c>
      <c r="J356" s="32" t="s">
        <v>486</v>
      </c>
      <c r="K356" s="28" t="s">
        <v>394</v>
      </c>
      <c r="L356" s="27" t="s">
        <v>123</v>
      </c>
      <c r="M356" s="15">
        <v>2025</v>
      </c>
      <c r="N356" s="15" t="str">
        <f t="shared" si="18"/>
        <v xml:space="preserve">Maret </v>
      </c>
      <c r="O356" s="15">
        <v>2027</v>
      </c>
      <c r="P356" s="15">
        <v>2025</v>
      </c>
      <c r="Q356" s="15"/>
      <c r="R356" s="16"/>
      <c r="S356" s="15"/>
      <c r="T356" s="15"/>
      <c r="U356" s="15"/>
      <c r="V356" s="15"/>
      <c r="W356" s="15"/>
    </row>
    <row r="357" spans="1:23" s="17" customFormat="1" ht="28" x14ac:dyDescent="0.35">
      <c r="A357" s="12">
        <v>356</v>
      </c>
      <c r="B357" s="25" t="s">
        <v>2401</v>
      </c>
      <c r="C357" s="26" t="s">
        <v>2402</v>
      </c>
      <c r="D357" s="14" t="str">
        <f t="shared" si="17"/>
        <v>Laki-Laki</v>
      </c>
      <c r="E357" s="25" t="s">
        <v>211</v>
      </c>
      <c r="F357" s="33" t="s">
        <v>2377</v>
      </c>
      <c r="G357" s="25" t="s">
        <v>2350</v>
      </c>
      <c r="H357" s="19" t="s">
        <v>1754</v>
      </c>
      <c r="I357" s="28" t="s">
        <v>90</v>
      </c>
      <c r="J357" s="32" t="s">
        <v>486</v>
      </c>
      <c r="K357" s="28" t="s">
        <v>394</v>
      </c>
      <c r="L357" s="27" t="s">
        <v>123</v>
      </c>
      <c r="M357" s="15">
        <v>2025</v>
      </c>
      <c r="N357" s="15" t="str">
        <f t="shared" si="18"/>
        <v xml:space="preserve">Maret </v>
      </c>
      <c r="O357" s="15">
        <v>2027</v>
      </c>
      <c r="P357" s="15">
        <v>2025</v>
      </c>
      <c r="Q357" s="15"/>
      <c r="R357" s="16"/>
      <c r="S357" s="15"/>
      <c r="T357" s="15"/>
      <c r="U357" s="15"/>
      <c r="V357" s="15"/>
      <c r="W357" s="15"/>
    </row>
    <row r="358" spans="1:23" s="17" customFormat="1" ht="28" x14ac:dyDescent="0.35">
      <c r="A358" s="12">
        <v>357</v>
      </c>
      <c r="B358" s="25" t="s">
        <v>2403</v>
      </c>
      <c r="C358" s="26" t="s">
        <v>2404</v>
      </c>
      <c r="D358" s="14" t="str">
        <f t="shared" si="17"/>
        <v>Perempuan</v>
      </c>
      <c r="E358" s="25" t="s">
        <v>211</v>
      </c>
      <c r="F358" s="33" t="s">
        <v>2377</v>
      </c>
      <c r="G358" s="25" t="s">
        <v>2350</v>
      </c>
      <c r="H358" s="19" t="s">
        <v>1754</v>
      </c>
      <c r="I358" s="28" t="s">
        <v>90</v>
      </c>
      <c r="J358" s="32" t="s">
        <v>486</v>
      </c>
      <c r="K358" s="28" t="s">
        <v>394</v>
      </c>
      <c r="L358" s="27" t="s">
        <v>123</v>
      </c>
      <c r="M358" s="15">
        <v>2025</v>
      </c>
      <c r="N358" s="15" t="str">
        <f t="shared" si="18"/>
        <v xml:space="preserve">Maret </v>
      </c>
      <c r="O358" s="15">
        <v>2027</v>
      </c>
      <c r="P358" s="15">
        <v>2025</v>
      </c>
      <c r="Q358" s="15"/>
      <c r="R358" s="16"/>
      <c r="S358" s="15"/>
      <c r="T358" s="15"/>
      <c r="U358" s="15"/>
      <c r="V358" s="15"/>
      <c r="W358" s="15"/>
    </row>
    <row r="359" spans="1:23" s="17" customFormat="1" ht="28" x14ac:dyDescent="0.35">
      <c r="A359" s="12">
        <v>358</v>
      </c>
      <c r="B359" s="25" t="s">
        <v>2405</v>
      </c>
      <c r="C359" s="26" t="s">
        <v>2406</v>
      </c>
      <c r="D359" s="14" t="str">
        <f t="shared" si="17"/>
        <v>Perempuan</v>
      </c>
      <c r="E359" s="25" t="s">
        <v>554</v>
      </c>
      <c r="F359" s="33" t="s">
        <v>1791</v>
      </c>
      <c r="G359" s="25" t="s">
        <v>2350</v>
      </c>
      <c r="H359" s="19" t="s">
        <v>1658</v>
      </c>
      <c r="I359" s="28" t="s">
        <v>90</v>
      </c>
      <c r="J359" s="32" t="s">
        <v>486</v>
      </c>
      <c r="K359" s="28" t="s">
        <v>394</v>
      </c>
      <c r="L359" s="27" t="s">
        <v>2352</v>
      </c>
      <c r="M359" s="15">
        <v>2025</v>
      </c>
      <c r="N359" s="15" t="str">
        <f t="shared" si="18"/>
        <v xml:space="preserve">8 Maret </v>
      </c>
      <c r="O359" s="15">
        <v>2027</v>
      </c>
      <c r="P359" s="15">
        <v>2025</v>
      </c>
      <c r="Q359" s="15"/>
      <c r="R359" s="16"/>
      <c r="S359" s="15"/>
      <c r="T359" s="15"/>
      <c r="U359" s="15"/>
      <c r="V359" s="15"/>
      <c r="W359" s="15"/>
    </row>
    <row r="360" spans="1:23" s="17" customFormat="1" ht="28" x14ac:dyDescent="0.35">
      <c r="A360" s="12">
        <v>359</v>
      </c>
      <c r="B360" s="25" t="s">
        <v>2407</v>
      </c>
      <c r="C360" s="26" t="s">
        <v>2408</v>
      </c>
      <c r="D360" s="14" t="str">
        <f t="shared" si="17"/>
        <v>Perempuan</v>
      </c>
      <c r="E360" s="25" t="s">
        <v>188</v>
      </c>
      <c r="F360" s="33" t="s">
        <v>2377</v>
      </c>
      <c r="G360" s="25" t="s">
        <v>2350</v>
      </c>
      <c r="H360" s="19" t="s">
        <v>1658</v>
      </c>
      <c r="I360" s="28" t="s">
        <v>90</v>
      </c>
      <c r="J360" s="32" t="s">
        <v>486</v>
      </c>
      <c r="K360" s="28" t="s">
        <v>394</v>
      </c>
      <c r="L360" s="27" t="s">
        <v>123</v>
      </c>
      <c r="M360" s="15">
        <v>2025</v>
      </c>
      <c r="N360" s="15" t="str">
        <f t="shared" si="18"/>
        <v xml:space="preserve">Maret </v>
      </c>
      <c r="O360" s="15">
        <v>2027</v>
      </c>
      <c r="P360" s="15">
        <v>2025</v>
      </c>
      <c r="Q360" s="15"/>
      <c r="R360" s="16"/>
      <c r="S360" s="15"/>
      <c r="T360" s="15"/>
      <c r="U360" s="15"/>
      <c r="V360" s="15"/>
      <c r="W360" s="15"/>
    </row>
    <row r="361" spans="1:23" s="17" customFormat="1" ht="28" x14ac:dyDescent="0.35">
      <c r="A361" s="12">
        <v>360</v>
      </c>
      <c r="B361" s="25" t="s">
        <v>2409</v>
      </c>
      <c r="C361" s="26" t="s">
        <v>2410</v>
      </c>
      <c r="D361" s="14" t="str">
        <f t="shared" si="17"/>
        <v>Perempuan</v>
      </c>
      <c r="E361" s="25" t="s">
        <v>211</v>
      </c>
      <c r="F361" s="33" t="s">
        <v>2377</v>
      </c>
      <c r="G361" s="25" t="s">
        <v>2350</v>
      </c>
      <c r="H361" s="19" t="s">
        <v>1658</v>
      </c>
      <c r="I361" s="28" t="s">
        <v>90</v>
      </c>
      <c r="J361" s="32" t="s">
        <v>486</v>
      </c>
      <c r="K361" s="28" t="s">
        <v>394</v>
      </c>
      <c r="L361" s="27" t="s">
        <v>2352</v>
      </c>
      <c r="M361" s="15">
        <v>2025</v>
      </c>
      <c r="N361" s="15" t="str">
        <f t="shared" si="18"/>
        <v xml:space="preserve">8 Maret </v>
      </c>
      <c r="O361" s="15">
        <v>2027</v>
      </c>
      <c r="P361" s="15">
        <v>2025</v>
      </c>
      <c r="Q361" s="15"/>
      <c r="R361" s="16"/>
      <c r="S361" s="15"/>
      <c r="T361" s="15"/>
      <c r="U361" s="15"/>
      <c r="V361" s="15"/>
      <c r="W361" s="15"/>
    </row>
    <row r="362" spans="1:23" s="17" customFormat="1" ht="28" x14ac:dyDescent="0.35">
      <c r="A362" s="12">
        <v>361</v>
      </c>
      <c r="B362" s="25" t="s">
        <v>2411</v>
      </c>
      <c r="C362" s="26" t="s">
        <v>2412</v>
      </c>
      <c r="D362" s="14" t="str">
        <f t="shared" si="17"/>
        <v>Perempuan</v>
      </c>
      <c r="E362" s="25" t="s">
        <v>507</v>
      </c>
      <c r="F362" s="33" t="s">
        <v>1791</v>
      </c>
      <c r="G362" s="25" t="s">
        <v>2350</v>
      </c>
      <c r="H362" s="19" t="s">
        <v>1772</v>
      </c>
      <c r="I362" s="28" t="s">
        <v>90</v>
      </c>
      <c r="J362" s="32" t="s">
        <v>486</v>
      </c>
      <c r="K362" s="28" t="s">
        <v>394</v>
      </c>
      <c r="L362" s="27" t="s">
        <v>123</v>
      </c>
      <c r="M362" s="15">
        <v>2025</v>
      </c>
      <c r="N362" s="15" t="str">
        <f t="shared" si="18"/>
        <v xml:space="preserve">Maret </v>
      </c>
      <c r="O362" s="15">
        <v>2027</v>
      </c>
      <c r="P362" s="15">
        <v>2025</v>
      </c>
      <c r="Q362" s="15"/>
      <c r="R362" s="16"/>
      <c r="S362" s="15"/>
      <c r="T362" s="15"/>
      <c r="U362" s="15"/>
      <c r="V362" s="15"/>
      <c r="W362" s="15"/>
    </row>
    <row r="363" spans="1:23" s="17" customFormat="1" ht="28" x14ac:dyDescent="0.35">
      <c r="A363" s="12">
        <v>362</v>
      </c>
      <c r="B363" s="25" t="s">
        <v>2413</v>
      </c>
      <c r="C363" s="26" t="s">
        <v>2414</v>
      </c>
      <c r="D363" s="14" t="str">
        <f t="shared" si="17"/>
        <v>Perempuan</v>
      </c>
      <c r="E363" s="25" t="s">
        <v>188</v>
      </c>
      <c r="F363" s="33" t="s">
        <v>2377</v>
      </c>
      <c r="G363" s="25" t="s">
        <v>2350</v>
      </c>
      <c r="H363" s="19" t="s">
        <v>1772</v>
      </c>
      <c r="I363" s="28" t="s">
        <v>90</v>
      </c>
      <c r="J363" s="32" t="s">
        <v>486</v>
      </c>
      <c r="K363" s="28" t="s">
        <v>394</v>
      </c>
      <c r="L363" s="27" t="s">
        <v>118</v>
      </c>
      <c r="M363" s="15">
        <v>2025</v>
      </c>
      <c r="N363" s="15" t="str">
        <f t="shared" si="18"/>
        <v xml:space="preserve">Januari </v>
      </c>
      <c r="O363" s="15">
        <v>2027</v>
      </c>
      <c r="P363" s="15">
        <v>2025</v>
      </c>
      <c r="Q363" s="15"/>
      <c r="R363" s="16"/>
      <c r="S363" s="15"/>
      <c r="T363" s="15"/>
      <c r="U363" s="15"/>
      <c r="V363" s="15"/>
      <c r="W363" s="15"/>
    </row>
    <row r="364" spans="1:23" s="17" customFormat="1" ht="28" x14ac:dyDescent="0.35">
      <c r="A364" s="12">
        <v>363</v>
      </c>
      <c r="B364" s="25" t="s">
        <v>2415</v>
      </c>
      <c r="C364" s="26" t="s">
        <v>2416</v>
      </c>
      <c r="D364" s="14" t="str">
        <f t="shared" si="17"/>
        <v>Laki-Laki</v>
      </c>
      <c r="E364" s="25" t="s">
        <v>188</v>
      </c>
      <c r="F364" s="33" t="s">
        <v>2377</v>
      </c>
      <c r="G364" s="25" t="s">
        <v>2350</v>
      </c>
      <c r="H364" s="19" t="s">
        <v>1772</v>
      </c>
      <c r="I364" s="28" t="s">
        <v>90</v>
      </c>
      <c r="J364" s="32" t="s">
        <v>486</v>
      </c>
      <c r="K364" s="28" t="s">
        <v>394</v>
      </c>
      <c r="L364" s="27" t="s">
        <v>123</v>
      </c>
      <c r="M364" s="15">
        <v>2025</v>
      </c>
      <c r="N364" s="15" t="str">
        <f t="shared" si="18"/>
        <v xml:space="preserve">Maret </v>
      </c>
      <c r="O364" s="15">
        <v>2027</v>
      </c>
      <c r="P364" s="15">
        <v>2025</v>
      </c>
      <c r="Q364" s="15"/>
      <c r="R364" s="16"/>
      <c r="S364" s="15"/>
      <c r="T364" s="15"/>
      <c r="U364" s="15"/>
      <c r="V364" s="15"/>
      <c r="W364" s="15"/>
    </row>
    <row r="365" spans="1:23" s="17" customFormat="1" ht="28" x14ac:dyDescent="0.35">
      <c r="A365" s="12">
        <v>364</v>
      </c>
      <c r="B365" s="25" t="s">
        <v>2417</v>
      </c>
      <c r="C365" s="26" t="s">
        <v>2418</v>
      </c>
      <c r="D365" s="14" t="str">
        <f t="shared" si="17"/>
        <v>Laki-Laki</v>
      </c>
      <c r="E365" s="25" t="s">
        <v>211</v>
      </c>
      <c r="F365" s="33" t="s">
        <v>2377</v>
      </c>
      <c r="G365" s="25" t="s">
        <v>2350</v>
      </c>
      <c r="H365" s="19" t="s">
        <v>1772</v>
      </c>
      <c r="I365" s="28" t="s">
        <v>90</v>
      </c>
      <c r="J365" s="32" t="s">
        <v>486</v>
      </c>
      <c r="K365" s="28" t="s">
        <v>394</v>
      </c>
      <c r="L365" s="27" t="s">
        <v>462</v>
      </c>
      <c r="M365" s="15">
        <v>2025</v>
      </c>
      <c r="N365" s="15" t="str">
        <f t="shared" si="18"/>
        <v xml:space="preserve">Februari </v>
      </c>
      <c r="O365" s="15">
        <v>2027</v>
      </c>
      <c r="P365" s="15">
        <v>2025</v>
      </c>
      <c r="Q365" s="15"/>
      <c r="R365" s="16"/>
      <c r="S365" s="15"/>
      <c r="T365" s="15"/>
      <c r="U365" s="15"/>
      <c r="V365" s="15"/>
      <c r="W365" s="15"/>
    </row>
    <row r="366" spans="1:23" s="17" customFormat="1" ht="28" x14ac:dyDescent="0.35">
      <c r="A366" s="12">
        <v>365</v>
      </c>
      <c r="B366" s="25" t="s">
        <v>2419</v>
      </c>
      <c r="C366" s="26" t="s">
        <v>2420</v>
      </c>
      <c r="D366" s="14" t="str">
        <f t="shared" si="17"/>
        <v>Laki-Laki</v>
      </c>
      <c r="E366" s="25" t="s">
        <v>188</v>
      </c>
      <c r="F366" s="33" t="s">
        <v>2377</v>
      </c>
      <c r="G366" s="25" t="s">
        <v>2350</v>
      </c>
      <c r="H366" s="19" t="s">
        <v>1772</v>
      </c>
      <c r="I366" s="28" t="s">
        <v>90</v>
      </c>
      <c r="J366" s="32" t="s">
        <v>486</v>
      </c>
      <c r="K366" s="28" t="s">
        <v>394</v>
      </c>
      <c r="L366" s="27" t="s">
        <v>123</v>
      </c>
      <c r="M366" s="15">
        <v>2025</v>
      </c>
      <c r="N366" s="15" t="str">
        <f t="shared" si="18"/>
        <v xml:space="preserve">Maret </v>
      </c>
      <c r="O366" s="15">
        <v>2027</v>
      </c>
      <c r="P366" s="15">
        <v>2025</v>
      </c>
      <c r="Q366" s="15"/>
      <c r="R366" s="16"/>
      <c r="S366" s="15"/>
      <c r="T366" s="15"/>
      <c r="U366" s="15"/>
      <c r="V366" s="15"/>
      <c r="W366" s="15"/>
    </row>
    <row r="367" spans="1:23" s="17" customFormat="1" ht="28" x14ac:dyDescent="0.35">
      <c r="A367" s="12">
        <v>366</v>
      </c>
      <c r="B367" s="25" t="s">
        <v>2421</v>
      </c>
      <c r="C367" s="26" t="s">
        <v>2422</v>
      </c>
      <c r="D367" s="14" t="str">
        <f t="shared" si="17"/>
        <v>Perempuan</v>
      </c>
      <c r="E367" s="25" t="s">
        <v>188</v>
      </c>
      <c r="F367" s="33" t="s">
        <v>2377</v>
      </c>
      <c r="G367" s="25" t="s">
        <v>2350</v>
      </c>
      <c r="H367" s="19" t="s">
        <v>1772</v>
      </c>
      <c r="I367" s="28" t="s">
        <v>90</v>
      </c>
      <c r="J367" s="32" t="s">
        <v>486</v>
      </c>
      <c r="K367" s="28" t="s">
        <v>394</v>
      </c>
      <c r="L367" s="27" t="s">
        <v>123</v>
      </c>
      <c r="M367" s="15">
        <v>2025</v>
      </c>
      <c r="N367" s="15" t="str">
        <f t="shared" si="18"/>
        <v xml:space="preserve">Maret </v>
      </c>
      <c r="O367" s="15">
        <v>2027</v>
      </c>
      <c r="P367" s="15">
        <v>2025</v>
      </c>
      <c r="Q367" s="15"/>
      <c r="R367" s="16"/>
      <c r="S367" s="15"/>
      <c r="T367" s="15"/>
      <c r="U367" s="15"/>
      <c r="V367" s="15"/>
      <c r="W367" s="15"/>
    </row>
    <row r="368" spans="1:23" s="17" customFormat="1" ht="28" x14ac:dyDescent="0.35">
      <c r="A368" s="12">
        <v>367</v>
      </c>
      <c r="B368" s="25" t="s">
        <v>2423</v>
      </c>
      <c r="C368" s="26" t="s">
        <v>2424</v>
      </c>
      <c r="D368" s="14" t="str">
        <f t="shared" si="17"/>
        <v>Perempuan</v>
      </c>
      <c r="E368" s="25" t="s">
        <v>188</v>
      </c>
      <c r="F368" s="33" t="s">
        <v>2377</v>
      </c>
      <c r="G368" s="25" t="s">
        <v>2350</v>
      </c>
      <c r="H368" s="19" t="s">
        <v>1772</v>
      </c>
      <c r="I368" s="28" t="s">
        <v>90</v>
      </c>
      <c r="J368" s="32" t="s">
        <v>486</v>
      </c>
      <c r="K368" s="28" t="s">
        <v>394</v>
      </c>
      <c r="L368" s="27" t="s">
        <v>123</v>
      </c>
      <c r="M368" s="15">
        <v>2025</v>
      </c>
      <c r="N368" s="15" t="str">
        <f t="shared" si="18"/>
        <v xml:space="preserve">Maret </v>
      </c>
      <c r="O368" s="15">
        <v>2027</v>
      </c>
      <c r="P368" s="15">
        <v>2025</v>
      </c>
      <c r="Q368" s="15"/>
      <c r="R368" s="16"/>
      <c r="S368" s="15"/>
      <c r="T368" s="15"/>
      <c r="U368" s="15"/>
      <c r="V368" s="15"/>
      <c r="W368" s="15"/>
    </row>
    <row r="369" spans="1:23" s="17" customFormat="1" ht="28" x14ac:dyDescent="0.35">
      <c r="A369" s="12">
        <v>368</v>
      </c>
      <c r="B369" s="25" t="s">
        <v>2425</v>
      </c>
      <c r="C369" s="26" t="s">
        <v>2426</v>
      </c>
      <c r="D369" s="14" t="str">
        <f t="shared" si="17"/>
        <v>Perempuan</v>
      </c>
      <c r="E369" s="25" t="s">
        <v>188</v>
      </c>
      <c r="F369" s="33" t="s">
        <v>2377</v>
      </c>
      <c r="G369" s="25" t="s">
        <v>2350</v>
      </c>
      <c r="H369" s="19" t="s">
        <v>1772</v>
      </c>
      <c r="I369" s="28" t="s">
        <v>90</v>
      </c>
      <c r="J369" s="32" t="s">
        <v>486</v>
      </c>
      <c r="K369" s="28" t="s">
        <v>394</v>
      </c>
      <c r="L369" s="27" t="s">
        <v>123</v>
      </c>
      <c r="M369" s="15">
        <v>2025</v>
      </c>
      <c r="N369" s="15" t="str">
        <f t="shared" si="18"/>
        <v xml:space="preserve">Maret </v>
      </c>
      <c r="O369" s="15">
        <v>2027</v>
      </c>
      <c r="P369" s="15">
        <v>2025</v>
      </c>
      <c r="Q369" s="15"/>
      <c r="R369" s="16"/>
      <c r="S369" s="15"/>
      <c r="T369" s="15"/>
      <c r="U369" s="15"/>
      <c r="V369" s="15"/>
      <c r="W369" s="15"/>
    </row>
    <row r="370" spans="1:23" s="17" customFormat="1" ht="28" x14ac:dyDescent="0.35">
      <c r="A370" s="12">
        <v>369</v>
      </c>
      <c r="B370" s="25" t="s">
        <v>2427</v>
      </c>
      <c r="C370" s="26" t="s">
        <v>2428</v>
      </c>
      <c r="D370" s="14" t="str">
        <f t="shared" si="17"/>
        <v>Perempuan</v>
      </c>
      <c r="E370" s="25" t="s">
        <v>188</v>
      </c>
      <c r="F370" s="33" t="s">
        <v>2377</v>
      </c>
      <c r="G370" s="25" t="s">
        <v>2350</v>
      </c>
      <c r="H370" s="19" t="s">
        <v>1772</v>
      </c>
      <c r="I370" s="28" t="s">
        <v>90</v>
      </c>
      <c r="J370" s="32" t="s">
        <v>486</v>
      </c>
      <c r="K370" s="28" t="s">
        <v>394</v>
      </c>
      <c r="L370" s="27" t="s">
        <v>462</v>
      </c>
      <c r="M370" s="15">
        <v>2025</v>
      </c>
      <c r="N370" s="15" t="str">
        <f t="shared" si="18"/>
        <v xml:space="preserve">Februari </v>
      </c>
      <c r="O370" s="15">
        <v>2027</v>
      </c>
      <c r="P370" s="15">
        <v>2025</v>
      </c>
      <c r="Q370" s="15"/>
      <c r="R370" s="16"/>
      <c r="S370" s="15"/>
      <c r="T370" s="15"/>
      <c r="U370" s="15"/>
      <c r="V370" s="15"/>
      <c r="W370" s="15"/>
    </row>
    <row r="371" spans="1:23" s="17" customFormat="1" ht="28" x14ac:dyDescent="0.35">
      <c r="A371" s="12">
        <v>370</v>
      </c>
      <c r="B371" s="25" t="s">
        <v>2429</v>
      </c>
      <c r="C371" s="26" t="s">
        <v>2430</v>
      </c>
      <c r="D371" s="14" t="str">
        <f t="shared" si="17"/>
        <v>Perempuan</v>
      </c>
      <c r="E371" s="25" t="s">
        <v>188</v>
      </c>
      <c r="F371" s="33" t="s">
        <v>2377</v>
      </c>
      <c r="G371" s="25" t="s">
        <v>2350</v>
      </c>
      <c r="H371" s="19" t="s">
        <v>1772</v>
      </c>
      <c r="I371" s="28" t="s">
        <v>90</v>
      </c>
      <c r="J371" s="32" t="s">
        <v>486</v>
      </c>
      <c r="K371" s="28" t="s">
        <v>394</v>
      </c>
      <c r="L371" s="27" t="s">
        <v>123</v>
      </c>
      <c r="M371" s="15">
        <v>2025</v>
      </c>
      <c r="N371" s="15" t="str">
        <f t="shared" si="18"/>
        <v xml:space="preserve">Maret </v>
      </c>
      <c r="O371" s="15">
        <v>2027</v>
      </c>
      <c r="P371" s="15">
        <v>2025</v>
      </c>
      <c r="Q371" s="15"/>
      <c r="R371" s="16"/>
      <c r="S371" s="15"/>
      <c r="T371" s="15"/>
      <c r="U371" s="15"/>
      <c r="V371" s="15"/>
      <c r="W371" s="15"/>
    </row>
    <row r="372" spans="1:23" s="17" customFormat="1" ht="28" x14ac:dyDescent="0.35">
      <c r="A372" s="12">
        <v>371</v>
      </c>
      <c r="B372" s="25" t="s">
        <v>2431</v>
      </c>
      <c r="C372" s="26" t="s">
        <v>2432</v>
      </c>
      <c r="D372" s="14" t="str">
        <f t="shared" si="17"/>
        <v>Perempuan</v>
      </c>
      <c r="E372" s="25" t="s">
        <v>211</v>
      </c>
      <c r="F372" s="33" t="s">
        <v>2377</v>
      </c>
      <c r="G372" s="25" t="s">
        <v>2350</v>
      </c>
      <c r="H372" s="19" t="s">
        <v>1772</v>
      </c>
      <c r="I372" s="28" t="s">
        <v>90</v>
      </c>
      <c r="J372" s="32" t="s">
        <v>486</v>
      </c>
      <c r="K372" s="28" t="s">
        <v>394</v>
      </c>
      <c r="L372" s="27" t="s">
        <v>123</v>
      </c>
      <c r="M372" s="15">
        <v>2025</v>
      </c>
      <c r="N372" s="15" t="str">
        <f t="shared" si="18"/>
        <v xml:space="preserve">Maret </v>
      </c>
      <c r="O372" s="15">
        <v>2027</v>
      </c>
      <c r="P372" s="15">
        <v>2025</v>
      </c>
      <c r="Q372" s="15"/>
      <c r="R372" s="16"/>
      <c r="S372" s="15"/>
      <c r="T372" s="15"/>
      <c r="U372" s="15"/>
      <c r="V372" s="15"/>
      <c r="W372" s="15"/>
    </row>
    <row r="373" spans="1:23" s="17" customFormat="1" ht="14.5" x14ac:dyDescent="0.35">
      <c r="A373" s="12">
        <v>372</v>
      </c>
      <c r="B373" s="25" t="s">
        <v>2433</v>
      </c>
      <c r="C373" s="26" t="s">
        <v>2434</v>
      </c>
      <c r="D373" s="14" t="str">
        <f t="shared" si="17"/>
        <v>Laki-Laki</v>
      </c>
      <c r="E373" s="25" t="s">
        <v>188</v>
      </c>
      <c r="F373" s="33" t="s">
        <v>2377</v>
      </c>
      <c r="G373" s="25" t="s">
        <v>2350</v>
      </c>
      <c r="H373" s="19" t="s">
        <v>1536</v>
      </c>
      <c r="I373" s="28" t="s">
        <v>788</v>
      </c>
      <c r="J373" s="32" t="s">
        <v>486</v>
      </c>
      <c r="K373" s="28" t="s">
        <v>407</v>
      </c>
      <c r="L373" s="27" t="s">
        <v>145</v>
      </c>
      <c r="M373" s="15">
        <v>2024</v>
      </c>
      <c r="N373" s="15" t="str">
        <f t="shared" si="18"/>
        <v xml:space="preserve">Agustus </v>
      </c>
      <c r="O373" s="15">
        <v>2026</v>
      </c>
      <c r="P373" s="15">
        <v>2025</v>
      </c>
      <c r="Q373" s="15"/>
      <c r="R373" s="16"/>
      <c r="S373" s="15"/>
      <c r="T373" s="15"/>
      <c r="U373" s="15"/>
      <c r="V373" s="15"/>
      <c r="W373" s="15"/>
    </row>
    <row r="374" spans="1:23" s="17" customFormat="1" ht="28" x14ac:dyDescent="0.35">
      <c r="A374" s="12">
        <v>373</v>
      </c>
      <c r="B374" s="25" t="s">
        <v>2435</v>
      </c>
      <c r="C374" s="26" t="s">
        <v>2436</v>
      </c>
      <c r="D374" s="14" t="str">
        <f t="shared" si="17"/>
        <v>Laki-Laki</v>
      </c>
      <c r="E374" s="25" t="s">
        <v>188</v>
      </c>
      <c r="F374" s="33" t="s">
        <v>2437</v>
      </c>
      <c r="G374" s="25" t="s">
        <v>2350</v>
      </c>
      <c r="H374" s="19" t="s">
        <v>1998</v>
      </c>
      <c r="I374" s="28" t="s">
        <v>2438</v>
      </c>
      <c r="J374" s="32" t="s">
        <v>486</v>
      </c>
      <c r="K374" s="28" t="s">
        <v>46</v>
      </c>
      <c r="L374" s="51" t="s">
        <v>2439</v>
      </c>
      <c r="M374" s="21">
        <v>2024</v>
      </c>
      <c r="N374" s="15" t="str">
        <f t="shared" si="18"/>
        <v xml:space="preserve">11 September </v>
      </c>
      <c r="O374" s="15">
        <v>2026</v>
      </c>
      <c r="P374" s="15">
        <v>2025</v>
      </c>
      <c r="Q374" s="15"/>
      <c r="R374" s="16"/>
      <c r="S374" s="15"/>
      <c r="T374" s="15"/>
      <c r="U374" s="15"/>
      <c r="V374" s="15"/>
      <c r="W374" s="15"/>
    </row>
    <row r="375" spans="1:23" s="17" customFormat="1" ht="42" x14ac:dyDescent="0.35">
      <c r="A375" s="12">
        <v>374</v>
      </c>
      <c r="B375" s="25" t="s">
        <v>2440</v>
      </c>
      <c r="C375" s="26" t="s">
        <v>2441</v>
      </c>
      <c r="D375" s="14" t="str">
        <f t="shared" si="17"/>
        <v>Perempuan</v>
      </c>
      <c r="E375" s="25" t="s">
        <v>539</v>
      </c>
      <c r="F375" s="33" t="s">
        <v>1807</v>
      </c>
      <c r="G375" s="25" t="s">
        <v>2350</v>
      </c>
      <c r="H375" s="19" t="s">
        <v>2442</v>
      </c>
      <c r="I375" s="28" t="s">
        <v>1395</v>
      </c>
      <c r="J375" s="32" t="s">
        <v>486</v>
      </c>
      <c r="K375" s="28" t="s">
        <v>777</v>
      </c>
      <c r="L375" s="51" t="s">
        <v>504</v>
      </c>
      <c r="M375" s="21">
        <v>2024</v>
      </c>
      <c r="N375" s="15" t="str">
        <f t="shared" si="18"/>
        <v xml:space="preserve">September  </v>
      </c>
      <c r="O375" s="15">
        <v>2026</v>
      </c>
      <c r="P375" s="15">
        <v>2025</v>
      </c>
      <c r="Q375" s="15"/>
      <c r="R375" s="16"/>
      <c r="S375" s="15"/>
      <c r="T375" s="15"/>
      <c r="U375" s="15"/>
      <c r="V375" s="15"/>
      <c r="W375" s="15"/>
    </row>
    <row r="376" spans="1:23" s="17" customFormat="1" ht="28" x14ac:dyDescent="0.35">
      <c r="A376" s="12">
        <v>375</v>
      </c>
      <c r="B376" s="25" t="s">
        <v>2443</v>
      </c>
      <c r="C376" s="26" t="s">
        <v>2444</v>
      </c>
      <c r="D376" s="14" t="str">
        <f t="shared" si="17"/>
        <v>Laki-Laki</v>
      </c>
      <c r="E376" s="25" t="s">
        <v>211</v>
      </c>
      <c r="F376" s="33" t="s">
        <v>1807</v>
      </c>
      <c r="G376" s="25" t="s">
        <v>2350</v>
      </c>
      <c r="H376" s="19" t="s">
        <v>1772</v>
      </c>
      <c r="I376" s="28" t="s">
        <v>90</v>
      </c>
      <c r="J376" s="32" t="s">
        <v>486</v>
      </c>
      <c r="K376" s="28" t="s">
        <v>394</v>
      </c>
      <c r="L376" s="51" t="s">
        <v>462</v>
      </c>
      <c r="M376" s="21">
        <v>2025</v>
      </c>
      <c r="N376" s="15" t="str">
        <f t="shared" si="18"/>
        <v xml:space="preserve">Februari </v>
      </c>
      <c r="O376" s="15">
        <v>2027</v>
      </c>
      <c r="P376" s="15">
        <v>2025</v>
      </c>
      <c r="Q376" s="15"/>
      <c r="R376" s="16"/>
      <c r="S376" s="15"/>
      <c r="T376" s="15"/>
      <c r="U376" s="15"/>
      <c r="V376" s="15"/>
      <c r="W376" s="15"/>
    </row>
    <row r="377" spans="1:23" s="17" customFormat="1" ht="42" x14ac:dyDescent="0.35">
      <c r="A377" s="12">
        <v>376</v>
      </c>
      <c r="B377" s="25" t="s">
        <v>2445</v>
      </c>
      <c r="C377" s="26" t="s">
        <v>2446</v>
      </c>
      <c r="D377" s="14" t="str">
        <f t="shared" si="17"/>
        <v>Perempuan</v>
      </c>
      <c r="E377" s="25" t="s">
        <v>2447</v>
      </c>
      <c r="F377" s="33" t="s">
        <v>762</v>
      </c>
      <c r="G377" s="25" t="s">
        <v>2350</v>
      </c>
      <c r="H377" s="19" t="s">
        <v>2448</v>
      </c>
      <c r="I377" s="28" t="s">
        <v>90</v>
      </c>
      <c r="J377" s="32" t="s">
        <v>180</v>
      </c>
      <c r="K377" s="28" t="s">
        <v>2449</v>
      </c>
      <c r="L377" s="51" t="s">
        <v>169</v>
      </c>
      <c r="M377" s="21">
        <v>2024</v>
      </c>
      <c r="N377" s="15" t="str">
        <f t="shared" si="18"/>
        <v>Oktober</v>
      </c>
      <c r="O377" s="15">
        <v>2028</v>
      </c>
      <c r="P377" s="15">
        <v>2025</v>
      </c>
      <c r="Q377" s="15">
        <v>3</v>
      </c>
      <c r="R377" s="16" t="s">
        <v>2848</v>
      </c>
      <c r="S377" s="46" t="s">
        <v>2849</v>
      </c>
      <c r="T377" s="15"/>
      <c r="U377" s="46"/>
      <c r="V377" s="15"/>
      <c r="W377" s="15"/>
    </row>
    <row r="378" spans="1:23" s="17" customFormat="1" ht="28" x14ac:dyDescent="0.35">
      <c r="A378" s="12">
        <v>377</v>
      </c>
      <c r="B378" s="25" t="s">
        <v>2450</v>
      </c>
      <c r="C378" s="26" t="s">
        <v>2451</v>
      </c>
      <c r="D378" s="14" t="str">
        <f t="shared" si="17"/>
        <v>Perempuan</v>
      </c>
      <c r="E378" s="25" t="s">
        <v>211</v>
      </c>
      <c r="F378" s="33" t="s">
        <v>1807</v>
      </c>
      <c r="G378" s="25" t="s">
        <v>2350</v>
      </c>
      <c r="H378" s="19" t="s">
        <v>2452</v>
      </c>
      <c r="I378" s="28" t="s">
        <v>590</v>
      </c>
      <c r="J378" s="32" t="s">
        <v>190</v>
      </c>
      <c r="K378" s="28" t="s">
        <v>1622</v>
      </c>
      <c r="L378" s="51" t="s">
        <v>28</v>
      </c>
      <c r="M378" s="21">
        <v>2024</v>
      </c>
      <c r="N378" s="15" t="str">
        <f t="shared" si="18"/>
        <v>September</v>
      </c>
      <c r="O378" s="15">
        <v>2026</v>
      </c>
      <c r="P378" s="15">
        <v>2025</v>
      </c>
      <c r="Q378" s="15"/>
      <c r="R378" s="16"/>
      <c r="S378" s="15"/>
      <c r="T378" s="15"/>
      <c r="U378" s="15"/>
      <c r="V378" s="15"/>
      <c r="W378" s="15"/>
    </row>
    <row r="379" spans="1:23" s="17" customFormat="1" ht="28" x14ac:dyDescent="0.35">
      <c r="A379" s="12">
        <v>378</v>
      </c>
      <c r="B379" s="25" t="s">
        <v>2453</v>
      </c>
      <c r="C379" s="26" t="s">
        <v>2454</v>
      </c>
      <c r="D379" s="14" t="str">
        <f t="shared" si="17"/>
        <v>Laki-Laki</v>
      </c>
      <c r="E379" s="25" t="s">
        <v>188</v>
      </c>
      <c r="F379" s="33" t="s">
        <v>1807</v>
      </c>
      <c r="G379" s="25" t="s">
        <v>2350</v>
      </c>
      <c r="H379" s="19" t="s">
        <v>2455</v>
      </c>
      <c r="I379" s="28" t="s">
        <v>2456</v>
      </c>
      <c r="J379" s="32" t="s">
        <v>190</v>
      </c>
      <c r="K379" s="28" t="s">
        <v>777</v>
      </c>
      <c r="L379" s="51" t="s">
        <v>28</v>
      </c>
      <c r="M379" s="21">
        <v>2024</v>
      </c>
      <c r="N379" s="15" t="str">
        <f t="shared" si="18"/>
        <v>September</v>
      </c>
      <c r="O379" s="15">
        <v>2026</v>
      </c>
      <c r="P379" s="15">
        <v>2025</v>
      </c>
      <c r="Q379" s="15"/>
      <c r="R379" s="16"/>
      <c r="S379" s="15"/>
      <c r="T379" s="15"/>
      <c r="U379" s="15"/>
      <c r="V379" s="15"/>
      <c r="W379" s="15"/>
    </row>
    <row r="380" spans="1:23" s="17" customFormat="1" ht="28" x14ac:dyDescent="0.35">
      <c r="A380" s="12">
        <v>379</v>
      </c>
      <c r="B380" s="25" t="s">
        <v>2457</v>
      </c>
      <c r="C380" s="26" t="s">
        <v>2458</v>
      </c>
      <c r="D380" s="14" t="str">
        <f t="shared" si="17"/>
        <v>Laki-Laki</v>
      </c>
      <c r="E380" s="25" t="s">
        <v>188</v>
      </c>
      <c r="F380" s="33" t="s">
        <v>1807</v>
      </c>
      <c r="G380" s="25" t="s">
        <v>2350</v>
      </c>
      <c r="H380" s="19" t="s">
        <v>2111</v>
      </c>
      <c r="I380" s="28" t="s">
        <v>90</v>
      </c>
      <c r="J380" s="32" t="s">
        <v>190</v>
      </c>
      <c r="K380" s="28" t="s">
        <v>394</v>
      </c>
      <c r="L380" s="51" t="s">
        <v>28</v>
      </c>
      <c r="M380" s="21">
        <v>2024</v>
      </c>
      <c r="N380" s="15" t="str">
        <f t="shared" si="18"/>
        <v>September</v>
      </c>
      <c r="O380" s="15">
        <v>2026</v>
      </c>
      <c r="P380" s="15">
        <v>2025</v>
      </c>
      <c r="Q380" s="15"/>
      <c r="R380" s="16"/>
      <c r="S380" s="15"/>
      <c r="T380" s="15"/>
      <c r="U380" s="15"/>
      <c r="V380" s="15"/>
      <c r="W380" s="15"/>
    </row>
    <row r="381" spans="1:23" s="17" customFormat="1" ht="42" x14ac:dyDescent="0.35">
      <c r="A381" s="12">
        <v>380</v>
      </c>
      <c r="B381" s="25" t="s">
        <v>2459</v>
      </c>
      <c r="C381" s="26" t="s">
        <v>2460</v>
      </c>
      <c r="D381" s="14" t="str">
        <f t="shared" si="17"/>
        <v>Laki-Laki</v>
      </c>
      <c r="E381" s="25" t="s">
        <v>188</v>
      </c>
      <c r="F381" s="33" t="s">
        <v>1807</v>
      </c>
      <c r="G381" s="25" t="s">
        <v>2350</v>
      </c>
      <c r="H381" s="19" t="s">
        <v>2461</v>
      </c>
      <c r="I381" s="28" t="s">
        <v>460</v>
      </c>
      <c r="J381" s="32" t="s">
        <v>190</v>
      </c>
      <c r="K381" s="28" t="s">
        <v>2462</v>
      </c>
      <c r="L381" s="51" t="s">
        <v>28</v>
      </c>
      <c r="M381" s="21">
        <v>2024</v>
      </c>
      <c r="N381" s="15" t="str">
        <f t="shared" si="18"/>
        <v>September</v>
      </c>
      <c r="O381" s="15">
        <v>2026</v>
      </c>
      <c r="P381" s="15">
        <v>2025</v>
      </c>
      <c r="Q381" s="15"/>
      <c r="R381" s="16"/>
      <c r="S381" s="15"/>
      <c r="T381" s="15"/>
      <c r="U381" s="15"/>
      <c r="V381" s="15"/>
      <c r="W381" s="15"/>
    </row>
    <row r="382" spans="1:23" s="17" customFormat="1" ht="28" x14ac:dyDescent="0.35">
      <c r="A382" s="12">
        <v>381</v>
      </c>
      <c r="B382" s="25" t="s">
        <v>2463</v>
      </c>
      <c r="C382" s="26" t="s">
        <v>2464</v>
      </c>
      <c r="D382" s="14" t="str">
        <f t="shared" si="17"/>
        <v>Perempuan</v>
      </c>
      <c r="E382" s="25" t="s">
        <v>554</v>
      </c>
      <c r="F382" s="33" t="s">
        <v>1791</v>
      </c>
      <c r="G382" s="25" t="s">
        <v>2350</v>
      </c>
      <c r="H382" s="19" t="s">
        <v>2111</v>
      </c>
      <c r="I382" s="28" t="s">
        <v>90</v>
      </c>
      <c r="J382" s="32" t="s">
        <v>190</v>
      </c>
      <c r="K382" s="28" t="s">
        <v>394</v>
      </c>
      <c r="L382" s="51" t="s">
        <v>28</v>
      </c>
      <c r="M382" s="21">
        <v>2024</v>
      </c>
      <c r="N382" s="15" t="str">
        <f t="shared" si="18"/>
        <v>September</v>
      </c>
      <c r="O382" s="15">
        <v>2026</v>
      </c>
      <c r="P382" s="15">
        <v>2025</v>
      </c>
      <c r="Q382" s="15"/>
      <c r="R382" s="16"/>
      <c r="S382" s="15"/>
      <c r="T382" s="15"/>
      <c r="U382" s="15"/>
      <c r="V382" s="15"/>
      <c r="W382" s="15"/>
    </row>
    <row r="383" spans="1:23" s="17" customFormat="1" ht="42" x14ac:dyDescent="0.35">
      <c r="A383" s="12">
        <v>382</v>
      </c>
      <c r="B383" s="25" t="s">
        <v>2465</v>
      </c>
      <c r="C383" s="26" t="s">
        <v>2466</v>
      </c>
      <c r="D383" s="14" t="str">
        <f t="shared" si="17"/>
        <v>Perempuan</v>
      </c>
      <c r="E383" s="25" t="s">
        <v>211</v>
      </c>
      <c r="F383" s="33" t="s">
        <v>1777</v>
      </c>
      <c r="G383" s="25" t="s">
        <v>2350</v>
      </c>
      <c r="H383" s="19" t="s">
        <v>2467</v>
      </c>
      <c r="I383" s="28" t="s">
        <v>460</v>
      </c>
      <c r="J383" s="32" t="s">
        <v>190</v>
      </c>
      <c r="K383" s="28" t="s">
        <v>2462</v>
      </c>
      <c r="L383" s="51" t="s">
        <v>28</v>
      </c>
      <c r="M383" s="21">
        <v>2024</v>
      </c>
      <c r="N383" s="15" t="str">
        <f t="shared" si="18"/>
        <v>September</v>
      </c>
      <c r="O383" s="15">
        <v>2026</v>
      </c>
      <c r="P383" s="15">
        <v>2025</v>
      </c>
      <c r="Q383" s="15"/>
      <c r="R383" s="16"/>
      <c r="S383" s="15"/>
      <c r="T383" s="15"/>
      <c r="U383" s="15"/>
      <c r="V383" s="15"/>
      <c r="W383" s="15"/>
    </row>
    <row r="384" spans="1:23" s="17" customFormat="1" ht="28" x14ac:dyDescent="0.35">
      <c r="A384" s="12">
        <v>383</v>
      </c>
      <c r="B384" s="25" t="s">
        <v>2468</v>
      </c>
      <c r="C384" s="26" t="s">
        <v>2469</v>
      </c>
      <c r="D384" s="14" t="str">
        <f t="shared" si="17"/>
        <v>Perempuan</v>
      </c>
      <c r="E384" s="25" t="s">
        <v>188</v>
      </c>
      <c r="F384" s="33" t="s">
        <v>1807</v>
      </c>
      <c r="G384" s="25" t="s">
        <v>2350</v>
      </c>
      <c r="H384" s="19" t="s">
        <v>2111</v>
      </c>
      <c r="I384" s="28" t="s">
        <v>90</v>
      </c>
      <c r="J384" s="32" t="s">
        <v>190</v>
      </c>
      <c r="K384" s="28" t="s">
        <v>394</v>
      </c>
      <c r="L384" s="51" t="s">
        <v>28</v>
      </c>
      <c r="M384" s="21">
        <v>2024</v>
      </c>
      <c r="N384" s="15" t="str">
        <f t="shared" si="18"/>
        <v>September</v>
      </c>
      <c r="O384" s="15">
        <v>2026</v>
      </c>
      <c r="P384" s="15">
        <v>2025</v>
      </c>
      <c r="Q384" s="15"/>
      <c r="R384" s="16"/>
      <c r="S384" s="15"/>
      <c r="T384" s="15"/>
      <c r="U384" s="15"/>
      <c r="V384" s="15"/>
      <c r="W384" s="15"/>
    </row>
    <row r="385" spans="1:23" s="17" customFormat="1" ht="28" x14ac:dyDescent="0.35">
      <c r="A385" s="12">
        <v>384</v>
      </c>
      <c r="B385" s="25" t="s">
        <v>2470</v>
      </c>
      <c r="C385" s="26" t="s">
        <v>2471</v>
      </c>
      <c r="D385" s="14" t="str">
        <f t="shared" si="17"/>
        <v>Perempuan</v>
      </c>
      <c r="E385" s="25" t="s">
        <v>188</v>
      </c>
      <c r="F385" s="33" t="s">
        <v>1807</v>
      </c>
      <c r="G385" s="25" t="s">
        <v>2350</v>
      </c>
      <c r="H385" s="19" t="s">
        <v>2111</v>
      </c>
      <c r="I385" s="28" t="s">
        <v>90</v>
      </c>
      <c r="J385" s="32" t="s">
        <v>190</v>
      </c>
      <c r="K385" s="28" t="s">
        <v>394</v>
      </c>
      <c r="L385" s="51" t="s">
        <v>28</v>
      </c>
      <c r="M385" s="21">
        <v>2024</v>
      </c>
      <c r="N385" s="15" t="str">
        <f t="shared" si="18"/>
        <v>September</v>
      </c>
      <c r="O385" s="15">
        <v>2026</v>
      </c>
      <c r="P385" s="15">
        <v>2025</v>
      </c>
      <c r="Q385" s="15"/>
      <c r="R385" s="16"/>
      <c r="S385" s="15"/>
      <c r="T385" s="15"/>
      <c r="U385" s="15"/>
      <c r="V385" s="15"/>
      <c r="W385" s="15"/>
    </row>
    <row r="386" spans="1:23" s="17" customFormat="1" ht="42" x14ac:dyDescent="0.35">
      <c r="A386" s="12">
        <v>385</v>
      </c>
      <c r="B386" s="25" t="s">
        <v>2472</v>
      </c>
      <c r="C386" s="26" t="s">
        <v>2473</v>
      </c>
      <c r="D386" s="14" t="str">
        <f t="shared" si="17"/>
        <v>Perempuan</v>
      </c>
      <c r="E386" s="25" t="s">
        <v>172</v>
      </c>
      <c r="F386" s="33" t="s">
        <v>105</v>
      </c>
      <c r="G386" s="25" t="s">
        <v>2350</v>
      </c>
      <c r="H386" s="19" t="s">
        <v>1485</v>
      </c>
      <c r="I386" s="28" t="s">
        <v>56</v>
      </c>
      <c r="J386" s="32" t="s">
        <v>2474</v>
      </c>
      <c r="K386" s="28" t="s">
        <v>57</v>
      </c>
      <c r="L386" s="51" t="s">
        <v>60</v>
      </c>
      <c r="M386" s="21">
        <v>2024</v>
      </c>
      <c r="N386" s="15" t="str">
        <f t="shared" si="18"/>
        <v>Agustus</v>
      </c>
      <c r="O386" s="15">
        <v>2026</v>
      </c>
      <c r="P386" s="15">
        <v>2025</v>
      </c>
      <c r="Q386" s="15">
        <v>3</v>
      </c>
      <c r="R386" s="16" t="s">
        <v>2848</v>
      </c>
      <c r="S386" s="46" t="s">
        <v>2847</v>
      </c>
      <c r="T386" s="15"/>
      <c r="U386" s="46"/>
      <c r="V386" s="15"/>
      <c r="W386" s="15"/>
    </row>
    <row r="387" spans="1:23" s="17" customFormat="1" ht="14.5" x14ac:dyDescent="0.35">
      <c r="A387" s="12">
        <v>386</v>
      </c>
      <c r="B387" s="25" t="s">
        <v>2475</v>
      </c>
      <c r="C387" s="26" t="s">
        <v>2476</v>
      </c>
      <c r="D387" s="14" t="str">
        <f t="shared" ref="D387:D410" si="19">IF(MID(C387,15,1)="1","Laki-Laki","Perempuan")</f>
        <v>Laki-Laki</v>
      </c>
      <c r="E387" s="25" t="s">
        <v>172</v>
      </c>
      <c r="F387" s="33" t="s">
        <v>1147</v>
      </c>
      <c r="G387" s="25" t="s">
        <v>2350</v>
      </c>
      <c r="H387" s="19" t="s">
        <v>1649</v>
      </c>
      <c r="I387" s="28" t="s">
        <v>2477</v>
      </c>
      <c r="J387" s="32" t="s">
        <v>180</v>
      </c>
      <c r="K387" s="28" t="s">
        <v>1577</v>
      </c>
      <c r="L387" s="51" t="s">
        <v>205</v>
      </c>
      <c r="M387" s="21">
        <v>2024</v>
      </c>
      <c r="N387" s="15" t="str">
        <f t="shared" si="18"/>
        <v xml:space="preserve">September </v>
      </c>
      <c r="O387" s="15">
        <v>2028</v>
      </c>
      <c r="P387" s="15">
        <v>2025</v>
      </c>
      <c r="Q387" s="15"/>
      <c r="R387" s="16"/>
      <c r="S387" s="15"/>
      <c r="T387" s="15"/>
      <c r="U387" s="15"/>
      <c r="V387" s="15"/>
      <c r="W387" s="15"/>
    </row>
    <row r="388" spans="1:23" ht="28" x14ac:dyDescent="0.3">
      <c r="A388" s="12">
        <v>387</v>
      </c>
      <c r="B388" s="111" t="s">
        <v>2850</v>
      </c>
      <c r="C388" s="100" t="s">
        <v>2851</v>
      </c>
      <c r="D388" s="14" t="str">
        <f t="shared" si="19"/>
        <v>Perempuan</v>
      </c>
      <c r="E388" s="101" t="s">
        <v>172</v>
      </c>
      <c r="F388" s="102" t="s">
        <v>99</v>
      </c>
      <c r="G388" s="103" t="s">
        <v>2350</v>
      </c>
      <c r="H388" s="104" t="s">
        <v>1649</v>
      </c>
      <c r="I388" s="105" t="s">
        <v>2852</v>
      </c>
      <c r="J388" s="106" t="s">
        <v>180</v>
      </c>
      <c r="K388" s="105" t="s">
        <v>196</v>
      </c>
      <c r="L388" s="107" t="s">
        <v>205</v>
      </c>
      <c r="M388" s="108">
        <v>2025</v>
      </c>
      <c r="N388" s="15" t="str">
        <f t="shared" si="18"/>
        <v xml:space="preserve">September </v>
      </c>
      <c r="O388" s="15">
        <v>2029</v>
      </c>
      <c r="P388" s="15">
        <v>2025</v>
      </c>
      <c r="Q388" s="110"/>
      <c r="R388" s="109"/>
      <c r="S388" s="109"/>
      <c r="T388" s="109"/>
      <c r="U388" s="109"/>
      <c r="V388" s="109"/>
      <c r="W388" s="109"/>
    </row>
    <row r="389" spans="1:23" ht="28" x14ac:dyDescent="0.3">
      <c r="A389" s="12">
        <v>388</v>
      </c>
      <c r="B389" s="111" t="s">
        <v>2853</v>
      </c>
      <c r="C389" s="100" t="s">
        <v>2854</v>
      </c>
      <c r="D389" s="14" t="str">
        <f t="shared" si="19"/>
        <v>Perempuan</v>
      </c>
      <c r="E389" s="101" t="s">
        <v>2855</v>
      </c>
      <c r="F389" s="102" t="s">
        <v>1807</v>
      </c>
      <c r="G389" s="103" t="s">
        <v>2350</v>
      </c>
      <c r="H389" s="104" t="s">
        <v>1658</v>
      </c>
      <c r="I389" s="105" t="s">
        <v>2856</v>
      </c>
      <c r="J389" s="106" t="s">
        <v>190</v>
      </c>
      <c r="K389" s="105" t="s">
        <v>2857</v>
      </c>
      <c r="L389" s="107" t="s">
        <v>2858</v>
      </c>
      <c r="M389" s="108">
        <v>2025</v>
      </c>
      <c r="N389" s="15" t="str">
        <f t="shared" si="18"/>
        <v>15 September</v>
      </c>
      <c r="O389" s="15">
        <v>2027</v>
      </c>
      <c r="P389" s="15">
        <v>2025</v>
      </c>
      <c r="Q389" s="110"/>
      <c r="R389" s="109"/>
      <c r="S389" s="109"/>
      <c r="T389" s="109"/>
      <c r="U389" s="109"/>
      <c r="V389" s="109"/>
      <c r="W389" s="109"/>
    </row>
    <row r="390" spans="1:23" ht="28" x14ac:dyDescent="0.3">
      <c r="A390" s="12">
        <v>389</v>
      </c>
      <c r="B390" s="111" t="s">
        <v>2859</v>
      </c>
      <c r="C390" s="100" t="s">
        <v>2860</v>
      </c>
      <c r="D390" s="14" t="str">
        <f t="shared" si="19"/>
        <v>Laki-Laki</v>
      </c>
      <c r="E390" s="101" t="s">
        <v>2855</v>
      </c>
      <c r="F390" s="102" t="s">
        <v>1807</v>
      </c>
      <c r="G390" s="103" t="s">
        <v>2350</v>
      </c>
      <c r="H390" s="104" t="s">
        <v>1658</v>
      </c>
      <c r="I390" s="105" t="s">
        <v>2856</v>
      </c>
      <c r="J390" s="106" t="s">
        <v>190</v>
      </c>
      <c r="K390" s="105" t="s">
        <v>2857</v>
      </c>
      <c r="L390" s="107" t="s">
        <v>28</v>
      </c>
      <c r="M390" s="108">
        <v>2025</v>
      </c>
      <c r="N390" s="15" t="str">
        <f t="shared" si="18"/>
        <v>September</v>
      </c>
      <c r="O390" s="15">
        <v>2027</v>
      </c>
      <c r="P390" s="15">
        <v>2025</v>
      </c>
      <c r="Q390" s="110"/>
      <c r="R390" s="109"/>
      <c r="S390" s="109"/>
      <c r="T390" s="109"/>
      <c r="U390" s="109"/>
      <c r="V390" s="109"/>
      <c r="W390" s="109"/>
    </row>
    <row r="391" spans="1:23" ht="28" x14ac:dyDescent="0.3">
      <c r="A391" s="12">
        <v>390</v>
      </c>
      <c r="B391" s="111" t="s">
        <v>2861</v>
      </c>
      <c r="C391" s="100" t="s">
        <v>2862</v>
      </c>
      <c r="D391" s="14" t="str">
        <f t="shared" si="19"/>
        <v>Laki-Laki</v>
      </c>
      <c r="E391" s="101" t="s">
        <v>2855</v>
      </c>
      <c r="F391" s="102" t="s">
        <v>1807</v>
      </c>
      <c r="G391" s="103" t="s">
        <v>2350</v>
      </c>
      <c r="H391" s="104" t="s">
        <v>1658</v>
      </c>
      <c r="I391" s="105" t="s">
        <v>2863</v>
      </c>
      <c r="J391" s="106" t="s">
        <v>190</v>
      </c>
      <c r="K391" s="105" t="s">
        <v>2857</v>
      </c>
      <c r="L391" s="107" t="s">
        <v>28</v>
      </c>
      <c r="M391" s="108">
        <v>2025</v>
      </c>
      <c r="N391" s="15" t="str">
        <f t="shared" si="18"/>
        <v>September</v>
      </c>
      <c r="O391" s="15">
        <v>2027</v>
      </c>
      <c r="P391" s="15">
        <v>2025</v>
      </c>
      <c r="Q391" s="110"/>
      <c r="R391" s="109"/>
      <c r="S391" s="109"/>
      <c r="T391" s="109"/>
      <c r="U391" s="109"/>
      <c r="V391" s="109"/>
      <c r="W391" s="109"/>
    </row>
    <row r="392" spans="1:23" ht="28" x14ac:dyDescent="0.3">
      <c r="A392" s="12">
        <v>391</v>
      </c>
      <c r="B392" s="111" t="s">
        <v>2864</v>
      </c>
      <c r="C392" s="100" t="s">
        <v>2865</v>
      </c>
      <c r="D392" s="14" t="str">
        <f t="shared" si="19"/>
        <v>Perempuan</v>
      </c>
      <c r="E392" s="101" t="s">
        <v>2866</v>
      </c>
      <c r="F392" s="102" t="s">
        <v>1791</v>
      </c>
      <c r="G392" s="103" t="s">
        <v>2350</v>
      </c>
      <c r="H392" s="104" t="s">
        <v>1658</v>
      </c>
      <c r="I392" s="105" t="s">
        <v>2856</v>
      </c>
      <c r="J392" s="106" t="s">
        <v>190</v>
      </c>
      <c r="K392" s="105" t="s">
        <v>2857</v>
      </c>
      <c r="L392" s="107" t="s">
        <v>28</v>
      </c>
      <c r="M392" s="108">
        <v>2025</v>
      </c>
      <c r="N392" s="15" t="str">
        <f t="shared" si="18"/>
        <v>September</v>
      </c>
      <c r="O392" s="15">
        <v>2027</v>
      </c>
      <c r="P392" s="15">
        <v>2025</v>
      </c>
      <c r="Q392" s="110"/>
      <c r="R392" s="109"/>
      <c r="S392" s="109"/>
      <c r="T392" s="109"/>
      <c r="U392" s="109"/>
      <c r="V392" s="109"/>
      <c r="W392" s="109"/>
    </row>
    <row r="393" spans="1:23" ht="28" x14ac:dyDescent="0.3">
      <c r="A393" s="12">
        <v>392</v>
      </c>
      <c r="B393" s="111" t="s">
        <v>2867</v>
      </c>
      <c r="C393" s="100" t="s">
        <v>2868</v>
      </c>
      <c r="D393" s="14" t="str">
        <f t="shared" si="19"/>
        <v>Perempuan</v>
      </c>
      <c r="E393" s="101" t="s">
        <v>2866</v>
      </c>
      <c r="F393" s="102" t="s">
        <v>1791</v>
      </c>
      <c r="G393" s="103" t="s">
        <v>2350</v>
      </c>
      <c r="H393" s="104" t="s">
        <v>1658</v>
      </c>
      <c r="I393" s="105" t="s">
        <v>2869</v>
      </c>
      <c r="J393" s="106" t="s">
        <v>190</v>
      </c>
      <c r="K393" s="105" t="s">
        <v>2857</v>
      </c>
      <c r="L393" s="107" t="s">
        <v>28</v>
      </c>
      <c r="M393" s="108">
        <v>2025</v>
      </c>
      <c r="N393" s="15" t="str">
        <f t="shared" si="18"/>
        <v>September</v>
      </c>
      <c r="O393" s="15">
        <v>2027</v>
      </c>
      <c r="P393" s="15">
        <v>2025</v>
      </c>
      <c r="Q393" s="110"/>
      <c r="R393" s="109"/>
      <c r="S393" s="109"/>
      <c r="T393" s="109"/>
      <c r="U393" s="109"/>
      <c r="V393" s="109"/>
      <c r="W393" s="109"/>
    </row>
    <row r="394" spans="1:23" ht="28" x14ac:dyDescent="0.3">
      <c r="A394" s="12">
        <v>393</v>
      </c>
      <c r="B394" s="111" t="s">
        <v>2870</v>
      </c>
      <c r="C394" s="100" t="s">
        <v>2871</v>
      </c>
      <c r="D394" s="14" t="str">
        <f t="shared" si="19"/>
        <v>Perempuan</v>
      </c>
      <c r="E394" s="101" t="s">
        <v>2866</v>
      </c>
      <c r="F394" s="102" t="s">
        <v>1791</v>
      </c>
      <c r="G394" s="103" t="s">
        <v>2350</v>
      </c>
      <c r="H394" s="104" t="s">
        <v>1658</v>
      </c>
      <c r="I394" s="105" t="s">
        <v>2856</v>
      </c>
      <c r="J394" s="106" t="s">
        <v>190</v>
      </c>
      <c r="K394" s="105" t="s">
        <v>2857</v>
      </c>
      <c r="L394" s="107" t="s">
        <v>28</v>
      </c>
      <c r="M394" s="108">
        <v>2025</v>
      </c>
      <c r="N394" s="15" t="str">
        <f t="shared" si="18"/>
        <v>September</v>
      </c>
      <c r="O394" s="15">
        <v>2027</v>
      </c>
      <c r="P394" s="15">
        <v>2025</v>
      </c>
      <c r="Q394" s="110"/>
      <c r="R394" s="109"/>
      <c r="S394" s="109"/>
      <c r="T394" s="109"/>
      <c r="U394" s="109"/>
      <c r="V394" s="109"/>
      <c r="W394" s="109"/>
    </row>
    <row r="395" spans="1:23" ht="14" x14ac:dyDescent="0.3">
      <c r="A395" s="12">
        <v>394</v>
      </c>
      <c r="B395" s="111" t="s">
        <v>2872</v>
      </c>
      <c r="C395" s="100" t="s">
        <v>2873</v>
      </c>
      <c r="D395" s="14" t="str">
        <f t="shared" si="19"/>
        <v>Laki-Laki</v>
      </c>
      <c r="E395" s="101" t="s">
        <v>188</v>
      </c>
      <c r="F395" s="102" t="s">
        <v>2874</v>
      </c>
      <c r="G395" s="103" t="s">
        <v>2350</v>
      </c>
      <c r="H395" s="104" t="s">
        <v>1497</v>
      </c>
      <c r="I395" s="105" t="s">
        <v>1395</v>
      </c>
      <c r="J395" s="106" t="s">
        <v>509</v>
      </c>
      <c r="K395" s="105" t="s">
        <v>2875</v>
      </c>
      <c r="L395" s="107" t="s">
        <v>60</v>
      </c>
      <c r="M395" s="108">
        <v>2025</v>
      </c>
      <c r="N395" s="15" t="str">
        <f t="shared" si="18"/>
        <v>Agustus</v>
      </c>
      <c r="O395" s="15">
        <v>2028</v>
      </c>
      <c r="P395" s="15">
        <v>2025</v>
      </c>
      <c r="Q395" s="110"/>
      <c r="R395" s="109"/>
      <c r="S395" s="109"/>
      <c r="T395" s="109"/>
      <c r="U395" s="109"/>
      <c r="V395" s="109"/>
      <c r="W395" s="109"/>
    </row>
    <row r="396" spans="1:23" ht="28" x14ac:dyDescent="0.3">
      <c r="A396" s="12">
        <v>395</v>
      </c>
      <c r="B396" s="112" t="s">
        <v>2877</v>
      </c>
      <c r="C396" s="113" t="s">
        <v>2878</v>
      </c>
      <c r="D396" s="14" t="str">
        <f t="shared" si="19"/>
        <v>Laki-Laki</v>
      </c>
      <c r="E396" s="114" t="s">
        <v>554</v>
      </c>
      <c r="F396" s="102" t="s">
        <v>2879</v>
      </c>
      <c r="G396" s="103" t="s">
        <v>2350</v>
      </c>
      <c r="H396" s="104" t="s">
        <v>2157</v>
      </c>
      <c r="I396" s="105" t="s">
        <v>256</v>
      </c>
      <c r="J396" s="106" t="s">
        <v>509</v>
      </c>
      <c r="K396" s="105" t="s">
        <v>2880</v>
      </c>
      <c r="L396" s="107" t="s">
        <v>28</v>
      </c>
      <c r="M396" s="108">
        <v>2024</v>
      </c>
      <c r="N396" s="130" t="str">
        <f>L396</f>
        <v>September</v>
      </c>
      <c r="O396" s="15">
        <v>2027</v>
      </c>
      <c r="P396" s="110">
        <v>2025</v>
      </c>
      <c r="Q396" s="110"/>
      <c r="R396" s="109"/>
      <c r="S396" s="109"/>
      <c r="T396" s="109"/>
      <c r="U396" s="109"/>
      <c r="V396" s="109"/>
      <c r="W396" s="109"/>
    </row>
    <row r="397" spans="1:23" ht="56" x14ac:dyDescent="0.3">
      <c r="A397" s="12">
        <v>396</v>
      </c>
      <c r="B397" s="112" t="s">
        <v>2881</v>
      </c>
      <c r="C397" s="100" t="s">
        <v>2882</v>
      </c>
      <c r="D397" s="14" t="str">
        <f t="shared" si="19"/>
        <v>Perempuan</v>
      </c>
      <c r="E397" s="115" t="s">
        <v>583</v>
      </c>
      <c r="F397" s="116" t="s">
        <v>2156</v>
      </c>
      <c r="G397" s="103" t="s">
        <v>2350</v>
      </c>
      <c r="H397" s="104" t="s">
        <v>2883</v>
      </c>
      <c r="I397" s="105" t="s">
        <v>256</v>
      </c>
      <c r="J397" s="106" t="s">
        <v>509</v>
      </c>
      <c r="K397" s="105" t="s">
        <v>2880</v>
      </c>
      <c r="L397" s="107" t="s">
        <v>28</v>
      </c>
      <c r="M397" s="108">
        <v>2024</v>
      </c>
      <c r="N397" s="130" t="str">
        <f t="shared" ref="N397:N410" si="20">L397</f>
        <v>September</v>
      </c>
      <c r="O397" s="15">
        <v>2027</v>
      </c>
      <c r="P397" s="110">
        <v>2025</v>
      </c>
      <c r="Q397" s="110"/>
      <c r="R397" s="109"/>
      <c r="S397" s="109"/>
      <c r="T397" s="109"/>
      <c r="U397" s="109"/>
      <c r="V397" s="109"/>
      <c r="W397" s="109"/>
    </row>
    <row r="398" spans="1:23" ht="28" x14ac:dyDescent="0.3">
      <c r="A398" s="12">
        <v>397</v>
      </c>
      <c r="B398" s="112" t="s">
        <v>2884</v>
      </c>
      <c r="C398" s="100" t="s">
        <v>2885</v>
      </c>
      <c r="D398" s="14" t="str">
        <f t="shared" si="19"/>
        <v>Laki-Laki</v>
      </c>
      <c r="E398" s="115" t="s">
        <v>2886</v>
      </c>
      <c r="F398" s="116" t="s">
        <v>2887</v>
      </c>
      <c r="G398" s="103" t="s">
        <v>2350</v>
      </c>
      <c r="H398" s="104" t="s">
        <v>2157</v>
      </c>
      <c r="I398" s="105" t="s">
        <v>256</v>
      </c>
      <c r="J398" s="106" t="s">
        <v>509</v>
      </c>
      <c r="K398" s="105" t="s">
        <v>2880</v>
      </c>
      <c r="L398" s="107" t="s">
        <v>28</v>
      </c>
      <c r="M398" s="108">
        <v>2024</v>
      </c>
      <c r="N398" s="130" t="str">
        <f t="shared" si="20"/>
        <v>September</v>
      </c>
      <c r="O398" s="15">
        <v>2027</v>
      </c>
      <c r="P398" s="110">
        <v>2025</v>
      </c>
      <c r="Q398" s="110"/>
      <c r="R398" s="109"/>
      <c r="S398" s="109"/>
      <c r="T398" s="109"/>
      <c r="U398" s="109"/>
      <c r="V398" s="109"/>
      <c r="W398" s="109"/>
    </row>
    <row r="399" spans="1:23" ht="28" x14ac:dyDescent="0.3">
      <c r="A399" s="12">
        <v>398</v>
      </c>
      <c r="B399" s="112" t="s">
        <v>2888</v>
      </c>
      <c r="C399" s="100" t="s">
        <v>2889</v>
      </c>
      <c r="D399" s="14" t="str">
        <f t="shared" si="19"/>
        <v>Laki-Laki</v>
      </c>
      <c r="E399" s="115" t="s">
        <v>188</v>
      </c>
      <c r="F399" s="116" t="s">
        <v>2160</v>
      </c>
      <c r="G399" s="103" t="s">
        <v>2350</v>
      </c>
      <c r="H399" s="104" t="s">
        <v>2157</v>
      </c>
      <c r="I399" s="105" t="s">
        <v>256</v>
      </c>
      <c r="J399" s="106" t="s">
        <v>509</v>
      </c>
      <c r="K399" s="105" t="s">
        <v>2880</v>
      </c>
      <c r="L399" s="107" t="s">
        <v>28</v>
      </c>
      <c r="M399" s="108">
        <v>2024</v>
      </c>
      <c r="N399" s="130" t="str">
        <f t="shared" si="20"/>
        <v>September</v>
      </c>
      <c r="O399" s="15">
        <v>2027</v>
      </c>
      <c r="P399" s="110">
        <v>2025</v>
      </c>
      <c r="Q399" s="110"/>
      <c r="R399" s="109"/>
      <c r="S399" s="109"/>
      <c r="T399" s="109"/>
      <c r="U399" s="109"/>
      <c r="V399" s="109"/>
      <c r="W399" s="109"/>
    </row>
    <row r="400" spans="1:23" ht="28" x14ac:dyDescent="0.3">
      <c r="A400" s="12">
        <v>399</v>
      </c>
      <c r="B400" s="112" t="s">
        <v>2890</v>
      </c>
      <c r="C400" s="100" t="s">
        <v>2891</v>
      </c>
      <c r="D400" s="14" t="str">
        <f t="shared" si="19"/>
        <v>Laki-Laki</v>
      </c>
      <c r="E400" s="115" t="s">
        <v>507</v>
      </c>
      <c r="F400" s="116" t="s">
        <v>397</v>
      </c>
      <c r="G400" s="103" t="s">
        <v>2350</v>
      </c>
      <c r="H400" s="104" t="s">
        <v>2157</v>
      </c>
      <c r="I400" s="105" t="s">
        <v>256</v>
      </c>
      <c r="J400" s="106" t="s">
        <v>509</v>
      </c>
      <c r="K400" s="105" t="s">
        <v>2880</v>
      </c>
      <c r="L400" s="107" t="s">
        <v>28</v>
      </c>
      <c r="M400" s="108">
        <v>2024</v>
      </c>
      <c r="N400" s="130" t="str">
        <f t="shared" si="20"/>
        <v>September</v>
      </c>
      <c r="O400" s="15">
        <v>2027</v>
      </c>
      <c r="P400" s="110">
        <v>2025</v>
      </c>
      <c r="Q400" s="110"/>
      <c r="R400" s="109"/>
      <c r="S400" s="109"/>
      <c r="T400" s="109"/>
      <c r="U400" s="109"/>
      <c r="V400" s="109"/>
      <c r="W400" s="109"/>
    </row>
    <row r="401" spans="1:23" ht="28" x14ac:dyDescent="0.3">
      <c r="A401" s="12">
        <v>400</v>
      </c>
      <c r="B401" s="112" t="s">
        <v>2892</v>
      </c>
      <c r="C401" s="100" t="s">
        <v>2893</v>
      </c>
      <c r="D401" s="14" t="str">
        <f t="shared" si="19"/>
        <v>Laki-Laki</v>
      </c>
      <c r="E401" s="115" t="s">
        <v>539</v>
      </c>
      <c r="F401" s="116" t="s">
        <v>2894</v>
      </c>
      <c r="G401" s="103" t="s">
        <v>2350</v>
      </c>
      <c r="H401" s="104" t="s">
        <v>2157</v>
      </c>
      <c r="I401" s="105" t="s">
        <v>256</v>
      </c>
      <c r="J401" s="106" t="s">
        <v>509</v>
      </c>
      <c r="K401" s="105" t="s">
        <v>2880</v>
      </c>
      <c r="L401" s="107" t="s">
        <v>28</v>
      </c>
      <c r="M401" s="108">
        <v>2024</v>
      </c>
      <c r="N401" s="130" t="str">
        <f t="shared" si="20"/>
        <v>September</v>
      </c>
      <c r="O401" s="15">
        <v>2027</v>
      </c>
      <c r="P401" s="110">
        <v>2025</v>
      </c>
      <c r="Q401" s="110"/>
      <c r="R401" s="109"/>
      <c r="S401" s="109"/>
      <c r="T401" s="109"/>
      <c r="U401" s="109"/>
      <c r="V401" s="109"/>
      <c r="W401" s="109"/>
    </row>
    <row r="402" spans="1:23" ht="28" x14ac:dyDescent="0.3">
      <c r="A402" s="12">
        <v>401</v>
      </c>
      <c r="B402" s="112" t="s">
        <v>2895</v>
      </c>
      <c r="C402" s="100" t="s">
        <v>2896</v>
      </c>
      <c r="D402" s="14" t="str">
        <f t="shared" si="19"/>
        <v>Laki-Laki</v>
      </c>
      <c r="E402" s="115" t="s">
        <v>539</v>
      </c>
      <c r="F402" s="116" t="s">
        <v>2894</v>
      </c>
      <c r="G402" s="103" t="s">
        <v>2350</v>
      </c>
      <c r="H402" s="104" t="s">
        <v>2157</v>
      </c>
      <c r="I402" s="105" t="s">
        <v>256</v>
      </c>
      <c r="J402" s="106" t="s">
        <v>509</v>
      </c>
      <c r="K402" s="105" t="s">
        <v>2880</v>
      </c>
      <c r="L402" s="107" t="s">
        <v>28</v>
      </c>
      <c r="M402" s="108">
        <v>2024</v>
      </c>
      <c r="N402" s="130" t="str">
        <f t="shared" si="20"/>
        <v>September</v>
      </c>
      <c r="O402" s="15">
        <v>2027</v>
      </c>
      <c r="P402" s="110">
        <v>2025</v>
      </c>
      <c r="Q402" s="110"/>
      <c r="R402" s="109"/>
      <c r="S402" s="109"/>
      <c r="T402" s="109"/>
      <c r="U402" s="109"/>
      <c r="V402" s="109"/>
      <c r="W402" s="109"/>
    </row>
    <row r="403" spans="1:23" ht="28" x14ac:dyDescent="0.3">
      <c r="A403" s="12">
        <v>402</v>
      </c>
      <c r="B403" s="117" t="s">
        <v>2897</v>
      </c>
      <c r="C403" s="113" t="s">
        <v>2155</v>
      </c>
      <c r="D403" s="14" t="str">
        <f t="shared" si="19"/>
        <v>Laki-Laki</v>
      </c>
      <c r="E403" s="118" t="s">
        <v>583</v>
      </c>
      <c r="F403" s="119" t="s">
        <v>2156</v>
      </c>
      <c r="G403" s="120" t="s">
        <v>2350</v>
      </c>
      <c r="H403" s="121" t="s">
        <v>2157</v>
      </c>
      <c r="I403" s="122" t="s">
        <v>256</v>
      </c>
      <c r="J403" s="123" t="s">
        <v>509</v>
      </c>
      <c r="K403" s="122" t="s">
        <v>2880</v>
      </c>
      <c r="L403" s="124" t="s">
        <v>28</v>
      </c>
      <c r="M403" s="125">
        <v>2024</v>
      </c>
      <c r="N403" s="130" t="str">
        <f t="shared" si="20"/>
        <v>September</v>
      </c>
      <c r="O403" s="15">
        <v>2027</v>
      </c>
      <c r="P403" s="110">
        <v>2025</v>
      </c>
      <c r="Q403" s="110"/>
      <c r="R403" s="109"/>
      <c r="S403" s="109"/>
      <c r="T403" s="109"/>
      <c r="U403" s="109"/>
      <c r="V403" s="109"/>
      <c r="W403" s="109"/>
    </row>
    <row r="404" spans="1:23" ht="28" x14ac:dyDescent="0.3">
      <c r="A404" s="12">
        <v>403</v>
      </c>
      <c r="B404" s="127" t="s">
        <v>2898</v>
      </c>
      <c r="C404" s="100" t="s">
        <v>2899</v>
      </c>
      <c r="D404" s="14" t="str">
        <f t="shared" si="19"/>
        <v>Laki-Laki</v>
      </c>
      <c r="E404" s="115" t="s">
        <v>188</v>
      </c>
      <c r="F404" s="127" t="s">
        <v>1807</v>
      </c>
      <c r="G404" s="115" t="s">
        <v>2350</v>
      </c>
      <c r="H404" s="128" t="s">
        <v>1772</v>
      </c>
      <c r="I404" s="128" t="s">
        <v>623</v>
      </c>
      <c r="J404" s="126" t="s">
        <v>190</v>
      </c>
      <c r="K404" s="128" t="s">
        <v>723</v>
      </c>
      <c r="L404" s="129" t="s">
        <v>60</v>
      </c>
      <c r="M404" s="108">
        <v>2025</v>
      </c>
      <c r="N404" s="130" t="str">
        <f t="shared" si="20"/>
        <v>Agustus</v>
      </c>
      <c r="O404" s="15">
        <v>2027</v>
      </c>
      <c r="P404" s="110">
        <v>2025</v>
      </c>
      <c r="Q404" s="110"/>
      <c r="R404" s="109"/>
      <c r="S404" s="109"/>
      <c r="T404" s="109"/>
      <c r="U404" s="109"/>
      <c r="V404" s="109"/>
      <c r="W404" s="109"/>
    </row>
    <row r="405" spans="1:23" ht="28" x14ac:dyDescent="0.3">
      <c r="A405" s="12">
        <v>404</v>
      </c>
      <c r="B405" s="127" t="s">
        <v>2915</v>
      </c>
      <c r="C405" s="100" t="s">
        <v>2916</v>
      </c>
      <c r="D405" s="14" t="str">
        <f t="shared" si="19"/>
        <v>Laki-Laki</v>
      </c>
      <c r="E405" s="127" t="s">
        <v>172</v>
      </c>
      <c r="F405" s="127" t="s">
        <v>1907</v>
      </c>
      <c r="G405" s="115" t="s">
        <v>2350</v>
      </c>
      <c r="H405" s="128" t="s">
        <v>2111</v>
      </c>
      <c r="I405" s="128" t="s">
        <v>2917</v>
      </c>
      <c r="J405" s="126" t="s">
        <v>190</v>
      </c>
      <c r="K405" s="128" t="s">
        <v>394</v>
      </c>
      <c r="L405" s="129" t="s">
        <v>123</v>
      </c>
      <c r="M405" s="108">
        <v>2025</v>
      </c>
      <c r="N405" s="130" t="str">
        <f t="shared" si="20"/>
        <v xml:space="preserve">Maret </v>
      </c>
      <c r="O405" s="15">
        <v>2027</v>
      </c>
      <c r="P405" s="110">
        <v>2025</v>
      </c>
      <c r="Q405" s="110"/>
      <c r="R405" s="109"/>
      <c r="S405" s="109"/>
      <c r="T405" s="109"/>
      <c r="U405" s="109"/>
      <c r="V405" s="109"/>
      <c r="W405" s="109"/>
    </row>
    <row r="406" spans="1:23" ht="28" x14ac:dyDescent="0.3">
      <c r="A406" s="12">
        <v>405</v>
      </c>
      <c r="B406" s="127" t="s">
        <v>2918</v>
      </c>
      <c r="C406" s="100" t="s">
        <v>2919</v>
      </c>
      <c r="D406" s="14" t="str">
        <f t="shared" si="19"/>
        <v>Perempuan</v>
      </c>
      <c r="E406" s="115" t="s">
        <v>211</v>
      </c>
      <c r="F406" s="127" t="s">
        <v>1807</v>
      </c>
      <c r="G406" s="115" t="s">
        <v>2350</v>
      </c>
      <c r="H406" s="128" t="s">
        <v>2111</v>
      </c>
      <c r="I406" s="128" t="s">
        <v>2917</v>
      </c>
      <c r="J406" s="126" t="s">
        <v>190</v>
      </c>
      <c r="K406" s="128" t="s">
        <v>394</v>
      </c>
      <c r="L406" s="129" t="s">
        <v>123</v>
      </c>
      <c r="M406" s="108">
        <v>2025</v>
      </c>
      <c r="N406" s="130" t="str">
        <f t="shared" si="20"/>
        <v xml:space="preserve">Maret </v>
      </c>
      <c r="O406" s="15">
        <v>2027</v>
      </c>
      <c r="P406" s="110">
        <v>2025</v>
      </c>
      <c r="Q406" s="110"/>
      <c r="R406" s="109"/>
      <c r="S406" s="109"/>
      <c r="T406" s="109"/>
      <c r="U406" s="109"/>
      <c r="V406" s="109"/>
      <c r="W406" s="109"/>
    </row>
    <row r="407" spans="1:23" ht="28" x14ac:dyDescent="0.3">
      <c r="A407" s="12">
        <v>406</v>
      </c>
      <c r="B407" s="127" t="s">
        <v>2920</v>
      </c>
      <c r="C407" s="100" t="s">
        <v>2921</v>
      </c>
      <c r="D407" s="14" t="str">
        <f t="shared" si="19"/>
        <v>Laki-Laki</v>
      </c>
      <c r="E407" s="115" t="s">
        <v>2922</v>
      </c>
      <c r="F407" s="127" t="s">
        <v>1807</v>
      </c>
      <c r="G407" s="115" t="s">
        <v>2350</v>
      </c>
      <c r="H407" s="128" t="s">
        <v>2111</v>
      </c>
      <c r="I407" s="128" t="s">
        <v>1290</v>
      </c>
      <c r="J407" s="126" t="s">
        <v>190</v>
      </c>
      <c r="K407" s="128" t="s">
        <v>394</v>
      </c>
      <c r="L407" s="129" t="s">
        <v>35</v>
      </c>
      <c r="M407" s="108">
        <v>2025</v>
      </c>
      <c r="N407" s="130" t="str">
        <f t="shared" si="20"/>
        <v>Maret</v>
      </c>
      <c r="O407" s="15">
        <v>2027</v>
      </c>
      <c r="P407" s="110">
        <v>2025</v>
      </c>
      <c r="Q407" s="110"/>
      <c r="R407" s="109"/>
      <c r="S407" s="109"/>
      <c r="T407" s="109"/>
      <c r="U407" s="109"/>
      <c r="V407" s="109"/>
      <c r="W407" s="109"/>
    </row>
    <row r="408" spans="1:23" ht="28" x14ac:dyDescent="0.3">
      <c r="A408" s="12">
        <v>407</v>
      </c>
      <c r="B408" s="148" t="s">
        <v>2923</v>
      </c>
      <c r="C408" s="113" t="s">
        <v>2924</v>
      </c>
      <c r="D408" s="14" t="str">
        <f t="shared" si="19"/>
        <v>Perempuan</v>
      </c>
      <c r="E408" s="118" t="s">
        <v>215</v>
      </c>
      <c r="F408" s="148" t="s">
        <v>1657</v>
      </c>
      <c r="G408" s="118" t="s">
        <v>2350</v>
      </c>
      <c r="H408" s="149" t="s">
        <v>1658</v>
      </c>
      <c r="I408" s="149" t="s">
        <v>90</v>
      </c>
      <c r="J408" s="150" t="s">
        <v>180</v>
      </c>
      <c r="K408" s="149" t="s">
        <v>905</v>
      </c>
      <c r="L408" s="151" t="s">
        <v>169</v>
      </c>
      <c r="M408" s="125">
        <v>2025</v>
      </c>
      <c r="N408" s="130" t="str">
        <f t="shared" si="20"/>
        <v>Oktober</v>
      </c>
      <c r="O408" s="15">
        <v>2027</v>
      </c>
      <c r="P408" s="110">
        <v>2025</v>
      </c>
      <c r="Q408" s="110"/>
      <c r="R408" s="109"/>
      <c r="S408" s="109"/>
      <c r="T408" s="109"/>
      <c r="U408" s="109"/>
      <c r="V408" s="109"/>
      <c r="W408" s="109"/>
    </row>
    <row r="409" spans="1:23" ht="28" x14ac:dyDescent="0.3">
      <c r="A409" s="12">
        <v>408</v>
      </c>
      <c r="B409" s="127" t="s">
        <v>2925</v>
      </c>
      <c r="C409" s="100" t="s">
        <v>2926</v>
      </c>
      <c r="D409" s="14" t="str">
        <f t="shared" si="19"/>
        <v>Laki-Laki</v>
      </c>
      <c r="E409" s="115" t="s">
        <v>188</v>
      </c>
      <c r="F409" s="127" t="s">
        <v>1807</v>
      </c>
      <c r="G409" s="115" t="s">
        <v>2350</v>
      </c>
      <c r="H409" s="128" t="s">
        <v>1754</v>
      </c>
      <c r="I409" s="128" t="s">
        <v>2625</v>
      </c>
      <c r="J409" s="126" t="s">
        <v>190</v>
      </c>
      <c r="K409" s="128" t="s">
        <v>394</v>
      </c>
      <c r="L409" s="129" t="s">
        <v>614</v>
      </c>
      <c r="M409" s="108">
        <v>2025</v>
      </c>
      <c r="N409" s="130" t="str">
        <f t="shared" si="20"/>
        <v>Juni</v>
      </c>
      <c r="O409" s="15">
        <v>2027</v>
      </c>
      <c r="P409" s="110">
        <v>2025</v>
      </c>
      <c r="Q409" s="110"/>
      <c r="R409" s="109"/>
      <c r="S409" s="109"/>
      <c r="T409" s="109"/>
      <c r="U409" s="109"/>
      <c r="V409" s="109"/>
      <c r="W409" s="109"/>
    </row>
    <row r="410" spans="1:23" ht="28" x14ac:dyDescent="0.3">
      <c r="A410" s="12">
        <v>409</v>
      </c>
      <c r="B410" s="127" t="s">
        <v>2927</v>
      </c>
      <c r="C410" s="100" t="s">
        <v>2928</v>
      </c>
      <c r="D410" s="14" t="str">
        <f t="shared" si="19"/>
        <v>Laki-Laki</v>
      </c>
      <c r="E410" s="115" t="s">
        <v>211</v>
      </c>
      <c r="F410" s="127" t="s">
        <v>1777</v>
      </c>
      <c r="G410" s="115" t="s">
        <v>2350</v>
      </c>
      <c r="H410" s="128" t="s">
        <v>1754</v>
      </c>
      <c r="I410" s="128" t="s">
        <v>2929</v>
      </c>
      <c r="J410" s="126" t="s">
        <v>180</v>
      </c>
      <c r="K410" s="128" t="s">
        <v>46</v>
      </c>
      <c r="L410" s="129" t="s">
        <v>28</v>
      </c>
      <c r="M410" s="108">
        <v>2025</v>
      </c>
      <c r="N410" s="130" t="str">
        <f t="shared" si="20"/>
        <v>September</v>
      </c>
      <c r="O410" s="15">
        <v>2027</v>
      </c>
      <c r="P410" s="110">
        <v>2025</v>
      </c>
      <c r="Q410" s="110"/>
      <c r="R410" s="109"/>
      <c r="S410" s="109"/>
      <c r="T410" s="109"/>
      <c r="U410" s="109"/>
      <c r="V410" s="109"/>
      <c r="W410" s="109"/>
    </row>
    <row r="411" spans="1:23" ht="13" x14ac:dyDescent="0.3">
      <c r="A411" s="58"/>
      <c r="B411" s="58"/>
      <c r="C411" s="58"/>
      <c r="D411" s="58"/>
      <c r="E411" s="58"/>
      <c r="F411" s="58"/>
      <c r="G411" s="58"/>
      <c r="H411" s="59"/>
      <c r="I411" s="59"/>
      <c r="J411" s="59"/>
      <c r="K411" s="59"/>
      <c r="L411" s="59"/>
      <c r="M411" s="60"/>
      <c r="N411" s="60"/>
      <c r="O411" s="60"/>
      <c r="P411" s="59"/>
      <c r="Q411" s="59"/>
      <c r="R411" s="60"/>
      <c r="S411" s="60"/>
      <c r="T411" s="60"/>
      <c r="U411" s="60"/>
      <c r="V411" s="60"/>
      <c r="W411" s="60"/>
    </row>
    <row r="412" spans="1:23" ht="13" x14ac:dyDescent="0.3">
      <c r="A412" s="58"/>
      <c r="B412" s="58"/>
      <c r="C412" s="58"/>
      <c r="D412" s="58"/>
      <c r="E412" s="58"/>
      <c r="F412" s="58"/>
      <c r="G412" s="58"/>
      <c r="H412" s="59"/>
      <c r="I412" s="59"/>
      <c r="J412" s="59"/>
      <c r="K412" s="59"/>
      <c r="L412" s="59"/>
      <c r="M412" s="60"/>
      <c r="N412" s="60"/>
      <c r="O412" s="60"/>
      <c r="P412" s="59"/>
      <c r="Q412" s="59"/>
      <c r="R412" s="60"/>
      <c r="S412" s="60"/>
      <c r="T412" s="60"/>
      <c r="U412" s="60"/>
      <c r="V412" s="60"/>
      <c r="W412" s="60"/>
    </row>
    <row r="413" spans="1:23" ht="13" x14ac:dyDescent="0.3">
      <c r="A413" s="58"/>
      <c r="B413" s="58"/>
      <c r="C413" s="58"/>
      <c r="D413" s="58"/>
      <c r="E413" s="58"/>
      <c r="F413" s="58"/>
      <c r="G413" s="58"/>
      <c r="H413" s="59"/>
      <c r="I413" s="59"/>
      <c r="J413" s="59"/>
      <c r="K413" s="59"/>
      <c r="L413" s="59"/>
      <c r="M413" s="60"/>
      <c r="N413" s="60"/>
      <c r="O413" s="60"/>
      <c r="P413" s="59"/>
      <c r="Q413" s="59"/>
      <c r="R413" s="60"/>
      <c r="S413" s="60"/>
      <c r="T413" s="60"/>
      <c r="U413" s="60"/>
      <c r="V413" s="60"/>
      <c r="W413" s="60"/>
    </row>
    <row r="414" spans="1:23" ht="13" x14ac:dyDescent="0.3">
      <c r="A414" s="58"/>
      <c r="B414" s="58"/>
      <c r="C414" s="58"/>
      <c r="D414" s="58"/>
      <c r="E414" s="58"/>
      <c r="F414" s="58"/>
      <c r="G414" s="58"/>
      <c r="H414" s="59"/>
      <c r="I414" s="59"/>
      <c r="J414" s="59"/>
      <c r="K414" s="59"/>
      <c r="L414" s="59"/>
      <c r="M414" s="60"/>
      <c r="N414" s="60"/>
      <c r="O414" s="60"/>
      <c r="P414" s="59"/>
      <c r="Q414" s="59"/>
      <c r="R414" s="60"/>
      <c r="S414" s="60"/>
      <c r="T414" s="60"/>
      <c r="U414" s="60"/>
      <c r="V414" s="60"/>
      <c r="W414" s="60"/>
    </row>
    <row r="415" spans="1:23" ht="13" x14ac:dyDescent="0.3">
      <c r="A415" s="58"/>
      <c r="B415" s="58"/>
      <c r="C415" s="58"/>
      <c r="D415" s="58"/>
      <c r="E415" s="58"/>
      <c r="F415" s="58"/>
      <c r="G415" s="58"/>
      <c r="H415" s="59"/>
      <c r="I415" s="59"/>
      <c r="J415" s="59"/>
      <c r="K415" s="59"/>
      <c r="L415" s="59"/>
      <c r="M415" s="60"/>
      <c r="N415" s="60"/>
      <c r="O415" s="60"/>
      <c r="P415" s="59"/>
      <c r="Q415" s="59"/>
      <c r="R415" s="60"/>
      <c r="S415" s="60"/>
      <c r="T415" s="60"/>
      <c r="U415" s="60"/>
      <c r="V415" s="60"/>
      <c r="W415" s="60"/>
    </row>
    <row r="416" spans="1:23" ht="13" x14ac:dyDescent="0.3">
      <c r="A416" s="58"/>
      <c r="B416" s="58"/>
      <c r="C416" s="58"/>
      <c r="D416" s="58"/>
      <c r="E416" s="58"/>
      <c r="F416" s="58"/>
      <c r="G416" s="58"/>
      <c r="H416" s="59"/>
      <c r="I416" s="59"/>
      <c r="J416" s="59"/>
      <c r="K416" s="59"/>
      <c r="L416" s="59"/>
      <c r="M416" s="60"/>
      <c r="N416" s="60"/>
      <c r="O416" s="60"/>
      <c r="P416" s="59"/>
      <c r="Q416" s="59"/>
      <c r="R416" s="60"/>
      <c r="S416" s="60"/>
      <c r="T416" s="60"/>
      <c r="U416" s="60"/>
      <c r="V416" s="60"/>
      <c r="W416" s="60"/>
    </row>
    <row r="417" spans="1:23" ht="13" x14ac:dyDescent="0.3">
      <c r="A417" s="58"/>
      <c r="B417" s="58"/>
      <c r="C417" s="58"/>
      <c r="D417" s="58"/>
      <c r="E417" s="58"/>
      <c r="F417" s="58"/>
      <c r="G417" s="58"/>
      <c r="H417" s="59"/>
      <c r="I417" s="59"/>
      <c r="J417" s="59"/>
      <c r="K417" s="59"/>
      <c r="L417" s="59"/>
      <c r="M417" s="60"/>
      <c r="N417" s="60"/>
      <c r="O417" s="60"/>
      <c r="P417" s="59"/>
      <c r="Q417" s="59"/>
      <c r="R417" s="60"/>
      <c r="S417" s="60"/>
      <c r="T417" s="60"/>
      <c r="U417" s="60"/>
      <c r="V417" s="60"/>
      <c r="W417" s="60"/>
    </row>
    <row r="418" spans="1:23" ht="13" x14ac:dyDescent="0.3">
      <c r="A418" s="58"/>
      <c r="B418" s="58"/>
      <c r="C418" s="58"/>
      <c r="D418" s="58"/>
      <c r="E418" s="58"/>
      <c r="F418" s="58"/>
      <c r="G418" s="58"/>
      <c r="H418" s="59"/>
      <c r="I418" s="59"/>
      <c r="J418" s="59"/>
      <c r="K418" s="59"/>
      <c r="L418" s="59"/>
      <c r="M418" s="60"/>
      <c r="N418" s="60"/>
      <c r="O418" s="60"/>
      <c r="P418" s="59"/>
      <c r="Q418" s="59"/>
      <c r="R418" s="60"/>
      <c r="S418" s="60"/>
      <c r="T418" s="60"/>
      <c r="U418" s="60"/>
      <c r="V418" s="60"/>
      <c r="W418" s="60"/>
    </row>
    <row r="419" spans="1:23" ht="13" x14ac:dyDescent="0.3">
      <c r="A419" s="58"/>
      <c r="B419" s="58"/>
      <c r="C419" s="58"/>
      <c r="D419" s="58"/>
      <c r="E419" s="58"/>
      <c r="F419" s="58"/>
      <c r="G419" s="58"/>
      <c r="H419" s="59"/>
      <c r="I419" s="59"/>
      <c r="J419" s="59"/>
      <c r="K419" s="59"/>
      <c r="L419" s="59"/>
      <c r="M419" s="60"/>
      <c r="N419" s="60"/>
      <c r="O419" s="60"/>
      <c r="P419" s="59"/>
      <c r="Q419" s="59"/>
      <c r="R419" s="60"/>
      <c r="S419" s="60"/>
      <c r="T419" s="60"/>
      <c r="U419" s="60"/>
      <c r="V419" s="60"/>
      <c r="W419" s="60"/>
    </row>
    <row r="420" spans="1:23" ht="13" x14ac:dyDescent="0.3">
      <c r="A420" s="58"/>
      <c r="B420" s="58"/>
      <c r="C420" s="58"/>
      <c r="D420" s="58"/>
      <c r="E420" s="58"/>
      <c r="F420" s="58"/>
      <c r="G420" s="58"/>
      <c r="H420" s="59"/>
      <c r="I420" s="59"/>
      <c r="J420" s="59"/>
      <c r="K420" s="59"/>
      <c r="L420" s="59"/>
      <c r="M420" s="60"/>
      <c r="N420" s="60"/>
      <c r="O420" s="60"/>
      <c r="P420" s="59"/>
      <c r="Q420" s="59"/>
      <c r="R420" s="60"/>
      <c r="S420" s="60"/>
      <c r="T420" s="60"/>
      <c r="U420" s="60"/>
      <c r="V420" s="60"/>
      <c r="W420" s="60"/>
    </row>
    <row r="421" spans="1:23" ht="13" x14ac:dyDescent="0.3">
      <c r="A421" s="58"/>
      <c r="B421" s="58"/>
      <c r="C421" s="58"/>
      <c r="D421" s="58"/>
      <c r="E421" s="58"/>
      <c r="F421" s="58"/>
      <c r="G421" s="58"/>
      <c r="H421" s="59"/>
      <c r="I421" s="59"/>
      <c r="J421" s="59"/>
      <c r="K421" s="59"/>
      <c r="L421" s="59"/>
      <c r="M421" s="60"/>
      <c r="N421" s="60"/>
      <c r="O421" s="60"/>
      <c r="P421" s="59"/>
      <c r="Q421" s="59"/>
      <c r="R421" s="60"/>
      <c r="S421" s="60"/>
      <c r="T421" s="60"/>
      <c r="U421" s="60"/>
      <c r="V421" s="60"/>
      <c r="W421" s="60"/>
    </row>
    <row r="422" spans="1:23" ht="13" x14ac:dyDescent="0.3">
      <c r="A422" s="58"/>
      <c r="B422" s="58"/>
      <c r="C422" s="58"/>
      <c r="D422" s="58"/>
      <c r="E422" s="58"/>
      <c r="F422" s="58"/>
      <c r="G422" s="58"/>
      <c r="H422" s="59"/>
      <c r="I422" s="59"/>
      <c r="J422" s="59"/>
      <c r="K422" s="59"/>
      <c r="L422" s="59"/>
      <c r="M422" s="60"/>
      <c r="N422" s="60"/>
      <c r="O422" s="60"/>
      <c r="P422" s="59"/>
      <c r="Q422" s="59"/>
      <c r="R422" s="60"/>
      <c r="S422" s="60"/>
      <c r="T422" s="60"/>
      <c r="U422" s="60"/>
      <c r="V422" s="60"/>
      <c r="W422" s="60"/>
    </row>
    <row r="423" spans="1:23" ht="13" x14ac:dyDescent="0.3">
      <c r="A423" s="58"/>
      <c r="B423" s="58"/>
      <c r="C423" s="58"/>
      <c r="D423" s="58"/>
      <c r="E423" s="58"/>
      <c r="F423" s="58"/>
      <c r="G423" s="58"/>
      <c r="H423" s="59"/>
      <c r="I423" s="59"/>
      <c r="J423" s="59"/>
      <c r="K423" s="59"/>
      <c r="L423" s="59"/>
      <c r="M423" s="60"/>
      <c r="N423" s="60"/>
      <c r="O423" s="60"/>
      <c r="P423" s="59"/>
      <c r="Q423" s="59"/>
      <c r="R423" s="60"/>
      <c r="S423" s="60"/>
      <c r="T423" s="60"/>
      <c r="U423" s="60"/>
      <c r="V423" s="60"/>
      <c r="W423" s="60"/>
    </row>
    <row r="424" spans="1:23" ht="13" x14ac:dyDescent="0.3">
      <c r="A424" s="58"/>
      <c r="B424" s="58"/>
      <c r="C424" s="58"/>
      <c r="D424" s="58"/>
      <c r="E424" s="58"/>
      <c r="F424" s="58"/>
      <c r="G424" s="58"/>
      <c r="H424" s="59"/>
      <c r="I424" s="59"/>
      <c r="J424" s="59"/>
      <c r="K424" s="59"/>
      <c r="L424" s="59"/>
      <c r="M424" s="60"/>
      <c r="N424" s="60"/>
      <c r="O424" s="60"/>
      <c r="P424" s="59"/>
      <c r="Q424" s="59"/>
      <c r="R424" s="60"/>
      <c r="S424" s="60"/>
      <c r="T424" s="60"/>
      <c r="U424" s="60"/>
      <c r="V424" s="60"/>
      <c r="W424" s="60"/>
    </row>
    <row r="425" spans="1:23" ht="13" x14ac:dyDescent="0.3">
      <c r="A425" s="58"/>
      <c r="B425" s="58"/>
      <c r="C425" s="58"/>
      <c r="D425" s="58"/>
      <c r="E425" s="58"/>
      <c r="F425" s="58"/>
      <c r="G425" s="58"/>
      <c r="H425" s="59"/>
      <c r="I425" s="59"/>
      <c r="J425" s="59"/>
      <c r="K425" s="59"/>
      <c r="L425" s="59"/>
      <c r="M425" s="60"/>
      <c r="N425" s="60"/>
      <c r="O425" s="60"/>
      <c r="P425" s="59"/>
      <c r="Q425" s="59"/>
      <c r="R425" s="60"/>
      <c r="S425" s="60"/>
      <c r="T425" s="60"/>
      <c r="U425" s="60"/>
      <c r="V425" s="60"/>
      <c r="W425" s="60"/>
    </row>
    <row r="426" spans="1:23" ht="13" x14ac:dyDescent="0.3">
      <c r="A426" s="58"/>
      <c r="B426" s="58"/>
      <c r="C426" s="58"/>
      <c r="D426" s="58"/>
      <c r="E426" s="58"/>
      <c r="F426" s="58"/>
      <c r="G426" s="58"/>
      <c r="H426" s="59"/>
      <c r="I426" s="59"/>
      <c r="J426" s="59"/>
      <c r="K426" s="59"/>
      <c r="L426" s="59"/>
      <c r="M426" s="60"/>
      <c r="N426" s="60"/>
      <c r="O426" s="60"/>
      <c r="P426" s="59"/>
      <c r="Q426" s="59"/>
      <c r="R426" s="60"/>
      <c r="S426" s="60"/>
      <c r="T426" s="60"/>
      <c r="U426" s="60"/>
      <c r="V426" s="60"/>
      <c r="W426" s="60"/>
    </row>
    <row r="427" spans="1:23" ht="13" x14ac:dyDescent="0.3">
      <c r="A427" s="58"/>
      <c r="B427" s="58"/>
      <c r="C427" s="58"/>
      <c r="D427" s="58"/>
      <c r="E427" s="58"/>
      <c r="F427" s="58"/>
      <c r="G427" s="58"/>
      <c r="H427" s="59"/>
      <c r="I427" s="59"/>
      <c r="J427" s="59"/>
      <c r="K427" s="59"/>
      <c r="L427" s="59"/>
      <c r="M427" s="60"/>
      <c r="N427" s="60"/>
      <c r="O427" s="60"/>
      <c r="P427" s="59"/>
      <c r="Q427" s="59"/>
      <c r="R427" s="60"/>
      <c r="S427" s="60"/>
      <c r="T427" s="60"/>
      <c r="U427" s="60"/>
      <c r="V427" s="60"/>
      <c r="W427" s="60"/>
    </row>
    <row r="428" spans="1:23" ht="13" x14ac:dyDescent="0.3">
      <c r="A428" s="58"/>
      <c r="B428" s="58"/>
      <c r="C428" s="58"/>
      <c r="D428" s="58"/>
      <c r="E428" s="58"/>
      <c r="F428" s="58"/>
      <c r="G428" s="58"/>
      <c r="H428" s="59"/>
      <c r="I428" s="59"/>
      <c r="J428" s="59"/>
      <c r="K428" s="59"/>
      <c r="L428" s="59"/>
      <c r="M428" s="60"/>
      <c r="N428" s="60"/>
      <c r="O428" s="60"/>
      <c r="P428" s="59"/>
      <c r="Q428" s="59"/>
      <c r="R428" s="60"/>
      <c r="S428" s="60"/>
      <c r="T428" s="60"/>
      <c r="U428" s="60"/>
      <c r="V428" s="60"/>
      <c r="W428" s="60"/>
    </row>
    <row r="429" spans="1:23" ht="13" x14ac:dyDescent="0.3">
      <c r="A429" s="58"/>
      <c r="B429" s="58"/>
      <c r="C429" s="58"/>
      <c r="D429" s="58"/>
      <c r="E429" s="58"/>
      <c r="F429" s="58"/>
      <c r="G429" s="58"/>
      <c r="H429" s="59"/>
      <c r="I429" s="59"/>
      <c r="J429" s="59"/>
      <c r="K429" s="59"/>
      <c r="L429" s="59"/>
      <c r="M429" s="60"/>
      <c r="N429" s="60"/>
      <c r="O429" s="60"/>
      <c r="P429" s="59"/>
      <c r="Q429" s="59"/>
      <c r="R429" s="60"/>
      <c r="S429" s="60"/>
      <c r="T429" s="60"/>
      <c r="U429" s="60"/>
      <c r="V429" s="60"/>
      <c r="W429" s="60"/>
    </row>
    <row r="430" spans="1:23" ht="13" x14ac:dyDescent="0.3">
      <c r="A430" s="58"/>
      <c r="B430" s="58"/>
      <c r="C430" s="58"/>
      <c r="D430" s="58"/>
      <c r="E430" s="58"/>
      <c r="F430" s="58"/>
      <c r="G430" s="58"/>
      <c r="H430" s="59"/>
      <c r="I430" s="59"/>
      <c r="J430" s="59"/>
      <c r="K430" s="59"/>
      <c r="L430" s="59"/>
      <c r="M430" s="60"/>
      <c r="N430" s="60"/>
      <c r="O430" s="60"/>
      <c r="P430" s="59"/>
      <c r="Q430" s="59"/>
      <c r="R430" s="60"/>
      <c r="S430" s="60"/>
      <c r="T430" s="60"/>
      <c r="U430" s="60"/>
      <c r="V430" s="60"/>
      <c r="W430" s="60"/>
    </row>
    <row r="431" spans="1:23" ht="13" x14ac:dyDescent="0.3">
      <c r="A431" s="58"/>
      <c r="B431" s="58"/>
      <c r="C431" s="58"/>
      <c r="D431" s="58"/>
      <c r="E431" s="58"/>
      <c r="F431" s="58"/>
      <c r="G431" s="58"/>
      <c r="H431" s="59"/>
      <c r="I431" s="59"/>
      <c r="J431" s="59"/>
      <c r="K431" s="59"/>
      <c r="L431" s="59"/>
      <c r="M431" s="60"/>
      <c r="N431" s="60"/>
      <c r="O431" s="60"/>
      <c r="P431" s="59"/>
      <c r="Q431" s="59"/>
      <c r="R431" s="60"/>
      <c r="S431" s="60"/>
      <c r="T431" s="60"/>
      <c r="U431" s="60"/>
      <c r="V431" s="60"/>
      <c r="W431" s="60"/>
    </row>
    <row r="432" spans="1:23" ht="13" x14ac:dyDescent="0.3">
      <c r="A432" s="58"/>
      <c r="B432" s="58"/>
      <c r="C432" s="58"/>
      <c r="D432" s="58"/>
      <c r="E432" s="58"/>
      <c r="F432" s="58"/>
      <c r="G432" s="58"/>
      <c r="H432" s="59"/>
      <c r="I432" s="59"/>
      <c r="J432" s="59"/>
      <c r="K432" s="59"/>
      <c r="L432" s="59"/>
      <c r="M432" s="60"/>
      <c r="N432" s="60"/>
      <c r="O432" s="60"/>
      <c r="P432" s="59"/>
      <c r="Q432" s="59"/>
      <c r="R432" s="60"/>
      <c r="S432" s="60"/>
      <c r="T432" s="60"/>
      <c r="U432" s="60"/>
      <c r="V432" s="60"/>
      <c r="W432" s="60"/>
    </row>
    <row r="433" spans="1:23" ht="13" x14ac:dyDescent="0.3">
      <c r="A433" s="58"/>
      <c r="B433" s="58"/>
      <c r="C433" s="58"/>
      <c r="D433" s="58"/>
      <c r="E433" s="58"/>
      <c r="F433" s="58"/>
      <c r="G433" s="58"/>
      <c r="H433" s="59"/>
      <c r="I433" s="59"/>
      <c r="J433" s="59"/>
      <c r="K433" s="59"/>
      <c r="L433" s="59"/>
      <c r="M433" s="60"/>
      <c r="N433" s="60"/>
      <c r="O433" s="60"/>
      <c r="P433" s="59"/>
      <c r="Q433" s="59"/>
      <c r="R433" s="60"/>
      <c r="S433" s="60"/>
      <c r="T433" s="60"/>
      <c r="U433" s="60"/>
      <c r="V433" s="60"/>
      <c r="W433" s="60"/>
    </row>
    <row r="434" spans="1:23" ht="13" x14ac:dyDescent="0.3">
      <c r="A434" s="58"/>
      <c r="B434" s="58"/>
      <c r="C434" s="58"/>
      <c r="D434" s="58"/>
      <c r="E434" s="58"/>
      <c r="F434" s="58"/>
      <c r="G434" s="58"/>
      <c r="H434" s="59"/>
      <c r="I434" s="59"/>
      <c r="J434" s="59"/>
      <c r="K434" s="59"/>
      <c r="L434" s="59"/>
      <c r="M434" s="60"/>
      <c r="N434" s="60"/>
      <c r="O434" s="60"/>
      <c r="P434" s="59"/>
      <c r="Q434" s="59"/>
      <c r="R434" s="60"/>
      <c r="S434" s="60"/>
      <c r="T434" s="60"/>
      <c r="U434" s="60"/>
      <c r="V434" s="60"/>
      <c r="W434" s="60"/>
    </row>
    <row r="435" spans="1:23" ht="13" x14ac:dyDescent="0.3">
      <c r="A435" s="58"/>
      <c r="B435" s="58"/>
      <c r="C435" s="58"/>
      <c r="D435" s="58"/>
      <c r="E435" s="58"/>
      <c r="F435" s="58"/>
      <c r="G435" s="58"/>
      <c r="H435" s="59"/>
      <c r="I435" s="59"/>
      <c r="J435" s="59"/>
      <c r="K435" s="59"/>
      <c r="L435" s="59"/>
      <c r="M435" s="60"/>
      <c r="N435" s="60"/>
      <c r="O435" s="60"/>
      <c r="P435" s="59"/>
      <c r="Q435" s="59"/>
      <c r="R435" s="60"/>
      <c r="S435" s="60"/>
      <c r="T435" s="60"/>
      <c r="U435" s="60"/>
      <c r="V435" s="60"/>
      <c r="W435" s="60"/>
    </row>
    <row r="436" spans="1:23" ht="13" x14ac:dyDescent="0.3">
      <c r="A436" s="58"/>
      <c r="B436" s="58"/>
      <c r="C436" s="58"/>
      <c r="D436" s="58"/>
      <c r="E436" s="58"/>
      <c r="F436" s="58"/>
      <c r="G436" s="58"/>
      <c r="H436" s="59"/>
      <c r="I436" s="59"/>
      <c r="J436" s="59"/>
      <c r="K436" s="59"/>
      <c r="L436" s="59"/>
      <c r="M436" s="60"/>
      <c r="N436" s="60"/>
      <c r="O436" s="60"/>
      <c r="P436" s="59"/>
      <c r="Q436" s="59"/>
      <c r="R436" s="60"/>
      <c r="S436" s="60"/>
      <c r="T436" s="60"/>
      <c r="U436" s="60"/>
      <c r="V436" s="60"/>
      <c r="W436" s="60"/>
    </row>
    <row r="437" spans="1:23" ht="13" x14ac:dyDescent="0.3">
      <c r="A437" s="58"/>
      <c r="B437" s="58"/>
      <c r="C437" s="58"/>
      <c r="D437" s="58"/>
      <c r="E437" s="58"/>
      <c r="F437" s="58"/>
      <c r="G437" s="58"/>
      <c r="H437" s="59"/>
      <c r="I437" s="59"/>
      <c r="J437" s="59"/>
      <c r="K437" s="59"/>
      <c r="L437" s="59"/>
      <c r="M437" s="60"/>
      <c r="N437" s="60"/>
      <c r="O437" s="60"/>
      <c r="P437" s="59"/>
      <c r="Q437" s="59"/>
      <c r="R437" s="60"/>
      <c r="S437" s="60"/>
      <c r="T437" s="60"/>
      <c r="U437" s="60"/>
      <c r="V437" s="60"/>
      <c r="W437" s="60"/>
    </row>
    <row r="438" spans="1:23" ht="13" x14ac:dyDescent="0.3">
      <c r="A438" s="58"/>
      <c r="B438" s="58"/>
      <c r="C438" s="58"/>
      <c r="D438" s="58"/>
      <c r="E438" s="58"/>
      <c r="F438" s="58"/>
      <c r="G438" s="58"/>
      <c r="H438" s="59"/>
      <c r="I438" s="59"/>
      <c r="J438" s="59"/>
      <c r="K438" s="59"/>
      <c r="L438" s="59"/>
      <c r="M438" s="60"/>
      <c r="N438" s="60"/>
      <c r="O438" s="60"/>
      <c r="P438" s="59"/>
      <c r="Q438" s="59"/>
      <c r="R438" s="60"/>
      <c r="S438" s="60"/>
      <c r="T438" s="60"/>
      <c r="U438" s="60"/>
      <c r="V438" s="60"/>
      <c r="W438" s="60"/>
    </row>
    <row r="439" spans="1:23" ht="13" x14ac:dyDescent="0.3">
      <c r="A439" s="58"/>
      <c r="B439" s="58"/>
      <c r="C439" s="58"/>
      <c r="D439" s="58"/>
      <c r="E439" s="58"/>
      <c r="F439" s="58"/>
      <c r="G439" s="58"/>
      <c r="H439" s="59"/>
      <c r="I439" s="59"/>
      <c r="J439" s="59"/>
      <c r="K439" s="59"/>
      <c r="L439" s="59"/>
      <c r="M439" s="60"/>
      <c r="N439" s="60"/>
      <c r="O439" s="60"/>
      <c r="P439" s="59"/>
      <c r="Q439" s="59"/>
      <c r="R439" s="60"/>
      <c r="S439" s="60"/>
      <c r="T439" s="60"/>
      <c r="U439" s="60"/>
      <c r="V439" s="60"/>
      <c r="W439" s="60"/>
    </row>
    <row r="440" spans="1:23" ht="13" x14ac:dyDescent="0.3">
      <c r="A440" s="58"/>
      <c r="B440" s="58"/>
      <c r="C440" s="58"/>
      <c r="D440" s="58"/>
      <c r="E440" s="58"/>
      <c r="F440" s="58"/>
      <c r="G440" s="58"/>
      <c r="H440" s="59"/>
      <c r="I440" s="59"/>
      <c r="J440" s="59"/>
      <c r="K440" s="59"/>
      <c r="L440" s="59"/>
      <c r="M440" s="60"/>
      <c r="N440" s="60"/>
      <c r="O440" s="60"/>
      <c r="P440" s="59"/>
      <c r="Q440" s="59"/>
      <c r="R440" s="60"/>
      <c r="S440" s="60"/>
      <c r="T440" s="60"/>
      <c r="U440" s="60"/>
      <c r="V440" s="60"/>
      <c r="W440" s="60"/>
    </row>
    <row r="441" spans="1:23" ht="13" x14ac:dyDescent="0.3">
      <c r="A441" s="58"/>
      <c r="B441" s="58"/>
      <c r="C441" s="58"/>
      <c r="D441" s="58"/>
      <c r="E441" s="58"/>
      <c r="F441" s="58"/>
      <c r="G441" s="58"/>
      <c r="H441" s="59"/>
      <c r="I441" s="59"/>
      <c r="J441" s="59"/>
      <c r="K441" s="59"/>
      <c r="L441" s="59"/>
      <c r="M441" s="60"/>
      <c r="N441" s="60"/>
      <c r="O441" s="60"/>
      <c r="P441" s="59"/>
      <c r="Q441" s="59"/>
      <c r="R441" s="60"/>
      <c r="S441" s="60"/>
      <c r="T441" s="60"/>
      <c r="U441" s="60"/>
      <c r="V441" s="60"/>
      <c r="W441" s="60"/>
    </row>
    <row r="442" spans="1:23" ht="13" x14ac:dyDescent="0.3">
      <c r="A442" s="58"/>
      <c r="B442" s="58"/>
      <c r="C442" s="58"/>
      <c r="D442" s="58"/>
      <c r="E442" s="58"/>
      <c r="F442" s="58"/>
      <c r="G442" s="58"/>
      <c r="H442" s="59"/>
      <c r="I442" s="59"/>
      <c r="J442" s="59"/>
      <c r="K442" s="59"/>
      <c r="L442" s="59"/>
      <c r="M442" s="60"/>
      <c r="N442" s="60"/>
      <c r="O442" s="60"/>
      <c r="P442" s="59"/>
      <c r="Q442" s="59"/>
      <c r="R442" s="60"/>
      <c r="S442" s="60"/>
      <c r="T442" s="60"/>
      <c r="U442" s="60"/>
      <c r="V442" s="60"/>
      <c r="W442" s="60"/>
    </row>
    <row r="443" spans="1:23" ht="13" x14ac:dyDescent="0.3">
      <c r="A443" s="58"/>
      <c r="B443" s="58"/>
      <c r="C443" s="58"/>
      <c r="D443" s="58"/>
      <c r="E443" s="58"/>
      <c r="F443" s="58"/>
      <c r="G443" s="58"/>
      <c r="H443" s="59"/>
      <c r="I443" s="59"/>
      <c r="J443" s="59"/>
      <c r="K443" s="59"/>
      <c r="L443" s="59"/>
      <c r="M443" s="60"/>
      <c r="N443" s="60"/>
      <c r="O443" s="60"/>
      <c r="P443" s="59"/>
      <c r="Q443" s="59"/>
      <c r="R443" s="60"/>
      <c r="S443" s="60"/>
      <c r="T443" s="60"/>
      <c r="U443" s="60"/>
      <c r="V443" s="60"/>
      <c r="W443" s="60"/>
    </row>
    <row r="444" spans="1:23" ht="13" x14ac:dyDescent="0.3">
      <c r="A444" s="58"/>
      <c r="B444" s="58"/>
      <c r="C444" s="58"/>
      <c r="D444" s="58"/>
      <c r="E444" s="58"/>
      <c r="F444" s="58"/>
      <c r="G444" s="58"/>
      <c r="H444" s="59"/>
      <c r="I444" s="59"/>
      <c r="J444" s="59"/>
      <c r="K444" s="59"/>
      <c r="L444" s="59"/>
      <c r="M444" s="60"/>
      <c r="N444" s="60"/>
      <c r="O444" s="60"/>
      <c r="P444" s="59"/>
      <c r="Q444" s="59"/>
      <c r="R444" s="60"/>
      <c r="S444" s="60"/>
      <c r="T444" s="60"/>
      <c r="U444" s="60"/>
      <c r="V444" s="60"/>
      <c r="W444" s="60"/>
    </row>
    <row r="445" spans="1:23" ht="13" x14ac:dyDescent="0.3">
      <c r="A445" s="58"/>
      <c r="B445" s="58"/>
      <c r="C445" s="58"/>
      <c r="D445" s="58"/>
      <c r="E445" s="58"/>
      <c r="F445" s="58"/>
      <c r="G445" s="58"/>
      <c r="H445" s="59"/>
      <c r="I445" s="59"/>
      <c r="J445" s="59"/>
      <c r="K445" s="59"/>
      <c r="L445" s="59"/>
      <c r="M445" s="60"/>
      <c r="N445" s="60"/>
      <c r="O445" s="60"/>
      <c r="P445" s="59"/>
      <c r="Q445" s="59"/>
      <c r="R445" s="60"/>
      <c r="S445" s="60"/>
      <c r="T445" s="60"/>
      <c r="U445" s="60"/>
      <c r="V445" s="60"/>
      <c r="W445" s="60"/>
    </row>
    <row r="446" spans="1:23" ht="13" x14ac:dyDescent="0.3">
      <c r="A446" s="58"/>
      <c r="B446" s="58"/>
      <c r="C446" s="58"/>
      <c r="D446" s="58"/>
      <c r="E446" s="58"/>
      <c r="F446" s="58"/>
      <c r="G446" s="58"/>
      <c r="H446" s="59"/>
      <c r="I446" s="59"/>
      <c r="J446" s="59"/>
      <c r="K446" s="59"/>
      <c r="L446" s="59"/>
      <c r="M446" s="60"/>
      <c r="N446" s="60"/>
      <c r="O446" s="60"/>
      <c r="P446" s="59"/>
      <c r="Q446" s="59"/>
      <c r="R446" s="60"/>
      <c r="S446" s="60"/>
      <c r="T446" s="60"/>
      <c r="U446" s="60"/>
      <c r="V446" s="60"/>
      <c r="W446" s="60"/>
    </row>
    <row r="447" spans="1:23" ht="13" x14ac:dyDescent="0.3">
      <c r="A447" s="58"/>
      <c r="B447" s="58"/>
      <c r="C447" s="58"/>
      <c r="D447" s="58"/>
      <c r="E447" s="58"/>
      <c r="F447" s="58"/>
      <c r="G447" s="58"/>
      <c r="H447" s="59"/>
      <c r="I447" s="59"/>
      <c r="J447" s="59"/>
      <c r="K447" s="59"/>
      <c r="L447" s="59"/>
      <c r="M447" s="60"/>
      <c r="N447" s="60"/>
      <c r="O447" s="60"/>
      <c r="P447" s="59"/>
      <c r="Q447" s="59"/>
      <c r="R447" s="60"/>
      <c r="S447" s="60"/>
      <c r="T447" s="60"/>
      <c r="U447" s="60"/>
      <c r="V447" s="60"/>
      <c r="W447" s="60"/>
    </row>
    <row r="448" spans="1:23" ht="13" x14ac:dyDescent="0.3">
      <c r="A448" s="58"/>
      <c r="B448" s="58"/>
      <c r="C448" s="58"/>
      <c r="D448" s="58"/>
      <c r="E448" s="58"/>
      <c r="F448" s="58"/>
      <c r="G448" s="58"/>
      <c r="H448" s="59"/>
      <c r="I448" s="59"/>
      <c r="J448" s="59"/>
      <c r="K448" s="59"/>
      <c r="L448" s="59"/>
      <c r="M448" s="60"/>
      <c r="N448" s="60"/>
      <c r="O448" s="60"/>
      <c r="P448" s="59"/>
      <c r="Q448" s="59"/>
      <c r="R448" s="60"/>
      <c r="S448" s="60"/>
      <c r="T448" s="60"/>
      <c r="U448" s="60"/>
      <c r="V448" s="60"/>
      <c r="W448" s="60"/>
    </row>
    <row r="449" spans="1:23" ht="13" x14ac:dyDescent="0.3">
      <c r="A449" s="58"/>
      <c r="B449" s="58"/>
      <c r="C449" s="58"/>
      <c r="D449" s="58"/>
      <c r="E449" s="58"/>
      <c r="F449" s="58"/>
      <c r="G449" s="58"/>
      <c r="H449" s="59"/>
      <c r="I449" s="59"/>
      <c r="J449" s="59"/>
      <c r="K449" s="59"/>
      <c r="L449" s="59"/>
      <c r="M449" s="60"/>
      <c r="N449" s="60"/>
      <c r="O449" s="60"/>
      <c r="P449" s="59"/>
      <c r="Q449" s="59"/>
      <c r="R449" s="60"/>
      <c r="S449" s="60"/>
      <c r="T449" s="60"/>
      <c r="U449" s="60"/>
      <c r="V449" s="60"/>
      <c r="W449" s="60"/>
    </row>
    <row r="450" spans="1:23" ht="13" x14ac:dyDescent="0.3">
      <c r="A450" s="58"/>
      <c r="B450" s="58"/>
      <c r="C450" s="58"/>
      <c r="D450" s="58"/>
      <c r="E450" s="58"/>
      <c r="F450" s="58"/>
      <c r="G450" s="58"/>
      <c r="H450" s="59"/>
      <c r="I450" s="59"/>
      <c r="J450" s="59"/>
      <c r="K450" s="59"/>
      <c r="L450" s="59"/>
      <c r="M450" s="60"/>
      <c r="N450" s="60"/>
      <c r="O450" s="60"/>
      <c r="P450" s="59"/>
      <c r="Q450" s="59"/>
      <c r="R450" s="60"/>
      <c r="S450" s="60"/>
      <c r="T450" s="60"/>
      <c r="U450" s="60"/>
      <c r="V450" s="60"/>
      <c r="W450" s="60"/>
    </row>
    <row r="451" spans="1:23" ht="13" x14ac:dyDescent="0.3">
      <c r="A451" s="58"/>
      <c r="B451" s="58"/>
      <c r="C451" s="58"/>
      <c r="D451" s="58"/>
      <c r="E451" s="58"/>
      <c r="F451" s="58"/>
      <c r="G451" s="58"/>
      <c r="H451" s="59"/>
      <c r="I451" s="59"/>
      <c r="J451" s="59"/>
      <c r="K451" s="59"/>
      <c r="L451" s="59"/>
      <c r="M451" s="60"/>
      <c r="N451" s="60"/>
      <c r="O451" s="60"/>
      <c r="P451" s="59"/>
      <c r="Q451" s="59"/>
      <c r="R451" s="60"/>
      <c r="S451" s="60"/>
      <c r="T451" s="60"/>
      <c r="U451" s="60"/>
      <c r="V451" s="60"/>
      <c r="W451" s="60"/>
    </row>
    <row r="452" spans="1:23" ht="13" x14ac:dyDescent="0.3">
      <c r="A452" s="58"/>
      <c r="B452" s="58"/>
      <c r="C452" s="58"/>
      <c r="D452" s="58"/>
      <c r="E452" s="58"/>
      <c r="F452" s="58"/>
      <c r="G452" s="58"/>
      <c r="H452" s="59"/>
      <c r="I452" s="59"/>
      <c r="J452" s="59"/>
      <c r="K452" s="59"/>
      <c r="L452" s="59"/>
      <c r="M452" s="60"/>
      <c r="N452" s="60"/>
      <c r="O452" s="60"/>
      <c r="P452" s="59"/>
      <c r="Q452" s="59"/>
      <c r="R452" s="60"/>
      <c r="S452" s="60"/>
      <c r="T452" s="60"/>
      <c r="U452" s="60"/>
      <c r="V452" s="60"/>
      <c r="W452" s="60"/>
    </row>
    <row r="453" spans="1:23" ht="13" x14ac:dyDescent="0.3">
      <c r="A453" s="58"/>
      <c r="B453" s="58"/>
      <c r="C453" s="58"/>
      <c r="D453" s="58"/>
      <c r="E453" s="58"/>
      <c r="F453" s="58"/>
      <c r="G453" s="58"/>
      <c r="H453" s="59"/>
      <c r="I453" s="59"/>
      <c r="J453" s="59"/>
      <c r="K453" s="59"/>
      <c r="L453" s="59"/>
      <c r="M453" s="60"/>
      <c r="N453" s="60"/>
      <c r="O453" s="60"/>
      <c r="P453" s="59"/>
      <c r="Q453" s="59"/>
      <c r="R453" s="60"/>
      <c r="S453" s="60"/>
      <c r="T453" s="60"/>
      <c r="U453" s="60"/>
      <c r="V453" s="60"/>
      <c r="W453" s="60"/>
    </row>
    <row r="454" spans="1:23" ht="13" x14ac:dyDescent="0.3">
      <c r="A454" s="58"/>
      <c r="B454" s="58"/>
      <c r="C454" s="58"/>
      <c r="D454" s="58"/>
      <c r="E454" s="58"/>
      <c r="F454" s="58"/>
      <c r="G454" s="58"/>
      <c r="H454" s="59"/>
      <c r="I454" s="59"/>
      <c r="J454" s="59"/>
      <c r="K454" s="59"/>
      <c r="L454" s="59"/>
      <c r="M454" s="60"/>
      <c r="N454" s="60"/>
      <c r="O454" s="60"/>
      <c r="P454" s="59"/>
      <c r="Q454" s="59"/>
      <c r="R454" s="60"/>
      <c r="S454" s="60"/>
      <c r="T454" s="60"/>
      <c r="U454" s="60"/>
      <c r="V454" s="60"/>
      <c r="W454" s="60"/>
    </row>
    <row r="455" spans="1:23" ht="13" x14ac:dyDescent="0.3">
      <c r="A455" s="58"/>
      <c r="B455" s="58"/>
      <c r="C455" s="58"/>
      <c r="D455" s="58"/>
      <c r="E455" s="58"/>
      <c r="F455" s="58"/>
      <c r="G455" s="58"/>
      <c r="H455" s="59"/>
      <c r="I455" s="59"/>
      <c r="J455" s="59"/>
      <c r="K455" s="59"/>
      <c r="L455" s="59"/>
      <c r="M455" s="60"/>
      <c r="N455" s="60"/>
      <c r="O455" s="60"/>
      <c r="P455" s="59"/>
      <c r="Q455" s="59"/>
      <c r="R455" s="60"/>
      <c r="S455" s="60"/>
      <c r="T455" s="60"/>
      <c r="U455" s="60"/>
      <c r="V455" s="60"/>
      <c r="W455" s="60"/>
    </row>
    <row r="456" spans="1:23" ht="13" x14ac:dyDescent="0.3">
      <c r="A456" s="58"/>
      <c r="B456" s="58"/>
      <c r="C456" s="58"/>
      <c r="D456" s="58"/>
      <c r="E456" s="58"/>
      <c r="F456" s="58"/>
      <c r="G456" s="58"/>
      <c r="H456" s="59"/>
      <c r="I456" s="59"/>
      <c r="J456" s="59"/>
      <c r="K456" s="59"/>
      <c r="L456" s="59"/>
      <c r="M456" s="60"/>
      <c r="N456" s="60"/>
      <c r="O456" s="60"/>
      <c r="P456" s="59"/>
      <c r="Q456" s="59"/>
      <c r="R456" s="60"/>
      <c r="S456" s="60"/>
      <c r="T456" s="60"/>
      <c r="U456" s="60"/>
      <c r="V456" s="60"/>
      <c r="W456" s="60"/>
    </row>
    <row r="457" spans="1:23" ht="13" x14ac:dyDescent="0.3">
      <c r="A457" s="58"/>
      <c r="B457" s="58"/>
      <c r="C457" s="58"/>
      <c r="D457" s="58"/>
      <c r="E457" s="58"/>
      <c r="F457" s="58"/>
      <c r="G457" s="58"/>
      <c r="H457" s="59"/>
      <c r="I457" s="59"/>
      <c r="J457" s="59"/>
      <c r="K457" s="59"/>
      <c r="L457" s="59"/>
      <c r="M457" s="60"/>
      <c r="N457" s="60"/>
      <c r="O457" s="60"/>
      <c r="P457" s="59"/>
      <c r="Q457" s="59"/>
      <c r="R457" s="60"/>
      <c r="S457" s="60"/>
      <c r="T457" s="60"/>
      <c r="U457" s="60"/>
      <c r="V457" s="60"/>
      <c r="W457" s="60"/>
    </row>
    <row r="458" spans="1:23" ht="13" x14ac:dyDescent="0.3">
      <c r="A458" s="58"/>
      <c r="B458" s="58"/>
      <c r="C458" s="58"/>
      <c r="D458" s="58"/>
      <c r="E458" s="58"/>
      <c r="F458" s="58"/>
      <c r="G458" s="58"/>
      <c r="H458" s="59"/>
      <c r="I458" s="59"/>
      <c r="J458" s="59"/>
      <c r="K458" s="59"/>
      <c r="L458" s="59"/>
      <c r="M458" s="60"/>
      <c r="N458" s="60"/>
      <c r="O458" s="60"/>
      <c r="P458" s="59"/>
      <c r="Q458" s="59"/>
      <c r="R458" s="60"/>
      <c r="S458" s="60"/>
      <c r="T458" s="60"/>
      <c r="U458" s="60"/>
      <c r="V458" s="60"/>
      <c r="W458" s="60"/>
    </row>
    <row r="459" spans="1:23" ht="13" x14ac:dyDescent="0.3">
      <c r="A459" s="58"/>
      <c r="B459" s="58"/>
      <c r="C459" s="58"/>
      <c r="D459" s="58"/>
      <c r="E459" s="58"/>
      <c r="F459" s="58"/>
      <c r="G459" s="58"/>
      <c r="H459" s="59"/>
      <c r="I459" s="59"/>
      <c r="J459" s="59"/>
      <c r="K459" s="59"/>
      <c r="L459" s="59"/>
      <c r="M459" s="60"/>
      <c r="N459" s="60"/>
      <c r="O459" s="60"/>
      <c r="P459" s="59"/>
      <c r="Q459" s="59"/>
      <c r="R459" s="60"/>
      <c r="S459" s="60"/>
      <c r="T459" s="60"/>
      <c r="U459" s="60"/>
      <c r="V459" s="60"/>
      <c r="W459" s="60"/>
    </row>
    <row r="460" spans="1:23" ht="13" x14ac:dyDescent="0.3">
      <c r="A460" s="58"/>
      <c r="B460" s="58"/>
      <c r="C460" s="58"/>
      <c r="D460" s="58"/>
      <c r="E460" s="58"/>
      <c r="F460" s="58"/>
      <c r="G460" s="58"/>
      <c r="H460" s="59"/>
      <c r="I460" s="59"/>
      <c r="J460" s="59"/>
      <c r="K460" s="59"/>
      <c r="L460" s="59"/>
      <c r="M460" s="60"/>
      <c r="N460" s="60"/>
      <c r="O460" s="60"/>
      <c r="P460" s="59"/>
      <c r="Q460" s="59"/>
      <c r="R460" s="60"/>
      <c r="S460" s="60"/>
      <c r="T460" s="60"/>
      <c r="U460" s="60"/>
      <c r="V460" s="60"/>
      <c r="W460" s="60"/>
    </row>
    <row r="461" spans="1:23" ht="13" x14ac:dyDescent="0.3">
      <c r="A461" s="58"/>
      <c r="B461" s="58"/>
      <c r="C461" s="58"/>
      <c r="D461" s="58"/>
      <c r="E461" s="58"/>
      <c r="F461" s="58"/>
      <c r="G461" s="58"/>
      <c r="H461" s="59"/>
      <c r="I461" s="59"/>
      <c r="J461" s="59"/>
      <c r="K461" s="59"/>
      <c r="L461" s="59"/>
      <c r="M461" s="60"/>
      <c r="N461" s="60"/>
      <c r="O461" s="60"/>
      <c r="P461" s="59"/>
      <c r="Q461" s="59"/>
      <c r="R461" s="60"/>
      <c r="S461" s="60"/>
      <c r="T461" s="60"/>
      <c r="U461" s="60"/>
      <c r="V461" s="60"/>
      <c r="W461" s="60"/>
    </row>
    <row r="462" spans="1:23" ht="13" x14ac:dyDescent="0.3">
      <c r="A462" s="58"/>
      <c r="B462" s="58"/>
      <c r="C462" s="58"/>
      <c r="D462" s="58"/>
      <c r="E462" s="58"/>
      <c r="F462" s="58"/>
      <c r="G462" s="58"/>
      <c r="H462" s="59"/>
      <c r="I462" s="59"/>
      <c r="J462" s="59"/>
      <c r="K462" s="59"/>
      <c r="L462" s="59"/>
      <c r="M462" s="60"/>
      <c r="N462" s="60"/>
      <c r="O462" s="60"/>
      <c r="P462" s="59"/>
      <c r="Q462" s="59"/>
      <c r="R462" s="60"/>
      <c r="S462" s="60"/>
      <c r="T462" s="60"/>
      <c r="U462" s="60"/>
      <c r="V462" s="60"/>
      <c r="W462" s="60"/>
    </row>
    <row r="463" spans="1:23" ht="13" x14ac:dyDescent="0.3">
      <c r="A463" s="58"/>
      <c r="B463" s="58"/>
      <c r="C463" s="58"/>
      <c r="D463" s="58"/>
      <c r="E463" s="58"/>
      <c r="F463" s="58"/>
      <c r="G463" s="58"/>
      <c r="H463" s="59"/>
      <c r="I463" s="59"/>
      <c r="J463" s="59"/>
      <c r="K463" s="59"/>
      <c r="L463" s="59"/>
      <c r="M463" s="60"/>
      <c r="N463" s="60"/>
      <c r="O463" s="60"/>
      <c r="P463" s="59"/>
      <c r="Q463" s="59"/>
      <c r="R463" s="60"/>
      <c r="S463" s="60"/>
      <c r="T463" s="60"/>
      <c r="U463" s="60"/>
      <c r="V463" s="60"/>
      <c r="W463" s="60"/>
    </row>
    <row r="464" spans="1:23" ht="13" x14ac:dyDescent="0.3">
      <c r="A464" s="58"/>
      <c r="B464" s="58"/>
      <c r="C464" s="58"/>
      <c r="D464" s="58"/>
      <c r="E464" s="58"/>
      <c r="F464" s="58"/>
      <c r="G464" s="58"/>
      <c r="H464" s="59"/>
      <c r="I464" s="59"/>
      <c r="J464" s="59"/>
      <c r="K464" s="59"/>
      <c r="L464" s="59"/>
      <c r="M464" s="60"/>
      <c r="N464" s="60"/>
      <c r="O464" s="60"/>
      <c r="P464" s="59"/>
      <c r="Q464" s="59"/>
      <c r="R464" s="60"/>
      <c r="S464" s="60"/>
      <c r="T464" s="60"/>
      <c r="U464" s="60"/>
      <c r="V464" s="60"/>
      <c r="W464" s="60"/>
    </row>
    <row r="465" spans="1:23" ht="13" x14ac:dyDescent="0.3">
      <c r="A465" s="58"/>
      <c r="B465" s="58"/>
      <c r="C465" s="58"/>
      <c r="D465" s="58"/>
      <c r="E465" s="58"/>
      <c r="F465" s="58"/>
      <c r="G465" s="58"/>
      <c r="H465" s="59"/>
      <c r="I465" s="59"/>
      <c r="J465" s="59"/>
      <c r="K465" s="59"/>
      <c r="L465" s="59"/>
      <c r="M465" s="60"/>
      <c r="N465" s="60"/>
      <c r="O465" s="60"/>
      <c r="P465" s="59"/>
      <c r="Q465" s="59"/>
      <c r="R465" s="60"/>
      <c r="S465" s="60"/>
      <c r="T465" s="60"/>
      <c r="U465" s="60"/>
      <c r="V465" s="60"/>
      <c r="W465" s="60"/>
    </row>
    <row r="466" spans="1:23" ht="13" x14ac:dyDescent="0.3">
      <c r="A466" s="58"/>
      <c r="B466" s="58"/>
      <c r="C466" s="58"/>
      <c r="D466" s="58"/>
      <c r="E466" s="58"/>
      <c r="F466" s="58"/>
      <c r="G466" s="58"/>
      <c r="H466" s="59"/>
      <c r="I466" s="59"/>
      <c r="J466" s="59"/>
      <c r="K466" s="59"/>
      <c r="L466" s="59"/>
      <c r="M466" s="60"/>
      <c r="N466" s="60"/>
      <c r="O466" s="60"/>
      <c r="P466" s="59"/>
      <c r="Q466" s="59"/>
      <c r="R466" s="60"/>
      <c r="S466" s="60"/>
      <c r="T466" s="60"/>
      <c r="U466" s="60"/>
      <c r="V466" s="60"/>
      <c r="W466" s="60"/>
    </row>
    <row r="467" spans="1:23" ht="13" x14ac:dyDescent="0.3">
      <c r="A467" s="58"/>
      <c r="B467" s="58"/>
      <c r="C467" s="58"/>
      <c r="D467" s="58"/>
      <c r="E467" s="58"/>
      <c r="F467" s="58"/>
      <c r="G467" s="58"/>
      <c r="H467" s="59"/>
      <c r="I467" s="59"/>
      <c r="J467" s="59"/>
      <c r="K467" s="59"/>
      <c r="L467" s="59"/>
      <c r="M467" s="60"/>
      <c r="N467" s="60"/>
      <c r="O467" s="60"/>
      <c r="P467" s="59"/>
      <c r="Q467" s="59"/>
      <c r="R467" s="60"/>
      <c r="S467" s="60"/>
      <c r="T467" s="60"/>
      <c r="U467" s="60"/>
      <c r="V467" s="60"/>
      <c r="W467" s="60"/>
    </row>
    <row r="468" spans="1:23" ht="13" x14ac:dyDescent="0.3">
      <c r="A468" s="58"/>
      <c r="B468" s="58"/>
      <c r="C468" s="58"/>
      <c r="D468" s="58"/>
      <c r="E468" s="58"/>
      <c r="F468" s="58"/>
      <c r="G468" s="58"/>
      <c r="H468" s="59"/>
      <c r="I468" s="59"/>
      <c r="J468" s="59"/>
      <c r="K468" s="59"/>
      <c r="L468" s="59"/>
      <c r="M468" s="60"/>
      <c r="N468" s="60"/>
      <c r="O468" s="60"/>
      <c r="P468" s="59"/>
      <c r="Q468" s="59"/>
      <c r="R468" s="60"/>
      <c r="S468" s="60"/>
      <c r="T468" s="60"/>
      <c r="U468" s="60"/>
      <c r="V468" s="60"/>
      <c r="W468" s="60"/>
    </row>
    <row r="469" spans="1:23" ht="13" x14ac:dyDescent="0.3">
      <c r="A469" s="58"/>
      <c r="B469" s="58"/>
      <c r="C469" s="58"/>
      <c r="D469" s="58"/>
      <c r="E469" s="58"/>
      <c r="F469" s="58"/>
      <c r="G469" s="58"/>
      <c r="H469" s="59"/>
      <c r="I469" s="59"/>
      <c r="J469" s="59"/>
      <c r="K469" s="59"/>
      <c r="L469" s="59"/>
      <c r="M469" s="60"/>
      <c r="N469" s="60"/>
      <c r="O469" s="60"/>
      <c r="P469" s="59"/>
      <c r="Q469" s="59"/>
      <c r="R469" s="60"/>
      <c r="S469" s="60"/>
      <c r="T469" s="60"/>
      <c r="U469" s="60"/>
      <c r="V469" s="60"/>
      <c r="W469" s="60"/>
    </row>
    <row r="470" spans="1:23" ht="13" x14ac:dyDescent="0.3">
      <c r="A470" s="58"/>
      <c r="B470" s="58"/>
      <c r="C470" s="58"/>
      <c r="D470" s="58"/>
      <c r="E470" s="58"/>
      <c r="F470" s="58"/>
      <c r="G470" s="58"/>
      <c r="H470" s="59"/>
      <c r="I470" s="59"/>
      <c r="J470" s="59"/>
      <c r="K470" s="59"/>
      <c r="L470" s="59"/>
      <c r="M470" s="60"/>
      <c r="N470" s="60"/>
      <c r="O470" s="60"/>
      <c r="P470" s="59"/>
      <c r="Q470" s="59"/>
      <c r="R470" s="60"/>
      <c r="S470" s="60"/>
      <c r="T470" s="60"/>
      <c r="U470" s="60"/>
      <c r="V470" s="60"/>
      <c r="W470" s="60"/>
    </row>
    <row r="471" spans="1:23" ht="13" x14ac:dyDescent="0.3">
      <c r="A471" s="58"/>
      <c r="B471" s="58"/>
      <c r="C471" s="58"/>
      <c r="D471" s="58"/>
      <c r="E471" s="58"/>
      <c r="F471" s="58"/>
      <c r="G471" s="58"/>
      <c r="H471" s="59"/>
      <c r="I471" s="59"/>
      <c r="J471" s="59"/>
      <c r="K471" s="59"/>
      <c r="L471" s="59"/>
      <c r="M471" s="60"/>
      <c r="N471" s="60"/>
      <c r="O471" s="60"/>
      <c r="P471" s="59"/>
      <c r="Q471" s="59"/>
      <c r="R471" s="60"/>
      <c r="S471" s="60"/>
      <c r="T471" s="60"/>
      <c r="U471" s="60"/>
      <c r="V471" s="60"/>
      <c r="W471" s="60"/>
    </row>
    <row r="472" spans="1:23" ht="13" x14ac:dyDescent="0.3">
      <c r="A472" s="58"/>
      <c r="B472" s="58"/>
      <c r="C472" s="58"/>
      <c r="D472" s="58"/>
      <c r="E472" s="58"/>
      <c r="F472" s="58"/>
      <c r="G472" s="58"/>
      <c r="H472" s="59"/>
      <c r="I472" s="59"/>
      <c r="J472" s="59"/>
      <c r="K472" s="59"/>
      <c r="L472" s="59"/>
      <c r="M472" s="60"/>
      <c r="N472" s="60"/>
      <c r="O472" s="60"/>
      <c r="P472" s="59"/>
      <c r="Q472" s="59"/>
      <c r="R472" s="60"/>
      <c r="S472" s="60"/>
      <c r="T472" s="60"/>
      <c r="U472" s="60"/>
      <c r="V472" s="60"/>
      <c r="W472" s="60"/>
    </row>
    <row r="473" spans="1:23" ht="13" x14ac:dyDescent="0.3">
      <c r="A473" s="58"/>
      <c r="B473" s="58"/>
      <c r="C473" s="58"/>
      <c r="D473" s="58"/>
      <c r="E473" s="58"/>
      <c r="F473" s="58"/>
      <c r="G473" s="58"/>
      <c r="H473" s="59"/>
      <c r="I473" s="59"/>
      <c r="J473" s="59"/>
      <c r="K473" s="59"/>
      <c r="L473" s="59"/>
      <c r="M473" s="60"/>
      <c r="N473" s="60"/>
      <c r="O473" s="60"/>
      <c r="P473" s="59"/>
      <c r="Q473" s="59"/>
      <c r="R473" s="60"/>
      <c r="S473" s="60"/>
      <c r="T473" s="60"/>
      <c r="U473" s="60"/>
      <c r="V473" s="60"/>
      <c r="W473" s="60"/>
    </row>
    <row r="474" spans="1:23" ht="13" x14ac:dyDescent="0.3">
      <c r="A474" s="58"/>
      <c r="B474" s="58"/>
      <c r="C474" s="58"/>
      <c r="D474" s="58"/>
      <c r="E474" s="58"/>
      <c r="F474" s="58"/>
      <c r="G474" s="58"/>
      <c r="H474" s="59"/>
      <c r="I474" s="59"/>
      <c r="J474" s="59"/>
      <c r="K474" s="59"/>
      <c r="L474" s="59"/>
      <c r="M474" s="60"/>
      <c r="N474" s="60"/>
      <c r="O474" s="60"/>
      <c r="P474" s="59"/>
      <c r="Q474" s="59"/>
      <c r="R474" s="60"/>
      <c r="S474" s="60"/>
      <c r="T474" s="60"/>
      <c r="U474" s="60"/>
      <c r="V474" s="60"/>
      <c r="W474" s="60"/>
    </row>
    <row r="475" spans="1:23" ht="13" x14ac:dyDescent="0.3">
      <c r="A475" s="58"/>
      <c r="B475" s="58"/>
      <c r="C475" s="58"/>
      <c r="D475" s="58"/>
      <c r="E475" s="58"/>
      <c r="F475" s="58"/>
      <c r="G475" s="58"/>
      <c r="H475" s="59"/>
      <c r="I475" s="59"/>
      <c r="J475" s="59"/>
      <c r="K475" s="59"/>
      <c r="L475" s="59"/>
      <c r="M475" s="60"/>
      <c r="N475" s="60"/>
      <c r="O475" s="60"/>
      <c r="P475" s="59"/>
      <c r="Q475" s="59"/>
      <c r="R475" s="60"/>
      <c r="S475" s="60"/>
      <c r="T475" s="60"/>
      <c r="U475" s="60"/>
      <c r="V475" s="60"/>
      <c r="W475" s="60"/>
    </row>
    <row r="476" spans="1:23" ht="13" x14ac:dyDescent="0.3">
      <c r="A476" s="58"/>
      <c r="B476" s="58"/>
      <c r="C476" s="58"/>
      <c r="D476" s="58"/>
      <c r="E476" s="58"/>
      <c r="F476" s="58"/>
      <c r="G476" s="58"/>
      <c r="H476" s="59"/>
      <c r="I476" s="59"/>
      <c r="J476" s="59"/>
      <c r="K476" s="59"/>
      <c r="L476" s="59"/>
      <c r="M476" s="60"/>
      <c r="N476" s="60"/>
      <c r="O476" s="60"/>
      <c r="P476" s="59"/>
      <c r="Q476" s="59"/>
      <c r="R476" s="60"/>
      <c r="S476" s="60"/>
      <c r="T476" s="60"/>
      <c r="U476" s="60"/>
      <c r="V476" s="60"/>
      <c r="W476" s="60"/>
    </row>
    <row r="477" spans="1:23" ht="13" x14ac:dyDescent="0.3">
      <c r="A477" s="58"/>
      <c r="B477" s="58"/>
      <c r="C477" s="58"/>
      <c r="D477" s="58"/>
      <c r="E477" s="58"/>
      <c r="F477" s="58"/>
      <c r="G477" s="58"/>
      <c r="H477" s="59"/>
      <c r="I477" s="59"/>
      <c r="J477" s="59"/>
      <c r="K477" s="59"/>
      <c r="L477" s="59"/>
      <c r="M477" s="60"/>
      <c r="N477" s="60"/>
      <c r="O477" s="60"/>
      <c r="P477" s="59"/>
      <c r="Q477" s="59"/>
      <c r="R477" s="60"/>
      <c r="S477" s="60"/>
      <c r="T477" s="60"/>
      <c r="U477" s="60"/>
      <c r="V477" s="60"/>
      <c r="W477" s="60"/>
    </row>
    <row r="478" spans="1:23" ht="13" x14ac:dyDescent="0.3">
      <c r="A478" s="58"/>
      <c r="B478" s="58"/>
      <c r="C478" s="58"/>
      <c r="D478" s="58"/>
      <c r="E478" s="58"/>
      <c r="F478" s="58"/>
      <c r="G478" s="58"/>
      <c r="H478" s="59"/>
      <c r="I478" s="59"/>
      <c r="J478" s="59"/>
      <c r="K478" s="59"/>
      <c r="L478" s="59"/>
      <c r="M478" s="60"/>
      <c r="N478" s="60"/>
      <c r="O478" s="60"/>
      <c r="P478" s="59"/>
      <c r="Q478" s="59"/>
      <c r="R478" s="60"/>
      <c r="S478" s="60"/>
      <c r="T478" s="60"/>
      <c r="U478" s="60"/>
      <c r="V478" s="60"/>
      <c r="W478" s="60"/>
    </row>
    <row r="479" spans="1:23" ht="13" x14ac:dyDescent="0.3">
      <c r="A479" s="58"/>
      <c r="B479" s="58"/>
      <c r="C479" s="58"/>
      <c r="D479" s="58"/>
      <c r="E479" s="58"/>
      <c r="F479" s="58"/>
      <c r="G479" s="58"/>
      <c r="H479" s="59"/>
      <c r="I479" s="59"/>
      <c r="J479" s="59"/>
      <c r="K479" s="59"/>
      <c r="L479" s="59"/>
      <c r="M479" s="60"/>
      <c r="N479" s="60"/>
      <c r="O479" s="60"/>
      <c r="P479" s="59"/>
      <c r="Q479" s="59"/>
      <c r="R479" s="60"/>
      <c r="S479" s="60"/>
      <c r="T479" s="60"/>
      <c r="U479" s="60"/>
      <c r="V479" s="60"/>
      <c r="W479" s="60"/>
    </row>
    <row r="480" spans="1:23" ht="13" x14ac:dyDescent="0.3">
      <c r="A480" s="58"/>
      <c r="B480" s="58"/>
      <c r="C480" s="58"/>
      <c r="D480" s="58"/>
      <c r="E480" s="58"/>
      <c r="F480" s="58"/>
      <c r="G480" s="58"/>
      <c r="H480" s="59"/>
      <c r="I480" s="59"/>
      <c r="J480" s="59"/>
      <c r="K480" s="59"/>
      <c r="L480" s="59"/>
      <c r="M480" s="60"/>
      <c r="N480" s="60"/>
      <c r="O480" s="60"/>
      <c r="P480" s="59"/>
      <c r="Q480" s="59"/>
      <c r="R480" s="60"/>
      <c r="S480" s="60"/>
      <c r="T480" s="60"/>
      <c r="U480" s="60"/>
      <c r="V480" s="60"/>
      <c r="W480" s="60"/>
    </row>
    <row r="481" spans="1:23" ht="13" x14ac:dyDescent="0.3">
      <c r="A481" s="58"/>
      <c r="B481" s="58"/>
      <c r="C481" s="58"/>
      <c r="D481" s="58"/>
      <c r="E481" s="58"/>
      <c r="F481" s="58"/>
      <c r="G481" s="58"/>
      <c r="H481" s="59"/>
      <c r="I481" s="59"/>
      <c r="J481" s="59"/>
      <c r="K481" s="59"/>
      <c r="L481" s="59"/>
      <c r="M481" s="60"/>
      <c r="N481" s="60"/>
      <c r="O481" s="60"/>
      <c r="P481" s="59"/>
      <c r="Q481" s="59"/>
      <c r="R481" s="60"/>
      <c r="S481" s="60"/>
      <c r="T481" s="60"/>
      <c r="U481" s="60"/>
      <c r="V481" s="60"/>
      <c r="W481" s="60"/>
    </row>
    <row r="482" spans="1:23" ht="13" x14ac:dyDescent="0.3">
      <c r="A482" s="58"/>
      <c r="B482" s="58"/>
      <c r="C482" s="58"/>
      <c r="D482" s="58"/>
      <c r="E482" s="58"/>
      <c r="F482" s="58"/>
      <c r="G482" s="58"/>
      <c r="H482" s="59"/>
      <c r="I482" s="59"/>
      <c r="J482" s="59"/>
      <c r="K482" s="59"/>
      <c r="L482" s="59"/>
      <c r="M482" s="60"/>
      <c r="N482" s="60"/>
      <c r="O482" s="60"/>
      <c r="P482" s="59"/>
      <c r="Q482" s="59"/>
      <c r="R482" s="60"/>
      <c r="S482" s="60"/>
      <c r="T482" s="60"/>
      <c r="U482" s="60"/>
      <c r="V482" s="60"/>
      <c r="W482" s="60"/>
    </row>
    <row r="483" spans="1:23" ht="13" x14ac:dyDescent="0.3">
      <c r="A483" s="58"/>
      <c r="B483" s="58"/>
      <c r="C483" s="58"/>
      <c r="D483" s="58"/>
      <c r="E483" s="58"/>
      <c r="F483" s="58"/>
      <c r="G483" s="58"/>
      <c r="H483" s="59"/>
      <c r="I483" s="59"/>
      <c r="J483" s="59"/>
      <c r="K483" s="59"/>
      <c r="L483" s="59"/>
      <c r="M483" s="60"/>
      <c r="N483" s="60"/>
      <c r="O483" s="60"/>
      <c r="P483" s="59"/>
      <c r="Q483" s="59"/>
      <c r="R483" s="60"/>
      <c r="S483" s="60"/>
      <c r="T483" s="60"/>
      <c r="U483" s="60"/>
      <c r="V483" s="60"/>
      <c r="W483" s="60"/>
    </row>
    <row r="484" spans="1:23" ht="13" x14ac:dyDescent="0.3">
      <c r="A484" s="58"/>
      <c r="B484" s="58"/>
      <c r="C484" s="58"/>
      <c r="D484" s="58"/>
      <c r="E484" s="58"/>
      <c r="F484" s="58"/>
      <c r="G484" s="58"/>
      <c r="H484" s="59"/>
      <c r="I484" s="59"/>
      <c r="J484" s="59"/>
      <c r="K484" s="59"/>
      <c r="L484" s="59"/>
      <c r="M484" s="60"/>
      <c r="N484" s="60"/>
      <c r="O484" s="60"/>
      <c r="P484" s="59"/>
      <c r="Q484" s="59"/>
      <c r="R484" s="60"/>
      <c r="S484" s="60"/>
      <c r="T484" s="60"/>
      <c r="U484" s="60"/>
      <c r="V484" s="60"/>
      <c r="W484" s="60"/>
    </row>
    <row r="485" spans="1:23" ht="13" x14ac:dyDescent="0.3">
      <c r="A485" s="58"/>
      <c r="B485" s="58"/>
      <c r="C485" s="58"/>
      <c r="D485" s="58"/>
      <c r="E485" s="58"/>
      <c r="F485" s="58"/>
      <c r="G485" s="58"/>
      <c r="H485" s="59"/>
      <c r="I485" s="59"/>
      <c r="J485" s="59"/>
      <c r="K485" s="59"/>
      <c r="L485" s="59"/>
      <c r="M485" s="60"/>
      <c r="N485" s="60"/>
      <c r="O485" s="60"/>
      <c r="P485" s="59"/>
      <c r="Q485" s="59"/>
      <c r="R485" s="60"/>
      <c r="S485" s="60"/>
      <c r="T485" s="60"/>
      <c r="U485" s="60"/>
      <c r="V485" s="60"/>
      <c r="W485" s="60"/>
    </row>
    <row r="486" spans="1:23" ht="13" x14ac:dyDescent="0.3">
      <c r="A486" s="58"/>
      <c r="B486" s="58"/>
      <c r="C486" s="58"/>
      <c r="D486" s="58"/>
      <c r="E486" s="58"/>
      <c r="F486" s="58"/>
      <c r="G486" s="58"/>
      <c r="H486" s="59"/>
      <c r="I486" s="59"/>
      <c r="J486" s="59"/>
      <c r="K486" s="59"/>
      <c r="L486" s="59"/>
      <c r="M486" s="60"/>
      <c r="N486" s="60"/>
      <c r="O486" s="60"/>
      <c r="P486" s="59"/>
      <c r="Q486" s="59"/>
      <c r="R486" s="60"/>
      <c r="S486" s="60"/>
      <c r="T486" s="60"/>
      <c r="U486" s="60"/>
      <c r="V486" s="60"/>
      <c r="W486" s="60"/>
    </row>
    <row r="487" spans="1:23" ht="13" x14ac:dyDescent="0.3">
      <c r="A487" s="58"/>
      <c r="B487" s="58"/>
      <c r="C487" s="58"/>
      <c r="D487" s="58"/>
      <c r="E487" s="58"/>
      <c r="F487" s="58"/>
      <c r="G487" s="58"/>
      <c r="H487" s="59"/>
      <c r="I487" s="59"/>
      <c r="J487" s="59"/>
      <c r="K487" s="59"/>
      <c r="L487" s="59"/>
      <c r="M487" s="60"/>
      <c r="N487" s="60"/>
      <c r="O487" s="60"/>
      <c r="P487" s="59"/>
      <c r="Q487" s="59"/>
      <c r="R487" s="60"/>
      <c r="S487" s="60"/>
      <c r="T487" s="60"/>
      <c r="U487" s="60"/>
      <c r="V487" s="60"/>
      <c r="W487" s="60"/>
    </row>
    <row r="488" spans="1:23" ht="13" x14ac:dyDescent="0.3">
      <c r="A488" s="58"/>
      <c r="B488" s="58"/>
      <c r="C488" s="58"/>
      <c r="D488" s="58"/>
      <c r="E488" s="58"/>
      <c r="F488" s="58"/>
      <c r="G488" s="58"/>
      <c r="H488" s="59"/>
      <c r="I488" s="59"/>
      <c r="J488" s="59"/>
      <c r="K488" s="59"/>
      <c r="L488" s="59"/>
      <c r="M488" s="60"/>
      <c r="N488" s="60"/>
      <c r="O488" s="60"/>
      <c r="P488" s="59"/>
      <c r="Q488" s="59"/>
      <c r="R488" s="60"/>
      <c r="S488" s="60"/>
      <c r="T488" s="60"/>
      <c r="U488" s="60"/>
      <c r="V488" s="60"/>
      <c r="W488" s="60"/>
    </row>
    <row r="489" spans="1:23" ht="13" x14ac:dyDescent="0.3">
      <c r="A489" s="58"/>
      <c r="B489" s="58"/>
      <c r="C489" s="58"/>
      <c r="D489" s="58"/>
      <c r="E489" s="58"/>
      <c r="F489" s="58"/>
      <c r="G489" s="58"/>
      <c r="H489" s="59"/>
      <c r="I489" s="59"/>
      <c r="J489" s="59"/>
      <c r="K489" s="59"/>
      <c r="L489" s="59"/>
      <c r="M489" s="60"/>
      <c r="N489" s="60"/>
      <c r="O489" s="60"/>
      <c r="P489" s="59"/>
      <c r="Q489" s="59"/>
      <c r="R489" s="60"/>
      <c r="S489" s="60"/>
      <c r="T489" s="60"/>
      <c r="U489" s="60"/>
      <c r="V489" s="60"/>
      <c r="W489" s="60"/>
    </row>
    <row r="490" spans="1:23" ht="13" x14ac:dyDescent="0.3">
      <c r="A490" s="58"/>
      <c r="B490" s="58"/>
      <c r="C490" s="58"/>
      <c r="D490" s="58"/>
      <c r="E490" s="58"/>
      <c r="F490" s="58"/>
      <c r="G490" s="58"/>
      <c r="H490" s="59"/>
      <c r="I490" s="59"/>
      <c r="J490" s="59"/>
      <c r="K490" s="59"/>
      <c r="L490" s="59"/>
      <c r="M490" s="60"/>
      <c r="N490" s="60"/>
      <c r="O490" s="60"/>
      <c r="P490" s="59"/>
      <c r="Q490" s="59"/>
      <c r="R490" s="60"/>
      <c r="S490" s="60"/>
      <c r="T490" s="60"/>
      <c r="U490" s="60"/>
      <c r="V490" s="60"/>
      <c r="W490" s="60"/>
    </row>
    <row r="491" spans="1:23" ht="13" x14ac:dyDescent="0.3">
      <c r="A491" s="58"/>
      <c r="B491" s="58"/>
      <c r="C491" s="58"/>
      <c r="D491" s="58"/>
      <c r="E491" s="58"/>
      <c r="F491" s="58"/>
      <c r="G491" s="58"/>
      <c r="H491" s="59"/>
      <c r="I491" s="59"/>
      <c r="J491" s="59"/>
      <c r="K491" s="59"/>
      <c r="L491" s="59"/>
      <c r="M491" s="60"/>
      <c r="N491" s="60"/>
      <c r="O491" s="60"/>
      <c r="P491" s="59"/>
      <c r="Q491" s="59"/>
      <c r="R491" s="60"/>
      <c r="S491" s="60"/>
      <c r="T491" s="60"/>
      <c r="U491" s="60"/>
      <c r="V491" s="60"/>
      <c r="W491" s="60"/>
    </row>
    <row r="492" spans="1:23" ht="13" x14ac:dyDescent="0.3">
      <c r="A492" s="58"/>
      <c r="B492" s="58"/>
      <c r="C492" s="58"/>
      <c r="D492" s="58"/>
      <c r="E492" s="58"/>
      <c r="F492" s="58"/>
      <c r="G492" s="58"/>
      <c r="H492" s="59"/>
      <c r="I492" s="59"/>
      <c r="J492" s="59"/>
      <c r="K492" s="59"/>
      <c r="L492" s="59"/>
      <c r="M492" s="60"/>
      <c r="N492" s="60"/>
      <c r="O492" s="60"/>
      <c r="P492" s="59"/>
      <c r="Q492" s="59"/>
      <c r="R492" s="60"/>
      <c r="S492" s="60"/>
      <c r="T492" s="60"/>
      <c r="U492" s="60"/>
      <c r="V492" s="60"/>
      <c r="W492" s="60"/>
    </row>
    <row r="493" spans="1:23" ht="13" x14ac:dyDescent="0.3">
      <c r="A493" s="58"/>
      <c r="B493" s="58"/>
      <c r="C493" s="58"/>
      <c r="D493" s="58"/>
      <c r="E493" s="58"/>
      <c r="F493" s="58"/>
      <c r="G493" s="58"/>
      <c r="H493" s="59"/>
      <c r="I493" s="59"/>
      <c r="J493" s="59"/>
      <c r="K493" s="59"/>
      <c r="L493" s="59"/>
      <c r="M493" s="60"/>
      <c r="N493" s="60"/>
      <c r="O493" s="60"/>
      <c r="P493" s="59"/>
      <c r="Q493" s="59"/>
      <c r="R493" s="60"/>
      <c r="S493" s="60"/>
      <c r="T493" s="60"/>
      <c r="U493" s="60"/>
      <c r="V493" s="60"/>
      <c r="W493" s="60"/>
    </row>
    <row r="494" spans="1:23" ht="13" x14ac:dyDescent="0.3">
      <c r="A494" s="58"/>
      <c r="B494" s="58"/>
      <c r="C494" s="58"/>
      <c r="D494" s="58"/>
      <c r="E494" s="58"/>
      <c r="F494" s="58"/>
      <c r="G494" s="58"/>
      <c r="H494" s="59"/>
      <c r="I494" s="59"/>
      <c r="J494" s="59"/>
      <c r="K494" s="59"/>
      <c r="L494" s="59"/>
      <c r="M494" s="60"/>
      <c r="N494" s="60"/>
      <c r="O494" s="60"/>
      <c r="P494" s="59"/>
      <c r="Q494" s="59"/>
      <c r="R494" s="60"/>
      <c r="S494" s="60"/>
      <c r="T494" s="60"/>
      <c r="U494" s="60"/>
      <c r="V494" s="60"/>
      <c r="W494" s="60"/>
    </row>
    <row r="495" spans="1:23" ht="13" x14ac:dyDescent="0.3">
      <c r="A495" s="58"/>
      <c r="B495" s="58"/>
      <c r="C495" s="58"/>
      <c r="D495" s="58"/>
      <c r="E495" s="58"/>
      <c r="F495" s="58"/>
      <c r="G495" s="58"/>
      <c r="H495" s="59"/>
      <c r="I495" s="59"/>
      <c r="J495" s="59"/>
      <c r="K495" s="59"/>
      <c r="L495" s="59"/>
      <c r="M495" s="60"/>
      <c r="N495" s="60"/>
      <c r="O495" s="60"/>
      <c r="P495" s="59"/>
      <c r="Q495" s="59"/>
      <c r="R495" s="60"/>
      <c r="S495" s="60"/>
      <c r="T495" s="60"/>
      <c r="U495" s="60"/>
      <c r="V495" s="60"/>
      <c r="W495" s="60"/>
    </row>
    <row r="496" spans="1:23" ht="13" x14ac:dyDescent="0.3">
      <c r="A496" s="58"/>
      <c r="B496" s="58"/>
      <c r="C496" s="58"/>
      <c r="D496" s="58"/>
      <c r="E496" s="58"/>
      <c r="F496" s="58"/>
      <c r="G496" s="58"/>
      <c r="H496" s="59"/>
      <c r="I496" s="59"/>
      <c r="J496" s="59"/>
      <c r="K496" s="59"/>
      <c r="L496" s="59"/>
      <c r="M496" s="60"/>
      <c r="N496" s="60"/>
      <c r="O496" s="60"/>
      <c r="P496" s="59"/>
      <c r="Q496" s="59"/>
      <c r="R496" s="60"/>
      <c r="S496" s="60"/>
      <c r="T496" s="60"/>
      <c r="U496" s="60"/>
      <c r="V496" s="60"/>
      <c r="W496" s="60"/>
    </row>
    <row r="497" spans="1:23" ht="13" x14ac:dyDescent="0.3">
      <c r="A497" s="58"/>
      <c r="B497" s="58"/>
      <c r="C497" s="58"/>
      <c r="D497" s="58"/>
      <c r="E497" s="58"/>
      <c r="F497" s="58"/>
      <c r="G497" s="58"/>
      <c r="H497" s="59"/>
      <c r="I497" s="59"/>
      <c r="J497" s="59"/>
      <c r="K497" s="59"/>
      <c r="L497" s="59"/>
      <c r="M497" s="60"/>
      <c r="N497" s="60"/>
      <c r="O497" s="60"/>
      <c r="P497" s="59"/>
      <c r="Q497" s="59"/>
      <c r="R497" s="60"/>
      <c r="S497" s="60"/>
      <c r="T497" s="60"/>
      <c r="U497" s="60"/>
      <c r="V497" s="60"/>
      <c r="W497" s="60"/>
    </row>
    <row r="498" spans="1:23" ht="13" x14ac:dyDescent="0.3">
      <c r="A498" s="58"/>
      <c r="B498" s="58"/>
      <c r="C498" s="58"/>
      <c r="D498" s="58"/>
      <c r="E498" s="58"/>
      <c r="F498" s="58"/>
      <c r="G498" s="58"/>
      <c r="H498" s="59"/>
      <c r="I498" s="59"/>
      <c r="J498" s="59"/>
      <c r="K498" s="59"/>
      <c r="L498" s="59"/>
      <c r="M498" s="60"/>
      <c r="N498" s="60"/>
      <c r="O498" s="60"/>
      <c r="P498" s="59"/>
      <c r="Q498" s="59"/>
      <c r="R498" s="60"/>
      <c r="S498" s="60"/>
      <c r="T498" s="60"/>
      <c r="U498" s="60"/>
      <c r="V498" s="60"/>
      <c r="W498" s="60"/>
    </row>
    <row r="499" spans="1:23" ht="13" x14ac:dyDescent="0.3">
      <c r="A499" s="58"/>
      <c r="B499" s="58"/>
      <c r="C499" s="58"/>
      <c r="D499" s="58"/>
      <c r="E499" s="58"/>
      <c r="F499" s="58"/>
      <c r="G499" s="58"/>
      <c r="H499" s="59"/>
      <c r="I499" s="59"/>
      <c r="J499" s="59"/>
      <c r="K499" s="59"/>
      <c r="L499" s="59"/>
      <c r="M499" s="60"/>
      <c r="N499" s="60"/>
      <c r="O499" s="60"/>
      <c r="P499" s="59"/>
      <c r="Q499" s="59"/>
      <c r="R499" s="60"/>
      <c r="S499" s="60"/>
      <c r="T499" s="60"/>
      <c r="U499" s="60"/>
      <c r="V499" s="60"/>
      <c r="W499" s="60"/>
    </row>
    <row r="500" spans="1:23" ht="13" x14ac:dyDescent="0.3">
      <c r="A500" s="58"/>
      <c r="B500" s="58"/>
      <c r="C500" s="58"/>
      <c r="D500" s="58"/>
      <c r="E500" s="58"/>
      <c r="F500" s="58"/>
      <c r="G500" s="58"/>
      <c r="H500" s="59"/>
      <c r="I500" s="59"/>
      <c r="J500" s="59"/>
      <c r="K500" s="59"/>
      <c r="L500" s="59"/>
      <c r="M500" s="60"/>
      <c r="N500" s="60"/>
      <c r="O500" s="60"/>
      <c r="P500" s="59"/>
      <c r="Q500" s="59"/>
      <c r="R500" s="60"/>
      <c r="S500" s="60"/>
      <c r="T500" s="60"/>
      <c r="U500" s="60"/>
      <c r="V500" s="60"/>
      <c r="W500" s="60"/>
    </row>
    <row r="501" spans="1:23" ht="13" x14ac:dyDescent="0.3">
      <c r="A501" s="58"/>
      <c r="B501" s="58"/>
      <c r="C501" s="58"/>
      <c r="D501" s="58"/>
      <c r="E501" s="58"/>
      <c r="F501" s="58"/>
      <c r="G501" s="58"/>
      <c r="H501" s="59"/>
      <c r="I501" s="59"/>
      <c r="J501" s="59"/>
      <c r="K501" s="59"/>
      <c r="L501" s="59"/>
      <c r="M501" s="60"/>
      <c r="N501" s="60"/>
      <c r="O501" s="60"/>
      <c r="P501" s="59"/>
      <c r="Q501" s="59"/>
      <c r="R501" s="60"/>
      <c r="S501" s="60"/>
      <c r="T501" s="60"/>
      <c r="U501" s="60"/>
      <c r="V501" s="60"/>
      <c r="W501" s="60"/>
    </row>
    <row r="502" spans="1:23" ht="13" x14ac:dyDescent="0.3">
      <c r="A502" s="58"/>
      <c r="B502" s="58"/>
      <c r="C502" s="58"/>
      <c r="D502" s="58"/>
      <c r="E502" s="58"/>
      <c r="F502" s="58"/>
      <c r="G502" s="58"/>
      <c r="H502" s="59"/>
      <c r="I502" s="59"/>
      <c r="J502" s="59"/>
      <c r="K502" s="59"/>
      <c r="L502" s="59"/>
      <c r="M502" s="60"/>
      <c r="N502" s="60"/>
      <c r="O502" s="60"/>
      <c r="P502" s="59"/>
      <c r="Q502" s="59"/>
      <c r="R502" s="60"/>
      <c r="S502" s="60"/>
      <c r="T502" s="60"/>
      <c r="U502" s="60"/>
      <c r="V502" s="60"/>
      <c r="W502" s="60"/>
    </row>
    <row r="503" spans="1:23" ht="13" x14ac:dyDescent="0.3">
      <c r="A503" s="58"/>
      <c r="B503" s="58"/>
      <c r="C503" s="58"/>
      <c r="D503" s="58"/>
      <c r="E503" s="58"/>
      <c r="F503" s="58"/>
      <c r="G503" s="58"/>
      <c r="H503" s="59"/>
      <c r="I503" s="59"/>
      <c r="J503" s="59"/>
      <c r="K503" s="59"/>
      <c r="L503" s="59"/>
      <c r="M503" s="60"/>
      <c r="N503" s="60"/>
      <c r="O503" s="60"/>
      <c r="P503" s="59"/>
      <c r="Q503" s="59"/>
      <c r="R503" s="60"/>
      <c r="S503" s="60"/>
      <c r="T503" s="60"/>
      <c r="U503" s="60"/>
      <c r="V503" s="60"/>
      <c r="W503" s="60"/>
    </row>
    <row r="504" spans="1:23" ht="13" x14ac:dyDescent="0.3">
      <c r="A504" s="58"/>
      <c r="B504" s="58"/>
      <c r="C504" s="58"/>
      <c r="D504" s="58"/>
      <c r="E504" s="58"/>
      <c r="F504" s="58"/>
      <c r="G504" s="58"/>
      <c r="H504" s="59"/>
      <c r="I504" s="59"/>
      <c r="J504" s="59"/>
      <c r="K504" s="59"/>
      <c r="L504" s="59"/>
      <c r="M504" s="60"/>
      <c r="N504" s="60"/>
      <c r="O504" s="60"/>
      <c r="P504" s="59"/>
      <c r="Q504" s="59"/>
      <c r="R504" s="60"/>
      <c r="S504" s="60"/>
      <c r="T504" s="60"/>
      <c r="U504" s="60"/>
      <c r="V504" s="60"/>
      <c r="W504" s="60"/>
    </row>
    <row r="505" spans="1:23" ht="13" x14ac:dyDescent="0.3">
      <c r="A505" s="58"/>
      <c r="B505" s="58"/>
      <c r="C505" s="58"/>
      <c r="D505" s="58"/>
      <c r="E505" s="58"/>
      <c r="F505" s="58"/>
      <c r="G505" s="58"/>
      <c r="H505" s="59"/>
      <c r="I505" s="59"/>
      <c r="J505" s="59"/>
      <c r="K505" s="59"/>
      <c r="L505" s="59"/>
      <c r="M505" s="60"/>
      <c r="N505" s="60"/>
      <c r="O505" s="60"/>
      <c r="P505" s="59"/>
      <c r="Q505" s="59"/>
      <c r="R505" s="60"/>
      <c r="S505" s="60"/>
      <c r="T505" s="60"/>
      <c r="U505" s="60"/>
      <c r="V505" s="60"/>
      <c r="W505" s="60"/>
    </row>
    <row r="506" spans="1:23" ht="13" x14ac:dyDescent="0.3">
      <c r="A506" s="58"/>
      <c r="B506" s="58"/>
      <c r="C506" s="58"/>
      <c r="D506" s="58"/>
      <c r="E506" s="58"/>
      <c r="F506" s="58"/>
      <c r="G506" s="58"/>
      <c r="H506" s="59"/>
      <c r="I506" s="59"/>
      <c r="J506" s="59"/>
      <c r="K506" s="59"/>
      <c r="L506" s="59"/>
      <c r="M506" s="60"/>
      <c r="N506" s="60"/>
      <c r="O506" s="60"/>
      <c r="P506" s="59"/>
      <c r="Q506" s="59"/>
      <c r="R506" s="60"/>
      <c r="S506" s="60"/>
      <c r="T506" s="60"/>
      <c r="U506" s="60"/>
      <c r="V506" s="60"/>
      <c r="W506" s="60"/>
    </row>
    <row r="507" spans="1:23" ht="13" x14ac:dyDescent="0.3">
      <c r="A507" s="58"/>
      <c r="B507" s="58"/>
      <c r="C507" s="58"/>
      <c r="D507" s="58"/>
      <c r="E507" s="58"/>
      <c r="F507" s="58"/>
      <c r="G507" s="58"/>
      <c r="H507" s="59"/>
      <c r="I507" s="59"/>
      <c r="J507" s="59"/>
      <c r="K507" s="59"/>
      <c r="L507" s="59"/>
      <c r="M507" s="60"/>
      <c r="N507" s="60"/>
      <c r="O507" s="60"/>
      <c r="P507" s="59"/>
      <c r="Q507" s="59"/>
      <c r="R507" s="60"/>
      <c r="S507" s="60"/>
      <c r="T507" s="60"/>
      <c r="U507" s="60"/>
      <c r="V507" s="60"/>
      <c r="W507" s="60"/>
    </row>
    <row r="508" spans="1:23" ht="13" x14ac:dyDescent="0.3">
      <c r="A508" s="58"/>
      <c r="B508" s="58"/>
      <c r="C508" s="58"/>
      <c r="D508" s="58"/>
      <c r="E508" s="58"/>
      <c r="F508" s="58"/>
      <c r="G508" s="58"/>
      <c r="H508" s="59"/>
      <c r="I508" s="59"/>
      <c r="J508" s="59"/>
      <c r="K508" s="59"/>
      <c r="L508" s="59"/>
      <c r="M508" s="60"/>
      <c r="N508" s="60"/>
      <c r="O508" s="60"/>
      <c r="P508" s="59"/>
      <c r="Q508" s="59"/>
      <c r="R508" s="60"/>
      <c r="S508" s="60"/>
      <c r="T508" s="60"/>
      <c r="U508" s="60"/>
      <c r="V508" s="60"/>
      <c r="W508" s="60"/>
    </row>
    <row r="509" spans="1:23" ht="13" x14ac:dyDescent="0.3">
      <c r="A509" s="58"/>
      <c r="B509" s="58"/>
      <c r="C509" s="58"/>
      <c r="D509" s="58"/>
      <c r="E509" s="58"/>
      <c r="F509" s="58"/>
      <c r="G509" s="58"/>
      <c r="H509" s="59"/>
      <c r="I509" s="59"/>
      <c r="J509" s="59"/>
      <c r="K509" s="59"/>
      <c r="L509" s="59"/>
      <c r="M509" s="60"/>
      <c r="N509" s="60"/>
      <c r="O509" s="60"/>
      <c r="P509" s="59"/>
      <c r="Q509" s="59"/>
      <c r="R509" s="60"/>
      <c r="S509" s="60"/>
      <c r="T509" s="60"/>
      <c r="U509" s="60"/>
      <c r="V509" s="60"/>
      <c r="W509" s="60"/>
    </row>
    <row r="510" spans="1:23" ht="13" x14ac:dyDescent="0.3">
      <c r="A510" s="58"/>
      <c r="B510" s="58"/>
      <c r="C510" s="58"/>
      <c r="D510" s="58"/>
      <c r="E510" s="58"/>
      <c r="F510" s="58"/>
      <c r="G510" s="58"/>
      <c r="H510" s="59"/>
      <c r="I510" s="59"/>
      <c r="J510" s="59"/>
      <c r="K510" s="59"/>
      <c r="L510" s="59"/>
      <c r="M510" s="60"/>
      <c r="N510" s="60"/>
      <c r="O510" s="60"/>
      <c r="P510" s="59"/>
      <c r="Q510" s="59"/>
      <c r="R510" s="60"/>
      <c r="S510" s="60"/>
      <c r="T510" s="60"/>
      <c r="U510" s="60"/>
      <c r="V510" s="60"/>
      <c r="W510" s="60"/>
    </row>
    <row r="511" spans="1:23" ht="13" x14ac:dyDescent="0.3">
      <c r="A511" s="58"/>
      <c r="B511" s="58"/>
      <c r="C511" s="58"/>
      <c r="D511" s="58"/>
      <c r="E511" s="58"/>
      <c r="F511" s="58"/>
      <c r="G511" s="58"/>
      <c r="H511" s="59"/>
      <c r="I511" s="59"/>
      <c r="J511" s="59"/>
      <c r="K511" s="59"/>
      <c r="L511" s="59"/>
      <c r="M511" s="60"/>
      <c r="N511" s="60"/>
      <c r="O511" s="60"/>
      <c r="P511" s="59"/>
      <c r="Q511" s="59"/>
      <c r="R511" s="60"/>
      <c r="S511" s="60"/>
      <c r="T511" s="60"/>
      <c r="U511" s="60"/>
      <c r="V511" s="60"/>
      <c r="W511" s="60"/>
    </row>
    <row r="512" spans="1:23" ht="13" x14ac:dyDescent="0.3">
      <c r="A512" s="58"/>
      <c r="B512" s="58"/>
      <c r="C512" s="58"/>
      <c r="D512" s="58"/>
      <c r="E512" s="58"/>
      <c r="F512" s="58"/>
      <c r="G512" s="58"/>
      <c r="H512" s="59"/>
      <c r="I512" s="59"/>
      <c r="J512" s="59"/>
      <c r="K512" s="59"/>
      <c r="L512" s="59"/>
      <c r="M512" s="60"/>
      <c r="N512" s="60"/>
      <c r="O512" s="60"/>
      <c r="P512" s="59"/>
      <c r="Q512" s="59"/>
      <c r="R512" s="60"/>
      <c r="S512" s="60"/>
      <c r="T512" s="60"/>
      <c r="U512" s="60"/>
      <c r="V512" s="60"/>
      <c r="W512" s="60"/>
    </row>
    <row r="513" spans="1:23" ht="13" x14ac:dyDescent="0.3">
      <c r="A513" s="58"/>
      <c r="B513" s="58"/>
      <c r="C513" s="58"/>
      <c r="D513" s="58"/>
      <c r="E513" s="58"/>
      <c r="F513" s="58"/>
      <c r="G513" s="58"/>
      <c r="H513" s="59"/>
      <c r="I513" s="59"/>
      <c r="J513" s="59"/>
      <c r="K513" s="59"/>
      <c r="L513" s="59"/>
      <c r="M513" s="60"/>
      <c r="N513" s="60"/>
      <c r="O513" s="60"/>
      <c r="P513" s="59"/>
      <c r="Q513" s="59"/>
      <c r="R513" s="60"/>
      <c r="S513" s="60"/>
      <c r="T513" s="60"/>
      <c r="U513" s="60"/>
      <c r="V513" s="60"/>
      <c r="W513" s="60"/>
    </row>
    <row r="514" spans="1:23" ht="13" x14ac:dyDescent="0.3">
      <c r="A514" s="58"/>
      <c r="B514" s="58"/>
      <c r="C514" s="58"/>
      <c r="D514" s="58"/>
      <c r="E514" s="58"/>
      <c r="F514" s="58"/>
      <c r="G514" s="58"/>
      <c r="H514" s="59"/>
      <c r="I514" s="59"/>
      <c r="J514" s="59"/>
      <c r="K514" s="59"/>
      <c r="L514" s="59"/>
      <c r="M514" s="60"/>
      <c r="N514" s="60"/>
      <c r="O514" s="60"/>
      <c r="P514" s="59"/>
      <c r="Q514" s="59"/>
      <c r="R514" s="60"/>
      <c r="S514" s="60"/>
      <c r="T514" s="60"/>
      <c r="U514" s="60"/>
      <c r="V514" s="60"/>
      <c r="W514" s="60"/>
    </row>
    <row r="515" spans="1:23" ht="13" x14ac:dyDescent="0.3">
      <c r="A515" s="58"/>
      <c r="B515" s="58"/>
      <c r="C515" s="58"/>
      <c r="D515" s="58"/>
      <c r="E515" s="58"/>
      <c r="F515" s="58"/>
      <c r="G515" s="58"/>
      <c r="H515" s="59"/>
      <c r="I515" s="59"/>
      <c r="J515" s="59"/>
      <c r="K515" s="59"/>
      <c r="L515" s="59"/>
      <c r="M515" s="60"/>
      <c r="N515" s="60"/>
      <c r="O515" s="60"/>
      <c r="P515" s="59"/>
      <c r="Q515" s="59"/>
      <c r="R515" s="60"/>
      <c r="S515" s="60"/>
      <c r="T515" s="60"/>
      <c r="U515" s="60"/>
      <c r="V515" s="60"/>
      <c r="W515" s="60"/>
    </row>
    <row r="516" spans="1:23" ht="13" x14ac:dyDescent="0.3">
      <c r="A516" s="58"/>
      <c r="B516" s="58"/>
      <c r="C516" s="58"/>
      <c r="D516" s="58"/>
      <c r="E516" s="58"/>
      <c r="F516" s="58"/>
      <c r="G516" s="58"/>
      <c r="H516" s="59"/>
      <c r="I516" s="59"/>
      <c r="J516" s="59"/>
      <c r="K516" s="59"/>
      <c r="L516" s="59"/>
      <c r="M516" s="60"/>
      <c r="N516" s="60"/>
      <c r="O516" s="60"/>
      <c r="P516" s="59"/>
      <c r="Q516" s="59"/>
      <c r="R516" s="60"/>
      <c r="S516" s="60"/>
      <c r="T516" s="60"/>
      <c r="U516" s="60"/>
      <c r="V516" s="60"/>
      <c r="W516" s="60"/>
    </row>
    <row r="517" spans="1:23" ht="13" x14ac:dyDescent="0.3">
      <c r="A517" s="58"/>
      <c r="B517" s="58"/>
      <c r="C517" s="58"/>
      <c r="D517" s="58"/>
      <c r="E517" s="58"/>
      <c r="F517" s="58"/>
      <c r="G517" s="58"/>
      <c r="H517" s="59"/>
      <c r="I517" s="59"/>
      <c r="J517" s="59"/>
      <c r="K517" s="59"/>
      <c r="L517" s="59"/>
      <c r="M517" s="60"/>
      <c r="N517" s="60"/>
      <c r="O517" s="60"/>
      <c r="P517" s="59"/>
      <c r="Q517" s="59"/>
      <c r="R517" s="60"/>
      <c r="S517" s="60"/>
      <c r="T517" s="60"/>
      <c r="U517" s="60"/>
      <c r="V517" s="60"/>
      <c r="W517" s="60"/>
    </row>
    <row r="518" spans="1:23" ht="13" x14ac:dyDescent="0.3">
      <c r="A518" s="58"/>
      <c r="B518" s="58"/>
      <c r="C518" s="58"/>
      <c r="D518" s="58"/>
      <c r="E518" s="58"/>
      <c r="F518" s="58"/>
      <c r="G518" s="58"/>
      <c r="H518" s="59"/>
      <c r="I518" s="59"/>
      <c r="J518" s="59"/>
      <c r="K518" s="59"/>
      <c r="L518" s="59"/>
      <c r="M518" s="60"/>
      <c r="N518" s="60"/>
      <c r="O518" s="60"/>
      <c r="P518" s="59"/>
      <c r="Q518" s="59"/>
      <c r="R518" s="60"/>
      <c r="S518" s="60"/>
      <c r="T518" s="60"/>
      <c r="U518" s="60"/>
      <c r="V518" s="60"/>
      <c r="W518" s="60"/>
    </row>
    <row r="519" spans="1:23" ht="13" x14ac:dyDescent="0.3">
      <c r="A519" s="58"/>
      <c r="B519" s="58"/>
      <c r="C519" s="58"/>
      <c r="D519" s="58"/>
      <c r="E519" s="58"/>
      <c r="F519" s="58"/>
      <c r="G519" s="58"/>
      <c r="H519" s="59"/>
      <c r="I519" s="59"/>
      <c r="J519" s="59"/>
      <c r="K519" s="59"/>
      <c r="L519" s="59"/>
      <c r="M519" s="60"/>
      <c r="N519" s="60"/>
      <c r="O519" s="60"/>
      <c r="P519" s="59"/>
      <c r="Q519" s="59"/>
      <c r="R519" s="60"/>
      <c r="S519" s="60"/>
      <c r="T519" s="60"/>
      <c r="U519" s="60"/>
      <c r="V519" s="60"/>
      <c r="W519" s="60"/>
    </row>
    <row r="520" spans="1:23" ht="13" x14ac:dyDescent="0.3">
      <c r="A520" s="58"/>
      <c r="B520" s="58"/>
      <c r="C520" s="58"/>
      <c r="D520" s="58"/>
      <c r="E520" s="58"/>
      <c r="F520" s="58"/>
      <c r="G520" s="58"/>
      <c r="H520" s="59"/>
      <c r="I520" s="59"/>
      <c r="J520" s="59"/>
      <c r="K520" s="59"/>
      <c r="L520" s="59"/>
      <c r="M520" s="60"/>
      <c r="N520" s="60"/>
      <c r="O520" s="60"/>
      <c r="P520" s="59"/>
      <c r="Q520" s="59"/>
      <c r="R520" s="60"/>
      <c r="S520" s="60"/>
      <c r="T520" s="60"/>
      <c r="U520" s="60"/>
      <c r="V520" s="60"/>
      <c r="W520" s="60"/>
    </row>
    <row r="521" spans="1:23" ht="13" x14ac:dyDescent="0.3">
      <c r="A521" s="58"/>
      <c r="B521" s="58"/>
      <c r="C521" s="58"/>
      <c r="D521" s="58"/>
      <c r="E521" s="58"/>
      <c r="F521" s="58"/>
      <c r="G521" s="58"/>
      <c r="H521" s="59"/>
      <c r="I521" s="59"/>
      <c r="J521" s="59"/>
      <c r="K521" s="59"/>
      <c r="L521" s="59"/>
      <c r="M521" s="60"/>
      <c r="N521" s="60"/>
      <c r="O521" s="60"/>
      <c r="P521" s="59"/>
      <c r="Q521" s="59"/>
      <c r="R521" s="60"/>
      <c r="S521" s="60"/>
      <c r="T521" s="60"/>
      <c r="U521" s="60"/>
      <c r="V521" s="60"/>
      <c r="W521" s="60"/>
    </row>
    <row r="522" spans="1:23" ht="13" x14ac:dyDescent="0.3">
      <c r="A522" s="58"/>
      <c r="B522" s="58"/>
      <c r="C522" s="58"/>
      <c r="D522" s="58"/>
      <c r="E522" s="58"/>
      <c r="F522" s="58"/>
      <c r="G522" s="58"/>
      <c r="H522" s="59"/>
      <c r="I522" s="59"/>
      <c r="J522" s="59"/>
      <c r="K522" s="59"/>
      <c r="L522" s="59"/>
      <c r="M522" s="60"/>
      <c r="N522" s="60"/>
      <c r="O522" s="60"/>
      <c r="P522" s="59"/>
      <c r="Q522" s="59"/>
      <c r="R522" s="60"/>
      <c r="S522" s="60"/>
      <c r="T522" s="60"/>
      <c r="U522" s="60"/>
      <c r="V522" s="60"/>
      <c r="W522" s="60"/>
    </row>
    <row r="523" spans="1:23" ht="13" x14ac:dyDescent="0.3">
      <c r="A523" s="58"/>
      <c r="B523" s="58"/>
      <c r="C523" s="58"/>
      <c r="D523" s="58"/>
      <c r="E523" s="58"/>
      <c r="F523" s="58"/>
      <c r="G523" s="58"/>
      <c r="H523" s="59"/>
      <c r="I523" s="59"/>
      <c r="J523" s="59"/>
      <c r="K523" s="59"/>
      <c r="L523" s="59"/>
      <c r="M523" s="60"/>
      <c r="N523" s="60"/>
      <c r="O523" s="60"/>
      <c r="P523" s="59"/>
      <c r="Q523" s="59"/>
      <c r="R523" s="60"/>
      <c r="S523" s="60"/>
      <c r="T523" s="60"/>
      <c r="U523" s="60"/>
      <c r="V523" s="60"/>
      <c r="W523" s="60"/>
    </row>
    <row r="524" spans="1:23" ht="13" x14ac:dyDescent="0.3">
      <c r="A524" s="58"/>
      <c r="B524" s="58"/>
      <c r="C524" s="58"/>
      <c r="D524" s="58"/>
      <c r="E524" s="58"/>
      <c r="F524" s="58"/>
      <c r="G524" s="58"/>
      <c r="H524" s="59"/>
      <c r="I524" s="59"/>
      <c r="J524" s="59"/>
      <c r="K524" s="59"/>
      <c r="L524" s="59"/>
      <c r="M524" s="60"/>
      <c r="N524" s="60"/>
      <c r="O524" s="60"/>
      <c r="P524" s="59"/>
      <c r="Q524" s="59"/>
      <c r="R524" s="60"/>
      <c r="S524" s="60"/>
      <c r="T524" s="60"/>
      <c r="U524" s="60"/>
      <c r="V524" s="60"/>
      <c r="W524" s="60"/>
    </row>
    <row r="525" spans="1:23" ht="13" x14ac:dyDescent="0.3">
      <c r="A525" s="58"/>
      <c r="B525" s="58"/>
      <c r="C525" s="58"/>
      <c r="D525" s="58"/>
      <c r="E525" s="58"/>
      <c r="F525" s="58"/>
      <c r="G525" s="58"/>
      <c r="H525" s="59"/>
      <c r="I525" s="59"/>
      <c r="J525" s="59"/>
      <c r="K525" s="59"/>
      <c r="L525" s="59"/>
      <c r="M525" s="60"/>
      <c r="N525" s="60"/>
      <c r="O525" s="60"/>
      <c r="P525" s="59"/>
      <c r="Q525" s="59"/>
      <c r="R525" s="60"/>
      <c r="S525" s="60"/>
      <c r="T525" s="60"/>
      <c r="U525" s="60"/>
      <c r="V525" s="60"/>
      <c r="W525" s="60"/>
    </row>
    <row r="526" spans="1:23" ht="13" x14ac:dyDescent="0.3">
      <c r="A526" s="58"/>
      <c r="B526" s="58"/>
      <c r="C526" s="58"/>
      <c r="D526" s="58"/>
      <c r="E526" s="58"/>
      <c r="F526" s="58"/>
      <c r="G526" s="58"/>
      <c r="H526" s="59"/>
      <c r="I526" s="59"/>
      <c r="J526" s="59"/>
      <c r="K526" s="59"/>
      <c r="L526" s="59"/>
      <c r="M526" s="60"/>
      <c r="N526" s="60"/>
      <c r="O526" s="60"/>
      <c r="P526" s="59"/>
      <c r="Q526" s="59"/>
      <c r="R526" s="60"/>
      <c r="S526" s="60"/>
      <c r="T526" s="60"/>
      <c r="U526" s="60"/>
      <c r="V526" s="60"/>
      <c r="W526" s="60"/>
    </row>
    <row r="527" spans="1:23" ht="13" x14ac:dyDescent="0.3">
      <c r="A527" s="58"/>
      <c r="B527" s="58"/>
      <c r="C527" s="58"/>
      <c r="D527" s="58"/>
      <c r="E527" s="58"/>
      <c r="F527" s="58"/>
      <c r="G527" s="58"/>
      <c r="H527" s="59"/>
      <c r="I527" s="59"/>
      <c r="J527" s="59"/>
      <c r="K527" s="59"/>
      <c r="L527" s="59"/>
      <c r="M527" s="60"/>
      <c r="N527" s="60"/>
      <c r="O527" s="60"/>
      <c r="P527" s="59"/>
      <c r="Q527" s="59"/>
      <c r="R527" s="60"/>
      <c r="S527" s="60"/>
      <c r="T527" s="60"/>
      <c r="U527" s="60"/>
      <c r="V527" s="60"/>
      <c r="W527" s="60"/>
    </row>
    <row r="528" spans="1:23" ht="13" x14ac:dyDescent="0.3">
      <c r="A528" s="58"/>
      <c r="B528" s="58"/>
      <c r="C528" s="58"/>
      <c r="D528" s="58"/>
      <c r="E528" s="58"/>
      <c r="F528" s="58"/>
      <c r="G528" s="58"/>
      <c r="H528" s="59"/>
      <c r="I528" s="59"/>
      <c r="J528" s="59"/>
      <c r="K528" s="59"/>
      <c r="L528" s="59"/>
      <c r="M528" s="60"/>
      <c r="N528" s="60"/>
      <c r="O528" s="60"/>
      <c r="P528" s="59"/>
      <c r="Q528" s="59"/>
      <c r="R528" s="60"/>
      <c r="S528" s="60"/>
      <c r="T528" s="60"/>
      <c r="U528" s="60"/>
      <c r="V528" s="60"/>
      <c r="W528" s="60"/>
    </row>
    <row r="529" spans="1:23" ht="13" x14ac:dyDescent="0.3">
      <c r="A529" s="58"/>
      <c r="B529" s="58"/>
      <c r="C529" s="58"/>
      <c r="D529" s="58"/>
      <c r="E529" s="58"/>
      <c r="F529" s="58"/>
      <c r="G529" s="58"/>
      <c r="H529" s="59"/>
      <c r="I529" s="59"/>
      <c r="J529" s="59"/>
      <c r="K529" s="59"/>
      <c r="L529" s="59"/>
      <c r="M529" s="60"/>
      <c r="N529" s="60"/>
      <c r="O529" s="60"/>
      <c r="P529" s="59"/>
      <c r="Q529" s="59"/>
      <c r="R529" s="60"/>
      <c r="S529" s="60"/>
      <c r="T529" s="60"/>
      <c r="U529" s="60"/>
      <c r="V529" s="60"/>
      <c r="W529" s="60"/>
    </row>
    <row r="530" spans="1:23" ht="13" x14ac:dyDescent="0.3">
      <c r="A530" s="58"/>
      <c r="B530" s="58"/>
      <c r="C530" s="58"/>
      <c r="D530" s="58"/>
      <c r="E530" s="58"/>
      <c r="F530" s="58"/>
      <c r="G530" s="58"/>
      <c r="H530" s="59"/>
      <c r="I530" s="59"/>
      <c r="J530" s="59"/>
      <c r="K530" s="59"/>
      <c r="L530" s="59"/>
      <c r="M530" s="60"/>
      <c r="N530" s="60"/>
      <c r="O530" s="60"/>
      <c r="P530" s="59"/>
      <c r="Q530" s="59"/>
      <c r="R530" s="60"/>
      <c r="S530" s="60"/>
      <c r="T530" s="60"/>
      <c r="U530" s="60"/>
      <c r="V530" s="60"/>
      <c r="W530" s="60"/>
    </row>
    <row r="531" spans="1:23" ht="13" x14ac:dyDescent="0.3">
      <c r="A531" s="58"/>
      <c r="B531" s="58"/>
      <c r="C531" s="58"/>
      <c r="D531" s="58"/>
      <c r="E531" s="58"/>
      <c r="F531" s="58"/>
      <c r="G531" s="58"/>
      <c r="H531" s="59"/>
      <c r="I531" s="59"/>
      <c r="J531" s="59"/>
      <c r="K531" s="59"/>
      <c r="L531" s="59"/>
      <c r="M531" s="60"/>
      <c r="N531" s="60"/>
      <c r="O531" s="60"/>
      <c r="P531" s="59"/>
      <c r="Q531" s="59"/>
      <c r="R531" s="60"/>
      <c r="S531" s="60"/>
      <c r="T531" s="60"/>
      <c r="U531" s="60"/>
      <c r="V531" s="60"/>
      <c r="W531" s="60"/>
    </row>
    <row r="532" spans="1:23" ht="13" x14ac:dyDescent="0.3">
      <c r="A532" s="58"/>
      <c r="B532" s="58"/>
      <c r="C532" s="58"/>
      <c r="D532" s="58"/>
      <c r="E532" s="58"/>
      <c r="F532" s="58"/>
      <c r="G532" s="58"/>
      <c r="H532" s="59"/>
      <c r="I532" s="59"/>
      <c r="J532" s="59"/>
      <c r="K532" s="59"/>
      <c r="L532" s="59"/>
      <c r="M532" s="60"/>
      <c r="N532" s="60"/>
      <c r="O532" s="60"/>
      <c r="P532" s="59"/>
      <c r="Q532" s="59"/>
      <c r="R532" s="60"/>
      <c r="S532" s="60"/>
      <c r="T532" s="60"/>
      <c r="U532" s="60"/>
      <c r="V532" s="60"/>
      <c r="W532" s="60"/>
    </row>
    <row r="533" spans="1:23" ht="13" x14ac:dyDescent="0.3">
      <c r="A533" s="58"/>
      <c r="B533" s="58"/>
      <c r="C533" s="58"/>
      <c r="D533" s="58"/>
      <c r="E533" s="58"/>
      <c r="F533" s="58"/>
      <c r="G533" s="58"/>
      <c r="H533" s="59"/>
      <c r="I533" s="59"/>
      <c r="J533" s="59"/>
      <c r="K533" s="59"/>
      <c r="L533" s="59"/>
      <c r="M533" s="60"/>
      <c r="N533" s="60"/>
      <c r="O533" s="60"/>
      <c r="P533" s="59"/>
      <c r="Q533" s="59"/>
      <c r="R533" s="60"/>
      <c r="S533" s="60"/>
      <c r="T533" s="60"/>
      <c r="U533" s="60"/>
      <c r="V533" s="60"/>
      <c r="W533" s="60"/>
    </row>
    <row r="534" spans="1:23" ht="13" x14ac:dyDescent="0.3">
      <c r="A534" s="58"/>
      <c r="B534" s="58"/>
      <c r="C534" s="58"/>
      <c r="D534" s="58"/>
      <c r="E534" s="58"/>
      <c r="F534" s="58"/>
      <c r="G534" s="58"/>
      <c r="H534" s="59"/>
      <c r="I534" s="59"/>
      <c r="J534" s="59"/>
      <c r="K534" s="59"/>
      <c r="L534" s="59"/>
      <c r="M534" s="60"/>
      <c r="N534" s="60"/>
      <c r="O534" s="60"/>
      <c r="P534" s="59"/>
      <c r="Q534" s="59"/>
      <c r="R534" s="60"/>
      <c r="S534" s="60"/>
      <c r="T534" s="60"/>
      <c r="U534" s="60"/>
      <c r="V534" s="60"/>
      <c r="W534" s="60"/>
    </row>
    <row r="535" spans="1:23" ht="13" x14ac:dyDescent="0.3">
      <c r="A535" s="58"/>
      <c r="B535" s="58"/>
      <c r="C535" s="58"/>
      <c r="D535" s="58"/>
      <c r="E535" s="58"/>
      <c r="F535" s="58"/>
      <c r="G535" s="58"/>
      <c r="H535" s="59"/>
      <c r="I535" s="59"/>
      <c r="J535" s="59"/>
      <c r="K535" s="59"/>
      <c r="L535" s="59"/>
      <c r="M535" s="60"/>
      <c r="N535" s="60"/>
      <c r="O535" s="60"/>
      <c r="P535" s="59"/>
      <c r="Q535" s="59"/>
      <c r="R535" s="60"/>
      <c r="S535" s="60"/>
      <c r="T535" s="60"/>
      <c r="U535" s="60"/>
      <c r="V535" s="60"/>
      <c r="W535" s="60"/>
    </row>
    <row r="536" spans="1:23" ht="13" x14ac:dyDescent="0.3">
      <c r="A536" s="58"/>
      <c r="B536" s="58"/>
      <c r="C536" s="58"/>
      <c r="D536" s="58"/>
      <c r="E536" s="58"/>
      <c r="F536" s="58"/>
      <c r="G536" s="58"/>
      <c r="H536" s="59"/>
      <c r="I536" s="59"/>
      <c r="J536" s="59"/>
      <c r="K536" s="59"/>
      <c r="L536" s="59"/>
      <c r="M536" s="60"/>
      <c r="N536" s="60"/>
      <c r="O536" s="60"/>
      <c r="P536" s="59"/>
      <c r="Q536" s="59"/>
      <c r="R536" s="60"/>
      <c r="S536" s="60"/>
      <c r="T536" s="60"/>
      <c r="U536" s="60"/>
      <c r="V536" s="60"/>
      <c r="W536" s="60"/>
    </row>
    <row r="537" spans="1:23" ht="13" x14ac:dyDescent="0.3">
      <c r="A537" s="58"/>
      <c r="B537" s="58"/>
      <c r="C537" s="58"/>
      <c r="D537" s="58"/>
      <c r="E537" s="58"/>
      <c r="F537" s="58"/>
      <c r="G537" s="58"/>
      <c r="H537" s="59"/>
      <c r="I537" s="59"/>
      <c r="J537" s="59"/>
      <c r="K537" s="59"/>
      <c r="L537" s="59"/>
      <c r="M537" s="60"/>
      <c r="N537" s="60"/>
      <c r="O537" s="60"/>
      <c r="P537" s="59"/>
      <c r="Q537" s="59"/>
      <c r="R537" s="60"/>
      <c r="S537" s="60"/>
      <c r="T537" s="60"/>
      <c r="U537" s="60"/>
      <c r="V537" s="60"/>
      <c r="W537" s="60"/>
    </row>
    <row r="538" spans="1:23" ht="13" x14ac:dyDescent="0.3">
      <c r="A538" s="58"/>
      <c r="B538" s="58"/>
      <c r="C538" s="58"/>
      <c r="D538" s="58"/>
      <c r="E538" s="58"/>
      <c r="F538" s="58"/>
      <c r="G538" s="58"/>
      <c r="H538" s="59"/>
      <c r="I538" s="59"/>
      <c r="J538" s="59"/>
      <c r="K538" s="59"/>
      <c r="L538" s="59"/>
      <c r="M538" s="60"/>
      <c r="N538" s="60"/>
      <c r="O538" s="60"/>
      <c r="P538" s="59"/>
      <c r="Q538" s="59"/>
      <c r="R538" s="60"/>
      <c r="S538" s="60"/>
      <c r="T538" s="60"/>
      <c r="U538" s="60"/>
      <c r="V538" s="60"/>
      <c r="W538" s="60"/>
    </row>
    <row r="539" spans="1:23" ht="13" x14ac:dyDescent="0.3">
      <c r="A539" s="58"/>
      <c r="B539" s="58"/>
      <c r="C539" s="58"/>
      <c r="D539" s="58"/>
      <c r="E539" s="58"/>
      <c r="F539" s="58"/>
      <c r="G539" s="58"/>
      <c r="H539" s="59"/>
      <c r="I539" s="59"/>
      <c r="J539" s="59"/>
      <c r="K539" s="59"/>
      <c r="L539" s="59"/>
      <c r="M539" s="60"/>
      <c r="N539" s="60"/>
      <c r="O539" s="60"/>
      <c r="P539" s="59"/>
      <c r="Q539" s="59"/>
      <c r="R539" s="60"/>
      <c r="S539" s="60"/>
      <c r="T539" s="60"/>
      <c r="U539" s="60"/>
      <c r="V539" s="60"/>
      <c r="W539" s="60"/>
    </row>
    <row r="540" spans="1:23" ht="13" x14ac:dyDescent="0.3">
      <c r="A540" s="58"/>
      <c r="B540" s="58"/>
      <c r="C540" s="58"/>
      <c r="D540" s="58"/>
      <c r="E540" s="58"/>
      <c r="F540" s="58"/>
      <c r="G540" s="58"/>
      <c r="H540" s="59"/>
      <c r="I540" s="59"/>
      <c r="J540" s="59"/>
      <c r="K540" s="59"/>
      <c r="L540" s="59"/>
      <c r="M540" s="60"/>
      <c r="N540" s="60"/>
      <c r="O540" s="60"/>
      <c r="P540" s="59"/>
      <c r="Q540" s="59"/>
      <c r="R540" s="60"/>
      <c r="S540" s="60"/>
      <c r="T540" s="60"/>
      <c r="U540" s="60"/>
      <c r="V540" s="60"/>
      <c r="W540" s="60"/>
    </row>
    <row r="541" spans="1:23" ht="13" x14ac:dyDescent="0.3">
      <c r="A541" s="58"/>
      <c r="B541" s="58"/>
      <c r="C541" s="58"/>
      <c r="D541" s="58"/>
      <c r="E541" s="58"/>
      <c r="F541" s="58"/>
      <c r="G541" s="58"/>
      <c r="H541" s="59"/>
      <c r="I541" s="59"/>
      <c r="J541" s="59"/>
      <c r="K541" s="59"/>
      <c r="L541" s="59"/>
      <c r="M541" s="60"/>
      <c r="N541" s="60"/>
      <c r="O541" s="60"/>
      <c r="P541" s="59"/>
      <c r="Q541" s="59"/>
      <c r="R541" s="60"/>
      <c r="S541" s="60"/>
      <c r="T541" s="60"/>
      <c r="U541" s="60"/>
      <c r="V541" s="60"/>
      <c r="W541" s="60"/>
    </row>
    <row r="542" spans="1:23" ht="13" x14ac:dyDescent="0.3">
      <c r="A542" s="58"/>
      <c r="B542" s="58"/>
      <c r="C542" s="58"/>
      <c r="D542" s="58"/>
      <c r="E542" s="58"/>
      <c r="F542" s="58"/>
      <c r="G542" s="58"/>
      <c r="H542" s="59"/>
      <c r="I542" s="59"/>
      <c r="J542" s="59"/>
      <c r="K542" s="59"/>
      <c r="L542" s="59"/>
      <c r="M542" s="60"/>
      <c r="N542" s="60"/>
      <c r="O542" s="60"/>
      <c r="P542" s="59"/>
      <c r="Q542" s="59"/>
      <c r="R542" s="60"/>
      <c r="S542" s="60"/>
      <c r="T542" s="60"/>
      <c r="U542" s="60"/>
      <c r="V542" s="60"/>
      <c r="W542" s="60"/>
    </row>
    <row r="543" spans="1:23" ht="13" x14ac:dyDescent="0.3">
      <c r="A543" s="58"/>
      <c r="B543" s="58"/>
      <c r="C543" s="58"/>
      <c r="D543" s="58"/>
      <c r="E543" s="58"/>
      <c r="F543" s="58"/>
      <c r="G543" s="58"/>
      <c r="H543" s="59"/>
      <c r="I543" s="59"/>
      <c r="J543" s="59"/>
      <c r="K543" s="59"/>
      <c r="L543" s="59"/>
      <c r="M543" s="60"/>
      <c r="N543" s="60"/>
      <c r="O543" s="60"/>
      <c r="P543" s="59"/>
      <c r="Q543" s="59"/>
      <c r="R543" s="60"/>
      <c r="S543" s="60"/>
      <c r="T543" s="60"/>
      <c r="U543" s="60"/>
      <c r="V543" s="60"/>
      <c r="W543" s="60"/>
    </row>
    <row r="544" spans="1:23" ht="13" x14ac:dyDescent="0.3">
      <c r="A544" s="58"/>
      <c r="B544" s="58"/>
      <c r="C544" s="58"/>
      <c r="D544" s="58"/>
      <c r="E544" s="58"/>
      <c r="F544" s="58"/>
      <c r="G544" s="58"/>
      <c r="H544" s="59"/>
      <c r="I544" s="59"/>
      <c r="J544" s="59"/>
      <c r="K544" s="59"/>
      <c r="L544" s="59"/>
      <c r="M544" s="60"/>
      <c r="N544" s="60"/>
      <c r="O544" s="60"/>
      <c r="P544" s="59"/>
      <c r="Q544" s="59"/>
      <c r="R544" s="60"/>
      <c r="S544" s="60"/>
      <c r="T544" s="60"/>
      <c r="U544" s="60"/>
      <c r="V544" s="60"/>
      <c r="W544" s="60"/>
    </row>
    <row r="545" spans="1:23" ht="13" x14ac:dyDescent="0.3">
      <c r="A545" s="58"/>
      <c r="B545" s="58"/>
      <c r="C545" s="58"/>
      <c r="D545" s="58"/>
      <c r="E545" s="58"/>
      <c r="F545" s="58"/>
      <c r="G545" s="58"/>
      <c r="H545" s="59"/>
      <c r="I545" s="59"/>
      <c r="J545" s="59"/>
      <c r="K545" s="59"/>
      <c r="L545" s="59"/>
      <c r="M545" s="60"/>
      <c r="N545" s="60"/>
      <c r="O545" s="60"/>
      <c r="P545" s="59"/>
      <c r="Q545" s="59"/>
      <c r="R545" s="60"/>
      <c r="S545" s="60"/>
      <c r="T545" s="60"/>
      <c r="U545" s="60"/>
      <c r="V545" s="60"/>
      <c r="W545" s="60"/>
    </row>
    <row r="546" spans="1:23" ht="13" x14ac:dyDescent="0.3">
      <c r="A546" s="58"/>
      <c r="B546" s="58"/>
      <c r="C546" s="58"/>
      <c r="D546" s="58"/>
      <c r="E546" s="58"/>
      <c r="F546" s="58"/>
      <c r="G546" s="58"/>
      <c r="H546" s="59"/>
      <c r="I546" s="59"/>
      <c r="J546" s="59"/>
      <c r="K546" s="59"/>
      <c r="L546" s="59"/>
      <c r="M546" s="60"/>
      <c r="N546" s="60"/>
      <c r="O546" s="60"/>
      <c r="P546" s="59"/>
      <c r="Q546" s="59"/>
      <c r="R546" s="60"/>
      <c r="S546" s="60"/>
      <c r="T546" s="60"/>
      <c r="U546" s="60"/>
      <c r="V546" s="60"/>
      <c r="W546" s="60"/>
    </row>
    <row r="547" spans="1:23" ht="13" x14ac:dyDescent="0.3">
      <c r="A547" s="58"/>
      <c r="B547" s="58"/>
      <c r="C547" s="58"/>
      <c r="D547" s="58"/>
      <c r="E547" s="58"/>
      <c r="F547" s="58"/>
      <c r="G547" s="58"/>
      <c r="H547" s="59"/>
      <c r="I547" s="59"/>
      <c r="J547" s="59"/>
      <c r="K547" s="59"/>
      <c r="L547" s="59"/>
      <c r="M547" s="60"/>
      <c r="N547" s="60"/>
      <c r="O547" s="60"/>
      <c r="P547" s="59"/>
      <c r="Q547" s="59"/>
      <c r="R547" s="60"/>
      <c r="S547" s="60"/>
      <c r="T547" s="60"/>
      <c r="U547" s="60"/>
      <c r="V547" s="60"/>
      <c r="W547" s="60"/>
    </row>
    <row r="548" spans="1:23" ht="13" x14ac:dyDescent="0.3">
      <c r="A548" s="58"/>
      <c r="B548" s="58"/>
      <c r="C548" s="58"/>
      <c r="D548" s="58"/>
      <c r="E548" s="58"/>
      <c r="F548" s="58"/>
      <c r="G548" s="58"/>
      <c r="H548" s="59"/>
      <c r="I548" s="59"/>
      <c r="J548" s="59"/>
      <c r="K548" s="59"/>
      <c r="L548" s="59"/>
      <c r="M548" s="60"/>
      <c r="N548" s="60"/>
      <c r="O548" s="60"/>
      <c r="P548" s="59"/>
      <c r="Q548" s="59"/>
      <c r="R548" s="60"/>
      <c r="S548" s="60"/>
      <c r="T548" s="60"/>
      <c r="U548" s="60"/>
      <c r="V548" s="60"/>
      <c r="W548" s="60"/>
    </row>
    <row r="549" spans="1:23" ht="13" x14ac:dyDescent="0.3">
      <c r="A549" s="58"/>
      <c r="B549" s="58"/>
      <c r="C549" s="58"/>
      <c r="D549" s="58"/>
      <c r="E549" s="58"/>
      <c r="F549" s="58"/>
      <c r="G549" s="58"/>
      <c r="H549" s="59"/>
      <c r="I549" s="59"/>
      <c r="J549" s="59"/>
      <c r="K549" s="59"/>
      <c r="L549" s="59"/>
      <c r="M549" s="60"/>
      <c r="N549" s="60"/>
      <c r="O549" s="60"/>
      <c r="P549" s="59"/>
      <c r="Q549" s="59"/>
      <c r="R549" s="60"/>
      <c r="S549" s="60"/>
      <c r="T549" s="60"/>
      <c r="U549" s="60"/>
      <c r="V549" s="60"/>
      <c r="W549" s="60"/>
    </row>
    <row r="550" spans="1:23" ht="13" x14ac:dyDescent="0.3">
      <c r="A550" s="58"/>
      <c r="B550" s="58"/>
      <c r="C550" s="58"/>
      <c r="D550" s="58"/>
      <c r="E550" s="58"/>
      <c r="F550" s="58"/>
      <c r="G550" s="58"/>
      <c r="H550" s="59"/>
      <c r="I550" s="59"/>
      <c r="J550" s="59"/>
      <c r="K550" s="59"/>
      <c r="L550" s="59"/>
      <c r="M550" s="60"/>
      <c r="N550" s="60"/>
      <c r="O550" s="60"/>
      <c r="P550" s="59"/>
      <c r="Q550" s="59"/>
      <c r="R550" s="60"/>
      <c r="S550" s="60"/>
      <c r="T550" s="60"/>
      <c r="U550" s="60"/>
      <c r="V550" s="60"/>
      <c r="W550" s="60"/>
    </row>
    <row r="551" spans="1:23" ht="13" x14ac:dyDescent="0.3">
      <c r="A551" s="58"/>
      <c r="B551" s="58"/>
      <c r="C551" s="58"/>
      <c r="D551" s="58"/>
      <c r="E551" s="58"/>
      <c r="F551" s="58"/>
      <c r="G551" s="58"/>
      <c r="H551" s="59"/>
      <c r="I551" s="59"/>
      <c r="J551" s="59"/>
      <c r="K551" s="59"/>
      <c r="L551" s="59"/>
      <c r="M551" s="60"/>
      <c r="N551" s="60"/>
      <c r="O551" s="60"/>
      <c r="P551" s="59"/>
      <c r="Q551" s="59"/>
      <c r="R551" s="60"/>
      <c r="S551" s="60"/>
      <c r="T551" s="60"/>
      <c r="U551" s="60"/>
      <c r="V551" s="60"/>
      <c r="W551" s="60"/>
    </row>
    <row r="552" spans="1:23" ht="13" x14ac:dyDescent="0.3">
      <c r="A552" s="58"/>
      <c r="B552" s="58"/>
      <c r="C552" s="58"/>
      <c r="D552" s="58"/>
      <c r="E552" s="58"/>
      <c r="F552" s="58"/>
      <c r="G552" s="58"/>
      <c r="H552" s="59"/>
      <c r="I552" s="59"/>
      <c r="J552" s="59"/>
      <c r="K552" s="59"/>
      <c r="L552" s="59"/>
      <c r="M552" s="60"/>
      <c r="N552" s="60"/>
      <c r="O552" s="60"/>
      <c r="P552" s="59"/>
      <c r="Q552" s="59"/>
      <c r="R552" s="60"/>
      <c r="S552" s="60"/>
      <c r="T552" s="60"/>
      <c r="U552" s="60"/>
      <c r="V552" s="60"/>
      <c r="W552" s="60"/>
    </row>
    <row r="553" spans="1:23" ht="13" x14ac:dyDescent="0.3">
      <c r="A553" s="58"/>
      <c r="B553" s="58"/>
      <c r="C553" s="58"/>
      <c r="D553" s="58"/>
      <c r="E553" s="58"/>
      <c r="F553" s="58"/>
      <c r="G553" s="58"/>
      <c r="H553" s="59"/>
      <c r="I553" s="59"/>
      <c r="J553" s="59"/>
      <c r="K553" s="59"/>
      <c r="L553" s="59"/>
      <c r="M553" s="60"/>
      <c r="N553" s="60"/>
      <c r="O553" s="60"/>
      <c r="P553" s="59"/>
      <c r="Q553" s="59"/>
      <c r="R553" s="60"/>
      <c r="S553" s="60"/>
      <c r="T553" s="60"/>
      <c r="U553" s="60"/>
      <c r="V553" s="60"/>
      <c r="W553" s="60"/>
    </row>
    <row r="554" spans="1:23" ht="13" x14ac:dyDescent="0.3">
      <c r="A554" s="58"/>
      <c r="B554" s="58"/>
      <c r="C554" s="58"/>
      <c r="D554" s="58"/>
      <c r="E554" s="58"/>
      <c r="F554" s="58"/>
      <c r="G554" s="58"/>
      <c r="H554" s="59"/>
      <c r="I554" s="59"/>
      <c r="J554" s="59"/>
      <c r="K554" s="59"/>
      <c r="L554" s="59"/>
      <c r="M554" s="60"/>
      <c r="N554" s="60"/>
      <c r="O554" s="60"/>
      <c r="P554" s="59"/>
      <c r="Q554" s="59"/>
      <c r="R554" s="60"/>
      <c r="S554" s="60"/>
      <c r="T554" s="60"/>
      <c r="U554" s="60"/>
      <c r="V554" s="60"/>
      <c r="W554" s="60"/>
    </row>
    <row r="555" spans="1:23" ht="13" x14ac:dyDescent="0.3">
      <c r="A555" s="58"/>
      <c r="B555" s="58"/>
      <c r="C555" s="58"/>
      <c r="D555" s="58"/>
      <c r="E555" s="58"/>
      <c r="F555" s="58"/>
      <c r="G555" s="58"/>
      <c r="H555" s="59"/>
      <c r="I555" s="59"/>
      <c r="J555" s="59"/>
      <c r="K555" s="59"/>
      <c r="L555" s="59"/>
      <c r="M555" s="60"/>
      <c r="N555" s="60"/>
      <c r="O555" s="60"/>
      <c r="P555" s="59"/>
      <c r="Q555" s="59"/>
      <c r="R555" s="60"/>
      <c r="S555" s="60"/>
      <c r="T555" s="60"/>
      <c r="U555" s="60"/>
      <c r="V555" s="60"/>
      <c r="W555" s="60"/>
    </row>
    <row r="556" spans="1:23" ht="13" x14ac:dyDescent="0.3">
      <c r="A556" s="58"/>
      <c r="B556" s="58"/>
      <c r="C556" s="58"/>
      <c r="D556" s="58"/>
      <c r="E556" s="58"/>
      <c r="F556" s="58"/>
      <c r="G556" s="58"/>
      <c r="H556" s="59"/>
      <c r="I556" s="59"/>
      <c r="J556" s="59"/>
      <c r="K556" s="59"/>
      <c r="L556" s="59"/>
      <c r="M556" s="60"/>
      <c r="N556" s="60"/>
      <c r="O556" s="60"/>
      <c r="P556" s="59"/>
      <c r="Q556" s="59"/>
      <c r="R556" s="60"/>
      <c r="S556" s="60"/>
      <c r="T556" s="60"/>
      <c r="U556" s="60"/>
      <c r="V556" s="60"/>
      <c r="W556" s="60"/>
    </row>
    <row r="557" spans="1:23" ht="13" x14ac:dyDescent="0.3">
      <c r="A557" s="58"/>
      <c r="B557" s="58"/>
      <c r="C557" s="58"/>
      <c r="D557" s="58"/>
      <c r="E557" s="58"/>
      <c r="F557" s="58"/>
      <c r="G557" s="58"/>
      <c r="H557" s="59"/>
      <c r="I557" s="59"/>
      <c r="J557" s="59"/>
      <c r="K557" s="59"/>
      <c r="L557" s="59"/>
      <c r="M557" s="60"/>
      <c r="N557" s="60"/>
      <c r="O557" s="60"/>
      <c r="P557" s="59"/>
      <c r="Q557" s="59"/>
      <c r="R557" s="60"/>
      <c r="S557" s="60"/>
      <c r="T557" s="60"/>
      <c r="U557" s="60"/>
      <c r="V557" s="60"/>
      <c r="W557" s="60"/>
    </row>
    <row r="558" spans="1:23" ht="13" x14ac:dyDescent="0.3">
      <c r="A558" s="58"/>
      <c r="B558" s="58"/>
      <c r="C558" s="58"/>
      <c r="D558" s="58"/>
      <c r="E558" s="58"/>
      <c r="F558" s="58"/>
      <c r="G558" s="58"/>
      <c r="H558" s="59"/>
      <c r="I558" s="59"/>
      <c r="J558" s="59"/>
      <c r="K558" s="59"/>
      <c r="L558" s="59"/>
      <c r="M558" s="60"/>
      <c r="N558" s="60"/>
      <c r="O558" s="60"/>
      <c r="P558" s="59"/>
      <c r="Q558" s="59"/>
      <c r="R558" s="60"/>
      <c r="S558" s="60"/>
      <c r="T558" s="60"/>
      <c r="U558" s="60"/>
      <c r="V558" s="60"/>
      <c r="W558" s="60"/>
    </row>
    <row r="559" spans="1:23" ht="13" x14ac:dyDescent="0.3">
      <c r="A559" s="58"/>
      <c r="B559" s="58"/>
      <c r="C559" s="58"/>
      <c r="D559" s="58"/>
      <c r="E559" s="58"/>
      <c r="F559" s="58"/>
      <c r="G559" s="58"/>
      <c r="H559" s="59"/>
      <c r="I559" s="59"/>
      <c r="J559" s="59"/>
      <c r="K559" s="59"/>
      <c r="L559" s="59"/>
      <c r="M559" s="60"/>
      <c r="N559" s="60"/>
      <c r="O559" s="60"/>
      <c r="P559" s="59"/>
      <c r="Q559" s="59"/>
      <c r="R559" s="60"/>
      <c r="S559" s="60"/>
      <c r="T559" s="60"/>
      <c r="U559" s="60"/>
      <c r="V559" s="60"/>
      <c r="W559" s="60"/>
    </row>
    <row r="560" spans="1:23" ht="13" x14ac:dyDescent="0.3">
      <c r="A560" s="58"/>
      <c r="B560" s="58"/>
      <c r="C560" s="58"/>
      <c r="D560" s="58"/>
      <c r="E560" s="58"/>
      <c r="F560" s="58"/>
      <c r="G560" s="58"/>
      <c r="H560" s="59"/>
      <c r="I560" s="59"/>
      <c r="J560" s="59"/>
      <c r="K560" s="59"/>
      <c r="L560" s="59"/>
      <c r="M560" s="60"/>
      <c r="N560" s="60"/>
      <c r="O560" s="60"/>
      <c r="P560" s="59"/>
      <c r="Q560" s="59"/>
      <c r="R560" s="60"/>
      <c r="S560" s="60"/>
      <c r="T560" s="60"/>
      <c r="U560" s="60"/>
      <c r="V560" s="60"/>
      <c r="W560" s="60"/>
    </row>
    <row r="561" spans="1:23" ht="13" x14ac:dyDescent="0.3">
      <c r="A561" s="58"/>
      <c r="B561" s="58"/>
      <c r="C561" s="58"/>
      <c r="D561" s="58"/>
      <c r="E561" s="58"/>
      <c r="F561" s="58"/>
      <c r="G561" s="58"/>
      <c r="H561" s="59"/>
      <c r="I561" s="59"/>
      <c r="J561" s="59"/>
      <c r="K561" s="59"/>
      <c r="L561" s="59"/>
      <c r="M561" s="60"/>
      <c r="N561" s="60"/>
      <c r="O561" s="60"/>
      <c r="P561" s="59"/>
      <c r="Q561" s="59"/>
      <c r="R561" s="60"/>
      <c r="S561" s="60"/>
      <c r="T561" s="60"/>
      <c r="U561" s="60"/>
      <c r="V561" s="60"/>
      <c r="W561" s="60"/>
    </row>
    <row r="562" spans="1:23" ht="13" x14ac:dyDescent="0.3">
      <c r="A562" s="58"/>
      <c r="B562" s="58"/>
      <c r="C562" s="58"/>
      <c r="D562" s="58"/>
      <c r="E562" s="58"/>
      <c r="F562" s="58"/>
      <c r="G562" s="58"/>
      <c r="H562" s="59"/>
      <c r="I562" s="59"/>
      <c r="J562" s="59"/>
      <c r="K562" s="59"/>
      <c r="L562" s="59"/>
      <c r="M562" s="60"/>
      <c r="N562" s="60"/>
      <c r="O562" s="60"/>
      <c r="P562" s="59"/>
      <c r="Q562" s="59"/>
      <c r="R562" s="60"/>
      <c r="S562" s="60"/>
      <c r="T562" s="60"/>
      <c r="U562" s="60"/>
      <c r="V562" s="60"/>
      <c r="W562" s="60"/>
    </row>
    <row r="563" spans="1:23" ht="13" x14ac:dyDescent="0.3">
      <c r="A563" s="58"/>
      <c r="B563" s="58"/>
      <c r="C563" s="58"/>
      <c r="D563" s="58"/>
      <c r="E563" s="58"/>
      <c r="F563" s="58"/>
      <c r="G563" s="58"/>
      <c r="H563" s="59"/>
      <c r="I563" s="59"/>
      <c r="J563" s="59"/>
      <c r="K563" s="59"/>
      <c r="L563" s="59"/>
      <c r="M563" s="60"/>
      <c r="N563" s="60"/>
      <c r="O563" s="60"/>
      <c r="P563" s="59"/>
      <c r="Q563" s="59"/>
      <c r="R563" s="60"/>
      <c r="S563" s="60"/>
      <c r="T563" s="60"/>
      <c r="U563" s="60"/>
      <c r="V563" s="60"/>
      <c r="W563" s="60"/>
    </row>
    <row r="564" spans="1:23" ht="13" x14ac:dyDescent="0.3">
      <c r="A564" s="58"/>
      <c r="B564" s="58"/>
      <c r="C564" s="58"/>
      <c r="D564" s="58"/>
      <c r="E564" s="58"/>
      <c r="F564" s="58"/>
      <c r="G564" s="58"/>
      <c r="H564" s="59"/>
      <c r="I564" s="59"/>
      <c r="J564" s="59"/>
      <c r="K564" s="59"/>
      <c r="L564" s="59"/>
      <c r="M564" s="60"/>
      <c r="N564" s="60"/>
      <c r="O564" s="60"/>
      <c r="P564" s="59"/>
      <c r="Q564" s="59"/>
      <c r="R564" s="60"/>
      <c r="S564" s="60"/>
      <c r="T564" s="60"/>
      <c r="U564" s="60"/>
      <c r="V564" s="60"/>
      <c r="W564" s="60"/>
    </row>
    <row r="565" spans="1:23" ht="13" x14ac:dyDescent="0.3">
      <c r="A565" s="58"/>
      <c r="B565" s="58"/>
      <c r="C565" s="58"/>
      <c r="D565" s="58"/>
      <c r="E565" s="58"/>
      <c r="F565" s="58"/>
      <c r="G565" s="58"/>
      <c r="H565" s="59"/>
      <c r="I565" s="59"/>
      <c r="J565" s="59"/>
      <c r="K565" s="59"/>
      <c r="L565" s="59"/>
      <c r="M565" s="60"/>
      <c r="N565" s="60"/>
      <c r="O565" s="60"/>
      <c r="P565" s="59"/>
      <c r="Q565" s="59"/>
      <c r="R565" s="60"/>
      <c r="S565" s="60"/>
      <c r="T565" s="60"/>
      <c r="U565" s="60"/>
      <c r="V565" s="60"/>
      <c r="W565" s="60"/>
    </row>
    <row r="566" spans="1:23" ht="13" x14ac:dyDescent="0.3">
      <c r="A566" s="58"/>
      <c r="B566" s="58"/>
      <c r="C566" s="58"/>
      <c r="D566" s="58"/>
      <c r="E566" s="58"/>
      <c r="F566" s="58"/>
      <c r="G566" s="58"/>
      <c r="H566" s="59"/>
      <c r="I566" s="59"/>
      <c r="J566" s="59"/>
      <c r="K566" s="59"/>
      <c r="L566" s="59"/>
      <c r="M566" s="60"/>
      <c r="N566" s="60"/>
      <c r="O566" s="60"/>
      <c r="P566" s="59"/>
      <c r="Q566" s="59"/>
      <c r="R566" s="60"/>
      <c r="S566" s="60"/>
      <c r="T566" s="60"/>
      <c r="U566" s="60"/>
      <c r="V566" s="60"/>
      <c r="W566" s="60"/>
    </row>
    <row r="567" spans="1:23" ht="13" x14ac:dyDescent="0.3">
      <c r="A567" s="58"/>
      <c r="B567" s="58"/>
      <c r="C567" s="58"/>
      <c r="D567" s="58"/>
      <c r="E567" s="58"/>
      <c r="F567" s="58"/>
      <c r="G567" s="58"/>
      <c r="H567" s="59"/>
      <c r="I567" s="59"/>
      <c r="J567" s="59"/>
      <c r="K567" s="59"/>
      <c r="L567" s="59"/>
      <c r="M567" s="60"/>
      <c r="N567" s="60"/>
      <c r="O567" s="60"/>
      <c r="P567" s="59"/>
      <c r="Q567" s="59"/>
      <c r="R567" s="60"/>
      <c r="S567" s="60"/>
      <c r="T567" s="60"/>
      <c r="U567" s="60"/>
      <c r="V567" s="60"/>
      <c r="W567" s="60"/>
    </row>
    <row r="568" spans="1:23" ht="13" x14ac:dyDescent="0.3">
      <c r="A568" s="58"/>
      <c r="B568" s="58"/>
      <c r="C568" s="58"/>
      <c r="D568" s="58"/>
      <c r="E568" s="58"/>
      <c r="F568" s="58"/>
      <c r="G568" s="58"/>
      <c r="H568" s="59"/>
      <c r="I568" s="59"/>
      <c r="J568" s="59"/>
      <c r="K568" s="59"/>
      <c r="L568" s="59"/>
      <c r="M568" s="60"/>
      <c r="N568" s="60"/>
      <c r="O568" s="60"/>
      <c r="P568" s="59"/>
      <c r="Q568" s="59"/>
      <c r="R568" s="60"/>
      <c r="S568" s="60"/>
      <c r="T568" s="60"/>
      <c r="U568" s="60"/>
      <c r="V568" s="60"/>
      <c r="W568" s="60"/>
    </row>
    <row r="569" spans="1:23" ht="13" x14ac:dyDescent="0.3">
      <c r="A569" s="58"/>
      <c r="B569" s="58"/>
      <c r="C569" s="58"/>
      <c r="D569" s="58"/>
      <c r="E569" s="58"/>
      <c r="F569" s="58"/>
      <c r="G569" s="58"/>
      <c r="H569" s="59"/>
      <c r="I569" s="59"/>
      <c r="J569" s="59"/>
      <c r="K569" s="59"/>
      <c r="L569" s="59"/>
      <c r="M569" s="60"/>
      <c r="N569" s="60"/>
      <c r="O569" s="60"/>
      <c r="P569" s="59"/>
      <c r="Q569" s="59"/>
      <c r="R569" s="60"/>
      <c r="S569" s="60"/>
      <c r="T569" s="60"/>
      <c r="U569" s="60"/>
      <c r="V569" s="60"/>
      <c r="W569" s="60"/>
    </row>
    <row r="570" spans="1:23" ht="13" x14ac:dyDescent="0.3">
      <c r="A570" s="58"/>
      <c r="B570" s="58"/>
      <c r="C570" s="58"/>
      <c r="D570" s="58"/>
      <c r="E570" s="58"/>
      <c r="F570" s="58"/>
      <c r="G570" s="58"/>
      <c r="H570" s="59"/>
      <c r="I570" s="59"/>
      <c r="J570" s="59"/>
      <c r="K570" s="59"/>
      <c r="L570" s="59"/>
      <c r="M570" s="60"/>
      <c r="N570" s="60"/>
      <c r="O570" s="60"/>
      <c r="P570" s="59"/>
      <c r="Q570" s="59"/>
      <c r="R570" s="60"/>
      <c r="S570" s="60"/>
      <c r="T570" s="60"/>
      <c r="U570" s="60"/>
      <c r="V570" s="60"/>
      <c r="W570" s="60"/>
    </row>
    <row r="571" spans="1:23" ht="13" x14ac:dyDescent="0.3">
      <c r="A571" s="58"/>
      <c r="B571" s="58"/>
      <c r="C571" s="58"/>
      <c r="D571" s="58"/>
      <c r="E571" s="58"/>
      <c r="F571" s="58"/>
      <c r="G571" s="58"/>
      <c r="H571" s="59"/>
      <c r="I571" s="59"/>
      <c r="J571" s="59"/>
      <c r="K571" s="59"/>
      <c r="L571" s="59"/>
      <c r="M571" s="60"/>
      <c r="N571" s="60"/>
      <c r="O571" s="60"/>
      <c r="P571" s="59"/>
      <c r="Q571" s="59"/>
      <c r="R571" s="60"/>
      <c r="S571" s="60"/>
      <c r="T571" s="60"/>
      <c r="U571" s="60"/>
      <c r="V571" s="60"/>
      <c r="W571" s="60"/>
    </row>
    <row r="572" spans="1:23" ht="13" x14ac:dyDescent="0.3">
      <c r="A572" s="58"/>
      <c r="B572" s="58"/>
      <c r="C572" s="58"/>
      <c r="D572" s="58"/>
      <c r="E572" s="58"/>
      <c r="F572" s="58"/>
      <c r="G572" s="58"/>
      <c r="H572" s="59"/>
      <c r="I572" s="59"/>
      <c r="J572" s="59"/>
      <c r="K572" s="59"/>
      <c r="L572" s="59"/>
      <c r="M572" s="60"/>
      <c r="N572" s="60"/>
      <c r="O572" s="60"/>
      <c r="P572" s="59"/>
      <c r="Q572" s="59"/>
      <c r="R572" s="60"/>
      <c r="S572" s="60"/>
      <c r="T572" s="60"/>
      <c r="U572" s="60"/>
      <c r="V572" s="60"/>
      <c r="W572" s="60"/>
    </row>
    <row r="573" spans="1:23" ht="13" x14ac:dyDescent="0.3">
      <c r="A573" s="58"/>
      <c r="B573" s="58"/>
      <c r="C573" s="58"/>
      <c r="D573" s="58"/>
      <c r="E573" s="58"/>
      <c r="F573" s="58"/>
      <c r="G573" s="58"/>
      <c r="H573" s="59"/>
      <c r="I573" s="59"/>
      <c r="J573" s="59"/>
      <c r="K573" s="59"/>
      <c r="L573" s="59"/>
      <c r="M573" s="60"/>
      <c r="N573" s="60"/>
      <c r="O573" s="60"/>
      <c r="P573" s="59"/>
      <c r="Q573" s="59"/>
      <c r="R573" s="60"/>
      <c r="S573" s="60"/>
      <c r="T573" s="60"/>
      <c r="U573" s="60"/>
      <c r="V573" s="60"/>
      <c r="W573" s="60"/>
    </row>
    <row r="574" spans="1:23" ht="13" x14ac:dyDescent="0.3">
      <c r="A574" s="58"/>
      <c r="B574" s="58"/>
      <c r="C574" s="58"/>
      <c r="D574" s="58"/>
      <c r="E574" s="58"/>
      <c r="F574" s="58"/>
      <c r="G574" s="58"/>
      <c r="H574" s="59"/>
      <c r="I574" s="59"/>
      <c r="J574" s="59"/>
      <c r="K574" s="59"/>
      <c r="L574" s="59"/>
      <c r="M574" s="60"/>
      <c r="N574" s="60"/>
      <c r="O574" s="60"/>
      <c r="P574" s="59"/>
      <c r="Q574" s="59"/>
      <c r="R574" s="60"/>
      <c r="S574" s="60"/>
      <c r="T574" s="60"/>
      <c r="U574" s="60"/>
      <c r="V574" s="60"/>
      <c r="W574" s="60"/>
    </row>
    <row r="575" spans="1:23" ht="13" x14ac:dyDescent="0.3">
      <c r="A575" s="58"/>
      <c r="B575" s="58"/>
      <c r="C575" s="58"/>
      <c r="D575" s="58"/>
      <c r="E575" s="58"/>
      <c r="F575" s="58"/>
      <c r="G575" s="58"/>
      <c r="H575" s="59"/>
      <c r="I575" s="59"/>
      <c r="J575" s="59"/>
      <c r="K575" s="59"/>
      <c r="L575" s="59"/>
      <c r="M575" s="60"/>
      <c r="N575" s="60"/>
      <c r="O575" s="60"/>
      <c r="P575" s="59"/>
      <c r="Q575" s="59"/>
      <c r="R575" s="60"/>
      <c r="S575" s="60"/>
      <c r="T575" s="60"/>
      <c r="U575" s="60"/>
      <c r="V575" s="60"/>
      <c r="W575" s="60"/>
    </row>
    <row r="576" spans="1:23" ht="13" x14ac:dyDescent="0.3">
      <c r="A576" s="58"/>
      <c r="B576" s="58"/>
      <c r="C576" s="58"/>
      <c r="D576" s="58"/>
      <c r="E576" s="58"/>
      <c r="F576" s="58"/>
      <c r="G576" s="58"/>
      <c r="H576" s="59"/>
      <c r="I576" s="59"/>
      <c r="J576" s="59"/>
      <c r="K576" s="59"/>
      <c r="L576" s="59"/>
      <c r="M576" s="60"/>
      <c r="N576" s="60"/>
      <c r="O576" s="60"/>
      <c r="P576" s="59"/>
      <c r="Q576" s="59"/>
      <c r="R576" s="60"/>
      <c r="S576" s="60"/>
      <c r="T576" s="60"/>
      <c r="U576" s="60"/>
      <c r="V576" s="60"/>
      <c r="W576" s="60"/>
    </row>
    <row r="577" spans="1:23" ht="13" x14ac:dyDescent="0.3">
      <c r="A577" s="58"/>
      <c r="B577" s="58"/>
      <c r="C577" s="58"/>
      <c r="D577" s="58"/>
      <c r="E577" s="58"/>
      <c r="F577" s="58"/>
      <c r="G577" s="58"/>
      <c r="H577" s="59"/>
      <c r="I577" s="59"/>
      <c r="J577" s="59"/>
      <c r="K577" s="59"/>
      <c r="L577" s="59"/>
      <c r="M577" s="60"/>
      <c r="N577" s="60"/>
      <c r="O577" s="60"/>
      <c r="P577" s="59"/>
      <c r="Q577" s="59"/>
      <c r="R577" s="60"/>
      <c r="S577" s="60"/>
      <c r="T577" s="60"/>
      <c r="U577" s="60"/>
      <c r="V577" s="60"/>
      <c r="W577" s="60"/>
    </row>
    <row r="578" spans="1:23" ht="13" x14ac:dyDescent="0.3">
      <c r="A578" s="58"/>
      <c r="B578" s="58"/>
      <c r="C578" s="58"/>
      <c r="D578" s="58"/>
      <c r="E578" s="58"/>
      <c r="F578" s="58"/>
      <c r="G578" s="58"/>
      <c r="H578" s="59"/>
      <c r="I578" s="59"/>
      <c r="J578" s="59"/>
      <c r="K578" s="59"/>
      <c r="L578" s="59"/>
      <c r="M578" s="60"/>
      <c r="N578" s="60"/>
      <c r="O578" s="60"/>
      <c r="P578" s="59"/>
      <c r="Q578" s="59"/>
      <c r="R578" s="60"/>
      <c r="S578" s="60"/>
      <c r="T578" s="60"/>
      <c r="U578" s="60"/>
      <c r="V578" s="60"/>
      <c r="W578" s="60"/>
    </row>
    <row r="579" spans="1:23" ht="13" x14ac:dyDescent="0.3">
      <c r="A579" s="58"/>
      <c r="B579" s="58"/>
      <c r="C579" s="58"/>
      <c r="D579" s="58"/>
      <c r="E579" s="58"/>
      <c r="F579" s="58"/>
      <c r="G579" s="58"/>
      <c r="H579" s="59"/>
      <c r="I579" s="59"/>
      <c r="J579" s="59"/>
      <c r="K579" s="59"/>
      <c r="L579" s="59"/>
      <c r="M579" s="60"/>
      <c r="N579" s="60"/>
      <c r="O579" s="60"/>
      <c r="P579" s="59"/>
      <c r="Q579" s="59"/>
      <c r="R579" s="60"/>
      <c r="S579" s="60"/>
      <c r="T579" s="60"/>
      <c r="U579" s="60"/>
      <c r="V579" s="60"/>
      <c r="W579" s="60"/>
    </row>
    <row r="580" spans="1:23" ht="13" x14ac:dyDescent="0.3">
      <c r="A580" s="58"/>
      <c r="B580" s="58"/>
      <c r="C580" s="58"/>
      <c r="D580" s="58"/>
      <c r="E580" s="58"/>
      <c r="F580" s="58"/>
      <c r="G580" s="58"/>
      <c r="H580" s="59"/>
      <c r="I580" s="59"/>
      <c r="J580" s="59"/>
      <c r="K580" s="59"/>
      <c r="L580" s="59"/>
      <c r="M580" s="60"/>
      <c r="N580" s="60"/>
      <c r="O580" s="60"/>
      <c r="P580" s="59"/>
      <c r="Q580" s="59"/>
      <c r="R580" s="60"/>
      <c r="S580" s="60"/>
      <c r="T580" s="60"/>
      <c r="U580" s="60"/>
      <c r="V580" s="60"/>
      <c r="W580" s="60"/>
    </row>
    <row r="581" spans="1:23" ht="13" x14ac:dyDescent="0.3">
      <c r="A581" s="58"/>
      <c r="B581" s="58"/>
      <c r="C581" s="58"/>
      <c r="D581" s="58"/>
      <c r="E581" s="58"/>
      <c r="F581" s="58"/>
      <c r="G581" s="58"/>
      <c r="H581" s="59"/>
      <c r="I581" s="59"/>
      <c r="J581" s="59"/>
      <c r="K581" s="59"/>
      <c r="L581" s="59"/>
      <c r="M581" s="60"/>
      <c r="N581" s="60"/>
      <c r="O581" s="60"/>
      <c r="P581" s="59"/>
      <c r="Q581" s="59"/>
      <c r="R581" s="60"/>
      <c r="S581" s="60"/>
      <c r="T581" s="60"/>
      <c r="U581" s="60"/>
      <c r="V581" s="60"/>
      <c r="W581" s="60"/>
    </row>
    <row r="582" spans="1:23" ht="13" x14ac:dyDescent="0.3">
      <c r="A582" s="58"/>
      <c r="B582" s="58"/>
      <c r="C582" s="58"/>
      <c r="D582" s="58"/>
      <c r="E582" s="58"/>
      <c r="F582" s="58"/>
      <c r="G582" s="58"/>
      <c r="H582" s="59"/>
      <c r="I582" s="59"/>
      <c r="J582" s="59"/>
      <c r="K582" s="59"/>
      <c r="L582" s="59"/>
      <c r="M582" s="60"/>
      <c r="N582" s="60"/>
      <c r="O582" s="60"/>
      <c r="P582" s="59"/>
      <c r="Q582" s="59"/>
      <c r="R582" s="60"/>
      <c r="S582" s="60"/>
      <c r="T582" s="60"/>
      <c r="U582" s="60"/>
      <c r="V582" s="60"/>
      <c r="W582" s="60"/>
    </row>
    <row r="583" spans="1:23" ht="13" x14ac:dyDescent="0.3">
      <c r="A583" s="58"/>
      <c r="B583" s="58"/>
      <c r="C583" s="58"/>
      <c r="D583" s="58"/>
      <c r="E583" s="58"/>
      <c r="F583" s="58"/>
      <c r="G583" s="58"/>
      <c r="H583" s="59"/>
      <c r="I583" s="59"/>
      <c r="J583" s="59"/>
      <c r="K583" s="59"/>
      <c r="L583" s="59"/>
      <c r="M583" s="60"/>
      <c r="N583" s="60"/>
      <c r="O583" s="60"/>
      <c r="P583" s="59"/>
      <c r="Q583" s="59"/>
      <c r="R583" s="60"/>
      <c r="S583" s="60"/>
      <c r="T583" s="60"/>
      <c r="U583" s="60"/>
      <c r="V583" s="60"/>
      <c r="W583" s="60"/>
    </row>
    <row r="584" spans="1:23" ht="13" x14ac:dyDescent="0.3">
      <c r="A584" s="58"/>
      <c r="B584" s="58"/>
      <c r="C584" s="58"/>
      <c r="D584" s="58"/>
      <c r="E584" s="58"/>
      <c r="F584" s="58"/>
      <c r="G584" s="58"/>
      <c r="H584" s="59"/>
      <c r="I584" s="59"/>
      <c r="J584" s="59"/>
      <c r="K584" s="59"/>
      <c r="L584" s="59"/>
      <c r="M584" s="60"/>
      <c r="N584" s="60"/>
      <c r="O584" s="60"/>
      <c r="P584" s="59"/>
      <c r="Q584" s="59"/>
      <c r="R584" s="60"/>
      <c r="S584" s="60"/>
      <c r="T584" s="60"/>
      <c r="U584" s="60"/>
      <c r="V584" s="60"/>
      <c r="W584" s="60"/>
    </row>
    <row r="585" spans="1:23" ht="13" x14ac:dyDescent="0.3">
      <c r="A585" s="58"/>
      <c r="B585" s="58"/>
      <c r="C585" s="58"/>
      <c r="D585" s="58"/>
      <c r="E585" s="58"/>
      <c r="F585" s="58"/>
      <c r="G585" s="58"/>
      <c r="H585" s="59"/>
      <c r="I585" s="59"/>
      <c r="J585" s="59"/>
      <c r="K585" s="59"/>
      <c r="L585" s="59"/>
      <c r="M585" s="60"/>
      <c r="N585" s="60"/>
      <c r="O585" s="60"/>
      <c r="P585" s="59"/>
      <c r="Q585" s="59"/>
      <c r="R585" s="60"/>
      <c r="S585" s="60"/>
      <c r="T585" s="60"/>
      <c r="U585" s="60"/>
      <c r="V585" s="60"/>
      <c r="W585" s="60"/>
    </row>
    <row r="586" spans="1:23" ht="13" x14ac:dyDescent="0.3">
      <c r="A586" s="58"/>
      <c r="B586" s="58"/>
      <c r="C586" s="58"/>
      <c r="D586" s="58"/>
      <c r="E586" s="58"/>
      <c r="F586" s="58"/>
      <c r="G586" s="58"/>
      <c r="H586" s="59"/>
      <c r="I586" s="59"/>
      <c r="J586" s="59"/>
      <c r="K586" s="59"/>
      <c r="L586" s="59"/>
      <c r="M586" s="60"/>
      <c r="N586" s="60"/>
      <c r="O586" s="60"/>
      <c r="P586" s="59"/>
      <c r="Q586" s="59"/>
      <c r="R586" s="60"/>
      <c r="S586" s="60"/>
      <c r="T586" s="60"/>
      <c r="U586" s="60"/>
      <c r="V586" s="60"/>
      <c r="W586" s="60"/>
    </row>
    <row r="587" spans="1:23" ht="13" x14ac:dyDescent="0.3">
      <c r="A587" s="58"/>
      <c r="B587" s="58"/>
      <c r="C587" s="58"/>
      <c r="D587" s="58"/>
      <c r="E587" s="58"/>
      <c r="F587" s="58"/>
      <c r="G587" s="58"/>
      <c r="H587" s="59"/>
      <c r="I587" s="59"/>
      <c r="J587" s="59"/>
      <c r="K587" s="59"/>
      <c r="L587" s="59"/>
      <c r="M587" s="60"/>
      <c r="N587" s="60"/>
      <c r="O587" s="60"/>
      <c r="P587" s="59"/>
      <c r="Q587" s="59"/>
      <c r="R587" s="60"/>
      <c r="S587" s="60"/>
      <c r="T587" s="60"/>
      <c r="U587" s="60"/>
      <c r="V587" s="60"/>
      <c r="W587" s="60"/>
    </row>
    <row r="588" spans="1:23" ht="13" x14ac:dyDescent="0.3">
      <c r="A588" s="58"/>
      <c r="B588" s="58"/>
      <c r="C588" s="58"/>
      <c r="D588" s="58"/>
      <c r="E588" s="58"/>
      <c r="F588" s="58"/>
      <c r="G588" s="58"/>
      <c r="H588" s="59"/>
      <c r="I588" s="59"/>
      <c r="J588" s="59"/>
      <c r="K588" s="59"/>
      <c r="L588" s="59"/>
      <c r="M588" s="60"/>
      <c r="N588" s="60"/>
      <c r="O588" s="60"/>
      <c r="P588" s="59"/>
      <c r="Q588" s="59"/>
      <c r="R588" s="60"/>
      <c r="S588" s="60"/>
      <c r="T588" s="60"/>
      <c r="U588" s="60"/>
      <c r="V588" s="60"/>
      <c r="W588" s="60"/>
    </row>
    <row r="589" spans="1:23" ht="13" x14ac:dyDescent="0.3">
      <c r="A589" s="58"/>
      <c r="B589" s="58"/>
      <c r="C589" s="58"/>
      <c r="D589" s="58"/>
      <c r="E589" s="58"/>
      <c r="F589" s="58"/>
      <c r="G589" s="58"/>
      <c r="H589" s="59"/>
      <c r="I589" s="59"/>
      <c r="J589" s="59"/>
      <c r="K589" s="59"/>
      <c r="L589" s="59"/>
      <c r="M589" s="60"/>
      <c r="N589" s="60"/>
      <c r="O589" s="60"/>
      <c r="P589" s="59"/>
      <c r="Q589" s="59"/>
      <c r="R589" s="60"/>
      <c r="S589" s="60"/>
      <c r="T589" s="60"/>
      <c r="U589" s="60"/>
      <c r="V589" s="60"/>
      <c r="W589" s="60"/>
    </row>
    <row r="590" spans="1:23" ht="13" x14ac:dyDescent="0.3">
      <c r="A590" s="58"/>
      <c r="B590" s="58"/>
      <c r="C590" s="58"/>
      <c r="D590" s="58"/>
      <c r="E590" s="58"/>
      <c r="F590" s="58"/>
      <c r="G590" s="58"/>
      <c r="H590" s="59"/>
      <c r="I590" s="59"/>
      <c r="J590" s="59"/>
      <c r="K590" s="59"/>
      <c r="L590" s="59"/>
      <c r="M590" s="60"/>
      <c r="N590" s="60"/>
      <c r="O590" s="60"/>
      <c r="P590" s="59"/>
      <c r="Q590" s="59"/>
      <c r="R590" s="60"/>
      <c r="S590" s="60"/>
      <c r="T590" s="60"/>
      <c r="U590" s="60"/>
      <c r="V590" s="60"/>
      <c r="W590" s="60"/>
    </row>
    <row r="591" spans="1:23" ht="13" x14ac:dyDescent="0.3">
      <c r="A591" s="58"/>
      <c r="B591" s="58"/>
      <c r="C591" s="58"/>
      <c r="D591" s="58"/>
      <c r="E591" s="58"/>
      <c r="F591" s="58"/>
      <c r="G591" s="58"/>
      <c r="H591" s="59"/>
      <c r="I591" s="59"/>
      <c r="J591" s="59"/>
      <c r="K591" s="59"/>
      <c r="L591" s="59"/>
      <c r="M591" s="60"/>
      <c r="N591" s="60"/>
      <c r="O591" s="60"/>
      <c r="P591" s="59"/>
      <c r="Q591" s="59"/>
      <c r="R591" s="60"/>
      <c r="S591" s="60"/>
      <c r="T591" s="60"/>
      <c r="U591" s="60"/>
      <c r="V591" s="60"/>
      <c r="W591" s="60"/>
    </row>
    <row r="592" spans="1:23" ht="13" x14ac:dyDescent="0.3">
      <c r="A592" s="58"/>
      <c r="B592" s="58"/>
      <c r="C592" s="58"/>
      <c r="D592" s="58"/>
      <c r="E592" s="58"/>
      <c r="F592" s="58"/>
      <c r="G592" s="58"/>
      <c r="H592" s="59"/>
      <c r="I592" s="59"/>
      <c r="J592" s="59"/>
      <c r="K592" s="59"/>
      <c r="L592" s="59"/>
      <c r="M592" s="60"/>
      <c r="N592" s="60"/>
      <c r="O592" s="60"/>
      <c r="P592" s="59"/>
      <c r="Q592" s="59"/>
      <c r="R592" s="60"/>
      <c r="S592" s="60"/>
      <c r="T592" s="60"/>
      <c r="U592" s="60"/>
      <c r="V592" s="60"/>
      <c r="W592" s="60"/>
    </row>
    <row r="593" spans="1:23" ht="13" x14ac:dyDescent="0.3">
      <c r="A593" s="58"/>
      <c r="B593" s="58"/>
      <c r="C593" s="58"/>
      <c r="D593" s="58"/>
      <c r="E593" s="58"/>
      <c r="F593" s="58"/>
      <c r="G593" s="58"/>
      <c r="H593" s="59"/>
      <c r="I593" s="59"/>
      <c r="J593" s="59"/>
      <c r="K593" s="59"/>
      <c r="L593" s="59"/>
      <c r="M593" s="60"/>
      <c r="N593" s="60"/>
      <c r="O593" s="60"/>
      <c r="P593" s="59"/>
      <c r="Q593" s="59"/>
      <c r="R593" s="60"/>
      <c r="S593" s="60"/>
      <c r="T593" s="60"/>
      <c r="U593" s="60"/>
      <c r="V593" s="60"/>
      <c r="W593" s="60"/>
    </row>
    <row r="594" spans="1:23" ht="13" x14ac:dyDescent="0.3">
      <c r="A594" s="58"/>
      <c r="B594" s="58"/>
      <c r="C594" s="58"/>
      <c r="D594" s="58"/>
      <c r="E594" s="58"/>
      <c r="F594" s="58"/>
      <c r="G594" s="58"/>
      <c r="H594" s="59"/>
      <c r="I594" s="59"/>
      <c r="J594" s="59"/>
      <c r="K594" s="59"/>
      <c r="L594" s="59"/>
      <c r="M594" s="60"/>
      <c r="N594" s="60"/>
      <c r="O594" s="60"/>
      <c r="P594" s="59"/>
      <c r="Q594" s="59"/>
      <c r="R594" s="60"/>
      <c r="S594" s="60"/>
      <c r="T594" s="60"/>
      <c r="U594" s="60"/>
      <c r="V594" s="60"/>
      <c r="W594" s="60"/>
    </row>
    <row r="595" spans="1:23" ht="13" x14ac:dyDescent="0.3">
      <c r="A595" s="58"/>
      <c r="B595" s="58"/>
      <c r="C595" s="58"/>
      <c r="D595" s="58"/>
      <c r="E595" s="58"/>
      <c r="F595" s="58"/>
      <c r="G595" s="58"/>
      <c r="H595" s="59"/>
      <c r="I595" s="59"/>
      <c r="J595" s="59"/>
      <c r="K595" s="59"/>
      <c r="L595" s="59"/>
      <c r="M595" s="60"/>
      <c r="N595" s="60"/>
      <c r="O595" s="60"/>
      <c r="P595" s="59"/>
      <c r="Q595" s="59"/>
      <c r="R595" s="60"/>
      <c r="S595" s="60"/>
      <c r="T595" s="60"/>
      <c r="U595" s="60"/>
      <c r="V595" s="60"/>
      <c r="W595" s="60"/>
    </row>
    <row r="596" spans="1:23" ht="13" x14ac:dyDescent="0.3">
      <c r="A596" s="58"/>
      <c r="B596" s="58"/>
      <c r="C596" s="58"/>
      <c r="D596" s="58"/>
      <c r="E596" s="58"/>
      <c r="F596" s="58"/>
      <c r="G596" s="58"/>
      <c r="H596" s="59"/>
      <c r="I596" s="59"/>
      <c r="J596" s="59"/>
      <c r="K596" s="59"/>
      <c r="L596" s="59"/>
      <c r="M596" s="60"/>
      <c r="N596" s="60"/>
      <c r="O596" s="60"/>
      <c r="P596" s="59"/>
      <c r="Q596" s="59"/>
      <c r="R596" s="60"/>
      <c r="S596" s="60"/>
      <c r="T596" s="60"/>
      <c r="U596" s="60"/>
      <c r="V596" s="60"/>
      <c r="W596" s="60"/>
    </row>
    <row r="597" spans="1:23" ht="13" x14ac:dyDescent="0.3">
      <c r="A597" s="58"/>
      <c r="B597" s="58"/>
      <c r="C597" s="58"/>
      <c r="D597" s="58"/>
      <c r="E597" s="58"/>
      <c r="F597" s="58"/>
      <c r="G597" s="58"/>
      <c r="H597" s="59"/>
      <c r="I597" s="59"/>
      <c r="J597" s="59"/>
      <c r="K597" s="59"/>
      <c r="L597" s="59"/>
      <c r="M597" s="60"/>
      <c r="N597" s="60"/>
      <c r="O597" s="60"/>
      <c r="P597" s="59"/>
      <c r="Q597" s="59"/>
      <c r="R597" s="60"/>
      <c r="S597" s="60"/>
      <c r="T597" s="60"/>
      <c r="U597" s="60"/>
      <c r="V597" s="60"/>
      <c r="W597" s="60"/>
    </row>
    <row r="598" spans="1:23" ht="13" x14ac:dyDescent="0.3">
      <c r="A598" s="58"/>
      <c r="B598" s="58"/>
      <c r="C598" s="58"/>
      <c r="D598" s="58"/>
      <c r="E598" s="58"/>
      <c r="F598" s="58"/>
      <c r="G598" s="58"/>
      <c r="H598" s="59"/>
      <c r="I598" s="59"/>
      <c r="J598" s="59"/>
      <c r="K598" s="59"/>
      <c r="L598" s="59"/>
      <c r="M598" s="60"/>
      <c r="N598" s="60"/>
      <c r="O598" s="60"/>
      <c r="P598" s="59"/>
      <c r="Q598" s="59"/>
      <c r="R598" s="60"/>
      <c r="S598" s="60"/>
      <c r="T598" s="60"/>
      <c r="U598" s="60"/>
      <c r="V598" s="60"/>
      <c r="W598" s="60"/>
    </row>
    <row r="599" spans="1:23" ht="13" x14ac:dyDescent="0.3">
      <c r="A599" s="58"/>
      <c r="B599" s="58"/>
      <c r="C599" s="58"/>
      <c r="D599" s="58"/>
      <c r="E599" s="58"/>
      <c r="F599" s="58"/>
      <c r="G599" s="58"/>
      <c r="H599" s="59"/>
      <c r="I599" s="59"/>
      <c r="J599" s="59"/>
      <c r="K599" s="59"/>
      <c r="L599" s="59"/>
      <c r="M599" s="60"/>
      <c r="N599" s="60"/>
      <c r="O599" s="60"/>
      <c r="P599" s="59"/>
      <c r="Q599" s="59"/>
      <c r="R599" s="60"/>
      <c r="S599" s="60"/>
      <c r="T599" s="60"/>
      <c r="U599" s="60"/>
      <c r="V599" s="60"/>
      <c r="W599" s="60"/>
    </row>
    <row r="600" spans="1:23" ht="13" x14ac:dyDescent="0.3">
      <c r="A600" s="58"/>
      <c r="B600" s="58"/>
      <c r="C600" s="58"/>
      <c r="D600" s="58"/>
      <c r="E600" s="58"/>
      <c r="F600" s="58"/>
      <c r="G600" s="58"/>
      <c r="H600" s="59"/>
      <c r="I600" s="59"/>
      <c r="J600" s="59"/>
      <c r="K600" s="59"/>
      <c r="L600" s="59"/>
      <c r="M600" s="60"/>
      <c r="N600" s="60"/>
      <c r="O600" s="60"/>
      <c r="P600" s="59"/>
      <c r="Q600" s="59"/>
      <c r="R600" s="60"/>
      <c r="S600" s="60"/>
      <c r="T600" s="60"/>
      <c r="U600" s="60"/>
      <c r="V600" s="60"/>
      <c r="W600" s="60"/>
    </row>
    <row r="601" spans="1:23" ht="13" x14ac:dyDescent="0.3">
      <c r="A601" s="58"/>
      <c r="B601" s="58"/>
      <c r="C601" s="58"/>
      <c r="D601" s="58"/>
      <c r="E601" s="58"/>
      <c r="F601" s="58"/>
      <c r="G601" s="58"/>
      <c r="H601" s="59"/>
      <c r="I601" s="59"/>
      <c r="J601" s="59"/>
      <c r="K601" s="59"/>
      <c r="L601" s="59"/>
      <c r="M601" s="60"/>
      <c r="N601" s="60"/>
      <c r="O601" s="60"/>
      <c r="P601" s="59"/>
      <c r="Q601" s="59"/>
      <c r="R601" s="60"/>
      <c r="S601" s="60"/>
      <c r="T601" s="60"/>
      <c r="U601" s="60"/>
      <c r="V601" s="60"/>
      <c r="W601" s="60"/>
    </row>
    <row r="602" spans="1:23" ht="13" x14ac:dyDescent="0.3">
      <c r="A602" s="58"/>
      <c r="B602" s="58"/>
      <c r="C602" s="58"/>
      <c r="D602" s="58"/>
      <c r="E602" s="58"/>
      <c r="F602" s="58"/>
      <c r="G602" s="58"/>
      <c r="H602" s="59"/>
      <c r="I602" s="59"/>
      <c r="J602" s="59"/>
      <c r="K602" s="59"/>
      <c r="L602" s="59"/>
      <c r="M602" s="60"/>
      <c r="N602" s="60"/>
      <c r="O602" s="60"/>
      <c r="P602" s="59"/>
      <c r="Q602" s="59"/>
      <c r="R602" s="60"/>
      <c r="S602" s="60"/>
      <c r="T602" s="60"/>
      <c r="U602" s="60"/>
      <c r="V602" s="60"/>
      <c r="W602" s="60"/>
    </row>
    <row r="603" spans="1:23" ht="13" x14ac:dyDescent="0.3">
      <c r="A603" s="58"/>
      <c r="B603" s="58"/>
      <c r="C603" s="58"/>
      <c r="D603" s="58"/>
      <c r="E603" s="58"/>
      <c r="F603" s="58"/>
      <c r="G603" s="58"/>
      <c r="H603" s="59"/>
      <c r="I603" s="59"/>
      <c r="J603" s="59"/>
      <c r="K603" s="59"/>
      <c r="L603" s="59"/>
      <c r="M603" s="60"/>
      <c r="N603" s="60"/>
      <c r="O603" s="60"/>
      <c r="P603" s="59"/>
      <c r="Q603" s="59"/>
      <c r="R603" s="60"/>
      <c r="S603" s="60"/>
      <c r="T603" s="60"/>
      <c r="U603" s="60"/>
      <c r="V603" s="60"/>
      <c r="W603" s="60"/>
    </row>
    <row r="604" spans="1:23" ht="13" x14ac:dyDescent="0.3">
      <c r="A604" s="58"/>
      <c r="B604" s="58"/>
      <c r="C604" s="58"/>
      <c r="D604" s="58"/>
      <c r="E604" s="58"/>
      <c r="F604" s="58"/>
      <c r="G604" s="58"/>
      <c r="H604" s="59"/>
      <c r="I604" s="59"/>
      <c r="J604" s="59"/>
      <c r="K604" s="59"/>
      <c r="L604" s="59"/>
      <c r="M604" s="60"/>
      <c r="N604" s="60"/>
      <c r="O604" s="60"/>
      <c r="P604" s="59"/>
      <c r="Q604" s="59"/>
      <c r="R604" s="60"/>
      <c r="S604" s="60"/>
      <c r="T604" s="60"/>
      <c r="U604" s="60"/>
      <c r="V604" s="60"/>
      <c r="W604" s="60"/>
    </row>
    <row r="605" spans="1:23" ht="13" x14ac:dyDescent="0.3">
      <c r="A605" s="58"/>
      <c r="B605" s="58"/>
      <c r="C605" s="58"/>
      <c r="D605" s="58"/>
      <c r="E605" s="58"/>
      <c r="F605" s="58"/>
      <c r="G605" s="58"/>
      <c r="H605" s="59"/>
      <c r="I605" s="59"/>
      <c r="J605" s="59"/>
      <c r="K605" s="59"/>
      <c r="L605" s="59"/>
      <c r="M605" s="60"/>
      <c r="N605" s="60"/>
      <c r="O605" s="60"/>
      <c r="P605" s="59"/>
      <c r="Q605" s="59"/>
      <c r="R605" s="60"/>
      <c r="S605" s="60"/>
      <c r="T605" s="60"/>
      <c r="U605" s="60"/>
      <c r="V605" s="60"/>
      <c r="W605" s="60"/>
    </row>
    <row r="606" spans="1:23" ht="13" x14ac:dyDescent="0.3">
      <c r="A606" s="58"/>
      <c r="B606" s="58"/>
      <c r="C606" s="58"/>
      <c r="D606" s="58"/>
      <c r="E606" s="58"/>
      <c r="F606" s="58"/>
      <c r="G606" s="58"/>
      <c r="H606" s="59"/>
      <c r="I606" s="59"/>
      <c r="J606" s="59"/>
      <c r="K606" s="59"/>
      <c r="L606" s="59"/>
      <c r="M606" s="60"/>
      <c r="N606" s="60"/>
      <c r="O606" s="60"/>
      <c r="P606" s="59"/>
      <c r="Q606" s="59"/>
      <c r="R606" s="60"/>
      <c r="S606" s="60"/>
      <c r="T606" s="60"/>
      <c r="U606" s="60"/>
      <c r="V606" s="60"/>
      <c r="W606" s="60"/>
    </row>
    <row r="607" spans="1:23" ht="13" x14ac:dyDescent="0.3">
      <c r="A607" s="58"/>
      <c r="B607" s="58"/>
      <c r="C607" s="58"/>
      <c r="D607" s="58"/>
      <c r="E607" s="58"/>
      <c r="F607" s="58"/>
      <c r="G607" s="58"/>
      <c r="H607" s="59"/>
      <c r="I607" s="59"/>
      <c r="J607" s="59"/>
      <c r="K607" s="59"/>
      <c r="L607" s="59"/>
      <c r="M607" s="60"/>
      <c r="N607" s="60"/>
      <c r="O607" s="60"/>
      <c r="P607" s="59"/>
      <c r="Q607" s="59"/>
      <c r="R607" s="60"/>
      <c r="S607" s="60"/>
      <c r="T607" s="60"/>
      <c r="U607" s="60"/>
      <c r="V607" s="60"/>
      <c r="W607" s="60"/>
    </row>
    <row r="608" spans="1:23" ht="13" x14ac:dyDescent="0.3">
      <c r="A608" s="58"/>
      <c r="B608" s="58"/>
      <c r="C608" s="58"/>
      <c r="D608" s="58"/>
      <c r="E608" s="58"/>
      <c r="F608" s="58"/>
      <c r="G608" s="58"/>
      <c r="H608" s="59"/>
      <c r="I608" s="59"/>
      <c r="J608" s="59"/>
      <c r="K608" s="59"/>
      <c r="L608" s="59"/>
      <c r="M608" s="60"/>
      <c r="N608" s="60"/>
      <c r="O608" s="60"/>
      <c r="P608" s="59"/>
      <c r="Q608" s="59"/>
      <c r="R608" s="60"/>
      <c r="S608" s="60"/>
      <c r="T608" s="60"/>
      <c r="U608" s="60"/>
      <c r="V608" s="60"/>
      <c r="W608" s="60"/>
    </row>
    <row r="609" spans="1:23" ht="13" x14ac:dyDescent="0.3">
      <c r="A609" s="58"/>
      <c r="B609" s="58"/>
      <c r="C609" s="58"/>
      <c r="D609" s="58"/>
      <c r="E609" s="58"/>
      <c r="F609" s="58"/>
      <c r="G609" s="58"/>
      <c r="H609" s="59"/>
      <c r="I609" s="59"/>
      <c r="J609" s="59"/>
      <c r="K609" s="59"/>
      <c r="L609" s="59"/>
      <c r="M609" s="60"/>
      <c r="N609" s="60"/>
      <c r="O609" s="60"/>
      <c r="P609" s="59"/>
      <c r="Q609" s="59"/>
      <c r="R609" s="60"/>
      <c r="S609" s="60"/>
      <c r="T609" s="60"/>
      <c r="U609" s="60"/>
      <c r="V609" s="60"/>
      <c r="W609" s="60"/>
    </row>
    <row r="610" spans="1:23" ht="13" x14ac:dyDescent="0.3">
      <c r="A610" s="58"/>
      <c r="B610" s="58"/>
      <c r="C610" s="58"/>
      <c r="D610" s="58"/>
      <c r="E610" s="58"/>
      <c r="F610" s="58"/>
      <c r="G610" s="58"/>
      <c r="H610" s="59"/>
      <c r="I610" s="59"/>
      <c r="J610" s="59"/>
      <c r="K610" s="59"/>
      <c r="L610" s="59"/>
      <c r="M610" s="60"/>
      <c r="N610" s="60"/>
      <c r="O610" s="60"/>
      <c r="P610" s="59"/>
      <c r="Q610" s="59"/>
      <c r="R610" s="60"/>
      <c r="S610" s="60"/>
      <c r="T610" s="60"/>
      <c r="U610" s="60"/>
      <c r="V610" s="60"/>
      <c r="W610" s="60"/>
    </row>
    <row r="611" spans="1:23" ht="13" x14ac:dyDescent="0.3">
      <c r="A611" s="58"/>
      <c r="B611" s="58"/>
      <c r="C611" s="58"/>
      <c r="D611" s="58"/>
      <c r="E611" s="58"/>
      <c r="F611" s="58"/>
      <c r="G611" s="58"/>
      <c r="H611" s="59"/>
      <c r="I611" s="59"/>
      <c r="J611" s="59"/>
      <c r="K611" s="59"/>
      <c r="L611" s="59"/>
      <c r="M611" s="60"/>
      <c r="N611" s="60"/>
      <c r="O611" s="60"/>
      <c r="P611" s="59"/>
      <c r="Q611" s="59"/>
      <c r="R611" s="60"/>
      <c r="S611" s="60"/>
      <c r="T611" s="60"/>
      <c r="U611" s="60"/>
      <c r="V611" s="60"/>
      <c r="W611" s="60"/>
    </row>
    <row r="612" spans="1:23" ht="13" x14ac:dyDescent="0.3">
      <c r="A612" s="58"/>
      <c r="B612" s="58"/>
      <c r="C612" s="58"/>
      <c r="D612" s="58"/>
      <c r="E612" s="58"/>
      <c r="F612" s="58"/>
      <c r="G612" s="58"/>
      <c r="H612" s="59"/>
      <c r="I612" s="59"/>
      <c r="J612" s="59"/>
      <c r="K612" s="59"/>
      <c r="L612" s="59"/>
      <c r="M612" s="60"/>
      <c r="N612" s="60"/>
      <c r="O612" s="60"/>
      <c r="P612" s="59"/>
      <c r="Q612" s="59"/>
      <c r="R612" s="60"/>
      <c r="S612" s="60"/>
      <c r="T612" s="60"/>
      <c r="U612" s="60"/>
      <c r="V612" s="60"/>
      <c r="W612" s="60"/>
    </row>
    <row r="613" spans="1:23" ht="13" x14ac:dyDescent="0.3">
      <c r="A613" s="58"/>
      <c r="B613" s="58"/>
      <c r="C613" s="58"/>
      <c r="D613" s="58"/>
      <c r="E613" s="58"/>
      <c r="F613" s="58"/>
      <c r="G613" s="58"/>
      <c r="H613" s="59"/>
      <c r="I613" s="59"/>
      <c r="J613" s="59"/>
      <c r="K613" s="59"/>
      <c r="L613" s="59"/>
      <c r="M613" s="60"/>
      <c r="N613" s="60"/>
      <c r="O613" s="60"/>
      <c r="P613" s="59"/>
      <c r="Q613" s="59"/>
      <c r="R613" s="60"/>
      <c r="S613" s="60"/>
      <c r="T613" s="60"/>
      <c r="U613" s="60"/>
      <c r="V613" s="60"/>
      <c r="W613" s="60"/>
    </row>
    <row r="614" spans="1:23" ht="13" x14ac:dyDescent="0.3">
      <c r="A614" s="58"/>
      <c r="B614" s="58"/>
      <c r="C614" s="58"/>
      <c r="D614" s="58"/>
      <c r="E614" s="58"/>
      <c r="F614" s="58"/>
      <c r="G614" s="58"/>
      <c r="H614" s="59"/>
      <c r="I614" s="59"/>
      <c r="J614" s="59"/>
      <c r="K614" s="59"/>
      <c r="L614" s="59"/>
      <c r="M614" s="60"/>
      <c r="N614" s="60"/>
      <c r="O614" s="60"/>
      <c r="P614" s="59"/>
      <c r="Q614" s="59"/>
      <c r="R614" s="60"/>
      <c r="S614" s="60"/>
      <c r="T614" s="60"/>
      <c r="U614" s="60"/>
      <c r="V614" s="60"/>
      <c r="W614" s="60"/>
    </row>
    <row r="615" spans="1:23" ht="13" x14ac:dyDescent="0.3">
      <c r="A615" s="58"/>
      <c r="B615" s="58"/>
      <c r="C615" s="58"/>
      <c r="D615" s="58"/>
      <c r="E615" s="58"/>
      <c r="F615" s="58"/>
      <c r="G615" s="58"/>
      <c r="H615" s="59"/>
      <c r="I615" s="59"/>
      <c r="J615" s="59"/>
      <c r="K615" s="59"/>
      <c r="L615" s="59"/>
      <c r="M615" s="60"/>
      <c r="N615" s="60"/>
      <c r="O615" s="60"/>
      <c r="P615" s="59"/>
      <c r="Q615" s="59"/>
      <c r="R615" s="60"/>
      <c r="S615" s="60"/>
      <c r="T615" s="60"/>
      <c r="U615" s="60"/>
      <c r="V615" s="60"/>
      <c r="W615" s="60"/>
    </row>
    <row r="616" spans="1:23" ht="13" x14ac:dyDescent="0.3">
      <c r="A616" s="58"/>
      <c r="B616" s="58"/>
      <c r="C616" s="58"/>
      <c r="D616" s="58"/>
      <c r="E616" s="58"/>
      <c r="F616" s="58"/>
      <c r="G616" s="58"/>
      <c r="H616" s="59"/>
      <c r="I616" s="59"/>
      <c r="J616" s="59"/>
      <c r="K616" s="59"/>
      <c r="L616" s="59"/>
      <c r="M616" s="60"/>
      <c r="N616" s="60"/>
      <c r="O616" s="60"/>
      <c r="P616" s="59"/>
      <c r="Q616" s="59"/>
      <c r="R616" s="60"/>
      <c r="S616" s="60"/>
      <c r="T616" s="60"/>
      <c r="U616" s="60"/>
      <c r="V616" s="60"/>
      <c r="W616" s="60"/>
    </row>
    <row r="617" spans="1:23" ht="13" x14ac:dyDescent="0.3">
      <c r="A617" s="58"/>
      <c r="B617" s="58"/>
      <c r="C617" s="58"/>
      <c r="D617" s="58"/>
      <c r="E617" s="58"/>
      <c r="F617" s="58"/>
      <c r="G617" s="58"/>
      <c r="H617" s="59"/>
      <c r="I617" s="59"/>
      <c r="J617" s="59"/>
      <c r="K617" s="59"/>
      <c r="L617" s="59"/>
      <c r="M617" s="60"/>
      <c r="N617" s="60"/>
      <c r="O617" s="60"/>
      <c r="P617" s="59"/>
      <c r="Q617" s="59"/>
      <c r="R617" s="60"/>
      <c r="S617" s="60"/>
      <c r="T617" s="60"/>
      <c r="U617" s="60"/>
      <c r="V617" s="60"/>
      <c r="W617" s="60"/>
    </row>
    <row r="618" spans="1:23" ht="13" x14ac:dyDescent="0.3">
      <c r="A618" s="58"/>
      <c r="B618" s="58"/>
      <c r="C618" s="58"/>
      <c r="D618" s="58"/>
      <c r="E618" s="58"/>
      <c r="F618" s="58"/>
      <c r="G618" s="58"/>
      <c r="H618" s="59"/>
      <c r="I618" s="59"/>
      <c r="J618" s="59"/>
      <c r="K618" s="59"/>
      <c r="L618" s="59"/>
      <c r="M618" s="60"/>
      <c r="N618" s="60"/>
      <c r="O618" s="60"/>
      <c r="P618" s="59"/>
      <c r="Q618" s="59"/>
      <c r="R618" s="60"/>
      <c r="S618" s="60"/>
      <c r="T618" s="60"/>
      <c r="U618" s="60"/>
      <c r="V618" s="60"/>
      <c r="W618" s="60"/>
    </row>
    <row r="619" spans="1:23" ht="13" x14ac:dyDescent="0.3">
      <c r="A619" s="58"/>
      <c r="B619" s="58"/>
      <c r="C619" s="58"/>
      <c r="D619" s="58"/>
      <c r="E619" s="58"/>
      <c r="F619" s="58"/>
      <c r="G619" s="58"/>
      <c r="H619" s="59"/>
      <c r="I619" s="59"/>
      <c r="J619" s="59"/>
      <c r="K619" s="59"/>
      <c r="L619" s="59"/>
      <c r="M619" s="60"/>
      <c r="N619" s="60"/>
      <c r="O619" s="60"/>
      <c r="P619" s="59"/>
      <c r="Q619" s="59"/>
      <c r="R619" s="60"/>
      <c r="S619" s="60"/>
      <c r="T619" s="60"/>
      <c r="U619" s="60"/>
      <c r="V619" s="60"/>
      <c r="W619" s="60"/>
    </row>
    <row r="620" spans="1:23" ht="13" x14ac:dyDescent="0.3">
      <c r="A620" s="58"/>
      <c r="B620" s="58"/>
      <c r="C620" s="58"/>
      <c r="D620" s="58"/>
      <c r="E620" s="58"/>
      <c r="F620" s="58"/>
      <c r="G620" s="58"/>
      <c r="H620" s="59"/>
      <c r="I620" s="59"/>
      <c r="J620" s="59"/>
      <c r="K620" s="59"/>
      <c r="L620" s="59"/>
      <c r="M620" s="60"/>
      <c r="N620" s="60"/>
      <c r="O620" s="60"/>
      <c r="P620" s="59"/>
      <c r="Q620" s="59"/>
      <c r="R620" s="60"/>
      <c r="S620" s="60"/>
      <c r="T620" s="60"/>
      <c r="U620" s="60"/>
      <c r="V620" s="60"/>
      <c r="W620" s="60"/>
    </row>
    <row r="621" spans="1:23" ht="13" x14ac:dyDescent="0.3">
      <c r="A621" s="58"/>
      <c r="B621" s="58"/>
      <c r="C621" s="58"/>
      <c r="D621" s="58"/>
      <c r="E621" s="58"/>
      <c r="F621" s="58"/>
      <c r="G621" s="58"/>
      <c r="H621" s="59"/>
      <c r="I621" s="59"/>
      <c r="J621" s="59"/>
      <c r="K621" s="59"/>
      <c r="L621" s="59"/>
      <c r="M621" s="60"/>
      <c r="N621" s="60"/>
      <c r="O621" s="60"/>
      <c r="P621" s="59"/>
      <c r="Q621" s="59"/>
      <c r="R621" s="60"/>
      <c r="S621" s="60"/>
      <c r="T621" s="60"/>
      <c r="U621" s="60"/>
      <c r="V621" s="60"/>
      <c r="W621" s="60"/>
    </row>
    <row r="622" spans="1:23" ht="13" x14ac:dyDescent="0.3">
      <c r="A622" s="58"/>
      <c r="B622" s="58"/>
      <c r="C622" s="58"/>
      <c r="D622" s="58"/>
      <c r="E622" s="58"/>
      <c r="F622" s="58"/>
      <c r="G622" s="58"/>
      <c r="H622" s="59"/>
      <c r="I622" s="59"/>
      <c r="J622" s="59"/>
      <c r="K622" s="59"/>
      <c r="L622" s="59"/>
      <c r="M622" s="60"/>
      <c r="N622" s="60"/>
      <c r="O622" s="60"/>
      <c r="P622" s="59"/>
      <c r="Q622" s="59"/>
      <c r="R622" s="60"/>
      <c r="S622" s="60"/>
      <c r="T622" s="60"/>
      <c r="U622" s="60"/>
      <c r="V622" s="60"/>
      <c r="W622" s="60"/>
    </row>
    <row r="623" spans="1:23" ht="13" x14ac:dyDescent="0.3">
      <c r="A623" s="58"/>
      <c r="B623" s="58"/>
      <c r="C623" s="58"/>
      <c r="D623" s="58"/>
      <c r="E623" s="58"/>
      <c r="F623" s="58"/>
      <c r="G623" s="58"/>
      <c r="H623" s="59"/>
      <c r="I623" s="59"/>
      <c r="J623" s="59"/>
      <c r="K623" s="59"/>
      <c r="L623" s="59"/>
      <c r="M623" s="60"/>
      <c r="N623" s="60"/>
      <c r="O623" s="60"/>
      <c r="P623" s="59"/>
      <c r="Q623" s="59"/>
      <c r="R623" s="60"/>
      <c r="S623" s="60"/>
      <c r="T623" s="60"/>
      <c r="U623" s="60"/>
      <c r="V623" s="60"/>
      <c r="W623" s="60"/>
    </row>
    <row r="624" spans="1:23" ht="13" x14ac:dyDescent="0.3">
      <c r="A624" s="58"/>
      <c r="B624" s="58"/>
      <c r="C624" s="58"/>
      <c r="D624" s="58"/>
      <c r="E624" s="58"/>
      <c r="F624" s="58"/>
      <c r="G624" s="58"/>
      <c r="H624" s="59"/>
      <c r="I624" s="59"/>
      <c r="J624" s="59"/>
      <c r="K624" s="59"/>
      <c r="L624" s="59"/>
      <c r="M624" s="60"/>
      <c r="N624" s="60"/>
      <c r="O624" s="60"/>
      <c r="P624" s="59"/>
      <c r="Q624" s="59"/>
      <c r="R624" s="60"/>
      <c r="S624" s="60"/>
      <c r="T624" s="60"/>
      <c r="U624" s="60"/>
      <c r="V624" s="60"/>
      <c r="W624" s="60"/>
    </row>
    <row r="625" spans="1:23" ht="13" x14ac:dyDescent="0.3">
      <c r="A625" s="58"/>
      <c r="B625" s="58"/>
      <c r="C625" s="58"/>
      <c r="D625" s="58"/>
      <c r="E625" s="58"/>
      <c r="F625" s="58"/>
      <c r="G625" s="58"/>
      <c r="H625" s="59"/>
      <c r="I625" s="59"/>
      <c r="J625" s="59"/>
      <c r="K625" s="59"/>
      <c r="L625" s="59"/>
      <c r="M625" s="60"/>
      <c r="N625" s="60"/>
      <c r="O625" s="60"/>
      <c r="P625" s="59"/>
      <c r="Q625" s="59"/>
      <c r="R625" s="60"/>
      <c r="S625" s="60"/>
      <c r="T625" s="60"/>
      <c r="U625" s="60"/>
      <c r="V625" s="60"/>
      <c r="W625" s="60"/>
    </row>
    <row r="626" spans="1:23" ht="13" x14ac:dyDescent="0.3">
      <c r="A626" s="58"/>
      <c r="B626" s="58"/>
      <c r="C626" s="58"/>
      <c r="D626" s="58"/>
      <c r="E626" s="58"/>
      <c r="F626" s="58"/>
      <c r="G626" s="58"/>
      <c r="H626" s="59"/>
      <c r="I626" s="59"/>
      <c r="J626" s="59"/>
      <c r="K626" s="59"/>
      <c r="L626" s="59"/>
      <c r="M626" s="60"/>
      <c r="N626" s="60"/>
      <c r="O626" s="60"/>
      <c r="P626" s="59"/>
      <c r="Q626" s="59"/>
      <c r="R626" s="60"/>
      <c r="S626" s="60"/>
      <c r="T626" s="60"/>
      <c r="U626" s="60"/>
      <c r="V626" s="60"/>
      <c r="W626" s="60"/>
    </row>
    <row r="627" spans="1:23" ht="13" x14ac:dyDescent="0.3">
      <c r="A627" s="58"/>
      <c r="B627" s="58"/>
      <c r="C627" s="58"/>
      <c r="D627" s="58"/>
      <c r="E627" s="58"/>
      <c r="F627" s="58"/>
      <c r="G627" s="58"/>
      <c r="H627" s="59"/>
      <c r="I627" s="59"/>
      <c r="J627" s="59"/>
      <c r="K627" s="59"/>
      <c r="L627" s="59"/>
      <c r="M627" s="60"/>
      <c r="N627" s="60"/>
      <c r="O627" s="60"/>
      <c r="P627" s="59"/>
      <c r="Q627" s="59"/>
      <c r="R627" s="60"/>
      <c r="S627" s="60"/>
      <c r="T627" s="60"/>
      <c r="U627" s="60"/>
      <c r="V627" s="60"/>
      <c r="W627" s="60"/>
    </row>
    <row r="628" spans="1:23" ht="13" x14ac:dyDescent="0.3">
      <c r="A628" s="58"/>
      <c r="B628" s="58"/>
      <c r="C628" s="58"/>
      <c r="D628" s="58"/>
      <c r="E628" s="58"/>
      <c r="F628" s="58"/>
      <c r="G628" s="58"/>
      <c r="H628" s="59"/>
      <c r="I628" s="59"/>
      <c r="J628" s="59"/>
      <c r="K628" s="59"/>
      <c r="L628" s="59"/>
      <c r="M628" s="60"/>
      <c r="N628" s="60"/>
      <c r="O628" s="60"/>
      <c r="P628" s="59"/>
      <c r="Q628" s="59"/>
      <c r="R628" s="60"/>
      <c r="S628" s="60"/>
      <c r="T628" s="60"/>
      <c r="U628" s="60"/>
      <c r="V628" s="60"/>
      <c r="W628" s="60"/>
    </row>
    <row r="629" spans="1:23" ht="13" x14ac:dyDescent="0.3">
      <c r="A629" s="58"/>
      <c r="B629" s="58"/>
      <c r="C629" s="58"/>
      <c r="D629" s="58"/>
      <c r="E629" s="58"/>
      <c r="F629" s="58"/>
      <c r="G629" s="58"/>
      <c r="H629" s="59"/>
      <c r="I629" s="59"/>
      <c r="J629" s="59"/>
      <c r="K629" s="59"/>
      <c r="L629" s="59"/>
      <c r="M629" s="60"/>
      <c r="N629" s="60"/>
      <c r="O629" s="60"/>
      <c r="P629" s="59"/>
      <c r="Q629" s="59"/>
      <c r="R629" s="60"/>
      <c r="S629" s="60"/>
      <c r="T629" s="60"/>
      <c r="U629" s="60"/>
      <c r="V629" s="60"/>
      <c r="W629" s="60"/>
    </row>
    <row r="630" spans="1:23" ht="13" x14ac:dyDescent="0.3">
      <c r="A630" s="58"/>
      <c r="B630" s="58"/>
      <c r="C630" s="58"/>
      <c r="D630" s="58"/>
      <c r="E630" s="58"/>
      <c r="F630" s="58"/>
      <c r="G630" s="58"/>
      <c r="H630" s="59"/>
      <c r="I630" s="59"/>
      <c r="J630" s="59"/>
      <c r="K630" s="59"/>
      <c r="L630" s="59"/>
      <c r="M630" s="60"/>
      <c r="N630" s="60"/>
      <c r="O630" s="60"/>
      <c r="P630" s="59"/>
      <c r="Q630" s="59"/>
      <c r="R630" s="60"/>
      <c r="S630" s="60"/>
      <c r="T630" s="60"/>
      <c r="U630" s="60"/>
      <c r="V630" s="60"/>
      <c r="W630" s="60"/>
    </row>
    <row r="631" spans="1:23" ht="13" x14ac:dyDescent="0.3">
      <c r="A631" s="58"/>
      <c r="B631" s="58"/>
      <c r="C631" s="58"/>
      <c r="D631" s="58"/>
      <c r="E631" s="58"/>
      <c r="F631" s="58"/>
      <c r="G631" s="58"/>
      <c r="H631" s="59"/>
      <c r="I631" s="59"/>
      <c r="J631" s="59"/>
      <c r="K631" s="59"/>
      <c r="L631" s="59"/>
      <c r="M631" s="60"/>
      <c r="N631" s="60"/>
      <c r="O631" s="60"/>
      <c r="P631" s="59"/>
      <c r="Q631" s="59"/>
      <c r="R631" s="60"/>
      <c r="S631" s="60"/>
      <c r="T631" s="60"/>
      <c r="U631" s="60"/>
      <c r="V631" s="60"/>
      <c r="W631" s="60"/>
    </row>
    <row r="632" spans="1:23" ht="13" x14ac:dyDescent="0.3">
      <c r="A632" s="58"/>
      <c r="B632" s="58"/>
      <c r="C632" s="58"/>
      <c r="D632" s="58"/>
      <c r="E632" s="58"/>
      <c r="F632" s="58"/>
      <c r="G632" s="58"/>
      <c r="H632" s="59"/>
      <c r="I632" s="59"/>
      <c r="J632" s="59"/>
      <c r="K632" s="59"/>
      <c r="L632" s="59"/>
      <c r="M632" s="60"/>
      <c r="N632" s="60"/>
      <c r="O632" s="60"/>
      <c r="P632" s="59"/>
      <c r="Q632" s="59"/>
      <c r="R632" s="60"/>
      <c r="S632" s="60"/>
      <c r="T632" s="60"/>
      <c r="U632" s="60"/>
      <c r="V632" s="60"/>
      <c r="W632" s="60"/>
    </row>
    <row r="633" spans="1:23" ht="13" x14ac:dyDescent="0.3">
      <c r="A633" s="58"/>
      <c r="B633" s="58"/>
      <c r="C633" s="58"/>
      <c r="D633" s="58"/>
      <c r="E633" s="58"/>
      <c r="F633" s="58"/>
      <c r="G633" s="58"/>
      <c r="H633" s="59"/>
      <c r="I633" s="59"/>
      <c r="J633" s="59"/>
      <c r="K633" s="59"/>
      <c r="L633" s="59"/>
      <c r="M633" s="60"/>
      <c r="N633" s="60"/>
      <c r="O633" s="60"/>
      <c r="P633" s="59"/>
      <c r="Q633" s="59"/>
      <c r="R633" s="60"/>
      <c r="S633" s="60"/>
      <c r="T633" s="60"/>
      <c r="U633" s="60"/>
      <c r="V633" s="60"/>
      <c r="W633" s="60"/>
    </row>
    <row r="634" spans="1:23" ht="13" x14ac:dyDescent="0.3">
      <c r="A634" s="58"/>
      <c r="B634" s="58"/>
      <c r="C634" s="58"/>
      <c r="D634" s="58"/>
      <c r="E634" s="58"/>
      <c r="F634" s="58"/>
      <c r="G634" s="58"/>
      <c r="H634" s="59"/>
      <c r="I634" s="59"/>
      <c r="J634" s="59"/>
      <c r="K634" s="59"/>
      <c r="L634" s="59"/>
      <c r="M634" s="60"/>
      <c r="N634" s="60"/>
      <c r="O634" s="60"/>
      <c r="P634" s="59"/>
      <c r="Q634" s="59"/>
      <c r="R634" s="60"/>
      <c r="S634" s="60"/>
      <c r="T634" s="60"/>
      <c r="U634" s="60"/>
      <c r="V634" s="60"/>
      <c r="W634" s="60"/>
    </row>
    <row r="635" spans="1:23" ht="13" x14ac:dyDescent="0.3">
      <c r="A635" s="58"/>
      <c r="B635" s="58"/>
      <c r="C635" s="58"/>
      <c r="D635" s="58"/>
      <c r="E635" s="58"/>
      <c r="F635" s="58"/>
      <c r="G635" s="58"/>
      <c r="H635" s="59"/>
      <c r="I635" s="59"/>
      <c r="J635" s="59"/>
      <c r="K635" s="59"/>
      <c r="L635" s="59"/>
      <c r="M635" s="60"/>
      <c r="N635" s="60"/>
      <c r="O635" s="60"/>
      <c r="P635" s="59"/>
      <c r="Q635" s="59"/>
      <c r="R635" s="60"/>
      <c r="S635" s="60"/>
      <c r="T635" s="60"/>
      <c r="U635" s="60"/>
      <c r="V635" s="60"/>
      <c r="W635" s="60"/>
    </row>
    <row r="636" spans="1:23" ht="13" x14ac:dyDescent="0.3">
      <c r="A636" s="58"/>
      <c r="B636" s="58"/>
      <c r="C636" s="58"/>
      <c r="D636" s="58"/>
      <c r="E636" s="58"/>
      <c r="F636" s="58"/>
      <c r="G636" s="58"/>
      <c r="H636" s="59"/>
      <c r="I636" s="59"/>
      <c r="J636" s="59"/>
      <c r="K636" s="59"/>
      <c r="L636" s="59"/>
      <c r="M636" s="60"/>
      <c r="N636" s="60"/>
      <c r="O636" s="60"/>
      <c r="P636" s="59"/>
      <c r="Q636" s="59"/>
      <c r="R636" s="60"/>
      <c r="S636" s="60"/>
      <c r="T636" s="60"/>
      <c r="U636" s="60"/>
      <c r="V636" s="60"/>
      <c r="W636" s="60"/>
    </row>
    <row r="637" spans="1:23" ht="13" x14ac:dyDescent="0.3">
      <c r="A637" s="58"/>
      <c r="B637" s="58"/>
      <c r="C637" s="58"/>
      <c r="D637" s="58"/>
      <c r="E637" s="58"/>
      <c r="F637" s="58"/>
      <c r="G637" s="58"/>
      <c r="H637" s="59"/>
      <c r="I637" s="59"/>
      <c r="J637" s="59"/>
      <c r="K637" s="59"/>
      <c r="L637" s="59"/>
      <c r="M637" s="60"/>
      <c r="N637" s="60"/>
      <c r="O637" s="60"/>
      <c r="P637" s="59"/>
      <c r="Q637" s="59"/>
      <c r="R637" s="60"/>
      <c r="S637" s="60"/>
      <c r="T637" s="60"/>
      <c r="U637" s="60"/>
      <c r="V637" s="60"/>
      <c r="W637" s="60"/>
    </row>
    <row r="638" spans="1:23" ht="13" x14ac:dyDescent="0.3">
      <c r="A638" s="58"/>
      <c r="B638" s="58"/>
      <c r="C638" s="58"/>
      <c r="D638" s="58"/>
      <c r="E638" s="58"/>
      <c r="F638" s="58"/>
      <c r="G638" s="58"/>
      <c r="H638" s="59"/>
      <c r="I638" s="59"/>
      <c r="J638" s="59"/>
      <c r="K638" s="59"/>
      <c r="L638" s="59"/>
      <c r="M638" s="60"/>
      <c r="N638" s="60"/>
      <c r="O638" s="60"/>
      <c r="P638" s="59"/>
      <c r="Q638" s="59"/>
      <c r="R638" s="60"/>
      <c r="S638" s="60"/>
      <c r="T638" s="60"/>
      <c r="U638" s="60"/>
      <c r="V638" s="60"/>
      <c r="W638" s="60"/>
    </row>
    <row r="639" spans="1:23" ht="13" x14ac:dyDescent="0.3">
      <c r="A639" s="58"/>
      <c r="B639" s="58"/>
      <c r="C639" s="58"/>
      <c r="D639" s="58"/>
      <c r="E639" s="58"/>
      <c r="F639" s="58"/>
      <c r="G639" s="58"/>
      <c r="H639" s="59"/>
      <c r="I639" s="59"/>
      <c r="J639" s="59"/>
      <c r="K639" s="59"/>
      <c r="L639" s="59"/>
      <c r="M639" s="60"/>
      <c r="N639" s="60"/>
      <c r="O639" s="60"/>
      <c r="P639" s="59"/>
      <c r="Q639" s="59"/>
      <c r="R639" s="60"/>
      <c r="S639" s="60"/>
      <c r="T639" s="60"/>
      <c r="U639" s="60"/>
      <c r="V639" s="60"/>
      <c r="W639" s="60"/>
    </row>
    <row r="640" spans="1:23" ht="13" x14ac:dyDescent="0.3">
      <c r="A640" s="58"/>
      <c r="B640" s="58"/>
      <c r="C640" s="58"/>
      <c r="D640" s="58"/>
      <c r="E640" s="58"/>
      <c r="F640" s="58"/>
      <c r="G640" s="58"/>
      <c r="H640" s="59"/>
      <c r="I640" s="59"/>
      <c r="J640" s="59"/>
      <c r="K640" s="59"/>
      <c r="L640" s="59"/>
      <c r="M640" s="60"/>
      <c r="N640" s="60"/>
      <c r="O640" s="60"/>
      <c r="P640" s="59"/>
      <c r="Q640" s="59"/>
      <c r="R640" s="60"/>
      <c r="S640" s="60"/>
      <c r="T640" s="60"/>
      <c r="U640" s="60"/>
      <c r="V640" s="60"/>
      <c r="W640" s="60"/>
    </row>
    <row r="641" spans="1:23" ht="13" x14ac:dyDescent="0.3">
      <c r="A641" s="58"/>
      <c r="B641" s="58"/>
      <c r="C641" s="58"/>
      <c r="D641" s="58"/>
      <c r="E641" s="58"/>
      <c r="F641" s="58"/>
      <c r="G641" s="58"/>
      <c r="H641" s="59"/>
      <c r="I641" s="59"/>
      <c r="J641" s="59"/>
      <c r="K641" s="59"/>
      <c r="L641" s="59"/>
      <c r="M641" s="60"/>
      <c r="N641" s="60"/>
      <c r="O641" s="60"/>
      <c r="P641" s="59"/>
      <c r="Q641" s="59"/>
      <c r="R641" s="60"/>
      <c r="S641" s="60"/>
      <c r="T641" s="60"/>
      <c r="U641" s="60"/>
      <c r="V641" s="60"/>
      <c r="W641" s="60"/>
    </row>
    <row r="642" spans="1:23" ht="13" x14ac:dyDescent="0.3">
      <c r="A642" s="58"/>
      <c r="B642" s="58"/>
      <c r="C642" s="58"/>
      <c r="D642" s="58"/>
      <c r="E642" s="58"/>
      <c r="F642" s="58"/>
      <c r="G642" s="58"/>
      <c r="H642" s="59"/>
      <c r="I642" s="59"/>
      <c r="J642" s="59"/>
      <c r="K642" s="59"/>
      <c r="L642" s="59"/>
      <c r="M642" s="60"/>
      <c r="N642" s="60"/>
      <c r="O642" s="60"/>
      <c r="P642" s="59"/>
      <c r="Q642" s="59"/>
      <c r="R642" s="60"/>
      <c r="S642" s="60"/>
      <c r="T642" s="60"/>
      <c r="U642" s="60"/>
      <c r="V642" s="60"/>
      <c r="W642" s="60"/>
    </row>
    <row r="643" spans="1:23" ht="13" x14ac:dyDescent="0.3">
      <c r="A643" s="58"/>
      <c r="B643" s="58"/>
      <c r="C643" s="58"/>
      <c r="D643" s="58"/>
      <c r="E643" s="58"/>
      <c r="F643" s="58"/>
      <c r="G643" s="58"/>
      <c r="H643" s="59"/>
      <c r="I643" s="59"/>
      <c r="J643" s="59"/>
      <c r="K643" s="59"/>
      <c r="L643" s="59"/>
      <c r="M643" s="60"/>
      <c r="N643" s="60"/>
      <c r="O643" s="60"/>
      <c r="P643" s="59"/>
      <c r="Q643" s="59"/>
      <c r="R643" s="60"/>
      <c r="S643" s="60"/>
      <c r="T643" s="60"/>
      <c r="U643" s="60"/>
      <c r="V643" s="60"/>
      <c r="W643" s="60"/>
    </row>
    <row r="644" spans="1:23" ht="13" x14ac:dyDescent="0.3">
      <c r="A644" s="58"/>
      <c r="B644" s="58"/>
      <c r="C644" s="58"/>
      <c r="D644" s="58"/>
      <c r="E644" s="58"/>
      <c r="F644" s="58"/>
      <c r="G644" s="58"/>
      <c r="H644" s="59"/>
      <c r="I644" s="59"/>
      <c r="J644" s="59"/>
      <c r="K644" s="59"/>
      <c r="L644" s="59"/>
      <c r="M644" s="60"/>
      <c r="N644" s="60"/>
      <c r="O644" s="60"/>
      <c r="P644" s="59"/>
      <c r="Q644" s="59"/>
      <c r="R644" s="60"/>
      <c r="S644" s="60"/>
      <c r="T644" s="60"/>
      <c r="U644" s="60"/>
      <c r="V644" s="60"/>
      <c r="W644" s="60"/>
    </row>
    <row r="645" spans="1:23" ht="13" x14ac:dyDescent="0.3">
      <c r="A645" s="58"/>
      <c r="B645" s="58"/>
      <c r="C645" s="58"/>
      <c r="D645" s="58"/>
      <c r="E645" s="58"/>
      <c r="F645" s="58"/>
      <c r="G645" s="58"/>
      <c r="H645" s="59"/>
      <c r="I645" s="59"/>
      <c r="J645" s="59"/>
      <c r="K645" s="59"/>
      <c r="L645" s="59"/>
      <c r="M645" s="60"/>
      <c r="N645" s="60"/>
      <c r="O645" s="60"/>
      <c r="P645" s="59"/>
      <c r="Q645" s="59"/>
      <c r="R645" s="60"/>
      <c r="S645" s="60"/>
      <c r="T645" s="60"/>
      <c r="U645" s="60"/>
      <c r="V645" s="60"/>
      <c r="W645" s="60"/>
    </row>
    <row r="646" spans="1:23" ht="13" x14ac:dyDescent="0.3">
      <c r="A646" s="58"/>
      <c r="B646" s="58"/>
      <c r="C646" s="58"/>
      <c r="D646" s="58"/>
      <c r="E646" s="58"/>
      <c r="F646" s="58"/>
      <c r="G646" s="58"/>
      <c r="H646" s="59"/>
      <c r="I646" s="59"/>
      <c r="J646" s="59"/>
      <c r="K646" s="59"/>
      <c r="L646" s="59"/>
      <c r="M646" s="60"/>
      <c r="N646" s="60"/>
      <c r="O646" s="60"/>
      <c r="P646" s="59"/>
      <c r="Q646" s="59"/>
      <c r="R646" s="60"/>
      <c r="S646" s="60"/>
      <c r="T646" s="60"/>
      <c r="U646" s="60"/>
      <c r="V646" s="60"/>
      <c r="W646" s="60"/>
    </row>
    <row r="647" spans="1:23" ht="13" x14ac:dyDescent="0.3">
      <c r="A647" s="58"/>
      <c r="B647" s="58"/>
      <c r="C647" s="58"/>
      <c r="D647" s="58"/>
      <c r="E647" s="58"/>
      <c r="F647" s="58"/>
      <c r="G647" s="58"/>
      <c r="H647" s="59"/>
      <c r="I647" s="59"/>
      <c r="J647" s="59"/>
      <c r="K647" s="59"/>
      <c r="L647" s="59"/>
      <c r="M647" s="60"/>
      <c r="N647" s="60"/>
      <c r="O647" s="60"/>
      <c r="P647" s="59"/>
      <c r="Q647" s="59"/>
      <c r="R647" s="60"/>
      <c r="S647" s="60"/>
      <c r="T647" s="60"/>
      <c r="U647" s="60"/>
      <c r="V647" s="60"/>
      <c r="W647" s="60"/>
    </row>
    <row r="648" spans="1:23" ht="13" x14ac:dyDescent="0.3">
      <c r="A648" s="58"/>
      <c r="B648" s="58"/>
      <c r="C648" s="58"/>
      <c r="D648" s="58"/>
      <c r="E648" s="58"/>
      <c r="F648" s="58"/>
      <c r="G648" s="58"/>
      <c r="H648" s="59"/>
      <c r="I648" s="59"/>
      <c r="J648" s="59"/>
      <c r="K648" s="59"/>
      <c r="L648" s="59"/>
      <c r="M648" s="60"/>
      <c r="N648" s="60"/>
      <c r="O648" s="60"/>
      <c r="P648" s="59"/>
      <c r="Q648" s="59"/>
      <c r="R648" s="60"/>
      <c r="S648" s="60"/>
      <c r="T648" s="60"/>
      <c r="U648" s="60"/>
      <c r="V648" s="60"/>
      <c r="W648" s="60"/>
    </row>
    <row r="649" spans="1:23" ht="13" x14ac:dyDescent="0.3">
      <c r="A649" s="58"/>
      <c r="B649" s="58"/>
      <c r="C649" s="58"/>
      <c r="D649" s="58"/>
      <c r="E649" s="58"/>
      <c r="F649" s="58"/>
      <c r="G649" s="58"/>
      <c r="H649" s="59"/>
      <c r="I649" s="59"/>
      <c r="J649" s="59"/>
      <c r="K649" s="59"/>
      <c r="L649" s="59"/>
      <c r="M649" s="60"/>
      <c r="N649" s="60"/>
      <c r="O649" s="60"/>
      <c r="P649" s="59"/>
      <c r="Q649" s="59"/>
      <c r="R649" s="60"/>
      <c r="S649" s="60"/>
      <c r="T649" s="60"/>
      <c r="U649" s="60"/>
      <c r="V649" s="60"/>
      <c r="W649" s="60"/>
    </row>
    <row r="650" spans="1:23" ht="13" x14ac:dyDescent="0.3">
      <c r="A650" s="58"/>
      <c r="B650" s="58"/>
      <c r="C650" s="58"/>
      <c r="D650" s="58"/>
      <c r="E650" s="58"/>
      <c r="F650" s="58"/>
      <c r="G650" s="58"/>
      <c r="H650" s="59"/>
      <c r="I650" s="59"/>
      <c r="J650" s="59"/>
      <c r="K650" s="59"/>
      <c r="L650" s="59"/>
      <c r="M650" s="60"/>
      <c r="N650" s="60"/>
      <c r="O650" s="60"/>
      <c r="P650" s="59"/>
      <c r="Q650" s="59"/>
      <c r="R650" s="60"/>
      <c r="S650" s="60"/>
      <c r="T650" s="60"/>
      <c r="U650" s="60"/>
      <c r="V650" s="60"/>
      <c r="W650" s="60"/>
    </row>
    <row r="651" spans="1:23" ht="13" x14ac:dyDescent="0.3">
      <c r="A651" s="58"/>
      <c r="B651" s="58"/>
      <c r="C651" s="58"/>
      <c r="D651" s="58"/>
      <c r="E651" s="58"/>
      <c r="F651" s="58"/>
      <c r="G651" s="58"/>
      <c r="H651" s="59"/>
      <c r="I651" s="59"/>
      <c r="J651" s="59"/>
      <c r="K651" s="59"/>
      <c r="L651" s="59"/>
      <c r="M651" s="60"/>
      <c r="N651" s="60"/>
      <c r="O651" s="60"/>
      <c r="P651" s="59"/>
      <c r="Q651" s="59"/>
      <c r="R651" s="60"/>
      <c r="S651" s="60"/>
      <c r="T651" s="60"/>
      <c r="U651" s="60"/>
      <c r="V651" s="60"/>
      <c r="W651" s="60"/>
    </row>
    <row r="652" spans="1:23" ht="13" x14ac:dyDescent="0.3">
      <c r="A652" s="58"/>
      <c r="B652" s="58"/>
      <c r="C652" s="58"/>
      <c r="D652" s="58"/>
      <c r="E652" s="58"/>
      <c r="F652" s="58"/>
      <c r="G652" s="58"/>
      <c r="H652" s="59"/>
      <c r="I652" s="59"/>
      <c r="J652" s="59"/>
      <c r="K652" s="59"/>
      <c r="L652" s="59"/>
      <c r="M652" s="60"/>
      <c r="N652" s="60"/>
      <c r="O652" s="60"/>
      <c r="P652" s="59"/>
      <c r="Q652" s="59"/>
      <c r="R652" s="60"/>
      <c r="S652" s="60"/>
      <c r="T652" s="60"/>
      <c r="U652" s="60"/>
      <c r="V652" s="60"/>
      <c r="W652" s="60"/>
    </row>
    <row r="653" spans="1:23" ht="13" x14ac:dyDescent="0.3">
      <c r="A653" s="58"/>
      <c r="B653" s="58"/>
      <c r="C653" s="58"/>
      <c r="D653" s="58"/>
      <c r="E653" s="58"/>
      <c r="F653" s="58"/>
      <c r="G653" s="58"/>
      <c r="H653" s="59"/>
      <c r="I653" s="59"/>
      <c r="J653" s="59"/>
      <c r="K653" s="59"/>
      <c r="L653" s="59"/>
      <c r="M653" s="60"/>
      <c r="N653" s="60"/>
      <c r="O653" s="60"/>
      <c r="P653" s="59"/>
      <c r="Q653" s="59"/>
      <c r="R653" s="60"/>
      <c r="S653" s="60"/>
      <c r="T653" s="60"/>
      <c r="U653" s="60"/>
      <c r="V653" s="60"/>
      <c r="W653" s="60"/>
    </row>
    <row r="654" spans="1:23" ht="13" x14ac:dyDescent="0.3">
      <c r="A654" s="58"/>
      <c r="B654" s="58"/>
      <c r="C654" s="58"/>
      <c r="D654" s="58"/>
      <c r="E654" s="58"/>
      <c r="F654" s="58"/>
      <c r="G654" s="58"/>
      <c r="H654" s="59"/>
      <c r="I654" s="59"/>
      <c r="J654" s="59"/>
      <c r="K654" s="59"/>
      <c r="L654" s="59"/>
      <c r="M654" s="60"/>
      <c r="N654" s="60"/>
      <c r="O654" s="60"/>
      <c r="P654" s="59"/>
      <c r="Q654" s="59"/>
      <c r="R654" s="60"/>
      <c r="S654" s="60"/>
      <c r="T654" s="60"/>
      <c r="U654" s="60"/>
      <c r="V654" s="60"/>
      <c r="W654" s="60"/>
    </row>
    <row r="655" spans="1:23" ht="13" x14ac:dyDescent="0.3">
      <c r="A655" s="58"/>
      <c r="B655" s="58"/>
      <c r="C655" s="58"/>
      <c r="D655" s="58"/>
      <c r="E655" s="58"/>
      <c r="F655" s="58"/>
      <c r="G655" s="58"/>
      <c r="H655" s="59"/>
      <c r="I655" s="59"/>
      <c r="J655" s="59"/>
      <c r="K655" s="59"/>
      <c r="L655" s="59"/>
      <c r="M655" s="60"/>
      <c r="N655" s="60"/>
      <c r="O655" s="60"/>
      <c r="P655" s="59"/>
      <c r="Q655" s="59"/>
      <c r="R655" s="60"/>
      <c r="S655" s="60"/>
      <c r="T655" s="60"/>
      <c r="U655" s="60"/>
      <c r="V655" s="60"/>
      <c r="W655" s="60"/>
    </row>
    <row r="656" spans="1:23" ht="13" x14ac:dyDescent="0.3">
      <c r="A656" s="58"/>
      <c r="B656" s="58"/>
      <c r="C656" s="58"/>
      <c r="D656" s="58"/>
      <c r="E656" s="58"/>
      <c r="F656" s="58"/>
      <c r="G656" s="58"/>
      <c r="H656" s="59"/>
      <c r="I656" s="59"/>
      <c r="J656" s="59"/>
      <c r="K656" s="59"/>
      <c r="L656" s="59"/>
      <c r="M656" s="60"/>
      <c r="N656" s="60"/>
      <c r="O656" s="60"/>
      <c r="P656" s="59"/>
      <c r="Q656" s="59"/>
      <c r="R656" s="60"/>
      <c r="S656" s="60"/>
      <c r="T656" s="60"/>
      <c r="U656" s="60"/>
      <c r="V656" s="60"/>
      <c r="W656" s="60"/>
    </row>
    <row r="657" spans="1:23" ht="13" x14ac:dyDescent="0.3">
      <c r="A657" s="58"/>
      <c r="B657" s="58"/>
      <c r="C657" s="58"/>
      <c r="D657" s="58"/>
      <c r="E657" s="58"/>
      <c r="F657" s="58"/>
      <c r="G657" s="58"/>
      <c r="H657" s="59"/>
      <c r="I657" s="59"/>
      <c r="J657" s="59"/>
      <c r="K657" s="59"/>
      <c r="L657" s="59"/>
      <c r="M657" s="60"/>
      <c r="N657" s="60"/>
      <c r="O657" s="60"/>
      <c r="P657" s="59"/>
      <c r="Q657" s="59"/>
      <c r="R657" s="60"/>
      <c r="S657" s="60"/>
      <c r="T657" s="60"/>
      <c r="U657" s="60"/>
      <c r="V657" s="60"/>
      <c r="W657" s="60"/>
    </row>
    <row r="658" spans="1:23" ht="13" x14ac:dyDescent="0.3">
      <c r="A658" s="58"/>
      <c r="B658" s="58"/>
      <c r="C658" s="58"/>
      <c r="D658" s="58"/>
      <c r="E658" s="58"/>
      <c r="F658" s="58"/>
      <c r="G658" s="58"/>
      <c r="H658" s="59"/>
      <c r="I658" s="59"/>
      <c r="J658" s="59"/>
      <c r="K658" s="59"/>
      <c r="L658" s="59"/>
      <c r="M658" s="60"/>
      <c r="N658" s="60"/>
      <c r="O658" s="60"/>
      <c r="P658" s="59"/>
      <c r="Q658" s="59"/>
      <c r="R658" s="60"/>
      <c r="S658" s="60"/>
      <c r="T658" s="60"/>
      <c r="U658" s="60"/>
      <c r="V658" s="60"/>
      <c r="W658" s="60"/>
    </row>
    <row r="659" spans="1:23" ht="13" x14ac:dyDescent="0.3">
      <c r="A659" s="58"/>
      <c r="B659" s="58"/>
      <c r="C659" s="58"/>
      <c r="D659" s="58"/>
      <c r="E659" s="58"/>
      <c r="F659" s="58"/>
      <c r="G659" s="58"/>
      <c r="H659" s="59"/>
      <c r="I659" s="59"/>
      <c r="J659" s="59"/>
      <c r="K659" s="59"/>
      <c r="L659" s="59"/>
      <c r="M659" s="60"/>
      <c r="N659" s="60"/>
      <c r="O659" s="60"/>
      <c r="P659" s="59"/>
      <c r="Q659" s="59"/>
      <c r="R659" s="60"/>
      <c r="S659" s="60"/>
      <c r="T659" s="60"/>
      <c r="U659" s="60"/>
      <c r="V659" s="60"/>
      <c r="W659" s="60"/>
    </row>
    <row r="660" spans="1:23" ht="13" x14ac:dyDescent="0.3">
      <c r="A660" s="58"/>
      <c r="B660" s="58"/>
      <c r="C660" s="58"/>
      <c r="D660" s="58"/>
      <c r="E660" s="58"/>
      <c r="F660" s="58"/>
      <c r="G660" s="58"/>
      <c r="H660" s="59"/>
      <c r="I660" s="59"/>
      <c r="J660" s="59"/>
      <c r="K660" s="59"/>
      <c r="L660" s="59"/>
      <c r="M660" s="60"/>
      <c r="N660" s="60"/>
      <c r="O660" s="60"/>
      <c r="P660" s="59"/>
      <c r="Q660" s="59"/>
      <c r="R660" s="60"/>
      <c r="S660" s="60"/>
      <c r="T660" s="60"/>
      <c r="U660" s="60"/>
      <c r="V660" s="60"/>
      <c r="W660" s="60"/>
    </row>
    <row r="661" spans="1:23" ht="13" x14ac:dyDescent="0.3">
      <c r="A661" s="58"/>
      <c r="B661" s="58"/>
      <c r="C661" s="58"/>
      <c r="D661" s="58"/>
      <c r="E661" s="58"/>
      <c r="F661" s="58"/>
      <c r="G661" s="58"/>
      <c r="H661" s="59"/>
      <c r="I661" s="59"/>
      <c r="J661" s="59"/>
      <c r="K661" s="59"/>
      <c r="L661" s="59"/>
      <c r="M661" s="60"/>
      <c r="N661" s="60"/>
      <c r="O661" s="60"/>
      <c r="P661" s="59"/>
      <c r="Q661" s="59"/>
      <c r="R661" s="60"/>
      <c r="S661" s="60"/>
      <c r="T661" s="60"/>
      <c r="U661" s="60"/>
      <c r="V661" s="60"/>
      <c r="W661" s="60"/>
    </row>
    <row r="662" spans="1:23" ht="13" x14ac:dyDescent="0.3">
      <c r="A662" s="58"/>
      <c r="B662" s="58"/>
      <c r="C662" s="58"/>
      <c r="D662" s="58"/>
      <c r="E662" s="58"/>
      <c r="F662" s="58"/>
      <c r="G662" s="58"/>
      <c r="H662" s="59"/>
      <c r="I662" s="59"/>
      <c r="J662" s="59"/>
      <c r="K662" s="59"/>
      <c r="L662" s="59"/>
      <c r="M662" s="60"/>
      <c r="N662" s="60"/>
      <c r="O662" s="60"/>
      <c r="P662" s="59"/>
      <c r="Q662" s="59"/>
      <c r="R662" s="60"/>
      <c r="S662" s="60"/>
      <c r="T662" s="60"/>
      <c r="U662" s="60"/>
      <c r="V662" s="60"/>
      <c r="W662" s="60"/>
    </row>
    <row r="663" spans="1:23" ht="13" x14ac:dyDescent="0.3">
      <c r="A663" s="58"/>
      <c r="B663" s="58"/>
      <c r="C663" s="58"/>
      <c r="D663" s="58"/>
      <c r="E663" s="58"/>
      <c r="F663" s="58"/>
      <c r="G663" s="58"/>
      <c r="H663" s="59"/>
      <c r="I663" s="59"/>
      <c r="J663" s="59"/>
      <c r="K663" s="59"/>
      <c r="L663" s="59"/>
      <c r="M663" s="60"/>
      <c r="N663" s="60"/>
      <c r="O663" s="60"/>
      <c r="P663" s="59"/>
      <c r="Q663" s="59"/>
      <c r="R663" s="60"/>
      <c r="S663" s="60"/>
      <c r="T663" s="60"/>
      <c r="U663" s="60"/>
      <c r="V663" s="60"/>
      <c r="W663" s="60"/>
    </row>
    <row r="664" spans="1:23" ht="13" x14ac:dyDescent="0.3">
      <c r="A664" s="58"/>
      <c r="B664" s="58"/>
      <c r="C664" s="58"/>
      <c r="D664" s="58"/>
      <c r="E664" s="58"/>
      <c r="F664" s="58"/>
      <c r="G664" s="58"/>
      <c r="H664" s="59"/>
      <c r="I664" s="59"/>
      <c r="J664" s="59"/>
      <c r="K664" s="59"/>
      <c r="L664" s="59"/>
      <c r="M664" s="60"/>
      <c r="N664" s="60"/>
      <c r="O664" s="60"/>
      <c r="P664" s="59"/>
      <c r="Q664" s="59"/>
      <c r="R664" s="60"/>
      <c r="S664" s="60"/>
      <c r="T664" s="60"/>
      <c r="U664" s="60"/>
      <c r="V664" s="60"/>
      <c r="W664" s="60"/>
    </row>
    <row r="665" spans="1:23" ht="13" x14ac:dyDescent="0.3">
      <c r="A665" s="58"/>
      <c r="B665" s="58"/>
      <c r="C665" s="58"/>
      <c r="D665" s="58"/>
      <c r="E665" s="58"/>
      <c r="F665" s="58"/>
      <c r="G665" s="58"/>
      <c r="H665" s="59"/>
      <c r="I665" s="59"/>
      <c r="J665" s="59"/>
      <c r="K665" s="59"/>
      <c r="L665" s="59"/>
      <c r="M665" s="60"/>
      <c r="N665" s="60"/>
      <c r="O665" s="60"/>
      <c r="P665" s="59"/>
      <c r="Q665" s="59"/>
      <c r="R665" s="60"/>
      <c r="S665" s="60"/>
      <c r="T665" s="60"/>
      <c r="U665" s="60"/>
      <c r="V665" s="60"/>
      <c r="W665" s="60"/>
    </row>
    <row r="666" spans="1:23" ht="13" x14ac:dyDescent="0.3">
      <c r="A666" s="58"/>
      <c r="B666" s="58"/>
      <c r="C666" s="58"/>
      <c r="D666" s="58"/>
      <c r="E666" s="58"/>
      <c r="F666" s="58"/>
      <c r="G666" s="58"/>
      <c r="H666" s="59"/>
      <c r="I666" s="59"/>
      <c r="J666" s="59"/>
      <c r="K666" s="59"/>
      <c r="L666" s="59"/>
      <c r="M666" s="60"/>
      <c r="N666" s="60"/>
      <c r="O666" s="60"/>
      <c r="P666" s="59"/>
      <c r="Q666" s="59"/>
      <c r="R666" s="60"/>
      <c r="S666" s="60"/>
      <c r="T666" s="60"/>
      <c r="U666" s="60"/>
      <c r="V666" s="60"/>
      <c r="W666" s="60"/>
    </row>
    <row r="667" spans="1:23" ht="13" x14ac:dyDescent="0.3">
      <c r="A667" s="58"/>
      <c r="B667" s="58"/>
      <c r="C667" s="58"/>
      <c r="D667" s="58"/>
      <c r="E667" s="58"/>
      <c r="F667" s="58"/>
      <c r="G667" s="58"/>
      <c r="H667" s="59"/>
      <c r="I667" s="59"/>
      <c r="J667" s="59"/>
      <c r="K667" s="59"/>
      <c r="L667" s="59"/>
      <c r="M667" s="60"/>
      <c r="N667" s="60"/>
      <c r="O667" s="60"/>
      <c r="P667" s="59"/>
      <c r="Q667" s="59"/>
      <c r="R667" s="60"/>
      <c r="S667" s="60"/>
      <c r="T667" s="60"/>
      <c r="U667" s="60"/>
      <c r="V667" s="60"/>
      <c r="W667" s="60"/>
    </row>
    <row r="668" spans="1:23" ht="13" x14ac:dyDescent="0.3">
      <c r="A668" s="58"/>
      <c r="B668" s="58"/>
      <c r="C668" s="58"/>
      <c r="D668" s="58"/>
      <c r="E668" s="58"/>
      <c r="F668" s="58"/>
      <c r="G668" s="58"/>
      <c r="H668" s="59"/>
      <c r="I668" s="59"/>
      <c r="J668" s="59"/>
      <c r="K668" s="59"/>
      <c r="L668" s="59"/>
      <c r="M668" s="60"/>
      <c r="N668" s="60"/>
      <c r="O668" s="60"/>
      <c r="P668" s="59"/>
      <c r="Q668" s="59"/>
      <c r="R668" s="60"/>
      <c r="S668" s="60"/>
      <c r="T668" s="60"/>
      <c r="U668" s="60"/>
      <c r="V668" s="60"/>
      <c r="W668" s="60"/>
    </row>
    <row r="669" spans="1:23" ht="13" x14ac:dyDescent="0.3">
      <c r="A669" s="58"/>
      <c r="B669" s="58"/>
      <c r="C669" s="58"/>
      <c r="D669" s="58"/>
      <c r="E669" s="58"/>
      <c r="F669" s="58"/>
      <c r="G669" s="58"/>
      <c r="H669" s="59"/>
      <c r="I669" s="59"/>
      <c r="J669" s="59"/>
      <c r="K669" s="59"/>
      <c r="L669" s="59"/>
      <c r="M669" s="60"/>
      <c r="N669" s="60"/>
      <c r="O669" s="60"/>
      <c r="P669" s="59"/>
      <c r="Q669" s="59"/>
      <c r="R669" s="60"/>
      <c r="S669" s="60"/>
      <c r="T669" s="60"/>
      <c r="U669" s="60"/>
      <c r="V669" s="60"/>
      <c r="W669" s="60"/>
    </row>
    <row r="670" spans="1:23" ht="13" x14ac:dyDescent="0.3">
      <c r="A670" s="58"/>
      <c r="B670" s="58"/>
      <c r="C670" s="58"/>
      <c r="D670" s="58"/>
      <c r="E670" s="58"/>
      <c r="F670" s="58"/>
      <c r="G670" s="58"/>
      <c r="H670" s="59"/>
      <c r="I670" s="59"/>
      <c r="J670" s="59"/>
      <c r="K670" s="59"/>
      <c r="L670" s="59"/>
      <c r="M670" s="60"/>
      <c r="N670" s="60"/>
      <c r="O670" s="60"/>
      <c r="P670" s="59"/>
      <c r="Q670" s="59"/>
      <c r="R670" s="60"/>
      <c r="S670" s="60"/>
      <c r="T670" s="60"/>
      <c r="U670" s="60"/>
      <c r="V670" s="60"/>
      <c r="W670" s="60"/>
    </row>
    <row r="671" spans="1:23" ht="13" x14ac:dyDescent="0.3">
      <c r="A671" s="58"/>
      <c r="B671" s="58"/>
      <c r="C671" s="58"/>
      <c r="D671" s="58"/>
      <c r="E671" s="58"/>
      <c r="F671" s="58"/>
      <c r="G671" s="58"/>
      <c r="H671" s="59"/>
      <c r="I671" s="59"/>
      <c r="J671" s="59"/>
      <c r="K671" s="59"/>
      <c r="L671" s="59"/>
      <c r="M671" s="60"/>
      <c r="N671" s="60"/>
      <c r="O671" s="60"/>
      <c r="P671" s="59"/>
      <c r="Q671" s="59"/>
      <c r="R671" s="60"/>
      <c r="S671" s="60"/>
      <c r="T671" s="60"/>
      <c r="U671" s="60"/>
      <c r="V671" s="60"/>
      <c r="W671" s="60"/>
    </row>
    <row r="672" spans="1:23" ht="13" x14ac:dyDescent="0.3">
      <c r="A672" s="58"/>
      <c r="B672" s="58"/>
      <c r="C672" s="58"/>
      <c r="D672" s="58"/>
      <c r="E672" s="58"/>
      <c r="F672" s="58"/>
      <c r="G672" s="58"/>
      <c r="H672" s="59"/>
      <c r="I672" s="59"/>
      <c r="J672" s="59"/>
      <c r="K672" s="59"/>
      <c r="L672" s="59"/>
      <c r="M672" s="60"/>
      <c r="N672" s="60"/>
      <c r="O672" s="60"/>
      <c r="P672" s="59"/>
      <c r="Q672" s="59"/>
      <c r="R672" s="60"/>
      <c r="S672" s="60"/>
      <c r="T672" s="60"/>
      <c r="U672" s="60"/>
      <c r="V672" s="60"/>
      <c r="W672" s="60"/>
    </row>
    <row r="673" spans="1:23" ht="13" x14ac:dyDescent="0.3">
      <c r="A673" s="58"/>
      <c r="B673" s="58"/>
      <c r="C673" s="58"/>
      <c r="D673" s="58"/>
      <c r="E673" s="58"/>
      <c r="F673" s="58"/>
      <c r="G673" s="58"/>
      <c r="H673" s="59"/>
      <c r="I673" s="59"/>
      <c r="J673" s="59"/>
      <c r="K673" s="59"/>
      <c r="L673" s="59"/>
      <c r="M673" s="60"/>
      <c r="N673" s="60"/>
      <c r="O673" s="60"/>
      <c r="P673" s="59"/>
      <c r="Q673" s="59"/>
      <c r="R673" s="60"/>
      <c r="S673" s="60"/>
      <c r="T673" s="60"/>
      <c r="U673" s="60"/>
      <c r="V673" s="60"/>
      <c r="W673" s="60"/>
    </row>
    <row r="674" spans="1:23" ht="13" x14ac:dyDescent="0.3">
      <c r="A674" s="58"/>
      <c r="B674" s="58"/>
      <c r="C674" s="58"/>
      <c r="D674" s="58"/>
      <c r="E674" s="58"/>
      <c r="F674" s="58"/>
      <c r="G674" s="58"/>
      <c r="H674" s="59"/>
      <c r="I674" s="59"/>
      <c r="J674" s="59"/>
      <c r="K674" s="59"/>
      <c r="L674" s="59"/>
      <c r="M674" s="60"/>
      <c r="N674" s="60"/>
      <c r="O674" s="60"/>
      <c r="P674" s="59"/>
      <c r="Q674" s="59"/>
      <c r="R674" s="60"/>
      <c r="S674" s="60"/>
      <c r="T674" s="60"/>
      <c r="U674" s="60"/>
      <c r="V674" s="60"/>
      <c r="W674" s="60"/>
    </row>
    <row r="675" spans="1:23" ht="13" x14ac:dyDescent="0.3">
      <c r="A675" s="58"/>
      <c r="B675" s="58"/>
      <c r="C675" s="58"/>
      <c r="D675" s="58"/>
      <c r="E675" s="58"/>
      <c r="F675" s="58"/>
      <c r="G675" s="58"/>
      <c r="H675" s="59"/>
      <c r="I675" s="59"/>
      <c r="J675" s="59"/>
      <c r="K675" s="59"/>
      <c r="L675" s="59"/>
      <c r="M675" s="60"/>
      <c r="N675" s="60"/>
      <c r="O675" s="60"/>
      <c r="P675" s="59"/>
      <c r="Q675" s="59"/>
      <c r="R675" s="60"/>
      <c r="S675" s="60"/>
      <c r="T675" s="60"/>
      <c r="U675" s="60"/>
      <c r="V675" s="60"/>
      <c r="W675" s="60"/>
    </row>
    <row r="676" spans="1:23" ht="13" x14ac:dyDescent="0.3">
      <c r="A676" s="58"/>
      <c r="B676" s="58"/>
      <c r="C676" s="58"/>
      <c r="D676" s="58"/>
      <c r="E676" s="58"/>
      <c r="F676" s="58"/>
      <c r="G676" s="58"/>
      <c r="H676" s="59"/>
      <c r="I676" s="59"/>
      <c r="J676" s="59"/>
      <c r="K676" s="59"/>
      <c r="L676" s="59"/>
      <c r="M676" s="60"/>
      <c r="N676" s="60"/>
      <c r="O676" s="60"/>
      <c r="P676" s="59"/>
      <c r="Q676" s="59"/>
      <c r="R676" s="60"/>
      <c r="S676" s="60"/>
      <c r="T676" s="60"/>
      <c r="U676" s="60"/>
      <c r="V676" s="60"/>
      <c r="W676" s="60"/>
    </row>
    <row r="677" spans="1:23" ht="13" x14ac:dyDescent="0.3">
      <c r="A677" s="58"/>
      <c r="B677" s="58"/>
      <c r="C677" s="58"/>
      <c r="D677" s="58"/>
      <c r="E677" s="58"/>
      <c r="F677" s="58"/>
      <c r="G677" s="58"/>
      <c r="H677" s="59"/>
      <c r="I677" s="59"/>
      <c r="J677" s="59"/>
      <c r="K677" s="59"/>
      <c r="L677" s="59"/>
      <c r="M677" s="60"/>
      <c r="N677" s="60"/>
      <c r="O677" s="60"/>
      <c r="P677" s="59"/>
      <c r="Q677" s="59"/>
      <c r="R677" s="60"/>
      <c r="S677" s="60"/>
      <c r="T677" s="60"/>
      <c r="U677" s="60"/>
      <c r="V677" s="60"/>
      <c r="W677" s="60"/>
    </row>
    <row r="678" spans="1:23" ht="13" x14ac:dyDescent="0.3">
      <c r="A678" s="58"/>
      <c r="B678" s="58"/>
      <c r="C678" s="58"/>
      <c r="D678" s="58"/>
      <c r="E678" s="58"/>
      <c r="F678" s="58"/>
      <c r="G678" s="58"/>
      <c r="H678" s="59"/>
      <c r="I678" s="59"/>
      <c r="J678" s="59"/>
      <c r="K678" s="59"/>
      <c r="L678" s="59"/>
      <c r="M678" s="60"/>
      <c r="N678" s="60"/>
      <c r="O678" s="60"/>
      <c r="P678" s="59"/>
      <c r="Q678" s="59"/>
      <c r="R678" s="60"/>
      <c r="S678" s="60"/>
      <c r="T678" s="60"/>
      <c r="U678" s="60"/>
      <c r="V678" s="60"/>
      <c r="W678" s="60"/>
    </row>
    <row r="679" spans="1:23" ht="13" x14ac:dyDescent="0.3">
      <c r="A679" s="58"/>
      <c r="B679" s="58"/>
      <c r="C679" s="58"/>
      <c r="D679" s="58"/>
      <c r="E679" s="58"/>
      <c r="F679" s="58"/>
      <c r="G679" s="58"/>
      <c r="H679" s="59"/>
      <c r="I679" s="59"/>
      <c r="J679" s="59"/>
      <c r="K679" s="59"/>
      <c r="L679" s="59"/>
      <c r="M679" s="60"/>
      <c r="N679" s="60"/>
      <c r="O679" s="60"/>
      <c r="P679" s="59"/>
      <c r="Q679" s="59"/>
      <c r="R679" s="60"/>
      <c r="S679" s="60"/>
      <c r="T679" s="60"/>
      <c r="U679" s="60"/>
      <c r="V679" s="60"/>
      <c r="W679" s="60"/>
    </row>
    <row r="680" spans="1:23" ht="13" x14ac:dyDescent="0.3">
      <c r="A680" s="58"/>
      <c r="B680" s="58"/>
      <c r="C680" s="58"/>
      <c r="D680" s="58"/>
      <c r="E680" s="58"/>
      <c r="F680" s="58"/>
      <c r="G680" s="58"/>
      <c r="H680" s="59"/>
      <c r="I680" s="59"/>
      <c r="J680" s="59"/>
      <c r="K680" s="59"/>
      <c r="L680" s="59"/>
      <c r="M680" s="60"/>
      <c r="N680" s="60"/>
      <c r="O680" s="60"/>
      <c r="P680" s="59"/>
      <c r="Q680" s="59"/>
      <c r="R680" s="60"/>
      <c r="S680" s="60"/>
      <c r="T680" s="60"/>
      <c r="U680" s="60"/>
      <c r="V680" s="60"/>
      <c r="W680" s="60"/>
    </row>
    <row r="681" spans="1:23" ht="13" x14ac:dyDescent="0.3">
      <c r="A681" s="58"/>
      <c r="B681" s="58"/>
      <c r="C681" s="58"/>
      <c r="D681" s="58"/>
      <c r="E681" s="58"/>
      <c r="F681" s="58"/>
      <c r="G681" s="58"/>
      <c r="H681" s="59"/>
      <c r="I681" s="59"/>
      <c r="J681" s="59"/>
      <c r="K681" s="59"/>
      <c r="L681" s="59"/>
      <c r="M681" s="60"/>
      <c r="N681" s="60"/>
      <c r="O681" s="60"/>
      <c r="P681" s="59"/>
      <c r="Q681" s="59"/>
      <c r="R681" s="60"/>
      <c r="S681" s="60"/>
      <c r="T681" s="60"/>
      <c r="U681" s="60"/>
      <c r="V681" s="60"/>
      <c r="W681" s="60"/>
    </row>
    <row r="682" spans="1:23" ht="13" x14ac:dyDescent="0.3">
      <c r="A682" s="58"/>
      <c r="B682" s="58"/>
      <c r="C682" s="58"/>
      <c r="D682" s="58"/>
      <c r="E682" s="58"/>
      <c r="F682" s="58"/>
      <c r="G682" s="58"/>
      <c r="H682" s="59"/>
      <c r="I682" s="59"/>
      <c r="J682" s="59"/>
      <c r="K682" s="59"/>
      <c r="L682" s="59"/>
      <c r="M682" s="60"/>
      <c r="N682" s="60"/>
      <c r="O682" s="60"/>
      <c r="P682" s="59"/>
      <c r="Q682" s="59"/>
      <c r="R682" s="60"/>
      <c r="S682" s="60"/>
      <c r="T682" s="60"/>
      <c r="U682" s="60"/>
      <c r="V682" s="60"/>
      <c r="W682" s="60"/>
    </row>
    <row r="683" spans="1:23" ht="13" x14ac:dyDescent="0.3">
      <c r="A683" s="58"/>
      <c r="B683" s="58"/>
      <c r="C683" s="58"/>
      <c r="D683" s="58"/>
      <c r="E683" s="58"/>
      <c r="F683" s="58"/>
      <c r="G683" s="58"/>
      <c r="H683" s="59"/>
      <c r="I683" s="59"/>
      <c r="J683" s="59"/>
      <c r="K683" s="59"/>
      <c r="L683" s="59"/>
      <c r="M683" s="60"/>
      <c r="N683" s="60"/>
      <c r="O683" s="60"/>
      <c r="P683" s="59"/>
      <c r="Q683" s="59"/>
      <c r="R683" s="60"/>
      <c r="S683" s="60"/>
      <c r="T683" s="60"/>
      <c r="U683" s="60"/>
      <c r="V683" s="60"/>
      <c r="W683" s="60"/>
    </row>
    <row r="684" spans="1:23" ht="13" x14ac:dyDescent="0.3">
      <c r="A684" s="58"/>
      <c r="B684" s="58"/>
      <c r="C684" s="58"/>
      <c r="D684" s="58"/>
      <c r="E684" s="58"/>
      <c r="F684" s="58"/>
      <c r="G684" s="58"/>
      <c r="H684" s="59"/>
      <c r="I684" s="59"/>
      <c r="J684" s="59"/>
      <c r="K684" s="59"/>
      <c r="L684" s="59"/>
      <c r="M684" s="60"/>
      <c r="N684" s="60"/>
      <c r="O684" s="60"/>
      <c r="P684" s="59"/>
      <c r="Q684" s="59"/>
      <c r="R684" s="60"/>
      <c r="S684" s="60"/>
      <c r="T684" s="60"/>
      <c r="U684" s="60"/>
      <c r="V684" s="60"/>
      <c r="W684" s="60"/>
    </row>
    <row r="685" spans="1:23" ht="13" x14ac:dyDescent="0.3">
      <c r="A685" s="58"/>
      <c r="B685" s="58"/>
      <c r="C685" s="58"/>
      <c r="D685" s="58"/>
      <c r="E685" s="58"/>
      <c r="F685" s="58"/>
      <c r="G685" s="58"/>
      <c r="H685" s="59"/>
      <c r="I685" s="59"/>
      <c r="J685" s="59"/>
      <c r="K685" s="59"/>
      <c r="L685" s="59"/>
      <c r="M685" s="60"/>
      <c r="N685" s="60"/>
      <c r="O685" s="60"/>
      <c r="P685" s="59"/>
      <c r="Q685" s="59"/>
      <c r="R685" s="60"/>
      <c r="S685" s="60"/>
      <c r="T685" s="60"/>
      <c r="U685" s="60"/>
      <c r="V685" s="60"/>
      <c r="W685" s="60"/>
    </row>
    <row r="686" spans="1:23" ht="13" x14ac:dyDescent="0.3">
      <c r="A686" s="58"/>
      <c r="B686" s="58"/>
      <c r="C686" s="58"/>
      <c r="D686" s="58"/>
      <c r="E686" s="58"/>
      <c r="F686" s="58"/>
      <c r="G686" s="58"/>
      <c r="H686" s="59"/>
      <c r="I686" s="59"/>
      <c r="J686" s="59"/>
      <c r="K686" s="59"/>
      <c r="L686" s="59"/>
      <c r="M686" s="60"/>
      <c r="N686" s="60"/>
      <c r="O686" s="60"/>
      <c r="P686" s="59"/>
      <c r="Q686" s="59"/>
      <c r="R686" s="60"/>
      <c r="S686" s="60"/>
      <c r="T686" s="60"/>
      <c r="U686" s="60"/>
      <c r="V686" s="60"/>
      <c r="W686" s="60"/>
    </row>
    <row r="687" spans="1:23" ht="13" x14ac:dyDescent="0.3">
      <c r="A687" s="58"/>
      <c r="B687" s="58"/>
      <c r="C687" s="58"/>
      <c r="D687" s="58"/>
      <c r="E687" s="58"/>
      <c r="F687" s="58"/>
      <c r="G687" s="58"/>
      <c r="H687" s="59"/>
      <c r="I687" s="59"/>
      <c r="J687" s="59"/>
      <c r="K687" s="59"/>
      <c r="L687" s="59"/>
      <c r="M687" s="60"/>
      <c r="N687" s="60"/>
      <c r="O687" s="60"/>
      <c r="P687" s="59"/>
      <c r="Q687" s="59"/>
      <c r="R687" s="60"/>
      <c r="S687" s="60"/>
      <c r="T687" s="60"/>
      <c r="U687" s="60"/>
      <c r="V687" s="60"/>
      <c r="W687" s="60"/>
    </row>
    <row r="688" spans="1:23" ht="13" x14ac:dyDescent="0.3">
      <c r="A688" s="58"/>
      <c r="B688" s="58"/>
      <c r="C688" s="58"/>
      <c r="D688" s="58"/>
      <c r="E688" s="58"/>
      <c r="F688" s="58"/>
      <c r="G688" s="58"/>
      <c r="H688" s="59"/>
      <c r="I688" s="59"/>
      <c r="J688" s="59"/>
      <c r="K688" s="59"/>
      <c r="L688" s="59"/>
      <c r="M688" s="60"/>
      <c r="N688" s="60"/>
      <c r="O688" s="60"/>
      <c r="P688" s="59"/>
      <c r="Q688" s="59"/>
      <c r="R688" s="60"/>
      <c r="S688" s="60"/>
      <c r="T688" s="60"/>
      <c r="U688" s="60"/>
      <c r="V688" s="60"/>
      <c r="W688" s="60"/>
    </row>
    <row r="689" spans="1:23" ht="13" x14ac:dyDescent="0.3">
      <c r="A689" s="58"/>
      <c r="B689" s="58"/>
      <c r="C689" s="58"/>
      <c r="D689" s="58"/>
      <c r="E689" s="58"/>
      <c r="F689" s="58"/>
      <c r="G689" s="58"/>
      <c r="H689" s="59"/>
      <c r="I689" s="59"/>
      <c r="J689" s="59"/>
      <c r="K689" s="59"/>
      <c r="L689" s="59"/>
      <c r="M689" s="60"/>
      <c r="N689" s="60"/>
      <c r="O689" s="60"/>
      <c r="P689" s="59"/>
      <c r="Q689" s="59"/>
      <c r="R689" s="60"/>
      <c r="S689" s="60"/>
      <c r="T689" s="60"/>
      <c r="U689" s="60"/>
      <c r="V689" s="60"/>
      <c r="W689" s="60"/>
    </row>
    <row r="690" spans="1:23" ht="13" x14ac:dyDescent="0.3">
      <c r="A690" s="58"/>
      <c r="B690" s="58"/>
      <c r="C690" s="58"/>
      <c r="D690" s="58"/>
      <c r="E690" s="58"/>
      <c r="F690" s="58"/>
      <c r="G690" s="58"/>
      <c r="H690" s="59"/>
      <c r="I690" s="59"/>
      <c r="J690" s="59"/>
      <c r="K690" s="59"/>
      <c r="L690" s="59"/>
      <c r="M690" s="60"/>
      <c r="N690" s="60"/>
      <c r="O690" s="60"/>
      <c r="P690" s="59"/>
      <c r="Q690" s="59"/>
      <c r="R690" s="60"/>
      <c r="S690" s="60"/>
      <c r="T690" s="60"/>
      <c r="U690" s="60"/>
      <c r="V690" s="60"/>
      <c r="W690" s="60"/>
    </row>
    <row r="691" spans="1:23" ht="13" x14ac:dyDescent="0.3">
      <c r="A691" s="58"/>
      <c r="B691" s="58"/>
      <c r="C691" s="58"/>
      <c r="D691" s="58"/>
      <c r="E691" s="58"/>
      <c r="F691" s="58"/>
      <c r="G691" s="58"/>
      <c r="H691" s="59"/>
      <c r="I691" s="59"/>
      <c r="J691" s="59"/>
      <c r="K691" s="59"/>
      <c r="L691" s="59"/>
      <c r="M691" s="60"/>
      <c r="N691" s="60"/>
      <c r="O691" s="60"/>
      <c r="P691" s="59"/>
      <c r="Q691" s="59"/>
      <c r="R691" s="60"/>
      <c r="S691" s="60"/>
      <c r="T691" s="60"/>
      <c r="U691" s="60"/>
      <c r="V691" s="60"/>
      <c r="W691" s="60"/>
    </row>
    <row r="692" spans="1:23" ht="13" x14ac:dyDescent="0.3">
      <c r="A692" s="58"/>
      <c r="B692" s="58"/>
      <c r="C692" s="58"/>
      <c r="D692" s="58"/>
      <c r="E692" s="58"/>
      <c r="F692" s="58"/>
      <c r="G692" s="58"/>
      <c r="H692" s="59"/>
      <c r="I692" s="59"/>
      <c r="J692" s="59"/>
      <c r="K692" s="59"/>
      <c r="L692" s="59"/>
      <c r="M692" s="60"/>
      <c r="N692" s="60"/>
      <c r="O692" s="60"/>
      <c r="P692" s="59"/>
      <c r="Q692" s="59"/>
      <c r="R692" s="60"/>
      <c r="S692" s="60"/>
      <c r="T692" s="60"/>
      <c r="U692" s="60"/>
      <c r="V692" s="60"/>
      <c r="W692" s="60"/>
    </row>
    <row r="693" spans="1:23" ht="13" x14ac:dyDescent="0.3">
      <c r="A693" s="58"/>
      <c r="B693" s="58"/>
      <c r="C693" s="58"/>
      <c r="D693" s="58"/>
      <c r="E693" s="58"/>
      <c r="F693" s="58"/>
      <c r="G693" s="58"/>
      <c r="H693" s="59"/>
      <c r="I693" s="59"/>
      <c r="J693" s="59"/>
      <c r="K693" s="59"/>
      <c r="L693" s="59"/>
      <c r="M693" s="60"/>
      <c r="N693" s="60"/>
      <c r="O693" s="60"/>
      <c r="P693" s="59"/>
      <c r="Q693" s="59"/>
      <c r="R693" s="60"/>
      <c r="S693" s="60"/>
      <c r="T693" s="60"/>
      <c r="U693" s="60"/>
      <c r="V693" s="60"/>
      <c r="W693" s="60"/>
    </row>
    <row r="694" spans="1:23" ht="13" x14ac:dyDescent="0.3">
      <c r="A694" s="58"/>
      <c r="B694" s="58"/>
      <c r="C694" s="58"/>
      <c r="D694" s="58"/>
      <c r="E694" s="58"/>
      <c r="F694" s="58"/>
      <c r="G694" s="58"/>
      <c r="H694" s="59"/>
      <c r="I694" s="59"/>
      <c r="J694" s="59"/>
      <c r="K694" s="59"/>
      <c r="L694" s="59"/>
      <c r="M694" s="60"/>
      <c r="N694" s="60"/>
      <c r="O694" s="60"/>
      <c r="P694" s="59"/>
      <c r="Q694" s="59"/>
      <c r="R694" s="60"/>
      <c r="S694" s="60"/>
      <c r="T694" s="60"/>
      <c r="U694" s="60"/>
      <c r="V694" s="60"/>
      <c r="W694" s="60"/>
    </row>
    <row r="695" spans="1:23" ht="13" x14ac:dyDescent="0.3">
      <c r="A695" s="58"/>
      <c r="B695" s="58"/>
      <c r="C695" s="58"/>
      <c r="D695" s="58"/>
      <c r="E695" s="58"/>
      <c r="F695" s="58"/>
      <c r="G695" s="58"/>
      <c r="H695" s="59"/>
      <c r="I695" s="59"/>
      <c r="J695" s="59"/>
      <c r="K695" s="59"/>
      <c r="L695" s="59"/>
      <c r="M695" s="60"/>
      <c r="N695" s="60"/>
      <c r="O695" s="60"/>
      <c r="P695" s="59"/>
      <c r="Q695" s="59"/>
      <c r="R695" s="60"/>
      <c r="S695" s="60"/>
      <c r="T695" s="60"/>
      <c r="U695" s="60"/>
      <c r="V695" s="60"/>
      <c r="W695" s="60"/>
    </row>
    <row r="696" spans="1:23" ht="13" x14ac:dyDescent="0.3">
      <c r="A696" s="58"/>
      <c r="B696" s="58"/>
      <c r="C696" s="58"/>
      <c r="D696" s="58"/>
      <c r="E696" s="58"/>
      <c r="F696" s="58"/>
      <c r="G696" s="58"/>
      <c r="H696" s="59"/>
      <c r="I696" s="59"/>
      <c r="J696" s="59"/>
      <c r="K696" s="59"/>
      <c r="L696" s="59"/>
      <c r="M696" s="60"/>
      <c r="N696" s="60"/>
      <c r="O696" s="60"/>
      <c r="P696" s="59"/>
      <c r="Q696" s="59"/>
      <c r="R696" s="60"/>
      <c r="S696" s="60"/>
      <c r="T696" s="60"/>
      <c r="U696" s="60"/>
      <c r="V696" s="60"/>
      <c r="W696" s="60"/>
    </row>
    <row r="697" spans="1:23" ht="13" x14ac:dyDescent="0.3">
      <c r="A697" s="58"/>
      <c r="B697" s="58"/>
      <c r="C697" s="58"/>
      <c r="D697" s="58"/>
      <c r="E697" s="58"/>
      <c r="F697" s="58"/>
      <c r="G697" s="58"/>
      <c r="H697" s="59"/>
      <c r="I697" s="59"/>
      <c r="J697" s="59"/>
      <c r="K697" s="59"/>
      <c r="L697" s="59"/>
      <c r="M697" s="60"/>
      <c r="N697" s="60"/>
      <c r="O697" s="60"/>
      <c r="P697" s="59"/>
      <c r="Q697" s="59"/>
      <c r="R697" s="60"/>
      <c r="S697" s="60"/>
      <c r="T697" s="60"/>
      <c r="U697" s="60"/>
      <c r="V697" s="60"/>
      <c r="W697" s="60"/>
    </row>
    <row r="698" spans="1:23" ht="13" x14ac:dyDescent="0.3">
      <c r="A698" s="58"/>
      <c r="B698" s="58"/>
      <c r="C698" s="58"/>
      <c r="D698" s="58"/>
      <c r="E698" s="58"/>
      <c r="F698" s="58"/>
      <c r="G698" s="58"/>
      <c r="H698" s="59"/>
      <c r="I698" s="59"/>
      <c r="J698" s="59"/>
      <c r="K698" s="59"/>
      <c r="L698" s="59"/>
      <c r="M698" s="60"/>
      <c r="N698" s="60"/>
      <c r="O698" s="60"/>
      <c r="P698" s="59"/>
      <c r="Q698" s="59"/>
      <c r="R698" s="60"/>
      <c r="S698" s="60"/>
      <c r="T698" s="60"/>
      <c r="U698" s="60"/>
      <c r="V698" s="60"/>
      <c r="W698" s="60"/>
    </row>
    <row r="699" spans="1:23" ht="13" x14ac:dyDescent="0.3">
      <c r="A699" s="58"/>
      <c r="B699" s="58"/>
      <c r="C699" s="58"/>
      <c r="D699" s="58"/>
      <c r="E699" s="58"/>
      <c r="F699" s="58"/>
      <c r="G699" s="58"/>
      <c r="H699" s="59"/>
      <c r="I699" s="59"/>
      <c r="J699" s="59"/>
      <c r="K699" s="59"/>
      <c r="L699" s="59"/>
      <c r="M699" s="60"/>
      <c r="N699" s="60"/>
      <c r="O699" s="60"/>
      <c r="P699" s="59"/>
      <c r="Q699" s="59"/>
      <c r="R699" s="60"/>
      <c r="S699" s="60"/>
      <c r="T699" s="60"/>
      <c r="U699" s="60"/>
      <c r="V699" s="60"/>
      <c r="W699" s="60"/>
    </row>
    <row r="700" spans="1:23" ht="13" x14ac:dyDescent="0.3">
      <c r="A700" s="58"/>
      <c r="B700" s="58"/>
      <c r="C700" s="58"/>
      <c r="D700" s="58"/>
      <c r="E700" s="58"/>
      <c r="F700" s="58"/>
      <c r="G700" s="58"/>
      <c r="H700" s="59"/>
      <c r="I700" s="59"/>
      <c r="J700" s="59"/>
      <c r="K700" s="59"/>
      <c r="L700" s="59"/>
      <c r="M700" s="60"/>
      <c r="N700" s="60"/>
      <c r="O700" s="60"/>
      <c r="P700" s="59"/>
      <c r="Q700" s="59"/>
      <c r="R700" s="60"/>
      <c r="S700" s="60"/>
      <c r="T700" s="60"/>
      <c r="U700" s="60"/>
      <c r="V700" s="60"/>
      <c r="W700" s="60"/>
    </row>
    <row r="701" spans="1:23" ht="13" x14ac:dyDescent="0.3">
      <c r="A701" s="58"/>
      <c r="B701" s="58"/>
      <c r="C701" s="58"/>
      <c r="D701" s="58"/>
      <c r="E701" s="58"/>
      <c r="F701" s="58"/>
      <c r="G701" s="58"/>
      <c r="H701" s="59"/>
      <c r="I701" s="59"/>
      <c r="J701" s="59"/>
      <c r="K701" s="59"/>
      <c r="L701" s="59"/>
      <c r="M701" s="60"/>
      <c r="N701" s="60"/>
      <c r="O701" s="60"/>
      <c r="P701" s="59"/>
      <c r="Q701" s="59"/>
      <c r="R701" s="60"/>
      <c r="S701" s="60"/>
      <c r="T701" s="60"/>
      <c r="U701" s="60"/>
      <c r="V701" s="60"/>
      <c r="W701" s="60"/>
    </row>
    <row r="702" spans="1:23" ht="13" x14ac:dyDescent="0.3">
      <c r="A702" s="58"/>
      <c r="B702" s="58"/>
      <c r="C702" s="58"/>
      <c r="D702" s="58"/>
      <c r="E702" s="58"/>
      <c r="F702" s="58"/>
      <c r="G702" s="58"/>
      <c r="H702" s="59"/>
      <c r="I702" s="59"/>
      <c r="J702" s="59"/>
      <c r="K702" s="59"/>
      <c r="L702" s="59"/>
      <c r="M702" s="60"/>
      <c r="N702" s="60"/>
      <c r="O702" s="60"/>
      <c r="P702" s="59"/>
      <c r="Q702" s="59"/>
      <c r="R702" s="60"/>
      <c r="S702" s="60"/>
      <c r="T702" s="60"/>
      <c r="U702" s="60"/>
      <c r="V702" s="60"/>
      <c r="W702" s="60"/>
    </row>
    <row r="703" spans="1:23" ht="13" x14ac:dyDescent="0.3">
      <c r="A703" s="58"/>
      <c r="B703" s="58"/>
      <c r="C703" s="58"/>
      <c r="D703" s="58"/>
      <c r="E703" s="58"/>
      <c r="F703" s="58"/>
      <c r="G703" s="58"/>
      <c r="H703" s="59"/>
      <c r="I703" s="59"/>
      <c r="J703" s="59"/>
      <c r="K703" s="59"/>
      <c r="L703" s="59"/>
      <c r="M703" s="60"/>
      <c r="N703" s="60"/>
      <c r="O703" s="60"/>
      <c r="P703" s="59"/>
      <c r="Q703" s="59"/>
      <c r="R703" s="60"/>
      <c r="S703" s="60"/>
      <c r="T703" s="60"/>
      <c r="U703" s="60"/>
      <c r="V703" s="60"/>
      <c r="W703" s="60"/>
    </row>
    <row r="704" spans="1:23" ht="13" x14ac:dyDescent="0.3">
      <c r="A704" s="58"/>
      <c r="B704" s="58"/>
      <c r="C704" s="58"/>
      <c r="D704" s="58"/>
      <c r="E704" s="58"/>
      <c r="F704" s="58"/>
      <c r="G704" s="58"/>
      <c r="H704" s="59"/>
      <c r="I704" s="59"/>
      <c r="J704" s="59"/>
      <c r="K704" s="59"/>
      <c r="L704" s="59"/>
      <c r="M704" s="60"/>
      <c r="N704" s="60"/>
      <c r="O704" s="60"/>
      <c r="P704" s="59"/>
      <c r="Q704" s="59"/>
      <c r="R704" s="60"/>
      <c r="S704" s="60"/>
      <c r="T704" s="60"/>
      <c r="U704" s="60"/>
      <c r="V704" s="60"/>
      <c r="W704" s="60"/>
    </row>
    <row r="705" spans="1:23" ht="13" x14ac:dyDescent="0.3">
      <c r="A705" s="58"/>
      <c r="B705" s="58"/>
      <c r="C705" s="58"/>
      <c r="D705" s="58"/>
      <c r="E705" s="58"/>
      <c r="F705" s="58"/>
      <c r="G705" s="58"/>
      <c r="H705" s="59"/>
      <c r="I705" s="59"/>
      <c r="J705" s="59"/>
      <c r="K705" s="59"/>
      <c r="L705" s="59"/>
      <c r="M705" s="60"/>
      <c r="N705" s="60"/>
      <c r="O705" s="60"/>
      <c r="P705" s="59"/>
      <c r="Q705" s="59"/>
      <c r="R705" s="60"/>
      <c r="S705" s="60"/>
      <c r="T705" s="60"/>
      <c r="U705" s="60"/>
      <c r="V705" s="60"/>
      <c r="W705" s="60"/>
    </row>
    <row r="706" spans="1:23" ht="13" x14ac:dyDescent="0.3">
      <c r="A706" s="58"/>
      <c r="B706" s="58"/>
      <c r="C706" s="58"/>
      <c r="D706" s="58"/>
      <c r="E706" s="58"/>
      <c r="F706" s="58"/>
      <c r="G706" s="58"/>
      <c r="H706" s="59"/>
      <c r="I706" s="59"/>
      <c r="J706" s="59"/>
      <c r="K706" s="59"/>
      <c r="L706" s="59"/>
      <c r="M706" s="60"/>
      <c r="N706" s="60"/>
      <c r="O706" s="60"/>
      <c r="P706" s="59"/>
      <c r="Q706" s="59"/>
      <c r="R706" s="60"/>
      <c r="S706" s="60"/>
      <c r="T706" s="60"/>
      <c r="U706" s="60"/>
      <c r="V706" s="60"/>
      <c r="W706" s="60"/>
    </row>
    <row r="707" spans="1:23" ht="13" x14ac:dyDescent="0.3">
      <c r="A707" s="58"/>
      <c r="B707" s="58"/>
      <c r="C707" s="58"/>
      <c r="D707" s="58"/>
      <c r="E707" s="58"/>
      <c r="F707" s="58"/>
      <c r="G707" s="58"/>
      <c r="H707" s="59"/>
      <c r="I707" s="59"/>
      <c r="J707" s="59"/>
      <c r="K707" s="59"/>
      <c r="L707" s="59"/>
      <c r="M707" s="60"/>
      <c r="N707" s="60"/>
      <c r="O707" s="60"/>
      <c r="P707" s="59"/>
      <c r="Q707" s="59"/>
      <c r="R707" s="60"/>
      <c r="S707" s="60"/>
      <c r="T707" s="60"/>
      <c r="U707" s="60"/>
      <c r="V707" s="60"/>
      <c r="W707" s="60"/>
    </row>
    <row r="708" spans="1:23" ht="13" x14ac:dyDescent="0.3">
      <c r="A708" s="58"/>
      <c r="B708" s="58"/>
      <c r="C708" s="58"/>
      <c r="D708" s="58"/>
      <c r="E708" s="58"/>
      <c r="F708" s="58"/>
      <c r="G708" s="58"/>
      <c r="H708" s="59"/>
      <c r="I708" s="59"/>
      <c r="J708" s="59"/>
      <c r="K708" s="59"/>
      <c r="L708" s="59"/>
      <c r="M708" s="60"/>
      <c r="N708" s="60"/>
      <c r="O708" s="60"/>
      <c r="P708" s="59"/>
      <c r="Q708" s="59"/>
      <c r="R708" s="60"/>
      <c r="S708" s="60"/>
      <c r="T708" s="60"/>
      <c r="U708" s="60"/>
      <c r="V708" s="60"/>
      <c r="W708" s="60"/>
    </row>
    <row r="709" spans="1:23" ht="13" x14ac:dyDescent="0.3">
      <c r="A709" s="58"/>
      <c r="B709" s="58"/>
      <c r="C709" s="58"/>
      <c r="D709" s="58"/>
      <c r="E709" s="58"/>
      <c r="F709" s="58"/>
      <c r="G709" s="58"/>
      <c r="H709" s="59"/>
      <c r="I709" s="59"/>
      <c r="J709" s="59"/>
      <c r="K709" s="59"/>
      <c r="L709" s="59"/>
      <c r="M709" s="60"/>
      <c r="N709" s="60"/>
      <c r="O709" s="60"/>
      <c r="P709" s="59"/>
      <c r="Q709" s="59"/>
      <c r="R709" s="60"/>
      <c r="S709" s="60"/>
      <c r="T709" s="60"/>
      <c r="U709" s="60"/>
      <c r="V709" s="60"/>
      <c r="W709" s="60"/>
    </row>
    <row r="710" spans="1:23" ht="13" x14ac:dyDescent="0.3">
      <c r="A710" s="58"/>
      <c r="B710" s="58"/>
      <c r="C710" s="58"/>
      <c r="D710" s="58"/>
      <c r="E710" s="58"/>
      <c r="F710" s="58"/>
      <c r="G710" s="58"/>
      <c r="H710" s="59"/>
      <c r="I710" s="59"/>
      <c r="J710" s="59"/>
      <c r="K710" s="59"/>
      <c r="L710" s="59"/>
      <c r="M710" s="60"/>
      <c r="N710" s="60"/>
      <c r="O710" s="60"/>
      <c r="P710" s="59"/>
      <c r="Q710" s="59"/>
      <c r="R710" s="60"/>
      <c r="S710" s="60"/>
      <c r="T710" s="60"/>
      <c r="U710" s="60"/>
      <c r="V710" s="60"/>
      <c r="W710" s="60"/>
    </row>
    <row r="711" spans="1:23" ht="13" x14ac:dyDescent="0.3">
      <c r="A711" s="58"/>
      <c r="B711" s="58"/>
      <c r="C711" s="58"/>
      <c r="D711" s="58"/>
      <c r="E711" s="58"/>
      <c r="F711" s="58"/>
      <c r="G711" s="58"/>
      <c r="H711" s="59"/>
      <c r="I711" s="59"/>
      <c r="J711" s="59"/>
      <c r="K711" s="59"/>
      <c r="L711" s="59"/>
      <c r="M711" s="60"/>
      <c r="N711" s="60"/>
      <c r="O711" s="60"/>
      <c r="P711" s="59"/>
      <c r="Q711" s="59"/>
      <c r="R711" s="60"/>
      <c r="S711" s="60"/>
      <c r="T711" s="60"/>
      <c r="U711" s="60"/>
      <c r="V711" s="60"/>
      <c r="W711" s="60"/>
    </row>
    <row r="712" spans="1:23" ht="13" x14ac:dyDescent="0.3">
      <c r="A712" s="58"/>
      <c r="B712" s="58"/>
      <c r="C712" s="58"/>
      <c r="D712" s="58"/>
      <c r="E712" s="58"/>
      <c r="F712" s="58"/>
      <c r="G712" s="58"/>
      <c r="H712" s="59"/>
      <c r="I712" s="59"/>
      <c r="J712" s="59"/>
      <c r="K712" s="59"/>
      <c r="L712" s="59"/>
      <c r="M712" s="60"/>
      <c r="N712" s="60"/>
      <c r="O712" s="60"/>
      <c r="P712" s="59"/>
      <c r="Q712" s="59"/>
      <c r="R712" s="60"/>
      <c r="S712" s="60"/>
      <c r="T712" s="60"/>
      <c r="U712" s="60"/>
      <c r="V712" s="60"/>
      <c r="W712" s="60"/>
    </row>
    <row r="713" spans="1:23" ht="13" x14ac:dyDescent="0.3">
      <c r="A713" s="58"/>
      <c r="B713" s="58"/>
      <c r="C713" s="58"/>
      <c r="D713" s="58"/>
      <c r="E713" s="58"/>
      <c r="F713" s="58"/>
      <c r="G713" s="58"/>
      <c r="H713" s="59"/>
      <c r="I713" s="59"/>
      <c r="J713" s="59"/>
      <c r="K713" s="59"/>
      <c r="L713" s="59"/>
      <c r="M713" s="60"/>
      <c r="N713" s="60"/>
      <c r="O713" s="60"/>
      <c r="P713" s="59"/>
      <c r="Q713" s="59"/>
      <c r="R713" s="60"/>
      <c r="S713" s="60"/>
      <c r="T713" s="60"/>
      <c r="U713" s="60"/>
      <c r="V713" s="60"/>
      <c r="W713" s="60"/>
    </row>
    <row r="714" spans="1:23" ht="13" x14ac:dyDescent="0.3">
      <c r="A714" s="58"/>
      <c r="B714" s="58"/>
      <c r="C714" s="58"/>
      <c r="D714" s="58"/>
      <c r="E714" s="58"/>
      <c r="F714" s="58"/>
      <c r="G714" s="58"/>
      <c r="H714" s="59"/>
      <c r="I714" s="59"/>
      <c r="J714" s="59"/>
      <c r="K714" s="59"/>
      <c r="L714" s="59"/>
      <c r="M714" s="60"/>
      <c r="N714" s="60"/>
      <c r="O714" s="60"/>
      <c r="P714" s="59"/>
      <c r="Q714" s="59"/>
      <c r="R714" s="60"/>
      <c r="S714" s="60"/>
      <c r="T714" s="60"/>
      <c r="U714" s="60"/>
      <c r="V714" s="60"/>
      <c r="W714" s="60"/>
    </row>
    <row r="715" spans="1:23" ht="13" x14ac:dyDescent="0.3">
      <c r="A715" s="58"/>
      <c r="B715" s="58"/>
      <c r="C715" s="58"/>
      <c r="D715" s="58"/>
      <c r="E715" s="58"/>
      <c r="F715" s="58"/>
      <c r="G715" s="58"/>
      <c r="H715" s="59"/>
      <c r="I715" s="59"/>
      <c r="J715" s="59"/>
      <c r="K715" s="59"/>
      <c r="L715" s="59"/>
      <c r="M715" s="60"/>
      <c r="N715" s="60"/>
      <c r="O715" s="60"/>
      <c r="P715" s="59"/>
      <c r="Q715" s="59"/>
      <c r="R715" s="60"/>
      <c r="S715" s="60"/>
      <c r="T715" s="60"/>
      <c r="U715" s="60"/>
      <c r="V715" s="60"/>
      <c r="W715" s="60"/>
    </row>
    <row r="716" spans="1:23" ht="13" x14ac:dyDescent="0.3">
      <c r="A716" s="58"/>
      <c r="B716" s="58"/>
      <c r="C716" s="58"/>
      <c r="D716" s="58"/>
      <c r="E716" s="58"/>
      <c r="F716" s="58"/>
      <c r="G716" s="58"/>
      <c r="H716" s="59"/>
      <c r="I716" s="59"/>
      <c r="J716" s="59"/>
      <c r="K716" s="59"/>
      <c r="L716" s="59"/>
      <c r="M716" s="60"/>
      <c r="N716" s="60"/>
      <c r="O716" s="60"/>
      <c r="P716" s="59"/>
      <c r="Q716" s="59"/>
      <c r="R716" s="60"/>
      <c r="S716" s="60"/>
      <c r="T716" s="60"/>
      <c r="U716" s="60"/>
      <c r="V716" s="60"/>
      <c r="W716" s="60"/>
    </row>
    <row r="717" spans="1:23" ht="13" x14ac:dyDescent="0.3">
      <c r="A717" s="58"/>
      <c r="B717" s="58"/>
      <c r="C717" s="58"/>
      <c r="D717" s="58"/>
      <c r="E717" s="58"/>
      <c r="F717" s="58"/>
      <c r="G717" s="58"/>
      <c r="H717" s="59"/>
      <c r="I717" s="59"/>
      <c r="J717" s="59"/>
      <c r="K717" s="59"/>
      <c r="L717" s="59"/>
      <c r="M717" s="60"/>
      <c r="N717" s="60"/>
      <c r="O717" s="60"/>
      <c r="P717" s="59"/>
      <c r="Q717" s="59"/>
      <c r="R717" s="60"/>
      <c r="S717" s="60"/>
      <c r="T717" s="60"/>
      <c r="U717" s="60"/>
      <c r="V717" s="60"/>
      <c r="W717" s="60"/>
    </row>
    <row r="718" spans="1:23" ht="13" x14ac:dyDescent="0.3">
      <c r="A718" s="58"/>
      <c r="B718" s="58"/>
      <c r="C718" s="58"/>
      <c r="D718" s="58"/>
      <c r="E718" s="58"/>
      <c r="F718" s="58"/>
      <c r="G718" s="58"/>
      <c r="H718" s="59"/>
      <c r="I718" s="59"/>
      <c r="J718" s="59"/>
      <c r="K718" s="59"/>
      <c r="L718" s="59"/>
      <c r="M718" s="60"/>
      <c r="N718" s="60"/>
      <c r="O718" s="60"/>
      <c r="P718" s="59"/>
      <c r="Q718" s="59"/>
      <c r="R718" s="60"/>
      <c r="S718" s="60"/>
      <c r="T718" s="60"/>
      <c r="U718" s="60"/>
      <c r="V718" s="60"/>
      <c r="W718" s="60"/>
    </row>
    <row r="719" spans="1:23" ht="13" x14ac:dyDescent="0.3">
      <c r="A719" s="58"/>
      <c r="B719" s="58"/>
      <c r="C719" s="58"/>
      <c r="D719" s="58"/>
      <c r="E719" s="58"/>
      <c r="F719" s="58"/>
      <c r="G719" s="58"/>
      <c r="H719" s="59"/>
      <c r="I719" s="59"/>
      <c r="J719" s="59"/>
      <c r="K719" s="59"/>
      <c r="L719" s="59"/>
      <c r="M719" s="60"/>
      <c r="N719" s="60"/>
      <c r="O719" s="60"/>
      <c r="P719" s="59"/>
      <c r="Q719" s="59"/>
      <c r="R719" s="60"/>
      <c r="S719" s="60"/>
      <c r="T719" s="60"/>
      <c r="U719" s="60"/>
      <c r="V719" s="60"/>
      <c r="W719" s="60"/>
    </row>
    <row r="720" spans="1:23" ht="13" x14ac:dyDescent="0.3">
      <c r="A720" s="58"/>
      <c r="B720" s="58"/>
      <c r="C720" s="58"/>
      <c r="D720" s="58"/>
      <c r="E720" s="58"/>
      <c r="F720" s="58"/>
      <c r="G720" s="58"/>
      <c r="H720" s="59"/>
      <c r="I720" s="59"/>
      <c r="J720" s="59"/>
      <c r="K720" s="59"/>
      <c r="L720" s="59"/>
      <c r="M720" s="60"/>
      <c r="N720" s="60"/>
      <c r="O720" s="60"/>
      <c r="P720" s="59"/>
      <c r="Q720" s="59"/>
      <c r="R720" s="60"/>
      <c r="S720" s="60"/>
      <c r="T720" s="60"/>
      <c r="U720" s="60"/>
      <c r="V720" s="60"/>
      <c r="W720" s="60"/>
    </row>
    <row r="721" spans="1:23" ht="13" x14ac:dyDescent="0.3">
      <c r="A721" s="58"/>
      <c r="B721" s="58"/>
      <c r="C721" s="58"/>
      <c r="D721" s="58"/>
      <c r="E721" s="58"/>
      <c r="F721" s="58"/>
      <c r="G721" s="58"/>
      <c r="H721" s="59"/>
      <c r="I721" s="59"/>
      <c r="J721" s="59"/>
      <c r="K721" s="59"/>
      <c r="L721" s="59"/>
      <c r="M721" s="60"/>
      <c r="N721" s="60"/>
      <c r="O721" s="60"/>
      <c r="P721" s="59"/>
      <c r="Q721" s="59"/>
      <c r="R721" s="60"/>
      <c r="S721" s="60"/>
      <c r="T721" s="60"/>
      <c r="U721" s="60"/>
      <c r="V721" s="60"/>
      <c r="W721" s="60"/>
    </row>
    <row r="722" spans="1:23" ht="13" x14ac:dyDescent="0.3">
      <c r="A722" s="58"/>
      <c r="B722" s="58"/>
      <c r="C722" s="58"/>
      <c r="D722" s="58"/>
      <c r="E722" s="58"/>
      <c r="F722" s="58"/>
      <c r="G722" s="58"/>
      <c r="H722" s="59"/>
      <c r="I722" s="59"/>
      <c r="J722" s="59"/>
      <c r="K722" s="59"/>
      <c r="L722" s="59"/>
      <c r="M722" s="60"/>
      <c r="N722" s="60"/>
      <c r="O722" s="60"/>
      <c r="P722" s="59"/>
      <c r="Q722" s="59"/>
      <c r="R722" s="60"/>
      <c r="S722" s="60"/>
      <c r="T722" s="60"/>
      <c r="U722" s="60"/>
      <c r="V722" s="60"/>
      <c r="W722" s="60"/>
    </row>
    <row r="723" spans="1:23" ht="13" x14ac:dyDescent="0.3">
      <c r="A723" s="58"/>
      <c r="B723" s="58"/>
      <c r="C723" s="58"/>
      <c r="D723" s="58"/>
      <c r="E723" s="58"/>
      <c r="F723" s="58"/>
      <c r="G723" s="58"/>
      <c r="H723" s="59"/>
      <c r="I723" s="59"/>
      <c r="J723" s="59"/>
      <c r="K723" s="59"/>
      <c r="L723" s="59"/>
      <c r="M723" s="60"/>
      <c r="N723" s="60"/>
      <c r="O723" s="60"/>
      <c r="P723" s="59"/>
      <c r="Q723" s="59"/>
      <c r="R723" s="60"/>
      <c r="S723" s="60"/>
      <c r="T723" s="60"/>
      <c r="U723" s="60"/>
      <c r="V723" s="60"/>
      <c r="W723" s="60"/>
    </row>
    <row r="724" spans="1:23" ht="13" x14ac:dyDescent="0.3">
      <c r="A724" s="58"/>
      <c r="B724" s="58"/>
      <c r="C724" s="58"/>
      <c r="D724" s="58"/>
      <c r="E724" s="58"/>
      <c r="F724" s="58"/>
      <c r="G724" s="58"/>
      <c r="H724" s="59"/>
      <c r="I724" s="59"/>
      <c r="J724" s="59"/>
      <c r="K724" s="59"/>
      <c r="L724" s="59"/>
      <c r="M724" s="60"/>
      <c r="N724" s="60"/>
      <c r="O724" s="60"/>
      <c r="P724" s="59"/>
      <c r="Q724" s="59"/>
      <c r="R724" s="60"/>
      <c r="S724" s="60"/>
      <c r="T724" s="60"/>
      <c r="U724" s="60"/>
      <c r="V724" s="60"/>
      <c r="W724" s="60"/>
    </row>
    <row r="725" spans="1:23" ht="13" x14ac:dyDescent="0.3">
      <c r="A725" s="58"/>
      <c r="B725" s="58"/>
      <c r="C725" s="58"/>
      <c r="D725" s="58"/>
      <c r="E725" s="58"/>
      <c r="F725" s="58"/>
      <c r="G725" s="58"/>
      <c r="H725" s="59"/>
      <c r="I725" s="59"/>
      <c r="J725" s="59"/>
      <c r="K725" s="59"/>
      <c r="L725" s="59"/>
      <c r="M725" s="60"/>
      <c r="N725" s="60"/>
      <c r="O725" s="60"/>
      <c r="P725" s="59"/>
      <c r="Q725" s="59"/>
      <c r="R725" s="60"/>
      <c r="S725" s="60"/>
      <c r="T725" s="60"/>
      <c r="U725" s="60"/>
      <c r="V725" s="60"/>
      <c r="W725" s="60"/>
    </row>
    <row r="726" spans="1:23" ht="13" x14ac:dyDescent="0.3">
      <c r="A726" s="58"/>
      <c r="B726" s="58"/>
      <c r="C726" s="58"/>
      <c r="D726" s="58"/>
      <c r="E726" s="58"/>
      <c r="F726" s="58"/>
      <c r="G726" s="58"/>
      <c r="H726" s="59"/>
      <c r="I726" s="59"/>
      <c r="J726" s="59"/>
      <c r="K726" s="59"/>
      <c r="L726" s="59"/>
      <c r="M726" s="60"/>
      <c r="N726" s="60"/>
      <c r="O726" s="60"/>
      <c r="P726" s="59"/>
      <c r="Q726" s="59"/>
      <c r="R726" s="60"/>
      <c r="S726" s="60"/>
      <c r="T726" s="60"/>
      <c r="U726" s="60"/>
      <c r="V726" s="60"/>
      <c r="W726" s="60"/>
    </row>
    <row r="727" spans="1:23" ht="13" x14ac:dyDescent="0.3">
      <c r="A727" s="58"/>
      <c r="B727" s="58"/>
      <c r="C727" s="58"/>
      <c r="D727" s="58"/>
      <c r="E727" s="58"/>
      <c r="F727" s="58"/>
      <c r="G727" s="58"/>
      <c r="H727" s="59"/>
      <c r="I727" s="59"/>
      <c r="J727" s="59"/>
      <c r="K727" s="59"/>
      <c r="L727" s="59"/>
      <c r="M727" s="60"/>
      <c r="N727" s="60"/>
      <c r="O727" s="60"/>
      <c r="P727" s="59"/>
      <c r="Q727" s="59"/>
      <c r="R727" s="60"/>
      <c r="S727" s="60"/>
      <c r="T727" s="60"/>
      <c r="U727" s="60"/>
      <c r="V727" s="60"/>
      <c r="W727" s="60"/>
    </row>
    <row r="728" spans="1:23" ht="13" x14ac:dyDescent="0.3">
      <c r="A728" s="58"/>
      <c r="B728" s="58"/>
      <c r="C728" s="58"/>
      <c r="D728" s="58"/>
      <c r="E728" s="58"/>
      <c r="F728" s="58"/>
      <c r="G728" s="58"/>
      <c r="H728" s="59"/>
      <c r="I728" s="59"/>
      <c r="J728" s="59"/>
      <c r="K728" s="59"/>
      <c r="L728" s="59"/>
      <c r="M728" s="60"/>
      <c r="N728" s="60"/>
      <c r="O728" s="60"/>
      <c r="P728" s="59"/>
      <c r="Q728" s="59"/>
      <c r="R728" s="60"/>
      <c r="S728" s="60"/>
      <c r="T728" s="60"/>
      <c r="U728" s="60"/>
      <c r="V728" s="60"/>
      <c r="W728" s="60"/>
    </row>
    <row r="729" spans="1:23" ht="13" x14ac:dyDescent="0.3">
      <c r="A729" s="58"/>
      <c r="B729" s="58"/>
      <c r="C729" s="58"/>
      <c r="D729" s="58"/>
      <c r="E729" s="58"/>
      <c r="F729" s="58"/>
      <c r="G729" s="58"/>
      <c r="H729" s="59"/>
      <c r="I729" s="59"/>
      <c r="J729" s="59"/>
      <c r="K729" s="59"/>
      <c r="L729" s="59"/>
      <c r="M729" s="60"/>
      <c r="N729" s="60"/>
      <c r="O729" s="60"/>
      <c r="P729" s="59"/>
      <c r="Q729" s="59"/>
      <c r="R729" s="60"/>
      <c r="S729" s="60"/>
      <c r="T729" s="60"/>
      <c r="U729" s="60"/>
      <c r="V729" s="60"/>
      <c r="W729" s="60"/>
    </row>
    <row r="730" spans="1:23" ht="13" x14ac:dyDescent="0.3">
      <c r="A730" s="58"/>
      <c r="B730" s="58"/>
      <c r="C730" s="58"/>
      <c r="D730" s="58"/>
      <c r="E730" s="58"/>
      <c r="F730" s="58"/>
      <c r="G730" s="58"/>
      <c r="H730" s="59"/>
      <c r="I730" s="59"/>
      <c r="J730" s="59"/>
      <c r="K730" s="59"/>
      <c r="L730" s="59"/>
      <c r="M730" s="60"/>
      <c r="N730" s="60"/>
      <c r="O730" s="60"/>
      <c r="P730" s="59"/>
      <c r="Q730" s="59"/>
      <c r="R730" s="60"/>
      <c r="S730" s="60"/>
      <c r="T730" s="60"/>
      <c r="U730" s="60"/>
      <c r="V730" s="60"/>
      <c r="W730" s="60"/>
    </row>
    <row r="731" spans="1:23" ht="13" x14ac:dyDescent="0.3">
      <c r="A731" s="58"/>
      <c r="B731" s="58"/>
      <c r="C731" s="58"/>
      <c r="D731" s="58"/>
      <c r="E731" s="58"/>
      <c r="F731" s="58"/>
      <c r="G731" s="58"/>
      <c r="H731" s="59"/>
      <c r="I731" s="59"/>
      <c r="J731" s="59"/>
      <c r="K731" s="59"/>
      <c r="L731" s="59"/>
      <c r="M731" s="60"/>
      <c r="N731" s="60"/>
      <c r="O731" s="60"/>
      <c r="P731" s="59"/>
      <c r="Q731" s="59"/>
      <c r="R731" s="60"/>
      <c r="S731" s="60"/>
      <c r="T731" s="60"/>
      <c r="U731" s="60"/>
      <c r="V731" s="60"/>
      <c r="W731" s="60"/>
    </row>
    <row r="732" spans="1:23" ht="13" x14ac:dyDescent="0.3">
      <c r="A732" s="58"/>
      <c r="B732" s="58"/>
      <c r="C732" s="58"/>
      <c r="D732" s="58"/>
      <c r="E732" s="58"/>
      <c r="F732" s="58"/>
      <c r="G732" s="58"/>
      <c r="H732" s="59"/>
      <c r="I732" s="59"/>
      <c r="J732" s="59"/>
      <c r="K732" s="59"/>
      <c r="L732" s="59"/>
      <c r="M732" s="60"/>
      <c r="N732" s="60"/>
      <c r="O732" s="60"/>
      <c r="P732" s="59"/>
      <c r="Q732" s="59"/>
      <c r="R732" s="60"/>
      <c r="S732" s="60"/>
      <c r="T732" s="60"/>
      <c r="U732" s="60"/>
      <c r="V732" s="60"/>
      <c r="W732" s="60"/>
    </row>
    <row r="733" spans="1:23" ht="13" x14ac:dyDescent="0.3">
      <c r="A733" s="58"/>
      <c r="B733" s="58"/>
      <c r="C733" s="58"/>
      <c r="D733" s="58"/>
      <c r="E733" s="58"/>
      <c r="F733" s="58"/>
      <c r="G733" s="58"/>
      <c r="H733" s="59"/>
      <c r="I733" s="59"/>
      <c r="J733" s="59"/>
      <c r="K733" s="59"/>
      <c r="L733" s="59"/>
      <c r="M733" s="60"/>
      <c r="N733" s="60"/>
      <c r="O733" s="60"/>
      <c r="P733" s="59"/>
      <c r="Q733" s="59"/>
      <c r="R733" s="60"/>
      <c r="S733" s="60"/>
      <c r="T733" s="60"/>
      <c r="U733" s="60"/>
      <c r="V733" s="60"/>
      <c r="W733" s="60"/>
    </row>
    <row r="734" spans="1:23" ht="13" x14ac:dyDescent="0.3">
      <c r="A734" s="58"/>
      <c r="B734" s="58"/>
      <c r="C734" s="58"/>
      <c r="D734" s="58"/>
      <c r="E734" s="58"/>
      <c r="F734" s="58"/>
      <c r="G734" s="58"/>
      <c r="H734" s="59"/>
      <c r="I734" s="59"/>
      <c r="J734" s="59"/>
      <c r="K734" s="59"/>
      <c r="L734" s="59"/>
      <c r="M734" s="60"/>
      <c r="N734" s="60"/>
      <c r="O734" s="60"/>
      <c r="P734" s="59"/>
      <c r="Q734" s="59"/>
      <c r="R734" s="60"/>
      <c r="S734" s="60"/>
      <c r="T734" s="60"/>
      <c r="U734" s="60"/>
      <c r="V734" s="60"/>
      <c r="W734" s="60"/>
    </row>
    <row r="735" spans="1:23" ht="13" x14ac:dyDescent="0.3">
      <c r="A735" s="58"/>
      <c r="B735" s="58"/>
      <c r="C735" s="58"/>
      <c r="D735" s="58"/>
      <c r="E735" s="58"/>
      <c r="F735" s="58"/>
      <c r="G735" s="58"/>
      <c r="H735" s="59"/>
      <c r="I735" s="59"/>
      <c r="J735" s="59"/>
      <c r="K735" s="59"/>
      <c r="L735" s="59"/>
      <c r="M735" s="60"/>
      <c r="N735" s="60"/>
      <c r="O735" s="60"/>
      <c r="P735" s="59"/>
      <c r="Q735" s="59"/>
      <c r="R735" s="60"/>
      <c r="S735" s="60"/>
      <c r="T735" s="60"/>
      <c r="U735" s="60"/>
      <c r="V735" s="60"/>
      <c r="W735" s="60"/>
    </row>
    <row r="736" spans="1:23" ht="13" x14ac:dyDescent="0.3">
      <c r="A736" s="58"/>
      <c r="B736" s="58"/>
      <c r="C736" s="58"/>
      <c r="D736" s="58"/>
      <c r="E736" s="58"/>
      <c r="F736" s="58"/>
      <c r="G736" s="58"/>
      <c r="H736" s="59"/>
      <c r="I736" s="59"/>
      <c r="J736" s="59"/>
      <c r="K736" s="59"/>
      <c r="L736" s="59"/>
      <c r="M736" s="60"/>
      <c r="N736" s="60"/>
      <c r="O736" s="60"/>
      <c r="P736" s="59"/>
      <c r="Q736" s="59"/>
      <c r="R736" s="60"/>
      <c r="S736" s="60"/>
      <c r="T736" s="60"/>
      <c r="U736" s="60"/>
      <c r="V736" s="60"/>
      <c r="W736" s="60"/>
    </row>
    <row r="737" spans="1:23" ht="13" x14ac:dyDescent="0.3">
      <c r="A737" s="58"/>
      <c r="B737" s="58"/>
      <c r="C737" s="58"/>
      <c r="D737" s="58"/>
      <c r="E737" s="58"/>
      <c r="F737" s="58"/>
      <c r="G737" s="58"/>
      <c r="H737" s="59"/>
      <c r="I737" s="59"/>
      <c r="J737" s="59"/>
      <c r="K737" s="59"/>
      <c r="L737" s="59"/>
      <c r="M737" s="60"/>
      <c r="N737" s="60"/>
      <c r="O737" s="60"/>
      <c r="P737" s="59"/>
      <c r="Q737" s="59"/>
      <c r="R737" s="60"/>
      <c r="S737" s="60"/>
      <c r="T737" s="60"/>
      <c r="U737" s="60"/>
      <c r="V737" s="60"/>
      <c r="W737" s="60"/>
    </row>
    <row r="738" spans="1:23" ht="13" x14ac:dyDescent="0.3">
      <c r="A738" s="58"/>
      <c r="B738" s="58"/>
      <c r="C738" s="58"/>
      <c r="D738" s="58"/>
      <c r="E738" s="58"/>
      <c r="F738" s="58"/>
      <c r="G738" s="58"/>
      <c r="H738" s="59"/>
      <c r="I738" s="59"/>
      <c r="J738" s="59"/>
      <c r="K738" s="59"/>
      <c r="L738" s="59"/>
      <c r="M738" s="60"/>
      <c r="N738" s="60"/>
      <c r="O738" s="60"/>
      <c r="P738" s="59"/>
      <c r="Q738" s="59"/>
      <c r="R738" s="60"/>
      <c r="S738" s="60"/>
      <c r="T738" s="60"/>
      <c r="U738" s="60"/>
      <c r="V738" s="60"/>
      <c r="W738" s="60"/>
    </row>
    <row r="739" spans="1:23" ht="13" x14ac:dyDescent="0.3">
      <c r="A739" s="58"/>
      <c r="B739" s="58"/>
      <c r="C739" s="58"/>
      <c r="D739" s="58"/>
      <c r="E739" s="58"/>
      <c r="F739" s="58"/>
      <c r="G739" s="58"/>
      <c r="H739" s="59"/>
      <c r="I739" s="59"/>
      <c r="J739" s="59"/>
      <c r="K739" s="59"/>
      <c r="L739" s="59"/>
      <c r="M739" s="60"/>
      <c r="N739" s="60"/>
      <c r="O739" s="60"/>
      <c r="P739" s="59"/>
      <c r="Q739" s="59"/>
      <c r="R739" s="60"/>
      <c r="S739" s="60"/>
      <c r="T739" s="60"/>
      <c r="U739" s="60"/>
      <c r="V739" s="60"/>
      <c r="W739" s="60"/>
    </row>
    <row r="740" spans="1:23" ht="13" x14ac:dyDescent="0.3">
      <c r="A740" s="58"/>
      <c r="B740" s="58"/>
      <c r="C740" s="58"/>
      <c r="D740" s="58"/>
      <c r="E740" s="58"/>
      <c r="F740" s="58"/>
      <c r="G740" s="58"/>
      <c r="H740" s="59"/>
      <c r="I740" s="59"/>
      <c r="J740" s="59"/>
      <c r="K740" s="59"/>
      <c r="L740" s="59"/>
      <c r="M740" s="60"/>
      <c r="N740" s="60"/>
      <c r="O740" s="60"/>
      <c r="P740" s="59"/>
      <c r="Q740" s="59"/>
      <c r="R740" s="60"/>
      <c r="S740" s="60"/>
      <c r="T740" s="60"/>
      <c r="U740" s="60"/>
      <c r="V740" s="60"/>
      <c r="W740" s="60"/>
    </row>
    <row r="741" spans="1:23" ht="13" x14ac:dyDescent="0.3">
      <c r="A741" s="58"/>
      <c r="B741" s="58"/>
      <c r="C741" s="58"/>
      <c r="D741" s="58"/>
      <c r="E741" s="58"/>
      <c r="F741" s="58"/>
      <c r="G741" s="58"/>
      <c r="H741" s="59"/>
      <c r="I741" s="59"/>
      <c r="J741" s="59"/>
      <c r="K741" s="59"/>
      <c r="L741" s="59"/>
      <c r="M741" s="60"/>
      <c r="N741" s="60"/>
      <c r="O741" s="60"/>
      <c r="P741" s="59"/>
      <c r="Q741" s="59"/>
      <c r="R741" s="60"/>
      <c r="S741" s="60"/>
      <c r="T741" s="60"/>
      <c r="U741" s="60"/>
      <c r="V741" s="60"/>
      <c r="W741" s="60"/>
    </row>
    <row r="742" spans="1:23" ht="13" x14ac:dyDescent="0.3">
      <c r="A742" s="58"/>
      <c r="B742" s="58"/>
      <c r="C742" s="58"/>
      <c r="D742" s="58"/>
      <c r="E742" s="58"/>
      <c r="F742" s="58"/>
      <c r="G742" s="58"/>
      <c r="H742" s="59"/>
      <c r="I742" s="59"/>
      <c r="J742" s="59"/>
      <c r="K742" s="59"/>
      <c r="L742" s="59"/>
      <c r="M742" s="60"/>
      <c r="N742" s="60"/>
      <c r="O742" s="60"/>
      <c r="P742" s="59"/>
      <c r="Q742" s="59"/>
      <c r="R742" s="60"/>
      <c r="S742" s="60"/>
      <c r="T742" s="60"/>
      <c r="U742" s="60"/>
      <c r="V742" s="60"/>
      <c r="W742" s="60"/>
    </row>
    <row r="743" spans="1:23" ht="13" x14ac:dyDescent="0.3">
      <c r="A743" s="58"/>
      <c r="B743" s="58"/>
      <c r="C743" s="58"/>
      <c r="D743" s="58"/>
      <c r="E743" s="58"/>
      <c r="F743" s="58"/>
      <c r="G743" s="58"/>
      <c r="H743" s="59"/>
      <c r="I743" s="59"/>
      <c r="J743" s="59"/>
      <c r="K743" s="59"/>
      <c r="L743" s="59"/>
      <c r="M743" s="60"/>
      <c r="N743" s="60"/>
      <c r="O743" s="60"/>
      <c r="P743" s="59"/>
      <c r="Q743" s="59"/>
      <c r="R743" s="60"/>
      <c r="S743" s="60"/>
      <c r="T743" s="60"/>
      <c r="U743" s="60"/>
      <c r="V743" s="60"/>
      <c r="W743" s="60"/>
    </row>
    <row r="744" spans="1:23" ht="13" x14ac:dyDescent="0.3">
      <c r="A744" s="58"/>
      <c r="B744" s="58"/>
      <c r="C744" s="58"/>
      <c r="D744" s="58"/>
      <c r="E744" s="58"/>
      <c r="F744" s="58"/>
      <c r="G744" s="58"/>
      <c r="H744" s="59"/>
      <c r="I744" s="59"/>
      <c r="J744" s="59"/>
      <c r="K744" s="59"/>
      <c r="L744" s="59"/>
      <c r="M744" s="60"/>
      <c r="N744" s="60"/>
      <c r="O744" s="60"/>
      <c r="P744" s="59"/>
      <c r="Q744" s="59"/>
      <c r="R744" s="60"/>
      <c r="S744" s="60"/>
      <c r="T744" s="60"/>
      <c r="U744" s="60"/>
      <c r="V744" s="60"/>
      <c r="W744" s="60"/>
    </row>
    <row r="745" spans="1:23" ht="13" x14ac:dyDescent="0.3">
      <c r="A745" s="58"/>
      <c r="B745" s="58"/>
      <c r="C745" s="58"/>
      <c r="D745" s="58"/>
      <c r="E745" s="58"/>
      <c r="F745" s="58"/>
      <c r="G745" s="58"/>
      <c r="H745" s="59"/>
      <c r="I745" s="59"/>
      <c r="J745" s="59"/>
      <c r="K745" s="59"/>
      <c r="L745" s="59"/>
      <c r="M745" s="60"/>
      <c r="N745" s="60"/>
      <c r="O745" s="60"/>
      <c r="P745" s="59"/>
      <c r="Q745" s="59"/>
      <c r="R745" s="60"/>
      <c r="S745" s="60"/>
      <c r="T745" s="60"/>
      <c r="U745" s="60"/>
      <c r="V745" s="60"/>
      <c r="W745" s="60"/>
    </row>
    <row r="746" spans="1:23" ht="13" x14ac:dyDescent="0.3">
      <c r="A746" s="58"/>
      <c r="B746" s="58"/>
      <c r="C746" s="58"/>
      <c r="D746" s="58"/>
      <c r="E746" s="58"/>
      <c r="F746" s="58"/>
      <c r="G746" s="58"/>
      <c r="H746" s="59"/>
      <c r="I746" s="59"/>
      <c r="J746" s="59"/>
      <c r="K746" s="59"/>
      <c r="L746" s="59"/>
      <c r="M746" s="60"/>
      <c r="N746" s="60"/>
      <c r="O746" s="60"/>
      <c r="P746" s="59"/>
      <c r="Q746" s="59"/>
      <c r="R746" s="60"/>
      <c r="S746" s="60"/>
      <c r="T746" s="60"/>
      <c r="U746" s="60"/>
      <c r="V746" s="60"/>
      <c r="W746" s="60"/>
    </row>
    <row r="747" spans="1:23" ht="13" x14ac:dyDescent="0.3">
      <c r="A747" s="58"/>
      <c r="B747" s="58"/>
      <c r="C747" s="58"/>
      <c r="D747" s="58"/>
      <c r="E747" s="58"/>
      <c r="F747" s="58"/>
      <c r="G747" s="58"/>
      <c r="H747" s="59"/>
      <c r="I747" s="59"/>
      <c r="J747" s="59"/>
      <c r="K747" s="59"/>
      <c r="L747" s="59"/>
      <c r="M747" s="60"/>
      <c r="N747" s="60"/>
      <c r="O747" s="60"/>
      <c r="P747" s="59"/>
      <c r="Q747" s="59"/>
      <c r="R747" s="60"/>
      <c r="S747" s="60"/>
      <c r="T747" s="60"/>
      <c r="U747" s="60"/>
      <c r="V747" s="60"/>
      <c r="W747" s="60"/>
    </row>
    <row r="748" spans="1:23" ht="13" x14ac:dyDescent="0.3">
      <c r="A748" s="58"/>
      <c r="B748" s="58"/>
      <c r="C748" s="58"/>
      <c r="D748" s="58"/>
      <c r="E748" s="58"/>
      <c r="F748" s="58"/>
      <c r="G748" s="58"/>
      <c r="H748" s="59"/>
      <c r="I748" s="59"/>
      <c r="J748" s="59"/>
      <c r="K748" s="59"/>
      <c r="L748" s="59"/>
      <c r="M748" s="60"/>
      <c r="N748" s="60"/>
      <c r="O748" s="60"/>
      <c r="P748" s="59"/>
      <c r="Q748" s="59"/>
      <c r="R748" s="60"/>
      <c r="S748" s="60"/>
      <c r="T748" s="60"/>
      <c r="U748" s="60"/>
      <c r="V748" s="60"/>
      <c r="W748" s="60"/>
    </row>
    <row r="749" spans="1:23" ht="13" x14ac:dyDescent="0.3">
      <c r="A749" s="58"/>
      <c r="B749" s="58"/>
      <c r="C749" s="58"/>
      <c r="D749" s="58"/>
      <c r="E749" s="58"/>
      <c r="F749" s="58"/>
      <c r="G749" s="58"/>
      <c r="H749" s="59"/>
      <c r="I749" s="59"/>
      <c r="J749" s="59"/>
      <c r="K749" s="59"/>
      <c r="L749" s="59"/>
      <c r="M749" s="60"/>
      <c r="N749" s="60"/>
      <c r="O749" s="60"/>
      <c r="P749" s="59"/>
      <c r="Q749" s="59"/>
      <c r="R749" s="60"/>
      <c r="S749" s="60"/>
      <c r="T749" s="60"/>
      <c r="U749" s="60"/>
      <c r="V749" s="60"/>
      <c r="W749" s="60"/>
    </row>
    <row r="750" spans="1:23" ht="13" x14ac:dyDescent="0.3">
      <c r="A750" s="58"/>
      <c r="B750" s="58"/>
      <c r="C750" s="58"/>
      <c r="D750" s="58"/>
      <c r="E750" s="58"/>
      <c r="F750" s="58"/>
      <c r="G750" s="58"/>
      <c r="H750" s="59"/>
      <c r="I750" s="59"/>
      <c r="J750" s="59"/>
      <c r="K750" s="59"/>
      <c r="L750" s="59"/>
      <c r="M750" s="60"/>
      <c r="N750" s="60"/>
      <c r="O750" s="60"/>
      <c r="P750" s="59"/>
      <c r="Q750" s="59"/>
      <c r="R750" s="60"/>
      <c r="S750" s="60"/>
      <c r="T750" s="60"/>
      <c r="U750" s="60"/>
      <c r="V750" s="60"/>
      <c r="W750" s="60"/>
    </row>
    <row r="751" spans="1:23" ht="13" x14ac:dyDescent="0.3">
      <c r="A751" s="58"/>
      <c r="B751" s="58"/>
      <c r="C751" s="58"/>
      <c r="D751" s="58"/>
      <c r="E751" s="58"/>
      <c r="F751" s="58"/>
      <c r="G751" s="58"/>
      <c r="H751" s="59"/>
      <c r="I751" s="59"/>
      <c r="J751" s="59"/>
      <c r="K751" s="59"/>
      <c r="L751" s="59"/>
      <c r="M751" s="60"/>
      <c r="N751" s="60"/>
      <c r="O751" s="60"/>
      <c r="P751" s="59"/>
      <c r="Q751" s="59"/>
      <c r="R751" s="60"/>
      <c r="S751" s="60"/>
      <c r="T751" s="60"/>
      <c r="U751" s="60"/>
      <c r="V751" s="60"/>
      <c r="W751" s="60"/>
    </row>
    <row r="752" spans="1:23" ht="13" x14ac:dyDescent="0.3">
      <c r="A752" s="58"/>
      <c r="B752" s="58"/>
      <c r="C752" s="58"/>
      <c r="D752" s="58"/>
      <c r="E752" s="58"/>
      <c r="F752" s="58"/>
      <c r="G752" s="58"/>
      <c r="H752" s="59"/>
      <c r="I752" s="59"/>
      <c r="J752" s="59"/>
      <c r="K752" s="59"/>
      <c r="L752" s="59"/>
      <c r="M752" s="60"/>
      <c r="N752" s="60"/>
      <c r="O752" s="60"/>
      <c r="P752" s="59"/>
      <c r="Q752" s="59"/>
      <c r="R752" s="60"/>
      <c r="S752" s="60"/>
      <c r="T752" s="60"/>
      <c r="U752" s="60"/>
      <c r="V752" s="60"/>
      <c r="W752" s="60"/>
    </row>
    <row r="753" spans="1:23" ht="13" x14ac:dyDescent="0.3">
      <c r="A753" s="58"/>
      <c r="B753" s="58"/>
      <c r="C753" s="58"/>
      <c r="D753" s="58"/>
      <c r="E753" s="58"/>
      <c r="F753" s="58"/>
      <c r="G753" s="58"/>
      <c r="H753" s="59"/>
      <c r="I753" s="59"/>
      <c r="J753" s="59"/>
      <c r="K753" s="59"/>
      <c r="L753" s="59"/>
      <c r="M753" s="60"/>
      <c r="N753" s="60"/>
      <c r="O753" s="60"/>
      <c r="P753" s="59"/>
      <c r="Q753" s="59"/>
      <c r="R753" s="60"/>
      <c r="S753" s="60"/>
      <c r="T753" s="60"/>
      <c r="U753" s="60"/>
      <c r="V753" s="60"/>
      <c r="W753" s="60"/>
    </row>
    <row r="754" spans="1:23" ht="13" x14ac:dyDescent="0.3">
      <c r="A754" s="58"/>
      <c r="B754" s="58"/>
      <c r="C754" s="58"/>
      <c r="D754" s="58"/>
      <c r="E754" s="58"/>
      <c r="F754" s="58"/>
      <c r="G754" s="58"/>
      <c r="H754" s="59"/>
      <c r="I754" s="59"/>
      <c r="J754" s="59"/>
      <c r="K754" s="59"/>
      <c r="L754" s="59"/>
      <c r="M754" s="60"/>
      <c r="N754" s="60"/>
      <c r="O754" s="60"/>
      <c r="P754" s="59"/>
      <c r="Q754" s="59"/>
      <c r="R754" s="60"/>
      <c r="S754" s="60"/>
      <c r="T754" s="60"/>
      <c r="U754" s="60"/>
      <c r="V754" s="60"/>
      <c r="W754" s="60"/>
    </row>
    <row r="755" spans="1:23" ht="13" x14ac:dyDescent="0.3">
      <c r="A755" s="58"/>
      <c r="B755" s="58"/>
      <c r="C755" s="58"/>
      <c r="D755" s="58"/>
      <c r="E755" s="58"/>
      <c r="F755" s="58"/>
      <c r="G755" s="58"/>
      <c r="H755" s="59"/>
      <c r="I755" s="59"/>
      <c r="J755" s="59"/>
      <c r="K755" s="59"/>
      <c r="L755" s="59"/>
      <c r="M755" s="60"/>
      <c r="N755" s="60"/>
      <c r="O755" s="60"/>
      <c r="P755" s="59"/>
      <c r="Q755" s="59"/>
      <c r="R755" s="60"/>
      <c r="S755" s="60"/>
      <c r="T755" s="60"/>
      <c r="U755" s="60"/>
      <c r="V755" s="60"/>
      <c r="W755" s="60"/>
    </row>
    <row r="756" spans="1:23" ht="13" x14ac:dyDescent="0.3">
      <c r="A756" s="58"/>
      <c r="B756" s="58"/>
      <c r="C756" s="58"/>
      <c r="D756" s="58"/>
      <c r="E756" s="58"/>
      <c r="F756" s="58"/>
      <c r="G756" s="58"/>
      <c r="H756" s="59"/>
      <c r="I756" s="59"/>
      <c r="J756" s="59"/>
      <c r="K756" s="59"/>
      <c r="L756" s="59"/>
      <c r="M756" s="60"/>
      <c r="N756" s="60"/>
      <c r="O756" s="60"/>
      <c r="P756" s="59"/>
      <c r="Q756" s="59"/>
      <c r="R756" s="60"/>
      <c r="S756" s="60"/>
      <c r="T756" s="60"/>
      <c r="U756" s="60"/>
      <c r="V756" s="60"/>
      <c r="W756" s="60"/>
    </row>
    <row r="757" spans="1:23" ht="13" x14ac:dyDescent="0.3">
      <c r="A757" s="58"/>
      <c r="B757" s="58"/>
      <c r="C757" s="58"/>
      <c r="D757" s="58"/>
      <c r="E757" s="58"/>
      <c r="F757" s="58"/>
      <c r="G757" s="58"/>
      <c r="H757" s="59"/>
      <c r="I757" s="59"/>
      <c r="J757" s="59"/>
      <c r="K757" s="59"/>
      <c r="L757" s="59"/>
      <c r="M757" s="60"/>
      <c r="N757" s="60"/>
      <c r="O757" s="60"/>
      <c r="P757" s="59"/>
      <c r="Q757" s="59"/>
      <c r="R757" s="60"/>
      <c r="S757" s="60"/>
      <c r="T757" s="60"/>
      <c r="U757" s="60"/>
      <c r="V757" s="60"/>
      <c r="W757" s="60"/>
    </row>
    <row r="758" spans="1:23" ht="13" x14ac:dyDescent="0.3">
      <c r="A758" s="58"/>
      <c r="B758" s="58"/>
      <c r="C758" s="58"/>
      <c r="D758" s="58"/>
      <c r="E758" s="58"/>
      <c r="F758" s="58"/>
      <c r="G758" s="58"/>
      <c r="H758" s="59"/>
      <c r="I758" s="59"/>
      <c r="J758" s="59"/>
      <c r="K758" s="59"/>
      <c r="L758" s="59"/>
      <c r="M758" s="60"/>
      <c r="N758" s="60"/>
      <c r="O758" s="60"/>
      <c r="P758" s="59"/>
      <c r="Q758" s="59"/>
      <c r="R758" s="60"/>
      <c r="S758" s="60"/>
      <c r="T758" s="60"/>
      <c r="U758" s="60"/>
      <c r="V758" s="60"/>
      <c r="W758" s="60"/>
    </row>
    <row r="759" spans="1:23" ht="13" x14ac:dyDescent="0.3">
      <c r="A759" s="58"/>
      <c r="B759" s="58"/>
      <c r="C759" s="58"/>
      <c r="D759" s="58"/>
      <c r="E759" s="58"/>
      <c r="F759" s="58"/>
      <c r="G759" s="58"/>
      <c r="H759" s="59"/>
      <c r="I759" s="59"/>
      <c r="J759" s="59"/>
      <c r="K759" s="59"/>
      <c r="L759" s="59"/>
      <c r="M759" s="60"/>
      <c r="N759" s="60"/>
      <c r="O759" s="60"/>
      <c r="P759" s="59"/>
      <c r="Q759" s="59"/>
      <c r="R759" s="60"/>
      <c r="S759" s="60"/>
      <c r="T759" s="60"/>
      <c r="U759" s="60"/>
      <c r="V759" s="60"/>
      <c r="W759" s="60"/>
    </row>
    <row r="760" spans="1:23" ht="13" x14ac:dyDescent="0.3">
      <c r="A760" s="58"/>
      <c r="B760" s="58"/>
      <c r="C760" s="58"/>
      <c r="D760" s="58"/>
      <c r="E760" s="58"/>
      <c r="F760" s="58"/>
      <c r="G760" s="58"/>
      <c r="H760" s="59"/>
      <c r="I760" s="59"/>
      <c r="J760" s="59"/>
      <c r="K760" s="59"/>
      <c r="L760" s="59"/>
      <c r="M760" s="60"/>
      <c r="N760" s="60"/>
      <c r="O760" s="60"/>
      <c r="P760" s="59"/>
      <c r="Q760" s="59"/>
      <c r="R760" s="60"/>
      <c r="S760" s="60"/>
      <c r="T760" s="60"/>
      <c r="U760" s="60"/>
      <c r="V760" s="60"/>
      <c r="W760" s="60"/>
    </row>
    <row r="761" spans="1:23" ht="13" x14ac:dyDescent="0.3">
      <c r="A761" s="58"/>
      <c r="B761" s="58"/>
      <c r="C761" s="58"/>
      <c r="D761" s="58"/>
      <c r="E761" s="58"/>
      <c r="F761" s="58"/>
      <c r="G761" s="58"/>
      <c r="H761" s="59"/>
      <c r="I761" s="59"/>
      <c r="J761" s="59"/>
      <c r="K761" s="59"/>
      <c r="L761" s="59"/>
      <c r="M761" s="60"/>
      <c r="N761" s="60"/>
      <c r="O761" s="60"/>
      <c r="P761" s="59"/>
      <c r="Q761" s="59"/>
      <c r="R761" s="60"/>
      <c r="S761" s="60"/>
      <c r="T761" s="60"/>
      <c r="U761" s="60"/>
      <c r="V761" s="60"/>
      <c r="W761" s="60"/>
    </row>
    <row r="762" spans="1:23" ht="13" x14ac:dyDescent="0.3">
      <c r="A762" s="58"/>
      <c r="B762" s="58"/>
      <c r="C762" s="58"/>
      <c r="D762" s="58"/>
      <c r="E762" s="58"/>
      <c r="F762" s="58"/>
      <c r="G762" s="58"/>
      <c r="H762" s="59"/>
      <c r="I762" s="59"/>
      <c r="J762" s="59"/>
      <c r="K762" s="59"/>
      <c r="L762" s="59"/>
      <c r="M762" s="60"/>
      <c r="N762" s="60"/>
      <c r="O762" s="60"/>
      <c r="P762" s="59"/>
      <c r="Q762" s="59"/>
      <c r="R762" s="60"/>
      <c r="S762" s="60"/>
      <c r="T762" s="60"/>
      <c r="U762" s="60"/>
      <c r="V762" s="60"/>
      <c r="W762" s="60"/>
    </row>
    <row r="763" spans="1:23" ht="13" x14ac:dyDescent="0.3">
      <c r="A763" s="58"/>
      <c r="B763" s="58"/>
      <c r="C763" s="58"/>
      <c r="D763" s="58"/>
      <c r="E763" s="58"/>
      <c r="F763" s="58"/>
      <c r="G763" s="58"/>
      <c r="H763" s="59"/>
      <c r="I763" s="59"/>
      <c r="J763" s="59"/>
      <c r="K763" s="59"/>
      <c r="L763" s="59"/>
      <c r="M763" s="60"/>
      <c r="N763" s="60"/>
      <c r="O763" s="60"/>
      <c r="P763" s="59"/>
      <c r="Q763" s="59"/>
      <c r="R763" s="60"/>
      <c r="S763" s="60"/>
      <c r="T763" s="60"/>
      <c r="U763" s="60"/>
      <c r="V763" s="60"/>
      <c r="W763" s="60"/>
    </row>
    <row r="764" spans="1:23" ht="13" x14ac:dyDescent="0.3">
      <c r="A764" s="58"/>
      <c r="B764" s="58"/>
      <c r="C764" s="58"/>
      <c r="D764" s="58"/>
      <c r="E764" s="58"/>
      <c r="F764" s="58"/>
      <c r="G764" s="58"/>
      <c r="H764" s="59"/>
      <c r="I764" s="59"/>
      <c r="J764" s="59"/>
      <c r="K764" s="59"/>
      <c r="L764" s="59"/>
      <c r="M764" s="60"/>
      <c r="N764" s="60"/>
      <c r="O764" s="60"/>
      <c r="P764" s="59"/>
      <c r="Q764" s="59"/>
      <c r="R764" s="60"/>
      <c r="S764" s="60"/>
      <c r="T764" s="60"/>
      <c r="U764" s="60"/>
      <c r="V764" s="60"/>
      <c r="W764" s="60"/>
    </row>
    <row r="765" spans="1:23" ht="13" x14ac:dyDescent="0.3">
      <c r="A765" s="58"/>
      <c r="B765" s="58"/>
      <c r="C765" s="58"/>
      <c r="D765" s="58"/>
      <c r="E765" s="58"/>
      <c r="F765" s="58"/>
      <c r="G765" s="58"/>
      <c r="H765" s="59"/>
      <c r="I765" s="59"/>
      <c r="J765" s="59"/>
      <c r="K765" s="59"/>
      <c r="L765" s="59"/>
      <c r="M765" s="60"/>
      <c r="N765" s="60"/>
      <c r="O765" s="60"/>
      <c r="P765" s="59"/>
      <c r="Q765" s="59"/>
      <c r="R765" s="60"/>
      <c r="S765" s="60"/>
      <c r="T765" s="60"/>
      <c r="U765" s="60"/>
      <c r="V765" s="60"/>
      <c r="W765" s="60"/>
    </row>
    <row r="766" spans="1:23" ht="13" x14ac:dyDescent="0.3">
      <c r="A766" s="58"/>
      <c r="B766" s="58"/>
      <c r="C766" s="58"/>
      <c r="D766" s="58"/>
      <c r="E766" s="58"/>
      <c r="F766" s="58"/>
      <c r="G766" s="58"/>
      <c r="H766" s="59"/>
      <c r="I766" s="59"/>
      <c r="J766" s="59"/>
      <c r="K766" s="59"/>
      <c r="L766" s="59"/>
      <c r="M766" s="60"/>
      <c r="N766" s="60"/>
      <c r="O766" s="60"/>
      <c r="P766" s="59"/>
      <c r="Q766" s="59"/>
      <c r="R766" s="60"/>
      <c r="S766" s="60"/>
      <c r="T766" s="60"/>
      <c r="U766" s="60"/>
      <c r="V766" s="60"/>
      <c r="W766" s="60"/>
    </row>
    <row r="767" spans="1:23" ht="13" x14ac:dyDescent="0.3">
      <c r="A767" s="58"/>
      <c r="B767" s="58"/>
      <c r="C767" s="58"/>
      <c r="D767" s="58"/>
      <c r="E767" s="58"/>
      <c r="F767" s="58"/>
      <c r="G767" s="58"/>
      <c r="H767" s="59"/>
      <c r="I767" s="59"/>
      <c r="J767" s="59"/>
      <c r="K767" s="59"/>
      <c r="L767" s="59"/>
      <c r="M767" s="60"/>
      <c r="N767" s="60"/>
      <c r="O767" s="60"/>
      <c r="P767" s="59"/>
      <c r="Q767" s="59"/>
      <c r="R767" s="60"/>
      <c r="S767" s="60"/>
      <c r="T767" s="60"/>
      <c r="U767" s="60"/>
      <c r="V767" s="60"/>
      <c r="W767" s="60"/>
    </row>
    <row r="768" spans="1:23" ht="13" x14ac:dyDescent="0.3">
      <c r="A768" s="58"/>
      <c r="B768" s="58"/>
      <c r="C768" s="58"/>
      <c r="D768" s="58"/>
      <c r="E768" s="58"/>
      <c r="F768" s="58"/>
      <c r="G768" s="58"/>
      <c r="H768" s="59"/>
      <c r="I768" s="59"/>
      <c r="J768" s="59"/>
      <c r="K768" s="59"/>
      <c r="L768" s="59"/>
      <c r="M768" s="60"/>
      <c r="N768" s="60"/>
      <c r="O768" s="60"/>
      <c r="P768" s="59"/>
      <c r="Q768" s="59"/>
      <c r="R768" s="60"/>
      <c r="S768" s="60"/>
      <c r="T768" s="60"/>
      <c r="U768" s="60"/>
      <c r="V768" s="60"/>
      <c r="W768" s="60"/>
    </row>
    <row r="769" spans="1:23" ht="13" x14ac:dyDescent="0.3">
      <c r="A769" s="58"/>
      <c r="B769" s="58"/>
      <c r="C769" s="58"/>
      <c r="D769" s="58"/>
      <c r="E769" s="58"/>
      <c r="F769" s="58"/>
      <c r="G769" s="58"/>
      <c r="H769" s="59"/>
      <c r="I769" s="59"/>
      <c r="J769" s="59"/>
      <c r="K769" s="59"/>
      <c r="L769" s="59"/>
      <c r="M769" s="60"/>
      <c r="N769" s="60"/>
      <c r="O769" s="60"/>
      <c r="P769" s="59"/>
      <c r="Q769" s="59"/>
      <c r="R769" s="60"/>
      <c r="S769" s="60"/>
      <c r="T769" s="60"/>
      <c r="U769" s="60"/>
      <c r="V769" s="60"/>
      <c r="W769" s="60"/>
    </row>
    <row r="770" spans="1:23" ht="13" x14ac:dyDescent="0.3">
      <c r="A770" s="58"/>
      <c r="B770" s="58"/>
      <c r="C770" s="58"/>
      <c r="D770" s="58"/>
      <c r="E770" s="58"/>
      <c r="F770" s="58"/>
      <c r="G770" s="58"/>
      <c r="H770" s="59"/>
      <c r="I770" s="59"/>
      <c r="J770" s="59"/>
      <c r="K770" s="59"/>
      <c r="L770" s="59"/>
      <c r="M770" s="60"/>
      <c r="N770" s="60"/>
      <c r="O770" s="60"/>
      <c r="P770" s="59"/>
      <c r="Q770" s="59"/>
      <c r="R770" s="60"/>
      <c r="S770" s="60"/>
      <c r="T770" s="60"/>
      <c r="U770" s="60"/>
      <c r="V770" s="60"/>
      <c r="W770" s="60"/>
    </row>
    <row r="771" spans="1:23" ht="13" x14ac:dyDescent="0.3">
      <c r="A771" s="58"/>
      <c r="B771" s="58"/>
      <c r="C771" s="58"/>
      <c r="D771" s="58"/>
      <c r="E771" s="58"/>
      <c r="F771" s="58"/>
      <c r="G771" s="58"/>
      <c r="H771" s="59"/>
      <c r="I771" s="59"/>
      <c r="J771" s="59"/>
      <c r="K771" s="59"/>
      <c r="L771" s="59"/>
      <c r="M771" s="60"/>
      <c r="N771" s="60"/>
      <c r="O771" s="60"/>
      <c r="P771" s="59"/>
      <c r="Q771" s="59"/>
      <c r="R771" s="60"/>
      <c r="S771" s="60"/>
      <c r="T771" s="60"/>
      <c r="U771" s="60"/>
      <c r="V771" s="60"/>
      <c r="W771" s="60"/>
    </row>
    <row r="772" spans="1:23" ht="13" x14ac:dyDescent="0.3">
      <c r="A772" s="58"/>
      <c r="B772" s="58"/>
      <c r="C772" s="58"/>
      <c r="D772" s="58"/>
      <c r="E772" s="58"/>
      <c r="F772" s="58"/>
      <c r="G772" s="58"/>
      <c r="H772" s="59"/>
      <c r="I772" s="59"/>
      <c r="J772" s="59"/>
      <c r="K772" s="59"/>
      <c r="L772" s="59"/>
      <c r="M772" s="60"/>
      <c r="N772" s="60"/>
      <c r="O772" s="60"/>
      <c r="P772" s="59"/>
      <c r="Q772" s="59"/>
      <c r="R772" s="60"/>
      <c r="S772" s="60"/>
      <c r="T772" s="60"/>
      <c r="U772" s="60"/>
      <c r="V772" s="60"/>
      <c r="W772" s="60"/>
    </row>
    <row r="773" spans="1:23" ht="13" x14ac:dyDescent="0.3">
      <c r="A773" s="58"/>
      <c r="B773" s="58"/>
      <c r="C773" s="58"/>
      <c r="D773" s="58"/>
      <c r="E773" s="58"/>
      <c r="F773" s="58"/>
      <c r="G773" s="58"/>
      <c r="H773" s="59"/>
      <c r="I773" s="59"/>
      <c r="J773" s="59"/>
      <c r="K773" s="59"/>
      <c r="L773" s="59"/>
      <c r="M773" s="60"/>
      <c r="N773" s="60"/>
      <c r="O773" s="60"/>
      <c r="P773" s="59"/>
      <c r="Q773" s="59"/>
      <c r="R773" s="60"/>
      <c r="S773" s="60"/>
      <c r="T773" s="60"/>
      <c r="U773" s="60"/>
      <c r="V773" s="60"/>
      <c r="W773" s="60"/>
    </row>
    <row r="774" spans="1:23" ht="13" x14ac:dyDescent="0.3">
      <c r="A774" s="58"/>
      <c r="B774" s="58"/>
      <c r="C774" s="58"/>
      <c r="D774" s="58"/>
      <c r="E774" s="58"/>
      <c r="F774" s="58"/>
      <c r="G774" s="58"/>
      <c r="H774" s="59"/>
      <c r="I774" s="59"/>
      <c r="J774" s="59"/>
      <c r="K774" s="59"/>
      <c r="L774" s="59"/>
      <c r="M774" s="60"/>
      <c r="N774" s="60"/>
      <c r="O774" s="60"/>
      <c r="P774" s="59"/>
      <c r="Q774" s="59"/>
      <c r="R774" s="60"/>
      <c r="S774" s="60"/>
      <c r="T774" s="60"/>
      <c r="U774" s="60"/>
      <c r="V774" s="60"/>
      <c r="W774" s="60"/>
    </row>
    <row r="775" spans="1:23" ht="13" x14ac:dyDescent="0.3">
      <c r="A775" s="58"/>
      <c r="B775" s="58"/>
      <c r="C775" s="58"/>
      <c r="D775" s="58"/>
      <c r="E775" s="58"/>
      <c r="F775" s="58"/>
      <c r="G775" s="58"/>
      <c r="H775" s="59"/>
      <c r="I775" s="59"/>
      <c r="J775" s="59"/>
      <c r="K775" s="59"/>
      <c r="L775" s="59"/>
      <c r="M775" s="60"/>
      <c r="N775" s="60"/>
      <c r="O775" s="60"/>
      <c r="P775" s="59"/>
      <c r="Q775" s="59"/>
      <c r="R775" s="60"/>
      <c r="S775" s="60"/>
      <c r="T775" s="60"/>
      <c r="U775" s="60"/>
      <c r="V775" s="60"/>
      <c r="W775" s="60"/>
    </row>
    <row r="776" spans="1:23" ht="13" x14ac:dyDescent="0.3">
      <c r="A776" s="58"/>
      <c r="B776" s="58"/>
      <c r="C776" s="58"/>
      <c r="D776" s="58"/>
      <c r="E776" s="58"/>
      <c r="F776" s="58"/>
      <c r="G776" s="58"/>
      <c r="H776" s="59"/>
      <c r="I776" s="59"/>
      <c r="J776" s="59"/>
      <c r="K776" s="59"/>
      <c r="L776" s="59"/>
      <c r="M776" s="60"/>
      <c r="N776" s="60"/>
      <c r="O776" s="60"/>
      <c r="P776" s="59"/>
      <c r="Q776" s="59"/>
      <c r="R776" s="60"/>
      <c r="S776" s="60"/>
      <c r="T776" s="60"/>
      <c r="U776" s="60"/>
      <c r="V776" s="60"/>
      <c r="W776" s="60"/>
    </row>
    <row r="777" spans="1:23" ht="13" x14ac:dyDescent="0.3">
      <c r="A777" s="58"/>
      <c r="B777" s="58"/>
      <c r="C777" s="58"/>
      <c r="D777" s="58"/>
      <c r="E777" s="58"/>
      <c r="F777" s="58"/>
      <c r="G777" s="58"/>
      <c r="H777" s="59"/>
      <c r="I777" s="59"/>
      <c r="J777" s="59"/>
      <c r="K777" s="59"/>
      <c r="L777" s="59"/>
      <c r="M777" s="60"/>
      <c r="N777" s="60"/>
      <c r="O777" s="60"/>
      <c r="P777" s="59"/>
      <c r="Q777" s="59"/>
      <c r="R777" s="60"/>
      <c r="S777" s="60"/>
      <c r="T777" s="60"/>
      <c r="U777" s="60"/>
      <c r="V777" s="60"/>
      <c r="W777" s="60"/>
    </row>
    <row r="778" spans="1:23" ht="13" x14ac:dyDescent="0.3">
      <c r="A778" s="58"/>
      <c r="B778" s="58"/>
      <c r="C778" s="58"/>
      <c r="D778" s="58"/>
      <c r="E778" s="58"/>
      <c r="F778" s="58"/>
      <c r="G778" s="58"/>
      <c r="H778" s="59"/>
      <c r="I778" s="59"/>
      <c r="J778" s="59"/>
      <c r="K778" s="59"/>
      <c r="L778" s="59"/>
      <c r="M778" s="60"/>
      <c r="N778" s="60"/>
      <c r="O778" s="60"/>
      <c r="P778" s="59"/>
      <c r="Q778" s="59"/>
      <c r="R778" s="60"/>
      <c r="S778" s="60"/>
      <c r="T778" s="60"/>
      <c r="U778" s="60"/>
      <c r="V778" s="60"/>
      <c r="W778" s="60"/>
    </row>
    <row r="779" spans="1:23" ht="13" x14ac:dyDescent="0.3">
      <c r="A779" s="58"/>
      <c r="B779" s="58"/>
      <c r="C779" s="58"/>
      <c r="D779" s="58"/>
      <c r="E779" s="58"/>
      <c r="F779" s="58"/>
      <c r="G779" s="58"/>
      <c r="H779" s="59"/>
      <c r="I779" s="59"/>
      <c r="J779" s="59"/>
      <c r="K779" s="59"/>
      <c r="L779" s="59"/>
      <c r="M779" s="60"/>
      <c r="N779" s="60"/>
      <c r="O779" s="60"/>
      <c r="P779" s="59"/>
      <c r="Q779" s="59"/>
      <c r="R779" s="60"/>
      <c r="S779" s="60"/>
      <c r="T779" s="60"/>
      <c r="U779" s="60"/>
      <c r="V779" s="60"/>
      <c r="W779" s="60"/>
    </row>
    <row r="780" spans="1:23" ht="13" x14ac:dyDescent="0.3">
      <c r="A780" s="58"/>
      <c r="B780" s="58"/>
      <c r="C780" s="58"/>
      <c r="D780" s="58"/>
      <c r="E780" s="58"/>
      <c r="F780" s="58"/>
      <c r="G780" s="58"/>
      <c r="H780" s="59"/>
      <c r="I780" s="59"/>
      <c r="J780" s="59"/>
      <c r="K780" s="59"/>
      <c r="L780" s="59"/>
      <c r="M780" s="60"/>
      <c r="N780" s="60"/>
      <c r="O780" s="60"/>
      <c r="P780" s="59"/>
      <c r="Q780" s="59"/>
      <c r="R780" s="60"/>
      <c r="S780" s="60"/>
      <c r="T780" s="60"/>
      <c r="U780" s="60"/>
      <c r="V780" s="60"/>
      <c r="W780" s="60"/>
    </row>
    <row r="781" spans="1:23" ht="13" x14ac:dyDescent="0.3">
      <c r="A781" s="58"/>
      <c r="B781" s="58"/>
      <c r="C781" s="58"/>
      <c r="D781" s="58"/>
      <c r="E781" s="58"/>
      <c r="F781" s="58"/>
      <c r="G781" s="58"/>
      <c r="H781" s="59"/>
      <c r="I781" s="59"/>
      <c r="J781" s="59"/>
      <c r="K781" s="59"/>
      <c r="L781" s="59"/>
      <c r="M781" s="60"/>
      <c r="N781" s="60"/>
      <c r="O781" s="60"/>
      <c r="P781" s="59"/>
      <c r="Q781" s="59"/>
      <c r="R781" s="60"/>
      <c r="S781" s="60"/>
      <c r="T781" s="60"/>
      <c r="U781" s="60"/>
      <c r="V781" s="60"/>
      <c r="W781" s="60"/>
    </row>
    <row r="782" spans="1:23" ht="13" x14ac:dyDescent="0.3">
      <c r="A782" s="58"/>
      <c r="B782" s="58"/>
      <c r="C782" s="58"/>
      <c r="D782" s="58"/>
      <c r="E782" s="58"/>
      <c r="F782" s="58"/>
      <c r="G782" s="58"/>
      <c r="H782" s="59"/>
      <c r="I782" s="59"/>
      <c r="J782" s="59"/>
      <c r="K782" s="59"/>
      <c r="L782" s="59"/>
      <c r="M782" s="60"/>
      <c r="N782" s="60"/>
      <c r="O782" s="60"/>
      <c r="P782" s="59"/>
      <c r="Q782" s="59"/>
      <c r="R782" s="60"/>
      <c r="S782" s="60"/>
      <c r="T782" s="60"/>
      <c r="U782" s="60"/>
      <c r="V782" s="60"/>
      <c r="W782" s="60"/>
    </row>
    <row r="783" spans="1:23" ht="13" x14ac:dyDescent="0.3">
      <c r="A783" s="58"/>
      <c r="B783" s="58"/>
      <c r="C783" s="58"/>
      <c r="D783" s="58"/>
      <c r="E783" s="58"/>
      <c r="F783" s="58"/>
      <c r="G783" s="58"/>
      <c r="H783" s="59"/>
      <c r="I783" s="59"/>
      <c r="J783" s="59"/>
      <c r="K783" s="59"/>
      <c r="L783" s="59"/>
      <c r="M783" s="60"/>
      <c r="N783" s="60"/>
      <c r="O783" s="60"/>
      <c r="P783" s="59"/>
      <c r="Q783" s="59"/>
      <c r="R783" s="60"/>
      <c r="S783" s="60"/>
      <c r="T783" s="60"/>
      <c r="U783" s="60"/>
      <c r="V783" s="60"/>
      <c r="W783" s="60"/>
    </row>
    <row r="784" spans="1:23" ht="13" x14ac:dyDescent="0.3">
      <c r="A784" s="58"/>
      <c r="B784" s="58"/>
      <c r="C784" s="58"/>
      <c r="D784" s="58"/>
      <c r="E784" s="58"/>
      <c r="F784" s="58"/>
      <c r="G784" s="58"/>
      <c r="H784" s="59"/>
      <c r="I784" s="59"/>
      <c r="J784" s="59"/>
      <c r="K784" s="59"/>
      <c r="L784" s="59"/>
      <c r="M784" s="60"/>
      <c r="N784" s="60"/>
      <c r="O784" s="60"/>
      <c r="P784" s="59"/>
      <c r="Q784" s="59"/>
      <c r="R784" s="60"/>
      <c r="S784" s="60"/>
      <c r="T784" s="60"/>
      <c r="U784" s="60"/>
      <c r="V784" s="60"/>
      <c r="W784" s="60"/>
    </row>
    <row r="785" spans="1:23" ht="13" x14ac:dyDescent="0.3">
      <c r="A785" s="58"/>
      <c r="B785" s="58"/>
      <c r="C785" s="58"/>
      <c r="D785" s="58"/>
      <c r="E785" s="58"/>
      <c r="F785" s="58"/>
      <c r="G785" s="58"/>
      <c r="H785" s="59"/>
      <c r="I785" s="59"/>
      <c r="J785" s="59"/>
      <c r="K785" s="59"/>
      <c r="L785" s="59"/>
      <c r="M785" s="60"/>
      <c r="N785" s="60"/>
      <c r="O785" s="60"/>
      <c r="P785" s="59"/>
      <c r="Q785" s="59"/>
      <c r="R785" s="60"/>
      <c r="S785" s="60"/>
      <c r="T785" s="60"/>
      <c r="U785" s="60"/>
      <c r="V785" s="60"/>
      <c r="W785" s="60"/>
    </row>
    <row r="786" spans="1:23" ht="13" x14ac:dyDescent="0.3">
      <c r="A786" s="58"/>
      <c r="B786" s="58"/>
      <c r="C786" s="58"/>
      <c r="D786" s="58"/>
      <c r="E786" s="58"/>
      <c r="F786" s="58"/>
      <c r="G786" s="58"/>
      <c r="H786" s="59"/>
      <c r="I786" s="59"/>
      <c r="J786" s="59"/>
      <c r="K786" s="59"/>
      <c r="L786" s="59"/>
      <c r="M786" s="60"/>
      <c r="N786" s="60"/>
      <c r="O786" s="60"/>
      <c r="P786" s="59"/>
      <c r="Q786" s="59"/>
      <c r="R786" s="60"/>
      <c r="S786" s="60"/>
      <c r="T786" s="60"/>
      <c r="U786" s="60"/>
      <c r="V786" s="60"/>
      <c r="W786" s="60"/>
    </row>
    <row r="787" spans="1:23" ht="13" x14ac:dyDescent="0.3">
      <c r="A787" s="58"/>
      <c r="B787" s="58"/>
      <c r="C787" s="58"/>
      <c r="D787" s="58"/>
      <c r="E787" s="58"/>
      <c r="F787" s="58"/>
      <c r="G787" s="58"/>
      <c r="H787" s="59"/>
      <c r="I787" s="59"/>
      <c r="J787" s="59"/>
      <c r="K787" s="59"/>
      <c r="L787" s="59"/>
      <c r="M787" s="60"/>
      <c r="N787" s="60"/>
      <c r="O787" s="60"/>
      <c r="P787" s="59"/>
      <c r="Q787" s="59"/>
      <c r="R787" s="60"/>
      <c r="S787" s="60"/>
      <c r="T787" s="60"/>
      <c r="U787" s="60"/>
      <c r="V787" s="60"/>
      <c r="W787" s="60"/>
    </row>
    <row r="788" spans="1:23" ht="13" x14ac:dyDescent="0.3">
      <c r="A788" s="58"/>
      <c r="B788" s="58"/>
      <c r="C788" s="58"/>
      <c r="D788" s="58"/>
      <c r="E788" s="58"/>
      <c r="F788" s="58"/>
      <c r="G788" s="58"/>
      <c r="H788" s="59"/>
      <c r="I788" s="59"/>
      <c r="J788" s="59"/>
      <c r="K788" s="59"/>
      <c r="L788" s="59"/>
      <c r="M788" s="60"/>
      <c r="N788" s="60"/>
      <c r="O788" s="60"/>
      <c r="P788" s="59"/>
      <c r="Q788" s="59"/>
      <c r="R788" s="60"/>
      <c r="S788" s="60"/>
      <c r="T788" s="60"/>
      <c r="U788" s="60"/>
      <c r="V788" s="60"/>
      <c r="W788" s="60"/>
    </row>
    <row r="789" spans="1:23" ht="13" x14ac:dyDescent="0.3">
      <c r="A789" s="58"/>
      <c r="B789" s="58"/>
      <c r="C789" s="58"/>
      <c r="D789" s="58"/>
      <c r="E789" s="58"/>
      <c r="F789" s="58"/>
      <c r="G789" s="58"/>
      <c r="H789" s="59"/>
      <c r="I789" s="59"/>
      <c r="J789" s="59"/>
      <c r="K789" s="59"/>
      <c r="L789" s="59"/>
      <c r="M789" s="60"/>
      <c r="N789" s="60"/>
      <c r="O789" s="60"/>
      <c r="P789" s="59"/>
      <c r="Q789" s="59"/>
      <c r="R789" s="60"/>
      <c r="S789" s="60"/>
      <c r="T789" s="60"/>
      <c r="U789" s="60"/>
      <c r="V789" s="60"/>
      <c r="W789" s="60"/>
    </row>
    <row r="790" spans="1:23" ht="13" x14ac:dyDescent="0.3">
      <c r="A790" s="58"/>
      <c r="B790" s="58"/>
      <c r="C790" s="58"/>
      <c r="D790" s="58"/>
      <c r="E790" s="58"/>
      <c r="F790" s="58"/>
      <c r="G790" s="58"/>
      <c r="H790" s="59"/>
      <c r="I790" s="59"/>
      <c r="J790" s="59"/>
      <c r="K790" s="59"/>
      <c r="L790" s="59"/>
      <c r="M790" s="60"/>
      <c r="N790" s="60"/>
      <c r="O790" s="60"/>
      <c r="P790" s="59"/>
      <c r="Q790" s="59"/>
      <c r="R790" s="60"/>
      <c r="S790" s="60"/>
      <c r="T790" s="60"/>
      <c r="U790" s="60"/>
      <c r="V790" s="60"/>
      <c r="W790" s="60"/>
    </row>
    <row r="791" spans="1:23" ht="13" x14ac:dyDescent="0.3">
      <c r="A791" s="58"/>
      <c r="B791" s="58"/>
      <c r="C791" s="58"/>
      <c r="D791" s="58"/>
      <c r="E791" s="58"/>
      <c r="F791" s="58"/>
      <c r="G791" s="58"/>
      <c r="H791" s="59"/>
      <c r="I791" s="59"/>
      <c r="J791" s="59"/>
      <c r="K791" s="59"/>
      <c r="L791" s="59"/>
      <c r="M791" s="60"/>
      <c r="N791" s="60"/>
      <c r="O791" s="60"/>
      <c r="P791" s="59"/>
      <c r="Q791" s="59"/>
      <c r="R791" s="60"/>
      <c r="S791" s="60"/>
      <c r="T791" s="60"/>
      <c r="U791" s="60"/>
      <c r="V791" s="60"/>
      <c r="W791" s="60"/>
    </row>
    <row r="792" spans="1:23" ht="13" x14ac:dyDescent="0.3">
      <c r="A792" s="58"/>
      <c r="B792" s="58"/>
      <c r="C792" s="58"/>
      <c r="D792" s="58"/>
      <c r="E792" s="58"/>
      <c r="F792" s="58"/>
      <c r="G792" s="58"/>
      <c r="H792" s="59"/>
      <c r="I792" s="59"/>
      <c r="J792" s="59"/>
      <c r="K792" s="59"/>
      <c r="L792" s="59"/>
      <c r="M792" s="60"/>
      <c r="N792" s="60"/>
      <c r="O792" s="60"/>
      <c r="P792" s="59"/>
      <c r="Q792" s="59"/>
      <c r="R792" s="60"/>
      <c r="S792" s="60"/>
      <c r="T792" s="60"/>
      <c r="U792" s="60"/>
      <c r="V792" s="60"/>
      <c r="W792" s="60"/>
    </row>
    <row r="793" spans="1:23" ht="13" x14ac:dyDescent="0.3">
      <c r="A793" s="58"/>
      <c r="B793" s="58"/>
      <c r="C793" s="58"/>
      <c r="D793" s="58"/>
      <c r="E793" s="58"/>
      <c r="F793" s="58"/>
      <c r="G793" s="58"/>
      <c r="H793" s="59"/>
      <c r="I793" s="59"/>
      <c r="J793" s="59"/>
      <c r="K793" s="59"/>
      <c r="L793" s="59"/>
      <c r="M793" s="60"/>
      <c r="N793" s="60"/>
      <c r="O793" s="60"/>
      <c r="P793" s="59"/>
      <c r="Q793" s="59"/>
      <c r="R793" s="60"/>
      <c r="S793" s="60"/>
      <c r="T793" s="60"/>
      <c r="U793" s="60"/>
      <c r="V793" s="60"/>
      <c r="W793" s="60"/>
    </row>
    <row r="794" spans="1:23" ht="13" x14ac:dyDescent="0.3">
      <c r="A794" s="58"/>
      <c r="B794" s="58"/>
      <c r="C794" s="58"/>
      <c r="D794" s="58"/>
      <c r="E794" s="58"/>
      <c r="F794" s="58"/>
      <c r="G794" s="58"/>
      <c r="H794" s="59"/>
      <c r="I794" s="59"/>
      <c r="J794" s="59"/>
      <c r="K794" s="59"/>
      <c r="L794" s="59"/>
      <c r="M794" s="60"/>
      <c r="N794" s="60"/>
      <c r="O794" s="60"/>
      <c r="P794" s="59"/>
      <c r="Q794" s="59"/>
      <c r="R794" s="60"/>
      <c r="S794" s="60"/>
      <c r="T794" s="60"/>
      <c r="U794" s="60"/>
      <c r="V794" s="60"/>
      <c r="W794" s="60"/>
    </row>
    <row r="795" spans="1:23" ht="13" x14ac:dyDescent="0.3">
      <c r="A795" s="58"/>
      <c r="B795" s="58"/>
      <c r="C795" s="58"/>
      <c r="D795" s="58"/>
      <c r="E795" s="58"/>
      <c r="F795" s="58"/>
      <c r="G795" s="58"/>
      <c r="H795" s="59"/>
      <c r="I795" s="59"/>
      <c r="J795" s="59"/>
      <c r="K795" s="59"/>
      <c r="L795" s="59"/>
      <c r="M795" s="60"/>
      <c r="N795" s="60"/>
      <c r="O795" s="60"/>
      <c r="P795" s="59"/>
      <c r="Q795" s="59"/>
      <c r="R795" s="60"/>
      <c r="S795" s="60"/>
      <c r="T795" s="60"/>
      <c r="U795" s="60"/>
      <c r="V795" s="60"/>
      <c r="W795" s="60"/>
    </row>
    <row r="796" spans="1:23" ht="13" x14ac:dyDescent="0.3">
      <c r="A796" s="58"/>
      <c r="B796" s="58"/>
      <c r="C796" s="58"/>
      <c r="D796" s="58"/>
      <c r="E796" s="58"/>
      <c r="F796" s="58"/>
      <c r="G796" s="58"/>
      <c r="H796" s="59"/>
      <c r="I796" s="59"/>
      <c r="J796" s="59"/>
      <c r="K796" s="59"/>
      <c r="L796" s="59"/>
      <c r="M796" s="60"/>
      <c r="N796" s="60"/>
      <c r="O796" s="60"/>
      <c r="P796" s="59"/>
      <c r="Q796" s="59"/>
      <c r="R796" s="60"/>
      <c r="S796" s="60"/>
      <c r="T796" s="60"/>
      <c r="U796" s="60"/>
      <c r="V796" s="60"/>
      <c r="W796" s="60"/>
    </row>
    <row r="797" spans="1:23" ht="13" x14ac:dyDescent="0.3">
      <c r="A797" s="58"/>
      <c r="B797" s="58"/>
      <c r="C797" s="58"/>
      <c r="D797" s="58"/>
      <c r="E797" s="58"/>
      <c r="F797" s="58"/>
      <c r="G797" s="58"/>
      <c r="H797" s="59"/>
      <c r="I797" s="59"/>
      <c r="J797" s="59"/>
      <c r="K797" s="59"/>
      <c r="L797" s="59"/>
      <c r="M797" s="60"/>
      <c r="N797" s="60"/>
      <c r="O797" s="60"/>
      <c r="P797" s="59"/>
      <c r="Q797" s="59"/>
      <c r="R797" s="60"/>
      <c r="S797" s="60"/>
      <c r="T797" s="60"/>
      <c r="U797" s="60"/>
      <c r="V797" s="60"/>
      <c r="W797" s="60"/>
    </row>
    <row r="798" spans="1:23" ht="13" x14ac:dyDescent="0.3">
      <c r="A798" s="58"/>
      <c r="B798" s="58"/>
      <c r="C798" s="58"/>
      <c r="D798" s="58"/>
      <c r="E798" s="58"/>
      <c r="F798" s="58"/>
      <c r="G798" s="58"/>
      <c r="H798" s="59"/>
      <c r="I798" s="59"/>
      <c r="J798" s="59"/>
      <c r="K798" s="59"/>
      <c r="L798" s="59"/>
      <c r="M798" s="60"/>
      <c r="N798" s="60"/>
      <c r="O798" s="60"/>
      <c r="P798" s="59"/>
      <c r="Q798" s="59"/>
      <c r="R798" s="60"/>
      <c r="S798" s="60"/>
      <c r="T798" s="60"/>
      <c r="U798" s="60"/>
      <c r="V798" s="60"/>
      <c r="W798" s="60"/>
    </row>
    <row r="799" spans="1:23" ht="13" x14ac:dyDescent="0.3">
      <c r="A799" s="58"/>
      <c r="B799" s="58"/>
      <c r="C799" s="58"/>
      <c r="D799" s="58"/>
      <c r="E799" s="58"/>
      <c r="F799" s="58"/>
      <c r="G799" s="58"/>
      <c r="H799" s="59"/>
      <c r="I799" s="59"/>
      <c r="J799" s="59"/>
      <c r="K799" s="59"/>
      <c r="L799" s="59"/>
      <c r="M799" s="60"/>
      <c r="N799" s="60"/>
      <c r="O799" s="60"/>
      <c r="P799" s="59"/>
      <c r="Q799" s="59"/>
      <c r="R799" s="60"/>
      <c r="S799" s="60"/>
      <c r="T799" s="60"/>
      <c r="U799" s="60"/>
      <c r="V799" s="60"/>
      <c r="W799" s="60"/>
    </row>
    <row r="800" spans="1:23" ht="13" x14ac:dyDescent="0.3">
      <c r="A800" s="58"/>
      <c r="B800" s="58"/>
      <c r="C800" s="58"/>
      <c r="D800" s="58"/>
      <c r="E800" s="58"/>
      <c r="F800" s="58"/>
      <c r="G800" s="58"/>
      <c r="H800" s="59"/>
      <c r="I800" s="59"/>
      <c r="J800" s="59"/>
      <c r="K800" s="59"/>
      <c r="L800" s="59"/>
      <c r="M800" s="60"/>
      <c r="N800" s="60"/>
      <c r="O800" s="60"/>
      <c r="P800" s="59"/>
      <c r="Q800" s="59"/>
      <c r="R800" s="60"/>
      <c r="S800" s="60"/>
      <c r="T800" s="60"/>
      <c r="U800" s="60"/>
      <c r="V800" s="60"/>
      <c r="W800" s="60"/>
    </row>
    <row r="801" spans="1:23" ht="13" x14ac:dyDescent="0.3">
      <c r="A801" s="58"/>
      <c r="B801" s="58"/>
      <c r="C801" s="58"/>
      <c r="D801" s="58"/>
      <c r="E801" s="58"/>
      <c r="F801" s="58"/>
      <c r="G801" s="58"/>
      <c r="H801" s="59"/>
      <c r="I801" s="59"/>
      <c r="J801" s="59"/>
      <c r="K801" s="59"/>
      <c r="L801" s="59"/>
      <c r="M801" s="60"/>
      <c r="N801" s="60"/>
      <c r="O801" s="60"/>
      <c r="P801" s="59"/>
      <c r="Q801" s="59"/>
      <c r="R801" s="60"/>
      <c r="S801" s="60"/>
      <c r="T801" s="60"/>
      <c r="U801" s="60"/>
      <c r="V801" s="60"/>
      <c r="W801" s="60"/>
    </row>
    <row r="802" spans="1:23" ht="13" x14ac:dyDescent="0.3">
      <c r="A802" s="58"/>
      <c r="B802" s="58"/>
      <c r="C802" s="58"/>
      <c r="D802" s="58"/>
      <c r="E802" s="58"/>
      <c r="F802" s="58"/>
      <c r="G802" s="58"/>
      <c r="H802" s="59"/>
      <c r="I802" s="59"/>
      <c r="J802" s="59"/>
      <c r="K802" s="59"/>
      <c r="L802" s="59"/>
      <c r="M802" s="60"/>
      <c r="N802" s="60"/>
      <c r="O802" s="60"/>
      <c r="P802" s="59"/>
      <c r="Q802" s="59"/>
      <c r="R802" s="60"/>
      <c r="S802" s="60"/>
      <c r="T802" s="60"/>
      <c r="U802" s="60"/>
      <c r="V802" s="60"/>
      <c r="W802" s="60"/>
    </row>
    <row r="803" spans="1:23" ht="13" x14ac:dyDescent="0.3">
      <c r="A803" s="58"/>
      <c r="B803" s="58"/>
      <c r="C803" s="58"/>
      <c r="D803" s="58"/>
      <c r="E803" s="58"/>
      <c r="F803" s="58"/>
      <c r="G803" s="58"/>
      <c r="H803" s="59"/>
      <c r="I803" s="59"/>
      <c r="J803" s="59"/>
      <c r="K803" s="59"/>
      <c r="L803" s="59"/>
      <c r="M803" s="60"/>
      <c r="N803" s="60"/>
      <c r="O803" s="60"/>
      <c r="P803" s="59"/>
      <c r="Q803" s="59"/>
      <c r="R803" s="60"/>
      <c r="S803" s="60"/>
      <c r="T803" s="60"/>
      <c r="U803" s="60"/>
      <c r="V803" s="60"/>
      <c r="W803" s="60"/>
    </row>
    <row r="804" spans="1:23" ht="13" x14ac:dyDescent="0.3">
      <c r="A804" s="58"/>
      <c r="B804" s="58"/>
      <c r="C804" s="58"/>
      <c r="D804" s="58"/>
      <c r="E804" s="58"/>
      <c r="F804" s="58"/>
      <c r="G804" s="58"/>
      <c r="H804" s="59"/>
      <c r="I804" s="59"/>
      <c r="J804" s="59"/>
      <c r="K804" s="59"/>
      <c r="L804" s="59"/>
      <c r="M804" s="60"/>
      <c r="N804" s="60"/>
      <c r="O804" s="60"/>
      <c r="P804" s="59"/>
      <c r="Q804" s="59"/>
      <c r="R804" s="60"/>
      <c r="S804" s="60"/>
      <c r="T804" s="60"/>
      <c r="U804" s="60"/>
      <c r="V804" s="60"/>
      <c r="W804" s="60"/>
    </row>
    <row r="805" spans="1:23" ht="13" x14ac:dyDescent="0.3">
      <c r="A805" s="58"/>
      <c r="B805" s="58"/>
      <c r="C805" s="58"/>
      <c r="D805" s="58"/>
      <c r="E805" s="58"/>
      <c r="F805" s="58"/>
      <c r="G805" s="58"/>
      <c r="H805" s="59"/>
      <c r="I805" s="59"/>
      <c r="J805" s="59"/>
      <c r="K805" s="59"/>
      <c r="L805" s="59"/>
      <c r="M805" s="60"/>
      <c r="N805" s="60"/>
      <c r="O805" s="60"/>
      <c r="P805" s="59"/>
      <c r="Q805" s="59"/>
      <c r="R805" s="60"/>
      <c r="S805" s="60"/>
      <c r="T805" s="60"/>
      <c r="U805" s="60"/>
      <c r="V805" s="60"/>
      <c r="W805" s="60"/>
    </row>
    <row r="806" spans="1:23" ht="13" x14ac:dyDescent="0.3">
      <c r="A806" s="58"/>
      <c r="B806" s="58"/>
      <c r="C806" s="58"/>
      <c r="D806" s="58"/>
      <c r="E806" s="58"/>
      <c r="F806" s="58"/>
      <c r="G806" s="58"/>
      <c r="H806" s="59"/>
      <c r="I806" s="59"/>
      <c r="J806" s="59"/>
      <c r="K806" s="59"/>
      <c r="L806" s="59"/>
      <c r="M806" s="60"/>
      <c r="N806" s="60"/>
      <c r="O806" s="60"/>
      <c r="P806" s="59"/>
      <c r="Q806" s="59"/>
      <c r="R806" s="60"/>
      <c r="S806" s="60"/>
      <c r="T806" s="60"/>
      <c r="U806" s="60"/>
      <c r="V806" s="60"/>
      <c r="W806" s="60"/>
    </row>
    <row r="807" spans="1:23" ht="13" x14ac:dyDescent="0.3">
      <c r="A807" s="58"/>
      <c r="B807" s="58"/>
      <c r="C807" s="58"/>
      <c r="D807" s="58"/>
      <c r="E807" s="58"/>
      <c r="F807" s="58"/>
      <c r="G807" s="58"/>
      <c r="H807" s="59"/>
      <c r="I807" s="59"/>
      <c r="J807" s="59"/>
      <c r="K807" s="59"/>
      <c r="L807" s="59"/>
      <c r="M807" s="60"/>
      <c r="N807" s="60"/>
      <c r="O807" s="60"/>
      <c r="P807" s="59"/>
      <c r="Q807" s="59"/>
      <c r="R807" s="60"/>
      <c r="S807" s="60"/>
      <c r="T807" s="60"/>
      <c r="U807" s="60"/>
      <c r="V807" s="60"/>
      <c r="W807" s="60"/>
    </row>
    <row r="808" spans="1:23" ht="13" x14ac:dyDescent="0.3">
      <c r="A808" s="58"/>
      <c r="B808" s="58"/>
      <c r="C808" s="58"/>
      <c r="D808" s="58"/>
      <c r="E808" s="58"/>
      <c r="F808" s="58"/>
      <c r="G808" s="58"/>
      <c r="H808" s="59"/>
      <c r="I808" s="59"/>
      <c r="J808" s="59"/>
      <c r="K808" s="59"/>
      <c r="L808" s="59"/>
      <c r="M808" s="60"/>
      <c r="N808" s="60"/>
      <c r="O808" s="60"/>
      <c r="P808" s="59"/>
      <c r="Q808" s="59"/>
      <c r="R808" s="60"/>
      <c r="S808" s="60"/>
      <c r="T808" s="60"/>
      <c r="U808" s="60"/>
      <c r="V808" s="60"/>
      <c r="W808" s="60"/>
    </row>
    <row r="809" spans="1:23" ht="13" x14ac:dyDescent="0.3">
      <c r="A809" s="58"/>
      <c r="B809" s="58"/>
      <c r="C809" s="58"/>
      <c r="D809" s="58"/>
      <c r="E809" s="58"/>
      <c r="F809" s="58"/>
      <c r="G809" s="58"/>
      <c r="H809" s="59"/>
      <c r="I809" s="59"/>
      <c r="J809" s="59"/>
      <c r="K809" s="59"/>
      <c r="L809" s="59"/>
      <c r="M809" s="60"/>
      <c r="N809" s="60"/>
      <c r="O809" s="60"/>
      <c r="P809" s="59"/>
      <c r="Q809" s="59"/>
      <c r="R809" s="60"/>
      <c r="S809" s="60"/>
      <c r="T809" s="60"/>
      <c r="U809" s="60"/>
      <c r="V809" s="60"/>
      <c r="W809" s="60"/>
    </row>
    <row r="810" spans="1:23" ht="13" x14ac:dyDescent="0.3">
      <c r="A810" s="58"/>
      <c r="B810" s="58"/>
      <c r="C810" s="58"/>
      <c r="D810" s="58"/>
      <c r="E810" s="58"/>
      <c r="F810" s="58"/>
      <c r="G810" s="58"/>
      <c r="H810" s="59"/>
      <c r="I810" s="59"/>
      <c r="J810" s="59"/>
      <c r="K810" s="59"/>
      <c r="L810" s="59"/>
      <c r="M810" s="60"/>
      <c r="N810" s="60"/>
      <c r="O810" s="60"/>
      <c r="P810" s="59"/>
      <c r="Q810" s="59"/>
      <c r="R810" s="60"/>
      <c r="S810" s="60"/>
      <c r="T810" s="60"/>
      <c r="U810" s="60"/>
      <c r="V810" s="60"/>
      <c r="W810" s="60"/>
    </row>
    <row r="811" spans="1:23" ht="13" x14ac:dyDescent="0.3">
      <c r="A811" s="58"/>
      <c r="B811" s="58"/>
      <c r="C811" s="58"/>
      <c r="D811" s="58"/>
      <c r="E811" s="58"/>
      <c r="F811" s="58"/>
      <c r="G811" s="58"/>
      <c r="H811" s="59"/>
      <c r="I811" s="59"/>
      <c r="J811" s="59"/>
      <c r="K811" s="59"/>
      <c r="L811" s="59"/>
      <c r="M811" s="60"/>
      <c r="N811" s="60"/>
      <c r="O811" s="60"/>
      <c r="P811" s="59"/>
      <c r="Q811" s="59"/>
      <c r="R811" s="60"/>
      <c r="S811" s="60"/>
      <c r="T811" s="60"/>
      <c r="U811" s="60"/>
      <c r="V811" s="60"/>
      <c r="W811" s="60"/>
    </row>
    <row r="812" spans="1:23" ht="13" x14ac:dyDescent="0.3">
      <c r="A812" s="58"/>
      <c r="B812" s="58"/>
      <c r="C812" s="58"/>
      <c r="D812" s="58"/>
      <c r="E812" s="58"/>
      <c r="F812" s="58"/>
      <c r="G812" s="58"/>
      <c r="H812" s="59"/>
      <c r="I812" s="59"/>
      <c r="J812" s="59"/>
      <c r="K812" s="59"/>
      <c r="L812" s="59"/>
      <c r="M812" s="60"/>
      <c r="N812" s="60"/>
      <c r="O812" s="60"/>
      <c r="P812" s="59"/>
      <c r="Q812" s="59"/>
      <c r="R812" s="60"/>
      <c r="S812" s="60"/>
      <c r="T812" s="60"/>
      <c r="U812" s="60"/>
      <c r="V812" s="60"/>
      <c r="W812" s="60"/>
    </row>
    <row r="813" spans="1:23" ht="13" x14ac:dyDescent="0.3">
      <c r="A813" s="58"/>
      <c r="B813" s="58"/>
      <c r="C813" s="58"/>
      <c r="D813" s="58"/>
      <c r="E813" s="58"/>
      <c r="F813" s="58"/>
      <c r="G813" s="58"/>
      <c r="H813" s="59"/>
      <c r="I813" s="59"/>
      <c r="J813" s="59"/>
      <c r="K813" s="59"/>
      <c r="L813" s="59"/>
      <c r="M813" s="60"/>
      <c r="N813" s="60"/>
      <c r="O813" s="60"/>
      <c r="P813" s="59"/>
      <c r="Q813" s="59"/>
      <c r="R813" s="60"/>
      <c r="S813" s="60"/>
      <c r="T813" s="60"/>
      <c r="U813" s="60"/>
      <c r="V813" s="60"/>
      <c r="W813" s="60"/>
    </row>
    <row r="814" spans="1:23" ht="13" x14ac:dyDescent="0.3">
      <c r="A814" s="58"/>
      <c r="B814" s="58"/>
      <c r="C814" s="58"/>
      <c r="D814" s="58"/>
      <c r="E814" s="58"/>
      <c r="F814" s="58"/>
      <c r="G814" s="58"/>
      <c r="H814" s="59"/>
      <c r="I814" s="59"/>
      <c r="J814" s="59"/>
      <c r="K814" s="59"/>
      <c r="L814" s="59"/>
      <c r="M814" s="60"/>
      <c r="N814" s="60"/>
      <c r="O814" s="60"/>
      <c r="P814" s="59"/>
      <c r="Q814" s="59"/>
      <c r="R814" s="60"/>
      <c r="S814" s="60"/>
      <c r="T814" s="60"/>
      <c r="U814" s="60"/>
      <c r="V814" s="60"/>
      <c r="W814" s="60"/>
    </row>
    <row r="815" spans="1:23" ht="13" x14ac:dyDescent="0.3">
      <c r="A815" s="58"/>
      <c r="B815" s="58"/>
      <c r="C815" s="58"/>
      <c r="D815" s="58"/>
      <c r="E815" s="58"/>
      <c r="F815" s="58"/>
      <c r="G815" s="58"/>
      <c r="H815" s="59"/>
      <c r="I815" s="59"/>
      <c r="J815" s="59"/>
      <c r="K815" s="59"/>
      <c r="L815" s="59"/>
      <c r="M815" s="60"/>
      <c r="N815" s="60"/>
      <c r="O815" s="60"/>
      <c r="P815" s="59"/>
      <c r="Q815" s="59"/>
      <c r="R815" s="60"/>
      <c r="S815" s="60"/>
      <c r="T815" s="60"/>
      <c r="U815" s="60"/>
      <c r="V815" s="60"/>
      <c r="W815" s="60"/>
    </row>
    <row r="816" spans="1:23" ht="13" x14ac:dyDescent="0.3">
      <c r="A816" s="58"/>
      <c r="B816" s="58"/>
      <c r="C816" s="58"/>
      <c r="D816" s="58"/>
      <c r="E816" s="58"/>
      <c r="F816" s="58"/>
      <c r="G816" s="58"/>
      <c r="H816" s="59"/>
      <c r="I816" s="59"/>
      <c r="J816" s="59"/>
      <c r="K816" s="59"/>
      <c r="L816" s="59"/>
      <c r="M816" s="60"/>
      <c r="N816" s="60"/>
      <c r="O816" s="60"/>
      <c r="P816" s="59"/>
      <c r="Q816" s="59"/>
      <c r="R816" s="60"/>
      <c r="S816" s="60"/>
      <c r="T816" s="60"/>
      <c r="U816" s="60"/>
      <c r="V816" s="60"/>
      <c r="W816" s="60"/>
    </row>
    <row r="817" spans="1:23" ht="13" x14ac:dyDescent="0.3">
      <c r="A817" s="58"/>
      <c r="B817" s="58"/>
      <c r="C817" s="58"/>
      <c r="D817" s="58"/>
      <c r="E817" s="58"/>
      <c r="F817" s="58"/>
      <c r="G817" s="58"/>
      <c r="H817" s="59"/>
      <c r="I817" s="59"/>
      <c r="J817" s="59"/>
      <c r="K817" s="59"/>
      <c r="L817" s="59"/>
      <c r="M817" s="60"/>
      <c r="N817" s="60"/>
      <c r="O817" s="60"/>
      <c r="P817" s="59"/>
      <c r="Q817" s="59"/>
      <c r="R817" s="60"/>
      <c r="S817" s="60"/>
      <c r="T817" s="60"/>
      <c r="U817" s="60"/>
      <c r="V817" s="60"/>
      <c r="W817" s="60"/>
    </row>
    <row r="818" spans="1:23" ht="13" x14ac:dyDescent="0.3">
      <c r="A818" s="58"/>
      <c r="B818" s="58"/>
      <c r="C818" s="58"/>
      <c r="D818" s="58"/>
      <c r="E818" s="58"/>
      <c r="F818" s="58"/>
      <c r="G818" s="58"/>
      <c r="H818" s="59"/>
      <c r="I818" s="59"/>
      <c r="J818" s="59"/>
      <c r="K818" s="59"/>
      <c r="L818" s="59"/>
      <c r="M818" s="60"/>
      <c r="N818" s="60"/>
      <c r="O818" s="60"/>
      <c r="P818" s="59"/>
      <c r="Q818" s="59"/>
      <c r="R818" s="60"/>
      <c r="S818" s="60"/>
      <c r="T818" s="60"/>
      <c r="U818" s="60"/>
      <c r="V818" s="60"/>
      <c r="W818" s="60"/>
    </row>
    <row r="819" spans="1:23" ht="13" x14ac:dyDescent="0.3">
      <c r="A819" s="58"/>
      <c r="B819" s="58"/>
      <c r="C819" s="58"/>
      <c r="D819" s="58"/>
      <c r="E819" s="58"/>
      <c r="F819" s="58"/>
      <c r="G819" s="58"/>
      <c r="H819" s="59"/>
      <c r="I819" s="59"/>
      <c r="J819" s="59"/>
      <c r="K819" s="59"/>
      <c r="L819" s="59"/>
      <c r="M819" s="60"/>
      <c r="N819" s="60"/>
      <c r="O819" s="60"/>
      <c r="P819" s="59"/>
      <c r="Q819" s="59"/>
      <c r="R819" s="60"/>
      <c r="S819" s="60"/>
      <c r="T819" s="60"/>
      <c r="U819" s="60"/>
      <c r="V819" s="60"/>
      <c r="W819" s="60"/>
    </row>
    <row r="820" spans="1:23" ht="13" x14ac:dyDescent="0.3">
      <c r="A820" s="58"/>
      <c r="B820" s="58"/>
      <c r="C820" s="58"/>
      <c r="D820" s="58"/>
      <c r="E820" s="58"/>
      <c r="F820" s="58"/>
      <c r="G820" s="58"/>
      <c r="H820" s="59"/>
      <c r="I820" s="59"/>
      <c r="J820" s="59"/>
      <c r="K820" s="59"/>
      <c r="L820" s="59"/>
      <c r="M820" s="60"/>
      <c r="N820" s="60"/>
      <c r="O820" s="60"/>
      <c r="P820" s="59"/>
      <c r="Q820" s="59"/>
      <c r="R820" s="60"/>
      <c r="S820" s="60"/>
      <c r="T820" s="60"/>
      <c r="U820" s="60"/>
      <c r="V820" s="60"/>
      <c r="W820" s="60"/>
    </row>
    <row r="821" spans="1:23" ht="13" x14ac:dyDescent="0.3">
      <c r="A821" s="58"/>
      <c r="B821" s="58"/>
      <c r="C821" s="58"/>
      <c r="D821" s="58"/>
      <c r="E821" s="58"/>
      <c r="F821" s="58"/>
      <c r="G821" s="58"/>
      <c r="H821" s="59"/>
      <c r="I821" s="59"/>
      <c r="J821" s="59"/>
      <c r="K821" s="59"/>
      <c r="L821" s="59"/>
      <c r="M821" s="60"/>
      <c r="N821" s="60"/>
      <c r="O821" s="60"/>
      <c r="P821" s="59"/>
      <c r="Q821" s="59"/>
      <c r="R821" s="60"/>
      <c r="S821" s="60"/>
      <c r="T821" s="60"/>
      <c r="U821" s="60"/>
      <c r="V821" s="60"/>
      <c r="W821" s="60"/>
    </row>
    <row r="822" spans="1:23" ht="13" x14ac:dyDescent="0.3">
      <c r="A822" s="58"/>
      <c r="B822" s="58"/>
      <c r="C822" s="58"/>
      <c r="D822" s="58"/>
      <c r="E822" s="58"/>
      <c r="F822" s="58"/>
      <c r="G822" s="58"/>
      <c r="H822" s="59"/>
      <c r="I822" s="59"/>
      <c r="J822" s="59"/>
      <c r="K822" s="59"/>
      <c r="L822" s="59"/>
      <c r="M822" s="60"/>
      <c r="N822" s="60"/>
      <c r="O822" s="60"/>
      <c r="P822" s="59"/>
      <c r="Q822" s="59"/>
      <c r="R822" s="60"/>
      <c r="S822" s="60"/>
      <c r="T822" s="60"/>
      <c r="U822" s="60"/>
      <c r="V822" s="60"/>
      <c r="W822" s="60"/>
    </row>
    <row r="823" spans="1:23" ht="13" x14ac:dyDescent="0.3">
      <c r="A823" s="58"/>
      <c r="B823" s="58"/>
      <c r="C823" s="58"/>
      <c r="D823" s="58"/>
      <c r="E823" s="58"/>
      <c r="F823" s="58"/>
      <c r="G823" s="58"/>
      <c r="H823" s="59"/>
      <c r="I823" s="59"/>
      <c r="J823" s="59"/>
      <c r="K823" s="59"/>
      <c r="L823" s="59"/>
      <c r="M823" s="60"/>
      <c r="N823" s="60"/>
      <c r="O823" s="60"/>
      <c r="P823" s="59"/>
      <c r="Q823" s="59"/>
      <c r="R823" s="60"/>
      <c r="S823" s="60"/>
      <c r="T823" s="60"/>
      <c r="U823" s="60"/>
      <c r="V823" s="60"/>
      <c r="W823" s="60"/>
    </row>
    <row r="824" spans="1:23" ht="13" x14ac:dyDescent="0.3">
      <c r="A824" s="58"/>
      <c r="B824" s="58"/>
      <c r="C824" s="58"/>
      <c r="D824" s="58"/>
      <c r="E824" s="58"/>
      <c r="F824" s="58"/>
      <c r="G824" s="58"/>
      <c r="H824" s="59"/>
      <c r="I824" s="59"/>
      <c r="J824" s="59"/>
      <c r="K824" s="59"/>
      <c r="L824" s="59"/>
      <c r="M824" s="60"/>
      <c r="N824" s="60"/>
      <c r="O824" s="60"/>
      <c r="P824" s="59"/>
      <c r="Q824" s="59"/>
      <c r="R824" s="60"/>
      <c r="S824" s="60"/>
      <c r="T824" s="60"/>
      <c r="U824" s="60"/>
      <c r="V824" s="60"/>
      <c r="W824" s="60"/>
    </row>
    <row r="825" spans="1:23" ht="13" x14ac:dyDescent="0.3">
      <c r="A825" s="58"/>
      <c r="B825" s="58"/>
      <c r="C825" s="58"/>
      <c r="D825" s="58"/>
      <c r="E825" s="58"/>
      <c r="F825" s="58"/>
      <c r="G825" s="58"/>
      <c r="H825" s="59"/>
      <c r="I825" s="59"/>
      <c r="J825" s="59"/>
      <c r="K825" s="59"/>
      <c r="L825" s="59"/>
      <c r="M825" s="60"/>
      <c r="N825" s="60"/>
      <c r="O825" s="60"/>
      <c r="P825" s="59"/>
      <c r="Q825" s="59"/>
      <c r="R825" s="60"/>
      <c r="S825" s="60"/>
      <c r="T825" s="60"/>
      <c r="U825" s="60"/>
      <c r="V825" s="60"/>
      <c r="W825" s="60"/>
    </row>
    <row r="826" spans="1:23" ht="13" x14ac:dyDescent="0.3">
      <c r="A826" s="58"/>
      <c r="B826" s="58"/>
      <c r="C826" s="58"/>
      <c r="D826" s="58"/>
      <c r="E826" s="58"/>
      <c r="F826" s="58"/>
      <c r="G826" s="58"/>
      <c r="H826" s="59"/>
      <c r="I826" s="59"/>
      <c r="J826" s="59"/>
      <c r="K826" s="59"/>
      <c r="L826" s="59"/>
      <c r="M826" s="60"/>
      <c r="N826" s="60"/>
      <c r="O826" s="60"/>
      <c r="P826" s="59"/>
      <c r="Q826" s="59"/>
      <c r="R826" s="60"/>
      <c r="S826" s="60"/>
      <c r="T826" s="60"/>
      <c r="U826" s="60"/>
      <c r="V826" s="60"/>
      <c r="W826" s="60"/>
    </row>
    <row r="827" spans="1:23" ht="13" x14ac:dyDescent="0.3">
      <c r="A827" s="58"/>
      <c r="B827" s="58"/>
      <c r="C827" s="58"/>
      <c r="D827" s="58"/>
      <c r="E827" s="58"/>
      <c r="F827" s="58"/>
      <c r="G827" s="58"/>
      <c r="H827" s="59"/>
      <c r="I827" s="59"/>
      <c r="J827" s="59"/>
      <c r="K827" s="59"/>
      <c r="L827" s="59"/>
      <c r="M827" s="60"/>
      <c r="N827" s="60"/>
      <c r="O827" s="60"/>
      <c r="P827" s="59"/>
      <c r="Q827" s="59"/>
      <c r="R827" s="60"/>
      <c r="S827" s="60"/>
      <c r="T827" s="60"/>
      <c r="U827" s="60"/>
      <c r="V827" s="60"/>
      <c r="W827" s="60"/>
    </row>
    <row r="828" spans="1:23" ht="13" x14ac:dyDescent="0.3">
      <c r="A828" s="58"/>
      <c r="B828" s="58"/>
      <c r="C828" s="58"/>
      <c r="D828" s="58"/>
      <c r="E828" s="58"/>
      <c r="F828" s="58"/>
      <c r="G828" s="58"/>
      <c r="H828" s="59"/>
      <c r="I828" s="59"/>
      <c r="J828" s="59"/>
      <c r="K828" s="59"/>
      <c r="L828" s="59"/>
      <c r="M828" s="60"/>
      <c r="N828" s="60"/>
      <c r="O828" s="60"/>
      <c r="P828" s="59"/>
      <c r="Q828" s="59"/>
      <c r="R828" s="60"/>
      <c r="S828" s="60"/>
      <c r="T828" s="60"/>
      <c r="U828" s="60"/>
      <c r="V828" s="60"/>
      <c r="W828" s="60"/>
    </row>
    <row r="829" spans="1:23" ht="13" x14ac:dyDescent="0.3">
      <c r="A829" s="58"/>
      <c r="B829" s="58"/>
      <c r="C829" s="58"/>
      <c r="D829" s="58"/>
      <c r="E829" s="58"/>
      <c r="F829" s="58"/>
      <c r="G829" s="58"/>
      <c r="H829" s="59"/>
      <c r="I829" s="59"/>
      <c r="J829" s="59"/>
      <c r="K829" s="59"/>
      <c r="L829" s="59"/>
      <c r="M829" s="60"/>
      <c r="N829" s="60"/>
      <c r="O829" s="60"/>
      <c r="P829" s="59"/>
      <c r="Q829" s="59"/>
      <c r="R829" s="60"/>
      <c r="S829" s="60"/>
      <c r="T829" s="60"/>
      <c r="U829" s="60"/>
      <c r="V829" s="60"/>
      <c r="W829" s="60"/>
    </row>
    <row r="830" spans="1:23" ht="13" x14ac:dyDescent="0.3">
      <c r="A830" s="58"/>
      <c r="B830" s="58"/>
      <c r="C830" s="58"/>
      <c r="D830" s="58"/>
      <c r="E830" s="58"/>
      <c r="F830" s="58"/>
      <c r="G830" s="58"/>
      <c r="H830" s="59"/>
      <c r="I830" s="59"/>
      <c r="J830" s="59"/>
      <c r="K830" s="59"/>
      <c r="L830" s="59"/>
      <c r="M830" s="60"/>
      <c r="N830" s="60"/>
      <c r="O830" s="60"/>
      <c r="P830" s="59"/>
      <c r="Q830" s="59"/>
      <c r="R830" s="60"/>
      <c r="S830" s="60"/>
      <c r="T830" s="60"/>
      <c r="U830" s="60"/>
      <c r="V830" s="60"/>
      <c r="W830" s="60"/>
    </row>
    <row r="831" spans="1:23" ht="13" x14ac:dyDescent="0.3">
      <c r="A831" s="58"/>
      <c r="B831" s="58"/>
      <c r="C831" s="58"/>
      <c r="D831" s="58"/>
      <c r="E831" s="58"/>
      <c r="F831" s="58"/>
      <c r="G831" s="58"/>
      <c r="H831" s="59"/>
      <c r="I831" s="59"/>
      <c r="J831" s="59"/>
      <c r="K831" s="59"/>
      <c r="L831" s="59"/>
      <c r="M831" s="60"/>
      <c r="N831" s="60"/>
      <c r="O831" s="60"/>
      <c r="P831" s="59"/>
      <c r="Q831" s="59"/>
      <c r="R831" s="60"/>
      <c r="S831" s="60"/>
      <c r="T831" s="60"/>
      <c r="U831" s="60"/>
      <c r="V831" s="60"/>
      <c r="W831" s="60"/>
    </row>
    <row r="832" spans="1:23" ht="13" x14ac:dyDescent="0.3">
      <c r="A832" s="58"/>
      <c r="B832" s="58"/>
      <c r="C832" s="58"/>
      <c r="D832" s="58"/>
      <c r="E832" s="58"/>
      <c r="F832" s="58"/>
      <c r="G832" s="58"/>
      <c r="H832" s="59"/>
      <c r="I832" s="59"/>
      <c r="J832" s="59"/>
      <c r="K832" s="59"/>
      <c r="L832" s="59"/>
      <c r="M832" s="60"/>
      <c r="N832" s="60"/>
      <c r="O832" s="60"/>
      <c r="P832" s="59"/>
      <c r="Q832" s="59"/>
      <c r="R832" s="60"/>
      <c r="S832" s="60"/>
      <c r="T832" s="60"/>
      <c r="U832" s="60"/>
      <c r="V832" s="60"/>
      <c r="W832" s="60"/>
    </row>
    <row r="833" spans="1:23" ht="13" x14ac:dyDescent="0.3">
      <c r="A833" s="58"/>
      <c r="B833" s="58"/>
      <c r="C833" s="58"/>
      <c r="D833" s="58"/>
      <c r="E833" s="58"/>
      <c r="F833" s="58"/>
      <c r="G833" s="58"/>
      <c r="H833" s="59"/>
      <c r="I833" s="59"/>
      <c r="J833" s="59"/>
      <c r="K833" s="59"/>
      <c r="L833" s="59"/>
      <c r="M833" s="60"/>
      <c r="N833" s="60"/>
      <c r="O833" s="60"/>
      <c r="P833" s="59"/>
      <c r="Q833" s="59"/>
      <c r="R833" s="60"/>
      <c r="S833" s="60"/>
      <c r="T833" s="60"/>
      <c r="U833" s="60"/>
      <c r="V833" s="60"/>
      <c r="W833" s="60"/>
    </row>
    <row r="834" spans="1:23" ht="13" x14ac:dyDescent="0.3">
      <c r="A834" s="58"/>
      <c r="B834" s="58"/>
      <c r="C834" s="58"/>
      <c r="D834" s="58"/>
      <c r="E834" s="58"/>
      <c r="F834" s="58"/>
      <c r="G834" s="58"/>
      <c r="H834" s="59"/>
      <c r="I834" s="59"/>
      <c r="J834" s="59"/>
      <c r="K834" s="59"/>
      <c r="L834" s="59"/>
      <c r="M834" s="60"/>
      <c r="N834" s="60"/>
      <c r="O834" s="60"/>
      <c r="P834" s="59"/>
      <c r="Q834" s="59"/>
      <c r="R834" s="60"/>
      <c r="S834" s="60"/>
      <c r="T834" s="60"/>
      <c r="U834" s="60"/>
      <c r="V834" s="60"/>
      <c r="W834" s="60"/>
    </row>
    <row r="835" spans="1:23" ht="13" x14ac:dyDescent="0.3">
      <c r="A835" s="58"/>
      <c r="B835" s="58"/>
      <c r="C835" s="58"/>
      <c r="D835" s="58"/>
      <c r="E835" s="58"/>
      <c r="F835" s="58"/>
      <c r="G835" s="58"/>
      <c r="H835" s="59"/>
      <c r="I835" s="59"/>
      <c r="J835" s="59"/>
      <c r="K835" s="59"/>
      <c r="L835" s="59"/>
      <c r="M835" s="60"/>
      <c r="N835" s="60"/>
      <c r="O835" s="60"/>
      <c r="P835" s="59"/>
      <c r="Q835" s="59"/>
      <c r="R835" s="60"/>
      <c r="S835" s="60"/>
      <c r="T835" s="60"/>
      <c r="U835" s="60"/>
      <c r="V835" s="60"/>
      <c r="W835" s="60"/>
    </row>
    <row r="836" spans="1:23" ht="13" x14ac:dyDescent="0.3">
      <c r="A836" s="58"/>
      <c r="B836" s="58"/>
      <c r="C836" s="58"/>
      <c r="D836" s="58"/>
      <c r="E836" s="58"/>
      <c r="F836" s="58"/>
      <c r="G836" s="58"/>
      <c r="H836" s="59"/>
      <c r="I836" s="59"/>
      <c r="J836" s="59"/>
      <c r="K836" s="59"/>
      <c r="L836" s="59"/>
      <c r="M836" s="60"/>
      <c r="N836" s="60"/>
      <c r="O836" s="60"/>
      <c r="P836" s="59"/>
      <c r="Q836" s="59"/>
      <c r="R836" s="60"/>
      <c r="S836" s="60"/>
      <c r="T836" s="60"/>
      <c r="U836" s="60"/>
      <c r="V836" s="60"/>
      <c r="W836" s="60"/>
    </row>
    <row r="837" spans="1:23" ht="13" x14ac:dyDescent="0.3">
      <c r="A837" s="58"/>
      <c r="B837" s="58"/>
      <c r="C837" s="58"/>
      <c r="D837" s="58"/>
      <c r="E837" s="58"/>
      <c r="F837" s="58"/>
      <c r="G837" s="58"/>
      <c r="H837" s="59"/>
      <c r="I837" s="59"/>
      <c r="J837" s="59"/>
      <c r="K837" s="59"/>
      <c r="L837" s="59"/>
      <c r="M837" s="60"/>
      <c r="N837" s="60"/>
      <c r="O837" s="60"/>
      <c r="P837" s="59"/>
      <c r="Q837" s="59"/>
      <c r="R837" s="60"/>
      <c r="S837" s="60"/>
      <c r="T837" s="60"/>
      <c r="U837" s="60"/>
      <c r="V837" s="60"/>
      <c r="W837" s="60"/>
    </row>
    <row r="838" spans="1:23" ht="13" x14ac:dyDescent="0.3">
      <c r="A838" s="58"/>
      <c r="B838" s="58"/>
      <c r="C838" s="58"/>
      <c r="D838" s="58"/>
      <c r="E838" s="58"/>
      <c r="F838" s="58"/>
      <c r="G838" s="58"/>
      <c r="H838" s="59"/>
      <c r="I838" s="59"/>
      <c r="J838" s="59"/>
      <c r="K838" s="59"/>
      <c r="L838" s="59"/>
      <c r="M838" s="60"/>
      <c r="N838" s="60"/>
      <c r="O838" s="60"/>
      <c r="P838" s="59"/>
      <c r="Q838" s="59"/>
      <c r="R838" s="60"/>
      <c r="S838" s="60"/>
      <c r="T838" s="60"/>
      <c r="U838" s="60"/>
      <c r="V838" s="60"/>
      <c r="W838" s="60"/>
    </row>
    <row r="839" spans="1:23" ht="13" x14ac:dyDescent="0.3">
      <c r="A839" s="58"/>
      <c r="B839" s="58"/>
      <c r="C839" s="58"/>
      <c r="D839" s="58"/>
      <c r="E839" s="58"/>
      <c r="F839" s="58"/>
      <c r="G839" s="58"/>
      <c r="H839" s="59"/>
      <c r="I839" s="59"/>
      <c r="J839" s="59"/>
      <c r="K839" s="59"/>
      <c r="L839" s="59"/>
      <c r="M839" s="60"/>
      <c r="N839" s="60"/>
      <c r="O839" s="60"/>
      <c r="P839" s="59"/>
      <c r="Q839" s="59"/>
      <c r="R839" s="60"/>
      <c r="S839" s="60"/>
      <c r="T839" s="60"/>
      <c r="U839" s="60"/>
      <c r="V839" s="60"/>
      <c r="W839" s="60"/>
    </row>
    <row r="840" spans="1:23" ht="13" x14ac:dyDescent="0.3">
      <c r="A840" s="58"/>
      <c r="B840" s="58"/>
      <c r="C840" s="58"/>
      <c r="D840" s="58"/>
      <c r="E840" s="58"/>
      <c r="F840" s="58"/>
      <c r="G840" s="58"/>
      <c r="H840" s="59"/>
      <c r="I840" s="59"/>
      <c r="J840" s="59"/>
      <c r="K840" s="59"/>
      <c r="L840" s="59"/>
      <c r="M840" s="60"/>
      <c r="N840" s="60"/>
      <c r="O840" s="60"/>
      <c r="P840" s="59"/>
      <c r="Q840" s="59"/>
      <c r="R840" s="60"/>
      <c r="S840" s="60"/>
      <c r="T840" s="60"/>
      <c r="U840" s="60"/>
      <c r="V840" s="60"/>
      <c r="W840" s="60"/>
    </row>
    <row r="841" spans="1:23" ht="13" x14ac:dyDescent="0.3">
      <c r="A841" s="58"/>
      <c r="B841" s="58"/>
      <c r="C841" s="58"/>
      <c r="D841" s="58"/>
      <c r="E841" s="58"/>
      <c r="F841" s="58"/>
      <c r="G841" s="58"/>
      <c r="H841" s="59"/>
      <c r="I841" s="59"/>
      <c r="J841" s="59"/>
      <c r="K841" s="59"/>
      <c r="L841" s="59"/>
      <c r="M841" s="60"/>
      <c r="N841" s="60"/>
      <c r="O841" s="60"/>
      <c r="P841" s="59"/>
      <c r="Q841" s="59"/>
      <c r="R841" s="60"/>
      <c r="S841" s="60"/>
      <c r="T841" s="60"/>
      <c r="U841" s="60"/>
      <c r="V841" s="60"/>
      <c r="W841" s="60"/>
    </row>
    <row r="842" spans="1:23" ht="13" x14ac:dyDescent="0.3">
      <c r="A842" s="58"/>
      <c r="B842" s="58"/>
      <c r="C842" s="58"/>
      <c r="D842" s="58"/>
      <c r="E842" s="58"/>
      <c r="F842" s="58"/>
      <c r="G842" s="58"/>
      <c r="H842" s="59"/>
      <c r="I842" s="59"/>
      <c r="J842" s="59"/>
      <c r="K842" s="59"/>
      <c r="L842" s="59"/>
      <c r="M842" s="60"/>
      <c r="N842" s="60"/>
      <c r="O842" s="60"/>
      <c r="P842" s="59"/>
      <c r="Q842" s="59"/>
      <c r="R842" s="60"/>
      <c r="S842" s="60"/>
      <c r="T842" s="60"/>
      <c r="U842" s="60"/>
      <c r="V842" s="60"/>
      <c r="W842" s="60"/>
    </row>
    <row r="843" spans="1:23" ht="13" x14ac:dyDescent="0.3">
      <c r="A843" s="58"/>
      <c r="B843" s="58"/>
      <c r="C843" s="58"/>
      <c r="D843" s="58"/>
      <c r="E843" s="58"/>
      <c r="F843" s="58"/>
      <c r="G843" s="58"/>
      <c r="H843" s="59"/>
      <c r="I843" s="59"/>
      <c r="J843" s="59"/>
      <c r="K843" s="59"/>
      <c r="L843" s="59"/>
      <c r="M843" s="60"/>
      <c r="N843" s="60"/>
      <c r="O843" s="60"/>
      <c r="P843" s="59"/>
      <c r="Q843" s="59"/>
      <c r="R843" s="60"/>
      <c r="S843" s="60"/>
      <c r="T843" s="60"/>
      <c r="U843" s="60"/>
      <c r="V843" s="60"/>
      <c r="W843" s="60"/>
    </row>
    <row r="844" spans="1:23" ht="13" x14ac:dyDescent="0.3">
      <c r="A844" s="58"/>
      <c r="B844" s="58"/>
      <c r="C844" s="58"/>
      <c r="D844" s="58"/>
      <c r="E844" s="58"/>
      <c r="F844" s="58"/>
      <c r="G844" s="58"/>
      <c r="H844" s="59"/>
      <c r="I844" s="59"/>
      <c r="J844" s="59"/>
      <c r="K844" s="59"/>
      <c r="L844" s="59"/>
      <c r="M844" s="60"/>
      <c r="N844" s="60"/>
      <c r="O844" s="60"/>
      <c r="P844" s="59"/>
      <c r="Q844" s="59"/>
      <c r="R844" s="60"/>
      <c r="S844" s="60"/>
      <c r="T844" s="60"/>
      <c r="U844" s="60"/>
      <c r="V844" s="60"/>
      <c r="W844" s="60"/>
    </row>
    <row r="845" spans="1:23" ht="13" x14ac:dyDescent="0.3">
      <c r="A845" s="58"/>
      <c r="B845" s="58"/>
      <c r="C845" s="58"/>
      <c r="D845" s="58"/>
      <c r="E845" s="58"/>
      <c r="F845" s="58"/>
      <c r="G845" s="58"/>
      <c r="H845" s="59"/>
      <c r="I845" s="59"/>
      <c r="J845" s="59"/>
      <c r="K845" s="59"/>
      <c r="L845" s="59"/>
      <c r="M845" s="60"/>
      <c r="N845" s="60"/>
      <c r="O845" s="60"/>
      <c r="P845" s="59"/>
      <c r="Q845" s="59"/>
      <c r="R845" s="60"/>
      <c r="S845" s="60"/>
      <c r="T845" s="60"/>
      <c r="U845" s="60"/>
      <c r="V845" s="60"/>
      <c r="W845" s="60"/>
    </row>
    <row r="846" spans="1:23" ht="13" x14ac:dyDescent="0.3">
      <c r="A846" s="58"/>
      <c r="B846" s="58"/>
      <c r="C846" s="58"/>
      <c r="D846" s="58"/>
      <c r="E846" s="58"/>
      <c r="F846" s="58"/>
      <c r="G846" s="58"/>
      <c r="H846" s="59"/>
      <c r="I846" s="59"/>
      <c r="J846" s="59"/>
      <c r="K846" s="59"/>
      <c r="L846" s="59"/>
      <c r="M846" s="60"/>
      <c r="N846" s="60"/>
      <c r="O846" s="60"/>
      <c r="P846" s="59"/>
      <c r="Q846" s="59"/>
      <c r="R846" s="60"/>
      <c r="S846" s="60"/>
      <c r="T846" s="60"/>
      <c r="U846" s="60"/>
      <c r="V846" s="60"/>
      <c r="W846" s="60"/>
    </row>
    <row r="847" spans="1:23" ht="13" x14ac:dyDescent="0.3">
      <c r="A847" s="58"/>
      <c r="B847" s="58"/>
      <c r="C847" s="58"/>
      <c r="D847" s="58"/>
      <c r="E847" s="58"/>
      <c r="F847" s="58"/>
      <c r="G847" s="58"/>
      <c r="H847" s="59"/>
      <c r="I847" s="59"/>
      <c r="J847" s="59"/>
      <c r="K847" s="59"/>
      <c r="L847" s="59"/>
      <c r="M847" s="60"/>
      <c r="N847" s="60"/>
      <c r="O847" s="60"/>
      <c r="P847" s="59"/>
      <c r="Q847" s="59"/>
      <c r="R847" s="60"/>
      <c r="S847" s="60"/>
      <c r="T847" s="60"/>
      <c r="U847" s="60"/>
      <c r="V847" s="60"/>
      <c r="W847" s="60"/>
    </row>
    <row r="848" spans="1:23" ht="13" x14ac:dyDescent="0.3">
      <c r="A848" s="58"/>
      <c r="B848" s="58"/>
      <c r="C848" s="58"/>
      <c r="D848" s="58"/>
      <c r="E848" s="58"/>
      <c r="F848" s="58"/>
      <c r="G848" s="58"/>
      <c r="H848" s="59"/>
      <c r="I848" s="59"/>
      <c r="J848" s="59"/>
      <c r="K848" s="59"/>
      <c r="L848" s="59"/>
      <c r="M848" s="60"/>
      <c r="N848" s="60"/>
      <c r="O848" s="60"/>
      <c r="P848" s="59"/>
      <c r="Q848" s="59"/>
      <c r="R848" s="60"/>
      <c r="S848" s="60"/>
      <c r="T848" s="60"/>
      <c r="U848" s="60"/>
      <c r="V848" s="60"/>
      <c r="W848" s="60"/>
    </row>
    <row r="849" spans="1:23" ht="13" x14ac:dyDescent="0.3">
      <c r="A849" s="58"/>
      <c r="B849" s="58"/>
      <c r="C849" s="58"/>
      <c r="D849" s="58"/>
      <c r="E849" s="58"/>
      <c r="F849" s="58"/>
      <c r="G849" s="58"/>
      <c r="H849" s="59"/>
      <c r="I849" s="59"/>
      <c r="J849" s="59"/>
      <c r="K849" s="59"/>
      <c r="L849" s="59"/>
      <c r="M849" s="60"/>
      <c r="N849" s="60"/>
      <c r="O849" s="60"/>
      <c r="P849" s="59"/>
      <c r="Q849" s="59"/>
      <c r="R849" s="60"/>
      <c r="S849" s="60"/>
      <c r="T849" s="60"/>
      <c r="U849" s="60"/>
      <c r="V849" s="60"/>
      <c r="W849" s="60"/>
    </row>
    <row r="850" spans="1:23" ht="13" x14ac:dyDescent="0.3">
      <c r="A850" s="58"/>
      <c r="B850" s="58"/>
      <c r="C850" s="58"/>
      <c r="D850" s="58"/>
      <c r="E850" s="58"/>
      <c r="F850" s="58"/>
      <c r="G850" s="58"/>
      <c r="H850" s="59"/>
      <c r="I850" s="59"/>
      <c r="J850" s="59"/>
      <c r="K850" s="59"/>
      <c r="L850" s="59"/>
      <c r="M850" s="60"/>
      <c r="N850" s="60"/>
      <c r="O850" s="60"/>
      <c r="P850" s="59"/>
      <c r="Q850" s="59"/>
      <c r="R850" s="60"/>
      <c r="S850" s="60"/>
      <c r="T850" s="60"/>
      <c r="U850" s="60"/>
      <c r="V850" s="60"/>
      <c r="W850" s="60"/>
    </row>
    <row r="851" spans="1:23" ht="13" x14ac:dyDescent="0.3">
      <c r="A851" s="58"/>
      <c r="B851" s="58"/>
      <c r="C851" s="58"/>
      <c r="D851" s="58"/>
      <c r="E851" s="58"/>
      <c r="F851" s="58"/>
      <c r="G851" s="58"/>
      <c r="H851" s="59"/>
      <c r="I851" s="59"/>
      <c r="J851" s="59"/>
      <c r="K851" s="59"/>
      <c r="L851" s="59"/>
      <c r="M851" s="60"/>
      <c r="N851" s="60"/>
      <c r="O851" s="60"/>
      <c r="P851" s="59"/>
      <c r="Q851" s="59"/>
      <c r="R851" s="60"/>
      <c r="S851" s="60"/>
      <c r="T851" s="60"/>
      <c r="U851" s="60"/>
      <c r="V851" s="60"/>
      <c r="W851" s="60"/>
    </row>
    <row r="852" spans="1:23" ht="13" x14ac:dyDescent="0.3">
      <c r="A852" s="58"/>
      <c r="B852" s="58"/>
      <c r="C852" s="58"/>
      <c r="D852" s="58"/>
      <c r="E852" s="58"/>
      <c r="F852" s="58"/>
      <c r="G852" s="58"/>
      <c r="H852" s="59"/>
      <c r="I852" s="59"/>
      <c r="J852" s="59"/>
      <c r="K852" s="59"/>
      <c r="L852" s="59"/>
      <c r="M852" s="60"/>
      <c r="N852" s="60"/>
      <c r="O852" s="60"/>
      <c r="P852" s="59"/>
      <c r="Q852" s="59"/>
      <c r="R852" s="60"/>
      <c r="S852" s="60"/>
      <c r="T852" s="60"/>
      <c r="U852" s="60"/>
      <c r="V852" s="60"/>
      <c r="W852" s="60"/>
    </row>
    <row r="853" spans="1:23" ht="13" x14ac:dyDescent="0.3">
      <c r="A853" s="58"/>
      <c r="B853" s="58"/>
      <c r="C853" s="58"/>
      <c r="D853" s="58"/>
      <c r="E853" s="58"/>
      <c r="F853" s="58"/>
      <c r="G853" s="58"/>
      <c r="H853" s="59"/>
      <c r="I853" s="59"/>
      <c r="J853" s="59"/>
      <c r="K853" s="59"/>
      <c r="L853" s="59"/>
      <c r="M853" s="60"/>
      <c r="N853" s="60"/>
      <c r="O853" s="60"/>
      <c r="P853" s="59"/>
      <c r="Q853" s="59"/>
      <c r="R853" s="60"/>
      <c r="S853" s="60"/>
      <c r="T853" s="60"/>
      <c r="U853" s="60"/>
      <c r="V853" s="60"/>
      <c r="W853" s="60"/>
    </row>
    <row r="854" spans="1:23" ht="13" x14ac:dyDescent="0.3">
      <c r="A854" s="58"/>
      <c r="B854" s="58"/>
      <c r="C854" s="58"/>
      <c r="D854" s="58"/>
      <c r="E854" s="58"/>
      <c r="F854" s="58"/>
      <c r="G854" s="58"/>
      <c r="H854" s="59"/>
      <c r="I854" s="59"/>
      <c r="J854" s="59"/>
      <c r="K854" s="59"/>
      <c r="L854" s="59"/>
      <c r="M854" s="60"/>
      <c r="N854" s="60"/>
      <c r="O854" s="60"/>
      <c r="P854" s="59"/>
      <c r="Q854" s="59"/>
      <c r="R854" s="60"/>
      <c r="S854" s="60"/>
      <c r="T854" s="60"/>
      <c r="U854" s="60"/>
      <c r="V854" s="60"/>
      <c r="W854" s="60"/>
    </row>
    <row r="855" spans="1:23" ht="13" x14ac:dyDescent="0.3">
      <c r="A855" s="58"/>
      <c r="B855" s="58"/>
      <c r="C855" s="58"/>
      <c r="D855" s="58"/>
      <c r="E855" s="58"/>
      <c r="F855" s="58"/>
      <c r="G855" s="58"/>
      <c r="H855" s="59"/>
      <c r="I855" s="59"/>
      <c r="J855" s="59"/>
      <c r="K855" s="59"/>
      <c r="L855" s="59"/>
      <c r="M855" s="60"/>
      <c r="N855" s="60"/>
      <c r="O855" s="60"/>
      <c r="P855" s="59"/>
      <c r="Q855" s="59"/>
      <c r="R855" s="60"/>
      <c r="S855" s="60"/>
      <c r="T855" s="60"/>
      <c r="U855" s="60"/>
      <c r="V855" s="60"/>
      <c r="W855" s="60"/>
    </row>
    <row r="856" spans="1:23" ht="13" x14ac:dyDescent="0.3">
      <c r="A856" s="58"/>
      <c r="B856" s="58"/>
      <c r="C856" s="58"/>
      <c r="D856" s="58"/>
      <c r="E856" s="58"/>
      <c r="F856" s="58"/>
      <c r="G856" s="58"/>
      <c r="H856" s="59"/>
      <c r="I856" s="59"/>
      <c r="J856" s="59"/>
      <c r="K856" s="59"/>
      <c r="L856" s="59"/>
      <c r="M856" s="60"/>
      <c r="N856" s="60"/>
      <c r="O856" s="60"/>
      <c r="P856" s="59"/>
      <c r="Q856" s="59"/>
      <c r="R856" s="60"/>
      <c r="S856" s="60"/>
      <c r="T856" s="60"/>
      <c r="U856" s="60"/>
      <c r="V856" s="60"/>
      <c r="W856" s="60"/>
    </row>
    <row r="857" spans="1:23" ht="13" x14ac:dyDescent="0.3">
      <c r="A857" s="58"/>
      <c r="B857" s="58"/>
      <c r="C857" s="58"/>
      <c r="D857" s="58"/>
      <c r="E857" s="58"/>
      <c r="F857" s="58"/>
      <c r="G857" s="58"/>
      <c r="H857" s="59"/>
      <c r="I857" s="59"/>
      <c r="J857" s="59"/>
      <c r="K857" s="59"/>
      <c r="L857" s="59"/>
      <c r="M857" s="60"/>
      <c r="N857" s="60"/>
      <c r="O857" s="60"/>
      <c r="P857" s="59"/>
      <c r="Q857" s="59"/>
      <c r="R857" s="60"/>
      <c r="S857" s="60"/>
      <c r="T857" s="60"/>
      <c r="U857" s="60"/>
      <c r="V857" s="60"/>
      <c r="W857" s="60"/>
    </row>
    <row r="858" spans="1:23" ht="13" x14ac:dyDescent="0.3">
      <c r="A858" s="58"/>
      <c r="B858" s="58"/>
      <c r="C858" s="58"/>
      <c r="D858" s="58"/>
      <c r="E858" s="58"/>
      <c r="F858" s="58"/>
      <c r="G858" s="58"/>
      <c r="H858" s="59"/>
      <c r="I858" s="59"/>
      <c r="J858" s="59"/>
      <c r="K858" s="59"/>
      <c r="L858" s="59"/>
      <c r="M858" s="60"/>
      <c r="N858" s="60"/>
      <c r="O858" s="60"/>
      <c r="P858" s="59"/>
      <c r="Q858" s="59"/>
      <c r="R858" s="60"/>
      <c r="S858" s="60"/>
      <c r="T858" s="60"/>
      <c r="U858" s="60"/>
      <c r="V858" s="60"/>
      <c r="W858" s="60"/>
    </row>
    <row r="859" spans="1:23" ht="13" x14ac:dyDescent="0.3">
      <c r="A859" s="58"/>
      <c r="B859" s="58"/>
      <c r="C859" s="58"/>
      <c r="D859" s="58"/>
      <c r="E859" s="58"/>
      <c r="F859" s="58"/>
      <c r="G859" s="58"/>
      <c r="H859" s="59"/>
      <c r="I859" s="59"/>
      <c r="J859" s="59"/>
      <c r="K859" s="59"/>
      <c r="L859" s="59"/>
      <c r="M859" s="60"/>
      <c r="N859" s="60"/>
      <c r="O859" s="60"/>
      <c r="P859" s="59"/>
      <c r="Q859" s="59"/>
      <c r="R859" s="60"/>
      <c r="S859" s="60"/>
      <c r="T859" s="60"/>
      <c r="U859" s="60"/>
      <c r="V859" s="60"/>
      <c r="W859" s="60"/>
    </row>
    <row r="860" spans="1:23" ht="13" x14ac:dyDescent="0.3">
      <c r="A860" s="58"/>
      <c r="B860" s="58"/>
      <c r="C860" s="58"/>
      <c r="D860" s="58"/>
      <c r="E860" s="58"/>
      <c r="F860" s="58"/>
      <c r="G860" s="58"/>
      <c r="H860" s="59"/>
      <c r="I860" s="59"/>
      <c r="J860" s="59"/>
      <c r="K860" s="59"/>
      <c r="L860" s="59"/>
      <c r="M860" s="60"/>
      <c r="N860" s="60"/>
      <c r="O860" s="60"/>
      <c r="P860" s="59"/>
      <c r="Q860" s="59"/>
      <c r="R860" s="60"/>
      <c r="S860" s="60"/>
      <c r="T860" s="60"/>
      <c r="U860" s="60"/>
      <c r="V860" s="60"/>
      <c r="W860" s="60"/>
    </row>
    <row r="861" spans="1:23" ht="13" x14ac:dyDescent="0.3">
      <c r="A861" s="58"/>
      <c r="B861" s="58"/>
      <c r="C861" s="58"/>
      <c r="D861" s="58"/>
      <c r="E861" s="58"/>
      <c r="F861" s="58"/>
      <c r="G861" s="58"/>
      <c r="H861" s="59"/>
      <c r="I861" s="59"/>
      <c r="J861" s="59"/>
      <c r="K861" s="59"/>
      <c r="L861" s="59"/>
      <c r="M861" s="60"/>
      <c r="N861" s="60"/>
      <c r="O861" s="60"/>
      <c r="P861" s="59"/>
      <c r="Q861" s="59"/>
      <c r="R861" s="60"/>
      <c r="S861" s="60"/>
      <c r="T861" s="60"/>
      <c r="U861" s="60"/>
      <c r="V861" s="60"/>
      <c r="W861" s="60"/>
    </row>
    <row r="862" spans="1:23" ht="13" x14ac:dyDescent="0.3">
      <c r="A862" s="58"/>
      <c r="B862" s="58"/>
      <c r="C862" s="58"/>
      <c r="D862" s="58"/>
      <c r="E862" s="58"/>
      <c r="F862" s="58"/>
      <c r="G862" s="58"/>
      <c r="H862" s="59"/>
      <c r="I862" s="59"/>
      <c r="J862" s="59"/>
      <c r="K862" s="59"/>
      <c r="L862" s="59"/>
      <c r="M862" s="60"/>
      <c r="N862" s="60"/>
      <c r="O862" s="60"/>
      <c r="P862" s="59"/>
      <c r="Q862" s="59"/>
      <c r="R862" s="60"/>
      <c r="S862" s="60"/>
      <c r="T862" s="60"/>
      <c r="U862" s="60"/>
      <c r="V862" s="60"/>
      <c r="W862" s="60"/>
    </row>
    <row r="863" spans="1:23" ht="13" x14ac:dyDescent="0.3">
      <c r="A863" s="58"/>
      <c r="B863" s="58"/>
      <c r="C863" s="58"/>
      <c r="D863" s="58"/>
      <c r="E863" s="58"/>
      <c r="F863" s="58"/>
      <c r="G863" s="58"/>
      <c r="H863" s="59"/>
      <c r="I863" s="59"/>
      <c r="J863" s="59"/>
      <c r="K863" s="59"/>
      <c r="L863" s="59"/>
      <c r="M863" s="60"/>
      <c r="N863" s="60"/>
      <c r="O863" s="60"/>
      <c r="P863" s="59"/>
      <c r="Q863" s="59"/>
      <c r="R863" s="60"/>
      <c r="S863" s="60"/>
      <c r="T863" s="60"/>
      <c r="U863" s="60"/>
      <c r="V863" s="60"/>
      <c r="W863" s="60"/>
    </row>
    <row r="864" spans="1:23" ht="13" x14ac:dyDescent="0.3">
      <c r="A864" s="58"/>
      <c r="B864" s="58"/>
      <c r="C864" s="58"/>
      <c r="D864" s="58"/>
      <c r="E864" s="58"/>
      <c r="F864" s="58"/>
      <c r="G864" s="58"/>
      <c r="H864" s="59"/>
      <c r="I864" s="59"/>
      <c r="J864" s="59"/>
      <c r="K864" s="59"/>
      <c r="L864" s="59"/>
      <c r="M864" s="60"/>
      <c r="N864" s="60"/>
      <c r="O864" s="60"/>
      <c r="P864" s="59"/>
      <c r="Q864" s="59"/>
      <c r="R864" s="60"/>
      <c r="S864" s="60"/>
      <c r="T864" s="60"/>
      <c r="U864" s="60"/>
      <c r="V864" s="60"/>
      <c r="W864" s="60"/>
    </row>
    <row r="865" spans="1:23" ht="13" x14ac:dyDescent="0.3">
      <c r="A865" s="58"/>
      <c r="B865" s="58"/>
      <c r="C865" s="58"/>
      <c r="D865" s="58"/>
      <c r="E865" s="58"/>
      <c r="F865" s="58"/>
      <c r="G865" s="58"/>
      <c r="H865" s="59"/>
      <c r="I865" s="59"/>
      <c r="J865" s="59"/>
      <c r="K865" s="59"/>
      <c r="L865" s="59"/>
      <c r="M865" s="60"/>
      <c r="N865" s="60"/>
      <c r="O865" s="60"/>
      <c r="P865" s="59"/>
      <c r="Q865" s="59"/>
      <c r="R865" s="60"/>
      <c r="S865" s="60"/>
      <c r="T865" s="60"/>
      <c r="U865" s="60"/>
      <c r="V865" s="60"/>
      <c r="W865" s="60"/>
    </row>
    <row r="866" spans="1:23" ht="13" x14ac:dyDescent="0.3">
      <c r="A866" s="58"/>
      <c r="B866" s="58"/>
      <c r="C866" s="58"/>
      <c r="D866" s="58"/>
      <c r="E866" s="58"/>
      <c r="F866" s="58"/>
      <c r="G866" s="58"/>
      <c r="H866" s="59"/>
      <c r="I866" s="59"/>
      <c r="J866" s="59"/>
      <c r="K866" s="59"/>
      <c r="L866" s="59"/>
      <c r="M866" s="60"/>
      <c r="N866" s="60"/>
      <c r="O866" s="60"/>
      <c r="P866" s="59"/>
      <c r="Q866" s="59"/>
      <c r="R866" s="60"/>
      <c r="S866" s="60"/>
      <c r="T866" s="60"/>
      <c r="U866" s="60"/>
      <c r="V866" s="60"/>
      <c r="W866" s="60"/>
    </row>
    <row r="867" spans="1:23" ht="13" x14ac:dyDescent="0.3">
      <c r="A867" s="58"/>
      <c r="B867" s="58"/>
      <c r="C867" s="58"/>
      <c r="D867" s="58"/>
      <c r="E867" s="58"/>
      <c r="F867" s="58"/>
      <c r="G867" s="58"/>
      <c r="H867" s="59"/>
      <c r="I867" s="59"/>
      <c r="J867" s="59"/>
      <c r="K867" s="59"/>
      <c r="L867" s="59"/>
      <c r="M867" s="60"/>
      <c r="N867" s="60"/>
      <c r="O867" s="60"/>
      <c r="P867" s="59"/>
      <c r="Q867" s="59"/>
      <c r="R867" s="60"/>
      <c r="S867" s="60"/>
      <c r="T867" s="60"/>
      <c r="U867" s="60"/>
      <c r="V867" s="60"/>
      <c r="W867" s="60"/>
    </row>
    <row r="868" spans="1:23" ht="13" x14ac:dyDescent="0.3">
      <c r="A868" s="58"/>
      <c r="B868" s="58"/>
      <c r="C868" s="58"/>
      <c r="D868" s="58"/>
      <c r="E868" s="58"/>
      <c r="F868" s="58"/>
      <c r="G868" s="58"/>
      <c r="H868" s="59"/>
      <c r="I868" s="59"/>
      <c r="J868" s="59"/>
      <c r="K868" s="59"/>
      <c r="L868" s="59"/>
      <c r="M868" s="60"/>
      <c r="N868" s="60"/>
      <c r="O868" s="60"/>
      <c r="P868" s="59"/>
      <c r="Q868" s="59"/>
      <c r="R868" s="60"/>
      <c r="S868" s="60"/>
      <c r="T868" s="60"/>
      <c r="U868" s="60"/>
      <c r="V868" s="60"/>
      <c r="W868" s="60"/>
    </row>
    <row r="869" spans="1:23" ht="13" x14ac:dyDescent="0.3">
      <c r="A869" s="58"/>
      <c r="B869" s="58"/>
      <c r="C869" s="58"/>
      <c r="D869" s="58"/>
      <c r="E869" s="58"/>
      <c r="F869" s="58"/>
      <c r="G869" s="58"/>
      <c r="H869" s="59"/>
      <c r="I869" s="59"/>
      <c r="J869" s="59"/>
      <c r="K869" s="59"/>
      <c r="L869" s="59"/>
      <c r="M869" s="60"/>
      <c r="N869" s="60"/>
      <c r="O869" s="60"/>
      <c r="P869" s="59"/>
      <c r="Q869" s="59"/>
      <c r="R869" s="60"/>
      <c r="S869" s="60"/>
      <c r="T869" s="60"/>
      <c r="U869" s="60"/>
      <c r="V869" s="60"/>
      <c r="W869" s="60"/>
    </row>
    <row r="870" spans="1:23" ht="13" x14ac:dyDescent="0.3">
      <c r="A870" s="58"/>
      <c r="B870" s="58"/>
      <c r="C870" s="58"/>
      <c r="D870" s="58"/>
      <c r="E870" s="58"/>
      <c r="F870" s="58"/>
      <c r="G870" s="58"/>
      <c r="H870" s="59"/>
      <c r="I870" s="59"/>
      <c r="J870" s="59"/>
      <c r="K870" s="59"/>
      <c r="L870" s="59"/>
      <c r="M870" s="60"/>
      <c r="N870" s="60"/>
      <c r="O870" s="60"/>
      <c r="P870" s="59"/>
      <c r="Q870" s="59"/>
      <c r="R870" s="60"/>
      <c r="S870" s="60"/>
      <c r="T870" s="60"/>
      <c r="U870" s="60"/>
      <c r="V870" s="60"/>
      <c r="W870" s="60"/>
    </row>
    <row r="871" spans="1:23" ht="13" x14ac:dyDescent="0.3">
      <c r="A871" s="58"/>
      <c r="B871" s="58"/>
      <c r="C871" s="58"/>
      <c r="D871" s="58"/>
      <c r="E871" s="58"/>
      <c r="F871" s="58"/>
      <c r="G871" s="58"/>
      <c r="H871" s="59"/>
      <c r="I871" s="59"/>
      <c r="J871" s="59"/>
      <c r="K871" s="59"/>
      <c r="L871" s="59"/>
      <c r="M871" s="60"/>
      <c r="N871" s="60"/>
      <c r="O871" s="60"/>
      <c r="P871" s="59"/>
      <c r="Q871" s="59"/>
      <c r="R871" s="60"/>
      <c r="S871" s="60"/>
      <c r="T871" s="60"/>
      <c r="U871" s="60"/>
      <c r="V871" s="60"/>
      <c r="W871" s="60"/>
    </row>
    <row r="872" spans="1:23" ht="13" x14ac:dyDescent="0.3">
      <c r="A872" s="58"/>
      <c r="B872" s="58"/>
      <c r="C872" s="58"/>
      <c r="D872" s="58"/>
      <c r="E872" s="58"/>
      <c r="F872" s="58"/>
      <c r="G872" s="58"/>
      <c r="H872" s="59"/>
      <c r="I872" s="59"/>
      <c r="J872" s="59"/>
      <c r="K872" s="59"/>
      <c r="L872" s="59"/>
      <c r="M872" s="60"/>
      <c r="N872" s="60"/>
      <c r="O872" s="60"/>
      <c r="P872" s="59"/>
      <c r="Q872" s="59"/>
      <c r="R872" s="60"/>
      <c r="S872" s="60"/>
      <c r="T872" s="60"/>
      <c r="U872" s="60"/>
      <c r="V872" s="60"/>
      <c r="W872" s="60"/>
    </row>
    <row r="873" spans="1:23" ht="13" x14ac:dyDescent="0.3">
      <c r="A873" s="58"/>
      <c r="B873" s="58"/>
      <c r="C873" s="58"/>
      <c r="D873" s="58"/>
      <c r="E873" s="58"/>
      <c r="F873" s="58"/>
      <c r="G873" s="58"/>
      <c r="H873" s="59"/>
      <c r="I873" s="59"/>
      <c r="J873" s="59"/>
      <c r="K873" s="59"/>
      <c r="L873" s="59"/>
      <c r="M873" s="60"/>
      <c r="N873" s="60"/>
      <c r="O873" s="60"/>
      <c r="P873" s="59"/>
      <c r="Q873" s="59"/>
      <c r="R873" s="60"/>
      <c r="S873" s="60"/>
      <c r="T873" s="60"/>
      <c r="U873" s="60"/>
      <c r="V873" s="60"/>
      <c r="W873" s="60"/>
    </row>
    <row r="874" spans="1:23" ht="13" x14ac:dyDescent="0.3">
      <c r="A874" s="58"/>
      <c r="B874" s="58"/>
      <c r="C874" s="58"/>
      <c r="D874" s="58"/>
      <c r="E874" s="58"/>
      <c r="F874" s="58"/>
      <c r="G874" s="58"/>
      <c r="H874" s="59"/>
      <c r="I874" s="59"/>
      <c r="J874" s="59"/>
      <c r="K874" s="59"/>
      <c r="L874" s="59"/>
      <c r="M874" s="60"/>
      <c r="N874" s="60"/>
      <c r="O874" s="60"/>
      <c r="P874" s="59"/>
      <c r="Q874" s="59"/>
      <c r="R874" s="60"/>
      <c r="S874" s="60"/>
      <c r="T874" s="60"/>
      <c r="U874" s="60"/>
      <c r="V874" s="60"/>
      <c r="W874" s="60"/>
    </row>
    <row r="875" spans="1:23" ht="13" x14ac:dyDescent="0.3">
      <c r="A875" s="58"/>
      <c r="B875" s="58"/>
      <c r="C875" s="58"/>
      <c r="D875" s="58"/>
      <c r="E875" s="58"/>
      <c r="F875" s="58"/>
      <c r="G875" s="58"/>
      <c r="H875" s="59"/>
      <c r="I875" s="59"/>
      <c r="J875" s="59"/>
      <c r="K875" s="59"/>
      <c r="L875" s="59"/>
      <c r="M875" s="60"/>
      <c r="N875" s="60"/>
      <c r="O875" s="60"/>
      <c r="P875" s="59"/>
      <c r="Q875" s="59"/>
      <c r="R875" s="60"/>
      <c r="S875" s="60"/>
      <c r="T875" s="60"/>
      <c r="U875" s="60"/>
      <c r="V875" s="60"/>
      <c r="W875" s="60"/>
    </row>
    <row r="876" spans="1:23" ht="13" x14ac:dyDescent="0.3">
      <c r="A876" s="58"/>
      <c r="B876" s="58"/>
      <c r="C876" s="58"/>
      <c r="D876" s="58"/>
      <c r="E876" s="58"/>
      <c r="F876" s="58"/>
      <c r="G876" s="58"/>
      <c r="H876" s="59"/>
      <c r="I876" s="59"/>
      <c r="J876" s="59"/>
      <c r="K876" s="59"/>
      <c r="L876" s="59"/>
      <c r="M876" s="60"/>
      <c r="N876" s="60"/>
      <c r="O876" s="60"/>
      <c r="P876" s="59"/>
      <c r="Q876" s="59"/>
      <c r="R876" s="60"/>
      <c r="S876" s="60"/>
      <c r="T876" s="60"/>
      <c r="U876" s="60"/>
      <c r="V876" s="60"/>
      <c r="W876" s="60"/>
    </row>
    <row r="877" spans="1:23" ht="13" x14ac:dyDescent="0.3">
      <c r="A877" s="58"/>
      <c r="B877" s="58"/>
      <c r="C877" s="58"/>
      <c r="D877" s="58"/>
      <c r="E877" s="58"/>
      <c r="F877" s="58"/>
      <c r="G877" s="58"/>
      <c r="H877" s="59"/>
      <c r="I877" s="59"/>
      <c r="J877" s="59"/>
      <c r="K877" s="59"/>
      <c r="L877" s="59"/>
      <c r="M877" s="60"/>
      <c r="N877" s="60"/>
      <c r="O877" s="60"/>
      <c r="P877" s="59"/>
      <c r="Q877" s="59"/>
      <c r="R877" s="60"/>
      <c r="S877" s="60"/>
      <c r="T877" s="60"/>
      <c r="U877" s="60"/>
      <c r="V877" s="60"/>
      <c r="W877" s="60"/>
    </row>
    <row r="878" spans="1:23" ht="13" x14ac:dyDescent="0.3">
      <c r="A878" s="58"/>
      <c r="B878" s="58"/>
      <c r="C878" s="58"/>
      <c r="D878" s="58"/>
      <c r="E878" s="58"/>
      <c r="F878" s="58"/>
      <c r="G878" s="58"/>
      <c r="H878" s="59"/>
      <c r="I878" s="59"/>
      <c r="J878" s="59"/>
      <c r="K878" s="59"/>
      <c r="L878" s="59"/>
      <c r="M878" s="60"/>
      <c r="N878" s="60"/>
      <c r="O878" s="60"/>
      <c r="P878" s="59"/>
      <c r="Q878" s="59"/>
      <c r="R878" s="60"/>
      <c r="S878" s="60"/>
      <c r="T878" s="60"/>
      <c r="U878" s="60"/>
      <c r="V878" s="60"/>
      <c r="W878" s="60"/>
    </row>
    <row r="879" spans="1:23" ht="13" x14ac:dyDescent="0.3">
      <c r="A879" s="58"/>
      <c r="B879" s="58"/>
      <c r="C879" s="58"/>
      <c r="D879" s="58"/>
      <c r="E879" s="58"/>
      <c r="F879" s="58"/>
      <c r="G879" s="58"/>
      <c r="H879" s="59"/>
      <c r="I879" s="59"/>
      <c r="J879" s="59"/>
      <c r="K879" s="59"/>
      <c r="L879" s="59"/>
      <c r="M879" s="60"/>
      <c r="N879" s="60"/>
      <c r="O879" s="60"/>
      <c r="P879" s="59"/>
      <c r="Q879" s="59"/>
      <c r="R879" s="60"/>
      <c r="S879" s="60"/>
      <c r="T879" s="60"/>
      <c r="U879" s="60"/>
      <c r="V879" s="60"/>
      <c r="W879" s="60"/>
    </row>
    <row r="880" spans="1:23" ht="13" x14ac:dyDescent="0.3">
      <c r="A880" s="58"/>
      <c r="B880" s="58"/>
      <c r="C880" s="58"/>
      <c r="D880" s="58"/>
      <c r="E880" s="58"/>
      <c r="F880" s="58"/>
      <c r="G880" s="58"/>
      <c r="H880" s="59"/>
      <c r="I880" s="59"/>
      <c r="J880" s="59"/>
      <c r="K880" s="59"/>
      <c r="L880" s="59"/>
      <c r="M880" s="60"/>
      <c r="N880" s="60"/>
      <c r="O880" s="60"/>
      <c r="P880" s="59"/>
      <c r="Q880" s="59"/>
      <c r="R880" s="60"/>
      <c r="S880" s="60"/>
      <c r="T880" s="60"/>
      <c r="U880" s="60"/>
      <c r="V880" s="60"/>
      <c r="W880" s="60"/>
    </row>
    <row r="881" spans="1:23" ht="13" x14ac:dyDescent="0.3">
      <c r="A881" s="58"/>
      <c r="B881" s="58"/>
      <c r="C881" s="58"/>
      <c r="D881" s="58"/>
      <c r="E881" s="58"/>
      <c r="F881" s="58"/>
      <c r="G881" s="58"/>
      <c r="H881" s="59"/>
      <c r="I881" s="59"/>
      <c r="J881" s="59"/>
      <c r="K881" s="59"/>
      <c r="L881" s="59"/>
      <c r="M881" s="60"/>
      <c r="N881" s="60"/>
      <c r="O881" s="60"/>
      <c r="P881" s="59"/>
      <c r="Q881" s="59"/>
      <c r="R881" s="60"/>
      <c r="S881" s="60"/>
      <c r="T881" s="60"/>
      <c r="U881" s="60"/>
      <c r="V881" s="60"/>
      <c r="W881" s="60"/>
    </row>
    <row r="882" spans="1:23" ht="13" x14ac:dyDescent="0.3">
      <c r="A882" s="58"/>
      <c r="B882" s="58"/>
      <c r="C882" s="58"/>
      <c r="D882" s="58"/>
      <c r="E882" s="58"/>
      <c r="F882" s="58"/>
      <c r="G882" s="58"/>
      <c r="H882" s="59"/>
      <c r="I882" s="59"/>
      <c r="J882" s="59"/>
      <c r="K882" s="59"/>
      <c r="L882" s="59"/>
      <c r="M882" s="60"/>
      <c r="N882" s="60"/>
      <c r="O882" s="60"/>
      <c r="P882" s="59"/>
      <c r="Q882" s="59"/>
      <c r="R882" s="60"/>
      <c r="S882" s="60"/>
      <c r="T882" s="60"/>
      <c r="U882" s="60"/>
      <c r="V882" s="60"/>
      <c r="W882" s="60"/>
    </row>
    <row r="883" spans="1:23" ht="13" x14ac:dyDescent="0.3">
      <c r="A883" s="58"/>
      <c r="B883" s="58"/>
      <c r="C883" s="58"/>
      <c r="D883" s="58"/>
      <c r="E883" s="58"/>
      <c r="F883" s="58"/>
      <c r="G883" s="58"/>
      <c r="H883" s="59"/>
      <c r="I883" s="59"/>
      <c r="J883" s="59"/>
      <c r="K883" s="59"/>
      <c r="L883" s="59"/>
      <c r="M883" s="60"/>
      <c r="N883" s="60"/>
      <c r="O883" s="60"/>
      <c r="P883" s="59"/>
      <c r="Q883" s="59"/>
      <c r="R883" s="60"/>
      <c r="S883" s="60"/>
      <c r="T883" s="60"/>
      <c r="U883" s="60"/>
      <c r="V883" s="60"/>
      <c r="W883" s="60"/>
    </row>
    <row r="884" spans="1:23" ht="13" x14ac:dyDescent="0.3">
      <c r="A884" s="58"/>
      <c r="B884" s="58"/>
      <c r="C884" s="58"/>
      <c r="D884" s="58"/>
      <c r="E884" s="58"/>
      <c r="F884" s="58"/>
      <c r="G884" s="58"/>
      <c r="H884" s="59"/>
      <c r="I884" s="59"/>
      <c r="J884" s="59"/>
      <c r="K884" s="59"/>
      <c r="L884" s="59"/>
      <c r="M884" s="60"/>
      <c r="N884" s="60"/>
      <c r="O884" s="60"/>
      <c r="P884" s="59"/>
      <c r="Q884" s="59"/>
      <c r="R884" s="60"/>
      <c r="S884" s="60"/>
      <c r="T884" s="60"/>
      <c r="U884" s="60"/>
      <c r="V884" s="60"/>
      <c r="W884" s="60"/>
    </row>
    <row r="885" spans="1:23" ht="13" x14ac:dyDescent="0.3">
      <c r="A885" s="58"/>
      <c r="B885" s="58"/>
      <c r="C885" s="58"/>
      <c r="D885" s="58"/>
      <c r="E885" s="58"/>
      <c r="F885" s="58"/>
      <c r="G885" s="58"/>
      <c r="H885" s="59"/>
      <c r="I885" s="59"/>
      <c r="J885" s="59"/>
      <c r="K885" s="59"/>
      <c r="L885" s="59"/>
      <c r="M885" s="60"/>
      <c r="N885" s="60"/>
      <c r="O885" s="60"/>
      <c r="P885" s="59"/>
      <c r="Q885" s="59"/>
      <c r="R885" s="60"/>
      <c r="S885" s="60"/>
      <c r="T885" s="60"/>
      <c r="U885" s="60"/>
      <c r="V885" s="60"/>
      <c r="W885" s="60"/>
    </row>
    <row r="886" spans="1:23" ht="13" x14ac:dyDescent="0.3">
      <c r="A886" s="58"/>
      <c r="B886" s="58"/>
      <c r="C886" s="58"/>
      <c r="D886" s="58"/>
      <c r="E886" s="58"/>
      <c r="F886" s="58"/>
      <c r="G886" s="58"/>
      <c r="H886" s="59"/>
      <c r="I886" s="59"/>
      <c r="J886" s="59"/>
      <c r="K886" s="59"/>
      <c r="L886" s="59"/>
      <c r="M886" s="60"/>
      <c r="N886" s="60"/>
      <c r="O886" s="60"/>
      <c r="P886" s="59"/>
      <c r="Q886" s="59"/>
      <c r="R886" s="60"/>
      <c r="S886" s="60"/>
      <c r="T886" s="60"/>
      <c r="U886" s="60"/>
      <c r="V886" s="60"/>
      <c r="W886" s="60"/>
    </row>
    <row r="887" spans="1:23" ht="13" x14ac:dyDescent="0.3">
      <c r="A887" s="58"/>
      <c r="B887" s="58"/>
      <c r="C887" s="58"/>
      <c r="D887" s="58"/>
      <c r="E887" s="58"/>
      <c r="F887" s="58"/>
      <c r="G887" s="58"/>
      <c r="H887" s="59"/>
      <c r="I887" s="59"/>
      <c r="J887" s="59"/>
      <c r="K887" s="59"/>
      <c r="L887" s="59"/>
      <c r="M887" s="60"/>
      <c r="N887" s="60"/>
      <c r="O887" s="60"/>
      <c r="P887" s="59"/>
      <c r="Q887" s="59"/>
      <c r="R887" s="60"/>
      <c r="S887" s="60"/>
      <c r="T887" s="60"/>
      <c r="U887" s="60"/>
      <c r="V887" s="60"/>
      <c r="W887" s="60"/>
    </row>
    <row r="888" spans="1:23" ht="13" x14ac:dyDescent="0.3">
      <c r="A888" s="58"/>
      <c r="B888" s="58"/>
      <c r="C888" s="58"/>
      <c r="D888" s="58"/>
      <c r="E888" s="58"/>
      <c r="F888" s="58"/>
      <c r="G888" s="58"/>
      <c r="H888" s="59"/>
      <c r="I888" s="59"/>
      <c r="J888" s="59"/>
      <c r="K888" s="59"/>
      <c r="L888" s="59"/>
      <c r="M888" s="60"/>
      <c r="N888" s="60"/>
      <c r="O888" s="60"/>
      <c r="P888" s="59"/>
      <c r="Q888" s="59"/>
      <c r="R888" s="60"/>
      <c r="S888" s="60"/>
      <c r="T888" s="60"/>
      <c r="U888" s="60"/>
      <c r="V888" s="60"/>
      <c r="W888" s="60"/>
    </row>
    <row r="889" spans="1:23" ht="13" x14ac:dyDescent="0.3">
      <c r="A889" s="58"/>
      <c r="B889" s="58"/>
      <c r="C889" s="58"/>
      <c r="D889" s="58"/>
      <c r="E889" s="58"/>
      <c r="F889" s="58"/>
      <c r="G889" s="58"/>
      <c r="H889" s="59"/>
      <c r="I889" s="59"/>
      <c r="J889" s="59"/>
      <c r="K889" s="59"/>
      <c r="L889" s="59"/>
      <c r="M889" s="60"/>
      <c r="N889" s="60"/>
      <c r="O889" s="60"/>
      <c r="P889" s="59"/>
      <c r="Q889" s="59"/>
      <c r="R889" s="60"/>
      <c r="S889" s="60"/>
      <c r="T889" s="60"/>
      <c r="U889" s="60"/>
      <c r="V889" s="60"/>
      <c r="W889" s="60"/>
    </row>
    <row r="890" spans="1:23" ht="13" x14ac:dyDescent="0.3">
      <c r="A890" s="58"/>
      <c r="B890" s="58"/>
      <c r="C890" s="58"/>
      <c r="D890" s="58"/>
      <c r="E890" s="58"/>
      <c r="F890" s="58"/>
      <c r="G890" s="58"/>
      <c r="H890" s="59"/>
      <c r="I890" s="59"/>
      <c r="J890" s="59"/>
      <c r="K890" s="59"/>
      <c r="L890" s="59"/>
      <c r="M890" s="60"/>
      <c r="N890" s="60"/>
      <c r="O890" s="60"/>
      <c r="P890" s="59"/>
      <c r="Q890" s="59"/>
      <c r="R890" s="60"/>
      <c r="S890" s="60"/>
      <c r="T890" s="60"/>
      <c r="U890" s="60"/>
      <c r="V890" s="60"/>
      <c r="W890" s="60"/>
    </row>
    <row r="891" spans="1:23" ht="13" x14ac:dyDescent="0.3">
      <c r="A891" s="58"/>
      <c r="B891" s="58"/>
      <c r="C891" s="58"/>
      <c r="D891" s="58"/>
      <c r="E891" s="58"/>
      <c r="F891" s="58"/>
      <c r="G891" s="58"/>
      <c r="H891" s="59"/>
      <c r="I891" s="59"/>
      <c r="J891" s="59"/>
      <c r="K891" s="59"/>
      <c r="L891" s="59"/>
      <c r="M891" s="60"/>
      <c r="N891" s="60"/>
      <c r="O891" s="60"/>
      <c r="P891" s="59"/>
      <c r="Q891" s="59"/>
      <c r="R891" s="60"/>
      <c r="S891" s="60"/>
      <c r="T891" s="60"/>
      <c r="U891" s="60"/>
      <c r="V891" s="60"/>
      <c r="W891" s="60"/>
    </row>
    <row r="892" spans="1:23" ht="13" x14ac:dyDescent="0.3">
      <c r="A892" s="58"/>
      <c r="B892" s="58"/>
      <c r="C892" s="58"/>
      <c r="D892" s="58"/>
      <c r="E892" s="58"/>
      <c r="F892" s="58"/>
      <c r="G892" s="58"/>
      <c r="H892" s="59"/>
      <c r="I892" s="59"/>
      <c r="J892" s="59"/>
      <c r="K892" s="59"/>
      <c r="L892" s="59"/>
      <c r="M892" s="60"/>
      <c r="N892" s="60"/>
      <c r="O892" s="60"/>
      <c r="P892" s="59"/>
      <c r="Q892" s="59"/>
      <c r="R892" s="60"/>
      <c r="S892" s="60"/>
      <c r="T892" s="60"/>
      <c r="U892" s="60"/>
      <c r="V892" s="60"/>
      <c r="W892" s="60"/>
    </row>
    <row r="893" spans="1:23" ht="13" x14ac:dyDescent="0.3">
      <c r="A893" s="58"/>
      <c r="B893" s="58"/>
      <c r="C893" s="58"/>
      <c r="D893" s="58"/>
      <c r="E893" s="58"/>
      <c r="F893" s="58"/>
      <c r="G893" s="58"/>
      <c r="H893" s="59"/>
      <c r="I893" s="59"/>
      <c r="J893" s="59"/>
      <c r="K893" s="59"/>
      <c r="L893" s="59"/>
      <c r="M893" s="60"/>
      <c r="N893" s="60"/>
      <c r="O893" s="60"/>
      <c r="P893" s="59"/>
      <c r="Q893" s="59"/>
      <c r="R893" s="60"/>
      <c r="S893" s="60"/>
      <c r="T893" s="60"/>
      <c r="U893" s="60"/>
      <c r="V893" s="60"/>
      <c r="W893" s="60"/>
    </row>
    <row r="894" spans="1:23" ht="13" x14ac:dyDescent="0.3">
      <c r="A894" s="58"/>
      <c r="B894" s="58"/>
      <c r="C894" s="58"/>
      <c r="D894" s="58"/>
      <c r="E894" s="58"/>
      <c r="F894" s="58"/>
      <c r="G894" s="58"/>
      <c r="H894" s="59"/>
      <c r="I894" s="59"/>
      <c r="J894" s="59"/>
      <c r="K894" s="59"/>
      <c r="L894" s="59"/>
      <c r="M894" s="60"/>
      <c r="N894" s="60"/>
      <c r="O894" s="60"/>
      <c r="P894" s="59"/>
      <c r="Q894" s="59"/>
      <c r="R894" s="60"/>
      <c r="S894" s="60"/>
      <c r="T894" s="60"/>
      <c r="U894" s="60"/>
      <c r="V894" s="60"/>
      <c r="W894" s="60"/>
    </row>
    <row r="895" spans="1:23" ht="13" x14ac:dyDescent="0.3">
      <c r="A895" s="58"/>
      <c r="B895" s="58"/>
      <c r="C895" s="58"/>
      <c r="D895" s="58"/>
      <c r="E895" s="58"/>
      <c r="F895" s="58"/>
      <c r="G895" s="58"/>
      <c r="H895" s="59"/>
      <c r="I895" s="59"/>
      <c r="J895" s="59"/>
      <c r="K895" s="59"/>
      <c r="L895" s="59"/>
      <c r="M895" s="60"/>
      <c r="N895" s="60"/>
      <c r="O895" s="60"/>
      <c r="P895" s="59"/>
      <c r="Q895" s="59"/>
      <c r="R895" s="60"/>
      <c r="S895" s="60"/>
      <c r="T895" s="60"/>
      <c r="U895" s="60"/>
      <c r="V895" s="60"/>
      <c r="W895" s="60"/>
    </row>
    <row r="896" spans="1:23" ht="13" x14ac:dyDescent="0.3">
      <c r="A896" s="58"/>
      <c r="B896" s="58"/>
      <c r="C896" s="58"/>
      <c r="D896" s="58"/>
      <c r="E896" s="58"/>
      <c r="F896" s="58"/>
      <c r="G896" s="58"/>
      <c r="H896" s="59"/>
      <c r="I896" s="59"/>
      <c r="J896" s="59"/>
      <c r="K896" s="59"/>
      <c r="L896" s="59"/>
      <c r="M896" s="60"/>
      <c r="N896" s="60"/>
      <c r="O896" s="60"/>
      <c r="P896" s="59"/>
      <c r="Q896" s="59"/>
      <c r="R896" s="60"/>
      <c r="S896" s="60"/>
      <c r="T896" s="60"/>
      <c r="U896" s="60"/>
      <c r="V896" s="60"/>
      <c r="W896" s="60"/>
    </row>
    <row r="897" spans="1:23" ht="13" x14ac:dyDescent="0.3">
      <c r="A897" s="58"/>
      <c r="B897" s="58"/>
      <c r="C897" s="58"/>
      <c r="D897" s="58"/>
      <c r="E897" s="58"/>
      <c r="F897" s="58"/>
      <c r="G897" s="58"/>
      <c r="H897" s="59"/>
      <c r="I897" s="59"/>
      <c r="J897" s="59"/>
      <c r="K897" s="59"/>
      <c r="L897" s="59"/>
      <c r="M897" s="60"/>
      <c r="N897" s="60"/>
      <c r="O897" s="60"/>
      <c r="P897" s="59"/>
      <c r="Q897" s="59"/>
      <c r="R897" s="60"/>
      <c r="S897" s="60"/>
      <c r="T897" s="60"/>
      <c r="U897" s="60"/>
      <c r="V897" s="60"/>
      <c r="W897" s="60"/>
    </row>
    <row r="898" spans="1:23" ht="13" x14ac:dyDescent="0.3">
      <c r="A898" s="58"/>
      <c r="B898" s="58"/>
      <c r="C898" s="58"/>
      <c r="D898" s="58"/>
      <c r="E898" s="58"/>
      <c r="F898" s="58"/>
      <c r="G898" s="58"/>
      <c r="H898" s="59"/>
      <c r="I898" s="59"/>
      <c r="J898" s="59"/>
      <c r="K898" s="59"/>
      <c r="L898" s="59"/>
      <c r="M898" s="60"/>
      <c r="N898" s="60"/>
      <c r="O898" s="60"/>
      <c r="P898" s="59"/>
      <c r="Q898" s="59"/>
      <c r="R898" s="60"/>
      <c r="S898" s="60"/>
      <c r="T898" s="60"/>
      <c r="U898" s="60"/>
      <c r="V898" s="60"/>
      <c r="W898" s="60"/>
    </row>
    <row r="899" spans="1:23" ht="13" x14ac:dyDescent="0.3">
      <c r="A899" s="58"/>
      <c r="B899" s="58"/>
      <c r="C899" s="58"/>
      <c r="D899" s="58"/>
      <c r="E899" s="58"/>
      <c r="F899" s="58"/>
      <c r="G899" s="58"/>
      <c r="H899" s="59"/>
      <c r="I899" s="59"/>
      <c r="J899" s="59"/>
      <c r="K899" s="59"/>
      <c r="L899" s="59"/>
      <c r="M899" s="60"/>
      <c r="N899" s="60"/>
      <c r="O899" s="60"/>
      <c r="P899" s="59"/>
      <c r="Q899" s="59"/>
      <c r="R899" s="60"/>
      <c r="S899" s="60"/>
      <c r="T899" s="60"/>
      <c r="U899" s="60"/>
      <c r="V899" s="60"/>
      <c r="W899" s="60"/>
    </row>
    <row r="900" spans="1:23" ht="13" x14ac:dyDescent="0.3">
      <c r="A900" s="58"/>
      <c r="B900" s="58"/>
      <c r="C900" s="58"/>
      <c r="D900" s="58"/>
      <c r="E900" s="58"/>
      <c r="F900" s="58"/>
      <c r="G900" s="58"/>
      <c r="H900" s="59"/>
      <c r="I900" s="59"/>
      <c r="J900" s="59"/>
      <c r="K900" s="59"/>
      <c r="L900" s="59"/>
      <c r="M900" s="60"/>
      <c r="N900" s="60"/>
      <c r="O900" s="60"/>
      <c r="P900" s="59"/>
      <c r="Q900" s="59"/>
      <c r="R900" s="60"/>
      <c r="S900" s="60"/>
      <c r="T900" s="60"/>
      <c r="U900" s="60"/>
      <c r="V900" s="60"/>
      <c r="W900" s="60"/>
    </row>
    <row r="901" spans="1:23" ht="13" x14ac:dyDescent="0.3">
      <c r="A901" s="58"/>
      <c r="B901" s="58"/>
      <c r="C901" s="58"/>
      <c r="D901" s="58"/>
      <c r="E901" s="58"/>
      <c r="F901" s="58"/>
      <c r="G901" s="58"/>
      <c r="H901" s="59"/>
      <c r="I901" s="59"/>
      <c r="J901" s="59"/>
      <c r="K901" s="59"/>
      <c r="L901" s="59"/>
      <c r="M901" s="60"/>
      <c r="N901" s="60"/>
      <c r="O901" s="60"/>
      <c r="P901" s="59"/>
      <c r="Q901" s="59"/>
      <c r="R901" s="60"/>
      <c r="S901" s="60"/>
      <c r="T901" s="60"/>
      <c r="U901" s="60"/>
      <c r="V901" s="60"/>
      <c r="W901" s="60"/>
    </row>
    <row r="902" spans="1:23" ht="13" x14ac:dyDescent="0.3">
      <c r="A902" s="58"/>
      <c r="B902" s="58"/>
      <c r="C902" s="58"/>
      <c r="D902" s="58"/>
      <c r="E902" s="58"/>
      <c r="F902" s="58"/>
      <c r="G902" s="58"/>
      <c r="H902" s="59"/>
      <c r="I902" s="59"/>
      <c r="J902" s="59"/>
      <c r="K902" s="59"/>
      <c r="L902" s="59"/>
      <c r="M902" s="60"/>
      <c r="N902" s="60"/>
      <c r="O902" s="60"/>
      <c r="P902" s="59"/>
      <c r="Q902" s="59"/>
      <c r="R902" s="60"/>
      <c r="S902" s="60"/>
      <c r="T902" s="60"/>
      <c r="U902" s="60"/>
      <c r="V902" s="60"/>
      <c r="W902" s="60"/>
    </row>
    <row r="903" spans="1:23" ht="13" x14ac:dyDescent="0.3">
      <c r="A903" s="58"/>
      <c r="B903" s="58"/>
      <c r="C903" s="58"/>
      <c r="D903" s="58"/>
      <c r="E903" s="58"/>
      <c r="F903" s="58"/>
      <c r="G903" s="58"/>
      <c r="H903" s="59"/>
      <c r="I903" s="59"/>
      <c r="J903" s="59"/>
      <c r="K903" s="59"/>
      <c r="L903" s="59"/>
      <c r="M903" s="60"/>
      <c r="N903" s="60"/>
      <c r="O903" s="60"/>
      <c r="P903" s="59"/>
      <c r="Q903" s="59"/>
      <c r="R903" s="60"/>
      <c r="S903" s="60"/>
      <c r="T903" s="60"/>
      <c r="U903" s="60"/>
      <c r="V903" s="60"/>
      <c r="W903" s="60"/>
    </row>
    <row r="904" spans="1:23" ht="13" x14ac:dyDescent="0.3">
      <c r="A904" s="58"/>
      <c r="B904" s="58"/>
      <c r="C904" s="58"/>
      <c r="D904" s="58"/>
      <c r="E904" s="58"/>
      <c r="F904" s="58"/>
      <c r="G904" s="58"/>
      <c r="H904" s="59"/>
      <c r="I904" s="59"/>
      <c r="J904" s="59"/>
      <c r="K904" s="59"/>
      <c r="L904" s="59"/>
      <c r="M904" s="60"/>
      <c r="N904" s="60"/>
      <c r="O904" s="60"/>
      <c r="P904" s="59"/>
      <c r="Q904" s="59"/>
      <c r="R904" s="60"/>
      <c r="S904" s="60"/>
      <c r="T904" s="60"/>
      <c r="U904" s="60"/>
      <c r="V904" s="60"/>
      <c r="W904" s="60"/>
    </row>
    <row r="905" spans="1:23" ht="13" x14ac:dyDescent="0.3">
      <c r="A905" s="58"/>
      <c r="B905" s="58"/>
      <c r="C905" s="58"/>
      <c r="D905" s="58"/>
      <c r="E905" s="58"/>
      <c r="F905" s="58"/>
      <c r="G905" s="58"/>
      <c r="H905" s="59"/>
      <c r="I905" s="59"/>
      <c r="J905" s="59"/>
      <c r="K905" s="59"/>
      <c r="L905" s="59"/>
      <c r="M905" s="60"/>
      <c r="N905" s="60"/>
      <c r="O905" s="60"/>
      <c r="P905" s="59"/>
      <c r="Q905" s="59"/>
      <c r="R905" s="60"/>
      <c r="S905" s="60"/>
      <c r="T905" s="60"/>
      <c r="U905" s="60"/>
      <c r="V905" s="60"/>
      <c r="W905" s="60"/>
    </row>
    <row r="906" spans="1:23" ht="13" x14ac:dyDescent="0.3">
      <c r="A906" s="58"/>
      <c r="B906" s="58"/>
      <c r="C906" s="58"/>
      <c r="D906" s="58"/>
      <c r="E906" s="58"/>
      <c r="F906" s="58"/>
      <c r="G906" s="58"/>
      <c r="H906" s="59"/>
      <c r="I906" s="59"/>
      <c r="J906" s="59"/>
      <c r="K906" s="59"/>
      <c r="L906" s="59"/>
      <c r="M906" s="60"/>
      <c r="N906" s="60"/>
      <c r="O906" s="60"/>
      <c r="P906" s="59"/>
      <c r="Q906" s="59"/>
      <c r="R906" s="60"/>
      <c r="S906" s="60"/>
      <c r="T906" s="60"/>
      <c r="U906" s="60"/>
      <c r="V906" s="60"/>
      <c r="W906" s="60"/>
    </row>
    <row r="907" spans="1:23" ht="13" x14ac:dyDescent="0.3">
      <c r="A907" s="58"/>
      <c r="B907" s="58"/>
      <c r="C907" s="58"/>
      <c r="D907" s="58"/>
      <c r="E907" s="58"/>
      <c r="F907" s="58"/>
      <c r="G907" s="58"/>
      <c r="H907" s="59"/>
      <c r="I907" s="59"/>
      <c r="J907" s="59"/>
      <c r="K907" s="59"/>
      <c r="L907" s="59"/>
      <c r="M907" s="60"/>
      <c r="N907" s="60"/>
      <c r="O907" s="60"/>
      <c r="P907" s="59"/>
      <c r="Q907" s="59"/>
      <c r="R907" s="60"/>
      <c r="S907" s="60"/>
      <c r="T907" s="60"/>
      <c r="U907" s="60"/>
      <c r="V907" s="60"/>
      <c r="W907" s="60"/>
    </row>
    <row r="908" spans="1:23" ht="13" x14ac:dyDescent="0.3">
      <c r="A908" s="58"/>
      <c r="B908" s="58"/>
      <c r="C908" s="58"/>
      <c r="D908" s="58"/>
      <c r="E908" s="58"/>
      <c r="F908" s="58"/>
      <c r="G908" s="58"/>
      <c r="H908" s="59"/>
      <c r="I908" s="59"/>
      <c r="J908" s="59"/>
      <c r="K908" s="59"/>
      <c r="L908" s="59"/>
      <c r="M908" s="60"/>
      <c r="N908" s="60"/>
      <c r="O908" s="60"/>
      <c r="P908" s="59"/>
      <c r="Q908" s="59"/>
      <c r="R908" s="60"/>
      <c r="S908" s="60"/>
      <c r="T908" s="60"/>
      <c r="U908" s="60"/>
      <c r="V908" s="60"/>
      <c r="W908" s="60"/>
    </row>
    <row r="909" spans="1:23" ht="13" x14ac:dyDescent="0.3">
      <c r="A909" s="58"/>
      <c r="B909" s="58"/>
      <c r="C909" s="58"/>
      <c r="D909" s="58"/>
      <c r="E909" s="58"/>
      <c r="F909" s="58"/>
      <c r="G909" s="58"/>
      <c r="H909" s="59"/>
      <c r="I909" s="59"/>
      <c r="J909" s="59"/>
      <c r="K909" s="59"/>
      <c r="L909" s="59"/>
      <c r="M909" s="60"/>
      <c r="N909" s="60"/>
      <c r="O909" s="60"/>
      <c r="P909" s="59"/>
      <c r="Q909" s="59"/>
      <c r="R909" s="60"/>
      <c r="S909" s="60"/>
      <c r="T909" s="60"/>
      <c r="U909" s="60"/>
      <c r="V909" s="60"/>
      <c r="W909" s="60"/>
    </row>
    <row r="910" spans="1:23" ht="13" x14ac:dyDescent="0.3">
      <c r="A910" s="58"/>
      <c r="B910" s="58"/>
      <c r="C910" s="58"/>
      <c r="D910" s="58"/>
      <c r="E910" s="58"/>
      <c r="F910" s="58"/>
      <c r="G910" s="58"/>
      <c r="H910" s="59"/>
      <c r="I910" s="59"/>
      <c r="J910" s="59"/>
      <c r="K910" s="59"/>
      <c r="L910" s="59"/>
      <c r="M910" s="60"/>
      <c r="N910" s="60"/>
      <c r="O910" s="60"/>
      <c r="P910" s="59"/>
      <c r="Q910" s="59"/>
      <c r="R910" s="60"/>
      <c r="S910" s="60"/>
      <c r="T910" s="60"/>
      <c r="U910" s="60"/>
      <c r="V910" s="60"/>
      <c r="W910" s="60"/>
    </row>
    <row r="911" spans="1:23" ht="13" x14ac:dyDescent="0.3">
      <c r="A911" s="58"/>
      <c r="B911" s="58"/>
      <c r="C911" s="58"/>
      <c r="D911" s="58"/>
      <c r="E911" s="58"/>
      <c r="F911" s="58"/>
      <c r="G911" s="58"/>
      <c r="H911" s="59"/>
      <c r="I911" s="59"/>
      <c r="J911" s="59"/>
      <c r="K911" s="59"/>
      <c r="L911" s="59"/>
      <c r="M911" s="60"/>
      <c r="N911" s="60"/>
      <c r="O911" s="60"/>
      <c r="P911" s="59"/>
      <c r="Q911" s="59"/>
      <c r="R911" s="60"/>
      <c r="S911" s="60"/>
      <c r="T911" s="60"/>
      <c r="U911" s="60"/>
      <c r="V911" s="60"/>
      <c r="W911" s="60"/>
    </row>
    <row r="912" spans="1:23" ht="13" x14ac:dyDescent="0.3">
      <c r="A912" s="58"/>
      <c r="B912" s="58"/>
      <c r="C912" s="58"/>
      <c r="D912" s="58"/>
      <c r="E912" s="58"/>
      <c r="F912" s="58"/>
      <c r="G912" s="58"/>
      <c r="H912" s="59"/>
      <c r="I912" s="59"/>
      <c r="J912" s="59"/>
      <c r="K912" s="59"/>
      <c r="L912" s="59"/>
      <c r="M912" s="60"/>
      <c r="N912" s="60"/>
      <c r="O912" s="60"/>
      <c r="P912" s="59"/>
      <c r="Q912" s="59"/>
      <c r="R912" s="60"/>
      <c r="S912" s="60"/>
      <c r="T912" s="60"/>
      <c r="U912" s="60"/>
      <c r="V912" s="60"/>
      <c r="W912" s="60"/>
    </row>
    <row r="913" spans="1:23" ht="13" x14ac:dyDescent="0.3">
      <c r="A913" s="58"/>
      <c r="B913" s="58"/>
      <c r="C913" s="58"/>
      <c r="D913" s="58"/>
      <c r="E913" s="58"/>
      <c r="F913" s="58"/>
      <c r="G913" s="58"/>
      <c r="H913" s="59"/>
      <c r="I913" s="59"/>
      <c r="J913" s="59"/>
      <c r="K913" s="59"/>
      <c r="L913" s="59"/>
      <c r="M913" s="60"/>
      <c r="N913" s="60"/>
      <c r="O913" s="60"/>
      <c r="P913" s="59"/>
      <c r="Q913" s="59"/>
      <c r="R913" s="60"/>
      <c r="S913" s="60"/>
      <c r="T913" s="60"/>
      <c r="U913" s="60"/>
      <c r="V913" s="60"/>
      <c r="W913" s="60"/>
    </row>
    <row r="914" spans="1:23" ht="13" x14ac:dyDescent="0.3">
      <c r="A914" s="58"/>
      <c r="B914" s="58"/>
      <c r="C914" s="58"/>
      <c r="D914" s="58"/>
      <c r="E914" s="58"/>
      <c r="F914" s="58"/>
      <c r="G914" s="58"/>
      <c r="H914" s="59"/>
      <c r="I914" s="59"/>
      <c r="J914" s="59"/>
      <c r="K914" s="59"/>
      <c r="L914" s="59"/>
      <c r="M914" s="60"/>
      <c r="N914" s="60"/>
      <c r="O914" s="60"/>
      <c r="P914" s="59"/>
      <c r="Q914" s="59"/>
      <c r="R914" s="60"/>
      <c r="S914" s="60"/>
      <c r="T914" s="60"/>
      <c r="U914" s="60"/>
      <c r="V914" s="60"/>
      <c r="W914" s="60"/>
    </row>
    <row r="915" spans="1:23" ht="13" x14ac:dyDescent="0.3">
      <c r="A915" s="58"/>
      <c r="B915" s="58"/>
      <c r="C915" s="58"/>
      <c r="D915" s="58"/>
      <c r="E915" s="58"/>
      <c r="F915" s="58"/>
      <c r="G915" s="58"/>
      <c r="H915" s="59"/>
      <c r="I915" s="59"/>
      <c r="J915" s="59"/>
      <c r="K915" s="59"/>
      <c r="L915" s="59"/>
      <c r="M915" s="60"/>
      <c r="N915" s="60"/>
      <c r="O915" s="60"/>
      <c r="P915" s="59"/>
      <c r="Q915" s="59"/>
      <c r="R915" s="60"/>
      <c r="S915" s="60"/>
      <c r="T915" s="60"/>
      <c r="U915" s="60"/>
      <c r="V915" s="60"/>
      <c r="W915" s="60"/>
    </row>
    <row r="916" spans="1:23" ht="13" x14ac:dyDescent="0.3">
      <c r="A916" s="58"/>
      <c r="B916" s="58"/>
      <c r="C916" s="58"/>
      <c r="D916" s="58"/>
      <c r="E916" s="58"/>
      <c r="F916" s="58"/>
      <c r="G916" s="58"/>
      <c r="H916" s="59"/>
      <c r="I916" s="59"/>
      <c r="J916" s="59"/>
      <c r="K916" s="59"/>
      <c r="L916" s="59"/>
      <c r="M916" s="60"/>
      <c r="N916" s="60"/>
      <c r="O916" s="60"/>
      <c r="P916" s="59"/>
      <c r="Q916" s="59"/>
      <c r="R916" s="60"/>
      <c r="S916" s="60"/>
      <c r="T916" s="60"/>
      <c r="U916" s="60"/>
      <c r="V916" s="60"/>
      <c r="W916" s="60"/>
    </row>
    <row r="917" spans="1:23" ht="13" x14ac:dyDescent="0.3">
      <c r="A917" s="58"/>
      <c r="B917" s="58"/>
      <c r="C917" s="58"/>
      <c r="D917" s="58"/>
      <c r="E917" s="58"/>
      <c r="F917" s="58"/>
      <c r="G917" s="58"/>
      <c r="H917" s="59"/>
      <c r="I917" s="59"/>
      <c r="J917" s="59"/>
      <c r="K917" s="59"/>
      <c r="L917" s="59"/>
      <c r="M917" s="60"/>
      <c r="N917" s="60"/>
      <c r="O917" s="60"/>
      <c r="P917" s="59"/>
      <c r="Q917" s="59"/>
      <c r="R917" s="60"/>
      <c r="S917" s="60"/>
      <c r="T917" s="60"/>
      <c r="U917" s="60"/>
      <c r="V917" s="60"/>
      <c r="W917" s="60"/>
    </row>
    <row r="918" spans="1:23" ht="13" x14ac:dyDescent="0.3">
      <c r="A918" s="58"/>
      <c r="B918" s="58"/>
      <c r="C918" s="58"/>
      <c r="D918" s="58"/>
      <c r="E918" s="58"/>
      <c r="F918" s="58"/>
      <c r="G918" s="58"/>
      <c r="H918" s="59"/>
      <c r="I918" s="59"/>
      <c r="J918" s="59"/>
      <c r="K918" s="59"/>
      <c r="L918" s="59"/>
      <c r="M918" s="60"/>
      <c r="N918" s="60"/>
      <c r="O918" s="60"/>
      <c r="P918" s="59"/>
      <c r="Q918" s="59"/>
      <c r="R918" s="60"/>
      <c r="S918" s="60"/>
      <c r="T918" s="60"/>
      <c r="U918" s="60"/>
      <c r="V918" s="60"/>
      <c r="W918" s="60"/>
    </row>
    <row r="919" spans="1:23" ht="13" x14ac:dyDescent="0.3">
      <c r="A919" s="58"/>
      <c r="B919" s="58"/>
      <c r="C919" s="58"/>
      <c r="D919" s="58"/>
      <c r="E919" s="58"/>
      <c r="F919" s="58"/>
      <c r="G919" s="58"/>
      <c r="H919" s="59"/>
      <c r="I919" s="59"/>
      <c r="J919" s="59"/>
      <c r="K919" s="59"/>
      <c r="L919" s="59"/>
      <c r="M919" s="60"/>
      <c r="N919" s="60"/>
      <c r="O919" s="60"/>
      <c r="P919" s="59"/>
      <c r="Q919" s="59"/>
      <c r="R919" s="60"/>
      <c r="S919" s="60"/>
      <c r="T919" s="60"/>
      <c r="U919" s="60"/>
      <c r="V919" s="60"/>
      <c r="W919" s="60"/>
    </row>
    <row r="920" spans="1:23" ht="13" x14ac:dyDescent="0.3">
      <c r="A920" s="58"/>
      <c r="B920" s="58"/>
      <c r="C920" s="58"/>
      <c r="D920" s="58"/>
      <c r="E920" s="58"/>
      <c r="F920" s="58"/>
      <c r="G920" s="58"/>
      <c r="H920" s="59"/>
      <c r="I920" s="59"/>
      <c r="J920" s="59"/>
      <c r="K920" s="59"/>
      <c r="L920" s="59"/>
      <c r="M920" s="60"/>
      <c r="N920" s="60"/>
      <c r="O920" s="60"/>
      <c r="P920" s="59"/>
      <c r="Q920" s="59"/>
      <c r="R920" s="60"/>
      <c r="S920" s="60"/>
      <c r="T920" s="60"/>
      <c r="U920" s="60"/>
      <c r="V920" s="60"/>
      <c r="W920" s="60"/>
    </row>
    <row r="921" spans="1:23" ht="13" x14ac:dyDescent="0.3">
      <c r="A921" s="58"/>
      <c r="B921" s="58"/>
      <c r="C921" s="58"/>
      <c r="D921" s="58"/>
      <c r="E921" s="58"/>
      <c r="F921" s="58"/>
      <c r="G921" s="58"/>
      <c r="H921" s="59"/>
      <c r="I921" s="59"/>
      <c r="J921" s="59"/>
      <c r="K921" s="59"/>
      <c r="L921" s="59"/>
      <c r="M921" s="60"/>
      <c r="N921" s="60"/>
      <c r="O921" s="60"/>
      <c r="P921" s="59"/>
      <c r="Q921" s="59"/>
      <c r="R921" s="60"/>
      <c r="S921" s="60"/>
      <c r="T921" s="60"/>
      <c r="U921" s="60"/>
      <c r="V921" s="60"/>
      <c r="W921" s="60"/>
    </row>
    <row r="922" spans="1:23" ht="13" x14ac:dyDescent="0.3">
      <c r="A922" s="58"/>
      <c r="B922" s="58"/>
      <c r="C922" s="58"/>
      <c r="D922" s="58"/>
      <c r="E922" s="58"/>
      <c r="F922" s="58"/>
      <c r="G922" s="58"/>
      <c r="H922" s="59"/>
      <c r="I922" s="59"/>
      <c r="J922" s="59"/>
      <c r="K922" s="59"/>
      <c r="L922" s="59"/>
      <c r="M922" s="60"/>
      <c r="N922" s="60"/>
      <c r="O922" s="60"/>
      <c r="P922" s="59"/>
      <c r="Q922" s="59"/>
      <c r="R922" s="60"/>
      <c r="S922" s="60"/>
      <c r="T922" s="60"/>
      <c r="U922" s="60"/>
      <c r="V922" s="60"/>
      <c r="W922" s="60"/>
    </row>
    <row r="923" spans="1:23" ht="13" x14ac:dyDescent="0.3">
      <c r="A923" s="58"/>
      <c r="B923" s="58"/>
      <c r="C923" s="58"/>
      <c r="D923" s="58"/>
      <c r="E923" s="58"/>
      <c r="F923" s="58"/>
      <c r="G923" s="58"/>
      <c r="H923" s="59"/>
      <c r="I923" s="59"/>
      <c r="J923" s="59"/>
      <c r="K923" s="59"/>
      <c r="L923" s="59"/>
      <c r="M923" s="60"/>
      <c r="N923" s="60"/>
      <c r="O923" s="60"/>
      <c r="P923" s="59"/>
      <c r="Q923" s="59"/>
      <c r="R923" s="60"/>
      <c r="S923" s="60"/>
      <c r="T923" s="60"/>
      <c r="U923" s="60"/>
      <c r="V923" s="60"/>
      <c r="W923" s="60"/>
    </row>
    <row r="924" spans="1:23" ht="13" x14ac:dyDescent="0.3">
      <c r="A924" s="58"/>
      <c r="B924" s="58"/>
      <c r="C924" s="58"/>
      <c r="D924" s="58"/>
      <c r="E924" s="58"/>
      <c r="F924" s="58"/>
      <c r="G924" s="58"/>
      <c r="H924" s="59"/>
      <c r="I924" s="59"/>
      <c r="J924" s="59"/>
      <c r="K924" s="59"/>
      <c r="L924" s="59"/>
      <c r="M924" s="60"/>
      <c r="N924" s="60"/>
      <c r="O924" s="60"/>
      <c r="P924" s="59"/>
      <c r="Q924" s="59"/>
      <c r="R924" s="60"/>
      <c r="S924" s="60"/>
      <c r="T924" s="60"/>
      <c r="U924" s="60"/>
      <c r="V924" s="60"/>
      <c r="W924" s="60"/>
    </row>
    <row r="925" spans="1:23" ht="13" x14ac:dyDescent="0.3">
      <c r="A925" s="58"/>
      <c r="B925" s="58"/>
      <c r="C925" s="58"/>
      <c r="D925" s="58"/>
      <c r="E925" s="58"/>
      <c r="F925" s="58"/>
      <c r="G925" s="58"/>
      <c r="H925" s="59"/>
      <c r="I925" s="59"/>
      <c r="J925" s="59"/>
      <c r="K925" s="59"/>
      <c r="L925" s="59"/>
      <c r="M925" s="60"/>
      <c r="N925" s="60"/>
      <c r="O925" s="60"/>
      <c r="P925" s="59"/>
      <c r="Q925" s="59"/>
      <c r="R925" s="60"/>
      <c r="S925" s="60"/>
      <c r="T925" s="60"/>
      <c r="U925" s="60"/>
      <c r="V925" s="60"/>
      <c r="W925" s="60"/>
    </row>
    <row r="926" spans="1:23" ht="13" x14ac:dyDescent="0.3">
      <c r="A926" s="58"/>
      <c r="B926" s="58"/>
      <c r="C926" s="58"/>
      <c r="D926" s="58"/>
      <c r="E926" s="58"/>
      <c r="F926" s="58"/>
      <c r="G926" s="58"/>
      <c r="H926" s="59"/>
      <c r="I926" s="59"/>
      <c r="J926" s="59"/>
      <c r="K926" s="59"/>
      <c r="L926" s="59"/>
      <c r="M926" s="60"/>
      <c r="N926" s="60"/>
      <c r="O926" s="60"/>
      <c r="P926" s="59"/>
      <c r="Q926" s="59"/>
      <c r="R926" s="60"/>
      <c r="S926" s="60"/>
      <c r="T926" s="60"/>
      <c r="U926" s="60"/>
      <c r="V926" s="60"/>
      <c r="W926" s="60"/>
    </row>
    <row r="927" spans="1:23" ht="13" x14ac:dyDescent="0.3">
      <c r="A927" s="58"/>
      <c r="B927" s="58"/>
      <c r="C927" s="58"/>
      <c r="D927" s="58"/>
      <c r="E927" s="58"/>
      <c r="F927" s="58"/>
      <c r="G927" s="58"/>
      <c r="H927" s="59"/>
      <c r="I927" s="59"/>
      <c r="J927" s="59"/>
      <c r="K927" s="59"/>
      <c r="L927" s="59"/>
      <c r="M927" s="60"/>
      <c r="N927" s="60"/>
      <c r="O927" s="60"/>
      <c r="P927" s="59"/>
      <c r="Q927" s="59"/>
      <c r="R927" s="60"/>
      <c r="S927" s="60"/>
      <c r="T927" s="60"/>
      <c r="U927" s="60"/>
      <c r="V927" s="60"/>
      <c r="W927" s="60"/>
    </row>
    <row r="928" spans="1:23" ht="13" x14ac:dyDescent="0.3">
      <c r="A928" s="58"/>
      <c r="B928" s="58"/>
      <c r="C928" s="58"/>
      <c r="D928" s="58"/>
      <c r="E928" s="58"/>
      <c r="F928" s="58"/>
      <c r="G928" s="58"/>
      <c r="H928" s="59"/>
      <c r="I928" s="59"/>
      <c r="J928" s="59"/>
      <c r="K928" s="59"/>
      <c r="L928" s="59"/>
      <c r="M928" s="60"/>
      <c r="N928" s="60"/>
      <c r="O928" s="60"/>
      <c r="P928" s="59"/>
      <c r="Q928" s="59"/>
      <c r="R928" s="60"/>
      <c r="S928" s="60"/>
      <c r="T928" s="60"/>
      <c r="U928" s="60"/>
      <c r="V928" s="60"/>
      <c r="W928" s="60"/>
    </row>
    <row r="929" spans="1:23" ht="13" x14ac:dyDescent="0.3">
      <c r="A929" s="58"/>
      <c r="B929" s="58"/>
      <c r="C929" s="58"/>
      <c r="D929" s="58"/>
      <c r="E929" s="58"/>
      <c r="F929" s="58"/>
      <c r="G929" s="58"/>
      <c r="H929" s="59"/>
      <c r="I929" s="59"/>
      <c r="J929" s="59"/>
      <c r="K929" s="59"/>
      <c r="L929" s="59"/>
      <c r="M929" s="60"/>
      <c r="N929" s="60"/>
      <c r="O929" s="60"/>
      <c r="P929" s="59"/>
      <c r="Q929" s="59"/>
      <c r="R929" s="60"/>
      <c r="S929" s="60"/>
      <c r="T929" s="60"/>
      <c r="U929" s="60"/>
      <c r="V929" s="60"/>
      <c r="W929" s="60"/>
    </row>
    <row r="930" spans="1:23" ht="13" x14ac:dyDescent="0.3">
      <c r="A930" s="58"/>
      <c r="B930" s="58"/>
      <c r="C930" s="58"/>
      <c r="D930" s="58"/>
      <c r="E930" s="58"/>
      <c r="F930" s="58"/>
      <c r="G930" s="58"/>
      <c r="H930" s="59"/>
      <c r="I930" s="59"/>
      <c r="J930" s="59"/>
      <c r="K930" s="59"/>
      <c r="L930" s="59"/>
      <c r="M930" s="60"/>
      <c r="N930" s="60"/>
      <c r="O930" s="60"/>
      <c r="P930" s="59"/>
      <c r="Q930" s="59"/>
      <c r="R930" s="60"/>
      <c r="S930" s="60"/>
      <c r="T930" s="60"/>
      <c r="U930" s="60"/>
      <c r="V930" s="60"/>
      <c r="W930" s="60"/>
    </row>
    <row r="931" spans="1:23" ht="13" x14ac:dyDescent="0.3">
      <c r="A931" s="58"/>
      <c r="B931" s="58"/>
      <c r="C931" s="58"/>
      <c r="D931" s="58"/>
      <c r="E931" s="58"/>
      <c r="F931" s="58"/>
      <c r="G931" s="58"/>
      <c r="H931" s="59"/>
      <c r="I931" s="59"/>
      <c r="J931" s="59"/>
      <c r="K931" s="59"/>
      <c r="L931" s="59"/>
      <c r="M931" s="60"/>
      <c r="N931" s="60"/>
      <c r="O931" s="60"/>
      <c r="P931" s="59"/>
      <c r="Q931" s="59"/>
      <c r="R931" s="60"/>
      <c r="S931" s="60"/>
      <c r="T931" s="60"/>
      <c r="U931" s="60"/>
      <c r="V931" s="60"/>
      <c r="W931" s="60"/>
    </row>
    <row r="932" spans="1:23" ht="13" x14ac:dyDescent="0.3">
      <c r="A932" s="58"/>
      <c r="B932" s="58"/>
      <c r="C932" s="58"/>
      <c r="D932" s="58"/>
      <c r="E932" s="58"/>
      <c r="F932" s="58"/>
      <c r="G932" s="58"/>
      <c r="H932" s="59"/>
      <c r="I932" s="59"/>
      <c r="J932" s="59"/>
      <c r="K932" s="59"/>
      <c r="L932" s="59"/>
      <c r="M932" s="60"/>
      <c r="N932" s="60"/>
      <c r="O932" s="60"/>
      <c r="P932" s="59"/>
      <c r="Q932" s="59"/>
      <c r="R932" s="60"/>
      <c r="S932" s="60"/>
      <c r="T932" s="60"/>
      <c r="U932" s="60"/>
      <c r="V932" s="60"/>
      <c r="W932" s="60"/>
    </row>
    <row r="933" spans="1:23" ht="13" x14ac:dyDescent="0.3">
      <c r="A933" s="58"/>
      <c r="B933" s="58"/>
      <c r="C933" s="58"/>
      <c r="D933" s="58"/>
      <c r="E933" s="58"/>
      <c r="F933" s="58"/>
      <c r="G933" s="58"/>
      <c r="H933" s="59"/>
      <c r="I933" s="59"/>
      <c r="J933" s="59"/>
      <c r="K933" s="59"/>
      <c r="L933" s="59"/>
      <c r="M933" s="60"/>
      <c r="N933" s="60"/>
      <c r="O933" s="60"/>
      <c r="P933" s="59"/>
      <c r="Q933" s="59"/>
      <c r="R933" s="60"/>
      <c r="S933" s="60"/>
      <c r="T933" s="60"/>
      <c r="U933" s="60"/>
      <c r="V933" s="60"/>
      <c r="W933" s="60"/>
    </row>
    <row r="934" spans="1:23" ht="13" x14ac:dyDescent="0.3">
      <c r="A934" s="58"/>
      <c r="B934" s="58"/>
      <c r="C934" s="58"/>
      <c r="D934" s="58"/>
      <c r="E934" s="58"/>
      <c r="F934" s="58"/>
      <c r="G934" s="58"/>
      <c r="H934" s="59"/>
      <c r="I934" s="59"/>
      <c r="J934" s="59"/>
      <c r="K934" s="59"/>
      <c r="L934" s="59"/>
      <c r="M934" s="60"/>
      <c r="N934" s="60"/>
      <c r="O934" s="60"/>
      <c r="P934" s="59"/>
      <c r="Q934" s="59"/>
      <c r="R934" s="60"/>
      <c r="S934" s="60"/>
      <c r="T934" s="60"/>
      <c r="U934" s="60"/>
      <c r="V934" s="60"/>
      <c r="W934" s="60"/>
    </row>
    <row r="935" spans="1:23" ht="13" x14ac:dyDescent="0.3">
      <c r="A935" s="58"/>
      <c r="B935" s="58"/>
      <c r="C935" s="58"/>
      <c r="D935" s="58"/>
      <c r="E935" s="58"/>
      <c r="F935" s="58"/>
      <c r="G935" s="58"/>
      <c r="H935" s="59"/>
      <c r="I935" s="59"/>
      <c r="J935" s="59"/>
      <c r="K935" s="59"/>
      <c r="L935" s="59"/>
      <c r="M935" s="60"/>
      <c r="N935" s="60"/>
      <c r="O935" s="60"/>
      <c r="P935" s="59"/>
      <c r="Q935" s="59"/>
      <c r="R935" s="60"/>
      <c r="S935" s="60"/>
      <c r="T935" s="60"/>
      <c r="U935" s="60"/>
      <c r="V935" s="60"/>
      <c r="W935" s="60"/>
    </row>
    <row r="936" spans="1:23" ht="13" x14ac:dyDescent="0.3">
      <c r="A936" s="58"/>
      <c r="B936" s="58"/>
      <c r="C936" s="58"/>
      <c r="D936" s="58"/>
      <c r="E936" s="58"/>
      <c r="F936" s="58"/>
      <c r="G936" s="58"/>
      <c r="H936" s="59"/>
      <c r="I936" s="59"/>
      <c r="J936" s="59"/>
      <c r="K936" s="59"/>
      <c r="L936" s="59"/>
      <c r="M936" s="60"/>
      <c r="N936" s="60"/>
      <c r="O936" s="60"/>
      <c r="P936" s="59"/>
      <c r="Q936" s="59"/>
      <c r="R936" s="60"/>
      <c r="S936" s="60"/>
      <c r="T936" s="60"/>
      <c r="U936" s="60"/>
      <c r="V936" s="60"/>
      <c r="W936" s="60"/>
    </row>
    <row r="937" spans="1:23" ht="13" x14ac:dyDescent="0.3">
      <c r="A937" s="58"/>
      <c r="B937" s="58"/>
      <c r="C937" s="58"/>
      <c r="D937" s="58"/>
      <c r="E937" s="58"/>
      <c r="F937" s="58"/>
      <c r="G937" s="58"/>
      <c r="H937" s="59"/>
      <c r="I937" s="59"/>
      <c r="J937" s="59"/>
      <c r="K937" s="59"/>
      <c r="L937" s="59"/>
      <c r="M937" s="60"/>
      <c r="N937" s="60"/>
      <c r="O937" s="60"/>
      <c r="P937" s="59"/>
      <c r="Q937" s="59"/>
      <c r="R937" s="60"/>
      <c r="S937" s="60"/>
      <c r="T937" s="60"/>
      <c r="U937" s="60"/>
      <c r="V937" s="60"/>
      <c r="W937" s="60"/>
    </row>
    <row r="938" spans="1:23" ht="13" x14ac:dyDescent="0.3">
      <c r="A938" s="58"/>
      <c r="B938" s="58"/>
      <c r="C938" s="58"/>
      <c r="D938" s="58"/>
      <c r="E938" s="58"/>
      <c r="F938" s="58"/>
      <c r="G938" s="58"/>
      <c r="H938" s="59"/>
      <c r="I938" s="59"/>
      <c r="J938" s="59"/>
      <c r="K938" s="59"/>
      <c r="L938" s="59"/>
      <c r="M938" s="60"/>
      <c r="N938" s="60"/>
      <c r="O938" s="60"/>
      <c r="P938" s="59"/>
      <c r="Q938" s="59"/>
      <c r="R938" s="60"/>
      <c r="S938" s="60"/>
      <c r="T938" s="60"/>
      <c r="U938" s="60"/>
      <c r="V938" s="60"/>
      <c r="W938" s="60"/>
    </row>
    <row r="939" spans="1:23" ht="13" x14ac:dyDescent="0.3">
      <c r="A939" s="58"/>
      <c r="B939" s="58"/>
      <c r="C939" s="58"/>
      <c r="D939" s="58"/>
      <c r="E939" s="58"/>
      <c r="F939" s="58"/>
      <c r="G939" s="58"/>
      <c r="H939" s="59"/>
      <c r="I939" s="59"/>
      <c r="J939" s="59"/>
      <c r="K939" s="59"/>
      <c r="L939" s="59"/>
      <c r="M939" s="60"/>
      <c r="N939" s="60"/>
      <c r="O939" s="60"/>
      <c r="P939" s="59"/>
      <c r="Q939" s="59"/>
      <c r="R939" s="60"/>
      <c r="S939" s="60"/>
      <c r="T939" s="60"/>
      <c r="U939" s="60"/>
      <c r="V939" s="60"/>
      <c r="W939" s="60"/>
    </row>
    <row r="940" spans="1:23" ht="13" x14ac:dyDescent="0.3">
      <c r="A940" s="58"/>
      <c r="B940" s="58"/>
      <c r="C940" s="58"/>
      <c r="D940" s="58"/>
      <c r="E940" s="58"/>
      <c r="F940" s="58"/>
      <c r="G940" s="58"/>
      <c r="H940" s="59"/>
      <c r="I940" s="59"/>
      <c r="J940" s="59"/>
      <c r="K940" s="59"/>
      <c r="L940" s="59"/>
      <c r="M940" s="60"/>
      <c r="N940" s="60"/>
      <c r="O940" s="60"/>
      <c r="P940" s="59"/>
      <c r="Q940" s="59"/>
      <c r="R940" s="60"/>
      <c r="S940" s="60"/>
      <c r="T940" s="60"/>
      <c r="U940" s="60"/>
      <c r="V940" s="60"/>
      <c r="W940" s="60"/>
    </row>
    <row r="941" spans="1:23" ht="13" x14ac:dyDescent="0.3">
      <c r="A941" s="58"/>
      <c r="B941" s="58"/>
      <c r="C941" s="58"/>
      <c r="D941" s="58"/>
      <c r="E941" s="58"/>
      <c r="F941" s="58"/>
      <c r="G941" s="58"/>
      <c r="H941" s="59"/>
      <c r="I941" s="59"/>
      <c r="J941" s="59"/>
      <c r="K941" s="59"/>
      <c r="L941" s="59"/>
      <c r="M941" s="60"/>
      <c r="N941" s="60"/>
      <c r="O941" s="60"/>
      <c r="P941" s="59"/>
      <c r="Q941" s="59"/>
      <c r="R941" s="60"/>
      <c r="S941" s="60"/>
      <c r="T941" s="60"/>
      <c r="U941" s="60"/>
      <c r="V941" s="60"/>
      <c r="W941" s="60"/>
    </row>
    <row r="942" spans="1:23" ht="13" x14ac:dyDescent="0.3">
      <c r="A942" s="58"/>
      <c r="B942" s="58"/>
      <c r="C942" s="58"/>
      <c r="D942" s="58"/>
      <c r="E942" s="58"/>
      <c r="F942" s="58"/>
      <c r="G942" s="58"/>
      <c r="H942" s="59"/>
      <c r="I942" s="59"/>
      <c r="J942" s="59"/>
      <c r="K942" s="59"/>
      <c r="L942" s="59"/>
      <c r="M942" s="60"/>
      <c r="N942" s="60"/>
      <c r="O942" s="60"/>
      <c r="P942" s="59"/>
      <c r="Q942" s="59"/>
      <c r="R942" s="60"/>
      <c r="S942" s="60"/>
      <c r="T942" s="60"/>
      <c r="U942" s="60"/>
      <c r="V942" s="60"/>
      <c r="W942" s="60"/>
    </row>
    <row r="943" spans="1:23" ht="13" x14ac:dyDescent="0.3">
      <c r="A943" s="58"/>
      <c r="B943" s="58"/>
      <c r="C943" s="58"/>
      <c r="D943" s="58"/>
      <c r="E943" s="58"/>
      <c r="F943" s="58"/>
      <c r="G943" s="58"/>
      <c r="H943" s="59"/>
      <c r="I943" s="59"/>
      <c r="J943" s="59"/>
      <c r="K943" s="59"/>
      <c r="L943" s="59"/>
      <c r="M943" s="60"/>
      <c r="N943" s="60"/>
      <c r="O943" s="60"/>
      <c r="P943" s="59"/>
      <c r="Q943" s="59"/>
      <c r="R943" s="60"/>
      <c r="S943" s="60"/>
      <c r="T943" s="60"/>
      <c r="U943" s="60"/>
      <c r="V943" s="60"/>
      <c r="W943" s="60"/>
    </row>
    <row r="944" spans="1:23" ht="13" x14ac:dyDescent="0.3">
      <c r="A944" s="58"/>
      <c r="B944" s="58"/>
      <c r="C944" s="58"/>
      <c r="D944" s="58"/>
      <c r="E944" s="58"/>
      <c r="F944" s="58"/>
      <c r="G944" s="58"/>
      <c r="H944" s="59"/>
      <c r="I944" s="59"/>
      <c r="J944" s="59"/>
      <c r="K944" s="59"/>
      <c r="L944" s="59"/>
      <c r="M944" s="60"/>
      <c r="N944" s="60"/>
      <c r="O944" s="60"/>
      <c r="P944" s="59"/>
      <c r="Q944" s="59"/>
      <c r="R944" s="60"/>
      <c r="S944" s="60"/>
      <c r="T944" s="60"/>
      <c r="U944" s="60"/>
      <c r="V944" s="60"/>
      <c r="W944" s="60"/>
    </row>
    <row r="945" spans="1:23" ht="13" x14ac:dyDescent="0.3">
      <c r="A945" s="58"/>
      <c r="B945" s="58"/>
      <c r="C945" s="58"/>
      <c r="D945" s="58"/>
      <c r="E945" s="58"/>
      <c r="F945" s="58"/>
      <c r="G945" s="58"/>
      <c r="H945" s="59"/>
      <c r="I945" s="59"/>
      <c r="J945" s="59"/>
      <c r="K945" s="59"/>
      <c r="L945" s="59"/>
      <c r="M945" s="60"/>
      <c r="N945" s="60"/>
      <c r="O945" s="60"/>
      <c r="P945" s="59"/>
      <c r="Q945" s="59"/>
      <c r="R945" s="60"/>
      <c r="S945" s="60"/>
      <c r="T945" s="60"/>
      <c r="U945" s="60"/>
      <c r="V945" s="60"/>
      <c r="W945" s="60"/>
    </row>
    <row r="946" spans="1:23" ht="13" x14ac:dyDescent="0.3">
      <c r="A946" s="58"/>
      <c r="B946" s="58"/>
      <c r="C946" s="58"/>
      <c r="D946" s="58"/>
      <c r="E946" s="58"/>
      <c r="F946" s="58"/>
      <c r="G946" s="58"/>
      <c r="H946" s="59"/>
      <c r="I946" s="59"/>
      <c r="J946" s="59"/>
      <c r="K946" s="59"/>
      <c r="L946" s="59"/>
      <c r="M946" s="60"/>
      <c r="N946" s="60"/>
      <c r="O946" s="60"/>
      <c r="P946" s="59"/>
      <c r="Q946" s="59"/>
      <c r="R946" s="60"/>
      <c r="S946" s="60"/>
      <c r="T946" s="60"/>
      <c r="U946" s="60"/>
      <c r="V946" s="60"/>
      <c r="W946" s="60"/>
    </row>
    <row r="947" spans="1:23" ht="13" x14ac:dyDescent="0.3">
      <c r="A947" s="58"/>
      <c r="B947" s="58"/>
      <c r="C947" s="58"/>
      <c r="D947" s="58"/>
      <c r="E947" s="58"/>
      <c r="F947" s="58"/>
      <c r="G947" s="58"/>
      <c r="H947" s="59"/>
      <c r="I947" s="59"/>
      <c r="J947" s="59"/>
      <c r="K947" s="59"/>
      <c r="L947" s="59"/>
      <c r="M947" s="60"/>
      <c r="N947" s="60"/>
      <c r="O947" s="60"/>
      <c r="P947" s="59"/>
      <c r="Q947" s="59"/>
      <c r="R947" s="60"/>
      <c r="S947" s="60"/>
      <c r="T947" s="60"/>
      <c r="U947" s="60"/>
      <c r="V947" s="60"/>
      <c r="W947" s="60"/>
    </row>
    <row r="948" spans="1:23" ht="13" x14ac:dyDescent="0.3">
      <c r="A948" s="58"/>
      <c r="B948" s="58"/>
      <c r="C948" s="58"/>
      <c r="D948" s="58"/>
      <c r="E948" s="58"/>
      <c r="F948" s="58"/>
      <c r="G948" s="58"/>
      <c r="H948" s="59"/>
      <c r="I948" s="59"/>
      <c r="J948" s="59"/>
      <c r="K948" s="59"/>
      <c r="L948" s="59"/>
      <c r="M948" s="60"/>
      <c r="N948" s="60"/>
      <c r="O948" s="60"/>
      <c r="P948" s="59"/>
      <c r="Q948" s="59"/>
      <c r="R948" s="60"/>
      <c r="S948" s="60"/>
      <c r="T948" s="60"/>
      <c r="U948" s="60"/>
      <c r="V948" s="60"/>
      <c r="W948" s="60"/>
    </row>
    <row r="949" spans="1:23" ht="13" x14ac:dyDescent="0.3">
      <c r="A949" s="58"/>
      <c r="B949" s="58"/>
      <c r="C949" s="58"/>
      <c r="D949" s="58"/>
      <c r="E949" s="58"/>
      <c r="F949" s="58"/>
      <c r="G949" s="58"/>
      <c r="H949" s="59"/>
      <c r="I949" s="59"/>
      <c r="J949" s="59"/>
      <c r="K949" s="59"/>
      <c r="L949" s="59"/>
      <c r="M949" s="60"/>
      <c r="N949" s="60"/>
      <c r="O949" s="60"/>
      <c r="P949" s="59"/>
      <c r="Q949" s="59"/>
      <c r="R949" s="60"/>
      <c r="S949" s="60"/>
      <c r="T949" s="60"/>
      <c r="U949" s="60"/>
      <c r="V949" s="60"/>
      <c r="W949" s="60"/>
    </row>
    <row r="950" spans="1:23" ht="13" x14ac:dyDescent="0.3">
      <c r="A950" s="58"/>
      <c r="B950" s="58"/>
      <c r="C950" s="58"/>
      <c r="D950" s="58"/>
      <c r="E950" s="58"/>
      <c r="F950" s="58"/>
      <c r="G950" s="58"/>
      <c r="H950" s="59"/>
      <c r="I950" s="59"/>
      <c r="J950" s="59"/>
      <c r="K950" s="59"/>
      <c r="L950" s="59"/>
      <c r="M950" s="60"/>
      <c r="N950" s="60"/>
      <c r="O950" s="60"/>
      <c r="P950" s="59"/>
      <c r="Q950" s="59"/>
      <c r="R950" s="60"/>
      <c r="S950" s="60"/>
      <c r="T950" s="60"/>
      <c r="U950" s="60"/>
      <c r="V950" s="60"/>
      <c r="W950" s="60"/>
    </row>
    <row r="951" spans="1:23" ht="13" x14ac:dyDescent="0.3">
      <c r="A951" s="58"/>
      <c r="B951" s="58"/>
      <c r="C951" s="58"/>
      <c r="D951" s="58"/>
      <c r="E951" s="58"/>
      <c r="F951" s="58"/>
      <c r="G951" s="58"/>
      <c r="H951" s="59"/>
      <c r="I951" s="59"/>
      <c r="J951" s="59"/>
      <c r="K951" s="59"/>
      <c r="L951" s="59"/>
      <c r="M951" s="60"/>
      <c r="N951" s="60"/>
      <c r="O951" s="60"/>
      <c r="P951" s="59"/>
      <c r="Q951" s="59"/>
      <c r="R951" s="60"/>
      <c r="S951" s="60"/>
      <c r="T951" s="60"/>
      <c r="U951" s="60"/>
      <c r="V951" s="60"/>
      <c r="W951" s="60"/>
    </row>
    <row r="952" spans="1:23" ht="13" x14ac:dyDescent="0.3">
      <c r="A952" s="58"/>
      <c r="B952" s="58"/>
      <c r="C952" s="58"/>
      <c r="D952" s="58"/>
      <c r="E952" s="58"/>
      <c r="F952" s="58"/>
      <c r="G952" s="58"/>
      <c r="H952" s="59"/>
      <c r="I952" s="59"/>
      <c r="J952" s="59"/>
      <c r="K952" s="59"/>
      <c r="L952" s="59"/>
      <c r="M952" s="60"/>
      <c r="N952" s="60"/>
      <c r="O952" s="60"/>
      <c r="P952" s="59"/>
      <c r="Q952" s="59"/>
      <c r="R952" s="60"/>
      <c r="S952" s="60"/>
      <c r="T952" s="60"/>
      <c r="U952" s="60"/>
      <c r="V952" s="60"/>
      <c r="W952" s="60"/>
    </row>
    <row r="953" spans="1:23" ht="13" x14ac:dyDescent="0.3">
      <c r="A953" s="58"/>
      <c r="B953" s="58"/>
      <c r="C953" s="58"/>
      <c r="D953" s="58"/>
      <c r="E953" s="58"/>
      <c r="F953" s="58"/>
      <c r="G953" s="58"/>
      <c r="H953" s="59"/>
      <c r="I953" s="59"/>
      <c r="J953" s="59"/>
      <c r="K953" s="59"/>
      <c r="L953" s="59"/>
      <c r="M953" s="60"/>
      <c r="N953" s="60"/>
      <c r="O953" s="60"/>
      <c r="P953" s="59"/>
      <c r="Q953" s="59"/>
      <c r="R953" s="60"/>
      <c r="S953" s="60"/>
      <c r="T953" s="60"/>
      <c r="U953" s="60"/>
      <c r="V953" s="60"/>
      <c r="W953" s="60"/>
    </row>
    <row r="954" spans="1:23" ht="13" x14ac:dyDescent="0.3">
      <c r="A954" s="58"/>
      <c r="B954" s="58"/>
      <c r="C954" s="58"/>
      <c r="D954" s="58"/>
      <c r="E954" s="58"/>
      <c r="F954" s="58"/>
      <c r="G954" s="58"/>
      <c r="H954" s="59"/>
      <c r="I954" s="59"/>
      <c r="J954" s="59"/>
      <c r="K954" s="59"/>
      <c r="L954" s="59"/>
      <c r="M954" s="60"/>
      <c r="N954" s="60"/>
      <c r="O954" s="60"/>
      <c r="P954" s="59"/>
      <c r="Q954" s="59"/>
      <c r="R954" s="60"/>
      <c r="S954" s="60"/>
      <c r="T954" s="60"/>
      <c r="U954" s="60"/>
      <c r="V954" s="60"/>
      <c r="W954" s="60"/>
    </row>
    <row r="955" spans="1:23" ht="13" x14ac:dyDescent="0.3">
      <c r="A955" s="58"/>
      <c r="B955" s="58"/>
      <c r="C955" s="58"/>
      <c r="D955" s="58"/>
      <c r="E955" s="58"/>
      <c r="F955" s="58"/>
      <c r="G955" s="58"/>
      <c r="H955" s="59"/>
      <c r="I955" s="59"/>
      <c r="J955" s="59"/>
      <c r="K955" s="59"/>
      <c r="L955" s="59"/>
      <c r="M955" s="60"/>
      <c r="N955" s="60"/>
      <c r="O955" s="60"/>
      <c r="P955" s="59"/>
      <c r="Q955" s="59"/>
      <c r="R955" s="60"/>
      <c r="S955" s="60"/>
      <c r="T955" s="60"/>
      <c r="U955" s="60"/>
      <c r="V955" s="60"/>
      <c r="W955" s="60"/>
    </row>
    <row r="956" spans="1:23" ht="13" x14ac:dyDescent="0.3">
      <c r="A956" s="58"/>
      <c r="B956" s="58"/>
      <c r="C956" s="58"/>
      <c r="D956" s="58"/>
      <c r="E956" s="58"/>
      <c r="F956" s="58"/>
      <c r="G956" s="58"/>
      <c r="H956" s="59"/>
      <c r="I956" s="59"/>
      <c r="J956" s="59"/>
      <c r="K956" s="59"/>
      <c r="L956" s="59"/>
      <c r="M956" s="60"/>
      <c r="N956" s="60"/>
      <c r="O956" s="60"/>
      <c r="P956" s="59"/>
      <c r="Q956" s="59"/>
      <c r="R956" s="60"/>
      <c r="S956" s="60"/>
      <c r="T956" s="60"/>
      <c r="U956" s="60"/>
      <c r="V956" s="60"/>
      <c r="W956" s="60"/>
    </row>
    <row r="957" spans="1:23" ht="13" x14ac:dyDescent="0.3">
      <c r="A957" s="58"/>
      <c r="B957" s="58"/>
      <c r="C957" s="58"/>
      <c r="D957" s="58"/>
      <c r="E957" s="58"/>
      <c r="F957" s="58"/>
      <c r="G957" s="58"/>
      <c r="H957" s="59"/>
      <c r="I957" s="59"/>
      <c r="J957" s="59"/>
      <c r="K957" s="59"/>
      <c r="L957" s="59"/>
      <c r="M957" s="60"/>
      <c r="N957" s="60"/>
      <c r="O957" s="60"/>
      <c r="P957" s="59"/>
      <c r="Q957" s="59"/>
      <c r="R957" s="60"/>
      <c r="S957" s="60"/>
      <c r="T957" s="60"/>
      <c r="U957" s="60"/>
      <c r="V957" s="60"/>
      <c r="W957" s="60"/>
    </row>
    <row r="958" spans="1:23" ht="13" x14ac:dyDescent="0.3">
      <c r="A958" s="58"/>
      <c r="B958" s="58"/>
      <c r="C958" s="58"/>
      <c r="D958" s="58"/>
      <c r="E958" s="58"/>
      <c r="F958" s="58"/>
      <c r="G958" s="58"/>
      <c r="H958" s="59"/>
      <c r="I958" s="59"/>
      <c r="J958" s="59"/>
      <c r="K958" s="59"/>
      <c r="L958" s="59"/>
      <c r="M958" s="60"/>
      <c r="N958" s="60"/>
      <c r="O958" s="60"/>
      <c r="P958" s="59"/>
      <c r="Q958" s="59"/>
      <c r="R958" s="60"/>
      <c r="S958" s="60"/>
      <c r="T958" s="60"/>
      <c r="U958" s="60"/>
      <c r="V958" s="60"/>
      <c r="W958" s="60"/>
    </row>
    <row r="959" spans="1:23" ht="13" x14ac:dyDescent="0.3">
      <c r="A959" s="58"/>
      <c r="B959" s="58"/>
      <c r="C959" s="58"/>
      <c r="D959" s="58"/>
      <c r="E959" s="58"/>
      <c r="F959" s="58"/>
      <c r="G959" s="58"/>
      <c r="H959" s="59"/>
      <c r="I959" s="59"/>
      <c r="J959" s="59"/>
      <c r="K959" s="59"/>
      <c r="L959" s="59"/>
      <c r="M959" s="60"/>
      <c r="N959" s="60"/>
      <c r="O959" s="60"/>
      <c r="P959" s="59"/>
      <c r="Q959" s="59"/>
      <c r="R959" s="60"/>
      <c r="S959" s="60"/>
      <c r="T959" s="60"/>
      <c r="U959" s="60"/>
      <c r="V959" s="60"/>
      <c r="W959" s="60"/>
    </row>
    <row r="960" spans="1:23" ht="13" x14ac:dyDescent="0.3">
      <c r="A960" s="58"/>
      <c r="B960" s="58"/>
      <c r="C960" s="58"/>
      <c r="D960" s="58"/>
      <c r="E960" s="58"/>
      <c r="F960" s="58"/>
      <c r="G960" s="58"/>
      <c r="H960" s="59"/>
      <c r="I960" s="59"/>
      <c r="J960" s="59"/>
      <c r="K960" s="59"/>
      <c r="L960" s="59"/>
      <c r="M960" s="60"/>
      <c r="N960" s="60"/>
      <c r="O960" s="60"/>
      <c r="P960" s="59"/>
      <c r="Q960" s="59"/>
      <c r="R960" s="60"/>
      <c r="S960" s="60"/>
      <c r="T960" s="60"/>
      <c r="U960" s="60"/>
      <c r="V960" s="60"/>
      <c r="W960" s="60"/>
    </row>
    <row r="961" spans="1:23" ht="13" x14ac:dyDescent="0.3">
      <c r="A961" s="58"/>
      <c r="B961" s="58"/>
      <c r="C961" s="58"/>
      <c r="D961" s="58"/>
      <c r="E961" s="58"/>
      <c r="F961" s="58"/>
      <c r="G961" s="58"/>
      <c r="H961" s="59"/>
      <c r="I961" s="59"/>
      <c r="J961" s="59"/>
      <c r="K961" s="59"/>
      <c r="L961" s="59"/>
      <c r="M961" s="60"/>
      <c r="N961" s="60"/>
      <c r="O961" s="60"/>
      <c r="P961" s="59"/>
      <c r="Q961" s="59"/>
      <c r="R961" s="60"/>
      <c r="S961" s="60"/>
      <c r="T961" s="60"/>
      <c r="U961" s="60"/>
      <c r="V961" s="60"/>
      <c r="W961" s="60"/>
    </row>
    <row r="962" spans="1:23" ht="13" x14ac:dyDescent="0.3">
      <c r="A962" s="58"/>
      <c r="B962" s="58"/>
      <c r="C962" s="58"/>
      <c r="D962" s="58"/>
      <c r="E962" s="58"/>
      <c r="F962" s="58"/>
      <c r="G962" s="58"/>
      <c r="H962" s="59"/>
      <c r="I962" s="59"/>
      <c r="J962" s="59"/>
      <c r="K962" s="59"/>
      <c r="L962" s="59"/>
      <c r="M962" s="60"/>
      <c r="N962" s="60"/>
      <c r="O962" s="60"/>
      <c r="P962" s="59"/>
      <c r="Q962" s="59"/>
      <c r="R962" s="60"/>
      <c r="S962" s="60"/>
      <c r="T962" s="60"/>
      <c r="U962" s="60"/>
      <c r="V962" s="60"/>
      <c r="W962" s="60"/>
    </row>
    <row r="963" spans="1:23" ht="13" x14ac:dyDescent="0.3">
      <c r="A963" s="58"/>
      <c r="B963" s="58"/>
      <c r="C963" s="58"/>
      <c r="D963" s="58"/>
      <c r="E963" s="58"/>
      <c r="F963" s="58"/>
      <c r="G963" s="58"/>
      <c r="H963" s="59"/>
      <c r="I963" s="59"/>
      <c r="J963" s="59"/>
      <c r="K963" s="59"/>
      <c r="L963" s="59"/>
      <c r="M963" s="60"/>
      <c r="N963" s="60"/>
      <c r="O963" s="60"/>
      <c r="P963" s="59"/>
      <c r="Q963" s="59"/>
      <c r="R963" s="60"/>
      <c r="S963" s="60"/>
      <c r="T963" s="60"/>
      <c r="U963" s="60"/>
      <c r="V963" s="60"/>
      <c r="W963" s="60"/>
    </row>
    <row r="964" spans="1:23" ht="13" x14ac:dyDescent="0.3">
      <c r="A964" s="58"/>
      <c r="B964" s="58"/>
      <c r="C964" s="58"/>
      <c r="D964" s="58"/>
      <c r="E964" s="58"/>
      <c r="F964" s="58"/>
      <c r="G964" s="58"/>
      <c r="H964" s="59"/>
      <c r="I964" s="59"/>
      <c r="J964" s="59"/>
      <c r="K964" s="59"/>
      <c r="L964" s="59"/>
      <c r="M964" s="60"/>
      <c r="N964" s="60"/>
      <c r="O964" s="60"/>
      <c r="P964" s="59"/>
      <c r="Q964" s="59"/>
      <c r="R964" s="60"/>
      <c r="S964" s="60"/>
      <c r="T964" s="60"/>
      <c r="U964" s="60"/>
      <c r="V964" s="60"/>
      <c r="W964" s="60"/>
    </row>
    <row r="965" spans="1:23" ht="13" x14ac:dyDescent="0.3">
      <c r="A965" s="58"/>
      <c r="B965" s="58"/>
      <c r="C965" s="58"/>
      <c r="D965" s="58"/>
      <c r="E965" s="58"/>
      <c r="F965" s="58"/>
      <c r="G965" s="58"/>
      <c r="H965" s="59"/>
      <c r="I965" s="59"/>
      <c r="J965" s="59"/>
      <c r="K965" s="59"/>
      <c r="L965" s="59"/>
      <c r="M965" s="60"/>
      <c r="N965" s="60"/>
      <c r="O965" s="60"/>
      <c r="P965" s="59"/>
      <c r="Q965" s="59"/>
      <c r="R965" s="60"/>
      <c r="S965" s="60"/>
      <c r="T965" s="60"/>
      <c r="U965" s="60"/>
      <c r="V965" s="60"/>
      <c r="W965" s="60"/>
    </row>
    <row r="966" spans="1:23" ht="13" x14ac:dyDescent="0.3">
      <c r="A966" s="58"/>
      <c r="B966" s="58"/>
      <c r="C966" s="58"/>
      <c r="D966" s="58"/>
      <c r="E966" s="58"/>
      <c r="F966" s="58"/>
      <c r="G966" s="58"/>
      <c r="H966" s="59"/>
      <c r="I966" s="59"/>
      <c r="J966" s="59"/>
      <c r="K966" s="59"/>
      <c r="L966" s="59"/>
      <c r="M966" s="60"/>
      <c r="N966" s="60"/>
      <c r="O966" s="60"/>
      <c r="P966" s="59"/>
      <c r="Q966" s="59"/>
      <c r="R966" s="60"/>
      <c r="S966" s="60"/>
      <c r="T966" s="60"/>
      <c r="U966" s="60"/>
      <c r="V966" s="60"/>
      <c r="W966" s="60"/>
    </row>
    <row r="967" spans="1:23" ht="13" x14ac:dyDescent="0.3">
      <c r="A967" s="58"/>
      <c r="B967" s="58"/>
      <c r="C967" s="58"/>
      <c r="D967" s="58"/>
      <c r="E967" s="58"/>
      <c r="F967" s="58"/>
      <c r="G967" s="58"/>
      <c r="H967" s="59"/>
      <c r="I967" s="59"/>
      <c r="J967" s="59"/>
      <c r="K967" s="59"/>
      <c r="L967" s="59"/>
      <c r="M967" s="60"/>
      <c r="N967" s="60"/>
      <c r="O967" s="60"/>
      <c r="P967" s="59"/>
      <c r="Q967" s="59"/>
      <c r="R967" s="60"/>
      <c r="S967" s="60"/>
      <c r="T967" s="60"/>
      <c r="U967" s="60"/>
      <c r="V967" s="60"/>
      <c r="W967" s="60"/>
    </row>
    <row r="968" spans="1:23" ht="13" x14ac:dyDescent="0.3">
      <c r="A968" s="58"/>
      <c r="B968" s="58"/>
      <c r="C968" s="58"/>
      <c r="D968" s="58"/>
      <c r="E968" s="58"/>
      <c r="F968" s="58"/>
      <c r="G968" s="58"/>
      <c r="H968" s="59"/>
      <c r="I968" s="59"/>
      <c r="J968" s="59"/>
      <c r="K968" s="59"/>
      <c r="L968" s="59"/>
      <c r="M968" s="60"/>
      <c r="N968" s="60"/>
      <c r="O968" s="60"/>
      <c r="P968" s="59"/>
      <c r="Q968" s="59"/>
      <c r="R968" s="60"/>
      <c r="S968" s="60"/>
      <c r="T968" s="60"/>
      <c r="U968" s="60"/>
      <c r="V968" s="60"/>
      <c r="W968" s="60"/>
    </row>
    <row r="969" spans="1:23" ht="13" x14ac:dyDescent="0.3">
      <c r="A969" s="58"/>
      <c r="B969" s="58"/>
      <c r="C969" s="58"/>
      <c r="D969" s="58"/>
      <c r="E969" s="58"/>
      <c r="F969" s="58"/>
      <c r="G969" s="58"/>
      <c r="H969" s="59"/>
      <c r="I969" s="59"/>
      <c r="J969" s="59"/>
      <c r="K969" s="59"/>
      <c r="L969" s="59"/>
      <c r="M969" s="60"/>
      <c r="N969" s="60"/>
      <c r="O969" s="60"/>
      <c r="P969" s="59"/>
      <c r="Q969" s="59"/>
      <c r="R969" s="60"/>
      <c r="S969" s="60"/>
      <c r="T969" s="60"/>
      <c r="U969" s="60"/>
      <c r="V969" s="60"/>
      <c r="W969" s="60"/>
    </row>
    <row r="970" spans="1:23" ht="13" x14ac:dyDescent="0.3">
      <c r="A970" s="58"/>
      <c r="B970" s="58"/>
      <c r="C970" s="58"/>
      <c r="D970" s="58"/>
      <c r="E970" s="58"/>
      <c r="F970" s="58"/>
      <c r="G970" s="58"/>
      <c r="H970" s="59"/>
      <c r="I970" s="59"/>
      <c r="J970" s="59"/>
      <c r="K970" s="59"/>
      <c r="L970" s="59"/>
      <c r="M970" s="60"/>
      <c r="N970" s="60"/>
      <c r="O970" s="60"/>
      <c r="P970" s="59"/>
      <c r="Q970" s="59"/>
      <c r="R970" s="60"/>
      <c r="S970" s="60"/>
      <c r="T970" s="60"/>
      <c r="U970" s="60"/>
      <c r="V970" s="60"/>
      <c r="W970" s="60"/>
    </row>
    <row r="971" spans="1:23" ht="13" x14ac:dyDescent="0.3">
      <c r="A971" s="58"/>
      <c r="B971" s="58"/>
      <c r="C971" s="58"/>
      <c r="D971" s="58"/>
      <c r="E971" s="58"/>
      <c r="F971" s="58"/>
      <c r="G971" s="58"/>
      <c r="H971" s="59"/>
      <c r="I971" s="59"/>
      <c r="J971" s="59"/>
      <c r="K971" s="59"/>
      <c r="L971" s="59"/>
      <c r="M971" s="60"/>
      <c r="N971" s="60"/>
      <c r="O971" s="60"/>
      <c r="P971" s="59"/>
      <c r="Q971" s="59"/>
      <c r="R971" s="60"/>
      <c r="S971" s="60"/>
      <c r="T971" s="60"/>
      <c r="U971" s="60"/>
      <c r="V971" s="60"/>
      <c r="W971" s="60"/>
    </row>
    <row r="972" spans="1:23" ht="13" x14ac:dyDescent="0.3">
      <c r="A972" s="58"/>
      <c r="B972" s="58"/>
      <c r="C972" s="58"/>
      <c r="D972" s="58"/>
      <c r="E972" s="58"/>
      <c r="F972" s="58"/>
      <c r="G972" s="58"/>
      <c r="H972" s="59"/>
      <c r="I972" s="59"/>
      <c r="J972" s="59"/>
      <c r="K972" s="59"/>
      <c r="L972" s="59"/>
      <c r="M972" s="60"/>
      <c r="N972" s="60"/>
      <c r="O972" s="60"/>
      <c r="P972" s="59"/>
      <c r="Q972" s="59"/>
      <c r="R972" s="60"/>
      <c r="S972" s="60"/>
      <c r="T972" s="60"/>
      <c r="U972" s="60"/>
      <c r="V972" s="60"/>
      <c r="W972" s="60"/>
    </row>
    <row r="973" spans="1:23" ht="13" x14ac:dyDescent="0.3">
      <c r="A973" s="58"/>
      <c r="B973" s="58"/>
      <c r="C973" s="58"/>
      <c r="D973" s="58"/>
      <c r="E973" s="58"/>
      <c r="F973" s="58"/>
      <c r="G973" s="58"/>
      <c r="H973" s="59"/>
      <c r="I973" s="59"/>
      <c r="J973" s="59"/>
      <c r="K973" s="59"/>
      <c r="L973" s="59"/>
      <c r="M973" s="60"/>
      <c r="N973" s="60"/>
      <c r="O973" s="60"/>
      <c r="P973" s="59"/>
      <c r="Q973" s="59"/>
      <c r="R973" s="60"/>
      <c r="S973" s="60"/>
      <c r="T973" s="60"/>
      <c r="U973" s="60"/>
      <c r="V973" s="60"/>
      <c r="W973" s="60"/>
    </row>
    <row r="974" spans="1:23" ht="13" x14ac:dyDescent="0.3">
      <c r="A974" s="58"/>
      <c r="B974" s="58"/>
      <c r="C974" s="58"/>
      <c r="D974" s="58"/>
      <c r="E974" s="58"/>
      <c r="F974" s="58"/>
      <c r="G974" s="58"/>
      <c r="H974" s="59"/>
      <c r="I974" s="59"/>
      <c r="J974" s="59"/>
      <c r="K974" s="59"/>
      <c r="L974" s="59"/>
      <c r="M974" s="60"/>
      <c r="N974" s="60"/>
      <c r="O974" s="60"/>
      <c r="P974" s="59"/>
      <c r="Q974" s="59"/>
      <c r="R974" s="60"/>
      <c r="S974" s="60"/>
      <c r="T974" s="60"/>
      <c r="U974" s="60"/>
      <c r="V974" s="60"/>
      <c r="W974" s="60"/>
    </row>
    <row r="975" spans="1:23" ht="13" x14ac:dyDescent="0.3">
      <c r="A975" s="58"/>
      <c r="B975" s="58"/>
      <c r="C975" s="58"/>
      <c r="D975" s="58"/>
      <c r="E975" s="58"/>
      <c r="F975" s="58"/>
      <c r="G975" s="58"/>
      <c r="H975" s="59"/>
      <c r="I975" s="59"/>
      <c r="J975" s="59"/>
      <c r="K975" s="59"/>
      <c r="L975" s="59"/>
      <c r="M975" s="60"/>
      <c r="N975" s="60"/>
      <c r="O975" s="60"/>
      <c r="P975" s="59"/>
      <c r="Q975" s="59"/>
      <c r="R975" s="60"/>
      <c r="S975" s="60"/>
      <c r="T975" s="60"/>
      <c r="U975" s="60"/>
      <c r="V975" s="60"/>
      <c r="W975" s="60"/>
    </row>
    <row r="976" spans="1:23" ht="13" x14ac:dyDescent="0.3">
      <c r="A976" s="58"/>
      <c r="B976" s="58"/>
      <c r="C976" s="58"/>
      <c r="D976" s="58"/>
      <c r="E976" s="58"/>
      <c r="F976" s="58"/>
      <c r="G976" s="58"/>
      <c r="H976" s="59"/>
      <c r="I976" s="59"/>
      <c r="J976" s="59"/>
      <c r="K976" s="59"/>
      <c r="L976" s="59"/>
      <c r="M976" s="60"/>
      <c r="N976" s="60"/>
      <c r="O976" s="60"/>
      <c r="P976" s="59"/>
      <c r="Q976" s="59"/>
      <c r="R976" s="60"/>
      <c r="S976" s="60"/>
      <c r="T976" s="60"/>
      <c r="U976" s="60"/>
      <c r="V976" s="60"/>
      <c r="W976" s="60"/>
    </row>
    <row r="977" spans="1:23" ht="13" x14ac:dyDescent="0.3">
      <c r="A977" s="58"/>
      <c r="B977" s="58"/>
      <c r="C977" s="58"/>
      <c r="D977" s="58"/>
      <c r="E977" s="58"/>
      <c r="F977" s="58"/>
      <c r="G977" s="58"/>
      <c r="H977" s="59"/>
      <c r="I977" s="59"/>
      <c r="J977" s="59"/>
      <c r="K977" s="59"/>
      <c r="L977" s="59"/>
      <c r="M977" s="60"/>
      <c r="N977" s="60"/>
      <c r="O977" s="60"/>
      <c r="P977" s="59"/>
      <c r="Q977" s="59"/>
      <c r="R977" s="60"/>
      <c r="S977" s="60"/>
      <c r="T977" s="60"/>
      <c r="U977" s="60"/>
      <c r="V977" s="60"/>
      <c r="W977" s="60"/>
    </row>
    <row r="978" spans="1:23" ht="13" x14ac:dyDescent="0.3">
      <c r="A978" s="58"/>
      <c r="B978" s="58"/>
      <c r="C978" s="58"/>
      <c r="D978" s="58"/>
      <c r="E978" s="58"/>
      <c r="F978" s="58"/>
      <c r="G978" s="58"/>
      <c r="H978" s="59"/>
      <c r="I978" s="59"/>
      <c r="J978" s="59"/>
      <c r="K978" s="59"/>
      <c r="L978" s="59"/>
      <c r="M978" s="60"/>
      <c r="N978" s="60"/>
      <c r="O978" s="60"/>
      <c r="P978" s="59"/>
      <c r="Q978" s="59"/>
      <c r="R978" s="60"/>
      <c r="S978" s="60"/>
      <c r="T978" s="60"/>
      <c r="U978" s="60"/>
      <c r="V978" s="60"/>
      <c r="W978" s="60"/>
    </row>
    <row r="979" spans="1:23" ht="13" x14ac:dyDescent="0.3">
      <c r="A979" s="58"/>
      <c r="B979" s="58"/>
      <c r="C979" s="58"/>
      <c r="D979" s="58"/>
      <c r="E979" s="58"/>
      <c r="F979" s="58"/>
      <c r="G979" s="58"/>
      <c r="H979" s="59"/>
      <c r="I979" s="59"/>
      <c r="J979" s="59"/>
      <c r="K979" s="59"/>
      <c r="L979" s="59"/>
      <c r="M979" s="60"/>
      <c r="N979" s="60"/>
      <c r="O979" s="60"/>
      <c r="P979" s="59"/>
      <c r="Q979" s="59"/>
      <c r="R979" s="60"/>
      <c r="S979" s="60"/>
      <c r="T979" s="60"/>
      <c r="U979" s="60"/>
      <c r="V979" s="60"/>
      <c r="W979" s="60"/>
    </row>
    <row r="980" spans="1:23" ht="13" x14ac:dyDescent="0.3">
      <c r="A980" s="58"/>
      <c r="B980" s="58"/>
      <c r="C980" s="58"/>
      <c r="D980" s="58"/>
      <c r="E980" s="58"/>
      <c r="F980" s="58"/>
      <c r="G980" s="58"/>
      <c r="H980" s="59"/>
      <c r="I980" s="59"/>
      <c r="J980" s="59"/>
      <c r="K980" s="59"/>
      <c r="L980" s="59"/>
      <c r="M980" s="60"/>
      <c r="N980" s="60"/>
      <c r="O980" s="60"/>
      <c r="P980" s="59"/>
      <c r="Q980" s="59"/>
      <c r="R980" s="60"/>
      <c r="S980" s="60"/>
      <c r="T980" s="60"/>
      <c r="U980" s="60"/>
      <c r="V980" s="60"/>
      <c r="W980" s="60"/>
    </row>
    <row r="981" spans="1:23" ht="13" x14ac:dyDescent="0.3">
      <c r="A981" s="58"/>
      <c r="B981" s="58"/>
      <c r="C981" s="58"/>
      <c r="D981" s="58"/>
      <c r="E981" s="58"/>
      <c r="F981" s="58"/>
      <c r="G981" s="58"/>
      <c r="H981" s="59"/>
      <c r="I981" s="59"/>
      <c r="J981" s="59"/>
      <c r="K981" s="59"/>
      <c r="L981" s="59"/>
      <c r="M981" s="60"/>
      <c r="N981" s="60"/>
      <c r="O981" s="60"/>
      <c r="P981" s="59"/>
      <c r="Q981" s="59"/>
      <c r="R981" s="60"/>
      <c r="S981" s="60"/>
      <c r="T981" s="60"/>
      <c r="U981" s="60"/>
      <c r="V981" s="60"/>
      <c r="W981" s="60"/>
    </row>
    <row r="982" spans="1:23" ht="13" x14ac:dyDescent="0.3">
      <c r="A982" s="58"/>
      <c r="B982" s="58"/>
      <c r="C982" s="58"/>
      <c r="D982" s="58"/>
      <c r="E982" s="58"/>
      <c r="F982" s="58"/>
      <c r="G982" s="58"/>
      <c r="H982" s="59"/>
      <c r="I982" s="59"/>
      <c r="J982" s="59"/>
      <c r="K982" s="59"/>
      <c r="L982" s="59"/>
      <c r="M982" s="60"/>
      <c r="N982" s="60"/>
      <c r="O982" s="60"/>
      <c r="P982" s="59"/>
      <c r="Q982" s="59"/>
      <c r="R982" s="60"/>
      <c r="S982" s="60"/>
      <c r="T982" s="60"/>
      <c r="U982" s="60"/>
      <c r="V982" s="60"/>
      <c r="W982" s="60"/>
    </row>
    <row r="983" spans="1:23" ht="13" x14ac:dyDescent="0.3">
      <c r="A983" s="58"/>
      <c r="B983" s="58"/>
      <c r="C983" s="58"/>
      <c r="D983" s="58"/>
      <c r="E983" s="58"/>
      <c r="F983" s="58"/>
      <c r="G983" s="58"/>
      <c r="H983" s="59"/>
      <c r="I983" s="59"/>
      <c r="J983" s="59"/>
      <c r="K983" s="59"/>
      <c r="L983" s="59"/>
      <c r="M983" s="60"/>
      <c r="N983" s="60"/>
      <c r="O983" s="60"/>
      <c r="P983" s="59"/>
      <c r="Q983" s="59"/>
      <c r="R983" s="60"/>
      <c r="S983" s="60"/>
      <c r="T983" s="60"/>
      <c r="U983" s="60"/>
      <c r="V983" s="60"/>
      <c r="W983" s="60"/>
    </row>
    <row r="984" spans="1:23" ht="13" x14ac:dyDescent="0.3">
      <c r="A984" s="58"/>
      <c r="B984" s="58"/>
      <c r="C984" s="58"/>
      <c r="D984" s="58"/>
      <c r="E984" s="58"/>
      <c r="F984" s="58"/>
      <c r="G984" s="58"/>
      <c r="H984" s="59"/>
      <c r="I984" s="59"/>
      <c r="J984" s="59"/>
      <c r="K984" s="59"/>
      <c r="L984" s="59"/>
      <c r="M984" s="60"/>
      <c r="N984" s="60"/>
      <c r="O984" s="60"/>
      <c r="P984" s="59"/>
      <c r="Q984" s="59"/>
      <c r="R984" s="60"/>
      <c r="S984" s="60"/>
      <c r="T984" s="60"/>
      <c r="U984" s="60"/>
      <c r="V984" s="60"/>
      <c r="W984" s="60"/>
    </row>
    <row r="985" spans="1:23" ht="13" x14ac:dyDescent="0.3">
      <c r="A985" s="58"/>
      <c r="B985" s="58"/>
      <c r="C985" s="58"/>
      <c r="D985" s="58"/>
      <c r="E985" s="58"/>
      <c r="F985" s="58"/>
      <c r="G985" s="58"/>
      <c r="H985" s="59"/>
      <c r="I985" s="59"/>
      <c r="J985" s="59"/>
      <c r="K985" s="59"/>
      <c r="L985" s="59"/>
      <c r="M985" s="60"/>
      <c r="N985" s="60"/>
      <c r="O985" s="60"/>
      <c r="P985" s="59"/>
      <c r="Q985" s="59"/>
      <c r="R985" s="60"/>
      <c r="S985" s="60"/>
      <c r="T985" s="60"/>
      <c r="U985" s="60"/>
      <c r="V985" s="60"/>
      <c r="W985" s="60"/>
    </row>
    <row r="986" spans="1:23" ht="13" x14ac:dyDescent="0.3">
      <c r="A986" s="58"/>
      <c r="B986" s="58"/>
      <c r="C986" s="58"/>
      <c r="D986" s="58"/>
      <c r="E986" s="58"/>
      <c r="F986" s="58"/>
      <c r="G986" s="58"/>
      <c r="H986" s="59"/>
      <c r="I986" s="59"/>
      <c r="J986" s="59"/>
      <c r="K986" s="59"/>
      <c r="L986" s="59"/>
      <c r="M986" s="60"/>
      <c r="N986" s="60"/>
      <c r="O986" s="60"/>
      <c r="P986" s="59"/>
      <c r="Q986" s="59"/>
      <c r="R986" s="60"/>
      <c r="S986" s="60"/>
      <c r="T986" s="60"/>
      <c r="U986" s="60"/>
      <c r="V986" s="60"/>
      <c r="W986" s="60"/>
    </row>
    <row r="987" spans="1:23" ht="13" x14ac:dyDescent="0.3">
      <c r="A987" s="58"/>
      <c r="B987" s="58"/>
      <c r="C987" s="58"/>
      <c r="D987" s="58"/>
      <c r="E987" s="58"/>
      <c r="F987" s="58"/>
      <c r="G987" s="58"/>
      <c r="H987" s="59"/>
      <c r="I987" s="59"/>
      <c r="J987" s="59"/>
      <c r="K987" s="59"/>
      <c r="L987" s="59"/>
      <c r="M987" s="60"/>
      <c r="N987" s="60"/>
      <c r="O987" s="60"/>
      <c r="P987" s="59"/>
      <c r="Q987" s="59"/>
      <c r="R987" s="60"/>
      <c r="S987" s="60"/>
      <c r="T987" s="60"/>
      <c r="U987" s="60"/>
      <c r="V987" s="60"/>
      <c r="W987" s="60"/>
    </row>
    <row r="988" spans="1:23" ht="13" x14ac:dyDescent="0.3">
      <c r="A988" s="58"/>
      <c r="B988" s="58"/>
      <c r="C988" s="58"/>
      <c r="D988" s="58"/>
      <c r="E988" s="58"/>
      <c r="F988" s="58"/>
      <c r="G988" s="58"/>
      <c r="H988" s="59"/>
      <c r="I988" s="59"/>
      <c r="J988" s="59"/>
      <c r="K988" s="59"/>
      <c r="L988" s="59"/>
      <c r="M988" s="60"/>
      <c r="N988" s="60"/>
      <c r="O988" s="60"/>
      <c r="P988" s="59"/>
      <c r="Q988" s="59"/>
      <c r="R988" s="60"/>
      <c r="S988" s="60"/>
      <c r="T988" s="60"/>
      <c r="U988" s="60"/>
      <c r="V988" s="60"/>
      <c r="W988" s="60"/>
    </row>
    <row r="989" spans="1:23" ht="13" x14ac:dyDescent="0.3">
      <c r="A989" s="58"/>
      <c r="B989" s="58"/>
      <c r="C989" s="58"/>
      <c r="D989" s="58"/>
      <c r="E989" s="58"/>
      <c r="F989" s="58"/>
      <c r="G989" s="58"/>
      <c r="H989" s="59"/>
      <c r="I989" s="59"/>
      <c r="J989" s="59"/>
      <c r="K989" s="59"/>
      <c r="L989" s="59"/>
      <c r="M989" s="60"/>
      <c r="N989" s="60"/>
      <c r="O989" s="60"/>
      <c r="P989" s="59"/>
      <c r="Q989" s="59"/>
      <c r="R989" s="60"/>
      <c r="S989" s="60"/>
      <c r="T989" s="60"/>
      <c r="U989" s="60"/>
      <c r="V989" s="60"/>
      <c r="W989" s="60"/>
    </row>
    <row r="990" spans="1:23" ht="13" x14ac:dyDescent="0.3">
      <c r="A990" s="58"/>
      <c r="B990" s="58"/>
      <c r="C990" s="58"/>
      <c r="D990" s="58"/>
      <c r="E990" s="58"/>
      <c r="F990" s="58"/>
      <c r="G990" s="58"/>
      <c r="H990" s="59"/>
      <c r="I990" s="59"/>
      <c r="J990" s="59"/>
      <c r="K990" s="59"/>
      <c r="L990" s="59"/>
      <c r="M990" s="60"/>
      <c r="N990" s="60"/>
      <c r="O990" s="60"/>
      <c r="P990" s="59"/>
      <c r="Q990" s="59"/>
      <c r="R990" s="60"/>
      <c r="S990" s="60"/>
      <c r="T990" s="60"/>
      <c r="U990" s="60"/>
      <c r="V990" s="60"/>
      <c r="W990" s="60"/>
    </row>
    <row r="991" spans="1:23" ht="13" x14ac:dyDescent="0.3">
      <c r="A991" s="58"/>
      <c r="B991" s="58"/>
      <c r="C991" s="58"/>
      <c r="D991" s="58"/>
      <c r="E991" s="58"/>
      <c r="F991" s="58"/>
      <c r="G991" s="58"/>
      <c r="H991" s="59"/>
      <c r="I991" s="59"/>
      <c r="J991" s="59"/>
      <c r="K991" s="59"/>
      <c r="L991" s="59"/>
      <c r="M991" s="60"/>
      <c r="N991" s="60"/>
      <c r="O991" s="60"/>
      <c r="P991" s="59"/>
      <c r="Q991" s="59"/>
      <c r="R991" s="60"/>
      <c r="S991" s="60"/>
      <c r="T991" s="60"/>
      <c r="U991" s="60"/>
      <c r="V991" s="60"/>
      <c r="W991" s="60"/>
    </row>
    <row r="992" spans="1:23" ht="13" x14ac:dyDescent="0.3">
      <c r="A992" s="58"/>
      <c r="B992" s="58"/>
      <c r="C992" s="58"/>
      <c r="D992" s="58"/>
      <c r="E992" s="58"/>
      <c r="F992" s="58"/>
      <c r="G992" s="58"/>
      <c r="H992" s="59"/>
      <c r="I992" s="59"/>
      <c r="J992" s="59"/>
      <c r="K992" s="59"/>
      <c r="L992" s="59"/>
      <c r="M992" s="60"/>
      <c r="N992" s="60"/>
      <c r="O992" s="60"/>
      <c r="P992" s="59"/>
      <c r="Q992" s="59"/>
      <c r="R992" s="60"/>
      <c r="S992" s="60"/>
      <c r="T992" s="60"/>
      <c r="U992" s="60"/>
      <c r="V992" s="60"/>
      <c r="W992" s="60"/>
    </row>
    <row r="993" spans="1:23" ht="13" x14ac:dyDescent="0.3">
      <c r="A993" s="58"/>
      <c r="B993" s="58"/>
      <c r="C993" s="58"/>
      <c r="D993" s="58"/>
      <c r="E993" s="58"/>
      <c r="F993" s="58"/>
      <c r="G993" s="58"/>
      <c r="H993" s="59"/>
      <c r="I993" s="59"/>
      <c r="J993" s="59"/>
      <c r="K993" s="59"/>
      <c r="L993" s="59"/>
      <c r="M993" s="60"/>
      <c r="N993" s="60"/>
      <c r="O993" s="60"/>
      <c r="P993" s="59"/>
      <c r="Q993" s="59"/>
      <c r="R993" s="60"/>
      <c r="S993" s="60"/>
      <c r="T993" s="60"/>
      <c r="U993" s="60"/>
      <c r="V993" s="60"/>
      <c r="W993" s="60"/>
    </row>
    <row r="994" spans="1:23" ht="13" x14ac:dyDescent="0.3">
      <c r="A994" s="58"/>
      <c r="B994" s="58"/>
      <c r="C994" s="58"/>
      <c r="D994" s="58"/>
      <c r="E994" s="58"/>
      <c r="F994" s="58"/>
      <c r="G994" s="58"/>
      <c r="H994" s="59"/>
      <c r="I994" s="59"/>
      <c r="J994" s="59"/>
      <c r="K994" s="59"/>
      <c r="L994" s="59"/>
      <c r="M994" s="60"/>
      <c r="N994" s="60"/>
      <c r="O994" s="60"/>
      <c r="P994" s="59"/>
      <c r="Q994" s="59"/>
      <c r="R994" s="60"/>
      <c r="S994" s="60"/>
      <c r="T994" s="60"/>
      <c r="U994" s="60"/>
      <c r="V994" s="60"/>
      <c r="W994" s="60"/>
    </row>
    <row r="995" spans="1:23" ht="13" x14ac:dyDescent="0.3">
      <c r="A995" s="58"/>
      <c r="B995" s="58"/>
      <c r="C995" s="58"/>
      <c r="D995" s="58"/>
      <c r="E995" s="58"/>
      <c r="F995" s="58"/>
      <c r="G995" s="58"/>
      <c r="H995" s="59"/>
      <c r="I995" s="59"/>
      <c r="J995" s="59"/>
      <c r="K995" s="59"/>
      <c r="L995" s="59"/>
      <c r="M995" s="60"/>
      <c r="N995" s="60"/>
      <c r="O995" s="60"/>
      <c r="P995" s="59"/>
      <c r="Q995" s="59"/>
      <c r="R995" s="60"/>
      <c r="S995" s="60"/>
      <c r="T995" s="60"/>
      <c r="U995" s="60"/>
      <c r="V995" s="60"/>
      <c r="W995" s="60"/>
    </row>
    <row r="996" spans="1:23" ht="13" x14ac:dyDescent="0.3">
      <c r="A996" s="58"/>
      <c r="B996" s="58"/>
      <c r="C996" s="58"/>
      <c r="D996" s="58"/>
      <c r="E996" s="58"/>
      <c r="F996" s="58"/>
      <c r="G996" s="58"/>
      <c r="H996" s="59"/>
      <c r="I996" s="59"/>
      <c r="J996" s="59"/>
      <c r="K996" s="59"/>
      <c r="L996" s="59"/>
      <c r="M996" s="60"/>
      <c r="N996" s="60"/>
      <c r="O996" s="60"/>
      <c r="P996" s="59"/>
      <c r="Q996" s="59"/>
      <c r="R996" s="60"/>
      <c r="S996" s="60"/>
      <c r="T996" s="60"/>
      <c r="U996" s="60"/>
      <c r="V996" s="60"/>
      <c r="W996" s="60"/>
    </row>
    <row r="997" spans="1:23" ht="13" x14ac:dyDescent="0.3">
      <c r="A997" s="58"/>
      <c r="B997" s="58"/>
      <c r="C997" s="58"/>
      <c r="D997" s="58"/>
      <c r="E997" s="58"/>
      <c r="F997" s="58"/>
      <c r="G997" s="58"/>
      <c r="H997" s="59"/>
      <c r="I997" s="59"/>
      <c r="J997" s="59"/>
      <c r="K997" s="59"/>
      <c r="L997" s="59"/>
      <c r="M997" s="60"/>
      <c r="N997" s="60"/>
      <c r="O997" s="60"/>
      <c r="P997" s="59"/>
      <c r="Q997" s="59"/>
      <c r="R997" s="60"/>
      <c r="S997" s="60"/>
      <c r="T997" s="60"/>
      <c r="U997" s="60"/>
      <c r="V997" s="60"/>
      <c r="W997" s="60"/>
    </row>
    <row r="998" spans="1:23" ht="13" x14ac:dyDescent="0.3">
      <c r="A998" s="58"/>
      <c r="B998" s="58"/>
      <c r="C998" s="58"/>
      <c r="D998" s="58"/>
      <c r="E998" s="58"/>
      <c r="F998" s="58"/>
      <c r="G998" s="58"/>
      <c r="H998" s="59"/>
      <c r="I998" s="59"/>
      <c r="J998" s="59"/>
      <c r="K998" s="59"/>
      <c r="L998" s="59"/>
      <c r="M998" s="60"/>
      <c r="N998" s="60"/>
      <c r="O998" s="60"/>
      <c r="P998" s="59"/>
      <c r="Q998" s="59"/>
      <c r="R998" s="60"/>
      <c r="S998" s="60"/>
      <c r="T998" s="60"/>
      <c r="U998" s="60"/>
      <c r="V998" s="60"/>
      <c r="W998" s="60"/>
    </row>
    <row r="999" spans="1:23" ht="13" x14ac:dyDescent="0.3">
      <c r="A999" s="58"/>
      <c r="B999" s="58"/>
      <c r="C999" s="58"/>
      <c r="D999" s="58"/>
      <c r="E999" s="58"/>
      <c r="F999" s="58"/>
      <c r="G999" s="58"/>
      <c r="H999" s="59"/>
      <c r="I999" s="59"/>
      <c r="J999" s="59"/>
      <c r="K999" s="59"/>
      <c r="L999" s="59"/>
      <c r="M999" s="60"/>
      <c r="N999" s="60"/>
      <c r="O999" s="60"/>
      <c r="P999" s="59"/>
      <c r="Q999" s="59"/>
      <c r="R999" s="60"/>
      <c r="S999" s="60"/>
      <c r="T999" s="60"/>
      <c r="U999" s="60"/>
      <c r="V999" s="60"/>
      <c r="W999" s="60"/>
    </row>
    <row r="1000" spans="1:23" ht="13" x14ac:dyDescent="0.3">
      <c r="A1000" s="58"/>
      <c r="B1000" s="58"/>
      <c r="C1000" s="58"/>
      <c r="D1000" s="58"/>
      <c r="E1000" s="58"/>
      <c r="F1000" s="58"/>
      <c r="G1000" s="58"/>
      <c r="H1000" s="59"/>
      <c r="I1000" s="59"/>
      <c r="J1000" s="59"/>
      <c r="K1000" s="59"/>
      <c r="L1000" s="59"/>
      <c r="M1000" s="60"/>
      <c r="N1000" s="60"/>
      <c r="O1000" s="60"/>
      <c r="P1000" s="59"/>
      <c r="Q1000" s="59"/>
      <c r="R1000" s="60"/>
      <c r="S1000" s="60"/>
      <c r="T1000" s="60"/>
      <c r="U1000" s="60"/>
      <c r="V1000" s="60"/>
      <c r="W1000" s="60"/>
    </row>
    <row r="1001" spans="1:23" ht="13" x14ac:dyDescent="0.3">
      <c r="A1001" s="58"/>
      <c r="B1001" s="58"/>
      <c r="C1001" s="58"/>
      <c r="D1001" s="58"/>
      <c r="E1001" s="58"/>
      <c r="F1001" s="58"/>
      <c r="G1001" s="58"/>
      <c r="H1001" s="59"/>
      <c r="I1001" s="59"/>
      <c r="J1001" s="59"/>
      <c r="K1001" s="59"/>
      <c r="L1001" s="59"/>
      <c r="M1001" s="60"/>
      <c r="N1001" s="60"/>
      <c r="O1001" s="60"/>
      <c r="P1001" s="59"/>
      <c r="Q1001" s="59"/>
      <c r="R1001" s="60"/>
      <c r="S1001" s="60"/>
      <c r="T1001" s="60"/>
      <c r="U1001" s="60"/>
      <c r="V1001" s="60"/>
      <c r="W1001" s="60"/>
    </row>
    <row r="1002" spans="1:23" ht="13" x14ac:dyDescent="0.3">
      <c r="A1002" s="58"/>
      <c r="B1002" s="58"/>
      <c r="C1002" s="58"/>
      <c r="D1002" s="58"/>
      <c r="E1002" s="58"/>
      <c r="F1002" s="58"/>
      <c r="G1002" s="58"/>
      <c r="H1002" s="59"/>
      <c r="I1002" s="59"/>
      <c r="J1002" s="59"/>
      <c r="K1002" s="59"/>
      <c r="L1002" s="59"/>
      <c r="M1002" s="60"/>
      <c r="N1002" s="60"/>
      <c r="O1002" s="60"/>
      <c r="P1002" s="59"/>
      <c r="Q1002" s="59"/>
      <c r="R1002" s="60"/>
      <c r="S1002" s="60"/>
      <c r="T1002" s="60"/>
      <c r="U1002" s="60"/>
      <c r="V1002" s="60"/>
      <c r="W1002" s="60"/>
    </row>
    <row r="1003" spans="1:23" ht="13" x14ac:dyDescent="0.3">
      <c r="A1003" s="58"/>
      <c r="B1003" s="58"/>
      <c r="C1003" s="58"/>
      <c r="D1003" s="58"/>
      <c r="E1003" s="58"/>
      <c r="F1003" s="58"/>
      <c r="G1003" s="58"/>
      <c r="H1003" s="59"/>
      <c r="I1003" s="59"/>
      <c r="J1003" s="59"/>
      <c r="K1003" s="59"/>
      <c r="L1003" s="59"/>
      <c r="M1003" s="60"/>
      <c r="N1003" s="60"/>
      <c r="O1003" s="60"/>
      <c r="P1003" s="59"/>
      <c r="Q1003" s="59"/>
      <c r="R1003" s="60"/>
      <c r="S1003" s="60"/>
      <c r="T1003" s="60"/>
      <c r="U1003" s="60"/>
      <c r="V1003" s="60"/>
      <c r="W1003" s="60"/>
    </row>
    <row r="1004" spans="1:23" ht="13" x14ac:dyDescent="0.3">
      <c r="A1004" s="58"/>
      <c r="B1004" s="58"/>
      <c r="C1004" s="58"/>
      <c r="D1004" s="58"/>
      <c r="E1004" s="58"/>
      <c r="F1004" s="58"/>
      <c r="G1004" s="58"/>
      <c r="H1004" s="59"/>
      <c r="I1004" s="59"/>
      <c r="J1004" s="59"/>
      <c r="K1004" s="59"/>
      <c r="L1004" s="59"/>
      <c r="M1004" s="60"/>
      <c r="N1004" s="60"/>
      <c r="O1004" s="60"/>
      <c r="P1004" s="59"/>
      <c r="Q1004" s="59"/>
      <c r="R1004" s="60"/>
      <c r="S1004" s="60"/>
      <c r="T1004" s="60"/>
      <c r="U1004" s="60"/>
      <c r="V1004" s="60"/>
      <c r="W1004" s="60"/>
    </row>
    <row r="1005" spans="1:23" ht="13" x14ac:dyDescent="0.3">
      <c r="A1005" s="58"/>
      <c r="B1005" s="58"/>
      <c r="C1005" s="58"/>
      <c r="D1005" s="58"/>
      <c r="E1005" s="58"/>
      <c r="F1005" s="58"/>
      <c r="G1005" s="58"/>
      <c r="H1005" s="59"/>
      <c r="I1005" s="59"/>
      <c r="J1005" s="59"/>
      <c r="K1005" s="59"/>
      <c r="L1005" s="59"/>
      <c r="M1005" s="60"/>
      <c r="N1005" s="60"/>
      <c r="O1005" s="60"/>
      <c r="P1005" s="59"/>
      <c r="Q1005" s="59"/>
      <c r="R1005" s="60"/>
      <c r="S1005" s="60"/>
      <c r="T1005" s="60"/>
      <c r="U1005" s="60"/>
      <c r="V1005" s="60"/>
      <c r="W1005" s="60"/>
    </row>
    <row r="1006" spans="1:23" ht="13" x14ac:dyDescent="0.3">
      <c r="A1006" s="58"/>
      <c r="B1006" s="58"/>
      <c r="C1006" s="58"/>
      <c r="D1006" s="58"/>
      <c r="E1006" s="58"/>
      <c r="F1006" s="58"/>
      <c r="G1006" s="58"/>
      <c r="H1006" s="59"/>
      <c r="I1006" s="59"/>
      <c r="J1006" s="59"/>
      <c r="K1006" s="59"/>
      <c r="L1006" s="59"/>
      <c r="M1006" s="60"/>
      <c r="N1006" s="60"/>
      <c r="O1006" s="60"/>
      <c r="P1006" s="59"/>
      <c r="Q1006" s="59"/>
      <c r="R1006" s="60"/>
      <c r="S1006" s="60"/>
      <c r="T1006" s="60"/>
      <c r="U1006" s="60"/>
      <c r="V1006" s="60"/>
      <c r="W1006" s="60"/>
    </row>
    <row r="1007" spans="1:23" ht="13" x14ac:dyDescent="0.3">
      <c r="A1007" s="58"/>
      <c r="B1007" s="58"/>
      <c r="C1007" s="58"/>
      <c r="D1007" s="58"/>
      <c r="E1007" s="58"/>
      <c r="F1007" s="58"/>
      <c r="G1007" s="58"/>
      <c r="H1007" s="59"/>
      <c r="I1007" s="59"/>
      <c r="J1007" s="59"/>
      <c r="K1007" s="59"/>
      <c r="L1007" s="59"/>
      <c r="M1007" s="60"/>
      <c r="N1007" s="60"/>
      <c r="O1007" s="60"/>
      <c r="P1007" s="59"/>
      <c r="Q1007" s="59"/>
      <c r="R1007" s="60"/>
      <c r="S1007" s="60"/>
      <c r="T1007" s="60"/>
      <c r="U1007" s="60"/>
      <c r="V1007" s="60"/>
      <c r="W1007" s="60"/>
    </row>
    <row r="1008" spans="1:23" ht="13" x14ac:dyDescent="0.3">
      <c r="A1008" s="58"/>
      <c r="B1008" s="58"/>
      <c r="C1008" s="58"/>
      <c r="D1008" s="58"/>
      <c r="E1008" s="58"/>
      <c r="F1008" s="58"/>
      <c r="G1008" s="58"/>
      <c r="H1008" s="59"/>
      <c r="I1008" s="59"/>
      <c r="J1008" s="59"/>
      <c r="K1008" s="59"/>
      <c r="L1008" s="59"/>
      <c r="M1008" s="60"/>
      <c r="N1008" s="60"/>
      <c r="O1008" s="60"/>
      <c r="P1008" s="59"/>
      <c r="Q1008" s="59"/>
      <c r="R1008" s="60"/>
      <c r="S1008" s="60"/>
      <c r="T1008" s="60"/>
      <c r="U1008" s="60"/>
      <c r="V1008" s="60"/>
      <c r="W1008" s="60"/>
    </row>
    <row r="1009" spans="1:23" ht="13" x14ac:dyDescent="0.3">
      <c r="A1009" s="58"/>
      <c r="B1009" s="58"/>
      <c r="C1009" s="58"/>
      <c r="D1009" s="58"/>
      <c r="E1009" s="58"/>
      <c r="F1009" s="58"/>
      <c r="G1009" s="58"/>
      <c r="H1009" s="59"/>
      <c r="I1009" s="59"/>
      <c r="J1009" s="59"/>
      <c r="K1009" s="59"/>
      <c r="L1009" s="59"/>
      <c r="M1009" s="60"/>
      <c r="N1009" s="60"/>
      <c r="O1009" s="60"/>
      <c r="P1009" s="59"/>
      <c r="Q1009" s="59"/>
      <c r="R1009" s="60"/>
      <c r="S1009" s="60"/>
      <c r="T1009" s="60"/>
      <c r="U1009" s="60"/>
      <c r="V1009" s="60"/>
      <c r="W1009" s="60"/>
    </row>
    <row r="1010" spans="1:23" ht="13" x14ac:dyDescent="0.3">
      <c r="A1010" s="58"/>
      <c r="B1010" s="58"/>
      <c r="C1010" s="58"/>
      <c r="D1010" s="58"/>
      <c r="E1010" s="58"/>
      <c r="F1010" s="58"/>
      <c r="G1010" s="58"/>
      <c r="H1010" s="59"/>
      <c r="I1010" s="59"/>
      <c r="J1010" s="59"/>
      <c r="K1010" s="59"/>
      <c r="L1010" s="59"/>
      <c r="M1010" s="60"/>
      <c r="N1010" s="60"/>
      <c r="O1010" s="60"/>
      <c r="P1010" s="59"/>
      <c r="Q1010" s="59"/>
      <c r="R1010" s="60"/>
      <c r="S1010" s="60"/>
      <c r="T1010" s="60"/>
      <c r="U1010" s="60"/>
      <c r="V1010" s="60"/>
      <c r="W1010" s="60"/>
    </row>
    <row r="1011" spans="1:23" ht="13" x14ac:dyDescent="0.3">
      <c r="A1011" s="58"/>
      <c r="B1011" s="58"/>
      <c r="C1011" s="58"/>
      <c r="D1011" s="58"/>
      <c r="E1011" s="58"/>
      <c r="F1011" s="58"/>
      <c r="G1011" s="58"/>
      <c r="H1011" s="59"/>
      <c r="I1011" s="59"/>
      <c r="J1011" s="59"/>
      <c r="K1011" s="59"/>
      <c r="L1011" s="59"/>
      <c r="M1011" s="60"/>
      <c r="N1011" s="60"/>
      <c r="O1011" s="60"/>
      <c r="P1011" s="59"/>
      <c r="Q1011" s="59"/>
      <c r="R1011" s="60"/>
      <c r="S1011" s="60"/>
      <c r="T1011" s="60"/>
      <c r="U1011" s="60"/>
      <c r="V1011" s="60"/>
      <c r="W1011" s="60"/>
    </row>
    <row r="1012" spans="1:23" ht="13" x14ac:dyDescent="0.3">
      <c r="A1012" s="58"/>
      <c r="B1012" s="58"/>
      <c r="C1012" s="58"/>
      <c r="D1012" s="58"/>
      <c r="E1012" s="58"/>
      <c r="F1012" s="58"/>
      <c r="G1012" s="58"/>
      <c r="H1012" s="59"/>
      <c r="I1012" s="59"/>
      <c r="J1012" s="59"/>
      <c r="K1012" s="59"/>
      <c r="L1012" s="59"/>
      <c r="M1012" s="60"/>
      <c r="N1012" s="60"/>
      <c r="O1012" s="60"/>
      <c r="P1012" s="59"/>
      <c r="Q1012" s="59"/>
      <c r="R1012" s="60"/>
      <c r="S1012" s="60"/>
      <c r="T1012" s="60"/>
      <c r="U1012" s="60"/>
      <c r="V1012" s="60"/>
      <c r="W1012" s="60"/>
    </row>
    <row r="1013" spans="1:23" ht="13" x14ac:dyDescent="0.3">
      <c r="A1013" s="58"/>
      <c r="B1013" s="58"/>
      <c r="C1013" s="58"/>
      <c r="D1013" s="58"/>
      <c r="E1013" s="58"/>
      <c r="F1013" s="58"/>
      <c r="G1013" s="58"/>
      <c r="H1013" s="59"/>
      <c r="I1013" s="59"/>
      <c r="J1013" s="59"/>
      <c r="K1013" s="59"/>
      <c r="L1013" s="59"/>
      <c r="M1013" s="60"/>
      <c r="N1013" s="60"/>
      <c r="O1013" s="60"/>
      <c r="P1013" s="59"/>
      <c r="Q1013" s="59"/>
      <c r="R1013" s="60"/>
      <c r="S1013" s="60"/>
      <c r="T1013" s="60"/>
      <c r="U1013" s="60"/>
      <c r="V1013" s="60"/>
      <c r="W1013" s="60"/>
    </row>
    <row r="1014" spans="1:23" ht="13" x14ac:dyDescent="0.3">
      <c r="A1014" s="58"/>
      <c r="B1014" s="58"/>
      <c r="C1014" s="58"/>
      <c r="D1014" s="58"/>
      <c r="E1014" s="58"/>
      <c r="F1014" s="58"/>
      <c r="G1014" s="58"/>
      <c r="H1014" s="59"/>
      <c r="I1014" s="59"/>
      <c r="J1014" s="59"/>
      <c r="K1014" s="59"/>
      <c r="L1014" s="59"/>
      <c r="M1014" s="60"/>
      <c r="N1014" s="60"/>
      <c r="O1014" s="60"/>
      <c r="P1014" s="59"/>
      <c r="Q1014" s="59"/>
      <c r="R1014" s="60"/>
      <c r="S1014" s="60"/>
      <c r="T1014" s="60"/>
      <c r="U1014" s="60"/>
      <c r="V1014" s="60"/>
      <c r="W1014" s="60"/>
    </row>
    <row r="1015" spans="1:23" ht="13" x14ac:dyDescent="0.3">
      <c r="A1015" s="58"/>
      <c r="B1015" s="58"/>
      <c r="C1015" s="58"/>
      <c r="D1015" s="58"/>
      <c r="E1015" s="58"/>
      <c r="F1015" s="58"/>
      <c r="G1015" s="58"/>
      <c r="H1015" s="59"/>
      <c r="I1015" s="59"/>
      <c r="J1015" s="59"/>
      <c r="K1015" s="59"/>
      <c r="L1015" s="59"/>
      <c r="M1015" s="60"/>
      <c r="N1015" s="60"/>
      <c r="O1015" s="60"/>
      <c r="P1015" s="59"/>
      <c r="Q1015" s="59"/>
      <c r="R1015" s="60"/>
      <c r="S1015" s="60"/>
      <c r="T1015" s="60"/>
      <c r="U1015" s="60"/>
      <c r="V1015" s="60"/>
      <c r="W1015" s="60"/>
    </row>
    <row r="1016" spans="1:23" ht="13" x14ac:dyDescent="0.3">
      <c r="A1016" s="58"/>
      <c r="B1016" s="58"/>
      <c r="C1016" s="58"/>
      <c r="D1016" s="58"/>
      <c r="E1016" s="58"/>
      <c r="F1016" s="58"/>
      <c r="G1016" s="58"/>
      <c r="H1016" s="59"/>
      <c r="I1016" s="59"/>
      <c r="J1016" s="59"/>
      <c r="K1016" s="59"/>
      <c r="L1016" s="59"/>
      <c r="M1016" s="60"/>
      <c r="N1016" s="60"/>
      <c r="O1016" s="60"/>
      <c r="P1016" s="59"/>
      <c r="Q1016" s="59"/>
      <c r="R1016" s="60"/>
      <c r="S1016" s="60"/>
      <c r="T1016" s="60"/>
      <c r="U1016" s="60"/>
      <c r="V1016" s="60"/>
      <c r="W1016" s="60"/>
    </row>
    <row r="1017" spans="1:23" ht="13" x14ac:dyDescent="0.3">
      <c r="A1017" s="58"/>
      <c r="B1017" s="58"/>
      <c r="C1017" s="58"/>
      <c r="D1017" s="58"/>
      <c r="E1017" s="58"/>
      <c r="F1017" s="58"/>
      <c r="G1017" s="58"/>
      <c r="H1017" s="59"/>
      <c r="I1017" s="59"/>
      <c r="J1017" s="59"/>
      <c r="K1017" s="59"/>
      <c r="L1017" s="59"/>
      <c r="M1017" s="60"/>
      <c r="N1017" s="60"/>
      <c r="O1017" s="60"/>
      <c r="P1017" s="59"/>
      <c r="Q1017" s="59"/>
      <c r="R1017" s="60"/>
      <c r="S1017" s="60"/>
      <c r="T1017" s="60"/>
      <c r="U1017" s="60"/>
      <c r="V1017" s="60"/>
      <c r="W1017" s="60"/>
    </row>
    <row r="1018" spans="1:23" ht="13" x14ac:dyDescent="0.3">
      <c r="A1018" s="58"/>
      <c r="B1018" s="58"/>
      <c r="C1018" s="58"/>
      <c r="D1018" s="58"/>
      <c r="E1018" s="58"/>
      <c r="F1018" s="58"/>
      <c r="G1018" s="58"/>
      <c r="H1018" s="59"/>
      <c r="I1018" s="59"/>
      <c r="J1018" s="59"/>
      <c r="K1018" s="59"/>
      <c r="L1018" s="59"/>
      <c r="M1018" s="60"/>
      <c r="N1018" s="60"/>
      <c r="O1018" s="60"/>
      <c r="P1018" s="59"/>
      <c r="Q1018" s="59"/>
      <c r="R1018" s="60"/>
      <c r="S1018" s="60"/>
      <c r="T1018" s="60"/>
      <c r="U1018" s="60"/>
      <c r="V1018" s="60"/>
      <c r="W1018" s="60"/>
    </row>
    <row r="1019" spans="1:23" ht="13" x14ac:dyDescent="0.3">
      <c r="A1019" s="58"/>
      <c r="B1019" s="58"/>
      <c r="C1019" s="58"/>
      <c r="D1019" s="58"/>
      <c r="E1019" s="58"/>
      <c r="F1019" s="58"/>
      <c r="G1019" s="58"/>
      <c r="H1019" s="59"/>
      <c r="I1019" s="59"/>
      <c r="J1019" s="59"/>
      <c r="K1019" s="59"/>
      <c r="L1019" s="59"/>
      <c r="M1019" s="60"/>
      <c r="N1019" s="60"/>
      <c r="O1019" s="60"/>
      <c r="P1019" s="59"/>
      <c r="Q1019" s="59"/>
      <c r="R1019" s="60"/>
      <c r="S1019" s="60"/>
      <c r="T1019" s="60"/>
      <c r="U1019" s="60"/>
      <c r="V1019" s="60"/>
      <c r="W1019" s="60"/>
    </row>
    <row r="1020" spans="1:23" ht="13" x14ac:dyDescent="0.3">
      <c r="A1020" s="58"/>
      <c r="B1020" s="58"/>
      <c r="C1020" s="58"/>
      <c r="D1020" s="58"/>
      <c r="E1020" s="58"/>
      <c r="F1020" s="58"/>
      <c r="G1020" s="58"/>
      <c r="H1020" s="59"/>
      <c r="I1020" s="59"/>
      <c r="J1020" s="59"/>
      <c r="K1020" s="59"/>
      <c r="L1020" s="59"/>
      <c r="M1020" s="60"/>
      <c r="N1020" s="60"/>
      <c r="O1020" s="60"/>
      <c r="P1020" s="59"/>
      <c r="Q1020" s="59"/>
      <c r="R1020" s="60"/>
      <c r="S1020" s="60"/>
      <c r="T1020" s="60"/>
      <c r="U1020" s="60"/>
      <c r="V1020" s="60"/>
      <c r="W1020" s="60"/>
    </row>
    <row r="1021" spans="1:23" ht="13" x14ac:dyDescent="0.3">
      <c r="A1021" s="58"/>
      <c r="B1021" s="58"/>
      <c r="C1021" s="58"/>
      <c r="D1021" s="58"/>
      <c r="E1021" s="58"/>
      <c r="F1021" s="58"/>
      <c r="G1021" s="58"/>
      <c r="H1021" s="59"/>
      <c r="I1021" s="59"/>
      <c r="J1021" s="59"/>
      <c r="K1021" s="59"/>
      <c r="L1021" s="59"/>
      <c r="M1021" s="60"/>
      <c r="N1021" s="60"/>
      <c r="O1021" s="60"/>
      <c r="P1021" s="59"/>
      <c r="Q1021" s="59"/>
      <c r="R1021" s="60"/>
      <c r="S1021" s="60"/>
      <c r="T1021" s="60"/>
      <c r="U1021" s="60"/>
      <c r="V1021" s="60"/>
      <c r="W1021" s="60"/>
    </row>
    <row r="1022" spans="1:23" ht="13" x14ac:dyDescent="0.3">
      <c r="A1022" s="58"/>
      <c r="B1022" s="58"/>
      <c r="C1022" s="58"/>
      <c r="D1022" s="58"/>
      <c r="E1022" s="58"/>
      <c r="F1022" s="58"/>
      <c r="G1022" s="58"/>
      <c r="H1022" s="59"/>
      <c r="I1022" s="59"/>
      <c r="J1022" s="59"/>
      <c r="K1022" s="59"/>
      <c r="L1022" s="59"/>
      <c r="M1022" s="60"/>
      <c r="N1022" s="60"/>
      <c r="O1022" s="60"/>
      <c r="P1022" s="59"/>
      <c r="Q1022" s="59"/>
      <c r="R1022" s="60"/>
      <c r="S1022" s="60"/>
      <c r="T1022" s="60"/>
      <c r="U1022" s="60"/>
      <c r="V1022" s="60"/>
      <c r="W1022" s="60"/>
    </row>
    <row r="1023" spans="1:23" ht="13" x14ac:dyDescent="0.3">
      <c r="A1023" s="58"/>
      <c r="B1023" s="58"/>
      <c r="C1023" s="58"/>
      <c r="D1023" s="58"/>
      <c r="E1023" s="58"/>
      <c r="F1023" s="58"/>
      <c r="G1023" s="58"/>
      <c r="H1023" s="59"/>
      <c r="I1023" s="59"/>
      <c r="J1023" s="59"/>
      <c r="K1023" s="59"/>
      <c r="L1023" s="59"/>
      <c r="M1023" s="60"/>
      <c r="N1023" s="60"/>
      <c r="O1023" s="60"/>
      <c r="P1023" s="59"/>
      <c r="Q1023" s="59"/>
      <c r="R1023" s="60"/>
      <c r="S1023" s="60"/>
      <c r="T1023" s="60"/>
      <c r="U1023" s="60"/>
      <c r="V1023" s="60"/>
      <c r="W1023" s="60"/>
    </row>
    <row r="1024" spans="1:23" ht="13" x14ac:dyDescent="0.3">
      <c r="A1024" s="58"/>
      <c r="B1024" s="58"/>
      <c r="C1024" s="58"/>
      <c r="D1024" s="58"/>
      <c r="E1024" s="58"/>
      <c r="F1024" s="58"/>
      <c r="G1024" s="58"/>
      <c r="H1024" s="59"/>
      <c r="I1024" s="59"/>
      <c r="J1024" s="59"/>
      <c r="K1024" s="59"/>
      <c r="L1024" s="59"/>
      <c r="M1024" s="60"/>
      <c r="N1024" s="60"/>
      <c r="O1024" s="60"/>
      <c r="P1024" s="59"/>
      <c r="Q1024" s="59"/>
      <c r="R1024" s="60"/>
      <c r="S1024" s="60"/>
      <c r="T1024" s="60"/>
      <c r="U1024" s="60"/>
      <c r="V1024" s="60"/>
      <c r="W1024" s="60"/>
    </row>
    <row r="1025" spans="1:23" ht="13" x14ac:dyDescent="0.3">
      <c r="A1025" s="58"/>
      <c r="B1025" s="58"/>
      <c r="C1025" s="58"/>
      <c r="D1025" s="58"/>
      <c r="E1025" s="58"/>
      <c r="F1025" s="58"/>
      <c r="G1025" s="58"/>
      <c r="H1025" s="59"/>
      <c r="I1025" s="59"/>
      <c r="J1025" s="59"/>
      <c r="K1025" s="59"/>
      <c r="L1025" s="59"/>
      <c r="M1025" s="60"/>
      <c r="N1025" s="60"/>
      <c r="O1025" s="60"/>
      <c r="P1025" s="59"/>
      <c r="Q1025" s="59"/>
      <c r="R1025" s="60"/>
      <c r="S1025" s="60"/>
      <c r="T1025" s="60"/>
      <c r="U1025" s="60"/>
      <c r="V1025" s="60"/>
      <c r="W1025" s="60"/>
    </row>
    <row r="1026" spans="1:23" ht="13" x14ac:dyDescent="0.3">
      <c r="A1026" s="58"/>
      <c r="B1026" s="58"/>
      <c r="C1026" s="58"/>
      <c r="D1026" s="58"/>
      <c r="E1026" s="58"/>
      <c r="F1026" s="58"/>
      <c r="G1026" s="58"/>
      <c r="H1026" s="59"/>
      <c r="I1026" s="59"/>
      <c r="J1026" s="59"/>
      <c r="K1026" s="59"/>
      <c r="L1026" s="59"/>
      <c r="M1026" s="60"/>
      <c r="N1026" s="60"/>
      <c r="O1026" s="60"/>
      <c r="P1026" s="59"/>
      <c r="Q1026" s="59"/>
      <c r="R1026" s="60"/>
      <c r="S1026" s="60"/>
      <c r="T1026" s="60"/>
      <c r="U1026" s="60"/>
      <c r="V1026" s="60"/>
      <c r="W1026" s="60"/>
    </row>
    <row r="1027" spans="1:23" ht="13" x14ac:dyDescent="0.3">
      <c r="A1027" s="58"/>
      <c r="B1027" s="58"/>
      <c r="C1027" s="58"/>
      <c r="D1027" s="58"/>
      <c r="E1027" s="58"/>
      <c r="F1027" s="58"/>
      <c r="G1027" s="58"/>
      <c r="H1027" s="59"/>
      <c r="I1027" s="59"/>
      <c r="J1027" s="59"/>
      <c r="K1027" s="59"/>
      <c r="L1027" s="59"/>
      <c r="M1027" s="60"/>
      <c r="N1027" s="60"/>
      <c r="O1027" s="60"/>
      <c r="P1027" s="59"/>
      <c r="Q1027" s="59"/>
      <c r="R1027" s="60"/>
      <c r="S1027" s="60"/>
      <c r="T1027" s="60"/>
      <c r="U1027" s="60"/>
      <c r="V1027" s="60"/>
      <c r="W1027" s="60"/>
    </row>
    <row r="1028" spans="1:23" ht="13" x14ac:dyDescent="0.3">
      <c r="A1028" s="58"/>
      <c r="B1028" s="58"/>
      <c r="C1028" s="58"/>
      <c r="D1028" s="58"/>
      <c r="E1028" s="58"/>
      <c r="F1028" s="58"/>
      <c r="G1028" s="58"/>
      <c r="H1028" s="59"/>
      <c r="I1028" s="59"/>
      <c r="J1028" s="59"/>
      <c r="K1028" s="59"/>
      <c r="L1028" s="59"/>
      <c r="M1028" s="60"/>
      <c r="N1028" s="60"/>
      <c r="O1028" s="60"/>
      <c r="P1028" s="59"/>
      <c r="Q1028" s="59"/>
      <c r="R1028" s="60"/>
      <c r="S1028" s="60"/>
      <c r="T1028" s="60"/>
      <c r="U1028" s="60"/>
      <c r="V1028" s="60"/>
      <c r="W1028" s="60"/>
    </row>
    <row r="1029" spans="1:23" ht="13" x14ac:dyDescent="0.3">
      <c r="A1029" s="58"/>
      <c r="B1029" s="58"/>
      <c r="C1029" s="58"/>
      <c r="D1029" s="58"/>
      <c r="E1029" s="58"/>
      <c r="F1029" s="58"/>
      <c r="G1029" s="58"/>
      <c r="H1029" s="59"/>
      <c r="I1029" s="59"/>
      <c r="J1029" s="59"/>
      <c r="K1029" s="59"/>
      <c r="L1029" s="59"/>
      <c r="M1029" s="60"/>
      <c r="N1029" s="60"/>
      <c r="O1029" s="60"/>
      <c r="P1029" s="59"/>
      <c r="Q1029" s="59"/>
      <c r="R1029" s="60"/>
      <c r="S1029" s="60"/>
      <c r="T1029" s="60"/>
      <c r="U1029" s="60"/>
      <c r="V1029" s="60"/>
      <c r="W1029" s="60"/>
    </row>
    <row r="1030" spans="1:23" ht="13" x14ac:dyDescent="0.3">
      <c r="A1030" s="58"/>
      <c r="B1030" s="58"/>
      <c r="C1030" s="58"/>
      <c r="D1030" s="58"/>
      <c r="E1030" s="58"/>
      <c r="F1030" s="58"/>
      <c r="G1030" s="58"/>
      <c r="H1030" s="59"/>
      <c r="I1030" s="59"/>
      <c r="J1030" s="59"/>
      <c r="K1030" s="59"/>
      <c r="L1030" s="59"/>
      <c r="M1030" s="60"/>
      <c r="N1030" s="60"/>
      <c r="O1030" s="60"/>
      <c r="P1030" s="59"/>
      <c r="Q1030" s="59"/>
      <c r="R1030" s="60"/>
      <c r="S1030" s="60"/>
      <c r="T1030" s="60"/>
      <c r="U1030" s="60"/>
      <c r="V1030" s="60"/>
      <c r="W1030" s="60"/>
    </row>
    <row r="1031" spans="1:23" ht="13" x14ac:dyDescent="0.3">
      <c r="A1031" s="58"/>
      <c r="B1031" s="58"/>
      <c r="C1031" s="58"/>
      <c r="D1031" s="58"/>
      <c r="E1031" s="58"/>
      <c r="F1031" s="58"/>
      <c r="G1031" s="58"/>
      <c r="H1031" s="59"/>
      <c r="I1031" s="59"/>
      <c r="J1031" s="59"/>
      <c r="K1031" s="59"/>
      <c r="L1031" s="59"/>
      <c r="M1031" s="60"/>
      <c r="N1031" s="60"/>
      <c r="O1031" s="60"/>
      <c r="P1031" s="59"/>
      <c r="Q1031" s="59"/>
      <c r="R1031" s="60"/>
      <c r="S1031" s="60"/>
      <c r="T1031" s="60"/>
      <c r="U1031" s="60"/>
      <c r="V1031" s="60"/>
      <c r="W1031" s="60"/>
    </row>
    <row r="1032" spans="1:23" ht="13" x14ac:dyDescent="0.3">
      <c r="A1032" s="58"/>
      <c r="B1032" s="58"/>
      <c r="C1032" s="58"/>
      <c r="D1032" s="58"/>
      <c r="E1032" s="58"/>
      <c r="F1032" s="58"/>
      <c r="G1032" s="58"/>
      <c r="H1032" s="59"/>
      <c r="I1032" s="59"/>
      <c r="J1032" s="59"/>
      <c r="K1032" s="59"/>
      <c r="L1032" s="59"/>
      <c r="M1032" s="60"/>
      <c r="N1032" s="60"/>
      <c r="O1032" s="60"/>
      <c r="P1032" s="59"/>
      <c r="Q1032" s="59"/>
      <c r="R1032" s="60"/>
      <c r="S1032" s="60"/>
      <c r="T1032" s="60"/>
      <c r="U1032" s="60"/>
      <c r="V1032" s="60"/>
      <c r="W1032" s="60"/>
    </row>
    <row r="1033" spans="1:23" ht="13" x14ac:dyDescent="0.3">
      <c r="A1033" s="58"/>
      <c r="B1033" s="58"/>
      <c r="C1033" s="58"/>
      <c r="D1033" s="58"/>
      <c r="E1033" s="58"/>
      <c r="F1033" s="58"/>
      <c r="G1033" s="58"/>
      <c r="H1033" s="59"/>
      <c r="I1033" s="59"/>
      <c r="J1033" s="59"/>
      <c r="K1033" s="59"/>
      <c r="L1033" s="59"/>
      <c r="M1033" s="60"/>
      <c r="N1033" s="60"/>
      <c r="O1033" s="60"/>
      <c r="P1033" s="59"/>
      <c r="Q1033" s="59"/>
      <c r="R1033" s="60"/>
      <c r="S1033" s="60"/>
      <c r="T1033" s="60"/>
      <c r="U1033" s="60"/>
      <c r="V1033" s="60"/>
      <c r="W1033" s="60"/>
    </row>
    <row r="1034" spans="1:23" ht="13" x14ac:dyDescent="0.3">
      <c r="A1034" s="58"/>
      <c r="B1034" s="58"/>
      <c r="C1034" s="58"/>
      <c r="D1034" s="58"/>
      <c r="E1034" s="58"/>
      <c r="F1034" s="58"/>
      <c r="G1034" s="58"/>
      <c r="H1034" s="59"/>
      <c r="I1034" s="59"/>
      <c r="J1034" s="59"/>
      <c r="K1034" s="59"/>
      <c r="L1034" s="59"/>
      <c r="M1034" s="60"/>
      <c r="N1034" s="60"/>
      <c r="O1034" s="60"/>
      <c r="P1034" s="59"/>
      <c r="Q1034" s="59"/>
      <c r="R1034" s="60"/>
      <c r="S1034" s="60"/>
      <c r="T1034" s="60"/>
      <c r="U1034" s="60"/>
      <c r="V1034" s="60"/>
      <c r="W1034" s="60"/>
    </row>
    <row r="1035" spans="1:23" ht="13" x14ac:dyDescent="0.3">
      <c r="A1035" s="58"/>
      <c r="B1035" s="58"/>
      <c r="C1035" s="58"/>
      <c r="D1035" s="58"/>
      <c r="E1035" s="58"/>
      <c r="F1035" s="58"/>
      <c r="G1035" s="58"/>
      <c r="H1035" s="59"/>
      <c r="I1035" s="59"/>
      <c r="J1035" s="59"/>
      <c r="K1035" s="59"/>
      <c r="L1035" s="59"/>
      <c r="M1035" s="60"/>
      <c r="N1035" s="60"/>
      <c r="O1035" s="60"/>
      <c r="P1035" s="59"/>
      <c r="Q1035" s="59"/>
      <c r="R1035" s="60"/>
      <c r="S1035" s="60"/>
      <c r="T1035" s="60"/>
      <c r="U1035" s="60"/>
      <c r="V1035" s="60"/>
      <c r="W1035" s="60"/>
    </row>
    <row r="1036" spans="1:23" ht="13" x14ac:dyDescent="0.3">
      <c r="A1036" s="58"/>
      <c r="B1036" s="58"/>
      <c r="C1036" s="58"/>
      <c r="D1036" s="58"/>
      <c r="E1036" s="58"/>
      <c r="F1036" s="58"/>
      <c r="G1036" s="58"/>
      <c r="H1036" s="59"/>
      <c r="I1036" s="59"/>
      <c r="J1036" s="59"/>
      <c r="K1036" s="59"/>
      <c r="L1036" s="59"/>
      <c r="M1036" s="60"/>
      <c r="N1036" s="60"/>
      <c r="O1036" s="60"/>
      <c r="P1036" s="59"/>
      <c r="Q1036" s="59"/>
      <c r="R1036" s="60"/>
      <c r="S1036" s="60"/>
      <c r="T1036" s="60"/>
      <c r="U1036" s="60"/>
      <c r="V1036" s="60"/>
      <c r="W1036" s="60"/>
    </row>
    <row r="1037" spans="1:23" ht="13" x14ac:dyDescent="0.3">
      <c r="A1037" s="58"/>
      <c r="B1037" s="58"/>
      <c r="C1037" s="58"/>
      <c r="D1037" s="58"/>
      <c r="E1037" s="58"/>
      <c r="F1037" s="58"/>
      <c r="G1037" s="58"/>
      <c r="H1037" s="59"/>
      <c r="I1037" s="59"/>
      <c r="J1037" s="59"/>
      <c r="K1037" s="59"/>
      <c r="L1037" s="59"/>
      <c r="M1037" s="60"/>
      <c r="N1037" s="60"/>
      <c r="O1037" s="60"/>
      <c r="P1037" s="59"/>
      <c r="Q1037" s="59"/>
      <c r="R1037" s="60"/>
      <c r="S1037" s="60"/>
      <c r="T1037" s="60"/>
      <c r="U1037" s="60"/>
      <c r="V1037" s="60"/>
      <c r="W1037" s="60"/>
    </row>
    <row r="1038" spans="1:23" ht="13" x14ac:dyDescent="0.3">
      <c r="A1038" s="58"/>
      <c r="B1038" s="58"/>
      <c r="C1038" s="58"/>
      <c r="D1038" s="58"/>
      <c r="E1038" s="58"/>
      <c r="F1038" s="58"/>
      <c r="G1038" s="58"/>
      <c r="H1038" s="59"/>
      <c r="I1038" s="59"/>
      <c r="J1038" s="59"/>
      <c r="K1038" s="59"/>
      <c r="L1038" s="59"/>
      <c r="M1038" s="60"/>
      <c r="N1038" s="60"/>
      <c r="O1038" s="60"/>
      <c r="P1038" s="59"/>
      <c r="Q1038" s="59"/>
      <c r="R1038" s="60"/>
      <c r="S1038" s="60"/>
      <c r="T1038" s="60"/>
      <c r="U1038" s="60"/>
      <c r="V1038" s="60"/>
      <c r="W1038" s="60"/>
    </row>
    <row r="1039" spans="1:23" ht="13" x14ac:dyDescent="0.3">
      <c r="A1039" s="58"/>
      <c r="B1039" s="58"/>
      <c r="C1039" s="58"/>
      <c r="D1039" s="58"/>
      <c r="E1039" s="58"/>
      <c r="F1039" s="58"/>
      <c r="G1039" s="58"/>
      <c r="H1039" s="59"/>
      <c r="I1039" s="59"/>
      <c r="J1039" s="59"/>
      <c r="K1039" s="59"/>
      <c r="L1039" s="59"/>
      <c r="M1039" s="60"/>
      <c r="N1039" s="60"/>
      <c r="O1039" s="60"/>
      <c r="P1039" s="59"/>
      <c r="Q1039" s="59"/>
      <c r="R1039" s="60"/>
      <c r="S1039" s="60"/>
      <c r="T1039" s="60"/>
      <c r="U1039" s="60"/>
      <c r="V1039" s="60"/>
      <c r="W1039" s="60"/>
    </row>
    <row r="1040" spans="1:23" ht="13" x14ac:dyDescent="0.3">
      <c r="A1040" s="58"/>
      <c r="B1040" s="58"/>
      <c r="C1040" s="58"/>
      <c r="D1040" s="58"/>
      <c r="E1040" s="58"/>
      <c r="F1040" s="58"/>
      <c r="G1040" s="58"/>
      <c r="H1040" s="59"/>
      <c r="I1040" s="59"/>
      <c r="J1040" s="59"/>
      <c r="K1040" s="59"/>
      <c r="L1040" s="59"/>
      <c r="M1040" s="60"/>
      <c r="N1040" s="60"/>
      <c r="O1040" s="60"/>
      <c r="P1040" s="59"/>
      <c r="Q1040" s="59"/>
      <c r="R1040" s="60"/>
      <c r="S1040" s="60"/>
      <c r="T1040" s="60"/>
      <c r="U1040" s="60"/>
      <c r="V1040" s="60"/>
      <c r="W1040" s="60"/>
    </row>
    <row r="1041" spans="1:23" ht="13" x14ac:dyDescent="0.3">
      <c r="A1041" s="58"/>
      <c r="B1041" s="58"/>
      <c r="C1041" s="58"/>
      <c r="D1041" s="58"/>
      <c r="E1041" s="58"/>
      <c r="F1041" s="58"/>
      <c r="G1041" s="58"/>
      <c r="H1041" s="59"/>
      <c r="I1041" s="59"/>
      <c r="J1041" s="59"/>
      <c r="K1041" s="59"/>
      <c r="L1041" s="59"/>
      <c r="M1041" s="60"/>
      <c r="N1041" s="60"/>
      <c r="O1041" s="60"/>
      <c r="P1041" s="59"/>
      <c r="Q1041" s="59"/>
      <c r="R1041" s="60"/>
      <c r="S1041" s="60"/>
      <c r="T1041" s="60"/>
      <c r="U1041" s="60"/>
      <c r="V1041" s="60"/>
      <c r="W1041" s="60"/>
    </row>
    <row r="1042" spans="1:23" ht="13" x14ac:dyDescent="0.3">
      <c r="A1042" s="58"/>
      <c r="B1042" s="58"/>
      <c r="C1042" s="58"/>
      <c r="D1042" s="58"/>
      <c r="E1042" s="58"/>
      <c r="F1042" s="58"/>
      <c r="G1042" s="58"/>
      <c r="H1042" s="59"/>
      <c r="I1042" s="59"/>
      <c r="J1042" s="59"/>
      <c r="K1042" s="59"/>
      <c r="L1042" s="59"/>
      <c r="M1042" s="60"/>
      <c r="N1042" s="60"/>
      <c r="O1042" s="60"/>
      <c r="P1042" s="59"/>
      <c r="Q1042" s="59"/>
      <c r="R1042" s="60"/>
      <c r="S1042" s="60"/>
      <c r="T1042" s="60"/>
      <c r="U1042" s="60"/>
      <c r="V1042" s="60"/>
      <c r="W1042" s="60"/>
    </row>
    <row r="1043" spans="1:23" ht="13" x14ac:dyDescent="0.3">
      <c r="A1043" s="58"/>
      <c r="B1043" s="58"/>
      <c r="C1043" s="58"/>
      <c r="D1043" s="58"/>
      <c r="E1043" s="58"/>
      <c r="F1043" s="58"/>
      <c r="G1043" s="58"/>
      <c r="H1043" s="59"/>
      <c r="I1043" s="59"/>
      <c r="J1043" s="59"/>
      <c r="K1043" s="59"/>
      <c r="L1043" s="59"/>
      <c r="M1043" s="60"/>
      <c r="N1043" s="60"/>
      <c r="O1043" s="60"/>
      <c r="P1043" s="59"/>
      <c r="Q1043" s="59"/>
      <c r="R1043" s="60"/>
      <c r="S1043" s="60"/>
      <c r="T1043" s="60"/>
      <c r="U1043" s="60"/>
      <c r="V1043" s="60"/>
      <c r="W1043" s="60"/>
    </row>
    <row r="1044" spans="1:23" ht="13" x14ac:dyDescent="0.3">
      <c r="A1044" s="58"/>
      <c r="B1044" s="58"/>
      <c r="C1044" s="58"/>
      <c r="D1044" s="58"/>
      <c r="E1044" s="58"/>
      <c r="F1044" s="58"/>
      <c r="G1044" s="58"/>
      <c r="H1044" s="59"/>
      <c r="I1044" s="59"/>
      <c r="J1044" s="59"/>
      <c r="K1044" s="59"/>
      <c r="L1044" s="59"/>
      <c r="M1044" s="60"/>
      <c r="N1044" s="60"/>
      <c r="O1044" s="60"/>
      <c r="P1044" s="59"/>
      <c r="Q1044" s="59"/>
      <c r="R1044" s="60"/>
      <c r="S1044" s="60"/>
      <c r="T1044" s="60"/>
      <c r="U1044" s="60"/>
      <c r="V1044" s="60"/>
      <c r="W1044" s="60"/>
    </row>
    <row r="1045" spans="1:23" ht="13" x14ac:dyDescent="0.3">
      <c r="A1045" s="58"/>
      <c r="B1045" s="58"/>
      <c r="C1045" s="58"/>
      <c r="D1045" s="58"/>
      <c r="E1045" s="58"/>
      <c r="F1045" s="58"/>
      <c r="G1045" s="58"/>
      <c r="H1045" s="59"/>
      <c r="I1045" s="59"/>
      <c r="J1045" s="59"/>
      <c r="K1045" s="59"/>
      <c r="L1045" s="59"/>
      <c r="M1045" s="60"/>
      <c r="N1045" s="60"/>
      <c r="O1045" s="60"/>
      <c r="P1045" s="59"/>
      <c r="Q1045" s="59"/>
      <c r="R1045" s="60"/>
      <c r="S1045" s="60"/>
      <c r="T1045" s="60"/>
      <c r="U1045" s="60"/>
      <c r="V1045" s="60"/>
      <c r="W1045" s="60"/>
    </row>
    <row r="1046" spans="1:23" ht="13" x14ac:dyDescent="0.3">
      <c r="A1046" s="58"/>
      <c r="B1046" s="58"/>
      <c r="C1046" s="58"/>
      <c r="D1046" s="58"/>
      <c r="E1046" s="58"/>
      <c r="F1046" s="58"/>
      <c r="G1046" s="58"/>
      <c r="H1046" s="59"/>
      <c r="I1046" s="59"/>
      <c r="J1046" s="59"/>
      <c r="K1046" s="59"/>
      <c r="L1046" s="59"/>
      <c r="M1046" s="60"/>
      <c r="N1046" s="60"/>
      <c r="O1046" s="60"/>
      <c r="P1046" s="59"/>
      <c r="Q1046" s="59"/>
      <c r="R1046" s="60"/>
      <c r="S1046" s="60"/>
      <c r="T1046" s="60"/>
      <c r="U1046" s="60"/>
      <c r="V1046" s="60"/>
      <c r="W1046" s="60"/>
    </row>
    <row r="1047" spans="1:23" ht="13" x14ac:dyDescent="0.3">
      <c r="A1047" s="58"/>
      <c r="B1047" s="58"/>
      <c r="C1047" s="58"/>
      <c r="D1047" s="58"/>
      <c r="E1047" s="58"/>
      <c r="F1047" s="58"/>
      <c r="G1047" s="58"/>
      <c r="H1047" s="59"/>
      <c r="I1047" s="59"/>
      <c r="J1047" s="59"/>
      <c r="K1047" s="59"/>
      <c r="L1047" s="59"/>
      <c r="M1047" s="60"/>
      <c r="N1047" s="60"/>
      <c r="O1047" s="60"/>
      <c r="P1047" s="59"/>
      <c r="Q1047" s="59"/>
      <c r="R1047" s="60"/>
      <c r="S1047" s="60"/>
      <c r="T1047" s="60"/>
      <c r="U1047" s="60"/>
      <c r="V1047" s="60"/>
      <c r="W1047" s="60"/>
    </row>
    <row r="1048" spans="1:23" ht="13" x14ac:dyDescent="0.3">
      <c r="A1048" s="58"/>
      <c r="B1048" s="58"/>
      <c r="C1048" s="58"/>
      <c r="D1048" s="58"/>
      <c r="E1048" s="58"/>
      <c r="F1048" s="58"/>
      <c r="G1048" s="58"/>
      <c r="H1048" s="59"/>
      <c r="I1048" s="59"/>
      <c r="J1048" s="59"/>
      <c r="K1048" s="59"/>
      <c r="L1048" s="59"/>
      <c r="M1048" s="60"/>
      <c r="N1048" s="60"/>
      <c r="O1048" s="60"/>
      <c r="P1048" s="59"/>
      <c r="Q1048" s="59"/>
      <c r="R1048" s="60"/>
      <c r="S1048" s="60"/>
      <c r="T1048" s="60"/>
      <c r="U1048" s="60"/>
      <c r="V1048" s="60"/>
      <c r="W1048" s="60"/>
    </row>
    <row r="1049" spans="1:23" ht="13" x14ac:dyDescent="0.3">
      <c r="A1049" s="58"/>
      <c r="B1049" s="58"/>
      <c r="C1049" s="58"/>
      <c r="D1049" s="58"/>
      <c r="E1049" s="58"/>
      <c r="F1049" s="58"/>
      <c r="G1049" s="58"/>
      <c r="H1049" s="59"/>
      <c r="I1049" s="59"/>
      <c r="J1049" s="59"/>
      <c r="K1049" s="59"/>
      <c r="L1049" s="59"/>
      <c r="M1049" s="60"/>
      <c r="N1049" s="60"/>
      <c r="O1049" s="60"/>
      <c r="P1049" s="59"/>
      <c r="Q1049" s="59"/>
      <c r="R1049" s="60"/>
      <c r="S1049" s="60"/>
      <c r="T1049" s="60"/>
      <c r="U1049" s="60"/>
      <c r="V1049" s="60"/>
      <c r="W1049" s="60"/>
    </row>
    <row r="1050" spans="1:23" ht="13" x14ac:dyDescent="0.3">
      <c r="A1050" s="58"/>
      <c r="B1050" s="58"/>
      <c r="C1050" s="58"/>
      <c r="D1050" s="58"/>
      <c r="E1050" s="58"/>
      <c r="F1050" s="58"/>
      <c r="G1050" s="58"/>
      <c r="H1050" s="59"/>
      <c r="I1050" s="59"/>
      <c r="J1050" s="59"/>
      <c r="K1050" s="59"/>
      <c r="L1050" s="59"/>
      <c r="M1050" s="60"/>
      <c r="N1050" s="60"/>
      <c r="O1050" s="60"/>
      <c r="P1050" s="59"/>
      <c r="Q1050" s="59"/>
      <c r="R1050" s="60"/>
      <c r="S1050" s="60"/>
      <c r="T1050" s="60"/>
      <c r="U1050" s="60"/>
      <c r="V1050" s="60"/>
      <c r="W1050" s="60"/>
    </row>
    <row r="1051" spans="1:23" ht="13" x14ac:dyDescent="0.3">
      <c r="A1051" s="58"/>
      <c r="B1051" s="58"/>
      <c r="C1051" s="58"/>
      <c r="D1051" s="58"/>
      <c r="E1051" s="58"/>
      <c r="F1051" s="58"/>
      <c r="G1051" s="58"/>
      <c r="H1051" s="59"/>
      <c r="I1051" s="59"/>
      <c r="J1051" s="59"/>
      <c r="K1051" s="59"/>
      <c r="L1051" s="59"/>
      <c r="M1051" s="60"/>
      <c r="N1051" s="60"/>
      <c r="O1051" s="60"/>
      <c r="P1051" s="59"/>
      <c r="Q1051" s="59"/>
      <c r="R1051" s="60"/>
      <c r="S1051" s="60"/>
      <c r="T1051" s="60"/>
      <c r="U1051" s="60"/>
      <c r="V1051" s="60"/>
      <c r="W1051" s="60"/>
    </row>
    <row r="1052" spans="1:23" ht="13" x14ac:dyDescent="0.3">
      <c r="A1052" s="58"/>
      <c r="B1052" s="58"/>
      <c r="C1052" s="58"/>
      <c r="D1052" s="58"/>
      <c r="E1052" s="58"/>
      <c r="F1052" s="58"/>
      <c r="G1052" s="58"/>
      <c r="H1052" s="59"/>
      <c r="I1052" s="59"/>
      <c r="J1052" s="59"/>
      <c r="K1052" s="59"/>
      <c r="L1052" s="59"/>
      <c r="M1052" s="60"/>
      <c r="N1052" s="60"/>
      <c r="O1052" s="60"/>
      <c r="P1052" s="59"/>
      <c r="Q1052" s="59"/>
      <c r="R1052" s="60"/>
      <c r="S1052" s="60"/>
      <c r="T1052" s="60"/>
      <c r="U1052" s="60"/>
      <c r="V1052" s="60"/>
      <c r="W1052" s="60"/>
    </row>
    <row r="1053" spans="1:23" ht="13" x14ac:dyDescent="0.3">
      <c r="A1053" s="58"/>
      <c r="B1053" s="58"/>
      <c r="C1053" s="58"/>
      <c r="D1053" s="58"/>
      <c r="E1053" s="58"/>
      <c r="F1053" s="58"/>
      <c r="G1053" s="58"/>
      <c r="H1053" s="59"/>
      <c r="I1053" s="59"/>
      <c r="J1053" s="59"/>
      <c r="K1053" s="59"/>
      <c r="L1053" s="59"/>
      <c r="M1053" s="60"/>
      <c r="N1053" s="60"/>
      <c r="O1053" s="60"/>
      <c r="P1053" s="59"/>
      <c r="Q1053" s="59"/>
      <c r="R1053" s="60"/>
      <c r="S1053" s="60"/>
      <c r="T1053" s="60"/>
      <c r="U1053" s="60"/>
      <c r="V1053" s="60"/>
      <c r="W1053" s="60"/>
    </row>
    <row r="1054" spans="1:23" ht="13" x14ac:dyDescent="0.3">
      <c r="A1054" s="58"/>
      <c r="B1054" s="58"/>
      <c r="C1054" s="58"/>
      <c r="D1054" s="58"/>
      <c r="E1054" s="58"/>
      <c r="F1054" s="58"/>
      <c r="G1054" s="58"/>
      <c r="H1054" s="59"/>
      <c r="I1054" s="59"/>
      <c r="J1054" s="59"/>
      <c r="K1054" s="59"/>
      <c r="L1054" s="59"/>
      <c r="M1054" s="60"/>
      <c r="N1054" s="60"/>
      <c r="O1054" s="60"/>
      <c r="P1054" s="59"/>
      <c r="Q1054" s="59"/>
      <c r="R1054" s="60"/>
      <c r="S1054" s="60"/>
      <c r="T1054" s="60"/>
      <c r="U1054" s="60"/>
      <c r="V1054" s="60"/>
      <c r="W1054" s="60"/>
    </row>
    <row r="1055" spans="1:23" ht="13" x14ac:dyDescent="0.3">
      <c r="A1055" s="58"/>
      <c r="B1055" s="58"/>
      <c r="C1055" s="58"/>
      <c r="D1055" s="58"/>
      <c r="E1055" s="58"/>
      <c r="F1055" s="58"/>
      <c r="G1055" s="58"/>
      <c r="H1055" s="59"/>
      <c r="I1055" s="59"/>
      <c r="J1055" s="59"/>
      <c r="K1055" s="59"/>
      <c r="L1055" s="59"/>
      <c r="M1055" s="60"/>
      <c r="N1055" s="60"/>
      <c r="O1055" s="60"/>
      <c r="P1055" s="59"/>
      <c r="Q1055" s="59"/>
      <c r="R1055" s="60"/>
      <c r="S1055" s="60"/>
      <c r="T1055" s="60"/>
      <c r="U1055" s="60"/>
      <c r="V1055" s="60"/>
      <c r="W1055" s="60"/>
    </row>
    <row r="1056" spans="1:23" ht="13" x14ac:dyDescent="0.3">
      <c r="A1056" s="58"/>
      <c r="B1056" s="58"/>
      <c r="C1056" s="58"/>
      <c r="D1056" s="58"/>
      <c r="E1056" s="58"/>
      <c r="F1056" s="58"/>
      <c r="G1056" s="58"/>
      <c r="H1056" s="59"/>
      <c r="I1056" s="59"/>
      <c r="J1056" s="59"/>
      <c r="K1056" s="59"/>
      <c r="L1056" s="59"/>
      <c r="M1056" s="60"/>
      <c r="N1056" s="60"/>
      <c r="O1056" s="60"/>
      <c r="P1056" s="59"/>
      <c r="Q1056" s="59"/>
      <c r="R1056" s="60"/>
      <c r="S1056" s="60"/>
      <c r="T1056" s="60"/>
      <c r="U1056" s="60"/>
      <c r="V1056" s="60"/>
      <c r="W1056" s="60"/>
    </row>
    <row r="1057" spans="1:23" ht="13" x14ac:dyDescent="0.3">
      <c r="A1057" s="58"/>
      <c r="B1057" s="58"/>
      <c r="C1057" s="58"/>
      <c r="D1057" s="58"/>
      <c r="E1057" s="58"/>
      <c r="F1057" s="58"/>
      <c r="G1057" s="58"/>
      <c r="H1057" s="59"/>
      <c r="I1057" s="59"/>
      <c r="J1057" s="59"/>
      <c r="K1057" s="59"/>
      <c r="L1057" s="59"/>
      <c r="M1057" s="60"/>
      <c r="N1057" s="60"/>
      <c r="O1057" s="60"/>
      <c r="P1057" s="59"/>
      <c r="Q1057" s="59"/>
      <c r="R1057" s="60"/>
      <c r="S1057" s="60"/>
      <c r="T1057" s="60"/>
      <c r="U1057" s="60"/>
      <c r="V1057" s="60"/>
      <c r="W1057" s="60"/>
    </row>
    <row r="1058" spans="1:23" ht="13" x14ac:dyDescent="0.3">
      <c r="A1058" s="58"/>
      <c r="B1058" s="58"/>
      <c r="C1058" s="58"/>
      <c r="D1058" s="58"/>
      <c r="E1058" s="58"/>
      <c r="F1058" s="58"/>
      <c r="G1058" s="58"/>
      <c r="H1058" s="59"/>
      <c r="I1058" s="59"/>
      <c r="J1058" s="59"/>
      <c r="K1058" s="59"/>
      <c r="L1058" s="59"/>
      <c r="M1058" s="60"/>
      <c r="N1058" s="60"/>
      <c r="O1058" s="60"/>
      <c r="P1058" s="59"/>
      <c r="Q1058" s="59"/>
      <c r="R1058" s="60"/>
      <c r="S1058" s="60"/>
      <c r="T1058" s="60"/>
      <c r="U1058" s="60"/>
      <c r="V1058" s="60"/>
      <c r="W1058" s="60"/>
    </row>
    <row r="1059" spans="1:23" ht="13" x14ac:dyDescent="0.3">
      <c r="A1059" s="58"/>
      <c r="B1059" s="58"/>
      <c r="C1059" s="58"/>
      <c r="D1059" s="58"/>
      <c r="E1059" s="58"/>
      <c r="F1059" s="58"/>
      <c r="G1059" s="58"/>
      <c r="H1059" s="59"/>
      <c r="I1059" s="59"/>
      <c r="J1059" s="59"/>
      <c r="K1059" s="59"/>
      <c r="L1059" s="59"/>
      <c r="M1059" s="60"/>
      <c r="N1059" s="60"/>
      <c r="O1059" s="60"/>
      <c r="P1059" s="59"/>
      <c r="Q1059" s="59"/>
      <c r="R1059" s="60"/>
      <c r="S1059" s="60"/>
      <c r="T1059" s="60"/>
      <c r="U1059" s="60"/>
      <c r="V1059" s="60"/>
      <c r="W1059" s="60"/>
    </row>
    <row r="1060" spans="1:23" ht="13" x14ac:dyDescent="0.3">
      <c r="A1060" s="58"/>
      <c r="B1060" s="58"/>
      <c r="C1060" s="58"/>
      <c r="D1060" s="58"/>
      <c r="E1060" s="58"/>
      <c r="F1060" s="58"/>
      <c r="G1060" s="58"/>
      <c r="H1060" s="59"/>
      <c r="I1060" s="59"/>
      <c r="J1060" s="59"/>
      <c r="K1060" s="59"/>
      <c r="L1060" s="59"/>
      <c r="M1060" s="60"/>
      <c r="N1060" s="60"/>
      <c r="O1060" s="60"/>
      <c r="P1060" s="59"/>
      <c r="Q1060" s="59"/>
      <c r="R1060" s="60"/>
      <c r="S1060" s="60"/>
      <c r="T1060" s="60"/>
      <c r="U1060" s="60"/>
      <c r="V1060" s="60"/>
      <c r="W1060" s="60"/>
    </row>
    <row r="1061" spans="1:23" ht="13" x14ac:dyDescent="0.3">
      <c r="A1061" s="58"/>
      <c r="B1061" s="58"/>
      <c r="C1061" s="58"/>
      <c r="D1061" s="58"/>
      <c r="E1061" s="58"/>
      <c r="F1061" s="58"/>
      <c r="G1061" s="58"/>
      <c r="H1061" s="59"/>
      <c r="I1061" s="59"/>
      <c r="J1061" s="59"/>
      <c r="K1061" s="59"/>
      <c r="L1061" s="59"/>
      <c r="M1061" s="60"/>
      <c r="N1061" s="60"/>
      <c r="O1061" s="60"/>
      <c r="P1061" s="59"/>
      <c r="Q1061" s="59"/>
      <c r="R1061" s="60"/>
      <c r="S1061" s="60"/>
      <c r="T1061" s="60"/>
      <c r="U1061" s="60"/>
      <c r="V1061" s="60"/>
      <c r="W1061" s="60"/>
    </row>
    <row r="1062" spans="1:23" ht="13" x14ac:dyDescent="0.3">
      <c r="A1062" s="58"/>
      <c r="B1062" s="58"/>
      <c r="C1062" s="58"/>
      <c r="D1062" s="58"/>
      <c r="E1062" s="58"/>
      <c r="F1062" s="58"/>
      <c r="G1062" s="58"/>
      <c r="H1062" s="59"/>
      <c r="I1062" s="59"/>
      <c r="J1062" s="59"/>
      <c r="K1062" s="59"/>
      <c r="L1062" s="59"/>
      <c r="M1062" s="60"/>
      <c r="N1062" s="60"/>
      <c r="O1062" s="60"/>
      <c r="P1062" s="59"/>
      <c r="Q1062" s="59"/>
      <c r="R1062" s="60"/>
      <c r="S1062" s="60"/>
      <c r="T1062" s="60"/>
      <c r="U1062" s="60"/>
      <c r="V1062" s="60"/>
      <c r="W1062" s="60"/>
    </row>
    <row r="1063" spans="1:23" ht="13" x14ac:dyDescent="0.3">
      <c r="A1063" s="58"/>
      <c r="B1063" s="58"/>
      <c r="C1063" s="58"/>
      <c r="D1063" s="58"/>
      <c r="E1063" s="58"/>
      <c r="F1063" s="58"/>
      <c r="G1063" s="58"/>
      <c r="H1063" s="59"/>
      <c r="I1063" s="59"/>
      <c r="J1063" s="59"/>
      <c r="K1063" s="59"/>
      <c r="L1063" s="59"/>
      <c r="M1063" s="60"/>
      <c r="N1063" s="60"/>
      <c r="O1063" s="60"/>
      <c r="P1063" s="59"/>
      <c r="Q1063" s="59"/>
      <c r="R1063" s="60"/>
      <c r="S1063" s="60"/>
      <c r="T1063" s="60"/>
      <c r="U1063" s="60"/>
      <c r="V1063" s="60"/>
      <c r="W1063" s="60"/>
    </row>
    <row r="1064" spans="1:23" ht="13" x14ac:dyDescent="0.3">
      <c r="A1064" s="58"/>
      <c r="B1064" s="58"/>
      <c r="C1064" s="58"/>
      <c r="D1064" s="58"/>
      <c r="E1064" s="58"/>
      <c r="F1064" s="58"/>
      <c r="G1064" s="58"/>
      <c r="H1064" s="59"/>
      <c r="I1064" s="59"/>
      <c r="J1064" s="59"/>
      <c r="K1064" s="59"/>
      <c r="L1064" s="59"/>
      <c r="M1064" s="60"/>
      <c r="N1064" s="60"/>
      <c r="O1064" s="60"/>
      <c r="P1064" s="59"/>
      <c r="Q1064" s="59"/>
      <c r="R1064" s="60"/>
      <c r="S1064" s="60"/>
      <c r="T1064" s="60"/>
      <c r="U1064" s="60"/>
      <c r="V1064" s="60"/>
      <c r="W1064" s="60"/>
    </row>
    <row r="1065" spans="1:23" ht="13" x14ac:dyDescent="0.3">
      <c r="A1065" s="58"/>
      <c r="B1065" s="58"/>
      <c r="C1065" s="58"/>
      <c r="D1065" s="58"/>
      <c r="E1065" s="58"/>
      <c r="F1065" s="58"/>
      <c r="G1065" s="58"/>
      <c r="H1065" s="59"/>
      <c r="I1065" s="59"/>
      <c r="J1065" s="59"/>
      <c r="K1065" s="59"/>
      <c r="L1065" s="59"/>
      <c r="M1065" s="60"/>
      <c r="N1065" s="60"/>
      <c r="O1065" s="60"/>
      <c r="P1065" s="59"/>
      <c r="Q1065" s="59"/>
      <c r="R1065" s="60"/>
      <c r="S1065" s="60"/>
      <c r="T1065" s="60"/>
      <c r="U1065" s="60"/>
      <c r="V1065" s="60"/>
      <c r="W1065" s="60"/>
    </row>
    <row r="1066" spans="1:23" ht="13" x14ac:dyDescent="0.3">
      <c r="A1066" s="58"/>
      <c r="B1066" s="58"/>
      <c r="C1066" s="58"/>
      <c r="D1066" s="58"/>
      <c r="E1066" s="58"/>
      <c r="F1066" s="58"/>
      <c r="G1066" s="58"/>
      <c r="H1066" s="59"/>
      <c r="I1066" s="59"/>
      <c r="J1066" s="59"/>
      <c r="K1066" s="59"/>
      <c r="L1066" s="59"/>
      <c r="M1066" s="60"/>
      <c r="N1066" s="60"/>
      <c r="O1066" s="60"/>
      <c r="P1066" s="59"/>
      <c r="Q1066" s="59"/>
      <c r="R1066" s="60"/>
      <c r="S1066" s="60"/>
      <c r="T1066" s="60"/>
      <c r="U1066" s="60"/>
      <c r="V1066" s="60"/>
      <c r="W1066" s="60"/>
    </row>
    <row r="1067" spans="1:23" ht="13" x14ac:dyDescent="0.3">
      <c r="A1067" s="58"/>
      <c r="B1067" s="58"/>
      <c r="C1067" s="58"/>
      <c r="D1067" s="58"/>
      <c r="E1067" s="58"/>
      <c r="F1067" s="58"/>
      <c r="G1067" s="58"/>
      <c r="H1067" s="59"/>
      <c r="I1067" s="59"/>
      <c r="J1067" s="59"/>
      <c r="K1067" s="59"/>
      <c r="L1067" s="59"/>
      <c r="M1067" s="60"/>
      <c r="N1067" s="60"/>
      <c r="O1067" s="60"/>
      <c r="P1067" s="59"/>
      <c r="Q1067" s="59"/>
      <c r="R1067" s="60"/>
      <c r="S1067" s="60"/>
      <c r="T1067" s="60"/>
      <c r="U1067" s="60"/>
      <c r="V1067" s="60"/>
      <c r="W1067" s="60"/>
    </row>
    <row r="1068" spans="1:23" ht="13" x14ac:dyDescent="0.3">
      <c r="A1068" s="58"/>
      <c r="B1068" s="58"/>
      <c r="C1068" s="58"/>
      <c r="D1068" s="58"/>
      <c r="E1068" s="58"/>
      <c r="F1068" s="58"/>
      <c r="G1068" s="58"/>
      <c r="H1068" s="59"/>
      <c r="I1068" s="59"/>
      <c r="J1068" s="59"/>
      <c r="K1068" s="59"/>
      <c r="L1068" s="59"/>
      <c r="M1068" s="60"/>
      <c r="N1068" s="60"/>
      <c r="O1068" s="60"/>
      <c r="P1068" s="59"/>
      <c r="Q1068" s="59"/>
      <c r="R1068" s="60"/>
      <c r="S1068" s="60"/>
      <c r="T1068" s="60"/>
      <c r="U1068" s="60"/>
      <c r="V1068" s="60"/>
      <c r="W1068" s="60"/>
    </row>
    <row r="1069" spans="1:23" ht="13" x14ac:dyDescent="0.3">
      <c r="A1069" s="58"/>
      <c r="B1069" s="58"/>
      <c r="C1069" s="58"/>
      <c r="D1069" s="58"/>
      <c r="E1069" s="58"/>
      <c r="F1069" s="58"/>
      <c r="G1069" s="58"/>
      <c r="H1069" s="59"/>
      <c r="I1069" s="59"/>
      <c r="J1069" s="59"/>
      <c r="K1069" s="59"/>
      <c r="L1069" s="59"/>
      <c r="M1069" s="60"/>
      <c r="N1069" s="60"/>
      <c r="O1069" s="60"/>
      <c r="P1069" s="59"/>
      <c r="Q1069" s="59"/>
      <c r="R1069" s="60"/>
      <c r="S1069" s="60"/>
      <c r="T1069" s="60"/>
      <c r="U1069" s="60"/>
      <c r="V1069" s="60"/>
      <c r="W1069" s="60"/>
    </row>
    <row r="1070" spans="1:23" ht="13" x14ac:dyDescent="0.3">
      <c r="A1070" s="58"/>
      <c r="B1070" s="58"/>
      <c r="C1070" s="58"/>
      <c r="D1070" s="58"/>
      <c r="E1070" s="58"/>
      <c r="F1070" s="58"/>
      <c r="G1070" s="58"/>
      <c r="H1070" s="59"/>
      <c r="I1070" s="59"/>
      <c r="J1070" s="59"/>
      <c r="K1070" s="59"/>
      <c r="L1070" s="59"/>
      <c r="M1070" s="60"/>
      <c r="N1070" s="60"/>
      <c r="O1070" s="60"/>
      <c r="P1070" s="59"/>
      <c r="Q1070" s="59"/>
      <c r="R1070" s="60"/>
      <c r="S1070" s="60"/>
      <c r="T1070" s="60"/>
      <c r="U1070" s="60"/>
      <c r="V1070" s="60"/>
      <c r="W1070" s="60"/>
    </row>
    <row r="1071" spans="1:23" ht="13" x14ac:dyDescent="0.3">
      <c r="A1071" s="58"/>
      <c r="B1071" s="58"/>
      <c r="C1071" s="58"/>
      <c r="D1071" s="58"/>
      <c r="E1071" s="58"/>
      <c r="F1071" s="58"/>
      <c r="G1071" s="58"/>
      <c r="H1071" s="59"/>
      <c r="I1071" s="59"/>
      <c r="J1071" s="59"/>
      <c r="K1071" s="59"/>
      <c r="L1071" s="59"/>
      <c r="M1071" s="60"/>
      <c r="N1071" s="60"/>
      <c r="O1071" s="60"/>
      <c r="P1071" s="59"/>
      <c r="Q1071" s="59"/>
      <c r="R1071" s="60"/>
      <c r="S1071" s="60"/>
      <c r="T1071" s="60"/>
      <c r="U1071" s="60"/>
      <c r="V1071" s="60"/>
      <c r="W1071" s="60"/>
    </row>
    <row r="1072" spans="1:23" ht="13" x14ac:dyDescent="0.3">
      <c r="A1072" s="58"/>
      <c r="B1072" s="58"/>
      <c r="C1072" s="58"/>
      <c r="D1072" s="58"/>
      <c r="E1072" s="58"/>
      <c r="F1072" s="58"/>
      <c r="G1072" s="58"/>
      <c r="H1072" s="59"/>
      <c r="I1072" s="59"/>
      <c r="J1072" s="59"/>
      <c r="K1072" s="59"/>
      <c r="L1072" s="59"/>
      <c r="M1072" s="60"/>
      <c r="N1072" s="60"/>
      <c r="O1072" s="60"/>
      <c r="P1072" s="59"/>
      <c r="Q1072" s="59"/>
      <c r="R1072" s="60"/>
      <c r="S1072" s="60"/>
      <c r="T1072" s="60"/>
      <c r="U1072" s="60"/>
      <c r="V1072" s="60"/>
      <c r="W1072" s="60"/>
    </row>
    <row r="1073" spans="1:23" ht="13" x14ac:dyDescent="0.3">
      <c r="A1073" s="58"/>
      <c r="B1073" s="58"/>
      <c r="C1073" s="58"/>
      <c r="D1073" s="58"/>
      <c r="E1073" s="58"/>
      <c r="F1073" s="58"/>
      <c r="G1073" s="58"/>
      <c r="H1073" s="59"/>
      <c r="I1073" s="59"/>
      <c r="J1073" s="59"/>
      <c r="K1073" s="59"/>
      <c r="L1073" s="59"/>
      <c r="M1073" s="60"/>
      <c r="N1073" s="60"/>
      <c r="O1073" s="60"/>
      <c r="P1073" s="59"/>
      <c r="Q1073" s="59"/>
      <c r="R1073" s="60"/>
      <c r="S1073" s="60"/>
      <c r="T1073" s="60"/>
      <c r="U1073" s="60"/>
      <c r="V1073" s="60"/>
      <c r="W1073" s="60"/>
    </row>
    <row r="1074" spans="1:23" ht="13" x14ac:dyDescent="0.3">
      <c r="A1074" s="58"/>
      <c r="B1074" s="58"/>
      <c r="C1074" s="58"/>
      <c r="D1074" s="58"/>
      <c r="E1074" s="58"/>
      <c r="F1074" s="58"/>
      <c r="G1074" s="58"/>
      <c r="H1074" s="59"/>
      <c r="I1074" s="59"/>
      <c r="J1074" s="59"/>
      <c r="K1074" s="59"/>
      <c r="L1074" s="59"/>
      <c r="M1074" s="60"/>
      <c r="N1074" s="60"/>
      <c r="O1074" s="60"/>
      <c r="P1074" s="59"/>
      <c r="Q1074" s="59"/>
      <c r="R1074" s="60"/>
      <c r="S1074" s="60"/>
      <c r="T1074" s="60"/>
      <c r="U1074" s="60"/>
      <c r="V1074" s="60"/>
      <c r="W1074" s="60"/>
    </row>
    <row r="1075" spans="1:23" ht="13" x14ac:dyDescent="0.3">
      <c r="A1075" s="58"/>
      <c r="B1075" s="58"/>
      <c r="C1075" s="58"/>
      <c r="D1075" s="58"/>
      <c r="E1075" s="58"/>
      <c r="F1075" s="58"/>
      <c r="G1075" s="58"/>
      <c r="H1075" s="59"/>
      <c r="I1075" s="59"/>
      <c r="J1075" s="59"/>
      <c r="K1075" s="59"/>
      <c r="L1075" s="59"/>
      <c r="M1075" s="60"/>
      <c r="N1075" s="60"/>
      <c r="O1075" s="60"/>
      <c r="P1075" s="59"/>
      <c r="Q1075" s="59"/>
      <c r="R1075" s="60"/>
      <c r="S1075" s="60"/>
      <c r="T1075" s="60"/>
      <c r="U1075" s="60"/>
      <c r="V1075" s="60"/>
      <c r="W1075" s="60"/>
    </row>
    <row r="1076" spans="1:23" ht="13" x14ac:dyDescent="0.3">
      <c r="A1076" s="58"/>
      <c r="B1076" s="58"/>
      <c r="C1076" s="58"/>
      <c r="D1076" s="58"/>
      <c r="E1076" s="58"/>
      <c r="F1076" s="58"/>
      <c r="G1076" s="58"/>
      <c r="H1076" s="59"/>
      <c r="I1076" s="59"/>
      <c r="J1076" s="59"/>
      <c r="K1076" s="59"/>
      <c r="L1076" s="59"/>
      <c r="M1076" s="60"/>
      <c r="N1076" s="60"/>
      <c r="O1076" s="60"/>
      <c r="P1076" s="59"/>
      <c r="Q1076" s="59"/>
      <c r="R1076" s="60"/>
      <c r="S1076" s="60"/>
      <c r="T1076" s="60"/>
      <c r="U1076" s="60"/>
      <c r="V1076" s="60"/>
      <c r="W1076" s="60"/>
    </row>
    <row r="1077" spans="1:23" ht="13" x14ac:dyDescent="0.3">
      <c r="A1077" s="58"/>
      <c r="B1077" s="58"/>
      <c r="C1077" s="58"/>
      <c r="D1077" s="58"/>
      <c r="E1077" s="58"/>
      <c r="F1077" s="58"/>
      <c r="G1077" s="58"/>
      <c r="H1077" s="59"/>
      <c r="I1077" s="59"/>
      <c r="J1077" s="59"/>
      <c r="K1077" s="59"/>
      <c r="L1077" s="59"/>
      <c r="M1077" s="60"/>
      <c r="N1077" s="60"/>
      <c r="O1077" s="60"/>
      <c r="P1077" s="59"/>
      <c r="Q1077" s="59"/>
      <c r="R1077" s="60"/>
      <c r="S1077" s="60"/>
      <c r="T1077" s="60"/>
      <c r="U1077" s="60"/>
      <c r="V1077" s="60"/>
      <c r="W1077" s="60"/>
    </row>
    <row r="1078" spans="1:23" ht="13" x14ac:dyDescent="0.3">
      <c r="A1078" s="58"/>
      <c r="B1078" s="58"/>
      <c r="C1078" s="58"/>
      <c r="D1078" s="58"/>
      <c r="E1078" s="58"/>
      <c r="F1078" s="58"/>
      <c r="G1078" s="58"/>
      <c r="H1078" s="59"/>
      <c r="I1078" s="59"/>
      <c r="J1078" s="59"/>
      <c r="K1078" s="59"/>
      <c r="L1078" s="59"/>
      <c r="M1078" s="60"/>
      <c r="N1078" s="60"/>
      <c r="O1078" s="60"/>
      <c r="P1078" s="59"/>
      <c r="Q1078" s="59"/>
      <c r="R1078" s="60"/>
      <c r="S1078" s="60"/>
      <c r="T1078" s="60"/>
      <c r="U1078" s="60"/>
      <c r="V1078" s="60"/>
      <c r="W1078" s="60"/>
    </row>
    <row r="1079" spans="1:23" ht="13" x14ac:dyDescent="0.3">
      <c r="A1079" s="58"/>
      <c r="B1079" s="58"/>
      <c r="C1079" s="58"/>
      <c r="D1079" s="58"/>
      <c r="E1079" s="58"/>
      <c r="F1079" s="58"/>
      <c r="G1079" s="58"/>
      <c r="H1079" s="59"/>
      <c r="I1079" s="59"/>
      <c r="J1079" s="59"/>
      <c r="K1079" s="59"/>
      <c r="L1079" s="59"/>
      <c r="M1079" s="60"/>
      <c r="N1079" s="60"/>
      <c r="O1079" s="60"/>
      <c r="P1079" s="59"/>
      <c r="Q1079" s="59"/>
      <c r="R1079" s="60"/>
      <c r="S1079" s="60"/>
      <c r="T1079" s="60"/>
      <c r="U1079" s="60"/>
      <c r="V1079" s="60"/>
      <c r="W1079" s="60"/>
    </row>
    <row r="1080" spans="1:23" ht="13" x14ac:dyDescent="0.3">
      <c r="A1080" s="58"/>
      <c r="B1080" s="58"/>
      <c r="C1080" s="58"/>
      <c r="D1080" s="58"/>
      <c r="E1080" s="58"/>
      <c r="F1080" s="58"/>
      <c r="G1080" s="58"/>
      <c r="H1080" s="59"/>
      <c r="I1080" s="59"/>
      <c r="J1080" s="59"/>
      <c r="K1080" s="59"/>
      <c r="L1080" s="59"/>
      <c r="M1080" s="60"/>
      <c r="N1080" s="60"/>
      <c r="O1080" s="60"/>
      <c r="P1080" s="59"/>
      <c r="Q1080" s="59"/>
      <c r="R1080" s="60"/>
      <c r="S1080" s="60"/>
      <c r="T1080" s="60"/>
      <c r="U1080" s="60"/>
      <c r="V1080" s="60"/>
      <c r="W1080" s="60"/>
    </row>
    <row r="1081" spans="1:23" ht="13" x14ac:dyDescent="0.3">
      <c r="A1081" s="58"/>
      <c r="B1081" s="58"/>
      <c r="C1081" s="58"/>
      <c r="D1081" s="58"/>
      <c r="E1081" s="58"/>
      <c r="F1081" s="58"/>
      <c r="G1081" s="58"/>
      <c r="H1081" s="59"/>
      <c r="I1081" s="59"/>
      <c r="J1081" s="59"/>
      <c r="K1081" s="59"/>
      <c r="L1081" s="59"/>
      <c r="M1081" s="60"/>
      <c r="N1081" s="60"/>
      <c r="O1081" s="60"/>
      <c r="P1081" s="59"/>
      <c r="Q1081" s="59"/>
      <c r="R1081" s="60"/>
      <c r="S1081" s="60"/>
      <c r="T1081" s="60"/>
      <c r="U1081" s="60"/>
      <c r="V1081" s="60"/>
      <c r="W1081" s="60"/>
    </row>
    <row r="1082" spans="1:23" ht="13" x14ac:dyDescent="0.3">
      <c r="A1082" s="58"/>
      <c r="B1082" s="58"/>
      <c r="C1082" s="58"/>
      <c r="D1082" s="58"/>
      <c r="E1082" s="58"/>
      <c r="F1082" s="58"/>
      <c r="G1082" s="58"/>
      <c r="H1082" s="59"/>
      <c r="I1082" s="59"/>
      <c r="J1082" s="59"/>
      <c r="K1082" s="59"/>
      <c r="L1082" s="59"/>
      <c r="M1082" s="60"/>
      <c r="N1082" s="60"/>
      <c r="O1082" s="60"/>
      <c r="P1082" s="59"/>
      <c r="Q1082" s="59"/>
      <c r="R1082" s="60"/>
      <c r="S1082" s="60"/>
      <c r="T1082" s="60"/>
      <c r="U1082" s="60"/>
      <c r="V1082" s="60"/>
      <c r="W1082" s="60"/>
    </row>
    <row r="1083" spans="1:23" ht="13" x14ac:dyDescent="0.3">
      <c r="A1083" s="58"/>
      <c r="B1083" s="58"/>
      <c r="C1083" s="58"/>
      <c r="D1083" s="58"/>
      <c r="E1083" s="58"/>
      <c r="F1083" s="58"/>
      <c r="G1083" s="58"/>
      <c r="H1083" s="59"/>
      <c r="I1083" s="59"/>
      <c r="J1083" s="59"/>
      <c r="K1083" s="59"/>
      <c r="L1083" s="59"/>
      <c r="M1083" s="60"/>
      <c r="N1083" s="60"/>
      <c r="O1083" s="60"/>
      <c r="P1083" s="59"/>
      <c r="Q1083" s="59"/>
      <c r="R1083" s="60"/>
      <c r="S1083" s="60"/>
      <c r="T1083" s="60"/>
      <c r="U1083" s="60"/>
      <c r="V1083" s="60"/>
      <c r="W1083" s="60"/>
    </row>
    <row r="1084" spans="1:23" ht="13" x14ac:dyDescent="0.3">
      <c r="A1084" s="58"/>
      <c r="B1084" s="58"/>
      <c r="C1084" s="58"/>
      <c r="D1084" s="58"/>
      <c r="E1084" s="58"/>
      <c r="F1084" s="58"/>
      <c r="G1084" s="58"/>
      <c r="H1084" s="59"/>
      <c r="I1084" s="59"/>
      <c r="J1084" s="59"/>
      <c r="K1084" s="59"/>
      <c r="L1084" s="59"/>
      <c r="M1084" s="60"/>
      <c r="N1084" s="60"/>
      <c r="O1084" s="60"/>
      <c r="P1084" s="59"/>
      <c r="Q1084" s="59"/>
      <c r="R1084" s="60"/>
      <c r="S1084" s="60"/>
      <c r="T1084" s="60"/>
      <c r="U1084" s="60"/>
      <c r="V1084" s="60"/>
      <c r="W1084" s="60"/>
    </row>
    <row r="1085" spans="1:23" ht="13" x14ac:dyDescent="0.3">
      <c r="A1085" s="58"/>
      <c r="B1085" s="58"/>
      <c r="C1085" s="58"/>
      <c r="D1085" s="58"/>
      <c r="E1085" s="58"/>
      <c r="F1085" s="58"/>
      <c r="G1085" s="58"/>
      <c r="H1085" s="59"/>
      <c r="I1085" s="59"/>
      <c r="J1085" s="59"/>
      <c r="K1085" s="59"/>
      <c r="L1085" s="59"/>
      <c r="M1085" s="60"/>
      <c r="N1085" s="60"/>
      <c r="O1085" s="60"/>
      <c r="P1085" s="59"/>
      <c r="Q1085" s="59"/>
      <c r="R1085" s="60"/>
      <c r="S1085" s="60"/>
      <c r="T1085" s="60"/>
      <c r="U1085" s="60"/>
      <c r="V1085" s="60"/>
      <c r="W1085" s="60"/>
    </row>
    <row r="1086" spans="1:23" ht="13" x14ac:dyDescent="0.3">
      <c r="A1086" s="58"/>
      <c r="B1086" s="58"/>
      <c r="C1086" s="58"/>
      <c r="D1086" s="58"/>
      <c r="E1086" s="58"/>
      <c r="F1086" s="58"/>
      <c r="G1086" s="58"/>
      <c r="H1086" s="59"/>
      <c r="I1086" s="59"/>
      <c r="J1086" s="59"/>
      <c r="K1086" s="59"/>
      <c r="L1086" s="59"/>
      <c r="M1086" s="60"/>
      <c r="N1086" s="60"/>
      <c r="O1086" s="60"/>
      <c r="P1086" s="59"/>
      <c r="Q1086" s="59"/>
      <c r="R1086" s="60"/>
      <c r="S1086" s="60"/>
      <c r="T1086" s="60"/>
      <c r="U1086" s="60"/>
      <c r="V1086" s="60"/>
      <c r="W1086" s="60"/>
    </row>
    <row r="1087" spans="1:23" ht="13" x14ac:dyDescent="0.3">
      <c r="A1087" s="58"/>
      <c r="B1087" s="58"/>
      <c r="C1087" s="58"/>
      <c r="D1087" s="58"/>
      <c r="E1087" s="58"/>
      <c r="F1087" s="58"/>
      <c r="G1087" s="58"/>
      <c r="H1087" s="59"/>
      <c r="I1087" s="59"/>
      <c r="J1087" s="59"/>
      <c r="K1087" s="59"/>
      <c r="L1087" s="59"/>
      <c r="M1087" s="60"/>
      <c r="N1087" s="60"/>
      <c r="O1087" s="60"/>
      <c r="P1087" s="59"/>
      <c r="Q1087" s="59"/>
      <c r="R1087" s="60"/>
      <c r="S1087" s="60"/>
      <c r="T1087" s="60"/>
      <c r="U1087" s="60"/>
      <c r="V1087" s="60"/>
      <c r="W1087" s="60"/>
    </row>
    <row r="1088" spans="1:23" ht="13" x14ac:dyDescent="0.3">
      <c r="A1088" s="58"/>
      <c r="B1088" s="58"/>
      <c r="C1088" s="58"/>
      <c r="D1088" s="58"/>
      <c r="E1088" s="58"/>
      <c r="F1088" s="58"/>
      <c r="G1088" s="58"/>
      <c r="H1088" s="59"/>
      <c r="I1088" s="59"/>
      <c r="J1088" s="59"/>
      <c r="K1088" s="59"/>
      <c r="L1088" s="59"/>
      <c r="M1088" s="60"/>
      <c r="N1088" s="60"/>
      <c r="O1088" s="60"/>
      <c r="P1088" s="59"/>
      <c r="Q1088" s="59"/>
      <c r="R1088" s="60"/>
      <c r="S1088" s="60"/>
      <c r="T1088" s="60"/>
      <c r="U1088" s="60"/>
      <c r="V1088" s="60"/>
      <c r="W1088" s="60"/>
    </row>
    <row r="1089" spans="1:23" ht="13" x14ac:dyDescent="0.3">
      <c r="A1089" s="58"/>
      <c r="B1089" s="58"/>
      <c r="C1089" s="58"/>
      <c r="D1089" s="58"/>
      <c r="E1089" s="58"/>
      <c r="F1089" s="58"/>
      <c r="G1089" s="58"/>
      <c r="H1089" s="59"/>
      <c r="I1089" s="59"/>
      <c r="J1089" s="59"/>
      <c r="K1089" s="59"/>
      <c r="L1089" s="59"/>
      <c r="M1089" s="60"/>
      <c r="N1089" s="60"/>
      <c r="O1089" s="60"/>
      <c r="P1089" s="59"/>
      <c r="Q1089" s="59"/>
      <c r="R1089" s="60"/>
      <c r="S1089" s="60"/>
      <c r="T1089" s="60"/>
      <c r="U1089" s="60"/>
      <c r="V1089" s="60"/>
      <c r="W1089" s="60"/>
    </row>
    <row r="1090" spans="1:23" ht="13" x14ac:dyDescent="0.3">
      <c r="A1090" s="58"/>
      <c r="B1090" s="58"/>
      <c r="C1090" s="58"/>
      <c r="D1090" s="58"/>
      <c r="E1090" s="58"/>
      <c r="F1090" s="58"/>
      <c r="G1090" s="58"/>
      <c r="H1090" s="59"/>
      <c r="I1090" s="59"/>
      <c r="J1090" s="59"/>
      <c r="K1090" s="59"/>
      <c r="L1090" s="59"/>
      <c r="M1090" s="60"/>
      <c r="N1090" s="60"/>
      <c r="O1090" s="60"/>
      <c r="P1090" s="59"/>
      <c r="Q1090" s="59"/>
      <c r="R1090" s="60"/>
      <c r="S1090" s="60"/>
      <c r="T1090" s="60"/>
      <c r="U1090" s="60"/>
      <c r="V1090" s="60"/>
      <c r="W1090" s="60"/>
    </row>
    <row r="1091" spans="1:23" ht="13" x14ac:dyDescent="0.3">
      <c r="A1091" s="58"/>
      <c r="B1091" s="58"/>
      <c r="C1091" s="58"/>
      <c r="D1091" s="58"/>
      <c r="E1091" s="58"/>
      <c r="F1091" s="58"/>
      <c r="G1091" s="58"/>
      <c r="H1091" s="59"/>
      <c r="I1091" s="59"/>
      <c r="J1091" s="59"/>
      <c r="K1091" s="59"/>
      <c r="L1091" s="59"/>
      <c r="M1091" s="60"/>
      <c r="N1091" s="60"/>
      <c r="O1091" s="60"/>
      <c r="P1091" s="59"/>
      <c r="Q1091" s="59"/>
      <c r="R1091" s="60"/>
      <c r="S1091" s="60"/>
      <c r="T1091" s="60"/>
      <c r="U1091" s="60"/>
      <c r="V1091" s="60"/>
      <c r="W1091" s="60"/>
    </row>
    <row r="1092" spans="1:23" ht="13" x14ac:dyDescent="0.3">
      <c r="A1092" s="58"/>
      <c r="B1092" s="58"/>
      <c r="C1092" s="58"/>
      <c r="D1092" s="58"/>
      <c r="E1092" s="58"/>
      <c r="F1092" s="58"/>
      <c r="G1092" s="58"/>
      <c r="H1092" s="59"/>
      <c r="I1092" s="59"/>
      <c r="J1092" s="59"/>
      <c r="K1092" s="59"/>
      <c r="L1092" s="59"/>
      <c r="M1092" s="60"/>
      <c r="N1092" s="60"/>
      <c r="O1092" s="60"/>
      <c r="P1092" s="59"/>
      <c r="Q1092" s="59"/>
      <c r="R1092" s="60"/>
      <c r="S1092" s="60"/>
      <c r="T1092" s="60"/>
      <c r="U1092" s="60"/>
      <c r="V1092" s="60"/>
      <c r="W1092" s="60"/>
    </row>
    <row r="1093" spans="1:23" ht="13" x14ac:dyDescent="0.3">
      <c r="A1093" s="58"/>
      <c r="B1093" s="58"/>
      <c r="C1093" s="58"/>
      <c r="D1093" s="58"/>
      <c r="E1093" s="58"/>
      <c r="F1093" s="58"/>
      <c r="G1093" s="58"/>
      <c r="H1093" s="59"/>
      <c r="I1093" s="59"/>
      <c r="J1093" s="59"/>
      <c r="K1093" s="59"/>
      <c r="L1093" s="59"/>
      <c r="M1093" s="60"/>
      <c r="N1093" s="60"/>
      <c r="O1093" s="60"/>
      <c r="P1093" s="59"/>
      <c r="Q1093" s="59"/>
      <c r="R1093" s="60"/>
      <c r="S1093" s="60"/>
      <c r="T1093" s="60"/>
      <c r="U1093" s="60"/>
      <c r="V1093" s="60"/>
      <c r="W1093" s="60"/>
    </row>
    <row r="1094" spans="1:23" ht="13" x14ac:dyDescent="0.3">
      <c r="A1094" s="58"/>
      <c r="B1094" s="58"/>
      <c r="C1094" s="58"/>
      <c r="D1094" s="58"/>
      <c r="E1094" s="58"/>
      <c r="F1094" s="58"/>
      <c r="G1094" s="58"/>
      <c r="H1094" s="59"/>
      <c r="I1094" s="59"/>
      <c r="J1094" s="59"/>
      <c r="K1094" s="59"/>
      <c r="L1094" s="59"/>
      <c r="M1094" s="60"/>
      <c r="N1094" s="60"/>
      <c r="O1094" s="60"/>
      <c r="P1094" s="59"/>
      <c r="Q1094" s="59"/>
      <c r="R1094" s="60"/>
      <c r="S1094" s="60"/>
      <c r="T1094" s="60"/>
      <c r="U1094" s="60"/>
      <c r="V1094" s="60"/>
      <c r="W1094" s="60"/>
    </row>
    <row r="1095" spans="1:23" ht="13" x14ac:dyDescent="0.3">
      <c r="A1095" s="58"/>
      <c r="B1095" s="58"/>
      <c r="C1095" s="58"/>
      <c r="D1095" s="58"/>
      <c r="E1095" s="58"/>
      <c r="F1095" s="58"/>
      <c r="G1095" s="58"/>
      <c r="H1095" s="59"/>
      <c r="I1095" s="59"/>
      <c r="J1095" s="59"/>
      <c r="K1095" s="59"/>
      <c r="L1095" s="59"/>
      <c r="M1095" s="60"/>
      <c r="N1095" s="60"/>
      <c r="O1095" s="60"/>
      <c r="P1095" s="59"/>
      <c r="Q1095" s="59"/>
      <c r="R1095" s="60"/>
      <c r="S1095" s="60"/>
      <c r="T1095" s="60"/>
      <c r="U1095" s="60"/>
      <c r="V1095" s="60"/>
      <c r="W1095" s="60"/>
    </row>
    <row r="1096" spans="1:23" ht="13" x14ac:dyDescent="0.3">
      <c r="A1096" s="58"/>
      <c r="B1096" s="58"/>
      <c r="C1096" s="58"/>
      <c r="D1096" s="58"/>
      <c r="E1096" s="58"/>
      <c r="F1096" s="58"/>
      <c r="G1096" s="58"/>
      <c r="H1096" s="59"/>
      <c r="I1096" s="59"/>
      <c r="J1096" s="59"/>
      <c r="K1096" s="59"/>
      <c r="L1096" s="59"/>
      <c r="M1096" s="60"/>
      <c r="N1096" s="60"/>
      <c r="O1096" s="60"/>
      <c r="P1096" s="59"/>
      <c r="Q1096" s="59"/>
      <c r="R1096" s="60"/>
      <c r="S1096" s="60"/>
      <c r="T1096" s="60"/>
      <c r="U1096" s="60"/>
      <c r="V1096" s="60"/>
      <c r="W1096" s="60"/>
    </row>
    <row r="1097" spans="1:23" ht="13" x14ac:dyDescent="0.3">
      <c r="A1097" s="58"/>
      <c r="B1097" s="58"/>
      <c r="C1097" s="58"/>
      <c r="D1097" s="58"/>
      <c r="E1097" s="58"/>
      <c r="F1097" s="58"/>
      <c r="G1097" s="58"/>
      <c r="H1097" s="59"/>
      <c r="I1097" s="59"/>
      <c r="J1097" s="59"/>
      <c r="K1097" s="59"/>
      <c r="L1097" s="59"/>
      <c r="M1097" s="60"/>
      <c r="N1097" s="60"/>
      <c r="O1097" s="60"/>
      <c r="P1097" s="59"/>
      <c r="Q1097" s="59"/>
      <c r="R1097" s="60"/>
      <c r="S1097" s="60"/>
      <c r="T1097" s="60"/>
      <c r="U1097" s="60"/>
      <c r="V1097" s="60"/>
      <c r="W1097" s="60"/>
    </row>
    <row r="1098" spans="1:23" ht="13" x14ac:dyDescent="0.3">
      <c r="A1098" s="58"/>
      <c r="B1098" s="58"/>
      <c r="C1098" s="58"/>
      <c r="D1098" s="58"/>
      <c r="E1098" s="58"/>
      <c r="F1098" s="58"/>
      <c r="G1098" s="58"/>
      <c r="H1098" s="59"/>
      <c r="I1098" s="59"/>
      <c r="J1098" s="59"/>
      <c r="K1098" s="59"/>
      <c r="L1098" s="59"/>
      <c r="M1098" s="60"/>
      <c r="N1098" s="60"/>
      <c r="O1098" s="60"/>
      <c r="P1098" s="59"/>
      <c r="Q1098" s="59"/>
      <c r="R1098" s="60"/>
      <c r="S1098" s="60"/>
      <c r="T1098" s="60"/>
      <c r="U1098" s="60"/>
      <c r="V1098" s="60"/>
      <c r="W1098" s="60"/>
    </row>
    <row r="1099" spans="1:23" ht="13" x14ac:dyDescent="0.3">
      <c r="A1099" s="58"/>
      <c r="B1099" s="58"/>
      <c r="C1099" s="58"/>
      <c r="D1099" s="58"/>
      <c r="E1099" s="58"/>
      <c r="F1099" s="58"/>
      <c r="G1099" s="58"/>
      <c r="H1099" s="59"/>
      <c r="I1099" s="59"/>
      <c r="J1099" s="59"/>
      <c r="K1099" s="59"/>
      <c r="L1099" s="59"/>
      <c r="M1099" s="60"/>
      <c r="N1099" s="60"/>
      <c r="O1099" s="60"/>
      <c r="P1099" s="59"/>
      <c r="Q1099" s="59"/>
      <c r="R1099" s="60"/>
      <c r="S1099" s="60"/>
      <c r="T1099" s="60"/>
      <c r="U1099" s="60"/>
      <c r="V1099" s="60"/>
      <c r="W1099" s="60"/>
    </row>
    <row r="1100" spans="1:23" ht="13" x14ac:dyDescent="0.3">
      <c r="A1100" s="58"/>
      <c r="B1100" s="58"/>
      <c r="C1100" s="58"/>
      <c r="D1100" s="58"/>
      <c r="E1100" s="58"/>
      <c r="F1100" s="58"/>
      <c r="G1100" s="58"/>
      <c r="H1100" s="59"/>
      <c r="I1100" s="59"/>
      <c r="J1100" s="59"/>
      <c r="K1100" s="59"/>
      <c r="L1100" s="59"/>
      <c r="M1100" s="60"/>
      <c r="N1100" s="60"/>
      <c r="O1100" s="60"/>
      <c r="P1100" s="59"/>
      <c r="Q1100" s="59"/>
      <c r="R1100" s="60"/>
      <c r="S1100" s="60"/>
      <c r="T1100" s="60"/>
      <c r="U1100" s="60"/>
      <c r="V1100" s="60"/>
      <c r="W1100" s="60"/>
    </row>
    <row r="1101" spans="1:23" ht="13" x14ac:dyDescent="0.3">
      <c r="A1101" s="58"/>
      <c r="B1101" s="58"/>
      <c r="C1101" s="58"/>
      <c r="D1101" s="58"/>
      <c r="E1101" s="58"/>
      <c r="F1101" s="58"/>
      <c r="G1101" s="58"/>
      <c r="H1101" s="59"/>
      <c r="I1101" s="59"/>
      <c r="J1101" s="59"/>
      <c r="K1101" s="59"/>
      <c r="L1101" s="59"/>
      <c r="M1101" s="60"/>
      <c r="N1101" s="60"/>
      <c r="O1101" s="60"/>
      <c r="P1101" s="59"/>
      <c r="Q1101" s="59"/>
      <c r="R1101" s="60"/>
      <c r="S1101" s="60"/>
      <c r="T1101" s="60"/>
      <c r="U1101" s="60"/>
      <c r="V1101" s="60"/>
      <c r="W1101" s="60"/>
    </row>
    <row r="1102" spans="1:23" ht="13" x14ac:dyDescent="0.3">
      <c r="A1102" s="58"/>
      <c r="B1102" s="58"/>
      <c r="C1102" s="58"/>
      <c r="D1102" s="58"/>
      <c r="E1102" s="58"/>
      <c r="F1102" s="58"/>
      <c r="G1102" s="58"/>
      <c r="H1102" s="59"/>
      <c r="I1102" s="59"/>
      <c r="J1102" s="59"/>
      <c r="K1102" s="59"/>
      <c r="L1102" s="59"/>
      <c r="M1102" s="60"/>
      <c r="N1102" s="60"/>
      <c r="O1102" s="60"/>
      <c r="P1102" s="59"/>
      <c r="Q1102" s="59"/>
      <c r="R1102" s="60"/>
      <c r="S1102" s="60"/>
      <c r="T1102" s="60"/>
      <c r="U1102" s="60"/>
      <c r="V1102" s="60"/>
      <c r="W1102" s="60"/>
    </row>
    <row r="1103" spans="1:23" ht="13" x14ac:dyDescent="0.3">
      <c r="A1103" s="58"/>
      <c r="B1103" s="58"/>
      <c r="C1103" s="58"/>
      <c r="D1103" s="58"/>
      <c r="E1103" s="58"/>
      <c r="F1103" s="58"/>
      <c r="G1103" s="58"/>
      <c r="H1103" s="59"/>
      <c r="I1103" s="59"/>
      <c r="J1103" s="59"/>
      <c r="K1103" s="59"/>
      <c r="L1103" s="59"/>
      <c r="M1103" s="60"/>
      <c r="N1103" s="60"/>
      <c r="O1103" s="60"/>
      <c r="P1103" s="59"/>
      <c r="Q1103" s="59"/>
      <c r="R1103" s="60"/>
      <c r="S1103" s="60"/>
      <c r="T1103" s="60"/>
      <c r="U1103" s="60"/>
      <c r="V1103" s="60"/>
      <c r="W1103" s="60"/>
    </row>
    <row r="1104" spans="1:23" ht="13" x14ac:dyDescent="0.3">
      <c r="A1104" s="58"/>
      <c r="B1104" s="58"/>
      <c r="C1104" s="58"/>
      <c r="D1104" s="58"/>
      <c r="E1104" s="58"/>
      <c r="F1104" s="58"/>
      <c r="G1104" s="58"/>
      <c r="H1104" s="59"/>
      <c r="I1104" s="59"/>
      <c r="J1104" s="59"/>
      <c r="K1104" s="59"/>
      <c r="L1104" s="59"/>
      <c r="M1104" s="60"/>
      <c r="N1104" s="60"/>
      <c r="O1104" s="60"/>
      <c r="P1104" s="59"/>
      <c r="Q1104" s="59"/>
      <c r="R1104" s="60"/>
      <c r="S1104" s="60"/>
      <c r="T1104" s="60"/>
      <c r="U1104" s="60"/>
      <c r="V1104" s="60"/>
      <c r="W1104" s="60"/>
    </row>
    <row r="1105" spans="1:23" ht="13" x14ac:dyDescent="0.3">
      <c r="A1105" s="58"/>
      <c r="B1105" s="58"/>
      <c r="C1105" s="58"/>
      <c r="D1105" s="58"/>
      <c r="E1105" s="58"/>
      <c r="F1105" s="58"/>
      <c r="G1105" s="58"/>
      <c r="H1105" s="59"/>
      <c r="I1105" s="59"/>
      <c r="J1105" s="59"/>
      <c r="K1105" s="59"/>
      <c r="L1105" s="59"/>
      <c r="M1105" s="60"/>
      <c r="N1105" s="60"/>
      <c r="O1105" s="60"/>
      <c r="P1105" s="59"/>
      <c r="Q1105" s="59"/>
      <c r="R1105" s="60"/>
      <c r="S1105" s="60"/>
      <c r="T1105" s="60"/>
      <c r="U1105" s="60"/>
      <c r="V1105" s="60"/>
      <c r="W1105" s="60"/>
    </row>
    <row r="1106" spans="1:23" ht="13" x14ac:dyDescent="0.3">
      <c r="A1106" s="58"/>
      <c r="B1106" s="58"/>
      <c r="C1106" s="58"/>
      <c r="D1106" s="58"/>
      <c r="E1106" s="58"/>
      <c r="F1106" s="58"/>
      <c r="G1106" s="58"/>
      <c r="H1106" s="59"/>
      <c r="I1106" s="59"/>
      <c r="J1106" s="59"/>
      <c r="K1106" s="59"/>
      <c r="L1106" s="59"/>
      <c r="M1106" s="60"/>
      <c r="N1106" s="60"/>
      <c r="O1106" s="60"/>
      <c r="P1106" s="59"/>
      <c r="Q1106" s="59"/>
      <c r="R1106" s="60"/>
      <c r="S1106" s="60"/>
      <c r="T1106" s="60"/>
      <c r="U1106" s="60"/>
      <c r="V1106" s="60"/>
      <c r="W1106" s="60"/>
    </row>
    <row r="1107" spans="1:23" ht="13" x14ac:dyDescent="0.3">
      <c r="A1107" s="58"/>
      <c r="B1107" s="58"/>
      <c r="C1107" s="58"/>
      <c r="D1107" s="58"/>
      <c r="E1107" s="58"/>
      <c r="F1107" s="58"/>
      <c r="G1107" s="58"/>
      <c r="H1107" s="59"/>
      <c r="I1107" s="59"/>
      <c r="J1107" s="59"/>
      <c r="K1107" s="59"/>
      <c r="L1107" s="59"/>
      <c r="M1107" s="60"/>
      <c r="N1107" s="60"/>
      <c r="O1107" s="60"/>
      <c r="P1107" s="59"/>
      <c r="Q1107" s="59"/>
      <c r="R1107" s="60"/>
      <c r="S1107" s="60"/>
      <c r="T1107" s="60"/>
      <c r="U1107" s="60"/>
      <c r="V1107" s="60"/>
      <c r="W1107" s="60"/>
    </row>
    <row r="1108" spans="1:23" ht="13" x14ac:dyDescent="0.3">
      <c r="A1108" s="58"/>
      <c r="B1108" s="58"/>
      <c r="C1108" s="58"/>
      <c r="D1108" s="58"/>
      <c r="E1108" s="58"/>
      <c r="F1108" s="58"/>
      <c r="G1108" s="58"/>
      <c r="H1108" s="59"/>
      <c r="I1108" s="59"/>
      <c r="J1108" s="59"/>
      <c r="K1108" s="59"/>
      <c r="L1108" s="59"/>
      <c r="M1108" s="60"/>
      <c r="N1108" s="60"/>
      <c r="O1108" s="60"/>
      <c r="P1108" s="59"/>
      <c r="Q1108" s="59"/>
      <c r="R1108" s="60"/>
      <c r="S1108" s="60"/>
      <c r="T1108" s="60"/>
      <c r="U1108" s="60"/>
      <c r="V1108" s="60"/>
      <c r="W1108" s="60"/>
    </row>
    <row r="1109" spans="1:23" ht="13" x14ac:dyDescent="0.3">
      <c r="A1109" s="58"/>
      <c r="B1109" s="58"/>
      <c r="C1109" s="58"/>
      <c r="D1109" s="58"/>
      <c r="E1109" s="58"/>
      <c r="F1109" s="58"/>
      <c r="G1109" s="58"/>
      <c r="H1109" s="59"/>
      <c r="I1109" s="59"/>
      <c r="J1109" s="59"/>
      <c r="K1109" s="59"/>
      <c r="L1109" s="59"/>
      <c r="M1109" s="60"/>
      <c r="N1109" s="60"/>
      <c r="O1109" s="60"/>
      <c r="P1109" s="59"/>
      <c r="Q1109" s="59"/>
      <c r="R1109" s="60"/>
      <c r="S1109" s="60"/>
      <c r="T1109" s="60"/>
      <c r="U1109" s="60"/>
      <c r="V1109" s="60"/>
      <c r="W1109" s="60"/>
    </row>
    <row r="1110" spans="1:23" ht="13" x14ac:dyDescent="0.3">
      <c r="A1110" s="58"/>
      <c r="B1110" s="58"/>
      <c r="C1110" s="58"/>
      <c r="D1110" s="58"/>
      <c r="E1110" s="58"/>
      <c r="F1110" s="58"/>
      <c r="G1110" s="58"/>
      <c r="H1110" s="59"/>
      <c r="I1110" s="59"/>
      <c r="J1110" s="59"/>
      <c r="K1110" s="59"/>
      <c r="L1110" s="59"/>
      <c r="M1110" s="60"/>
      <c r="N1110" s="60"/>
      <c r="O1110" s="60"/>
      <c r="P1110" s="59"/>
      <c r="Q1110" s="59"/>
      <c r="R1110" s="60"/>
      <c r="S1110" s="60"/>
      <c r="T1110" s="60"/>
      <c r="U1110" s="60"/>
      <c r="V1110" s="60"/>
      <c r="W1110" s="60"/>
    </row>
    <row r="1111" spans="1:23" ht="13" x14ac:dyDescent="0.3">
      <c r="A1111" s="58"/>
      <c r="B1111" s="58"/>
      <c r="C1111" s="58"/>
      <c r="D1111" s="58"/>
      <c r="E1111" s="58"/>
      <c r="F1111" s="58"/>
      <c r="G1111" s="58"/>
      <c r="H1111" s="59"/>
      <c r="I1111" s="59"/>
      <c r="J1111" s="59"/>
      <c r="K1111" s="59"/>
      <c r="L1111" s="59"/>
      <c r="M1111" s="60"/>
      <c r="N1111" s="60"/>
      <c r="O1111" s="60"/>
      <c r="P1111" s="59"/>
      <c r="Q1111" s="59"/>
      <c r="R1111" s="60"/>
      <c r="S1111" s="60"/>
      <c r="T1111" s="60"/>
      <c r="U1111" s="60"/>
      <c r="V1111" s="60"/>
      <c r="W1111" s="60"/>
    </row>
    <row r="1112" spans="1:23" ht="13" x14ac:dyDescent="0.3">
      <c r="A1112" s="58"/>
      <c r="B1112" s="58"/>
      <c r="C1112" s="58"/>
      <c r="D1112" s="58"/>
      <c r="E1112" s="58"/>
      <c r="F1112" s="58"/>
      <c r="G1112" s="58"/>
      <c r="H1112" s="59"/>
      <c r="I1112" s="59"/>
      <c r="J1112" s="59"/>
      <c r="K1112" s="59"/>
      <c r="L1112" s="59"/>
      <c r="M1112" s="60"/>
      <c r="N1112" s="60"/>
      <c r="O1112" s="60"/>
      <c r="P1112" s="59"/>
      <c r="Q1112" s="59"/>
      <c r="R1112" s="60"/>
      <c r="S1112" s="60"/>
      <c r="T1112" s="60"/>
      <c r="U1112" s="60"/>
      <c r="V1112" s="60"/>
      <c r="W1112" s="60"/>
    </row>
    <row r="1113" spans="1:23" ht="13" x14ac:dyDescent="0.3">
      <c r="A1113" s="58"/>
      <c r="B1113" s="58"/>
      <c r="C1113" s="58"/>
      <c r="D1113" s="58"/>
      <c r="E1113" s="58"/>
      <c r="F1113" s="58"/>
      <c r="G1113" s="58"/>
      <c r="H1113" s="59"/>
      <c r="I1113" s="59"/>
      <c r="J1113" s="59"/>
      <c r="K1113" s="59"/>
      <c r="L1113" s="59"/>
      <c r="M1113" s="60"/>
      <c r="N1113" s="60"/>
      <c r="O1113" s="60"/>
      <c r="P1113" s="59"/>
      <c r="Q1113" s="59"/>
      <c r="R1113" s="60"/>
      <c r="S1113" s="60"/>
      <c r="T1113" s="60"/>
      <c r="U1113" s="60"/>
      <c r="V1113" s="60"/>
      <c r="W1113" s="60"/>
    </row>
    <row r="1114" spans="1:23" ht="13" x14ac:dyDescent="0.3">
      <c r="A1114" s="58"/>
      <c r="B1114" s="58"/>
      <c r="C1114" s="58"/>
      <c r="D1114" s="58"/>
      <c r="E1114" s="58"/>
      <c r="F1114" s="58"/>
      <c r="G1114" s="58"/>
      <c r="H1114" s="59"/>
      <c r="I1114" s="59"/>
      <c r="J1114" s="59"/>
      <c r="K1114" s="59"/>
      <c r="L1114" s="59"/>
      <c r="M1114" s="60"/>
      <c r="N1114" s="60"/>
      <c r="O1114" s="60"/>
      <c r="P1114" s="59"/>
      <c r="Q1114" s="59"/>
      <c r="R1114" s="60"/>
      <c r="S1114" s="60"/>
      <c r="T1114" s="60"/>
      <c r="U1114" s="60"/>
      <c r="V1114" s="60"/>
      <c r="W1114" s="60"/>
    </row>
    <row r="1115" spans="1:23" ht="13" x14ac:dyDescent="0.3">
      <c r="A1115" s="58"/>
      <c r="B1115" s="58"/>
      <c r="C1115" s="58"/>
      <c r="D1115" s="58"/>
      <c r="E1115" s="58"/>
      <c r="F1115" s="58"/>
      <c r="G1115" s="58"/>
      <c r="H1115" s="59"/>
      <c r="I1115" s="59"/>
      <c r="J1115" s="59"/>
      <c r="K1115" s="59"/>
      <c r="L1115" s="59"/>
      <c r="M1115" s="60"/>
      <c r="N1115" s="60"/>
      <c r="O1115" s="60"/>
      <c r="P1115" s="59"/>
      <c r="Q1115" s="59"/>
      <c r="R1115" s="60"/>
      <c r="S1115" s="60"/>
      <c r="T1115" s="60"/>
      <c r="U1115" s="60"/>
      <c r="V1115" s="60"/>
      <c r="W1115" s="60"/>
    </row>
    <row r="1116" spans="1:23" ht="13" x14ac:dyDescent="0.3">
      <c r="A1116" s="58"/>
      <c r="B1116" s="58"/>
      <c r="C1116" s="58"/>
      <c r="D1116" s="58"/>
      <c r="E1116" s="58"/>
      <c r="F1116" s="58"/>
      <c r="G1116" s="58"/>
      <c r="H1116" s="59"/>
      <c r="I1116" s="59"/>
      <c r="J1116" s="59"/>
      <c r="K1116" s="59"/>
      <c r="L1116" s="59"/>
      <c r="M1116" s="60"/>
      <c r="N1116" s="60"/>
      <c r="O1116" s="60"/>
      <c r="P1116" s="59"/>
      <c r="Q1116" s="59"/>
      <c r="R1116" s="60"/>
      <c r="S1116" s="60"/>
      <c r="T1116" s="60"/>
      <c r="U1116" s="60"/>
      <c r="V1116" s="60"/>
      <c r="W1116" s="60"/>
    </row>
    <row r="1117" spans="1:23" ht="13" x14ac:dyDescent="0.3">
      <c r="A1117" s="58"/>
      <c r="B1117" s="58"/>
      <c r="C1117" s="58"/>
      <c r="D1117" s="58"/>
      <c r="E1117" s="58"/>
      <c r="F1117" s="58"/>
      <c r="G1117" s="58"/>
      <c r="H1117" s="59"/>
      <c r="I1117" s="59"/>
      <c r="J1117" s="59"/>
      <c r="K1117" s="59"/>
      <c r="L1117" s="59"/>
      <c r="M1117" s="60"/>
      <c r="N1117" s="60"/>
      <c r="O1117" s="60"/>
      <c r="P1117" s="59"/>
      <c r="Q1117" s="59"/>
      <c r="R1117" s="60"/>
      <c r="S1117" s="60"/>
      <c r="T1117" s="60"/>
      <c r="U1117" s="60"/>
      <c r="V1117" s="60"/>
      <c r="W1117" s="60"/>
    </row>
    <row r="1118" spans="1:23" ht="13" x14ac:dyDescent="0.3">
      <c r="A1118" s="58"/>
      <c r="B1118" s="58"/>
      <c r="C1118" s="58"/>
      <c r="D1118" s="58"/>
      <c r="E1118" s="58"/>
      <c r="F1118" s="58"/>
      <c r="G1118" s="58"/>
      <c r="H1118" s="59"/>
      <c r="I1118" s="59"/>
      <c r="J1118" s="59"/>
      <c r="K1118" s="59"/>
      <c r="L1118" s="59"/>
      <c r="M1118" s="60"/>
      <c r="N1118" s="60"/>
      <c r="O1118" s="60"/>
      <c r="P1118" s="59"/>
      <c r="Q1118" s="59"/>
      <c r="R1118" s="60"/>
      <c r="S1118" s="60"/>
      <c r="T1118" s="60"/>
      <c r="U1118" s="60"/>
      <c r="V1118" s="60"/>
      <c r="W1118" s="60"/>
    </row>
    <row r="1119" spans="1:23" ht="13" x14ac:dyDescent="0.3">
      <c r="A1119" s="58"/>
      <c r="B1119" s="58"/>
      <c r="C1119" s="58"/>
      <c r="D1119" s="58"/>
      <c r="E1119" s="58"/>
      <c r="F1119" s="58"/>
      <c r="G1119" s="58"/>
      <c r="H1119" s="59"/>
      <c r="I1119" s="59"/>
      <c r="J1119" s="59"/>
      <c r="K1119" s="59"/>
      <c r="L1119" s="59"/>
      <c r="M1119" s="60"/>
      <c r="N1119" s="60"/>
      <c r="O1119" s="60"/>
      <c r="P1119" s="59"/>
      <c r="Q1119" s="59"/>
      <c r="R1119" s="60"/>
      <c r="S1119" s="60"/>
      <c r="T1119" s="60"/>
      <c r="U1119" s="60"/>
      <c r="V1119" s="60"/>
      <c r="W1119" s="60"/>
    </row>
    <row r="1120" spans="1:23" ht="13" x14ac:dyDescent="0.3">
      <c r="A1120" s="58"/>
      <c r="B1120" s="58"/>
      <c r="C1120" s="58"/>
      <c r="D1120" s="58"/>
      <c r="E1120" s="58"/>
      <c r="F1120" s="58"/>
      <c r="G1120" s="58"/>
      <c r="H1120" s="59"/>
      <c r="I1120" s="59"/>
      <c r="J1120" s="59"/>
      <c r="K1120" s="59"/>
      <c r="L1120" s="59"/>
      <c r="M1120" s="60"/>
      <c r="N1120" s="60"/>
      <c r="O1120" s="60"/>
      <c r="P1120" s="59"/>
      <c r="Q1120" s="59"/>
      <c r="R1120" s="60"/>
      <c r="S1120" s="60"/>
      <c r="T1120" s="60"/>
      <c r="U1120" s="60"/>
      <c r="V1120" s="60"/>
      <c r="W1120" s="60"/>
    </row>
    <row r="1121" spans="1:23" ht="13" x14ac:dyDescent="0.3">
      <c r="A1121" s="58"/>
      <c r="B1121" s="58"/>
      <c r="C1121" s="58"/>
      <c r="D1121" s="58"/>
      <c r="E1121" s="58"/>
      <c r="F1121" s="58"/>
      <c r="G1121" s="58"/>
      <c r="H1121" s="59"/>
      <c r="I1121" s="59"/>
      <c r="J1121" s="59"/>
      <c r="K1121" s="59"/>
      <c r="L1121" s="59"/>
      <c r="M1121" s="60"/>
      <c r="N1121" s="60"/>
      <c r="O1121" s="60"/>
      <c r="P1121" s="59"/>
      <c r="Q1121" s="59"/>
      <c r="R1121" s="60"/>
      <c r="S1121" s="60"/>
      <c r="T1121" s="60"/>
      <c r="U1121" s="60"/>
      <c r="V1121" s="60"/>
      <c r="W1121" s="60"/>
    </row>
    <row r="1122" spans="1:23" ht="13" x14ac:dyDescent="0.3">
      <c r="A1122" s="58"/>
      <c r="B1122" s="58"/>
      <c r="C1122" s="58"/>
      <c r="D1122" s="58"/>
      <c r="E1122" s="58"/>
      <c r="F1122" s="58"/>
      <c r="G1122" s="58"/>
      <c r="H1122" s="59"/>
      <c r="I1122" s="59"/>
      <c r="J1122" s="59"/>
      <c r="K1122" s="59"/>
      <c r="L1122" s="59"/>
      <c r="M1122" s="60"/>
      <c r="N1122" s="60"/>
      <c r="O1122" s="60"/>
      <c r="P1122" s="59"/>
      <c r="Q1122" s="59"/>
      <c r="R1122" s="60"/>
      <c r="S1122" s="60"/>
      <c r="T1122" s="60"/>
      <c r="U1122" s="60"/>
      <c r="V1122" s="60"/>
      <c r="W1122" s="60"/>
    </row>
    <row r="1123" spans="1:23" ht="13" x14ac:dyDescent="0.3">
      <c r="A1123" s="58"/>
      <c r="B1123" s="58"/>
      <c r="C1123" s="58"/>
      <c r="D1123" s="58"/>
      <c r="E1123" s="58"/>
      <c r="F1123" s="58"/>
      <c r="G1123" s="58"/>
      <c r="H1123" s="59"/>
      <c r="I1123" s="59"/>
      <c r="J1123" s="59"/>
      <c r="K1123" s="59"/>
      <c r="L1123" s="59"/>
      <c r="M1123" s="60"/>
      <c r="N1123" s="60"/>
      <c r="O1123" s="60"/>
      <c r="P1123" s="59"/>
      <c r="Q1123" s="59"/>
      <c r="R1123" s="60"/>
      <c r="S1123" s="60"/>
      <c r="T1123" s="60"/>
      <c r="U1123" s="60"/>
      <c r="V1123" s="60"/>
      <c r="W1123" s="60"/>
    </row>
    <row r="1124" spans="1:23" ht="13" x14ac:dyDescent="0.3">
      <c r="A1124" s="58"/>
      <c r="B1124" s="58"/>
      <c r="C1124" s="58"/>
      <c r="D1124" s="58"/>
      <c r="E1124" s="58"/>
      <c r="F1124" s="58"/>
      <c r="G1124" s="58"/>
      <c r="H1124" s="59"/>
      <c r="I1124" s="59"/>
      <c r="J1124" s="59"/>
      <c r="K1124" s="59"/>
      <c r="L1124" s="59"/>
      <c r="M1124" s="60"/>
      <c r="N1124" s="60"/>
      <c r="O1124" s="60"/>
      <c r="P1124" s="59"/>
      <c r="Q1124" s="59"/>
      <c r="R1124" s="60"/>
      <c r="S1124" s="60"/>
      <c r="T1124" s="60"/>
      <c r="U1124" s="60"/>
      <c r="V1124" s="60"/>
      <c r="W1124" s="60"/>
    </row>
    <row r="1125" spans="1:23" ht="13" x14ac:dyDescent="0.3">
      <c r="A1125" s="58"/>
      <c r="B1125" s="58"/>
      <c r="C1125" s="58"/>
      <c r="D1125" s="58"/>
      <c r="E1125" s="58"/>
      <c r="F1125" s="58"/>
      <c r="G1125" s="58"/>
      <c r="H1125" s="59"/>
      <c r="I1125" s="59"/>
      <c r="J1125" s="59"/>
      <c r="K1125" s="59"/>
      <c r="L1125" s="59"/>
      <c r="M1125" s="60"/>
      <c r="N1125" s="60"/>
      <c r="O1125" s="60"/>
      <c r="P1125" s="59"/>
      <c r="Q1125" s="59"/>
      <c r="R1125" s="60"/>
      <c r="S1125" s="60"/>
      <c r="T1125" s="60"/>
      <c r="U1125" s="60"/>
      <c r="V1125" s="60"/>
      <c r="W1125" s="60"/>
    </row>
    <row r="1126" spans="1:23" ht="13" x14ac:dyDescent="0.3">
      <c r="A1126" s="58"/>
      <c r="B1126" s="58"/>
      <c r="C1126" s="58"/>
      <c r="D1126" s="58"/>
      <c r="E1126" s="58"/>
      <c r="F1126" s="58"/>
      <c r="G1126" s="58"/>
      <c r="H1126" s="59"/>
      <c r="I1126" s="59"/>
      <c r="J1126" s="59"/>
      <c r="K1126" s="59"/>
      <c r="L1126" s="59"/>
      <c r="M1126" s="60"/>
      <c r="N1126" s="60"/>
      <c r="O1126" s="60"/>
      <c r="P1126" s="59"/>
      <c r="Q1126" s="59"/>
      <c r="R1126" s="60"/>
      <c r="S1126" s="60"/>
      <c r="T1126" s="60"/>
      <c r="U1126" s="60"/>
      <c r="V1126" s="60"/>
      <c r="W1126" s="60"/>
    </row>
    <row r="1127" spans="1:23" ht="13" x14ac:dyDescent="0.3">
      <c r="A1127" s="58"/>
      <c r="B1127" s="58"/>
      <c r="C1127" s="58"/>
      <c r="D1127" s="58"/>
      <c r="E1127" s="58"/>
      <c r="F1127" s="58"/>
      <c r="G1127" s="58"/>
      <c r="H1127" s="59"/>
      <c r="I1127" s="59"/>
      <c r="J1127" s="59"/>
      <c r="K1127" s="59"/>
      <c r="L1127" s="59"/>
      <c r="M1127" s="60"/>
      <c r="N1127" s="60"/>
      <c r="O1127" s="60"/>
      <c r="P1127" s="59"/>
      <c r="Q1127" s="59"/>
      <c r="R1127" s="60"/>
      <c r="S1127" s="60"/>
      <c r="T1127" s="60"/>
      <c r="U1127" s="60"/>
      <c r="V1127" s="60"/>
      <c r="W1127" s="60"/>
    </row>
    <row r="1128" spans="1:23" ht="13" x14ac:dyDescent="0.3">
      <c r="A1128" s="58"/>
      <c r="B1128" s="58"/>
      <c r="C1128" s="58"/>
      <c r="D1128" s="58"/>
      <c r="E1128" s="58"/>
      <c r="F1128" s="58"/>
      <c r="G1128" s="58"/>
      <c r="H1128" s="59"/>
      <c r="I1128" s="59"/>
      <c r="J1128" s="59"/>
      <c r="K1128" s="59"/>
      <c r="L1128" s="59"/>
      <c r="M1128" s="60"/>
      <c r="N1128" s="60"/>
      <c r="O1128" s="60"/>
      <c r="P1128" s="59"/>
      <c r="Q1128" s="59"/>
      <c r="R1128" s="60"/>
      <c r="S1128" s="60"/>
      <c r="T1128" s="60"/>
      <c r="U1128" s="60"/>
      <c r="V1128" s="60"/>
      <c r="W1128" s="60"/>
    </row>
    <row r="1129" spans="1:23" ht="13" x14ac:dyDescent="0.3">
      <c r="A1129" s="58"/>
      <c r="B1129" s="58"/>
      <c r="C1129" s="58"/>
      <c r="D1129" s="58"/>
      <c r="E1129" s="58"/>
      <c r="F1129" s="58"/>
      <c r="G1129" s="58"/>
      <c r="H1129" s="59"/>
      <c r="I1129" s="59"/>
      <c r="J1129" s="59"/>
      <c r="K1129" s="59"/>
      <c r="L1129" s="59"/>
      <c r="M1129" s="60"/>
      <c r="N1129" s="60"/>
      <c r="O1129" s="60"/>
      <c r="P1129" s="59"/>
      <c r="Q1129" s="59"/>
      <c r="R1129" s="60"/>
      <c r="S1129" s="60"/>
      <c r="T1129" s="60"/>
      <c r="U1129" s="60"/>
      <c r="V1129" s="60"/>
      <c r="W1129" s="60"/>
    </row>
    <row r="1130" spans="1:23" ht="13" x14ac:dyDescent="0.3">
      <c r="A1130" s="58"/>
      <c r="B1130" s="58"/>
      <c r="C1130" s="58"/>
      <c r="D1130" s="58"/>
      <c r="E1130" s="58"/>
      <c r="F1130" s="58"/>
      <c r="G1130" s="58"/>
      <c r="H1130" s="59"/>
      <c r="I1130" s="59"/>
      <c r="J1130" s="59"/>
      <c r="K1130" s="59"/>
      <c r="L1130" s="59"/>
      <c r="M1130" s="60"/>
      <c r="N1130" s="60"/>
      <c r="O1130" s="60"/>
      <c r="P1130" s="59"/>
      <c r="Q1130" s="59"/>
      <c r="R1130" s="60"/>
      <c r="S1130" s="60"/>
      <c r="T1130" s="60"/>
      <c r="U1130" s="60"/>
      <c r="V1130" s="60"/>
      <c r="W1130" s="60"/>
    </row>
    <row r="1131" spans="1:23" ht="13" x14ac:dyDescent="0.3">
      <c r="A1131" s="58"/>
      <c r="B1131" s="58"/>
      <c r="C1131" s="58"/>
      <c r="D1131" s="58"/>
      <c r="E1131" s="58"/>
      <c r="F1131" s="58"/>
      <c r="G1131" s="58"/>
      <c r="H1131" s="59"/>
      <c r="I1131" s="59"/>
      <c r="J1131" s="59"/>
      <c r="K1131" s="59"/>
      <c r="L1131" s="59"/>
      <c r="M1131" s="60"/>
      <c r="N1131" s="60"/>
      <c r="O1131" s="60"/>
      <c r="P1131" s="59"/>
      <c r="Q1131" s="59"/>
      <c r="R1131" s="60"/>
      <c r="S1131" s="60"/>
      <c r="T1131" s="60"/>
      <c r="U1131" s="60"/>
      <c r="V1131" s="60"/>
      <c r="W1131" s="60"/>
    </row>
    <row r="1132" spans="1:23" ht="13" x14ac:dyDescent="0.3">
      <c r="A1132" s="58"/>
      <c r="B1132" s="58"/>
      <c r="C1132" s="58"/>
      <c r="D1132" s="58"/>
      <c r="E1132" s="58"/>
      <c r="F1132" s="58"/>
      <c r="G1132" s="58"/>
      <c r="H1132" s="59"/>
      <c r="I1132" s="59"/>
      <c r="J1132" s="59"/>
      <c r="K1132" s="59"/>
      <c r="L1132" s="59"/>
      <c r="M1132" s="60"/>
      <c r="N1132" s="60"/>
      <c r="O1132" s="60"/>
      <c r="P1132" s="59"/>
      <c r="Q1132" s="59"/>
      <c r="R1132" s="60"/>
      <c r="S1132" s="60"/>
      <c r="T1132" s="60"/>
      <c r="U1132" s="60"/>
      <c r="V1132" s="60"/>
      <c r="W1132" s="60"/>
    </row>
    <row r="1133" spans="1:23" ht="13" x14ac:dyDescent="0.3">
      <c r="A1133" s="58"/>
      <c r="B1133" s="58"/>
      <c r="C1133" s="58"/>
      <c r="D1133" s="58"/>
      <c r="E1133" s="58"/>
      <c r="F1133" s="58"/>
      <c r="G1133" s="58"/>
      <c r="H1133" s="59"/>
      <c r="I1133" s="59"/>
      <c r="J1133" s="59"/>
      <c r="K1133" s="59"/>
      <c r="L1133" s="59"/>
      <c r="M1133" s="60"/>
      <c r="N1133" s="60"/>
      <c r="O1133" s="60"/>
      <c r="P1133" s="59"/>
      <c r="Q1133" s="59"/>
      <c r="R1133" s="60"/>
      <c r="S1133" s="60"/>
      <c r="T1133" s="60"/>
      <c r="U1133" s="60"/>
      <c r="V1133" s="60"/>
      <c r="W1133" s="60"/>
    </row>
    <row r="1134" spans="1:23" ht="13" x14ac:dyDescent="0.3">
      <c r="A1134" s="58"/>
      <c r="B1134" s="58"/>
      <c r="C1134" s="58"/>
      <c r="D1134" s="58"/>
      <c r="E1134" s="58"/>
      <c r="F1134" s="58"/>
      <c r="G1134" s="58"/>
      <c r="H1134" s="59"/>
      <c r="I1134" s="59"/>
      <c r="J1134" s="59"/>
      <c r="K1134" s="59"/>
      <c r="L1134" s="59"/>
      <c r="M1134" s="60"/>
      <c r="N1134" s="60"/>
      <c r="O1134" s="60"/>
      <c r="P1134" s="59"/>
      <c r="Q1134" s="59"/>
      <c r="R1134" s="60"/>
      <c r="S1134" s="60"/>
      <c r="T1134" s="60"/>
      <c r="U1134" s="60"/>
      <c r="V1134" s="60"/>
      <c r="W1134" s="60"/>
    </row>
    <row r="1135" spans="1:23" ht="13" x14ac:dyDescent="0.3">
      <c r="A1135" s="58"/>
      <c r="B1135" s="58"/>
      <c r="C1135" s="58"/>
      <c r="D1135" s="58"/>
      <c r="E1135" s="58"/>
      <c r="F1135" s="58"/>
      <c r="G1135" s="58"/>
      <c r="H1135" s="59"/>
      <c r="I1135" s="59"/>
      <c r="J1135" s="59"/>
      <c r="K1135" s="59"/>
      <c r="L1135" s="59"/>
      <c r="M1135" s="60"/>
      <c r="N1135" s="60"/>
      <c r="O1135" s="60"/>
      <c r="P1135" s="59"/>
      <c r="Q1135" s="59"/>
      <c r="R1135" s="60"/>
      <c r="S1135" s="60"/>
      <c r="T1135" s="60"/>
      <c r="U1135" s="60"/>
      <c r="V1135" s="60"/>
      <c r="W1135" s="60"/>
    </row>
    <row r="1136" spans="1:23" ht="13" x14ac:dyDescent="0.3">
      <c r="A1136" s="58"/>
      <c r="B1136" s="58"/>
      <c r="C1136" s="58"/>
      <c r="D1136" s="58"/>
      <c r="E1136" s="58"/>
      <c r="F1136" s="58"/>
      <c r="G1136" s="58"/>
      <c r="H1136" s="59"/>
      <c r="I1136" s="59"/>
      <c r="J1136" s="59"/>
      <c r="K1136" s="59"/>
      <c r="L1136" s="59"/>
      <c r="M1136" s="60"/>
      <c r="N1136" s="60"/>
      <c r="O1136" s="60"/>
      <c r="P1136" s="59"/>
      <c r="Q1136" s="59"/>
      <c r="R1136" s="60"/>
      <c r="S1136" s="60"/>
      <c r="T1136" s="60"/>
      <c r="U1136" s="60"/>
      <c r="V1136" s="60"/>
      <c r="W1136" s="60"/>
    </row>
    <row r="1137" spans="1:23" ht="13" x14ac:dyDescent="0.3">
      <c r="A1137" s="58"/>
      <c r="B1137" s="58"/>
      <c r="C1137" s="58"/>
      <c r="D1137" s="58"/>
      <c r="E1137" s="58"/>
      <c r="F1137" s="58"/>
      <c r="G1137" s="58"/>
      <c r="H1137" s="59"/>
      <c r="I1137" s="59"/>
      <c r="J1137" s="59"/>
      <c r="K1137" s="59"/>
      <c r="L1137" s="59"/>
      <c r="M1137" s="60"/>
      <c r="N1137" s="60"/>
      <c r="O1137" s="60"/>
      <c r="P1137" s="59"/>
      <c r="Q1137" s="59"/>
      <c r="R1137" s="60"/>
      <c r="S1137" s="60"/>
      <c r="T1137" s="60"/>
      <c r="U1137" s="60"/>
      <c r="V1137" s="60"/>
      <c r="W1137" s="60"/>
    </row>
    <row r="1138" spans="1:23" ht="13" x14ac:dyDescent="0.3">
      <c r="A1138" s="58"/>
      <c r="B1138" s="58"/>
      <c r="C1138" s="58"/>
      <c r="D1138" s="58"/>
      <c r="E1138" s="58"/>
      <c r="F1138" s="58"/>
      <c r="G1138" s="58"/>
      <c r="H1138" s="59"/>
      <c r="I1138" s="59"/>
      <c r="J1138" s="59"/>
      <c r="K1138" s="59"/>
      <c r="L1138" s="59"/>
      <c r="M1138" s="60"/>
      <c r="N1138" s="60"/>
      <c r="O1138" s="60"/>
      <c r="P1138" s="59"/>
      <c r="Q1138" s="59"/>
      <c r="R1138" s="60"/>
      <c r="S1138" s="60"/>
      <c r="T1138" s="60"/>
      <c r="U1138" s="60"/>
      <c r="V1138" s="60"/>
      <c r="W1138" s="60"/>
    </row>
    <row r="1139" spans="1:23" ht="13" x14ac:dyDescent="0.3">
      <c r="A1139" s="58"/>
      <c r="B1139" s="58"/>
      <c r="C1139" s="58"/>
      <c r="D1139" s="58"/>
      <c r="E1139" s="58"/>
      <c r="F1139" s="58"/>
      <c r="G1139" s="58"/>
      <c r="H1139" s="59"/>
      <c r="I1139" s="59"/>
      <c r="J1139" s="59"/>
      <c r="K1139" s="59"/>
      <c r="L1139" s="59"/>
      <c r="M1139" s="60"/>
      <c r="N1139" s="60"/>
      <c r="O1139" s="60"/>
      <c r="P1139" s="59"/>
      <c r="Q1139" s="59"/>
      <c r="R1139" s="60"/>
      <c r="S1139" s="60"/>
      <c r="T1139" s="60"/>
      <c r="U1139" s="60"/>
      <c r="V1139" s="60"/>
      <c r="W1139" s="60"/>
    </row>
    <row r="1140" spans="1:23" ht="13" x14ac:dyDescent="0.3">
      <c r="A1140" s="58"/>
      <c r="B1140" s="58"/>
      <c r="C1140" s="58"/>
      <c r="D1140" s="58"/>
      <c r="E1140" s="58"/>
      <c r="F1140" s="58"/>
      <c r="G1140" s="58"/>
      <c r="H1140" s="59"/>
      <c r="I1140" s="59"/>
      <c r="J1140" s="59"/>
      <c r="K1140" s="59"/>
      <c r="L1140" s="59"/>
      <c r="M1140" s="60"/>
      <c r="N1140" s="60"/>
      <c r="O1140" s="60"/>
      <c r="P1140" s="59"/>
      <c r="Q1140" s="59"/>
      <c r="R1140" s="60"/>
      <c r="S1140" s="60"/>
      <c r="T1140" s="60"/>
      <c r="U1140" s="60"/>
      <c r="V1140" s="60"/>
      <c r="W1140" s="60"/>
    </row>
    <row r="1141" spans="1:23" ht="13" x14ac:dyDescent="0.3">
      <c r="A1141" s="58"/>
      <c r="B1141" s="58"/>
      <c r="C1141" s="58"/>
      <c r="D1141" s="58"/>
      <c r="E1141" s="58"/>
      <c r="F1141" s="58"/>
      <c r="G1141" s="58"/>
      <c r="H1141" s="59"/>
      <c r="I1141" s="59"/>
      <c r="J1141" s="59"/>
      <c r="K1141" s="59"/>
      <c r="L1141" s="59"/>
      <c r="M1141" s="60"/>
      <c r="N1141" s="60"/>
      <c r="O1141" s="60"/>
      <c r="P1141" s="59"/>
      <c r="Q1141" s="59"/>
      <c r="R1141" s="60"/>
      <c r="S1141" s="60"/>
      <c r="T1141" s="60"/>
      <c r="U1141" s="60"/>
      <c r="V1141" s="60"/>
      <c r="W1141" s="60"/>
    </row>
    <row r="1142" spans="1:23" ht="13" x14ac:dyDescent="0.3">
      <c r="A1142" s="58"/>
      <c r="B1142" s="58"/>
      <c r="C1142" s="58"/>
      <c r="D1142" s="58"/>
      <c r="E1142" s="58"/>
      <c r="F1142" s="58"/>
      <c r="G1142" s="58"/>
      <c r="H1142" s="59"/>
      <c r="I1142" s="59"/>
      <c r="J1142" s="59"/>
      <c r="K1142" s="59"/>
      <c r="L1142" s="59"/>
      <c r="M1142" s="60"/>
      <c r="N1142" s="60"/>
      <c r="O1142" s="60"/>
      <c r="P1142" s="59"/>
      <c r="Q1142" s="59"/>
      <c r="R1142" s="60"/>
      <c r="S1142" s="60"/>
      <c r="T1142" s="60"/>
      <c r="U1142" s="60"/>
      <c r="V1142" s="60"/>
      <c r="W1142" s="60"/>
    </row>
    <row r="1143" spans="1:23" ht="13" x14ac:dyDescent="0.3">
      <c r="A1143" s="58"/>
      <c r="B1143" s="58"/>
      <c r="C1143" s="58"/>
      <c r="D1143" s="58"/>
      <c r="E1143" s="58"/>
      <c r="F1143" s="58"/>
      <c r="G1143" s="58"/>
      <c r="H1143" s="59"/>
      <c r="I1143" s="59"/>
      <c r="J1143" s="59"/>
      <c r="K1143" s="59"/>
      <c r="L1143" s="59"/>
      <c r="M1143" s="60"/>
      <c r="N1143" s="60"/>
      <c r="O1143" s="60"/>
      <c r="P1143" s="59"/>
      <c r="Q1143" s="59"/>
      <c r="R1143" s="60"/>
      <c r="S1143" s="60"/>
      <c r="T1143" s="60"/>
      <c r="U1143" s="60"/>
      <c r="V1143" s="60"/>
      <c r="W1143" s="60"/>
    </row>
    <row r="1144" spans="1:23" ht="13" x14ac:dyDescent="0.3">
      <c r="A1144" s="58"/>
      <c r="B1144" s="58"/>
      <c r="C1144" s="58"/>
      <c r="D1144" s="58"/>
      <c r="E1144" s="58"/>
      <c r="F1144" s="58"/>
      <c r="G1144" s="58"/>
      <c r="H1144" s="59"/>
      <c r="I1144" s="59"/>
      <c r="J1144" s="59"/>
      <c r="K1144" s="59"/>
      <c r="L1144" s="59"/>
      <c r="M1144" s="60"/>
      <c r="N1144" s="60"/>
      <c r="O1144" s="60"/>
      <c r="P1144" s="59"/>
      <c r="Q1144" s="59"/>
      <c r="R1144" s="60"/>
      <c r="S1144" s="60"/>
      <c r="T1144" s="60"/>
      <c r="U1144" s="60"/>
      <c r="V1144" s="60"/>
      <c r="W1144" s="60"/>
    </row>
    <row r="1145" spans="1:23" ht="13" x14ac:dyDescent="0.3">
      <c r="A1145" s="58"/>
      <c r="B1145" s="58"/>
      <c r="C1145" s="58"/>
      <c r="D1145" s="58"/>
      <c r="E1145" s="58"/>
      <c r="F1145" s="58"/>
      <c r="G1145" s="58"/>
      <c r="H1145" s="59"/>
      <c r="I1145" s="59"/>
      <c r="J1145" s="59"/>
      <c r="K1145" s="59"/>
      <c r="L1145" s="59"/>
      <c r="M1145" s="60"/>
      <c r="N1145" s="60"/>
      <c r="O1145" s="60"/>
      <c r="P1145" s="59"/>
      <c r="Q1145" s="59"/>
      <c r="R1145" s="60"/>
      <c r="S1145" s="60"/>
      <c r="T1145" s="60"/>
      <c r="U1145" s="60"/>
      <c r="V1145" s="60"/>
      <c r="W1145" s="60"/>
    </row>
    <row r="1146" spans="1:23" ht="13" x14ac:dyDescent="0.3">
      <c r="A1146" s="58"/>
      <c r="B1146" s="58"/>
      <c r="C1146" s="58"/>
      <c r="D1146" s="58"/>
      <c r="E1146" s="58"/>
      <c r="F1146" s="58"/>
      <c r="G1146" s="58"/>
      <c r="H1146" s="59"/>
      <c r="I1146" s="59"/>
      <c r="J1146" s="59"/>
      <c r="K1146" s="59"/>
      <c r="L1146" s="59"/>
      <c r="M1146" s="60"/>
      <c r="N1146" s="60"/>
      <c r="O1146" s="60"/>
      <c r="P1146" s="59"/>
      <c r="Q1146" s="59"/>
      <c r="R1146" s="60"/>
      <c r="S1146" s="60"/>
      <c r="T1146" s="60"/>
      <c r="U1146" s="60"/>
      <c r="V1146" s="60"/>
      <c r="W1146" s="60"/>
    </row>
    <row r="1147" spans="1:23" ht="13" x14ac:dyDescent="0.3">
      <c r="A1147" s="58"/>
      <c r="B1147" s="58"/>
      <c r="C1147" s="58"/>
      <c r="D1147" s="58"/>
      <c r="E1147" s="58"/>
      <c r="F1147" s="58"/>
      <c r="G1147" s="58"/>
      <c r="H1147" s="59"/>
      <c r="I1147" s="59"/>
      <c r="J1147" s="59"/>
      <c r="K1147" s="59"/>
      <c r="L1147" s="59"/>
      <c r="M1147" s="60"/>
      <c r="N1147" s="60"/>
      <c r="O1147" s="60"/>
      <c r="P1147" s="59"/>
      <c r="Q1147" s="59"/>
      <c r="R1147" s="60"/>
      <c r="S1147" s="60"/>
      <c r="T1147" s="60"/>
      <c r="U1147" s="60"/>
      <c r="V1147" s="60"/>
      <c r="W1147" s="60"/>
    </row>
    <row r="1148" spans="1:23" ht="13" x14ac:dyDescent="0.3">
      <c r="A1148" s="58"/>
      <c r="B1148" s="58"/>
      <c r="C1148" s="58"/>
      <c r="D1148" s="58"/>
      <c r="E1148" s="58"/>
      <c r="F1148" s="58"/>
      <c r="G1148" s="58"/>
      <c r="H1148" s="59"/>
      <c r="I1148" s="59"/>
      <c r="J1148" s="59"/>
      <c r="K1148" s="59"/>
      <c r="L1148" s="59"/>
      <c r="M1148" s="60"/>
      <c r="N1148" s="60"/>
      <c r="O1148" s="60"/>
      <c r="P1148" s="59"/>
      <c r="Q1148" s="59"/>
      <c r="R1148" s="60"/>
      <c r="S1148" s="60"/>
      <c r="T1148" s="60"/>
      <c r="U1148" s="60"/>
      <c r="V1148" s="60"/>
      <c r="W1148" s="60"/>
    </row>
    <row r="1149" spans="1:23" ht="13" x14ac:dyDescent="0.3">
      <c r="A1149" s="58"/>
      <c r="B1149" s="58"/>
      <c r="C1149" s="58"/>
      <c r="D1149" s="58"/>
      <c r="E1149" s="58"/>
      <c r="F1149" s="58"/>
      <c r="G1149" s="58"/>
      <c r="H1149" s="59"/>
      <c r="I1149" s="59"/>
      <c r="J1149" s="59"/>
      <c r="K1149" s="59"/>
      <c r="L1149" s="59"/>
      <c r="M1149" s="60"/>
      <c r="N1149" s="60"/>
      <c r="O1149" s="60"/>
      <c r="P1149" s="59"/>
      <c r="Q1149" s="59"/>
      <c r="R1149" s="60"/>
      <c r="S1149" s="60"/>
      <c r="T1149" s="60"/>
      <c r="U1149" s="60"/>
      <c r="V1149" s="60"/>
      <c r="W1149" s="60"/>
    </row>
    <row r="1150" spans="1:23" ht="13" x14ac:dyDescent="0.3">
      <c r="A1150" s="58"/>
      <c r="B1150" s="58"/>
      <c r="C1150" s="58"/>
      <c r="D1150" s="58"/>
      <c r="E1150" s="58"/>
      <c r="F1150" s="58"/>
      <c r="G1150" s="58"/>
      <c r="H1150" s="59"/>
      <c r="I1150" s="59"/>
      <c r="J1150" s="59"/>
      <c r="K1150" s="59"/>
      <c r="L1150" s="59"/>
      <c r="M1150" s="60"/>
      <c r="N1150" s="60"/>
      <c r="O1150" s="60"/>
      <c r="P1150" s="59"/>
      <c r="Q1150" s="59"/>
      <c r="R1150" s="60"/>
      <c r="S1150" s="60"/>
      <c r="T1150" s="60"/>
      <c r="U1150" s="60"/>
      <c r="V1150" s="60"/>
      <c r="W1150" s="60"/>
    </row>
    <row r="1151" spans="1:23" ht="13" x14ac:dyDescent="0.3">
      <c r="A1151" s="58"/>
      <c r="B1151" s="58"/>
      <c r="C1151" s="58"/>
      <c r="D1151" s="58"/>
      <c r="E1151" s="58"/>
      <c r="F1151" s="58"/>
      <c r="G1151" s="58"/>
      <c r="H1151" s="59"/>
      <c r="I1151" s="59"/>
      <c r="J1151" s="59"/>
      <c r="K1151" s="59"/>
      <c r="L1151" s="59"/>
      <c r="M1151" s="60"/>
      <c r="N1151" s="60"/>
      <c r="O1151" s="60"/>
      <c r="P1151" s="59"/>
      <c r="Q1151" s="59"/>
      <c r="R1151" s="60"/>
      <c r="S1151" s="60"/>
      <c r="T1151" s="60"/>
      <c r="U1151" s="60"/>
      <c r="V1151" s="60"/>
      <c r="W1151" s="60"/>
    </row>
    <row r="1152" spans="1:23" ht="13" x14ac:dyDescent="0.3">
      <c r="A1152" s="58"/>
      <c r="B1152" s="58"/>
      <c r="C1152" s="58"/>
      <c r="D1152" s="58"/>
      <c r="E1152" s="58"/>
      <c r="F1152" s="58"/>
      <c r="G1152" s="58"/>
      <c r="H1152" s="59"/>
      <c r="I1152" s="59"/>
      <c r="J1152" s="59"/>
      <c r="K1152" s="59"/>
      <c r="L1152" s="59"/>
      <c r="M1152" s="60"/>
      <c r="N1152" s="60"/>
      <c r="O1152" s="60"/>
      <c r="P1152" s="59"/>
      <c r="Q1152" s="59"/>
      <c r="R1152" s="60"/>
      <c r="S1152" s="60"/>
      <c r="T1152" s="60"/>
      <c r="U1152" s="60"/>
      <c r="V1152" s="60"/>
      <c r="W1152" s="60"/>
    </row>
    <row r="1153" spans="1:23" ht="13" x14ac:dyDescent="0.3">
      <c r="A1153" s="58"/>
      <c r="B1153" s="58"/>
      <c r="C1153" s="58"/>
      <c r="D1153" s="58"/>
      <c r="E1153" s="58"/>
      <c r="F1153" s="58"/>
      <c r="G1153" s="58"/>
      <c r="H1153" s="59"/>
      <c r="I1153" s="59"/>
      <c r="J1153" s="59"/>
      <c r="K1153" s="59"/>
      <c r="L1153" s="59"/>
      <c r="M1153" s="60"/>
      <c r="N1153" s="60"/>
      <c r="O1153" s="60"/>
      <c r="P1153" s="59"/>
      <c r="Q1153" s="59"/>
      <c r="R1153" s="60"/>
      <c r="S1153" s="60"/>
      <c r="T1153" s="60"/>
      <c r="U1153" s="60"/>
      <c r="V1153" s="60"/>
      <c r="W1153" s="60"/>
    </row>
    <row r="1154" spans="1:23" ht="13" x14ac:dyDescent="0.3">
      <c r="A1154" s="58"/>
      <c r="B1154" s="58"/>
      <c r="C1154" s="58"/>
      <c r="D1154" s="58"/>
      <c r="E1154" s="58"/>
      <c r="F1154" s="58"/>
      <c r="G1154" s="58"/>
      <c r="H1154" s="59"/>
      <c r="I1154" s="59"/>
      <c r="J1154" s="59"/>
      <c r="K1154" s="59"/>
      <c r="L1154" s="59"/>
      <c r="M1154" s="60"/>
      <c r="N1154" s="60"/>
      <c r="O1154" s="60"/>
      <c r="P1154" s="59"/>
      <c r="Q1154" s="59"/>
      <c r="R1154" s="60"/>
      <c r="S1154" s="60"/>
      <c r="T1154" s="60"/>
      <c r="U1154" s="60"/>
      <c r="V1154" s="60"/>
      <c r="W1154" s="60"/>
    </row>
    <row r="1155" spans="1:23" ht="13" x14ac:dyDescent="0.3">
      <c r="A1155" s="58"/>
      <c r="B1155" s="58"/>
      <c r="C1155" s="58"/>
      <c r="D1155" s="58"/>
      <c r="E1155" s="58"/>
      <c r="F1155" s="58"/>
      <c r="G1155" s="58"/>
      <c r="H1155" s="59"/>
      <c r="I1155" s="59"/>
      <c r="J1155" s="59"/>
      <c r="K1155" s="59"/>
      <c r="L1155" s="59"/>
      <c r="M1155" s="60"/>
      <c r="N1155" s="60"/>
      <c r="O1155" s="60"/>
      <c r="P1155" s="59"/>
      <c r="Q1155" s="59"/>
      <c r="R1155" s="60"/>
      <c r="S1155" s="60"/>
      <c r="T1155" s="60"/>
      <c r="U1155" s="60"/>
      <c r="V1155" s="60"/>
      <c r="W1155" s="60"/>
    </row>
    <row r="1156" spans="1:23" ht="13" x14ac:dyDescent="0.3">
      <c r="A1156" s="58"/>
      <c r="B1156" s="58"/>
      <c r="C1156" s="58"/>
      <c r="D1156" s="58"/>
      <c r="E1156" s="58"/>
      <c r="F1156" s="58"/>
      <c r="G1156" s="58"/>
      <c r="H1156" s="59"/>
      <c r="I1156" s="59"/>
      <c r="J1156" s="59"/>
      <c r="K1156" s="59"/>
      <c r="L1156" s="59"/>
      <c r="M1156" s="60"/>
      <c r="N1156" s="60"/>
      <c r="O1156" s="60"/>
      <c r="P1156" s="59"/>
      <c r="Q1156" s="59"/>
      <c r="R1156" s="60"/>
      <c r="S1156" s="60"/>
      <c r="T1156" s="60"/>
      <c r="U1156" s="60"/>
      <c r="V1156" s="60"/>
      <c r="W1156" s="60"/>
    </row>
    <row r="1157" spans="1:23" ht="13" x14ac:dyDescent="0.3">
      <c r="A1157" s="58"/>
      <c r="B1157" s="58"/>
      <c r="C1157" s="58"/>
      <c r="D1157" s="58"/>
      <c r="E1157" s="58"/>
      <c r="F1157" s="58"/>
      <c r="G1157" s="58"/>
      <c r="H1157" s="59"/>
      <c r="I1157" s="59"/>
      <c r="J1157" s="59"/>
      <c r="K1157" s="59"/>
      <c r="L1157" s="59"/>
      <c r="M1157" s="60"/>
      <c r="N1157" s="60"/>
      <c r="O1157" s="60"/>
      <c r="P1157" s="59"/>
      <c r="Q1157" s="59"/>
      <c r="R1157" s="60"/>
      <c r="S1157" s="60"/>
      <c r="T1157" s="60"/>
      <c r="U1157" s="60"/>
      <c r="V1157" s="60"/>
      <c r="W1157" s="60"/>
    </row>
    <row r="1158" spans="1:23" ht="13" x14ac:dyDescent="0.3">
      <c r="A1158" s="58"/>
      <c r="B1158" s="58"/>
      <c r="C1158" s="58"/>
      <c r="D1158" s="58"/>
      <c r="E1158" s="58"/>
      <c r="F1158" s="58"/>
      <c r="G1158" s="58"/>
      <c r="H1158" s="59"/>
      <c r="I1158" s="59"/>
      <c r="J1158" s="59"/>
      <c r="K1158" s="59"/>
      <c r="L1158" s="59"/>
      <c r="M1158" s="60"/>
      <c r="N1158" s="60"/>
      <c r="O1158" s="60"/>
      <c r="P1158" s="59"/>
      <c r="Q1158" s="59"/>
      <c r="R1158" s="60"/>
      <c r="S1158" s="60"/>
      <c r="T1158" s="60"/>
      <c r="U1158" s="60"/>
      <c r="V1158" s="60"/>
      <c r="W1158" s="60"/>
    </row>
    <row r="1159" spans="1:23" ht="13" x14ac:dyDescent="0.3">
      <c r="A1159" s="58"/>
      <c r="B1159" s="58"/>
      <c r="C1159" s="58"/>
      <c r="D1159" s="58"/>
      <c r="E1159" s="58"/>
      <c r="F1159" s="58"/>
      <c r="G1159" s="58"/>
      <c r="H1159" s="59"/>
      <c r="I1159" s="59"/>
      <c r="J1159" s="59"/>
      <c r="K1159" s="59"/>
      <c r="L1159" s="59"/>
      <c r="M1159" s="60"/>
      <c r="N1159" s="60"/>
      <c r="O1159" s="60"/>
      <c r="P1159" s="59"/>
      <c r="Q1159" s="59"/>
      <c r="R1159" s="60"/>
      <c r="S1159" s="60"/>
      <c r="T1159" s="60"/>
      <c r="U1159" s="60"/>
      <c r="V1159" s="60"/>
      <c r="W1159" s="60"/>
    </row>
    <row r="1160" spans="1:23" ht="13" x14ac:dyDescent="0.3">
      <c r="A1160" s="58"/>
      <c r="B1160" s="58"/>
      <c r="C1160" s="58"/>
      <c r="D1160" s="58"/>
      <c r="E1160" s="58"/>
      <c r="F1160" s="58"/>
      <c r="G1160" s="58"/>
      <c r="H1160" s="59"/>
      <c r="I1160" s="59"/>
      <c r="J1160" s="59"/>
      <c r="K1160" s="59"/>
      <c r="L1160" s="59"/>
      <c r="M1160" s="60"/>
      <c r="N1160" s="60"/>
      <c r="O1160" s="60"/>
      <c r="P1160" s="59"/>
      <c r="Q1160" s="59"/>
      <c r="R1160" s="60"/>
      <c r="S1160" s="60"/>
      <c r="T1160" s="60"/>
      <c r="U1160" s="60"/>
      <c r="V1160" s="60"/>
      <c r="W1160" s="60"/>
    </row>
    <row r="1161" spans="1:23" ht="13" x14ac:dyDescent="0.3">
      <c r="A1161" s="58"/>
      <c r="B1161" s="58"/>
      <c r="C1161" s="58"/>
      <c r="D1161" s="58"/>
      <c r="E1161" s="58"/>
      <c r="F1161" s="58"/>
      <c r="G1161" s="58"/>
      <c r="H1161" s="59"/>
      <c r="I1161" s="59"/>
      <c r="J1161" s="59"/>
      <c r="K1161" s="59"/>
      <c r="L1161" s="59"/>
      <c r="M1161" s="60"/>
      <c r="N1161" s="60"/>
      <c r="O1161" s="60"/>
      <c r="P1161" s="59"/>
      <c r="Q1161" s="59"/>
      <c r="R1161" s="60"/>
      <c r="S1161" s="60"/>
      <c r="T1161" s="60"/>
      <c r="U1161" s="60"/>
      <c r="V1161" s="60"/>
      <c r="W1161" s="60"/>
    </row>
    <row r="1162" spans="1:23" ht="13" x14ac:dyDescent="0.3">
      <c r="A1162" s="58"/>
      <c r="B1162" s="58"/>
      <c r="C1162" s="58"/>
      <c r="D1162" s="58"/>
      <c r="E1162" s="58"/>
      <c r="F1162" s="58"/>
      <c r="G1162" s="58"/>
      <c r="H1162" s="59"/>
      <c r="I1162" s="59"/>
      <c r="J1162" s="59"/>
      <c r="K1162" s="59"/>
      <c r="L1162" s="59"/>
      <c r="M1162" s="60"/>
      <c r="N1162" s="60"/>
      <c r="O1162" s="60"/>
      <c r="P1162" s="59"/>
      <c r="Q1162" s="59"/>
      <c r="R1162" s="60"/>
      <c r="S1162" s="60"/>
      <c r="T1162" s="60"/>
      <c r="U1162" s="60"/>
      <c r="V1162" s="60"/>
      <c r="W1162" s="60"/>
    </row>
    <row r="1163" spans="1:23" ht="13" x14ac:dyDescent="0.3">
      <c r="A1163" s="58"/>
      <c r="B1163" s="58"/>
      <c r="C1163" s="58"/>
      <c r="D1163" s="58"/>
      <c r="E1163" s="58"/>
      <c r="F1163" s="58"/>
      <c r="G1163" s="58"/>
      <c r="H1163" s="59"/>
      <c r="I1163" s="59"/>
      <c r="J1163" s="59"/>
      <c r="K1163" s="59"/>
      <c r="L1163" s="59"/>
      <c r="M1163" s="60"/>
      <c r="N1163" s="60"/>
      <c r="O1163" s="60"/>
      <c r="P1163" s="59"/>
      <c r="Q1163" s="59"/>
      <c r="R1163" s="60"/>
      <c r="S1163" s="60"/>
      <c r="T1163" s="60"/>
      <c r="U1163" s="60"/>
      <c r="V1163" s="60"/>
      <c r="W1163" s="60"/>
    </row>
    <row r="1164" spans="1:23" ht="13" x14ac:dyDescent="0.3">
      <c r="A1164" s="58"/>
      <c r="B1164" s="58"/>
      <c r="C1164" s="58"/>
      <c r="D1164" s="58"/>
      <c r="E1164" s="58"/>
      <c r="F1164" s="58"/>
      <c r="G1164" s="58"/>
      <c r="H1164" s="59"/>
      <c r="I1164" s="59"/>
      <c r="J1164" s="59"/>
      <c r="K1164" s="59"/>
      <c r="L1164" s="59"/>
      <c r="M1164" s="60"/>
      <c r="N1164" s="60"/>
      <c r="O1164" s="60"/>
      <c r="P1164" s="59"/>
      <c r="Q1164" s="59"/>
      <c r="R1164" s="60"/>
      <c r="S1164" s="60"/>
      <c r="T1164" s="60"/>
      <c r="U1164" s="60"/>
      <c r="V1164" s="60"/>
      <c r="W1164" s="60"/>
    </row>
    <row r="1165" spans="1:23" ht="13" x14ac:dyDescent="0.3">
      <c r="A1165" s="58"/>
      <c r="B1165" s="58"/>
      <c r="C1165" s="58"/>
      <c r="D1165" s="58"/>
      <c r="E1165" s="58"/>
      <c r="F1165" s="58"/>
      <c r="G1165" s="58"/>
      <c r="H1165" s="59"/>
      <c r="I1165" s="59"/>
      <c r="J1165" s="59"/>
      <c r="K1165" s="59"/>
      <c r="L1165" s="59"/>
      <c r="M1165" s="60"/>
      <c r="N1165" s="60"/>
      <c r="O1165" s="60"/>
      <c r="P1165" s="59"/>
      <c r="Q1165" s="59"/>
      <c r="R1165" s="60"/>
      <c r="S1165" s="60"/>
      <c r="T1165" s="60"/>
      <c r="U1165" s="60"/>
      <c r="V1165" s="60"/>
      <c r="W1165" s="60"/>
    </row>
    <row r="1166" spans="1:23" ht="13" x14ac:dyDescent="0.3">
      <c r="A1166" s="58"/>
      <c r="B1166" s="58"/>
      <c r="C1166" s="58"/>
      <c r="D1166" s="58"/>
      <c r="E1166" s="58"/>
      <c r="F1166" s="58"/>
      <c r="G1166" s="58"/>
      <c r="H1166" s="59"/>
      <c r="I1166" s="59"/>
      <c r="J1166" s="59"/>
      <c r="K1166" s="59"/>
      <c r="L1166" s="59"/>
      <c r="M1166" s="60"/>
      <c r="N1166" s="60"/>
      <c r="O1166" s="60"/>
      <c r="P1166" s="59"/>
      <c r="Q1166" s="59"/>
      <c r="R1166" s="60"/>
      <c r="S1166" s="60"/>
      <c r="T1166" s="60"/>
      <c r="U1166" s="60"/>
      <c r="V1166" s="60"/>
      <c r="W1166" s="60"/>
    </row>
    <row r="1167" spans="1:23" ht="13" x14ac:dyDescent="0.3">
      <c r="A1167" s="58"/>
      <c r="B1167" s="58"/>
      <c r="C1167" s="58"/>
      <c r="D1167" s="58"/>
      <c r="E1167" s="58"/>
      <c r="F1167" s="58"/>
      <c r="G1167" s="58"/>
      <c r="H1167" s="59"/>
      <c r="I1167" s="59"/>
      <c r="J1167" s="59"/>
      <c r="K1167" s="59"/>
      <c r="L1167" s="59"/>
      <c r="M1167" s="60"/>
      <c r="N1167" s="60"/>
      <c r="O1167" s="60"/>
      <c r="P1167" s="59"/>
      <c r="Q1167" s="59"/>
      <c r="R1167" s="60"/>
      <c r="S1167" s="60"/>
      <c r="T1167" s="60"/>
      <c r="U1167" s="60"/>
      <c r="V1167" s="60"/>
      <c r="W1167" s="60"/>
    </row>
    <row r="1168" spans="1:23" ht="13" x14ac:dyDescent="0.3">
      <c r="A1168" s="58"/>
      <c r="B1168" s="58"/>
      <c r="C1168" s="58"/>
      <c r="D1168" s="58"/>
      <c r="E1168" s="58"/>
      <c r="F1168" s="58"/>
      <c r="G1168" s="58"/>
      <c r="H1168" s="59"/>
      <c r="I1168" s="59"/>
      <c r="J1168" s="59"/>
      <c r="K1168" s="59"/>
      <c r="L1168" s="59"/>
      <c r="M1168" s="60"/>
      <c r="N1168" s="60"/>
      <c r="O1168" s="60"/>
      <c r="P1168" s="59"/>
      <c r="Q1168" s="59"/>
      <c r="R1168" s="60"/>
      <c r="S1168" s="60"/>
      <c r="T1168" s="60"/>
      <c r="U1168" s="60"/>
      <c r="V1168" s="60"/>
      <c r="W1168" s="60"/>
    </row>
    <row r="1169" spans="1:23" ht="13" x14ac:dyDescent="0.3">
      <c r="A1169" s="58"/>
      <c r="B1169" s="58"/>
      <c r="C1169" s="58"/>
      <c r="D1169" s="58"/>
      <c r="E1169" s="58"/>
      <c r="F1169" s="58"/>
      <c r="G1169" s="58"/>
      <c r="H1169" s="59"/>
      <c r="I1169" s="59"/>
      <c r="J1169" s="59"/>
      <c r="K1169" s="59"/>
      <c r="L1169" s="59"/>
      <c r="M1169" s="60"/>
      <c r="N1169" s="60"/>
      <c r="O1169" s="60"/>
      <c r="P1169" s="59"/>
      <c r="Q1169" s="59"/>
      <c r="R1169" s="60"/>
      <c r="S1169" s="60"/>
      <c r="T1169" s="60"/>
      <c r="U1169" s="60"/>
      <c r="V1169" s="60"/>
      <c r="W1169" s="60"/>
    </row>
    <row r="1170" spans="1:23" ht="13" x14ac:dyDescent="0.3">
      <c r="A1170" s="58"/>
      <c r="B1170" s="58"/>
      <c r="C1170" s="58"/>
      <c r="D1170" s="58"/>
      <c r="E1170" s="58"/>
      <c r="F1170" s="58"/>
      <c r="G1170" s="58"/>
      <c r="H1170" s="59"/>
      <c r="I1170" s="59"/>
      <c r="J1170" s="59"/>
      <c r="K1170" s="59"/>
      <c r="L1170" s="59"/>
      <c r="M1170" s="60"/>
      <c r="N1170" s="60"/>
      <c r="O1170" s="60"/>
      <c r="P1170" s="59"/>
      <c r="Q1170" s="59"/>
      <c r="R1170" s="60"/>
      <c r="S1170" s="60"/>
      <c r="T1170" s="60"/>
      <c r="U1170" s="60"/>
      <c r="V1170" s="60"/>
      <c r="W1170" s="60"/>
    </row>
    <row r="1171" spans="1:23" ht="13" x14ac:dyDescent="0.3">
      <c r="A1171" s="58"/>
      <c r="B1171" s="58"/>
      <c r="C1171" s="58"/>
      <c r="D1171" s="58"/>
      <c r="E1171" s="58"/>
      <c r="F1171" s="58"/>
      <c r="G1171" s="58"/>
      <c r="H1171" s="59"/>
      <c r="I1171" s="59"/>
      <c r="J1171" s="59"/>
      <c r="K1171" s="59"/>
      <c r="L1171" s="59"/>
      <c r="M1171" s="60"/>
      <c r="N1171" s="60"/>
      <c r="O1171" s="60"/>
      <c r="P1171" s="59"/>
      <c r="Q1171" s="59"/>
      <c r="R1171" s="60"/>
      <c r="S1171" s="60"/>
      <c r="T1171" s="60"/>
      <c r="U1171" s="60"/>
      <c r="V1171" s="60"/>
      <c r="W1171" s="60"/>
    </row>
    <row r="1172" spans="1:23" ht="13" x14ac:dyDescent="0.3">
      <c r="A1172" s="58"/>
      <c r="B1172" s="58"/>
      <c r="C1172" s="58"/>
      <c r="D1172" s="58"/>
      <c r="E1172" s="58"/>
      <c r="F1172" s="58"/>
      <c r="G1172" s="58"/>
      <c r="H1172" s="59"/>
      <c r="I1172" s="59"/>
      <c r="J1172" s="59"/>
      <c r="K1172" s="59"/>
      <c r="L1172" s="59"/>
      <c r="M1172" s="60"/>
      <c r="N1172" s="60"/>
      <c r="O1172" s="60"/>
      <c r="P1172" s="59"/>
      <c r="Q1172" s="59"/>
      <c r="R1172" s="60"/>
      <c r="S1172" s="60"/>
      <c r="T1172" s="60"/>
      <c r="U1172" s="60"/>
      <c r="V1172" s="60"/>
      <c r="W1172" s="60"/>
    </row>
    <row r="1173" spans="1:23" ht="13" x14ac:dyDescent="0.3">
      <c r="A1173" s="58"/>
      <c r="B1173" s="58"/>
      <c r="C1173" s="58"/>
      <c r="D1173" s="58"/>
      <c r="E1173" s="58"/>
      <c r="F1173" s="58"/>
      <c r="G1173" s="58"/>
      <c r="H1173" s="59"/>
      <c r="I1173" s="59"/>
      <c r="J1173" s="59"/>
      <c r="K1173" s="59"/>
      <c r="L1173" s="59"/>
      <c r="M1173" s="60"/>
      <c r="N1173" s="60"/>
      <c r="O1173" s="60"/>
      <c r="P1173" s="59"/>
      <c r="Q1173" s="59"/>
      <c r="R1173" s="60"/>
      <c r="S1173" s="60"/>
      <c r="T1173" s="60"/>
      <c r="U1173" s="60"/>
      <c r="V1173" s="60"/>
      <c r="W1173" s="60"/>
    </row>
    <row r="1174" spans="1:23" ht="13" x14ac:dyDescent="0.3">
      <c r="A1174" s="58"/>
      <c r="B1174" s="58"/>
      <c r="C1174" s="58"/>
      <c r="D1174" s="58"/>
      <c r="E1174" s="58"/>
      <c r="F1174" s="58"/>
      <c r="G1174" s="58"/>
      <c r="H1174" s="59"/>
      <c r="I1174" s="59"/>
      <c r="J1174" s="59"/>
      <c r="K1174" s="59"/>
      <c r="L1174" s="59"/>
      <c r="M1174" s="60"/>
      <c r="N1174" s="60"/>
      <c r="O1174" s="60"/>
      <c r="P1174" s="59"/>
      <c r="Q1174" s="59"/>
      <c r="R1174" s="60"/>
      <c r="S1174" s="60"/>
      <c r="T1174" s="60"/>
      <c r="U1174" s="60"/>
      <c r="V1174" s="60"/>
      <c r="W1174" s="60"/>
    </row>
    <row r="1175" spans="1:23" ht="13" x14ac:dyDescent="0.3">
      <c r="A1175" s="58"/>
      <c r="B1175" s="58"/>
      <c r="C1175" s="58"/>
      <c r="D1175" s="58"/>
      <c r="E1175" s="58"/>
      <c r="F1175" s="58"/>
      <c r="G1175" s="58"/>
      <c r="H1175" s="59"/>
      <c r="I1175" s="59"/>
      <c r="J1175" s="59"/>
      <c r="K1175" s="59"/>
      <c r="L1175" s="59"/>
      <c r="M1175" s="60"/>
      <c r="N1175" s="60"/>
      <c r="O1175" s="60"/>
      <c r="P1175" s="59"/>
      <c r="Q1175" s="59"/>
      <c r="R1175" s="60"/>
      <c r="S1175" s="60"/>
      <c r="T1175" s="60"/>
      <c r="U1175" s="60"/>
      <c r="V1175" s="60"/>
      <c r="W1175" s="60"/>
    </row>
    <row r="1176" spans="1:23" ht="13" x14ac:dyDescent="0.3">
      <c r="A1176" s="58"/>
      <c r="B1176" s="58"/>
      <c r="C1176" s="58"/>
      <c r="D1176" s="58"/>
      <c r="E1176" s="58"/>
      <c r="F1176" s="58"/>
      <c r="G1176" s="58"/>
      <c r="H1176" s="59"/>
      <c r="I1176" s="59"/>
      <c r="J1176" s="59"/>
      <c r="K1176" s="59"/>
      <c r="L1176" s="59"/>
      <c r="M1176" s="60"/>
      <c r="N1176" s="60"/>
      <c r="O1176" s="60"/>
      <c r="P1176" s="59"/>
      <c r="Q1176" s="59"/>
      <c r="R1176" s="60"/>
      <c r="S1176" s="60"/>
      <c r="T1176" s="60"/>
      <c r="U1176" s="60"/>
      <c r="V1176" s="60"/>
      <c r="W1176" s="60"/>
    </row>
    <row r="1177" spans="1:23" ht="13" x14ac:dyDescent="0.3">
      <c r="A1177" s="58"/>
      <c r="B1177" s="58"/>
      <c r="C1177" s="58"/>
      <c r="D1177" s="58"/>
      <c r="E1177" s="58"/>
      <c r="F1177" s="58"/>
      <c r="G1177" s="58"/>
      <c r="H1177" s="59"/>
      <c r="I1177" s="59"/>
      <c r="J1177" s="59"/>
      <c r="K1177" s="59"/>
      <c r="L1177" s="59"/>
      <c r="M1177" s="60"/>
      <c r="N1177" s="60"/>
      <c r="O1177" s="60"/>
      <c r="P1177" s="59"/>
      <c r="Q1177" s="59"/>
      <c r="R1177" s="60"/>
      <c r="S1177" s="60"/>
      <c r="T1177" s="60"/>
      <c r="U1177" s="60"/>
      <c r="V1177" s="60"/>
      <c r="W1177" s="60"/>
    </row>
    <row r="1178" spans="1:23" ht="13" x14ac:dyDescent="0.3">
      <c r="A1178" s="58"/>
      <c r="B1178" s="58"/>
      <c r="C1178" s="58"/>
      <c r="D1178" s="58"/>
      <c r="E1178" s="58"/>
      <c r="F1178" s="58"/>
      <c r="G1178" s="58"/>
      <c r="H1178" s="59"/>
      <c r="I1178" s="59"/>
      <c r="J1178" s="59"/>
      <c r="K1178" s="59"/>
      <c r="L1178" s="59"/>
      <c r="M1178" s="60"/>
      <c r="N1178" s="60"/>
      <c r="O1178" s="60"/>
      <c r="P1178" s="59"/>
      <c r="Q1178" s="59"/>
      <c r="R1178" s="60"/>
      <c r="S1178" s="60"/>
      <c r="T1178" s="60"/>
      <c r="U1178" s="60"/>
      <c r="V1178" s="60"/>
      <c r="W1178" s="60"/>
    </row>
    <row r="1179" spans="1:23" ht="13" x14ac:dyDescent="0.3">
      <c r="A1179" s="58"/>
      <c r="B1179" s="58"/>
      <c r="C1179" s="58"/>
      <c r="D1179" s="58"/>
      <c r="E1179" s="58"/>
      <c r="F1179" s="58"/>
      <c r="G1179" s="58"/>
      <c r="H1179" s="59"/>
      <c r="I1179" s="59"/>
      <c r="J1179" s="59"/>
      <c r="K1179" s="59"/>
      <c r="L1179" s="59"/>
      <c r="M1179" s="60"/>
      <c r="N1179" s="60"/>
      <c r="O1179" s="60"/>
      <c r="P1179" s="59"/>
      <c r="Q1179" s="59"/>
      <c r="R1179" s="60"/>
      <c r="S1179" s="60"/>
      <c r="T1179" s="60"/>
      <c r="U1179" s="60"/>
      <c r="V1179" s="60"/>
      <c r="W1179" s="60"/>
    </row>
    <row r="1180" spans="1:23" ht="13" x14ac:dyDescent="0.3">
      <c r="A1180" s="58"/>
      <c r="B1180" s="58"/>
      <c r="C1180" s="58"/>
      <c r="D1180" s="58"/>
      <c r="E1180" s="58"/>
      <c r="F1180" s="58"/>
      <c r="G1180" s="58"/>
      <c r="H1180" s="59"/>
      <c r="I1180" s="59"/>
      <c r="J1180" s="59"/>
      <c r="K1180" s="59"/>
      <c r="L1180" s="59"/>
      <c r="M1180" s="60"/>
      <c r="N1180" s="60"/>
      <c r="O1180" s="60"/>
      <c r="P1180" s="59"/>
      <c r="Q1180" s="59"/>
      <c r="R1180" s="60"/>
      <c r="S1180" s="60"/>
      <c r="T1180" s="60"/>
      <c r="U1180" s="60"/>
      <c r="V1180" s="60"/>
      <c r="W1180" s="60"/>
    </row>
    <row r="1181" spans="1:23" ht="13" x14ac:dyDescent="0.3">
      <c r="A1181" s="58"/>
      <c r="B1181" s="58"/>
      <c r="C1181" s="58"/>
      <c r="D1181" s="58"/>
      <c r="E1181" s="58"/>
      <c r="F1181" s="58"/>
      <c r="G1181" s="58"/>
      <c r="H1181" s="59"/>
      <c r="I1181" s="59"/>
      <c r="J1181" s="59"/>
      <c r="K1181" s="59"/>
      <c r="L1181" s="59"/>
      <c r="M1181" s="60"/>
      <c r="N1181" s="60"/>
      <c r="O1181" s="60"/>
      <c r="P1181" s="59"/>
      <c r="Q1181" s="59"/>
      <c r="R1181" s="60"/>
      <c r="S1181" s="60"/>
      <c r="T1181" s="60"/>
      <c r="U1181" s="60"/>
      <c r="V1181" s="60"/>
      <c r="W1181" s="60"/>
    </row>
    <row r="1182" spans="1:23" ht="13" x14ac:dyDescent="0.3">
      <c r="A1182" s="58"/>
      <c r="B1182" s="58"/>
      <c r="C1182" s="58"/>
      <c r="D1182" s="58"/>
      <c r="E1182" s="58"/>
      <c r="F1182" s="58"/>
      <c r="G1182" s="58"/>
      <c r="H1182" s="59"/>
      <c r="I1182" s="59"/>
      <c r="J1182" s="59"/>
      <c r="K1182" s="59"/>
      <c r="L1182" s="59"/>
      <c r="M1182" s="60"/>
      <c r="N1182" s="60"/>
      <c r="O1182" s="60"/>
      <c r="P1182" s="59"/>
      <c r="Q1182" s="59"/>
      <c r="R1182" s="60"/>
      <c r="S1182" s="60"/>
      <c r="T1182" s="60"/>
      <c r="U1182" s="60"/>
      <c r="V1182" s="60"/>
      <c r="W1182" s="60"/>
    </row>
    <row r="1183" spans="1:23" ht="13" x14ac:dyDescent="0.3">
      <c r="A1183" s="58"/>
      <c r="B1183" s="58"/>
      <c r="C1183" s="58"/>
      <c r="D1183" s="58"/>
      <c r="E1183" s="58"/>
      <c r="F1183" s="58"/>
      <c r="G1183" s="58"/>
      <c r="H1183" s="59"/>
      <c r="I1183" s="59"/>
      <c r="J1183" s="59"/>
      <c r="K1183" s="59"/>
      <c r="L1183" s="59"/>
      <c r="M1183" s="60"/>
      <c r="N1183" s="60"/>
      <c r="O1183" s="60"/>
      <c r="P1183" s="59"/>
      <c r="Q1183" s="59"/>
      <c r="R1183" s="60"/>
      <c r="S1183" s="60"/>
      <c r="T1183" s="60"/>
      <c r="U1183" s="60"/>
      <c r="V1183" s="60"/>
      <c r="W1183" s="60"/>
    </row>
    <row r="1184" spans="1:23" ht="13" x14ac:dyDescent="0.3">
      <c r="A1184" s="58"/>
      <c r="B1184" s="58"/>
      <c r="C1184" s="58"/>
      <c r="D1184" s="58"/>
      <c r="E1184" s="58"/>
      <c r="F1184" s="58"/>
      <c r="G1184" s="58"/>
      <c r="H1184" s="59"/>
      <c r="I1184" s="59"/>
      <c r="J1184" s="59"/>
      <c r="K1184" s="59"/>
      <c r="L1184" s="59"/>
      <c r="M1184" s="60"/>
      <c r="N1184" s="60"/>
      <c r="O1184" s="60"/>
      <c r="P1184" s="59"/>
      <c r="Q1184" s="59"/>
      <c r="R1184" s="60"/>
      <c r="S1184" s="60"/>
      <c r="T1184" s="60"/>
      <c r="U1184" s="60"/>
      <c r="V1184" s="60"/>
      <c r="W1184" s="60"/>
    </row>
    <row r="1185" spans="1:23" ht="13" x14ac:dyDescent="0.3">
      <c r="A1185" s="58"/>
      <c r="B1185" s="58"/>
      <c r="C1185" s="58"/>
      <c r="D1185" s="58"/>
      <c r="E1185" s="58"/>
      <c r="F1185" s="58"/>
      <c r="G1185" s="58"/>
      <c r="H1185" s="59"/>
      <c r="I1185" s="59"/>
      <c r="J1185" s="59"/>
      <c r="K1185" s="59"/>
      <c r="L1185" s="59"/>
      <c r="M1185" s="60"/>
      <c r="N1185" s="60"/>
      <c r="O1185" s="60"/>
      <c r="P1185" s="59"/>
      <c r="Q1185" s="59"/>
      <c r="R1185" s="60"/>
      <c r="S1185" s="60"/>
      <c r="T1185" s="60"/>
      <c r="U1185" s="60"/>
      <c r="V1185" s="60"/>
      <c r="W1185" s="60"/>
    </row>
    <row r="1186" spans="1:23" ht="13" x14ac:dyDescent="0.3">
      <c r="A1186" s="58"/>
      <c r="B1186" s="58"/>
      <c r="C1186" s="58"/>
      <c r="D1186" s="58"/>
      <c r="E1186" s="58"/>
      <c r="F1186" s="58"/>
      <c r="G1186" s="58"/>
      <c r="H1186" s="59"/>
      <c r="I1186" s="59"/>
      <c r="J1186" s="59"/>
      <c r="K1186" s="59"/>
      <c r="L1186" s="59"/>
      <c r="M1186" s="60"/>
      <c r="N1186" s="60"/>
      <c r="O1186" s="60"/>
      <c r="P1186" s="59"/>
      <c r="Q1186" s="59"/>
      <c r="R1186" s="60"/>
      <c r="S1186" s="60"/>
      <c r="T1186" s="60"/>
      <c r="U1186" s="60"/>
      <c r="V1186" s="60"/>
      <c r="W1186" s="60"/>
    </row>
    <row r="1187" spans="1:23" ht="13" x14ac:dyDescent="0.3">
      <c r="A1187" s="58"/>
      <c r="B1187" s="58"/>
      <c r="C1187" s="58"/>
      <c r="D1187" s="58"/>
      <c r="E1187" s="58"/>
      <c r="F1187" s="58"/>
      <c r="G1187" s="58"/>
      <c r="H1187" s="59"/>
      <c r="I1187" s="59"/>
      <c r="J1187" s="59"/>
      <c r="K1187" s="59"/>
      <c r="L1187" s="59"/>
      <c r="M1187" s="60"/>
      <c r="N1187" s="60"/>
      <c r="O1187" s="60"/>
      <c r="P1187" s="59"/>
      <c r="Q1187" s="59"/>
      <c r="R1187" s="60"/>
      <c r="S1187" s="60"/>
      <c r="T1187" s="60"/>
      <c r="U1187" s="60"/>
      <c r="V1187" s="60"/>
      <c r="W1187" s="60"/>
    </row>
    <row r="1188" spans="1:23" ht="13" x14ac:dyDescent="0.3">
      <c r="A1188" s="58"/>
      <c r="B1188" s="58"/>
      <c r="C1188" s="58"/>
      <c r="D1188" s="58"/>
      <c r="E1188" s="58"/>
      <c r="F1188" s="58"/>
      <c r="G1188" s="58"/>
      <c r="H1188" s="59"/>
      <c r="I1188" s="59"/>
      <c r="J1188" s="59"/>
      <c r="K1188" s="59"/>
      <c r="L1188" s="59"/>
      <c r="M1188" s="60"/>
      <c r="N1188" s="60"/>
      <c r="O1188" s="60"/>
      <c r="P1188" s="59"/>
      <c r="Q1188" s="59"/>
      <c r="R1188" s="60"/>
      <c r="S1188" s="60"/>
      <c r="T1188" s="60"/>
      <c r="U1188" s="60"/>
      <c r="V1188" s="60"/>
      <c r="W1188" s="60"/>
    </row>
    <row r="1189" spans="1:23" ht="13" x14ac:dyDescent="0.3">
      <c r="A1189" s="58"/>
      <c r="B1189" s="58"/>
      <c r="C1189" s="58"/>
      <c r="D1189" s="58"/>
      <c r="E1189" s="58"/>
      <c r="F1189" s="58"/>
      <c r="G1189" s="58"/>
      <c r="H1189" s="59"/>
      <c r="I1189" s="59"/>
      <c r="J1189" s="59"/>
      <c r="K1189" s="59"/>
      <c r="L1189" s="59"/>
      <c r="M1189" s="60"/>
      <c r="N1189" s="60"/>
      <c r="O1189" s="60"/>
      <c r="P1189" s="59"/>
      <c r="Q1189" s="59"/>
      <c r="R1189" s="60"/>
      <c r="S1189" s="60"/>
      <c r="T1189" s="60"/>
      <c r="U1189" s="60"/>
      <c r="V1189" s="60"/>
      <c r="W1189" s="60"/>
    </row>
    <row r="1190" spans="1:23" ht="13" x14ac:dyDescent="0.3">
      <c r="A1190" s="58"/>
      <c r="B1190" s="58"/>
      <c r="C1190" s="58"/>
      <c r="D1190" s="58"/>
      <c r="E1190" s="58"/>
      <c r="F1190" s="58"/>
      <c r="G1190" s="58"/>
      <c r="H1190" s="59"/>
      <c r="I1190" s="59"/>
      <c r="J1190" s="59"/>
      <c r="K1190" s="59"/>
      <c r="L1190" s="59"/>
      <c r="M1190" s="60"/>
      <c r="N1190" s="60"/>
      <c r="O1190" s="60"/>
      <c r="P1190" s="59"/>
      <c r="Q1190" s="59"/>
      <c r="R1190" s="60"/>
      <c r="S1190" s="60"/>
      <c r="T1190" s="60"/>
      <c r="U1190" s="60"/>
      <c r="V1190" s="60"/>
      <c r="W1190" s="60"/>
    </row>
    <row r="1191" spans="1:23" ht="13" x14ac:dyDescent="0.3">
      <c r="A1191" s="58"/>
      <c r="B1191" s="58"/>
      <c r="C1191" s="58"/>
      <c r="D1191" s="58"/>
      <c r="E1191" s="58"/>
      <c r="F1191" s="58"/>
      <c r="G1191" s="58"/>
      <c r="H1191" s="59"/>
      <c r="I1191" s="59"/>
      <c r="J1191" s="59"/>
      <c r="K1191" s="59"/>
      <c r="L1191" s="59"/>
      <c r="M1191" s="60"/>
      <c r="N1191" s="60"/>
      <c r="O1191" s="60"/>
      <c r="P1191" s="59"/>
      <c r="Q1191" s="59"/>
      <c r="R1191" s="60"/>
      <c r="S1191" s="60"/>
      <c r="T1191" s="60"/>
      <c r="U1191" s="60"/>
      <c r="V1191" s="60"/>
      <c r="W1191" s="60"/>
    </row>
    <row r="1192" spans="1:23" ht="13" x14ac:dyDescent="0.3">
      <c r="A1192" s="58"/>
      <c r="B1192" s="58"/>
      <c r="C1192" s="58"/>
      <c r="D1192" s="58"/>
      <c r="E1192" s="58"/>
      <c r="F1192" s="58"/>
      <c r="G1192" s="58"/>
      <c r="H1192" s="59"/>
      <c r="I1192" s="59"/>
      <c r="J1192" s="59"/>
      <c r="K1192" s="59"/>
      <c r="L1192" s="59"/>
      <c r="M1192" s="60"/>
      <c r="N1192" s="60"/>
      <c r="O1192" s="60"/>
      <c r="P1192" s="59"/>
      <c r="Q1192" s="59"/>
      <c r="R1192" s="60"/>
      <c r="S1192" s="60"/>
      <c r="T1192" s="60"/>
      <c r="U1192" s="60"/>
      <c r="V1192" s="60"/>
      <c r="W1192" s="60"/>
    </row>
    <row r="1193" spans="1:23" ht="13" x14ac:dyDescent="0.3">
      <c r="A1193" s="58"/>
      <c r="B1193" s="58"/>
      <c r="C1193" s="58"/>
      <c r="D1193" s="58"/>
      <c r="E1193" s="58"/>
      <c r="F1193" s="58"/>
      <c r="G1193" s="58"/>
      <c r="H1193" s="59"/>
      <c r="I1193" s="59"/>
      <c r="J1193" s="59"/>
      <c r="K1193" s="59"/>
      <c r="L1193" s="59"/>
      <c r="M1193" s="60"/>
      <c r="N1193" s="60"/>
      <c r="O1193" s="60"/>
      <c r="P1193" s="59"/>
      <c r="Q1193" s="59"/>
      <c r="R1193" s="60"/>
      <c r="S1193" s="60"/>
      <c r="T1193" s="60"/>
      <c r="U1193" s="60"/>
      <c r="V1193" s="60"/>
      <c r="W1193" s="60"/>
    </row>
    <row r="1194" spans="1:23" ht="13" x14ac:dyDescent="0.3">
      <c r="A1194" s="58"/>
      <c r="B1194" s="58"/>
      <c r="C1194" s="58"/>
      <c r="D1194" s="58"/>
      <c r="E1194" s="58"/>
      <c r="F1194" s="58"/>
      <c r="G1194" s="58"/>
      <c r="H1194" s="59"/>
      <c r="I1194" s="59"/>
      <c r="J1194" s="59"/>
      <c r="K1194" s="59"/>
      <c r="L1194" s="59"/>
      <c r="M1194" s="60"/>
      <c r="N1194" s="60"/>
      <c r="O1194" s="60"/>
      <c r="P1194" s="59"/>
      <c r="Q1194" s="59"/>
      <c r="R1194" s="60"/>
      <c r="S1194" s="60"/>
      <c r="T1194" s="60"/>
      <c r="U1194" s="60"/>
      <c r="V1194" s="60"/>
      <c r="W1194" s="60"/>
    </row>
    <row r="1195" spans="1:23" ht="13" x14ac:dyDescent="0.3">
      <c r="A1195" s="58"/>
      <c r="B1195" s="58"/>
      <c r="C1195" s="58"/>
      <c r="D1195" s="58"/>
      <c r="E1195" s="58"/>
      <c r="F1195" s="58"/>
      <c r="G1195" s="58"/>
      <c r="H1195" s="59"/>
      <c r="I1195" s="59"/>
      <c r="J1195" s="59"/>
      <c r="K1195" s="59"/>
      <c r="L1195" s="59"/>
      <c r="M1195" s="60"/>
      <c r="N1195" s="60"/>
      <c r="O1195" s="60"/>
      <c r="P1195" s="59"/>
      <c r="Q1195" s="59"/>
      <c r="R1195" s="60"/>
      <c r="S1195" s="60"/>
      <c r="T1195" s="60"/>
      <c r="U1195" s="60"/>
      <c r="V1195" s="60"/>
      <c r="W1195" s="60"/>
    </row>
    <row r="1196" spans="1:23" ht="13" x14ac:dyDescent="0.3">
      <c r="A1196" s="58"/>
      <c r="B1196" s="58"/>
      <c r="C1196" s="58"/>
      <c r="D1196" s="58"/>
      <c r="E1196" s="58"/>
      <c r="F1196" s="58"/>
      <c r="G1196" s="58"/>
      <c r="H1196" s="59"/>
      <c r="I1196" s="59"/>
      <c r="J1196" s="59"/>
      <c r="K1196" s="59"/>
      <c r="L1196" s="59"/>
      <c r="M1196" s="60"/>
      <c r="N1196" s="60"/>
      <c r="O1196" s="60"/>
      <c r="P1196" s="59"/>
      <c r="Q1196" s="59"/>
      <c r="R1196" s="60"/>
      <c r="S1196" s="60"/>
      <c r="T1196" s="60"/>
      <c r="U1196" s="60"/>
      <c r="V1196" s="60"/>
      <c r="W1196" s="60"/>
    </row>
    <row r="1197" spans="1:23" ht="13" x14ac:dyDescent="0.3">
      <c r="A1197" s="58"/>
      <c r="B1197" s="58"/>
      <c r="C1197" s="58"/>
      <c r="D1197" s="58"/>
      <c r="E1197" s="58"/>
      <c r="F1197" s="58"/>
      <c r="G1197" s="58"/>
      <c r="H1197" s="59"/>
      <c r="I1197" s="59"/>
      <c r="J1197" s="59"/>
      <c r="K1197" s="59"/>
      <c r="L1197" s="59"/>
      <c r="M1197" s="60"/>
      <c r="N1197" s="60"/>
      <c r="O1197" s="60"/>
      <c r="P1197" s="59"/>
      <c r="Q1197" s="59"/>
      <c r="R1197" s="60"/>
      <c r="S1197" s="60"/>
      <c r="T1197" s="60"/>
      <c r="U1197" s="60"/>
      <c r="V1197" s="60"/>
      <c r="W1197" s="60"/>
    </row>
    <row r="1198" spans="1:23" ht="13" x14ac:dyDescent="0.3">
      <c r="A1198" s="58"/>
      <c r="B1198" s="58"/>
      <c r="C1198" s="58"/>
      <c r="D1198" s="58"/>
      <c r="E1198" s="58"/>
      <c r="F1198" s="58"/>
      <c r="G1198" s="58"/>
      <c r="H1198" s="59"/>
      <c r="I1198" s="59"/>
      <c r="J1198" s="59"/>
      <c r="K1198" s="59"/>
      <c r="L1198" s="59"/>
      <c r="M1198" s="60"/>
      <c r="N1198" s="60"/>
      <c r="O1198" s="60"/>
      <c r="P1198" s="59"/>
      <c r="Q1198" s="59"/>
      <c r="R1198" s="60"/>
      <c r="S1198" s="60"/>
      <c r="T1198" s="60"/>
      <c r="U1198" s="60"/>
      <c r="V1198" s="60"/>
      <c r="W1198" s="60"/>
    </row>
    <row r="1199" spans="1:23" ht="13" x14ac:dyDescent="0.3">
      <c r="A1199" s="58"/>
      <c r="B1199" s="58"/>
      <c r="C1199" s="58"/>
      <c r="D1199" s="58"/>
      <c r="E1199" s="58"/>
      <c r="F1199" s="58"/>
      <c r="G1199" s="58"/>
      <c r="H1199" s="59"/>
      <c r="I1199" s="59"/>
      <c r="J1199" s="59"/>
      <c r="K1199" s="59"/>
      <c r="L1199" s="59"/>
      <c r="M1199" s="60"/>
      <c r="N1199" s="60"/>
      <c r="O1199" s="60"/>
      <c r="P1199" s="59"/>
      <c r="Q1199" s="59"/>
      <c r="R1199" s="60"/>
      <c r="S1199" s="60"/>
      <c r="T1199" s="60"/>
      <c r="U1199" s="60"/>
      <c r="V1199" s="60"/>
      <c r="W1199" s="60"/>
    </row>
    <row r="1200" spans="1:23" ht="13" x14ac:dyDescent="0.3">
      <c r="A1200" s="58"/>
      <c r="B1200" s="58"/>
      <c r="C1200" s="58"/>
      <c r="D1200" s="58"/>
      <c r="E1200" s="58"/>
      <c r="F1200" s="58"/>
      <c r="G1200" s="58"/>
      <c r="H1200" s="59"/>
      <c r="I1200" s="59"/>
      <c r="J1200" s="59"/>
      <c r="K1200" s="59"/>
      <c r="L1200" s="59"/>
      <c r="M1200" s="60"/>
      <c r="N1200" s="60"/>
      <c r="O1200" s="60"/>
      <c r="P1200" s="59"/>
      <c r="Q1200" s="59"/>
      <c r="R1200" s="60"/>
      <c r="S1200" s="60"/>
      <c r="T1200" s="60"/>
      <c r="U1200" s="60"/>
      <c r="V1200" s="60"/>
      <c r="W1200" s="60"/>
    </row>
    <row r="1201" spans="1:23" ht="13" x14ac:dyDescent="0.3">
      <c r="A1201" s="58"/>
      <c r="B1201" s="58"/>
      <c r="C1201" s="58"/>
      <c r="D1201" s="58"/>
      <c r="E1201" s="58"/>
      <c r="F1201" s="58"/>
      <c r="G1201" s="58"/>
      <c r="H1201" s="59"/>
      <c r="I1201" s="59"/>
      <c r="J1201" s="59"/>
      <c r="K1201" s="59"/>
      <c r="L1201" s="59"/>
      <c r="M1201" s="60"/>
      <c r="N1201" s="60"/>
      <c r="O1201" s="60"/>
      <c r="P1201" s="59"/>
      <c r="Q1201" s="59"/>
      <c r="R1201" s="60"/>
      <c r="S1201" s="60"/>
      <c r="T1201" s="60"/>
      <c r="U1201" s="60"/>
      <c r="V1201" s="60"/>
      <c r="W1201" s="60"/>
    </row>
    <row r="1202" spans="1:23" ht="13" x14ac:dyDescent="0.3">
      <c r="A1202" s="58"/>
      <c r="B1202" s="58"/>
      <c r="C1202" s="58"/>
      <c r="D1202" s="58"/>
      <c r="E1202" s="58"/>
      <c r="F1202" s="58"/>
      <c r="G1202" s="58"/>
      <c r="H1202" s="59"/>
      <c r="I1202" s="59"/>
      <c r="J1202" s="59"/>
      <c r="K1202" s="59"/>
      <c r="L1202" s="59"/>
      <c r="M1202" s="60"/>
      <c r="N1202" s="60"/>
      <c r="O1202" s="60"/>
      <c r="P1202" s="59"/>
      <c r="Q1202" s="59"/>
      <c r="R1202" s="60"/>
      <c r="S1202" s="60"/>
      <c r="T1202" s="60"/>
      <c r="U1202" s="60"/>
      <c r="V1202" s="60"/>
      <c r="W1202" s="60"/>
    </row>
    <row r="1203" spans="1:23" ht="13" x14ac:dyDescent="0.3">
      <c r="A1203" s="58"/>
      <c r="B1203" s="58"/>
      <c r="C1203" s="58"/>
      <c r="D1203" s="58"/>
      <c r="E1203" s="58"/>
      <c r="F1203" s="58"/>
      <c r="G1203" s="58"/>
      <c r="H1203" s="59"/>
      <c r="I1203" s="59"/>
      <c r="J1203" s="59"/>
      <c r="K1203" s="59"/>
      <c r="L1203" s="59"/>
      <c r="M1203" s="60"/>
      <c r="N1203" s="60"/>
      <c r="O1203" s="60"/>
      <c r="P1203" s="59"/>
      <c r="Q1203" s="59"/>
      <c r="R1203" s="60"/>
      <c r="S1203" s="60"/>
      <c r="T1203" s="60"/>
      <c r="U1203" s="60"/>
      <c r="V1203" s="60"/>
      <c r="W1203" s="60"/>
    </row>
    <row r="1204" spans="1:23" ht="13" x14ac:dyDescent="0.3">
      <c r="A1204" s="58"/>
      <c r="B1204" s="58"/>
      <c r="C1204" s="58"/>
      <c r="D1204" s="58"/>
      <c r="E1204" s="58"/>
      <c r="F1204" s="58"/>
      <c r="G1204" s="58"/>
      <c r="H1204" s="59"/>
      <c r="I1204" s="59"/>
      <c r="J1204" s="59"/>
      <c r="K1204" s="59"/>
      <c r="L1204" s="59"/>
      <c r="M1204" s="60"/>
      <c r="N1204" s="60"/>
      <c r="O1204" s="60"/>
      <c r="P1204" s="59"/>
      <c r="Q1204" s="59"/>
      <c r="R1204" s="60"/>
      <c r="S1204" s="60"/>
      <c r="T1204" s="60"/>
      <c r="U1204" s="60"/>
      <c r="V1204" s="60"/>
      <c r="W1204" s="60"/>
    </row>
    <row r="1205" spans="1:23" ht="13" x14ac:dyDescent="0.3">
      <c r="A1205" s="58"/>
      <c r="B1205" s="58"/>
      <c r="C1205" s="58"/>
      <c r="D1205" s="58"/>
      <c r="E1205" s="58"/>
      <c r="F1205" s="58"/>
      <c r="G1205" s="58"/>
      <c r="H1205" s="59"/>
      <c r="I1205" s="59"/>
      <c r="J1205" s="59"/>
      <c r="K1205" s="59"/>
      <c r="L1205" s="59"/>
      <c r="M1205" s="60"/>
      <c r="N1205" s="60"/>
      <c r="O1205" s="60"/>
      <c r="P1205" s="59"/>
      <c r="Q1205" s="59"/>
      <c r="R1205" s="60"/>
      <c r="S1205" s="60"/>
      <c r="T1205" s="60"/>
      <c r="U1205" s="60"/>
      <c r="V1205" s="60"/>
      <c r="W1205" s="60"/>
    </row>
    <row r="1206" spans="1:23" ht="13" x14ac:dyDescent="0.3">
      <c r="A1206" s="58"/>
      <c r="B1206" s="58"/>
      <c r="C1206" s="58"/>
      <c r="D1206" s="58"/>
      <c r="E1206" s="58"/>
      <c r="F1206" s="58"/>
      <c r="G1206" s="58"/>
      <c r="H1206" s="59"/>
      <c r="I1206" s="59"/>
      <c r="J1206" s="59"/>
      <c r="K1206" s="59"/>
      <c r="L1206" s="59"/>
      <c r="M1206" s="60"/>
      <c r="N1206" s="60"/>
      <c r="O1206" s="60"/>
      <c r="P1206" s="59"/>
      <c r="Q1206" s="59"/>
      <c r="R1206" s="60"/>
      <c r="S1206" s="60"/>
      <c r="T1206" s="60"/>
      <c r="U1206" s="60"/>
      <c r="V1206" s="60"/>
      <c r="W1206" s="60"/>
    </row>
    <row r="1207" spans="1:23" ht="13" x14ac:dyDescent="0.3">
      <c r="A1207" s="58"/>
      <c r="B1207" s="58"/>
      <c r="C1207" s="58"/>
      <c r="D1207" s="58"/>
      <c r="E1207" s="58"/>
      <c r="F1207" s="58"/>
      <c r="G1207" s="58"/>
      <c r="H1207" s="59"/>
      <c r="I1207" s="59"/>
      <c r="J1207" s="59"/>
      <c r="K1207" s="59"/>
      <c r="L1207" s="59"/>
      <c r="M1207" s="60"/>
      <c r="N1207" s="60"/>
      <c r="O1207" s="60"/>
      <c r="P1207" s="59"/>
      <c r="Q1207" s="59"/>
      <c r="R1207" s="60"/>
      <c r="S1207" s="60"/>
      <c r="T1207" s="60"/>
      <c r="U1207" s="60"/>
      <c r="V1207" s="60"/>
      <c r="W1207" s="60"/>
    </row>
    <row r="1208" spans="1:23" ht="13" x14ac:dyDescent="0.3">
      <c r="A1208" s="58"/>
      <c r="B1208" s="58"/>
      <c r="C1208" s="58"/>
      <c r="D1208" s="58"/>
      <c r="E1208" s="58"/>
      <c r="F1208" s="58"/>
      <c r="G1208" s="58"/>
      <c r="H1208" s="59"/>
      <c r="I1208" s="59"/>
      <c r="J1208" s="59"/>
      <c r="K1208" s="59"/>
      <c r="L1208" s="59"/>
      <c r="M1208" s="60"/>
      <c r="N1208" s="60"/>
      <c r="O1208" s="60"/>
      <c r="P1208" s="59"/>
      <c r="Q1208" s="59"/>
      <c r="R1208" s="60"/>
      <c r="S1208" s="60"/>
      <c r="T1208" s="60"/>
      <c r="U1208" s="60"/>
      <c r="V1208" s="60"/>
      <c r="W1208" s="60"/>
    </row>
    <row r="1209" spans="1:23" ht="13" x14ac:dyDescent="0.3">
      <c r="A1209" s="58"/>
      <c r="B1209" s="58"/>
      <c r="C1209" s="58"/>
      <c r="D1209" s="58"/>
      <c r="E1209" s="58"/>
      <c r="F1209" s="58"/>
      <c r="G1209" s="58"/>
      <c r="H1209" s="59"/>
      <c r="I1209" s="59"/>
      <c r="J1209" s="59"/>
      <c r="K1209" s="59"/>
      <c r="L1209" s="59"/>
      <c r="M1209" s="60"/>
      <c r="N1209" s="60"/>
      <c r="O1209" s="60"/>
      <c r="P1209" s="59"/>
      <c r="Q1209" s="59"/>
      <c r="R1209" s="60"/>
      <c r="S1209" s="60"/>
      <c r="T1209" s="60"/>
      <c r="U1209" s="60"/>
      <c r="V1209" s="60"/>
      <c r="W1209" s="60"/>
    </row>
    <row r="1210" spans="1:23" ht="13" x14ac:dyDescent="0.3">
      <c r="A1210" s="58"/>
      <c r="B1210" s="58"/>
      <c r="C1210" s="58"/>
      <c r="D1210" s="58"/>
      <c r="E1210" s="58"/>
      <c r="F1210" s="58"/>
      <c r="G1210" s="58"/>
      <c r="H1210" s="59"/>
      <c r="I1210" s="59"/>
      <c r="J1210" s="59"/>
      <c r="K1210" s="59"/>
      <c r="L1210" s="59"/>
      <c r="M1210" s="60"/>
      <c r="N1210" s="60"/>
      <c r="O1210" s="60"/>
      <c r="P1210" s="59"/>
      <c r="Q1210" s="59"/>
      <c r="R1210" s="60"/>
      <c r="S1210" s="60"/>
      <c r="T1210" s="60"/>
      <c r="U1210" s="60"/>
      <c r="V1210" s="60"/>
      <c r="W1210" s="60"/>
    </row>
    <row r="1211" spans="1:23" ht="13" x14ac:dyDescent="0.3">
      <c r="A1211" s="58"/>
      <c r="B1211" s="58"/>
      <c r="C1211" s="58"/>
      <c r="D1211" s="58"/>
      <c r="E1211" s="58"/>
      <c r="F1211" s="58"/>
      <c r="G1211" s="58"/>
      <c r="H1211" s="59"/>
      <c r="I1211" s="59"/>
      <c r="J1211" s="59"/>
      <c r="K1211" s="59"/>
      <c r="L1211" s="59"/>
      <c r="M1211" s="60"/>
      <c r="N1211" s="60"/>
      <c r="O1211" s="60"/>
      <c r="P1211" s="59"/>
      <c r="Q1211" s="59"/>
      <c r="R1211" s="60"/>
      <c r="S1211" s="60"/>
      <c r="T1211" s="60"/>
      <c r="U1211" s="60"/>
      <c r="V1211" s="60"/>
      <c r="W1211" s="60"/>
    </row>
    <row r="1212" spans="1:23" ht="13" x14ac:dyDescent="0.3">
      <c r="A1212" s="58"/>
      <c r="B1212" s="58"/>
      <c r="C1212" s="58"/>
      <c r="D1212" s="58"/>
      <c r="E1212" s="58"/>
      <c r="F1212" s="58"/>
      <c r="G1212" s="58"/>
      <c r="H1212" s="59"/>
      <c r="I1212" s="59"/>
      <c r="J1212" s="59"/>
      <c r="K1212" s="59"/>
      <c r="L1212" s="59"/>
      <c r="M1212" s="60"/>
      <c r="N1212" s="60"/>
      <c r="O1212" s="60"/>
      <c r="P1212" s="59"/>
      <c r="Q1212" s="59"/>
      <c r="R1212" s="60"/>
      <c r="S1212" s="60"/>
      <c r="T1212" s="60"/>
      <c r="U1212" s="60"/>
      <c r="V1212" s="60"/>
      <c r="W1212" s="60"/>
    </row>
    <row r="1213" spans="1:23" ht="13" x14ac:dyDescent="0.3">
      <c r="A1213" s="58"/>
      <c r="B1213" s="58"/>
      <c r="C1213" s="58"/>
      <c r="D1213" s="58"/>
      <c r="E1213" s="58"/>
      <c r="F1213" s="58"/>
      <c r="G1213" s="58"/>
      <c r="H1213" s="59"/>
      <c r="I1213" s="59"/>
      <c r="J1213" s="59"/>
      <c r="K1213" s="59"/>
      <c r="L1213" s="59"/>
      <c r="M1213" s="60"/>
      <c r="N1213" s="60"/>
      <c r="O1213" s="60"/>
      <c r="P1213" s="59"/>
      <c r="Q1213" s="59"/>
      <c r="R1213" s="60"/>
      <c r="S1213" s="60"/>
      <c r="T1213" s="60"/>
      <c r="U1213" s="60"/>
      <c r="V1213" s="60"/>
      <c r="W1213" s="60"/>
    </row>
    <row r="1214" spans="1:23" ht="13" x14ac:dyDescent="0.3">
      <c r="A1214" s="58"/>
      <c r="B1214" s="58"/>
      <c r="C1214" s="58"/>
      <c r="D1214" s="58"/>
      <c r="E1214" s="58"/>
      <c r="F1214" s="58"/>
      <c r="G1214" s="58"/>
      <c r="H1214" s="59"/>
      <c r="I1214" s="59"/>
      <c r="J1214" s="59"/>
      <c r="K1214" s="59"/>
      <c r="L1214" s="59"/>
      <c r="M1214" s="60"/>
      <c r="N1214" s="60"/>
      <c r="O1214" s="60"/>
      <c r="P1214" s="59"/>
      <c r="Q1214" s="59"/>
      <c r="R1214" s="60"/>
      <c r="S1214" s="60"/>
      <c r="T1214" s="60"/>
      <c r="U1214" s="60"/>
      <c r="V1214" s="60"/>
      <c r="W1214" s="60"/>
    </row>
    <row r="1215" spans="1:23" ht="13" x14ac:dyDescent="0.3">
      <c r="A1215" s="58"/>
      <c r="B1215" s="58"/>
      <c r="C1215" s="58"/>
      <c r="D1215" s="58"/>
      <c r="E1215" s="58"/>
      <c r="F1215" s="58"/>
      <c r="G1215" s="58"/>
      <c r="H1215" s="59"/>
      <c r="I1215" s="59"/>
      <c r="J1215" s="59"/>
      <c r="K1215" s="59"/>
      <c r="L1215" s="59"/>
      <c r="M1215" s="60"/>
      <c r="N1215" s="60"/>
      <c r="O1215" s="60"/>
      <c r="P1215" s="59"/>
      <c r="Q1215" s="59"/>
      <c r="R1215" s="60"/>
      <c r="S1215" s="60"/>
      <c r="T1215" s="60"/>
      <c r="U1215" s="60"/>
      <c r="V1215" s="60"/>
      <c r="W1215" s="60"/>
    </row>
    <row r="1216" spans="1:23" ht="13" x14ac:dyDescent="0.3">
      <c r="A1216" s="58"/>
      <c r="B1216" s="58"/>
      <c r="C1216" s="58"/>
      <c r="D1216" s="58"/>
      <c r="E1216" s="58"/>
      <c r="F1216" s="58"/>
      <c r="G1216" s="58"/>
      <c r="H1216" s="59"/>
      <c r="I1216" s="59"/>
      <c r="J1216" s="59"/>
      <c r="K1216" s="59"/>
      <c r="L1216" s="59"/>
      <c r="M1216" s="60"/>
      <c r="N1216" s="60"/>
      <c r="O1216" s="60"/>
      <c r="P1216" s="59"/>
      <c r="Q1216" s="59"/>
      <c r="R1216" s="60"/>
      <c r="S1216" s="60"/>
      <c r="T1216" s="60"/>
      <c r="U1216" s="60"/>
      <c r="V1216" s="60"/>
      <c r="W1216" s="60"/>
    </row>
    <row r="1217" spans="1:23" ht="13" x14ac:dyDescent="0.3">
      <c r="A1217" s="58"/>
      <c r="B1217" s="58"/>
      <c r="C1217" s="58"/>
      <c r="D1217" s="58"/>
      <c r="E1217" s="58"/>
      <c r="F1217" s="58"/>
      <c r="G1217" s="58"/>
      <c r="H1217" s="59"/>
      <c r="I1217" s="59"/>
      <c r="J1217" s="59"/>
      <c r="K1217" s="59"/>
      <c r="L1217" s="59"/>
      <c r="M1217" s="60"/>
      <c r="N1217" s="60"/>
      <c r="O1217" s="60"/>
      <c r="P1217" s="59"/>
      <c r="Q1217" s="59"/>
      <c r="R1217" s="60"/>
      <c r="S1217" s="60"/>
      <c r="T1217" s="60"/>
      <c r="U1217" s="60"/>
      <c r="V1217" s="60"/>
      <c r="W1217" s="60"/>
    </row>
    <row r="1218" spans="1:23" ht="13" x14ac:dyDescent="0.3">
      <c r="A1218" s="58"/>
      <c r="B1218" s="58"/>
      <c r="C1218" s="58"/>
      <c r="D1218" s="58"/>
      <c r="E1218" s="58"/>
      <c r="F1218" s="58"/>
      <c r="G1218" s="58"/>
      <c r="H1218" s="59"/>
      <c r="I1218" s="59"/>
      <c r="J1218" s="59"/>
      <c r="K1218" s="59"/>
      <c r="L1218" s="59"/>
      <c r="M1218" s="60"/>
      <c r="N1218" s="60"/>
      <c r="O1218" s="60"/>
      <c r="P1218" s="59"/>
      <c r="Q1218" s="59"/>
      <c r="R1218" s="60"/>
      <c r="S1218" s="60"/>
      <c r="T1218" s="60"/>
      <c r="U1218" s="60"/>
      <c r="V1218" s="60"/>
      <c r="W1218" s="60"/>
    </row>
    <row r="1219" spans="1:23" ht="13" x14ac:dyDescent="0.3">
      <c r="A1219" s="58"/>
      <c r="B1219" s="58"/>
      <c r="C1219" s="58"/>
      <c r="D1219" s="58"/>
      <c r="E1219" s="58"/>
      <c r="F1219" s="58"/>
      <c r="G1219" s="58"/>
      <c r="H1219" s="59"/>
      <c r="I1219" s="59"/>
      <c r="J1219" s="59"/>
      <c r="K1219" s="59"/>
      <c r="L1219" s="59"/>
      <c r="M1219" s="60"/>
      <c r="N1219" s="60"/>
      <c r="O1219" s="60"/>
      <c r="P1219" s="59"/>
      <c r="Q1219" s="59"/>
      <c r="R1219" s="60"/>
      <c r="S1219" s="60"/>
      <c r="T1219" s="60"/>
      <c r="U1219" s="60"/>
      <c r="V1219" s="60"/>
      <c r="W1219" s="60"/>
    </row>
    <row r="1220" spans="1:23" ht="13" x14ac:dyDescent="0.3">
      <c r="A1220" s="58"/>
      <c r="B1220" s="58"/>
      <c r="C1220" s="58"/>
      <c r="D1220" s="58"/>
      <c r="E1220" s="58"/>
      <c r="F1220" s="58"/>
      <c r="G1220" s="58"/>
      <c r="H1220" s="59"/>
      <c r="I1220" s="59"/>
      <c r="J1220" s="59"/>
      <c r="K1220" s="59"/>
      <c r="L1220" s="59"/>
      <c r="M1220" s="60"/>
      <c r="N1220" s="60"/>
      <c r="O1220" s="60"/>
      <c r="P1220" s="59"/>
      <c r="Q1220" s="59"/>
      <c r="R1220" s="60"/>
      <c r="S1220" s="60"/>
      <c r="T1220" s="60"/>
      <c r="U1220" s="60"/>
      <c r="V1220" s="60"/>
      <c r="W1220" s="60"/>
    </row>
    <row r="1221" spans="1:23" ht="13" x14ac:dyDescent="0.3">
      <c r="A1221" s="58"/>
      <c r="B1221" s="58"/>
      <c r="C1221" s="58"/>
      <c r="D1221" s="58"/>
      <c r="E1221" s="58"/>
      <c r="F1221" s="58"/>
      <c r="G1221" s="58"/>
      <c r="H1221" s="59"/>
      <c r="I1221" s="59"/>
      <c r="J1221" s="59"/>
      <c r="K1221" s="59"/>
      <c r="L1221" s="59"/>
      <c r="M1221" s="60"/>
      <c r="N1221" s="60"/>
      <c r="O1221" s="60"/>
      <c r="P1221" s="59"/>
      <c r="Q1221" s="59"/>
      <c r="R1221" s="60"/>
      <c r="S1221" s="60"/>
      <c r="T1221" s="60"/>
      <c r="U1221" s="60"/>
      <c r="V1221" s="60"/>
      <c r="W1221" s="60"/>
    </row>
    <row r="1222" spans="1:23" ht="13" x14ac:dyDescent="0.3">
      <c r="A1222" s="58"/>
      <c r="B1222" s="58"/>
      <c r="C1222" s="58"/>
      <c r="D1222" s="58"/>
      <c r="E1222" s="58"/>
      <c r="F1222" s="58"/>
      <c r="G1222" s="58"/>
      <c r="H1222" s="59"/>
      <c r="I1222" s="59"/>
      <c r="J1222" s="59"/>
      <c r="K1222" s="59"/>
      <c r="L1222" s="59"/>
      <c r="M1222" s="60"/>
      <c r="N1222" s="60"/>
      <c r="O1222" s="60"/>
      <c r="P1222" s="59"/>
      <c r="Q1222" s="59"/>
      <c r="R1222" s="60"/>
      <c r="S1222" s="60"/>
      <c r="T1222" s="60"/>
      <c r="U1222" s="60"/>
      <c r="V1222" s="60"/>
      <c r="W1222" s="60"/>
    </row>
    <row r="1223" spans="1:23" ht="13" x14ac:dyDescent="0.3">
      <c r="A1223" s="58"/>
      <c r="B1223" s="58"/>
      <c r="C1223" s="58"/>
      <c r="D1223" s="58"/>
      <c r="E1223" s="58"/>
      <c r="F1223" s="58"/>
      <c r="G1223" s="58"/>
      <c r="H1223" s="59"/>
      <c r="I1223" s="59"/>
      <c r="J1223" s="59"/>
      <c r="K1223" s="59"/>
      <c r="L1223" s="59"/>
      <c r="M1223" s="60"/>
      <c r="N1223" s="60"/>
      <c r="O1223" s="60"/>
      <c r="P1223" s="59"/>
      <c r="Q1223" s="59"/>
      <c r="R1223" s="60"/>
      <c r="S1223" s="60"/>
      <c r="T1223" s="60"/>
      <c r="U1223" s="60"/>
      <c r="V1223" s="60"/>
      <c r="W1223" s="60"/>
    </row>
    <row r="1224" spans="1:23" ht="13" x14ac:dyDescent="0.3">
      <c r="A1224" s="58"/>
      <c r="B1224" s="58"/>
      <c r="C1224" s="58"/>
      <c r="D1224" s="58"/>
      <c r="E1224" s="58"/>
      <c r="F1224" s="58"/>
      <c r="G1224" s="58"/>
      <c r="H1224" s="59"/>
      <c r="I1224" s="59"/>
      <c r="J1224" s="59"/>
      <c r="K1224" s="59"/>
      <c r="L1224" s="59"/>
      <c r="M1224" s="60"/>
      <c r="N1224" s="60"/>
      <c r="O1224" s="60"/>
      <c r="P1224" s="59"/>
      <c r="Q1224" s="59"/>
      <c r="R1224" s="60"/>
      <c r="S1224" s="60"/>
      <c r="T1224" s="60"/>
      <c r="U1224" s="60"/>
      <c r="V1224" s="60"/>
      <c r="W1224" s="60"/>
    </row>
    <row r="1225" spans="1:23" ht="13" x14ac:dyDescent="0.3">
      <c r="A1225" s="58"/>
      <c r="B1225" s="58"/>
      <c r="C1225" s="58"/>
      <c r="D1225" s="58"/>
      <c r="E1225" s="58"/>
      <c r="F1225" s="58"/>
      <c r="G1225" s="58"/>
      <c r="H1225" s="59"/>
      <c r="I1225" s="59"/>
      <c r="J1225" s="59"/>
      <c r="K1225" s="59"/>
      <c r="L1225" s="59"/>
      <c r="M1225" s="60"/>
      <c r="N1225" s="60"/>
      <c r="O1225" s="60"/>
      <c r="P1225" s="59"/>
      <c r="Q1225" s="59"/>
      <c r="R1225" s="60"/>
      <c r="S1225" s="60"/>
      <c r="T1225" s="60"/>
      <c r="U1225" s="60"/>
      <c r="V1225" s="60"/>
      <c r="W1225" s="60"/>
    </row>
    <row r="1226" spans="1:23" ht="13" x14ac:dyDescent="0.3">
      <c r="A1226" s="58"/>
      <c r="B1226" s="58"/>
      <c r="C1226" s="58"/>
      <c r="D1226" s="58"/>
      <c r="E1226" s="58"/>
      <c r="F1226" s="58"/>
      <c r="G1226" s="58"/>
      <c r="H1226" s="59"/>
      <c r="I1226" s="59"/>
      <c r="J1226" s="59"/>
      <c r="K1226" s="59"/>
      <c r="L1226" s="59"/>
      <c r="M1226" s="60"/>
      <c r="N1226" s="60"/>
      <c r="O1226" s="60"/>
      <c r="P1226" s="59"/>
      <c r="Q1226" s="59"/>
      <c r="R1226" s="60"/>
      <c r="S1226" s="60"/>
      <c r="T1226" s="60"/>
      <c r="U1226" s="60"/>
      <c r="V1226" s="60"/>
      <c r="W1226" s="60"/>
    </row>
    <row r="1227" spans="1:23" ht="13" x14ac:dyDescent="0.3">
      <c r="A1227" s="58"/>
      <c r="B1227" s="58"/>
      <c r="C1227" s="58"/>
      <c r="D1227" s="58"/>
      <c r="E1227" s="58"/>
      <c r="F1227" s="58"/>
      <c r="G1227" s="58"/>
      <c r="H1227" s="59"/>
      <c r="I1227" s="59"/>
      <c r="J1227" s="59"/>
      <c r="K1227" s="59"/>
      <c r="L1227" s="59"/>
      <c r="M1227" s="60"/>
      <c r="N1227" s="60"/>
      <c r="O1227" s="60"/>
      <c r="P1227" s="59"/>
      <c r="Q1227" s="59"/>
      <c r="R1227" s="60"/>
      <c r="S1227" s="60"/>
      <c r="T1227" s="60"/>
      <c r="U1227" s="60"/>
      <c r="V1227" s="60"/>
      <c r="W1227" s="60"/>
    </row>
    <row r="1228" spans="1:23" ht="13" x14ac:dyDescent="0.3">
      <c r="A1228" s="58"/>
      <c r="B1228" s="58"/>
      <c r="C1228" s="58"/>
      <c r="D1228" s="58"/>
      <c r="E1228" s="58"/>
      <c r="F1228" s="58"/>
      <c r="G1228" s="58"/>
      <c r="H1228" s="59"/>
      <c r="I1228" s="59"/>
      <c r="J1228" s="59"/>
      <c r="K1228" s="59"/>
      <c r="L1228" s="59"/>
      <c r="M1228" s="60"/>
      <c r="N1228" s="60"/>
      <c r="O1228" s="60"/>
      <c r="P1228" s="59"/>
      <c r="Q1228" s="59"/>
      <c r="R1228" s="60"/>
      <c r="S1228" s="60"/>
      <c r="T1228" s="60"/>
      <c r="U1228" s="60"/>
      <c r="V1228" s="60"/>
      <c r="W1228" s="60"/>
    </row>
    <row r="1229" spans="1:23" ht="13" x14ac:dyDescent="0.3">
      <c r="A1229" s="58"/>
      <c r="B1229" s="58"/>
      <c r="C1229" s="58"/>
      <c r="D1229" s="58"/>
      <c r="E1229" s="58"/>
      <c r="F1229" s="58"/>
      <c r="G1229" s="58"/>
      <c r="H1229" s="59"/>
      <c r="I1229" s="59"/>
      <c r="J1229" s="59"/>
      <c r="K1229" s="59"/>
      <c r="L1229" s="59"/>
      <c r="M1229" s="60"/>
      <c r="N1229" s="60"/>
      <c r="O1229" s="60"/>
      <c r="P1229" s="59"/>
      <c r="Q1229" s="59"/>
      <c r="R1229" s="60"/>
      <c r="S1229" s="60"/>
      <c r="T1229" s="60"/>
      <c r="U1229" s="60"/>
      <c r="V1229" s="60"/>
      <c r="W1229" s="60"/>
    </row>
    <row r="1230" spans="1:23" ht="13" x14ac:dyDescent="0.3">
      <c r="A1230" s="58"/>
      <c r="B1230" s="58"/>
      <c r="C1230" s="58"/>
      <c r="D1230" s="58"/>
      <c r="E1230" s="58"/>
      <c r="F1230" s="58"/>
      <c r="G1230" s="58"/>
      <c r="H1230" s="59"/>
      <c r="I1230" s="59"/>
      <c r="J1230" s="59"/>
      <c r="K1230" s="59"/>
      <c r="L1230" s="59"/>
      <c r="M1230" s="60"/>
      <c r="N1230" s="60"/>
      <c r="O1230" s="60"/>
      <c r="P1230" s="59"/>
      <c r="Q1230" s="59"/>
      <c r="R1230" s="60"/>
      <c r="S1230" s="60"/>
      <c r="T1230" s="60"/>
      <c r="U1230" s="60"/>
      <c r="V1230" s="60"/>
      <c r="W1230" s="60"/>
    </row>
    <row r="1231" spans="1:23" ht="13" x14ac:dyDescent="0.3">
      <c r="A1231" s="58"/>
      <c r="B1231" s="58"/>
      <c r="C1231" s="58"/>
      <c r="D1231" s="58"/>
      <c r="E1231" s="58"/>
      <c r="F1231" s="58"/>
      <c r="G1231" s="58"/>
      <c r="H1231" s="59"/>
      <c r="I1231" s="59"/>
      <c r="J1231" s="59"/>
      <c r="K1231" s="59"/>
      <c r="L1231" s="59"/>
      <c r="M1231" s="60"/>
      <c r="N1231" s="60"/>
      <c r="O1231" s="60"/>
      <c r="P1231" s="59"/>
      <c r="Q1231" s="59"/>
      <c r="R1231" s="60"/>
      <c r="S1231" s="60"/>
      <c r="T1231" s="60"/>
      <c r="U1231" s="60"/>
      <c r="V1231" s="60"/>
      <c r="W1231" s="60"/>
    </row>
    <row r="1232" spans="1:23" ht="13" x14ac:dyDescent="0.3">
      <c r="A1232" s="58"/>
      <c r="B1232" s="58"/>
      <c r="C1232" s="58"/>
      <c r="D1232" s="58"/>
      <c r="E1232" s="58"/>
      <c r="F1232" s="58"/>
      <c r="G1232" s="58"/>
      <c r="H1232" s="59"/>
      <c r="I1232" s="59"/>
      <c r="J1232" s="59"/>
      <c r="K1232" s="59"/>
      <c r="L1232" s="59"/>
      <c r="M1232" s="60"/>
      <c r="N1232" s="60"/>
      <c r="O1232" s="60"/>
      <c r="P1232" s="59"/>
      <c r="Q1232" s="59"/>
      <c r="R1232" s="60"/>
      <c r="S1232" s="60"/>
      <c r="T1232" s="60"/>
      <c r="U1232" s="60"/>
      <c r="V1232" s="60"/>
      <c r="W1232" s="60"/>
    </row>
    <row r="1233" spans="1:23" ht="13" x14ac:dyDescent="0.3">
      <c r="A1233" s="58"/>
      <c r="B1233" s="58"/>
      <c r="C1233" s="58"/>
      <c r="D1233" s="58"/>
      <c r="E1233" s="58"/>
      <c r="F1233" s="58"/>
      <c r="G1233" s="58"/>
      <c r="H1233" s="59"/>
      <c r="I1233" s="59"/>
      <c r="J1233" s="59"/>
      <c r="K1233" s="59"/>
      <c r="L1233" s="59"/>
      <c r="M1233" s="60"/>
      <c r="N1233" s="60"/>
      <c r="O1233" s="60"/>
      <c r="P1233" s="59"/>
      <c r="Q1233" s="59"/>
      <c r="R1233" s="60"/>
      <c r="S1233" s="60"/>
      <c r="T1233" s="60"/>
      <c r="U1233" s="60"/>
      <c r="V1233" s="60"/>
      <c r="W1233" s="60"/>
    </row>
    <row r="1234" spans="1:23" ht="13" x14ac:dyDescent="0.3">
      <c r="A1234" s="58"/>
      <c r="B1234" s="58"/>
      <c r="C1234" s="58"/>
      <c r="D1234" s="58"/>
      <c r="E1234" s="58"/>
      <c r="F1234" s="58"/>
      <c r="G1234" s="58"/>
      <c r="H1234" s="59"/>
      <c r="I1234" s="59"/>
      <c r="J1234" s="59"/>
      <c r="K1234" s="59"/>
      <c r="L1234" s="59"/>
      <c r="M1234" s="60"/>
      <c r="N1234" s="60"/>
      <c r="O1234" s="60"/>
      <c r="P1234" s="59"/>
      <c r="Q1234" s="59"/>
      <c r="R1234" s="60"/>
      <c r="S1234" s="60"/>
      <c r="T1234" s="60"/>
      <c r="U1234" s="60"/>
      <c r="V1234" s="60"/>
      <c r="W1234" s="60"/>
    </row>
    <row r="1235" spans="1:23" ht="13" x14ac:dyDescent="0.3">
      <c r="A1235" s="58"/>
      <c r="B1235" s="58"/>
      <c r="C1235" s="58"/>
      <c r="D1235" s="58"/>
      <c r="E1235" s="58"/>
      <c r="F1235" s="58"/>
      <c r="G1235" s="58"/>
      <c r="H1235" s="59"/>
      <c r="I1235" s="59"/>
      <c r="J1235" s="59"/>
      <c r="K1235" s="59"/>
      <c r="L1235" s="59"/>
      <c r="M1235" s="60"/>
      <c r="N1235" s="60"/>
      <c r="O1235" s="60"/>
      <c r="P1235" s="59"/>
      <c r="Q1235" s="59"/>
      <c r="R1235" s="60"/>
      <c r="S1235" s="60"/>
      <c r="T1235" s="60"/>
      <c r="U1235" s="60"/>
      <c r="V1235" s="60"/>
      <c r="W1235" s="60"/>
    </row>
    <row r="1236" spans="1:23" ht="13" x14ac:dyDescent="0.3">
      <c r="A1236" s="58"/>
      <c r="B1236" s="58"/>
      <c r="C1236" s="58"/>
      <c r="D1236" s="58"/>
      <c r="E1236" s="58"/>
      <c r="F1236" s="58"/>
      <c r="G1236" s="58"/>
      <c r="H1236" s="59"/>
      <c r="I1236" s="59"/>
      <c r="J1236" s="59"/>
      <c r="K1236" s="59"/>
      <c r="L1236" s="59"/>
      <c r="M1236" s="60"/>
      <c r="N1236" s="60"/>
      <c r="O1236" s="60"/>
      <c r="P1236" s="59"/>
      <c r="Q1236" s="59"/>
      <c r="R1236" s="60"/>
      <c r="S1236" s="60"/>
      <c r="T1236" s="60"/>
      <c r="U1236" s="60"/>
      <c r="V1236" s="60"/>
      <c r="W1236" s="60"/>
    </row>
    <row r="1237" spans="1:23" ht="13" x14ac:dyDescent="0.3">
      <c r="A1237" s="58"/>
      <c r="B1237" s="58"/>
      <c r="C1237" s="58"/>
      <c r="D1237" s="58"/>
      <c r="E1237" s="58"/>
      <c r="F1237" s="58"/>
      <c r="G1237" s="58"/>
      <c r="H1237" s="59"/>
      <c r="I1237" s="59"/>
      <c r="J1237" s="59"/>
      <c r="K1237" s="59"/>
      <c r="L1237" s="59"/>
      <c r="M1237" s="60"/>
      <c r="N1237" s="60"/>
      <c r="O1237" s="60"/>
      <c r="P1237" s="59"/>
      <c r="Q1237" s="59"/>
      <c r="R1237" s="60"/>
      <c r="S1237" s="60"/>
      <c r="T1237" s="60"/>
      <c r="U1237" s="60"/>
      <c r="V1237" s="60"/>
      <c r="W1237" s="60"/>
    </row>
    <row r="1238" spans="1:23" ht="13" x14ac:dyDescent="0.3">
      <c r="A1238" s="58"/>
      <c r="B1238" s="58"/>
      <c r="C1238" s="58"/>
      <c r="D1238" s="58"/>
      <c r="E1238" s="58"/>
      <c r="F1238" s="58"/>
      <c r="G1238" s="58"/>
      <c r="H1238" s="59"/>
      <c r="I1238" s="59"/>
      <c r="J1238" s="59"/>
      <c r="K1238" s="59"/>
      <c r="L1238" s="59"/>
      <c r="M1238" s="60"/>
      <c r="N1238" s="60"/>
      <c r="O1238" s="60"/>
      <c r="P1238" s="59"/>
      <c r="Q1238" s="59"/>
      <c r="R1238" s="60"/>
      <c r="S1238" s="60"/>
      <c r="T1238" s="60"/>
      <c r="U1238" s="60"/>
      <c r="V1238" s="60"/>
      <c r="W1238" s="60"/>
    </row>
    <row r="1239" spans="1:23" ht="13" x14ac:dyDescent="0.3">
      <c r="A1239" s="58"/>
      <c r="B1239" s="58"/>
      <c r="C1239" s="58"/>
      <c r="D1239" s="58"/>
      <c r="E1239" s="58"/>
      <c r="F1239" s="58"/>
      <c r="G1239" s="58"/>
      <c r="H1239" s="59"/>
      <c r="I1239" s="59"/>
      <c r="J1239" s="59"/>
      <c r="K1239" s="59"/>
      <c r="L1239" s="59"/>
      <c r="M1239" s="60"/>
      <c r="N1239" s="60"/>
      <c r="O1239" s="60"/>
      <c r="P1239" s="59"/>
      <c r="Q1239" s="59"/>
      <c r="R1239" s="60"/>
      <c r="S1239" s="60"/>
      <c r="T1239" s="60"/>
      <c r="U1239" s="60"/>
      <c r="V1239" s="60"/>
      <c r="W1239" s="60"/>
    </row>
    <row r="1240" spans="1:23" ht="13" x14ac:dyDescent="0.3">
      <c r="A1240" s="58"/>
      <c r="B1240" s="58"/>
      <c r="C1240" s="58"/>
      <c r="D1240" s="58"/>
      <c r="E1240" s="58"/>
      <c r="F1240" s="58"/>
      <c r="G1240" s="58"/>
      <c r="H1240" s="59"/>
      <c r="I1240" s="59"/>
      <c r="J1240" s="59"/>
      <c r="K1240" s="59"/>
      <c r="L1240" s="59"/>
      <c r="M1240" s="60"/>
      <c r="N1240" s="60"/>
      <c r="O1240" s="60"/>
      <c r="P1240" s="59"/>
      <c r="Q1240" s="59"/>
      <c r="R1240" s="60"/>
      <c r="S1240" s="60"/>
      <c r="T1240" s="60"/>
      <c r="U1240" s="60"/>
      <c r="V1240" s="60"/>
      <c r="W1240" s="60"/>
    </row>
    <row r="1241" spans="1:23" ht="13" x14ac:dyDescent="0.3">
      <c r="A1241" s="58"/>
      <c r="B1241" s="58"/>
      <c r="C1241" s="58"/>
      <c r="D1241" s="58"/>
      <c r="E1241" s="58"/>
      <c r="F1241" s="58"/>
      <c r="G1241" s="58"/>
      <c r="H1241" s="59"/>
      <c r="I1241" s="59"/>
      <c r="J1241" s="59"/>
      <c r="K1241" s="59"/>
      <c r="L1241" s="59"/>
      <c r="M1241" s="60"/>
      <c r="N1241" s="60"/>
      <c r="O1241" s="60"/>
      <c r="P1241" s="59"/>
      <c r="Q1241" s="59"/>
      <c r="R1241" s="60"/>
      <c r="S1241" s="60"/>
      <c r="T1241" s="60"/>
      <c r="U1241" s="60"/>
      <c r="V1241" s="60"/>
      <c r="W1241" s="60"/>
    </row>
    <row r="1242" spans="1:23" ht="13" x14ac:dyDescent="0.3">
      <c r="A1242" s="58"/>
      <c r="B1242" s="58"/>
      <c r="C1242" s="58"/>
      <c r="D1242" s="58"/>
      <c r="E1242" s="58"/>
      <c r="F1242" s="58"/>
      <c r="G1242" s="58"/>
      <c r="H1242" s="59"/>
      <c r="I1242" s="59"/>
      <c r="J1242" s="59"/>
      <c r="K1242" s="59"/>
      <c r="L1242" s="59"/>
      <c r="M1242" s="60"/>
      <c r="N1242" s="60"/>
      <c r="O1242" s="60"/>
      <c r="P1242" s="59"/>
      <c r="Q1242" s="59"/>
      <c r="R1242" s="60"/>
      <c r="S1242" s="60"/>
      <c r="T1242" s="60"/>
      <c r="U1242" s="60"/>
      <c r="V1242" s="60"/>
      <c r="W1242" s="60"/>
    </row>
    <row r="1243" spans="1:23" ht="13" x14ac:dyDescent="0.3">
      <c r="A1243" s="58"/>
      <c r="B1243" s="58"/>
      <c r="C1243" s="58"/>
      <c r="D1243" s="58"/>
      <c r="E1243" s="58"/>
      <c r="F1243" s="58"/>
      <c r="G1243" s="58"/>
      <c r="H1243" s="59"/>
      <c r="I1243" s="59"/>
      <c r="J1243" s="59"/>
      <c r="K1243" s="59"/>
      <c r="L1243" s="59"/>
      <c r="M1243" s="60"/>
      <c r="N1243" s="60"/>
      <c r="O1243" s="60"/>
      <c r="P1243" s="59"/>
      <c r="Q1243" s="59"/>
      <c r="R1243" s="60"/>
      <c r="S1243" s="60"/>
      <c r="T1243" s="60"/>
      <c r="U1243" s="60"/>
      <c r="V1243" s="60"/>
      <c r="W1243" s="60"/>
    </row>
    <row r="1244" spans="1:23" ht="13" x14ac:dyDescent="0.3">
      <c r="A1244" s="58"/>
      <c r="B1244" s="58"/>
      <c r="C1244" s="58"/>
      <c r="D1244" s="58"/>
      <c r="E1244" s="58"/>
      <c r="F1244" s="58"/>
      <c r="G1244" s="58"/>
      <c r="H1244" s="59"/>
      <c r="I1244" s="59"/>
      <c r="J1244" s="59"/>
      <c r="K1244" s="59"/>
      <c r="L1244" s="59"/>
      <c r="M1244" s="60"/>
      <c r="N1244" s="60"/>
      <c r="O1244" s="60"/>
      <c r="P1244" s="59"/>
      <c r="Q1244" s="59"/>
      <c r="R1244" s="60"/>
      <c r="S1244" s="60"/>
      <c r="T1244" s="60"/>
      <c r="U1244" s="60"/>
      <c r="V1244" s="60"/>
      <c r="W1244" s="60"/>
    </row>
    <row r="1245" spans="1:23" ht="13" x14ac:dyDescent="0.3">
      <c r="A1245" s="58"/>
      <c r="B1245" s="58"/>
      <c r="C1245" s="58"/>
      <c r="D1245" s="58"/>
      <c r="E1245" s="58"/>
      <c r="F1245" s="58"/>
      <c r="G1245" s="58"/>
      <c r="H1245" s="59"/>
      <c r="I1245" s="59"/>
      <c r="J1245" s="59"/>
      <c r="K1245" s="59"/>
      <c r="L1245" s="59"/>
      <c r="M1245" s="60"/>
      <c r="N1245" s="60"/>
      <c r="O1245" s="60"/>
      <c r="P1245" s="59"/>
      <c r="Q1245" s="59"/>
      <c r="R1245" s="60"/>
      <c r="S1245" s="60"/>
      <c r="T1245" s="60"/>
      <c r="U1245" s="60"/>
      <c r="V1245" s="60"/>
      <c r="W1245" s="60"/>
    </row>
    <row r="1246" spans="1:23" ht="13" x14ac:dyDescent="0.3">
      <c r="A1246" s="58"/>
      <c r="B1246" s="58"/>
      <c r="C1246" s="58"/>
      <c r="D1246" s="58"/>
      <c r="E1246" s="58"/>
      <c r="F1246" s="58"/>
      <c r="G1246" s="58"/>
      <c r="H1246" s="59"/>
      <c r="I1246" s="59"/>
      <c r="J1246" s="59"/>
      <c r="K1246" s="59"/>
      <c r="L1246" s="59"/>
      <c r="M1246" s="60"/>
      <c r="N1246" s="60"/>
      <c r="O1246" s="60"/>
      <c r="P1246" s="59"/>
      <c r="Q1246" s="59"/>
      <c r="R1246" s="60"/>
      <c r="S1246" s="60"/>
      <c r="T1246" s="60"/>
      <c r="U1246" s="60"/>
      <c r="V1246" s="60"/>
      <c r="W1246" s="60"/>
    </row>
    <row r="1247" spans="1:23" ht="13" x14ac:dyDescent="0.3">
      <c r="A1247" s="58"/>
      <c r="B1247" s="58"/>
      <c r="C1247" s="58"/>
      <c r="D1247" s="58"/>
      <c r="E1247" s="58"/>
      <c r="F1247" s="58"/>
      <c r="G1247" s="58"/>
      <c r="H1247" s="59"/>
      <c r="I1247" s="59"/>
      <c r="J1247" s="59"/>
      <c r="K1247" s="59"/>
      <c r="L1247" s="59"/>
      <c r="M1247" s="60"/>
      <c r="N1247" s="60"/>
      <c r="O1247" s="60"/>
      <c r="P1247" s="59"/>
      <c r="Q1247" s="59"/>
      <c r="R1247" s="60"/>
      <c r="S1247" s="60"/>
      <c r="T1247" s="60"/>
      <c r="U1247" s="60"/>
      <c r="V1247" s="60"/>
      <c r="W1247" s="60"/>
    </row>
    <row r="1248" spans="1:23" ht="13" x14ac:dyDescent="0.3">
      <c r="A1248" s="58"/>
      <c r="B1248" s="58"/>
      <c r="C1248" s="58"/>
      <c r="D1248" s="58"/>
      <c r="E1248" s="58"/>
      <c r="F1248" s="58"/>
      <c r="G1248" s="58"/>
      <c r="H1248" s="59"/>
      <c r="I1248" s="59"/>
      <c r="J1248" s="59"/>
      <c r="K1248" s="59"/>
      <c r="L1248" s="59"/>
      <c r="M1248" s="60"/>
      <c r="N1248" s="60"/>
      <c r="O1248" s="60"/>
      <c r="P1248" s="59"/>
      <c r="Q1248" s="59"/>
      <c r="R1248" s="60"/>
      <c r="S1248" s="60"/>
      <c r="T1248" s="60"/>
      <c r="U1248" s="60"/>
      <c r="V1248" s="60"/>
      <c r="W1248" s="60"/>
    </row>
    <row r="1249" spans="1:23" ht="13" x14ac:dyDescent="0.3">
      <c r="A1249" s="58"/>
      <c r="B1249" s="58"/>
      <c r="C1249" s="58"/>
      <c r="D1249" s="58"/>
      <c r="E1249" s="58"/>
      <c r="F1249" s="58"/>
      <c r="G1249" s="58"/>
      <c r="H1249" s="59"/>
      <c r="I1249" s="59"/>
      <c r="J1249" s="59"/>
      <c r="K1249" s="59"/>
      <c r="L1249" s="59"/>
      <c r="M1249" s="60"/>
      <c r="N1249" s="60"/>
      <c r="O1249" s="60"/>
      <c r="P1249" s="59"/>
      <c r="Q1249" s="59"/>
      <c r="R1249" s="60"/>
      <c r="S1249" s="60"/>
      <c r="T1249" s="60"/>
      <c r="U1249" s="60"/>
      <c r="V1249" s="60"/>
      <c r="W1249" s="60"/>
    </row>
    <row r="1250" spans="1:23" ht="13" x14ac:dyDescent="0.3">
      <c r="A1250" s="58"/>
      <c r="B1250" s="58"/>
      <c r="C1250" s="58"/>
      <c r="D1250" s="58"/>
      <c r="E1250" s="58"/>
      <c r="F1250" s="58"/>
      <c r="G1250" s="58"/>
      <c r="H1250" s="59"/>
      <c r="I1250" s="59"/>
      <c r="J1250" s="59"/>
      <c r="K1250" s="59"/>
      <c r="L1250" s="59"/>
      <c r="M1250" s="60"/>
      <c r="N1250" s="60"/>
      <c r="O1250" s="60"/>
      <c r="P1250" s="59"/>
      <c r="Q1250" s="59"/>
      <c r="R1250" s="60"/>
      <c r="S1250" s="60"/>
      <c r="T1250" s="60"/>
      <c r="U1250" s="60"/>
      <c r="V1250" s="60"/>
      <c r="W1250" s="60"/>
    </row>
    <row r="1251" spans="1:23" ht="13" x14ac:dyDescent="0.3">
      <c r="A1251" s="58"/>
      <c r="B1251" s="58"/>
      <c r="C1251" s="58"/>
      <c r="D1251" s="58"/>
      <c r="E1251" s="58"/>
      <c r="F1251" s="58"/>
      <c r="G1251" s="58"/>
      <c r="H1251" s="59"/>
      <c r="I1251" s="59"/>
      <c r="J1251" s="59"/>
      <c r="K1251" s="59"/>
      <c r="L1251" s="59"/>
      <c r="M1251" s="60"/>
      <c r="N1251" s="60"/>
      <c r="O1251" s="60"/>
      <c r="P1251" s="59"/>
      <c r="Q1251" s="59"/>
      <c r="R1251" s="60"/>
      <c r="S1251" s="60"/>
      <c r="T1251" s="60"/>
      <c r="U1251" s="60"/>
      <c r="V1251" s="60"/>
      <c r="W1251" s="60"/>
    </row>
    <row r="1252" spans="1:23" ht="13" x14ac:dyDescent="0.3">
      <c r="A1252" s="58"/>
      <c r="B1252" s="58"/>
      <c r="C1252" s="58"/>
      <c r="D1252" s="58"/>
      <c r="E1252" s="58"/>
      <c r="F1252" s="58"/>
      <c r="G1252" s="58"/>
      <c r="H1252" s="59"/>
      <c r="I1252" s="59"/>
      <c r="J1252" s="59"/>
      <c r="K1252" s="59"/>
      <c r="L1252" s="59"/>
      <c r="M1252" s="60"/>
      <c r="N1252" s="60"/>
      <c r="O1252" s="60"/>
      <c r="P1252" s="59"/>
      <c r="Q1252" s="59"/>
      <c r="R1252" s="60"/>
      <c r="S1252" s="60"/>
      <c r="T1252" s="60"/>
      <c r="U1252" s="60"/>
      <c r="V1252" s="60"/>
      <c r="W1252" s="60"/>
    </row>
    <row r="1253" spans="1:23" ht="13" x14ac:dyDescent="0.3">
      <c r="A1253" s="58"/>
      <c r="B1253" s="58"/>
      <c r="C1253" s="58"/>
      <c r="D1253" s="58"/>
      <c r="E1253" s="58"/>
      <c r="F1253" s="58"/>
      <c r="G1253" s="58"/>
      <c r="H1253" s="59"/>
      <c r="I1253" s="59"/>
      <c r="J1253" s="59"/>
      <c r="K1253" s="59"/>
      <c r="L1253" s="59"/>
      <c r="M1253" s="60"/>
      <c r="N1253" s="60"/>
      <c r="O1253" s="60"/>
      <c r="P1253" s="59"/>
      <c r="Q1253" s="59"/>
      <c r="R1253" s="60"/>
      <c r="S1253" s="60"/>
      <c r="T1253" s="60"/>
      <c r="U1253" s="60"/>
      <c r="V1253" s="60"/>
      <c r="W1253" s="60"/>
    </row>
    <row r="1254" spans="1:23" ht="13" x14ac:dyDescent="0.3">
      <c r="A1254" s="58"/>
      <c r="B1254" s="58"/>
      <c r="C1254" s="58"/>
      <c r="D1254" s="58"/>
      <c r="E1254" s="58"/>
      <c r="F1254" s="58"/>
      <c r="G1254" s="58"/>
      <c r="H1254" s="59"/>
      <c r="I1254" s="59"/>
      <c r="J1254" s="59"/>
      <c r="K1254" s="59"/>
      <c r="L1254" s="59"/>
      <c r="M1254" s="60"/>
      <c r="N1254" s="60"/>
      <c r="O1254" s="60"/>
      <c r="P1254" s="59"/>
      <c r="Q1254" s="59"/>
      <c r="R1254" s="60"/>
      <c r="S1254" s="60"/>
      <c r="T1254" s="60"/>
      <c r="U1254" s="60"/>
      <c r="V1254" s="60"/>
      <c r="W1254" s="60"/>
    </row>
    <row r="1255" spans="1:23" ht="13" x14ac:dyDescent="0.3">
      <c r="A1255" s="58"/>
      <c r="B1255" s="58"/>
      <c r="C1255" s="58"/>
      <c r="D1255" s="58"/>
      <c r="E1255" s="58"/>
      <c r="F1255" s="58"/>
      <c r="G1255" s="58"/>
      <c r="H1255" s="59"/>
      <c r="I1255" s="59"/>
      <c r="J1255" s="59"/>
      <c r="K1255" s="59"/>
      <c r="L1255" s="59"/>
      <c r="M1255" s="60"/>
      <c r="N1255" s="60"/>
      <c r="O1255" s="60"/>
      <c r="P1255" s="59"/>
      <c r="Q1255" s="59"/>
      <c r="R1255" s="60"/>
      <c r="S1255" s="60"/>
      <c r="T1255" s="60"/>
      <c r="U1255" s="60"/>
      <c r="V1255" s="60"/>
      <c r="W1255" s="60"/>
    </row>
    <row r="1256" spans="1:23" ht="13" x14ac:dyDescent="0.3">
      <c r="A1256" s="58"/>
      <c r="B1256" s="58"/>
      <c r="C1256" s="58"/>
      <c r="D1256" s="58"/>
      <c r="E1256" s="58"/>
      <c r="F1256" s="58"/>
      <c r="G1256" s="58"/>
      <c r="H1256" s="59"/>
      <c r="I1256" s="59"/>
      <c r="J1256" s="59"/>
      <c r="K1256" s="59"/>
      <c r="L1256" s="59"/>
      <c r="M1256" s="60"/>
      <c r="N1256" s="60"/>
      <c r="O1256" s="60"/>
      <c r="P1256" s="59"/>
      <c r="Q1256" s="59"/>
      <c r="R1256" s="60"/>
      <c r="S1256" s="60"/>
      <c r="T1256" s="60"/>
      <c r="U1256" s="60"/>
      <c r="V1256" s="60"/>
      <c r="W1256" s="60"/>
    </row>
    <row r="1257" spans="1:23" ht="13" x14ac:dyDescent="0.3">
      <c r="A1257" s="58"/>
      <c r="B1257" s="58"/>
      <c r="C1257" s="58"/>
      <c r="D1257" s="58"/>
      <c r="E1257" s="58"/>
      <c r="F1257" s="58"/>
      <c r="G1257" s="58"/>
      <c r="H1257" s="59"/>
      <c r="I1257" s="59"/>
      <c r="J1257" s="59"/>
      <c r="K1257" s="59"/>
      <c r="L1257" s="59"/>
      <c r="M1257" s="60"/>
      <c r="N1257" s="60"/>
      <c r="O1257" s="60"/>
      <c r="P1257" s="59"/>
      <c r="Q1257" s="59"/>
      <c r="R1257" s="60"/>
      <c r="S1257" s="60"/>
      <c r="T1257" s="60"/>
      <c r="U1257" s="60"/>
      <c r="V1257" s="60"/>
      <c r="W1257" s="60"/>
    </row>
    <row r="1258" spans="1:23" ht="13" x14ac:dyDescent="0.3">
      <c r="A1258" s="58"/>
      <c r="B1258" s="58"/>
      <c r="C1258" s="58"/>
      <c r="D1258" s="58"/>
      <c r="E1258" s="58"/>
      <c r="F1258" s="58"/>
      <c r="G1258" s="58"/>
      <c r="H1258" s="59"/>
      <c r="I1258" s="59"/>
      <c r="J1258" s="59"/>
      <c r="K1258" s="59"/>
      <c r="L1258" s="59"/>
      <c r="M1258" s="60"/>
      <c r="N1258" s="60"/>
      <c r="O1258" s="60"/>
      <c r="P1258" s="59"/>
      <c r="Q1258" s="59"/>
      <c r="R1258" s="60"/>
      <c r="S1258" s="60"/>
      <c r="T1258" s="60"/>
      <c r="U1258" s="60"/>
      <c r="V1258" s="60"/>
      <c r="W1258" s="60"/>
    </row>
    <row r="1259" spans="1:23" ht="13" x14ac:dyDescent="0.3">
      <c r="A1259" s="58"/>
      <c r="B1259" s="58"/>
      <c r="C1259" s="58"/>
      <c r="D1259" s="58"/>
      <c r="E1259" s="58"/>
      <c r="F1259" s="58"/>
      <c r="G1259" s="58"/>
      <c r="H1259" s="59"/>
      <c r="I1259" s="59"/>
      <c r="J1259" s="59"/>
      <c r="K1259" s="59"/>
      <c r="L1259" s="59"/>
      <c r="M1259" s="60"/>
      <c r="N1259" s="60"/>
      <c r="O1259" s="60"/>
      <c r="P1259" s="59"/>
      <c r="Q1259" s="59"/>
      <c r="R1259" s="60"/>
      <c r="S1259" s="60"/>
      <c r="T1259" s="60"/>
      <c r="U1259" s="60"/>
      <c r="V1259" s="60"/>
      <c r="W1259" s="60"/>
    </row>
    <row r="1260" spans="1:23" ht="13" x14ac:dyDescent="0.3">
      <c r="A1260" s="58"/>
      <c r="B1260" s="58"/>
      <c r="C1260" s="58"/>
      <c r="D1260" s="58"/>
      <c r="E1260" s="58"/>
      <c r="F1260" s="58"/>
      <c r="G1260" s="58"/>
      <c r="H1260" s="59"/>
      <c r="I1260" s="59"/>
      <c r="J1260" s="59"/>
      <c r="K1260" s="59"/>
      <c r="L1260" s="59"/>
      <c r="M1260" s="60"/>
      <c r="N1260" s="60"/>
      <c r="O1260" s="60"/>
      <c r="P1260" s="59"/>
      <c r="Q1260" s="59"/>
      <c r="R1260" s="60"/>
      <c r="S1260" s="60"/>
      <c r="T1260" s="60"/>
      <c r="U1260" s="60"/>
      <c r="V1260" s="60"/>
      <c r="W1260" s="60"/>
    </row>
    <row r="1261" spans="1:23" ht="13" x14ac:dyDescent="0.3">
      <c r="A1261" s="58"/>
      <c r="B1261" s="58"/>
      <c r="C1261" s="58"/>
      <c r="D1261" s="58"/>
      <c r="E1261" s="58"/>
      <c r="F1261" s="58"/>
      <c r="G1261" s="58"/>
      <c r="H1261" s="59"/>
      <c r="I1261" s="59"/>
      <c r="J1261" s="59"/>
      <c r="K1261" s="59"/>
      <c r="L1261" s="59"/>
      <c r="M1261" s="60"/>
      <c r="N1261" s="60"/>
      <c r="O1261" s="60"/>
      <c r="P1261" s="59"/>
      <c r="Q1261" s="59"/>
      <c r="R1261" s="60"/>
      <c r="S1261" s="60"/>
      <c r="T1261" s="60"/>
      <c r="U1261" s="60"/>
      <c r="V1261" s="60"/>
      <c r="W1261" s="60"/>
    </row>
    <row r="1262" spans="1:23" ht="13" x14ac:dyDescent="0.3">
      <c r="A1262" s="58"/>
      <c r="B1262" s="58"/>
      <c r="C1262" s="58"/>
      <c r="D1262" s="58"/>
      <c r="E1262" s="58"/>
      <c r="F1262" s="58"/>
      <c r="G1262" s="58"/>
      <c r="H1262" s="59"/>
      <c r="I1262" s="59"/>
      <c r="J1262" s="59"/>
      <c r="K1262" s="59"/>
      <c r="L1262" s="59"/>
      <c r="M1262" s="60"/>
      <c r="N1262" s="60"/>
      <c r="O1262" s="60"/>
      <c r="P1262" s="59"/>
      <c r="Q1262" s="59"/>
      <c r="R1262" s="60"/>
      <c r="S1262" s="60"/>
      <c r="T1262" s="60"/>
      <c r="U1262" s="60"/>
      <c r="V1262" s="60"/>
      <c r="W1262" s="60"/>
    </row>
    <row r="1263" spans="1:23" ht="13" x14ac:dyDescent="0.3">
      <c r="A1263" s="58"/>
      <c r="B1263" s="58"/>
      <c r="C1263" s="58"/>
      <c r="D1263" s="58"/>
      <c r="E1263" s="58"/>
      <c r="F1263" s="58"/>
      <c r="G1263" s="58"/>
      <c r="H1263" s="59"/>
      <c r="I1263" s="59"/>
      <c r="J1263" s="59"/>
      <c r="K1263" s="59"/>
      <c r="L1263" s="59"/>
      <c r="M1263" s="60"/>
      <c r="N1263" s="60"/>
      <c r="O1263" s="60"/>
      <c r="P1263" s="59"/>
      <c r="Q1263" s="59"/>
      <c r="R1263" s="60"/>
      <c r="S1263" s="60"/>
      <c r="T1263" s="60"/>
      <c r="U1263" s="60"/>
      <c r="V1263" s="60"/>
      <c r="W1263" s="60"/>
    </row>
    <row r="1264" spans="1:23" ht="13" x14ac:dyDescent="0.3">
      <c r="A1264" s="58"/>
      <c r="B1264" s="58"/>
      <c r="C1264" s="58"/>
      <c r="D1264" s="58"/>
      <c r="E1264" s="58"/>
      <c r="F1264" s="58"/>
      <c r="G1264" s="58"/>
      <c r="H1264" s="59"/>
      <c r="I1264" s="59"/>
      <c r="J1264" s="59"/>
      <c r="K1264" s="59"/>
      <c r="L1264" s="59"/>
      <c r="M1264" s="60"/>
      <c r="N1264" s="60"/>
      <c r="O1264" s="60"/>
      <c r="P1264" s="59"/>
      <c r="Q1264" s="59"/>
      <c r="R1264" s="60"/>
      <c r="S1264" s="60"/>
      <c r="T1264" s="60"/>
      <c r="U1264" s="60"/>
      <c r="V1264" s="60"/>
      <c r="W1264" s="60"/>
    </row>
    <row r="1265" spans="1:23" ht="13" x14ac:dyDescent="0.3">
      <c r="A1265" s="58"/>
      <c r="B1265" s="58"/>
      <c r="C1265" s="58"/>
      <c r="D1265" s="58"/>
      <c r="E1265" s="58"/>
      <c r="F1265" s="58"/>
      <c r="G1265" s="58"/>
      <c r="H1265" s="59"/>
      <c r="I1265" s="59"/>
      <c r="J1265" s="59"/>
      <c r="K1265" s="59"/>
      <c r="L1265" s="59"/>
      <c r="M1265" s="60"/>
      <c r="N1265" s="60"/>
      <c r="O1265" s="60"/>
      <c r="P1265" s="59"/>
      <c r="Q1265" s="59"/>
      <c r="R1265" s="60"/>
      <c r="S1265" s="60"/>
      <c r="T1265" s="60"/>
      <c r="U1265" s="60"/>
      <c r="V1265" s="60"/>
      <c r="W1265" s="60"/>
    </row>
    <row r="1266" spans="1:23" ht="13" x14ac:dyDescent="0.3">
      <c r="A1266" s="58"/>
      <c r="B1266" s="58"/>
      <c r="C1266" s="58"/>
      <c r="D1266" s="58"/>
      <c r="E1266" s="58"/>
      <c r="F1266" s="58"/>
      <c r="G1266" s="58"/>
      <c r="H1266" s="59"/>
      <c r="I1266" s="59"/>
      <c r="J1266" s="59"/>
      <c r="K1266" s="59"/>
      <c r="L1266" s="59"/>
      <c r="M1266" s="60"/>
      <c r="N1266" s="60"/>
      <c r="O1266" s="60"/>
      <c r="P1266" s="59"/>
      <c r="Q1266" s="59"/>
      <c r="R1266" s="60"/>
      <c r="S1266" s="60"/>
      <c r="T1266" s="60"/>
      <c r="U1266" s="60"/>
      <c r="V1266" s="60"/>
      <c r="W1266" s="60"/>
    </row>
    <row r="1267" spans="1:23" ht="13" x14ac:dyDescent="0.3">
      <c r="A1267" s="58"/>
      <c r="B1267" s="58"/>
      <c r="C1267" s="58"/>
      <c r="D1267" s="58"/>
      <c r="E1267" s="58"/>
      <c r="F1267" s="58"/>
      <c r="G1267" s="58"/>
      <c r="H1267" s="59"/>
      <c r="I1267" s="59"/>
      <c r="J1267" s="59"/>
      <c r="K1267" s="59"/>
      <c r="L1267" s="59"/>
      <c r="M1267" s="60"/>
      <c r="N1267" s="60"/>
      <c r="O1267" s="60"/>
      <c r="P1267" s="59"/>
      <c r="Q1267" s="59"/>
      <c r="R1267" s="60"/>
      <c r="S1267" s="60"/>
      <c r="T1267" s="60"/>
      <c r="U1267" s="60"/>
      <c r="V1267" s="60"/>
      <c r="W1267" s="60"/>
    </row>
    <row r="1268" spans="1:23" ht="13" x14ac:dyDescent="0.3">
      <c r="A1268" s="58"/>
      <c r="B1268" s="58"/>
      <c r="C1268" s="58"/>
      <c r="D1268" s="58"/>
      <c r="E1268" s="58"/>
      <c r="F1268" s="58"/>
      <c r="G1268" s="58"/>
      <c r="H1268" s="59"/>
      <c r="I1268" s="59"/>
      <c r="J1268" s="59"/>
      <c r="K1268" s="59"/>
      <c r="L1268" s="59"/>
      <c r="M1268" s="60"/>
      <c r="N1268" s="60"/>
      <c r="O1268" s="60"/>
      <c r="P1268" s="59"/>
      <c r="Q1268" s="59"/>
      <c r="R1268" s="60"/>
      <c r="S1268" s="60"/>
      <c r="T1268" s="60"/>
      <c r="U1268" s="60"/>
      <c r="V1268" s="60"/>
      <c r="W1268" s="60"/>
    </row>
    <row r="1269" spans="1:23" ht="13" x14ac:dyDescent="0.3">
      <c r="A1269" s="58"/>
      <c r="B1269" s="58"/>
      <c r="C1269" s="58"/>
      <c r="D1269" s="58"/>
      <c r="E1269" s="58"/>
      <c r="F1269" s="58"/>
      <c r="G1269" s="58"/>
      <c r="H1269" s="59"/>
      <c r="I1269" s="59"/>
      <c r="J1269" s="59"/>
      <c r="K1269" s="59"/>
      <c r="L1269" s="59"/>
      <c r="M1269" s="60"/>
      <c r="N1269" s="60"/>
      <c r="O1269" s="60"/>
      <c r="P1269" s="59"/>
      <c r="Q1269" s="59"/>
      <c r="R1269" s="60"/>
      <c r="S1269" s="60"/>
      <c r="T1269" s="60"/>
      <c r="U1269" s="60"/>
      <c r="V1269" s="60"/>
      <c r="W1269" s="60"/>
    </row>
    <row r="1270" spans="1:23" ht="13" x14ac:dyDescent="0.3">
      <c r="A1270" s="58"/>
      <c r="B1270" s="58"/>
      <c r="C1270" s="58"/>
      <c r="D1270" s="58"/>
      <c r="E1270" s="58"/>
      <c r="F1270" s="58"/>
      <c r="G1270" s="58"/>
      <c r="H1270" s="59"/>
      <c r="I1270" s="59"/>
      <c r="J1270" s="59"/>
      <c r="K1270" s="59"/>
      <c r="L1270" s="59"/>
      <c r="M1270" s="60"/>
      <c r="N1270" s="60"/>
      <c r="O1270" s="60"/>
      <c r="P1270" s="59"/>
      <c r="Q1270" s="59"/>
      <c r="R1270" s="60"/>
      <c r="S1270" s="60"/>
      <c r="T1270" s="60"/>
      <c r="U1270" s="60"/>
      <c r="V1270" s="60"/>
      <c r="W1270" s="60"/>
    </row>
    <row r="1271" spans="1:23" ht="13" x14ac:dyDescent="0.3">
      <c r="A1271" s="58"/>
      <c r="B1271" s="58"/>
      <c r="C1271" s="58"/>
      <c r="D1271" s="58"/>
      <c r="E1271" s="58"/>
      <c r="F1271" s="58"/>
      <c r="G1271" s="58"/>
      <c r="H1271" s="59"/>
      <c r="I1271" s="59"/>
      <c r="J1271" s="59"/>
      <c r="K1271" s="59"/>
      <c r="L1271" s="59"/>
      <c r="M1271" s="60"/>
      <c r="N1271" s="60"/>
      <c r="O1271" s="60"/>
      <c r="P1271" s="59"/>
      <c r="Q1271" s="59"/>
      <c r="R1271" s="60"/>
      <c r="S1271" s="60"/>
      <c r="T1271" s="60"/>
      <c r="U1271" s="60"/>
      <c r="V1271" s="60"/>
      <c r="W1271" s="60"/>
    </row>
    <row r="1272" spans="1:23" ht="13" x14ac:dyDescent="0.3">
      <c r="A1272" s="58"/>
      <c r="B1272" s="58"/>
      <c r="C1272" s="58"/>
      <c r="D1272" s="58"/>
      <c r="E1272" s="58"/>
      <c r="F1272" s="58"/>
      <c r="G1272" s="58"/>
      <c r="H1272" s="59"/>
      <c r="I1272" s="59"/>
      <c r="J1272" s="59"/>
      <c r="K1272" s="59"/>
      <c r="L1272" s="59"/>
      <c r="M1272" s="60"/>
      <c r="N1272" s="60"/>
      <c r="O1272" s="60"/>
      <c r="P1272" s="59"/>
      <c r="Q1272" s="59"/>
      <c r="R1272" s="60"/>
      <c r="S1272" s="60"/>
      <c r="T1272" s="60"/>
      <c r="U1272" s="60"/>
      <c r="V1272" s="60"/>
      <c r="W1272" s="60"/>
    </row>
    <row r="1273" spans="1:23" ht="13" x14ac:dyDescent="0.3">
      <c r="A1273" s="58"/>
      <c r="B1273" s="58"/>
      <c r="C1273" s="58"/>
      <c r="D1273" s="58"/>
      <c r="E1273" s="58"/>
      <c r="F1273" s="58"/>
      <c r="G1273" s="58"/>
      <c r="H1273" s="59"/>
      <c r="I1273" s="59"/>
      <c r="J1273" s="59"/>
      <c r="K1273" s="59"/>
      <c r="L1273" s="59"/>
      <c r="M1273" s="60"/>
      <c r="N1273" s="60"/>
      <c r="O1273" s="60"/>
      <c r="P1273" s="59"/>
      <c r="Q1273" s="59"/>
      <c r="R1273" s="60"/>
      <c r="S1273" s="60"/>
      <c r="T1273" s="60"/>
      <c r="U1273" s="60"/>
      <c r="V1273" s="60"/>
      <c r="W1273" s="60"/>
    </row>
    <row r="1274" spans="1:23" ht="13" x14ac:dyDescent="0.3">
      <c r="A1274" s="58"/>
      <c r="B1274" s="58"/>
      <c r="C1274" s="58"/>
      <c r="D1274" s="58"/>
      <c r="E1274" s="58"/>
      <c r="F1274" s="58"/>
      <c r="G1274" s="58"/>
      <c r="H1274" s="59"/>
      <c r="I1274" s="59"/>
      <c r="J1274" s="59"/>
      <c r="K1274" s="59"/>
      <c r="L1274" s="59"/>
      <c r="M1274" s="60"/>
      <c r="N1274" s="60"/>
      <c r="O1274" s="60"/>
      <c r="P1274" s="59"/>
      <c r="Q1274" s="59"/>
      <c r="R1274" s="60"/>
      <c r="S1274" s="60"/>
      <c r="T1274" s="60"/>
      <c r="U1274" s="60"/>
      <c r="V1274" s="60"/>
      <c r="W1274" s="60"/>
    </row>
    <row r="1275" spans="1:23" ht="13" x14ac:dyDescent="0.3">
      <c r="A1275" s="58"/>
      <c r="B1275" s="58"/>
      <c r="C1275" s="58"/>
      <c r="D1275" s="58"/>
      <c r="E1275" s="58"/>
      <c r="F1275" s="58"/>
      <c r="G1275" s="58"/>
      <c r="H1275" s="59"/>
      <c r="I1275" s="59"/>
      <c r="J1275" s="59"/>
      <c r="K1275" s="59"/>
      <c r="L1275" s="59"/>
      <c r="M1275" s="60"/>
      <c r="N1275" s="60"/>
      <c r="O1275" s="60"/>
      <c r="P1275" s="59"/>
      <c r="Q1275" s="59"/>
      <c r="R1275" s="60"/>
      <c r="S1275" s="60"/>
      <c r="T1275" s="60"/>
      <c r="U1275" s="60"/>
      <c r="V1275" s="60"/>
      <c r="W1275" s="60"/>
    </row>
    <row r="1276" spans="1:23" ht="13" x14ac:dyDescent="0.3">
      <c r="A1276" s="58"/>
      <c r="B1276" s="58"/>
      <c r="C1276" s="58"/>
      <c r="D1276" s="58"/>
      <c r="E1276" s="58"/>
      <c r="F1276" s="58"/>
      <c r="G1276" s="58"/>
      <c r="H1276" s="59"/>
      <c r="I1276" s="59"/>
      <c r="J1276" s="59"/>
      <c r="K1276" s="59"/>
      <c r="L1276" s="59"/>
      <c r="M1276" s="60"/>
      <c r="N1276" s="60"/>
      <c r="O1276" s="60"/>
      <c r="P1276" s="59"/>
      <c r="Q1276" s="59"/>
      <c r="R1276" s="60"/>
      <c r="S1276" s="60"/>
      <c r="T1276" s="60"/>
      <c r="U1276" s="60"/>
      <c r="V1276" s="60"/>
      <c r="W1276" s="60"/>
    </row>
  </sheetData>
  <autoFilter ref="A1:R395" xr:uid="{00000000-0001-0000-0000-000000000000}"/>
  <conditionalFormatting sqref="B334:B387">
    <cfRule type="duplicateValues" dxfId="41" priority="29"/>
    <cfRule type="duplicateValues" dxfId="40" priority="30"/>
  </conditionalFormatting>
  <conditionalFormatting sqref="B388:B395">
    <cfRule type="duplicateValues" dxfId="39" priority="14"/>
    <cfRule type="duplicateValues" dxfId="38" priority="15"/>
  </conditionalFormatting>
  <conditionalFormatting sqref="B396:B404">
    <cfRule type="duplicateValues" dxfId="37" priority="9"/>
    <cfRule type="duplicateValues" dxfId="36" priority="10"/>
  </conditionalFormatting>
  <conditionalFormatting sqref="B405:B410">
    <cfRule type="duplicateValues" dxfId="35" priority="4"/>
    <cfRule type="duplicateValues" dxfId="34" priority="5"/>
  </conditionalFormatting>
  <conditionalFormatting sqref="B411:B1048576 B1:B274 B276:B333">
    <cfRule type="duplicateValues" dxfId="33" priority="244"/>
    <cfRule type="duplicateValues" dxfId="32" priority="245"/>
  </conditionalFormatting>
  <conditionalFormatting sqref="B1:D2 B411:D1048576 B3:C387 D3:D410">
    <cfRule type="duplicateValues" dxfId="31" priority="224"/>
  </conditionalFormatting>
  <conditionalFormatting sqref="B411:D1048576 B1:D2 B276:C333 C275 B3:C274 D3:D410">
    <cfRule type="duplicateValues" dxfId="30" priority="239"/>
  </conditionalFormatting>
  <conditionalFormatting sqref="C334:C387">
    <cfRule type="duplicateValues" dxfId="29" priority="26"/>
    <cfRule type="duplicateValues" dxfId="28" priority="27"/>
    <cfRule type="duplicateValues" dxfId="27" priority="28"/>
  </conditionalFormatting>
  <conditionalFormatting sqref="C388:C395">
    <cfRule type="duplicateValues" dxfId="26" priority="11"/>
    <cfRule type="duplicateValues" dxfId="25" priority="12"/>
    <cfRule type="duplicateValues" dxfId="24" priority="13"/>
  </conditionalFormatting>
  <conditionalFormatting sqref="C396:C404">
    <cfRule type="duplicateValues" dxfId="23" priority="6"/>
    <cfRule type="duplicateValues" dxfId="22" priority="7"/>
    <cfRule type="duplicateValues" dxfId="21" priority="8"/>
  </conditionalFormatting>
  <conditionalFormatting sqref="C405:C410">
    <cfRule type="duplicateValues" dxfId="20" priority="1"/>
    <cfRule type="duplicateValues" dxfId="19" priority="2"/>
    <cfRule type="duplicateValues" dxfId="18" priority="3"/>
  </conditionalFormatting>
  <conditionalFormatting sqref="C411:D1048576 C1:D2 C3:C333 D3:D410">
    <cfRule type="duplicateValues" dxfId="17" priority="227"/>
    <cfRule type="duplicateValues" dxfId="16" priority="228"/>
    <cfRule type="duplicateValues" dxfId="15" priority="229"/>
    <cfRule type="duplicateValues" dxfId="14" priority="230"/>
  </conditionalFormatting>
  <dataValidations count="1">
    <dataValidation type="list" allowBlank="1" showErrorMessage="1" sqref="E56:E268" xr:uid="{2EC55059-1DCA-4212-B39D-B30FF14642F7}">
      <formula1>"II/a,II/b,II/c,II/d,III/a,III/b,III/c,III/d,IV/a,IV/b,IV/c"</formula1>
    </dataValidation>
  </dataValidations>
  <hyperlinks>
    <hyperlink ref="B208" r:id="rId1" xr:uid="{EF675953-E485-4EE5-BB12-7A9ABC3C829A}"/>
    <hyperlink ref="B229" r:id="rId2" xr:uid="{1FB3886A-BFA9-46E6-95A4-14D51455C66B}"/>
    <hyperlink ref="B236" r:id="rId3" xr:uid="{173C63F9-EFCB-4C04-83EB-43A6359BEF5B}"/>
    <hyperlink ref="B240" r:id="rId4" xr:uid="{34579269-DCC4-41E0-AEDF-BBCC20B2309A}"/>
    <hyperlink ref="B241" r:id="rId5" xr:uid="{30B1F2A4-696E-4B00-8364-79FC2090229D}"/>
    <hyperlink ref="B261" r:id="rId6" xr:uid="{EE42E257-C70E-4E58-A002-EEE072159D4A}"/>
    <hyperlink ref="B268" r:id="rId7" xr:uid="{A28CCE52-E0D8-4D86-80B8-65E01FF6B356}"/>
  </hyperlinks>
  <pageMargins left="0.7" right="0.7" top="0.75" bottom="0.75" header="0.3" footer="0.3"/>
  <pageSetup paperSize="9" orientation="portrait" r:id="rId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849B-149B-42B7-B969-2F5C4680A1A0}">
  <sheetPr>
    <outlinePr summaryBelow="0" summaryRight="0"/>
  </sheetPr>
  <dimension ref="A1:X995"/>
  <sheetViews>
    <sheetView zoomScale="60" zoomScaleNormal="6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W103"/>
    </sheetView>
  </sheetViews>
  <sheetFormatPr defaultColWidth="12.6328125" defaultRowHeight="15.75" customHeight="1" x14ac:dyDescent="0.3"/>
  <cols>
    <col min="1" max="1" width="5.26953125" style="11" customWidth="1"/>
    <col min="2" max="2" width="39" style="11" customWidth="1"/>
    <col min="3" max="4" width="24.7265625" style="11" customWidth="1"/>
    <col min="5" max="5" width="25.6328125" style="11" customWidth="1"/>
    <col min="6" max="6" width="44.90625" style="11" customWidth="1"/>
    <col min="7" max="7" width="12.90625" style="11" customWidth="1"/>
    <col min="8" max="9" width="33.26953125" style="61" customWidth="1"/>
    <col min="10" max="10" width="17.7265625" style="56" customWidth="1"/>
    <col min="11" max="11" width="31.81640625" style="61" customWidth="1"/>
    <col min="12" max="12" width="19.54296875" style="56" customWidth="1"/>
    <col min="13" max="14" width="18.7265625" style="11" customWidth="1"/>
    <col min="15" max="15" width="16.6328125" style="11" customWidth="1"/>
    <col min="16" max="17" width="20.90625" style="56" customWidth="1"/>
    <col min="18" max="19" width="20.26953125" style="11" customWidth="1"/>
    <col min="20" max="20" width="37.26953125" style="11" customWidth="1"/>
    <col min="21" max="22" width="36.54296875" style="11" customWidth="1"/>
    <col min="23" max="23" width="31.7265625" style="11" customWidth="1"/>
    <col min="24" max="16384" width="12.6328125" style="11"/>
  </cols>
  <sheetData>
    <row r="1" spans="1:24" ht="112.5" customHeight="1" x14ac:dyDescent="0.3">
      <c r="A1" s="1"/>
      <c r="B1" s="2" t="s">
        <v>0</v>
      </c>
      <c r="C1" s="2" t="s">
        <v>1</v>
      </c>
      <c r="D1" s="2" t="s">
        <v>2930</v>
      </c>
      <c r="E1" s="2" t="s">
        <v>2</v>
      </c>
      <c r="F1" s="2" t="s">
        <v>3</v>
      </c>
      <c r="G1" s="2" t="s">
        <v>4</v>
      </c>
      <c r="H1" s="1" t="s">
        <v>5</v>
      </c>
      <c r="I1" s="3" t="s">
        <v>6</v>
      </c>
      <c r="J1" s="4" t="s">
        <v>7</v>
      </c>
      <c r="K1" s="4" t="s">
        <v>8</v>
      </c>
      <c r="L1" s="5" t="s">
        <v>9</v>
      </c>
      <c r="M1" s="5" t="s">
        <v>10</v>
      </c>
      <c r="N1" s="6" t="s">
        <v>11</v>
      </c>
      <c r="O1" s="6" t="s">
        <v>12</v>
      </c>
      <c r="P1" s="7" t="s">
        <v>13</v>
      </c>
      <c r="Q1" s="7" t="s">
        <v>14</v>
      </c>
      <c r="R1" s="8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10" t="s">
        <v>20</v>
      </c>
    </row>
    <row r="2" spans="1:24" s="17" customFormat="1" ht="14.5" x14ac:dyDescent="0.35">
      <c r="A2" s="12">
        <v>1</v>
      </c>
      <c r="B2" s="13" t="s">
        <v>2478</v>
      </c>
      <c r="C2" s="14" t="s">
        <v>2479</v>
      </c>
      <c r="D2" s="14" t="str">
        <f>IF(MID(C2,15,1)="1","Laki-Laki","Perempuan")</f>
        <v>Perempuan</v>
      </c>
      <c r="E2" s="13"/>
      <c r="F2" s="18"/>
      <c r="G2" s="13" t="s">
        <v>2480</v>
      </c>
      <c r="H2" s="15" t="s">
        <v>2481</v>
      </c>
      <c r="I2" s="15" t="s">
        <v>90</v>
      </c>
      <c r="J2" s="12" t="s">
        <v>26</v>
      </c>
      <c r="K2" s="15" t="s">
        <v>651</v>
      </c>
      <c r="L2" s="15" t="s">
        <v>60</v>
      </c>
      <c r="M2" s="15">
        <v>2019</v>
      </c>
      <c r="N2" s="15" t="str">
        <f>L2</f>
        <v>Agustus</v>
      </c>
      <c r="O2" s="15">
        <v>2021</v>
      </c>
      <c r="P2" s="15">
        <v>2020</v>
      </c>
      <c r="Q2" s="15"/>
      <c r="R2" s="16" t="s">
        <v>51</v>
      </c>
      <c r="S2" s="15"/>
      <c r="T2" s="15"/>
      <c r="U2" s="15"/>
      <c r="V2" s="15"/>
      <c r="W2" s="15"/>
      <c r="X2" s="17" t="s">
        <v>304</v>
      </c>
    </row>
    <row r="3" spans="1:24" s="17" customFormat="1" ht="14.5" x14ac:dyDescent="0.35">
      <c r="A3" s="12">
        <v>2</v>
      </c>
      <c r="B3" s="13" t="s">
        <v>2482</v>
      </c>
      <c r="C3" s="14" t="s">
        <v>2483</v>
      </c>
      <c r="D3" s="14" t="str">
        <f t="shared" ref="D3:D66" si="0">IF(MID(C3,15,1)="1","Laki-Laki","Perempuan")</f>
        <v>Laki-Laki</v>
      </c>
      <c r="E3" s="13"/>
      <c r="F3" s="18"/>
      <c r="G3" s="13" t="s">
        <v>2480</v>
      </c>
      <c r="H3" s="15" t="s">
        <v>2484</v>
      </c>
      <c r="I3" s="52" t="s">
        <v>2485</v>
      </c>
      <c r="J3" s="12" t="s">
        <v>45</v>
      </c>
      <c r="K3" s="15" t="s">
        <v>591</v>
      </c>
      <c r="L3" s="15" t="s">
        <v>28</v>
      </c>
      <c r="M3" s="15">
        <v>2019</v>
      </c>
      <c r="N3" s="15" t="str">
        <f t="shared" ref="N3:N34" si="1">L3</f>
        <v>September</v>
      </c>
      <c r="O3" s="15">
        <v>2023</v>
      </c>
      <c r="P3" s="15">
        <v>2020</v>
      </c>
      <c r="Q3" s="15"/>
      <c r="R3" s="16" t="s">
        <v>51</v>
      </c>
      <c r="S3" s="15"/>
      <c r="T3" s="15"/>
      <c r="U3" s="15"/>
      <c r="V3" s="15"/>
      <c r="W3" s="15"/>
    </row>
    <row r="4" spans="1:24" s="17" customFormat="1" ht="14.5" x14ac:dyDescent="0.35">
      <c r="A4" s="12">
        <v>3</v>
      </c>
      <c r="B4" s="13" t="s">
        <v>2486</v>
      </c>
      <c r="C4" s="14" t="s">
        <v>2487</v>
      </c>
      <c r="D4" s="14" t="str">
        <f t="shared" si="0"/>
        <v>Perempuan</v>
      </c>
      <c r="E4" s="13"/>
      <c r="F4" s="18"/>
      <c r="G4" s="13" t="s">
        <v>2480</v>
      </c>
      <c r="H4" s="15" t="s">
        <v>2488</v>
      </c>
      <c r="I4" s="15" t="s">
        <v>580</v>
      </c>
      <c r="J4" s="12" t="s">
        <v>45</v>
      </c>
      <c r="K4" s="15" t="s">
        <v>651</v>
      </c>
      <c r="L4" s="15" t="s">
        <v>652</v>
      </c>
      <c r="M4" s="15">
        <v>2019</v>
      </c>
      <c r="N4" s="15" t="str">
        <f t="shared" si="1"/>
        <v>Mei</v>
      </c>
      <c r="O4" s="15">
        <v>2023</v>
      </c>
      <c r="P4" s="15">
        <v>2020</v>
      </c>
      <c r="Q4" s="15"/>
      <c r="R4" s="16" t="s">
        <v>51</v>
      </c>
      <c r="S4" s="15"/>
      <c r="T4" s="15"/>
      <c r="U4" s="15"/>
      <c r="V4" s="15"/>
      <c r="W4" s="15"/>
      <c r="X4" s="17" t="s">
        <v>304</v>
      </c>
    </row>
    <row r="5" spans="1:24" s="17" customFormat="1" ht="14.5" x14ac:dyDescent="0.35">
      <c r="A5" s="12">
        <v>4</v>
      </c>
      <c r="B5" s="13" t="s">
        <v>2489</v>
      </c>
      <c r="C5" s="14" t="s">
        <v>2490</v>
      </c>
      <c r="D5" s="14" t="str">
        <f t="shared" si="0"/>
        <v>Perempuan</v>
      </c>
      <c r="E5" s="13"/>
      <c r="F5" s="18"/>
      <c r="G5" s="13" t="s">
        <v>2480</v>
      </c>
      <c r="H5" s="15" t="s">
        <v>2491</v>
      </c>
      <c r="I5" s="15" t="s">
        <v>2492</v>
      </c>
      <c r="J5" s="12" t="s">
        <v>45</v>
      </c>
      <c r="K5" s="53" t="s">
        <v>2493</v>
      </c>
      <c r="L5" s="30" t="s">
        <v>28</v>
      </c>
      <c r="M5" s="15">
        <v>2019</v>
      </c>
      <c r="N5" s="15" t="str">
        <f t="shared" si="1"/>
        <v>September</v>
      </c>
      <c r="O5" s="15">
        <v>2023</v>
      </c>
      <c r="P5" s="15">
        <v>2020</v>
      </c>
      <c r="Q5" s="15"/>
      <c r="R5" s="16" t="s">
        <v>51</v>
      </c>
      <c r="S5" s="15"/>
      <c r="T5" s="15"/>
      <c r="U5" s="15"/>
      <c r="V5" s="15"/>
      <c r="W5" s="15"/>
      <c r="X5" s="17" t="s">
        <v>304</v>
      </c>
    </row>
    <row r="6" spans="1:24" s="17" customFormat="1" ht="14.5" x14ac:dyDescent="0.35">
      <c r="A6" s="12">
        <v>5</v>
      </c>
      <c r="B6" s="13" t="s">
        <v>2494</v>
      </c>
      <c r="C6" s="14" t="s">
        <v>2495</v>
      </c>
      <c r="D6" s="14" t="str">
        <f t="shared" si="0"/>
        <v>Laki-Laki</v>
      </c>
      <c r="E6" s="13"/>
      <c r="F6" s="18"/>
      <c r="G6" s="13" t="s">
        <v>2480</v>
      </c>
      <c r="H6" s="15" t="s">
        <v>2496</v>
      </c>
      <c r="I6" s="15" t="s">
        <v>90</v>
      </c>
      <c r="J6" s="12" t="s">
        <v>45</v>
      </c>
      <c r="K6" s="15" t="s">
        <v>651</v>
      </c>
      <c r="L6" s="30" t="s">
        <v>28</v>
      </c>
      <c r="M6" s="15">
        <v>2019</v>
      </c>
      <c r="N6" s="15" t="str">
        <f t="shared" si="1"/>
        <v>September</v>
      </c>
      <c r="O6" s="15">
        <v>2023</v>
      </c>
      <c r="P6" s="15">
        <v>2020</v>
      </c>
      <c r="Q6" s="15"/>
      <c r="R6" s="16" t="s">
        <v>51</v>
      </c>
      <c r="S6" s="15"/>
      <c r="T6" s="15"/>
      <c r="U6" s="15"/>
      <c r="V6" s="15"/>
      <c r="W6" s="15"/>
      <c r="X6" s="17" t="s">
        <v>304</v>
      </c>
    </row>
    <row r="7" spans="1:24" s="17" customFormat="1" ht="14.5" x14ac:dyDescent="0.35">
      <c r="A7" s="12">
        <v>6</v>
      </c>
      <c r="B7" s="13" t="s">
        <v>2497</v>
      </c>
      <c r="C7" s="14" t="s">
        <v>2498</v>
      </c>
      <c r="D7" s="14" t="str">
        <f t="shared" si="0"/>
        <v>Laki-Laki</v>
      </c>
      <c r="E7" s="13"/>
      <c r="F7" s="18"/>
      <c r="G7" s="13" t="s">
        <v>2480</v>
      </c>
      <c r="H7" s="15" t="s">
        <v>2499</v>
      </c>
      <c r="I7" s="53" t="s">
        <v>2500</v>
      </c>
      <c r="J7" s="12" t="s">
        <v>45</v>
      </c>
      <c r="K7" s="15" t="s">
        <v>2501</v>
      </c>
      <c r="L7" s="15" t="s">
        <v>60</v>
      </c>
      <c r="M7" s="15">
        <v>2019</v>
      </c>
      <c r="N7" s="15" t="str">
        <f t="shared" si="1"/>
        <v>Agustus</v>
      </c>
      <c r="O7" s="15">
        <v>2023</v>
      </c>
      <c r="P7" s="15">
        <v>2020</v>
      </c>
      <c r="Q7" s="15"/>
      <c r="R7" s="16" t="s">
        <v>51</v>
      </c>
      <c r="S7" s="15"/>
      <c r="T7" s="15"/>
      <c r="U7" s="15"/>
      <c r="V7" s="15"/>
      <c r="W7" s="15"/>
      <c r="X7" s="17" t="s">
        <v>304</v>
      </c>
    </row>
    <row r="8" spans="1:24" s="17" customFormat="1" ht="14.5" x14ac:dyDescent="0.35">
      <c r="A8" s="12">
        <v>7</v>
      </c>
      <c r="B8" s="13" t="s">
        <v>2502</v>
      </c>
      <c r="C8" s="14" t="s">
        <v>2503</v>
      </c>
      <c r="D8" s="14" t="str">
        <f t="shared" si="0"/>
        <v>Laki-Laki</v>
      </c>
      <c r="E8" s="13"/>
      <c r="F8" s="18"/>
      <c r="G8" s="13" t="s">
        <v>2480</v>
      </c>
      <c r="H8" s="15" t="s">
        <v>2499</v>
      </c>
      <c r="I8" s="15" t="s">
        <v>2504</v>
      </c>
      <c r="J8" s="12" t="s">
        <v>45</v>
      </c>
      <c r="K8" s="15" t="s">
        <v>221</v>
      </c>
      <c r="L8" s="30" t="s">
        <v>28</v>
      </c>
      <c r="M8" s="15">
        <v>2019</v>
      </c>
      <c r="N8" s="15" t="str">
        <f t="shared" si="1"/>
        <v>September</v>
      </c>
      <c r="O8" s="15">
        <v>2023</v>
      </c>
      <c r="P8" s="15">
        <v>2020</v>
      </c>
      <c r="Q8" s="15"/>
      <c r="R8" s="16" t="s">
        <v>51</v>
      </c>
      <c r="S8" s="15"/>
      <c r="T8" s="15"/>
      <c r="U8" s="15"/>
      <c r="V8" s="15"/>
      <c r="W8" s="15"/>
      <c r="X8" s="17" t="s">
        <v>304</v>
      </c>
    </row>
    <row r="9" spans="1:24" s="17" customFormat="1" ht="14.5" x14ac:dyDescent="0.35">
      <c r="A9" s="12">
        <v>8</v>
      </c>
      <c r="B9" s="13" t="s">
        <v>2505</v>
      </c>
      <c r="C9" s="14" t="s">
        <v>2506</v>
      </c>
      <c r="D9" s="14" t="str">
        <f t="shared" si="0"/>
        <v>Laki-Laki</v>
      </c>
      <c r="E9" s="13"/>
      <c r="F9" s="18"/>
      <c r="G9" s="13" t="s">
        <v>2480</v>
      </c>
      <c r="H9" s="15" t="s">
        <v>2507</v>
      </c>
      <c r="I9" s="15" t="s">
        <v>1884</v>
      </c>
      <c r="J9" s="12" t="s">
        <v>26</v>
      </c>
      <c r="K9" s="15" t="s">
        <v>407</v>
      </c>
      <c r="L9" s="30" t="s">
        <v>28</v>
      </c>
      <c r="M9" s="15">
        <v>2019</v>
      </c>
      <c r="N9" s="15" t="str">
        <f t="shared" si="1"/>
        <v>September</v>
      </c>
      <c r="O9" s="15">
        <v>2021</v>
      </c>
      <c r="P9" s="15">
        <v>2020</v>
      </c>
      <c r="Q9" s="15"/>
      <c r="R9" s="16" t="s">
        <v>51</v>
      </c>
      <c r="S9" s="15"/>
      <c r="T9" s="15"/>
      <c r="U9" s="15"/>
      <c r="V9" s="15"/>
      <c r="W9" s="15"/>
      <c r="X9" s="17" t="s">
        <v>304</v>
      </c>
    </row>
    <row r="10" spans="1:24" s="17" customFormat="1" ht="14.5" x14ac:dyDescent="0.35">
      <c r="A10" s="12">
        <v>9</v>
      </c>
      <c r="B10" s="13" t="s">
        <v>2508</v>
      </c>
      <c r="C10" s="14" t="s">
        <v>2509</v>
      </c>
      <c r="D10" s="14" t="str">
        <f t="shared" si="0"/>
        <v>Laki-Laki</v>
      </c>
      <c r="E10" s="13"/>
      <c r="F10" s="18"/>
      <c r="G10" s="13" t="s">
        <v>2480</v>
      </c>
      <c r="H10" s="15" t="s">
        <v>2510</v>
      </c>
      <c r="I10" s="15" t="s">
        <v>2511</v>
      </c>
      <c r="J10" s="12" t="s">
        <v>45</v>
      </c>
      <c r="K10" s="15" t="s">
        <v>858</v>
      </c>
      <c r="L10" s="54" t="s">
        <v>156</v>
      </c>
      <c r="M10" s="21">
        <v>2019</v>
      </c>
      <c r="N10" s="15" t="str">
        <f t="shared" si="1"/>
        <v>November</v>
      </c>
      <c r="O10" s="15">
        <v>2023</v>
      </c>
      <c r="P10" s="15">
        <v>2020</v>
      </c>
      <c r="Q10" s="15"/>
      <c r="R10" s="34" t="s">
        <v>29</v>
      </c>
      <c r="S10" s="21"/>
      <c r="T10" s="21"/>
      <c r="U10" s="21"/>
      <c r="V10" s="21"/>
      <c r="W10" s="21"/>
    </row>
    <row r="11" spans="1:24" s="17" customFormat="1" ht="28" x14ac:dyDescent="0.35">
      <c r="A11" s="12">
        <v>10</v>
      </c>
      <c r="B11" s="13" t="s">
        <v>2512</v>
      </c>
      <c r="C11" s="14" t="s">
        <v>2513</v>
      </c>
      <c r="D11" s="14" t="str">
        <f t="shared" si="0"/>
        <v>Laki-Laki</v>
      </c>
      <c r="E11" s="13"/>
      <c r="F11" s="18"/>
      <c r="G11" s="13" t="s">
        <v>2480</v>
      </c>
      <c r="H11" s="15" t="s">
        <v>2514</v>
      </c>
      <c r="I11" s="15" t="s">
        <v>2515</v>
      </c>
      <c r="J11" s="12" t="s">
        <v>45</v>
      </c>
      <c r="K11" s="15" t="s">
        <v>46</v>
      </c>
      <c r="L11" s="54" t="s">
        <v>35</v>
      </c>
      <c r="M11" s="21">
        <v>2020</v>
      </c>
      <c r="N11" s="15" t="str">
        <f t="shared" si="1"/>
        <v>Maret</v>
      </c>
      <c r="O11" s="15">
        <v>2024</v>
      </c>
      <c r="P11" s="15">
        <v>2020</v>
      </c>
      <c r="Q11" s="15"/>
      <c r="R11" s="34" t="s">
        <v>51</v>
      </c>
      <c r="S11" s="21"/>
      <c r="T11" s="21"/>
      <c r="U11" s="21"/>
      <c r="V11" s="21"/>
      <c r="W11" s="21"/>
    </row>
    <row r="12" spans="1:24" s="17" customFormat="1" ht="14.5" x14ac:dyDescent="0.35">
      <c r="A12" s="12">
        <v>11</v>
      </c>
      <c r="B12" s="13" t="s">
        <v>2516</v>
      </c>
      <c r="C12" s="14" t="s">
        <v>2517</v>
      </c>
      <c r="D12" s="14" t="str">
        <f t="shared" si="0"/>
        <v>Laki-Laki</v>
      </c>
      <c r="E12" s="13"/>
      <c r="F12" s="18"/>
      <c r="G12" s="13" t="s">
        <v>2480</v>
      </c>
      <c r="H12" s="15" t="s">
        <v>2518</v>
      </c>
      <c r="I12" s="15" t="s">
        <v>2519</v>
      </c>
      <c r="J12" s="12" t="s">
        <v>45</v>
      </c>
      <c r="K12" s="15" t="s">
        <v>174</v>
      </c>
      <c r="L12" s="54" t="s">
        <v>35</v>
      </c>
      <c r="M12" s="21">
        <v>2020</v>
      </c>
      <c r="N12" s="15" t="str">
        <f t="shared" si="1"/>
        <v>Maret</v>
      </c>
      <c r="O12" s="15">
        <v>2022</v>
      </c>
      <c r="P12" s="15">
        <v>2020</v>
      </c>
      <c r="Q12" s="15"/>
      <c r="R12" s="34" t="s">
        <v>29</v>
      </c>
      <c r="S12" s="21"/>
      <c r="T12" s="21"/>
      <c r="U12" s="21"/>
      <c r="V12" s="21"/>
      <c r="W12" s="21"/>
    </row>
    <row r="13" spans="1:24" s="17" customFormat="1" ht="28" x14ac:dyDescent="0.35">
      <c r="A13" s="12">
        <v>12</v>
      </c>
      <c r="B13" s="13" t="s">
        <v>2520</v>
      </c>
      <c r="C13" s="14" t="s">
        <v>2521</v>
      </c>
      <c r="D13" s="14" t="str">
        <f t="shared" si="0"/>
        <v>Laki-Laki</v>
      </c>
      <c r="E13" s="13"/>
      <c r="F13" s="18"/>
      <c r="G13" s="13" t="s">
        <v>2480</v>
      </c>
      <c r="H13" s="15" t="s">
        <v>2522</v>
      </c>
      <c r="I13" s="15" t="s">
        <v>2523</v>
      </c>
      <c r="J13" s="12" t="s">
        <v>26</v>
      </c>
      <c r="K13" s="15" t="s">
        <v>40</v>
      </c>
      <c r="L13" s="54" t="s">
        <v>35</v>
      </c>
      <c r="M13" s="21">
        <v>2020</v>
      </c>
      <c r="N13" s="15" t="str">
        <f t="shared" si="1"/>
        <v>Maret</v>
      </c>
      <c r="O13" s="15">
        <v>2022</v>
      </c>
      <c r="P13" s="15">
        <v>2020</v>
      </c>
      <c r="Q13" s="15"/>
      <c r="R13" s="34" t="s">
        <v>51</v>
      </c>
      <c r="S13" s="21"/>
      <c r="T13" s="21"/>
      <c r="U13" s="21"/>
      <c r="V13" s="21"/>
      <c r="W13" s="21"/>
      <c r="X13" s="17" t="s">
        <v>304</v>
      </c>
    </row>
    <row r="14" spans="1:24" s="17" customFormat="1" ht="14.5" x14ac:dyDescent="0.35">
      <c r="A14" s="12">
        <v>13</v>
      </c>
      <c r="B14" s="13" t="s">
        <v>2524</v>
      </c>
      <c r="C14" s="14" t="s">
        <v>2525</v>
      </c>
      <c r="D14" s="14" t="str">
        <f t="shared" si="0"/>
        <v>Perempuan</v>
      </c>
      <c r="E14" s="13"/>
      <c r="F14" s="18"/>
      <c r="G14" s="13" t="s">
        <v>2480</v>
      </c>
      <c r="H14" s="15" t="s">
        <v>2526</v>
      </c>
      <c r="I14" s="15" t="s">
        <v>2527</v>
      </c>
      <c r="J14" s="12" t="s">
        <v>45</v>
      </c>
      <c r="K14" s="15" t="s">
        <v>2501</v>
      </c>
      <c r="L14" s="54" t="s">
        <v>28</v>
      </c>
      <c r="M14" s="21">
        <v>2020</v>
      </c>
      <c r="N14" s="15" t="str">
        <f t="shared" si="1"/>
        <v>September</v>
      </c>
      <c r="O14" s="15">
        <v>2024</v>
      </c>
      <c r="P14" s="15">
        <v>2020</v>
      </c>
      <c r="Q14" s="15"/>
      <c r="R14" s="34" t="s">
        <v>29</v>
      </c>
      <c r="S14" s="21"/>
      <c r="T14" s="21"/>
      <c r="U14" s="21"/>
      <c r="V14" s="21"/>
      <c r="W14" s="21"/>
    </row>
    <row r="15" spans="1:24" s="17" customFormat="1" ht="14.5" x14ac:dyDescent="0.35">
      <c r="A15" s="12">
        <v>14</v>
      </c>
      <c r="B15" s="13" t="s">
        <v>2528</v>
      </c>
      <c r="C15" s="14" t="s">
        <v>2529</v>
      </c>
      <c r="D15" s="14" t="str">
        <f t="shared" si="0"/>
        <v>Laki-Laki</v>
      </c>
      <c r="E15" s="13"/>
      <c r="F15" s="18"/>
      <c r="G15" s="13" t="s">
        <v>2480</v>
      </c>
      <c r="H15" s="15" t="s">
        <v>2530</v>
      </c>
      <c r="I15" s="15" t="s">
        <v>2531</v>
      </c>
      <c r="J15" s="12" t="s">
        <v>45</v>
      </c>
      <c r="K15" s="15" t="s">
        <v>2532</v>
      </c>
      <c r="L15" s="54" t="s">
        <v>446</v>
      </c>
      <c r="M15" s="21">
        <v>2019</v>
      </c>
      <c r="N15" s="15" t="str">
        <f t="shared" si="1"/>
        <v xml:space="preserve">Oktober </v>
      </c>
      <c r="O15" s="15">
        <v>2023</v>
      </c>
      <c r="P15" s="15">
        <v>2020</v>
      </c>
      <c r="Q15" s="15"/>
      <c r="R15" s="34" t="s">
        <v>51</v>
      </c>
      <c r="S15" s="21"/>
      <c r="T15" s="21"/>
      <c r="U15" s="21"/>
      <c r="V15" s="21"/>
      <c r="W15" s="21"/>
      <c r="X15" s="17" t="s">
        <v>304</v>
      </c>
    </row>
    <row r="16" spans="1:24" s="17" customFormat="1" ht="14.5" x14ac:dyDescent="0.35">
      <c r="A16" s="12">
        <v>15</v>
      </c>
      <c r="B16" s="13" t="s">
        <v>2533</v>
      </c>
      <c r="C16" s="14" t="s">
        <v>2534</v>
      </c>
      <c r="D16" s="14" t="str">
        <f t="shared" si="0"/>
        <v>Perempuan</v>
      </c>
      <c r="E16" s="13"/>
      <c r="F16" s="18"/>
      <c r="G16" s="13" t="s">
        <v>2480</v>
      </c>
      <c r="H16" s="15" t="s">
        <v>2535</v>
      </c>
      <c r="I16" s="15" t="s">
        <v>2536</v>
      </c>
      <c r="J16" s="12" t="s">
        <v>26</v>
      </c>
      <c r="K16" s="15" t="s">
        <v>2537</v>
      </c>
      <c r="L16" s="54" t="s">
        <v>60</v>
      </c>
      <c r="M16" s="21">
        <v>2020</v>
      </c>
      <c r="N16" s="15" t="str">
        <f t="shared" si="1"/>
        <v>Agustus</v>
      </c>
      <c r="O16" s="15">
        <v>2023</v>
      </c>
      <c r="P16" s="15">
        <v>2020</v>
      </c>
      <c r="Q16" s="15"/>
      <c r="R16" s="34" t="s">
        <v>29</v>
      </c>
      <c r="S16" s="21"/>
      <c r="T16" s="21"/>
      <c r="U16" s="21"/>
      <c r="V16" s="21"/>
      <c r="W16" s="21"/>
    </row>
    <row r="17" spans="1:24" s="17" customFormat="1" ht="14.5" x14ac:dyDescent="0.35">
      <c r="A17" s="12">
        <v>16</v>
      </c>
      <c r="B17" s="13" t="s">
        <v>2538</v>
      </c>
      <c r="C17" s="14" t="s">
        <v>2539</v>
      </c>
      <c r="D17" s="14" t="str">
        <f t="shared" si="0"/>
        <v>Laki-Laki</v>
      </c>
      <c r="E17" s="13"/>
      <c r="F17" s="18"/>
      <c r="G17" s="13" t="s">
        <v>2480</v>
      </c>
      <c r="H17" s="15" t="s">
        <v>2540</v>
      </c>
      <c r="I17" s="15" t="s">
        <v>1314</v>
      </c>
      <c r="J17" s="12" t="s">
        <v>45</v>
      </c>
      <c r="K17" s="15" t="s">
        <v>858</v>
      </c>
      <c r="L17" s="54" t="s">
        <v>60</v>
      </c>
      <c r="M17" s="21">
        <v>2020</v>
      </c>
      <c r="N17" s="15" t="str">
        <f t="shared" si="1"/>
        <v>Agustus</v>
      </c>
      <c r="O17" s="15">
        <v>2024</v>
      </c>
      <c r="P17" s="15">
        <v>2020</v>
      </c>
      <c r="Q17" s="15"/>
      <c r="R17" s="34" t="s">
        <v>51</v>
      </c>
      <c r="S17" s="21"/>
      <c r="T17" s="21"/>
      <c r="U17" s="21"/>
      <c r="V17" s="21"/>
      <c r="W17" s="21"/>
      <c r="X17" s="17" t="s">
        <v>304</v>
      </c>
    </row>
    <row r="18" spans="1:24" s="17" customFormat="1" ht="14.5" x14ac:dyDescent="0.35">
      <c r="A18" s="12">
        <v>17</v>
      </c>
      <c r="B18" s="13" t="s">
        <v>2541</v>
      </c>
      <c r="C18" s="14" t="s">
        <v>2542</v>
      </c>
      <c r="D18" s="14" t="str">
        <f t="shared" si="0"/>
        <v>Laki-Laki</v>
      </c>
      <c r="E18" s="13"/>
      <c r="F18" s="18"/>
      <c r="G18" s="13" t="s">
        <v>2480</v>
      </c>
      <c r="H18" s="15" t="s">
        <v>2543</v>
      </c>
      <c r="I18" s="15" t="s">
        <v>90</v>
      </c>
      <c r="J18" s="12" t="s">
        <v>26</v>
      </c>
      <c r="K18" s="15" t="s">
        <v>68</v>
      </c>
      <c r="L18" s="54" t="s">
        <v>60</v>
      </c>
      <c r="M18" s="21">
        <v>2020</v>
      </c>
      <c r="N18" s="15" t="str">
        <f t="shared" si="1"/>
        <v>Agustus</v>
      </c>
      <c r="O18" s="15">
        <v>2022</v>
      </c>
      <c r="P18" s="15">
        <v>2020</v>
      </c>
      <c r="Q18" s="15"/>
      <c r="R18" s="34" t="s">
        <v>51</v>
      </c>
      <c r="S18" s="21"/>
      <c r="T18" s="21"/>
      <c r="U18" s="21"/>
      <c r="V18" s="21"/>
      <c r="W18" s="21"/>
      <c r="X18" s="17" t="s">
        <v>304</v>
      </c>
    </row>
    <row r="19" spans="1:24" s="17" customFormat="1" ht="28" x14ac:dyDescent="0.35">
      <c r="A19" s="12">
        <v>18</v>
      </c>
      <c r="B19" s="13" t="s">
        <v>2544</v>
      </c>
      <c r="C19" s="14" t="s">
        <v>2545</v>
      </c>
      <c r="D19" s="14" t="str">
        <f t="shared" si="0"/>
        <v>Perempuan</v>
      </c>
      <c r="E19" s="13"/>
      <c r="F19" s="18"/>
      <c r="G19" s="13" t="s">
        <v>2480</v>
      </c>
      <c r="H19" s="15" t="s">
        <v>2546</v>
      </c>
      <c r="I19" s="15" t="s">
        <v>2547</v>
      </c>
      <c r="J19" s="12" t="s">
        <v>45</v>
      </c>
      <c r="K19" s="15" t="s">
        <v>269</v>
      </c>
      <c r="L19" s="54" t="s">
        <v>28</v>
      </c>
      <c r="M19" s="21">
        <v>2020</v>
      </c>
      <c r="N19" s="15" t="str">
        <f t="shared" si="1"/>
        <v>September</v>
      </c>
      <c r="O19" s="15">
        <v>2024</v>
      </c>
      <c r="P19" s="15">
        <v>2020</v>
      </c>
      <c r="Q19" s="15"/>
      <c r="R19" s="34" t="s">
        <v>51</v>
      </c>
      <c r="S19" s="21"/>
      <c r="T19" s="21"/>
      <c r="U19" s="21"/>
      <c r="V19" s="21"/>
      <c r="W19" s="21"/>
      <c r="X19" s="17" t="s">
        <v>304</v>
      </c>
    </row>
    <row r="20" spans="1:24" s="17" customFormat="1" ht="14.5" x14ac:dyDescent="0.35">
      <c r="A20" s="12">
        <v>19</v>
      </c>
      <c r="B20" s="13" t="s">
        <v>2548</v>
      </c>
      <c r="C20" s="14" t="s">
        <v>2549</v>
      </c>
      <c r="D20" s="14" t="str">
        <f t="shared" si="0"/>
        <v>Perempuan</v>
      </c>
      <c r="E20" s="13"/>
      <c r="F20" s="18"/>
      <c r="G20" s="13" t="s">
        <v>2480</v>
      </c>
      <c r="H20" s="15" t="s">
        <v>2550</v>
      </c>
      <c r="I20" s="15" t="s">
        <v>90</v>
      </c>
      <c r="J20" s="12" t="s">
        <v>45</v>
      </c>
      <c r="K20" s="15" t="s">
        <v>40</v>
      </c>
      <c r="L20" s="54" t="s">
        <v>1562</v>
      </c>
      <c r="M20" s="21">
        <v>2020</v>
      </c>
      <c r="N20" s="15" t="str">
        <f t="shared" si="1"/>
        <v>Desember</v>
      </c>
      <c r="O20" s="15">
        <v>2024</v>
      </c>
      <c r="P20" s="15">
        <v>2020</v>
      </c>
      <c r="Q20" s="15"/>
      <c r="R20" s="34" t="s">
        <v>29</v>
      </c>
      <c r="S20" s="21"/>
      <c r="T20" s="21"/>
      <c r="U20" s="21"/>
      <c r="V20" s="21"/>
      <c r="W20" s="21"/>
    </row>
    <row r="21" spans="1:24" s="17" customFormat="1" ht="14.5" x14ac:dyDescent="0.35">
      <c r="A21" s="12">
        <v>20</v>
      </c>
      <c r="B21" s="13" t="s">
        <v>2551</v>
      </c>
      <c r="C21" s="14" t="s">
        <v>2552</v>
      </c>
      <c r="D21" s="14" t="str">
        <f t="shared" si="0"/>
        <v>Laki-Laki</v>
      </c>
      <c r="E21" s="13"/>
      <c r="F21" s="18"/>
      <c r="G21" s="13" t="s">
        <v>2480</v>
      </c>
      <c r="H21" s="15" t="s">
        <v>2553</v>
      </c>
      <c r="I21" s="15" t="s">
        <v>2554</v>
      </c>
      <c r="J21" s="12" t="s">
        <v>45</v>
      </c>
      <c r="K21" s="15" t="s">
        <v>477</v>
      </c>
      <c r="L21" s="54" t="s">
        <v>28</v>
      </c>
      <c r="M21" s="21">
        <v>2020</v>
      </c>
      <c r="N21" s="15" t="str">
        <f t="shared" si="1"/>
        <v>September</v>
      </c>
      <c r="O21" s="15">
        <v>2024</v>
      </c>
      <c r="P21" s="15">
        <v>2020</v>
      </c>
      <c r="Q21" s="15"/>
      <c r="R21" s="34" t="s">
        <v>51</v>
      </c>
      <c r="S21" s="21"/>
      <c r="T21" s="21"/>
      <c r="U21" s="21"/>
      <c r="V21" s="21"/>
      <c r="W21" s="21"/>
      <c r="X21" s="17" t="s">
        <v>304</v>
      </c>
    </row>
    <row r="22" spans="1:24" s="17" customFormat="1" ht="14.5" x14ac:dyDescent="0.35">
      <c r="A22" s="12">
        <v>21</v>
      </c>
      <c r="B22" s="13" t="s">
        <v>2555</v>
      </c>
      <c r="C22" s="14" t="s">
        <v>2556</v>
      </c>
      <c r="D22" s="14" t="str">
        <f t="shared" si="0"/>
        <v>Laki-Laki</v>
      </c>
      <c r="E22" s="13"/>
      <c r="F22" s="13"/>
      <c r="G22" s="13" t="s">
        <v>2480</v>
      </c>
      <c r="H22" s="15" t="s">
        <v>2557</v>
      </c>
      <c r="I22" s="15" t="s">
        <v>926</v>
      </c>
      <c r="J22" s="12" t="s">
        <v>26</v>
      </c>
      <c r="K22" s="15" t="s">
        <v>221</v>
      </c>
      <c r="L22" s="54" t="s">
        <v>28</v>
      </c>
      <c r="M22" s="21">
        <v>2020</v>
      </c>
      <c r="N22" s="15" t="str">
        <f t="shared" si="1"/>
        <v>September</v>
      </c>
      <c r="O22" s="15">
        <v>2022</v>
      </c>
      <c r="P22" s="15">
        <v>2020</v>
      </c>
      <c r="Q22" s="15"/>
      <c r="R22" s="16" t="s">
        <v>29</v>
      </c>
      <c r="S22" s="15"/>
      <c r="T22" s="15"/>
      <c r="U22" s="15"/>
      <c r="V22" s="15"/>
      <c r="W22" s="15"/>
    </row>
    <row r="23" spans="1:24" s="17" customFormat="1" ht="14.5" x14ac:dyDescent="0.35">
      <c r="A23" s="12">
        <v>22</v>
      </c>
      <c r="B23" s="13" t="s">
        <v>2558</v>
      </c>
      <c r="C23" s="14" t="s">
        <v>2559</v>
      </c>
      <c r="D23" s="14" t="str">
        <f t="shared" si="0"/>
        <v>Laki-Laki</v>
      </c>
      <c r="E23" s="13"/>
      <c r="F23" s="13"/>
      <c r="G23" s="13" t="s">
        <v>2480</v>
      </c>
      <c r="H23" s="15" t="s">
        <v>2510</v>
      </c>
      <c r="I23" s="15" t="s">
        <v>90</v>
      </c>
      <c r="J23" s="12" t="s">
        <v>26</v>
      </c>
      <c r="K23" s="15" t="s">
        <v>394</v>
      </c>
      <c r="L23" s="12" t="s">
        <v>60</v>
      </c>
      <c r="M23" s="12">
        <v>2020</v>
      </c>
      <c r="N23" s="15" t="str">
        <f t="shared" si="1"/>
        <v>Agustus</v>
      </c>
      <c r="O23" s="15">
        <v>2022</v>
      </c>
      <c r="P23" s="15">
        <v>2020</v>
      </c>
      <c r="Q23" s="15"/>
      <c r="R23" s="34" t="s">
        <v>51</v>
      </c>
      <c r="S23" s="21"/>
      <c r="T23" s="21"/>
      <c r="U23" s="21"/>
      <c r="V23" s="21"/>
      <c r="W23" s="21"/>
      <c r="X23" s="17" t="s">
        <v>304</v>
      </c>
    </row>
    <row r="24" spans="1:24" s="17" customFormat="1" ht="14.5" x14ac:dyDescent="0.35">
      <c r="A24" s="12">
        <v>23</v>
      </c>
      <c r="B24" s="13" t="s">
        <v>2560</v>
      </c>
      <c r="C24" s="14" t="s">
        <v>2561</v>
      </c>
      <c r="D24" s="14" t="str">
        <f t="shared" si="0"/>
        <v>Laki-Laki</v>
      </c>
      <c r="E24" s="13"/>
      <c r="F24" s="13"/>
      <c r="G24" s="13" t="s">
        <v>2480</v>
      </c>
      <c r="H24" s="15" t="s">
        <v>2488</v>
      </c>
      <c r="I24" s="15" t="s">
        <v>90</v>
      </c>
      <c r="J24" s="12" t="s">
        <v>45</v>
      </c>
      <c r="K24" s="15" t="s">
        <v>196</v>
      </c>
      <c r="L24" s="21" t="s">
        <v>60</v>
      </c>
      <c r="M24" s="21">
        <v>2019</v>
      </c>
      <c r="N24" s="15" t="str">
        <f t="shared" si="1"/>
        <v>Agustus</v>
      </c>
      <c r="O24" s="15">
        <v>2023</v>
      </c>
      <c r="P24" s="15">
        <v>2021</v>
      </c>
      <c r="Q24" s="15"/>
      <c r="R24" s="16" t="s">
        <v>29</v>
      </c>
      <c r="S24" s="15"/>
      <c r="T24" s="15"/>
      <c r="U24" s="15"/>
      <c r="V24" s="15"/>
      <c r="W24" s="15"/>
    </row>
    <row r="25" spans="1:24" s="17" customFormat="1" ht="14.5" x14ac:dyDescent="0.35">
      <c r="A25" s="12">
        <v>24</v>
      </c>
      <c r="B25" s="13" t="s">
        <v>2562</v>
      </c>
      <c r="C25" s="14" t="s">
        <v>2563</v>
      </c>
      <c r="D25" s="14" t="str">
        <f t="shared" si="0"/>
        <v>Laki-Laki</v>
      </c>
      <c r="E25" s="13"/>
      <c r="F25" s="13"/>
      <c r="G25" s="13" t="s">
        <v>2480</v>
      </c>
      <c r="H25" s="15" t="s">
        <v>2564</v>
      </c>
      <c r="I25" s="15" t="s">
        <v>2565</v>
      </c>
      <c r="J25" s="12" t="s">
        <v>45</v>
      </c>
      <c r="K25" s="15" t="s">
        <v>95</v>
      </c>
      <c r="L25" s="21" t="s">
        <v>35</v>
      </c>
      <c r="M25" s="21">
        <v>2021</v>
      </c>
      <c r="N25" s="15" t="str">
        <f t="shared" si="1"/>
        <v>Maret</v>
      </c>
      <c r="O25" s="15">
        <v>2025</v>
      </c>
      <c r="P25" s="15">
        <v>2021</v>
      </c>
      <c r="Q25" s="15"/>
      <c r="R25" s="22" t="s">
        <v>51</v>
      </c>
      <c r="S25" s="23"/>
      <c r="T25" s="23"/>
      <c r="U25" s="23"/>
      <c r="V25" s="23"/>
      <c r="W25" s="23"/>
    </row>
    <row r="26" spans="1:24" s="17" customFormat="1" ht="14.5" x14ac:dyDescent="0.35">
      <c r="A26" s="12">
        <v>25</v>
      </c>
      <c r="B26" s="13" t="s">
        <v>2566</v>
      </c>
      <c r="C26" s="14" t="s">
        <v>2567</v>
      </c>
      <c r="D26" s="14" t="str">
        <f t="shared" si="0"/>
        <v>Perempuan</v>
      </c>
      <c r="E26" s="13"/>
      <c r="F26" s="13"/>
      <c r="G26" s="13" t="s">
        <v>2480</v>
      </c>
      <c r="H26" s="15" t="s">
        <v>2484</v>
      </c>
      <c r="I26" s="15" t="s">
        <v>90</v>
      </c>
      <c r="J26" s="12" t="s">
        <v>45</v>
      </c>
      <c r="K26" s="15" t="s">
        <v>1182</v>
      </c>
      <c r="L26" s="21" t="s">
        <v>890</v>
      </c>
      <c r="M26" s="21">
        <v>2021</v>
      </c>
      <c r="N26" s="15" t="str">
        <f t="shared" si="1"/>
        <v>Januari</v>
      </c>
      <c r="O26" s="15">
        <v>2025</v>
      </c>
      <c r="P26" s="15">
        <v>2021</v>
      </c>
      <c r="Q26" s="15"/>
      <c r="R26" s="22" t="s">
        <v>51</v>
      </c>
      <c r="S26" s="23"/>
      <c r="T26" s="23"/>
      <c r="U26" s="23"/>
      <c r="V26" s="23"/>
      <c r="W26" s="23"/>
      <c r="X26" s="17" t="s">
        <v>304</v>
      </c>
    </row>
    <row r="27" spans="1:24" s="17" customFormat="1" ht="14.5" x14ac:dyDescent="0.35">
      <c r="A27" s="12">
        <v>26</v>
      </c>
      <c r="B27" s="13" t="s">
        <v>2568</v>
      </c>
      <c r="C27" s="14" t="s">
        <v>2569</v>
      </c>
      <c r="D27" s="14" t="str">
        <f t="shared" si="0"/>
        <v>Perempuan</v>
      </c>
      <c r="E27" s="13"/>
      <c r="F27" s="13"/>
      <c r="G27" s="13" t="s">
        <v>2480</v>
      </c>
      <c r="H27" s="15" t="s">
        <v>2570</v>
      </c>
      <c r="I27" s="15" t="s">
        <v>320</v>
      </c>
      <c r="J27" s="12" t="s">
        <v>45</v>
      </c>
      <c r="K27" s="15" t="s">
        <v>2571</v>
      </c>
      <c r="L27" s="21" t="s">
        <v>35</v>
      </c>
      <c r="M27" s="21">
        <v>2021</v>
      </c>
      <c r="N27" s="15" t="str">
        <f t="shared" si="1"/>
        <v>Maret</v>
      </c>
      <c r="O27" s="15">
        <v>2025</v>
      </c>
      <c r="P27" s="15">
        <v>2021</v>
      </c>
      <c r="Q27" s="15"/>
      <c r="R27" s="22" t="s">
        <v>51</v>
      </c>
      <c r="S27" s="23"/>
      <c r="T27" s="23"/>
      <c r="U27" s="23"/>
      <c r="V27" s="23"/>
      <c r="W27" s="23"/>
      <c r="X27" s="17" t="s">
        <v>304</v>
      </c>
    </row>
    <row r="28" spans="1:24" s="17" customFormat="1" ht="28" x14ac:dyDescent="0.35">
      <c r="A28" s="12">
        <v>27</v>
      </c>
      <c r="B28" s="13" t="s">
        <v>2572</v>
      </c>
      <c r="C28" s="14" t="s">
        <v>2573</v>
      </c>
      <c r="D28" s="14" t="str">
        <f t="shared" si="0"/>
        <v>Laki-Laki</v>
      </c>
      <c r="E28" s="13"/>
      <c r="F28" s="13"/>
      <c r="G28" s="13" t="s">
        <v>2480</v>
      </c>
      <c r="H28" s="15" t="s">
        <v>2518</v>
      </c>
      <c r="I28" s="15" t="s">
        <v>2574</v>
      </c>
      <c r="J28" s="12" t="s">
        <v>45</v>
      </c>
      <c r="K28" s="15" t="s">
        <v>295</v>
      </c>
      <c r="L28" s="21" t="s">
        <v>60</v>
      </c>
      <c r="M28" s="21">
        <v>2021</v>
      </c>
      <c r="N28" s="15" t="str">
        <f t="shared" si="1"/>
        <v>Agustus</v>
      </c>
      <c r="O28" s="15">
        <v>2025</v>
      </c>
      <c r="P28" s="15">
        <v>2021</v>
      </c>
      <c r="Q28" s="15"/>
      <c r="R28" s="22" t="s">
        <v>51</v>
      </c>
      <c r="S28" s="23"/>
      <c r="T28" s="23"/>
      <c r="U28" s="23"/>
      <c r="V28" s="23"/>
      <c r="W28" s="23"/>
      <c r="X28" s="17" t="s">
        <v>304</v>
      </c>
    </row>
    <row r="29" spans="1:24" s="17" customFormat="1" ht="14.5" x14ac:dyDescent="0.35">
      <c r="A29" s="12">
        <v>28</v>
      </c>
      <c r="B29" s="13" t="s">
        <v>2575</v>
      </c>
      <c r="C29" s="14" t="s">
        <v>2576</v>
      </c>
      <c r="D29" s="14" t="str">
        <f t="shared" si="0"/>
        <v>Perempuan</v>
      </c>
      <c r="E29" s="13"/>
      <c r="F29" s="13"/>
      <c r="G29" s="13" t="s">
        <v>2480</v>
      </c>
      <c r="H29" s="15" t="s">
        <v>2570</v>
      </c>
      <c r="I29" s="15" t="s">
        <v>2577</v>
      </c>
      <c r="J29" s="12" t="s">
        <v>45</v>
      </c>
      <c r="K29" s="15" t="s">
        <v>2578</v>
      </c>
      <c r="L29" s="21" t="s">
        <v>28</v>
      </c>
      <c r="M29" s="21">
        <v>2021</v>
      </c>
      <c r="N29" s="15" t="str">
        <f t="shared" si="1"/>
        <v>September</v>
      </c>
      <c r="O29" s="15">
        <v>2025</v>
      </c>
      <c r="P29" s="15">
        <v>2021</v>
      </c>
      <c r="Q29" s="15"/>
      <c r="R29" s="22" t="s">
        <v>51</v>
      </c>
      <c r="S29" s="23"/>
      <c r="T29" s="23"/>
      <c r="U29" s="23"/>
      <c r="V29" s="23"/>
      <c r="W29" s="23"/>
      <c r="X29" s="17" t="s">
        <v>304</v>
      </c>
    </row>
    <row r="30" spans="1:24" s="17" customFormat="1" ht="14.5" x14ac:dyDescent="0.35">
      <c r="A30" s="12">
        <v>29</v>
      </c>
      <c r="B30" s="13" t="s">
        <v>2579</v>
      </c>
      <c r="C30" s="14" t="s">
        <v>2580</v>
      </c>
      <c r="D30" s="14" t="str">
        <f t="shared" si="0"/>
        <v>Perempuan</v>
      </c>
      <c r="E30" s="13"/>
      <c r="F30" s="13"/>
      <c r="G30" s="13" t="s">
        <v>2480</v>
      </c>
      <c r="H30" s="15" t="s">
        <v>2581</v>
      </c>
      <c r="I30" s="91" t="s">
        <v>1625</v>
      </c>
      <c r="J30" s="91" t="s">
        <v>45</v>
      </c>
      <c r="K30" s="92" t="s">
        <v>40</v>
      </c>
      <c r="L30" s="21" t="s">
        <v>890</v>
      </c>
      <c r="M30" s="21">
        <v>2022</v>
      </c>
      <c r="N30" s="15" t="str">
        <f t="shared" si="1"/>
        <v>Januari</v>
      </c>
      <c r="O30" s="15">
        <v>2024</v>
      </c>
      <c r="P30" s="15">
        <v>2022</v>
      </c>
      <c r="Q30" s="15"/>
      <c r="R30" s="16" t="s">
        <v>29</v>
      </c>
      <c r="S30" s="15"/>
      <c r="T30" s="15"/>
      <c r="U30" s="15"/>
      <c r="V30" s="15"/>
      <c r="W30" s="15"/>
    </row>
    <row r="31" spans="1:24" s="17" customFormat="1" ht="14.5" x14ac:dyDescent="0.35">
      <c r="A31" s="12">
        <v>30</v>
      </c>
      <c r="B31" s="13" t="s">
        <v>2582</v>
      </c>
      <c r="C31" s="14" t="s">
        <v>2583</v>
      </c>
      <c r="D31" s="14" t="str">
        <f t="shared" si="0"/>
        <v>Perempuan</v>
      </c>
      <c r="E31" s="13"/>
      <c r="F31" s="13"/>
      <c r="G31" s="13" t="s">
        <v>2480</v>
      </c>
      <c r="H31" s="15" t="s">
        <v>2584</v>
      </c>
      <c r="I31" s="91" t="s">
        <v>1625</v>
      </c>
      <c r="J31" s="91" t="s">
        <v>26</v>
      </c>
      <c r="K31" s="92" t="s">
        <v>394</v>
      </c>
      <c r="L31" s="21" t="s">
        <v>28</v>
      </c>
      <c r="M31" s="21">
        <v>2022</v>
      </c>
      <c r="N31" s="15" t="str">
        <f t="shared" si="1"/>
        <v>September</v>
      </c>
      <c r="O31" s="15">
        <v>2024</v>
      </c>
      <c r="P31" s="15">
        <v>2022</v>
      </c>
      <c r="Q31" s="15"/>
      <c r="R31" s="16" t="s">
        <v>51</v>
      </c>
      <c r="S31" s="15"/>
      <c r="T31" s="15"/>
      <c r="U31" s="15"/>
      <c r="V31" s="15"/>
      <c r="W31" s="15"/>
    </row>
    <row r="32" spans="1:24" s="17" customFormat="1" ht="14.5" x14ac:dyDescent="0.35">
      <c r="A32" s="12">
        <v>31</v>
      </c>
      <c r="B32" s="13" t="s">
        <v>2585</v>
      </c>
      <c r="C32" s="14" t="s">
        <v>2586</v>
      </c>
      <c r="D32" s="14" t="str">
        <f t="shared" si="0"/>
        <v>Perempuan</v>
      </c>
      <c r="E32" s="13"/>
      <c r="F32" s="13"/>
      <c r="G32" s="13" t="s">
        <v>2480</v>
      </c>
      <c r="H32" s="15" t="s">
        <v>2587</v>
      </c>
      <c r="I32" s="15" t="s">
        <v>911</v>
      </c>
      <c r="J32" s="12" t="s">
        <v>26</v>
      </c>
      <c r="K32" s="15" t="s">
        <v>2588</v>
      </c>
      <c r="L32" s="21" t="s">
        <v>205</v>
      </c>
      <c r="M32" s="21">
        <v>2022</v>
      </c>
      <c r="N32" s="15" t="str">
        <f t="shared" si="1"/>
        <v xml:space="preserve">September </v>
      </c>
      <c r="O32" s="15">
        <v>2024</v>
      </c>
      <c r="P32" s="15">
        <v>2022</v>
      </c>
      <c r="Q32" s="15"/>
      <c r="R32" s="16" t="s">
        <v>29</v>
      </c>
      <c r="S32" s="15"/>
      <c r="T32" s="15"/>
      <c r="U32" s="15"/>
      <c r="V32" s="15"/>
      <c r="W32" s="15"/>
    </row>
    <row r="33" spans="1:24" s="17" customFormat="1" ht="14.5" x14ac:dyDescent="0.35">
      <c r="A33" s="12">
        <v>32</v>
      </c>
      <c r="B33" s="13" t="s">
        <v>2589</v>
      </c>
      <c r="C33" s="14" t="s">
        <v>2590</v>
      </c>
      <c r="D33" s="14" t="str">
        <f t="shared" si="0"/>
        <v>Laki-Laki</v>
      </c>
      <c r="E33" s="13"/>
      <c r="F33" s="13"/>
      <c r="G33" s="13" t="s">
        <v>2480</v>
      </c>
      <c r="H33" s="15"/>
      <c r="I33" s="91" t="s">
        <v>1625</v>
      </c>
      <c r="J33" s="91" t="s">
        <v>45</v>
      </c>
      <c r="K33" s="92" t="s">
        <v>2591</v>
      </c>
      <c r="L33" s="21" t="s">
        <v>72</v>
      </c>
      <c r="M33" s="21">
        <v>2022</v>
      </c>
      <c r="N33" s="15" t="str">
        <f t="shared" si="1"/>
        <v>Februari</v>
      </c>
      <c r="O33" s="15">
        <v>2026</v>
      </c>
      <c r="P33" s="15">
        <v>2022</v>
      </c>
      <c r="Q33" s="15"/>
      <c r="R33" s="16" t="s">
        <v>51</v>
      </c>
      <c r="S33" s="15"/>
      <c r="T33" s="15"/>
      <c r="U33" s="15"/>
      <c r="V33" s="15"/>
      <c r="W33" s="15"/>
    </row>
    <row r="34" spans="1:24" s="17" customFormat="1" ht="14.5" x14ac:dyDescent="0.35">
      <c r="A34" s="12">
        <v>33</v>
      </c>
      <c r="B34" s="13" t="s">
        <v>2592</v>
      </c>
      <c r="C34" s="14"/>
      <c r="D34" s="14" t="str">
        <f t="shared" si="0"/>
        <v>Perempuan</v>
      </c>
      <c r="E34" s="13"/>
      <c r="F34" s="13"/>
      <c r="G34" s="13" t="s">
        <v>2480</v>
      </c>
      <c r="H34" s="15"/>
      <c r="I34" s="91" t="s">
        <v>1625</v>
      </c>
      <c r="J34" s="91" t="s">
        <v>45</v>
      </c>
      <c r="K34" s="92" t="s">
        <v>2593</v>
      </c>
      <c r="L34" s="21"/>
      <c r="M34" s="21"/>
      <c r="N34" s="15">
        <f t="shared" si="1"/>
        <v>0</v>
      </c>
      <c r="O34" s="15"/>
      <c r="P34" s="15">
        <v>2022</v>
      </c>
      <c r="Q34" s="15"/>
      <c r="R34" s="16" t="s">
        <v>51</v>
      </c>
      <c r="S34" s="15"/>
      <c r="T34" s="15"/>
      <c r="U34" s="15"/>
      <c r="V34" s="15"/>
      <c r="W34" s="15"/>
      <c r="X34" s="17" t="s">
        <v>304</v>
      </c>
    </row>
    <row r="35" spans="1:24" s="17" customFormat="1" ht="14.5" x14ac:dyDescent="0.35">
      <c r="A35" s="12">
        <v>34</v>
      </c>
      <c r="B35" s="13" t="s">
        <v>2594</v>
      </c>
      <c r="C35" s="14" t="s">
        <v>2595</v>
      </c>
      <c r="D35" s="14" t="str">
        <f t="shared" si="0"/>
        <v>Perempuan</v>
      </c>
      <c r="E35" s="13"/>
      <c r="F35" s="13"/>
      <c r="G35" s="13" t="s">
        <v>2480</v>
      </c>
      <c r="H35" s="15" t="s">
        <v>2596</v>
      </c>
      <c r="I35" s="91" t="s">
        <v>1625</v>
      </c>
      <c r="J35" s="91" t="s">
        <v>45</v>
      </c>
      <c r="K35" s="92" t="s">
        <v>95</v>
      </c>
      <c r="L35" s="21" t="s">
        <v>2597</v>
      </c>
      <c r="M35" s="21">
        <v>2022</v>
      </c>
      <c r="N35" s="15"/>
      <c r="O35" s="15">
        <v>2026</v>
      </c>
      <c r="P35" s="15">
        <v>2022</v>
      </c>
      <c r="Q35" s="15"/>
      <c r="R35" s="16" t="s">
        <v>51</v>
      </c>
      <c r="S35" s="15"/>
      <c r="T35" s="15"/>
      <c r="U35" s="15"/>
      <c r="V35" s="15"/>
      <c r="W35" s="15"/>
    </row>
    <row r="36" spans="1:24" s="17" customFormat="1" ht="14.5" x14ac:dyDescent="0.35">
      <c r="A36" s="12">
        <v>35</v>
      </c>
      <c r="B36" s="13" t="s">
        <v>2598</v>
      </c>
      <c r="C36" s="14"/>
      <c r="D36" s="14" t="str">
        <f t="shared" si="0"/>
        <v>Perempuan</v>
      </c>
      <c r="E36" s="13"/>
      <c r="F36" s="13"/>
      <c r="G36" s="13" t="s">
        <v>2480</v>
      </c>
      <c r="H36" s="15"/>
      <c r="I36" s="92" t="s">
        <v>2599</v>
      </c>
      <c r="J36" s="91" t="s">
        <v>45</v>
      </c>
      <c r="K36" s="92" t="s">
        <v>2501</v>
      </c>
      <c r="L36" s="21" t="s">
        <v>60</v>
      </c>
      <c r="M36" s="21">
        <v>2022</v>
      </c>
      <c r="N36" s="15" t="str">
        <f t="shared" ref="N36:N99" si="2">L36</f>
        <v>Agustus</v>
      </c>
      <c r="O36" s="15">
        <v>2026</v>
      </c>
      <c r="P36" s="15">
        <v>2022</v>
      </c>
      <c r="Q36" s="15"/>
      <c r="R36" s="16" t="s">
        <v>51</v>
      </c>
      <c r="S36" s="15"/>
      <c r="T36" s="15"/>
      <c r="U36" s="15"/>
      <c r="V36" s="15"/>
      <c r="W36" s="15"/>
      <c r="X36" s="17" t="s">
        <v>304</v>
      </c>
    </row>
    <row r="37" spans="1:24" s="17" customFormat="1" ht="14.5" x14ac:dyDescent="0.35">
      <c r="A37" s="12">
        <v>36</v>
      </c>
      <c r="B37" s="13" t="s">
        <v>2600</v>
      </c>
      <c r="C37" s="14"/>
      <c r="D37" s="14" t="str">
        <f t="shared" si="0"/>
        <v>Perempuan</v>
      </c>
      <c r="E37" s="13"/>
      <c r="F37" s="13"/>
      <c r="G37" s="13" t="s">
        <v>2480</v>
      </c>
      <c r="H37" s="15"/>
      <c r="I37" s="92" t="s">
        <v>1900</v>
      </c>
      <c r="J37" s="91" t="s">
        <v>26</v>
      </c>
      <c r="K37" s="92" t="s">
        <v>2601</v>
      </c>
      <c r="L37" s="21"/>
      <c r="M37" s="21"/>
      <c r="N37" s="15">
        <f t="shared" si="2"/>
        <v>0</v>
      </c>
      <c r="O37" s="15"/>
      <c r="P37" s="15">
        <v>2022</v>
      </c>
      <c r="Q37" s="15"/>
      <c r="R37" s="16" t="s">
        <v>51</v>
      </c>
      <c r="S37" s="15"/>
      <c r="T37" s="15"/>
      <c r="U37" s="15"/>
      <c r="V37" s="15"/>
      <c r="W37" s="15"/>
      <c r="X37" s="17" t="s">
        <v>304</v>
      </c>
    </row>
    <row r="38" spans="1:24" s="17" customFormat="1" ht="14.5" x14ac:dyDescent="0.35">
      <c r="A38" s="12">
        <v>37</v>
      </c>
      <c r="B38" s="13" t="s">
        <v>2602</v>
      </c>
      <c r="C38" s="14"/>
      <c r="D38" s="14" t="str">
        <f t="shared" si="0"/>
        <v>Perempuan</v>
      </c>
      <c r="E38" s="13"/>
      <c r="F38" s="13"/>
      <c r="G38" s="13" t="s">
        <v>2480</v>
      </c>
      <c r="H38" s="15"/>
      <c r="I38" s="91" t="s">
        <v>1625</v>
      </c>
      <c r="J38" s="91" t="s">
        <v>26</v>
      </c>
      <c r="K38" s="92" t="s">
        <v>394</v>
      </c>
      <c r="L38" s="21"/>
      <c r="M38" s="21"/>
      <c r="N38" s="15">
        <f t="shared" si="2"/>
        <v>0</v>
      </c>
      <c r="O38" s="15"/>
      <c r="P38" s="15">
        <v>2022</v>
      </c>
      <c r="Q38" s="15"/>
      <c r="R38" s="16" t="s">
        <v>51</v>
      </c>
      <c r="S38" s="15"/>
      <c r="T38" s="15"/>
      <c r="U38" s="15"/>
      <c r="V38" s="15"/>
      <c r="W38" s="15"/>
      <c r="X38" s="17" t="s">
        <v>304</v>
      </c>
    </row>
    <row r="39" spans="1:24" s="17" customFormat="1" ht="14.5" x14ac:dyDescent="0.35">
      <c r="A39" s="12">
        <v>38</v>
      </c>
      <c r="B39" s="13" t="s">
        <v>2603</v>
      </c>
      <c r="C39" s="14" t="s">
        <v>2604</v>
      </c>
      <c r="D39" s="14" t="str">
        <f t="shared" si="0"/>
        <v>Laki-Laki</v>
      </c>
      <c r="E39" s="13"/>
      <c r="F39" s="13"/>
      <c r="G39" s="13" t="s">
        <v>2480</v>
      </c>
      <c r="H39" s="15"/>
      <c r="I39" s="91" t="s">
        <v>1625</v>
      </c>
      <c r="J39" s="91" t="s">
        <v>26</v>
      </c>
      <c r="K39" s="92" t="s">
        <v>394</v>
      </c>
      <c r="L39" s="21"/>
      <c r="M39" s="21"/>
      <c r="N39" s="15">
        <f t="shared" si="2"/>
        <v>0</v>
      </c>
      <c r="O39" s="15"/>
      <c r="P39" s="15">
        <v>2022</v>
      </c>
      <c r="Q39" s="15"/>
      <c r="R39" s="16" t="s">
        <v>51</v>
      </c>
      <c r="S39" s="15"/>
      <c r="T39" s="15"/>
      <c r="U39" s="15"/>
      <c r="V39" s="15"/>
      <c r="W39" s="15"/>
    </row>
    <row r="40" spans="1:24" s="17" customFormat="1" ht="14.5" x14ac:dyDescent="0.35">
      <c r="A40" s="12">
        <v>39</v>
      </c>
      <c r="B40" s="13" t="s">
        <v>2605</v>
      </c>
      <c r="C40" s="14"/>
      <c r="D40" s="14" t="str">
        <f t="shared" si="0"/>
        <v>Perempuan</v>
      </c>
      <c r="E40" s="13"/>
      <c r="F40" s="13"/>
      <c r="G40" s="13" t="s">
        <v>2480</v>
      </c>
      <c r="H40" s="15"/>
      <c r="I40" s="91" t="s">
        <v>2606</v>
      </c>
      <c r="J40" s="91" t="s">
        <v>26</v>
      </c>
      <c r="K40" s="92" t="s">
        <v>2607</v>
      </c>
      <c r="L40" s="21"/>
      <c r="M40" s="21"/>
      <c r="N40" s="15">
        <f t="shared" si="2"/>
        <v>0</v>
      </c>
      <c r="O40" s="15"/>
      <c r="P40" s="15">
        <v>2022</v>
      </c>
      <c r="Q40" s="15"/>
      <c r="R40" s="16" t="s">
        <v>51</v>
      </c>
      <c r="S40" s="15"/>
      <c r="T40" s="15"/>
      <c r="U40" s="15"/>
      <c r="V40" s="15"/>
      <c r="W40" s="15"/>
      <c r="X40" s="17" t="s">
        <v>304</v>
      </c>
    </row>
    <row r="41" spans="1:24" s="17" customFormat="1" ht="28" x14ac:dyDescent="0.35">
      <c r="A41" s="12">
        <v>40</v>
      </c>
      <c r="B41" s="13" t="s">
        <v>2608</v>
      </c>
      <c r="C41" s="14"/>
      <c r="D41" s="14" t="str">
        <f t="shared" si="0"/>
        <v>Perempuan</v>
      </c>
      <c r="E41" s="13"/>
      <c r="F41" s="13"/>
      <c r="G41" s="13" t="s">
        <v>2480</v>
      </c>
      <c r="H41" s="15"/>
      <c r="I41" s="91" t="s">
        <v>2609</v>
      </c>
      <c r="J41" s="91" t="s">
        <v>45</v>
      </c>
      <c r="K41" s="92" t="s">
        <v>386</v>
      </c>
      <c r="L41" s="21"/>
      <c r="M41" s="21"/>
      <c r="N41" s="15">
        <f t="shared" si="2"/>
        <v>0</v>
      </c>
      <c r="O41" s="15"/>
      <c r="P41" s="15">
        <v>2022</v>
      </c>
      <c r="Q41" s="15"/>
      <c r="R41" s="16" t="s">
        <v>51</v>
      </c>
      <c r="S41" s="15"/>
      <c r="T41" s="15"/>
      <c r="U41" s="15"/>
      <c r="V41" s="15"/>
      <c r="W41" s="15"/>
      <c r="X41" s="55" t="s">
        <v>304</v>
      </c>
    </row>
    <row r="42" spans="1:24" s="17" customFormat="1" ht="14.5" x14ac:dyDescent="0.35">
      <c r="A42" s="12">
        <v>41</v>
      </c>
      <c r="B42" s="13" t="s">
        <v>2610</v>
      </c>
      <c r="C42" s="14" t="s">
        <v>2611</v>
      </c>
      <c r="D42" s="14" t="str">
        <f t="shared" si="0"/>
        <v>Perempuan</v>
      </c>
      <c r="E42" s="13"/>
      <c r="F42" s="13"/>
      <c r="G42" s="13" t="s">
        <v>2480</v>
      </c>
      <c r="H42" s="15" t="s">
        <v>2612</v>
      </c>
      <c r="I42" s="92" t="s">
        <v>2613</v>
      </c>
      <c r="J42" s="91" t="s">
        <v>26</v>
      </c>
      <c r="K42" s="98" t="s">
        <v>2614</v>
      </c>
      <c r="L42" s="21"/>
      <c r="M42" s="21"/>
      <c r="N42" s="15">
        <f t="shared" si="2"/>
        <v>0</v>
      </c>
      <c r="O42" s="15"/>
      <c r="P42" s="15">
        <v>2022</v>
      </c>
      <c r="Q42" s="15"/>
      <c r="R42" s="16" t="s">
        <v>29</v>
      </c>
      <c r="S42" s="15"/>
      <c r="T42" s="15"/>
      <c r="U42" s="15"/>
      <c r="V42" s="15"/>
      <c r="W42" s="15"/>
    </row>
    <row r="43" spans="1:24" s="17" customFormat="1" ht="14.5" x14ac:dyDescent="0.35">
      <c r="A43" s="12">
        <v>42</v>
      </c>
      <c r="B43" s="13" t="s">
        <v>2615</v>
      </c>
      <c r="C43" s="14" t="s">
        <v>2616</v>
      </c>
      <c r="D43" s="14" t="str">
        <f t="shared" si="0"/>
        <v>Laki-Laki</v>
      </c>
      <c r="E43" s="95" t="s">
        <v>188</v>
      </c>
      <c r="F43" s="18" t="s">
        <v>2617</v>
      </c>
      <c r="G43" s="13" t="s">
        <v>2618</v>
      </c>
      <c r="H43" s="15" t="s">
        <v>2619</v>
      </c>
      <c r="I43" s="15" t="s">
        <v>2620</v>
      </c>
      <c r="J43" s="12" t="s">
        <v>26</v>
      </c>
      <c r="K43" s="15" t="s">
        <v>449</v>
      </c>
      <c r="L43" s="94" t="s">
        <v>60</v>
      </c>
      <c r="M43" s="15">
        <v>2024</v>
      </c>
      <c r="N43" s="15" t="str">
        <f t="shared" si="2"/>
        <v>Agustus</v>
      </c>
      <c r="O43" s="15">
        <v>2026</v>
      </c>
      <c r="P43" s="15">
        <v>2024</v>
      </c>
      <c r="Q43" s="15"/>
      <c r="R43" s="16"/>
      <c r="S43" s="15"/>
      <c r="T43" s="15"/>
      <c r="U43" s="15"/>
      <c r="V43" s="15"/>
      <c r="W43" s="15"/>
    </row>
    <row r="44" spans="1:24" s="17" customFormat="1" ht="14.5" x14ac:dyDescent="0.35">
      <c r="A44" s="12">
        <v>43</v>
      </c>
      <c r="B44" s="13" t="s">
        <v>2621</v>
      </c>
      <c r="C44" s="14" t="s">
        <v>2622</v>
      </c>
      <c r="D44" s="14" t="str">
        <f t="shared" si="0"/>
        <v>Perempuan</v>
      </c>
      <c r="E44" s="13" t="s">
        <v>188</v>
      </c>
      <c r="F44" s="18" t="s">
        <v>2623</v>
      </c>
      <c r="G44" s="13" t="s">
        <v>2618</v>
      </c>
      <c r="H44" s="15" t="s">
        <v>2624</v>
      </c>
      <c r="I44" s="15" t="s">
        <v>2625</v>
      </c>
      <c r="J44" s="12" t="s">
        <v>26</v>
      </c>
      <c r="K44" s="15" t="s">
        <v>569</v>
      </c>
      <c r="L44" s="15" t="s">
        <v>169</v>
      </c>
      <c r="M44" s="15">
        <v>2024</v>
      </c>
      <c r="N44" s="15" t="str">
        <f t="shared" si="2"/>
        <v>Oktober</v>
      </c>
      <c r="O44" s="15">
        <v>2026</v>
      </c>
      <c r="P44" s="15">
        <v>2024</v>
      </c>
      <c r="Q44" s="15"/>
      <c r="R44" s="16"/>
      <c r="S44" s="15"/>
      <c r="T44" s="15"/>
      <c r="U44" s="15"/>
      <c r="V44" s="15"/>
      <c r="W44" s="15"/>
    </row>
    <row r="45" spans="1:24" s="17" customFormat="1" ht="14.5" x14ac:dyDescent="0.35">
      <c r="A45" s="12">
        <v>44</v>
      </c>
      <c r="B45" s="13" t="s">
        <v>2626</v>
      </c>
      <c r="C45" s="14" t="s">
        <v>2627</v>
      </c>
      <c r="D45" s="14" t="str">
        <f t="shared" si="0"/>
        <v>Laki-Laki</v>
      </c>
      <c r="E45" s="13" t="s">
        <v>215</v>
      </c>
      <c r="F45" s="18" t="s">
        <v>2628</v>
      </c>
      <c r="G45" s="13" t="s">
        <v>2618</v>
      </c>
      <c r="H45" s="15" t="s">
        <v>2629</v>
      </c>
      <c r="I45" s="15" t="s">
        <v>819</v>
      </c>
      <c r="J45" s="12" t="s">
        <v>45</v>
      </c>
      <c r="K45" s="15" t="s">
        <v>569</v>
      </c>
      <c r="L45" s="15" t="s">
        <v>28</v>
      </c>
      <c r="M45" s="15">
        <v>2024</v>
      </c>
      <c r="N45" s="15" t="str">
        <f t="shared" si="2"/>
        <v>September</v>
      </c>
      <c r="O45" s="15">
        <v>2028</v>
      </c>
      <c r="P45" s="15">
        <v>2024</v>
      </c>
      <c r="Q45" s="15"/>
      <c r="R45" s="16"/>
      <c r="S45" s="15"/>
      <c r="T45" s="15"/>
      <c r="U45" s="15"/>
      <c r="V45" s="15"/>
      <c r="W45" s="15"/>
    </row>
    <row r="46" spans="1:24" s="17" customFormat="1" ht="28" x14ac:dyDescent="0.35">
      <c r="A46" s="12">
        <v>45</v>
      </c>
      <c r="B46" s="13" t="s">
        <v>2630</v>
      </c>
      <c r="C46" s="14" t="s">
        <v>2631</v>
      </c>
      <c r="D46" s="14" t="str">
        <f t="shared" si="0"/>
        <v>Laki-Laki</v>
      </c>
      <c r="E46" s="13" t="s">
        <v>215</v>
      </c>
      <c r="F46" s="18" t="s">
        <v>2239</v>
      </c>
      <c r="G46" s="13" t="s">
        <v>2618</v>
      </c>
      <c r="H46" s="15" t="s">
        <v>2632</v>
      </c>
      <c r="I46" s="15" t="s">
        <v>2633</v>
      </c>
      <c r="J46" s="12" t="s">
        <v>45</v>
      </c>
      <c r="K46" s="15" t="s">
        <v>46</v>
      </c>
      <c r="L46" s="15" t="s">
        <v>28</v>
      </c>
      <c r="M46" s="15">
        <v>2024</v>
      </c>
      <c r="N46" s="15" t="str">
        <f t="shared" si="2"/>
        <v>September</v>
      </c>
      <c r="O46" s="15">
        <v>2028</v>
      </c>
      <c r="P46" s="15">
        <v>2024</v>
      </c>
      <c r="Q46" s="15"/>
      <c r="R46" s="16"/>
      <c r="S46" s="15"/>
      <c r="T46" s="15"/>
      <c r="U46" s="15"/>
      <c r="V46" s="15"/>
      <c r="W46" s="15"/>
    </row>
    <row r="47" spans="1:24" s="17" customFormat="1" ht="14.5" x14ac:dyDescent="0.35">
      <c r="A47" s="12">
        <v>46</v>
      </c>
      <c r="B47" s="13" t="s">
        <v>2634</v>
      </c>
      <c r="C47" s="14" t="s">
        <v>2635</v>
      </c>
      <c r="D47" s="14" t="str">
        <f t="shared" si="0"/>
        <v>Laki-Laki</v>
      </c>
      <c r="E47" s="13" t="s">
        <v>903</v>
      </c>
      <c r="F47" s="18" t="s">
        <v>2636</v>
      </c>
      <c r="G47" s="13" t="s">
        <v>2618</v>
      </c>
      <c r="H47" s="15" t="s">
        <v>2637</v>
      </c>
      <c r="I47" s="15" t="s">
        <v>871</v>
      </c>
      <c r="J47" s="12" t="s">
        <v>45</v>
      </c>
      <c r="K47" s="15" t="s">
        <v>569</v>
      </c>
      <c r="L47" s="15" t="s">
        <v>2638</v>
      </c>
      <c r="M47" s="15">
        <v>2025</v>
      </c>
      <c r="N47" s="15" t="str">
        <f t="shared" si="2"/>
        <v xml:space="preserve"> Februari </v>
      </c>
      <c r="O47" s="15">
        <v>2029</v>
      </c>
      <c r="P47" s="15">
        <v>2024</v>
      </c>
      <c r="Q47" s="15"/>
      <c r="R47" s="16"/>
      <c r="S47" s="15"/>
      <c r="T47" s="15"/>
      <c r="U47" s="15"/>
      <c r="V47" s="15"/>
      <c r="W47" s="15"/>
    </row>
    <row r="48" spans="1:24" s="17" customFormat="1" ht="14.5" x14ac:dyDescent="0.35">
      <c r="A48" s="12">
        <v>47</v>
      </c>
      <c r="B48" s="13" t="s">
        <v>2639</v>
      </c>
      <c r="C48" s="14" t="s">
        <v>2640</v>
      </c>
      <c r="D48" s="14" t="str">
        <f t="shared" si="0"/>
        <v>Laki-Laki</v>
      </c>
      <c r="E48" s="13" t="s">
        <v>2641</v>
      </c>
      <c r="F48" s="18" t="s">
        <v>579</v>
      </c>
      <c r="G48" s="13" t="s">
        <v>2618</v>
      </c>
      <c r="H48" s="15" t="s">
        <v>2642</v>
      </c>
      <c r="I48" s="15" t="s">
        <v>90</v>
      </c>
      <c r="J48" s="12" t="s">
        <v>45</v>
      </c>
      <c r="K48" s="15" t="s">
        <v>40</v>
      </c>
      <c r="L48" s="15" t="s">
        <v>28</v>
      </c>
      <c r="M48" s="15">
        <v>2024</v>
      </c>
      <c r="N48" s="15" t="str">
        <f t="shared" si="2"/>
        <v>September</v>
      </c>
      <c r="O48" s="15">
        <v>2028</v>
      </c>
      <c r="P48" s="15">
        <v>2024</v>
      </c>
      <c r="Q48" s="15"/>
      <c r="R48" s="16"/>
      <c r="S48" s="15"/>
      <c r="T48" s="15"/>
      <c r="U48" s="15"/>
      <c r="V48" s="15"/>
      <c r="W48" s="15"/>
    </row>
    <row r="49" spans="1:23" s="17" customFormat="1" ht="28" x14ac:dyDescent="0.35">
      <c r="A49" s="12">
        <v>48</v>
      </c>
      <c r="B49" s="13" t="s">
        <v>2643</v>
      </c>
      <c r="C49" s="14" t="s">
        <v>2644</v>
      </c>
      <c r="D49" s="14" t="str">
        <f t="shared" si="0"/>
        <v>Laki-Laki</v>
      </c>
      <c r="E49" s="13" t="s">
        <v>903</v>
      </c>
      <c r="F49" s="18" t="s">
        <v>2636</v>
      </c>
      <c r="G49" s="13" t="s">
        <v>2618</v>
      </c>
      <c r="H49" s="15" t="s">
        <v>2645</v>
      </c>
      <c r="I49" s="15" t="s">
        <v>2646</v>
      </c>
      <c r="J49" s="12" t="s">
        <v>45</v>
      </c>
      <c r="K49" s="15" t="s">
        <v>2532</v>
      </c>
      <c r="L49" s="15"/>
      <c r="M49" s="15">
        <v>2024</v>
      </c>
      <c r="N49" s="15">
        <f t="shared" si="2"/>
        <v>0</v>
      </c>
      <c r="O49" s="15">
        <v>2028</v>
      </c>
      <c r="P49" s="15">
        <v>2024</v>
      </c>
      <c r="Q49" s="15"/>
      <c r="R49" s="16"/>
      <c r="S49" s="15"/>
      <c r="T49" s="15"/>
      <c r="U49" s="15"/>
      <c r="V49" s="15"/>
      <c r="W49" s="15"/>
    </row>
    <row r="50" spans="1:23" s="17" customFormat="1" ht="14.5" x14ac:dyDescent="0.35">
      <c r="A50" s="12">
        <v>49</v>
      </c>
      <c r="B50" s="13" t="s">
        <v>2647</v>
      </c>
      <c r="C50" s="14" t="s">
        <v>2648</v>
      </c>
      <c r="D50" s="14" t="str">
        <f t="shared" si="0"/>
        <v>Perempuan</v>
      </c>
      <c r="E50" s="13" t="s">
        <v>215</v>
      </c>
      <c r="F50" s="18" t="s">
        <v>2649</v>
      </c>
      <c r="G50" s="13" t="s">
        <v>2618</v>
      </c>
      <c r="H50" s="15" t="s">
        <v>2650</v>
      </c>
      <c r="I50" s="15" t="s">
        <v>2651</v>
      </c>
      <c r="J50" s="12" t="s">
        <v>45</v>
      </c>
      <c r="K50" s="15" t="s">
        <v>591</v>
      </c>
      <c r="L50" s="15" t="s">
        <v>28</v>
      </c>
      <c r="M50" s="15">
        <v>2024</v>
      </c>
      <c r="N50" s="15" t="str">
        <f t="shared" si="2"/>
        <v>September</v>
      </c>
      <c r="O50" s="15">
        <v>2028</v>
      </c>
      <c r="P50" s="15">
        <v>2024</v>
      </c>
      <c r="Q50" s="15"/>
      <c r="R50" s="16"/>
      <c r="S50" s="15"/>
      <c r="T50" s="15"/>
      <c r="U50" s="15"/>
      <c r="V50" s="15"/>
      <c r="W50" s="15"/>
    </row>
    <row r="51" spans="1:23" s="17" customFormat="1" ht="14.5" x14ac:dyDescent="0.35">
      <c r="A51" s="12">
        <v>50</v>
      </c>
      <c r="B51" s="13" t="s">
        <v>2652</v>
      </c>
      <c r="C51" s="14" t="s">
        <v>2653</v>
      </c>
      <c r="D51" s="14" t="str">
        <f t="shared" si="0"/>
        <v>Perempuan</v>
      </c>
      <c r="E51" s="13" t="s">
        <v>215</v>
      </c>
      <c r="F51" s="18" t="s">
        <v>2649</v>
      </c>
      <c r="G51" s="13" t="s">
        <v>2618</v>
      </c>
      <c r="H51" s="15" t="s">
        <v>2654</v>
      </c>
      <c r="I51" s="15" t="s">
        <v>90</v>
      </c>
      <c r="J51" s="12" t="s">
        <v>45</v>
      </c>
      <c r="K51" s="15" t="s">
        <v>2655</v>
      </c>
      <c r="L51" s="15" t="s">
        <v>2656</v>
      </c>
      <c r="M51" s="15">
        <v>2024</v>
      </c>
      <c r="N51" s="15" t="str">
        <f t="shared" si="2"/>
        <v xml:space="preserve"> Juni</v>
      </c>
      <c r="O51" s="15">
        <v>2028</v>
      </c>
      <c r="P51" s="15">
        <v>2024</v>
      </c>
      <c r="Q51" s="15"/>
      <c r="R51" s="16"/>
      <c r="S51" s="15"/>
      <c r="T51" s="15"/>
      <c r="U51" s="15"/>
      <c r="V51" s="15"/>
      <c r="W51" s="15"/>
    </row>
    <row r="52" spans="1:23" s="17" customFormat="1" ht="14.5" x14ac:dyDescent="0.35">
      <c r="A52" s="12">
        <v>51</v>
      </c>
      <c r="B52" s="13" t="s">
        <v>2657</v>
      </c>
      <c r="C52" s="14" t="s">
        <v>2658</v>
      </c>
      <c r="D52" s="14" t="str">
        <f t="shared" si="0"/>
        <v>Perempuan</v>
      </c>
      <c r="E52" s="13" t="s">
        <v>215</v>
      </c>
      <c r="F52" s="18" t="s">
        <v>105</v>
      </c>
      <c r="G52" s="13" t="s">
        <v>2618</v>
      </c>
      <c r="H52" s="15" t="s">
        <v>2659</v>
      </c>
      <c r="I52" s="15" t="s">
        <v>2659</v>
      </c>
      <c r="J52" s="12" t="s">
        <v>45</v>
      </c>
      <c r="K52" s="15" t="s">
        <v>651</v>
      </c>
      <c r="L52" s="15"/>
      <c r="M52" s="15">
        <v>2024</v>
      </c>
      <c r="N52" s="15">
        <f t="shared" si="2"/>
        <v>0</v>
      </c>
      <c r="O52" s="15">
        <v>2028</v>
      </c>
      <c r="P52" s="15">
        <v>2024</v>
      </c>
      <c r="Q52" s="15"/>
      <c r="R52" s="16"/>
      <c r="S52" s="15"/>
      <c r="T52" s="15"/>
      <c r="U52" s="15"/>
      <c r="V52" s="15"/>
      <c r="W52" s="15"/>
    </row>
    <row r="53" spans="1:23" s="17" customFormat="1" ht="14.5" x14ac:dyDescent="0.35">
      <c r="A53" s="12">
        <v>52</v>
      </c>
      <c r="B53" s="13" t="s">
        <v>2660</v>
      </c>
      <c r="C53" s="14" t="s">
        <v>2661</v>
      </c>
      <c r="D53" s="14" t="str">
        <f t="shared" si="0"/>
        <v>Perempuan</v>
      </c>
      <c r="E53" s="13" t="s">
        <v>188</v>
      </c>
      <c r="F53" s="18" t="s">
        <v>2623</v>
      </c>
      <c r="G53" s="13" t="s">
        <v>2618</v>
      </c>
      <c r="H53" s="15" t="s">
        <v>2662</v>
      </c>
      <c r="I53" s="15" t="s">
        <v>2663</v>
      </c>
      <c r="J53" s="12" t="s">
        <v>45</v>
      </c>
      <c r="K53" s="15" t="s">
        <v>407</v>
      </c>
      <c r="L53" s="15" t="s">
        <v>28</v>
      </c>
      <c r="M53" s="15">
        <v>2024</v>
      </c>
      <c r="N53" s="15" t="str">
        <f t="shared" si="2"/>
        <v>September</v>
      </c>
      <c r="O53" s="15">
        <v>2028</v>
      </c>
      <c r="P53" s="15">
        <v>2024</v>
      </c>
      <c r="Q53" s="15"/>
      <c r="R53" s="16"/>
      <c r="S53" s="15"/>
      <c r="T53" s="15"/>
      <c r="U53" s="15"/>
      <c r="V53" s="15"/>
      <c r="W53" s="15"/>
    </row>
    <row r="54" spans="1:23" s="17" customFormat="1" ht="14.5" x14ac:dyDescent="0.35">
      <c r="A54" s="12">
        <v>53</v>
      </c>
      <c r="B54" s="13" t="s">
        <v>2664</v>
      </c>
      <c r="C54" s="14" t="s">
        <v>2665</v>
      </c>
      <c r="D54" s="14" t="str">
        <f t="shared" si="0"/>
        <v>Perempuan</v>
      </c>
      <c r="E54" s="13" t="s">
        <v>903</v>
      </c>
      <c r="F54" s="18" t="s">
        <v>2636</v>
      </c>
      <c r="G54" s="13" t="s">
        <v>2618</v>
      </c>
      <c r="H54" s="15" t="s">
        <v>2666</v>
      </c>
      <c r="I54" s="15" t="s">
        <v>90</v>
      </c>
      <c r="J54" s="12" t="s">
        <v>45</v>
      </c>
      <c r="K54" s="15" t="s">
        <v>569</v>
      </c>
      <c r="L54" s="15" t="s">
        <v>1562</v>
      </c>
      <c r="M54" s="15">
        <v>2024</v>
      </c>
      <c r="N54" s="15" t="str">
        <f t="shared" si="2"/>
        <v>Desember</v>
      </c>
      <c r="O54" s="15">
        <v>2028</v>
      </c>
      <c r="P54" s="15">
        <v>2024</v>
      </c>
      <c r="Q54" s="15"/>
      <c r="R54" s="16"/>
      <c r="S54" s="15"/>
      <c r="T54" s="15"/>
      <c r="U54" s="15"/>
      <c r="V54" s="15"/>
      <c r="W54" s="15"/>
    </row>
    <row r="55" spans="1:23" s="17" customFormat="1" ht="14.5" x14ac:dyDescent="0.35">
      <c r="A55" s="12">
        <v>54</v>
      </c>
      <c r="B55" s="13" t="s">
        <v>2667</v>
      </c>
      <c r="C55" s="14" t="s">
        <v>2668</v>
      </c>
      <c r="D55" s="14" t="str">
        <f t="shared" si="0"/>
        <v>Perempuan</v>
      </c>
      <c r="E55" s="13" t="s">
        <v>215</v>
      </c>
      <c r="F55" s="18" t="s">
        <v>2649</v>
      </c>
      <c r="G55" s="13" t="s">
        <v>2618</v>
      </c>
      <c r="H55" s="15" t="s">
        <v>2669</v>
      </c>
      <c r="I55" s="15" t="s">
        <v>2670</v>
      </c>
      <c r="J55" s="12" t="s">
        <v>45</v>
      </c>
      <c r="K55" s="15" t="s">
        <v>2671</v>
      </c>
      <c r="L55" s="15" t="s">
        <v>113</v>
      </c>
      <c r="M55" s="15">
        <v>2024</v>
      </c>
      <c r="N55" s="15" t="str">
        <f t="shared" si="2"/>
        <v>April</v>
      </c>
      <c r="O55" s="15">
        <v>2028</v>
      </c>
      <c r="P55" s="15">
        <v>2024</v>
      </c>
      <c r="Q55" s="15"/>
      <c r="R55" s="16"/>
      <c r="S55" s="15"/>
      <c r="T55" s="15"/>
      <c r="U55" s="15"/>
      <c r="V55" s="15"/>
      <c r="W55" s="15"/>
    </row>
    <row r="56" spans="1:23" s="17" customFormat="1" ht="14.5" x14ac:dyDescent="0.35">
      <c r="A56" s="12">
        <v>55</v>
      </c>
      <c r="B56" s="13" t="s">
        <v>2672</v>
      </c>
      <c r="C56" s="14" t="s">
        <v>2673</v>
      </c>
      <c r="D56" s="14" t="str">
        <f t="shared" si="0"/>
        <v>Laki-Laki</v>
      </c>
      <c r="E56" s="13" t="s">
        <v>215</v>
      </c>
      <c r="F56" s="18" t="s">
        <v>2649</v>
      </c>
      <c r="G56" s="13" t="s">
        <v>2618</v>
      </c>
      <c r="H56" s="15" t="s">
        <v>2637</v>
      </c>
      <c r="I56" s="15" t="s">
        <v>871</v>
      </c>
      <c r="J56" s="12" t="s">
        <v>45</v>
      </c>
      <c r="K56" s="15" t="s">
        <v>569</v>
      </c>
      <c r="L56" s="15" t="s">
        <v>60</v>
      </c>
      <c r="M56" s="15">
        <v>2024</v>
      </c>
      <c r="N56" s="15" t="str">
        <f t="shared" si="2"/>
        <v>Agustus</v>
      </c>
      <c r="O56" s="15">
        <v>2028</v>
      </c>
      <c r="P56" s="15">
        <v>2024</v>
      </c>
      <c r="Q56" s="15"/>
      <c r="R56" s="16"/>
      <c r="S56" s="15"/>
      <c r="T56" s="15"/>
      <c r="U56" s="15"/>
      <c r="V56" s="15"/>
      <c r="W56" s="15"/>
    </row>
    <row r="57" spans="1:23" s="17" customFormat="1" ht="14.5" x14ac:dyDescent="0.35">
      <c r="A57" s="12">
        <v>56</v>
      </c>
      <c r="B57" s="13" t="s">
        <v>2674</v>
      </c>
      <c r="C57" s="14" t="s">
        <v>2675</v>
      </c>
      <c r="D57" s="14" t="str">
        <f t="shared" si="0"/>
        <v>Perempuan</v>
      </c>
      <c r="E57" s="13" t="s">
        <v>2641</v>
      </c>
      <c r="F57" s="18" t="s">
        <v>2676</v>
      </c>
      <c r="G57" s="13" t="s">
        <v>2618</v>
      </c>
      <c r="H57" s="15" t="s">
        <v>2677</v>
      </c>
      <c r="I57" s="15" t="s">
        <v>2678</v>
      </c>
      <c r="J57" s="12" t="s">
        <v>26</v>
      </c>
      <c r="K57" s="15" t="s">
        <v>46</v>
      </c>
      <c r="L57" s="15" t="s">
        <v>60</v>
      </c>
      <c r="M57" s="15">
        <v>2024</v>
      </c>
      <c r="N57" s="15" t="str">
        <f t="shared" si="2"/>
        <v>Agustus</v>
      </c>
      <c r="O57" s="15">
        <v>2026</v>
      </c>
      <c r="P57" s="15">
        <v>2024</v>
      </c>
      <c r="Q57" s="15"/>
      <c r="R57" s="16"/>
      <c r="S57" s="15"/>
      <c r="T57" s="15"/>
      <c r="U57" s="15"/>
      <c r="V57" s="15"/>
      <c r="W57" s="15"/>
    </row>
    <row r="58" spans="1:23" s="17" customFormat="1" ht="14.5" x14ac:dyDescent="0.35">
      <c r="A58" s="12">
        <v>57</v>
      </c>
      <c r="B58" s="13" t="s">
        <v>2679</v>
      </c>
      <c r="C58" s="14" t="s">
        <v>2680</v>
      </c>
      <c r="D58" s="14" t="str">
        <f t="shared" si="0"/>
        <v>Perempuan</v>
      </c>
      <c r="E58" s="13" t="s">
        <v>152</v>
      </c>
      <c r="F58" s="18" t="s">
        <v>159</v>
      </c>
      <c r="G58" s="13" t="s">
        <v>2618</v>
      </c>
      <c r="H58" s="15" t="s">
        <v>2681</v>
      </c>
      <c r="I58" s="15" t="s">
        <v>90</v>
      </c>
      <c r="J58" s="12" t="s">
        <v>45</v>
      </c>
      <c r="K58" s="15" t="s">
        <v>50</v>
      </c>
      <c r="L58" s="15" t="s">
        <v>169</v>
      </c>
      <c r="M58" s="15">
        <v>2024</v>
      </c>
      <c r="N58" s="15" t="str">
        <f t="shared" si="2"/>
        <v>Oktober</v>
      </c>
      <c r="O58" s="15">
        <v>2028</v>
      </c>
      <c r="P58" s="15">
        <v>2024</v>
      </c>
      <c r="Q58" s="15"/>
      <c r="R58" s="16"/>
      <c r="S58" s="15"/>
      <c r="T58" s="15"/>
      <c r="U58" s="15"/>
      <c r="V58" s="15"/>
      <c r="W58" s="15"/>
    </row>
    <row r="59" spans="1:23" s="17" customFormat="1" ht="14.5" x14ac:dyDescent="0.35">
      <c r="A59" s="12">
        <v>58</v>
      </c>
      <c r="B59" s="13" t="s">
        <v>2682</v>
      </c>
      <c r="C59" s="14" t="s">
        <v>2683</v>
      </c>
      <c r="D59" s="14" t="str">
        <f t="shared" si="0"/>
        <v>Laki-Laki</v>
      </c>
      <c r="E59" s="13" t="s">
        <v>188</v>
      </c>
      <c r="F59" s="18" t="s">
        <v>2684</v>
      </c>
      <c r="G59" s="13" t="s">
        <v>2618</v>
      </c>
      <c r="H59" s="15" t="s">
        <v>2685</v>
      </c>
      <c r="I59" s="15" t="s">
        <v>580</v>
      </c>
      <c r="J59" s="12" t="s">
        <v>26</v>
      </c>
      <c r="K59" s="15" t="s">
        <v>394</v>
      </c>
      <c r="L59" s="15" t="s">
        <v>205</v>
      </c>
      <c r="M59" s="15">
        <v>2024</v>
      </c>
      <c r="N59" s="15" t="str">
        <f t="shared" si="2"/>
        <v xml:space="preserve">September </v>
      </c>
      <c r="O59" s="15">
        <v>2026</v>
      </c>
      <c r="P59" s="15">
        <v>2024</v>
      </c>
      <c r="Q59" s="15"/>
      <c r="R59" s="16"/>
      <c r="S59" s="15"/>
      <c r="T59" s="15"/>
      <c r="U59" s="15"/>
      <c r="V59" s="15"/>
      <c r="W59" s="15"/>
    </row>
    <row r="60" spans="1:23" s="17" customFormat="1" ht="14.5" x14ac:dyDescent="0.35">
      <c r="A60" s="12">
        <v>59</v>
      </c>
      <c r="B60" s="13" t="s">
        <v>2686</v>
      </c>
      <c r="C60" s="14" t="s">
        <v>2687</v>
      </c>
      <c r="D60" s="14" t="str">
        <f t="shared" si="0"/>
        <v>Laki-Laki</v>
      </c>
      <c r="E60" s="13" t="s">
        <v>215</v>
      </c>
      <c r="F60" s="18" t="s">
        <v>2688</v>
      </c>
      <c r="G60" s="13" t="s">
        <v>2618</v>
      </c>
      <c r="H60" s="15" t="s">
        <v>2689</v>
      </c>
      <c r="I60" s="15" t="s">
        <v>2690</v>
      </c>
      <c r="J60" s="12" t="s">
        <v>45</v>
      </c>
      <c r="K60" s="15" t="s">
        <v>2691</v>
      </c>
      <c r="L60" s="15" t="s">
        <v>28</v>
      </c>
      <c r="M60" s="15">
        <v>2024</v>
      </c>
      <c r="N60" s="15" t="str">
        <f t="shared" si="2"/>
        <v>September</v>
      </c>
      <c r="O60" s="15">
        <v>2028</v>
      </c>
      <c r="P60" s="15">
        <v>2024</v>
      </c>
      <c r="Q60" s="15"/>
      <c r="R60" s="16"/>
      <c r="S60" s="15"/>
      <c r="T60" s="15"/>
      <c r="U60" s="15"/>
      <c r="V60" s="15"/>
      <c r="W60" s="15"/>
    </row>
    <row r="61" spans="1:23" s="17" customFormat="1" ht="14.5" x14ac:dyDescent="0.35">
      <c r="A61" s="12">
        <v>60</v>
      </c>
      <c r="B61" s="13" t="s">
        <v>2692</v>
      </c>
      <c r="C61" s="14" t="s">
        <v>2693</v>
      </c>
      <c r="D61" s="14" t="str">
        <f t="shared" si="0"/>
        <v>Laki-Laki</v>
      </c>
      <c r="E61" s="13" t="s">
        <v>188</v>
      </c>
      <c r="F61" s="18" t="s">
        <v>2694</v>
      </c>
      <c r="G61" s="13" t="s">
        <v>2618</v>
      </c>
      <c r="H61" s="15" t="s">
        <v>2624</v>
      </c>
      <c r="I61" s="15" t="s">
        <v>2625</v>
      </c>
      <c r="J61" s="12" t="s">
        <v>26</v>
      </c>
      <c r="K61" s="94" t="s">
        <v>394</v>
      </c>
      <c r="L61" s="15" t="s">
        <v>169</v>
      </c>
      <c r="M61" s="15">
        <v>2024</v>
      </c>
      <c r="N61" s="15" t="str">
        <f t="shared" si="2"/>
        <v>Oktober</v>
      </c>
      <c r="O61" s="15">
        <v>2026</v>
      </c>
      <c r="P61" s="15">
        <v>2024</v>
      </c>
      <c r="Q61" s="15"/>
      <c r="R61" s="16"/>
      <c r="S61" s="15"/>
      <c r="T61" s="15"/>
      <c r="U61" s="15"/>
      <c r="V61" s="15"/>
      <c r="W61" s="15"/>
    </row>
    <row r="62" spans="1:23" s="17" customFormat="1" ht="14.5" x14ac:dyDescent="0.35">
      <c r="A62" s="12">
        <v>61</v>
      </c>
      <c r="B62" s="13" t="s">
        <v>2695</v>
      </c>
      <c r="C62" s="14" t="s">
        <v>2696</v>
      </c>
      <c r="D62" s="14" t="str">
        <f t="shared" si="0"/>
        <v>Laki-Laki</v>
      </c>
      <c r="E62" s="13" t="s">
        <v>188</v>
      </c>
      <c r="F62" s="18" t="s">
        <v>2697</v>
      </c>
      <c r="G62" s="13" t="s">
        <v>2618</v>
      </c>
      <c r="H62" s="15" t="s">
        <v>2637</v>
      </c>
      <c r="I62" s="15" t="s">
        <v>871</v>
      </c>
      <c r="J62" s="12" t="s">
        <v>26</v>
      </c>
      <c r="K62" s="15" t="s">
        <v>394</v>
      </c>
      <c r="L62" s="15" t="s">
        <v>2698</v>
      </c>
      <c r="M62" s="15">
        <v>2025</v>
      </c>
      <c r="N62" s="15" t="str">
        <f t="shared" si="2"/>
        <v xml:space="preserve"> Januari</v>
      </c>
      <c r="O62" s="15">
        <v>2027</v>
      </c>
      <c r="P62" s="15">
        <v>2024</v>
      </c>
      <c r="Q62" s="15"/>
      <c r="R62" s="16"/>
      <c r="S62" s="15"/>
      <c r="T62" s="15"/>
      <c r="U62" s="15"/>
      <c r="V62" s="15"/>
      <c r="W62" s="15"/>
    </row>
    <row r="63" spans="1:23" s="17" customFormat="1" ht="14.5" x14ac:dyDescent="0.35">
      <c r="A63" s="12">
        <v>62</v>
      </c>
      <c r="B63" s="13" t="s">
        <v>2699</v>
      </c>
      <c r="C63" s="14" t="s">
        <v>2700</v>
      </c>
      <c r="D63" s="14" t="str">
        <f t="shared" si="0"/>
        <v>Perempuan</v>
      </c>
      <c r="E63" s="13" t="s">
        <v>215</v>
      </c>
      <c r="F63" s="18" t="s">
        <v>224</v>
      </c>
      <c r="G63" s="13" t="s">
        <v>2618</v>
      </c>
      <c r="H63" s="15" t="s">
        <v>2701</v>
      </c>
      <c r="I63" s="15" t="s">
        <v>2702</v>
      </c>
      <c r="J63" s="12" t="s">
        <v>45</v>
      </c>
      <c r="K63" s="15" t="s">
        <v>46</v>
      </c>
      <c r="L63" s="15" t="s">
        <v>28</v>
      </c>
      <c r="M63" s="15">
        <v>2024</v>
      </c>
      <c r="N63" s="15" t="str">
        <f t="shared" si="2"/>
        <v>September</v>
      </c>
      <c r="O63" s="15">
        <v>2028</v>
      </c>
      <c r="P63" s="15">
        <v>2024</v>
      </c>
      <c r="Q63" s="15"/>
      <c r="R63" s="16"/>
      <c r="S63" s="15"/>
      <c r="T63" s="15"/>
      <c r="U63" s="15"/>
      <c r="V63" s="15"/>
      <c r="W63" s="15"/>
    </row>
    <row r="64" spans="1:23" s="17" customFormat="1" ht="14.5" x14ac:dyDescent="0.35">
      <c r="A64" s="12">
        <v>63</v>
      </c>
      <c r="B64" s="99" t="s">
        <v>2703</v>
      </c>
      <c r="C64" s="14" t="s">
        <v>2704</v>
      </c>
      <c r="D64" s="14" t="str">
        <f t="shared" si="0"/>
        <v>Laki-Laki</v>
      </c>
      <c r="E64" s="13" t="s">
        <v>215</v>
      </c>
      <c r="F64" s="18" t="s">
        <v>2705</v>
      </c>
      <c r="G64" s="13" t="s">
        <v>2618</v>
      </c>
      <c r="H64" s="15" t="s">
        <v>2645</v>
      </c>
      <c r="I64" s="15" t="s">
        <v>2706</v>
      </c>
      <c r="J64" s="12" t="s">
        <v>26</v>
      </c>
      <c r="K64" s="15" t="s">
        <v>449</v>
      </c>
      <c r="L64" s="15"/>
      <c r="M64" s="15">
        <v>2024</v>
      </c>
      <c r="N64" s="15">
        <f t="shared" si="2"/>
        <v>0</v>
      </c>
      <c r="O64" s="15">
        <v>2026</v>
      </c>
      <c r="P64" s="15">
        <v>2024</v>
      </c>
      <c r="Q64" s="15"/>
      <c r="R64" s="16"/>
      <c r="S64" s="15"/>
      <c r="T64" s="15"/>
      <c r="U64" s="15"/>
      <c r="V64" s="15"/>
      <c r="W64" s="15"/>
    </row>
    <row r="65" spans="1:23" s="17" customFormat="1" ht="14.5" x14ac:dyDescent="0.35">
      <c r="A65" s="12">
        <v>64</v>
      </c>
      <c r="B65" s="13" t="s">
        <v>2707</v>
      </c>
      <c r="C65" s="14" t="s">
        <v>2708</v>
      </c>
      <c r="D65" s="14" t="str">
        <f t="shared" si="0"/>
        <v>Laki-Laki</v>
      </c>
      <c r="E65" s="13" t="s">
        <v>188</v>
      </c>
      <c r="F65" s="18" t="s">
        <v>2709</v>
      </c>
      <c r="G65" s="13" t="s">
        <v>2618</v>
      </c>
      <c r="H65" s="15" t="s">
        <v>2659</v>
      </c>
      <c r="I65" s="15" t="s">
        <v>2710</v>
      </c>
      <c r="J65" s="12" t="s">
        <v>26</v>
      </c>
      <c r="K65" s="15" t="s">
        <v>394</v>
      </c>
      <c r="L65" s="15" t="s">
        <v>118</v>
      </c>
      <c r="M65" s="15">
        <v>2025</v>
      </c>
      <c r="N65" s="15" t="str">
        <f t="shared" si="2"/>
        <v xml:space="preserve">Januari </v>
      </c>
      <c r="O65" s="15">
        <v>2027</v>
      </c>
      <c r="P65" s="15">
        <v>2024</v>
      </c>
      <c r="Q65" s="15"/>
      <c r="R65" s="16"/>
      <c r="S65" s="15"/>
      <c r="T65" s="15"/>
      <c r="U65" s="15"/>
      <c r="V65" s="15"/>
      <c r="W65" s="15"/>
    </row>
    <row r="66" spans="1:23" s="17" customFormat="1" ht="14.5" x14ac:dyDescent="0.35">
      <c r="A66" s="12">
        <v>65</v>
      </c>
      <c r="B66" s="13" t="s">
        <v>2711</v>
      </c>
      <c r="C66" s="14" t="s">
        <v>2712</v>
      </c>
      <c r="D66" s="14" t="str">
        <f t="shared" si="0"/>
        <v>Perempuan</v>
      </c>
      <c r="E66" s="13" t="s">
        <v>494</v>
      </c>
      <c r="F66" s="18" t="s">
        <v>2713</v>
      </c>
      <c r="G66" s="13" t="s">
        <v>2618</v>
      </c>
      <c r="H66" s="15" t="s">
        <v>2662</v>
      </c>
      <c r="I66" s="15" t="s">
        <v>2714</v>
      </c>
      <c r="J66" s="12" t="s">
        <v>45</v>
      </c>
      <c r="K66" s="15" t="s">
        <v>407</v>
      </c>
      <c r="L66" s="15" t="s">
        <v>28</v>
      </c>
      <c r="M66" s="15">
        <v>2024</v>
      </c>
      <c r="N66" s="15" t="str">
        <f t="shared" si="2"/>
        <v>September</v>
      </c>
      <c r="O66" s="15">
        <v>2028</v>
      </c>
      <c r="P66" s="15">
        <v>2024</v>
      </c>
      <c r="Q66" s="15"/>
      <c r="R66" s="16"/>
      <c r="S66" s="15"/>
      <c r="T66" s="15"/>
      <c r="U66" s="15"/>
      <c r="V66" s="15"/>
      <c r="W66" s="15"/>
    </row>
    <row r="67" spans="1:23" s="17" customFormat="1" ht="28" x14ac:dyDescent="0.35">
      <c r="A67" s="12">
        <v>66</v>
      </c>
      <c r="B67" s="13" t="s">
        <v>2715</v>
      </c>
      <c r="C67" s="14" t="s">
        <v>2716</v>
      </c>
      <c r="D67" s="14" t="str">
        <f t="shared" ref="D67:D103" si="3">IF(MID(C67,15,1)="1","Laki-Laki","Perempuan")</f>
        <v>Laki-Laki</v>
      </c>
      <c r="E67" s="13" t="s">
        <v>903</v>
      </c>
      <c r="F67" s="18" t="s">
        <v>2717</v>
      </c>
      <c r="G67" s="13" t="s">
        <v>2618</v>
      </c>
      <c r="H67" s="15" t="s">
        <v>2645</v>
      </c>
      <c r="I67" s="15" t="s">
        <v>2646</v>
      </c>
      <c r="J67" s="12" t="s">
        <v>45</v>
      </c>
      <c r="K67" s="15" t="s">
        <v>2532</v>
      </c>
      <c r="L67" s="15"/>
      <c r="M67" s="15">
        <v>2024</v>
      </c>
      <c r="N67" s="15">
        <f t="shared" si="2"/>
        <v>0</v>
      </c>
      <c r="O67" s="15">
        <v>2028</v>
      </c>
      <c r="P67" s="15">
        <v>2024</v>
      </c>
      <c r="Q67" s="15"/>
      <c r="R67" s="16"/>
      <c r="S67" s="15"/>
      <c r="T67" s="15"/>
      <c r="U67" s="15"/>
      <c r="V67" s="15"/>
      <c r="W67" s="15"/>
    </row>
    <row r="68" spans="1:23" s="17" customFormat="1" ht="14.5" x14ac:dyDescent="0.35">
      <c r="A68" s="12">
        <v>67</v>
      </c>
      <c r="B68" s="13" t="s">
        <v>2718</v>
      </c>
      <c r="C68" s="14" t="s">
        <v>2719</v>
      </c>
      <c r="D68" s="14" t="str">
        <f t="shared" si="3"/>
        <v>Perempuan</v>
      </c>
      <c r="E68" s="13" t="s">
        <v>2720</v>
      </c>
      <c r="F68" s="18" t="s">
        <v>500</v>
      </c>
      <c r="G68" s="13" t="s">
        <v>2618</v>
      </c>
      <c r="H68" s="15" t="s">
        <v>2721</v>
      </c>
      <c r="I68" s="15" t="s">
        <v>2722</v>
      </c>
      <c r="J68" s="12" t="s">
        <v>45</v>
      </c>
      <c r="K68" s="15" t="s">
        <v>117</v>
      </c>
      <c r="L68" s="15" t="s">
        <v>28</v>
      </c>
      <c r="M68" s="15">
        <v>2024</v>
      </c>
      <c r="N68" s="15" t="str">
        <f t="shared" si="2"/>
        <v>September</v>
      </c>
      <c r="O68" s="15">
        <v>2028</v>
      </c>
      <c r="P68" s="15">
        <v>2024</v>
      </c>
      <c r="Q68" s="15"/>
      <c r="R68" s="16"/>
      <c r="S68" s="15"/>
      <c r="T68" s="15"/>
      <c r="U68" s="15"/>
      <c r="V68" s="15"/>
      <c r="W68" s="15"/>
    </row>
    <row r="69" spans="1:23" s="17" customFormat="1" ht="14.5" x14ac:dyDescent="0.35">
      <c r="A69" s="12">
        <v>68</v>
      </c>
      <c r="B69" s="13" t="s">
        <v>2723</v>
      </c>
      <c r="C69" s="14" t="s">
        <v>2724</v>
      </c>
      <c r="D69" s="14" t="str">
        <f t="shared" si="3"/>
        <v>Laki-Laki</v>
      </c>
      <c r="E69" s="13" t="s">
        <v>519</v>
      </c>
      <c r="F69" s="18" t="s">
        <v>2725</v>
      </c>
      <c r="G69" s="13" t="s">
        <v>2618</v>
      </c>
      <c r="H69" s="15" t="s">
        <v>2726</v>
      </c>
      <c r="I69" s="15" t="s">
        <v>2727</v>
      </c>
      <c r="J69" s="12" t="s">
        <v>45</v>
      </c>
      <c r="K69" s="15" t="s">
        <v>569</v>
      </c>
      <c r="L69" s="15"/>
      <c r="M69" s="15">
        <v>2024</v>
      </c>
      <c r="N69" s="15">
        <f t="shared" si="2"/>
        <v>0</v>
      </c>
      <c r="O69" s="15">
        <v>2028</v>
      </c>
      <c r="P69" s="15">
        <v>2024</v>
      </c>
      <c r="Q69" s="15"/>
      <c r="R69" s="16"/>
      <c r="S69" s="15"/>
      <c r="T69" s="15"/>
      <c r="U69" s="15"/>
      <c r="V69" s="15"/>
      <c r="W69" s="15"/>
    </row>
    <row r="70" spans="1:23" s="17" customFormat="1" ht="28" x14ac:dyDescent="0.35">
      <c r="A70" s="12">
        <v>69</v>
      </c>
      <c r="B70" s="13" t="s">
        <v>2728</v>
      </c>
      <c r="C70" s="14" t="s">
        <v>2729</v>
      </c>
      <c r="D70" s="14" t="str">
        <f t="shared" si="3"/>
        <v>Laki-Laki</v>
      </c>
      <c r="E70" s="13" t="s">
        <v>2730</v>
      </c>
      <c r="F70" s="18" t="s">
        <v>2731</v>
      </c>
      <c r="G70" s="13" t="s">
        <v>2618</v>
      </c>
      <c r="H70" s="15" t="s">
        <v>2677</v>
      </c>
      <c r="I70" s="15" t="s">
        <v>2732</v>
      </c>
      <c r="J70" s="12" t="s">
        <v>45</v>
      </c>
      <c r="K70" s="15" t="s">
        <v>46</v>
      </c>
      <c r="L70" s="15" t="s">
        <v>418</v>
      </c>
      <c r="M70" s="15">
        <v>2024</v>
      </c>
      <c r="N70" s="15" t="str">
        <f t="shared" si="2"/>
        <v xml:space="preserve"> Agustus </v>
      </c>
      <c r="O70" s="15">
        <v>2028</v>
      </c>
      <c r="P70" s="15">
        <v>2024</v>
      </c>
      <c r="Q70" s="15"/>
      <c r="R70" s="16"/>
      <c r="S70" s="15"/>
      <c r="T70" s="15"/>
      <c r="U70" s="15"/>
      <c r="V70" s="15"/>
      <c r="W70" s="15"/>
    </row>
    <row r="71" spans="1:23" s="17" customFormat="1" ht="14.5" x14ac:dyDescent="0.35">
      <c r="A71" s="12">
        <v>70</v>
      </c>
      <c r="B71" s="13" t="s">
        <v>2733</v>
      </c>
      <c r="C71" s="14" t="s">
        <v>2734</v>
      </c>
      <c r="D71" s="14" t="str">
        <f t="shared" si="3"/>
        <v>Laki-Laki</v>
      </c>
      <c r="E71" s="13" t="s">
        <v>903</v>
      </c>
      <c r="F71" s="18" t="s">
        <v>2636</v>
      </c>
      <c r="G71" s="13" t="s">
        <v>2618</v>
      </c>
      <c r="H71" s="15" t="s">
        <v>2637</v>
      </c>
      <c r="I71" s="15" t="s">
        <v>871</v>
      </c>
      <c r="J71" s="12" t="s">
        <v>45</v>
      </c>
      <c r="K71" s="15" t="s">
        <v>569</v>
      </c>
      <c r="L71" s="15"/>
      <c r="M71" s="15">
        <v>2024</v>
      </c>
      <c r="N71" s="15">
        <f t="shared" si="2"/>
        <v>0</v>
      </c>
      <c r="O71" s="15">
        <v>2028</v>
      </c>
      <c r="P71" s="15">
        <v>2024</v>
      </c>
      <c r="Q71" s="15"/>
      <c r="R71" s="16"/>
      <c r="S71" s="15"/>
      <c r="T71" s="15"/>
      <c r="U71" s="15"/>
      <c r="V71" s="15"/>
      <c r="W71" s="15"/>
    </row>
    <row r="72" spans="1:23" s="17" customFormat="1" ht="28" x14ac:dyDescent="0.35">
      <c r="A72" s="12">
        <v>71</v>
      </c>
      <c r="B72" s="13" t="s">
        <v>2735</v>
      </c>
      <c r="C72" s="14" t="s">
        <v>2736</v>
      </c>
      <c r="D72" s="14" t="str">
        <f t="shared" si="3"/>
        <v>Perempuan</v>
      </c>
      <c r="E72" s="13" t="s">
        <v>903</v>
      </c>
      <c r="F72" s="18" t="s">
        <v>2737</v>
      </c>
      <c r="G72" s="13" t="s">
        <v>2618</v>
      </c>
      <c r="H72" s="15" t="s">
        <v>2738</v>
      </c>
      <c r="I72" s="15" t="s">
        <v>2633</v>
      </c>
      <c r="J72" s="12" t="s">
        <v>45</v>
      </c>
      <c r="K72" s="15" t="s">
        <v>651</v>
      </c>
      <c r="L72" s="15" t="s">
        <v>28</v>
      </c>
      <c r="M72" s="15">
        <v>2024</v>
      </c>
      <c r="N72" s="15" t="str">
        <f t="shared" si="2"/>
        <v>September</v>
      </c>
      <c r="O72" s="15">
        <v>2028</v>
      </c>
      <c r="P72" s="15">
        <v>2024</v>
      </c>
      <c r="Q72" s="15"/>
      <c r="R72" s="16"/>
      <c r="S72" s="15"/>
      <c r="T72" s="15"/>
      <c r="U72" s="15"/>
      <c r="V72" s="15"/>
      <c r="W72" s="15"/>
    </row>
    <row r="73" spans="1:23" s="17" customFormat="1" ht="14.5" x14ac:dyDescent="0.35">
      <c r="A73" s="12">
        <v>72</v>
      </c>
      <c r="B73" s="13" t="s">
        <v>2739</v>
      </c>
      <c r="C73" s="14" t="s">
        <v>2740</v>
      </c>
      <c r="D73" s="14" t="str">
        <f t="shared" si="3"/>
        <v>Perempuan</v>
      </c>
      <c r="E73" s="13" t="s">
        <v>188</v>
      </c>
      <c r="F73" s="18" t="s">
        <v>2684</v>
      </c>
      <c r="G73" s="13" t="s">
        <v>2618</v>
      </c>
      <c r="H73" s="15" t="s">
        <v>2642</v>
      </c>
      <c r="I73" s="15" t="s">
        <v>580</v>
      </c>
      <c r="J73" s="12" t="s">
        <v>26</v>
      </c>
      <c r="K73" s="15" t="s">
        <v>394</v>
      </c>
      <c r="L73" s="15" t="s">
        <v>28</v>
      </c>
      <c r="M73" s="15">
        <v>2024</v>
      </c>
      <c r="N73" s="15" t="str">
        <f t="shared" si="2"/>
        <v>September</v>
      </c>
      <c r="O73" s="15">
        <v>2026</v>
      </c>
      <c r="P73" s="15">
        <v>2024</v>
      </c>
      <c r="Q73" s="15"/>
      <c r="R73" s="16"/>
      <c r="S73" s="15"/>
      <c r="T73" s="15"/>
      <c r="U73" s="15"/>
      <c r="V73" s="15"/>
      <c r="W73" s="15"/>
    </row>
    <row r="74" spans="1:23" s="17" customFormat="1" ht="14.5" x14ac:dyDescent="0.35">
      <c r="A74" s="12">
        <v>73</v>
      </c>
      <c r="B74" s="13" t="s">
        <v>2741</v>
      </c>
      <c r="C74" s="14" t="s">
        <v>2742</v>
      </c>
      <c r="D74" s="14" t="str">
        <f t="shared" si="3"/>
        <v>Perempuan</v>
      </c>
      <c r="E74" s="13" t="s">
        <v>215</v>
      </c>
      <c r="F74" s="18" t="s">
        <v>579</v>
      </c>
      <c r="G74" s="13" t="s">
        <v>2618</v>
      </c>
      <c r="H74" s="15" t="s">
        <v>2743</v>
      </c>
      <c r="I74" s="15" t="s">
        <v>810</v>
      </c>
      <c r="J74" s="12" t="s">
        <v>45</v>
      </c>
      <c r="K74" s="15" t="s">
        <v>2744</v>
      </c>
      <c r="L74" s="15" t="s">
        <v>2745</v>
      </c>
      <c r="M74" s="15">
        <v>2024</v>
      </c>
      <c r="N74" s="15" t="str">
        <f t="shared" si="2"/>
        <v>Septembe</v>
      </c>
      <c r="O74" s="15">
        <v>2028</v>
      </c>
      <c r="P74" s="15">
        <v>2024</v>
      </c>
      <c r="Q74" s="15"/>
      <c r="R74" s="16"/>
      <c r="S74" s="15"/>
      <c r="T74" s="15"/>
      <c r="U74" s="15"/>
      <c r="V74" s="15"/>
      <c r="W74" s="15"/>
    </row>
    <row r="75" spans="1:23" s="17" customFormat="1" ht="14.5" x14ac:dyDescent="0.35">
      <c r="A75" s="12">
        <v>74</v>
      </c>
      <c r="B75" s="13" t="s">
        <v>2746</v>
      </c>
      <c r="C75" s="14" t="s">
        <v>2747</v>
      </c>
      <c r="D75" s="14" t="str">
        <f t="shared" si="3"/>
        <v>Laki-Laki</v>
      </c>
      <c r="E75" s="13" t="s">
        <v>2748</v>
      </c>
      <c r="F75" s="18" t="s">
        <v>2749</v>
      </c>
      <c r="G75" s="13" t="s">
        <v>2618</v>
      </c>
      <c r="H75" s="15" t="s">
        <v>2750</v>
      </c>
      <c r="I75" s="15" t="s">
        <v>2727</v>
      </c>
      <c r="J75" s="12" t="s">
        <v>242</v>
      </c>
      <c r="K75" s="15" t="s">
        <v>257</v>
      </c>
      <c r="L75" s="15"/>
      <c r="M75" s="15">
        <v>2024</v>
      </c>
      <c r="N75" s="15">
        <f t="shared" si="2"/>
        <v>0</v>
      </c>
      <c r="O75" s="15">
        <v>2027</v>
      </c>
      <c r="P75" s="15">
        <v>2024</v>
      </c>
      <c r="Q75" s="15"/>
      <c r="R75" s="16"/>
      <c r="S75" s="15"/>
      <c r="T75" s="15"/>
      <c r="U75" s="15"/>
      <c r="V75" s="15"/>
      <c r="W75" s="15"/>
    </row>
    <row r="76" spans="1:23" s="17" customFormat="1" ht="14.5" x14ac:dyDescent="0.35">
      <c r="A76" s="12">
        <v>75</v>
      </c>
      <c r="B76" s="13" t="s">
        <v>2751</v>
      </c>
      <c r="C76" s="14" t="s">
        <v>2752</v>
      </c>
      <c r="D76" s="14" t="str">
        <f t="shared" si="3"/>
        <v>Laki-Laki</v>
      </c>
      <c r="E76" s="13" t="s">
        <v>2753</v>
      </c>
      <c r="F76" s="18" t="s">
        <v>2636</v>
      </c>
      <c r="G76" s="13" t="s">
        <v>2618</v>
      </c>
      <c r="H76" s="15" t="s">
        <v>2754</v>
      </c>
      <c r="I76" s="15" t="s">
        <v>2755</v>
      </c>
      <c r="J76" s="12" t="s">
        <v>45</v>
      </c>
      <c r="K76" s="15" t="s">
        <v>569</v>
      </c>
      <c r="L76" s="15" t="s">
        <v>2326</v>
      </c>
      <c r="M76" s="15">
        <v>2024</v>
      </c>
      <c r="N76" s="15" t="str">
        <f t="shared" si="2"/>
        <v xml:space="preserve"> September</v>
      </c>
      <c r="O76" s="15">
        <v>2028</v>
      </c>
      <c r="P76" s="15">
        <v>2024</v>
      </c>
      <c r="Q76" s="15"/>
      <c r="R76" s="16"/>
      <c r="S76" s="15"/>
      <c r="T76" s="15"/>
      <c r="U76" s="15"/>
      <c r="V76" s="15"/>
      <c r="W76" s="15"/>
    </row>
    <row r="77" spans="1:23" s="17" customFormat="1" ht="14.5" x14ac:dyDescent="0.35">
      <c r="A77" s="12">
        <v>76</v>
      </c>
      <c r="B77" s="13" t="s">
        <v>2756</v>
      </c>
      <c r="C77" s="14" t="s">
        <v>2757</v>
      </c>
      <c r="D77" s="14" t="str">
        <f t="shared" si="3"/>
        <v>Laki-Laki</v>
      </c>
      <c r="E77" s="13" t="s">
        <v>215</v>
      </c>
      <c r="F77" s="18" t="s">
        <v>2758</v>
      </c>
      <c r="G77" s="13" t="s">
        <v>2618</v>
      </c>
      <c r="H77" s="15" t="s">
        <v>2624</v>
      </c>
      <c r="I77" s="15" t="s">
        <v>90</v>
      </c>
      <c r="J77" s="12" t="s">
        <v>45</v>
      </c>
      <c r="K77" s="15" t="s">
        <v>2759</v>
      </c>
      <c r="L77" s="15" t="s">
        <v>169</v>
      </c>
      <c r="M77" s="15">
        <v>2024</v>
      </c>
      <c r="N77" s="15" t="str">
        <f t="shared" si="2"/>
        <v>Oktober</v>
      </c>
      <c r="O77" s="15">
        <v>2028</v>
      </c>
      <c r="P77" s="15">
        <v>2024</v>
      </c>
      <c r="Q77" s="15"/>
      <c r="R77" s="16"/>
      <c r="S77" s="15"/>
      <c r="T77" s="15"/>
      <c r="U77" s="15"/>
      <c r="V77" s="15"/>
      <c r="W77" s="15"/>
    </row>
    <row r="78" spans="1:23" s="17" customFormat="1" ht="14.5" x14ac:dyDescent="0.35">
      <c r="A78" s="12">
        <v>77</v>
      </c>
      <c r="B78" s="13" t="s">
        <v>2760</v>
      </c>
      <c r="C78" s="14"/>
      <c r="D78" s="14" t="str">
        <f t="shared" si="3"/>
        <v>Perempuan</v>
      </c>
      <c r="E78" s="13"/>
      <c r="F78" s="18"/>
      <c r="G78" s="13" t="s">
        <v>2618</v>
      </c>
      <c r="H78" s="15"/>
      <c r="I78" s="15" t="s">
        <v>2625</v>
      </c>
      <c r="J78" s="12" t="s">
        <v>45</v>
      </c>
      <c r="K78" s="15" t="s">
        <v>651</v>
      </c>
      <c r="L78" s="15"/>
      <c r="M78" s="15"/>
      <c r="N78" s="15">
        <f t="shared" si="2"/>
        <v>0</v>
      </c>
      <c r="O78" s="15"/>
      <c r="P78" s="15">
        <v>2024</v>
      </c>
      <c r="Q78" s="15"/>
      <c r="R78" s="16"/>
      <c r="S78" s="15"/>
      <c r="T78" s="15"/>
      <c r="U78" s="15"/>
      <c r="V78" s="15"/>
      <c r="W78" s="15"/>
    </row>
    <row r="79" spans="1:23" s="17" customFormat="1" ht="14.5" x14ac:dyDescent="0.35">
      <c r="A79" s="12">
        <v>78</v>
      </c>
      <c r="B79" s="13" t="s">
        <v>2761</v>
      </c>
      <c r="C79" s="14" t="s">
        <v>2762</v>
      </c>
      <c r="D79" s="14" t="str">
        <f t="shared" si="3"/>
        <v>Perempuan</v>
      </c>
      <c r="E79" s="13" t="s">
        <v>188</v>
      </c>
      <c r="F79" s="18" t="s">
        <v>2636</v>
      </c>
      <c r="G79" s="13" t="s">
        <v>2618</v>
      </c>
      <c r="H79" s="15" t="s">
        <v>2619</v>
      </c>
      <c r="I79" s="15" t="s">
        <v>2763</v>
      </c>
      <c r="J79" s="12" t="s">
        <v>45</v>
      </c>
      <c r="K79" s="15" t="s">
        <v>569</v>
      </c>
      <c r="L79" s="15"/>
      <c r="M79" s="15">
        <v>2024</v>
      </c>
      <c r="N79" s="15">
        <f t="shared" si="2"/>
        <v>0</v>
      </c>
      <c r="O79" s="15">
        <v>2028</v>
      </c>
      <c r="P79" s="15">
        <v>2024</v>
      </c>
      <c r="Q79" s="15"/>
      <c r="R79" s="16"/>
      <c r="S79" s="15"/>
      <c r="T79" s="15"/>
      <c r="U79" s="15"/>
      <c r="V79" s="15"/>
      <c r="W79" s="15"/>
    </row>
    <row r="80" spans="1:23" s="17" customFormat="1" ht="14.5" x14ac:dyDescent="0.35">
      <c r="A80" s="12">
        <v>79</v>
      </c>
      <c r="B80" s="95" t="s">
        <v>2764</v>
      </c>
      <c r="C80" s="14" t="s">
        <v>2765</v>
      </c>
      <c r="D80" s="14" t="str">
        <f t="shared" si="3"/>
        <v>Perempuan</v>
      </c>
      <c r="E80" s="13" t="s">
        <v>2766</v>
      </c>
      <c r="F80" s="18" t="s">
        <v>2737</v>
      </c>
      <c r="G80" s="13" t="s">
        <v>2618</v>
      </c>
      <c r="H80" s="15" t="s">
        <v>2767</v>
      </c>
      <c r="I80" s="15" t="s">
        <v>90</v>
      </c>
      <c r="J80" s="12" t="s">
        <v>45</v>
      </c>
      <c r="K80" s="15" t="s">
        <v>569</v>
      </c>
      <c r="L80" s="15"/>
      <c r="M80" s="15">
        <v>2024</v>
      </c>
      <c r="N80" s="15">
        <f t="shared" si="2"/>
        <v>0</v>
      </c>
      <c r="O80" s="15">
        <v>2028</v>
      </c>
      <c r="P80" s="15">
        <v>2024</v>
      </c>
      <c r="Q80" s="15"/>
      <c r="R80" s="16"/>
      <c r="S80" s="15"/>
      <c r="T80" s="15"/>
      <c r="U80" s="15"/>
      <c r="V80" s="15"/>
      <c r="W80" s="15"/>
    </row>
    <row r="81" spans="1:23" s="17" customFormat="1" ht="28" x14ac:dyDescent="0.35">
      <c r="A81" s="12">
        <v>80</v>
      </c>
      <c r="B81" s="13" t="s">
        <v>2562</v>
      </c>
      <c r="C81" s="14" t="s">
        <v>2563</v>
      </c>
      <c r="D81" s="14" t="str">
        <f t="shared" si="3"/>
        <v>Laki-Laki</v>
      </c>
      <c r="E81" s="13" t="s">
        <v>211</v>
      </c>
      <c r="F81" s="18" t="s">
        <v>1034</v>
      </c>
      <c r="G81" s="13" t="s">
        <v>2618</v>
      </c>
      <c r="H81" s="15" t="s">
        <v>2624</v>
      </c>
      <c r="I81" s="15" t="s">
        <v>2768</v>
      </c>
      <c r="J81" s="12" t="s">
        <v>45</v>
      </c>
      <c r="K81" s="15" t="s">
        <v>40</v>
      </c>
      <c r="L81" s="15" t="s">
        <v>169</v>
      </c>
      <c r="M81" s="15">
        <v>2024</v>
      </c>
      <c r="N81" s="15" t="str">
        <f t="shared" si="2"/>
        <v>Oktober</v>
      </c>
      <c r="O81" s="15">
        <v>2028</v>
      </c>
      <c r="P81" s="15">
        <v>2024</v>
      </c>
      <c r="Q81" s="15"/>
      <c r="R81" s="16"/>
      <c r="S81" s="15"/>
      <c r="T81" s="15"/>
      <c r="U81" s="15"/>
      <c r="V81" s="15"/>
      <c r="W81" s="15"/>
    </row>
    <row r="82" spans="1:23" s="17" customFormat="1" ht="14.5" x14ac:dyDescent="0.35">
      <c r="A82" s="12">
        <v>81</v>
      </c>
      <c r="B82" s="25" t="s">
        <v>2769</v>
      </c>
      <c r="C82" s="26" t="s">
        <v>2770</v>
      </c>
      <c r="D82" s="14" t="str">
        <f t="shared" si="3"/>
        <v>Laki-Laki</v>
      </c>
      <c r="E82" s="25" t="s">
        <v>188</v>
      </c>
      <c r="F82" s="25" t="s">
        <v>2684</v>
      </c>
      <c r="G82" s="25" t="s">
        <v>2618</v>
      </c>
      <c r="H82" s="19" t="s">
        <v>2771</v>
      </c>
      <c r="I82" s="28" t="s">
        <v>90</v>
      </c>
      <c r="J82" s="47" t="s">
        <v>190</v>
      </c>
      <c r="K82" s="32" t="s">
        <v>394</v>
      </c>
      <c r="L82" s="27" t="s">
        <v>123</v>
      </c>
      <c r="M82" s="15">
        <v>2025</v>
      </c>
      <c r="N82" s="15" t="str">
        <f t="shared" si="2"/>
        <v xml:space="preserve">Maret </v>
      </c>
      <c r="O82" s="15"/>
      <c r="P82" s="15"/>
      <c r="Q82" s="15"/>
      <c r="R82" s="16"/>
      <c r="S82" s="15"/>
      <c r="T82" s="15"/>
      <c r="U82" s="15"/>
      <c r="V82" s="15"/>
      <c r="W82" s="15"/>
    </row>
    <row r="83" spans="1:23" s="17" customFormat="1" ht="14.5" x14ac:dyDescent="0.35">
      <c r="A83" s="12">
        <v>82</v>
      </c>
      <c r="B83" s="25" t="s">
        <v>2772</v>
      </c>
      <c r="C83" s="26" t="s">
        <v>2773</v>
      </c>
      <c r="D83" s="14" t="str">
        <f t="shared" si="3"/>
        <v>Laki-Laki</v>
      </c>
      <c r="E83" s="25" t="s">
        <v>903</v>
      </c>
      <c r="F83" s="25" t="s">
        <v>2774</v>
      </c>
      <c r="G83" s="25" t="s">
        <v>2618</v>
      </c>
      <c r="H83" s="19" t="s">
        <v>2726</v>
      </c>
      <c r="I83" s="28" t="s">
        <v>90</v>
      </c>
      <c r="J83" s="47" t="s">
        <v>180</v>
      </c>
      <c r="K83" s="32" t="s">
        <v>569</v>
      </c>
      <c r="L83" s="27"/>
      <c r="M83" s="15">
        <v>2024</v>
      </c>
      <c r="N83" s="15">
        <f t="shared" si="2"/>
        <v>0</v>
      </c>
      <c r="O83" s="15"/>
      <c r="P83" s="15"/>
      <c r="Q83" s="15"/>
      <c r="R83" s="16"/>
      <c r="S83" s="15"/>
      <c r="T83" s="15"/>
      <c r="U83" s="15"/>
      <c r="V83" s="15"/>
      <c r="W83" s="15"/>
    </row>
    <row r="84" spans="1:23" s="17" customFormat="1" ht="14.5" x14ac:dyDescent="0.35">
      <c r="A84" s="12">
        <v>83</v>
      </c>
      <c r="B84" s="25" t="s">
        <v>2775</v>
      </c>
      <c r="C84" s="26" t="s">
        <v>2776</v>
      </c>
      <c r="D84" s="14" t="str">
        <f t="shared" si="3"/>
        <v>Perempuan</v>
      </c>
      <c r="E84" s="25" t="s">
        <v>903</v>
      </c>
      <c r="F84" s="25" t="s">
        <v>2737</v>
      </c>
      <c r="G84" s="25" t="s">
        <v>2618</v>
      </c>
      <c r="H84" s="19" t="s">
        <v>2777</v>
      </c>
      <c r="I84" s="28" t="s">
        <v>90</v>
      </c>
      <c r="J84" s="47" t="s">
        <v>180</v>
      </c>
      <c r="K84" s="32" t="s">
        <v>569</v>
      </c>
      <c r="L84" s="27" t="s">
        <v>28</v>
      </c>
      <c r="M84" s="15">
        <v>2024</v>
      </c>
      <c r="N84" s="15" t="str">
        <f t="shared" si="2"/>
        <v>September</v>
      </c>
      <c r="O84" s="15"/>
      <c r="P84" s="15"/>
      <c r="Q84" s="15"/>
      <c r="R84" s="16"/>
      <c r="S84" s="15"/>
      <c r="T84" s="15"/>
      <c r="U84" s="15"/>
      <c r="V84" s="15"/>
      <c r="W84" s="15"/>
    </row>
    <row r="85" spans="1:23" s="17" customFormat="1" ht="14.5" x14ac:dyDescent="0.35">
      <c r="A85" s="12">
        <v>84</v>
      </c>
      <c r="B85" s="25" t="s">
        <v>2778</v>
      </c>
      <c r="C85" s="26" t="s">
        <v>2779</v>
      </c>
      <c r="D85" s="14" t="str">
        <f t="shared" si="3"/>
        <v>Laki-Laki</v>
      </c>
      <c r="E85" s="25" t="s">
        <v>188</v>
      </c>
      <c r="F85" s="25" t="s">
        <v>2684</v>
      </c>
      <c r="G85" s="25" t="s">
        <v>2618</v>
      </c>
      <c r="H85" s="19" t="s">
        <v>2780</v>
      </c>
      <c r="I85" s="28" t="s">
        <v>90</v>
      </c>
      <c r="J85" s="47" t="s">
        <v>190</v>
      </c>
      <c r="K85" s="32" t="s">
        <v>394</v>
      </c>
      <c r="L85" s="27" t="s">
        <v>890</v>
      </c>
      <c r="M85" s="15">
        <v>2025</v>
      </c>
      <c r="N85" s="15" t="str">
        <f t="shared" si="2"/>
        <v>Januari</v>
      </c>
      <c r="O85" s="15"/>
      <c r="P85" s="15"/>
      <c r="Q85" s="15"/>
      <c r="R85" s="16"/>
      <c r="S85" s="15"/>
      <c r="T85" s="15"/>
      <c r="U85" s="15"/>
      <c r="V85" s="15"/>
      <c r="W85" s="15"/>
    </row>
    <row r="86" spans="1:23" s="17" customFormat="1" ht="14.5" x14ac:dyDescent="0.35">
      <c r="A86" s="12">
        <v>85</v>
      </c>
      <c r="B86" s="25" t="s">
        <v>2781</v>
      </c>
      <c r="C86" s="26" t="s">
        <v>2782</v>
      </c>
      <c r="D86" s="14" t="str">
        <f t="shared" si="3"/>
        <v>Laki-Laki</v>
      </c>
      <c r="E86" s="25" t="s">
        <v>215</v>
      </c>
      <c r="F86" s="25" t="s">
        <v>1876</v>
      </c>
      <c r="G86" s="25" t="s">
        <v>2618</v>
      </c>
      <c r="H86" s="19" t="s">
        <v>2783</v>
      </c>
      <c r="I86" s="28" t="s">
        <v>90</v>
      </c>
      <c r="J86" s="47" t="s">
        <v>180</v>
      </c>
      <c r="K86" s="32" t="s">
        <v>46</v>
      </c>
      <c r="L86" s="27" t="s">
        <v>72</v>
      </c>
      <c r="M86" s="15">
        <v>2024</v>
      </c>
      <c r="N86" s="15" t="str">
        <f t="shared" si="2"/>
        <v>Februari</v>
      </c>
      <c r="O86" s="15"/>
      <c r="P86" s="15"/>
      <c r="Q86" s="15"/>
      <c r="R86" s="16"/>
      <c r="S86" s="15"/>
      <c r="T86" s="15"/>
      <c r="U86" s="15"/>
      <c r="V86" s="15"/>
      <c r="W86" s="15"/>
    </row>
    <row r="87" spans="1:23" s="17" customFormat="1" ht="14.5" x14ac:dyDescent="0.35">
      <c r="A87" s="12">
        <v>86</v>
      </c>
      <c r="B87" s="25" t="s">
        <v>2784</v>
      </c>
      <c r="C87" s="26" t="s">
        <v>2785</v>
      </c>
      <c r="D87" s="14" t="str">
        <f t="shared" si="3"/>
        <v>Perempuan</v>
      </c>
      <c r="E87" s="25" t="s">
        <v>903</v>
      </c>
      <c r="F87" s="33" t="s">
        <v>2636</v>
      </c>
      <c r="G87" s="25" t="s">
        <v>2618</v>
      </c>
      <c r="H87" s="19" t="s">
        <v>2786</v>
      </c>
      <c r="I87" s="28" t="s">
        <v>90</v>
      </c>
      <c r="J87" s="47" t="s">
        <v>180</v>
      </c>
      <c r="K87" s="32" t="s">
        <v>569</v>
      </c>
      <c r="L87" s="29" t="s">
        <v>205</v>
      </c>
      <c r="M87" s="21">
        <v>2024</v>
      </c>
      <c r="N87" s="15" t="str">
        <f t="shared" si="2"/>
        <v xml:space="preserve">September </v>
      </c>
      <c r="O87" s="15"/>
      <c r="P87" s="15"/>
      <c r="Q87" s="15"/>
      <c r="R87" s="16"/>
      <c r="S87" s="15"/>
      <c r="T87" s="15"/>
      <c r="U87" s="15"/>
      <c r="V87" s="15"/>
      <c r="W87" s="15"/>
    </row>
    <row r="88" spans="1:23" s="17" customFormat="1" ht="14.5" x14ac:dyDescent="0.35">
      <c r="A88" s="12">
        <v>87</v>
      </c>
      <c r="B88" s="25" t="s">
        <v>2787</v>
      </c>
      <c r="C88" s="26" t="s">
        <v>2788</v>
      </c>
      <c r="D88" s="14" t="str">
        <f t="shared" si="3"/>
        <v>Laki-Laki</v>
      </c>
      <c r="E88" s="25" t="s">
        <v>215</v>
      </c>
      <c r="F88" s="25" t="s">
        <v>2649</v>
      </c>
      <c r="G88" s="25" t="s">
        <v>2618</v>
      </c>
      <c r="H88" s="19" t="s">
        <v>2557</v>
      </c>
      <c r="I88" s="28" t="s">
        <v>90</v>
      </c>
      <c r="J88" s="47" t="s">
        <v>180</v>
      </c>
      <c r="K88" s="32" t="s">
        <v>569</v>
      </c>
      <c r="L88" s="29" t="s">
        <v>205</v>
      </c>
      <c r="M88" s="21">
        <v>2024</v>
      </c>
      <c r="N88" s="15" t="str">
        <f t="shared" si="2"/>
        <v xml:space="preserve">September </v>
      </c>
      <c r="O88" s="15"/>
      <c r="P88" s="15"/>
      <c r="Q88" s="15"/>
      <c r="R88" s="16"/>
      <c r="S88" s="15"/>
      <c r="T88" s="15"/>
      <c r="U88" s="15"/>
      <c r="V88" s="15"/>
      <c r="W88" s="15"/>
    </row>
    <row r="89" spans="1:23" s="17" customFormat="1" ht="14.5" x14ac:dyDescent="0.35">
      <c r="A89" s="12">
        <v>88</v>
      </c>
      <c r="B89" s="25" t="s">
        <v>2789</v>
      </c>
      <c r="C89" s="26" t="s">
        <v>2790</v>
      </c>
      <c r="D89" s="14" t="str">
        <f t="shared" si="3"/>
        <v>Laki-Laki</v>
      </c>
      <c r="E89" s="25" t="s">
        <v>188</v>
      </c>
      <c r="F89" s="25" t="s">
        <v>2791</v>
      </c>
      <c r="G89" s="25" t="s">
        <v>2618</v>
      </c>
      <c r="H89" s="19" t="s">
        <v>2792</v>
      </c>
      <c r="I89" s="28" t="s">
        <v>90</v>
      </c>
      <c r="J89" s="32" t="s">
        <v>190</v>
      </c>
      <c r="K89" s="32" t="s">
        <v>394</v>
      </c>
      <c r="L89" s="29" t="s">
        <v>92</v>
      </c>
      <c r="M89" s="21">
        <v>2025</v>
      </c>
      <c r="N89" s="15" t="str">
        <f t="shared" si="2"/>
        <v xml:space="preserve">April </v>
      </c>
      <c r="O89" s="15"/>
      <c r="P89" s="15"/>
      <c r="Q89" s="15"/>
      <c r="R89" s="16"/>
      <c r="S89" s="15"/>
      <c r="T89" s="15"/>
      <c r="U89" s="15"/>
      <c r="V89" s="15"/>
      <c r="W89" s="15"/>
    </row>
    <row r="90" spans="1:23" s="17" customFormat="1" ht="14.5" x14ac:dyDescent="0.35">
      <c r="A90" s="12">
        <v>89</v>
      </c>
      <c r="B90" s="25" t="s">
        <v>2793</v>
      </c>
      <c r="C90" s="26" t="s">
        <v>2794</v>
      </c>
      <c r="D90" s="14" t="str">
        <f t="shared" si="3"/>
        <v>Perempuan</v>
      </c>
      <c r="E90" s="25" t="s">
        <v>215</v>
      </c>
      <c r="F90" s="25" t="s">
        <v>2649</v>
      </c>
      <c r="G90" s="25" t="s">
        <v>2618</v>
      </c>
      <c r="H90" s="19" t="s">
        <v>2510</v>
      </c>
      <c r="I90" s="28" t="s">
        <v>2795</v>
      </c>
      <c r="J90" s="47" t="s">
        <v>180</v>
      </c>
      <c r="K90" s="32" t="s">
        <v>2501</v>
      </c>
      <c r="L90" s="35" t="s">
        <v>205</v>
      </c>
      <c r="M90" s="21">
        <v>2024</v>
      </c>
      <c r="N90" s="15" t="str">
        <f t="shared" si="2"/>
        <v xml:space="preserve">September </v>
      </c>
      <c r="O90" s="15"/>
      <c r="P90" s="15"/>
      <c r="Q90" s="15"/>
      <c r="R90" s="16"/>
      <c r="S90" s="15"/>
      <c r="T90" s="15"/>
      <c r="U90" s="15"/>
      <c r="V90" s="15"/>
      <c r="W90" s="15"/>
    </row>
    <row r="91" spans="1:23" s="17" customFormat="1" ht="28" x14ac:dyDescent="0.35">
      <c r="A91" s="12">
        <v>90</v>
      </c>
      <c r="B91" s="25" t="s">
        <v>2796</v>
      </c>
      <c r="C91" s="26" t="s">
        <v>2509</v>
      </c>
      <c r="D91" s="14" t="str">
        <f t="shared" si="3"/>
        <v>Laki-Laki</v>
      </c>
      <c r="E91" s="25" t="s">
        <v>172</v>
      </c>
      <c r="F91" s="25" t="s">
        <v>2649</v>
      </c>
      <c r="G91" s="25" t="s">
        <v>2618</v>
      </c>
      <c r="H91" s="19" t="s">
        <v>2510</v>
      </c>
      <c r="I91" s="28" t="s">
        <v>911</v>
      </c>
      <c r="J91" s="32" t="s">
        <v>190</v>
      </c>
      <c r="K91" s="28" t="s">
        <v>1300</v>
      </c>
      <c r="L91" s="27" t="s">
        <v>462</v>
      </c>
      <c r="M91" s="15">
        <v>2025</v>
      </c>
      <c r="N91" s="15" t="str">
        <f t="shared" si="2"/>
        <v xml:space="preserve">Februari </v>
      </c>
      <c r="O91" s="15"/>
      <c r="P91" s="15"/>
      <c r="Q91" s="15"/>
      <c r="R91" s="16"/>
      <c r="S91" s="15"/>
      <c r="T91" s="15"/>
      <c r="U91" s="15"/>
      <c r="V91" s="15"/>
      <c r="W91" s="15"/>
    </row>
    <row r="92" spans="1:23" s="17" customFormat="1" ht="14.5" x14ac:dyDescent="0.35">
      <c r="A92" s="12">
        <v>91</v>
      </c>
      <c r="B92" s="25" t="s">
        <v>2797</v>
      </c>
      <c r="C92" s="26" t="s">
        <v>2798</v>
      </c>
      <c r="D92" s="14" t="str">
        <f t="shared" si="3"/>
        <v>Perempuan</v>
      </c>
      <c r="E92" s="25" t="s">
        <v>903</v>
      </c>
      <c r="F92" s="25" t="s">
        <v>2636</v>
      </c>
      <c r="G92" s="25" t="s">
        <v>2618</v>
      </c>
      <c r="H92" s="19" t="s">
        <v>2526</v>
      </c>
      <c r="I92" s="28" t="s">
        <v>580</v>
      </c>
      <c r="J92" s="32" t="s">
        <v>180</v>
      </c>
      <c r="K92" s="32" t="s">
        <v>569</v>
      </c>
      <c r="L92" s="29" t="s">
        <v>205</v>
      </c>
      <c r="M92" s="21">
        <v>2024</v>
      </c>
      <c r="N92" s="15" t="str">
        <f t="shared" si="2"/>
        <v xml:space="preserve">September </v>
      </c>
      <c r="O92" s="15"/>
      <c r="P92" s="15"/>
      <c r="Q92" s="15"/>
      <c r="R92" s="16"/>
      <c r="S92" s="15"/>
      <c r="T92" s="15"/>
      <c r="U92" s="15"/>
      <c r="V92" s="15"/>
      <c r="W92" s="15"/>
    </row>
    <row r="93" spans="1:23" s="17" customFormat="1" ht="14.5" x14ac:dyDescent="0.35">
      <c r="A93" s="12">
        <v>92</v>
      </c>
      <c r="B93" s="25" t="s">
        <v>2799</v>
      </c>
      <c r="C93" s="26" t="s">
        <v>2800</v>
      </c>
      <c r="D93" s="14" t="str">
        <f t="shared" si="3"/>
        <v>Perempuan</v>
      </c>
      <c r="E93" s="25" t="s">
        <v>554</v>
      </c>
      <c r="F93" s="25" t="s">
        <v>2801</v>
      </c>
      <c r="G93" s="25" t="s">
        <v>2618</v>
      </c>
      <c r="H93" s="19" t="s">
        <v>2546</v>
      </c>
      <c r="I93" s="28" t="s">
        <v>788</v>
      </c>
      <c r="J93" s="32" t="s">
        <v>190</v>
      </c>
      <c r="K93" s="32" t="s">
        <v>407</v>
      </c>
      <c r="L93" s="27" t="s">
        <v>145</v>
      </c>
      <c r="M93" s="15">
        <v>2024</v>
      </c>
      <c r="N93" s="15" t="str">
        <f t="shared" si="2"/>
        <v xml:space="preserve">Agustus </v>
      </c>
      <c r="O93" s="15"/>
      <c r="P93" s="15"/>
      <c r="Q93" s="15"/>
      <c r="R93" s="16"/>
      <c r="S93" s="15"/>
      <c r="T93" s="15"/>
      <c r="U93" s="15"/>
      <c r="V93" s="15"/>
      <c r="W93" s="15"/>
    </row>
    <row r="94" spans="1:23" s="17" customFormat="1" ht="14.5" x14ac:dyDescent="0.35">
      <c r="A94" s="12">
        <v>93</v>
      </c>
      <c r="B94" s="25" t="s">
        <v>2802</v>
      </c>
      <c r="C94" s="26" t="s">
        <v>2803</v>
      </c>
      <c r="D94" s="14" t="str">
        <f t="shared" si="3"/>
        <v>Laki-Laki</v>
      </c>
      <c r="E94" s="25" t="s">
        <v>903</v>
      </c>
      <c r="F94" s="25" t="s">
        <v>142</v>
      </c>
      <c r="G94" s="25" t="s">
        <v>2618</v>
      </c>
      <c r="H94" s="19" t="s">
        <v>2540</v>
      </c>
      <c r="I94" s="28" t="s">
        <v>2804</v>
      </c>
      <c r="J94" s="32" t="s">
        <v>180</v>
      </c>
      <c r="K94" s="32" t="s">
        <v>46</v>
      </c>
      <c r="L94" s="29" t="s">
        <v>205</v>
      </c>
      <c r="M94" s="21">
        <v>2024</v>
      </c>
      <c r="N94" s="15" t="str">
        <f t="shared" si="2"/>
        <v xml:space="preserve">September </v>
      </c>
      <c r="O94" s="15"/>
      <c r="P94" s="15"/>
      <c r="Q94" s="15"/>
      <c r="R94" s="16"/>
      <c r="S94" s="15"/>
      <c r="T94" s="15"/>
      <c r="U94" s="15"/>
      <c r="V94" s="15"/>
      <c r="W94" s="15"/>
    </row>
    <row r="95" spans="1:23" s="17" customFormat="1" ht="14.5" x14ac:dyDescent="0.35">
      <c r="A95" s="12">
        <v>94</v>
      </c>
      <c r="B95" s="25" t="s">
        <v>2805</v>
      </c>
      <c r="C95" s="26" t="s">
        <v>2806</v>
      </c>
      <c r="D95" s="14" t="str">
        <f t="shared" si="3"/>
        <v>Perempuan</v>
      </c>
      <c r="E95" s="25" t="s">
        <v>188</v>
      </c>
      <c r="F95" s="25" t="s">
        <v>2684</v>
      </c>
      <c r="G95" s="25" t="s">
        <v>2618</v>
      </c>
      <c r="H95" s="19" t="s">
        <v>2654</v>
      </c>
      <c r="I95" s="28" t="s">
        <v>90</v>
      </c>
      <c r="J95" s="32" t="s">
        <v>486</v>
      </c>
      <c r="K95" s="32" t="s">
        <v>394</v>
      </c>
      <c r="L95" s="35" t="s">
        <v>205</v>
      </c>
      <c r="M95" s="21">
        <v>2025</v>
      </c>
      <c r="N95" s="15" t="str">
        <f t="shared" si="2"/>
        <v xml:space="preserve">September </v>
      </c>
      <c r="O95" s="15"/>
      <c r="P95" s="15"/>
      <c r="Q95" s="15"/>
      <c r="R95" s="16"/>
      <c r="S95" s="15"/>
      <c r="T95" s="15"/>
      <c r="U95" s="15"/>
      <c r="V95" s="15"/>
      <c r="W95" s="15"/>
    </row>
    <row r="96" spans="1:23" s="17" customFormat="1" ht="14.5" x14ac:dyDescent="0.35">
      <c r="A96" s="12">
        <v>95</v>
      </c>
      <c r="B96" s="25" t="s">
        <v>2807</v>
      </c>
      <c r="C96" s="26" t="s">
        <v>2808</v>
      </c>
      <c r="D96" s="14" t="str">
        <f t="shared" si="3"/>
        <v>Laki-Laki</v>
      </c>
      <c r="E96" s="25" t="s">
        <v>172</v>
      </c>
      <c r="F96" s="57" t="s">
        <v>1388</v>
      </c>
      <c r="G96" s="25" t="s">
        <v>2618</v>
      </c>
      <c r="H96" s="19" t="s">
        <v>2518</v>
      </c>
      <c r="I96" s="28" t="s">
        <v>2809</v>
      </c>
      <c r="J96" s="32" t="s">
        <v>180</v>
      </c>
      <c r="K96" s="32" t="s">
        <v>46</v>
      </c>
      <c r="L96" s="29" t="s">
        <v>205</v>
      </c>
      <c r="M96" s="21">
        <v>2024</v>
      </c>
      <c r="N96" s="15" t="str">
        <f t="shared" si="2"/>
        <v xml:space="preserve">September </v>
      </c>
      <c r="O96" s="15"/>
      <c r="P96" s="15"/>
      <c r="Q96" s="15"/>
      <c r="R96" s="16"/>
      <c r="S96" s="15"/>
      <c r="T96" s="15"/>
      <c r="U96" s="15"/>
      <c r="V96" s="15"/>
      <c r="W96" s="15"/>
    </row>
    <row r="97" spans="1:23" s="17" customFormat="1" ht="14.5" x14ac:dyDescent="0.35">
      <c r="A97" s="12">
        <v>96</v>
      </c>
      <c r="B97" s="25" t="s">
        <v>2810</v>
      </c>
      <c r="C97" s="26" t="s">
        <v>2811</v>
      </c>
      <c r="D97" s="14" t="str">
        <f t="shared" si="3"/>
        <v>Perempuan</v>
      </c>
      <c r="E97" s="25" t="s">
        <v>215</v>
      </c>
      <c r="F97" s="25" t="s">
        <v>579</v>
      </c>
      <c r="G97" s="25" t="s">
        <v>2618</v>
      </c>
      <c r="H97" s="19" t="s">
        <v>2812</v>
      </c>
      <c r="I97" s="28" t="s">
        <v>90</v>
      </c>
      <c r="J97" s="32" t="s">
        <v>180</v>
      </c>
      <c r="K97" s="32" t="s">
        <v>40</v>
      </c>
      <c r="L97" s="29" t="s">
        <v>205</v>
      </c>
      <c r="M97" s="21">
        <v>2024</v>
      </c>
      <c r="N97" s="15" t="str">
        <f t="shared" si="2"/>
        <v xml:space="preserve">September </v>
      </c>
      <c r="O97" s="15"/>
      <c r="P97" s="15"/>
      <c r="Q97" s="15"/>
      <c r="R97" s="16"/>
      <c r="S97" s="15"/>
      <c r="T97" s="15"/>
      <c r="U97" s="15"/>
      <c r="V97" s="15"/>
      <c r="W97" s="15"/>
    </row>
    <row r="98" spans="1:23" s="17" customFormat="1" ht="14.5" x14ac:dyDescent="0.35">
      <c r="A98" s="12">
        <v>97</v>
      </c>
      <c r="B98" s="25" t="s">
        <v>2813</v>
      </c>
      <c r="C98" s="26" t="s">
        <v>2814</v>
      </c>
      <c r="D98" s="14" t="str">
        <f t="shared" si="3"/>
        <v>Perempuan</v>
      </c>
      <c r="E98" s="25" t="s">
        <v>215</v>
      </c>
      <c r="F98" s="25" t="s">
        <v>2815</v>
      </c>
      <c r="G98" s="25" t="s">
        <v>2618</v>
      </c>
      <c r="H98" s="19" t="s">
        <v>2816</v>
      </c>
      <c r="I98" s="28" t="s">
        <v>90</v>
      </c>
      <c r="J98" s="48" t="s">
        <v>486</v>
      </c>
      <c r="K98" s="32" t="s">
        <v>46</v>
      </c>
      <c r="L98" s="29" t="s">
        <v>118</v>
      </c>
      <c r="M98" s="21">
        <v>2025</v>
      </c>
      <c r="N98" s="15" t="str">
        <f t="shared" si="2"/>
        <v xml:space="preserve">Januari </v>
      </c>
      <c r="O98" s="15"/>
      <c r="P98" s="15"/>
      <c r="Q98" s="15"/>
      <c r="R98" s="16"/>
      <c r="S98" s="15"/>
      <c r="T98" s="15"/>
      <c r="U98" s="15"/>
      <c r="V98" s="15"/>
      <c r="W98" s="15"/>
    </row>
    <row r="99" spans="1:23" s="17" customFormat="1" ht="14.5" x14ac:dyDescent="0.35">
      <c r="A99" s="12">
        <v>98</v>
      </c>
      <c r="B99" s="25" t="s">
        <v>2817</v>
      </c>
      <c r="C99" s="26" t="s">
        <v>2818</v>
      </c>
      <c r="D99" s="14" t="str">
        <f t="shared" si="3"/>
        <v>Laki-Laki</v>
      </c>
      <c r="E99" s="25" t="s">
        <v>188</v>
      </c>
      <c r="F99" s="25" t="s">
        <v>2684</v>
      </c>
      <c r="G99" s="25" t="s">
        <v>2618</v>
      </c>
      <c r="H99" s="19" t="s">
        <v>2816</v>
      </c>
      <c r="I99" s="27" t="s">
        <v>90</v>
      </c>
      <c r="J99" s="12" t="s">
        <v>486</v>
      </c>
      <c r="K99" s="32" t="s">
        <v>394</v>
      </c>
      <c r="L99" s="29" t="s">
        <v>118</v>
      </c>
      <c r="M99" s="21">
        <v>2025</v>
      </c>
      <c r="N99" s="15" t="str">
        <f t="shared" si="2"/>
        <v xml:space="preserve">Januari </v>
      </c>
      <c r="O99" s="15"/>
      <c r="P99" s="15"/>
      <c r="Q99" s="15"/>
      <c r="R99" s="16"/>
      <c r="S99" s="15"/>
      <c r="T99" s="15"/>
      <c r="U99" s="15"/>
      <c r="V99" s="15"/>
      <c r="W99" s="15"/>
    </row>
    <row r="100" spans="1:23" s="17" customFormat="1" ht="14.5" x14ac:dyDescent="0.35">
      <c r="A100" s="12">
        <v>99</v>
      </c>
      <c r="B100" s="25" t="s">
        <v>2819</v>
      </c>
      <c r="C100" s="26" t="s">
        <v>2820</v>
      </c>
      <c r="D100" s="14" t="str">
        <f t="shared" si="3"/>
        <v>Laki-Laki</v>
      </c>
      <c r="E100" s="25" t="s">
        <v>903</v>
      </c>
      <c r="F100" s="25" t="s">
        <v>2636</v>
      </c>
      <c r="G100" s="25" t="s">
        <v>2618</v>
      </c>
      <c r="H100" s="19" t="s">
        <v>2821</v>
      </c>
      <c r="I100" s="28" t="s">
        <v>90</v>
      </c>
      <c r="J100" s="48" t="s">
        <v>180</v>
      </c>
      <c r="K100" s="32" t="s">
        <v>569</v>
      </c>
      <c r="L100" s="29" t="s">
        <v>446</v>
      </c>
      <c r="M100" s="21">
        <v>2024</v>
      </c>
      <c r="N100" s="15" t="str">
        <f t="shared" ref="N100:N103" si="4">L100</f>
        <v xml:space="preserve">Oktober </v>
      </c>
      <c r="O100" s="15"/>
      <c r="P100" s="15"/>
      <c r="Q100" s="15"/>
      <c r="R100" s="16"/>
      <c r="S100" s="15"/>
      <c r="T100" s="15"/>
      <c r="U100" s="15"/>
      <c r="V100" s="15"/>
      <c r="W100" s="15"/>
    </row>
    <row r="101" spans="1:23" s="17" customFormat="1" ht="14.5" x14ac:dyDescent="0.35">
      <c r="A101" s="12">
        <v>100</v>
      </c>
      <c r="B101" s="25" t="s">
        <v>2822</v>
      </c>
      <c r="C101" s="26" t="s">
        <v>2747</v>
      </c>
      <c r="D101" s="14" t="str">
        <f t="shared" si="3"/>
        <v>Laki-Laki</v>
      </c>
      <c r="E101" s="25" t="s">
        <v>507</v>
      </c>
      <c r="F101" s="25" t="s">
        <v>2749</v>
      </c>
      <c r="G101" s="25" t="s">
        <v>2618</v>
      </c>
      <c r="H101" s="19" t="s">
        <v>2750</v>
      </c>
      <c r="I101" s="27" t="s">
        <v>1121</v>
      </c>
      <c r="J101" s="12" t="s">
        <v>509</v>
      </c>
      <c r="K101" s="32" t="s">
        <v>2823</v>
      </c>
      <c r="L101" s="29" t="s">
        <v>462</v>
      </c>
      <c r="M101" s="21">
        <v>2025</v>
      </c>
      <c r="N101" s="15" t="str">
        <f t="shared" si="4"/>
        <v xml:space="preserve">Februari </v>
      </c>
      <c r="O101" s="15"/>
      <c r="P101" s="15"/>
      <c r="Q101" s="15"/>
      <c r="R101" s="16"/>
      <c r="S101" s="15"/>
      <c r="T101" s="15"/>
      <c r="U101" s="15"/>
      <c r="V101" s="15"/>
      <c r="W101" s="15"/>
    </row>
    <row r="102" spans="1:23" s="17" customFormat="1" ht="28" x14ac:dyDescent="0.35">
      <c r="A102" s="12">
        <v>101</v>
      </c>
      <c r="B102" s="25" t="s">
        <v>2824</v>
      </c>
      <c r="C102" s="26" t="s">
        <v>2825</v>
      </c>
      <c r="D102" s="14" t="str">
        <f t="shared" si="3"/>
        <v>Laki-Laki</v>
      </c>
      <c r="E102" s="25" t="s">
        <v>211</v>
      </c>
      <c r="F102" s="25" t="s">
        <v>2826</v>
      </c>
      <c r="G102" s="25" t="s">
        <v>2618</v>
      </c>
      <c r="H102" s="19" t="s">
        <v>2518</v>
      </c>
      <c r="I102" s="27" t="s">
        <v>2827</v>
      </c>
      <c r="J102" s="12" t="s">
        <v>180</v>
      </c>
      <c r="K102" s="28" t="s">
        <v>2828</v>
      </c>
      <c r="L102" s="29" t="s">
        <v>446</v>
      </c>
      <c r="M102" s="21">
        <v>2024</v>
      </c>
      <c r="N102" s="15" t="str">
        <f t="shared" si="4"/>
        <v xml:space="preserve">Oktober </v>
      </c>
      <c r="O102" s="15"/>
      <c r="P102" s="15"/>
      <c r="Q102" s="15"/>
      <c r="R102" s="16"/>
      <c r="S102" s="15"/>
      <c r="T102" s="15"/>
      <c r="U102" s="15"/>
      <c r="V102" s="15"/>
      <c r="W102" s="15"/>
    </row>
    <row r="103" spans="1:23" s="17" customFormat="1" ht="14.5" x14ac:dyDescent="0.35">
      <c r="A103" s="12">
        <v>102</v>
      </c>
      <c r="B103" s="25" t="s">
        <v>2829</v>
      </c>
      <c r="C103" s="26" t="s">
        <v>2830</v>
      </c>
      <c r="D103" s="14" t="str">
        <f t="shared" si="3"/>
        <v>Laki-Laki</v>
      </c>
      <c r="E103" s="25" t="s">
        <v>215</v>
      </c>
      <c r="F103" s="25" t="s">
        <v>2831</v>
      </c>
      <c r="G103" s="25" t="s">
        <v>2618</v>
      </c>
      <c r="H103" s="19" t="s">
        <v>2540</v>
      </c>
      <c r="I103" s="27" t="s">
        <v>90</v>
      </c>
      <c r="J103" s="12" t="s">
        <v>2474</v>
      </c>
      <c r="K103" s="32" t="s">
        <v>117</v>
      </c>
      <c r="L103" s="29" t="s">
        <v>2832</v>
      </c>
      <c r="M103" s="21">
        <v>2025</v>
      </c>
      <c r="N103" s="15" t="str">
        <f t="shared" si="4"/>
        <v xml:space="preserve">10 Februari </v>
      </c>
      <c r="O103" s="15"/>
      <c r="P103" s="15"/>
      <c r="Q103" s="15"/>
      <c r="R103" s="16"/>
      <c r="S103" s="15"/>
      <c r="T103" s="15"/>
      <c r="U103" s="15"/>
      <c r="V103" s="15"/>
      <c r="W103" s="15"/>
    </row>
    <row r="104" spans="1:23" ht="13" x14ac:dyDescent="0.3">
      <c r="A104" s="58"/>
      <c r="B104" s="58"/>
      <c r="C104" s="58"/>
      <c r="D104" s="58"/>
      <c r="E104" s="58"/>
      <c r="F104" s="58"/>
      <c r="G104" s="58"/>
      <c r="H104" s="59"/>
      <c r="I104" s="59"/>
      <c r="J104" s="59"/>
      <c r="K104" s="59"/>
      <c r="L104" s="59"/>
      <c r="M104" s="60"/>
      <c r="N104" s="60"/>
      <c r="O104" s="60"/>
      <c r="P104" s="59"/>
      <c r="Q104" s="59"/>
      <c r="R104" s="60"/>
      <c r="S104" s="60"/>
      <c r="T104" s="60"/>
      <c r="U104" s="60"/>
      <c r="V104" s="60"/>
      <c r="W104" s="60"/>
    </row>
    <row r="105" spans="1:23" ht="13" x14ac:dyDescent="0.3">
      <c r="A105" s="58"/>
      <c r="B105" s="58"/>
      <c r="C105" s="58"/>
      <c r="D105" s="58"/>
      <c r="E105" s="58"/>
      <c r="F105" s="58"/>
      <c r="G105" s="58"/>
      <c r="H105" s="59"/>
      <c r="I105" s="59"/>
      <c r="J105" s="59"/>
      <c r="K105" s="59"/>
      <c r="L105" s="59"/>
      <c r="M105" s="60"/>
      <c r="N105" s="60"/>
      <c r="O105" s="60"/>
      <c r="P105" s="59"/>
      <c r="Q105" s="59"/>
      <c r="R105" s="60"/>
      <c r="S105" s="60"/>
      <c r="T105" s="60"/>
      <c r="U105" s="60"/>
      <c r="V105" s="60"/>
      <c r="W105" s="60"/>
    </row>
    <row r="106" spans="1:23" ht="13" x14ac:dyDescent="0.3">
      <c r="A106" s="58"/>
      <c r="B106" s="58"/>
      <c r="C106" s="58"/>
      <c r="D106" s="58"/>
      <c r="E106" s="58"/>
      <c r="F106" s="58"/>
      <c r="G106" s="58"/>
      <c r="H106" s="59"/>
      <c r="I106" s="59"/>
      <c r="J106" s="59"/>
      <c r="K106" s="59"/>
      <c r="L106" s="59"/>
      <c r="M106" s="60"/>
      <c r="N106" s="60"/>
      <c r="O106" s="60"/>
      <c r="P106" s="59"/>
      <c r="Q106" s="59"/>
      <c r="R106" s="60"/>
      <c r="S106" s="60"/>
      <c r="T106" s="60"/>
      <c r="U106" s="60"/>
      <c r="V106" s="60"/>
      <c r="W106" s="60"/>
    </row>
    <row r="107" spans="1:23" ht="13" x14ac:dyDescent="0.3">
      <c r="A107" s="58"/>
      <c r="B107" s="58"/>
      <c r="C107" s="58"/>
      <c r="D107" s="58"/>
      <c r="E107" s="58"/>
      <c r="F107" s="58"/>
      <c r="G107" s="58"/>
      <c r="H107" s="59"/>
      <c r="I107" s="59"/>
      <c r="J107" s="59"/>
      <c r="K107" s="59"/>
      <c r="L107" s="59"/>
      <c r="M107" s="60"/>
      <c r="N107" s="60"/>
      <c r="O107" s="60"/>
      <c r="P107" s="59"/>
      <c r="Q107" s="59"/>
      <c r="R107" s="60"/>
      <c r="S107" s="60"/>
      <c r="T107" s="60"/>
      <c r="U107" s="60"/>
      <c r="V107" s="60"/>
      <c r="W107" s="60"/>
    </row>
    <row r="108" spans="1:23" ht="13" x14ac:dyDescent="0.3">
      <c r="A108" s="58"/>
      <c r="B108" s="58"/>
      <c r="C108" s="58"/>
      <c r="D108" s="58"/>
      <c r="E108" s="58"/>
      <c r="F108" s="58"/>
      <c r="G108" s="58"/>
      <c r="H108" s="59"/>
      <c r="I108" s="59"/>
      <c r="J108" s="59"/>
      <c r="K108" s="59"/>
      <c r="L108" s="59"/>
      <c r="M108" s="60"/>
      <c r="N108" s="60"/>
      <c r="O108" s="60"/>
      <c r="P108" s="59"/>
      <c r="Q108" s="59"/>
      <c r="R108" s="60"/>
      <c r="S108" s="60"/>
      <c r="T108" s="60"/>
      <c r="U108" s="60"/>
      <c r="V108" s="60"/>
      <c r="W108" s="60"/>
    </row>
    <row r="109" spans="1:23" ht="13" x14ac:dyDescent="0.3">
      <c r="A109" s="58"/>
      <c r="B109" s="58"/>
      <c r="C109" s="58"/>
      <c r="D109" s="58"/>
      <c r="E109" s="58"/>
      <c r="F109" s="58"/>
      <c r="G109" s="58"/>
      <c r="H109" s="59"/>
      <c r="I109" s="59"/>
      <c r="J109" s="59"/>
      <c r="K109" s="59"/>
      <c r="L109" s="59"/>
      <c r="M109" s="60"/>
      <c r="N109" s="60"/>
      <c r="O109" s="60"/>
      <c r="P109" s="59"/>
      <c r="Q109" s="59"/>
      <c r="R109" s="60"/>
      <c r="S109" s="60"/>
      <c r="T109" s="60"/>
      <c r="U109" s="60"/>
      <c r="V109" s="60"/>
      <c r="W109" s="60"/>
    </row>
    <row r="110" spans="1:23" ht="13" x14ac:dyDescent="0.3">
      <c r="A110" s="58"/>
      <c r="B110" s="58"/>
      <c r="C110" s="58"/>
      <c r="D110" s="58"/>
      <c r="E110" s="58"/>
      <c r="F110" s="58"/>
      <c r="G110" s="58"/>
      <c r="H110" s="59"/>
      <c r="I110" s="59"/>
      <c r="J110" s="59"/>
      <c r="K110" s="59"/>
      <c r="L110" s="59"/>
      <c r="M110" s="60"/>
      <c r="N110" s="60"/>
      <c r="O110" s="60"/>
      <c r="P110" s="59"/>
      <c r="Q110" s="59"/>
      <c r="R110" s="60"/>
      <c r="S110" s="60"/>
      <c r="T110" s="60"/>
      <c r="U110" s="60"/>
      <c r="V110" s="60"/>
      <c r="W110" s="60"/>
    </row>
    <row r="111" spans="1:23" ht="13" x14ac:dyDescent="0.3">
      <c r="A111" s="58"/>
      <c r="B111" s="58"/>
      <c r="C111" s="58"/>
      <c r="D111" s="58"/>
      <c r="E111" s="58"/>
      <c r="F111" s="58"/>
      <c r="G111" s="58"/>
      <c r="H111" s="59"/>
      <c r="I111" s="59"/>
      <c r="J111" s="59"/>
      <c r="K111" s="59"/>
      <c r="L111" s="59"/>
      <c r="M111" s="60"/>
      <c r="N111" s="60"/>
      <c r="O111" s="60"/>
      <c r="P111" s="59"/>
      <c r="Q111" s="59"/>
      <c r="R111" s="60"/>
      <c r="S111" s="60"/>
      <c r="T111" s="60"/>
      <c r="U111" s="60"/>
      <c r="V111" s="60"/>
      <c r="W111" s="60"/>
    </row>
    <row r="112" spans="1:23" ht="13" x14ac:dyDescent="0.3">
      <c r="A112" s="58"/>
      <c r="B112" s="58"/>
      <c r="C112" s="58"/>
      <c r="D112" s="58"/>
      <c r="E112" s="58"/>
      <c r="F112" s="58"/>
      <c r="G112" s="58"/>
      <c r="H112" s="59"/>
      <c r="I112" s="59"/>
      <c r="J112" s="59"/>
      <c r="K112" s="59"/>
      <c r="L112" s="59"/>
      <c r="M112" s="60"/>
      <c r="N112" s="60"/>
      <c r="O112" s="60"/>
      <c r="P112" s="59"/>
      <c r="Q112" s="59"/>
      <c r="R112" s="60"/>
      <c r="S112" s="60"/>
      <c r="T112" s="60"/>
      <c r="U112" s="60"/>
      <c r="V112" s="60"/>
      <c r="W112" s="60"/>
    </row>
    <row r="113" spans="1:23" ht="13" x14ac:dyDescent="0.3">
      <c r="A113" s="58"/>
      <c r="B113" s="58"/>
      <c r="C113" s="58"/>
      <c r="D113" s="58"/>
      <c r="E113" s="58"/>
      <c r="F113" s="58"/>
      <c r="G113" s="58"/>
      <c r="H113" s="59"/>
      <c r="I113" s="59"/>
      <c r="J113" s="59"/>
      <c r="K113" s="59"/>
      <c r="L113" s="59"/>
      <c r="M113" s="60"/>
      <c r="N113" s="60"/>
      <c r="O113" s="60"/>
      <c r="P113" s="59"/>
      <c r="Q113" s="59"/>
      <c r="R113" s="60"/>
      <c r="S113" s="60"/>
      <c r="T113" s="60"/>
      <c r="U113" s="60"/>
      <c r="V113" s="60"/>
      <c r="W113" s="60"/>
    </row>
    <row r="114" spans="1:23" ht="13" x14ac:dyDescent="0.3">
      <c r="A114" s="58"/>
      <c r="B114" s="58"/>
      <c r="C114" s="58"/>
      <c r="D114" s="58"/>
      <c r="E114" s="58"/>
      <c r="F114" s="58"/>
      <c r="G114" s="58"/>
      <c r="H114" s="59"/>
      <c r="I114" s="59"/>
      <c r="J114" s="59"/>
      <c r="K114" s="59"/>
      <c r="L114" s="59"/>
      <c r="M114" s="60"/>
      <c r="N114" s="60"/>
      <c r="O114" s="60"/>
      <c r="P114" s="59"/>
      <c r="Q114" s="59"/>
      <c r="R114" s="60"/>
      <c r="S114" s="60"/>
      <c r="T114" s="60"/>
      <c r="U114" s="60"/>
      <c r="V114" s="60"/>
      <c r="W114" s="60"/>
    </row>
    <row r="115" spans="1:23" ht="13" x14ac:dyDescent="0.3">
      <c r="A115" s="58"/>
      <c r="B115" s="58"/>
      <c r="C115" s="58"/>
      <c r="D115" s="58"/>
      <c r="E115" s="58"/>
      <c r="F115" s="58"/>
      <c r="G115" s="58"/>
      <c r="H115" s="59"/>
      <c r="I115" s="59"/>
      <c r="J115" s="59"/>
      <c r="K115" s="59"/>
      <c r="L115" s="59"/>
      <c r="M115" s="60"/>
      <c r="N115" s="60"/>
      <c r="O115" s="60"/>
      <c r="P115" s="59"/>
      <c r="Q115" s="59"/>
      <c r="R115" s="60"/>
      <c r="S115" s="60"/>
      <c r="T115" s="60"/>
      <c r="U115" s="60"/>
      <c r="V115" s="60"/>
      <c r="W115" s="60"/>
    </row>
    <row r="116" spans="1:23" ht="13" x14ac:dyDescent="0.3">
      <c r="A116" s="58"/>
      <c r="B116" s="58"/>
      <c r="C116" s="58"/>
      <c r="D116" s="58"/>
      <c r="E116" s="58"/>
      <c r="F116" s="58"/>
      <c r="G116" s="58"/>
      <c r="H116" s="59"/>
      <c r="I116" s="59"/>
      <c r="J116" s="59"/>
      <c r="K116" s="59"/>
      <c r="L116" s="59"/>
      <c r="M116" s="60"/>
      <c r="N116" s="60"/>
      <c r="O116" s="60"/>
      <c r="P116" s="59"/>
      <c r="Q116" s="59"/>
      <c r="R116" s="60"/>
      <c r="S116" s="60"/>
      <c r="T116" s="60"/>
      <c r="U116" s="60"/>
      <c r="V116" s="60"/>
      <c r="W116" s="60"/>
    </row>
    <row r="117" spans="1:23" ht="13" x14ac:dyDescent="0.3">
      <c r="A117" s="58"/>
      <c r="B117" s="58"/>
      <c r="C117" s="58"/>
      <c r="D117" s="58"/>
      <c r="E117" s="58"/>
      <c r="F117" s="58"/>
      <c r="G117" s="58"/>
      <c r="H117" s="59"/>
      <c r="I117" s="59"/>
      <c r="J117" s="59"/>
      <c r="K117" s="59"/>
      <c r="L117" s="59"/>
      <c r="M117" s="60"/>
      <c r="N117" s="60"/>
      <c r="O117" s="60"/>
      <c r="P117" s="59"/>
      <c r="Q117" s="59"/>
      <c r="R117" s="60"/>
      <c r="S117" s="60"/>
      <c r="T117" s="60"/>
      <c r="U117" s="60"/>
      <c r="V117" s="60"/>
      <c r="W117" s="60"/>
    </row>
    <row r="118" spans="1:23" ht="13" x14ac:dyDescent="0.3">
      <c r="A118" s="58"/>
      <c r="B118" s="58"/>
      <c r="C118" s="58"/>
      <c r="D118" s="58"/>
      <c r="E118" s="58"/>
      <c r="F118" s="58"/>
      <c r="G118" s="58"/>
      <c r="H118" s="59"/>
      <c r="I118" s="59"/>
      <c r="J118" s="59"/>
      <c r="K118" s="59"/>
      <c r="L118" s="59"/>
      <c r="M118" s="60"/>
      <c r="N118" s="60"/>
      <c r="O118" s="60"/>
      <c r="P118" s="59"/>
      <c r="Q118" s="59"/>
      <c r="R118" s="60"/>
      <c r="S118" s="60"/>
      <c r="T118" s="60"/>
      <c r="U118" s="60"/>
      <c r="V118" s="60"/>
      <c r="W118" s="60"/>
    </row>
    <row r="119" spans="1:23" ht="13" x14ac:dyDescent="0.3">
      <c r="A119" s="58"/>
      <c r="B119" s="58"/>
      <c r="C119" s="58"/>
      <c r="D119" s="58"/>
      <c r="E119" s="58"/>
      <c r="F119" s="58"/>
      <c r="G119" s="58"/>
      <c r="H119" s="59"/>
      <c r="I119" s="59"/>
      <c r="J119" s="59"/>
      <c r="K119" s="59"/>
      <c r="L119" s="59"/>
      <c r="M119" s="60"/>
      <c r="N119" s="60"/>
      <c r="O119" s="60"/>
      <c r="P119" s="59"/>
      <c r="Q119" s="59"/>
      <c r="R119" s="60"/>
      <c r="S119" s="60"/>
      <c r="T119" s="60"/>
      <c r="U119" s="60"/>
      <c r="V119" s="60"/>
      <c r="W119" s="60"/>
    </row>
    <row r="120" spans="1:23" ht="13" x14ac:dyDescent="0.3">
      <c r="A120" s="58"/>
      <c r="B120" s="58"/>
      <c r="C120" s="58"/>
      <c r="D120" s="58"/>
      <c r="E120" s="58"/>
      <c r="F120" s="58"/>
      <c r="G120" s="58"/>
      <c r="H120" s="59"/>
      <c r="I120" s="59"/>
      <c r="J120" s="59"/>
      <c r="K120" s="59"/>
      <c r="L120" s="59"/>
      <c r="M120" s="60"/>
      <c r="N120" s="60"/>
      <c r="O120" s="60"/>
      <c r="P120" s="59"/>
      <c r="Q120" s="59"/>
      <c r="R120" s="60"/>
      <c r="S120" s="60"/>
      <c r="T120" s="60"/>
      <c r="U120" s="60"/>
      <c r="V120" s="60"/>
      <c r="W120" s="60"/>
    </row>
    <row r="121" spans="1:23" ht="13" x14ac:dyDescent="0.3">
      <c r="A121" s="58"/>
      <c r="B121" s="58"/>
      <c r="C121" s="58"/>
      <c r="D121" s="58"/>
      <c r="E121" s="58"/>
      <c r="F121" s="58"/>
      <c r="G121" s="58"/>
      <c r="H121" s="59"/>
      <c r="I121" s="59"/>
      <c r="J121" s="59"/>
      <c r="K121" s="59"/>
      <c r="L121" s="59"/>
      <c r="M121" s="60"/>
      <c r="N121" s="60"/>
      <c r="O121" s="60"/>
      <c r="P121" s="59"/>
      <c r="Q121" s="59"/>
      <c r="R121" s="60"/>
      <c r="S121" s="60"/>
      <c r="T121" s="60"/>
      <c r="U121" s="60"/>
      <c r="V121" s="60"/>
      <c r="W121" s="60"/>
    </row>
    <row r="122" spans="1:23" ht="13" x14ac:dyDescent="0.3">
      <c r="A122" s="58"/>
      <c r="B122" s="58"/>
      <c r="C122" s="58"/>
      <c r="D122" s="58"/>
      <c r="E122" s="58"/>
      <c r="F122" s="58"/>
      <c r="G122" s="58"/>
      <c r="H122" s="59"/>
      <c r="I122" s="59"/>
      <c r="J122" s="59"/>
      <c r="K122" s="59"/>
      <c r="L122" s="59"/>
      <c r="M122" s="60"/>
      <c r="N122" s="60"/>
      <c r="O122" s="60"/>
      <c r="P122" s="59"/>
      <c r="Q122" s="59"/>
      <c r="R122" s="60"/>
      <c r="S122" s="60"/>
      <c r="T122" s="60"/>
      <c r="U122" s="60"/>
      <c r="V122" s="60"/>
      <c r="W122" s="60"/>
    </row>
    <row r="123" spans="1:23" ht="13" x14ac:dyDescent="0.3">
      <c r="A123" s="58"/>
      <c r="B123" s="58"/>
      <c r="C123" s="58"/>
      <c r="D123" s="58"/>
      <c r="E123" s="58"/>
      <c r="F123" s="58"/>
      <c r="G123" s="58"/>
      <c r="H123" s="59"/>
      <c r="I123" s="59"/>
      <c r="J123" s="59"/>
      <c r="K123" s="59"/>
      <c r="L123" s="59"/>
      <c r="M123" s="60"/>
      <c r="N123" s="60"/>
      <c r="O123" s="60"/>
      <c r="P123" s="59"/>
      <c r="Q123" s="59"/>
      <c r="R123" s="60"/>
      <c r="S123" s="60"/>
      <c r="T123" s="60"/>
      <c r="U123" s="60"/>
      <c r="V123" s="60"/>
      <c r="W123" s="60"/>
    </row>
    <row r="124" spans="1:23" ht="13" x14ac:dyDescent="0.3">
      <c r="A124" s="58"/>
      <c r="B124" s="58"/>
      <c r="C124" s="58"/>
      <c r="D124" s="58"/>
      <c r="E124" s="58"/>
      <c r="F124" s="58"/>
      <c r="G124" s="58"/>
      <c r="H124" s="59"/>
      <c r="I124" s="59"/>
      <c r="J124" s="59"/>
      <c r="K124" s="59"/>
      <c r="L124" s="59"/>
      <c r="M124" s="60"/>
      <c r="N124" s="60"/>
      <c r="O124" s="60"/>
      <c r="P124" s="59"/>
      <c r="Q124" s="59"/>
      <c r="R124" s="60"/>
      <c r="S124" s="60"/>
      <c r="T124" s="60"/>
      <c r="U124" s="60"/>
      <c r="V124" s="60"/>
      <c r="W124" s="60"/>
    </row>
    <row r="125" spans="1:23" ht="13" x14ac:dyDescent="0.3">
      <c r="A125" s="58"/>
      <c r="B125" s="58"/>
      <c r="C125" s="58"/>
      <c r="D125" s="58"/>
      <c r="E125" s="58"/>
      <c r="F125" s="58"/>
      <c r="G125" s="58"/>
      <c r="H125" s="59"/>
      <c r="I125" s="59"/>
      <c r="J125" s="59"/>
      <c r="K125" s="59"/>
      <c r="L125" s="59"/>
      <c r="M125" s="60"/>
      <c r="N125" s="60"/>
      <c r="O125" s="60"/>
      <c r="P125" s="59"/>
      <c r="Q125" s="59"/>
      <c r="R125" s="60"/>
      <c r="S125" s="60"/>
      <c r="T125" s="60"/>
      <c r="U125" s="60"/>
      <c r="V125" s="60"/>
      <c r="W125" s="60"/>
    </row>
    <row r="126" spans="1:23" ht="13" x14ac:dyDescent="0.3">
      <c r="A126" s="58"/>
      <c r="B126" s="58"/>
      <c r="C126" s="58"/>
      <c r="D126" s="58"/>
      <c r="E126" s="58"/>
      <c r="F126" s="58"/>
      <c r="G126" s="58"/>
      <c r="H126" s="59"/>
      <c r="I126" s="59"/>
      <c r="J126" s="59"/>
      <c r="K126" s="59"/>
      <c r="L126" s="59"/>
      <c r="M126" s="60"/>
      <c r="N126" s="60"/>
      <c r="O126" s="60"/>
      <c r="P126" s="59"/>
      <c r="Q126" s="59"/>
      <c r="R126" s="60"/>
      <c r="S126" s="60"/>
      <c r="T126" s="60"/>
      <c r="U126" s="60"/>
      <c r="V126" s="60"/>
      <c r="W126" s="60"/>
    </row>
    <row r="127" spans="1:23" ht="13" x14ac:dyDescent="0.3">
      <c r="A127" s="58"/>
      <c r="B127" s="58"/>
      <c r="C127" s="58"/>
      <c r="D127" s="58"/>
      <c r="E127" s="58"/>
      <c r="F127" s="58"/>
      <c r="G127" s="58"/>
      <c r="H127" s="59"/>
      <c r="I127" s="59"/>
      <c r="J127" s="59"/>
      <c r="K127" s="59"/>
      <c r="L127" s="59"/>
      <c r="M127" s="60"/>
      <c r="N127" s="60"/>
      <c r="O127" s="60"/>
      <c r="P127" s="59"/>
      <c r="Q127" s="59"/>
      <c r="R127" s="60"/>
      <c r="S127" s="60"/>
      <c r="T127" s="60"/>
      <c r="U127" s="60"/>
      <c r="V127" s="60"/>
      <c r="W127" s="60"/>
    </row>
    <row r="128" spans="1:23" ht="13" x14ac:dyDescent="0.3">
      <c r="A128" s="58"/>
      <c r="B128" s="58"/>
      <c r="C128" s="58"/>
      <c r="D128" s="58"/>
      <c r="E128" s="58"/>
      <c r="F128" s="58"/>
      <c r="G128" s="58"/>
      <c r="H128" s="59"/>
      <c r="I128" s="59"/>
      <c r="J128" s="59"/>
      <c r="K128" s="59"/>
      <c r="L128" s="59"/>
      <c r="M128" s="60"/>
      <c r="N128" s="60"/>
      <c r="O128" s="60"/>
      <c r="P128" s="59"/>
      <c r="Q128" s="59"/>
      <c r="R128" s="60"/>
      <c r="S128" s="60"/>
      <c r="T128" s="60"/>
      <c r="U128" s="60"/>
      <c r="V128" s="60"/>
      <c r="W128" s="60"/>
    </row>
    <row r="129" spans="1:23" ht="13" x14ac:dyDescent="0.3">
      <c r="A129" s="58"/>
      <c r="B129" s="58"/>
      <c r="C129" s="58"/>
      <c r="D129" s="58"/>
      <c r="E129" s="58"/>
      <c r="F129" s="58"/>
      <c r="G129" s="58"/>
      <c r="H129" s="59"/>
      <c r="I129" s="59"/>
      <c r="J129" s="59"/>
      <c r="K129" s="59"/>
      <c r="L129" s="59"/>
      <c r="M129" s="60"/>
      <c r="N129" s="60"/>
      <c r="O129" s="60"/>
      <c r="P129" s="59"/>
      <c r="Q129" s="59"/>
      <c r="R129" s="60"/>
      <c r="S129" s="60"/>
      <c r="T129" s="60"/>
      <c r="U129" s="60"/>
      <c r="V129" s="60"/>
      <c r="W129" s="60"/>
    </row>
    <row r="130" spans="1:23" ht="13" x14ac:dyDescent="0.3">
      <c r="A130" s="58"/>
      <c r="B130" s="58"/>
      <c r="C130" s="58"/>
      <c r="D130" s="58"/>
      <c r="E130" s="58"/>
      <c r="F130" s="58"/>
      <c r="G130" s="58"/>
      <c r="H130" s="59"/>
      <c r="I130" s="59"/>
      <c r="J130" s="59"/>
      <c r="K130" s="59"/>
      <c r="L130" s="59"/>
      <c r="M130" s="60"/>
      <c r="N130" s="60"/>
      <c r="O130" s="60"/>
      <c r="P130" s="59"/>
      <c r="Q130" s="59"/>
      <c r="R130" s="60"/>
      <c r="S130" s="60"/>
      <c r="T130" s="60"/>
      <c r="U130" s="60"/>
      <c r="V130" s="60"/>
      <c r="W130" s="60"/>
    </row>
    <row r="131" spans="1:23" ht="13" x14ac:dyDescent="0.3">
      <c r="A131" s="58"/>
      <c r="B131" s="58"/>
      <c r="C131" s="58"/>
      <c r="D131" s="58"/>
      <c r="E131" s="58"/>
      <c r="F131" s="58"/>
      <c r="G131" s="58"/>
      <c r="H131" s="59"/>
      <c r="I131" s="59"/>
      <c r="J131" s="59"/>
      <c r="K131" s="59"/>
      <c r="L131" s="59"/>
      <c r="M131" s="60"/>
      <c r="N131" s="60"/>
      <c r="O131" s="60"/>
      <c r="P131" s="59"/>
      <c r="Q131" s="59"/>
      <c r="R131" s="60"/>
      <c r="S131" s="60"/>
      <c r="T131" s="60"/>
      <c r="U131" s="60"/>
      <c r="V131" s="60"/>
      <c r="W131" s="60"/>
    </row>
    <row r="132" spans="1:23" ht="13" x14ac:dyDescent="0.3">
      <c r="A132" s="58"/>
      <c r="B132" s="58"/>
      <c r="C132" s="58"/>
      <c r="D132" s="58"/>
      <c r="E132" s="58"/>
      <c r="F132" s="58"/>
      <c r="G132" s="58"/>
      <c r="H132" s="59"/>
      <c r="I132" s="59"/>
      <c r="J132" s="59"/>
      <c r="K132" s="59"/>
      <c r="L132" s="59"/>
      <c r="M132" s="60"/>
      <c r="N132" s="60"/>
      <c r="O132" s="60"/>
      <c r="P132" s="59"/>
      <c r="Q132" s="59"/>
      <c r="R132" s="60"/>
      <c r="S132" s="60"/>
      <c r="T132" s="60"/>
      <c r="U132" s="60"/>
      <c r="V132" s="60"/>
      <c r="W132" s="60"/>
    </row>
    <row r="133" spans="1:23" ht="13" x14ac:dyDescent="0.3">
      <c r="A133" s="58"/>
      <c r="B133" s="58"/>
      <c r="C133" s="58"/>
      <c r="D133" s="58"/>
      <c r="E133" s="58"/>
      <c r="F133" s="58"/>
      <c r="G133" s="58"/>
      <c r="H133" s="59"/>
      <c r="I133" s="59"/>
      <c r="J133" s="59"/>
      <c r="K133" s="59"/>
      <c r="L133" s="59"/>
      <c r="M133" s="60"/>
      <c r="N133" s="60"/>
      <c r="O133" s="60"/>
      <c r="P133" s="59"/>
      <c r="Q133" s="59"/>
      <c r="R133" s="60"/>
      <c r="S133" s="60"/>
      <c r="T133" s="60"/>
      <c r="U133" s="60"/>
      <c r="V133" s="60"/>
      <c r="W133" s="60"/>
    </row>
    <row r="134" spans="1:23" ht="13" x14ac:dyDescent="0.3">
      <c r="A134" s="58"/>
      <c r="B134" s="58"/>
      <c r="C134" s="58"/>
      <c r="D134" s="58"/>
      <c r="E134" s="58"/>
      <c r="F134" s="58"/>
      <c r="G134" s="58"/>
      <c r="H134" s="59"/>
      <c r="I134" s="59"/>
      <c r="J134" s="59"/>
      <c r="K134" s="59"/>
      <c r="L134" s="59"/>
      <c r="M134" s="60"/>
      <c r="N134" s="60"/>
      <c r="O134" s="60"/>
      <c r="P134" s="59"/>
      <c r="Q134" s="59"/>
      <c r="R134" s="60"/>
      <c r="S134" s="60"/>
      <c r="T134" s="60"/>
      <c r="U134" s="60"/>
      <c r="V134" s="60"/>
      <c r="W134" s="60"/>
    </row>
    <row r="135" spans="1:23" ht="13" x14ac:dyDescent="0.3">
      <c r="A135" s="58"/>
      <c r="B135" s="58"/>
      <c r="C135" s="58"/>
      <c r="D135" s="58"/>
      <c r="E135" s="58"/>
      <c r="F135" s="58"/>
      <c r="G135" s="58"/>
      <c r="H135" s="59"/>
      <c r="I135" s="59"/>
      <c r="J135" s="59"/>
      <c r="K135" s="59"/>
      <c r="L135" s="59"/>
      <c r="M135" s="60"/>
      <c r="N135" s="60"/>
      <c r="O135" s="60"/>
      <c r="P135" s="59"/>
      <c r="Q135" s="59"/>
      <c r="R135" s="60"/>
      <c r="S135" s="60"/>
      <c r="T135" s="60"/>
      <c r="U135" s="60"/>
      <c r="V135" s="60"/>
      <c r="W135" s="60"/>
    </row>
    <row r="136" spans="1:23" ht="13" x14ac:dyDescent="0.3">
      <c r="A136" s="58"/>
      <c r="B136" s="58"/>
      <c r="C136" s="58"/>
      <c r="D136" s="58"/>
      <c r="E136" s="58"/>
      <c r="F136" s="58"/>
      <c r="G136" s="58"/>
      <c r="H136" s="59"/>
      <c r="I136" s="59"/>
      <c r="J136" s="59"/>
      <c r="K136" s="59"/>
      <c r="L136" s="59"/>
      <c r="M136" s="60"/>
      <c r="N136" s="60"/>
      <c r="O136" s="60"/>
      <c r="P136" s="59"/>
      <c r="Q136" s="59"/>
      <c r="R136" s="60"/>
      <c r="S136" s="60"/>
      <c r="T136" s="60"/>
      <c r="U136" s="60"/>
      <c r="V136" s="60"/>
      <c r="W136" s="60"/>
    </row>
    <row r="137" spans="1:23" ht="13" x14ac:dyDescent="0.3">
      <c r="A137" s="58"/>
      <c r="B137" s="58"/>
      <c r="C137" s="58"/>
      <c r="D137" s="58"/>
      <c r="E137" s="58"/>
      <c r="F137" s="58"/>
      <c r="G137" s="58"/>
      <c r="H137" s="59"/>
      <c r="I137" s="59"/>
      <c r="J137" s="59"/>
      <c r="K137" s="59"/>
      <c r="L137" s="59"/>
      <c r="M137" s="60"/>
      <c r="N137" s="60"/>
      <c r="O137" s="60"/>
      <c r="P137" s="59"/>
      <c r="Q137" s="59"/>
      <c r="R137" s="60"/>
      <c r="S137" s="60"/>
      <c r="T137" s="60"/>
      <c r="U137" s="60"/>
      <c r="V137" s="60"/>
      <c r="W137" s="60"/>
    </row>
    <row r="138" spans="1:23" ht="13" x14ac:dyDescent="0.3">
      <c r="A138" s="58"/>
      <c r="B138" s="58"/>
      <c r="C138" s="58"/>
      <c r="D138" s="58"/>
      <c r="E138" s="58"/>
      <c r="F138" s="58"/>
      <c r="G138" s="58"/>
      <c r="H138" s="59"/>
      <c r="I138" s="59"/>
      <c r="J138" s="59"/>
      <c r="K138" s="59"/>
      <c r="L138" s="59"/>
      <c r="M138" s="60"/>
      <c r="N138" s="60"/>
      <c r="O138" s="60"/>
      <c r="P138" s="59"/>
      <c r="Q138" s="59"/>
      <c r="R138" s="60"/>
      <c r="S138" s="60"/>
      <c r="T138" s="60"/>
      <c r="U138" s="60"/>
      <c r="V138" s="60"/>
      <c r="W138" s="60"/>
    </row>
    <row r="139" spans="1:23" ht="13" x14ac:dyDescent="0.3">
      <c r="A139" s="58"/>
      <c r="B139" s="58"/>
      <c r="C139" s="58"/>
      <c r="D139" s="58"/>
      <c r="E139" s="58"/>
      <c r="F139" s="58"/>
      <c r="G139" s="58"/>
      <c r="H139" s="59"/>
      <c r="I139" s="59"/>
      <c r="J139" s="59"/>
      <c r="K139" s="59"/>
      <c r="L139" s="59"/>
      <c r="M139" s="60"/>
      <c r="N139" s="60"/>
      <c r="O139" s="60"/>
      <c r="P139" s="59"/>
      <c r="Q139" s="59"/>
      <c r="R139" s="60"/>
      <c r="S139" s="60"/>
      <c r="T139" s="60"/>
      <c r="U139" s="60"/>
      <c r="V139" s="60"/>
      <c r="W139" s="60"/>
    </row>
    <row r="140" spans="1:23" ht="13" x14ac:dyDescent="0.3">
      <c r="A140" s="58"/>
      <c r="B140" s="58"/>
      <c r="C140" s="58"/>
      <c r="D140" s="58"/>
      <c r="E140" s="58"/>
      <c r="F140" s="58"/>
      <c r="G140" s="58"/>
      <c r="H140" s="59"/>
      <c r="I140" s="59"/>
      <c r="J140" s="59"/>
      <c r="K140" s="59"/>
      <c r="L140" s="59"/>
      <c r="M140" s="60"/>
      <c r="N140" s="60"/>
      <c r="O140" s="60"/>
      <c r="P140" s="59"/>
      <c r="Q140" s="59"/>
      <c r="R140" s="60"/>
      <c r="S140" s="60"/>
      <c r="T140" s="60"/>
      <c r="U140" s="60"/>
      <c r="V140" s="60"/>
      <c r="W140" s="60"/>
    </row>
    <row r="141" spans="1:23" ht="13" x14ac:dyDescent="0.3">
      <c r="A141" s="58"/>
      <c r="B141" s="58"/>
      <c r="C141" s="58"/>
      <c r="D141" s="58"/>
      <c r="E141" s="58"/>
      <c r="F141" s="58"/>
      <c r="G141" s="58"/>
      <c r="H141" s="59"/>
      <c r="I141" s="59"/>
      <c r="J141" s="59"/>
      <c r="K141" s="59"/>
      <c r="L141" s="59"/>
      <c r="M141" s="60"/>
      <c r="N141" s="60"/>
      <c r="O141" s="60"/>
      <c r="P141" s="59"/>
      <c r="Q141" s="59"/>
      <c r="R141" s="60"/>
      <c r="S141" s="60"/>
      <c r="T141" s="60"/>
      <c r="U141" s="60"/>
      <c r="V141" s="60"/>
      <c r="W141" s="60"/>
    </row>
    <row r="142" spans="1:23" ht="13" x14ac:dyDescent="0.3">
      <c r="A142" s="58"/>
      <c r="B142" s="58"/>
      <c r="C142" s="58"/>
      <c r="D142" s="58"/>
      <c r="E142" s="58"/>
      <c r="F142" s="58"/>
      <c r="G142" s="58"/>
      <c r="H142" s="59"/>
      <c r="I142" s="59"/>
      <c r="J142" s="59"/>
      <c r="K142" s="59"/>
      <c r="L142" s="59"/>
      <c r="M142" s="60"/>
      <c r="N142" s="60"/>
      <c r="O142" s="60"/>
      <c r="P142" s="59"/>
      <c r="Q142" s="59"/>
      <c r="R142" s="60"/>
      <c r="S142" s="60"/>
      <c r="T142" s="60"/>
      <c r="U142" s="60"/>
      <c r="V142" s="60"/>
      <c r="W142" s="60"/>
    </row>
    <row r="143" spans="1:23" ht="13" x14ac:dyDescent="0.3">
      <c r="A143" s="58"/>
      <c r="B143" s="58"/>
      <c r="C143" s="58"/>
      <c r="D143" s="58"/>
      <c r="E143" s="58"/>
      <c r="F143" s="58"/>
      <c r="G143" s="58"/>
      <c r="H143" s="59"/>
      <c r="I143" s="59"/>
      <c r="J143" s="59"/>
      <c r="K143" s="59"/>
      <c r="L143" s="59"/>
      <c r="M143" s="60"/>
      <c r="N143" s="60"/>
      <c r="O143" s="60"/>
      <c r="P143" s="59"/>
      <c r="Q143" s="59"/>
      <c r="R143" s="60"/>
      <c r="S143" s="60"/>
      <c r="T143" s="60"/>
      <c r="U143" s="60"/>
      <c r="V143" s="60"/>
      <c r="W143" s="60"/>
    </row>
    <row r="144" spans="1:23" ht="13" x14ac:dyDescent="0.3">
      <c r="A144" s="58"/>
      <c r="B144" s="58"/>
      <c r="C144" s="58"/>
      <c r="D144" s="58"/>
      <c r="E144" s="58"/>
      <c r="F144" s="58"/>
      <c r="G144" s="58"/>
      <c r="H144" s="59"/>
      <c r="I144" s="59"/>
      <c r="J144" s="59"/>
      <c r="K144" s="59"/>
      <c r="L144" s="59"/>
      <c r="M144" s="60"/>
      <c r="N144" s="60"/>
      <c r="O144" s="60"/>
      <c r="P144" s="59"/>
      <c r="Q144" s="59"/>
      <c r="R144" s="60"/>
      <c r="S144" s="60"/>
      <c r="T144" s="60"/>
      <c r="U144" s="60"/>
      <c r="V144" s="60"/>
      <c r="W144" s="60"/>
    </row>
    <row r="145" spans="1:23" ht="13" x14ac:dyDescent="0.3">
      <c r="A145" s="58"/>
      <c r="B145" s="58"/>
      <c r="C145" s="58"/>
      <c r="D145" s="58"/>
      <c r="E145" s="58"/>
      <c r="F145" s="58"/>
      <c r="G145" s="58"/>
      <c r="H145" s="59"/>
      <c r="I145" s="59"/>
      <c r="J145" s="59"/>
      <c r="K145" s="59"/>
      <c r="L145" s="59"/>
      <c r="M145" s="60"/>
      <c r="N145" s="60"/>
      <c r="O145" s="60"/>
      <c r="P145" s="59"/>
      <c r="Q145" s="59"/>
      <c r="R145" s="60"/>
      <c r="S145" s="60"/>
      <c r="T145" s="60"/>
      <c r="U145" s="60"/>
      <c r="V145" s="60"/>
      <c r="W145" s="60"/>
    </row>
    <row r="146" spans="1:23" ht="13" x14ac:dyDescent="0.3">
      <c r="A146" s="58"/>
      <c r="B146" s="58"/>
      <c r="C146" s="58"/>
      <c r="D146" s="58"/>
      <c r="E146" s="58"/>
      <c r="F146" s="58"/>
      <c r="G146" s="58"/>
      <c r="H146" s="59"/>
      <c r="I146" s="59"/>
      <c r="J146" s="59"/>
      <c r="K146" s="59"/>
      <c r="L146" s="59"/>
      <c r="M146" s="60"/>
      <c r="N146" s="60"/>
      <c r="O146" s="60"/>
      <c r="P146" s="59"/>
      <c r="Q146" s="59"/>
      <c r="R146" s="60"/>
      <c r="S146" s="60"/>
      <c r="T146" s="60"/>
      <c r="U146" s="60"/>
      <c r="V146" s="60"/>
      <c r="W146" s="60"/>
    </row>
    <row r="147" spans="1:23" ht="13" x14ac:dyDescent="0.3">
      <c r="A147" s="58"/>
      <c r="B147" s="58"/>
      <c r="C147" s="58"/>
      <c r="D147" s="58"/>
      <c r="E147" s="58"/>
      <c r="F147" s="58"/>
      <c r="G147" s="58"/>
      <c r="H147" s="59"/>
      <c r="I147" s="59"/>
      <c r="J147" s="59"/>
      <c r="K147" s="59"/>
      <c r="L147" s="59"/>
      <c r="M147" s="60"/>
      <c r="N147" s="60"/>
      <c r="O147" s="60"/>
      <c r="P147" s="59"/>
      <c r="Q147" s="59"/>
      <c r="R147" s="60"/>
      <c r="S147" s="60"/>
      <c r="T147" s="60"/>
      <c r="U147" s="60"/>
      <c r="V147" s="60"/>
      <c r="W147" s="60"/>
    </row>
    <row r="148" spans="1:23" ht="13" x14ac:dyDescent="0.3">
      <c r="A148" s="58"/>
      <c r="B148" s="58"/>
      <c r="C148" s="58"/>
      <c r="D148" s="58"/>
      <c r="E148" s="58"/>
      <c r="F148" s="58"/>
      <c r="G148" s="58"/>
      <c r="H148" s="59"/>
      <c r="I148" s="59"/>
      <c r="J148" s="59"/>
      <c r="K148" s="59"/>
      <c r="L148" s="59"/>
      <c r="M148" s="60"/>
      <c r="N148" s="60"/>
      <c r="O148" s="60"/>
      <c r="P148" s="59"/>
      <c r="Q148" s="59"/>
      <c r="R148" s="60"/>
      <c r="S148" s="60"/>
      <c r="T148" s="60"/>
      <c r="U148" s="60"/>
      <c r="V148" s="60"/>
      <c r="W148" s="60"/>
    </row>
    <row r="149" spans="1:23" ht="13" x14ac:dyDescent="0.3">
      <c r="A149" s="58"/>
      <c r="B149" s="58"/>
      <c r="C149" s="58"/>
      <c r="D149" s="58"/>
      <c r="E149" s="58"/>
      <c r="F149" s="58"/>
      <c r="G149" s="58"/>
      <c r="H149" s="59"/>
      <c r="I149" s="59"/>
      <c r="J149" s="59"/>
      <c r="K149" s="59"/>
      <c r="L149" s="59"/>
      <c r="M149" s="60"/>
      <c r="N149" s="60"/>
      <c r="O149" s="60"/>
      <c r="P149" s="59"/>
      <c r="Q149" s="59"/>
      <c r="R149" s="60"/>
      <c r="S149" s="60"/>
      <c r="T149" s="60"/>
      <c r="U149" s="60"/>
      <c r="V149" s="60"/>
      <c r="W149" s="60"/>
    </row>
    <row r="150" spans="1:23" ht="13" x14ac:dyDescent="0.3">
      <c r="A150" s="58"/>
      <c r="B150" s="58"/>
      <c r="C150" s="58"/>
      <c r="D150" s="58"/>
      <c r="E150" s="58"/>
      <c r="F150" s="58"/>
      <c r="G150" s="58"/>
      <c r="H150" s="59"/>
      <c r="I150" s="59"/>
      <c r="J150" s="59"/>
      <c r="K150" s="59"/>
      <c r="L150" s="59"/>
      <c r="M150" s="60"/>
      <c r="N150" s="60"/>
      <c r="O150" s="60"/>
      <c r="P150" s="59"/>
      <c r="Q150" s="59"/>
      <c r="R150" s="60"/>
      <c r="S150" s="60"/>
      <c r="T150" s="60"/>
      <c r="U150" s="60"/>
      <c r="V150" s="60"/>
      <c r="W150" s="60"/>
    </row>
    <row r="151" spans="1:23" ht="13" x14ac:dyDescent="0.3">
      <c r="A151" s="58"/>
      <c r="B151" s="58"/>
      <c r="C151" s="58"/>
      <c r="D151" s="58"/>
      <c r="E151" s="58"/>
      <c r="F151" s="58"/>
      <c r="G151" s="58"/>
      <c r="H151" s="59"/>
      <c r="I151" s="59"/>
      <c r="J151" s="59"/>
      <c r="K151" s="59"/>
      <c r="L151" s="59"/>
      <c r="M151" s="60"/>
      <c r="N151" s="60"/>
      <c r="O151" s="60"/>
      <c r="P151" s="59"/>
      <c r="Q151" s="59"/>
      <c r="R151" s="60"/>
      <c r="S151" s="60"/>
      <c r="T151" s="60"/>
      <c r="U151" s="60"/>
      <c r="V151" s="60"/>
      <c r="W151" s="60"/>
    </row>
    <row r="152" spans="1:23" ht="13" x14ac:dyDescent="0.3">
      <c r="A152" s="58"/>
      <c r="B152" s="58"/>
      <c r="C152" s="58"/>
      <c r="D152" s="58"/>
      <c r="E152" s="58"/>
      <c r="F152" s="58"/>
      <c r="G152" s="58"/>
      <c r="H152" s="59"/>
      <c r="I152" s="59"/>
      <c r="J152" s="59"/>
      <c r="K152" s="59"/>
      <c r="L152" s="59"/>
      <c r="M152" s="60"/>
      <c r="N152" s="60"/>
      <c r="O152" s="60"/>
      <c r="P152" s="59"/>
      <c r="Q152" s="59"/>
      <c r="R152" s="60"/>
      <c r="S152" s="60"/>
      <c r="T152" s="60"/>
      <c r="U152" s="60"/>
      <c r="V152" s="60"/>
      <c r="W152" s="60"/>
    </row>
    <row r="153" spans="1:23" ht="13" x14ac:dyDescent="0.3">
      <c r="A153" s="58"/>
      <c r="B153" s="58"/>
      <c r="C153" s="58"/>
      <c r="D153" s="58"/>
      <c r="E153" s="58"/>
      <c r="F153" s="58"/>
      <c r="G153" s="58"/>
      <c r="H153" s="59"/>
      <c r="I153" s="59"/>
      <c r="J153" s="59"/>
      <c r="K153" s="59"/>
      <c r="L153" s="59"/>
      <c r="M153" s="60"/>
      <c r="N153" s="60"/>
      <c r="O153" s="60"/>
      <c r="P153" s="59"/>
      <c r="Q153" s="59"/>
      <c r="R153" s="60"/>
      <c r="S153" s="60"/>
      <c r="T153" s="60"/>
      <c r="U153" s="60"/>
      <c r="V153" s="60"/>
      <c r="W153" s="60"/>
    </row>
    <row r="154" spans="1:23" ht="13" x14ac:dyDescent="0.3">
      <c r="A154" s="58"/>
      <c r="B154" s="58"/>
      <c r="C154" s="58"/>
      <c r="D154" s="58"/>
      <c r="E154" s="58"/>
      <c r="F154" s="58"/>
      <c r="G154" s="58"/>
      <c r="H154" s="59"/>
      <c r="I154" s="59"/>
      <c r="J154" s="59"/>
      <c r="K154" s="59"/>
      <c r="L154" s="59"/>
      <c r="M154" s="60"/>
      <c r="N154" s="60"/>
      <c r="O154" s="60"/>
      <c r="P154" s="59"/>
      <c r="Q154" s="59"/>
      <c r="R154" s="60"/>
      <c r="S154" s="60"/>
      <c r="T154" s="60"/>
      <c r="U154" s="60"/>
      <c r="V154" s="60"/>
      <c r="W154" s="60"/>
    </row>
    <row r="155" spans="1:23" ht="13" x14ac:dyDescent="0.3">
      <c r="A155" s="58"/>
      <c r="B155" s="58"/>
      <c r="C155" s="58"/>
      <c r="D155" s="58"/>
      <c r="E155" s="58"/>
      <c r="F155" s="58"/>
      <c r="G155" s="58"/>
      <c r="H155" s="59"/>
      <c r="I155" s="59"/>
      <c r="J155" s="59"/>
      <c r="K155" s="59"/>
      <c r="L155" s="59"/>
      <c r="M155" s="60"/>
      <c r="N155" s="60"/>
      <c r="O155" s="60"/>
      <c r="P155" s="59"/>
      <c r="Q155" s="59"/>
      <c r="R155" s="60"/>
      <c r="S155" s="60"/>
      <c r="T155" s="60"/>
      <c r="U155" s="60"/>
      <c r="V155" s="60"/>
      <c r="W155" s="60"/>
    </row>
    <row r="156" spans="1:23" ht="13" x14ac:dyDescent="0.3">
      <c r="A156" s="58"/>
      <c r="B156" s="58"/>
      <c r="C156" s="58"/>
      <c r="D156" s="58"/>
      <c r="E156" s="58"/>
      <c r="F156" s="58"/>
      <c r="G156" s="58"/>
      <c r="H156" s="59"/>
      <c r="I156" s="59"/>
      <c r="J156" s="59"/>
      <c r="K156" s="59"/>
      <c r="L156" s="59"/>
      <c r="M156" s="60"/>
      <c r="N156" s="60"/>
      <c r="O156" s="60"/>
      <c r="P156" s="59"/>
      <c r="Q156" s="59"/>
      <c r="R156" s="60"/>
      <c r="S156" s="60"/>
      <c r="T156" s="60"/>
      <c r="U156" s="60"/>
      <c r="V156" s="60"/>
      <c r="W156" s="60"/>
    </row>
    <row r="157" spans="1:23" ht="13" x14ac:dyDescent="0.3">
      <c r="A157" s="58"/>
      <c r="B157" s="58"/>
      <c r="C157" s="58"/>
      <c r="D157" s="58"/>
      <c r="E157" s="58"/>
      <c r="F157" s="58"/>
      <c r="G157" s="58"/>
      <c r="H157" s="59"/>
      <c r="I157" s="59"/>
      <c r="J157" s="59"/>
      <c r="K157" s="59"/>
      <c r="L157" s="59"/>
      <c r="M157" s="60"/>
      <c r="N157" s="60"/>
      <c r="O157" s="60"/>
      <c r="P157" s="59"/>
      <c r="Q157" s="59"/>
      <c r="R157" s="60"/>
      <c r="S157" s="60"/>
      <c r="T157" s="60"/>
      <c r="U157" s="60"/>
      <c r="V157" s="60"/>
      <c r="W157" s="60"/>
    </row>
    <row r="158" spans="1:23" ht="13" x14ac:dyDescent="0.3">
      <c r="A158" s="58"/>
      <c r="B158" s="58"/>
      <c r="C158" s="58"/>
      <c r="D158" s="58"/>
      <c r="E158" s="58"/>
      <c r="F158" s="58"/>
      <c r="G158" s="58"/>
      <c r="H158" s="59"/>
      <c r="I158" s="59"/>
      <c r="J158" s="59"/>
      <c r="K158" s="59"/>
      <c r="L158" s="59"/>
      <c r="M158" s="60"/>
      <c r="N158" s="60"/>
      <c r="O158" s="60"/>
      <c r="P158" s="59"/>
      <c r="Q158" s="59"/>
      <c r="R158" s="60"/>
      <c r="S158" s="60"/>
      <c r="T158" s="60"/>
      <c r="U158" s="60"/>
      <c r="V158" s="60"/>
      <c r="W158" s="60"/>
    </row>
    <row r="159" spans="1:23" ht="13" x14ac:dyDescent="0.3">
      <c r="A159" s="58"/>
      <c r="B159" s="58"/>
      <c r="C159" s="58"/>
      <c r="D159" s="58"/>
      <c r="E159" s="58"/>
      <c r="F159" s="58"/>
      <c r="G159" s="58"/>
      <c r="H159" s="59"/>
      <c r="I159" s="59"/>
      <c r="J159" s="59"/>
      <c r="K159" s="59"/>
      <c r="L159" s="59"/>
      <c r="M159" s="60"/>
      <c r="N159" s="60"/>
      <c r="O159" s="60"/>
      <c r="P159" s="59"/>
      <c r="Q159" s="59"/>
      <c r="R159" s="60"/>
      <c r="S159" s="60"/>
      <c r="T159" s="60"/>
      <c r="U159" s="60"/>
      <c r="V159" s="60"/>
      <c r="W159" s="60"/>
    </row>
    <row r="160" spans="1:23" ht="13" x14ac:dyDescent="0.3">
      <c r="A160" s="58"/>
      <c r="B160" s="58"/>
      <c r="C160" s="58"/>
      <c r="D160" s="58"/>
      <c r="E160" s="58"/>
      <c r="F160" s="58"/>
      <c r="G160" s="58"/>
      <c r="H160" s="59"/>
      <c r="I160" s="59"/>
      <c r="J160" s="59"/>
      <c r="K160" s="59"/>
      <c r="L160" s="59"/>
      <c r="M160" s="60"/>
      <c r="N160" s="60"/>
      <c r="O160" s="60"/>
      <c r="P160" s="59"/>
      <c r="Q160" s="59"/>
      <c r="R160" s="60"/>
      <c r="S160" s="60"/>
      <c r="T160" s="60"/>
      <c r="U160" s="60"/>
      <c r="V160" s="60"/>
      <c r="W160" s="60"/>
    </row>
    <row r="161" spans="1:23" ht="13" x14ac:dyDescent="0.3">
      <c r="A161" s="58"/>
      <c r="B161" s="58"/>
      <c r="C161" s="58"/>
      <c r="D161" s="58"/>
      <c r="E161" s="58"/>
      <c r="F161" s="58"/>
      <c r="G161" s="58"/>
      <c r="H161" s="59"/>
      <c r="I161" s="59"/>
      <c r="J161" s="59"/>
      <c r="K161" s="59"/>
      <c r="L161" s="59"/>
      <c r="M161" s="60"/>
      <c r="N161" s="60"/>
      <c r="O161" s="60"/>
      <c r="P161" s="59"/>
      <c r="Q161" s="59"/>
      <c r="R161" s="60"/>
      <c r="S161" s="60"/>
      <c r="T161" s="60"/>
      <c r="U161" s="60"/>
      <c r="V161" s="60"/>
      <c r="W161" s="60"/>
    </row>
    <row r="162" spans="1:23" ht="13" x14ac:dyDescent="0.3">
      <c r="A162" s="58"/>
      <c r="B162" s="58"/>
      <c r="C162" s="58"/>
      <c r="D162" s="58"/>
      <c r="E162" s="58"/>
      <c r="F162" s="58"/>
      <c r="G162" s="58"/>
      <c r="H162" s="59"/>
      <c r="I162" s="59"/>
      <c r="J162" s="59"/>
      <c r="K162" s="59"/>
      <c r="L162" s="59"/>
      <c r="M162" s="60"/>
      <c r="N162" s="60"/>
      <c r="O162" s="60"/>
      <c r="P162" s="59"/>
      <c r="Q162" s="59"/>
      <c r="R162" s="60"/>
      <c r="S162" s="60"/>
      <c r="T162" s="60"/>
      <c r="U162" s="60"/>
      <c r="V162" s="60"/>
      <c r="W162" s="60"/>
    </row>
    <row r="163" spans="1:23" ht="13" x14ac:dyDescent="0.3">
      <c r="A163" s="58"/>
      <c r="B163" s="58"/>
      <c r="C163" s="58"/>
      <c r="D163" s="58"/>
      <c r="E163" s="58"/>
      <c r="F163" s="58"/>
      <c r="G163" s="58"/>
      <c r="H163" s="59"/>
      <c r="I163" s="59"/>
      <c r="J163" s="59"/>
      <c r="K163" s="59"/>
      <c r="L163" s="59"/>
      <c r="M163" s="60"/>
      <c r="N163" s="60"/>
      <c r="O163" s="60"/>
      <c r="P163" s="59"/>
      <c r="Q163" s="59"/>
      <c r="R163" s="60"/>
      <c r="S163" s="60"/>
      <c r="T163" s="60"/>
      <c r="U163" s="60"/>
      <c r="V163" s="60"/>
      <c r="W163" s="60"/>
    </row>
    <row r="164" spans="1:23" ht="13" x14ac:dyDescent="0.3">
      <c r="A164" s="58"/>
      <c r="B164" s="58"/>
      <c r="C164" s="58"/>
      <c r="D164" s="58"/>
      <c r="E164" s="58"/>
      <c r="F164" s="58"/>
      <c r="G164" s="58"/>
      <c r="H164" s="59"/>
      <c r="I164" s="59"/>
      <c r="J164" s="59"/>
      <c r="K164" s="59"/>
      <c r="L164" s="59"/>
      <c r="M164" s="60"/>
      <c r="N164" s="60"/>
      <c r="O164" s="60"/>
      <c r="P164" s="59"/>
      <c r="Q164" s="59"/>
      <c r="R164" s="60"/>
      <c r="S164" s="60"/>
      <c r="T164" s="60"/>
      <c r="U164" s="60"/>
      <c r="V164" s="60"/>
      <c r="W164" s="60"/>
    </row>
    <row r="165" spans="1:23" ht="13" x14ac:dyDescent="0.3">
      <c r="A165" s="58"/>
      <c r="B165" s="58"/>
      <c r="C165" s="58"/>
      <c r="D165" s="58"/>
      <c r="E165" s="58"/>
      <c r="F165" s="58"/>
      <c r="G165" s="58"/>
      <c r="H165" s="59"/>
      <c r="I165" s="59"/>
      <c r="J165" s="59"/>
      <c r="K165" s="59"/>
      <c r="L165" s="59"/>
      <c r="M165" s="60"/>
      <c r="N165" s="60"/>
      <c r="O165" s="60"/>
      <c r="P165" s="59"/>
      <c r="Q165" s="59"/>
      <c r="R165" s="60"/>
      <c r="S165" s="60"/>
      <c r="T165" s="60"/>
      <c r="U165" s="60"/>
      <c r="V165" s="60"/>
      <c r="W165" s="60"/>
    </row>
    <row r="166" spans="1:23" ht="13" x14ac:dyDescent="0.3">
      <c r="A166" s="58"/>
      <c r="B166" s="58"/>
      <c r="C166" s="58"/>
      <c r="D166" s="58"/>
      <c r="E166" s="58"/>
      <c r="F166" s="58"/>
      <c r="G166" s="58"/>
      <c r="H166" s="59"/>
      <c r="I166" s="59"/>
      <c r="J166" s="59"/>
      <c r="K166" s="59"/>
      <c r="L166" s="59"/>
      <c r="M166" s="60"/>
      <c r="N166" s="60"/>
      <c r="O166" s="60"/>
      <c r="P166" s="59"/>
      <c r="Q166" s="59"/>
      <c r="R166" s="60"/>
      <c r="S166" s="60"/>
      <c r="T166" s="60"/>
      <c r="U166" s="60"/>
      <c r="V166" s="60"/>
      <c r="W166" s="60"/>
    </row>
    <row r="167" spans="1:23" ht="13" x14ac:dyDescent="0.3">
      <c r="A167" s="58"/>
      <c r="B167" s="58"/>
      <c r="C167" s="58"/>
      <c r="D167" s="58"/>
      <c r="E167" s="58"/>
      <c r="F167" s="58"/>
      <c r="G167" s="58"/>
      <c r="H167" s="59"/>
      <c r="I167" s="59"/>
      <c r="J167" s="59"/>
      <c r="K167" s="59"/>
      <c r="L167" s="59"/>
      <c r="M167" s="60"/>
      <c r="N167" s="60"/>
      <c r="O167" s="60"/>
      <c r="P167" s="59"/>
      <c r="Q167" s="59"/>
      <c r="R167" s="60"/>
      <c r="S167" s="60"/>
      <c r="T167" s="60"/>
      <c r="U167" s="60"/>
      <c r="V167" s="60"/>
      <c r="W167" s="60"/>
    </row>
    <row r="168" spans="1:23" ht="13" x14ac:dyDescent="0.3">
      <c r="A168" s="58"/>
      <c r="B168" s="58"/>
      <c r="C168" s="58"/>
      <c r="D168" s="58"/>
      <c r="E168" s="58"/>
      <c r="F168" s="58"/>
      <c r="G168" s="58"/>
      <c r="H168" s="59"/>
      <c r="I168" s="59"/>
      <c r="J168" s="59"/>
      <c r="K168" s="59"/>
      <c r="L168" s="59"/>
      <c r="M168" s="60"/>
      <c r="N168" s="60"/>
      <c r="O168" s="60"/>
      <c r="P168" s="59"/>
      <c r="Q168" s="59"/>
      <c r="R168" s="60"/>
      <c r="S168" s="60"/>
      <c r="T168" s="60"/>
      <c r="U168" s="60"/>
      <c r="V168" s="60"/>
      <c r="W168" s="60"/>
    </row>
    <row r="169" spans="1:23" ht="13" x14ac:dyDescent="0.3">
      <c r="A169" s="58"/>
      <c r="B169" s="58"/>
      <c r="C169" s="58"/>
      <c r="D169" s="58"/>
      <c r="E169" s="58"/>
      <c r="F169" s="58"/>
      <c r="G169" s="58"/>
      <c r="H169" s="59"/>
      <c r="I169" s="59"/>
      <c r="J169" s="59"/>
      <c r="K169" s="59"/>
      <c r="L169" s="59"/>
      <c r="M169" s="60"/>
      <c r="N169" s="60"/>
      <c r="O169" s="60"/>
      <c r="P169" s="59"/>
      <c r="Q169" s="59"/>
      <c r="R169" s="60"/>
      <c r="S169" s="60"/>
      <c r="T169" s="60"/>
      <c r="U169" s="60"/>
      <c r="V169" s="60"/>
      <c r="W169" s="60"/>
    </row>
    <row r="170" spans="1:23" ht="13" x14ac:dyDescent="0.3">
      <c r="A170" s="58"/>
      <c r="B170" s="58"/>
      <c r="C170" s="58"/>
      <c r="D170" s="58"/>
      <c r="E170" s="58"/>
      <c r="F170" s="58"/>
      <c r="G170" s="58"/>
      <c r="H170" s="59"/>
      <c r="I170" s="59"/>
      <c r="J170" s="59"/>
      <c r="K170" s="59"/>
      <c r="L170" s="59"/>
      <c r="M170" s="60"/>
      <c r="N170" s="60"/>
      <c r="O170" s="60"/>
      <c r="P170" s="59"/>
      <c r="Q170" s="59"/>
      <c r="R170" s="60"/>
      <c r="S170" s="60"/>
      <c r="T170" s="60"/>
      <c r="U170" s="60"/>
      <c r="V170" s="60"/>
      <c r="W170" s="60"/>
    </row>
    <row r="171" spans="1:23" ht="13" x14ac:dyDescent="0.3">
      <c r="A171" s="58"/>
      <c r="B171" s="58"/>
      <c r="C171" s="58"/>
      <c r="D171" s="58"/>
      <c r="E171" s="58"/>
      <c r="F171" s="58"/>
      <c r="G171" s="58"/>
      <c r="H171" s="59"/>
      <c r="I171" s="59"/>
      <c r="J171" s="59"/>
      <c r="K171" s="59"/>
      <c r="L171" s="59"/>
      <c r="M171" s="60"/>
      <c r="N171" s="60"/>
      <c r="O171" s="60"/>
      <c r="P171" s="59"/>
      <c r="Q171" s="59"/>
      <c r="R171" s="60"/>
      <c r="S171" s="60"/>
      <c r="T171" s="60"/>
      <c r="U171" s="60"/>
      <c r="V171" s="60"/>
      <c r="W171" s="60"/>
    </row>
    <row r="172" spans="1:23" ht="13" x14ac:dyDescent="0.3">
      <c r="A172" s="58"/>
      <c r="B172" s="58"/>
      <c r="C172" s="58"/>
      <c r="D172" s="58"/>
      <c r="E172" s="58"/>
      <c r="F172" s="58"/>
      <c r="G172" s="58"/>
      <c r="H172" s="59"/>
      <c r="I172" s="59"/>
      <c r="J172" s="59"/>
      <c r="K172" s="59"/>
      <c r="L172" s="59"/>
      <c r="M172" s="60"/>
      <c r="N172" s="60"/>
      <c r="O172" s="60"/>
      <c r="P172" s="59"/>
      <c r="Q172" s="59"/>
      <c r="R172" s="60"/>
      <c r="S172" s="60"/>
      <c r="T172" s="60"/>
      <c r="U172" s="60"/>
      <c r="V172" s="60"/>
      <c r="W172" s="60"/>
    </row>
    <row r="173" spans="1:23" ht="13" x14ac:dyDescent="0.3">
      <c r="A173" s="58"/>
      <c r="B173" s="58"/>
      <c r="C173" s="58"/>
      <c r="D173" s="58"/>
      <c r="E173" s="58"/>
      <c r="F173" s="58"/>
      <c r="G173" s="58"/>
      <c r="H173" s="59"/>
      <c r="I173" s="59"/>
      <c r="J173" s="59"/>
      <c r="K173" s="59"/>
      <c r="L173" s="59"/>
      <c r="M173" s="60"/>
      <c r="N173" s="60"/>
      <c r="O173" s="60"/>
      <c r="P173" s="59"/>
      <c r="Q173" s="59"/>
      <c r="R173" s="60"/>
      <c r="S173" s="60"/>
      <c r="T173" s="60"/>
      <c r="U173" s="60"/>
      <c r="V173" s="60"/>
      <c r="W173" s="60"/>
    </row>
    <row r="174" spans="1:23" ht="13" x14ac:dyDescent="0.3">
      <c r="A174" s="58"/>
      <c r="B174" s="58"/>
      <c r="C174" s="58"/>
      <c r="D174" s="58"/>
      <c r="E174" s="58"/>
      <c r="F174" s="58"/>
      <c r="G174" s="58"/>
      <c r="H174" s="59"/>
      <c r="I174" s="59"/>
      <c r="J174" s="59"/>
      <c r="K174" s="59"/>
      <c r="L174" s="59"/>
      <c r="M174" s="60"/>
      <c r="N174" s="60"/>
      <c r="O174" s="60"/>
      <c r="P174" s="59"/>
      <c r="Q174" s="59"/>
      <c r="R174" s="60"/>
      <c r="S174" s="60"/>
      <c r="T174" s="60"/>
      <c r="U174" s="60"/>
      <c r="V174" s="60"/>
      <c r="W174" s="60"/>
    </row>
    <row r="175" spans="1:23" ht="13" x14ac:dyDescent="0.3">
      <c r="A175" s="58"/>
      <c r="B175" s="58"/>
      <c r="C175" s="58"/>
      <c r="D175" s="58"/>
      <c r="E175" s="58"/>
      <c r="F175" s="58"/>
      <c r="G175" s="58"/>
      <c r="H175" s="59"/>
      <c r="I175" s="59"/>
      <c r="J175" s="59"/>
      <c r="K175" s="59"/>
      <c r="L175" s="59"/>
      <c r="M175" s="60"/>
      <c r="N175" s="60"/>
      <c r="O175" s="60"/>
      <c r="P175" s="59"/>
      <c r="Q175" s="59"/>
      <c r="R175" s="60"/>
      <c r="S175" s="60"/>
      <c r="T175" s="60"/>
      <c r="U175" s="60"/>
      <c r="V175" s="60"/>
      <c r="W175" s="60"/>
    </row>
    <row r="176" spans="1:23" ht="13" x14ac:dyDescent="0.3">
      <c r="A176" s="58"/>
      <c r="B176" s="58"/>
      <c r="C176" s="58"/>
      <c r="D176" s="58"/>
      <c r="E176" s="58"/>
      <c r="F176" s="58"/>
      <c r="G176" s="58"/>
      <c r="H176" s="59"/>
      <c r="I176" s="59"/>
      <c r="J176" s="59"/>
      <c r="K176" s="59"/>
      <c r="L176" s="59"/>
      <c r="M176" s="60"/>
      <c r="N176" s="60"/>
      <c r="O176" s="60"/>
      <c r="P176" s="59"/>
      <c r="Q176" s="59"/>
      <c r="R176" s="60"/>
      <c r="S176" s="60"/>
      <c r="T176" s="60"/>
      <c r="U176" s="60"/>
      <c r="V176" s="60"/>
      <c r="W176" s="60"/>
    </row>
    <row r="177" spans="1:23" ht="13" x14ac:dyDescent="0.3">
      <c r="A177" s="58"/>
      <c r="B177" s="58"/>
      <c r="C177" s="58"/>
      <c r="D177" s="58"/>
      <c r="E177" s="58"/>
      <c r="F177" s="58"/>
      <c r="G177" s="58"/>
      <c r="H177" s="59"/>
      <c r="I177" s="59"/>
      <c r="J177" s="59"/>
      <c r="K177" s="59"/>
      <c r="L177" s="59"/>
      <c r="M177" s="60"/>
      <c r="N177" s="60"/>
      <c r="O177" s="60"/>
      <c r="P177" s="59"/>
      <c r="Q177" s="59"/>
      <c r="R177" s="60"/>
      <c r="S177" s="60"/>
      <c r="T177" s="60"/>
      <c r="U177" s="60"/>
      <c r="V177" s="60"/>
      <c r="W177" s="60"/>
    </row>
    <row r="178" spans="1:23" ht="13" x14ac:dyDescent="0.3">
      <c r="A178" s="58"/>
      <c r="B178" s="58"/>
      <c r="C178" s="58"/>
      <c r="D178" s="58"/>
      <c r="E178" s="58"/>
      <c r="F178" s="58"/>
      <c r="G178" s="58"/>
      <c r="H178" s="59"/>
      <c r="I178" s="59"/>
      <c r="J178" s="59"/>
      <c r="K178" s="59"/>
      <c r="L178" s="59"/>
      <c r="M178" s="60"/>
      <c r="N178" s="60"/>
      <c r="O178" s="60"/>
      <c r="P178" s="59"/>
      <c r="Q178" s="59"/>
      <c r="R178" s="60"/>
      <c r="S178" s="60"/>
      <c r="T178" s="60"/>
      <c r="U178" s="60"/>
      <c r="V178" s="60"/>
      <c r="W178" s="60"/>
    </row>
    <row r="179" spans="1:23" ht="13" x14ac:dyDescent="0.3">
      <c r="A179" s="58"/>
      <c r="B179" s="58"/>
      <c r="C179" s="58"/>
      <c r="D179" s="58"/>
      <c r="E179" s="58"/>
      <c r="F179" s="58"/>
      <c r="G179" s="58"/>
      <c r="H179" s="59"/>
      <c r="I179" s="59"/>
      <c r="J179" s="59"/>
      <c r="K179" s="59"/>
      <c r="L179" s="59"/>
      <c r="M179" s="60"/>
      <c r="N179" s="60"/>
      <c r="O179" s="60"/>
      <c r="P179" s="59"/>
      <c r="Q179" s="59"/>
      <c r="R179" s="60"/>
      <c r="S179" s="60"/>
      <c r="T179" s="60"/>
      <c r="U179" s="60"/>
      <c r="V179" s="60"/>
      <c r="W179" s="60"/>
    </row>
    <row r="180" spans="1:23" ht="13" x14ac:dyDescent="0.3">
      <c r="A180" s="58"/>
      <c r="B180" s="58"/>
      <c r="C180" s="58"/>
      <c r="D180" s="58"/>
      <c r="E180" s="58"/>
      <c r="F180" s="58"/>
      <c r="G180" s="58"/>
      <c r="H180" s="59"/>
      <c r="I180" s="59"/>
      <c r="J180" s="59"/>
      <c r="K180" s="59"/>
      <c r="L180" s="59"/>
      <c r="M180" s="60"/>
      <c r="N180" s="60"/>
      <c r="O180" s="60"/>
      <c r="P180" s="59"/>
      <c r="Q180" s="59"/>
      <c r="R180" s="60"/>
      <c r="S180" s="60"/>
      <c r="T180" s="60"/>
      <c r="U180" s="60"/>
      <c r="V180" s="60"/>
      <c r="W180" s="60"/>
    </row>
    <row r="181" spans="1:23" ht="13" x14ac:dyDescent="0.3">
      <c r="A181" s="58"/>
      <c r="B181" s="58"/>
      <c r="C181" s="58"/>
      <c r="D181" s="58"/>
      <c r="E181" s="58"/>
      <c r="F181" s="58"/>
      <c r="G181" s="58"/>
      <c r="H181" s="59"/>
      <c r="I181" s="59"/>
      <c r="J181" s="59"/>
      <c r="K181" s="59"/>
      <c r="L181" s="59"/>
      <c r="M181" s="60"/>
      <c r="N181" s="60"/>
      <c r="O181" s="60"/>
      <c r="P181" s="59"/>
      <c r="Q181" s="59"/>
      <c r="R181" s="60"/>
      <c r="S181" s="60"/>
      <c r="T181" s="60"/>
      <c r="U181" s="60"/>
      <c r="V181" s="60"/>
      <c r="W181" s="60"/>
    </row>
    <row r="182" spans="1:23" ht="13" x14ac:dyDescent="0.3">
      <c r="A182" s="58"/>
      <c r="B182" s="58"/>
      <c r="C182" s="58"/>
      <c r="D182" s="58"/>
      <c r="E182" s="58"/>
      <c r="F182" s="58"/>
      <c r="G182" s="58"/>
      <c r="H182" s="59"/>
      <c r="I182" s="59"/>
      <c r="J182" s="59"/>
      <c r="K182" s="59"/>
      <c r="L182" s="59"/>
      <c r="M182" s="60"/>
      <c r="N182" s="60"/>
      <c r="O182" s="60"/>
      <c r="P182" s="59"/>
      <c r="Q182" s="59"/>
      <c r="R182" s="60"/>
      <c r="S182" s="60"/>
      <c r="T182" s="60"/>
      <c r="U182" s="60"/>
      <c r="V182" s="60"/>
      <c r="W182" s="60"/>
    </row>
    <row r="183" spans="1:23" ht="13" x14ac:dyDescent="0.3">
      <c r="A183" s="58"/>
      <c r="B183" s="58"/>
      <c r="C183" s="58"/>
      <c r="D183" s="58"/>
      <c r="E183" s="58"/>
      <c r="F183" s="58"/>
      <c r="G183" s="58"/>
      <c r="H183" s="59"/>
      <c r="I183" s="59"/>
      <c r="J183" s="59"/>
      <c r="K183" s="59"/>
      <c r="L183" s="59"/>
      <c r="M183" s="60"/>
      <c r="N183" s="60"/>
      <c r="O183" s="60"/>
      <c r="P183" s="59"/>
      <c r="Q183" s="59"/>
      <c r="R183" s="60"/>
      <c r="S183" s="60"/>
      <c r="T183" s="60"/>
      <c r="U183" s="60"/>
      <c r="V183" s="60"/>
      <c r="W183" s="60"/>
    </row>
    <row r="184" spans="1:23" ht="13" x14ac:dyDescent="0.3">
      <c r="A184" s="58"/>
      <c r="B184" s="58"/>
      <c r="C184" s="58"/>
      <c r="D184" s="58"/>
      <c r="E184" s="58"/>
      <c r="F184" s="58"/>
      <c r="G184" s="58"/>
      <c r="H184" s="59"/>
      <c r="I184" s="59"/>
      <c r="J184" s="59"/>
      <c r="K184" s="59"/>
      <c r="L184" s="59"/>
      <c r="M184" s="60"/>
      <c r="N184" s="60"/>
      <c r="O184" s="60"/>
      <c r="P184" s="59"/>
      <c r="Q184" s="59"/>
      <c r="R184" s="60"/>
      <c r="S184" s="60"/>
      <c r="T184" s="60"/>
      <c r="U184" s="60"/>
      <c r="V184" s="60"/>
      <c r="W184" s="60"/>
    </row>
    <row r="185" spans="1:23" ht="13" x14ac:dyDescent="0.3">
      <c r="A185" s="58"/>
      <c r="B185" s="58"/>
      <c r="C185" s="58"/>
      <c r="D185" s="58"/>
      <c r="E185" s="58"/>
      <c r="F185" s="58"/>
      <c r="G185" s="58"/>
      <c r="H185" s="59"/>
      <c r="I185" s="59"/>
      <c r="J185" s="59"/>
      <c r="K185" s="59"/>
      <c r="L185" s="59"/>
      <c r="M185" s="60"/>
      <c r="N185" s="60"/>
      <c r="O185" s="60"/>
      <c r="P185" s="59"/>
      <c r="Q185" s="59"/>
      <c r="R185" s="60"/>
      <c r="S185" s="60"/>
      <c r="T185" s="60"/>
      <c r="U185" s="60"/>
      <c r="V185" s="60"/>
      <c r="W185" s="60"/>
    </row>
    <row r="186" spans="1:23" ht="13" x14ac:dyDescent="0.3">
      <c r="A186" s="58"/>
      <c r="B186" s="58"/>
      <c r="C186" s="58"/>
      <c r="D186" s="58"/>
      <c r="E186" s="58"/>
      <c r="F186" s="58"/>
      <c r="G186" s="58"/>
      <c r="H186" s="59"/>
      <c r="I186" s="59"/>
      <c r="J186" s="59"/>
      <c r="K186" s="59"/>
      <c r="L186" s="59"/>
      <c r="M186" s="60"/>
      <c r="N186" s="60"/>
      <c r="O186" s="60"/>
      <c r="P186" s="59"/>
      <c r="Q186" s="59"/>
      <c r="R186" s="60"/>
      <c r="S186" s="60"/>
      <c r="T186" s="60"/>
      <c r="U186" s="60"/>
      <c r="V186" s="60"/>
      <c r="W186" s="60"/>
    </row>
    <row r="187" spans="1:23" ht="13" x14ac:dyDescent="0.3">
      <c r="A187" s="58"/>
      <c r="B187" s="58"/>
      <c r="C187" s="58"/>
      <c r="D187" s="58"/>
      <c r="E187" s="58"/>
      <c r="F187" s="58"/>
      <c r="G187" s="58"/>
      <c r="H187" s="59"/>
      <c r="I187" s="59"/>
      <c r="J187" s="59"/>
      <c r="K187" s="59"/>
      <c r="L187" s="59"/>
      <c r="M187" s="60"/>
      <c r="N187" s="60"/>
      <c r="O187" s="60"/>
      <c r="P187" s="59"/>
      <c r="Q187" s="59"/>
      <c r="R187" s="60"/>
      <c r="S187" s="60"/>
      <c r="T187" s="60"/>
      <c r="U187" s="60"/>
      <c r="V187" s="60"/>
      <c r="W187" s="60"/>
    </row>
    <row r="188" spans="1:23" ht="13" x14ac:dyDescent="0.3">
      <c r="A188" s="58"/>
      <c r="B188" s="58"/>
      <c r="C188" s="58"/>
      <c r="D188" s="58"/>
      <c r="E188" s="58"/>
      <c r="F188" s="58"/>
      <c r="G188" s="58"/>
      <c r="H188" s="59"/>
      <c r="I188" s="59"/>
      <c r="J188" s="59"/>
      <c r="K188" s="59"/>
      <c r="L188" s="59"/>
      <c r="M188" s="60"/>
      <c r="N188" s="60"/>
      <c r="O188" s="60"/>
      <c r="P188" s="59"/>
      <c r="Q188" s="59"/>
      <c r="R188" s="60"/>
      <c r="S188" s="60"/>
      <c r="T188" s="60"/>
      <c r="U188" s="60"/>
      <c r="V188" s="60"/>
      <c r="W188" s="60"/>
    </row>
    <row r="189" spans="1:23" ht="13" x14ac:dyDescent="0.3">
      <c r="A189" s="58"/>
      <c r="B189" s="58"/>
      <c r="C189" s="58"/>
      <c r="D189" s="58"/>
      <c r="E189" s="58"/>
      <c r="F189" s="58"/>
      <c r="G189" s="58"/>
      <c r="H189" s="59"/>
      <c r="I189" s="59"/>
      <c r="J189" s="59"/>
      <c r="K189" s="59"/>
      <c r="L189" s="59"/>
      <c r="M189" s="60"/>
      <c r="N189" s="60"/>
      <c r="O189" s="60"/>
      <c r="P189" s="59"/>
      <c r="Q189" s="59"/>
      <c r="R189" s="60"/>
      <c r="S189" s="60"/>
      <c r="T189" s="60"/>
      <c r="U189" s="60"/>
      <c r="V189" s="60"/>
      <c r="W189" s="60"/>
    </row>
    <row r="190" spans="1:23" ht="13" x14ac:dyDescent="0.3">
      <c r="A190" s="58"/>
      <c r="B190" s="58"/>
      <c r="C190" s="58"/>
      <c r="D190" s="58"/>
      <c r="E190" s="58"/>
      <c r="F190" s="58"/>
      <c r="G190" s="58"/>
      <c r="H190" s="59"/>
      <c r="I190" s="59"/>
      <c r="J190" s="59"/>
      <c r="K190" s="59"/>
      <c r="L190" s="59"/>
      <c r="M190" s="60"/>
      <c r="N190" s="60"/>
      <c r="O190" s="60"/>
      <c r="P190" s="59"/>
      <c r="Q190" s="59"/>
      <c r="R190" s="60"/>
      <c r="S190" s="60"/>
      <c r="T190" s="60"/>
      <c r="U190" s="60"/>
      <c r="V190" s="60"/>
      <c r="W190" s="60"/>
    </row>
    <row r="191" spans="1:23" ht="13" x14ac:dyDescent="0.3">
      <c r="A191" s="58"/>
      <c r="B191" s="58"/>
      <c r="C191" s="58"/>
      <c r="D191" s="58"/>
      <c r="E191" s="58"/>
      <c r="F191" s="58"/>
      <c r="G191" s="58"/>
      <c r="H191" s="59"/>
      <c r="I191" s="59"/>
      <c r="J191" s="59"/>
      <c r="K191" s="59"/>
      <c r="L191" s="59"/>
      <c r="M191" s="60"/>
      <c r="N191" s="60"/>
      <c r="O191" s="60"/>
      <c r="P191" s="59"/>
      <c r="Q191" s="59"/>
      <c r="R191" s="60"/>
      <c r="S191" s="60"/>
      <c r="T191" s="60"/>
      <c r="U191" s="60"/>
      <c r="V191" s="60"/>
      <c r="W191" s="60"/>
    </row>
    <row r="192" spans="1:23" ht="13" x14ac:dyDescent="0.3">
      <c r="A192" s="58"/>
      <c r="B192" s="58"/>
      <c r="C192" s="58"/>
      <c r="D192" s="58"/>
      <c r="E192" s="58"/>
      <c r="F192" s="58"/>
      <c r="G192" s="58"/>
      <c r="H192" s="59"/>
      <c r="I192" s="59"/>
      <c r="J192" s="59"/>
      <c r="K192" s="59"/>
      <c r="L192" s="59"/>
      <c r="M192" s="60"/>
      <c r="N192" s="60"/>
      <c r="O192" s="60"/>
      <c r="P192" s="59"/>
      <c r="Q192" s="59"/>
      <c r="R192" s="60"/>
      <c r="S192" s="60"/>
      <c r="T192" s="60"/>
      <c r="U192" s="60"/>
      <c r="V192" s="60"/>
      <c r="W192" s="60"/>
    </row>
    <row r="193" spans="1:23" ht="13" x14ac:dyDescent="0.3">
      <c r="A193" s="58"/>
      <c r="B193" s="58"/>
      <c r="C193" s="58"/>
      <c r="D193" s="58"/>
      <c r="E193" s="58"/>
      <c r="F193" s="58"/>
      <c r="G193" s="58"/>
      <c r="H193" s="59"/>
      <c r="I193" s="59"/>
      <c r="J193" s="59"/>
      <c r="K193" s="59"/>
      <c r="L193" s="59"/>
      <c r="M193" s="60"/>
      <c r="N193" s="60"/>
      <c r="O193" s="60"/>
      <c r="P193" s="59"/>
      <c r="Q193" s="59"/>
      <c r="R193" s="60"/>
      <c r="S193" s="60"/>
      <c r="T193" s="60"/>
      <c r="U193" s="60"/>
      <c r="V193" s="60"/>
      <c r="W193" s="60"/>
    </row>
    <row r="194" spans="1:23" ht="13" x14ac:dyDescent="0.3">
      <c r="A194" s="58"/>
      <c r="B194" s="58"/>
      <c r="C194" s="58"/>
      <c r="D194" s="58"/>
      <c r="E194" s="58"/>
      <c r="F194" s="58"/>
      <c r="G194" s="58"/>
      <c r="H194" s="59"/>
      <c r="I194" s="59"/>
      <c r="J194" s="59"/>
      <c r="K194" s="59"/>
      <c r="L194" s="59"/>
      <c r="M194" s="60"/>
      <c r="N194" s="60"/>
      <c r="O194" s="60"/>
      <c r="P194" s="59"/>
      <c r="Q194" s="59"/>
      <c r="R194" s="60"/>
      <c r="S194" s="60"/>
      <c r="T194" s="60"/>
      <c r="U194" s="60"/>
      <c r="V194" s="60"/>
      <c r="W194" s="60"/>
    </row>
    <row r="195" spans="1:23" ht="13" x14ac:dyDescent="0.3">
      <c r="A195" s="58"/>
      <c r="B195" s="58"/>
      <c r="C195" s="58"/>
      <c r="D195" s="58"/>
      <c r="E195" s="58"/>
      <c r="F195" s="58"/>
      <c r="G195" s="58"/>
      <c r="H195" s="59"/>
      <c r="I195" s="59"/>
      <c r="J195" s="59"/>
      <c r="K195" s="59"/>
      <c r="L195" s="59"/>
      <c r="M195" s="60"/>
      <c r="N195" s="60"/>
      <c r="O195" s="60"/>
      <c r="P195" s="59"/>
      <c r="Q195" s="59"/>
      <c r="R195" s="60"/>
      <c r="S195" s="60"/>
      <c r="T195" s="60"/>
      <c r="U195" s="60"/>
      <c r="V195" s="60"/>
      <c r="W195" s="60"/>
    </row>
    <row r="196" spans="1:23" ht="13" x14ac:dyDescent="0.3">
      <c r="A196" s="58"/>
      <c r="B196" s="58"/>
      <c r="C196" s="58"/>
      <c r="D196" s="58"/>
      <c r="E196" s="58"/>
      <c r="F196" s="58"/>
      <c r="G196" s="58"/>
      <c r="H196" s="59"/>
      <c r="I196" s="59"/>
      <c r="J196" s="59"/>
      <c r="K196" s="59"/>
      <c r="L196" s="59"/>
      <c r="M196" s="60"/>
      <c r="N196" s="60"/>
      <c r="O196" s="60"/>
      <c r="P196" s="59"/>
      <c r="Q196" s="59"/>
      <c r="R196" s="60"/>
      <c r="S196" s="60"/>
      <c r="T196" s="60"/>
      <c r="U196" s="60"/>
      <c r="V196" s="60"/>
      <c r="W196" s="60"/>
    </row>
    <row r="197" spans="1:23" ht="13" x14ac:dyDescent="0.3">
      <c r="A197" s="58"/>
      <c r="B197" s="58"/>
      <c r="C197" s="58"/>
      <c r="D197" s="58"/>
      <c r="E197" s="58"/>
      <c r="F197" s="58"/>
      <c r="G197" s="58"/>
      <c r="H197" s="59"/>
      <c r="I197" s="59"/>
      <c r="J197" s="59"/>
      <c r="K197" s="59"/>
      <c r="L197" s="59"/>
      <c r="M197" s="60"/>
      <c r="N197" s="60"/>
      <c r="O197" s="60"/>
      <c r="P197" s="59"/>
      <c r="Q197" s="59"/>
      <c r="R197" s="60"/>
      <c r="S197" s="60"/>
      <c r="T197" s="60"/>
      <c r="U197" s="60"/>
      <c r="V197" s="60"/>
      <c r="W197" s="60"/>
    </row>
    <row r="198" spans="1:23" ht="13" x14ac:dyDescent="0.3">
      <c r="A198" s="58"/>
      <c r="B198" s="58"/>
      <c r="C198" s="58"/>
      <c r="D198" s="58"/>
      <c r="E198" s="58"/>
      <c r="F198" s="58"/>
      <c r="G198" s="58"/>
      <c r="H198" s="59"/>
      <c r="I198" s="59"/>
      <c r="J198" s="59"/>
      <c r="K198" s="59"/>
      <c r="L198" s="59"/>
      <c r="M198" s="60"/>
      <c r="N198" s="60"/>
      <c r="O198" s="60"/>
      <c r="P198" s="59"/>
      <c r="Q198" s="59"/>
      <c r="R198" s="60"/>
      <c r="S198" s="60"/>
      <c r="T198" s="60"/>
      <c r="U198" s="60"/>
      <c r="V198" s="60"/>
      <c r="W198" s="60"/>
    </row>
    <row r="199" spans="1:23" ht="13" x14ac:dyDescent="0.3">
      <c r="A199" s="58"/>
      <c r="B199" s="58"/>
      <c r="C199" s="58"/>
      <c r="D199" s="58"/>
      <c r="E199" s="58"/>
      <c r="F199" s="58"/>
      <c r="G199" s="58"/>
      <c r="H199" s="59"/>
      <c r="I199" s="59"/>
      <c r="J199" s="59"/>
      <c r="K199" s="59"/>
      <c r="L199" s="59"/>
      <c r="M199" s="60"/>
      <c r="N199" s="60"/>
      <c r="O199" s="60"/>
      <c r="P199" s="59"/>
      <c r="Q199" s="59"/>
      <c r="R199" s="60"/>
      <c r="S199" s="60"/>
      <c r="T199" s="60"/>
      <c r="U199" s="60"/>
      <c r="V199" s="60"/>
      <c r="W199" s="60"/>
    </row>
    <row r="200" spans="1:23" ht="13" x14ac:dyDescent="0.3">
      <c r="A200" s="58"/>
      <c r="B200" s="58"/>
      <c r="C200" s="58"/>
      <c r="D200" s="58"/>
      <c r="E200" s="58"/>
      <c r="F200" s="58"/>
      <c r="G200" s="58"/>
      <c r="H200" s="59"/>
      <c r="I200" s="59"/>
      <c r="J200" s="59"/>
      <c r="K200" s="59"/>
      <c r="L200" s="59"/>
      <c r="M200" s="60"/>
      <c r="N200" s="60"/>
      <c r="O200" s="60"/>
      <c r="P200" s="59"/>
      <c r="Q200" s="59"/>
      <c r="R200" s="60"/>
      <c r="S200" s="60"/>
      <c r="T200" s="60"/>
      <c r="U200" s="60"/>
      <c r="V200" s="60"/>
      <c r="W200" s="60"/>
    </row>
    <row r="201" spans="1:23" ht="13" x14ac:dyDescent="0.3">
      <c r="A201" s="58"/>
      <c r="B201" s="58"/>
      <c r="C201" s="58"/>
      <c r="D201" s="58"/>
      <c r="E201" s="58"/>
      <c r="F201" s="58"/>
      <c r="G201" s="58"/>
      <c r="H201" s="59"/>
      <c r="I201" s="59"/>
      <c r="J201" s="59"/>
      <c r="K201" s="59"/>
      <c r="L201" s="59"/>
      <c r="M201" s="60"/>
      <c r="N201" s="60"/>
      <c r="O201" s="60"/>
      <c r="P201" s="59"/>
      <c r="Q201" s="59"/>
      <c r="R201" s="60"/>
      <c r="S201" s="60"/>
      <c r="T201" s="60"/>
      <c r="U201" s="60"/>
      <c r="V201" s="60"/>
      <c r="W201" s="60"/>
    </row>
    <row r="202" spans="1:23" ht="13" x14ac:dyDescent="0.3">
      <c r="A202" s="58"/>
      <c r="B202" s="58"/>
      <c r="C202" s="58"/>
      <c r="D202" s="58"/>
      <c r="E202" s="58"/>
      <c r="F202" s="58"/>
      <c r="G202" s="58"/>
      <c r="H202" s="59"/>
      <c r="I202" s="59"/>
      <c r="J202" s="59"/>
      <c r="K202" s="59"/>
      <c r="L202" s="59"/>
      <c r="M202" s="60"/>
      <c r="N202" s="60"/>
      <c r="O202" s="60"/>
      <c r="P202" s="59"/>
      <c r="Q202" s="59"/>
      <c r="R202" s="60"/>
      <c r="S202" s="60"/>
      <c r="T202" s="60"/>
      <c r="U202" s="60"/>
      <c r="V202" s="60"/>
      <c r="W202" s="60"/>
    </row>
    <row r="203" spans="1:23" ht="13" x14ac:dyDescent="0.3">
      <c r="A203" s="58"/>
      <c r="B203" s="58"/>
      <c r="C203" s="58"/>
      <c r="D203" s="58"/>
      <c r="E203" s="58"/>
      <c r="F203" s="58"/>
      <c r="G203" s="58"/>
      <c r="H203" s="59"/>
      <c r="I203" s="59"/>
      <c r="J203" s="59"/>
      <c r="K203" s="59"/>
      <c r="L203" s="59"/>
      <c r="M203" s="60"/>
      <c r="N203" s="60"/>
      <c r="O203" s="60"/>
      <c r="P203" s="59"/>
      <c r="Q203" s="59"/>
      <c r="R203" s="60"/>
      <c r="S203" s="60"/>
      <c r="T203" s="60"/>
      <c r="U203" s="60"/>
      <c r="V203" s="60"/>
      <c r="W203" s="60"/>
    </row>
    <row r="204" spans="1:23" ht="13" x14ac:dyDescent="0.3">
      <c r="A204" s="58"/>
      <c r="B204" s="58"/>
      <c r="C204" s="58"/>
      <c r="D204" s="58"/>
      <c r="E204" s="58"/>
      <c r="F204" s="58"/>
      <c r="G204" s="58"/>
      <c r="H204" s="59"/>
      <c r="I204" s="59"/>
      <c r="J204" s="59"/>
      <c r="K204" s="59"/>
      <c r="L204" s="59"/>
      <c r="M204" s="60"/>
      <c r="N204" s="60"/>
      <c r="O204" s="60"/>
      <c r="P204" s="59"/>
      <c r="Q204" s="59"/>
      <c r="R204" s="60"/>
      <c r="S204" s="60"/>
      <c r="T204" s="60"/>
      <c r="U204" s="60"/>
      <c r="V204" s="60"/>
      <c r="W204" s="60"/>
    </row>
    <row r="205" spans="1:23" ht="13" x14ac:dyDescent="0.3">
      <c r="A205" s="58"/>
      <c r="B205" s="58"/>
      <c r="C205" s="58"/>
      <c r="D205" s="58"/>
      <c r="E205" s="58"/>
      <c r="F205" s="58"/>
      <c r="G205" s="58"/>
      <c r="H205" s="59"/>
      <c r="I205" s="59"/>
      <c r="J205" s="59"/>
      <c r="K205" s="59"/>
      <c r="L205" s="59"/>
      <c r="M205" s="60"/>
      <c r="N205" s="60"/>
      <c r="O205" s="60"/>
      <c r="P205" s="59"/>
      <c r="Q205" s="59"/>
      <c r="R205" s="60"/>
      <c r="S205" s="60"/>
      <c r="T205" s="60"/>
      <c r="U205" s="60"/>
      <c r="V205" s="60"/>
      <c r="W205" s="60"/>
    </row>
    <row r="206" spans="1:23" ht="13" x14ac:dyDescent="0.3">
      <c r="A206" s="58"/>
      <c r="B206" s="58"/>
      <c r="C206" s="58"/>
      <c r="D206" s="58"/>
      <c r="E206" s="58"/>
      <c r="F206" s="58"/>
      <c r="G206" s="58"/>
      <c r="H206" s="59"/>
      <c r="I206" s="59"/>
      <c r="J206" s="59"/>
      <c r="K206" s="59"/>
      <c r="L206" s="59"/>
      <c r="M206" s="60"/>
      <c r="N206" s="60"/>
      <c r="O206" s="60"/>
      <c r="P206" s="59"/>
      <c r="Q206" s="59"/>
      <c r="R206" s="60"/>
      <c r="S206" s="60"/>
      <c r="T206" s="60"/>
      <c r="U206" s="60"/>
      <c r="V206" s="60"/>
      <c r="W206" s="60"/>
    </row>
    <row r="207" spans="1:23" ht="13" x14ac:dyDescent="0.3">
      <c r="A207" s="58"/>
      <c r="B207" s="58"/>
      <c r="C207" s="58"/>
      <c r="D207" s="58"/>
      <c r="E207" s="58"/>
      <c r="F207" s="58"/>
      <c r="G207" s="58"/>
      <c r="H207" s="59"/>
      <c r="I207" s="59"/>
      <c r="J207" s="59"/>
      <c r="K207" s="59"/>
      <c r="L207" s="59"/>
      <c r="M207" s="60"/>
      <c r="N207" s="60"/>
      <c r="O207" s="60"/>
      <c r="P207" s="59"/>
      <c r="Q207" s="59"/>
      <c r="R207" s="60"/>
      <c r="S207" s="60"/>
      <c r="T207" s="60"/>
      <c r="U207" s="60"/>
      <c r="V207" s="60"/>
      <c r="W207" s="60"/>
    </row>
    <row r="208" spans="1:23" ht="13" x14ac:dyDescent="0.3">
      <c r="A208" s="58"/>
      <c r="B208" s="58"/>
      <c r="C208" s="58"/>
      <c r="D208" s="58"/>
      <c r="E208" s="58"/>
      <c r="F208" s="58"/>
      <c r="G208" s="58"/>
      <c r="H208" s="59"/>
      <c r="I208" s="59"/>
      <c r="J208" s="59"/>
      <c r="K208" s="59"/>
      <c r="L208" s="59"/>
      <c r="M208" s="60"/>
      <c r="N208" s="60"/>
      <c r="O208" s="60"/>
      <c r="P208" s="59"/>
      <c r="Q208" s="59"/>
      <c r="R208" s="60"/>
      <c r="S208" s="60"/>
      <c r="T208" s="60"/>
      <c r="U208" s="60"/>
      <c r="V208" s="60"/>
      <c r="W208" s="60"/>
    </row>
    <row r="209" spans="1:23" ht="13" x14ac:dyDescent="0.3">
      <c r="A209" s="58"/>
      <c r="B209" s="58"/>
      <c r="C209" s="58"/>
      <c r="D209" s="58"/>
      <c r="E209" s="58"/>
      <c r="F209" s="58"/>
      <c r="G209" s="58"/>
      <c r="H209" s="59"/>
      <c r="I209" s="59"/>
      <c r="J209" s="59"/>
      <c r="K209" s="59"/>
      <c r="L209" s="59"/>
      <c r="M209" s="60"/>
      <c r="N209" s="60"/>
      <c r="O209" s="60"/>
      <c r="P209" s="59"/>
      <c r="Q209" s="59"/>
      <c r="R209" s="60"/>
      <c r="S209" s="60"/>
      <c r="T209" s="60"/>
      <c r="U209" s="60"/>
      <c r="V209" s="60"/>
      <c r="W209" s="60"/>
    </row>
    <row r="210" spans="1:23" ht="13" x14ac:dyDescent="0.3">
      <c r="A210" s="58"/>
      <c r="B210" s="58"/>
      <c r="C210" s="58"/>
      <c r="D210" s="58"/>
      <c r="E210" s="58"/>
      <c r="F210" s="58"/>
      <c r="G210" s="58"/>
      <c r="H210" s="59"/>
      <c r="I210" s="59"/>
      <c r="J210" s="59"/>
      <c r="K210" s="59"/>
      <c r="L210" s="59"/>
      <c r="M210" s="60"/>
      <c r="N210" s="60"/>
      <c r="O210" s="60"/>
      <c r="P210" s="59"/>
      <c r="Q210" s="59"/>
      <c r="R210" s="60"/>
      <c r="S210" s="60"/>
      <c r="T210" s="60"/>
      <c r="U210" s="60"/>
      <c r="V210" s="60"/>
      <c r="W210" s="60"/>
    </row>
    <row r="211" spans="1:23" ht="13" x14ac:dyDescent="0.3">
      <c r="A211" s="58"/>
      <c r="B211" s="58"/>
      <c r="C211" s="58"/>
      <c r="D211" s="58"/>
      <c r="E211" s="58"/>
      <c r="F211" s="58"/>
      <c r="G211" s="58"/>
      <c r="H211" s="59"/>
      <c r="I211" s="59"/>
      <c r="J211" s="59"/>
      <c r="K211" s="59"/>
      <c r="L211" s="59"/>
      <c r="M211" s="60"/>
      <c r="N211" s="60"/>
      <c r="O211" s="60"/>
      <c r="P211" s="59"/>
      <c r="Q211" s="59"/>
      <c r="R211" s="60"/>
      <c r="S211" s="60"/>
      <c r="T211" s="60"/>
      <c r="U211" s="60"/>
      <c r="V211" s="60"/>
      <c r="W211" s="60"/>
    </row>
    <row r="212" spans="1:23" ht="13" x14ac:dyDescent="0.3">
      <c r="A212" s="58"/>
      <c r="B212" s="58"/>
      <c r="C212" s="58"/>
      <c r="D212" s="58"/>
      <c r="E212" s="58"/>
      <c r="F212" s="58"/>
      <c r="G212" s="58"/>
      <c r="H212" s="59"/>
      <c r="I212" s="59"/>
      <c r="J212" s="59"/>
      <c r="K212" s="59"/>
      <c r="L212" s="59"/>
      <c r="M212" s="60"/>
      <c r="N212" s="60"/>
      <c r="O212" s="60"/>
      <c r="P212" s="59"/>
      <c r="Q212" s="59"/>
      <c r="R212" s="60"/>
      <c r="S212" s="60"/>
      <c r="T212" s="60"/>
      <c r="U212" s="60"/>
      <c r="V212" s="60"/>
      <c r="W212" s="60"/>
    </row>
    <row r="213" spans="1:23" ht="13" x14ac:dyDescent="0.3">
      <c r="A213" s="58"/>
      <c r="B213" s="58"/>
      <c r="C213" s="58"/>
      <c r="D213" s="58"/>
      <c r="E213" s="58"/>
      <c r="F213" s="58"/>
      <c r="G213" s="58"/>
      <c r="H213" s="59"/>
      <c r="I213" s="59"/>
      <c r="J213" s="59"/>
      <c r="K213" s="59"/>
      <c r="L213" s="59"/>
      <c r="M213" s="60"/>
      <c r="N213" s="60"/>
      <c r="O213" s="60"/>
      <c r="P213" s="59"/>
      <c r="Q213" s="59"/>
      <c r="R213" s="60"/>
      <c r="S213" s="60"/>
      <c r="T213" s="60"/>
      <c r="U213" s="60"/>
      <c r="V213" s="60"/>
      <c r="W213" s="60"/>
    </row>
    <row r="214" spans="1:23" ht="13" x14ac:dyDescent="0.3">
      <c r="A214" s="58"/>
      <c r="B214" s="58"/>
      <c r="C214" s="58"/>
      <c r="D214" s="58"/>
      <c r="E214" s="58"/>
      <c r="F214" s="58"/>
      <c r="G214" s="58"/>
      <c r="H214" s="59"/>
      <c r="I214" s="59"/>
      <c r="J214" s="59"/>
      <c r="K214" s="59"/>
      <c r="L214" s="59"/>
      <c r="M214" s="60"/>
      <c r="N214" s="60"/>
      <c r="O214" s="60"/>
      <c r="P214" s="59"/>
      <c r="Q214" s="59"/>
      <c r="R214" s="60"/>
      <c r="S214" s="60"/>
      <c r="T214" s="60"/>
      <c r="U214" s="60"/>
      <c r="V214" s="60"/>
      <c r="W214" s="60"/>
    </row>
    <row r="215" spans="1:23" ht="13" x14ac:dyDescent="0.3">
      <c r="A215" s="58"/>
      <c r="B215" s="58"/>
      <c r="C215" s="58"/>
      <c r="D215" s="58"/>
      <c r="E215" s="58"/>
      <c r="F215" s="58"/>
      <c r="G215" s="58"/>
      <c r="H215" s="59"/>
      <c r="I215" s="59"/>
      <c r="J215" s="59"/>
      <c r="K215" s="59"/>
      <c r="L215" s="59"/>
      <c r="M215" s="60"/>
      <c r="N215" s="60"/>
      <c r="O215" s="60"/>
      <c r="P215" s="59"/>
      <c r="Q215" s="59"/>
      <c r="R215" s="60"/>
      <c r="S215" s="60"/>
      <c r="T215" s="60"/>
      <c r="U215" s="60"/>
      <c r="V215" s="60"/>
      <c r="W215" s="60"/>
    </row>
    <row r="216" spans="1:23" ht="13" x14ac:dyDescent="0.3">
      <c r="A216" s="58"/>
      <c r="B216" s="58"/>
      <c r="C216" s="58"/>
      <c r="D216" s="58"/>
      <c r="E216" s="58"/>
      <c r="F216" s="58"/>
      <c r="G216" s="58"/>
      <c r="H216" s="59"/>
      <c r="I216" s="59"/>
      <c r="J216" s="59"/>
      <c r="K216" s="59"/>
      <c r="L216" s="59"/>
      <c r="M216" s="60"/>
      <c r="N216" s="60"/>
      <c r="O216" s="60"/>
      <c r="P216" s="59"/>
      <c r="Q216" s="59"/>
      <c r="R216" s="60"/>
      <c r="S216" s="60"/>
      <c r="T216" s="60"/>
      <c r="U216" s="60"/>
      <c r="V216" s="60"/>
      <c r="W216" s="60"/>
    </row>
    <row r="217" spans="1:23" ht="13" x14ac:dyDescent="0.3">
      <c r="A217" s="58"/>
      <c r="B217" s="58"/>
      <c r="C217" s="58"/>
      <c r="D217" s="58"/>
      <c r="E217" s="58"/>
      <c r="F217" s="58"/>
      <c r="G217" s="58"/>
      <c r="H217" s="59"/>
      <c r="I217" s="59"/>
      <c r="J217" s="59"/>
      <c r="K217" s="59"/>
      <c r="L217" s="59"/>
      <c r="M217" s="60"/>
      <c r="N217" s="60"/>
      <c r="O217" s="60"/>
      <c r="P217" s="59"/>
      <c r="Q217" s="59"/>
      <c r="R217" s="60"/>
      <c r="S217" s="60"/>
      <c r="T217" s="60"/>
      <c r="U217" s="60"/>
      <c r="V217" s="60"/>
      <c r="W217" s="60"/>
    </row>
    <row r="218" spans="1:23" ht="13" x14ac:dyDescent="0.3">
      <c r="A218" s="58"/>
      <c r="B218" s="58"/>
      <c r="C218" s="58"/>
      <c r="D218" s="58"/>
      <c r="E218" s="58"/>
      <c r="F218" s="58"/>
      <c r="G218" s="58"/>
      <c r="H218" s="59"/>
      <c r="I218" s="59"/>
      <c r="J218" s="59"/>
      <c r="K218" s="59"/>
      <c r="L218" s="59"/>
      <c r="M218" s="60"/>
      <c r="N218" s="60"/>
      <c r="O218" s="60"/>
      <c r="P218" s="59"/>
      <c r="Q218" s="59"/>
      <c r="R218" s="60"/>
      <c r="S218" s="60"/>
      <c r="T218" s="60"/>
      <c r="U218" s="60"/>
      <c r="V218" s="60"/>
      <c r="W218" s="60"/>
    </row>
    <row r="219" spans="1:23" ht="13" x14ac:dyDescent="0.3">
      <c r="A219" s="58"/>
      <c r="B219" s="58"/>
      <c r="C219" s="58"/>
      <c r="D219" s="58"/>
      <c r="E219" s="58"/>
      <c r="F219" s="58"/>
      <c r="G219" s="58"/>
      <c r="H219" s="59"/>
      <c r="I219" s="59"/>
      <c r="J219" s="59"/>
      <c r="K219" s="59"/>
      <c r="L219" s="59"/>
      <c r="M219" s="60"/>
      <c r="N219" s="60"/>
      <c r="O219" s="60"/>
      <c r="P219" s="59"/>
      <c r="Q219" s="59"/>
      <c r="R219" s="60"/>
      <c r="S219" s="60"/>
      <c r="T219" s="60"/>
      <c r="U219" s="60"/>
      <c r="V219" s="60"/>
      <c r="W219" s="60"/>
    </row>
    <row r="220" spans="1:23" ht="13" x14ac:dyDescent="0.3">
      <c r="A220" s="58"/>
      <c r="B220" s="58"/>
      <c r="C220" s="58"/>
      <c r="D220" s="58"/>
      <c r="E220" s="58"/>
      <c r="F220" s="58"/>
      <c r="G220" s="58"/>
      <c r="H220" s="59"/>
      <c r="I220" s="59"/>
      <c r="J220" s="59"/>
      <c r="K220" s="59"/>
      <c r="L220" s="59"/>
      <c r="M220" s="60"/>
      <c r="N220" s="60"/>
      <c r="O220" s="60"/>
      <c r="P220" s="59"/>
      <c r="Q220" s="59"/>
      <c r="R220" s="60"/>
      <c r="S220" s="60"/>
      <c r="T220" s="60"/>
      <c r="U220" s="60"/>
      <c r="V220" s="60"/>
      <c r="W220" s="60"/>
    </row>
    <row r="221" spans="1:23" ht="13" x14ac:dyDescent="0.3">
      <c r="A221" s="58"/>
      <c r="B221" s="58"/>
      <c r="C221" s="58"/>
      <c r="D221" s="58"/>
      <c r="E221" s="58"/>
      <c r="F221" s="58"/>
      <c r="G221" s="58"/>
      <c r="H221" s="59"/>
      <c r="I221" s="59"/>
      <c r="J221" s="59"/>
      <c r="K221" s="59"/>
      <c r="L221" s="59"/>
      <c r="M221" s="60"/>
      <c r="N221" s="60"/>
      <c r="O221" s="60"/>
      <c r="P221" s="59"/>
      <c r="Q221" s="59"/>
      <c r="R221" s="60"/>
      <c r="S221" s="60"/>
      <c r="T221" s="60"/>
      <c r="U221" s="60"/>
      <c r="V221" s="60"/>
      <c r="W221" s="60"/>
    </row>
    <row r="222" spans="1:23" ht="13" x14ac:dyDescent="0.3">
      <c r="A222" s="58"/>
      <c r="B222" s="58"/>
      <c r="C222" s="58"/>
      <c r="D222" s="58"/>
      <c r="E222" s="58"/>
      <c r="F222" s="58"/>
      <c r="G222" s="58"/>
      <c r="H222" s="59"/>
      <c r="I222" s="59"/>
      <c r="J222" s="59"/>
      <c r="K222" s="59"/>
      <c r="L222" s="59"/>
      <c r="M222" s="60"/>
      <c r="N222" s="60"/>
      <c r="O222" s="60"/>
      <c r="P222" s="59"/>
      <c r="Q222" s="59"/>
      <c r="R222" s="60"/>
      <c r="S222" s="60"/>
      <c r="T222" s="60"/>
      <c r="U222" s="60"/>
      <c r="V222" s="60"/>
      <c r="W222" s="60"/>
    </row>
    <row r="223" spans="1:23" ht="13" x14ac:dyDescent="0.3">
      <c r="A223" s="58"/>
      <c r="B223" s="58"/>
      <c r="C223" s="58"/>
      <c r="D223" s="58"/>
      <c r="E223" s="58"/>
      <c r="F223" s="58"/>
      <c r="G223" s="58"/>
      <c r="H223" s="59"/>
      <c r="I223" s="59"/>
      <c r="J223" s="59"/>
      <c r="K223" s="59"/>
      <c r="L223" s="59"/>
      <c r="M223" s="60"/>
      <c r="N223" s="60"/>
      <c r="O223" s="60"/>
      <c r="P223" s="59"/>
      <c r="Q223" s="59"/>
      <c r="R223" s="60"/>
      <c r="S223" s="60"/>
      <c r="T223" s="60"/>
      <c r="U223" s="60"/>
      <c r="V223" s="60"/>
      <c r="W223" s="60"/>
    </row>
    <row r="224" spans="1:23" ht="13" x14ac:dyDescent="0.3">
      <c r="A224" s="58"/>
      <c r="B224" s="58"/>
      <c r="C224" s="58"/>
      <c r="D224" s="58"/>
      <c r="E224" s="58"/>
      <c r="F224" s="58"/>
      <c r="G224" s="58"/>
      <c r="H224" s="59"/>
      <c r="I224" s="59"/>
      <c r="J224" s="59"/>
      <c r="K224" s="59"/>
      <c r="L224" s="59"/>
      <c r="M224" s="60"/>
      <c r="N224" s="60"/>
      <c r="O224" s="60"/>
      <c r="P224" s="59"/>
      <c r="Q224" s="59"/>
      <c r="R224" s="60"/>
      <c r="S224" s="60"/>
      <c r="T224" s="60"/>
      <c r="U224" s="60"/>
      <c r="V224" s="60"/>
      <c r="W224" s="60"/>
    </row>
    <row r="225" spans="1:23" ht="13" x14ac:dyDescent="0.3">
      <c r="A225" s="58"/>
      <c r="B225" s="58"/>
      <c r="C225" s="58"/>
      <c r="D225" s="58"/>
      <c r="E225" s="58"/>
      <c r="F225" s="58"/>
      <c r="G225" s="58"/>
      <c r="H225" s="59"/>
      <c r="I225" s="59"/>
      <c r="J225" s="59"/>
      <c r="K225" s="59"/>
      <c r="L225" s="59"/>
      <c r="M225" s="60"/>
      <c r="N225" s="60"/>
      <c r="O225" s="60"/>
      <c r="P225" s="59"/>
      <c r="Q225" s="59"/>
      <c r="R225" s="60"/>
      <c r="S225" s="60"/>
      <c r="T225" s="60"/>
      <c r="U225" s="60"/>
      <c r="V225" s="60"/>
      <c r="W225" s="60"/>
    </row>
    <row r="226" spans="1:23" ht="13" x14ac:dyDescent="0.3">
      <c r="A226" s="58"/>
      <c r="B226" s="58"/>
      <c r="C226" s="58"/>
      <c r="D226" s="58"/>
      <c r="E226" s="58"/>
      <c r="F226" s="58"/>
      <c r="G226" s="58"/>
      <c r="H226" s="59"/>
      <c r="I226" s="59"/>
      <c r="J226" s="59"/>
      <c r="K226" s="59"/>
      <c r="L226" s="59"/>
      <c r="M226" s="60"/>
      <c r="N226" s="60"/>
      <c r="O226" s="60"/>
      <c r="P226" s="59"/>
      <c r="Q226" s="59"/>
      <c r="R226" s="60"/>
      <c r="S226" s="60"/>
      <c r="T226" s="60"/>
      <c r="U226" s="60"/>
      <c r="V226" s="60"/>
      <c r="W226" s="60"/>
    </row>
    <row r="227" spans="1:23" ht="13" x14ac:dyDescent="0.3">
      <c r="A227" s="58"/>
      <c r="B227" s="58"/>
      <c r="C227" s="58"/>
      <c r="D227" s="58"/>
      <c r="E227" s="58"/>
      <c r="F227" s="58"/>
      <c r="G227" s="58"/>
      <c r="H227" s="59"/>
      <c r="I227" s="59"/>
      <c r="J227" s="59"/>
      <c r="K227" s="59"/>
      <c r="L227" s="59"/>
      <c r="M227" s="60"/>
      <c r="N227" s="60"/>
      <c r="O227" s="60"/>
      <c r="P227" s="59"/>
      <c r="Q227" s="59"/>
      <c r="R227" s="60"/>
      <c r="S227" s="60"/>
      <c r="T227" s="60"/>
      <c r="U227" s="60"/>
      <c r="V227" s="60"/>
      <c r="W227" s="60"/>
    </row>
    <row r="228" spans="1:23" ht="13" x14ac:dyDescent="0.3">
      <c r="A228" s="58"/>
      <c r="B228" s="58"/>
      <c r="C228" s="58"/>
      <c r="D228" s="58"/>
      <c r="E228" s="58"/>
      <c r="F228" s="58"/>
      <c r="G228" s="58"/>
      <c r="H228" s="59"/>
      <c r="I228" s="59"/>
      <c r="J228" s="59"/>
      <c r="K228" s="59"/>
      <c r="L228" s="59"/>
      <c r="M228" s="60"/>
      <c r="N228" s="60"/>
      <c r="O228" s="60"/>
      <c r="P228" s="59"/>
      <c r="Q228" s="59"/>
      <c r="R228" s="60"/>
      <c r="S228" s="60"/>
      <c r="T228" s="60"/>
      <c r="U228" s="60"/>
      <c r="V228" s="60"/>
      <c r="W228" s="60"/>
    </row>
    <row r="229" spans="1:23" ht="13" x14ac:dyDescent="0.3">
      <c r="A229" s="58"/>
      <c r="B229" s="58"/>
      <c r="C229" s="58"/>
      <c r="D229" s="58"/>
      <c r="E229" s="58"/>
      <c r="F229" s="58"/>
      <c r="G229" s="58"/>
      <c r="H229" s="59"/>
      <c r="I229" s="59"/>
      <c r="J229" s="59"/>
      <c r="K229" s="59"/>
      <c r="L229" s="59"/>
      <c r="M229" s="60"/>
      <c r="N229" s="60"/>
      <c r="O229" s="60"/>
      <c r="P229" s="59"/>
      <c r="Q229" s="59"/>
      <c r="R229" s="60"/>
      <c r="S229" s="60"/>
      <c r="T229" s="60"/>
      <c r="U229" s="60"/>
      <c r="V229" s="60"/>
      <c r="W229" s="60"/>
    </row>
    <row r="230" spans="1:23" ht="13" x14ac:dyDescent="0.3">
      <c r="A230" s="58"/>
      <c r="B230" s="58"/>
      <c r="C230" s="58"/>
      <c r="D230" s="58"/>
      <c r="E230" s="58"/>
      <c r="F230" s="58"/>
      <c r="G230" s="58"/>
      <c r="H230" s="59"/>
      <c r="I230" s="59"/>
      <c r="J230" s="59"/>
      <c r="K230" s="59"/>
      <c r="L230" s="59"/>
      <c r="M230" s="60"/>
      <c r="N230" s="60"/>
      <c r="O230" s="60"/>
      <c r="P230" s="59"/>
      <c r="Q230" s="59"/>
      <c r="R230" s="60"/>
      <c r="S230" s="60"/>
      <c r="T230" s="60"/>
      <c r="U230" s="60"/>
      <c r="V230" s="60"/>
      <c r="W230" s="60"/>
    </row>
    <row r="231" spans="1:23" ht="13" x14ac:dyDescent="0.3">
      <c r="A231" s="58"/>
      <c r="B231" s="58"/>
      <c r="C231" s="58"/>
      <c r="D231" s="58"/>
      <c r="E231" s="58"/>
      <c r="F231" s="58"/>
      <c r="G231" s="58"/>
      <c r="H231" s="59"/>
      <c r="I231" s="59"/>
      <c r="J231" s="59"/>
      <c r="K231" s="59"/>
      <c r="L231" s="59"/>
      <c r="M231" s="60"/>
      <c r="N231" s="60"/>
      <c r="O231" s="60"/>
      <c r="P231" s="59"/>
      <c r="Q231" s="59"/>
      <c r="R231" s="60"/>
      <c r="S231" s="60"/>
      <c r="T231" s="60"/>
      <c r="U231" s="60"/>
      <c r="V231" s="60"/>
      <c r="W231" s="60"/>
    </row>
    <row r="232" spans="1:23" ht="13" x14ac:dyDescent="0.3">
      <c r="A232" s="58"/>
      <c r="B232" s="58"/>
      <c r="C232" s="58"/>
      <c r="D232" s="58"/>
      <c r="E232" s="58"/>
      <c r="F232" s="58"/>
      <c r="G232" s="58"/>
      <c r="H232" s="59"/>
      <c r="I232" s="59"/>
      <c r="J232" s="59"/>
      <c r="K232" s="59"/>
      <c r="L232" s="59"/>
      <c r="M232" s="60"/>
      <c r="N232" s="60"/>
      <c r="O232" s="60"/>
      <c r="P232" s="59"/>
      <c r="Q232" s="59"/>
      <c r="R232" s="60"/>
      <c r="S232" s="60"/>
      <c r="T232" s="60"/>
      <c r="U232" s="60"/>
      <c r="V232" s="60"/>
      <c r="W232" s="60"/>
    </row>
    <row r="233" spans="1:23" ht="13" x14ac:dyDescent="0.3">
      <c r="A233" s="58"/>
      <c r="B233" s="58"/>
      <c r="C233" s="58"/>
      <c r="D233" s="58"/>
      <c r="E233" s="58"/>
      <c r="F233" s="58"/>
      <c r="G233" s="58"/>
      <c r="H233" s="59"/>
      <c r="I233" s="59"/>
      <c r="J233" s="59"/>
      <c r="K233" s="59"/>
      <c r="L233" s="59"/>
      <c r="M233" s="60"/>
      <c r="N233" s="60"/>
      <c r="O233" s="60"/>
      <c r="P233" s="59"/>
      <c r="Q233" s="59"/>
      <c r="R233" s="60"/>
      <c r="S233" s="60"/>
      <c r="T233" s="60"/>
      <c r="U233" s="60"/>
      <c r="V233" s="60"/>
      <c r="W233" s="60"/>
    </row>
    <row r="234" spans="1:23" ht="13" x14ac:dyDescent="0.3">
      <c r="A234" s="58"/>
      <c r="B234" s="58"/>
      <c r="C234" s="58"/>
      <c r="D234" s="58"/>
      <c r="E234" s="58"/>
      <c r="F234" s="58"/>
      <c r="G234" s="58"/>
      <c r="H234" s="59"/>
      <c r="I234" s="59"/>
      <c r="J234" s="59"/>
      <c r="K234" s="59"/>
      <c r="L234" s="59"/>
      <c r="M234" s="60"/>
      <c r="N234" s="60"/>
      <c r="O234" s="60"/>
      <c r="P234" s="59"/>
      <c r="Q234" s="59"/>
      <c r="R234" s="60"/>
      <c r="S234" s="60"/>
      <c r="T234" s="60"/>
      <c r="U234" s="60"/>
      <c r="V234" s="60"/>
      <c r="W234" s="60"/>
    </row>
    <row r="235" spans="1:23" ht="13" x14ac:dyDescent="0.3">
      <c r="A235" s="58"/>
      <c r="B235" s="58"/>
      <c r="C235" s="58"/>
      <c r="D235" s="58"/>
      <c r="E235" s="58"/>
      <c r="F235" s="58"/>
      <c r="G235" s="58"/>
      <c r="H235" s="59"/>
      <c r="I235" s="59"/>
      <c r="J235" s="59"/>
      <c r="K235" s="59"/>
      <c r="L235" s="59"/>
      <c r="M235" s="60"/>
      <c r="N235" s="60"/>
      <c r="O235" s="60"/>
      <c r="P235" s="59"/>
      <c r="Q235" s="59"/>
      <c r="R235" s="60"/>
      <c r="S235" s="60"/>
      <c r="T235" s="60"/>
      <c r="U235" s="60"/>
      <c r="V235" s="60"/>
      <c r="W235" s="60"/>
    </row>
    <row r="236" spans="1:23" ht="13" x14ac:dyDescent="0.3">
      <c r="A236" s="58"/>
      <c r="B236" s="58"/>
      <c r="C236" s="58"/>
      <c r="D236" s="58"/>
      <c r="E236" s="58"/>
      <c r="F236" s="58"/>
      <c r="G236" s="58"/>
      <c r="H236" s="59"/>
      <c r="I236" s="59"/>
      <c r="J236" s="59"/>
      <c r="K236" s="59"/>
      <c r="L236" s="59"/>
      <c r="M236" s="60"/>
      <c r="N236" s="60"/>
      <c r="O236" s="60"/>
      <c r="P236" s="59"/>
      <c r="Q236" s="59"/>
      <c r="R236" s="60"/>
      <c r="S236" s="60"/>
      <c r="T236" s="60"/>
      <c r="U236" s="60"/>
      <c r="V236" s="60"/>
      <c r="W236" s="60"/>
    </row>
    <row r="237" spans="1:23" ht="13" x14ac:dyDescent="0.3">
      <c r="A237" s="58"/>
      <c r="B237" s="58"/>
      <c r="C237" s="58"/>
      <c r="D237" s="58"/>
      <c r="E237" s="58"/>
      <c r="F237" s="58"/>
      <c r="G237" s="58"/>
      <c r="H237" s="59"/>
      <c r="I237" s="59"/>
      <c r="J237" s="59"/>
      <c r="K237" s="59"/>
      <c r="L237" s="59"/>
      <c r="M237" s="60"/>
      <c r="N237" s="60"/>
      <c r="O237" s="60"/>
      <c r="P237" s="59"/>
      <c r="Q237" s="59"/>
      <c r="R237" s="60"/>
      <c r="S237" s="60"/>
      <c r="T237" s="60"/>
      <c r="U237" s="60"/>
      <c r="V237" s="60"/>
      <c r="W237" s="60"/>
    </row>
    <row r="238" spans="1:23" ht="13" x14ac:dyDescent="0.3">
      <c r="A238" s="58"/>
      <c r="B238" s="58"/>
      <c r="C238" s="58"/>
      <c r="D238" s="58"/>
      <c r="E238" s="58"/>
      <c r="F238" s="58"/>
      <c r="G238" s="58"/>
      <c r="H238" s="59"/>
      <c r="I238" s="59"/>
      <c r="J238" s="59"/>
      <c r="K238" s="59"/>
      <c r="L238" s="59"/>
      <c r="M238" s="60"/>
      <c r="N238" s="60"/>
      <c r="O238" s="60"/>
      <c r="P238" s="59"/>
      <c r="Q238" s="59"/>
      <c r="R238" s="60"/>
      <c r="S238" s="60"/>
      <c r="T238" s="60"/>
      <c r="U238" s="60"/>
      <c r="V238" s="60"/>
      <c r="W238" s="60"/>
    </row>
    <row r="239" spans="1:23" ht="13" x14ac:dyDescent="0.3">
      <c r="A239" s="58"/>
      <c r="B239" s="58"/>
      <c r="C239" s="58"/>
      <c r="D239" s="58"/>
      <c r="E239" s="58"/>
      <c r="F239" s="58"/>
      <c r="G239" s="58"/>
      <c r="H239" s="59"/>
      <c r="I239" s="59"/>
      <c r="J239" s="59"/>
      <c r="K239" s="59"/>
      <c r="L239" s="59"/>
      <c r="M239" s="60"/>
      <c r="N239" s="60"/>
      <c r="O239" s="60"/>
      <c r="P239" s="59"/>
      <c r="Q239" s="59"/>
      <c r="R239" s="60"/>
      <c r="S239" s="60"/>
      <c r="T239" s="60"/>
      <c r="U239" s="60"/>
      <c r="V239" s="60"/>
      <c r="W239" s="60"/>
    </row>
    <row r="240" spans="1:23" ht="13" x14ac:dyDescent="0.3">
      <c r="A240" s="58"/>
      <c r="B240" s="58"/>
      <c r="C240" s="58"/>
      <c r="D240" s="58"/>
      <c r="E240" s="58"/>
      <c r="F240" s="58"/>
      <c r="G240" s="58"/>
      <c r="H240" s="59"/>
      <c r="I240" s="59"/>
      <c r="J240" s="59"/>
      <c r="K240" s="59"/>
      <c r="L240" s="59"/>
      <c r="M240" s="60"/>
      <c r="N240" s="60"/>
      <c r="O240" s="60"/>
      <c r="P240" s="59"/>
      <c r="Q240" s="59"/>
      <c r="R240" s="60"/>
      <c r="S240" s="60"/>
      <c r="T240" s="60"/>
      <c r="U240" s="60"/>
      <c r="V240" s="60"/>
      <c r="W240" s="60"/>
    </row>
    <row r="241" spans="1:23" ht="13" x14ac:dyDescent="0.3">
      <c r="A241" s="58"/>
      <c r="B241" s="58"/>
      <c r="C241" s="58"/>
      <c r="D241" s="58"/>
      <c r="E241" s="58"/>
      <c r="F241" s="58"/>
      <c r="G241" s="58"/>
      <c r="H241" s="59"/>
      <c r="I241" s="59"/>
      <c r="J241" s="59"/>
      <c r="K241" s="59"/>
      <c r="L241" s="59"/>
      <c r="M241" s="60"/>
      <c r="N241" s="60"/>
      <c r="O241" s="60"/>
      <c r="P241" s="59"/>
      <c r="Q241" s="59"/>
      <c r="R241" s="60"/>
      <c r="S241" s="60"/>
      <c r="T241" s="60"/>
      <c r="U241" s="60"/>
      <c r="V241" s="60"/>
      <c r="W241" s="60"/>
    </row>
    <row r="242" spans="1:23" ht="13" x14ac:dyDescent="0.3">
      <c r="A242" s="58"/>
      <c r="B242" s="58"/>
      <c r="C242" s="58"/>
      <c r="D242" s="58"/>
      <c r="E242" s="58"/>
      <c r="F242" s="58"/>
      <c r="G242" s="58"/>
      <c r="H242" s="59"/>
      <c r="I242" s="59"/>
      <c r="J242" s="59"/>
      <c r="K242" s="59"/>
      <c r="L242" s="59"/>
      <c r="M242" s="60"/>
      <c r="N242" s="60"/>
      <c r="O242" s="60"/>
      <c r="P242" s="59"/>
      <c r="Q242" s="59"/>
      <c r="R242" s="60"/>
      <c r="S242" s="60"/>
      <c r="T242" s="60"/>
      <c r="U242" s="60"/>
      <c r="V242" s="60"/>
      <c r="W242" s="60"/>
    </row>
    <row r="243" spans="1:23" ht="13" x14ac:dyDescent="0.3">
      <c r="A243" s="58"/>
      <c r="B243" s="58"/>
      <c r="C243" s="58"/>
      <c r="D243" s="58"/>
      <c r="E243" s="58"/>
      <c r="F243" s="58"/>
      <c r="G243" s="58"/>
      <c r="H243" s="59"/>
      <c r="I243" s="59"/>
      <c r="J243" s="59"/>
      <c r="K243" s="59"/>
      <c r="L243" s="59"/>
      <c r="M243" s="60"/>
      <c r="N243" s="60"/>
      <c r="O243" s="60"/>
      <c r="P243" s="59"/>
      <c r="Q243" s="59"/>
      <c r="R243" s="60"/>
      <c r="S243" s="60"/>
      <c r="T243" s="60"/>
      <c r="U243" s="60"/>
      <c r="V243" s="60"/>
      <c r="W243" s="60"/>
    </row>
    <row r="244" spans="1:23" ht="13" x14ac:dyDescent="0.3">
      <c r="A244" s="58"/>
      <c r="B244" s="58"/>
      <c r="C244" s="58"/>
      <c r="D244" s="58"/>
      <c r="E244" s="58"/>
      <c r="F244" s="58"/>
      <c r="G244" s="58"/>
      <c r="H244" s="59"/>
      <c r="I244" s="59"/>
      <c r="J244" s="59"/>
      <c r="K244" s="59"/>
      <c r="L244" s="59"/>
      <c r="M244" s="60"/>
      <c r="N244" s="60"/>
      <c r="O244" s="60"/>
      <c r="P244" s="59"/>
      <c r="Q244" s="59"/>
      <c r="R244" s="60"/>
      <c r="S244" s="60"/>
      <c r="T244" s="60"/>
      <c r="U244" s="60"/>
      <c r="V244" s="60"/>
      <c r="W244" s="60"/>
    </row>
    <row r="245" spans="1:23" ht="13" x14ac:dyDescent="0.3">
      <c r="A245" s="58"/>
      <c r="B245" s="58"/>
      <c r="C245" s="58"/>
      <c r="D245" s="58"/>
      <c r="E245" s="58"/>
      <c r="F245" s="58"/>
      <c r="G245" s="58"/>
      <c r="H245" s="59"/>
      <c r="I245" s="59"/>
      <c r="J245" s="59"/>
      <c r="K245" s="59"/>
      <c r="L245" s="59"/>
      <c r="M245" s="60"/>
      <c r="N245" s="60"/>
      <c r="O245" s="60"/>
      <c r="P245" s="59"/>
      <c r="Q245" s="59"/>
      <c r="R245" s="60"/>
      <c r="S245" s="60"/>
      <c r="T245" s="60"/>
      <c r="U245" s="60"/>
      <c r="V245" s="60"/>
      <c r="W245" s="60"/>
    </row>
    <row r="246" spans="1:23" ht="13" x14ac:dyDescent="0.3">
      <c r="A246" s="58"/>
      <c r="B246" s="58"/>
      <c r="C246" s="58"/>
      <c r="D246" s="58"/>
      <c r="E246" s="58"/>
      <c r="F246" s="58"/>
      <c r="G246" s="58"/>
      <c r="H246" s="59"/>
      <c r="I246" s="59"/>
      <c r="J246" s="59"/>
      <c r="K246" s="59"/>
      <c r="L246" s="59"/>
      <c r="M246" s="60"/>
      <c r="N246" s="60"/>
      <c r="O246" s="60"/>
      <c r="P246" s="59"/>
      <c r="Q246" s="59"/>
      <c r="R246" s="60"/>
      <c r="S246" s="60"/>
      <c r="T246" s="60"/>
      <c r="U246" s="60"/>
      <c r="V246" s="60"/>
      <c r="W246" s="60"/>
    </row>
    <row r="247" spans="1:23" ht="13" x14ac:dyDescent="0.3">
      <c r="A247" s="58"/>
      <c r="B247" s="58"/>
      <c r="C247" s="58"/>
      <c r="D247" s="58"/>
      <c r="E247" s="58"/>
      <c r="F247" s="58"/>
      <c r="G247" s="58"/>
      <c r="H247" s="59"/>
      <c r="I247" s="59"/>
      <c r="J247" s="59"/>
      <c r="K247" s="59"/>
      <c r="L247" s="59"/>
      <c r="M247" s="60"/>
      <c r="N247" s="60"/>
      <c r="O247" s="60"/>
      <c r="P247" s="59"/>
      <c r="Q247" s="59"/>
      <c r="R247" s="60"/>
      <c r="S247" s="60"/>
      <c r="T247" s="60"/>
      <c r="U247" s="60"/>
      <c r="V247" s="60"/>
      <c r="W247" s="60"/>
    </row>
    <row r="248" spans="1:23" ht="13" x14ac:dyDescent="0.3">
      <c r="A248" s="58"/>
      <c r="B248" s="58"/>
      <c r="C248" s="58"/>
      <c r="D248" s="58"/>
      <c r="E248" s="58"/>
      <c r="F248" s="58"/>
      <c r="G248" s="58"/>
      <c r="H248" s="59"/>
      <c r="I248" s="59"/>
      <c r="J248" s="59"/>
      <c r="K248" s="59"/>
      <c r="L248" s="59"/>
      <c r="M248" s="60"/>
      <c r="N248" s="60"/>
      <c r="O248" s="60"/>
      <c r="P248" s="59"/>
      <c r="Q248" s="59"/>
      <c r="R248" s="60"/>
      <c r="S248" s="60"/>
      <c r="T248" s="60"/>
      <c r="U248" s="60"/>
      <c r="V248" s="60"/>
      <c r="W248" s="60"/>
    </row>
    <row r="249" spans="1:23" ht="13" x14ac:dyDescent="0.3">
      <c r="A249" s="58"/>
      <c r="B249" s="58"/>
      <c r="C249" s="58"/>
      <c r="D249" s="58"/>
      <c r="E249" s="58"/>
      <c r="F249" s="58"/>
      <c r="G249" s="58"/>
      <c r="H249" s="59"/>
      <c r="I249" s="59"/>
      <c r="J249" s="59"/>
      <c r="K249" s="59"/>
      <c r="L249" s="59"/>
      <c r="M249" s="60"/>
      <c r="N249" s="60"/>
      <c r="O249" s="60"/>
      <c r="P249" s="59"/>
      <c r="Q249" s="59"/>
      <c r="R249" s="60"/>
      <c r="S249" s="60"/>
      <c r="T249" s="60"/>
      <c r="U249" s="60"/>
      <c r="V249" s="60"/>
      <c r="W249" s="60"/>
    </row>
    <row r="250" spans="1:23" ht="13" x14ac:dyDescent="0.3">
      <c r="A250" s="58"/>
      <c r="B250" s="58"/>
      <c r="C250" s="58"/>
      <c r="D250" s="58"/>
      <c r="E250" s="58"/>
      <c r="F250" s="58"/>
      <c r="G250" s="58"/>
      <c r="H250" s="59"/>
      <c r="I250" s="59"/>
      <c r="J250" s="59"/>
      <c r="K250" s="59"/>
      <c r="L250" s="59"/>
      <c r="M250" s="60"/>
      <c r="N250" s="60"/>
      <c r="O250" s="60"/>
      <c r="P250" s="59"/>
      <c r="Q250" s="59"/>
      <c r="R250" s="60"/>
      <c r="S250" s="60"/>
      <c r="T250" s="60"/>
      <c r="U250" s="60"/>
      <c r="V250" s="60"/>
      <c r="W250" s="60"/>
    </row>
    <row r="251" spans="1:23" ht="13" x14ac:dyDescent="0.3">
      <c r="A251" s="58"/>
      <c r="B251" s="58"/>
      <c r="C251" s="58"/>
      <c r="D251" s="58"/>
      <c r="E251" s="58"/>
      <c r="F251" s="58"/>
      <c r="G251" s="58"/>
      <c r="H251" s="59"/>
      <c r="I251" s="59"/>
      <c r="J251" s="59"/>
      <c r="K251" s="59"/>
      <c r="L251" s="59"/>
      <c r="M251" s="60"/>
      <c r="N251" s="60"/>
      <c r="O251" s="60"/>
      <c r="P251" s="59"/>
      <c r="Q251" s="59"/>
      <c r="R251" s="60"/>
      <c r="S251" s="60"/>
      <c r="T251" s="60"/>
      <c r="U251" s="60"/>
      <c r="V251" s="60"/>
      <c r="W251" s="60"/>
    </row>
    <row r="252" spans="1:23" ht="13" x14ac:dyDescent="0.3">
      <c r="A252" s="58"/>
      <c r="B252" s="58"/>
      <c r="C252" s="58"/>
      <c r="D252" s="58"/>
      <c r="E252" s="58"/>
      <c r="F252" s="58"/>
      <c r="G252" s="58"/>
      <c r="H252" s="59"/>
      <c r="I252" s="59"/>
      <c r="J252" s="59"/>
      <c r="K252" s="59"/>
      <c r="L252" s="59"/>
      <c r="M252" s="60"/>
      <c r="N252" s="60"/>
      <c r="O252" s="60"/>
      <c r="P252" s="59"/>
      <c r="Q252" s="59"/>
      <c r="R252" s="60"/>
      <c r="S252" s="60"/>
      <c r="T252" s="60"/>
      <c r="U252" s="60"/>
      <c r="V252" s="60"/>
      <c r="W252" s="60"/>
    </row>
    <row r="253" spans="1:23" ht="13" x14ac:dyDescent="0.3">
      <c r="A253" s="58"/>
      <c r="B253" s="58"/>
      <c r="C253" s="58"/>
      <c r="D253" s="58"/>
      <c r="E253" s="58"/>
      <c r="F253" s="58"/>
      <c r="G253" s="58"/>
      <c r="H253" s="59"/>
      <c r="I253" s="59"/>
      <c r="J253" s="59"/>
      <c r="K253" s="59"/>
      <c r="L253" s="59"/>
      <c r="M253" s="60"/>
      <c r="N253" s="60"/>
      <c r="O253" s="60"/>
      <c r="P253" s="59"/>
      <c r="Q253" s="59"/>
      <c r="R253" s="60"/>
      <c r="S253" s="60"/>
      <c r="T253" s="60"/>
      <c r="U253" s="60"/>
      <c r="V253" s="60"/>
      <c r="W253" s="60"/>
    </row>
    <row r="254" spans="1:23" ht="13" x14ac:dyDescent="0.3">
      <c r="A254" s="58"/>
      <c r="B254" s="58"/>
      <c r="C254" s="58"/>
      <c r="D254" s="58"/>
      <c r="E254" s="58"/>
      <c r="F254" s="58"/>
      <c r="G254" s="58"/>
      <c r="H254" s="59"/>
      <c r="I254" s="59"/>
      <c r="J254" s="59"/>
      <c r="K254" s="59"/>
      <c r="L254" s="59"/>
      <c r="M254" s="60"/>
      <c r="N254" s="60"/>
      <c r="O254" s="60"/>
      <c r="P254" s="59"/>
      <c r="Q254" s="59"/>
      <c r="R254" s="60"/>
      <c r="S254" s="60"/>
      <c r="T254" s="60"/>
      <c r="U254" s="60"/>
      <c r="V254" s="60"/>
      <c r="W254" s="60"/>
    </row>
    <row r="255" spans="1:23" ht="13" x14ac:dyDescent="0.3">
      <c r="A255" s="58"/>
      <c r="B255" s="58"/>
      <c r="C255" s="58"/>
      <c r="D255" s="58"/>
      <c r="E255" s="58"/>
      <c r="F255" s="58"/>
      <c r="G255" s="58"/>
      <c r="H255" s="59"/>
      <c r="I255" s="59"/>
      <c r="J255" s="59"/>
      <c r="K255" s="59"/>
      <c r="L255" s="59"/>
      <c r="M255" s="60"/>
      <c r="N255" s="60"/>
      <c r="O255" s="60"/>
      <c r="P255" s="59"/>
      <c r="Q255" s="59"/>
      <c r="R255" s="60"/>
      <c r="S255" s="60"/>
      <c r="T255" s="60"/>
      <c r="U255" s="60"/>
      <c r="V255" s="60"/>
      <c r="W255" s="60"/>
    </row>
    <row r="256" spans="1:23" ht="13" x14ac:dyDescent="0.3">
      <c r="A256" s="58"/>
      <c r="B256" s="58"/>
      <c r="C256" s="58"/>
      <c r="D256" s="58"/>
      <c r="E256" s="58"/>
      <c r="F256" s="58"/>
      <c r="G256" s="58"/>
      <c r="H256" s="59"/>
      <c r="I256" s="59"/>
      <c r="J256" s="59"/>
      <c r="K256" s="59"/>
      <c r="L256" s="59"/>
      <c r="M256" s="60"/>
      <c r="N256" s="60"/>
      <c r="O256" s="60"/>
      <c r="P256" s="59"/>
      <c r="Q256" s="59"/>
      <c r="R256" s="60"/>
      <c r="S256" s="60"/>
      <c r="T256" s="60"/>
      <c r="U256" s="60"/>
      <c r="V256" s="60"/>
      <c r="W256" s="60"/>
    </row>
    <row r="257" spans="1:23" ht="13" x14ac:dyDescent="0.3">
      <c r="A257" s="58"/>
      <c r="B257" s="58"/>
      <c r="C257" s="58"/>
      <c r="D257" s="58"/>
      <c r="E257" s="58"/>
      <c r="F257" s="58"/>
      <c r="G257" s="58"/>
      <c r="H257" s="59"/>
      <c r="I257" s="59"/>
      <c r="J257" s="59"/>
      <c r="K257" s="59"/>
      <c r="L257" s="59"/>
      <c r="M257" s="60"/>
      <c r="N257" s="60"/>
      <c r="O257" s="60"/>
      <c r="P257" s="59"/>
      <c r="Q257" s="59"/>
      <c r="R257" s="60"/>
      <c r="S257" s="60"/>
      <c r="T257" s="60"/>
      <c r="U257" s="60"/>
      <c r="V257" s="60"/>
      <c r="W257" s="60"/>
    </row>
    <row r="258" spans="1:23" ht="13" x14ac:dyDescent="0.3">
      <c r="A258" s="58"/>
      <c r="B258" s="58"/>
      <c r="C258" s="58"/>
      <c r="D258" s="58"/>
      <c r="E258" s="58"/>
      <c r="F258" s="58"/>
      <c r="G258" s="58"/>
      <c r="H258" s="59"/>
      <c r="I258" s="59"/>
      <c r="J258" s="59"/>
      <c r="K258" s="59"/>
      <c r="L258" s="59"/>
      <c r="M258" s="60"/>
      <c r="N258" s="60"/>
      <c r="O258" s="60"/>
      <c r="P258" s="59"/>
      <c r="Q258" s="59"/>
      <c r="R258" s="60"/>
      <c r="S258" s="60"/>
      <c r="T258" s="60"/>
      <c r="U258" s="60"/>
      <c r="V258" s="60"/>
      <c r="W258" s="60"/>
    </row>
    <row r="259" spans="1:23" ht="13" x14ac:dyDescent="0.3">
      <c r="A259" s="58"/>
      <c r="B259" s="58"/>
      <c r="C259" s="58"/>
      <c r="D259" s="58"/>
      <c r="E259" s="58"/>
      <c r="F259" s="58"/>
      <c r="G259" s="58"/>
      <c r="H259" s="59"/>
      <c r="I259" s="59"/>
      <c r="J259" s="59"/>
      <c r="K259" s="59"/>
      <c r="L259" s="59"/>
      <c r="M259" s="60"/>
      <c r="N259" s="60"/>
      <c r="O259" s="60"/>
      <c r="P259" s="59"/>
      <c r="Q259" s="59"/>
      <c r="R259" s="60"/>
      <c r="S259" s="60"/>
      <c r="T259" s="60"/>
      <c r="U259" s="60"/>
      <c r="V259" s="60"/>
      <c r="W259" s="60"/>
    </row>
    <row r="260" spans="1:23" ht="13" x14ac:dyDescent="0.3">
      <c r="A260" s="58"/>
      <c r="B260" s="58"/>
      <c r="C260" s="58"/>
      <c r="D260" s="58"/>
      <c r="E260" s="58"/>
      <c r="F260" s="58"/>
      <c r="G260" s="58"/>
      <c r="H260" s="59"/>
      <c r="I260" s="59"/>
      <c r="J260" s="59"/>
      <c r="K260" s="59"/>
      <c r="L260" s="59"/>
      <c r="M260" s="60"/>
      <c r="N260" s="60"/>
      <c r="O260" s="60"/>
      <c r="P260" s="59"/>
      <c r="Q260" s="59"/>
      <c r="R260" s="60"/>
      <c r="S260" s="60"/>
      <c r="T260" s="60"/>
      <c r="U260" s="60"/>
      <c r="V260" s="60"/>
      <c r="W260" s="60"/>
    </row>
    <row r="261" spans="1:23" ht="13" x14ac:dyDescent="0.3">
      <c r="A261" s="58"/>
      <c r="B261" s="58"/>
      <c r="C261" s="58"/>
      <c r="D261" s="58"/>
      <c r="E261" s="58"/>
      <c r="F261" s="58"/>
      <c r="G261" s="58"/>
      <c r="H261" s="59"/>
      <c r="I261" s="59"/>
      <c r="J261" s="59"/>
      <c r="K261" s="59"/>
      <c r="L261" s="59"/>
      <c r="M261" s="60"/>
      <c r="N261" s="60"/>
      <c r="O261" s="60"/>
      <c r="P261" s="59"/>
      <c r="Q261" s="59"/>
      <c r="R261" s="60"/>
      <c r="S261" s="60"/>
      <c r="T261" s="60"/>
      <c r="U261" s="60"/>
      <c r="V261" s="60"/>
      <c r="W261" s="60"/>
    </row>
    <row r="262" spans="1:23" ht="13" x14ac:dyDescent="0.3">
      <c r="A262" s="58"/>
      <c r="B262" s="58"/>
      <c r="C262" s="58"/>
      <c r="D262" s="58"/>
      <c r="E262" s="58"/>
      <c r="F262" s="58"/>
      <c r="G262" s="58"/>
      <c r="H262" s="59"/>
      <c r="I262" s="59"/>
      <c r="J262" s="59"/>
      <c r="K262" s="59"/>
      <c r="L262" s="59"/>
      <c r="M262" s="60"/>
      <c r="N262" s="60"/>
      <c r="O262" s="60"/>
      <c r="P262" s="59"/>
      <c r="Q262" s="59"/>
      <c r="R262" s="60"/>
      <c r="S262" s="60"/>
      <c r="T262" s="60"/>
      <c r="U262" s="60"/>
      <c r="V262" s="60"/>
      <c r="W262" s="60"/>
    </row>
    <row r="263" spans="1:23" ht="13" x14ac:dyDescent="0.3">
      <c r="A263" s="58"/>
      <c r="B263" s="58"/>
      <c r="C263" s="58"/>
      <c r="D263" s="58"/>
      <c r="E263" s="58"/>
      <c r="F263" s="58"/>
      <c r="G263" s="58"/>
      <c r="H263" s="59"/>
      <c r="I263" s="59"/>
      <c r="J263" s="59"/>
      <c r="K263" s="59"/>
      <c r="L263" s="59"/>
      <c r="M263" s="60"/>
      <c r="N263" s="60"/>
      <c r="O263" s="60"/>
      <c r="P263" s="59"/>
      <c r="Q263" s="59"/>
      <c r="R263" s="60"/>
      <c r="S263" s="60"/>
      <c r="T263" s="60"/>
      <c r="U263" s="60"/>
      <c r="V263" s="60"/>
      <c r="W263" s="60"/>
    </row>
    <row r="264" spans="1:23" ht="13" x14ac:dyDescent="0.3">
      <c r="A264" s="58"/>
      <c r="B264" s="58"/>
      <c r="C264" s="58"/>
      <c r="D264" s="58"/>
      <c r="E264" s="58"/>
      <c r="F264" s="58"/>
      <c r="G264" s="58"/>
      <c r="H264" s="59"/>
      <c r="I264" s="59"/>
      <c r="J264" s="59"/>
      <c r="K264" s="59"/>
      <c r="L264" s="59"/>
      <c r="M264" s="60"/>
      <c r="N264" s="60"/>
      <c r="O264" s="60"/>
      <c r="P264" s="59"/>
      <c r="Q264" s="59"/>
      <c r="R264" s="60"/>
      <c r="S264" s="60"/>
      <c r="T264" s="60"/>
      <c r="U264" s="60"/>
      <c r="V264" s="60"/>
      <c r="W264" s="60"/>
    </row>
    <row r="265" spans="1:23" ht="13" x14ac:dyDescent="0.3">
      <c r="A265" s="58"/>
      <c r="B265" s="58"/>
      <c r="C265" s="58"/>
      <c r="D265" s="58"/>
      <c r="E265" s="58"/>
      <c r="F265" s="58"/>
      <c r="G265" s="58"/>
      <c r="H265" s="59"/>
      <c r="I265" s="59"/>
      <c r="J265" s="59"/>
      <c r="K265" s="59"/>
      <c r="L265" s="59"/>
      <c r="M265" s="60"/>
      <c r="N265" s="60"/>
      <c r="O265" s="60"/>
      <c r="P265" s="59"/>
      <c r="Q265" s="59"/>
      <c r="R265" s="60"/>
      <c r="S265" s="60"/>
      <c r="T265" s="60"/>
      <c r="U265" s="60"/>
      <c r="V265" s="60"/>
      <c r="W265" s="60"/>
    </row>
    <row r="266" spans="1:23" ht="13" x14ac:dyDescent="0.3">
      <c r="A266" s="58"/>
      <c r="B266" s="58"/>
      <c r="C266" s="58"/>
      <c r="D266" s="58"/>
      <c r="E266" s="58"/>
      <c r="F266" s="58"/>
      <c r="G266" s="58"/>
      <c r="H266" s="59"/>
      <c r="I266" s="59"/>
      <c r="J266" s="59"/>
      <c r="K266" s="59"/>
      <c r="L266" s="59"/>
      <c r="M266" s="60"/>
      <c r="N266" s="60"/>
      <c r="O266" s="60"/>
      <c r="P266" s="59"/>
      <c r="Q266" s="59"/>
      <c r="R266" s="60"/>
      <c r="S266" s="60"/>
      <c r="T266" s="60"/>
      <c r="U266" s="60"/>
      <c r="V266" s="60"/>
      <c r="W266" s="60"/>
    </row>
    <row r="267" spans="1:23" ht="13" x14ac:dyDescent="0.3">
      <c r="A267" s="58"/>
      <c r="B267" s="58"/>
      <c r="C267" s="58"/>
      <c r="D267" s="58"/>
      <c r="E267" s="58"/>
      <c r="F267" s="58"/>
      <c r="G267" s="58"/>
      <c r="H267" s="59"/>
      <c r="I267" s="59"/>
      <c r="J267" s="59"/>
      <c r="K267" s="59"/>
      <c r="L267" s="59"/>
      <c r="M267" s="60"/>
      <c r="N267" s="60"/>
      <c r="O267" s="60"/>
      <c r="P267" s="59"/>
      <c r="Q267" s="59"/>
      <c r="R267" s="60"/>
      <c r="S267" s="60"/>
      <c r="T267" s="60"/>
      <c r="U267" s="60"/>
      <c r="V267" s="60"/>
      <c r="W267" s="60"/>
    </row>
    <row r="268" spans="1:23" ht="13" x14ac:dyDescent="0.3">
      <c r="A268" s="58"/>
      <c r="B268" s="58"/>
      <c r="C268" s="58"/>
      <c r="D268" s="58"/>
      <c r="E268" s="58"/>
      <c r="F268" s="58"/>
      <c r="G268" s="58"/>
      <c r="H268" s="59"/>
      <c r="I268" s="59"/>
      <c r="J268" s="59"/>
      <c r="K268" s="59"/>
      <c r="L268" s="59"/>
      <c r="M268" s="60"/>
      <c r="N268" s="60"/>
      <c r="O268" s="60"/>
      <c r="P268" s="59"/>
      <c r="Q268" s="59"/>
      <c r="R268" s="60"/>
      <c r="S268" s="60"/>
      <c r="T268" s="60"/>
      <c r="U268" s="60"/>
      <c r="V268" s="60"/>
      <c r="W268" s="60"/>
    </row>
    <row r="269" spans="1:23" ht="13" x14ac:dyDescent="0.3">
      <c r="A269" s="58"/>
      <c r="B269" s="58"/>
      <c r="C269" s="58"/>
      <c r="D269" s="58"/>
      <c r="E269" s="58"/>
      <c r="F269" s="58"/>
      <c r="G269" s="58"/>
      <c r="H269" s="59"/>
      <c r="I269" s="59"/>
      <c r="J269" s="59"/>
      <c r="K269" s="59"/>
      <c r="L269" s="59"/>
      <c r="M269" s="60"/>
      <c r="N269" s="60"/>
      <c r="O269" s="60"/>
      <c r="P269" s="59"/>
      <c r="Q269" s="59"/>
      <c r="R269" s="60"/>
      <c r="S269" s="60"/>
      <c r="T269" s="60"/>
      <c r="U269" s="60"/>
      <c r="V269" s="60"/>
      <c r="W269" s="60"/>
    </row>
    <row r="270" spans="1:23" ht="13" x14ac:dyDescent="0.3">
      <c r="A270" s="58"/>
      <c r="B270" s="58"/>
      <c r="C270" s="58"/>
      <c r="D270" s="58"/>
      <c r="E270" s="58"/>
      <c r="F270" s="58"/>
      <c r="G270" s="58"/>
      <c r="H270" s="59"/>
      <c r="I270" s="59"/>
      <c r="J270" s="59"/>
      <c r="K270" s="59"/>
      <c r="L270" s="59"/>
      <c r="M270" s="60"/>
      <c r="N270" s="60"/>
      <c r="O270" s="60"/>
      <c r="P270" s="59"/>
      <c r="Q270" s="59"/>
      <c r="R270" s="60"/>
      <c r="S270" s="60"/>
      <c r="T270" s="60"/>
      <c r="U270" s="60"/>
      <c r="V270" s="60"/>
      <c r="W270" s="60"/>
    </row>
    <row r="271" spans="1:23" ht="13" x14ac:dyDescent="0.3">
      <c r="A271" s="58"/>
      <c r="B271" s="58"/>
      <c r="C271" s="58"/>
      <c r="D271" s="58"/>
      <c r="E271" s="58"/>
      <c r="F271" s="58"/>
      <c r="G271" s="58"/>
      <c r="H271" s="59"/>
      <c r="I271" s="59"/>
      <c r="J271" s="59"/>
      <c r="K271" s="59"/>
      <c r="L271" s="59"/>
      <c r="M271" s="60"/>
      <c r="N271" s="60"/>
      <c r="O271" s="60"/>
      <c r="P271" s="59"/>
      <c r="Q271" s="59"/>
      <c r="R271" s="60"/>
      <c r="S271" s="60"/>
      <c r="T271" s="60"/>
      <c r="U271" s="60"/>
      <c r="V271" s="60"/>
      <c r="W271" s="60"/>
    </row>
    <row r="272" spans="1:23" ht="13" x14ac:dyDescent="0.3">
      <c r="A272" s="58"/>
      <c r="B272" s="58"/>
      <c r="C272" s="58"/>
      <c r="D272" s="58"/>
      <c r="E272" s="58"/>
      <c r="F272" s="58"/>
      <c r="G272" s="58"/>
      <c r="H272" s="59"/>
      <c r="I272" s="59"/>
      <c r="J272" s="59"/>
      <c r="K272" s="59"/>
      <c r="L272" s="59"/>
      <c r="M272" s="60"/>
      <c r="N272" s="60"/>
      <c r="O272" s="60"/>
      <c r="P272" s="59"/>
      <c r="Q272" s="59"/>
      <c r="R272" s="60"/>
      <c r="S272" s="60"/>
      <c r="T272" s="60"/>
      <c r="U272" s="60"/>
      <c r="V272" s="60"/>
      <c r="W272" s="60"/>
    </row>
    <row r="273" spans="1:23" ht="13" x14ac:dyDescent="0.3">
      <c r="A273" s="58"/>
      <c r="B273" s="58"/>
      <c r="C273" s="58"/>
      <c r="D273" s="58"/>
      <c r="E273" s="58"/>
      <c r="F273" s="58"/>
      <c r="G273" s="58"/>
      <c r="H273" s="59"/>
      <c r="I273" s="59"/>
      <c r="J273" s="59"/>
      <c r="K273" s="59"/>
      <c r="L273" s="59"/>
      <c r="M273" s="60"/>
      <c r="N273" s="60"/>
      <c r="O273" s="60"/>
      <c r="P273" s="59"/>
      <c r="Q273" s="59"/>
      <c r="R273" s="60"/>
      <c r="S273" s="60"/>
      <c r="T273" s="60"/>
      <c r="U273" s="60"/>
      <c r="V273" s="60"/>
      <c r="W273" s="60"/>
    </row>
    <row r="274" spans="1:23" ht="13" x14ac:dyDescent="0.3">
      <c r="A274" s="58"/>
      <c r="B274" s="58"/>
      <c r="C274" s="58"/>
      <c r="D274" s="58"/>
      <c r="E274" s="58"/>
      <c r="F274" s="58"/>
      <c r="G274" s="58"/>
      <c r="H274" s="59"/>
      <c r="I274" s="59"/>
      <c r="J274" s="59"/>
      <c r="K274" s="59"/>
      <c r="L274" s="59"/>
      <c r="M274" s="60"/>
      <c r="N274" s="60"/>
      <c r="O274" s="60"/>
      <c r="P274" s="59"/>
      <c r="Q274" s="59"/>
      <c r="R274" s="60"/>
      <c r="S274" s="60"/>
      <c r="T274" s="60"/>
      <c r="U274" s="60"/>
      <c r="V274" s="60"/>
      <c r="W274" s="60"/>
    </row>
    <row r="275" spans="1:23" ht="13" x14ac:dyDescent="0.3">
      <c r="A275" s="58"/>
      <c r="B275" s="58"/>
      <c r="C275" s="58"/>
      <c r="D275" s="58"/>
      <c r="E275" s="58"/>
      <c r="F275" s="58"/>
      <c r="G275" s="58"/>
      <c r="H275" s="59"/>
      <c r="I275" s="59"/>
      <c r="J275" s="59"/>
      <c r="K275" s="59"/>
      <c r="L275" s="59"/>
      <c r="M275" s="60"/>
      <c r="N275" s="60"/>
      <c r="O275" s="60"/>
      <c r="P275" s="59"/>
      <c r="Q275" s="59"/>
      <c r="R275" s="60"/>
      <c r="S275" s="60"/>
      <c r="T275" s="60"/>
      <c r="U275" s="60"/>
      <c r="V275" s="60"/>
      <c r="W275" s="60"/>
    </row>
    <row r="276" spans="1:23" ht="13" x14ac:dyDescent="0.3">
      <c r="A276" s="58"/>
      <c r="B276" s="58"/>
      <c r="C276" s="58"/>
      <c r="D276" s="58"/>
      <c r="E276" s="58"/>
      <c r="F276" s="58"/>
      <c r="G276" s="58"/>
      <c r="H276" s="59"/>
      <c r="I276" s="59"/>
      <c r="J276" s="59"/>
      <c r="K276" s="59"/>
      <c r="L276" s="59"/>
      <c r="M276" s="60"/>
      <c r="N276" s="60"/>
      <c r="O276" s="60"/>
      <c r="P276" s="59"/>
      <c r="Q276" s="59"/>
      <c r="R276" s="60"/>
      <c r="S276" s="60"/>
      <c r="T276" s="60"/>
      <c r="U276" s="60"/>
      <c r="V276" s="60"/>
      <c r="W276" s="60"/>
    </row>
    <row r="277" spans="1:23" ht="13" x14ac:dyDescent="0.3">
      <c r="A277" s="58"/>
      <c r="B277" s="58"/>
      <c r="C277" s="58"/>
      <c r="D277" s="58"/>
      <c r="E277" s="58"/>
      <c r="F277" s="58"/>
      <c r="G277" s="58"/>
      <c r="H277" s="59"/>
      <c r="I277" s="59"/>
      <c r="J277" s="59"/>
      <c r="K277" s="59"/>
      <c r="L277" s="59"/>
      <c r="M277" s="60"/>
      <c r="N277" s="60"/>
      <c r="O277" s="60"/>
      <c r="P277" s="59"/>
      <c r="Q277" s="59"/>
      <c r="R277" s="60"/>
      <c r="S277" s="60"/>
      <c r="T277" s="60"/>
      <c r="U277" s="60"/>
      <c r="V277" s="60"/>
      <c r="W277" s="60"/>
    </row>
    <row r="278" spans="1:23" ht="13" x14ac:dyDescent="0.3">
      <c r="A278" s="58"/>
      <c r="B278" s="58"/>
      <c r="C278" s="58"/>
      <c r="D278" s="58"/>
      <c r="E278" s="58"/>
      <c r="F278" s="58"/>
      <c r="G278" s="58"/>
      <c r="H278" s="59"/>
      <c r="I278" s="59"/>
      <c r="J278" s="59"/>
      <c r="K278" s="59"/>
      <c r="L278" s="59"/>
      <c r="M278" s="60"/>
      <c r="N278" s="60"/>
      <c r="O278" s="60"/>
      <c r="P278" s="59"/>
      <c r="Q278" s="59"/>
      <c r="R278" s="60"/>
      <c r="S278" s="60"/>
      <c r="T278" s="60"/>
      <c r="U278" s="60"/>
      <c r="V278" s="60"/>
      <c r="W278" s="60"/>
    </row>
    <row r="279" spans="1:23" ht="13" x14ac:dyDescent="0.3">
      <c r="A279" s="58"/>
      <c r="B279" s="58"/>
      <c r="C279" s="58"/>
      <c r="D279" s="58"/>
      <c r="E279" s="58"/>
      <c r="F279" s="58"/>
      <c r="G279" s="58"/>
      <c r="H279" s="59"/>
      <c r="I279" s="59"/>
      <c r="J279" s="59"/>
      <c r="K279" s="59"/>
      <c r="L279" s="59"/>
      <c r="M279" s="60"/>
      <c r="N279" s="60"/>
      <c r="O279" s="60"/>
      <c r="P279" s="59"/>
      <c r="Q279" s="59"/>
      <c r="R279" s="60"/>
      <c r="S279" s="60"/>
      <c r="T279" s="60"/>
      <c r="U279" s="60"/>
      <c r="V279" s="60"/>
      <c r="W279" s="60"/>
    </row>
    <row r="280" spans="1:23" ht="13" x14ac:dyDescent="0.3">
      <c r="A280" s="58"/>
      <c r="B280" s="58"/>
      <c r="C280" s="58"/>
      <c r="D280" s="58"/>
      <c r="E280" s="58"/>
      <c r="F280" s="58"/>
      <c r="G280" s="58"/>
      <c r="H280" s="59"/>
      <c r="I280" s="59"/>
      <c r="J280" s="59"/>
      <c r="K280" s="59"/>
      <c r="L280" s="59"/>
      <c r="M280" s="60"/>
      <c r="N280" s="60"/>
      <c r="O280" s="60"/>
      <c r="P280" s="59"/>
      <c r="Q280" s="59"/>
      <c r="R280" s="60"/>
      <c r="S280" s="60"/>
      <c r="T280" s="60"/>
      <c r="U280" s="60"/>
      <c r="V280" s="60"/>
      <c r="W280" s="60"/>
    </row>
    <row r="281" spans="1:23" ht="13" x14ac:dyDescent="0.3">
      <c r="A281" s="58"/>
      <c r="B281" s="58"/>
      <c r="C281" s="58"/>
      <c r="D281" s="58"/>
      <c r="E281" s="58"/>
      <c r="F281" s="58"/>
      <c r="G281" s="58"/>
      <c r="H281" s="59"/>
      <c r="I281" s="59"/>
      <c r="J281" s="59"/>
      <c r="K281" s="59"/>
      <c r="L281" s="59"/>
      <c r="M281" s="60"/>
      <c r="N281" s="60"/>
      <c r="O281" s="60"/>
      <c r="P281" s="59"/>
      <c r="Q281" s="59"/>
      <c r="R281" s="60"/>
      <c r="S281" s="60"/>
      <c r="T281" s="60"/>
      <c r="U281" s="60"/>
      <c r="V281" s="60"/>
      <c r="W281" s="60"/>
    </row>
    <row r="282" spans="1:23" ht="13" x14ac:dyDescent="0.3">
      <c r="A282" s="58"/>
      <c r="B282" s="58"/>
      <c r="C282" s="58"/>
      <c r="D282" s="58"/>
      <c r="E282" s="58"/>
      <c r="F282" s="58"/>
      <c r="G282" s="58"/>
      <c r="H282" s="59"/>
      <c r="I282" s="59"/>
      <c r="J282" s="59"/>
      <c r="K282" s="59"/>
      <c r="L282" s="59"/>
      <c r="M282" s="60"/>
      <c r="N282" s="60"/>
      <c r="O282" s="60"/>
      <c r="P282" s="59"/>
      <c r="Q282" s="59"/>
      <c r="R282" s="60"/>
      <c r="S282" s="60"/>
      <c r="T282" s="60"/>
      <c r="U282" s="60"/>
      <c r="V282" s="60"/>
      <c r="W282" s="60"/>
    </row>
    <row r="283" spans="1:23" ht="13" x14ac:dyDescent="0.3">
      <c r="A283" s="58"/>
      <c r="B283" s="58"/>
      <c r="C283" s="58"/>
      <c r="D283" s="58"/>
      <c r="E283" s="58"/>
      <c r="F283" s="58"/>
      <c r="G283" s="58"/>
      <c r="H283" s="59"/>
      <c r="I283" s="59"/>
      <c r="J283" s="59"/>
      <c r="K283" s="59"/>
      <c r="L283" s="59"/>
      <c r="M283" s="60"/>
      <c r="N283" s="60"/>
      <c r="O283" s="60"/>
      <c r="P283" s="59"/>
      <c r="Q283" s="59"/>
      <c r="R283" s="60"/>
      <c r="S283" s="60"/>
      <c r="T283" s="60"/>
      <c r="U283" s="60"/>
      <c r="V283" s="60"/>
      <c r="W283" s="60"/>
    </row>
    <row r="284" spans="1:23" ht="13" x14ac:dyDescent="0.3">
      <c r="A284" s="58"/>
      <c r="B284" s="58"/>
      <c r="C284" s="58"/>
      <c r="D284" s="58"/>
      <c r="E284" s="58"/>
      <c r="F284" s="58"/>
      <c r="G284" s="58"/>
      <c r="H284" s="59"/>
      <c r="I284" s="59"/>
      <c r="J284" s="59"/>
      <c r="K284" s="59"/>
      <c r="L284" s="59"/>
      <c r="M284" s="60"/>
      <c r="N284" s="60"/>
      <c r="O284" s="60"/>
      <c r="P284" s="59"/>
      <c r="Q284" s="59"/>
      <c r="R284" s="60"/>
      <c r="S284" s="60"/>
      <c r="T284" s="60"/>
      <c r="U284" s="60"/>
      <c r="V284" s="60"/>
      <c r="W284" s="60"/>
    </row>
    <row r="285" spans="1:23" ht="13" x14ac:dyDescent="0.3">
      <c r="A285" s="58"/>
      <c r="B285" s="58"/>
      <c r="C285" s="58"/>
      <c r="D285" s="58"/>
      <c r="E285" s="58"/>
      <c r="F285" s="58"/>
      <c r="G285" s="58"/>
      <c r="H285" s="59"/>
      <c r="I285" s="59"/>
      <c r="J285" s="59"/>
      <c r="K285" s="59"/>
      <c r="L285" s="59"/>
      <c r="M285" s="60"/>
      <c r="N285" s="60"/>
      <c r="O285" s="60"/>
      <c r="P285" s="59"/>
      <c r="Q285" s="59"/>
      <c r="R285" s="60"/>
      <c r="S285" s="60"/>
      <c r="T285" s="60"/>
      <c r="U285" s="60"/>
      <c r="V285" s="60"/>
      <c r="W285" s="60"/>
    </row>
    <row r="286" spans="1:23" ht="13" x14ac:dyDescent="0.3">
      <c r="A286" s="58"/>
      <c r="B286" s="58"/>
      <c r="C286" s="58"/>
      <c r="D286" s="58"/>
      <c r="E286" s="58"/>
      <c r="F286" s="58"/>
      <c r="G286" s="58"/>
      <c r="H286" s="59"/>
      <c r="I286" s="59"/>
      <c r="J286" s="59"/>
      <c r="K286" s="59"/>
      <c r="L286" s="59"/>
      <c r="M286" s="60"/>
      <c r="N286" s="60"/>
      <c r="O286" s="60"/>
      <c r="P286" s="59"/>
      <c r="Q286" s="59"/>
      <c r="R286" s="60"/>
      <c r="S286" s="60"/>
      <c r="T286" s="60"/>
      <c r="U286" s="60"/>
      <c r="V286" s="60"/>
      <c r="W286" s="60"/>
    </row>
    <row r="287" spans="1:23" ht="13" x14ac:dyDescent="0.3">
      <c r="A287" s="58"/>
      <c r="B287" s="58"/>
      <c r="C287" s="58"/>
      <c r="D287" s="58"/>
      <c r="E287" s="58"/>
      <c r="F287" s="58"/>
      <c r="G287" s="58"/>
      <c r="H287" s="59"/>
      <c r="I287" s="59"/>
      <c r="J287" s="59"/>
      <c r="K287" s="59"/>
      <c r="L287" s="59"/>
      <c r="M287" s="60"/>
      <c r="N287" s="60"/>
      <c r="O287" s="60"/>
      <c r="P287" s="59"/>
      <c r="Q287" s="59"/>
      <c r="R287" s="60"/>
      <c r="S287" s="60"/>
      <c r="T287" s="60"/>
      <c r="U287" s="60"/>
      <c r="V287" s="60"/>
      <c r="W287" s="60"/>
    </row>
    <row r="288" spans="1:23" ht="13" x14ac:dyDescent="0.3">
      <c r="A288" s="58"/>
      <c r="B288" s="58"/>
      <c r="C288" s="58"/>
      <c r="D288" s="58"/>
      <c r="E288" s="58"/>
      <c r="F288" s="58"/>
      <c r="G288" s="58"/>
      <c r="H288" s="59"/>
      <c r="I288" s="59"/>
      <c r="J288" s="59"/>
      <c r="K288" s="59"/>
      <c r="L288" s="59"/>
      <c r="M288" s="60"/>
      <c r="N288" s="60"/>
      <c r="O288" s="60"/>
      <c r="P288" s="59"/>
      <c r="Q288" s="59"/>
      <c r="R288" s="60"/>
      <c r="S288" s="60"/>
      <c r="T288" s="60"/>
      <c r="U288" s="60"/>
      <c r="V288" s="60"/>
      <c r="W288" s="60"/>
    </row>
    <row r="289" spans="1:23" ht="13" x14ac:dyDescent="0.3">
      <c r="A289" s="58"/>
      <c r="B289" s="58"/>
      <c r="C289" s="58"/>
      <c r="D289" s="58"/>
      <c r="E289" s="58"/>
      <c r="F289" s="58"/>
      <c r="G289" s="58"/>
      <c r="H289" s="59"/>
      <c r="I289" s="59"/>
      <c r="J289" s="59"/>
      <c r="K289" s="59"/>
      <c r="L289" s="59"/>
      <c r="M289" s="60"/>
      <c r="N289" s="60"/>
      <c r="O289" s="60"/>
      <c r="P289" s="59"/>
      <c r="Q289" s="59"/>
      <c r="R289" s="60"/>
      <c r="S289" s="60"/>
      <c r="T289" s="60"/>
      <c r="U289" s="60"/>
      <c r="V289" s="60"/>
      <c r="W289" s="60"/>
    </row>
    <row r="290" spans="1:23" ht="13" x14ac:dyDescent="0.3">
      <c r="A290" s="58"/>
      <c r="B290" s="58"/>
      <c r="C290" s="58"/>
      <c r="D290" s="58"/>
      <c r="E290" s="58"/>
      <c r="F290" s="58"/>
      <c r="G290" s="58"/>
      <c r="H290" s="59"/>
      <c r="I290" s="59"/>
      <c r="J290" s="59"/>
      <c r="K290" s="59"/>
      <c r="L290" s="59"/>
      <c r="M290" s="60"/>
      <c r="N290" s="60"/>
      <c r="O290" s="60"/>
      <c r="P290" s="59"/>
      <c r="Q290" s="59"/>
      <c r="R290" s="60"/>
      <c r="S290" s="60"/>
      <c r="T290" s="60"/>
      <c r="U290" s="60"/>
      <c r="V290" s="60"/>
      <c r="W290" s="60"/>
    </row>
    <row r="291" spans="1:23" ht="13" x14ac:dyDescent="0.3">
      <c r="A291" s="58"/>
      <c r="B291" s="58"/>
      <c r="C291" s="58"/>
      <c r="D291" s="58"/>
      <c r="E291" s="58"/>
      <c r="F291" s="58"/>
      <c r="G291" s="58"/>
      <c r="H291" s="59"/>
      <c r="I291" s="59"/>
      <c r="J291" s="59"/>
      <c r="K291" s="59"/>
      <c r="L291" s="59"/>
      <c r="M291" s="60"/>
      <c r="N291" s="60"/>
      <c r="O291" s="60"/>
      <c r="P291" s="59"/>
      <c r="Q291" s="59"/>
      <c r="R291" s="60"/>
      <c r="S291" s="60"/>
      <c r="T291" s="60"/>
      <c r="U291" s="60"/>
      <c r="V291" s="60"/>
      <c r="W291" s="60"/>
    </row>
    <row r="292" spans="1:23" ht="13" x14ac:dyDescent="0.3">
      <c r="A292" s="58"/>
      <c r="B292" s="58"/>
      <c r="C292" s="58"/>
      <c r="D292" s="58"/>
      <c r="E292" s="58"/>
      <c r="F292" s="58"/>
      <c r="G292" s="58"/>
      <c r="H292" s="59"/>
      <c r="I292" s="59"/>
      <c r="J292" s="59"/>
      <c r="K292" s="59"/>
      <c r="L292" s="59"/>
      <c r="M292" s="60"/>
      <c r="N292" s="60"/>
      <c r="O292" s="60"/>
      <c r="P292" s="59"/>
      <c r="Q292" s="59"/>
      <c r="R292" s="60"/>
      <c r="S292" s="60"/>
      <c r="T292" s="60"/>
      <c r="U292" s="60"/>
      <c r="V292" s="60"/>
      <c r="W292" s="60"/>
    </row>
    <row r="293" spans="1:23" ht="13" x14ac:dyDescent="0.3">
      <c r="A293" s="58"/>
      <c r="B293" s="58"/>
      <c r="C293" s="58"/>
      <c r="D293" s="58"/>
      <c r="E293" s="58"/>
      <c r="F293" s="58"/>
      <c r="G293" s="58"/>
      <c r="H293" s="59"/>
      <c r="I293" s="59"/>
      <c r="J293" s="59"/>
      <c r="K293" s="59"/>
      <c r="L293" s="59"/>
      <c r="M293" s="60"/>
      <c r="N293" s="60"/>
      <c r="O293" s="60"/>
      <c r="P293" s="59"/>
      <c r="Q293" s="59"/>
      <c r="R293" s="60"/>
      <c r="S293" s="60"/>
      <c r="T293" s="60"/>
      <c r="U293" s="60"/>
      <c r="V293" s="60"/>
      <c r="W293" s="60"/>
    </row>
    <row r="294" spans="1:23" ht="13" x14ac:dyDescent="0.3">
      <c r="A294" s="58"/>
      <c r="B294" s="58"/>
      <c r="C294" s="58"/>
      <c r="D294" s="58"/>
      <c r="E294" s="58"/>
      <c r="F294" s="58"/>
      <c r="G294" s="58"/>
      <c r="H294" s="59"/>
      <c r="I294" s="59"/>
      <c r="J294" s="59"/>
      <c r="K294" s="59"/>
      <c r="L294" s="59"/>
      <c r="M294" s="60"/>
      <c r="N294" s="60"/>
      <c r="O294" s="60"/>
      <c r="P294" s="59"/>
      <c r="Q294" s="59"/>
      <c r="R294" s="60"/>
      <c r="S294" s="60"/>
      <c r="T294" s="60"/>
      <c r="U294" s="60"/>
      <c r="V294" s="60"/>
      <c r="W294" s="60"/>
    </row>
    <row r="295" spans="1:23" ht="13" x14ac:dyDescent="0.3">
      <c r="A295" s="58"/>
      <c r="B295" s="58"/>
      <c r="C295" s="58"/>
      <c r="D295" s="58"/>
      <c r="E295" s="58"/>
      <c r="F295" s="58"/>
      <c r="G295" s="58"/>
      <c r="H295" s="59"/>
      <c r="I295" s="59"/>
      <c r="J295" s="59"/>
      <c r="K295" s="59"/>
      <c r="L295" s="59"/>
      <c r="M295" s="60"/>
      <c r="N295" s="60"/>
      <c r="O295" s="60"/>
      <c r="P295" s="59"/>
      <c r="Q295" s="59"/>
      <c r="R295" s="60"/>
      <c r="S295" s="60"/>
      <c r="T295" s="60"/>
      <c r="U295" s="60"/>
      <c r="V295" s="60"/>
      <c r="W295" s="60"/>
    </row>
    <row r="296" spans="1:23" ht="13" x14ac:dyDescent="0.3">
      <c r="A296" s="58"/>
      <c r="B296" s="58"/>
      <c r="C296" s="58"/>
      <c r="D296" s="58"/>
      <c r="E296" s="58"/>
      <c r="F296" s="58"/>
      <c r="G296" s="58"/>
      <c r="H296" s="59"/>
      <c r="I296" s="59"/>
      <c r="J296" s="59"/>
      <c r="K296" s="59"/>
      <c r="L296" s="59"/>
      <c r="M296" s="60"/>
      <c r="N296" s="60"/>
      <c r="O296" s="60"/>
      <c r="P296" s="59"/>
      <c r="Q296" s="59"/>
      <c r="R296" s="60"/>
      <c r="S296" s="60"/>
      <c r="T296" s="60"/>
      <c r="U296" s="60"/>
      <c r="V296" s="60"/>
      <c r="W296" s="60"/>
    </row>
    <row r="297" spans="1:23" ht="13" x14ac:dyDescent="0.3">
      <c r="A297" s="58"/>
      <c r="B297" s="58"/>
      <c r="C297" s="58"/>
      <c r="D297" s="58"/>
      <c r="E297" s="58"/>
      <c r="F297" s="58"/>
      <c r="G297" s="58"/>
      <c r="H297" s="59"/>
      <c r="I297" s="59"/>
      <c r="J297" s="59"/>
      <c r="K297" s="59"/>
      <c r="L297" s="59"/>
      <c r="M297" s="60"/>
      <c r="N297" s="60"/>
      <c r="O297" s="60"/>
      <c r="P297" s="59"/>
      <c r="Q297" s="59"/>
      <c r="R297" s="60"/>
      <c r="S297" s="60"/>
      <c r="T297" s="60"/>
      <c r="U297" s="60"/>
      <c r="V297" s="60"/>
      <c r="W297" s="60"/>
    </row>
    <row r="298" spans="1:23" ht="13" x14ac:dyDescent="0.3">
      <c r="A298" s="58"/>
      <c r="B298" s="58"/>
      <c r="C298" s="58"/>
      <c r="D298" s="58"/>
      <c r="E298" s="58"/>
      <c r="F298" s="58"/>
      <c r="G298" s="58"/>
      <c r="H298" s="59"/>
      <c r="I298" s="59"/>
      <c r="J298" s="59"/>
      <c r="K298" s="59"/>
      <c r="L298" s="59"/>
      <c r="M298" s="60"/>
      <c r="N298" s="60"/>
      <c r="O298" s="60"/>
      <c r="P298" s="59"/>
      <c r="Q298" s="59"/>
      <c r="R298" s="60"/>
      <c r="S298" s="60"/>
      <c r="T298" s="60"/>
      <c r="U298" s="60"/>
      <c r="V298" s="60"/>
      <c r="W298" s="60"/>
    </row>
    <row r="299" spans="1:23" ht="13" x14ac:dyDescent="0.3">
      <c r="A299" s="58"/>
      <c r="B299" s="58"/>
      <c r="C299" s="58"/>
      <c r="D299" s="58"/>
      <c r="E299" s="58"/>
      <c r="F299" s="58"/>
      <c r="G299" s="58"/>
      <c r="H299" s="59"/>
      <c r="I299" s="59"/>
      <c r="J299" s="59"/>
      <c r="K299" s="59"/>
      <c r="L299" s="59"/>
      <c r="M299" s="60"/>
      <c r="N299" s="60"/>
      <c r="O299" s="60"/>
      <c r="P299" s="59"/>
      <c r="Q299" s="59"/>
      <c r="R299" s="60"/>
      <c r="S299" s="60"/>
      <c r="T299" s="60"/>
      <c r="U299" s="60"/>
      <c r="V299" s="60"/>
      <c r="W299" s="60"/>
    </row>
    <row r="300" spans="1:23" ht="13" x14ac:dyDescent="0.3">
      <c r="A300" s="58"/>
      <c r="B300" s="58"/>
      <c r="C300" s="58"/>
      <c r="D300" s="58"/>
      <c r="E300" s="58"/>
      <c r="F300" s="58"/>
      <c r="G300" s="58"/>
      <c r="H300" s="59"/>
      <c r="I300" s="59"/>
      <c r="J300" s="59"/>
      <c r="K300" s="59"/>
      <c r="L300" s="59"/>
      <c r="M300" s="60"/>
      <c r="N300" s="60"/>
      <c r="O300" s="60"/>
      <c r="P300" s="59"/>
      <c r="Q300" s="59"/>
      <c r="R300" s="60"/>
      <c r="S300" s="60"/>
      <c r="T300" s="60"/>
      <c r="U300" s="60"/>
      <c r="V300" s="60"/>
      <c r="W300" s="60"/>
    </row>
    <row r="301" spans="1:23" ht="13" x14ac:dyDescent="0.3">
      <c r="A301" s="58"/>
      <c r="B301" s="58"/>
      <c r="C301" s="58"/>
      <c r="D301" s="58"/>
      <c r="E301" s="58"/>
      <c r="F301" s="58"/>
      <c r="G301" s="58"/>
      <c r="H301" s="59"/>
      <c r="I301" s="59"/>
      <c r="J301" s="59"/>
      <c r="K301" s="59"/>
      <c r="L301" s="59"/>
      <c r="M301" s="60"/>
      <c r="N301" s="60"/>
      <c r="O301" s="60"/>
      <c r="P301" s="59"/>
      <c r="Q301" s="59"/>
      <c r="R301" s="60"/>
      <c r="S301" s="60"/>
      <c r="T301" s="60"/>
      <c r="U301" s="60"/>
      <c r="V301" s="60"/>
      <c r="W301" s="60"/>
    </row>
    <row r="302" spans="1:23" ht="13" x14ac:dyDescent="0.3">
      <c r="A302" s="58"/>
      <c r="B302" s="58"/>
      <c r="C302" s="58"/>
      <c r="D302" s="58"/>
      <c r="E302" s="58"/>
      <c r="F302" s="58"/>
      <c r="G302" s="58"/>
      <c r="H302" s="59"/>
      <c r="I302" s="59"/>
      <c r="J302" s="59"/>
      <c r="K302" s="59"/>
      <c r="L302" s="59"/>
      <c r="M302" s="60"/>
      <c r="N302" s="60"/>
      <c r="O302" s="60"/>
      <c r="P302" s="59"/>
      <c r="Q302" s="59"/>
      <c r="R302" s="60"/>
      <c r="S302" s="60"/>
      <c r="T302" s="60"/>
      <c r="U302" s="60"/>
      <c r="V302" s="60"/>
      <c r="W302" s="60"/>
    </row>
    <row r="303" spans="1:23" ht="13" x14ac:dyDescent="0.3">
      <c r="A303" s="58"/>
      <c r="B303" s="58"/>
      <c r="C303" s="58"/>
      <c r="D303" s="58"/>
      <c r="E303" s="58"/>
      <c r="F303" s="58"/>
      <c r="G303" s="58"/>
      <c r="H303" s="59"/>
      <c r="I303" s="59"/>
      <c r="J303" s="59"/>
      <c r="K303" s="59"/>
      <c r="L303" s="59"/>
      <c r="M303" s="60"/>
      <c r="N303" s="60"/>
      <c r="O303" s="60"/>
      <c r="P303" s="59"/>
      <c r="Q303" s="59"/>
      <c r="R303" s="60"/>
      <c r="S303" s="60"/>
      <c r="T303" s="60"/>
      <c r="U303" s="60"/>
      <c r="V303" s="60"/>
      <c r="W303" s="60"/>
    </row>
    <row r="304" spans="1:23" ht="13" x14ac:dyDescent="0.3">
      <c r="A304" s="58"/>
      <c r="B304" s="58"/>
      <c r="C304" s="58"/>
      <c r="D304" s="58"/>
      <c r="E304" s="58"/>
      <c r="F304" s="58"/>
      <c r="G304" s="58"/>
      <c r="H304" s="59"/>
      <c r="I304" s="59"/>
      <c r="J304" s="59"/>
      <c r="K304" s="59"/>
      <c r="L304" s="59"/>
      <c r="M304" s="60"/>
      <c r="N304" s="60"/>
      <c r="O304" s="60"/>
      <c r="P304" s="59"/>
      <c r="Q304" s="59"/>
      <c r="R304" s="60"/>
      <c r="S304" s="60"/>
      <c r="T304" s="60"/>
      <c r="U304" s="60"/>
      <c r="V304" s="60"/>
      <c r="W304" s="60"/>
    </row>
    <row r="305" spans="1:23" ht="13" x14ac:dyDescent="0.3">
      <c r="A305" s="58"/>
      <c r="B305" s="58"/>
      <c r="C305" s="58"/>
      <c r="D305" s="58"/>
      <c r="E305" s="58"/>
      <c r="F305" s="58"/>
      <c r="G305" s="58"/>
      <c r="H305" s="59"/>
      <c r="I305" s="59"/>
      <c r="J305" s="59"/>
      <c r="K305" s="59"/>
      <c r="L305" s="59"/>
      <c r="M305" s="60"/>
      <c r="N305" s="60"/>
      <c r="O305" s="60"/>
      <c r="P305" s="59"/>
      <c r="Q305" s="59"/>
      <c r="R305" s="60"/>
      <c r="S305" s="60"/>
      <c r="T305" s="60"/>
      <c r="U305" s="60"/>
      <c r="V305" s="60"/>
      <c r="W305" s="60"/>
    </row>
    <row r="306" spans="1:23" ht="13" x14ac:dyDescent="0.3">
      <c r="A306" s="58"/>
      <c r="B306" s="58"/>
      <c r="C306" s="58"/>
      <c r="D306" s="58"/>
      <c r="E306" s="58"/>
      <c r="F306" s="58"/>
      <c r="G306" s="58"/>
      <c r="H306" s="59"/>
      <c r="I306" s="59"/>
      <c r="J306" s="59"/>
      <c r="K306" s="59"/>
      <c r="L306" s="59"/>
      <c r="M306" s="60"/>
      <c r="N306" s="60"/>
      <c r="O306" s="60"/>
      <c r="P306" s="59"/>
      <c r="Q306" s="59"/>
      <c r="R306" s="60"/>
      <c r="S306" s="60"/>
      <c r="T306" s="60"/>
      <c r="U306" s="60"/>
      <c r="V306" s="60"/>
      <c r="W306" s="60"/>
    </row>
    <row r="307" spans="1:23" ht="13" x14ac:dyDescent="0.3">
      <c r="A307" s="58"/>
      <c r="B307" s="58"/>
      <c r="C307" s="58"/>
      <c r="D307" s="58"/>
      <c r="E307" s="58"/>
      <c r="F307" s="58"/>
      <c r="G307" s="58"/>
      <c r="H307" s="59"/>
      <c r="I307" s="59"/>
      <c r="J307" s="59"/>
      <c r="K307" s="59"/>
      <c r="L307" s="59"/>
      <c r="M307" s="60"/>
      <c r="N307" s="60"/>
      <c r="O307" s="60"/>
      <c r="P307" s="59"/>
      <c r="Q307" s="59"/>
      <c r="R307" s="60"/>
      <c r="S307" s="60"/>
      <c r="T307" s="60"/>
      <c r="U307" s="60"/>
      <c r="V307" s="60"/>
      <c r="W307" s="60"/>
    </row>
    <row r="308" spans="1:23" ht="13" x14ac:dyDescent="0.3">
      <c r="A308" s="58"/>
      <c r="B308" s="58"/>
      <c r="C308" s="58"/>
      <c r="D308" s="58"/>
      <c r="E308" s="58"/>
      <c r="F308" s="58"/>
      <c r="G308" s="58"/>
      <c r="H308" s="59"/>
      <c r="I308" s="59"/>
      <c r="J308" s="59"/>
      <c r="K308" s="59"/>
      <c r="L308" s="59"/>
      <c r="M308" s="60"/>
      <c r="N308" s="60"/>
      <c r="O308" s="60"/>
      <c r="P308" s="59"/>
      <c r="Q308" s="59"/>
      <c r="R308" s="60"/>
      <c r="S308" s="60"/>
      <c r="T308" s="60"/>
      <c r="U308" s="60"/>
      <c r="V308" s="60"/>
      <c r="W308" s="60"/>
    </row>
    <row r="309" spans="1:23" ht="13" x14ac:dyDescent="0.3">
      <c r="A309" s="58"/>
      <c r="B309" s="58"/>
      <c r="C309" s="58"/>
      <c r="D309" s="58"/>
      <c r="E309" s="58"/>
      <c r="F309" s="58"/>
      <c r="G309" s="58"/>
      <c r="H309" s="59"/>
      <c r="I309" s="59"/>
      <c r="J309" s="59"/>
      <c r="K309" s="59"/>
      <c r="L309" s="59"/>
      <c r="M309" s="60"/>
      <c r="N309" s="60"/>
      <c r="O309" s="60"/>
      <c r="P309" s="59"/>
      <c r="Q309" s="59"/>
      <c r="R309" s="60"/>
      <c r="S309" s="60"/>
      <c r="T309" s="60"/>
      <c r="U309" s="60"/>
      <c r="V309" s="60"/>
      <c r="W309" s="60"/>
    </row>
    <row r="310" spans="1:23" ht="13" x14ac:dyDescent="0.3">
      <c r="A310" s="58"/>
      <c r="B310" s="58"/>
      <c r="C310" s="58"/>
      <c r="D310" s="58"/>
      <c r="E310" s="58"/>
      <c r="F310" s="58"/>
      <c r="G310" s="58"/>
      <c r="H310" s="59"/>
      <c r="I310" s="59"/>
      <c r="J310" s="59"/>
      <c r="K310" s="59"/>
      <c r="L310" s="59"/>
      <c r="M310" s="60"/>
      <c r="N310" s="60"/>
      <c r="O310" s="60"/>
      <c r="P310" s="59"/>
      <c r="Q310" s="59"/>
      <c r="R310" s="60"/>
      <c r="S310" s="60"/>
      <c r="T310" s="60"/>
      <c r="U310" s="60"/>
      <c r="V310" s="60"/>
      <c r="W310" s="60"/>
    </row>
    <row r="311" spans="1:23" ht="13" x14ac:dyDescent="0.3">
      <c r="A311" s="58"/>
      <c r="B311" s="58"/>
      <c r="C311" s="58"/>
      <c r="D311" s="58"/>
      <c r="E311" s="58"/>
      <c r="F311" s="58"/>
      <c r="G311" s="58"/>
      <c r="H311" s="59"/>
      <c r="I311" s="59"/>
      <c r="J311" s="59"/>
      <c r="K311" s="59"/>
      <c r="L311" s="59"/>
      <c r="M311" s="60"/>
      <c r="N311" s="60"/>
      <c r="O311" s="60"/>
      <c r="P311" s="59"/>
      <c r="Q311" s="59"/>
      <c r="R311" s="60"/>
      <c r="S311" s="60"/>
      <c r="T311" s="60"/>
      <c r="U311" s="60"/>
      <c r="V311" s="60"/>
      <c r="W311" s="60"/>
    </row>
    <row r="312" spans="1:23" ht="13" x14ac:dyDescent="0.3">
      <c r="A312" s="58"/>
      <c r="B312" s="58"/>
      <c r="C312" s="58"/>
      <c r="D312" s="58"/>
      <c r="E312" s="58"/>
      <c r="F312" s="58"/>
      <c r="G312" s="58"/>
      <c r="H312" s="59"/>
      <c r="I312" s="59"/>
      <c r="J312" s="59"/>
      <c r="K312" s="59"/>
      <c r="L312" s="59"/>
      <c r="M312" s="60"/>
      <c r="N312" s="60"/>
      <c r="O312" s="60"/>
      <c r="P312" s="59"/>
      <c r="Q312" s="59"/>
      <c r="R312" s="60"/>
      <c r="S312" s="60"/>
      <c r="T312" s="60"/>
      <c r="U312" s="60"/>
      <c r="V312" s="60"/>
      <c r="W312" s="60"/>
    </row>
    <row r="313" spans="1:23" ht="13" x14ac:dyDescent="0.3">
      <c r="A313" s="58"/>
      <c r="B313" s="58"/>
      <c r="C313" s="58"/>
      <c r="D313" s="58"/>
      <c r="E313" s="58"/>
      <c r="F313" s="58"/>
      <c r="G313" s="58"/>
      <c r="H313" s="59"/>
      <c r="I313" s="59"/>
      <c r="J313" s="59"/>
      <c r="K313" s="59"/>
      <c r="L313" s="59"/>
      <c r="M313" s="60"/>
      <c r="N313" s="60"/>
      <c r="O313" s="60"/>
      <c r="P313" s="59"/>
      <c r="Q313" s="59"/>
      <c r="R313" s="60"/>
      <c r="S313" s="60"/>
      <c r="T313" s="60"/>
      <c r="U313" s="60"/>
      <c r="V313" s="60"/>
      <c r="W313" s="60"/>
    </row>
    <row r="314" spans="1:23" ht="13" x14ac:dyDescent="0.3">
      <c r="A314" s="58"/>
      <c r="B314" s="58"/>
      <c r="C314" s="58"/>
      <c r="D314" s="58"/>
      <c r="E314" s="58"/>
      <c r="F314" s="58"/>
      <c r="G314" s="58"/>
      <c r="H314" s="59"/>
      <c r="I314" s="59"/>
      <c r="J314" s="59"/>
      <c r="K314" s="59"/>
      <c r="L314" s="59"/>
      <c r="M314" s="60"/>
      <c r="N314" s="60"/>
      <c r="O314" s="60"/>
      <c r="P314" s="59"/>
      <c r="Q314" s="59"/>
      <c r="R314" s="60"/>
      <c r="S314" s="60"/>
      <c r="T314" s="60"/>
      <c r="U314" s="60"/>
      <c r="V314" s="60"/>
      <c r="W314" s="60"/>
    </row>
    <row r="315" spans="1:23" ht="13" x14ac:dyDescent="0.3">
      <c r="A315" s="58"/>
      <c r="B315" s="58"/>
      <c r="C315" s="58"/>
      <c r="D315" s="58"/>
      <c r="E315" s="58"/>
      <c r="F315" s="58"/>
      <c r="G315" s="58"/>
      <c r="H315" s="59"/>
      <c r="I315" s="59"/>
      <c r="J315" s="59"/>
      <c r="K315" s="59"/>
      <c r="L315" s="59"/>
      <c r="M315" s="60"/>
      <c r="N315" s="60"/>
      <c r="O315" s="60"/>
      <c r="P315" s="59"/>
      <c r="Q315" s="59"/>
      <c r="R315" s="60"/>
      <c r="S315" s="60"/>
      <c r="T315" s="60"/>
      <c r="U315" s="60"/>
      <c r="V315" s="60"/>
      <c r="W315" s="60"/>
    </row>
    <row r="316" spans="1:23" ht="13" x14ac:dyDescent="0.3">
      <c r="A316" s="58"/>
      <c r="B316" s="58"/>
      <c r="C316" s="58"/>
      <c r="D316" s="58"/>
      <c r="E316" s="58"/>
      <c r="F316" s="58"/>
      <c r="G316" s="58"/>
      <c r="H316" s="59"/>
      <c r="I316" s="59"/>
      <c r="J316" s="59"/>
      <c r="K316" s="59"/>
      <c r="L316" s="59"/>
      <c r="M316" s="60"/>
      <c r="N316" s="60"/>
      <c r="O316" s="60"/>
      <c r="P316" s="59"/>
      <c r="Q316" s="59"/>
      <c r="R316" s="60"/>
      <c r="S316" s="60"/>
      <c r="T316" s="60"/>
      <c r="U316" s="60"/>
      <c r="V316" s="60"/>
      <c r="W316" s="60"/>
    </row>
    <row r="317" spans="1:23" ht="13" x14ac:dyDescent="0.3">
      <c r="A317" s="58"/>
      <c r="B317" s="58"/>
      <c r="C317" s="58"/>
      <c r="D317" s="58"/>
      <c r="E317" s="58"/>
      <c r="F317" s="58"/>
      <c r="G317" s="58"/>
      <c r="H317" s="59"/>
      <c r="I317" s="59"/>
      <c r="J317" s="59"/>
      <c r="K317" s="59"/>
      <c r="L317" s="59"/>
      <c r="M317" s="60"/>
      <c r="N317" s="60"/>
      <c r="O317" s="60"/>
      <c r="P317" s="59"/>
      <c r="Q317" s="59"/>
      <c r="R317" s="60"/>
      <c r="S317" s="60"/>
      <c r="T317" s="60"/>
      <c r="U317" s="60"/>
      <c r="V317" s="60"/>
      <c r="W317" s="60"/>
    </row>
    <row r="318" spans="1:23" ht="13" x14ac:dyDescent="0.3">
      <c r="A318" s="58"/>
      <c r="B318" s="58"/>
      <c r="C318" s="58"/>
      <c r="D318" s="58"/>
      <c r="E318" s="58"/>
      <c r="F318" s="58"/>
      <c r="G318" s="58"/>
      <c r="H318" s="59"/>
      <c r="I318" s="59"/>
      <c r="J318" s="59"/>
      <c r="K318" s="59"/>
      <c r="L318" s="59"/>
      <c r="M318" s="60"/>
      <c r="N318" s="60"/>
      <c r="O318" s="60"/>
      <c r="P318" s="59"/>
      <c r="Q318" s="59"/>
      <c r="R318" s="60"/>
      <c r="S318" s="60"/>
      <c r="T318" s="60"/>
      <c r="U318" s="60"/>
      <c r="V318" s="60"/>
      <c r="W318" s="60"/>
    </row>
    <row r="319" spans="1:23" ht="13" x14ac:dyDescent="0.3">
      <c r="A319" s="58"/>
      <c r="B319" s="58"/>
      <c r="C319" s="58"/>
      <c r="D319" s="58"/>
      <c r="E319" s="58"/>
      <c r="F319" s="58"/>
      <c r="G319" s="58"/>
      <c r="H319" s="59"/>
      <c r="I319" s="59"/>
      <c r="J319" s="59"/>
      <c r="K319" s="59"/>
      <c r="L319" s="59"/>
      <c r="M319" s="60"/>
      <c r="N319" s="60"/>
      <c r="O319" s="60"/>
      <c r="P319" s="59"/>
      <c r="Q319" s="59"/>
      <c r="R319" s="60"/>
      <c r="S319" s="60"/>
      <c r="T319" s="60"/>
      <c r="U319" s="60"/>
      <c r="V319" s="60"/>
      <c r="W319" s="60"/>
    </row>
    <row r="320" spans="1:23" ht="13" x14ac:dyDescent="0.3">
      <c r="A320" s="58"/>
      <c r="B320" s="58"/>
      <c r="C320" s="58"/>
      <c r="D320" s="58"/>
      <c r="E320" s="58"/>
      <c r="F320" s="58"/>
      <c r="G320" s="58"/>
      <c r="H320" s="59"/>
      <c r="I320" s="59"/>
      <c r="J320" s="59"/>
      <c r="K320" s="59"/>
      <c r="L320" s="59"/>
      <c r="M320" s="60"/>
      <c r="N320" s="60"/>
      <c r="O320" s="60"/>
      <c r="P320" s="59"/>
      <c r="Q320" s="59"/>
      <c r="R320" s="60"/>
      <c r="S320" s="60"/>
      <c r="T320" s="60"/>
      <c r="U320" s="60"/>
      <c r="V320" s="60"/>
      <c r="W320" s="60"/>
    </row>
    <row r="321" spans="1:23" ht="13" x14ac:dyDescent="0.3">
      <c r="A321" s="58"/>
      <c r="B321" s="58"/>
      <c r="C321" s="58"/>
      <c r="D321" s="58"/>
      <c r="E321" s="58"/>
      <c r="F321" s="58"/>
      <c r="G321" s="58"/>
      <c r="H321" s="59"/>
      <c r="I321" s="59"/>
      <c r="J321" s="59"/>
      <c r="K321" s="59"/>
      <c r="L321" s="59"/>
      <c r="M321" s="60"/>
      <c r="N321" s="60"/>
      <c r="O321" s="60"/>
      <c r="P321" s="59"/>
      <c r="Q321" s="59"/>
      <c r="R321" s="60"/>
      <c r="S321" s="60"/>
      <c r="T321" s="60"/>
      <c r="U321" s="60"/>
      <c r="V321" s="60"/>
      <c r="W321" s="60"/>
    </row>
    <row r="322" spans="1:23" ht="13" x14ac:dyDescent="0.3">
      <c r="A322" s="58"/>
      <c r="B322" s="58"/>
      <c r="C322" s="58"/>
      <c r="D322" s="58"/>
      <c r="E322" s="58"/>
      <c r="F322" s="58"/>
      <c r="G322" s="58"/>
      <c r="H322" s="59"/>
      <c r="I322" s="59"/>
      <c r="J322" s="59"/>
      <c r="K322" s="59"/>
      <c r="L322" s="59"/>
      <c r="M322" s="60"/>
      <c r="N322" s="60"/>
      <c r="O322" s="60"/>
      <c r="P322" s="59"/>
      <c r="Q322" s="59"/>
      <c r="R322" s="60"/>
      <c r="S322" s="60"/>
      <c r="T322" s="60"/>
      <c r="U322" s="60"/>
      <c r="V322" s="60"/>
      <c r="W322" s="60"/>
    </row>
    <row r="323" spans="1:23" ht="13" x14ac:dyDescent="0.3">
      <c r="A323" s="58"/>
      <c r="B323" s="58"/>
      <c r="C323" s="58"/>
      <c r="D323" s="58"/>
      <c r="E323" s="58"/>
      <c r="F323" s="58"/>
      <c r="G323" s="58"/>
      <c r="H323" s="59"/>
      <c r="I323" s="59"/>
      <c r="J323" s="59"/>
      <c r="K323" s="59"/>
      <c r="L323" s="59"/>
      <c r="M323" s="60"/>
      <c r="N323" s="60"/>
      <c r="O323" s="60"/>
      <c r="P323" s="59"/>
      <c r="Q323" s="59"/>
      <c r="R323" s="60"/>
      <c r="S323" s="60"/>
      <c r="T323" s="60"/>
      <c r="U323" s="60"/>
      <c r="V323" s="60"/>
      <c r="W323" s="60"/>
    </row>
    <row r="324" spans="1:23" ht="13" x14ac:dyDescent="0.3">
      <c r="A324" s="58"/>
      <c r="B324" s="58"/>
      <c r="C324" s="58"/>
      <c r="D324" s="58"/>
      <c r="E324" s="58"/>
      <c r="F324" s="58"/>
      <c r="G324" s="58"/>
      <c r="H324" s="59"/>
      <c r="I324" s="59"/>
      <c r="J324" s="59"/>
      <c r="K324" s="59"/>
      <c r="L324" s="59"/>
      <c r="M324" s="60"/>
      <c r="N324" s="60"/>
      <c r="O324" s="60"/>
      <c r="P324" s="59"/>
      <c r="Q324" s="59"/>
      <c r="R324" s="60"/>
      <c r="S324" s="60"/>
      <c r="T324" s="60"/>
      <c r="U324" s="60"/>
      <c r="V324" s="60"/>
      <c r="W324" s="60"/>
    </row>
    <row r="325" spans="1:23" ht="13" x14ac:dyDescent="0.3">
      <c r="A325" s="58"/>
      <c r="B325" s="58"/>
      <c r="C325" s="58"/>
      <c r="D325" s="58"/>
      <c r="E325" s="58"/>
      <c r="F325" s="58"/>
      <c r="G325" s="58"/>
      <c r="H325" s="59"/>
      <c r="I325" s="59"/>
      <c r="J325" s="59"/>
      <c r="K325" s="59"/>
      <c r="L325" s="59"/>
      <c r="M325" s="60"/>
      <c r="N325" s="60"/>
      <c r="O325" s="60"/>
      <c r="P325" s="59"/>
      <c r="Q325" s="59"/>
      <c r="R325" s="60"/>
      <c r="S325" s="60"/>
      <c r="T325" s="60"/>
      <c r="U325" s="60"/>
      <c r="V325" s="60"/>
      <c r="W325" s="60"/>
    </row>
    <row r="326" spans="1:23" ht="13" x14ac:dyDescent="0.3">
      <c r="A326" s="58"/>
      <c r="B326" s="58"/>
      <c r="C326" s="58"/>
      <c r="D326" s="58"/>
      <c r="E326" s="58"/>
      <c r="F326" s="58"/>
      <c r="G326" s="58"/>
      <c r="H326" s="59"/>
      <c r="I326" s="59"/>
      <c r="J326" s="59"/>
      <c r="K326" s="59"/>
      <c r="L326" s="59"/>
      <c r="M326" s="60"/>
      <c r="N326" s="60"/>
      <c r="O326" s="60"/>
      <c r="P326" s="59"/>
      <c r="Q326" s="59"/>
      <c r="R326" s="60"/>
      <c r="S326" s="60"/>
      <c r="T326" s="60"/>
      <c r="U326" s="60"/>
      <c r="V326" s="60"/>
      <c r="W326" s="60"/>
    </row>
    <row r="327" spans="1:23" ht="13" x14ac:dyDescent="0.3">
      <c r="A327" s="58"/>
      <c r="B327" s="58"/>
      <c r="C327" s="58"/>
      <c r="D327" s="58"/>
      <c r="E327" s="58"/>
      <c r="F327" s="58"/>
      <c r="G327" s="58"/>
      <c r="H327" s="59"/>
      <c r="I327" s="59"/>
      <c r="J327" s="59"/>
      <c r="K327" s="59"/>
      <c r="L327" s="59"/>
      <c r="M327" s="60"/>
      <c r="N327" s="60"/>
      <c r="O327" s="60"/>
      <c r="P327" s="59"/>
      <c r="Q327" s="59"/>
      <c r="R327" s="60"/>
      <c r="S327" s="60"/>
      <c r="T327" s="60"/>
      <c r="U327" s="60"/>
      <c r="V327" s="60"/>
      <c r="W327" s="60"/>
    </row>
    <row r="328" spans="1:23" ht="13" x14ac:dyDescent="0.3">
      <c r="A328" s="58"/>
      <c r="B328" s="58"/>
      <c r="C328" s="58"/>
      <c r="D328" s="58"/>
      <c r="E328" s="58"/>
      <c r="F328" s="58"/>
      <c r="G328" s="58"/>
      <c r="H328" s="59"/>
      <c r="I328" s="59"/>
      <c r="J328" s="59"/>
      <c r="K328" s="59"/>
      <c r="L328" s="59"/>
      <c r="M328" s="60"/>
      <c r="N328" s="60"/>
      <c r="O328" s="60"/>
      <c r="P328" s="59"/>
      <c r="Q328" s="59"/>
      <c r="R328" s="60"/>
      <c r="S328" s="60"/>
      <c r="T328" s="60"/>
      <c r="U328" s="60"/>
      <c r="V328" s="60"/>
      <c r="W328" s="60"/>
    </row>
    <row r="329" spans="1:23" ht="13" x14ac:dyDescent="0.3">
      <c r="A329" s="58"/>
      <c r="B329" s="58"/>
      <c r="C329" s="58"/>
      <c r="D329" s="58"/>
      <c r="E329" s="58"/>
      <c r="F329" s="58"/>
      <c r="G329" s="58"/>
      <c r="H329" s="59"/>
      <c r="I329" s="59"/>
      <c r="J329" s="59"/>
      <c r="K329" s="59"/>
      <c r="L329" s="59"/>
      <c r="M329" s="60"/>
      <c r="N329" s="60"/>
      <c r="O329" s="60"/>
      <c r="P329" s="59"/>
      <c r="Q329" s="59"/>
      <c r="R329" s="60"/>
      <c r="S329" s="60"/>
      <c r="T329" s="60"/>
      <c r="U329" s="60"/>
      <c r="V329" s="60"/>
      <c r="W329" s="60"/>
    </row>
    <row r="330" spans="1:23" ht="13" x14ac:dyDescent="0.3">
      <c r="A330" s="58"/>
      <c r="B330" s="58"/>
      <c r="C330" s="58"/>
      <c r="D330" s="58"/>
      <c r="E330" s="58"/>
      <c r="F330" s="58"/>
      <c r="G330" s="58"/>
      <c r="H330" s="59"/>
      <c r="I330" s="59"/>
      <c r="J330" s="59"/>
      <c r="K330" s="59"/>
      <c r="L330" s="59"/>
      <c r="M330" s="60"/>
      <c r="N330" s="60"/>
      <c r="O330" s="60"/>
      <c r="P330" s="59"/>
      <c r="Q330" s="59"/>
      <c r="R330" s="60"/>
      <c r="S330" s="60"/>
      <c r="T330" s="60"/>
      <c r="U330" s="60"/>
      <c r="V330" s="60"/>
      <c r="W330" s="60"/>
    </row>
    <row r="331" spans="1:23" ht="13" x14ac:dyDescent="0.3">
      <c r="A331" s="58"/>
      <c r="B331" s="58"/>
      <c r="C331" s="58"/>
      <c r="D331" s="58"/>
      <c r="E331" s="58"/>
      <c r="F331" s="58"/>
      <c r="G331" s="58"/>
      <c r="H331" s="59"/>
      <c r="I331" s="59"/>
      <c r="J331" s="59"/>
      <c r="K331" s="59"/>
      <c r="L331" s="59"/>
      <c r="M331" s="60"/>
      <c r="N331" s="60"/>
      <c r="O331" s="60"/>
      <c r="P331" s="59"/>
      <c r="Q331" s="59"/>
      <c r="R331" s="60"/>
      <c r="S331" s="60"/>
      <c r="T331" s="60"/>
      <c r="U331" s="60"/>
      <c r="V331" s="60"/>
      <c r="W331" s="60"/>
    </row>
    <row r="332" spans="1:23" ht="13" x14ac:dyDescent="0.3">
      <c r="A332" s="58"/>
      <c r="B332" s="58"/>
      <c r="C332" s="58"/>
      <c r="D332" s="58"/>
      <c r="E332" s="58"/>
      <c r="F332" s="58"/>
      <c r="G332" s="58"/>
      <c r="H332" s="59"/>
      <c r="I332" s="59"/>
      <c r="J332" s="59"/>
      <c r="K332" s="59"/>
      <c r="L332" s="59"/>
      <c r="M332" s="60"/>
      <c r="N332" s="60"/>
      <c r="O332" s="60"/>
      <c r="P332" s="59"/>
      <c r="Q332" s="59"/>
      <c r="R332" s="60"/>
      <c r="S332" s="60"/>
      <c r="T332" s="60"/>
      <c r="U332" s="60"/>
      <c r="V332" s="60"/>
      <c r="W332" s="60"/>
    </row>
    <row r="333" spans="1:23" ht="13" x14ac:dyDescent="0.3">
      <c r="A333" s="58"/>
      <c r="B333" s="58"/>
      <c r="C333" s="58"/>
      <c r="D333" s="58"/>
      <c r="E333" s="58"/>
      <c r="F333" s="58"/>
      <c r="G333" s="58"/>
      <c r="H333" s="59"/>
      <c r="I333" s="59"/>
      <c r="J333" s="59"/>
      <c r="K333" s="59"/>
      <c r="L333" s="59"/>
      <c r="M333" s="60"/>
      <c r="N333" s="60"/>
      <c r="O333" s="60"/>
      <c r="P333" s="59"/>
      <c r="Q333" s="59"/>
      <c r="R333" s="60"/>
      <c r="S333" s="60"/>
      <c r="T333" s="60"/>
      <c r="U333" s="60"/>
      <c r="V333" s="60"/>
      <c r="W333" s="60"/>
    </row>
    <row r="334" spans="1:23" ht="13" x14ac:dyDescent="0.3">
      <c r="A334" s="58"/>
      <c r="B334" s="58"/>
      <c r="C334" s="58"/>
      <c r="D334" s="58"/>
      <c r="E334" s="58"/>
      <c r="F334" s="58"/>
      <c r="G334" s="58"/>
      <c r="H334" s="59"/>
      <c r="I334" s="59"/>
      <c r="J334" s="59"/>
      <c r="K334" s="59"/>
      <c r="L334" s="59"/>
      <c r="M334" s="60"/>
      <c r="N334" s="60"/>
      <c r="O334" s="60"/>
      <c r="P334" s="59"/>
      <c r="Q334" s="59"/>
      <c r="R334" s="60"/>
      <c r="S334" s="60"/>
      <c r="T334" s="60"/>
      <c r="U334" s="60"/>
      <c r="V334" s="60"/>
      <c r="W334" s="60"/>
    </row>
    <row r="335" spans="1:23" ht="13" x14ac:dyDescent="0.3">
      <c r="A335" s="58"/>
      <c r="B335" s="58"/>
      <c r="C335" s="58"/>
      <c r="D335" s="58"/>
      <c r="E335" s="58"/>
      <c r="F335" s="58"/>
      <c r="G335" s="58"/>
      <c r="H335" s="59"/>
      <c r="I335" s="59"/>
      <c r="J335" s="59"/>
      <c r="K335" s="59"/>
      <c r="L335" s="59"/>
      <c r="M335" s="60"/>
      <c r="N335" s="60"/>
      <c r="O335" s="60"/>
      <c r="P335" s="59"/>
      <c r="Q335" s="59"/>
      <c r="R335" s="60"/>
      <c r="S335" s="60"/>
      <c r="T335" s="60"/>
      <c r="U335" s="60"/>
      <c r="V335" s="60"/>
      <c r="W335" s="60"/>
    </row>
    <row r="336" spans="1:23" ht="13" x14ac:dyDescent="0.3">
      <c r="A336" s="58"/>
      <c r="B336" s="58"/>
      <c r="C336" s="58"/>
      <c r="D336" s="58"/>
      <c r="E336" s="58"/>
      <c r="F336" s="58"/>
      <c r="G336" s="58"/>
      <c r="H336" s="59"/>
      <c r="I336" s="59"/>
      <c r="J336" s="59"/>
      <c r="K336" s="59"/>
      <c r="L336" s="59"/>
      <c r="M336" s="60"/>
      <c r="N336" s="60"/>
      <c r="O336" s="60"/>
      <c r="P336" s="59"/>
      <c r="Q336" s="59"/>
      <c r="R336" s="60"/>
      <c r="S336" s="60"/>
      <c r="T336" s="60"/>
      <c r="U336" s="60"/>
      <c r="V336" s="60"/>
      <c r="W336" s="60"/>
    </row>
    <row r="337" spans="1:23" ht="13" x14ac:dyDescent="0.3">
      <c r="A337" s="58"/>
      <c r="B337" s="58"/>
      <c r="C337" s="58"/>
      <c r="D337" s="58"/>
      <c r="E337" s="58"/>
      <c r="F337" s="58"/>
      <c r="G337" s="58"/>
      <c r="H337" s="59"/>
      <c r="I337" s="59"/>
      <c r="J337" s="59"/>
      <c r="K337" s="59"/>
      <c r="L337" s="59"/>
      <c r="M337" s="60"/>
      <c r="N337" s="60"/>
      <c r="O337" s="60"/>
      <c r="P337" s="59"/>
      <c r="Q337" s="59"/>
      <c r="R337" s="60"/>
      <c r="S337" s="60"/>
      <c r="T337" s="60"/>
      <c r="U337" s="60"/>
      <c r="V337" s="60"/>
      <c r="W337" s="60"/>
    </row>
    <row r="338" spans="1:23" ht="13" x14ac:dyDescent="0.3">
      <c r="A338" s="58"/>
      <c r="B338" s="58"/>
      <c r="C338" s="58"/>
      <c r="D338" s="58"/>
      <c r="E338" s="58"/>
      <c r="F338" s="58"/>
      <c r="G338" s="58"/>
      <c r="H338" s="59"/>
      <c r="I338" s="59"/>
      <c r="J338" s="59"/>
      <c r="K338" s="59"/>
      <c r="L338" s="59"/>
      <c r="M338" s="60"/>
      <c r="N338" s="60"/>
      <c r="O338" s="60"/>
      <c r="P338" s="59"/>
      <c r="Q338" s="59"/>
      <c r="R338" s="60"/>
      <c r="S338" s="60"/>
      <c r="T338" s="60"/>
      <c r="U338" s="60"/>
      <c r="V338" s="60"/>
      <c r="W338" s="60"/>
    </row>
    <row r="339" spans="1:23" ht="13" x14ac:dyDescent="0.3">
      <c r="A339" s="58"/>
      <c r="B339" s="58"/>
      <c r="C339" s="58"/>
      <c r="D339" s="58"/>
      <c r="E339" s="58"/>
      <c r="F339" s="58"/>
      <c r="G339" s="58"/>
      <c r="H339" s="59"/>
      <c r="I339" s="59"/>
      <c r="J339" s="59"/>
      <c r="K339" s="59"/>
      <c r="L339" s="59"/>
      <c r="M339" s="60"/>
      <c r="N339" s="60"/>
      <c r="O339" s="60"/>
      <c r="P339" s="59"/>
      <c r="Q339" s="59"/>
      <c r="R339" s="60"/>
      <c r="S339" s="60"/>
      <c r="T339" s="60"/>
      <c r="U339" s="60"/>
      <c r="V339" s="60"/>
      <c r="W339" s="60"/>
    </row>
    <row r="340" spans="1:23" ht="13" x14ac:dyDescent="0.3">
      <c r="A340" s="58"/>
      <c r="B340" s="58"/>
      <c r="C340" s="58"/>
      <c r="D340" s="58"/>
      <c r="E340" s="58"/>
      <c r="F340" s="58"/>
      <c r="G340" s="58"/>
      <c r="H340" s="59"/>
      <c r="I340" s="59"/>
      <c r="J340" s="59"/>
      <c r="K340" s="59"/>
      <c r="L340" s="59"/>
      <c r="M340" s="60"/>
      <c r="N340" s="60"/>
      <c r="O340" s="60"/>
      <c r="P340" s="59"/>
      <c r="Q340" s="59"/>
      <c r="R340" s="60"/>
      <c r="S340" s="60"/>
      <c r="T340" s="60"/>
      <c r="U340" s="60"/>
      <c r="V340" s="60"/>
      <c r="W340" s="60"/>
    </row>
    <row r="341" spans="1:23" ht="13" x14ac:dyDescent="0.3">
      <c r="A341" s="58"/>
      <c r="B341" s="58"/>
      <c r="C341" s="58"/>
      <c r="D341" s="58"/>
      <c r="E341" s="58"/>
      <c r="F341" s="58"/>
      <c r="G341" s="58"/>
      <c r="H341" s="59"/>
      <c r="I341" s="59"/>
      <c r="J341" s="59"/>
      <c r="K341" s="59"/>
      <c r="L341" s="59"/>
      <c r="M341" s="60"/>
      <c r="N341" s="60"/>
      <c r="O341" s="60"/>
      <c r="P341" s="59"/>
      <c r="Q341" s="59"/>
      <c r="R341" s="60"/>
      <c r="S341" s="60"/>
      <c r="T341" s="60"/>
      <c r="U341" s="60"/>
      <c r="V341" s="60"/>
      <c r="W341" s="60"/>
    </row>
    <row r="342" spans="1:23" ht="13" x14ac:dyDescent="0.3">
      <c r="A342" s="58"/>
      <c r="B342" s="58"/>
      <c r="C342" s="58"/>
      <c r="D342" s="58"/>
      <c r="E342" s="58"/>
      <c r="F342" s="58"/>
      <c r="G342" s="58"/>
      <c r="H342" s="59"/>
      <c r="I342" s="59"/>
      <c r="J342" s="59"/>
      <c r="K342" s="59"/>
      <c r="L342" s="59"/>
      <c r="M342" s="60"/>
      <c r="N342" s="60"/>
      <c r="O342" s="60"/>
      <c r="P342" s="59"/>
      <c r="Q342" s="59"/>
      <c r="R342" s="60"/>
      <c r="S342" s="60"/>
      <c r="T342" s="60"/>
      <c r="U342" s="60"/>
      <c r="V342" s="60"/>
      <c r="W342" s="60"/>
    </row>
    <row r="343" spans="1:23" ht="13" x14ac:dyDescent="0.3">
      <c r="A343" s="58"/>
      <c r="B343" s="58"/>
      <c r="C343" s="58"/>
      <c r="D343" s="58"/>
      <c r="E343" s="58"/>
      <c r="F343" s="58"/>
      <c r="G343" s="58"/>
      <c r="H343" s="59"/>
      <c r="I343" s="59"/>
      <c r="J343" s="59"/>
      <c r="K343" s="59"/>
      <c r="L343" s="59"/>
      <c r="M343" s="60"/>
      <c r="N343" s="60"/>
      <c r="O343" s="60"/>
      <c r="P343" s="59"/>
      <c r="Q343" s="59"/>
      <c r="R343" s="60"/>
      <c r="S343" s="60"/>
      <c r="T343" s="60"/>
      <c r="U343" s="60"/>
      <c r="V343" s="60"/>
      <c r="W343" s="60"/>
    </row>
    <row r="344" spans="1:23" ht="13" x14ac:dyDescent="0.3">
      <c r="A344" s="58"/>
      <c r="B344" s="58"/>
      <c r="C344" s="58"/>
      <c r="D344" s="58"/>
      <c r="E344" s="58"/>
      <c r="F344" s="58"/>
      <c r="G344" s="58"/>
      <c r="H344" s="59"/>
      <c r="I344" s="59"/>
      <c r="J344" s="59"/>
      <c r="K344" s="59"/>
      <c r="L344" s="59"/>
      <c r="M344" s="60"/>
      <c r="N344" s="60"/>
      <c r="O344" s="60"/>
      <c r="P344" s="59"/>
      <c r="Q344" s="59"/>
      <c r="R344" s="60"/>
      <c r="S344" s="60"/>
      <c r="T344" s="60"/>
      <c r="U344" s="60"/>
      <c r="V344" s="60"/>
      <c r="W344" s="60"/>
    </row>
    <row r="345" spans="1:23" ht="13" x14ac:dyDescent="0.3">
      <c r="A345" s="58"/>
      <c r="B345" s="58"/>
      <c r="C345" s="58"/>
      <c r="D345" s="58"/>
      <c r="E345" s="58"/>
      <c r="F345" s="58"/>
      <c r="G345" s="58"/>
      <c r="H345" s="59"/>
      <c r="I345" s="59"/>
      <c r="J345" s="59"/>
      <c r="K345" s="59"/>
      <c r="L345" s="59"/>
      <c r="M345" s="60"/>
      <c r="N345" s="60"/>
      <c r="O345" s="60"/>
      <c r="P345" s="59"/>
      <c r="Q345" s="59"/>
      <c r="R345" s="60"/>
      <c r="S345" s="60"/>
      <c r="T345" s="60"/>
      <c r="U345" s="60"/>
      <c r="V345" s="60"/>
      <c r="W345" s="60"/>
    </row>
    <row r="346" spans="1:23" ht="13" x14ac:dyDescent="0.3">
      <c r="A346" s="58"/>
      <c r="B346" s="58"/>
      <c r="C346" s="58"/>
      <c r="D346" s="58"/>
      <c r="E346" s="58"/>
      <c r="F346" s="58"/>
      <c r="G346" s="58"/>
      <c r="H346" s="59"/>
      <c r="I346" s="59"/>
      <c r="J346" s="59"/>
      <c r="K346" s="59"/>
      <c r="L346" s="59"/>
      <c r="M346" s="60"/>
      <c r="N346" s="60"/>
      <c r="O346" s="60"/>
      <c r="P346" s="59"/>
      <c r="Q346" s="59"/>
      <c r="R346" s="60"/>
      <c r="S346" s="60"/>
      <c r="T346" s="60"/>
      <c r="U346" s="60"/>
      <c r="V346" s="60"/>
      <c r="W346" s="60"/>
    </row>
    <row r="347" spans="1:23" ht="13" x14ac:dyDescent="0.3">
      <c r="A347" s="58"/>
      <c r="B347" s="58"/>
      <c r="C347" s="58"/>
      <c r="D347" s="58"/>
      <c r="E347" s="58"/>
      <c r="F347" s="58"/>
      <c r="G347" s="58"/>
      <c r="H347" s="59"/>
      <c r="I347" s="59"/>
      <c r="J347" s="59"/>
      <c r="K347" s="59"/>
      <c r="L347" s="59"/>
      <c r="M347" s="60"/>
      <c r="N347" s="60"/>
      <c r="O347" s="60"/>
      <c r="P347" s="59"/>
      <c r="Q347" s="59"/>
      <c r="R347" s="60"/>
      <c r="S347" s="60"/>
      <c r="T347" s="60"/>
      <c r="U347" s="60"/>
      <c r="V347" s="60"/>
      <c r="W347" s="60"/>
    </row>
    <row r="348" spans="1:23" ht="13" x14ac:dyDescent="0.3">
      <c r="A348" s="58"/>
      <c r="B348" s="58"/>
      <c r="C348" s="58"/>
      <c r="D348" s="58"/>
      <c r="E348" s="58"/>
      <c r="F348" s="58"/>
      <c r="G348" s="58"/>
      <c r="H348" s="59"/>
      <c r="I348" s="59"/>
      <c r="J348" s="59"/>
      <c r="K348" s="59"/>
      <c r="L348" s="59"/>
      <c r="M348" s="60"/>
      <c r="N348" s="60"/>
      <c r="O348" s="60"/>
      <c r="P348" s="59"/>
      <c r="Q348" s="59"/>
      <c r="R348" s="60"/>
      <c r="S348" s="60"/>
      <c r="T348" s="60"/>
      <c r="U348" s="60"/>
      <c r="V348" s="60"/>
      <c r="W348" s="60"/>
    </row>
    <row r="349" spans="1:23" ht="13" x14ac:dyDescent="0.3">
      <c r="A349" s="58"/>
      <c r="B349" s="58"/>
      <c r="C349" s="58"/>
      <c r="D349" s="58"/>
      <c r="E349" s="58"/>
      <c r="F349" s="58"/>
      <c r="G349" s="58"/>
      <c r="H349" s="59"/>
      <c r="I349" s="59"/>
      <c r="J349" s="59"/>
      <c r="K349" s="59"/>
      <c r="L349" s="59"/>
      <c r="M349" s="60"/>
      <c r="N349" s="60"/>
      <c r="O349" s="60"/>
      <c r="P349" s="59"/>
      <c r="Q349" s="59"/>
      <c r="R349" s="60"/>
      <c r="S349" s="60"/>
      <c r="T349" s="60"/>
      <c r="U349" s="60"/>
      <c r="V349" s="60"/>
      <c r="W349" s="60"/>
    </row>
    <row r="350" spans="1:23" ht="13" x14ac:dyDescent="0.3">
      <c r="A350" s="58"/>
      <c r="B350" s="58"/>
      <c r="C350" s="58"/>
      <c r="D350" s="58"/>
      <c r="E350" s="58"/>
      <c r="F350" s="58"/>
      <c r="G350" s="58"/>
      <c r="H350" s="59"/>
      <c r="I350" s="59"/>
      <c r="J350" s="59"/>
      <c r="K350" s="59"/>
      <c r="L350" s="59"/>
      <c r="M350" s="60"/>
      <c r="N350" s="60"/>
      <c r="O350" s="60"/>
      <c r="P350" s="59"/>
      <c r="Q350" s="59"/>
      <c r="R350" s="60"/>
      <c r="S350" s="60"/>
      <c r="T350" s="60"/>
      <c r="U350" s="60"/>
      <c r="V350" s="60"/>
      <c r="W350" s="60"/>
    </row>
    <row r="351" spans="1:23" ht="13" x14ac:dyDescent="0.3">
      <c r="A351" s="58"/>
      <c r="B351" s="58"/>
      <c r="C351" s="58"/>
      <c r="D351" s="58"/>
      <c r="E351" s="58"/>
      <c r="F351" s="58"/>
      <c r="G351" s="58"/>
      <c r="H351" s="59"/>
      <c r="I351" s="59"/>
      <c r="J351" s="59"/>
      <c r="K351" s="59"/>
      <c r="L351" s="59"/>
      <c r="M351" s="60"/>
      <c r="N351" s="60"/>
      <c r="O351" s="60"/>
      <c r="P351" s="59"/>
      <c r="Q351" s="59"/>
      <c r="R351" s="60"/>
      <c r="S351" s="60"/>
      <c r="T351" s="60"/>
      <c r="U351" s="60"/>
      <c r="V351" s="60"/>
      <c r="W351" s="60"/>
    </row>
    <row r="352" spans="1:23" ht="13" x14ac:dyDescent="0.3">
      <c r="A352" s="58"/>
      <c r="B352" s="58"/>
      <c r="C352" s="58"/>
      <c r="D352" s="58"/>
      <c r="E352" s="58"/>
      <c r="F352" s="58"/>
      <c r="G352" s="58"/>
      <c r="H352" s="59"/>
      <c r="I352" s="59"/>
      <c r="J352" s="59"/>
      <c r="K352" s="59"/>
      <c r="L352" s="59"/>
      <c r="M352" s="60"/>
      <c r="N352" s="60"/>
      <c r="O352" s="60"/>
      <c r="P352" s="59"/>
      <c r="Q352" s="59"/>
      <c r="R352" s="60"/>
      <c r="S352" s="60"/>
      <c r="T352" s="60"/>
      <c r="U352" s="60"/>
      <c r="V352" s="60"/>
      <c r="W352" s="60"/>
    </row>
    <row r="353" spans="1:23" ht="13" x14ac:dyDescent="0.3">
      <c r="A353" s="58"/>
      <c r="B353" s="58"/>
      <c r="C353" s="58"/>
      <c r="D353" s="58"/>
      <c r="E353" s="58"/>
      <c r="F353" s="58"/>
      <c r="G353" s="58"/>
      <c r="H353" s="59"/>
      <c r="I353" s="59"/>
      <c r="J353" s="59"/>
      <c r="K353" s="59"/>
      <c r="L353" s="59"/>
      <c r="M353" s="60"/>
      <c r="N353" s="60"/>
      <c r="O353" s="60"/>
      <c r="P353" s="59"/>
      <c r="Q353" s="59"/>
      <c r="R353" s="60"/>
      <c r="S353" s="60"/>
      <c r="T353" s="60"/>
      <c r="U353" s="60"/>
      <c r="V353" s="60"/>
      <c r="W353" s="60"/>
    </row>
    <row r="354" spans="1:23" ht="13" x14ac:dyDescent="0.3">
      <c r="A354" s="58"/>
      <c r="B354" s="58"/>
      <c r="C354" s="58"/>
      <c r="D354" s="58"/>
      <c r="E354" s="58"/>
      <c r="F354" s="58"/>
      <c r="G354" s="58"/>
      <c r="H354" s="59"/>
      <c r="I354" s="59"/>
      <c r="J354" s="59"/>
      <c r="K354" s="59"/>
      <c r="L354" s="59"/>
      <c r="M354" s="60"/>
      <c r="N354" s="60"/>
      <c r="O354" s="60"/>
      <c r="P354" s="59"/>
      <c r="Q354" s="59"/>
      <c r="R354" s="60"/>
      <c r="S354" s="60"/>
      <c r="T354" s="60"/>
      <c r="U354" s="60"/>
      <c r="V354" s="60"/>
      <c r="W354" s="60"/>
    </row>
    <row r="355" spans="1:23" ht="13" x14ac:dyDescent="0.3">
      <c r="A355" s="58"/>
      <c r="B355" s="58"/>
      <c r="C355" s="58"/>
      <c r="D355" s="58"/>
      <c r="E355" s="58"/>
      <c r="F355" s="58"/>
      <c r="G355" s="58"/>
      <c r="H355" s="59"/>
      <c r="I355" s="59"/>
      <c r="J355" s="59"/>
      <c r="K355" s="59"/>
      <c r="L355" s="59"/>
      <c r="M355" s="60"/>
      <c r="N355" s="60"/>
      <c r="O355" s="60"/>
      <c r="P355" s="59"/>
      <c r="Q355" s="59"/>
      <c r="R355" s="60"/>
      <c r="S355" s="60"/>
      <c r="T355" s="60"/>
      <c r="U355" s="60"/>
      <c r="V355" s="60"/>
      <c r="W355" s="60"/>
    </row>
    <row r="356" spans="1:23" ht="13" x14ac:dyDescent="0.3">
      <c r="A356" s="58"/>
      <c r="B356" s="58"/>
      <c r="C356" s="58"/>
      <c r="D356" s="58"/>
      <c r="E356" s="58"/>
      <c r="F356" s="58"/>
      <c r="G356" s="58"/>
      <c r="H356" s="59"/>
      <c r="I356" s="59"/>
      <c r="J356" s="59"/>
      <c r="K356" s="59"/>
      <c r="L356" s="59"/>
      <c r="M356" s="60"/>
      <c r="N356" s="60"/>
      <c r="O356" s="60"/>
      <c r="P356" s="59"/>
      <c r="Q356" s="59"/>
      <c r="R356" s="60"/>
      <c r="S356" s="60"/>
      <c r="T356" s="60"/>
      <c r="U356" s="60"/>
      <c r="V356" s="60"/>
      <c r="W356" s="60"/>
    </row>
    <row r="357" spans="1:23" ht="13" x14ac:dyDescent="0.3">
      <c r="A357" s="58"/>
      <c r="B357" s="58"/>
      <c r="C357" s="58"/>
      <c r="D357" s="58"/>
      <c r="E357" s="58"/>
      <c r="F357" s="58"/>
      <c r="G357" s="58"/>
      <c r="H357" s="59"/>
      <c r="I357" s="59"/>
      <c r="J357" s="59"/>
      <c r="K357" s="59"/>
      <c r="L357" s="59"/>
      <c r="M357" s="60"/>
      <c r="N357" s="60"/>
      <c r="O357" s="60"/>
      <c r="P357" s="59"/>
      <c r="Q357" s="59"/>
      <c r="R357" s="60"/>
      <c r="S357" s="60"/>
      <c r="T357" s="60"/>
      <c r="U357" s="60"/>
      <c r="V357" s="60"/>
      <c r="W357" s="60"/>
    </row>
    <row r="358" spans="1:23" ht="13" x14ac:dyDescent="0.3">
      <c r="A358" s="58"/>
      <c r="B358" s="58"/>
      <c r="C358" s="58"/>
      <c r="D358" s="58"/>
      <c r="E358" s="58"/>
      <c r="F358" s="58"/>
      <c r="G358" s="58"/>
      <c r="H358" s="59"/>
      <c r="I358" s="59"/>
      <c r="J358" s="59"/>
      <c r="K358" s="59"/>
      <c r="L358" s="59"/>
      <c r="M358" s="60"/>
      <c r="N358" s="60"/>
      <c r="O358" s="60"/>
      <c r="P358" s="59"/>
      <c r="Q358" s="59"/>
      <c r="R358" s="60"/>
      <c r="S358" s="60"/>
      <c r="T358" s="60"/>
      <c r="U358" s="60"/>
      <c r="V358" s="60"/>
      <c r="W358" s="60"/>
    </row>
    <row r="359" spans="1:23" ht="13" x14ac:dyDescent="0.3">
      <c r="A359" s="58"/>
      <c r="B359" s="58"/>
      <c r="C359" s="58"/>
      <c r="D359" s="58"/>
      <c r="E359" s="58"/>
      <c r="F359" s="58"/>
      <c r="G359" s="58"/>
      <c r="H359" s="59"/>
      <c r="I359" s="59"/>
      <c r="J359" s="59"/>
      <c r="K359" s="59"/>
      <c r="L359" s="59"/>
      <c r="M359" s="60"/>
      <c r="N359" s="60"/>
      <c r="O359" s="60"/>
      <c r="P359" s="59"/>
      <c r="Q359" s="59"/>
      <c r="R359" s="60"/>
      <c r="S359" s="60"/>
      <c r="T359" s="60"/>
      <c r="U359" s="60"/>
      <c r="V359" s="60"/>
      <c r="W359" s="60"/>
    </row>
    <row r="360" spans="1:23" ht="13" x14ac:dyDescent="0.3">
      <c r="A360" s="58"/>
      <c r="B360" s="58"/>
      <c r="C360" s="58"/>
      <c r="D360" s="58"/>
      <c r="E360" s="58"/>
      <c r="F360" s="58"/>
      <c r="G360" s="58"/>
      <c r="H360" s="59"/>
      <c r="I360" s="59"/>
      <c r="J360" s="59"/>
      <c r="K360" s="59"/>
      <c r="L360" s="59"/>
      <c r="M360" s="60"/>
      <c r="N360" s="60"/>
      <c r="O360" s="60"/>
      <c r="P360" s="59"/>
      <c r="Q360" s="59"/>
      <c r="R360" s="60"/>
      <c r="S360" s="60"/>
      <c r="T360" s="60"/>
      <c r="U360" s="60"/>
      <c r="V360" s="60"/>
      <c r="W360" s="60"/>
    </row>
    <row r="361" spans="1:23" ht="13" x14ac:dyDescent="0.3">
      <c r="A361" s="58"/>
      <c r="B361" s="58"/>
      <c r="C361" s="58"/>
      <c r="D361" s="58"/>
      <c r="E361" s="58"/>
      <c r="F361" s="58"/>
      <c r="G361" s="58"/>
      <c r="H361" s="59"/>
      <c r="I361" s="59"/>
      <c r="J361" s="59"/>
      <c r="K361" s="59"/>
      <c r="L361" s="59"/>
      <c r="M361" s="60"/>
      <c r="N361" s="60"/>
      <c r="O361" s="60"/>
      <c r="P361" s="59"/>
      <c r="Q361" s="59"/>
      <c r="R361" s="60"/>
      <c r="S361" s="60"/>
      <c r="T361" s="60"/>
      <c r="U361" s="60"/>
      <c r="V361" s="60"/>
      <c r="W361" s="60"/>
    </row>
    <row r="362" spans="1:23" ht="13" x14ac:dyDescent="0.3">
      <c r="A362" s="58"/>
      <c r="B362" s="58"/>
      <c r="C362" s="58"/>
      <c r="D362" s="58"/>
      <c r="E362" s="58"/>
      <c r="F362" s="58"/>
      <c r="G362" s="58"/>
      <c r="H362" s="59"/>
      <c r="I362" s="59"/>
      <c r="J362" s="59"/>
      <c r="K362" s="59"/>
      <c r="L362" s="59"/>
      <c r="M362" s="60"/>
      <c r="N362" s="60"/>
      <c r="O362" s="60"/>
      <c r="P362" s="59"/>
      <c r="Q362" s="59"/>
      <c r="R362" s="60"/>
      <c r="S362" s="60"/>
      <c r="T362" s="60"/>
      <c r="U362" s="60"/>
      <c r="V362" s="60"/>
      <c r="W362" s="60"/>
    </row>
    <row r="363" spans="1:23" ht="13" x14ac:dyDescent="0.3">
      <c r="A363" s="58"/>
      <c r="B363" s="58"/>
      <c r="C363" s="58"/>
      <c r="D363" s="58"/>
      <c r="E363" s="58"/>
      <c r="F363" s="58"/>
      <c r="G363" s="58"/>
      <c r="H363" s="59"/>
      <c r="I363" s="59"/>
      <c r="J363" s="59"/>
      <c r="K363" s="59"/>
      <c r="L363" s="59"/>
      <c r="M363" s="60"/>
      <c r="N363" s="60"/>
      <c r="O363" s="60"/>
      <c r="P363" s="59"/>
      <c r="Q363" s="59"/>
      <c r="R363" s="60"/>
      <c r="S363" s="60"/>
      <c r="T363" s="60"/>
      <c r="U363" s="60"/>
      <c r="V363" s="60"/>
      <c r="W363" s="60"/>
    </row>
    <row r="364" spans="1:23" ht="13" x14ac:dyDescent="0.3">
      <c r="A364" s="58"/>
      <c r="B364" s="58"/>
      <c r="C364" s="58"/>
      <c r="D364" s="58"/>
      <c r="E364" s="58"/>
      <c r="F364" s="58"/>
      <c r="G364" s="58"/>
      <c r="H364" s="59"/>
      <c r="I364" s="59"/>
      <c r="J364" s="59"/>
      <c r="K364" s="59"/>
      <c r="L364" s="59"/>
      <c r="M364" s="60"/>
      <c r="N364" s="60"/>
      <c r="O364" s="60"/>
      <c r="P364" s="59"/>
      <c r="Q364" s="59"/>
      <c r="R364" s="60"/>
      <c r="S364" s="60"/>
      <c r="T364" s="60"/>
      <c r="U364" s="60"/>
      <c r="V364" s="60"/>
      <c r="W364" s="60"/>
    </row>
    <row r="365" spans="1:23" ht="13" x14ac:dyDescent="0.3">
      <c r="A365" s="58"/>
      <c r="B365" s="58"/>
      <c r="C365" s="58"/>
      <c r="D365" s="58"/>
      <c r="E365" s="58"/>
      <c r="F365" s="58"/>
      <c r="G365" s="58"/>
      <c r="H365" s="59"/>
      <c r="I365" s="59"/>
      <c r="J365" s="59"/>
      <c r="K365" s="59"/>
      <c r="L365" s="59"/>
      <c r="M365" s="60"/>
      <c r="N365" s="60"/>
      <c r="O365" s="60"/>
      <c r="P365" s="59"/>
      <c r="Q365" s="59"/>
      <c r="R365" s="60"/>
      <c r="S365" s="60"/>
      <c r="T365" s="60"/>
      <c r="U365" s="60"/>
      <c r="V365" s="60"/>
      <c r="W365" s="60"/>
    </row>
    <row r="366" spans="1:23" ht="13" x14ac:dyDescent="0.3">
      <c r="A366" s="58"/>
      <c r="B366" s="58"/>
      <c r="C366" s="58"/>
      <c r="D366" s="58"/>
      <c r="E366" s="58"/>
      <c r="F366" s="58"/>
      <c r="G366" s="58"/>
      <c r="H366" s="59"/>
      <c r="I366" s="59"/>
      <c r="J366" s="59"/>
      <c r="K366" s="59"/>
      <c r="L366" s="59"/>
      <c r="M366" s="60"/>
      <c r="N366" s="60"/>
      <c r="O366" s="60"/>
      <c r="P366" s="59"/>
      <c r="Q366" s="59"/>
      <c r="R366" s="60"/>
      <c r="S366" s="60"/>
      <c r="T366" s="60"/>
      <c r="U366" s="60"/>
      <c r="V366" s="60"/>
      <c r="W366" s="60"/>
    </row>
    <row r="367" spans="1:23" ht="13" x14ac:dyDescent="0.3">
      <c r="A367" s="58"/>
      <c r="B367" s="58"/>
      <c r="C367" s="58"/>
      <c r="D367" s="58"/>
      <c r="E367" s="58"/>
      <c r="F367" s="58"/>
      <c r="G367" s="58"/>
      <c r="H367" s="59"/>
      <c r="I367" s="59"/>
      <c r="J367" s="59"/>
      <c r="K367" s="59"/>
      <c r="L367" s="59"/>
      <c r="M367" s="60"/>
      <c r="N367" s="60"/>
      <c r="O367" s="60"/>
      <c r="P367" s="59"/>
      <c r="Q367" s="59"/>
      <c r="R367" s="60"/>
      <c r="S367" s="60"/>
      <c r="T367" s="60"/>
      <c r="U367" s="60"/>
      <c r="V367" s="60"/>
      <c r="W367" s="60"/>
    </row>
    <row r="368" spans="1:23" ht="13" x14ac:dyDescent="0.3">
      <c r="A368" s="58"/>
      <c r="B368" s="58"/>
      <c r="C368" s="58"/>
      <c r="D368" s="58"/>
      <c r="E368" s="58"/>
      <c r="F368" s="58"/>
      <c r="G368" s="58"/>
      <c r="H368" s="59"/>
      <c r="I368" s="59"/>
      <c r="J368" s="59"/>
      <c r="K368" s="59"/>
      <c r="L368" s="59"/>
      <c r="M368" s="60"/>
      <c r="N368" s="60"/>
      <c r="O368" s="60"/>
      <c r="P368" s="59"/>
      <c r="Q368" s="59"/>
      <c r="R368" s="60"/>
      <c r="S368" s="60"/>
      <c r="T368" s="60"/>
      <c r="U368" s="60"/>
      <c r="V368" s="60"/>
      <c r="W368" s="60"/>
    </row>
    <row r="369" spans="1:23" ht="13" x14ac:dyDescent="0.3">
      <c r="A369" s="58"/>
      <c r="B369" s="58"/>
      <c r="C369" s="58"/>
      <c r="D369" s="58"/>
      <c r="E369" s="58"/>
      <c r="F369" s="58"/>
      <c r="G369" s="58"/>
      <c r="H369" s="59"/>
      <c r="I369" s="59"/>
      <c r="J369" s="59"/>
      <c r="K369" s="59"/>
      <c r="L369" s="59"/>
      <c r="M369" s="60"/>
      <c r="N369" s="60"/>
      <c r="O369" s="60"/>
      <c r="P369" s="59"/>
      <c r="Q369" s="59"/>
      <c r="R369" s="60"/>
      <c r="S369" s="60"/>
      <c r="T369" s="60"/>
      <c r="U369" s="60"/>
      <c r="V369" s="60"/>
      <c r="W369" s="60"/>
    </row>
    <row r="370" spans="1:23" ht="13" x14ac:dyDescent="0.3">
      <c r="A370" s="58"/>
      <c r="B370" s="58"/>
      <c r="C370" s="58"/>
      <c r="D370" s="58"/>
      <c r="E370" s="58"/>
      <c r="F370" s="58"/>
      <c r="G370" s="58"/>
      <c r="H370" s="59"/>
      <c r="I370" s="59"/>
      <c r="J370" s="59"/>
      <c r="K370" s="59"/>
      <c r="L370" s="59"/>
      <c r="M370" s="60"/>
      <c r="N370" s="60"/>
      <c r="O370" s="60"/>
      <c r="P370" s="59"/>
      <c r="Q370" s="59"/>
      <c r="R370" s="60"/>
      <c r="S370" s="60"/>
      <c r="T370" s="60"/>
      <c r="U370" s="60"/>
      <c r="V370" s="60"/>
      <c r="W370" s="60"/>
    </row>
    <row r="371" spans="1:23" ht="13" x14ac:dyDescent="0.3">
      <c r="A371" s="58"/>
      <c r="B371" s="58"/>
      <c r="C371" s="58"/>
      <c r="D371" s="58"/>
      <c r="E371" s="58"/>
      <c r="F371" s="58"/>
      <c r="G371" s="58"/>
      <c r="H371" s="59"/>
      <c r="I371" s="59"/>
      <c r="J371" s="59"/>
      <c r="K371" s="59"/>
      <c r="L371" s="59"/>
      <c r="M371" s="60"/>
      <c r="N371" s="60"/>
      <c r="O371" s="60"/>
      <c r="P371" s="59"/>
      <c r="Q371" s="59"/>
      <c r="R371" s="60"/>
      <c r="S371" s="60"/>
      <c r="T371" s="60"/>
      <c r="U371" s="60"/>
      <c r="V371" s="60"/>
      <c r="W371" s="60"/>
    </row>
    <row r="372" spans="1:23" ht="13" x14ac:dyDescent="0.3">
      <c r="A372" s="58"/>
      <c r="B372" s="58"/>
      <c r="C372" s="58"/>
      <c r="D372" s="58"/>
      <c r="E372" s="58"/>
      <c r="F372" s="58"/>
      <c r="G372" s="58"/>
      <c r="H372" s="59"/>
      <c r="I372" s="59"/>
      <c r="J372" s="59"/>
      <c r="K372" s="59"/>
      <c r="L372" s="59"/>
      <c r="M372" s="60"/>
      <c r="N372" s="60"/>
      <c r="O372" s="60"/>
      <c r="P372" s="59"/>
      <c r="Q372" s="59"/>
      <c r="R372" s="60"/>
      <c r="S372" s="60"/>
      <c r="T372" s="60"/>
      <c r="U372" s="60"/>
      <c r="V372" s="60"/>
      <c r="W372" s="60"/>
    </row>
    <row r="373" spans="1:23" ht="13" x14ac:dyDescent="0.3">
      <c r="A373" s="58"/>
      <c r="B373" s="58"/>
      <c r="C373" s="58"/>
      <c r="D373" s="58"/>
      <c r="E373" s="58"/>
      <c r="F373" s="58"/>
      <c r="G373" s="58"/>
      <c r="H373" s="59"/>
      <c r="I373" s="59"/>
      <c r="J373" s="59"/>
      <c r="K373" s="59"/>
      <c r="L373" s="59"/>
      <c r="M373" s="60"/>
      <c r="N373" s="60"/>
      <c r="O373" s="60"/>
      <c r="P373" s="59"/>
      <c r="Q373" s="59"/>
      <c r="R373" s="60"/>
      <c r="S373" s="60"/>
      <c r="T373" s="60"/>
      <c r="U373" s="60"/>
      <c r="V373" s="60"/>
      <c r="W373" s="60"/>
    </row>
    <row r="374" spans="1:23" ht="13" x14ac:dyDescent="0.3">
      <c r="A374" s="58"/>
      <c r="B374" s="58"/>
      <c r="C374" s="58"/>
      <c r="D374" s="58"/>
      <c r="E374" s="58"/>
      <c r="F374" s="58"/>
      <c r="G374" s="58"/>
      <c r="H374" s="59"/>
      <c r="I374" s="59"/>
      <c r="J374" s="59"/>
      <c r="K374" s="59"/>
      <c r="L374" s="59"/>
      <c r="M374" s="60"/>
      <c r="N374" s="60"/>
      <c r="O374" s="60"/>
      <c r="P374" s="59"/>
      <c r="Q374" s="59"/>
      <c r="R374" s="60"/>
      <c r="S374" s="60"/>
      <c r="T374" s="60"/>
      <c r="U374" s="60"/>
      <c r="V374" s="60"/>
      <c r="W374" s="60"/>
    </row>
    <row r="375" spans="1:23" ht="13" x14ac:dyDescent="0.3">
      <c r="A375" s="58"/>
      <c r="B375" s="58"/>
      <c r="C375" s="58"/>
      <c r="D375" s="58"/>
      <c r="E375" s="58"/>
      <c r="F375" s="58"/>
      <c r="G375" s="58"/>
      <c r="H375" s="59"/>
      <c r="I375" s="59"/>
      <c r="J375" s="59"/>
      <c r="K375" s="59"/>
      <c r="L375" s="59"/>
      <c r="M375" s="60"/>
      <c r="N375" s="60"/>
      <c r="O375" s="60"/>
      <c r="P375" s="59"/>
      <c r="Q375" s="59"/>
      <c r="R375" s="60"/>
      <c r="S375" s="60"/>
      <c r="T375" s="60"/>
      <c r="U375" s="60"/>
      <c r="V375" s="60"/>
      <c r="W375" s="60"/>
    </row>
    <row r="376" spans="1:23" ht="13" x14ac:dyDescent="0.3">
      <c r="A376" s="58"/>
      <c r="B376" s="58"/>
      <c r="C376" s="58"/>
      <c r="D376" s="58"/>
      <c r="E376" s="58"/>
      <c r="F376" s="58"/>
      <c r="G376" s="58"/>
      <c r="H376" s="59"/>
      <c r="I376" s="59"/>
      <c r="J376" s="59"/>
      <c r="K376" s="59"/>
      <c r="L376" s="59"/>
      <c r="M376" s="60"/>
      <c r="N376" s="60"/>
      <c r="O376" s="60"/>
      <c r="P376" s="59"/>
      <c r="Q376" s="59"/>
      <c r="R376" s="60"/>
      <c r="S376" s="60"/>
      <c r="T376" s="60"/>
      <c r="U376" s="60"/>
      <c r="V376" s="60"/>
      <c r="W376" s="60"/>
    </row>
    <row r="377" spans="1:23" ht="13" x14ac:dyDescent="0.3">
      <c r="A377" s="58"/>
      <c r="B377" s="58"/>
      <c r="C377" s="58"/>
      <c r="D377" s="58"/>
      <c r="E377" s="58"/>
      <c r="F377" s="58"/>
      <c r="G377" s="58"/>
      <c r="H377" s="59"/>
      <c r="I377" s="59"/>
      <c r="J377" s="59"/>
      <c r="K377" s="59"/>
      <c r="L377" s="59"/>
      <c r="M377" s="60"/>
      <c r="N377" s="60"/>
      <c r="O377" s="60"/>
      <c r="P377" s="59"/>
      <c r="Q377" s="59"/>
      <c r="R377" s="60"/>
      <c r="S377" s="60"/>
      <c r="T377" s="60"/>
      <c r="U377" s="60"/>
      <c r="V377" s="60"/>
      <c r="W377" s="60"/>
    </row>
    <row r="378" spans="1:23" ht="13" x14ac:dyDescent="0.3">
      <c r="A378" s="58"/>
      <c r="B378" s="58"/>
      <c r="C378" s="58"/>
      <c r="D378" s="58"/>
      <c r="E378" s="58"/>
      <c r="F378" s="58"/>
      <c r="G378" s="58"/>
      <c r="H378" s="59"/>
      <c r="I378" s="59"/>
      <c r="J378" s="59"/>
      <c r="K378" s="59"/>
      <c r="L378" s="59"/>
      <c r="M378" s="60"/>
      <c r="N378" s="60"/>
      <c r="O378" s="60"/>
      <c r="P378" s="59"/>
      <c r="Q378" s="59"/>
      <c r="R378" s="60"/>
      <c r="S378" s="60"/>
      <c r="T378" s="60"/>
      <c r="U378" s="60"/>
      <c r="V378" s="60"/>
      <c r="W378" s="60"/>
    </row>
    <row r="379" spans="1:23" ht="13" x14ac:dyDescent="0.3">
      <c r="A379" s="58"/>
      <c r="B379" s="58"/>
      <c r="C379" s="58"/>
      <c r="D379" s="58"/>
      <c r="E379" s="58"/>
      <c r="F379" s="58"/>
      <c r="G379" s="58"/>
      <c r="H379" s="59"/>
      <c r="I379" s="59"/>
      <c r="J379" s="59"/>
      <c r="K379" s="59"/>
      <c r="L379" s="59"/>
      <c r="M379" s="60"/>
      <c r="N379" s="60"/>
      <c r="O379" s="60"/>
      <c r="P379" s="59"/>
      <c r="Q379" s="59"/>
      <c r="R379" s="60"/>
      <c r="S379" s="60"/>
      <c r="T379" s="60"/>
      <c r="U379" s="60"/>
      <c r="V379" s="60"/>
      <c r="W379" s="60"/>
    </row>
    <row r="380" spans="1:23" ht="13" x14ac:dyDescent="0.3">
      <c r="A380" s="58"/>
      <c r="B380" s="58"/>
      <c r="C380" s="58"/>
      <c r="D380" s="58"/>
      <c r="E380" s="58"/>
      <c r="F380" s="58"/>
      <c r="G380" s="58"/>
      <c r="H380" s="59"/>
      <c r="I380" s="59"/>
      <c r="J380" s="59"/>
      <c r="K380" s="59"/>
      <c r="L380" s="59"/>
      <c r="M380" s="60"/>
      <c r="N380" s="60"/>
      <c r="O380" s="60"/>
      <c r="P380" s="59"/>
      <c r="Q380" s="59"/>
      <c r="R380" s="60"/>
      <c r="S380" s="60"/>
      <c r="T380" s="60"/>
      <c r="U380" s="60"/>
      <c r="V380" s="60"/>
      <c r="W380" s="60"/>
    </row>
    <row r="381" spans="1:23" ht="13" x14ac:dyDescent="0.3">
      <c r="A381" s="58"/>
      <c r="B381" s="58"/>
      <c r="C381" s="58"/>
      <c r="D381" s="58"/>
      <c r="E381" s="58"/>
      <c r="F381" s="58"/>
      <c r="G381" s="58"/>
      <c r="H381" s="59"/>
      <c r="I381" s="59"/>
      <c r="J381" s="59"/>
      <c r="K381" s="59"/>
      <c r="L381" s="59"/>
      <c r="M381" s="60"/>
      <c r="N381" s="60"/>
      <c r="O381" s="60"/>
      <c r="P381" s="59"/>
      <c r="Q381" s="59"/>
      <c r="R381" s="60"/>
      <c r="S381" s="60"/>
      <c r="T381" s="60"/>
      <c r="U381" s="60"/>
      <c r="V381" s="60"/>
      <c r="W381" s="60"/>
    </row>
    <row r="382" spans="1:23" ht="13" x14ac:dyDescent="0.3">
      <c r="A382" s="58"/>
      <c r="B382" s="58"/>
      <c r="C382" s="58"/>
      <c r="D382" s="58"/>
      <c r="E382" s="58"/>
      <c r="F382" s="58"/>
      <c r="G382" s="58"/>
      <c r="H382" s="59"/>
      <c r="I382" s="59"/>
      <c r="J382" s="59"/>
      <c r="K382" s="59"/>
      <c r="L382" s="59"/>
      <c r="M382" s="60"/>
      <c r="N382" s="60"/>
      <c r="O382" s="60"/>
      <c r="P382" s="59"/>
      <c r="Q382" s="59"/>
      <c r="R382" s="60"/>
      <c r="S382" s="60"/>
      <c r="T382" s="60"/>
      <c r="U382" s="60"/>
      <c r="V382" s="60"/>
      <c r="W382" s="60"/>
    </row>
    <row r="383" spans="1:23" ht="13" x14ac:dyDescent="0.3">
      <c r="A383" s="58"/>
      <c r="B383" s="58"/>
      <c r="C383" s="58"/>
      <c r="D383" s="58"/>
      <c r="E383" s="58"/>
      <c r="F383" s="58"/>
      <c r="G383" s="58"/>
      <c r="H383" s="59"/>
      <c r="I383" s="59"/>
      <c r="J383" s="59"/>
      <c r="K383" s="59"/>
      <c r="L383" s="59"/>
      <c r="M383" s="60"/>
      <c r="N383" s="60"/>
      <c r="O383" s="60"/>
      <c r="P383" s="59"/>
      <c r="Q383" s="59"/>
      <c r="R383" s="60"/>
      <c r="S383" s="60"/>
      <c r="T383" s="60"/>
      <c r="U383" s="60"/>
      <c r="V383" s="60"/>
      <c r="W383" s="60"/>
    </row>
    <row r="384" spans="1:23" ht="13" x14ac:dyDescent="0.3">
      <c r="A384" s="58"/>
      <c r="B384" s="58"/>
      <c r="C384" s="58"/>
      <c r="D384" s="58"/>
      <c r="E384" s="58"/>
      <c r="F384" s="58"/>
      <c r="G384" s="58"/>
      <c r="H384" s="59"/>
      <c r="I384" s="59"/>
      <c r="J384" s="59"/>
      <c r="K384" s="59"/>
      <c r="L384" s="59"/>
      <c r="M384" s="60"/>
      <c r="N384" s="60"/>
      <c r="O384" s="60"/>
      <c r="P384" s="59"/>
      <c r="Q384" s="59"/>
      <c r="R384" s="60"/>
      <c r="S384" s="60"/>
      <c r="T384" s="60"/>
      <c r="U384" s="60"/>
      <c r="V384" s="60"/>
      <c r="W384" s="60"/>
    </row>
    <row r="385" spans="1:23" ht="13" x14ac:dyDescent="0.3">
      <c r="A385" s="58"/>
      <c r="B385" s="58"/>
      <c r="C385" s="58"/>
      <c r="D385" s="58"/>
      <c r="E385" s="58"/>
      <c r="F385" s="58"/>
      <c r="G385" s="58"/>
      <c r="H385" s="59"/>
      <c r="I385" s="59"/>
      <c r="J385" s="59"/>
      <c r="K385" s="59"/>
      <c r="L385" s="59"/>
      <c r="M385" s="60"/>
      <c r="N385" s="60"/>
      <c r="O385" s="60"/>
      <c r="P385" s="59"/>
      <c r="Q385" s="59"/>
      <c r="R385" s="60"/>
      <c r="S385" s="60"/>
      <c r="T385" s="60"/>
      <c r="U385" s="60"/>
      <c r="V385" s="60"/>
      <c r="W385" s="60"/>
    </row>
    <row r="386" spans="1:23" ht="13" x14ac:dyDescent="0.3">
      <c r="A386" s="58"/>
      <c r="B386" s="58"/>
      <c r="C386" s="58"/>
      <c r="D386" s="58"/>
      <c r="E386" s="58"/>
      <c r="F386" s="58"/>
      <c r="G386" s="58"/>
      <c r="H386" s="59"/>
      <c r="I386" s="59"/>
      <c r="J386" s="59"/>
      <c r="K386" s="59"/>
      <c r="L386" s="59"/>
      <c r="M386" s="60"/>
      <c r="N386" s="60"/>
      <c r="O386" s="60"/>
      <c r="P386" s="59"/>
      <c r="Q386" s="59"/>
      <c r="R386" s="60"/>
      <c r="S386" s="60"/>
      <c r="T386" s="60"/>
      <c r="U386" s="60"/>
      <c r="V386" s="60"/>
      <c r="W386" s="60"/>
    </row>
    <row r="387" spans="1:23" ht="13" x14ac:dyDescent="0.3">
      <c r="A387" s="58"/>
      <c r="B387" s="58"/>
      <c r="C387" s="58"/>
      <c r="D387" s="58"/>
      <c r="E387" s="58"/>
      <c r="F387" s="58"/>
      <c r="G387" s="58"/>
      <c r="H387" s="59"/>
      <c r="I387" s="59"/>
      <c r="J387" s="59"/>
      <c r="K387" s="59"/>
      <c r="L387" s="59"/>
      <c r="M387" s="60"/>
      <c r="N387" s="60"/>
      <c r="O387" s="60"/>
      <c r="P387" s="59"/>
      <c r="Q387" s="59"/>
      <c r="R387" s="60"/>
      <c r="S387" s="60"/>
      <c r="T387" s="60"/>
      <c r="U387" s="60"/>
      <c r="V387" s="60"/>
      <c r="W387" s="60"/>
    </row>
    <row r="388" spans="1:23" ht="13" x14ac:dyDescent="0.3">
      <c r="A388" s="58"/>
      <c r="B388" s="58"/>
      <c r="C388" s="58"/>
      <c r="D388" s="58"/>
      <c r="E388" s="58"/>
      <c r="F388" s="58"/>
      <c r="G388" s="58"/>
      <c r="H388" s="59"/>
      <c r="I388" s="59"/>
      <c r="J388" s="59"/>
      <c r="K388" s="59"/>
      <c r="L388" s="59"/>
      <c r="M388" s="60"/>
      <c r="N388" s="60"/>
      <c r="O388" s="60"/>
      <c r="P388" s="59"/>
      <c r="Q388" s="59"/>
      <c r="R388" s="60"/>
      <c r="S388" s="60"/>
      <c r="T388" s="60"/>
      <c r="U388" s="60"/>
      <c r="V388" s="60"/>
      <c r="W388" s="60"/>
    </row>
    <row r="389" spans="1:23" ht="13" x14ac:dyDescent="0.3">
      <c r="A389" s="58"/>
      <c r="B389" s="58"/>
      <c r="C389" s="58"/>
      <c r="D389" s="58"/>
      <c r="E389" s="58"/>
      <c r="F389" s="58"/>
      <c r="G389" s="58"/>
      <c r="H389" s="59"/>
      <c r="I389" s="59"/>
      <c r="J389" s="59"/>
      <c r="K389" s="59"/>
      <c r="L389" s="59"/>
      <c r="M389" s="60"/>
      <c r="N389" s="60"/>
      <c r="O389" s="60"/>
      <c r="P389" s="59"/>
      <c r="Q389" s="59"/>
      <c r="R389" s="60"/>
      <c r="S389" s="60"/>
      <c r="T389" s="60"/>
      <c r="U389" s="60"/>
      <c r="V389" s="60"/>
      <c r="W389" s="60"/>
    </row>
    <row r="390" spans="1:23" ht="13" x14ac:dyDescent="0.3">
      <c r="A390" s="58"/>
      <c r="B390" s="58"/>
      <c r="C390" s="58"/>
      <c r="D390" s="58"/>
      <c r="E390" s="58"/>
      <c r="F390" s="58"/>
      <c r="G390" s="58"/>
      <c r="H390" s="59"/>
      <c r="I390" s="59"/>
      <c r="J390" s="59"/>
      <c r="K390" s="59"/>
      <c r="L390" s="59"/>
      <c r="M390" s="60"/>
      <c r="N390" s="60"/>
      <c r="O390" s="60"/>
      <c r="P390" s="59"/>
      <c r="Q390" s="59"/>
      <c r="R390" s="60"/>
      <c r="S390" s="60"/>
      <c r="T390" s="60"/>
      <c r="U390" s="60"/>
      <c r="V390" s="60"/>
      <c r="W390" s="60"/>
    </row>
    <row r="391" spans="1:23" ht="13" x14ac:dyDescent="0.3">
      <c r="A391" s="58"/>
      <c r="B391" s="58"/>
      <c r="C391" s="58"/>
      <c r="D391" s="58"/>
      <c r="E391" s="58"/>
      <c r="F391" s="58"/>
      <c r="G391" s="58"/>
      <c r="H391" s="59"/>
      <c r="I391" s="59"/>
      <c r="J391" s="59"/>
      <c r="K391" s="59"/>
      <c r="L391" s="59"/>
      <c r="M391" s="60"/>
      <c r="N391" s="60"/>
      <c r="O391" s="60"/>
      <c r="P391" s="59"/>
      <c r="Q391" s="59"/>
      <c r="R391" s="60"/>
      <c r="S391" s="60"/>
      <c r="T391" s="60"/>
      <c r="U391" s="60"/>
      <c r="V391" s="60"/>
      <c r="W391" s="60"/>
    </row>
    <row r="392" spans="1:23" ht="13" x14ac:dyDescent="0.3">
      <c r="A392" s="58"/>
      <c r="B392" s="58"/>
      <c r="C392" s="58"/>
      <c r="D392" s="58"/>
      <c r="E392" s="58"/>
      <c r="F392" s="58"/>
      <c r="G392" s="58"/>
      <c r="H392" s="59"/>
      <c r="I392" s="59"/>
      <c r="J392" s="59"/>
      <c r="K392" s="59"/>
      <c r="L392" s="59"/>
      <c r="M392" s="60"/>
      <c r="N392" s="60"/>
      <c r="O392" s="60"/>
      <c r="P392" s="59"/>
      <c r="Q392" s="59"/>
      <c r="R392" s="60"/>
      <c r="S392" s="60"/>
      <c r="T392" s="60"/>
      <c r="U392" s="60"/>
      <c r="V392" s="60"/>
      <c r="W392" s="60"/>
    </row>
    <row r="393" spans="1:23" ht="13" x14ac:dyDescent="0.3">
      <c r="A393" s="58"/>
      <c r="B393" s="58"/>
      <c r="C393" s="58"/>
      <c r="D393" s="58"/>
      <c r="E393" s="58"/>
      <c r="F393" s="58"/>
      <c r="G393" s="58"/>
      <c r="H393" s="59"/>
      <c r="I393" s="59"/>
      <c r="J393" s="59"/>
      <c r="K393" s="59"/>
      <c r="L393" s="59"/>
      <c r="M393" s="60"/>
      <c r="N393" s="60"/>
      <c r="O393" s="60"/>
      <c r="P393" s="59"/>
      <c r="Q393" s="59"/>
      <c r="R393" s="60"/>
      <c r="S393" s="60"/>
      <c r="T393" s="60"/>
      <c r="U393" s="60"/>
      <c r="V393" s="60"/>
      <c r="W393" s="60"/>
    </row>
    <row r="394" spans="1:23" ht="13" x14ac:dyDescent="0.3">
      <c r="A394" s="58"/>
      <c r="B394" s="58"/>
      <c r="C394" s="58"/>
      <c r="D394" s="58"/>
      <c r="E394" s="58"/>
      <c r="F394" s="58"/>
      <c r="G394" s="58"/>
      <c r="H394" s="59"/>
      <c r="I394" s="59"/>
      <c r="J394" s="59"/>
      <c r="K394" s="59"/>
      <c r="L394" s="59"/>
      <c r="M394" s="60"/>
      <c r="N394" s="60"/>
      <c r="O394" s="60"/>
      <c r="P394" s="59"/>
      <c r="Q394" s="59"/>
      <c r="R394" s="60"/>
      <c r="S394" s="60"/>
      <c r="T394" s="60"/>
      <c r="U394" s="60"/>
      <c r="V394" s="60"/>
      <c r="W394" s="60"/>
    </row>
    <row r="395" spans="1:23" ht="13" x14ac:dyDescent="0.3">
      <c r="A395" s="58"/>
      <c r="B395" s="58"/>
      <c r="C395" s="58"/>
      <c r="D395" s="58"/>
      <c r="E395" s="58"/>
      <c r="F395" s="58"/>
      <c r="G395" s="58"/>
      <c r="H395" s="59"/>
      <c r="I395" s="59"/>
      <c r="J395" s="59"/>
      <c r="K395" s="59"/>
      <c r="L395" s="59"/>
      <c r="M395" s="60"/>
      <c r="N395" s="60"/>
      <c r="O395" s="60"/>
      <c r="P395" s="59"/>
      <c r="Q395" s="59"/>
      <c r="R395" s="60"/>
      <c r="S395" s="60"/>
      <c r="T395" s="60"/>
      <c r="U395" s="60"/>
      <c r="V395" s="60"/>
      <c r="W395" s="60"/>
    </row>
    <row r="396" spans="1:23" ht="13" x14ac:dyDescent="0.3">
      <c r="A396" s="58"/>
      <c r="B396" s="58"/>
      <c r="C396" s="58"/>
      <c r="D396" s="58"/>
      <c r="E396" s="58"/>
      <c r="F396" s="58"/>
      <c r="G396" s="58"/>
      <c r="H396" s="59"/>
      <c r="I396" s="59"/>
      <c r="J396" s="59"/>
      <c r="K396" s="59"/>
      <c r="L396" s="59"/>
      <c r="M396" s="60"/>
      <c r="N396" s="60"/>
      <c r="O396" s="60"/>
      <c r="P396" s="59"/>
      <c r="Q396" s="59"/>
      <c r="R396" s="60"/>
      <c r="S396" s="60"/>
      <c r="T396" s="60"/>
      <c r="U396" s="60"/>
      <c r="V396" s="60"/>
      <c r="W396" s="60"/>
    </row>
    <row r="397" spans="1:23" ht="13" x14ac:dyDescent="0.3">
      <c r="A397" s="58"/>
      <c r="B397" s="58"/>
      <c r="C397" s="58"/>
      <c r="D397" s="58"/>
      <c r="E397" s="58"/>
      <c r="F397" s="58"/>
      <c r="G397" s="58"/>
      <c r="H397" s="59"/>
      <c r="I397" s="59"/>
      <c r="J397" s="59"/>
      <c r="K397" s="59"/>
      <c r="L397" s="59"/>
      <c r="M397" s="60"/>
      <c r="N397" s="60"/>
      <c r="O397" s="60"/>
      <c r="P397" s="59"/>
      <c r="Q397" s="59"/>
      <c r="R397" s="60"/>
      <c r="S397" s="60"/>
      <c r="T397" s="60"/>
      <c r="U397" s="60"/>
      <c r="V397" s="60"/>
      <c r="W397" s="60"/>
    </row>
    <row r="398" spans="1:23" ht="13" x14ac:dyDescent="0.3">
      <c r="A398" s="58"/>
      <c r="B398" s="58"/>
      <c r="C398" s="58"/>
      <c r="D398" s="58"/>
      <c r="E398" s="58"/>
      <c r="F398" s="58"/>
      <c r="G398" s="58"/>
      <c r="H398" s="59"/>
      <c r="I398" s="59"/>
      <c r="J398" s="59"/>
      <c r="K398" s="59"/>
      <c r="L398" s="59"/>
      <c r="M398" s="60"/>
      <c r="N398" s="60"/>
      <c r="O398" s="60"/>
      <c r="P398" s="59"/>
      <c r="Q398" s="59"/>
      <c r="R398" s="60"/>
      <c r="S398" s="60"/>
      <c r="T398" s="60"/>
      <c r="U398" s="60"/>
      <c r="V398" s="60"/>
      <c r="W398" s="60"/>
    </row>
    <row r="399" spans="1:23" ht="13" x14ac:dyDescent="0.3">
      <c r="A399" s="58"/>
      <c r="B399" s="58"/>
      <c r="C399" s="58"/>
      <c r="D399" s="58"/>
      <c r="E399" s="58"/>
      <c r="F399" s="58"/>
      <c r="G399" s="58"/>
      <c r="H399" s="59"/>
      <c r="I399" s="59"/>
      <c r="J399" s="59"/>
      <c r="K399" s="59"/>
      <c r="L399" s="59"/>
      <c r="M399" s="60"/>
      <c r="N399" s="60"/>
      <c r="O399" s="60"/>
      <c r="P399" s="59"/>
      <c r="Q399" s="59"/>
      <c r="R399" s="60"/>
      <c r="S399" s="60"/>
      <c r="T399" s="60"/>
      <c r="U399" s="60"/>
      <c r="V399" s="60"/>
      <c r="W399" s="60"/>
    </row>
    <row r="400" spans="1:23" ht="13" x14ac:dyDescent="0.3">
      <c r="A400" s="58"/>
      <c r="B400" s="58"/>
      <c r="C400" s="58"/>
      <c r="D400" s="58"/>
      <c r="E400" s="58"/>
      <c r="F400" s="58"/>
      <c r="G400" s="58"/>
      <c r="H400" s="59"/>
      <c r="I400" s="59"/>
      <c r="J400" s="59"/>
      <c r="K400" s="59"/>
      <c r="L400" s="59"/>
      <c r="M400" s="60"/>
      <c r="N400" s="60"/>
      <c r="O400" s="60"/>
      <c r="P400" s="59"/>
      <c r="Q400" s="59"/>
      <c r="R400" s="60"/>
      <c r="S400" s="60"/>
      <c r="T400" s="60"/>
      <c r="U400" s="60"/>
      <c r="V400" s="60"/>
      <c r="W400" s="60"/>
    </row>
    <row r="401" spans="1:23" ht="13" x14ac:dyDescent="0.3">
      <c r="A401" s="58"/>
      <c r="B401" s="58"/>
      <c r="C401" s="58"/>
      <c r="D401" s="58"/>
      <c r="E401" s="58"/>
      <c r="F401" s="58"/>
      <c r="G401" s="58"/>
      <c r="H401" s="59"/>
      <c r="I401" s="59"/>
      <c r="J401" s="59"/>
      <c r="K401" s="59"/>
      <c r="L401" s="59"/>
      <c r="M401" s="60"/>
      <c r="N401" s="60"/>
      <c r="O401" s="60"/>
      <c r="P401" s="59"/>
      <c r="Q401" s="59"/>
      <c r="R401" s="60"/>
      <c r="S401" s="60"/>
      <c r="T401" s="60"/>
      <c r="U401" s="60"/>
      <c r="V401" s="60"/>
      <c r="W401" s="60"/>
    </row>
    <row r="402" spans="1:23" ht="13" x14ac:dyDescent="0.3">
      <c r="A402" s="58"/>
      <c r="B402" s="58"/>
      <c r="C402" s="58"/>
      <c r="D402" s="58"/>
      <c r="E402" s="58"/>
      <c r="F402" s="58"/>
      <c r="G402" s="58"/>
      <c r="H402" s="59"/>
      <c r="I402" s="59"/>
      <c r="J402" s="59"/>
      <c r="K402" s="59"/>
      <c r="L402" s="59"/>
      <c r="M402" s="60"/>
      <c r="N402" s="60"/>
      <c r="O402" s="60"/>
      <c r="P402" s="59"/>
      <c r="Q402" s="59"/>
      <c r="R402" s="60"/>
      <c r="S402" s="60"/>
      <c r="T402" s="60"/>
      <c r="U402" s="60"/>
      <c r="V402" s="60"/>
      <c r="W402" s="60"/>
    </row>
    <row r="403" spans="1:23" ht="13" x14ac:dyDescent="0.3">
      <c r="A403" s="58"/>
      <c r="B403" s="58"/>
      <c r="C403" s="58"/>
      <c r="D403" s="58"/>
      <c r="E403" s="58"/>
      <c r="F403" s="58"/>
      <c r="G403" s="58"/>
      <c r="H403" s="59"/>
      <c r="I403" s="59"/>
      <c r="J403" s="59"/>
      <c r="K403" s="59"/>
      <c r="L403" s="59"/>
      <c r="M403" s="60"/>
      <c r="N403" s="60"/>
      <c r="O403" s="60"/>
      <c r="P403" s="59"/>
      <c r="Q403" s="59"/>
      <c r="R403" s="60"/>
      <c r="S403" s="60"/>
      <c r="T403" s="60"/>
      <c r="U403" s="60"/>
      <c r="V403" s="60"/>
      <c r="W403" s="60"/>
    </row>
    <row r="404" spans="1:23" ht="13" x14ac:dyDescent="0.3">
      <c r="A404" s="58"/>
      <c r="B404" s="58"/>
      <c r="C404" s="58"/>
      <c r="D404" s="58"/>
      <c r="E404" s="58"/>
      <c r="F404" s="58"/>
      <c r="G404" s="58"/>
      <c r="H404" s="59"/>
      <c r="I404" s="59"/>
      <c r="J404" s="59"/>
      <c r="K404" s="59"/>
      <c r="L404" s="59"/>
      <c r="M404" s="60"/>
      <c r="N404" s="60"/>
      <c r="O404" s="60"/>
      <c r="P404" s="59"/>
      <c r="Q404" s="59"/>
      <c r="R404" s="60"/>
      <c r="S404" s="60"/>
      <c r="T404" s="60"/>
      <c r="U404" s="60"/>
      <c r="V404" s="60"/>
      <c r="W404" s="60"/>
    </row>
    <row r="405" spans="1:23" ht="13" x14ac:dyDescent="0.3">
      <c r="A405" s="58"/>
      <c r="B405" s="58"/>
      <c r="C405" s="58"/>
      <c r="D405" s="58"/>
      <c r="E405" s="58"/>
      <c r="F405" s="58"/>
      <c r="G405" s="58"/>
      <c r="H405" s="59"/>
      <c r="I405" s="59"/>
      <c r="J405" s="59"/>
      <c r="K405" s="59"/>
      <c r="L405" s="59"/>
      <c r="M405" s="60"/>
      <c r="N405" s="60"/>
      <c r="O405" s="60"/>
      <c r="P405" s="59"/>
      <c r="Q405" s="59"/>
      <c r="R405" s="60"/>
      <c r="S405" s="60"/>
      <c r="T405" s="60"/>
      <c r="U405" s="60"/>
      <c r="V405" s="60"/>
      <c r="W405" s="60"/>
    </row>
    <row r="406" spans="1:23" ht="13" x14ac:dyDescent="0.3">
      <c r="A406" s="58"/>
      <c r="B406" s="58"/>
      <c r="C406" s="58"/>
      <c r="D406" s="58"/>
      <c r="E406" s="58"/>
      <c r="F406" s="58"/>
      <c r="G406" s="58"/>
      <c r="H406" s="59"/>
      <c r="I406" s="59"/>
      <c r="J406" s="59"/>
      <c r="K406" s="59"/>
      <c r="L406" s="59"/>
      <c r="M406" s="60"/>
      <c r="N406" s="60"/>
      <c r="O406" s="60"/>
      <c r="P406" s="59"/>
      <c r="Q406" s="59"/>
      <c r="R406" s="60"/>
      <c r="S406" s="60"/>
      <c r="T406" s="60"/>
      <c r="U406" s="60"/>
      <c r="V406" s="60"/>
      <c r="W406" s="60"/>
    </row>
    <row r="407" spans="1:23" ht="13" x14ac:dyDescent="0.3">
      <c r="A407" s="58"/>
      <c r="B407" s="58"/>
      <c r="C407" s="58"/>
      <c r="D407" s="58"/>
      <c r="E407" s="58"/>
      <c r="F407" s="58"/>
      <c r="G407" s="58"/>
      <c r="H407" s="59"/>
      <c r="I407" s="59"/>
      <c r="J407" s="59"/>
      <c r="K407" s="59"/>
      <c r="L407" s="59"/>
      <c r="M407" s="60"/>
      <c r="N407" s="60"/>
      <c r="O407" s="60"/>
      <c r="P407" s="59"/>
      <c r="Q407" s="59"/>
      <c r="R407" s="60"/>
      <c r="S407" s="60"/>
      <c r="T407" s="60"/>
      <c r="U407" s="60"/>
      <c r="V407" s="60"/>
      <c r="W407" s="60"/>
    </row>
    <row r="408" spans="1:23" ht="13" x14ac:dyDescent="0.3">
      <c r="A408" s="58"/>
      <c r="B408" s="58"/>
      <c r="C408" s="58"/>
      <c r="D408" s="58"/>
      <c r="E408" s="58"/>
      <c r="F408" s="58"/>
      <c r="G408" s="58"/>
      <c r="H408" s="59"/>
      <c r="I408" s="59"/>
      <c r="J408" s="59"/>
      <c r="K408" s="59"/>
      <c r="L408" s="59"/>
      <c r="M408" s="60"/>
      <c r="N408" s="60"/>
      <c r="O408" s="60"/>
      <c r="P408" s="59"/>
      <c r="Q408" s="59"/>
      <c r="R408" s="60"/>
      <c r="S408" s="60"/>
      <c r="T408" s="60"/>
      <c r="U408" s="60"/>
      <c r="V408" s="60"/>
      <c r="W408" s="60"/>
    </row>
    <row r="409" spans="1:23" ht="13" x14ac:dyDescent="0.3">
      <c r="A409" s="58"/>
      <c r="B409" s="58"/>
      <c r="C409" s="58"/>
      <c r="D409" s="58"/>
      <c r="E409" s="58"/>
      <c r="F409" s="58"/>
      <c r="G409" s="58"/>
      <c r="H409" s="59"/>
      <c r="I409" s="59"/>
      <c r="J409" s="59"/>
      <c r="K409" s="59"/>
      <c r="L409" s="59"/>
      <c r="M409" s="60"/>
      <c r="N409" s="60"/>
      <c r="O409" s="60"/>
      <c r="P409" s="59"/>
      <c r="Q409" s="59"/>
      <c r="R409" s="60"/>
      <c r="S409" s="60"/>
      <c r="T409" s="60"/>
      <c r="U409" s="60"/>
      <c r="V409" s="60"/>
      <c r="W409" s="60"/>
    </row>
    <row r="410" spans="1:23" ht="13" x14ac:dyDescent="0.3">
      <c r="A410" s="58"/>
      <c r="B410" s="58"/>
      <c r="C410" s="58"/>
      <c r="D410" s="58"/>
      <c r="E410" s="58"/>
      <c r="F410" s="58"/>
      <c r="G410" s="58"/>
      <c r="H410" s="59"/>
      <c r="I410" s="59"/>
      <c r="J410" s="59"/>
      <c r="K410" s="59"/>
      <c r="L410" s="59"/>
      <c r="M410" s="60"/>
      <c r="N410" s="60"/>
      <c r="O410" s="60"/>
      <c r="P410" s="59"/>
      <c r="Q410" s="59"/>
      <c r="R410" s="60"/>
      <c r="S410" s="60"/>
      <c r="T410" s="60"/>
      <c r="U410" s="60"/>
      <c r="V410" s="60"/>
      <c r="W410" s="60"/>
    </row>
    <row r="411" spans="1:23" ht="13" x14ac:dyDescent="0.3">
      <c r="A411" s="58"/>
      <c r="B411" s="58"/>
      <c r="C411" s="58"/>
      <c r="D411" s="58"/>
      <c r="E411" s="58"/>
      <c r="F411" s="58"/>
      <c r="G411" s="58"/>
      <c r="H411" s="59"/>
      <c r="I411" s="59"/>
      <c r="J411" s="59"/>
      <c r="K411" s="59"/>
      <c r="L411" s="59"/>
      <c r="M411" s="60"/>
      <c r="N411" s="60"/>
      <c r="O411" s="60"/>
      <c r="P411" s="59"/>
      <c r="Q411" s="59"/>
      <c r="R411" s="60"/>
      <c r="S411" s="60"/>
      <c r="T411" s="60"/>
      <c r="U411" s="60"/>
      <c r="V411" s="60"/>
      <c r="W411" s="60"/>
    </row>
    <row r="412" spans="1:23" ht="13" x14ac:dyDescent="0.3">
      <c r="A412" s="58"/>
      <c r="B412" s="58"/>
      <c r="C412" s="58"/>
      <c r="D412" s="58"/>
      <c r="E412" s="58"/>
      <c r="F412" s="58"/>
      <c r="G412" s="58"/>
      <c r="H412" s="59"/>
      <c r="I412" s="59"/>
      <c r="J412" s="59"/>
      <c r="K412" s="59"/>
      <c r="L412" s="59"/>
      <c r="M412" s="60"/>
      <c r="N412" s="60"/>
      <c r="O412" s="60"/>
      <c r="P412" s="59"/>
      <c r="Q412" s="59"/>
      <c r="R412" s="60"/>
      <c r="S412" s="60"/>
      <c r="T412" s="60"/>
      <c r="U412" s="60"/>
      <c r="V412" s="60"/>
      <c r="W412" s="60"/>
    </row>
    <row r="413" spans="1:23" ht="13" x14ac:dyDescent="0.3">
      <c r="A413" s="58"/>
      <c r="B413" s="58"/>
      <c r="C413" s="58"/>
      <c r="D413" s="58"/>
      <c r="E413" s="58"/>
      <c r="F413" s="58"/>
      <c r="G413" s="58"/>
      <c r="H413" s="59"/>
      <c r="I413" s="59"/>
      <c r="J413" s="59"/>
      <c r="K413" s="59"/>
      <c r="L413" s="59"/>
      <c r="M413" s="60"/>
      <c r="N413" s="60"/>
      <c r="O413" s="60"/>
      <c r="P413" s="59"/>
      <c r="Q413" s="59"/>
      <c r="R413" s="60"/>
      <c r="S413" s="60"/>
      <c r="T413" s="60"/>
      <c r="U413" s="60"/>
      <c r="V413" s="60"/>
      <c r="W413" s="60"/>
    </row>
    <row r="414" spans="1:23" ht="13" x14ac:dyDescent="0.3">
      <c r="A414" s="58"/>
      <c r="B414" s="58"/>
      <c r="C414" s="58"/>
      <c r="D414" s="58"/>
      <c r="E414" s="58"/>
      <c r="F414" s="58"/>
      <c r="G414" s="58"/>
      <c r="H414" s="59"/>
      <c r="I414" s="59"/>
      <c r="J414" s="59"/>
      <c r="K414" s="59"/>
      <c r="L414" s="59"/>
      <c r="M414" s="60"/>
      <c r="N414" s="60"/>
      <c r="O414" s="60"/>
      <c r="P414" s="59"/>
      <c r="Q414" s="59"/>
      <c r="R414" s="60"/>
      <c r="S414" s="60"/>
      <c r="T414" s="60"/>
      <c r="U414" s="60"/>
      <c r="V414" s="60"/>
      <c r="W414" s="60"/>
    </row>
    <row r="415" spans="1:23" ht="13" x14ac:dyDescent="0.3">
      <c r="A415" s="58"/>
      <c r="B415" s="58"/>
      <c r="C415" s="58"/>
      <c r="D415" s="58"/>
      <c r="E415" s="58"/>
      <c r="F415" s="58"/>
      <c r="G415" s="58"/>
      <c r="H415" s="59"/>
      <c r="I415" s="59"/>
      <c r="J415" s="59"/>
      <c r="K415" s="59"/>
      <c r="L415" s="59"/>
      <c r="M415" s="60"/>
      <c r="N415" s="60"/>
      <c r="O415" s="60"/>
      <c r="P415" s="59"/>
      <c r="Q415" s="59"/>
      <c r="R415" s="60"/>
      <c r="S415" s="60"/>
      <c r="T415" s="60"/>
      <c r="U415" s="60"/>
      <c r="V415" s="60"/>
      <c r="W415" s="60"/>
    </row>
    <row r="416" spans="1:23" ht="13" x14ac:dyDescent="0.3">
      <c r="A416" s="58"/>
      <c r="B416" s="58"/>
      <c r="C416" s="58"/>
      <c r="D416" s="58"/>
      <c r="E416" s="58"/>
      <c r="F416" s="58"/>
      <c r="G416" s="58"/>
      <c r="H416" s="59"/>
      <c r="I416" s="59"/>
      <c r="J416" s="59"/>
      <c r="K416" s="59"/>
      <c r="L416" s="59"/>
      <c r="M416" s="60"/>
      <c r="N416" s="60"/>
      <c r="O416" s="60"/>
      <c r="P416" s="59"/>
      <c r="Q416" s="59"/>
      <c r="R416" s="60"/>
      <c r="S416" s="60"/>
      <c r="T416" s="60"/>
      <c r="U416" s="60"/>
      <c r="V416" s="60"/>
      <c r="W416" s="60"/>
    </row>
    <row r="417" spans="1:23" ht="13" x14ac:dyDescent="0.3">
      <c r="A417" s="58"/>
      <c r="B417" s="58"/>
      <c r="C417" s="58"/>
      <c r="D417" s="58"/>
      <c r="E417" s="58"/>
      <c r="F417" s="58"/>
      <c r="G417" s="58"/>
      <c r="H417" s="59"/>
      <c r="I417" s="59"/>
      <c r="J417" s="59"/>
      <c r="K417" s="59"/>
      <c r="L417" s="59"/>
      <c r="M417" s="60"/>
      <c r="N417" s="60"/>
      <c r="O417" s="60"/>
      <c r="P417" s="59"/>
      <c r="Q417" s="59"/>
      <c r="R417" s="60"/>
      <c r="S417" s="60"/>
      <c r="T417" s="60"/>
      <c r="U417" s="60"/>
      <c r="V417" s="60"/>
      <c r="W417" s="60"/>
    </row>
    <row r="418" spans="1:23" ht="13" x14ac:dyDescent="0.3">
      <c r="A418" s="58"/>
      <c r="B418" s="58"/>
      <c r="C418" s="58"/>
      <c r="D418" s="58"/>
      <c r="E418" s="58"/>
      <c r="F418" s="58"/>
      <c r="G418" s="58"/>
      <c r="H418" s="59"/>
      <c r="I418" s="59"/>
      <c r="J418" s="59"/>
      <c r="K418" s="59"/>
      <c r="L418" s="59"/>
      <c r="M418" s="60"/>
      <c r="N418" s="60"/>
      <c r="O418" s="60"/>
      <c r="P418" s="59"/>
      <c r="Q418" s="59"/>
      <c r="R418" s="60"/>
      <c r="S418" s="60"/>
      <c r="T418" s="60"/>
      <c r="U418" s="60"/>
      <c r="V418" s="60"/>
      <c r="W418" s="60"/>
    </row>
    <row r="419" spans="1:23" ht="13" x14ac:dyDescent="0.3">
      <c r="A419" s="58"/>
      <c r="B419" s="58"/>
      <c r="C419" s="58"/>
      <c r="D419" s="58"/>
      <c r="E419" s="58"/>
      <c r="F419" s="58"/>
      <c r="G419" s="58"/>
      <c r="H419" s="59"/>
      <c r="I419" s="59"/>
      <c r="J419" s="59"/>
      <c r="K419" s="59"/>
      <c r="L419" s="59"/>
      <c r="M419" s="60"/>
      <c r="N419" s="60"/>
      <c r="O419" s="60"/>
      <c r="P419" s="59"/>
      <c r="Q419" s="59"/>
      <c r="R419" s="60"/>
      <c r="S419" s="60"/>
      <c r="T419" s="60"/>
      <c r="U419" s="60"/>
      <c r="V419" s="60"/>
      <c r="W419" s="60"/>
    </row>
    <row r="420" spans="1:23" ht="13" x14ac:dyDescent="0.3">
      <c r="A420" s="58"/>
      <c r="B420" s="58"/>
      <c r="C420" s="58"/>
      <c r="D420" s="58"/>
      <c r="E420" s="58"/>
      <c r="F420" s="58"/>
      <c r="G420" s="58"/>
      <c r="H420" s="59"/>
      <c r="I420" s="59"/>
      <c r="J420" s="59"/>
      <c r="K420" s="59"/>
      <c r="L420" s="59"/>
      <c r="M420" s="60"/>
      <c r="N420" s="60"/>
      <c r="O420" s="60"/>
      <c r="P420" s="59"/>
      <c r="Q420" s="59"/>
      <c r="R420" s="60"/>
      <c r="S420" s="60"/>
      <c r="T420" s="60"/>
      <c r="U420" s="60"/>
      <c r="V420" s="60"/>
      <c r="W420" s="60"/>
    </row>
    <row r="421" spans="1:23" ht="13" x14ac:dyDescent="0.3">
      <c r="A421" s="58"/>
      <c r="B421" s="58"/>
      <c r="C421" s="58"/>
      <c r="D421" s="58"/>
      <c r="E421" s="58"/>
      <c r="F421" s="58"/>
      <c r="G421" s="58"/>
      <c r="H421" s="59"/>
      <c r="I421" s="59"/>
      <c r="J421" s="59"/>
      <c r="K421" s="59"/>
      <c r="L421" s="59"/>
      <c r="M421" s="60"/>
      <c r="N421" s="60"/>
      <c r="O421" s="60"/>
      <c r="P421" s="59"/>
      <c r="Q421" s="59"/>
      <c r="R421" s="60"/>
      <c r="S421" s="60"/>
      <c r="T421" s="60"/>
      <c r="U421" s="60"/>
      <c r="V421" s="60"/>
      <c r="W421" s="60"/>
    </row>
    <row r="422" spans="1:23" ht="13" x14ac:dyDescent="0.3">
      <c r="A422" s="58"/>
      <c r="B422" s="58"/>
      <c r="C422" s="58"/>
      <c r="D422" s="58"/>
      <c r="E422" s="58"/>
      <c r="F422" s="58"/>
      <c r="G422" s="58"/>
      <c r="H422" s="59"/>
      <c r="I422" s="59"/>
      <c r="J422" s="59"/>
      <c r="K422" s="59"/>
      <c r="L422" s="59"/>
      <c r="M422" s="60"/>
      <c r="N422" s="60"/>
      <c r="O422" s="60"/>
      <c r="P422" s="59"/>
      <c r="Q422" s="59"/>
      <c r="R422" s="60"/>
      <c r="S422" s="60"/>
      <c r="T422" s="60"/>
      <c r="U422" s="60"/>
      <c r="V422" s="60"/>
      <c r="W422" s="60"/>
    </row>
    <row r="423" spans="1:23" ht="13" x14ac:dyDescent="0.3">
      <c r="A423" s="58"/>
      <c r="B423" s="58"/>
      <c r="C423" s="58"/>
      <c r="D423" s="58"/>
      <c r="E423" s="58"/>
      <c r="F423" s="58"/>
      <c r="G423" s="58"/>
      <c r="H423" s="59"/>
      <c r="I423" s="59"/>
      <c r="J423" s="59"/>
      <c r="K423" s="59"/>
      <c r="L423" s="59"/>
      <c r="M423" s="60"/>
      <c r="N423" s="60"/>
      <c r="O423" s="60"/>
      <c r="P423" s="59"/>
      <c r="Q423" s="59"/>
      <c r="R423" s="60"/>
      <c r="S423" s="60"/>
      <c r="T423" s="60"/>
      <c r="U423" s="60"/>
      <c r="V423" s="60"/>
      <c r="W423" s="60"/>
    </row>
    <row r="424" spans="1:23" ht="13" x14ac:dyDescent="0.3">
      <c r="A424" s="58"/>
      <c r="B424" s="58"/>
      <c r="C424" s="58"/>
      <c r="D424" s="58"/>
      <c r="E424" s="58"/>
      <c r="F424" s="58"/>
      <c r="G424" s="58"/>
      <c r="H424" s="59"/>
      <c r="I424" s="59"/>
      <c r="J424" s="59"/>
      <c r="K424" s="59"/>
      <c r="L424" s="59"/>
      <c r="M424" s="60"/>
      <c r="N424" s="60"/>
      <c r="O424" s="60"/>
      <c r="P424" s="59"/>
      <c r="Q424" s="59"/>
      <c r="R424" s="60"/>
      <c r="S424" s="60"/>
      <c r="T424" s="60"/>
      <c r="U424" s="60"/>
      <c r="V424" s="60"/>
      <c r="W424" s="60"/>
    </row>
    <row r="425" spans="1:23" ht="13" x14ac:dyDescent="0.3">
      <c r="A425" s="58"/>
      <c r="B425" s="58"/>
      <c r="C425" s="58"/>
      <c r="D425" s="58"/>
      <c r="E425" s="58"/>
      <c r="F425" s="58"/>
      <c r="G425" s="58"/>
      <c r="H425" s="59"/>
      <c r="I425" s="59"/>
      <c r="J425" s="59"/>
      <c r="K425" s="59"/>
      <c r="L425" s="59"/>
      <c r="M425" s="60"/>
      <c r="N425" s="60"/>
      <c r="O425" s="60"/>
      <c r="P425" s="59"/>
      <c r="Q425" s="59"/>
      <c r="R425" s="60"/>
      <c r="S425" s="60"/>
      <c r="T425" s="60"/>
      <c r="U425" s="60"/>
      <c r="V425" s="60"/>
      <c r="W425" s="60"/>
    </row>
    <row r="426" spans="1:23" ht="13" x14ac:dyDescent="0.3">
      <c r="A426" s="58"/>
      <c r="B426" s="58"/>
      <c r="C426" s="58"/>
      <c r="D426" s="58"/>
      <c r="E426" s="58"/>
      <c r="F426" s="58"/>
      <c r="G426" s="58"/>
      <c r="H426" s="59"/>
      <c r="I426" s="59"/>
      <c r="J426" s="59"/>
      <c r="K426" s="59"/>
      <c r="L426" s="59"/>
      <c r="M426" s="60"/>
      <c r="N426" s="60"/>
      <c r="O426" s="60"/>
      <c r="P426" s="59"/>
      <c r="Q426" s="59"/>
      <c r="R426" s="60"/>
      <c r="S426" s="60"/>
      <c r="T426" s="60"/>
      <c r="U426" s="60"/>
      <c r="V426" s="60"/>
      <c r="W426" s="60"/>
    </row>
    <row r="427" spans="1:23" ht="13" x14ac:dyDescent="0.3">
      <c r="A427" s="58"/>
      <c r="B427" s="58"/>
      <c r="C427" s="58"/>
      <c r="D427" s="58"/>
      <c r="E427" s="58"/>
      <c r="F427" s="58"/>
      <c r="G427" s="58"/>
      <c r="H427" s="59"/>
      <c r="I427" s="59"/>
      <c r="J427" s="59"/>
      <c r="K427" s="59"/>
      <c r="L427" s="59"/>
      <c r="M427" s="60"/>
      <c r="N427" s="60"/>
      <c r="O427" s="60"/>
      <c r="P427" s="59"/>
      <c r="Q427" s="59"/>
      <c r="R427" s="60"/>
      <c r="S427" s="60"/>
      <c r="T427" s="60"/>
      <c r="U427" s="60"/>
      <c r="V427" s="60"/>
      <c r="W427" s="60"/>
    </row>
    <row r="428" spans="1:23" ht="13" x14ac:dyDescent="0.3">
      <c r="A428" s="58"/>
      <c r="B428" s="58"/>
      <c r="C428" s="58"/>
      <c r="D428" s="58"/>
      <c r="E428" s="58"/>
      <c r="F428" s="58"/>
      <c r="G428" s="58"/>
      <c r="H428" s="59"/>
      <c r="I428" s="59"/>
      <c r="J428" s="59"/>
      <c r="K428" s="59"/>
      <c r="L428" s="59"/>
      <c r="M428" s="60"/>
      <c r="N428" s="60"/>
      <c r="O428" s="60"/>
      <c r="P428" s="59"/>
      <c r="Q428" s="59"/>
      <c r="R428" s="60"/>
      <c r="S428" s="60"/>
      <c r="T428" s="60"/>
      <c r="U428" s="60"/>
      <c r="V428" s="60"/>
      <c r="W428" s="60"/>
    </row>
    <row r="429" spans="1:23" ht="13" x14ac:dyDescent="0.3">
      <c r="A429" s="58"/>
      <c r="B429" s="58"/>
      <c r="C429" s="58"/>
      <c r="D429" s="58"/>
      <c r="E429" s="58"/>
      <c r="F429" s="58"/>
      <c r="G429" s="58"/>
      <c r="H429" s="59"/>
      <c r="I429" s="59"/>
      <c r="J429" s="59"/>
      <c r="K429" s="59"/>
      <c r="L429" s="59"/>
      <c r="M429" s="60"/>
      <c r="N429" s="60"/>
      <c r="O429" s="60"/>
      <c r="P429" s="59"/>
      <c r="Q429" s="59"/>
      <c r="R429" s="60"/>
      <c r="S429" s="60"/>
      <c r="T429" s="60"/>
      <c r="U429" s="60"/>
      <c r="V429" s="60"/>
      <c r="W429" s="60"/>
    </row>
    <row r="430" spans="1:23" ht="13" x14ac:dyDescent="0.3">
      <c r="A430" s="58"/>
      <c r="B430" s="58"/>
      <c r="C430" s="58"/>
      <c r="D430" s="58"/>
      <c r="E430" s="58"/>
      <c r="F430" s="58"/>
      <c r="G430" s="58"/>
      <c r="H430" s="59"/>
      <c r="I430" s="59"/>
      <c r="J430" s="59"/>
      <c r="K430" s="59"/>
      <c r="L430" s="59"/>
      <c r="M430" s="60"/>
      <c r="N430" s="60"/>
      <c r="O430" s="60"/>
      <c r="P430" s="59"/>
      <c r="Q430" s="59"/>
      <c r="R430" s="60"/>
      <c r="S430" s="60"/>
      <c r="T430" s="60"/>
      <c r="U430" s="60"/>
      <c r="V430" s="60"/>
      <c r="W430" s="60"/>
    </row>
    <row r="431" spans="1:23" ht="13" x14ac:dyDescent="0.3">
      <c r="A431" s="58"/>
      <c r="B431" s="58"/>
      <c r="C431" s="58"/>
      <c r="D431" s="58"/>
      <c r="E431" s="58"/>
      <c r="F431" s="58"/>
      <c r="G431" s="58"/>
      <c r="H431" s="59"/>
      <c r="I431" s="59"/>
      <c r="J431" s="59"/>
      <c r="K431" s="59"/>
      <c r="L431" s="59"/>
      <c r="M431" s="60"/>
      <c r="N431" s="60"/>
      <c r="O431" s="60"/>
      <c r="P431" s="59"/>
      <c r="Q431" s="59"/>
      <c r="R431" s="60"/>
      <c r="S431" s="60"/>
      <c r="T431" s="60"/>
      <c r="U431" s="60"/>
      <c r="V431" s="60"/>
      <c r="W431" s="60"/>
    </row>
    <row r="432" spans="1:23" ht="13" x14ac:dyDescent="0.3">
      <c r="A432" s="58"/>
      <c r="B432" s="58"/>
      <c r="C432" s="58"/>
      <c r="D432" s="58"/>
      <c r="E432" s="58"/>
      <c r="F432" s="58"/>
      <c r="G432" s="58"/>
      <c r="H432" s="59"/>
      <c r="I432" s="59"/>
      <c r="J432" s="59"/>
      <c r="K432" s="59"/>
      <c r="L432" s="59"/>
      <c r="M432" s="60"/>
      <c r="N432" s="60"/>
      <c r="O432" s="60"/>
      <c r="P432" s="59"/>
      <c r="Q432" s="59"/>
      <c r="R432" s="60"/>
      <c r="S432" s="60"/>
      <c r="T432" s="60"/>
      <c r="U432" s="60"/>
      <c r="V432" s="60"/>
      <c r="W432" s="60"/>
    </row>
    <row r="433" spans="1:23" ht="13" x14ac:dyDescent="0.3">
      <c r="A433" s="58"/>
      <c r="B433" s="58"/>
      <c r="C433" s="58"/>
      <c r="D433" s="58"/>
      <c r="E433" s="58"/>
      <c r="F433" s="58"/>
      <c r="G433" s="58"/>
      <c r="H433" s="59"/>
      <c r="I433" s="59"/>
      <c r="J433" s="59"/>
      <c r="K433" s="59"/>
      <c r="L433" s="59"/>
      <c r="M433" s="60"/>
      <c r="N433" s="60"/>
      <c r="O433" s="60"/>
      <c r="P433" s="59"/>
      <c r="Q433" s="59"/>
      <c r="R433" s="60"/>
      <c r="S433" s="60"/>
      <c r="T433" s="60"/>
      <c r="U433" s="60"/>
      <c r="V433" s="60"/>
      <c r="W433" s="60"/>
    </row>
    <row r="434" spans="1:23" ht="13" x14ac:dyDescent="0.3">
      <c r="A434" s="58"/>
      <c r="B434" s="58"/>
      <c r="C434" s="58"/>
      <c r="D434" s="58"/>
      <c r="E434" s="58"/>
      <c r="F434" s="58"/>
      <c r="G434" s="58"/>
      <c r="H434" s="59"/>
      <c r="I434" s="59"/>
      <c r="J434" s="59"/>
      <c r="K434" s="59"/>
      <c r="L434" s="59"/>
      <c r="M434" s="60"/>
      <c r="N434" s="60"/>
      <c r="O434" s="60"/>
      <c r="P434" s="59"/>
      <c r="Q434" s="59"/>
      <c r="R434" s="60"/>
      <c r="S434" s="60"/>
      <c r="T434" s="60"/>
      <c r="U434" s="60"/>
      <c r="V434" s="60"/>
      <c r="W434" s="60"/>
    </row>
    <row r="435" spans="1:23" ht="13" x14ac:dyDescent="0.3">
      <c r="A435" s="58"/>
      <c r="B435" s="58"/>
      <c r="C435" s="58"/>
      <c r="D435" s="58"/>
      <c r="E435" s="58"/>
      <c r="F435" s="58"/>
      <c r="G435" s="58"/>
      <c r="H435" s="59"/>
      <c r="I435" s="59"/>
      <c r="J435" s="59"/>
      <c r="K435" s="59"/>
      <c r="L435" s="59"/>
      <c r="M435" s="60"/>
      <c r="N435" s="60"/>
      <c r="O435" s="60"/>
      <c r="P435" s="59"/>
      <c r="Q435" s="59"/>
      <c r="R435" s="60"/>
      <c r="S435" s="60"/>
      <c r="T435" s="60"/>
      <c r="U435" s="60"/>
      <c r="V435" s="60"/>
      <c r="W435" s="60"/>
    </row>
    <row r="436" spans="1:23" ht="13" x14ac:dyDescent="0.3">
      <c r="A436" s="58"/>
      <c r="B436" s="58"/>
      <c r="C436" s="58"/>
      <c r="D436" s="58"/>
      <c r="E436" s="58"/>
      <c r="F436" s="58"/>
      <c r="G436" s="58"/>
      <c r="H436" s="59"/>
      <c r="I436" s="59"/>
      <c r="J436" s="59"/>
      <c r="K436" s="59"/>
      <c r="L436" s="59"/>
      <c r="M436" s="60"/>
      <c r="N436" s="60"/>
      <c r="O436" s="60"/>
      <c r="P436" s="59"/>
      <c r="Q436" s="59"/>
      <c r="R436" s="60"/>
      <c r="S436" s="60"/>
      <c r="T436" s="60"/>
      <c r="U436" s="60"/>
      <c r="V436" s="60"/>
      <c r="W436" s="60"/>
    </row>
    <row r="437" spans="1:23" ht="13" x14ac:dyDescent="0.3">
      <c r="A437" s="58"/>
      <c r="B437" s="58"/>
      <c r="C437" s="58"/>
      <c r="D437" s="58"/>
      <c r="E437" s="58"/>
      <c r="F437" s="58"/>
      <c r="G437" s="58"/>
      <c r="H437" s="59"/>
      <c r="I437" s="59"/>
      <c r="J437" s="59"/>
      <c r="K437" s="59"/>
      <c r="L437" s="59"/>
      <c r="M437" s="60"/>
      <c r="N437" s="60"/>
      <c r="O437" s="60"/>
      <c r="P437" s="59"/>
      <c r="Q437" s="59"/>
      <c r="R437" s="60"/>
      <c r="S437" s="60"/>
      <c r="T437" s="60"/>
      <c r="U437" s="60"/>
      <c r="V437" s="60"/>
      <c r="W437" s="60"/>
    </row>
    <row r="438" spans="1:23" ht="13" x14ac:dyDescent="0.3">
      <c r="A438" s="58"/>
      <c r="B438" s="58"/>
      <c r="C438" s="58"/>
      <c r="D438" s="58"/>
      <c r="E438" s="58"/>
      <c r="F438" s="58"/>
      <c r="G438" s="58"/>
      <c r="H438" s="59"/>
      <c r="I438" s="59"/>
      <c r="J438" s="59"/>
      <c r="K438" s="59"/>
      <c r="L438" s="59"/>
      <c r="M438" s="60"/>
      <c r="N438" s="60"/>
      <c r="O438" s="60"/>
      <c r="P438" s="59"/>
      <c r="Q438" s="59"/>
      <c r="R438" s="60"/>
      <c r="S438" s="60"/>
      <c r="T438" s="60"/>
      <c r="U438" s="60"/>
      <c r="V438" s="60"/>
      <c r="W438" s="60"/>
    </row>
    <row r="439" spans="1:23" ht="13" x14ac:dyDescent="0.3">
      <c r="A439" s="58"/>
      <c r="B439" s="58"/>
      <c r="C439" s="58"/>
      <c r="D439" s="58"/>
      <c r="E439" s="58"/>
      <c r="F439" s="58"/>
      <c r="G439" s="58"/>
      <c r="H439" s="59"/>
      <c r="I439" s="59"/>
      <c r="J439" s="59"/>
      <c r="K439" s="59"/>
      <c r="L439" s="59"/>
      <c r="M439" s="60"/>
      <c r="N439" s="60"/>
      <c r="O439" s="60"/>
      <c r="P439" s="59"/>
      <c r="Q439" s="59"/>
      <c r="R439" s="60"/>
      <c r="S439" s="60"/>
      <c r="T439" s="60"/>
      <c r="U439" s="60"/>
      <c r="V439" s="60"/>
      <c r="W439" s="60"/>
    </row>
    <row r="440" spans="1:23" ht="13" x14ac:dyDescent="0.3">
      <c r="A440" s="58"/>
      <c r="B440" s="58"/>
      <c r="C440" s="58"/>
      <c r="D440" s="58"/>
      <c r="E440" s="58"/>
      <c r="F440" s="58"/>
      <c r="G440" s="58"/>
      <c r="H440" s="59"/>
      <c r="I440" s="59"/>
      <c r="J440" s="59"/>
      <c r="K440" s="59"/>
      <c r="L440" s="59"/>
      <c r="M440" s="60"/>
      <c r="N440" s="60"/>
      <c r="O440" s="60"/>
      <c r="P440" s="59"/>
      <c r="Q440" s="59"/>
      <c r="R440" s="60"/>
      <c r="S440" s="60"/>
      <c r="T440" s="60"/>
      <c r="U440" s="60"/>
      <c r="V440" s="60"/>
      <c r="W440" s="60"/>
    </row>
    <row r="441" spans="1:23" ht="13" x14ac:dyDescent="0.3">
      <c r="A441" s="58"/>
      <c r="B441" s="58"/>
      <c r="C441" s="58"/>
      <c r="D441" s="58"/>
      <c r="E441" s="58"/>
      <c r="F441" s="58"/>
      <c r="G441" s="58"/>
      <c r="H441" s="59"/>
      <c r="I441" s="59"/>
      <c r="J441" s="59"/>
      <c r="K441" s="59"/>
      <c r="L441" s="59"/>
      <c r="M441" s="60"/>
      <c r="N441" s="60"/>
      <c r="O441" s="60"/>
      <c r="P441" s="59"/>
      <c r="Q441" s="59"/>
      <c r="R441" s="60"/>
      <c r="S441" s="60"/>
      <c r="T441" s="60"/>
      <c r="U441" s="60"/>
      <c r="V441" s="60"/>
      <c r="W441" s="60"/>
    </row>
    <row r="442" spans="1:23" ht="13" x14ac:dyDescent="0.3">
      <c r="A442" s="58"/>
      <c r="B442" s="58"/>
      <c r="C442" s="58"/>
      <c r="D442" s="58"/>
      <c r="E442" s="58"/>
      <c r="F442" s="58"/>
      <c r="G442" s="58"/>
      <c r="H442" s="59"/>
      <c r="I442" s="59"/>
      <c r="J442" s="59"/>
      <c r="K442" s="59"/>
      <c r="L442" s="59"/>
      <c r="M442" s="60"/>
      <c r="N442" s="60"/>
      <c r="O442" s="60"/>
      <c r="P442" s="59"/>
      <c r="Q442" s="59"/>
      <c r="R442" s="60"/>
      <c r="S442" s="60"/>
      <c r="T442" s="60"/>
      <c r="U442" s="60"/>
      <c r="V442" s="60"/>
      <c r="W442" s="60"/>
    </row>
    <row r="443" spans="1:23" ht="13" x14ac:dyDescent="0.3">
      <c r="A443" s="58"/>
      <c r="B443" s="58"/>
      <c r="C443" s="58"/>
      <c r="D443" s="58"/>
      <c r="E443" s="58"/>
      <c r="F443" s="58"/>
      <c r="G443" s="58"/>
      <c r="H443" s="59"/>
      <c r="I443" s="59"/>
      <c r="J443" s="59"/>
      <c r="K443" s="59"/>
      <c r="L443" s="59"/>
      <c r="M443" s="60"/>
      <c r="N443" s="60"/>
      <c r="O443" s="60"/>
      <c r="P443" s="59"/>
      <c r="Q443" s="59"/>
      <c r="R443" s="60"/>
      <c r="S443" s="60"/>
      <c r="T443" s="60"/>
      <c r="U443" s="60"/>
      <c r="V443" s="60"/>
      <c r="W443" s="60"/>
    </row>
    <row r="444" spans="1:23" ht="13" x14ac:dyDescent="0.3">
      <c r="A444" s="58"/>
      <c r="B444" s="58"/>
      <c r="C444" s="58"/>
      <c r="D444" s="58"/>
      <c r="E444" s="58"/>
      <c r="F444" s="58"/>
      <c r="G444" s="58"/>
      <c r="H444" s="59"/>
      <c r="I444" s="59"/>
      <c r="J444" s="59"/>
      <c r="K444" s="59"/>
      <c r="L444" s="59"/>
      <c r="M444" s="60"/>
      <c r="N444" s="60"/>
      <c r="O444" s="60"/>
      <c r="P444" s="59"/>
      <c r="Q444" s="59"/>
      <c r="R444" s="60"/>
      <c r="S444" s="60"/>
      <c r="T444" s="60"/>
      <c r="U444" s="60"/>
      <c r="V444" s="60"/>
      <c r="W444" s="60"/>
    </row>
    <row r="445" spans="1:23" ht="13" x14ac:dyDescent="0.3">
      <c r="A445" s="58"/>
      <c r="B445" s="58"/>
      <c r="C445" s="58"/>
      <c r="D445" s="58"/>
      <c r="E445" s="58"/>
      <c r="F445" s="58"/>
      <c r="G445" s="58"/>
      <c r="H445" s="59"/>
      <c r="I445" s="59"/>
      <c r="J445" s="59"/>
      <c r="K445" s="59"/>
      <c r="L445" s="59"/>
      <c r="M445" s="60"/>
      <c r="N445" s="60"/>
      <c r="O445" s="60"/>
      <c r="P445" s="59"/>
      <c r="Q445" s="59"/>
      <c r="R445" s="60"/>
      <c r="S445" s="60"/>
      <c r="T445" s="60"/>
      <c r="U445" s="60"/>
      <c r="V445" s="60"/>
      <c r="W445" s="60"/>
    </row>
    <row r="446" spans="1:23" ht="13" x14ac:dyDescent="0.3">
      <c r="A446" s="58"/>
      <c r="B446" s="58"/>
      <c r="C446" s="58"/>
      <c r="D446" s="58"/>
      <c r="E446" s="58"/>
      <c r="F446" s="58"/>
      <c r="G446" s="58"/>
      <c r="H446" s="59"/>
      <c r="I446" s="59"/>
      <c r="J446" s="59"/>
      <c r="K446" s="59"/>
      <c r="L446" s="59"/>
      <c r="M446" s="60"/>
      <c r="N446" s="60"/>
      <c r="O446" s="60"/>
      <c r="P446" s="59"/>
      <c r="Q446" s="59"/>
      <c r="R446" s="60"/>
      <c r="S446" s="60"/>
      <c r="T446" s="60"/>
      <c r="U446" s="60"/>
      <c r="V446" s="60"/>
      <c r="W446" s="60"/>
    </row>
    <row r="447" spans="1:23" ht="13" x14ac:dyDescent="0.3">
      <c r="A447" s="58"/>
      <c r="B447" s="58"/>
      <c r="C447" s="58"/>
      <c r="D447" s="58"/>
      <c r="E447" s="58"/>
      <c r="F447" s="58"/>
      <c r="G447" s="58"/>
      <c r="H447" s="59"/>
      <c r="I447" s="59"/>
      <c r="J447" s="59"/>
      <c r="K447" s="59"/>
      <c r="L447" s="59"/>
      <c r="M447" s="60"/>
      <c r="N447" s="60"/>
      <c r="O447" s="60"/>
      <c r="P447" s="59"/>
      <c r="Q447" s="59"/>
      <c r="R447" s="60"/>
      <c r="S447" s="60"/>
      <c r="T447" s="60"/>
      <c r="U447" s="60"/>
      <c r="V447" s="60"/>
      <c r="W447" s="60"/>
    </row>
    <row r="448" spans="1:23" ht="13" x14ac:dyDescent="0.3">
      <c r="A448" s="58"/>
      <c r="B448" s="58"/>
      <c r="C448" s="58"/>
      <c r="D448" s="58"/>
      <c r="E448" s="58"/>
      <c r="F448" s="58"/>
      <c r="G448" s="58"/>
      <c r="H448" s="59"/>
      <c r="I448" s="59"/>
      <c r="J448" s="59"/>
      <c r="K448" s="59"/>
      <c r="L448" s="59"/>
      <c r="M448" s="60"/>
      <c r="N448" s="60"/>
      <c r="O448" s="60"/>
      <c r="P448" s="59"/>
      <c r="Q448" s="59"/>
      <c r="R448" s="60"/>
      <c r="S448" s="60"/>
      <c r="T448" s="60"/>
      <c r="U448" s="60"/>
      <c r="V448" s="60"/>
      <c r="W448" s="60"/>
    </row>
    <row r="449" spans="1:23" ht="13" x14ac:dyDescent="0.3">
      <c r="A449" s="58"/>
      <c r="B449" s="58"/>
      <c r="C449" s="58"/>
      <c r="D449" s="58"/>
      <c r="E449" s="58"/>
      <c r="F449" s="58"/>
      <c r="G449" s="58"/>
      <c r="H449" s="59"/>
      <c r="I449" s="59"/>
      <c r="J449" s="59"/>
      <c r="K449" s="59"/>
      <c r="L449" s="59"/>
      <c r="M449" s="60"/>
      <c r="N449" s="60"/>
      <c r="O449" s="60"/>
      <c r="P449" s="59"/>
      <c r="Q449" s="59"/>
      <c r="R449" s="60"/>
      <c r="S449" s="60"/>
      <c r="T449" s="60"/>
      <c r="U449" s="60"/>
      <c r="V449" s="60"/>
      <c r="W449" s="60"/>
    </row>
    <row r="450" spans="1:23" ht="13" x14ac:dyDescent="0.3">
      <c r="A450" s="58"/>
      <c r="B450" s="58"/>
      <c r="C450" s="58"/>
      <c r="D450" s="58"/>
      <c r="E450" s="58"/>
      <c r="F450" s="58"/>
      <c r="G450" s="58"/>
      <c r="H450" s="59"/>
      <c r="I450" s="59"/>
      <c r="J450" s="59"/>
      <c r="K450" s="59"/>
      <c r="L450" s="59"/>
      <c r="M450" s="60"/>
      <c r="N450" s="60"/>
      <c r="O450" s="60"/>
      <c r="P450" s="59"/>
      <c r="Q450" s="59"/>
      <c r="R450" s="60"/>
      <c r="S450" s="60"/>
      <c r="T450" s="60"/>
      <c r="U450" s="60"/>
      <c r="V450" s="60"/>
      <c r="W450" s="60"/>
    </row>
    <row r="451" spans="1:23" ht="13" x14ac:dyDescent="0.3">
      <c r="A451" s="58"/>
      <c r="B451" s="58"/>
      <c r="C451" s="58"/>
      <c r="D451" s="58"/>
      <c r="E451" s="58"/>
      <c r="F451" s="58"/>
      <c r="G451" s="58"/>
      <c r="H451" s="59"/>
      <c r="I451" s="59"/>
      <c r="J451" s="59"/>
      <c r="K451" s="59"/>
      <c r="L451" s="59"/>
      <c r="M451" s="60"/>
      <c r="N451" s="60"/>
      <c r="O451" s="60"/>
      <c r="P451" s="59"/>
      <c r="Q451" s="59"/>
      <c r="R451" s="60"/>
      <c r="S451" s="60"/>
      <c r="T451" s="60"/>
      <c r="U451" s="60"/>
      <c r="V451" s="60"/>
      <c r="W451" s="60"/>
    </row>
    <row r="452" spans="1:23" ht="13" x14ac:dyDescent="0.3">
      <c r="A452" s="58"/>
      <c r="B452" s="58"/>
      <c r="C452" s="58"/>
      <c r="D452" s="58"/>
      <c r="E452" s="58"/>
      <c r="F452" s="58"/>
      <c r="G452" s="58"/>
      <c r="H452" s="59"/>
      <c r="I452" s="59"/>
      <c r="J452" s="59"/>
      <c r="K452" s="59"/>
      <c r="L452" s="59"/>
      <c r="M452" s="60"/>
      <c r="N452" s="60"/>
      <c r="O452" s="60"/>
      <c r="P452" s="59"/>
      <c r="Q452" s="59"/>
      <c r="R452" s="60"/>
      <c r="S452" s="60"/>
      <c r="T452" s="60"/>
      <c r="U452" s="60"/>
      <c r="V452" s="60"/>
      <c r="W452" s="60"/>
    </row>
    <row r="453" spans="1:23" ht="13" x14ac:dyDescent="0.3">
      <c r="A453" s="58"/>
      <c r="B453" s="58"/>
      <c r="C453" s="58"/>
      <c r="D453" s="58"/>
      <c r="E453" s="58"/>
      <c r="F453" s="58"/>
      <c r="G453" s="58"/>
      <c r="H453" s="59"/>
      <c r="I453" s="59"/>
      <c r="J453" s="59"/>
      <c r="K453" s="59"/>
      <c r="L453" s="59"/>
      <c r="M453" s="60"/>
      <c r="N453" s="60"/>
      <c r="O453" s="60"/>
      <c r="P453" s="59"/>
      <c r="Q453" s="59"/>
      <c r="R453" s="60"/>
      <c r="S453" s="60"/>
      <c r="T453" s="60"/>
      <c r="U453" s="60"/>
      <c r="V453" s="60"/>
      <c r="W453" s="60"/>
    </row>
    <row r="454" spans="1:23" ht="13" x14ac:dyDescent="0.3">
      <c r="A454" s="58"/>
      <c r="B454" s="58"/>
      <c r="C454" s="58"/>
      <c r="D454" s="58"/>
      <c r="E454" s="58"/>
      <c r="F454" s="58"/>
      <c r="G454" s="58"/>
      <c r="H454" s="59"/>
      <c r="I454" s="59"/>
      <c r="J454" s="59"/>
      <c r="K454" s="59"/>
      <c r="L454" s="59"/>
      <c r="M454" s="60"/>
      <c r="N454" s="60"/>
      <c r="O454" s="60"/>
      <c r="P454" s="59"/>
      <c r="Q454" s="59"/>
      <c r="R454" s="60"/>
      <c r="S454" s="60"/>
      <c r="T454" s="60"/>
      <c r="U454" s="60"/>
      <c r="V454" s="60"/>
      <c r="W454" s="60"/>
    </row>
    <row r="455" spans="1:23" ht="13" x14ac:dyDescent="0.3">
      <c r="A455" s="58"/>
      <c r="B455" s="58"/>
      <c r="C455" s="58"/>
      <c r="D455" s="58"/>
      <c r="E455" s="58"/>
      <c r="F455" s="58"/>
      <c r="G455" s="58"/>
      <c r="H455" s="59"/>
      <c r="I455" s="59"/>
      <c r="J455" s="59"/>
      <c r="K455" s="59"/>
      <c r="L455" s="59"/>
      <c r="M455" s="60"/>
      <c r="N455" s="60"/>
      <c r="O455" s="60"/>
      <c r="P455" s="59"/>
      <c r="Q455" s="59"/>
      <c r="R455" s="60"/>
      <c r="S455" s="60"/>
      <c r="T455" s="60"/>
      <c r="U455" s="60"/>
      <c r="V455" s="60"/>
      <c r="W455" s="60"/>
    </row>
    <row r="456" spans="1:23" ht="13" x14ac:dyDescent="0.3">
      <c r="A456" s="58"/>
      <c r="B456" s="58"/>
      <c r="C456" s="58"/>
      <c r="D456" s="58"/>
      <c r="E456" s="58"/>
      <c r="F456" s="58"/>
      <c r="G456" s="58"/>
      <c r="H456" s="59"/>
      <c r="I456" s="59"/>
      <c r="J456" s="59"/>
      <c r="K456" s="59"/>
      <c r="L456" s="59"/>
      <c r="M456" s="60"/>
      <c r="N456" s="60"/>
      <c r="O456" s="60"/>
      <c r="P456" s="59"/>
      <c r="Q456" s="59"/>
      <c r="R456" s="60"/>
      <c r="S456" s="60"/>
      <c r="T456" s="60"/>
      <c r="U456" s="60"/>
      <c r="V456" s="60"/>
      <c r="W456" s="60"/>
    </row>
    <row r="457" spans="1:23" ht="13" x14ac:dyDescent="0.3">
      <c r="A457" s="58"/>
      <c r="B457" s="58"/>
      <c r="C457" s="58"/>
      <c r="D457" s="58"/>
      <c r="E457" s="58"/>
      <c r="F457" s="58"/>
      <c r="G457" s="58"/>
      <c r="H457" s="59"/>
      <c r="I457" s="59"/>
      <c r="J457" s="59"/>
      <c r="K457" s="59"/>
      <c r="L457" s="59"/>
      <c r="M457" s="60"/>
      <c r="N457" s="60"/>
      <c r="O457" s="60"/>
      <c r="P457" s="59"/>
      <c r="Q457" s="59"/>
      <c r="R457" s="60"/>
      <c r="S457" s="60"/>
      <c r="T457" s="60"/>
      <c r="U457" s="60"/>
      <c r="V457" s="60"/>
      <c r="W457" s="60"/>
    </row>
    <row r="458" spans="1:23" ht="13" x14ac:dyDescent="0.3">
      <c r="A458" s="58"/>
      <c r="B458" s="58"/>
      <c r="C458" s="58"/>
      <c r="D458" s="58"/>
      <c r="E458" s="58"/>
      <c r="F458" s="58"/>
      <c r="G458" s="58"/>
      <c r="H458" s="59"/>
      <c r="I458" s="59"/>
      <c r="J458" s="59"/>
      <c r="K458" s="59"/>
      <c r="L458" s="59"/>
      <c r="M458" s="60"/>
      <c r="N458" s="60"/>
      <c r="O458" s="60"/>
      <c r="P458" s="59"/>
      <c r="Q458" s="59"/>
      <c r="R458" s="60"/>
      <c r="S458" s="60"/>
      <c r="T458" s="60"/>
      <c r="U458" s="60"/>
      <c r="V458" s="60"/>
      <c r="W458" s="60"/>
    </row>
    <row r="459" spans="1:23" ht="13" x14ac:dyDescent="0.3">
      <c r="A459" s="58"/>
      <c r="B459" s="58"/>
      <c r="C459" s="58"/>
      <c r="D459" s="58"/>
      <c r="E459" s="58"/>
      <c r="F459" s="58"/>
      <c r="G459" s="58"/>
      <c r="H459" s="59"/>
      <c r="I459" s="59"/>
      <c r="J459" s="59"/>
      <c r="K459" s="59"/>
      <c r="L459" s="59"/>
      <c r="M459" s="60"/>
      <c r="N459" s="60"/>
      <c r="O459" s="60"/>
      <c r="P459" s="59"/>
      <c r="Q459" s="59"/>
      <c r="R459" s="60"/>
      <c r="S459" s="60"/>
      <c r="T459" s="60"/>
      <c r="U459" s="60"/>
      <c r="V459" s="60"/>
      <c r="W459" s="60"/>
    </row>
    <row r="460" spans="1:23" ht="13" x14ac:dyDescent="0.3">
      <c r="A460" s="58"/>
      <c r="B460" s="58"/>
      <c r="C460" s="58"/>
      <c r="D460" s="58"/>
      <c r="E460" s="58"/>
      <c r="F460" s="58"/>
      <c r="G460" s="58"/>
      <c r="H460" s="59"/>
      <c r="I460" s="59"/>
      <c r="J460" s="59"/>
      <c r="K460" s="59"/>
      <c r="L460" s="59"/>
      <c r="M460" s="60"/>
      <c r="N460" s="60"/>
      <c r="O460" s="60"/>
      <c r="P460" s="59"/>
      <c r="Q460" s="59"/>
      <c r="R460" s="60"/>
      <c r="S460" s="60"/>
      <c r="T460" s="60"/>
      <c r="U460" s="60"/>
      <c r="V460" s="60"/>
      <c r="W460" s="60"/>
    </row>
    <row r="461" spans="1:23" ht="13" x14ac:dyDescent="0.3">
      <c r="A461" s="58"/>
      <c r="B461" s="58"/>
      <c r="C461" s="58"/>
      <c r="D461" s="58"/>
      <c r="E461" s="58"/>
      <c r="F461" s="58"/>
      <c r="G461" s="58"/>
      <c r="H461" s="59"/>
      <c r="I461" s="59"/>
      <c r="J461" s="59"/>
      <c r="K461" s="59"/>
      <c r="L461" s="59"/>
      <c r="M461" s="60"/>
      <c r="N461" s="60"/>
      <c r="O461" s="60"/>
      <c r="P461" s="59"/>
      <c r="Q461" s="59"/>
      <c r="R461" s="60"/>
      <c r="S461" s="60"/>
      <c r="T461" s="60"/>
      <c r="U461" s="60"/>
      <c r="V461" s="60"/>
      <c r="W461" s="60"/>
    </row>
    <row r="462" spans="1:23" ht="13" x14ac:dyDescent="0.3">
      <c r="A462" s="58"/>
      <c r="B462" s="58"/>
      <c r="C462" s="58"/>
      <c r="D462" s="58"/>
      <c r="E462" s="58"/>
      <c r="F462" s="58"/>
      <c r="G462" s="58"/>
      <c r="H462" s="59"/>
      <c r="I462" s="59"/>
      <c r="J462" s="59"/>
      <c r="K462" s="59"/>
      <c r="L462" s="59"/>
      <c r="M462" s="60"/>
      <c r="N462" s="60"/>
      <c r="O462" s="60"/>
      <c r="P462" s="59"/>
      <c r="Q462" s="59"/>
      <c r="R462" s="60"/>
      <c r="S462" s="60"/>
      <c r="T462" s="60"/>
      <c r="U462" s="60"/>
      <c r="V462" s="60"/>
      <c r="W462" s="60"/>
    </row>
    <row r="463" spans="1:23" ht="13" x14ac:dyDescent="0.3">
      <c r="A463" s="58"/>
      <c r="B463" s="58"/>
      <c r="C463" s="58"/>
      <c r="D463" s="58"/>
      <c r="E463" s="58"/>
      <c r="F463" s="58"/>
      <c r="G463" s="58"/>
      <c r="H463" s="59"/>
      <c r="I463" s="59"/>
      <c r="J463" s="59"/>
      <c r="K463" s="59"/>
      <c r="L463" s="59"/>
      <c r="M463" s="60"/>
      <c r="N463" s="60"/>
      <c r="O463" s="60"/>
      <c r="P463" s="59"/>
      <c r="Q463" s="59"/>
      <c r="R463" s="60"/>
      <c r="S463" s="60"/>
      <c r="T463" s="60"/>
      <c r="U463" s="60"/>
      <c r="V463" s="60"/>
      <c r="W463" s="60"/>
    </row>
    <row r="464" spans="1:23" ht="13" x14ac:dyDescent="0.3">
      <c r="A464" s="58"/>
      <c r="B464" s="58"/>
      <c r="C464" s="58"/>
      <c r="D464" s="58"/>
      <c r="E464" s="58"/>
      <c r="F464" s="58"/>
      <c r="G464" s="58"/>
      <c r="H464" s="59"/>
      <c r="I464" s="59"/>
      <c r="J464" s="59"/>
      <c r="K464" s="59"/>
      <c r="L464" s="59"/>
      <c r="M464" s="60"/>
      <c r="N464" s="60"/>
      <c r="O464" s="60"/>
      <c r="P464" s="59"/>
      <c r="Q464" s="59"/>
      <c r="R464" s="60"/>
      <c r="S464" s="60"/>
      <c r="T464" s="60"/>
      <c r="U464" s="60"/>
      <c r="V464" s="60"/>
      <c r="W464" s="60"/>
    </row>
    <row r="465" spans="1:23" ht="13" x14ac:dyDescent="0.3">
      <c r="A465" s="58"/>
      <c r="B465" s="58"/>
      <c r="C465" s="58"/>
      <c r="D465" s="58"/>
      <c r="E465" s="58"/>
      <c r="F465" s="58"/>
      <c r="G465" s="58"/>
      <c r="H465" s="59"/>
      <c r="I465" s="59"/>
      <c r="J465" s="59"/>
      <c r="K465" s="59"/>
      <c r="L465" s="59"/>
      <c r="M465" s="60"/>
      <c r="N465" s="60"/>
      <c r="O465" s="60"/>
      <c r="P465" s="59"/>
      <c r="Q465" s="59"/>
      <c r="R465" s="60"/>
      <c r="S465" s="60"/>
      <c r="T465" s="60"/>
      <c r="U465" s="60"/>
      <c r="V465" s="60"/>
      <c r="W465" s="60"/>
    </row>
    <row r="466" spans="1:23" ht="13" x14ac:dyDescent="0.3">
      <c r="A466" s="58"/>
      <c r="B466" s="58"/>
      <c r="C466" s="58"/>
      <c r="D466" s="58"/>
      <c r="E466" s="58"/>
      <c r="F466" s="58"/>
      <c r="G466" s="58"/>
      <c r="H466" s="59"/>
      <c r="I466" s="59"/>
      <c r="J466" s="59"/>
      <c r="K466" s="59"/>
      <c r="L466" s="59"/>
      <c r="M466" s="60"/>
      <c r="N466" s="60"/>
      <c r="O466" s="60"/>
      <c r="P466" s="59"/>
      <c r="Q466" s="59"/>
      <c r="R466" s="60"/>
      <c r="S466" s="60"/>
      <c r="T466" s="60"/>
      <c r="U466" s="60"/>
      <c r="V466" s="60"/>
      <c r="W466" s="60"/>
    </row>
    <row r="467" spans="1:23" ht="13" x14ac:dyDescent="0.3">
      <c r="A467" s="58"/>
      <c r="B467" s="58"/>
      <c r="C467" s="58"/>
      <c r="D467" s="58"/>
      <c r="E467" s="58"/>
      <c r="F467" s="58"/>
      <c r="G467" s="58"/>
      <c r="H467" s="59"/>
      <c r="I467" s="59"/>
      <c r="J467" s="59"/>
      <c r="K467" s="59"/>
      <c r="L467" s="59"/>
      <c r="M467" s="60"/>
      <c r="N467" s="60"/>
      <c r="O467" s="60"/>
      <c r="P467" s="59"/>
      <c r="Q467" s="59"/>
      <c r="R467" s="60"/>
      <c r="S467" s="60"/>
      <c r="T467" s="60"/>
      <c r="U467" s="60"/>
      <c r="V467" s="60"/>
      <c r="W467" s="60"/>
    </row>
    <row r="468" spans="1:23" ht="13" x14ac:dyDescent="0.3">
      <c r="A468" s="58"/>
      <c r="B468" s="58"/>
      <c r="C468" s="58"/>
      <c r="D468" s="58"/>
      <c r="E468" s="58"/>
      <c r="F468" s="58"/>
      <c r="G468" s="58"/>
      <c r="H468" s="59"/>
      <c r="I468" s="59"/>
      <c r="J468" s="59"/>
      <c r="K468" s="59"/>
      <c r="L468" s="59"/>
      <c r="M468" s="60"/>
      <c r="N468" s="60"/>
      <c r="O468" s="60"/>
      <c r="P468" s="59"/>
      <c r="Q468" s="59"/>
      <c r="R468" s="60"/>
      <c r="S468" s="60"/>
      <c r="T468" s="60"/>
      <c r="U468" s="60"/>
      <c r="V468" s="60"/>
      <c r="W468" s="60"/>
    </row>
    <row r="469" spans="1:23" ht="13" x14ac:dyDescent="0.3">
      <c r="A469" s="58"/>
      <c r="B469" s="58"/>
      <c r="C469" s="58"/>
      <c r="D469" s="58"/>
      <c r="E469" s="58"/>
      <c r="F469" s="58"/>
      <c r="G469" s="58"/>
      <c r="H469" s="59"/>
      <c r="I469" s="59"/>
      <c r="J469" s="59"/>
      <c r="K469" s="59"/>
      <c r="L469" s="59"/>
      <c r="M469" s="60"/>
      <c r="N469" s="60"/>
      <c r="O469" s="60"/>
      <c r="P469" s="59"/>
      <c r="Q469" s="59"/>
      <c r="R469" s="60"/>
      <c r="S469" s="60"/>
      <c r="T469" s="60"/>
      <c r="U469" s="60"/>
      <c r="V469" s="60"/>
      <c r="W469" s="60"/>
    </row>
    <row r="470" spans="1:23" ht="13" x14ac:dyDescent="0.3">
      <c r="A470" s="58"/>
      <c r="B470" s="58"/>
      <c r="C470" s="58"/>
      <c r="D470" s="58"/>
      <c r="E470" s="58"/>
      <c r="F470" s="58"/>
      <c r="G470" s="58"/>
      <c r="H470" s="59"/>
      <c r="I470" s="59"/>
      <c r="J470" s="59"/>
      <c r="K470" s="59"/>
      <c r="L470" s="59"/>
      <c r="M470" s="60"/>
      <c r="N470" s="60"/>
      <c r="O470" s="60"/>
      <c r="P470" s="59"/>
      <c r="Q470" s="59"/>
      <c r="R470" s="60"/>
      <c r="S470" s="60"/>
      <c r="T470" s="60"/>
      <c r="U470" s="60"/>
      <c r="V470" s="60"/>
      <c r="W470" s="60"/>
    </row>
    <row r="471" spans="1:23" ht="13" x14ac:dyDescent="0.3">
      <c r="A471" s="58"/>
      <c r="B471" s="58"/>
      <c r="C471" s="58"/>
      <c r="D471" s="58"/>
      <c r="E471" s="58"/>
      <c r="F471" s="58"/>
      <c r="G471" s="58"/>
      <c r="H471" s="59"/>
      <c r="I471" s="59"/>
      <c r="J471" s="59"/>
      <c r="K471" s="59"/>
      <c r="L471" s="59"/>
      <c r="M471" s="60"/>
      <c r="N471" s="60"/>
      <c r="O471" s="60"/>
      <c r="P471" s="59"/>
      <c r="Q471" s="59"/>
      <c r="R471" s="60"/>
      <c r="S471" s="60"/>
      <c r="T471" s="60"/>
      <c r="U471" s="60"/>
      <c r="V471" s="60"/>
      <c r="W471" s="60"/>
    </row>
    <row r="472" spans="1:23" ht="13" x14ac:dyDescent="0.3">
      <c r="A472" s="58"/>
      <c r="B472" s="58"/>
      <c r="C472" s="58"/>
      <c r="D472" s="58"/>
      <c r="E472" s="58"/>
      <c r="F472" s="58"/>
      <c r="G472" s="58"/>
      <c r="H472" s="59"/>
      <c r="I472" s="59"/>
      <c r="J472" s="59"/>
      <c r="K472" s="59"/>
      <c r="L472" s="59"/>
      <c r="M472" s="60"/>
      <c r="N472" s="60"/>
      <c r="O472" s="60"/>
      <c r="P472" s="59"/>
      <c r="Q472" s="59"/>
      <c r="R472" s="60"/>
      <c r="S472" s="60"/>
      <c r="T472" s="60"/>
      <c r="U472" s="60"/>
      <c r="V472" s="60"/>
      <c r="W472" s="60"/>
    </row>
    <row r="473" spans="1:23" ht="13" x14ac:dyDescent="0.3">
      <c r="A473" s="58"/>
      <c r="B473" s="58"/>
      <c r="C473" s="58"/>
      <c r="D473" s="58"/>
      <c r="E473" s="58"/>
      <c r="F473" s="58"/>
      <c r="G473" s="58"/>
      <c r="H473" s="59"/>
      <c r="I473" s="59"/>
      <c r="J473" s="59"/>
      <c r="K473" s="59"/>
      <c r="L473" s="59"/>
      <c r="M473" s="60"/>
      <c r="N473" s="60"/>
      <c r="O473" s="60"/>
      <c r="P473" s="59"/>
      <c r="Q473" s="59"/>
      <c r="R473" s="60"/>
      <c r="S473" s="60"/>
      <c r="T473" s="60"/>
      <c r="U473" s="60"/>
      <c r="V473" s="60"/>
      <c r="W473" s="60"/>
    </row>
    <row r="474" spans="1:23" ht="13" x14ac:dyDescent="0.3">
      <c r="A474" s="58"/>
      <c r="B474" s="58"/>
      <c r="C474" s="58"/>
      <c r="D474" s="58"/>
      <c r="E474" s="58"/>
      <c r="F474" s="58"/>
      <c r="G474" s="58"/>
      <c r="H474" s="59"/>
      <c r="I474" s="59"/>
      <c r="J474" s="59"/>
      <c r="K474" s="59"/>
      <c r="L474" s="59"/>
      <c r="M474" s="60"/>
      <c r="N474" s="60"/>
      <c r="O474" s="60"/>
      <c r="P474" s="59"/>
      <c r="Q474" s="59"/>
      <c r="R474" s="60"/>
      <c r="S474" s="60"/>
      <c r="T474" s="60"/>
      <c r="U474" s="60"/>
      <c r="V474" s="60"/>
      <c r="W474" s="60"/>
    </row>
    <row r="475" spans="1:23" ht="13" x14ac:dyDescent="0.3">
      <c r="A475" s="58"/>
      <c r="B475" s="58"/>
      <c r="C475" s="58"/>
      <c r="D475" s="58"/>
      <c r="E475" s="58"/>
      <c r="F475" s="58"/>
      <c r="G475" s="58"/>
      <c r="H475" s="59"/>
      <c r="I475" s="59"/>
      <c r="J475" s="59"/>
      <c r="K475" s="59"/>
      <c r="L475" s="59"/>
      <c r="M475" s="60"/>
      <c r="N475" s="60"/>
      <c r="O475" s="60"/>
      <c r="P475" s="59"/>
      <c r="Q475" s="59"/>
      <c r="R475" s="60"/>
      <c r="S475" s="60"/>
      <c r="T475" s="60"/>
      <c r="U475" s="60"/>
      <c r="V475" s="60"/>
      <c r="W475" s="60"/>
    </row>
    <row r="476" spans="1:23" ht="13" x14ac:dyDescent="0.3">
      <c r="A476" s="58"/>
      <c r="B476" s="58"/>
      <c r="C476" s="58"/>
      <c r="D476" s="58"/>
      <c r="E476" s="58"/>
      <c r="F476" s="58"/>
      <c r="G476" s="58"/>
      <c r="H476" s="59"/>
      <c r="I476" s="59"/>
      <c r="J476" s="59"/>
      <c r="K476" s="59"/>
      <c r="L476" s="59"/>
      <c r="M476" s="60"/>
      <c r="N476" s="60"/>
      <c r="O476" s="60"/>
      <c r="P476" s="59"/>
      <c r="Q476" s="59"/>
      <c r="R476" s="60"/>
      <c r="S476" s="60"/>
      <c r="T476" s="60"/>
      <c r="U476" s="60"/>
      <c r="V476" s="60"/>
      <c r="W476" s="60"/>
    </row>
    <row r="477" spans="1:23" ht="13" x14ac:dyDescent="0.3">
      <c r="A477" s="58"/>
      <c r="B477" s="58"/>
      <c r="C477" s="58"/>
      <c r="D477" s="58"/>
      <c r="E477" s="58"/>
      <c r="F477" s="58"/>
      <c r="G477" s="58"/>
      <c r="H477" s="59"/>
      <c r="I477" s="59"/>
      <c r="J477" s="59"/>
      <c r="K477" s="59"/>
      <c r="L477" s="59"/>
      <c r="M477" s="60"/>
      <c r="N477" s="60"/>
      <c r="O477" s="60"/>
      <c r="P477" s="59"/>
      <c r="Q477" s="59"/>
      <c r="R477" s="60"/>
      <c r="S477" s="60"/>
      <c r="T477" s="60"/>
      <c r="U477" s="60"/>
      <c r="V477" s="60"/>
      <c r="W477" s="60"/>
    </row>
    <row r="478" spans="1:23" ht="13" x14ac:dyDescent="0.3">
      <c r="A478" s="58"/>
      <c r="B478" s="58"/>
      <c r="C478" s="58"/>
      <c r="D478" s="58"/>
      <c r="E478" s="58"/>
      <c r="F478" s="58"/>
      <c r="G478" s="58"/>
      <c r="H478" s="59"/>
      <c r="I478" s="59"/>
      <c r="J478" s="59"/>
      <c r="K478" s="59"/>
      <c r="L478" s="59"/>
      <c r="M478" s="60"/>
      <c r="N478" s="60"/>
      <c r="O478" s="60"/>
      <c r="P478" s="59"/>
      <c r="Q478" s="59"/>
      <c r="R478" s="60"/>
      <c r="S478" s="60"/>
      <c r="T478" s="60"/>
      <c r="U478" s="60"/>
      <c r="V478" s="60"/>
      <c r="W478" s="60"/>
    </row>
    <row r="479" spans="1:23" ht="13" x14ac:dyDescent="0.3">
      <c r="A479" s="58"/>
      <c r="B479" s="58"/>
      <c r="C479" s="58"/>
      <c r="D479" s="58"/>
      <c r="E479" s="58"/>
      <c r="F479" s="58"/>
      <c r="G479" s="58"/>
      <c r="H479" s="59"/>
      <c r="I479" s="59"/>
      <c r="J479" s="59"/>
      <c r="K479" s="59"/>
      <c r="L479" s="59"/>
      <c r="M479" s="60"/>
      <c r="N479" s="60"/>
      <c r="O479" s="60"/>
      <c r="P479" s="59"/>
      <c r="Q479" s="59"/>
      <c r="R479" s="60"/>
      <c r="S479" s="60"/>
      <c r="T479" s="60"/>
      <c r="U479" s="60"/>
      <c r="V479" s="60"/>
      <c r="W479" s="60"/>
    </row>
    <row r="480" spans="1:23" ht="13" x14ac:dyDescent="0.3">
      <c r="A480" s="58"/>
      <c r="B480" s="58"/>
      <c r="C480" s="58"/>
      <c r="D480" s="58"/>
      <c r="E480" s="58"/>
      <c r="F480" s="58"/>
      <c r="G480" s="58"/>
      <c r="H480" s="59"/>
      <c r="I480" s="59"/>
      <c r="J480" s="59"/>
      <c r="K480" s="59"/>
      <c r="L480" s="59"/>
      <c r="M480" s="60"/>
      <c r="N480" s="60"/>
      <c r="O480" s="60"/>
      <c r="P480" s="59"/>
      <c r="Q480" s="59"/>
      <c r="R480" s="60"/>
      <c r="S480" s="60"/>
      <c r="T480" s="60"/>
      <c r="U480" s="60"/>
      <c r="V480" s="60"/>
      <c r="W480" s="60"/>
    </row>
    <row r="481" spans="1:23" ht="13" x14ac:dyDescent="0.3">
      <c r="A481" s="58"/>
      <c r="B481" s="58"/>
      <c r="C481" s="58"/>
      <c r="D481" s="58"/>
      <c r="E481" s="58"/>
      <c r="F481" s="58"/>
      <c r="G481" s="58"/>
      <c r="H481" s="59"/>
      <c r="I481" s="59"/>
      <c r="J481" s="59"/>
      <c r="K481" s="59"/>
      <c r="L481" s="59"/>
      <c r="M481" s="60"/>
      <c r="N481" s="60"/>
      <c r="O481" s="60"/>
      <c r="P481" s="59"/>
      <c r="Q481" s="59"/>
      <c r="R481" s="60"/>
      <c r="S481" s="60"/>
      <c r="T481" s="60"/>
      <c r="U481" s="60"/>
      <c r="V481" s="60"/>
      <c r="W481" s="60"/>
    </row>
    <row r="482" spans="1:23" ht="13" x14ac:dyDescent="0.3">
      <c r="A482" s="58"/>
      <c r="B482" s="58"/>
      <c r="C482" s="58"/>
      <c r="D482" s="58"/>
      <c r="E482" s="58"/>
      <c r="F482" s="58"/>
      <c r="G482" s="58"/>
      <c r="H482" s="59"/>
      <c r="I482" s="59"/>
      <c r="J482" s="59"/>
      <c r="K482" s="59"/>
      <c r="L482" s="59"/>
      <c r="M482" s="60"/>
      <c r="N482" s="60"/>
      <c r="O482" s="60"/>
      <c r="P482" s="59"/>
      <c r="Q482" s="59"/>
      <c r="R482" s="60"/>
      <c r="S482" s="60"/>
      <c r="T482" s="60"/>
      <c r="U482" s="60"/>
      <c r="V482" s="60"/>
      <c r="W482" s="60"/>
    </row>
    <row r="483" spans="1:23" ht="13" x14ac:dyDescent="0.3">
      <c r="A483" s="58"/>
      <c r="B483" s="58"/>
      <c r="C483" s="58"/>
      <c r="D483" s="58"/>
      <c r="E483" s="58"/>
      <c r="F483" s="58"/>
      <c r="G483" s="58"/>
      <c r="H483" s="59"/>
      <c r="I483" s="59"/>
      <c r="J483" s="59"/>
      <c r="K483" s="59"/>
      <c r="L483" s="59"/>
      <c r="M483" s="60"/>
      <c r="N483" s="60"/>
      <c r="O483" s="60"/>
      <c r="P483" s="59"/>
      <c r="Q483" s="59"/>
      <c r="R483" s="60"/>
      <c r="S483" s="60"/>
      <c r="T483" s="60"/>
      <c r="U483" s="60"/>
      <c r="V483" s="60"/>
      <c r="W483" s="60"/>
    </row>
    <row r="484" spans="1:23" ht="13" x14ac:dyDescent="0.3">
      <c r="A484" s="58"/>
      <c r="B484" s="58"/>
      <c r="C484" s="58"/>
      <c r="D484" s="58"/>
      <c r="E484" s="58"/>
      <c r="F484" s="58"/>
      <c r="G484" s="58"/>
      <c r="H484" s="59"/>
      <c r="I484" s="59"/>
      <c r="J484" s="59"/>
      <c r="K484" s="59"/>
      <c r="L484" s="59"/>
      <c r="M484" s="60"/>
      <c r="N484" s="60"/>
      <c r="O484" s="60"/>
      <c r="P484" s="59"/>
      <c r="Q484" s="59"/>
      <c r="R484" s="60"/>
      <c r="S484" s="60"/>
      <c r="T484" s="60"/>
      <c r="U484" s="60"/>
      <c r="V484" s="60"/>
      <c r="W484" s="60"/>
    </row>
    <row r="485" spans="1:23" ht="13" x14ac:dyDescent="0.3">
      <c r="A485" s="58"/>
      <c r="B485" s="58"/>
      <c r="C485" s="58"/>
      <c r="D485" s="58"/>
      <c r="E485" s="58"/>
      <c r="F485" s="58"/>
      <c r="G485" s="58"/>
      <c r="H485" s="59"/>
      <c r="I485" s="59"/>
      <c r="J485" s="59"/>
      <c r="K485" s="59"/>
      <c r="L485" s="59"/>
      <c r="M485" s="60"/>
      <c r="N485" s="60"/>
      <c r="O485" s="60"/>
      <c r="P485" s="59"/>
      <c r="Q485" s="59"/>
      <c r="R485" s="60"/>
      <c r="S485" s="60"/>
      <c r="T485" s="60"/>
      <c r="U485" s="60"/>
      <c r="V485" s="60"/>
      <c r="W485" s="60"/>
    </row>
    <row r="486" spans="1:23" ht="13" x14ac:dyDescent="0.3">
      <c r="A486" s="58"/>
      <c r="B486" s="58"/>
      <c r="C486" s="58"/>
      <c r="D486" s="58"/>
      <c r="E486" s="58"/>
      <c r="F486" s="58"/>
      <c r="G486" s="58"/>
      <c r="H486" s="59"/>
      <c r="I486" s="59"/>
      <c r="J486" s="59"/>
      <c r="K486" s="59"/>
      <c r="L486" s="59"/>
      <c r="M486" s="60"/>
      <c r="N486" s="60"/>
      <c r="O486" s="60"/>
      <c r="P486" s="59"/>
      <c r="Q486" s="59"/>
      <c r="R486" s="60"/>
      <c r="S486" s="60"/>
      <c r="T486" s="60"/>
      <c r="U486" s="60"/>
      <c r="V486" s="60"/>
      <c r="W486" s="60"/>
    </row>
    <row r="487" spans="1:23" ht="13" x14ac:dyDescent="0.3">
      <c r="A487" s="58"/>
      <c r="B487" s="58"/>
      <c r="C487" s="58"/>
      <c r="D487" s="58"/>
      <c r="E487" s="58"/>
      <c r="F487" s="58"/>
      <c r="G487" s="58"/>
      <c r="H487" s="59"/>
      <c r="I487" s="59"/>
      <c r="J487" s="59"/>
      <c r="K487" s="59"/>
      <c r="L487" s="59"/>
      <c r="M487" s="60"/>
      <c r="N487" s="60"/>
      <c r="O487" s="60"/>
      <c r="P487" s="59"/>
      <c r="Q487" s="59"/>
      <c r="R487" s="60"/>
      <c r="S487" s="60"/>
      <c r="T487" s="60"/>
      <c r="U487" s="60"/>
      <c r="V487" s="60"/>
      <c r="W487" s="60"/>
    </row>
    <row r="488" spans="1:23" ht="13" x14ac:dyDescent="0.3">
      <c r="A488" s="58"/>
      <c r="B488" s="58"/>
      <c r="C488" s="58"/>
      <c r="D488" s="58"/>
      <c r="E488" s="58"/>
      <c r="F488" s="58"/>
      <c r="G488" s="58"/>
      <c r="H488" s="59"/>
      <c r="I488" s="59"/>
      <c r="J488" s="59"/>
      <c r="K488" s="59"/>
      <c r="L488" s="59"/>
      <c r="M488" s="60"/>
      <c r="N488" s="60"/>
      <c r="O488" s="60"/>
      <c r="P488" s="59"/>
      <c r="Q488" s="59"/>
      <c r="R488" s="60"/>
      <c r="S488" s="60"/>
      <c r="T488" s="60"/>
      <c r="U488" s="60"/>
      <c r="V488" s="60"/>
      <c r="W488" s="60"/>
    </row>
    <row r="489" spans="1:23" ht="13" x14ac:dyDescent="0.3">
      <c r="A489" s="58"/>
      <c r="B489" s="58"/>
      <c r="C489" s="58"/>
      <c r="D489" s="58"/>
      <c r="E489" s="58"/>
      <c r="F489" s="58"/>
      <c r="G489" s="58"/>
      <c r="H489" s="59"/>
      <c r="I489" s="59"/>
      <c r="J489" s="59"/>
      <c r="K489" s="59"/>
      <c r="L489" s="59"/>
      <c r="M489" s="60"/>
      <c r="N489" s="60"/>
      <c r="O489" s="60"/>
      <c r="P489" s="59"/>
      <c r="Q489" s="59"/>
      <c r="R489" s="60"/>
      <c r="S489" s="60"/>
      <c r="T489" s="60"/>
      <c r="U489" s="60"/>
      <c r="V489" s="60"/>
      <c r="W489" s="60"/>
    </row>
    <row r="490" spans="1:23" ht="13" x14ac:dyDescent="0.3">
      <c r="A490" s="58"/>
      <c r="B490" s="58"/>
      <c r="C490" s="58"/>
      <c r="D490" s="58"/>
      <c r="E490" s="58"/>
      <c r="F490" s="58"/>
      <c r="G490" s="58"/>
      <c r="H490" s="59"/>
      <c r="I490" s="59"/>
      <c r="J490" s="59"/>
      <c r="K490" s="59"/>
      <c r="L490" s="59"/>
      <c r="M490" s="60"/>
      <c r="N490" s="60"/>
      <c r="O490" s="60"/>
      <c r="P490" s="59"/>
      <c r="Q490" s="59"/>
      <c r="R490" s="60"/>
      <c r="S490" s="60"/>
      <c r="T490" s="60"/>
      <c r="U490" s="60"/>
      <c r="V490" s="60"/>
      <c r="W490" s="60"/>
    </row>
    <row r="491" spans="1:23" ht="13" x14ac:dyDescent="0.3">
      <c r="A491" s="58"/>
      <c r="B491" s="58"/>
      <c r="C491" s="58"/>
      <c r="D491" s="58"/>
      <c r="E491" s="58"/>
      <c r="F491" s="58"/>
      <c r="G491" s="58"/>
      <c r="H491" s="59"/>
      <c r="I491" s="59"/>
      <c r="J491" s="59"/>
      <c r="K491" s="59"/>
      <c r="L491" s="59"/>
      <c r="M491" s="60"/>
      <c r="N491" s="60"/>
      <c r="O491" s="60"/>
      <c r="P491" s="59"/>
      <c r="Q491" s="59"/>
      <c r="R491" s="60"/>
      <c r="S491" s="60"/>
      <c r="T491" s="60"/>
      <c r="U491" s="60"/>
      <c r="V491" s="60"/>
      <c r="W491" s="60"/>
    </row>
    <row r="492" spans="1:23" ht="13" x14ac:dyDescent="0.3">
      <c r="A492" s="58"/>
      <c r="B492" s="58"/>
      <c r="C492" s="58"/>
      <c r="D492" s="58"/>
      <c r="E492" s="58"/>
      <c r="F492" s="58"/>
      <c r="G492" s="58"/>
      <c r="H492" s="59"/>
      <c r="I492" s="59"/>
      <c r="J492" s="59"/>
      <c r="K492" s="59"/>
      <c r="L492" s="59"/>
      <c r="M492" s="60"/>
      <c r="N492" s="60"/>
      <c r="O492" s="60"/>
      <c r="P492" s="59"/>
      <c r="Q492" s="59"/>
      <c r="R492" s="60"/>
      <c r="S492" s="60"/>
      <c r="T492" s="60"/>
      <c r="U492" s="60"/>
      <c r="V492" s="60"/>
      <c r="W492" s="60"/>
    </row>
    <row r="493" spans="1:23" ht="13" x14ac:dyDescent="0.3">
      <c r="A493" s="58"/>
      <c r="B493" s="58"/>
      <c r="C493" s="58"/>
      <c r="D493" s="58"/>
      <c r="E493" s="58"/>
      <c r="F493" s="58"/>
      <c r="G493" s="58"/>
      <c r="H493" s="59"/>
      <c r="I493" s="59"/>
      <c r="J493" s="59"/>
      <c r="K493" s="59"/>
      <c r="L493" s="59"/>
      <c r="M493" s="60"/>
      <c r="N493" s="60"/>
      <c r="O493" s="60"/>
      <c r="P493" s="59"/>
      <c r="Q493" s="59"/>
      <c r="R493" s="60"/>
      <c r="S493" s="60"/>
      <c r="T493" s="60"/>
      <c r="U493" s="60"/>
      <c r="V493" s="60"/>
      <c r="W493" s="60"/>
    </row>
    <row r="494" spans="1:23" ht="13" x14ac:dyDescent="0.3">
      <c r="A494" s="58"/>
      <c r="B494" s="58"/>
      <c r="C494" s="58"/>
      <c r="D494" s="58"/>
      <c r="E494" s="58"/>
      <c r="F494" s="58"/>
      <c r="G494" s="58"/>
      <c r="H494" s="59"/>
      <c r="I494" s="59"/>
      <c r="J494" s="59"/>
      <c r="K494" s="59"/>
      <c r="L494" s="59"/>
      <c r="M494" s="60"/>
      <c r="N494" s="60"/>
      <c r="O494" s="60"/>
      <c r="P494" s="59"/>
      <c r="Q494" s="59"/>
      <c r="R494" s="60"/>
      <c r="S494" s="60"/>
      <c r="T494" s="60"/>
      <c r="U494" s="60"/>
      <c r="V494" s="60"/>
      <c r="W494" s="60"/>
    </row>
    <row r="495" spans="1:23" ht="13" x14ac:dyDescent="0.3">
      <c r="A495" s="58"/>
      <c r="B495" s="58"/>
      <c r="C495" s="58"/>
      <c r="D495" s="58"/>
      <c r="E495" s="58"/>
      <c r="F495" s="58"/>
      <c r="G495" s="58"/>
      <c r="H495" s="59"/>
      <c r="I495" s="59"/>
      <c r="J495" s="59"/>
      <c r="K495" s="59"/>
      <c r="L495" s="59"/>
      <c r="M495" s="60"/>
      <c r="N495" s="60"/>
      <c r="O495" s="60"/>
      <c r="P495" s="59"/>
      <c r="Q495" s="59"/>
      <c r="R495" s="60"/>
      <c r="S495" s="60"/>
      <c r="T495" s="60"/>
      <c r="U495" s="60"/>
      <c r="V495" s="60"/>
      <c r="W495" s="60"/>
    </row>
    <row r="496" spans="1:23" ht="13" x14ac:dyDescent="0.3">
      <c r="A496" s="58"/>
      <c r="B496" s="58"/>
      <c r="C496" s="58"/>
      <c r="D496" s="58"/>
      <c r="E496" s="58"/>
      <c r="F496" s="58"/>
      <c r="G496" s="58"/>
      <c r="H496" s="59"/>
      <c r="I496" s="59"/>
      <c r="J496" s="59"/>
      <c r="K496" s="59"/>
      <c r="L496" s="59"/>
      <c r="M496" s="60"/>
      <c r="N496" s="60"/>
      <c r="O496" s="60"/>
      <c r="P496" s="59"/>
      <c r="Q496" s="59"/>
      <c r="R496" s="60"/>
      <c r="S496" s="60"/>
      <c r="T496" s="60"/>
      <c r="U496" s="60"/>
      <c r="V496" s="60"/>
      <c r="W496" s="60"/>
    </row>
    <row r="497" spans="1:23" ht="13" x14ac:dyDescent="0.3">
      <c r="A497" s="58"/>
      <c r="B497" s="58"/>
      <c r="C497" s="58"/>
      <c r="D497" s="58"/>
      <c r="E497" s="58"/>
      <c r="F497" s="58"/>
      <c r="G497" s="58"/>
      <c r="H497" s="59"/>
      <c r="I497" s="59"/>
      <c r="J497" s="59"/>
      <c r="K497" s="59"/>
      <c r="L497" s="59"/>
      <c r="M497" s="60"/>
      <c r="N497" s="60"/>
      <c r="O497" s="60"/>
      <c r="P497" s="59"/>
      <c r="Q497" s="59"/>
      <c r="R497" s="60"/>
      <c r="S497" s="60"/>
      <c r="T497" s="60"/>
      <c r="U497" s="60"/>
      <c r="V497" s="60"/>
      <c r="W497" s="60"/>
    </row>
    <row r="498" spans="1:23" ht="13" x14ac:dyDescent="0.3">
      <c r="A498" s="58"/>
      <c r="B498" s="58"/>
      <c r="C498" s="58"/>
      <c r="D498" s="58"/>
      <c r="E498" s="58"/>
      <c r="F498" s="58"/>
      <c r="G498" s="58"/>
      <c r="H498" s="59"/>
      <c r="I498" s="59"/>
      <c r="J498" s="59"/>
      <c r="K498" s="59"/>
      <c r="L498" s="59"/>
      <c r="M498" s="60"/>
      <c r="N498" s="60"/>
      <c r="O498" s="60"/>
      <c r="P498" s="59"/>
      <c r="Q498" s="59"/>
      <c r="R498" s="60"/>
      <c r="S498" s="60"/>
      <c r="T498" s="60"/>
      <c r="U498" s="60"/>
      <c r="V498" s="60"/>
      <c r="W498" s="60"/>
    </row>
    <row r="499" spans="1:23" ht="13" x14ac:dyDescent="0.3">
      <c r="A499" s="58"/>
      <c r="B499" s="58"/>
      <c r="C499" s="58"/>
      <c r="D499" s="58"/>
      <c r="E499" s="58"/>
      <c r="F499" s="58"/>
      <c r="G499" s="58"/>
      <c r="H499" s="59"/>
      <c r="I499" s="59"/>
      <c r="J499" s="59"/>
      <c r="K499" s="59"/>
      <c r="L499" s="59"/>
      <c r="M499" s="60"/>
      <c r="N499" s="60"/>
      <c r="O499" s="60"/>
      <c r="P499" s="59"/>
      <c r="Q499" s="59"/>
      <c r="R499" s="60"/>
      <c r="S499" s="60"/>
      <c r="T499" s="60"/>
      <c r="U499" s="60"/>
      <c r="V499" s="60"/>
      <c r="W499" s="60"/>
    </row>
    <row r="500" spans="1:23" ht="13" x14ac:dyDescent="0.3">
      <c r="A500" s="58"/>
      <c r="B500" s="58"/>
      <c r="C500" s="58"/>
      <c r="D500" s="58"/>
      <c r="E500" s="58"/>
      <c r="F500" s="58"/>
      <c r="G500" s="58"/>
      <c r="H500" s="59"/>
      <c r="I500" s="59"/>
      <c r="J500" s="59"/>
      <c r="K500" s="59"/>
      <c r="L500" s="59"/>
      <c r="M500" s="60"/>
      <c r="N500" s="60"/>
      <c r="O500" s="60"/>
      <c r="P500" s="59"/>
      <c r="Q500" s="59"/>
      <c r="R500" s="60"/>
      <c r="S500" s="60"/>
      <c r="T500" s="60"/>
      <c r="U500" s="60"/>
      <c r="V500" s="60"/>
      <c r="W500" s="60"/>
    </row>
    <row r="501" spans="1:23" ht="13" x14ac:dyDescent="0.3">
      <c r="A501" s="58"/>
      <c r="B501" s="58"/>
      <c r="C501" s="58"/>
      <c r="D501" s="58"/>
      <c r="E501" s="58"/>
      <c r="F501" s="58"/>
      <c r="G501" s="58"/>
      <c r="H501" s="59"/>
      <c r="I501" s="59"/>
      <c r="J501" s="59"/>
      <c r="K501" s="59"/>
      <c r="L501" s="59"/>
      <c r="M501" s="60"/>
      <c r="N501" s="60"/>
      <c r="O501" s="60"/>
      <c r="P501" s="59"/>
      <c r="Q501" s="59"/>
      <c r="R501" s="60"/>
      <c r="S501" s="60"/>
      <c r="T501" s="60"/>
      <c r="U501" s="60"/>
      <c r="V501" s="60"/>
      <c r="W501" s="60"/>
    </row>
    <row r="502" spans="1:23" ht="13" x14ac:dyDescent="0.3">
      <c r="A502" s="58"/>
      <c r="B502" s="58"/>
      <c r="C502" s="58"/>
      <c r="D502" s="58"/>
      <c r="E502" s="58"/>
      <c r="F502" s="58"/>
      <c r="G502" s="58"/>
      <c r="H502" s="59"/>
      <c r="I502" s="59"/>
      <c r="J502" s="59"/>
      <c r="K502" s="59"/>
      <c r="L502" s="59"/>
      <c r="M502" s="60"/>
      <c r="N502" s="60"/>
      <c r="O502" s="60"/>
      <c r="P502" s="59"/>
      <c r="Q502" s="59"/>
      <c r="R502" s="60"/>
      <c r="S502" s="60"/>
      <c r="T502" s="60"/>
      <c r="U502" s="60"/>
      <c r="V502" s="60"/>
      <c r="W502" s="60"/>
    </row>
    <row r="503" spans="1:23" ht="13" x14ac:dyDescent="0.3">
      <c r="A503" s="58"/>
      <c r="B503" s="58"/>
      <c r="C503" s="58"/>
      <c r="D503" s="58"/>
      <c r="E503" s="58"/>
      <c r="F503" s="58"/>
      <c r="G503" s="58"/>
      <c r="H503" s="59"/>
      <c r="I503" s="59"/>
      <c r="J503" s="59"/>
      <c r="K503" s="59"/>
      <c r="L503" s="59"/>
      <c r="M503" s="60"/>
      <c r="N503" s="60"/>
      <c r="O503" s="60"/>
      <c r="P503" s="59"/>
      <c r="Q503" s="59"/>
      <c r="R503" s="60"/>
      <c r="S503" s="60"/>
      <c r="T503" s="60"/>
      <c r="U503" s="60"/>
      <c r="V503" s="60"/>
      <c r="W503" s="60"/>
    </row>
    <row r="504" spans="1:23" ht="13" x14ac:dyDescent="0.3">
      <c r="A504" s="58"/>
      <c r="B504" s="58"/>
      <c r="C504" s="58"/>
      <c r="D504" s="58"/>
      <c r="E504" s="58"/>
      <c r="F504" s="58"/>
      <c r="G504" s="58"/>
      <c r="H504" s="59"/>
      <c r="I504" s="59"/>
      <c r="J504" s="59"/>
      <c r="K504" s="59"/>
      <c r="L504" s="59"/>
      <c r="M504" s="60"/>
      <c r="N504" s="60"/>
      <c r="O504" s="60"/>
      <c r="P504" s="59"/>
      <c r="Q504" s="59"/>
      <c r="R504" s="60"/>
      <c r="S504" s="60"/>
      <c r="T504" s="60"/>
      <c r="U504" s="60"/>
      <c r="V504" s="60"/>
      <c r="W504" s="60"/>
    </row>
    <row r="505" spans="1:23" ht="13" x14ac:dyDescent="0.3">
      <c r="A505" s="58"/>
      <c r="B505" s="58"/>
      <c r="C505" s="58"/>
      <c r="D505" s="58"/>
      <c r="E505" s="58"/>
      <c r="F505" s="58"/>
      <c r="G505" s="58"/>
      <c r="H505" s="59"/>
      <c r="I505" s="59"/>
      <c r="J505" s="59"/>
      <c r="K505" s="59"/>
      <c r="L505" s="59"/>
      <c r="M505" s="60"/>
      <c r="N505" s="60"/>
      <c r="O505" s="60"/>
      <c r="P505" s="59"/>
      <c r="Q505" s="59"/>
      <c r="R505" s="60"/>
      <c r="S505" s="60"/>
      <c r="T505" s="60"/>
      <c r="U505" s="60"/>
      <c r="V505" s="60"/>
      <c r="W505" s="60"/>
    </row>
    <row r="506" spans="1:23" ht="13" x14ac:dyDescent="0.3">
      <c r="A506" s="58"/>
      <c r="B506" s="58"/>
      <c r="C506" s="58"/>
      <c r="D506" s="58"/>
      <c r="E506" s="58"/>
      <c r="F506" s="58"/>
      <c r="G506" s="58"/>
      <c r="H506" s="59"/>
      <c r="I506" s="59"/>
      <c r="J506" s="59"/>
      <c r="K506" s="59"/>
      <c r="L506" s="59"/>
      <c r="M506" s="60"/>
      <c r="N506" s="60"/>
      <c r="O506" s="60"/>
      <c r="P506" s="59"/>
      <c r="Q506" s="59"/>
      <c r="R506" s="60"/>
      <c r="S506" s="60"/>
      <c r="T506" s="60"/>
      <c r="U506" s="60"/>
      <c r="V506" s="60"/>
      <c r="W506" s="60"/>
    </row>
    <row r="507" spans="1:23" ht="13" x14ac:dyDescent="0.3">
      <c r="A507" s="58"/>
      <c r="B507" s="58"/>
      <c r="C507" s="58"/>
      <c r="D507" s="58"/>
      <c r="E507" s="58"/>
      <c r="F507" s="58"/>
      <c r="G507" s="58"/>
      <c r="H507" s="59"/>
      <c r="I507" s="59"/>
      <c r="J507" s="59"/>
      <c r="K507" s="59"/>
      <c r="L507" s="59"/>
      <c r="M507" s="60"/>
      <c r="N507" s="60"/>
      <c r="O507" s="60"/>
      <c r="P507" s="59"/>
      <c r="Q507" s="59"/>
      <c r="R507" s="60"/>
      <c r="S507" s="60"/>
      <c r="T507" s="60"/>
      <c r="U507" s="60"/>
      <c r="V507" s="60"/>
      <c r="W507" s="60"/>
    </row>
    <row r="508" spans="1:23" ht="13" x14ac:dyDescent="0.3">
      <c r="A508" s="58"/>
      <c r="B508" s="58"/>
      <c r="C508" s="58"/>
      <c r="D508" s="58"/>
      <c r="E508" s="58"/>
      <c r="F508" s="58"/>
      <c r="G508" s="58"/>
      <c r="H508" s="59"/>
      <c r="I508" s="59"/>
      <c r="J508" s="59"/>
      <c r="K508" s="59"/>
      <c r="L508" s="59"/>
      <c r="M508" s="60"/>
      <c r="N508" s="60"/>
      <c r="O508" s="60"/>
      <c r="P508" s="59"/>
      <c r="Q508" s="59"/>
      <c r="R508" s="60"/>
      <c r="S508" s="60"/>
      <c r="T508" s="60"/>
      <c r="U508" s="60"/>
      <c r="V508" s="60"/>
      <c r="W508" s="60"/>
    </row>
    <row r="509" spans="1:23" ht="13" x14ac:dyDescent="0.3">
      <c r="A509" s="58"/>
      <c r="B509" s="58"/>
      <c r="C509" s="58"/>
      <c r="D509" s="58"/>
      <c r="E509" s="58"/>
      <c r="F509" s="58"/>
      <c r="G509" s="58"/>
      <c r="H509" s="59"/>
      <c r="I509" s="59"/>
      <c r="J509" s="59"/>
      <c r="K509" s="59"/>
      <c r="L509" s="59"/>
      <c r="M509" s="60"/>
      <c r="N509" s="60"/>
      <c r="O509" s="60"/>
      <c r="P509" s="59"/>
      <c r="Q509" s="59"/>
      <c r="R509" s="60"/>
      <c r="S509" s="60"/>
      <c r="T509" s="60"/>
      <c r="U509" s="60"/>
      <c r="V509" s="60"/>
      <c r="W509" s="60"/>
    </row>
    <row r="510" spans="1:23" ht="13" x14ac:dyDescent="0.3">
      <c r="A510" s="58"/>
      <c r="B510" s="58"/>
      <c r="C510" s="58"/>
      <c r="D510" s="58"/>
      <c r="E510" s="58"/>
      <c r="F510" s="58"/>
      <c r="G510" s="58"/>
      <c r="H510" s="59"/>
      <c r="I510" s="59"/>
      <c r="J510" s="59"/>
      <c r="K510" s="59"/>
      <c r="L510" s="59"/>
      <c r="M510" s="60"/>
      <c r="N510" s="60"/>
      <c r="O510" s="60"/>
      <c r="P510" s="59"/>
      <c r="Q510" s="59"/>
      <c r="R510" s="60"/>
      <c r="S510" s="60"/>
      <c r="T510" s="60"/>
      <c r="U510" s="60"/>
      <c r="V510" s="60"/>
      <c r="W510" s="60"/>
    </row>
    <row r="511" spans="1:23" ht="13" x14ac:dyDescent="0.3">
      <c r="A511" s="58"/>
      <c r="B511" s="58"/>
      <c r="C511" s="58"/>
      <c r="D511" s="58"/>
      <c r="E511" s="58"/>
      <c r="F511" s="58"/>
      <c r="G511" s="58"/>
      <c r="H511" s="59"/>
      <c r="I511" s="59"/>
      <c r="J511" s="59"/>
      <c r="K511" s="59"/>
      <c r="L511" s="59"/>
      <c r="M511" s="60"/>
      <c r="N511" s="60"/>
      <c r="O511" s="60"/>
      <c r="P511" s="59"/>
      <c r="Q511" s="59"/>
      <c r="R511" s="60"/>
      <c r="S511" s="60"/>
      <c r="T511" s="60"/>
      <c r="U511" s="60"/>
      <c r="V511" s="60"/>
      <c r="W511" s="60"/>
    </row>
    <row r="512" spans="1:23" ht="13" x14ac:dyDescent="0.3">
      <c r="A512" s="58"/>
      <c r="B512" s="58"/>
      <c r="C512" s="58"/>
      <c r="D512" s="58"/>
      <c r="E512" s="58"/>
      <c r="F512" s="58"/>
      <c r="G512" s="58"/>
      <c r="H512" s="59"/>
      <c r="I512" s="59"/>
      <c r="J512" s="59"/>
      <c r="K512" s="59"/>
      <c r="L512" s="59"/>
      <c r="M512" s="60"/>
      <c r="N512" s="60"/>
      <c r="O512" s="60"/>
      <c r="P512" s="59"/>
      <c r="Q512" s="59"/>
      <c r="R512" s="60"/>
      <c r="S512" s="60"/>
      <c r="T512" s="60"/>
      <c r="U512" s="60"/>
      <c r="V512" s="60"/>
      <c r="W512" s="60"/>
    </row>
    <row r="513" spans="1:23" ht="13" x14ac:dyDescent="0.3">
      <c r="A513" s="58"/>
      <c r="B513" s="58"/>
      <c r="C513" s="58"/>
      <c r="D513" s="58"/>
      <c r="E513" s="58"/>
      <c r="F513" s="58"/>
      <c r="G513" s="58"/>
      <c r="H513" s="59"/>
      <c r="I513" s="59"/>
      <c r="J513" s="59"/>
      <c r="K513" s="59"/>
      <c r="L513" s="59"/>
      <c r="M513" s="60"/>
      <c r="N513" s="60"/>
      <c r="O513" s="60"/>
      <c r="P513" s="59"/>
      <c r="Q513" s="59"/>
      <c r="R513" s="60"/>
      <c r="S513" s="60"/>
      <c r="T513" s="60"/>
      <c r="U513" s="60"/>
      <c r="V513" s="60"/>
      <c r="W513" s="60"/>
    </row>
    <row r="514" spans="1:23" ht="13" x14ac:dyDescent="0.3">
      <c r="A514" s="58"/>
      <c r="B514" s="58"/>
      <c r="C514" s="58"/>
      <c r="D514" s="58"/>
      <c r="E514" s="58"/>
      <c r="F514" s="58"/>
      <c r="G514" s="58"/>
      <c r="H514" s="59"/>
      <c r="I514" s="59"/>
      <c r="J514" s="59"/>
      <c r="K514" s="59"/>
      <c r="L514" s="59"/>
      <c r="M514" s="60"/>
      <c r="N514" s="60"/>
      <c r="O514" s="60"/>
      <c r="P514" s="59"/>
      <c r="Q514" s="59"/>
      <c r="R514" s="60"/>
      <c r="S514" s="60"/>
      <c r="T514" s="60"/>
      <c r="U514" s="60"/>
      <c r="V514" s="60"/>
      <c r="W514" s="60"/>
    </row>
    <row r="515" spans="1:23" ht="13" x14ac:dyDescent="0.3">
      <c r="A515" s="58"/>
      <c r="B515" s="58"/>
      <c r="C515" s="58"/>
      <c r="D515" s="58"/>
      <c r="E515" s="58"/>
      <c r="F515" s="58"/>
      <c r="G515" s="58"/>
      <c r="H515" s="59"/>
      <c r="I515" s="59"/>
      <c r="J515" s="59"/>
      <c r="K515" s="59"/>
      <c r="L515" s="59"/>
      <c r="M515" s="60"/>
      <c r="N515" s="60"/>
      <c r="O515" s="60"/>
      <c r="P515" s="59"/>
      <c r="Q515" s="59"/>
      <c r="R515" s="60"/>
      <c r="S515" s="60"/>
      <c r="T515" s="60"/>
      <c r="U515" s="60"/>
      <c r="V515" s="60"/>
      <c r="W515" s="60"/>
    </row>
    <row r="516" spans="1:23" ht="13" x14ac:dyDescent="0.3">
      <c r="A516" s="58"/>
      <c r="B516" s="58"/>
      <c r="C516" s="58"/>
      <c r="D516" s="58"/>
      <c r="E516" s="58"/>
      <c r="F516" s="58"/>
      <c r="G516" s="58"/>
      <c r="H516" s="59"/>
      <c r="I516" s="59"/>
      <c r="J516" s="59"/>
      <c r="K516" s="59"/>
      <c r="L516" s="59"/>
      <c r="M516" s="60"/>
      <c r="N516" s="60"/>
      <c r="O516" s="60"/>
      <c r="P516" s="59"/>
      <c r="Q516" s="59"/>
      <c r="R516" s="60"/>
      <c r="S516" s="60"/>
      <c r="T516" s="60"/>
      <c r="U516" s="60"/>
      <c r="V516" s="60"/>
      <c r="W516" s="60"/>
    </row>
    <row r="517" spans="1:23" ht="13" x14ac:dyDescent="0.3">
      <c r="A517" s="58"/>
      <c r="B517" s="58"/>
      <c r="C517" s="58"/>
      <c r="D517" s="58"/>
      <c r="E517" s="58"/>
      <c r="F517" s="58"/>
      <c r="G517" s="58"/>
      <c r="H517" s="59"/>
      <c r="I517" s="59"/>
      <c r="J517" s="59"/>
      <c r="K517" s="59"/>
      <c r="L517" s="59"/>
      <c r="M517" s="60"/>
      <c r="N517" s="60"/>
      <c r="O517" s="60"/>
      <c r="P517" s="59"/>
      <c r="Q517" s="59"/>
      <c r="R517" s="60"/>
      <c r="S517" s="60"/>
      <c r="T517" s="60"/>
      <c r="U517" s="60"/>
      <c r="V517" s="60"/>
      <c r="W517" s="60"/>
    </row>
    <row r="518" spans="1:23" ht="13" x14ac:dyDescent="0.3">
      <c r="A518" s="58"/>
      <c r="B518" s="58"/>
      <c r="C518" s="58"/>
      <c r="D518" s="58"/>
      <c r="E518" s="58"/>
      <c r="F518" s="58"/>
      <c r="G518" s="58"/>
      <c r="H518" s="59"/>
      <c r="I518" s="59"/>
      <c r="J518" s="59"/>
      <c r="K518" s="59"/>
      <c r="L518" s="59"/>
      <c r="M518" s="60"/>
      <c r="N518" s="60"/>
      <c r="O518" s="60"/>
      <c r="P518" s="59"/>
      <c r="Q518" s="59"/>
      <c r="R518" s="60"/>
      <c r="S518" s="60"/>
      <c r="T518" s="60"/>
      <c r="U518" s="60"/>
      <c r="V518" s="60"/>
      <c r="W518" s="60"/>
    </row>
    <row r="519" spans="1:23" ht="13" x14ac:dyDescent="0.3">
      <c r="A519" s="58"/>
      <c r="B519" s="58"/>
      <c r="C519" s="58"/>
      <c r="D519" s="58"/>
      <c r="E519" s="58"/>
      <c r="F519" s="58"/>
      <c r="G519" s="58"/>
      <c r="H519" s="59"/>
      <c r="I519" s="59"/>
      <c r="J519" s="59"/>
      <c r="K519" s="59"/>
      <c r="L519" s="59"/>
      <c r="M519" s="60"/>
      <c r="N519" s="60"/>
      <c r="O519" s="60"/>
      <c r="P519" s="59"/>
      <c r="Q519" s="59"/>
      <c r="R519" s="60"/>
      <c r="S519" s="60"/>
      <c r="T519" s="60"/>
      <c r="U519" s="60"/>
      <c r="V519" s="60"/>
      <c r="W519" s="60"/>
    </row>
    <row r="520" spans="1:23" ht="13" x14ac:dyDescent="0.3">
      <c r="A520" s="58"/>
      <c r="B520" s="58"/>
      <c r="C520" s="58"/>
      <c r="D520" s="58"/>
      <c r="E520" s="58"/>
      <c r="F520" s="58"/>
      <c r="G520" s="58"/>
      <c r="H520" s="59"/>
      <c r="I520" s="59"/>
      <c r="J520" s="59"/>
      <c r="K520" s="59"/>
      <c r="L520" s="59"/>
      <c r="M520" s="60"/>
      <c r="N520" s="60"/>
      <c r="O520" s="60"/>
      <c r="P520" s="59"/>
      <c r="Q520" s="59"/>
      <c r="R520" s="60"/>
      <c r="S520" s="60"/>
      <c r="T520" s="60"/>
      <c r="U520" s="60"/>
      <c r="V520" s="60"/>
      <c r="W520" s="60"/>
    </row>
    <row r="521" spans="1:23" ht="13" x14ac:dyDescent="0.3">
      <c r="A521" s="58"/>
      <c r="B521" s="58"/>
      <c r="C521" s="58"/>
      <c r="D521" s="58"/>
      <c r="E521" s="58"/>
      <c r="F521" s="58"/>
      <c r="G521" s="58"/>
      <c r="H521" s="59"/>
      <c r="I521" s="59"/>
      <c r="J521" s="59"/>
      <c r="K521" s="59"/>
      <c r="L521" s="59"/>
      <c r="M521" s="60"/>
      <c r="N521" s="60"/>
      <c r="O521" s="60"/>
      <c r="P521" s="59"/>
      <c r="Q521" s="59"/>
      <c r="R521" s="60"/>
      <c r="S521" s="60"/>
      <c r="T521" s="60"/>
      <c r="U521" s="60"/>
      <c r="V521" s="60"/>
      <c r="W521" s="60"/>
    </row>
    <row r="522" spans="1:23" ht="13" x14ac:dyDescent="0.3">
      <c r="A522" s="58"/>
      <c r="B522" s="58"/>
      <c r="C522" s="58"/>
      <c r="D522" s="58"/>
      <c r="E522" s="58"/>
      <c r="F522" s="58"/>
      <c r="G522" s="58"/>
      <c r="H522" s="59"/>
      <c r="I522" s="59"/>
      <c r="J522" s="59"/>
      <c r="K522" s="59"/>
      <c r="L522" s="59"/>
      <c r="M522" s="60"/>
      <c r="N522" s="60"/>
      <c r="O522" s="60"/>
      <c r="P522" s="59"/>
      <c r="Q522" s="59"/>
      <c r="R522" s="60"/>
      <c r="S522" s="60"/>
      <c r="T522" s="60"/>
      <c r="U522" s="60"/>
      <c r="V522" s="60"/>
      <c r="W522" s="60"/>
    </row>
    <row r="523" spans="1:23" ht="13" x14ac:dyDescent="0.3">
      <c r="A523" s="58"/>
      <c r="B523" s="58"/>
      <c r="C523" s="58"/>
      <c r="D523" s="58"/>
      <c r="E523" s="58"/>
      <c r="F523" s="58"/>
      <c r="G523" s="58"/>
      <c r="H523" s="59"/>
      <c r="I523" s="59"/>
      <c r="J523" s="59"/>
      <c r="K523" s="59"/>
      <c r="L523" s="59"/>
      <c r="M523" s="60"/>
      <c r="N523" s="60"/>
      <c r="O523" s="60"/>
      <c r="P523" s="59"/>
      <c r="Q523" s="59"/>
      <c r="R523" s="60"/>
      <c r="S523" s="60"/>
      <c r="T523" s="60"/>
      <c r="U523" s="60"/>
      <c r="V523" s="60"/>
      <c r="W523" s="60"/>
    </row>
    <row r="524" spans="1:23" ht="13" x14ac:dyDescent="0.3">
      <c r="A524" s="58"/>
      <c r="B524" s="58"/>
      <c r="C524" s="58"/>
      <c r="D524" s="58"/>
      <c r="E524" s="58"/>
      <c r="F524" s="58"/>
      <c r="G524" s="58"/>
      <c r="H524" s="59"/>
      <c r="I524" s="59"/>
      <c r="J524" s="59"/>
      <c r="K524" s="59"/>
      <c r="L524" s="59"/>
      <c r="M524" s="60"/>
      <c r="N524" s="60"/>
      <c r="O524" s="60"/>
      <c r="P524" s="59"/>
      <c r="Q524" s="59"/>
      <c r="R524" s="60"/>
      <c r="S524" s="60"/>
      <c r="T524" s="60"/>
      <c r="U524" s="60"/>
      <c r="V524" s="60"/>
      <c r="W524" s="60"/>
    </row>
    <row r="525" spans="1:23" ht="13" x14ac:dyDescent="0.3">
      <c r="A525" s="58"/>
      <c r="B525" s="58"/>
      <c r="C525" s="58"/>
      <c r="D525" s="58"/>
      <c r="E525" s="58"/>
      <c r="F525" s="58"/>
      <c r="G525" s="58"/>
      <c r="H525" s="59"/>
      <c r="I525" s="59"/>
      <c r="J525" s="59"/>
      <c r="K525" s="59"/>
      <c r="L525" s="59"/>
      <c r="M525" s="60"/>
      <c r="N525" s="60"/>
      <c r="O525" s="60"/>
      <c r="P525" s="59"/>
      <c r="Q525" s="59"/>
      <c r="R525" s="60"/>
      <c r="S525" s="60"/>
      <c r="T525" s="60"/>
      <c r="U525" s="60"/>
      <c r="V525" s="60"/>
      <c r="W525" s="60"/>
    </row>
    <row r="526" spans="1:23" ht="13" x14ac:dyDescent="0.3">
      <c r="A526" s="58"/>
      <c r="B526" s="58"/>
      <c r="C526" s="58"/>
      <c r="D526" s="58"/>
      <c r="E526" s="58"/>
      <c r="F526" s="58"/>
      <c r="G526" s="58"/>
      <c r="H526" s="59"/>
      <c r="I526" s="59"/>
      <c r="J526" s="59"/>
      <c r="K526" s="59"/>
      <c r="L526" s="59"/>
      <c r="M526" s="60"/>
      <c r="N526" s="60"/>
      <c r="O526" s="60"/>
      <c r="P526" s="59"/>
      <c r="Q526" s="59"/>
      <c r="R526" s="60"/>
      <c r="S526" s="60"/>
      <c r="T526" s="60"/>
      <c r="U526" s="60"/>
      <c r="V526" s="60"/>
      <c r="W526" s="60"/>
    </row>
    <row r="527" spans="1:23" ht="13" x14ac:dyDescent="0.3">
      <c r="A527" s="58"/>
      <c r="B527" s="58"/>
      <c r="C527" s="58"/>
      <c r="D527" s="58"/>
      <c r="E527" s="58"/>
      <c r="F527" s="58"/>
      <c r="G527" s="58"/>
      <c r="H527" s="59"/>
      <c r="I527" s="59"/>
      <c r="J527" s="59"/>
      <c r="K527" s="59"/>
      <c r="L527" s="59"/>
      <c r="M527" s="60"/>
      <c r="N527" s="60"/>
      <c r="O527" s="60"/>
      <c r="P527" s="59"/>
      <c r="Q527" s="59"/>
      <c r="R527" s="60"/>
      <c r="S527" s="60"/>
      <c r="T527" s="60"/>
      <c r="U527" s="60"/>
      <c r="V527" s="60"/>
      <c r="W527" s="60"/>
    </row>
    <row r="528" spans="1:23" ht="13" x14ac:dyDescent="0.3">
      <c r="A528" s="58"/>
      <c r="B528" s="58"/>
      <c r="C528" s="58"/>
      <c r="D528" s="58"/>
      <c r="E528" s="58"/>
      <c r="F528" s="58"/>
      <c r="G528" s="58"/>
      <c r="H528" s="59"/>
      <c r="I528" s="59"/>
      <c r="J528" s="59"/>
      <c r="K528" s="59"/>
      <c r="L528" s="59"/>
      <c r="M528" s="60"/>
      <c r="N528" s="60"/>
      <c r="O528" s="60"/>
      <c r="P528" s="59"/>
      <c r="Q528" s="59"/>
      <c r="R528" s="60"/>
      <c r="S528" s="60"/>
      <c r="T528" s="60"/>
      <c r="U528" s="60"/>
      <c r="V528" s="60"/>
      <c r="W528" s="60"/>
    </row>
    <row r="529" spans="1:23" ht="13" x14ac:dyDescent="0.3">
      <c r="A529" s="58"/>
      <c r="B529" s="58"/>
      <c r="C529" s="58"/>
      <c r="D529" s="58"/>
      <c r="E529" s="58"/>
      <c r="F529" s="58"/>
      <c r="G529" s="58"/>
      <c r="H529" s="59"/>
      <c r="I529" s="59"/>
      <c r="J529" s="59"/>
      <c r="K529" s="59"/>
      <c r="L529" s="59"/>
      <c r="M529" s="60"/>
      <c r="N529" s="60"/>
      <c r="O529" s="60"/>
      <c r="P529" s="59"/>
      <c r="Q529" s="59"/>
      <c r="R529" s="60"/>
      <c r="S529" s="60"/>
      <c r="T529" s="60"/>
      <c r="U529" s="60"/>
      <c r="V529" s="60"/>
      <c r="W529" s="60"/>
    </row>
    <row r="530" spans="1:23" ht="13" x14ac:dyDescent="0.3">
      <c r="A530" s="58"/>
      <c r="B530" s="58"/>
      <c r="C530" s="58"/>
      <c r="D530" s="58"/>
      <c r="E530" s="58"/>
      <c r="F530" s="58"/>
      <c r="G530" s="58"/>
      <c r="H530" s="59"/>
      <c r="I530" s="59"/>
      <c r="J530" s="59"/>
      <c r="K530" s="59"/>
      <c r="L530" s="59"/>
      <c r="M530" s="60"/>
      <c r="N530" s="60"/>
      <c r="O530" s="60"/>
      <c r="P530" s="59"/>
      <c r="Q530" s="59"/>
      <c r="R530" s="60"/>
      <c r="S530" s="60"/>
      <c r="T530" s="60"/>
      <c r="U530" s="60"/>
      <c r="V530" s="60"/>
      <c r="W530" s="60"/>
    </row>
    <row r="531" spans="1:23" ht="13" x14ac:dyDescent="0.3">
      <c r="A531" s="58"/>
      <c r="B531" s="58"/>
      <c r="C531" s="58"/>
      <c r="D531" s="58"/>
      <c r="E531" s="58"/>
      <c r="F531" s="58"/>
      <c r="G531" s="58"/>
      <c r="H531" s="59"/>
      <c r="I531" s="59"/>
      <c r="J531" s="59"/>
      <c r="K531" s="59"/>
      <c r="L531" s="59"/>
      <c r="M531" s="60"/>
      <c r="N531" s="60"/>
      <c r="O531" s="60"/>
      <c r="P531" s="59"/>
      <c r="Q531" s="59"/>
      <c r="R531" s="60"/>
      <c r="S531" s="60"/>
      <c r="T531" s="60"/>
      <c r="U531" s="60"/>
      <c r="V531" s="60"/>
      <c r="W531" s="60"/>
    </row>
    <row r="532" spans="1:23" ht="13" x14ac:dyDescent="0.3">
      <c r="A532" s="58"/>
      <c r="B532" s="58"/>
      <c r="C532" s="58"/>
      <c r="D532" s="58"/>
      <c r="E532" s="58"/>
      <c r="F532" s="58"/>
      <c r="G532" s="58"/>
      <c r="H532" s="59"/>
      <c r="I532" s="59"/>
      <c r="J532" s="59"/>
      <c r="K532" s="59"/>
      <c r="L532" s="59"/>
      <c r="M532" s="60"/>
      <c r="N532" s="60"/>
      <c r="O532" s="60"/>
      <c r="P532" s="59"/>
      <c r="Q532" s="59"/>
      <c r="R532" s="60"/>
      <c r="S532" s="60"/>
      <c r="T532" s="60"/>
      <c r="U532" s="60"/>
      <c r="V532" s="60"/>
      <c r="W532" s="60"/>
    </row>
    <row r="533" spans="1:23" ht="13" x14ac:dyDescent="0.3">
      <c r="A533" s="58"/>
      <c r="B533" s="58"/>
      <c r="C533" s="58"/>
      <c r="D533" s="58"/>
      <c r="E533" s="58"/>
      <c r="F533" s="58"/>
      <c r="G533" s="58"/>
      <c r="H533" s="59"/>
      <c r="I533" s="59"/>
      <c r="J533" s="59"/>
      <c r="K533" s="59"/>
      <c r="L533" s="59"/>
      <c r="M533" s="60"/>
      <c r="N533" s="60"/>
      <c r="O533" s="60"/>
      <c r="P533" s="59"/>
      <c r="Q533" s="59"/>
      <c r="R533" s="60"/>
      <c r="S533" s="60"/>
      <c r="T533" s="60"/>
      <c r="U533" s="60"/>
      <c r="V533" s="60"/>
      <c r="W533" s="60"/>
    </row>
    <row r="534" spans="1:23" ht="13" x14ac:dyDescent="0.3">
      <c r="A534" s="58"/>
      <c r="B534" s="58"/>
      <c r="C534" s="58"/>
      <c r="D534" s="58"/>
      <c r="E534" s="58"/>
      <c r="F534" s="58"/>
      <c r="G534" s="58"/>
      <c r="H534" s="59"/>
      <c r="I534" s="59"/>
      <c r="J534" s="59"/>
      <c r="K534" s="59"/>
      <c r="L534" s="59"/>
      <c r="M534" s="60"/>
      <c r="N534" s="60"/>
      <c r="O534" s="60"/>
      <c r="P534" s="59"/>
      <c r="Q534" s="59"/>
      <c r="R534" s="60"/>
      <c r="S534" s="60"/>
      <c r="T534" s="60"/>
      <c r="U534" s="60"/>
      <c r="V534" s="60"/>
      <c r="W534" s="60"/>
    </row>
    <row r="535" spans="1:23" ht="13" x14ac:dyDescent="0.3">
      <c r="A535" s="58"/>
      <c r="B535" s="58"/>
      <c r="C535" s="58"/>
      <c r="D535" s="58"/>
      <c r="E535" s="58"/>
      <c r="F535" s="58"/>
      <c r="G535" s="58"/>
      <c r="H535" s="59"/>
      <c r="I535" s="59"/>
      <c r="J535" s="59"/>
      <c r="K535" s="59"/>
      <c r="L535" s="59"/>
      <c r="M535" s="60"/>
      <c r="N535" s="60"/>
      <c r="O535" s="60"/>
      <c r="P535" s="59"/>
      <c r="Q535" s="59"/>
      <c r="R535" s="60"/>
      <c r="S535" s="60"/>
      <c r="T535" s="60"/>
      <c r="U535" s="60"/>
      <c r="V535" s="60"/>
      <c r="W535" s="60"/>
    </row>
    <row r="536" spans="1:23" ht="13" x14ac:dyDescent="0.3">
      <c r="A536" s="58"/>
      <c r="B536" s="58"/>
      <c r="C536" s="58"/>
      <c r="D536" s="58"/>
      <c r="E536" s="58"/>
      <c r="F536" s="58"/>
      <c r="G536" s="58"/>
      <c r="H536" s="59"/>
      <c r="I536" s="59"/>
      <c r="J536" s="59"/>
      <c r="K536" s="59"/>
      <c r="L536" s="59"/>
      <c r="M536" s="60"/>
      <c r="N536" s="60"/>
      <c r="O536" s="60"/>
      <c r="P536" s="59"/>
      <c r="Q536" s="59"/>
      <c r="R536" s="60"/>
      <c r="S536" s="60"/>
      <c r="T536" s="60"/>
      <c r="U536" s="60"/>
      <c r="V536" s="60"/>
      <c r="W536" s="60"/>
    </row>
    <row r="537" spans="1:23" ht="13" x14ac:dyDescent="0.3">
      <c r="A537" s="58"/>
      <c r="B537" s="58"/>
      <c r="C537" s="58"/>
      <c r="D537" s="58"/>
      <c r="E537" s="58"/>
      <c r="F537" s="58"/>
      <c r="G537" s="58"/>
      <c r="H537" s="59"/>
      <c r="I537" s="59"/>
      <c r="J537" s="59"/>
      <c r="K537" s="59"/>
      <c r="L537" s="59"/>
      <c r="M537" s="60"/>
      <c r="N537" s="60"/>
      <c r="O537" s="60"/>
      <c r="P537" s="59"/>
      <c r="Q537" s="59"/>
      <c r="R537" s="60"/>
      <c r="S537" s="60"/>
      <c r="T537" s="60"/>
      <c r="U537" s="60"/>
      <c r="V537" s="60"/>
      <c r="W537" s="60"/>
    </row>
    <row r="538" spans="1:23" ht="13" x14ac:dyDescent="0.3">
      <c r="A538" s="58"/>
      <c r="B538" s="58"/>
      <c r="C538" s="58"/>
      <c r="D538" s="58"/>
      <c r="E538" s="58"/>
      <c r="F538" s="58"/>
      <c r="G538" s="58"/>
      <c r="H538" s="59"/>
      <c r="I538" s="59"/>
      <c r="J538" s="59"/>
      <c r="K538" s="59"/>
      <c r="L538" s="59"/>
      <c r="M538" s="60"/>
      <c r="N538" s="60"/>
      <c r="O538" s="60"/>
      <c r="P538" s="59"/>
      <c r="Q538" s="59"/>
      <c r="R538" s="60"/>
      <c r="S538" s="60"/>
      <c r="T538" s="60"/>
      <c r="U538" s="60"/>
      <c r="V538" s="60"/>
      <c r="W538" s="60"/>
    </row>
    <row r="539" spans="1:23" ht="13" x14ac:dyDescent="0.3">
      <c r="A539" s="58"/>
      <c r="B539" s="58"/>
      <c r="C539" s="58"/>
      <c r="D539" s="58"/>
      <c r="E539" s="58"/>
      <c r="F539" s="58"/>
      <c r="G539" s="58"/>
      <c r="H539" s="59"/>
      <c r="I539" s="59"/>
      <c r="J539" s="59"/>
      <c r="K539" s="59"/>
      <c r="L539" s="59"/>
      <c r="M539" s="60"/>
      <c r="N539" s="60"/>
      <c r="O539" s="60"/>
      <c r="P539" s="59"/>
      <c r="Q539" s="59"/>
      <c r="R539" s="60"/>
      <c r="S539" s="60"/>
      <c r="T539" s="60"/>
      <c r="U539" s="60"/>
      <c r="V539" s="60"/>
      <c r="W539" s="60"/>
    </row>
    <row r="540" spans="1:23" ht="13" x14ac:dyDescent="0.3">
      <c r="A540" s="58"/>
      <c r="B540" s="58"/>
      <c r="C540" s="58"/>
      <c r="D540" s="58"/>
      <c r="E540" s="58"/>
      <c r="F540" s="58"/>
      <c r="G540" s="58"/>
      <c r="H540" s="59"/>
      <c r="I540" s="59"/>
      <c r="J540" s="59"/>
      <c r="K540" s="59"/>
      <c r="L540" s="59"/>
      <c r="M540" s="60"/>
      <c r="N540" s="60"/>
      <c r="O540" s="60"/>
      <c r="P540" s="59"/>
      <c r="Q540" s="59"/>
      <c r="R540" s="60"/>
      <c r="S540" s="60"/>
      <c r="T540" s="60"/>
      <c r="U540" s="60"/>
      <c r="V540" s="60"/>
      <c r="W540" s="60"/>
    </row>
    <row r="541" spans="1:23" ht="13" x14ac:dyDescent="0.3">
      <c r="A541" s="58"/>
      <c r="B541" s="58"/>
      <c r="C541" s="58"/>
      <c r="D541" s="58"/>
      <c r="E541" s="58"/>
      <c r="F541" s="58"/>
      <c r="G541" s="58"/>
      <c r="H541" s="59"/>
      <c r="I541" s="59"/>
      <c r="J541" s="59"/>
      <c r="K541" s="59"/>
      <c r="L541" s="59"/>
      <c r="M541" s="60"/>
      <c r="N541" s="60"/>
      <c r="O541" s="60"/>
      <c r="P541" s="59"/>
      <c r="Q541" s="59"/>
      <c r="R541" s="60"/>
      <c r="S541" s="60"/>
      <c r="T541" s="60"/>
      <c r="U541" s="60"/>
      <c r="V541" s="60"/>
      <c r="W541" s="60"/>
    </row>
    <row r="542" spans="1:23" ht="13" x14ac:dyDescent="0.3">
      <c r="A542" s="58"/>
      <c r="B542" s="58"/>
      <c r="C542" s="58"/>
      <c r="D542" s="58"/>
      <c r="E542" s="58"/>
      <c r="F542" s="58"/>
      <c r="G542" s="58"/>
      <c r="H542" s="59"/>
      <c r="I542" s="59"/>
      <c r="J542" s="59"/>
      <c r="K542" s="59"/>
      <c r="L542" s="59"/>
      <c r="M542" s="60"/>
      <c r="N542" s="60"/>
      <c r="O542" s="60"/>
      <c r="P542" s="59"/>
      <c r="Q542" s="59"/>
      <c r="R542" s="60"/>
      <c r="S542" s="60"/>
      <c r="T542" s="60"/>
      <c r="U542" s="60"/>
      <c r="V542" s="60"/>
      <c r="W542" s="60"/>
    </row>
    <row r="543" spans="1:23" ht="13" x14ac:dyDescent="0.3">
      <c r="A543" s="58"/>
      <c r="B543" s="58"/>
      <c r="C543" s="58"/>
      <c r="D543" s="58"/>
      <c r="E543" s="58"/>
      <c r="F543" s="58"/>
      <c r="G543" s="58"/>
      <c r="H543" s="59"/>
      <c r="I543" s="59"/>
      <c r="J543" s="59"/>
      <c r="K543" s="59"/>
      <c r="L543" s="59"/>
      <c r="M543" s="60"/>
      <c r="N543" s="60"/>
      <c r="O543" s="60"/>
      <c r="P543" s="59"/>
      <c r="Q543" s="59"/>
      <c r="R543" s="60"/>
      <c r="S543" s="60"/>
      <c r="T543" s="60"/>
      <c r="U543" s="60"/>
      <c r="V543" s="60"/>
      <c r="W543" s="60"/>
    </row>
    <row r="544" spans="1:23" ht="13" x14ac:dyDescent="0.3">
      <c r="A544" s="58"/>
      <c r="B544" s="58"/>
      <c r="C544" s="58"/>
      <c r="D544" s="58"/>
      <c r="E544" s="58"/>
      <c r="F544" s="58"/>
      <c r="G544" s="58"/>
      <c r="H544" s="59"/>
      <c r="I544" s="59"/>
      <c r="J544" s="59"/>
      <c r="K544" s="59"/>
      <c r="L544" s="59"/>
      <c r="M544" s="60"/>
      <c r="N544" s="60"/>
      <c r="O544" s="60"/>
      <c r="P544" s="59"/>
      <c r="Q544" s="59"/>
      <c r="R544" s="60"/>
      <c r="S544" s="60"/>
      <c r="T544" s="60"/>
      <c r="U544" s="60"/>
      <c r="V544" s="60"/>
      <c r="W544" s="60"/>
    </row>
    <row r="545" spans="1:23" ht="13" x14ac:dyDescent="0.3">
      <c r="A545" s="58"/>
      <c r="B545" s="58"/>
      <c r="C545" s="58"/>
      <c r="D545" s="58"/>
      <c r="E545" s="58"/>
      <c r="F545" s="58"/>
      <c r="G545" s="58"/>
      <c r="H545" s="59"/>
      <c r="I545" s="59"/>
      <c r="J545" s="59"/>
      <c r="K545" s="59"/>
      <c r="L545" s="59"/>
      <c r="M545" s="60"/>
      <c r="N545" s="60"/>
      <c r="O545" s="60"/>
      <c r="P545" s="59"/>
      <c r="Q545" s="59"/>
      <c r="R545" s="60"/>
      <c r="S545" s="60"/>
      <c r="T545" s="60"/>
      <c r="U545" s="60"/>
      <c r="V545" s="60"/>
      <c r="W545" s="60"/>
    </row>
    <row r="546" spans="1:23" ht="13" x14ac:dyDescent="0.3">
      <c r="A546" s="58"/>
      <c r="B546" s="58"/>
      <c r="C546" s="58"/>
      <c r="D546" s="58"/>
      <c r="E546" s="58"/>
      <c r="F546" s="58"/>
      <c r="G546" s="58"/>
      <c r="H546" s="59"/>
      <c r="I546" s="59"/>
      <c r="J546" s="59"/>
      <c r="K546" s="59"/>
      <c r="L546" s="59"/>
      <c r="M546" s="60"/>
      <c r="N546" s="60"/>
      <c r="O546" s="60"/>
      <c r="P546" s="59"/>
      <c r="Q546" s="59"/>
      <c r="R546" s="60"/>
      <c r="S546" s="60"/>
      <c r="T546" s="60"/>
      <c r="U546" s="60"/>
      <c r="V546" s="60"/>
      <c r="W546" s="60"/>
    </row>
    <row r="547" spans="1:23" ht="13" x14ac:dyDescent="0.3">
      <c r="A547" s="58"/>
      <c r="B547" s="58"/>
      <c r="C547" s="58"/>
      <c r="D547" s="58"/>
      <c r="E547" s="58"/>
      <c r="F547" s="58"/>
      <c r="G547" s="58"/>
      <c r="H547" s="59"/>
      <c r="I547" s="59"/>
      <c r="J547" s="59"/>
      <c r="K547" s="59"/>
      <c r="L547" s="59"/>
      <c r="M547" s="60"/>
      <c r="N547" s="60"/>
      <c r="O547" s="60"/>
      <c r="P547" s="59"/>
      <c r="Q547" s="59"/>
      <c r="R547" s="60"/>
      <c r="S547" s="60"/>
      <c r="T547" s="60"/>
      <c r="U547" s="60"/>
      <c r="V547" s="60"/>
      <c r="W547" s="60"/>
    </row>
    <row r="548" spans="1:23" ht="13" x14ac:dyDescent="0.3">
      <c r="A548" s="58"/>
      <c r="B548" s="58"/>
      <c r="C548" s="58"/>
      <c r="D548" s="58"/>
      <c r="E548" s="58"/>
      <c r="F548" s="58"/>
      <c r="G548" s="58"/>
      <c r="H548" s="59"/>
      <c r="I548" s="59"/>
      <c r="J548" s="59"/>
      <c r="K548" s="59"/>
      <c r="L548" s="59"/>
      <c r="M548" s="60"/>
      <c r="N548" s="60"/>
      <c r="O548" s="60"/>
      <c r="P548" s="59"/>
      <c r="Q548" s="59"/>
      <c r="R548" s="60"/>
      <c r="S548" s="60"/>
      <c r="T548" s="60"/>
      <c r="U548" s="60"/>
      <c r="V548" s="60"/>
      <c r="W548" s="60"/>
    </row>
    <row r="549" spans="1:23" ht="13" x14ac:dyDescent="0.3">
      <c r="A549" s="58"/>
      <c r="B549" s="58"/>
      <c r="C549" s="58"/>
      <c r="D549" s="58"/>
      <c r="E549" s="58"/>
      <c r="F549" s="58"/>
      <c r="G549" s="58"/>
      <c r="H549" s="59"/>
      <c r="I549" s="59"/>
      <c r="J549" s="59"/>
      <c r="K549" s="59"/>
      <c r="L549" s="59"/>
      <c r="M549" s="60"/>
      <c r="N549" s="60"/>
      <c r="O549" s="60"/>
      <c r="P549" s="59"/>
      <c r="Q549" s="59"/>
      <c r="R549" s="60"/>
      <c r="S549" s="60"/>
      <c r="T549" s="60"/>
      <c r="U549" s="60"/>
      <c r="V549" s="60"/>
      <c r="W549" s="60"/>
    </row>
    <row r="550" spans="1:23" ht="13" x14ac:dyDescent="0.3">
      <c r="A550" s="58"/>
      <c r="B550" s="58"/>
      <c r="C550" s="58"/>
      <c r="D550" s="58"/>
      <c r="E550" s="58"/>
      <c r="F550" s="58"/>
      <c r="G550" s="58"/>
      <c r="H550" s="59"/>
      <c r="I550" s="59"/>
      <c r="J550" s="59"/>
      <c r="K550" s="59"/>
      <c r="L550" s="59"/>
      <c r="M550" s="60"/>
      <c r="N550" s="60"/>
      <c r="O550" s="60"/>
      <c r="P550" s="59"/>
      <c r="Q550" s="59"/>
      <c r="R550" s="60"/>
      <c r="S550" s="60"/>
      <c r="T550" s="60"/>
      <c r="U550" s="60"/>
      <c r="V550" s="60"/>
      <c r="W550" s="60"/>
    </row>
    <row r="551" spans="1:23" ht="13" x14ac:dyDescent="0.3">
      <c r="A551" s="58"/>
      <c r="B551" s="58"/>
      <c r="C551" s="58"/>
      <c r="D551" s="58"/>
      <c r="E551" s="58"/>
      <c r="F551" s="58"/>
      <c r="G551" s="58"/>
      <c r="H551" s="59"/>
      <c r="I551" s="59"/>
      <c r="J551" s="59"/>
      <c r="K551" s="59"/>
      <c r="L551" s="59"/>
      <c r="M551" s="60"/>
      <c r="N551" s="60"/>
      <c r="O551" s="60"/>
      <c r="P551" s="59"/>
      <c r="Q551" s="59"/>
      <c r="R551" s="60"/>
      <c r="S551" s="60"/>
      <c r="T551" s="60"/>
      <c r="U551" s="60"/>
      <c r="V551" s="60"/>
      <c r="W551" s="60"/>
    </row>
    <row r="552" spans="1:23" ht="13" x14ac:dyDescent="0.3">
      <c r="A552" s="58"/>
      <c r="B552" s="58"/>
      <c r="C552" s="58"/>
      <c r="D552" s="58"/>
      <c r="E552" s="58"/>
      <c r="F552" s="58"/>
      <c r="G552" s="58"/>
      <c r="H552" s="59"/>
      <c r="I552" s="59"/>
      <c r="J552" s="59"/>
      <c r="K552" s="59"/>
      <c r="L552" s="59"/>
      <c r="M552" s="60"/>
      <c r="N552" s="60"/>
      <c r="O552" s="60"/>
      <c r="P552" s="59"/>
      <c r="Q552" s="59"/>
      <c r="R552" s="60"/>
      <c r="S552" s="60"/>
      <c r="T552" s="60"/>
      <c r="U552" s="60"/>
      <c r="V552" s="60"/>
      <c r="W552" s="60"/>
    </row>
    <row r="553" spans="1:23" ht="13" x14ac:dyDescent="0.3">
      <c r="A553" s="58"/>
      <c r="B553" s="58"/>
      <c r="C553" s="58"/>
      <c r="D553" s="58"/>
      <c r="E553" s="58"/>
      <c r="F553" s="58"/>
      <c r="G553" s="58"/>
      <c r="H553" s="59"/>
      <c r="I553" s="59"/>
      <c r="J553" s="59"/>
      <c r="K553" s="59"/>
      <c r="L553" s="59"/>
      <c r="M553" s="60"/>
      <c r="N553" s="60"/>
      <c r="O553" s="60"/>
      <c r="P553" s="59"/>
      <c r="Q553" s="59"/>
      <c r="R553" s="60"/>
      <c r="S553" s="60"/>
      <c r="T553" s="60"/>
      <c r="U553" s="60"/>
      <c r="V553" s="60"/>
      <c r="W553" s="60"/>
    </row>
    <row r="554" spans="1:23" ht="13" x14ac:dyDescent="0.3">
      <c r="A554" s="58"/>
      <c r="B554" s="58"/>
      <c r="C554" s="58"/>
      <c r="D554" s="58"/>
      <c r="E554" s="58"/>
      <c r="F554" s="58"/>
      <c r="G554" s="58"/>
      <c r="H554" s="59"/>
      <c r="I554" s="59"/>
      <c r="J554" s="59"/>
      <c r="K554" s="59"/>
      <c r="L554" s="59"/>
      <c r="M554" s="60"/>
      <c r="N554" s="60"/>
      <c r="O554" s="60"/>
      <c r="P554" s="59"/>
      <c r="Q554" s="59"/>
      <c r="R554" s="60"/>
      <c r="S554" s="60"/>
      <c r="T554" s="60"/>
      <c r="U554" s="60"/>
      <c r="V554" s="60"/>
      <c r="W554" s="60"/>
    </row>
    <row r="555" spans="1:23" ht="13" x14ac:dyDescent="0.3">
      <c r="A555" s="58"/>
      <c r="B555" s="58"/>
      <c r="C555" s="58"/>
      <c r="D555" s="58"/>
      <c r="E555" s="58"/>
      <c r="F555" s="58"/>
      <c r="G555" s="58"/>
      <c r="H555" s="59"/>
      <c r="I555" s="59"/>
      <c r="J555" s="59"/>
      <c r="K555" s="59"/>
      <c r="L555" s="59"/>
      <c r="M555" s="60"/>
      <c r="N555" s="60"/>
      <c r="O555" s="60"/>
      <c r="P555" s="59"/>
      <c r="Q555" s="59"/>
      <c r="R555" s="60"/>
      <c r="S555" s="60"/>
      <c r="T555" s="60"/>
      <c r="U555" s="60"/>
      <c r="V555" s="60"/>
      <c r="W555" s="60"/>
    </row>
    <row r="556" spans="1:23" ht="13" x14ac:dyDescent="0.3">
      <c r="A556" s="58"/>
      <c r="B556" s="58"/>
      <c r="C556" s="58"/>
      <c r="D556" s="58"/>
      <c r="E556" s="58"/>
      <c r="F556" s="58"/>
      <c r="G556" s="58"/>
      <c r="H556" s="59"/>
      <c r="I556" s="59"/>
      <c r="J556" s="59"/>
      <c r="K556" s="59"/>
      <c r="L556" s="59"/>
      <c r="M556" s="60"/>
      <c r="N556" s="60"/>
      <c r="O556" s="60"/>
      <c r="P556" s="59"/>
      <c r="Q556" s="59"/>
      <c r="R556" s="60"/>
      <c r="S556" s="60"/>
      <c r="T556" s="60"/>
      <c r="U556" s="60"/>
      <c r="V556" s="60"/>
      <c r="W556" s="60"/>
    </row>
    <row r="557" spans="1:23" ht="13" x14ac:dyDescent="0.3">
      <c r="A557" s="58"/>
      <c r="B557" s="58"/>
      <c r="C557" s="58"/>
      <c r="D557" s="58"/>
      <c r="E557" s="58"/>
      <c r="F557" s="58"/>
      <c r="G557" s="58"/>
      <c r="H557" s="59"/>
      <c r="I557" s="59"/>
      <c r="J557" s="59"/>
      <c r="K557" s="59"/>
      <c r="L557" s="59"/>
      <c r="M557" s="60"/>
      <c r="N557" s="60"/>
      <c r="O557" s="60"/>
      <c r="P557" s="59"/>
      <c r="Q557" s="59"/>
      <c r="R557" s="60"/>
      <c r="S557" s="60"/>
      <c r="T557" s="60"/>
      <c r="U557" s="60"/>
      <c r="V557" s="60"/>
      <c r="W557" s="60"/>
    </row>
    <row r="558" spans="1:23" ht="13" x14ac:dyDescent="0.3">
      <c r="A558" s="58"/>
      <c r="B558" s="58"/>
      <c r="C558" s="58"/>
      <c r="D558" s="58"/>
      <c r="E558" s="58"/>
      <c r="F558" s="58"/>
      <c r="G558" s="58"/>
      <c r="H558" s="59"/>
      <c r="I558" s="59"/>
      <c r="J558" s="59"/>
      <c r="K558" s="59"/>
      <c r="L558" s="59"/>
      <c r="M558" s="60"/>
      <c r="N558" s="60"/>
      <c r="O558" s="60"/>
      <c r="P558" s="59"/>
      <c r="Q558" s="59"/>
      <c r="R558" s="60"/>
      <c r="S558" s="60"/>
      <c r="T558" s="60"/>
      <c r="U558" s="60"/>
      <c r="V558" s="60"/>
      <c r="W558" s="60"/>
    </row>
    <row r="559" spans="1:23" ht="13" x14ac:dyDescent="0.3">
      <c r="A559" s="58"/>
      <c r="B559" s="58"/>
      <c r="C559" s="58"/>
      <c r="D559" s="58"/>
      <c r="E559" s="58"/>
      <c r="F559" s="58"/>
      <c r="G559" s="58"/>
      <c r="H559" s="59"/>
      <c r="I559" s="59"/>
      <c r="J559" s="59"/>
      <c r="K559" s="59"/>
      <c r="L559" s="59"/>
      <c r="M559" s="60"/>
      <c r="N559" s="60"/>
      <c r="O559" s="60"/>
      <c r="P559" s="59"/>
      <c r="Q559" s="59"/>
      <c r="R559" s="60"/>
      <c r="S559" s="60"/>
      <c r="T559" s="60"/>
      <c r="U559" s="60"/>
      <c r="V559" s="60"/>
      <c r="W559" s="60"/>
    </row>
    <row r="560" spans="1:23" ht="13" x14ac:dyDescent="0.3">
      <c r="A560" s="58"/>
      <c r="B560" s="58"/>
      <c r="C560" s="58"/>
      <c r="D560" s="58"/>
      <c r="E560" s="58"/>
      <c r="F560" s="58"/>
      <c r="G560" s="58"/>
      <c r="H560" s="59"/>
      <c r="I560" s="59"/>
      <c r="J560" s="59"/>
      <c r="K560" s="59"/>
      <c r="L560" s="59"/>
      <c r="M560" s="60"/>
      <c r="N560" s="60"/>
      <c r="O560" s="60"/>
      <c r="P560" s="59"/>
      <c r="Q560" s="59"/>
      <c r="R560" s="60"/>
      <c r="S560" s="60"/>
      <c r="T560" s="60"/>
      <c r="U560" s="60"/>
      <c r="V560" s="60"/>
      <c r="W560" s="60"/>
    </row>
    <row r="561" spans="1:23" ht="13" x14ac:dyDescent="0.3">
      <c r="A561" s="58"/>
      <c r="B561" s="58"/>
      <c r="C561" s="58"/>
      <c r="D561" s="58"/>
      <c r="E561" s="58"/>
      <c r="F561" s="58"/>
      <c r="G561" s="58"/>
      <c r="H561" s="59"/>
      <c r="I561" s="59"/>
      <c r="J561" s="59"/>
      <c r="K561" s="59"/>
      <c r="L561" s="59"/>
      <c r="M561" s="60"/>
      <c r="N561" s="60"/>
      <c r="O561" s="60"/>
      <c r="P561" s="59"/>
      <c r="Q561" s="59"/>
      <c r="R561" s="60"/>
      <c r="S561" s="60"/>
      <c r="T561" s="60"/>
      <c r="U561" s="60"/>
      <c r="V561" s="60"/>
      <c r="W561" s="60"/>
    </row>
    <row r="562" spans="1:23" ht="13" x14ac:dyDescent="0.3">
      <c r="A562" s="58"/>
      <c r="B562" s="58"/>
      <c r="C562" s="58"/>
      <c r="D562" s="58"/>
      <c r="E562" s="58"/>
      <c r="F562" s="58"/>
      <c r="G562" s="58"/>
      <c r="H562" s="59"/>
      <c r="I562" s="59"/>
      <c r="J562" s="59"/>
      <c r="K562" s="59"/>
      <c r="L562" s="59"/>
      <c r="M562" s="60"/>
      <c r="N562" s="60"/>
      <c r="O562" s="60"/>
      <c r="P562" s="59"/>
      <c r="Q562" s="59"/>
      <c r="R562" s="60"/>
      <c r="S562" s="60"/>
      <c r="T562" s="60"/>
      <c r="U562" s="60"/>
      <c r="V562" s="60"/>
      <c r="W562" s="60"/>
    </row>
    <row r="563" spans="1:23" ht="13" x14ac:dyDescent="0.3">
      <c r="A563" s="58"/>
      <c r="B563" s="58"/>
      <c r="C563" s="58"/>
      <c r="D563" s="58"/>
      <c r="E563" s="58"/>
      <c r="F563" s="58"/>
      <c r="G563" s="58"/>
      <c r="H563" s="59"/>
      <c r="I563" s="59"/>
      <c r="J563" s="59"/>
      <c r="K563" s="59"/>
      <c r="L563" s="59"/>
      <c r="M563" s="60"/>
      <c r="N563" s="60"/>
      <c r="O563" s="60"/>
      <c r="P563" s="59"/>
      <c r="Q563" s="59"/>
      <c r="R563" s="60"/>
      <c r="S563" s="60"/>
      <c r="T563" s="60"/>
      <c r="U563" s="60"/>
      <c r="V563" s="60"/>
      <c r="W563" s="60"/>
    </row>
    <row r="564" spans="1:23" ht="13" x14ac:dyDescent="0.3">
      <c r="A564" s="58"/>
      <c r="B564" s="58"/>
      <c r="C564" s="58"/>
      <c r="D564" s="58"/>
      <c r="E564" s="58"/>
      <c r="F564" s="58"/>
      <c r="G564" s="58"/>
      <c r="H564" s="59"/>
      <c r="I564" s="59"/>
      <c r="J564" s="59"/>
      <c r="K564" s="59"/>
      <c r="L564" s="59"/>
      <c r="M564" s="60"/>
      <c r="N564" s="60"/>
      <c r="O564" s="60"/>
      <c r="P564" s="59"/>
      <c r="Q564" s="59"/>
      <c r="R564" s="60"/>
      <c r="S564" s="60"/>
      <c r="T564" s="60"/>
      <c r="U564" s="60"/>
      <c r="V564" s="60"/>
      <c r="W564" s="60"/>
    </row>
    <row r="565" spans="1:23" ht="13" x14ac:dyDescent="0.3">
      <c r="A565" s="58"/>
      <c r="B565" s="58"/>
      <c r="C565" s="58"/>
      <c r="D565" s="58"/>
      <c r="E565" s="58"/>
      <c r="F565" s="58"/>
      <c r="G565" s="58"/>
      <c r="H565" s="59"/>
      <c r="I565" s="59"/>
      <c r="J565" s="59"/>
      <c r="K565" s="59"/>
      <c r="L565" s="59"/>
      <c r="M565" s="60"/>
      <c r="N565" s="60"/>
      <c r="O565" s="60"/>
      <c r="P565" s="59"/>
      <c r="Q565" s="59"/>
      <c r="R565" s="60"/>
      <c r="S565" s="60"/>
      <c r="T565" s="60"/>
      <c r="U565" s="60"/>
      <c r="V565" s="60"/>
      <c r="W565" s="60"/>
    </row>
    <row r="566" spans="1:23" ht="13" x14ac:dyDescent="0.3">
      <c r="A566" s="58"/>
      <c r="B566" s="58"/>
      <c r="C566" s="58"/>
      <c r="D566" s="58"/>
      <c r="E566" s="58"/>
      <c r="F566" s="58"/>
      <c r="G566" s="58"/>
      <c r="H566" s="59"/>
      <c r="I566" s="59"/>
      <c r="J566" s="59"/>
      <c r="K566" s="59"/>
      <c r="L566" s="59"/>
      <c r="M566" s="60"/>
      <c r="N566" s="60"/>
      <c r="O566" s="60"/>
      <c r="P566" s="59"/>
      <c r="Q566" s="59"/>
      <c r="R566" s="60"/>
      <c r="S566" s="60"/>
      <c r="T566" s="60"/>
      <c r="U566" s="60"/>
      <c r="V566" s="60"/>
      <c r="W566" s="60"/>
    </row>
    <row r="567" spans="1:23" ht="13" x14ac:dyDescent="0.3">
      <c r="A567" s="58"/>
      <c r="B567" s="58"/>
      <c r="C567" s="58"/>
      <c r="D567" s="58"/>
      <c r="E567" s="58"/>
      <c r="F567" s="58"/>
      <c r="G567" s="58"/>
      <c r="H567" s="59"/>
      <c r="I567" s="59"/>
      <c r="J567" s="59"/>
      <c r="K567" s="59"/>
      <c r="L567" s="59"/>
      <c r="M567" s="60"/>
      <c r="N567" s="60"/>
      <c r="O567" s="60"/>
      <c r="P567" s="59"/>
      <c r="Q567" s="59"/>
      <c r="R567" s="60"/>
      <c r="S567" s="60"/>
      <c r="T567" s="60"/>
      <c r="U567" s="60"/>
      <c r="V567" s="60"/>
      <c r="W567" s="60"/>
    </row>
    <row r="568" spans="1:23" ht="13" x14ac:dyDescent="0.3">
      <c r="A568" s="58"/>
      <c r="B568" s="58"/>
      <c r="C568" s="58"/>
      <c r="D568" s="58"/>
      <c r="E568" s="58"/>
      <c r="F568" s="58"/>
      <c r="G568" s="58"/>
      <c r="H568" s="59"/>
      <c r="I568" s="59"/>
      <c r="J568" s="59"/>
      <c r="K568" s="59"/>
      <c r="L568" s="59"/>
      <c r="M568" s="60"/>
      <c r="N568" s="60"/>
      <c r="O568" s="60"/>
      <c r="P568" s="59"/>
      <c r="Q568" s="59"/>
      <c r="R568" s="60"/>
      <c r="S568" s="60"/>
      <c r="T568" s="60"/>
      <c r="U568" s="60"/>
      <c r="V568" s="60"/>
      <c r="W568" s="60"/>
    </row>
    <row r="569" spans="1:23" ht="13" x14ac:dyDescent="0.3">
      <c r="A569" s="58"/>
      <c r="B569" s="58"/>
      <c r="C569" s="58"/>
      <c r="D569" s="58"/>
      <c r="E569" s="58"/>
      <c r="F569" s="58"/>
      <c r="G569" s="58"/>
      <c r="H569" s="59"/>
      <c r="I569" s="59"/>
      <c r="J569" s="59"/>
      <c r="K569" s="59"/>
      <c r="L569" s="59"/>
      <c r="M569" s="60"/>
      <c r="N569" s="60"/>
      <c r="O569" s="60"/>
      <c r="P569" s="59"/>
      <c r="Q569" s="59"/>
      <c r="R569" s="60"/>
      <c r="S569" s="60"/>
      <c r="T569" s="60"/>
      <c r="U569" s="60"/>
      <c r="V569" s="60"/>
      <c r="W569" s="60"/>
    </row>
    <row r="570" spans="1:23" ht="13" x14ac:dyDescent="0.3">
      <c r="A570" s="58"/>
      <c r="B570" s="58"/>
      <c r="C570" s="58"/>
      <c r="D570" s="58"/>
      <c r="E570" s="58"/>
      <c r="F570" s="58"/>
      <c r="G570" s="58"/>
      <c r="H570" s="59"/>
      <c r="I570" s="59"/>
      <c r="J570" s="59"/>
      <c r="K570" s="59"/>
      <c r="L570" s="59"/>
      <c r="M570" s="60"/>
      <c r="N570" s="60"/>
      <c r="O570" s="60"/>
      <c r="P570" s="59"/>
      <c r="Q570" s="59"/>
      <c r="R570" s="60"/>
      <c r="S570" s="60"/>
      <c r="T570" s="60"/>
      <c r="U570" s="60"/>
      <c r="V570" s="60"/>
      <c r="W570" s="60"/>
    </row>
    <row r="571" spans="1:23" ht="13" x14ac:dyDescent="0.3">
      <c r="A571" s="58"/>
      <c r="B571" s="58"/>
      <c r="C571" s="58"/>
      <c r="D571" s="58"/>
      <c r="E571" s="58"/>
      <c r="F571" s="58"/>
      <c r="G571" s="58"/>
      <c r="H571" s="59"/>
      <c r="I571" s="59"/>
      <c r="J571" s="59"/>
      <c r="K571" s="59"/>
      <c r="L571" s="59"/>
      <c r="M571" s="60"/>
      <c r="N571" s="60"/>
      <c r="O571" s="60"/>
      <c r="P571" s="59"/>
      <c r="Q571" s="59"/>
      <c r="R571" s="60"/>
      <c r="S571" s="60"/>
      <c r="T571" s="60"/>
      <c r="U571" s="60"/>
      <c r="V571" s="60"/>
      <c r="W571" s="60"/>
    </row>
    <row r="572" spans="1:23" ht="13" x14ac:dyDescent="0.3">
      <c r="A572" s="58"/>
      <c r="B572" s="58"/>
      <c r="C572" s="58"/>
      <c r="D572" s="58"/>
      <c r="E572" s="58"/>
      <c r="F572" s="58"/>
      <c r="G572" s="58"/>
      <c r="H572" s="59"/>
      <c r="I572" s="59"/>
      <c r="J572" s="59"/>
      <c r="K572" s="59"/>
      <c r="L572" s="59"/>
      <c r="M572" s="60"/>
      <c r="N572" s="60"/>
      <c r="O572" s="60"/>
      <c r="P572" s="59"/>
      <c r="Q572" s="59"/>
      <c r="R572" s="60"/>
      <c r="S572" s="60"/>
      <c r="T572" s="60"/>
      <c r="U572" s="60"/>
      <c r="V572" s="60"/>
      <c r="W572" s="60"/>
    </row>
    <row r="573" spans="1:23" ht="13" x14ac:dyDescent="0.3">
      <c r="A573" s="58"/>
      <c r="B573" s="58"/>
      <c r="C573" s="58"/>
      <c r="D573" s="58"/>
      <c r="E573" s="58"/>
      <c r="F573" s="58"/>
      <c r="G573" s="58"/>
      <c r="H573" s="59"/>
      <c r="I573" s="59"/>
      <c r="J573" s="59"/>
      <c r="K573" s="59"/>
      <c r="L573" s="59"/>
      <c r="M573" s="60"/>
      <c r="N573" s="60"/>
      <c r="O573" s="60"/>
      <c r="P573" s="59"/>
      <c r="Q573" s="59"/>
      <c r="R573" s="60"/>
      <c r="S573" s="60"/>
      <c r="T573" s="60"/>
      <c r="U573" s="60"/>
      <c r="V573" s="60"/>
      <c r="W573" s="60"/>
    </row>
    <row r="574" spans="1:23" ht="13" x14ac:dyDescent="0.3">
      <c r="A574" s="58"/>
      <c r="B574" s="58"/>
      <c r="C574" s="58"/>
      <c r="D574" s="58"/>
      <c r="E574" s="58"/>
      <c r="F574" s="58"/>
      <c r="G574" s="58"/>
      <c r="H574" s="59"/>
      <c r="I574" s="59"/>
      <c r="J574" s="59"/>
      <c r="K574" s="59"/>
      <c r="L574" s="59"/>
      <c r="M574" s="60"/>
      <c r="N574" s="60"/>
      <c r="O574" s="60"/>
      <c r="P574" s="59"/>
      <c r="Q574" s="59"/>
      <c r="R574" s="60"/>
      <c r="S574" s="60"/>
      <c r="T574" s="60"/>
      <c r="U574" s="60"/>
      <c r="V574" s="60"/>
      <c r="W574" s="60"/>
    </row>
    <row r="575" spans="1:23" ht="13" x14ac:dyDescent="0.3">
      <c r="A575" s="58"/>
      <c r="B575" s="58"/>
      <c r="C575" s="58"/>
      <c r="D575" s="58"/>
      <c r="E575" s="58"/>
      <c r="F575" s="58"/>
      <c r="G575" s="58"/>
      <c r="H575" s="59"/>
      <c r="I575" s="59"/>
      <c r="J575" s="59"/>
      <c r="K575" s="59"/>
      <c r="L575" s="59"/>
      <c r="M575" s="60"/>
      <c r="N575" s="60"/>
      <c r="O575" s="60"/>
      <c r="P575" s="59"/>
      <c r="Q575" s="59"/>
      <c r="R575" s="60"/>
      <c r="S575" s="60"/>
      <c r="T575" s="60"/>
      <c r="U575" s="60"/>
      <c r="V575" s="60"/>
      <c r="W575" s="60"/>
    </row>
    <row r="576" spans="1:23" ht="13" x14ac:dyDescent="0.3">
      <c r="A576" s="58"/>
      <c r="B576" s="58"/>
      <c r="C576" s="58"/>
      <c r="D576" s="58"/>
      <c r="E576" s="58"/>
      <c r="F576" s="58"/>
      <c r="G576" s="58"/>
      <c r="H576" s="59"/>
      <c r="I576" s="59"/>
      <c r="J576" s="59"/>
      <c r="K576" s="59"/>
      <c r="L576" s="59"/>
      <c r="M576" s="60"/>
      <c r="N576" s="60"/>
      <c r="O576" s="60"/>
      <c r="P576" s="59"/>
      <c r="Q576" s="59"/>
      <c r="R576" s="60"/>
      <c r="S576" s="60"/>
      <c r="T576" s="60"/>
      <c r="U576" s="60"/>
      <c r="V576" s="60"/>
      <c r="W576" s="60"/>
    </row>
    <row r="577" spans="1:23" ht="13" x14ac:dyDescent="0.3">
      <c r="A577" s="58"/>
      <c r="B577" s="58"/>
      <c r="C577" s="58"/>
      <c r="D577" s="58"/>
      <c r="E577" s="58"/>
      <c r="F577" s="58"/>
      <c r="G577" s="58"/>
      <c r="H577" s="59"/>
      <c r="I577" s="59"/>
      <c r="J577" s="59"/>
      <c r="K577" s="59"/>
      <c r="L577" s="59"/>
      <c r="M577" s="60"/>
      <c r="N577" s="60"/>
      <c r="O577" s="60"/>
      <c r="P577" s="59"/>
      <c r="Q577" s="59"/>
      <c r="R577" s="60"/>
      <c r="S577" s="60"/>
      <c r="T577" s="60"/>
      <c r="U577" s="60"/>
      <c r="V577" s="60"/>
      <c r="W577" s="60"/>
    </row>
    <row r="578" spans="1:23" ht="13" x14ac:dyDescent="0.3">
      <c r="A578" s="58"/>
      <c r="B578" s="58"/>
      <c r="C578" s="58"/>
      <c r="D578" s="58"/>
      <c r="E578" s="58"/>
      <c r="F578" s="58"/>
      <c r="G578" s="58"/>
      <c r="H578" s="59"/>
      <c r="I578" s="59"/>
      <c r="J578" s="59"/>
      <c r="K578" s="59"/>
      <c r="L578" s="59"/>
      <c r="M578" s="60"/>
      <c r="N578" s="60"/>
      <c r="O578" s="60"/>
      <c r="P578" s="59"/>
      <c r="Q578" s="59"/>
      <c r="R578" s="60"/>
      <c r="S578" s="60"/>
      <c r="T578" s="60"/>
      <c r="U578" s="60"/>
      <c r="V578" s="60"/>
      <c r="W578" s="60"/>
    </row>
    <row r="579" spans="1:23" ht="13" x14ac:dyDescent="0.3">
      <c r="A579" s="58"/>
      <c r="B579" s="58"/>
      <c r="C579" s="58"/>
      <c r="D579" s="58"/>
      <c r="E579" s="58"/>
      <c r="F579" s="58"/>
      <c r="G579" s="58"/>
      <c r="H579" s="59"/>
      <c r="I579" s="59"/>
      <c r="J579" s="59"/>
      <c r="K579" s="59"/>
      <c r="L579" s="59"/>
      <c r="M579" s="60"/>
      <c r="N579" s="60"/>
      <c r="O579" s="60"/>
      <c r="P579" s="59"/>
      <c r="Q579" s="59"/>
      <c r="R579" s="60"/>
      <c r="S579" s="60"/>
      <c r="T579" s="60"/>
      <c r="U579" s="60"/>
      <c r="V579" s="60"/>
      <c r="W579" s="60"/>
    </row>
    <row r="580" spans="1:23" ht="13" x14ac:dyDescent="0.3">
      <c r="A580" s="58"/>
      <c r="B580" s="58"/>
      <c r="C580" s="58"/>
      <c r="D580" s="58"/>
      <c r="E580" s="58"/>
      <c r="F580" s="58"/>
      <c r="G580" s="58"/>
      <c r="H580" s="59"/>
      <c r="I580" s="59"/>
      <c r="J580" s="59"/>
      <c r="K580" s="59"/>
      <c r="L580" s="59"/>
      <c r="M580" s="60"/>
      <c r="N580" s="60"/>
      <c r="O580" s="60"/>
      <c r="P580" s="59"/>
      <c r="Q580" s="59"/>
      <c r="R580" s="60"/>
      <c r="S580" s="60"/>
      <c r="T580" s="60"/>
      <c r="U580" s="60"/>
      <c r="V580" s="60"/>
      <c r="W580" s="60"/>
    </row>
    <row r="581" spans="1:23" ht="13" x14ac:dyDescent="0.3">
      <c r="A581" s="58"/>
      <c r="B581" s="58"/>
      <c r="C581" s="58"/>
      <c r="D581" s="58"/>
      <c r="E581" s="58"/>
      <c r="F581" s="58"/>
      <c r="G581" s="58"/>
      <c r="H581" s="59"/>
      <c r="I581" s="59"/>
      <c r="J581" s="59"/>
      <c r="K581" s="59"/>
      <c r="L581" s="59"/>
      <c r="M581" s="60"/>
      <c r="N581" s="60"/>
      <c r="O581" s="60"/>
      <c r="P581" s="59"/>
      <c r="Q581" s="59"/>
      <c r="R581" s="60"/>
      <c r="S581" s="60"/>
      <c r="T581" s="60"/>
      <c r="U581" s="60"/>
      <c r="V581" s="60"/>
      <c r="W581" s="60"/>
    </row>
    <row r="582" spans="1:23" ht="13" x14ac:dyDescent="0.3">
      <c r="A582" s="58"/>
      <c r="B582" s="58"/>
      <c r="C582" s="58"/>
      <c r="D582" s="58"/>
      <c r="E582" s="58"/>
      <c r="F582" s="58"/>
      <c r="G582" s="58"/>
      <c r="H582" s="59"/>
      <c r="I582" s="59"/>
      <c r="J582" s="59"/>
      <c r="K582" s="59"/>
      <c r="L582" s="59"/>
      <c r="M582" s="60"/>
      <c r="N582" s="60"/>
      <c r="O582" s="60"/>
      <c r="P582" s="59"/>
      <c r="Q582" s="59"/>
      <c r="R582" s="60"/>
      <c r="S582" s="60"/>
      <c r="T582" s="60"/>
      <c r="U582" s="60"/>
      <c r="V582" s="60"/>
      <c r="W582" s="60"/>
    </row>
    <row r="583" spans="1:23" ht="13" x14ac:dyDescent="0.3">
      <c r="A583" s="58"/>
      <c r="B583" s="58"/>
      <c r="C583" s="58"/>
      <c r="D583" s="58"/>
      <c r="E583" s="58"/>
      <c r="F583" s="58"/>
      <c r="G583" s="58"/>
      <c r="H583" s="59"/>
      <c r="I583" s="59"/>
      <c r="J583" s="59"/>
      <c r="K583" s="59"/>
      <c r="L583" s="59"/>
      <c r="M583" s="60"/>
      <c r="N583" s="60"/>
      <c r="O583" s="60"/>
      <c r="P583" s="59"/>
      <c r="Q583" s="59"/>
      <c r="R583" s="60"/>
      <c r="S583" s="60"/>
      <c r="T583" s="60"/>
      <c r="U583" s="60"/>
      <c r="V583" s="60"/>
      <c r="W583" s="60"/>
    </row>
    <row r="584" spans="1:23" ht="13" x14ac:dyDescent="0.3">
      <c r="A584" s="58"/>
      <c r="B584" s="58"/>
      <c r="C584" s="58"/>
      <c r="D584" s="58"/>
      <c r="E584" s="58"/>
      <c r="F584" s="58"/>
      <c r="G584" s="58"/>
      <c r="H584" s="59"/>
      <c r="I584" s="59"/>
      <c r="J584" s="59"/>
      <c r="K584" s="59"/>
      <c r="L584" s="59"/>
      <c r="M584" s="60"/>
      <c r="N584" s="60"/>
      <c r="O584" s="60"/>
      <c r="P584" s="59"/>
      <c r="Q584" s="59"/>
      <c r="R584" s="60"/>
      <c r="S584" s="60"/>
      <c r="T584" s="60"/>
      <c r="U584" s="60"/>
      <c r="V584" s="60"/>
      <c r="W584" s="60"/>
    </row>
    <row r="585" spans="1:23" ht="13" x14ac:dyDescent="0.3">
      <c r="A585" s="58"/>
      <c r="B585" s="58"/>
      <c r="C585" s="58"/>
      <c r="D585" s="58"/>
      <c r="E585" s="58"/>
      <c r="F585" s="58"/>
      <c r="G585" s="58"/>
      <c r="H585" s="59"/>
      <c r="I585" s="59"/>
      <c r="J585" s="59"/>
      <c r="K585" s="59"/>
      <c r="L585" s="59"/>
      <c r="M585" s="60"/>
      <c r="N585" s="60"/>
      <c r="O585" s="60"/>
      <c r="P585" s="59"/>
      <c r="Q585" s="59"/>
      <c r="R585" s="60"/>
      <c r="S585" s="60"/>
      <c r="T585" s="60"/>
      <c r="U585" s="60"/>
      <c r="V585" s="60"/>
      <c r="W585" s="60"/>
    </row>
    <row r="586" spans="1:23" ht="13" x14ac:dyDescent="0.3">
      <c r="A586" s="58"/>
      <c r="B586" s="58"/>
      <c r="C586" s="58"/>
      <c r="D586" s="58"/>
      <c r="E586" s="58"/>
      <c r="F586" s="58"/>
      <c r="G586" s="58"/>
      <c r="H586" s="59"/>
      <c r="I586" s="59"/>
      <c r="J586" s="59"/>
      <c r="K586" s="59"/>
      <c r="L586" s="59"/>
      <c r="M586" s="60"/>
      <c r="N586" s="60"/>
      <c r="O586" s="60"/>
      <c r="P586" s="59"/>
      <c r="Q586" s="59"/>
      <c r="R586" s="60"/>
      <c r="S586" s="60"/>
      <c r="T586" s="60"/>
      <c r="U586" s="60"/>
      <c r="V586" s="60"/>
      <c r="W586" s="60"/>
    </row>
    <row r="587" spans="1:23" ht="13" x14ac:dyDescent="0.3">
      <c r="A587" s="58"/>
      <c r="B587" s="58"/>
      <c r="C587" s="58"/>
      <c r="D587" s="58"/>
      <c r="E587" s="58"/>
      <c r="F587" s="58"/>
      <c r="G587" s="58"/>
      <c r="H587" s="59"/>
      <c r="I587" s="59"/>
      <c r="J587" s="59"/>
      <c r="K587" s="59"/>
      <c r="L587" s="59"/>
      <c r="M587" s="60"/>
      <c r="N587" s="60"/>
      <c r="O587" s="60"/>
      <c r="P587" s="59"/>
      <c r="Q587" s="59"/>
      <c r="R587" s="60"/>
      <c r="S587" s="60"/>
      <c r="T587" s="60"/>
      <c r="U587" s="60"/>
      <c r="V587" s="60"/>
      <c r="W587" s="60"/>
    </row>
    <row r="588" spans="1:23" ht="13" x14ac:dyDescent="0.3">
      <c r="A588" s="58"/>
      <c r="B588" s="58"/>
      <c r="C588" s="58"/>
      <c r="D588" s="58"/>
      <c r="E588" s="58"/>
      <c r="F588" s="58"/>
      <c r="G588" s="58"/>
      <c r="H588" s="59"/>
      <c r="I588" s="59"/>
      <c r="J588" s="59"/>
      <c r="K588" s="59"/>
      <c r="L588" s="59"/>
      <c r="M588" s="60"/>
      <c r="N588" s="60"/>
      <c r="O588" s="60"/>
      <c r="P588" s="59"/>
      <c r="Q588" s="59"/>
      <c r="R588" s="60"/>
      <c r="S588" s="60"/>
      <c r="T588" s="60"/>
      <c r="U588" s="60"/>
      <c r="V588" s="60"/>
      <c r="W588" s="60"/>
    </row>
    <row r="589" spans="1:23" ht="13" x14ac:dyDescent="0.3">
      <c r="A589" s="58"/>
      <c r="B589" s="58"/>
      <c r="C589" s="58"/>
      <c r="D589" s="58"/>
      <c r="E589" s="58"/>
      <c r="F589" s="58"/>
      <c r="G589" s="58"/>
      <c r="H589" s="59"/>
      <c r="I589" s="59"/>
      <c r="J589" s="59"/>
      <c r="K589" s="59"/>
      <c r="L589" s="59"/>
      <c r="M589" s="60"/>
      <c r="N589" s="60"/>
      <c r="O589" s="60"/>
      <c r="P589" s="59"/>
      <c r="Q589" s="59"/>
      <c r="R589" s="60"/>
      <c r="S589" s="60"/>
      <c r="T589" s="60"/>
      <c r="U589" s="60"/>
      <c r="V589" s="60"/>
      <c r="W589" s="60"/>
    </row>
    <row r="590" spans="1:23" ht="13" x14ac:dyDescent="0.3">
      <c r="A590" s="58"/>
      <c r="B590" s="58"/>
      <c r="C590" s="58"/>
      <c r="D590" s="58"/>
      <c r="E590" s="58"/>
      <c r="F590" s="58"/>
      <c r="G590" s="58"/>
      <c r="H590" s="59"/>
      <c r="I590" s="59"/>
      <c r="J590" s="59"/>
      <c r="K590" s="59"/>
      <c r="L590" s="59"/>
      <c r="M590" s="60"/>
      <c r="N590" s="60"/>
      <c r="O590" s="60"/>
      <c r="P590" s="59"/>
      <c r="Q590" s="59"/>
      <c r="R590" s="60"/>
      <c r="S590" s="60"/>
      <c r="T590" s="60"/>
      <c r="U590" s="60"/>
      <c r="V590" s="60"/>
      <c r="W590" s="60"/>
    </row>
    <row r="591" spans="1:23" ht="13" x14ac:dyDescent="0.3">
      <c r="A591" s="58"/>
      <c r="B591" s="58"/>
      <c r="C591" s="58"/>
      <c r="D591" s="58"/>
      <c r="E591" s="58"/>
      <c r="F591" s="58"/>
      <c r="G591" s="58"/>
      <c r="H591" s="59"/>
      <c r="I591" s="59"/>
      <c r="J591" s="59"/>
      <c r="K591" s="59"/>
      <c r="L591" s="59"/>
      <c r="M591" s="60"/>
      <c r="N591" s="60"/>
      <c r="O591" s="60"/>
      <c r="P591" s="59"/>
      <c r="Q591" s="59"/>
      <c r="R591" s="60"/>
      <c r="S591" s="60"/>
      <c r="T591" s="60"/>
      <c r="U591" s="60"/>
      <c r="V591" s="60"/>
      <c r="W591" s="60"/>
    </row>
    <row r="592" spans="1:23" ht="13" x14ac:dyDescent="0.3">
      <c r="A592" s="58"/>
      <c r="B592" s="58"/>
      <c r="C592" s="58"/>
      <c r="D592" s="58"/>
      <c r="E592" s="58"/>
      <c r="F592" s="58"/>
      <c r="G592" s="58"/>
      <c r="H592" s="59"/>
      <c r="I592" s="59"/>
      <c r="J592" s="59"/>
      <c r="K592" s="59"/>
      <c r="L592" s="59"/>
      <c r="M592" s="60"/>
      <c r="N592" s="60"/>
      <c r="O592" s="60"/>
      <c r="P592" s="59"/>
      <c r="Q592" s="59"/>
      <c r="R592" s="60"/>
      <c r="S592" s="60"/>
      <c r="T592" s="60"/>
      <c r="U592" s="60"/>
      <c r="V592" s="60"/>
      <c r="W592" s="60"/>
    </row>
    <row r="593" spans="1:23" ht="13" x14ac:dyDescent="0.3">
      <c r="A593" s="58"/>
      <c r="B593" s="58"/>
      <c r="C593" s="58"/>
      <c r="D593" s="58"/>
      <c r="E593" s="58"/>
      <c r="F593" s="58"/>
      <c r="G593" s="58"/>
      <c r="H593" s="59"/>
      <c r="I593" s="59"/>
      <c r="J593" s="59"/>
      <c r="K593" s="59"/>
      <c r="L593" s="59"/>
      <c r="M593" s="60"/>
      <c r="N593" s="60"/>
      <c r="O593" s="60"/>
      <c r="P593" s="59"/>
      <c r="Q593" s="59"/>
      <c r="R593" s="60"/>
      <c r="S593" s="60"/>
      <c r="T593" s="60"/>
      <c r="U593" s="60"/>
      <c r="V593" s="60"/>
      <c r="W593" s="60"/>
    </row>
    <row r="594" spans="1:23" ht="13" x14ac:dyDescent="0.3">
      <c r="A594" s="58"/>
      <c r="B594" s="58"/>
      <c r="C594" s="58"/>
      <c r="D594" s="58"/>
      <c r="E594" s="58"/>
      <c r="F594" s="58"/>
      <c r="G594" s="58"/>
      <c r="H594" s="59"/>
      <c r="I594" s="59"/>
      <c r="J594" s="59"/>
      <c r="K594" s="59"/>
      <c r="L594" s="59"/>
      <c r="M594" s="60"/>
      <c r="N594" s="60"/>
      <c r="O594" s="60"/>
      <c r="P594" s="59"/>
      <c r="Q594" s="59"/>
      <c r="R594" s="60"/>
      <c r="S594" s="60"/>
      <c r="T594" s="60"/>
      <c r="U594" s="60"/>
      <c r="V594" s="60"/>
      <c r="W594" s="60"/>
    </row>
    <row r="595" spans="1:23" ht="13" x14ac:dyDescent="0.3">
      <c r="A595" s="58"/>
      <c r="B595" s="58"/>
      <c r="C595" s="58"/>
      <c r="D595" s="58"/>
      <c r="E595" s="58"/>
      <c r="F595" s="58"/>
      <c r="G595" s="58"/>
      <c r="H595" s="59"/>
      <c r="I595" s="59"/>
      <c r="J595" s="59"/>
      <c r="K595" s="59"/>
      <c r="L595" s="59"/>
      <c r="M595" s="60"/>
      <c r="N595" s="60"/>
      <c r="O595" s="60"/>
      <c r="P595" s="59"/>
      <c r="Q595" s="59"/>
      <c r="R595" s="60"/>
      <c r="S595" s="60"/>
      <c r="T595" s="60"/>
      <c r="U595" s="60"/>
      <c r="V595" s="60"/>
      <c r="W595" s="60"/>
    </row>
    <row r="596" spans="1:23" ht="13" x14ac:dyDescent="0.3">
      <c r="A596" s="58"/>
      <c r="B596" s="58"/>
      <c r="C596" s="58"/>
      <c r="D596" s="58"/>
      <c r="E596" s="58"/>
      <c r="F596" s="58"/>
      <c r="G596" s="58"/>
      <c r="H596" s="59"/>
      <c r="I596" s="59"/>
      <c r="J596" s="59"/>
      <c r="K596" s="59"/>
      <c r="L596" s="59"/>
      <c r="M596" s="60"/>
      <c r="N596" s="60"/>
      <c r="O596" s="60"/>
      <c r="P596" s="59"/>
      <c r="Q596" s="59"/>
      <c r="R596" s="60"/>
      <c r="S596" s="60"/>
      <c r="T596" s="60"/>
      <c r="U596" s="60"/>
      <c r="V596" s="60"/>
      <c r="W596" s="60"/>
    </row>
    <row r="597" spans="1:23" ht="13" x14ac:dyDescent="0.3">
      <c r="A597" s="58"/>
      <c r="B597" s="58"/>
      <c r="C597" s="58"/>
      <c r="D597" s="58"/>
      <c r="E597" s="58"/>
      <c r="F597" s="58"/>
      <c r="G597" s="58"/>
      <c r="H597" s="59"/>
      <c r="I597" s="59"/>
      <c r="J597" s="59"/>
      <c r="K597" s="59"/>
      <c r="L597" s="59"/>
      <c r="M597" s="60"/>
      <c r="N597" s="60"/>
      <c r="O597" s="60"/>
      <c r="P597" s="59"/>
      <c r="Q597" s="59"/>
      <c r="R597" s="60"/>
      <c r="S597" s="60"/>
      <c r="T597" s="60"/>
      <c r="U597" s="60"/>
      <c r="V597" s="60"/>
      <c r="W597" s="60"/>
    </row>
    <row r="598" spans="1:23" ht="13" x14ac:dyDescent="0.3">
      <c r="A598" s="58"/>
      <c r="B598" s="58"/>
      <c r="C598" s="58"/>
      <c r="D598" s="58"/>
      <c r="E598" s="58"/>
      <c r="F598" s="58"/>
      <c r="G598" s="58"/>
      <c r="H598" s="59"/>
      <c r="I598" s="59"/>
      <c r="J598" s="59"/>
      <c r="K598" s="59"/>
      <c r="L598" s="59"/>
      <c r="M598" s="60"/>
      <c r="N598" s="60"/>
      <c r="O598" s="60"/>
      <c r="P598" s="59"/>
      <c r="Q598" s="59"/>
      <c r="R598" s="60"/>
      <c r="S598" s="60"/>
      <c r="T598" s="60"/>
      <c r="U598" s="60"/>
      <c r="V598" s="60"/>
      <c r="W598" s="60"/>
    </row>
    <row r="599" spans="1:23" ht="13" x14ac:dyDescent="0.3">
      <c r="A599" s="58"/>
      <c r="B599" s="58"/>
      <c r="C599" s="58"/>
      <c r="D599" s="58"/>
      <c r="E599" s="58"/>
      <c r="F599" s="58"/>
      <c r="G599" s="58"/>
      <c r="H599" s="59"/>
      <c r="I599" s="59"/>
      <c r="J599" s="59"/>
      <c r="K599" s="59"/>
      <c r="L599" s="59"/>
      <c r="M599" s="60"/>
      <c r="N599" s="60"/>
      <c r="O599" s="60"/>
      <c r="P599" s="59"/>
      <c r="Q599" s="59"/>
      <c r="R599" s="60"/>
      <c r="S599" s="60"/>
      <c r="T599" s="60"/>
      <c r="U599" s="60"/>
      <c r="V599" s="60"/>
      <c r="W599" s="60"/>
    </row>
    <row r="600" spans="1:23" ht="13" x14ac:dyDescent="0.3">
      <c r="A600" s="58"/>
      <c r="B600" s="58"/>
      <c r="C600" s="58"/>
      <c r="D600" s="58"/>
      <c r="E600" s="58"/>
      <c r="F600" s="58"/>
      <c r="G600" s="58"/>
      <c r="H600" s="59"/>
      <c r="I600" s="59"/>
      <c r="J600" s="59"/>
      <c r="K600" s="59"/>
      <c r="L600" s="59"/>
      <c r="M600" s="60"/>
      <c r="N600" s="60"/>
      <c r="O600" s="60"/>
      <c r="P600" s="59"/>
      <c r="Q600" s="59"/>
      <c r="R600" s="60"/>
      <c r="S600" s="60"/>
      <c r="T600" s="60"/>
      <c r="U600" s="60"/>
      <c r="V600" s="60"/>
      <c r="W600" s="60"/>
    </row>
    <row r="601" spans="1:23" ht="13" x14ac:dyDescent="0.3">
      <c r="A601" s="58"/>
      <c r="B601" s="58"/>
      <c r="C601" s="58"/>
      <c r="D601" s="58"/>
      <c r="E601" s="58"/>
      <c r="F601" s="58"/>
      <c r="G601" s="58"/>
      <c r="H601" s="59"/>
      <c r="I601" s="59"/>
      <c r="J601" s="59"/>
      <c r="K601" s="59"/>
      <c r="L601" s="59"/>
      <c r="M601" s="60"/>
      <c r="N601" s="60"/>
      <c r="O601" s="60"/>
      <c r="P601" s="59"/>
      <c r="Q601" s="59"/>
      <c r="R601" s="60"/>
      <c r="S601" s="60"/>
      <c r="T601" s="60"/>
      <c r="U601" s="60"/>
      <c r="V601" s="60"/>
      <c r="W601" s="60"/>
    </row>
    <row r="602" spans="1:23" ht="13" x14ac:dyDescent="0.3">
      <c r="A602" s="58"/>
      <c r="B602" s="58"/>
      <c r="C602" s="58"/>
      <c r="D602" s="58"/>
      <c r="E602" s="58"/>
      <c r="F602" s="58"/>
      <c r="G602" s="58"/>
      <c r="H602" s="59"/>
      <c r="I602" s="59"/>
      <c r="J602" s="59"/>
      <c r="K602" s="59"/>
      <c r="L602" s="59"/>
      <c r="M602" s="60"/>
      <c r="N602" s="60"/>
      <c r="O602" s="60"/>
      <c r="P602" s="59"/>
      <c r="Q602" s="59"/>
      <c r="R602" s="60"/>
      <c r="S602" s="60"/>
      <c r="T602" s="60"/>
      <c r="U602" s="60"/>
      <c r="V602" s="60"/>
      <c r="W602" s="60"/>
    </row>
    <row r="603" spans="1:23" ht="13" x14ac:dyDescent="0.3">
      <c r="A603" s="58"/>
      <c r="B603" s="58"/>
      <c r="C603" s="58"/>
      <c r="D603" s="58"/>
      <c r="E603" s="58"/>
      <c r="F603" s="58"/>
      <c r="G603" s="58"/>
      <c r="H603" s="59"/>
      <c r="I603" s="59"/>
      <c r="J603" s="59"/>
      <c r="K603" s="59"/>
      <c r="L603" s="59"/>
      <c r="M603" s="60"/>
      <c r="N603" s="60"/>
      <c r="O603" s="60"/>
      <c r="P603" s="59"/>
      <c r="Q603" s="59"/>
      <c r="R603" s="60"/>
      <c r="S603" s="60"/>
      <c r="T603" s="60"/>
      <c r="U603" s="60"/>
      <c r="V603" s="60"/>
      <c r="W603" s="60"/>
    </row>
    <row r="604" spans="1:23" ht="13" x14ac:dyDescent="0.3">
      <c r="A604" s="58"/>
      <c r="B604" s="58"/>
      <c r="C604" s="58"/>
      <c r="D604" s="58"/>
      <c r="E604" s="58"/>
      <c r="F604" s="58"/>
      <c r="G604" s="58"/>
      <c r="H604" s="59"/>
      <c r="I604" s="59"/>
      <c r="J604" s="59"/>
      <c r="K604" s="59"/>
      <c r="L604" s="59"/>
      <c r="M604" s="60"/>
      <c r="N604" s="60"/>
      <c r="O604" s="60"/>
      <c r="P604" s="59"/>
      <c r="Q604" s="59"/>
      <c r="R604" s="60"/>
      <c r="S604" s="60"/>
      <c r="T604" s="60"/>
      <c r="U604" s="60"/>
      <c r="V604" s="60"/>
      <c r="W604" s="60"/>
    </row>
    <row r="605" spans="1:23" ht="13" x14ac:dyDescent="0.3">
      <c r="A605" s="58"/>
      <c r="B605" s="58"/>
      <c r="C605" s="58"/>
      <c r="D605" s="58"/>
      <c r="E605" s="58"/>
      <c r="F605" s="58"/>
      <c r="G605" s="58"/>
      <c r="H605" s="59"/>
      <c r="I605" s="59"/>
      <c r="J605" s="59"/>
      <c r="K605" s="59"/>
      <c r="L605" s="59"/>
      <c r="M605" s="60"/>
      <c r="N605" s="60"/>
      <c r="O605" s="60"/>
      <c r="P605" s="59"/>
      <c r="Q605" s="59"/>
      <c r="R605" s="60"/>
      <c r="S605" s="60"/>
      <c r="T605" s="60"/>
      <c r="U605" s="60"/>
      <c r="V605" s="60"/>
      <c r="W605" s="60"/>
    </row>
    <row r="606" spans="1:23" ht="13" x14ac:dyDescent="0.3">
      <c r="A606" s="58"/>
      <c r="B606" s="58"/>
      <c r="C606" s="58"/>
      <c r="D606" s="58"/>
      <c r="E606" s="58"/>
      <c r="F606" s="58"/>
      <c r="G606" s="58"/>
      <c r="H606" s="59"/>
      <c r="I606" s="59"/>
      <c r="J606" s="59"/>
      <c r="K606" s="59"/>
      <c r="L606" s="59"/>
      <c r="M606" s="60"/>
      <c r="N606" s="60"/>
      <c r="O606" s="60"/>
      <c r="P606" s="59"/>
      <c r="Q606" s="59"/>
      <c r="R606" s="60"/>
      <c r="S606" s="60"/>
      <c r="T606" s="60"/>
      <c r="U606" s="60"/>
      <c r="V606" s="60"/>
      <c r="W606" s="60"/>
    </row>
    <row r="607" spans="1:23" ht="13" x14ac:dyDescent="0.3">
      <c r="A607" s="58"/>
      <c r="B607" s="58"/>
      <c r="C607" s="58"/>
      <c r="D607" s="58"/>
      <c r="E607" s="58"/>
      <c r="F607" s="58"/>
      <c r="G607" s="58"/>
      <c r="H607" s="59"/>
      <c r="I607" s="59"/>
      <c r="J607" s="59"/>
      <c r="K607" s="59"/>
      <c r="L607" s="59"/>
      <c r="M607" s="60"/>
      <c r="N607" s="60"/>
      <c r="O607" s="60"/>
      <c r="P607" s="59"/>
      <c r="Q607" s="59"/>
      <c r="R607" s="60"/>
      <c r="S607" s="60"/>
      <c r="T607" s="60"/>
      <c r="U607" s="60"/>
      <c r="V607" s="60"/>
      <c r="W607" s="60"/>
    </row>
    <row r="608" spans="1:23" ht="13" x14ac:dyDescent="0.3">
      <c r="A608" s="58"/>
      <c r="B608" s="58"/>
      <c r="C608" s="58"/>
      <c r="D608" s="58"/>
      <c r="E608" s="58"/>
      <c r="F608" s="58"/>
      <c r="G608" s="58"/>
      <c r="H608" s="59"/>
      <c r="I608" s="59"/>
      <c r="J608" s="59"/>
      <c r="K608" s="59"/>
      <c r="L608" s="59"/>
      <c r="M608" s="60"/>
      <c r="N608" s="60"/>
      <c r="O608" s="60"/>
      <c r="P608" s="59"/>
      <c r="Q608" s="59"/>
      <c r="R608" s="60"/>
      <c r="S608" s="60"/>
      <c r="T608" s="60"/>
      <c r="U608" s="60"/>
      <c r="V608" s="60"/>
      <c r="W608" s="60"/>
    </row>
    <row r="609" spans="1:23" ht="13" x14ac:dyDescent="0.3">
      <c r="A609" s="58"/>
      <c r="B609" s="58"/>
      <c r="C609" s="58"/>
      <c r="D609" s="58"/>
      <c r="E609" s="58"/>
      <c r="F609" s="58"/>
      <c r="G609" s="58"/>
      <c r="H609" s="59"/>
      <c r="I609" s="59"/>
      <c r="J609" s="59"/>
      <c r="K609" s="59"/>
      <c r="L609" s="59"/>
      <c r="M609" s="60"/>
      <c r="N609" s="60"/>
      <c r="O609" s="60"/>
      <c r="P609" s="59"/>
      <c r="Q609" s="59"/>
      <c r="R609" s="60"/>
      <c r="S609" s="60"/>
      <c r="T609" s="60"/>
      <c r="U609" s="60"/>
      <c r="V609" s="60"/>
      <c r="W609" s="60"/>
    </row>
    <row r="610" spans="1:23" ht="13" x14ac:dyDescent="0.3">
      <c r="A610" s="58"/>
      <c r="B610" s="58"/>
      <c r="C610" s="58"/>
      <c r="D610" s="58"/>
      <c r="E610" s="58"/>
      <c r="F610" s="58"/>
      <c r="G610" s="58"/>
      <c r="H610" s="59"/>
      <c r="I610" s="59"/>
      <c r="J610" s="59"/>
      <c r="K610" s="59"/>
      <c r="L610" s="59"/>
      <c r="M610" s="60"/>
      <c r="N610" s="60"/>
      <c r="O610" s="60"/>
      <c r="P610" s="59"/>
      <c r="Q610" s="59"/>
      <c r="R610" s="60"/>
      <c r="S610" s="60"/>
      <c r="T610" s="60"/>
      <c r="U610" s="60"/>
      <c r="V610" s="60"/>
      <c r="W610" s="60"/>
    </row>
    <row r="611" spans="1:23" ht="13" x14ac:dyDescent="0.3">
      <c r="A611" s="58"/>
      <c r="B611" s="58"/>
      <c r="C611" s="58"/>
      <c r="D611" s="58"/>
      <c r="E611" s="58"/>
      <c r="F611" s="58"/>
      <c r="G611" s="58"/>
      <c r="H611" s="59"/>
      <c r="I611" s="59"/>
      <c r="J611" s="59"/>
      <c r="K611" s="59"/>
      <c r="L611" s="59"/>
      <c r="M611" s="60"/>
      <c r="N611" s="60"/>
      <c r="O611" s="60"/>
      <c r="P611" s="59"/>
      <c r="Q611" s="59"/>
      <c r="R611" s="60"/>
      <c r="S611" s="60"/>
      <c r="T611" s="60"/>
      <c r="U611" s="60"/>
      <c r="V611" s="60"/>
      <c r="W611" s="60"/>
    </row>
    <row r="612" spans="1:23" ht="13" x14ac:dyDescent="0.3">
      <c r="A612" s="58"/>
      <c r="B612" s="58"/>
      <c r="C612" s="58"/>
      <c r="D612" s="58"/>
      <c r="E612" s="58"/>
      <c r="F612" s="58"/>
      <c r="G612" s="58"/>
      <c r="H612" s="59"/>
      <c r="I612" s="59"/>
      <c r="J612" s="59"/>
      <c r="K612" s="59"/>
      <c r="L612" s="59"/>
      <c r="M612" s="60"/>
      <c r="N612" s="60"/>
      <c r="O612" s="60"/>
      <c r="P612" s="59"/>
      <c r="Q612" s="59"/>
      <c r="R612" s="60"/>
      <c r="S612" s="60"/>
      <c r="T612" s="60"/>
      <c r="U612" s="60"/>
      <c r="V612" s="60"/>
      <c r="W612" s="60"/>
    </row>
    <row r="613" spans="1:23" ht="13" x14ac:dyDescent="0.3">
      <c r="A613" s="58"/>
      <c r="B613" s="58"/>
      <c r="C613" s="58"/>
      <c r="D613" s="58"/>
      <c r="E613" s="58"/>
      <c r="F613" s="58"/>
      <c r="G613" s="58"/>
      <c r="H613" s="59"/>
      <c r="I613" s="59"/>
      <c r="J613" s="59"/>
      <c r="K613" s="59"/>
      <c r="L613" s="59"/>
      <c r="M613" s="60"/>
      <c r="N613" s="60"/>
      <c r="O613" s="60"/>
      <c r="P613" s="59"/>
      <c r="Q613" s="59"/>
      <c r="R613" s="60"/>
      <c r="S613" s="60"/>
      <c r="T613" s="60"/>
      <c r="U613" s="60"/>
      <c r="V613" s="60"/>
      <c r="W613" s="60"/>
    </row>
    <row r="614" spans="1:23" ht="13" x14ac:dyDescent="0.3">
      <c r="A614" s="58"/>
      <c r="B614" s="58"/>
      <c r="C614" s="58"/>
      <c r="D614" s="58"/>
      <c r="E614" s="58"/>
      <c r="F614" s="58"/>
      <c r="G614" s="58"/>
      <c r="H614" s="59"/>
      <c r="I614" s="59"/>
      <c r="J614" s="59"/>
      <c r="K614" s="59"/>
      <c r="L614" s="59"/>
      <c r="M614" s="60"/>
      <c r="N614" s="60"/>
      <c r="O614" s="60"/>
      <c r="P614" s="59"/>
      <c r="Q614" s="59"/>
      <c r="R614" s="60"/>
      <c r="S614" s="60"/>
      <c r="T614" s="60"/>
      <c r="U614" s="60"/>
      <c r="V614" s="60"/>
      <c r="W614" s="60"/>
    </row>
    <row r="615" spans="1:23" ht="13" x14ac:dyDescent="0.3">
      <c r="A615" s="58"/>
      <c r="B615" s="58"/>
      <c r="C615" s="58"/>
      <c r="D615" s="58"/>
      <c r="E615" s="58"/>
      <c r="F615" s="58"/>
      <c r="G615" s="58"/>
      <c r="H615" s="59"/>
      <c r="I615" s="59"/>
      <c r="J615" s="59"/>
      <c r="K615" s="59"/>
      <c r="L615" s="59"/>
      <c r="M615" s="60"/>
      <c r="N615" s="60"/>
      <c r="O615" s="60"/>
      <c r="P615" s="59"/>
      <c r="Q615" s="59"/>
      <c r="R615" s="60"/>
      <c r="S615" s="60"/>
      <c r="T615" s="60"/>
      <c r="U615" s="60"/>
      <c r="V615" s="60"/>
      <c r="W615" s="60"/>
    </row>
    <row r="616" spans="1:23" ht="13" x14ac:dyDescent="0.3">
      <c r="A616" s="58"/>
      <c r="B616" s="58"/>
      <c r="C616" s="58"/>
      <c r="D616" s="58"/>
      <c r="E616" s="58"/>
      <c r="F616" s="58"/>
      <c r="G616" s="58"/>
      <c r="H616" s="59"/>
      <c r="I616" s="59"/>
      <c r="J616" s="59"/>
      <c r="K616" s="59"/>
      <c r="L616" s="59"/>
      <c r="M616" s="60"/>
      <c r="N616" s="60"/>
      <c r="O616" s="60"/>
      <c r="P616" s="59"/>
      <c r="Q616" s="59"/>
      <c r="R616" s="60"/>
      <c r="S616" s="60"/>
      <c r="T616" s="60"/>
      <c r="U616" s="60"/>
      <c r="V616" s="60"/>
      <c r="W616" s="60"/>
    </row>
    <row r="617" spans="1:23" ht="13" x14ac:dyDescent="0.3">
      <c r="A617" s="58"/>
      <c r="B617" s="58"/>
      <c r="C617" s="58"/>
      <c r="D617" s="58"/>
      <c r="E617" s="58"/>
      <c r="F617" s="58"/>
      <c r="G617" s="58"/>
      <c r="H617" s="59"/>
      <c r="I617" s="59"/>
      <c r="J617" s="59"/>
      <c r="K617" s="59"/>
      <c r="L617" s="59"/>
      <c r="M617" s="60"/>
      <c r="N617" s="60"/>
      <c r="O617" s="60"/>
      <c r="P617" s="59"/>
      <c r="Q617" s="59"/>
      <c r="R617" s="60"/>
      <c r="S617" s="60"/>
      <c r="T617" s="60"/>
      <c r="U617" s="60"/>
      <c r="V617" s="60"/>
      <c r="W617" s="60"/>
    </row>
    <row r="618" spans="1:23" ht="13" x14ac:dyDescent="0.3">
      <c r="A618" s="58"/>
      <c r="B618" s="58"/>
      <c r="C618" s="58"/>
      <c r="D618" s="58"/>
      <c r="E618" s="58"/>
      <c r="F618" s="58"/>
      <c r="G618" s="58"/>
      <c r="H618" s="59"/>
      <c r="I618" s="59"/>
      <c r="J618" s="59"/>
      <c r="K618" s="59"/>
      <c r="L618" s="59"/>
      <c r="M618" s="60"/>
      <c r="N618" s="60"/>
      <c r="O618" s="60"/>
      <c r="P618" s="59"/>
      <c r="Q618" s="59"/>
      <c r="R618" s="60"/>
      <c r="S618" s="60"/>
      <c r="T618" s="60"/>
      <c r="U618" s="60"/>
      <c r="V618" s="60"/>
      <c r="W618" s="60"/>
    </row>
    <row r="619" spans="1:23" ht="13" x14ac:dyDescent="0.3">
      <c r="A619" s="58"/>
      <c r="B619" s="58"/>
      <c r="C619" s="58"/>
      <c r="D619" s="58"/>
      <c r="E619" s="58"/>
      <c r="F619" s="58"/>
      <c r="G619" s="58"/>
      <c r="H619" s="59"/>
      <c r="I619" s="59"/>
      <c r="J619" s="59"/>
      <c r="K619" s="59"/>
      <c r="L619" s="59"/>
      <c r="M619" s="60"/>
      <c r="N619" s="60"/>
      <c r="O619" s="60"/>
      <c r="P619" s="59"/>
      <c r="Q619" s="59"/>
      <c r="R619" s="60"/>
      <c r="S619" s="60"/>
      <c r="T619" s="60"/>
      <c r="U619" s="60"/>
      <c r="V619" s="60"/>
      <c r="W619" s="60"/>
    </row>
    <row r="620" spans="1:23" ht="13" x14ac:dyDescent="0.3">
      <c r="A620" s="58"/>
      <c r="B620" s="58"/>
      <c r="C620" s="58"/>
      <c r="D620" s="58"/>
      <c r="E620" s="58"/>
      <c r="F620" s="58"/>
      <c r="G620" s="58"/>
      <c r="H620" s="59"/>
      <c r="I620" s="59"/>
      <c r="J620" s="59"/>
      <c r="K620" s="59"/>
      <c r="L620" s="59"/>
      <c r="M620" s="60"/>
      <c r="N620" s="60"/>
      <c r="O620" s="60"/>
      <c r="P620" s="59"/>
      <c r="Q620" s="59"/>
      <c r="R620" s="60"/>
      <c r="S620" s="60"/>
      <c r="T620" s="60"/>
      <c r="U620" s="60"/>
      <c r="V620" s="60"/>
      <c r="W620" s="60"/>
    </row>
    <row r="621" spans="1:23" ht="13" x14ac:dyDescent="0.3">
      <c r="A621" s="58"/>
      <c r="B621" s="58"/>
      <c r="C621" s="58"/>
      <c r="D621" s="58"/>
      <c r="E621" s="58"/>
      <c r="F621" s="58"/>
      <c r="G621" s="58"/>
      <c r="H621" s="59"/>
      <c r="I621" s="59"/>
      <c r="J621" s="59"/>
      <c r="K621" s="59"/>
      <c r="L621" s="59"/>
      <c r="M621" s="60"/>
      <c r="N621" s="60"/>
      <c r="O621" s="60"/>
      <c r="P621" s="59"/>
      <c r="Q621" s="59"/>
      <c r="R621" s="60"/>
      <c r="S621" s="60"/>
      <c r="T621" s="60"/>
      <c r="U621" s="60"/>
      <c r="V621" s="60"/>
      <c r="W621" s="60"/>
    </row>
    <row r="622" spans="1:23" ht="13" x14ac:dyDescent="0.3">
      <c r="A622" s="58"/>
      <c r="B622" s="58"/>
      <c r="C622" s="58"/>
      <c r="D622" s="58"/>
      <c r="E622" s="58"/>
      <c r="F622" s="58"/>
      <c r="G622" s="58"/>
      <c r="H622" s="59"/>
      <c r="I622" s="59"/>
      <c r="J622" s="59"/>
      <c r="K622" s="59"/>
      <c r="L622" s="59"/>
      <c r="M622" s="60"/>
      <c r="N622" s="60"/>
      <c r="O622" s="60"/>
      <c r="P622" s="59"/>
      <c r="Q622" s="59"/>
      <c r="R622" s="60"/>
      <c r="S622" s="60"/>
      <c r="T622" s="60"/>
      <c r="U622" s="60"/>
      <c r="V622" s="60"/>
      <c r="W622" s="60"/>
    </row>
    <row r="623" spans="1:23" ht="13" x14ac:dyDescent="0.3">
      <c r="A623" s="58"/>
      <c r="B623" s="58"/>
      <c r="C623" s="58"/>
      <c r="D623" s="58"/>
      <c r="E623" s="58"/>
      <c r="F623" s="58"/>
      <c r="G623" s="58"/>
      <c r="H623" s="59"/>
      <c r="I623" s="59"/>
      <c r="J623" s="59"/>
      <c r="K623" s="59"/>
      <c r="L623" s="59"/>
      <c r="M623" s="60"/>
      <c r="N623" s="60"/>
      <c r="O623" s="60"/>
      <c r="P623" s="59"/>
      <c r="Q623" s="59"/>
      <c r="R623" s="60"/>
      <c r="S623" s="60"/>
      <c r="T623" s="60"/>
      <c r="U623" s="60"/>
      <c r="V623" s="60"/>
      <c r="W623" s="60"/>
    </row>
    <row r="624" spans="1:23" ht="13" x14ac:dyDescent="0.3">
      <c r="A624" s="58"/>
      <c r="B624" s="58"/>
      <c r="C624" s="58"/>
      <c r="D624" s="58"/>
      <c r="E624" s="58"/>
      <c r="F624" s="58"/>
      <c r="G624" s="58"/>
      <c r="H624" s="59"/>
      <c r="I624" s="59"/>
      <c r="J624" s="59"/>
      <c r="K624" s="59"/>
      <c r="L624" s="59"/>
      <c r="M624" s="60"/>
      <c r="N624" s="60"/>
      <c r="O624" s="60"/>
      <c r="P624" s="59"/>
      <c r="Q624" s="59"/>
      <c r="R624" s="60"/>
      <c r="S624" s="60"/>
      <c r="T624" s="60"/>
      <c r="U624" s="60"/>
      <c r="V624" s="60"/>
      <c r="W624" s="60"/>
    </row>
    <row r="625" spans="1:23" ht="13" x14ac:dyDescent="0.3">
      <c r="A625" s="58"/>
      <c r="B625" s="58"/>
      <c r="C625" s="58"/>
      <c r="D625" s="58"/>
      <c r="E625" s="58"/>
      <c r="F625" s="58"/>
      <c r="G625" s="58"/>
      <c r="H625" s="59"/>
      <c r="I625" s="59"/>
      <c r="J625" s="59"/>
      <c r="K625" s="59"/>
      <c r="L625" s="59"/>
      <c r="M625" s="60"/>
      <c r="N625" s="60"/>
      <c r="O625" s="60"/>
      <c r="P625" s="59"/>
      <c r="Q625" s="59"/>
      <c r="R625" s="60"/>
      <c r="S625" s="60"/>
      <c r="T625" s="60"/>
      <c r="U625" s="60"/>
      <c r="V625" s="60"/>
      <c r="W625" s="60"/>
    </row>
    <row r="626" spans="1:23" ht="13" x14ac:dyDescent="0.3">
      <c r="A626" s="58"/>
      <c r="B626" s="58"/>
      <c r="C626" s="58"/>
      <c r="D626" s="58"/>
      <c r="E626" s="58"/>
      <c r="F626" s="58"/>
      <c r="G626" s="58"/>
      <c r="H626" s="59"/>
      <c r="I626" s="59"/>
      <c r="J626" s="59"/>
      <c r="K626" s="59"/>
      <c r="L626" s="59"/>
      <c r="M626" s="60"/>
      <c r="N626" s="60"/>
      <c r="O626" s="60"/>
      <c r="P626" s="59"/>
      <c r="Q626" s="59"/>
      <c r="R626" s="60"/>
      <c r="S626" s="60"/>
      <c r="T626" s="60"/>
      <c r="U626" s="60"/>
      <c r="V626" s="60"/>
      <c r="W626" s="60"/>
    </row>
    <row r="627" spans="1:23" ht="13" x14ac:dyDescent="0.3">
      <c r="A627" s="58"/>
      <c r="B627" s="58"/>
      <c r="C627" s="58"/>
      <c r="D627" s="58"/>
      <c r="E627" s="58"/>
      <c r="F627" s="58"/>
      <c r="G627" s="58"/>
      <c r="H627" s="59"/>
      <c r="I627" s="59"/>
      <c r="J627" s="59"/>
      <c r="K627" s="59"/>
      <c r="L627" s="59"/>
      <c r="M627" s="60"/>
      <c r="N627" s="60"/>
      <c r="O627" s="60"/>
      <c r="P627" s="59"/>
      <c r="Q627" s="59"/>
      <c r="R627" s="60"/>
      <c r="S627" s="60"/>
      <c r="T627" s="60"/>
      <c r="U627" s="60"/>
      <c r="V627" s="60"/>
      <c r="W627" s="60"/>
    </row>
    <row r="628" spans="1:23" ht="13" x14ac:dyDescent="0.3">
      <c r="A628" s="58"/>
      <c r="B628" s="58"/>
      <c r="C628" s="58"/>
      <c r="D628" s="58"/>
      <c r="E628" s="58"/>
      <c r="F628" s="58"/>
      <c r="G628" s="58"/>
      <c r="H628" s="59"/>
      <c r="I628" s="59"/>
      <c r="J628" s="59"/>
      <c r="K628" s="59"/>
      <c r="L628" s="59"/>
      <c r="M628" s="60"/>
      <c r="N628" s="60"/>
      <c r="O628" s="60"/>
      <c r="P628" s="59"/>
      <c r="Q628" s="59"/>
      <c r="R628" s="60"/>
      <c r="S628" s="60"/>
      <c r="T628" s="60"/>
      <c r="U628" s="60"/>
      <c r="V628" s="60"/>
      <c r="W628" s="60"/>
    </row>
    <row r="629" spans="1:23" ht="13" x14ac:dyDescent="0.3">
      <c r="A629" s="58"/>
      <c r="B629" s="58"/>
      <c r="C629" s="58"/>
      <c r="D629" s="58"/>
      <c r="E629" s="58"/>
      <c r="F629" s="58"/>
      <c r="G629" s="58"/>
      <c r="H629" s="59"/>
      <c r="I629" s="59"/>
      <c r="J629" s="59"/>
      <c r="K629" s="59"/>
      <c r="L629" s="59"/>
      <c r="M629" s="60"/>
      <c r="N629" s="60"/>
      <c r="O629" s="60"/>
      <c r="P629" s="59"/>
      <c r="Q629" s="59"/>
      <c r="R629" s="60"/>
      <c r="S629" s="60"/>
      <c r="T629" s="60"/>
      <c r="U629" s="60"/>
      <c r="V629" s="60"/>
      <c r="W629" s="60"/>
    </row>
    <row r="630" spans="1:23" ht="13" x14ac:dyDescent="0.3">
      <c r="A630" s="58"/>
      <c r="B630" s="58"/>
      <c r="C630" s="58"/>
      <c r="D630" s="58"/>
      <c r="E630" s="58"/>
      <c r="F630" s="58"/>
      <c r="G630" s="58"/>
      <c r="H630" s="59"/>
      <c r="I630" s="59"/>
      <c r="J630" s="59"/>
      <c r="K630" s="59"/>
      <c r="L630" s="59"/>
      <c r="M630" s="60"/>
      <c r="N630" s="60"/>
      <c r="O630" s="60"/>
      <c r="P630" s="59"/>
      <c r="Q630" s="59"/>
      <c r="R630" s="60"/>
      <c r="S630" s="60"/>
      <c r="T630" s="60"/>
      <c r="U630" s="60"/>
      <c r="V630" s="60"/>
      <c r="W630" s="60"/>
    </row>
    <row r="631" spans="1:23" ht="13" x14ac:dyDescent="0.3">
      <c r="A631" s="58"/>
      <c r="B631" s="58"/>
      <c r="C631" s="58"/>
      <c r="D631" s="58"/>
      <c r="E631" s="58"/>
      <c r="F631" s="58"/>
      <c r="G631" s="58"/>
      <c r="H631" s="59"/>
      <c r="I631" s="59"/>
      <c r="J631" s="59"/>
      <c r="K631" s="59"/>
      <c r="L631" s="59"/>
      <c r="M631" s="60"/>
      <c r="N631" s="60"/>
      <c r="O631" s="60"/>
      <c r="P631" s="59"/>
      <c r="Q631" s="59"/>
      <c r="R631" s="60"/>
      <c r="S631" s="60"/>
      <c r="T631" s="60"/>
      <c r="U631" s="60"/>
      <c r="V631" s="60"/>
      <c r="W631" s="60"/>
    </row>
    <row r="632" spans="1:23" ht="13" x14ac:dyDescent="0.3">
      <c r="A632" s="58"/>
      <c r="B632" s="58"/>
      <c r="C632" s="58"/>
      <c r="D632" s="58"/>
      <c r="E632" s="58"/>
      <c r="F632" s="58"/>
      <c r="G632" s="58"/>
      <c r="H632" s="59"/>
      <c r="I632" s="59"/>
      <c r="J632" s="59"/>
      <c r="K632" s="59"/>
      <c r="L632" s="59"/>
      <c r="M632" s="60"/>
      <c r="N632" s="60"/>
      <c r="O632" s="60"/>
      <c r="P632" s="59"/>
      <c r="Q632" s="59"/>
      <c r="R632" s="60"/>
      <c r="S632" s="60"/>
      <c r="T632" s="60"/>
      <c r="U632" s="60"/>
      <c r="V632" s="60"/>
      <c r="W632" s="60"/>
    </row>
    <row r="633" spans="1:23" ht="13" x14ac:dyDescent="0.3">
      <c r="A633" s="58"/>
      <c r="B633" s="58"/>
      <c r="C633" s="58"/>
      <c r="D633" s="58"/>
      <c r="E633" s="58"/>
      <c r="F633" s="58"/>
      <c r="G633" s="58"/>
      <c r="H633" s="59"/>
      <c r="I633" s="59"/>
      <c r="J633" s="59"/>
      <c r="K633" s="59"/>
      <c r="L633" s="59"/>
      <c r="M633" s="60"/>
      <c r="N633" s="60"/>
      <c r="O633" s="60"/>
      <c r="P633" s="59"/>
      <c r="Q633" s="59"/>
      <c r="R633" s="60"/>
      <c r="S633" s="60"/>
      <c r="T633" s="60"/>
      <c r="U633" s="60"/>
      <c r="V633" s="60"/>
      <c r="W633" s="60"/>
    </row>
    <row r="634" spans="1:23" ht="13" x14ac:dyDescent="0.3">
      <c r="A634" s="58"/>
      <c r="B634" s="58"/>
      <c r="C634" s="58"/>
      <c r="D634" s="58"/>
      <c r="E634" s="58"/>
      <c r="F634" s="58"/>
      <c r="G634" s="58"/>
      <c r="H634" s="59"/>
      <c r="I634" s="59"/>
      <c r="J634" s="59"/>
      <c r="K634" s="59"/>
      <c r="L634" s="59"/>
      <c r="M634" s="60"/>
      <c r="N634" s="60"/>
      <c r="O634" s="60"/>
      <c r="P634" s="59"/>
      <c r="Q634" s="59"/>
      <c r="R634" s="60"/>
      <c r="S634" s="60"/>
      <c r="T634" s="60"/>
      <c r="U634" s="60"/>
      <c r="V634" s="60"/>
      <c r="W634" s="60"/>
    </row>
    <row r="635" spans="1:23" ht="13" x14ac:dyDescent="0.3">
      <c r="A635" s="58"/>
      <c r="B635" s="58"/>
      <c r="C635" s="58"/>
      <c r="D635" s="58"/>
      <c r="E635" s="58"/>
      <c r="F635" s="58"/>
      <c r="G635" s="58"/>
      <c r="H635" s="59"/>
      <c r="I635" s="59"/>
      <c r="J635" s="59"/>
      <c r="K635" s="59"/>
      <c r="L635" s="59"/>
      <c r="M635" s="60"/>
      <c r="N635" s="60"/>
      <c r="O635" s="60"/>
      <c r="P635" s="59"/>
      <c r="Q635" s="59"/>
      <c r="R635" s="60"/>
      <c r="S635" s="60"/>
      <c r="T635" s="60"/>
      <c r="U635" s="60"/>
      <c r="V635" s="60"/>
      <c r="W635" s="60"/>
    </row>
    <row r="636" spans="1:23" ht="13" x14ac:dyDescent="0.3">
      <c r="A636" s="58"/>
      <c r="B636" s="58"/>
      <c r="C636" s="58"/>
      <c r="D636" s="58"/>
      <c r="E636" s="58"/>
      <c r="F636" s="58"/>
      <c r="G636" s="58"/>
      <c r="H636" s="59"/>
      <c r="I636" s="59"/>
      <c r="J636" s="59"/>
      <c r="K636" s="59"/>
      <c r="L636" s="59"/>
      <c r="M636" s="60"/>
      <c r="N636" s="60"/>
      <c r="O636" s="60"/>
      <c r="P636" s="59"/>
      <c r="Q636" s="59"/>
      <c r="R636" s="60"/>
      <c r="S636" s="60"/>
      <c r="T636" s="60"/>
      <c r="U636" s="60"/>
      <c r="V636" s="60"/>
      <c r="W636" s="60"/>
    </row>
    <row r="637" spans="1:23" ht="13" x14ac:dyDescent="0.3">
      <c r="A637" s="58"/>
      <c r="B637" s="58"/>
      <c r="C637" s="58"/>
      <c r="D637" s="58"/>
      <c r="E637" s="58"/>
      <c r="F637" s="58"/>
      <c r="G637" s="58"/>
      <c r="H637" s="59"/>
      <c r="I637" s="59"/>
      <c r="J637" s="59"/>
      <c r="K637" s="59"/>
      <c r="L637" s="59"/>
      <c r="M637" s="60"/>
      <c r="N637" s="60"/>
      <c r="O637" s="60"/>
      <c r="P637" s="59"/>
      <c r="Q637" s="59"/>
      <c r="R637" s="60"/>
      <c r="S637" s="60"/>
      <c r="T637" s="60"/>
      <c r="U637" s="60"/>
      <c r="V637" s="60"/>
      <c r="W637" s="60"/>
    </row>
    <row r="638" spans="1:23" ht="13" x14ac:dyDescent="0.3">
      <c r="A638" s="58"/>
      <c r="B638" s="58"/>
      <c r="C638" s="58"/>
      <c r="D638" s="58"/>
      <c r="E638" s="58"/>
      <c r="F638" s="58"/>
      <c r="G638" s="58"/>
      <c r="H638" s="59"/>
      <c r="I638" s="59"/>
      <c r="J638" s="59"/>
      <c r="K638" s="59"/>
      <c r="L638" s="59"/>
      <c r="M638" s="60"/>
      <c r="N638" s="60"/>
      <c r="O638" s="60"/>
      <c r="P638" s="59"/>
      <c r="Q638" s="59"/>
      <c r="R638" s="60"/>
      <c r="S638" s="60"/>
      <c r="T638" s="60"/>
      <c r="U638" s="60"/>
      <c r="V638" s="60"/>
      <c r="W638" s="60"/>
    </row>
    <row r="639" spans="1:23" ht="13" x14ac:dyDescent="0.3">
      <c r="A639" s="58"/>
      <c r="B639" s="58"/>
      <c r="C639" s="58"/>
      <c r="D639" s="58"/>
      <c r="E639" s="58"/>
      <c r="F639" s="58"/>
      <c r="G639" s="58"/>
      <c r="H639" s="59"/>
      <c r="I639" s="59"/>
      <c r="J639" s="59"/>
      <c r="K639" s="59"/>
      <c r="L639" s="59"/>
      <c r="M639" s="60"/>
      <c r="N639" s="60"/>
      <c r="O639" s="60"/>
      <c r="P639" s="59"/>
      <c r="Q639" s="59"/>
      <c r="R639" s="60"/>
      <c r="S639" s="60"/>
      <c r="T639" s="60"/>
      <c r="U639" s="60"/>
      <c r="V639" s="60"/>
      <c r="W639" s="60"/>
    </row>
    <row r="640" spans="1:23" ht="13" x14ac:dyDescent="0.3">
      <c r="A640" s="58"/>
      <c r="B640" s="58"/>
      <c r="C640" s="58"/>
      <c r="D640" s="58"/>
      <c r="E640" s="58"/>
      <c r="F640" s="58"/>
      <c r="G640" s="58"/>
      <c r="H640" s="59"/>
      <c r="I640" s="59"/>
      <c r="J640" s="59"/>
      <c r="K640" s="59"/>
      <c r="L640" s="59"/>
      <c r="M640" s="60"/>
      <c r="N640" s="60"/>
      <c r="O640" s="60"/>
      <c r="P640" s="59"/>
      <c r="Q640" s="59"/>
      <c r="R640" s="60"/>
      <c r="S640" s="60"/>
      <c r="T640" s="60"/>
      <c r="U640" s="60"/>
      <c r="V640" s="60"/>
      <c r="W640" s="60"/>
    </row>
    <row r="641" spans="1:23" ht="13" x14ac:dyDescent="0.3">
      <c r="A641" s="58"/>
      <c r="B641" s="58"/>
      <c r="C641" s="58"/>
      <c r="D641" s="58"/>
      <c r="E641" s="58"/>
      <c r="F641" s="58"/>
      <c r="G641" s="58"/>
      <c r="H641" s="59"/>
      <c r="I641" s="59"/>
      <c r="J641" s="59"/>
      <c r="K641" s="59"/>
      <c r="L641" s="59"/>
      <c r="M641" s="60"/>
      <c r="N641" s="60"/>
      <c r="O641" s="60"/>
      <c r="P641" s="59"/>
      <c r="Q641" s="59"/>
      <c r="R641" s="60"/>
      <c r="S641" s="60"/>
      <c r="T641" s="60"/>
      <c r="U641" s="60"/>
      <c r="V641" s="60"/>
      <c r="W641" s="60"/>
    </row>
    <row r="642" spans="1:23" ht="13" x14ac:dyDescent="0.3">
      <c r="A642" s="58"/>
      <c r="B642" s="58"/>
      <c r="C642" s="58"/>
      <c r="D642" s="58"/>
      <c r="E642" s="58"/>
      <c r="F642" s="58"/>
      <c r="G642" s="58"/>
      <c r="H642" s="59"/>
      <c r="I642" s="59"/>
      <c r="J642" s="59"/>
      <c r="K642" s="59"/>
      <c r="L642" s="59"/>
      <c r="M642" s="60"/>
      <c r="N642" s="60"/>
      <c r="O642" s="60"/>
      <c r="P642" s="59"/>
      <c r="Q642" s="59"/>
      <c r="R642" s="60"/>
      <c r="S642" s="60"/>
      <c r="T642" s="60"/>
      <c r="U642" s="60"/>
      <c r="V642" s="60"/>
      <c r="W642" s="60"/>
    </row>
    <row r="643" spans="1:23" ht="13" x14ac:dyDescent="0.3">
      <c r="A643" s="58"/>
      <c r="B643" s="58"/>
      <c r="C643" s="58"/>
      <c r="D643" s="58"/>
      <c r="E643" s="58"/>
      <c r="F643" s="58"/>
      <c r="G643" s="58"/>
      <c r="H643" s="59"/>
      <c r="I643" s="59"/>
      <c r="J643" s="59"/>
      <c r="K643" s="59"/>
      <c r="L643" s="59"/>
      <c r="M643" s="60"/>
      <c r="N643" s="60"/>
      <c r="O643" s="60"/>
      <c r="P643" s="59"/>
      <c r="Q643" s="59"/>
      <c r="R643" s="60"/>
      <c r="S643" s="60"/>
      <c r="T643" s="60"/>
      <c r="U643" s="60"/>
      <c r="V643" s="60"/>
      <c r="W643" s="60"/>
    </row>
    <row r="644" spans="1:23" ht="13" x14ac:dyDescent="0.3">
      <c r="A644" s="58"/>
      <c r="B644" s="58"/>
      <c r="C644" s="58"/>
      <c r="D644" s="58"/>
      <c r="E644" s="58"/>
      <c r="F644" s="58"/>
      <c r="G644" s="58"/>
      <c r="H644" s="59"/>
      <c r="I644" s="59"/>
      <c r="J644" s="59"/>
      <c r="K644" s="59"/>
      <c r="L644" s="59"/>
      <c r="M644" s="60"/>
      <c r="N644" s="60"/>
      <c r="O644" s="60"/>
      <c r="P644" s="59"/>
      <c r="Q644" s="59"/>
      <c r="R644" s="60"/>
      <c r="S644" s="60"/>
      <c r="T644" s="60"/>
      <c r="U644" s="60"/>
      <c r="V644" s="60"/>
      <c r="W644" s="60"/>
    </row>
    <row r="645" spans="1:23" ht="13" x14ac:dyDescent="0.3">
      <c r="A645" s="58"/>
      <c r="B645" s="58"/>
      <c r="C645" s="58"/>
      <c r="D645" s="58"/>
      <c r="E645" s="58"/>
      <c r="F645" s="58"/>
      <c r="G645" s="58"/>
      <c r="H645" s="59"/>
      <c r="I645" s="59"/>
      <c r="J645" s="59"/>
      <c r="K645" s="59"/>
      <c r="L645" s="59"/>
      <c r="M645" s="60"/>
      <c r="N645" s="60"/>
      <c r="O645" s="60"/>
      <c r="P645" s="59"/>
      <c r="Q645" s="59"/>
      <c r="R645" s="60"/>
      <c r="S645" s="60"/>
      <c r="T645" s="60"/>
      <c r="U645" s="60"/>
      <c r="V645" s="60"/>
      <c r="W645" s="60"/>
    </row>
    <row r="646" spans="1:23" ht="13" x14ac:dyDescent="0.3">
      <c r="A646" s="58"/>
      <c r="B646" s="58"/>
      <c r="C646" s="58"/>
      <c r="D646" s="58"/>
      <c r="E646" s="58"/>
      <c r="F646" s="58"/>
      <c r="G646" s="58"/>
      <c r="H646" s="59"/>
      <c r="I646" s="59"/>
      <c r="J646" s="59"/>
      <c r="K646" s="59"/>
      <c r="L646" s="59"/>
      <c r="M646" s="60"/>
      <c r="N646" s="60"/>
      <c r="O646" s="60"/>
      <c r="P646" s="59"/>
      <c r="Q646" s="59"/>
      <c r="R646" s="60"/>
      <c r="S646" s="60"/>
      <c r="T646" s="60"/>
      <c r="U646" s="60"/>
      <c r="V646" s="60"/>
      <c r="W646" s="60"/>
    </row>
    <row r="647" spans="1:23" ht="13" x14ac:dyDescent="0.3">
      <c r="A647" s="58"/>
      <c r="B647" s="58"/>
      <c r="C647" s="58"/>
      <c r="D647" s="58"/>
      <c r="E647" s="58"/>
      <c r="F647" s="58"/>
      <c r="G647" s="58"/>
      <c r="H647" s="59"/>
      <c r="I647" s="59"/>
      <c r="J647" s="59"/>
      <c r="K647" s="59"/>
      <c r="L647" s="59"/>
      <c r="M647" s="60"/>
      <c r="N647" s="60"/>
      <c r="O647" s="60"/>
      <c r="P647" s="59"/>
      <c r="Q647" s="59"/>
      <c r="R647" s="60"/>
      <c r="S647" s="60"/>
      <c r="T647" s="60"/>
      <c r="U647" s="60"/>
      <c r="V647" s="60"/>
      <c r="W647" s="60"/>
    </row>
    <row r="648" spans="1:23" ht="13" x14ac:dyDescent="0.3">
      <c r="A648" s="58"/>
      <c r="B648" s="58"/>
      <c r="C648" s="58"/>
      <c r="D648" s="58"/>
      <c r="E648" s="58"/>
      <c r="F648" s="58"/>
      <c r="G648" s="58"/>
      <c r="H648" s="59"/>
      <c r="I648" s="59"/>
      <c r="J648" s="59"/>
      <c r="K648" s="59"/>
      <c r="L648" s="59"/>
      <c r="M648" s="60"/>
      <c r="N648" s="60"/>
      <c r="O648" s="60"/>
      <c r="P648" s="59"/>
      <c r="Q648" s="59"/>
      <c r="R648" s="60"/>
      <c r="S648" s="60"/>
      <c r="T648" s="60"/>
      <c r="U648" s="60"/>
      <c r="V648" s="60"/>
      <c r="W648" s="60"/>
    </row>
    <row r="649" spans="1:23" ht="13" x14ac:dyDescent="0.3">
      <c r="A649" s="58"/>
      <c r="B649" s="58"/>
      <c r="C649" s="58"/>
      <c r="D649" s="58"/>
      <c r="E649" s="58"/>
      <c r="F649" s="58"/>
      <c r="G649" s="58"/>
      <c r="H649" s="59"/>
      <c r="I649" s="59"/>
      <c r="J649" s="59"/>
      <c r="K649" s="59"/>
      <c r="L649" s="59"/>
      <c r="M649" s="60"/>
      <c r="N649" s="60"/>
      <c r="O649" s="60"/>
      <c r="P649" s="59"/>
      <c r="Q649" s="59"/>
      <c r="R649" s="60"/>
      <c r="S649" s="60"/>
      <c r="T649" s="60"/>
      <c r="U649" s="60"/>
      <c r="V649" s="60"/>
      <c r="W649" s="60"/>
    </row>
    <row r="650" spans="1:23" ht="13" x14ac:dyDescent="0.3">
      <c r="A650" s="58"/>
      <c r="B650" s="58"/>
      <c r="C650" s="58"/>
      <c r="D650" s="58"/>
      <c r="E650" s="58"/>
      <c r="F650" s="58"/>
      <c r="G650" s="58"/>
      <c r="H650" s="59"/>
      <c r="I650" s="59"/>
      <c r="J650" s="59"/>
      <c r="K650" s="59"/>
      <c r="L650" s="59"/>
      <c r="M650" s="60"/>
      <c r="N650" s="60"/>
      <c r="O650" s="60"/>
      <c r="P650" s="59"/>
      <c r="Q650" s="59"/>
      <c r="R650" s="60"/>
      <c r="S650" s="60"/>
      <c r="T650" s="60"/>
      <c r="U650" s="60"/>
      <c r="V650" s="60"/>
      <c r="W650" s="60"/>
    </row>
    <row r="651" spans="1:23" ht="13" x14ac:dyDescent="0.3">
      <c r="A651" s="58"/>
      <c r="B651" s="58"/>
      <c r="C651" s="58"/>
      <c r="D651" s="58"/>
      <c r="E651" s="58"/>
      <c r="F651" s="58"/>
      <c r="G651" s="58"/>
      <c r="H651" s="59"/>
      <c r="I651" s="59"/>
      <c r="J651" s="59"/>
      <c r="K651" s="59"/>
      <c r="L651" s="59"/>
      <c r="M651" s="60"/>
      <c r="N651" s="60"/>
      <c r="O651" s="60"/>
      <c r="P651" s="59"/>
      <c r="Q651" s="59"/>
      <c r="R651" s="60"/>
      <c r="S651" s="60"/>
      <c r="T651" s="60"/>
      <c r="U651" s="60"/>
      <c r="V651" s="60"/>
      <c r="W651" s="60"/>
    </row>
    <row r="652" spans="1:23" ht="13" x14ac:dyDescent="0.3">
      <c r="A652" s="58"/>
      <c r="B652" s="58"/>
      <c r="C652" s="58"/>
      <c r="D652" s="58"/>
      <c r="E652" s="58"/>
      <c r="F652" s="58"/>
      <c r="G652" s="58"/>
      <c r="H652" s="59"/>
      <c r="I652" s="59"/>
      <c r="J652" s="59"/>
      <c r="K652" s="59"/>
      <c r="L652" s="59"/>
      <c r="M652" s="60"/>
      <c r="N652" s="60"/>
      <c r="O652" s="60"/>
      <c r="P652" s="59"/>
      <c r="Q652" s="59"/>
      <c r="R652" s="60"/>
      <c r="S652" s="60"/>
      <c r="T652" s="60"/>
      <c r="U652" s="60"/>
      <c r="V652" s="60"/>
      <c r="W652" s="60"/>
    </row>
    <row r="653" spans="1:23" ht="13" x14ac:dyDescent="0.3">
      <c r="A653" s="58"/>
      <c r="B653" s="58"/>
      <c r="C653" s="58"/>
      <c r="D653" s="58"/>
      <c r="E653" s="58"/>
      <c r="F653" s="58"/>
      <c r="G653" s="58"/>
      <c r="H653" s="59"/>
      <c r="I653" s="59"/>
      <c r="J653" s="59"/>
      <c r="K653" s="59"/>
      <c r="L653" s="59"/>
      <c r="M653" s="60"/>
      <c r="N653" s="60"/>
      <c r="O653" s="60"/>
      <c r="P653" s="59"/>
      <c r="Q653" s="59"/>
      <c r="R653" s="60"/>
      <c r="S653" s="60"/>
      <c r="T653" s="60"/>
      <c r="U653" s="60"/>
      <c r="V653" s="60"/>
      <c r="W653" s="60"/>
    </row>
    <row r="654" spans="1:23" ht="13" x14ac:dyDescent="0.3">
      <c r="A654" s="58"/>
      <c r="B654" s="58"/>
      <c r="C654" s="58"/>
      <c r="D654" s="58"/>
      <c r="E654" s="58"/>
      <c r="F654" s="58"/>
      <c r="G654" s="58"/>
      <c r="H654" s="59"/>
      <c r="I654" s="59"/>
      <c r="J654" s="59"/>
      <c r="K654" s="59"/>
      <c r="L654" s="59"/>
      <c r="M654" s="60"/>
      <c r="N654" s="60"/>
      <c r="O654" s="60"/>
      <c r="P654" s="59"/>
      <c r="Q654" s="59"/>
      <c r="R654" s="60"/>
      <c r="S654" s="60"/>
      <c r="T654" s="60"/>
      <c r="U654" s="60"/>
      <c r="V654" s="60"/>
      <c r="W654" s="60"/>
    </row>
    <row r="655" spans="1:23" ht="13" x14ac:dyDescent="0.3">
      <c r="A655" s="58"/>
      <c r="B655" s="58"/>
      <c r="C655" s="58"/>
      <c r="D655" s="58"/>
      <c r="E655" s="58"/>
      <c r="F655" s="58"/>
      <c r="G655" s="58"/>
      <c r="H655" s="59"/>
      <c r="I655" s="59"/>
      <c r="J655" s="59"/>
      <c r="K655" s="59"/>
      <c r="L655" s="59"/>
      <c r="M655" s="60"/>
      <c r="N655" s="60"/>
      <c r="O655" s="60"/>
      <c r="P655" s="59"/>
      <c r="Q655" s="59"/>
      <c r="R655" s="60"/>
      <c r="S655" s="60"/>
      <c r="T655" s="60"/>
      <c r="U655" s="60"/>
      <c r="V655" s="60"/>
      <c r="W655" s="60"/>
    </row>
    <row r="656" spans="1:23" ht="13" x14ac:dyDescent="0.3">
      <c r="A656" s="58"/>
      <c r="B656" s="58"/>
      <c r="C656" s="58"/>
      <c r="D656" s="58"/>
      <c r="E656" s="58"/>
      <c r="F656" s="58"/>
      <c r="G656" s="58"/>
      <c r="H656" s="59"/>
      <c r="I656" s="59"/>
      <c r="J656" s="59"/>
      <c r="K656" s="59"/>
      <c r="L656" s="59"/>
      <c r="M656" s="60"/>
      <c r="N656" s="60"/>
      <c r="O656" s="60"/>
      <c r="P656" s="59"/>
      <c r="Q656" s="59"/>
      <c r="R656" s="60"/>
      <c r="S656" s="60"/>
      <c r="T656" s="60"/>
      <c r="U656" s="60"/>
      <c r="V656" s="60"/>
      <c r="W656" s="60"/>
    </row>
    <row r="657" spans="1:23" ht="13" x14ac:dyDescent="0.3">
      <c r="A657" s="58"/>
      <c r="B657" s="58"/>
      <c r="C657" s="58"/>
      <c r="D657" s="58"/>
      <c r="E657" s="58"/>
      <c r="F657" s="58"/>
      <c r="G657" s="58"/>
      <c r="H657" s="59"/>
      <c r="I657" s="59"/>
      <c r="J657" s="59"/>
      <c r="K657" s="59"/>
      <c r="L657" s="59"/>
      <c r="M657" s="60"/>
      <c r="N657" s="60"/>
      <c r="O657" s="60"/>
      <c r="P657" s="59"/>
      <c r="Q657" s="59"/>
      <c r="R657" s="60"/>
      <c r="S657" s="60"/>
      <c r="T657" s="60"/>
      <c r="U657" s="60"/>
      <c r="V657" s="60"/>
      <c r="W657" s="60"/>
    </row>
    <row r="658" spans="1:23" ht="13" x14ac:dyDescent="0.3">
      <c r="A658" s="58"/>
      <c r="B658" s="58"/>
      <c r="C658" s="58"/>
      <c r="D658" s="58"/>
      <c r="E658" s="58"/>
      <c r="F658" s="58"/>
      <c r="G658" s="58"/>
      <c r="H658" s="59"/>
      <c r="I658" s="59"/>
      <c r="J658" s="59"/>
      <c r="K658" s="59"/>
      <c r="L658" s="59"/>
      <c r="M658" s="60"/>
      <c r="N658" s="60"/>
      <c r="O658" s="60"/>
      <c r="P658" s="59"/>
      <c r="Q658" s="59"/>
      <c r="R658" s="60"/>
      <c r="S658" s="60"/>
      <c r="T658" s="60"/>
      <c r="U658" s="60"/>
      <c r="V658" s="60"/>
      <c r="W658" s="60"/>
    </row>
    <row r="659" spans="1:23" ht="13" x14ac:dyDescent="0.3">
      <c r="A659" s="58"/>
      <c r="B659" s="58"/>
      <c r="C659" s="58"/>
      <c r="D659" s="58"/>
      <c r="E659" s="58"/>
      <c r="F659" s="58"/>
      <c r="G659" s="58"/>
      <c r="H659" s="59"/>
      <c r="I659" s="59"/>
      <c r="J659" s="59"/>
      <c r="K659" s="59"/>
      <c r="L659" s="59"/>
      <c r="M659" s="60"/>
      <c r="N659" s="60"/>
      <c r="O659" s="60"/>
      <c r="P659" s="59"/>
      <c r="Q659" s="59"/>
      <c r="R659" s="60"/>
      <c r="S659" s="60"/>
      <c r="T659" s="60"/>
      <c r="U659" s="60"/>
      <c r="V659" s="60"/>
      <c r="W659" s="60"/>
    </row>
    <row r="660" spans="1:23" ht="13" x14ac:dyDescent="0.3">
      <c r="A660" s="58"/>
      <c r="B660" s="58"/>
      <c r="C660" s="58"/>
      <c r="D660" s="58"/>
      <c r="E660" s="58"/>
      <c r="F660" s="58"/>
      <c r="G660" s="58"/>
      <c r="H660" s="59"/>
      <c r="I660" s="59"/>
      <c r="J660" s="59"/>
      <c r="K660" s="59"/>
      <c r="L660" s="59"/>
      <c r="M660" s="60"/>
      <c r="N660" s="60"/>
      <c r="O660" s="60"/>
      <c r="P660" s="59"/>
      <c r="Q660" s="59"/>
      <c r="R660" s="60"/>
      <c r="S660" s="60"/>
      <c r="T660" s="60"/>
      <c r="U660" s="60"/>
      <c r="V660" s="60"/>
      <c r="W660" s="60"/>
    </row>
    <row r="661" spans="1:23" ht="13" x14ac:dyDescent="0.3">
      <c r="A661" s="58"/>
      <c r="B661" s="58"/>
      <c r="C661" s="58"/>
      <c r="D661" s="58"/>
      <c r="E661" s="58"/>
      <c r="F661" s="58"/>
      <c r="G661" s="58"/>
      <c r="H661" s="59"/>
      <c r="I661" s="59"/>
      <c r="J661" s="59"/>
      <c r="K661" s="59"/>
      <c r="L661" s="59"/>
      <c r="M661" s="60"/>
      <c r="N661" s="60"/>
      <c r="O661" s="60"/>
      <c r="P661" s="59"/>
      <c r="Q661" s="59"/>
      <c r="R661" s="60"/>
      <c r="S661" s="60"/>
      <c r="T661" s="60"/>
      <c r="U661" s="60"/>
      <c r="V661" s="60"/>
      <c r="W661" s="60"/>
    </row>
    <row r="662" spans="1:23" ht="13" x14ac:dyDescent="0.3">
      <c r="A662" s="58"/>
      <c r="B662" s="58"/>
      <c r="C662" s="58"/>
      <c r="D662" s="58"/>
      <c r="E662" s="58"/>
      <c r="F662" s="58"/>
      <c r="G662" s="58"/>
      <c r="H662" s="59"/>
      <c r="I662" s="59"/>
      <c r="J662" s="59"/>
      <c r="K662" s="59"/>
      <c r="L662" s="59"/>
      <c r="M662" s="60"/>
      <c r="N662" s="60"/>
      <c r="O662" s="60"/>
      <c r="P662" s="59"/>
      <c r="Q662" s="59"/>
      <c r="R662" s="60"/>
      <c r="S662" s="60"/>
      <c r="T662" s="60"/>
      <c r="U662" s="60"/>
      <c r="V662" s="60"/>
      <c r="W662" s="60"/>
    </row>
    <row r="663" spans="1:23" ht="13" x14ac:dyDescent="0.3">
      <c r="A663" s="58"/>
      <c r="B663" s="58"/>
      <c r="C663" s="58"/>
      <c r="D663" s="58"/>
      <c r="E663" s="58"/>
      <c r="F663" s="58"/>
      <c r="G663" s="58"/>
      <c r="H663" s="59"/>
      <c r="I663" s="59"/>
      <c r="J663" s="59"/>
      <c r="K663" s="59"/>
      <c r="L663" s="59"/>
      <c r="M663" s="60"/>
      <c r="N663" s="60"/>
      <c r="O663" s="60"/>
      <c r="P663" s="59"/>
      <c r="Q663" s="59"/>
      <c r="R663" s="60"/>
      <c r="S663" s="60"/>
      <c r="T663" s="60"/>
      <c r="U663" s="60"/>
      <c r="V663" s="60"/>
      <c r="W663" s="60"/>
    </row>
    <row r="664" spans="1:23" ht="13" x14ac:dyDescent="0.3">
      <c r="A664" s="58"/>
      <c r="B664" s="58"/>
      <c r="C664" s="58"/>
      <c r="D664" s="58"/>
      <c r="E664" s="58"/>
      <c r="F664" s="58"/>
      <c r="G664" s="58"/>
      <c r="H664" s="59"/>
      <c r="I664" s="59"/>
      <c r="J664" s="59"/>
      <c r="K664" s="59"/>
      <c r="L664" s="59"/>
      <c r="M664" s="60"/>
      <c r="N664" s="60"/>
      <c r="O664" s="60"/>
      <c r="P664" s="59"/>
      <c r="Q664" s="59"/>
      <c r="R664" s="60"/>
      <c r="S664" s="60"/>
      <c r="T664" s="60"/>
      <c r="U664" s="60"/>
      <c r="V664" s="60"/>
      <c r="W664" s="60"/>
    </row>
    <row r="665" spans="1:23" ht="13" x14ac:dyDescent="0.3">
      <c r="A665" s="58"/>
      <c r="B665" s="58"/>
      <c r="C665" s="58"/>
      <c r="D665" s="58"/>
      <c r="E665" s="58"/>
      <c r="F665" s="58"/>
      <c r="G665" s="58"/>
      <c r="H665" s="59"/>
      <c r="I665" s="59"/>
      <c r="J665" s="59"/>
      <c r="K665" s="59"/>
      <c r="L665" s="59"/>
      <c r="M665" s="60"/>
      <c r="N665" s="60"/>
      <c r="O665" s="60"/>
      <c r="P665" s="59"/>
      <c r="Q665" s="59"/>
      <c r="R665" s="60"/>
      <c r="S665" s="60"/>
      <c r="T665" s="60"/>
      <c r="U665" s="60"/>
      <c r="V665" s="60"/>
      <c r="W665" s="60"/>
    </row>
    <row r="666" spans="1:23" ht="13" x14ac:dyDescent="0.3">
      <c r="A666" s="58"/>
      <c r="B666" s="58"/>
      <c r="C666" s="58"/>
      <c r="D666" s="58"/>
      <c r="E666" s="58"/>
      <c r="F666" s="58"/>
      <c r="G666" s="58"/>
      <c r="H666" s="59"/>
      <c r="I666" s="59"/>
      <c r="J666" s="59"/>
      <c r="K666" s="59"/>
      <c r="L666" s="59"/>
      <c r="M666" s="60"/>
      <c r="N666" s="60"/>
      <c r="O666" s="60"/>
      <c r="P666" s="59"/>
      <c r="Q666" s="59"/>
      <c r="R666" s="60"/>
      <c r="S666" s="60"/>
      <c r="T666" s="60"/>
      <c r="U666" s="60"/>
      <c r="V666" s="60"/>
      <c r="W666" s="60"/>
    </row>
    <row r="667" spans="1:23" ht="13" x14ac:dyDescent="0.3">
      <c r="A667" s="58"/>
      <c r="B667" s="58"/>
      <c r="C667" s="58"/>
      <c r="D667" s="58"/>
      <c r="E667" s="58"/>
      <c r="F667" s="58"/>
      <c r="G667" s="58"/>
      <c r="H667" s="59"/>
      <c r="I667" s="59"/>
      <c r="J667" s="59"/>
      <c r="K667" s="59"/>
      <c r="L667" s="59"/>
      <c r="M667" s="60"/>
      <c r="N667" s="60"/>
      <c r="O667" s="60"/>
      <c r="P667" s="59"/>
      <c r="Q667" s="59"/>
      <c r="R667" s="60"/>
      <c r="S667" s="60"/>
      <c r="T667" s="60"/>
      <c r="U667" s="60"/>
      <c r="V667" s="60"/>
      <c r="W667" s="60"/>
    </row>
    <row r="668" spans="1:23" ht="13" x14ac:dyDescent="0.3">
      <c r="A668" s="58"/>
      <c r="B668" s="58"/>
      <c r="C668" s="58"/>
      <c r="D668" s="58"/>
      <c r="E668" s="58"/>
      <c r="F668" s="58"/>
      <c r="G668" s="58"/>
      <c r="H668" s="59"/>
      <c r="I668" s="59"/>
      <c r="J668" s="59"/>
      <c r="K668" s="59"/>
      <c r="L668" s="59"/>
      <c r="M668" s="60"/>
      <c r="N668" s="60"/>
      <c r="O668" s="60"/>
      <c r="P668" s="59"/>
      <c r="Q668" s="59"/>
      <c r="R668" s="60"/>
      <c r="S668" s="60"/>
      <c r="T668" s="60"/>
      <c r="U668" s="60"/>
      <c r="V668" s="60"/>
      <c r="W668" s="60"/>
    </row>
    <row r="669" spans="1:23" ht="13" x14ac:dyDescent="0.3">
      <c r="A669" s="58"/>
      <c r="B669" s="58"/>
      <c r="C669" s="58"/>
      <c r="D669" s="58"/>
      <c r="E669" s="58"/>
      <c r="F669" s="58"/>
      <c r="G669" s="58"/>
      <c r="H669" s="59"/>
      <c r="I669" s="59"/>
      <c r="J669" s="59"/>
      <c r="K669" s="59"/>
      <c r="L669" s="59"/>
      <c r="M669" s="60"/>
      <c r="N669" s="60"/>
      <c r="O669" s="60"/>
      <c r="P669" s="59"/>
      <c r="Q669" s="59"/>
      <c r="R669" s="60"/>
      <c r="S669" s="60"/>
      <c r="T669" s="60"/>
      <c r="U669" s="60"/>
      <c r="V669" s="60"/>
      <c r="W669" s="60"/>
    </row>
    <row r="670" spans="1:23" ht="13" x14ac:dyDescent="0.3">
      <c r="A670" s="58"/>
      <c r="B670" s="58"/>
      <c r="C670" s="58"/>
      <c r="D670" s="58"/>
      <c r="E670" s="58"/>
      <c r="F670" s="58"/>
      <c r="G670" s="58"/>
      <c r="H670" s="59"/>
      <c r="I670" s="59"/>
      <c r="J670" s="59"/>
      <c r="K670" s="59"/>
      <c r="L670" s="59"/>
      <c r="M670" s="60"/>
      <c r="N670" s="60"/>
      <c r="O670" s="60"/>
      <c r="P670" s="59"/>
      <c r="Q670" s="59"/>
      <c r="R670" s="60"/>
      <c r="S670" s="60"/>
      <c r="T670" s="60"/>
      <c r="U670" s="60"/>
      <c r="V670" s="60"/>
      <c r="W670" s="60"/>
    </row>
    <row r="671" spans="1:23" ht="13" x14ac:dyDescent="0.3">
      <c r="A671" s="58"/>
      <c r="B671" s="58"/>
      <c r="C671" s="58"/>
      <c r="D671" s="58"/>
      <c r="E671" s="58"/>
      <c r="F671" s="58"/>
      <c r="G671" s="58"/>
      <c r="H671" s="59"/>
      <c r="I671" s="59"/>
      <c r="J671" s="59"/>
      <c r="K671" s="59"/>
      <c r="L671" s="59"/>
      <c r="M671" s="60"/>
      <c r="N671" s="60"/>
      <c r="O671" s="60"/>
      <c r="P671" s="59"/>
      <c r="Q671" s="59"/>
      <c r="R671" s="60"/>
      <c r="S671" s="60"/>
      <c r="T671" s="60"/>
      <c r="U671" s="60"/>
      <c r="V671" s="60"/>
      <c r="W671" s="60"/>
    </row>
    <row r="672" spans="1:23" ht="13" x14ac:dyDescent="0.3">
      <c r="A672" s="58"/>
      <c r="B672" s="58"/>
      <c r="C672" s="58"/>
      <c r="D672" s="58"/>
      <c r="E672" s="58"/>
      <c r="F672" s="58"/>
      <c r="G672" s="58"/>
      <c r="H672" s="59"/>
      <c r="I672" s="59"/>
      <c r="J672" s="59"/>
      <c r="K672" s="59"/>
      <c r="L672" s="59"/>
      <c r="M672" s="60"/>
      <c r="N672" s="60"/>
      <c r="O672" s="60"/>
      <c r="P672" s="59"/>
      <c r="Q672" s="59"/>
      <c r="R672" s="60"/>
      <c r="S672" s="60"/>
      <c r="T672" s="60"/>
      <c r="U672" s="60"/>
      <c r="V672" s="60"/>
      <c r="W672" s="60"/>
    </row>
    <row r="673" spans="1:23" ht="13" x14ac:dyDescent="0.3">
      <c r="A673" s="58"/>
      <c r="B673" s="58"/>
      <c r="C673" s="58"/>
      <c r="D673" s="58"/>
      <c r="E673" s="58"/>
      <c r="F673" s="58"/>
      <c r="G673" s="58"/>
      <c r="H673" s="59"/>
      <c r="I673" s="59"/>
      <c r="J673" s="59"/>
      <c r="K673" s="59"/>
      <c r="L673" s="59"/>
      <c r="M673" s="60"/>
      <c r="N673" s="60"/>
      <c r="O673" s="60"/>
      <c r="P673" s="59"/>
      <c r="Q673" s="59"/>
      <c r="R673" s="60"/>
      <c r="S673" s="60"/>
      <c r="T673" s="60"/>
      <c r="U673" s="60"/>
      <c r="V673" s="60"/>
      <c r="W673" s="60"/>
    </row>
    <row r="674" spans="1:23" ht="13" x14ac:dyDescent="0.3">
      <c r="A674" s="58"/>
      <c r="B674" s="58"/>
      <c r="C674" s="58"/>
      <c r="D674" s="58"/>
      <c r="E674" s="58"/>
      <c r="F674" s="58"/>
      <c r="G674" s="58"/>
      <c r="H674" s="59"/>
      <c r="I674" s="59"/>
      <c r="J674" s="59"/>
      <c r="K674" s="59"/>
      <c r="L674" s="59"/>
      <c r="M674" s="60"/>
      <c r="N674" s="60"/>
      <c r="O674" s="60"/>
      <c r="P674" s="59"/>
      <c r="Q674" s="59"/>
      <c r="R674" s="60"/>
      <c r="S674" s="60"/>
      <c r="T674" s="60"/>
      <c r="U674" s="60"/>
      <c r="V674" s="60"/>
      <c r="W674" s="60"/>
    </row>
    <row r="675" spans="1:23" ht="13" x14ac:dyDescent="0.3">
      <c r="A675" s="58"/>
      <c r="B675" s="58"/>
      <c r="C675" s="58"/>
      <c r="D675" s="58"/>
      <c r="E675" s="58"/>
      <c r="F675" s="58"/>
      <c r="G675" s="58"/>
      <c r="H675" s="59"/>
      <c r="I675" s="59"/>
      <c r="J675" s="59"/>
      <c r="K675" s="59"/>
      <c r="L675" s="59"/>
      <c r="M675" s="60"/>
      <c r="N675" s="60"/>
      <c r="O675" s="60"/>
      <c r="P675" s="59"/>
      <c r="Q675" s="59"/>
      <c r="R675" s="60"/>
      <c r="S675" s="60"/>
      <c r="T675" s="60"/>
      <c r="U675" s="60"/>
      <c r="V675" s="60"/>
      <c r="W675" s="60"/>
    </row>
    <row r="676" spans="1:23" ht="13" x14ac:dyDescent="0.3">
      <c r="A676" s="58"/>
      <c r="B676" s="58"/>
      <c r="C676" s="58"/>
      <c r="D676" s="58"/>
      <c r="E676" s="58"/>
      <c r="F676" s="58"/>
      <c r="G676" s="58"/>
      <c r="H676" s="59"/>
      <c r="I676" s="59"/>
      <c r="J676" s="59"/>
      <c r="K676" s="59"/>
      <c r="L676" s="59"/>
      <c r="M676" s="60"/>
      <c r="N676" s="60"/>
      <c r="O676" s="60"/>
      <c r="P676" s="59"/>
      <c r="Q676" s="59"/>
      <c r="R676" s="60"/>
      <c r="S676" s="60"/>
      <c r="T676" s="60"/>
      <c r="U676" s="60"/>
      <c r="V676" s="60"/>
      <c r="W676" s="60"/>
    </row>
    <row r="677" spans="1:23" ht="13" x14ac:dyDescent="0.3">
      <c r="A677" s="58"/>
      <c r="B677" s="58"/>
      <c r="C677" s="58"/>
      <c r="D677" s="58"/>
      <c r="E677" s="58"/>
      <c r="F677" s="58"/>
      <c r="G677" s="58"/>
      <c r="H677" s="59"/>
      <c r="I677" s="59"/>
      <c r="J677" s="59"/>
      <c r="K677" s="59"/>
      <c r="L677" s="59"/>
      <c r="M677" s="60"/>
      <c r="N677" s="60"/>
      <c r="O677" s="60"/>
      <c r="P677" s="59"/>
      <c r="Q677" s="59"/>
      <c r="R677" s="60"/>
      <c r="S677" s="60"/>
      <c r="T677" s="60"/>
      <c r="U677" s="60"/>
      <c r="V677" s="60"/>
      <c r="W677" s="60"/>
    </row>
    <row r="678" spans="1:23" ht="13" x14ac:dyDescent="0.3">
      <c r="A678" s="58"/>
      <c r="B678" s="58"/>
      <c r="C678" s="58"/>
      <c r="D678" s="58"/>
      <c r="E678" s="58"/>
      <c r="F678" s="58"/>
      <c r="G678" s="58"/>
      <c r="H678" s="59"/>
      <c r="I678" s="59"/>
      <c r="J678" s="59"/>
      <c r="K678" s="59"/>
      <c r="L678" s="59"/>
      <c r="M678" s="60"/>
      <c r="N678" s="60"/>
      <c r="O678" s="60"/>
      <c r="P678" s="59"/>
      <c r="Q678" s="59"/>
      <c r="R678" s="60"/>
      <c r="S678" s="60"/>
      <c r="T678" s="60"/>
      <c r="U678" s="60"/>
      <c r="V678" s="60"/>
      <c r="W678" s="60"/>
    </row>
    <row r="679" spans="1:23" ht="13" x14ac:dyDescent="0.3">
      <c r="A679" s="58"/>
      <c r="B679" s="58"/>
      <c r="C679" s="58"/>
      <c r="D679" s="58"/>
      <c r="E679" s="58"/>
      <c r="F679" s="58"/>
      <c r="G679" s="58"/>
      <c r="H679" s="59"/>
      <c r="I679" s="59"/>
      <c r="J679" s="59"/>
      <c r="K679" s="59"/>
      <c r="L679" s="59"/>
      <c r="M679" s="60"/>
      <c r="N679" s="60"/>
      <c r="O679" s="60"/>
      <c r="P679" s="59"/>
      <c r="Q679" s="59"/>
      <c r="R679" s="60"/>
      <c r="S679" s="60"/>
      <c r="T679" s="60"/>
      <c r="U679" s="60"/>
      <c r="V679" s="60"/>
      <c r="W679" s="60"/>
    </row>
    <row r="680" spans="1:23" ht="13" x14ac:dyDescent="0.3">
      <c r="A680" s="58"/>
      <c r="B680" s="58"/>
      <c r="C680" s="58"/>
      <c r="D680" s="58"/>
      <c r="E680" s="58"/>
      <c r="F680" s="58"/>
      <c r="G680" s="58"/>
      <c r="H680" s="59"/>
      <c r="I680" s="59"/>
      <c r="J680" s="59"/>
      <c r="K680" s="59"/>
      <c r="L680" s="59"/>
      <c r="M680" s="60"/>
      <c r="N680" s="60"/>
      <c r="O680" s="60"/>
      <c r="P680" s="59"/>
      <c r="Q680" s="59"/>
      <c r="R680" s="60"/>
      <c r="S680" s="60"/>
      <c r="T680" s="60"/>
      <c r="U680" s="60"/>
      <c r="V680" s="60"/>
      <c r="W680" s="60"/>
    </row>
    <row r="681" spans="1:23" ht="13" x14ac:dyDescent="0.3">
      <c r="A681" s="58"/>
      <c r="B681" s="58"/>
      <c r="C681" s="58"/>
      <c r="D681" s="58"/>
      <c r="E681" s="58"/>
      <c r="F681" s="58"/>
      <c r="G681" s="58"/>
      <c r="H681" s="59"/>
      <c r="I681" s="59"/>
      <c r="J681" s="59"/>
      <c r="K681" s="59"/>
      <c r="L681" s="59"/>
      <c r="M681" s="60"/>
      <c r="N681" s="60"/>
      <c r="O681" s="60"/>
      <c r="P681" s="59"/>
      <c r="Q681" s="59"/>
      <c r="R681" s="60"/>
      <c r="S681" s="60"/>
      <c r="T681" s="60"/>
      <c r="U681" s="60"/>
      <c r="V681" s="60"/>
      <c r="W681" s="60"/>
    </row>
    <row r="682" spans="1:23" ht="13" x14ac:dyDescent="0.3">
      <c r="A682" s="58"/>
      <c r="B682" s="58"/>
      <c r="C682" s="58"/>
      <c r="D682" s="58"/>
      <c r="E682" s="58"/>
      <c r="F682" s="58"/>
      <c r="G682" s="58"/>
      <c r="H682" s="59"/>
      <c r="I682" s="59"/>
      <c r="J682" s="59"/>
      <c r="K682" s="59"/>
      <c r="L682" s="59"/>
      <c r="M682" s="60"/>
      <c r="N682" s="60"/>
      <c r="O682" s="60"/>
      <c r="P682" s="59"/>
      <c r="Q682" s="59"/>
      <c r="R682" s="60"/>
      <c r="S682" s="60"/>
      <c r="T682" s="60"/>
      <c r="U682" s="60"/>
      <c r="V682" s="60"/>
      <c r="W682" s="60"/>
    </row>
    <row r="683" spans="1:23" ht="13" x14ac:dyDescent="0.3">
      <c r="A683" s="58"/>
      <c r="B683" s="58"/>
      <c r="C683" s="58"/>
      <c r="D683" s="58"/>
      <c r="E683" s="58"/>
      <c r="F683" s="58"/>
      <c r="G683" s="58"/>
      <c r="H683" s="59"/>
      <c r="I683" s="59"/>
      <c r="J683" s="59"/>
      <c r="K683" s="59"/>
      <c r="L683" s="59"/>
      <c r="M683" s="60"/>
      <c r="N683" s="60"/>
      <c r="O683" s="60"/>
      <c r="P683" s="59"/>
      <c r="Q683" s="59"/>
      <c r="R683" s="60"/>
      <c r="S683" s="60"/>
      <c r="T683" s="60"/>
      <c r="U683" s="60"/>
      <c r="V683" s="60"/>
      <c r="W683" s="60"/>
    </row>
    <row r="684" spans="1:23" ht="13" x14ac:dyDescent="0.3">
      <c r="A684" s="58"/>
      <c r="B684" s="58"/>
      <c r="C684" s="58"/>
      <c r="D684" s="58"/>
      <c r="E684" s="58"/>
      <c r="F684" s="58"/>
      <c r="G684" s="58"/>
      <c r="H684" s="59"/>
      <c r="I684" s="59"/>
      <c r="J684" s="59"/>
      <c r="K684" s="59"/>
      <c r="L684" s="59"/>
      <c r="M684" s="60"/>
      <c r="N684" s="60"/>
      <c r="O684" s="60"/>
      <c r="P684" s="59"/>
      <c r="Q684" s="59"/>
      <c r="R684" s="60"/>
      <c r="S684" s="60"/>
      <c r="T684" s="60"/>
      <c r="U684" s="60"/>
      <c r="V684" s="60"/>
      <c r="W684" s="60"/>
    </row>
    <row r="685" spans="1:23" ht="13" x14ac:dyDescent="0.3">
      <c r="A685" s="58"/>
      <c r="B685" s="58"/>
      <c r="C685" s="58"/>
      <c r="D685" s="58"/>
      <c r="E685" s="58"/>
      <c r="F685" s="58"/>
      <c r="G685" s="58"/>
      <c r="H685" s="59"/>
      <c r="I685" s="59"/>
      <c r="J685" s="59"/>
      <c r="K685" s="59"/>
      <c r="L685" s="59"/>
      <c r="M685" s="60"/>
      <c r="N685" s="60"/>
      <c r="O685" s="60"/>
      <c r="P685" s="59"/>
      <c r="Q685" s="59"/>
      <c r="R685" s="60"/>
      <c r="S685" s="60"/>
      <c r="T685" s="60"/>
      <c r="U685" s="60"/>
      <c r="V685" s="60"/>
      <c r="W685" s="60"/>
    </row>
    <row r="686" spans="1:23" ht="13" x14ac:dyDescent="0.3">
      <c r="A686" s="58"/>
      <c r="B686" s="58"/>
      <c r="C686" s="58"/>
      <c r="D686" s="58"/>
      <c r="E686" s="58"/>
      <c r="F686" s="58"/>
      <c r="G686" s="58"/>
      <c r="H686" s="59"/>
      <c r="I686" s="59"/>
      <c r="J686" s="59"/>
      <c r="K686" s="59"/>
      <c r="L686" s="59"/>
      <c r="M686" s="60"/>
      <c r="N686" s="60"/>
      <c r="O686" s="60"/>
      <c r="P686" s="59"/>
      <c r="Q686" s="59"/>
      <c r="R686" s="60"/>
      <c r="S686" s="60"/>
      <c r="T686" s="60"/>
      <c r="U686" s="60"/>
      <c r="V686" s="60"/>
      <c r="W686" s="60"/>
    </row>
    <row r="687" spans="1:23" ht="13" x14ac:dyDescent="0.3">
      <c r="A687" s="58"/>
      <c r="B687" s="58"/>
      <c r="C687" s="58"/>
      <c r="D687" s="58"/>
      <c r="E687" s="58"/>
      <c r="F687" s="58"/>
      <c r="G687" s="58"/>
      <c r="H687" s="59"/>
      <c r="I687" s="59"/>
      <c r="J687" s="59"/>
      <c r="K687" s="59"/>
      <c r="L687" s="59"/>
      <c r="M687" s="60"/>
      <c r="N687" s="60"/>
      <c r="O687" s="60"/>
      <c r="P687" s="59"/>
      <c r="Q687" s="59"/>
      <c r="R687" s="60"/>
      <c r="S687" s="60"/>
      <c r="T687" s="60"/>
      <c r="U687" s="60"/>
      <c r="V687" s="60"/>
      <c r="W687" s="60"/>
    </row>
    <row r="688" spans="1:23" ht="13" x14ac:dyDescent="0.3">
      <c r="A688" s="58"/>
      <c r="B688" s="58"/>
      <c r="C688" s="58"/>
      <c r="D688" s="58"/>
      <c r="E688" s="58"/>
      <c r="F688" s="58"/>
      <c r="G688" s="58"/>
      <c r="H688" s="59"/>
      <c r="I688" s="59"/>
      <c r="J688" s="59"/>
      <c r="K688" s="59"/>
      <c r="L688" s="59"/>
      <c r="M688" s="60"/>
      <c r="N688" s="60"/>
      <c r="O688" s="60"/>
      <c r="P688" s="59"/>
      <c r="Q688" s="59"/>
      <c r="R688" s="60"/>
      <c r="S688" s="60"/>
      <c r="T688" s="60"/>
      <c r="U688" s="60"/>
      <c r="V688" s="60"/>
      <c r="W688" s="60"/>
    </row>
    <row r="689" spans="1:23" ht="13" x14ac:dyDescent="0.3">
      <c r="A689" s="58"/>
      <c r="B689" s="58"/>
      <c r="C689" s="58"/>
      <c r="D689" s="58"/>
      <c r="E689" s="58"/>
      <c r="F689" s="58"/>
      <c r="G689" s="58"/>
      <c r="H689" s="59"/>
      <c r="I689" s="59"/>
      <c r="J689" s="59"/>
      <c r="K689" s="59"/>
      <c r="L689" s="59"/>
      <c r="M689" s="60"/>
      <c r="N689" s="60"/>
      <c r="O689" s="60"/>
      <c r="P689" s="59"/>
      <c r="Q689" s="59"/>
      <c r="R689" s="60"/>
      <c r="S689" s="60"/>
      <c r="T689" s="60"/>
      <c r="U689" s="60"/>
      <c r="V689" s="60"/>
      <c r="W689" s="60"/>
    </row>
    <row r="690" spans="1:23" ht="13" x14ac:dyDescent="0.3">
      <c r="A690" s="58"/>
      <c r="B690" s="58"/>
      <c r="C690" s="58"/>
      <c r="D690" s="58"/>
      <c r="E690" s="58"/>
      <c r="F690" s="58"/>
      <c r="G690" s="58"/>
      <c r="H690" s="59"/>
      <c r="I690" s="59"/>
      <c r="J690" s="59"/>
      <c r="K690" s="59"/>
      <c r="L690" s="59"/>
      <c r="M690" s="60"/>
      <c r="N690" s="60"/>
      <c r="O690" s="60"/>
      <c r="P690" s="59"/>
      <c r="Q690" s="59"/>
      <c r="R690" s="60"/>
      <c r="S690" s="60"/>
      <c r="T690" s="60"/>
      <c r="U690" s="60"/>
      <c r="V690" s="60"/>
      <c r="W690" s="60"/>
    </row>
    <row r="691" spans="1:23" ht="13" x14ac:dyDescent="0.3">
      <c r="A691" s="58"/>
      <c r="B691" s="58"/>
      <c r="C691" s="58"/>
      <c r="D691" s="58"/>
      <c r="E691" s="58"/>
      <c r="F691" s="58"/>
      <c r="G691" s="58"/>
      <c r="H691" s="59"/>
      <c r="I691" s="59"/>
      <c r="J691" s="59"/>
      <c r="K691" s="59"/>
      <c r="L691" s="59"/>
      <c r="M691" s="60"/>
      <c r="N691" s="60"/>
      <c r="O691" s="60"/>
      <c r="P691" s="59"/>
      <c r="Q691" s="59"/>
      <c r="R691" s="60"/>
      <c r="S691" s="60"/>
      <c r="T691" s="60"/>
      <c r="U691" s="60"/>
      <c r="V691" s="60"/>
      <c r="W691" s="60"/>
    </row>
    <row r="692" spans="1:23" ht="13" x14ac:dyDescent="0.3">
      <c r="A692" s="58"/>
      <c r="B692" s="58"/>
      <c r="C692" s="58"/>
      <c r="D692" s="58"/>
      <c r="E692" s="58"/>
      <c r="F692" s="58"/>
      <c r="G692" s="58"/>
      <c r="H692" s="59"/>
      <c r="I692" s="59"/>
      <c r="J692" s="59"/>
      <c r="K692" s="59"/>
      <c r="L692" s="59"/>
      <c r="M692" s="60"/>
      <c r="N692" s="60"/>
      <c r="O692" s="60"/>
      <c r="P692" s="59"/>
      <c r="Q692" s="59"/>
      <c r="R692" s="60"/>
      <c r="S692" s="60"/>
      <c r="T692" s="60"/>
      <c r="U692" s="60"/>
      <c r="V692" s="60"/>
      <c r="W692" s="60"/>
    </row>
    <row r="693" spans="1:23" ht="13" x14ac:dyDescent="0.3">
      <c r="A693" s="58"/>
      <c r="B693" s="58"/>
      <c r="C693" s="58"/>
      <c r="D693" s="58"/>
      <c r="E693" s="58"/>
      <c r="F693" s="58"/>
      <c r="G693" s="58"/>
      <c r="H693" s="59"/>
      <c r="I693" s="59"/>
      <c r="J693" s="59"/>
      <c r="K693" s="59"/>
      <c r="L693" s="59"/>
      <c r="M693" s="60"/>
      <c r="N693" s="60"/>
      <c r="O693" s="60"/>
      <c r="P693" s="59"/>
      <c r="Q693" s="59"/>
      <c r="R693" s="60"/>
      <c r="S693" s="60"/>
      <c r="T693" s="60"/>
      <c r="U693" s="60"/>
      <c r="V693" s="60"/>
      <c r="W693" s="60"/>
    </row>
    <row r="694" spans="1:23" ht="13" x14ac:dyDescent="0.3">
      <c r="A694" s="58"/>
      <c r="B694" s="58"/>
      <c r="C694" s="58"/>
      <c r="D694" s="58"/>
      <c r="E694" s="58"/>
      <c r="F694" s="58"/>
      <c r="G694" s="58"/>
      <c r="H694" s="59"/>
      <c r="I694" s="59"/>
      <c r="J694" s="59"/>
      <c r="K694" s="59"/>
      <c r="L694" s="59"/>
      <c r="M694" s="60"/>
      <c r="N694" s="60"/>
      <c r="O694" s="60"/>
      <c r="P694" s="59"/>
      <c r="Q694" s="59"/>
      <c r="R694" s="60"/>
      <c r="S694" s="60"/>
      <c r="T694" s="60"/>
      <c r="U694" s="60"/>
      <c r="V694" s="60"/>
      <c r="W694" s="60"/>
    </row>
    <row r="695" spans="1:23" ht="13" x14ac:dyDescent="0.3">
      <c r="A695" s="58"/>
      <c r="B695" s="58"/>
      <c r="C695" s="58"/>
      <c r="D695" s="58"/>
      <c r="E695" s="58"/>
      <c r="F695" s="58"/>
      <c r="G695" s="58"/>
      <c r="H695" s="59"/>
      <c r="I695" s="59"/>
      <c r="J695" s="59"/>
      <c r="K695" s="59"/>
      <c r="L695" s="59"/>
      <c r="M695" s="60"/>
      <c r="N695" s="60"/>
      <c r="O695" s="60"/>
      <c r="P695" s="59"/>
      <c r="Q695" s="59"/>
      <c r="R695" s="60"/>
      <c r="S695" s="60"/>
      <c r="T695" s="60"/>
      <c r="U695" s="60"/>
      <c r="V695" s="60"/>
      <c r="W695" s="60"/>
    </row>
    <row r="696" spans="1:23" ht="13" x14ac:dyDescent="0.3">
      <c r="A696" s="58"/>
      <c r="B696" s="58"/>
      <c r="C696" s="58"/>
      <c r="D696" s="58"/>
      <c r="E696" s="58"/>
      <c r="F696" s="58"/>
      <c r="G696" s="58"/>
      <c r="H696" s="59"/>
      <c r="I696" s="59"/>
      <c r="J696" s="59"/>
      <c r="K696" s="59"/>
      <c r="L696" s="59"/>
      <c r="M696" s="60"/>
      <c r="N696" s="60"/>
      <c r="O696" s="60"/>
      <c r="P696" s="59"/>
      <c r="Q696" s="59"/>
      <c r="R696" s="60"/>
      <c r="S696" s="60"/>
      <c r="T696" s="60"/>
      <c r="U696" s="60"/>
      <c r="V696" s="60"/>
      <c r="W696" s="60"/>
    </row>
    <row r="697" spans="1:23" ht="13" x14ac:dyDescent="0.3">
      <c r="A697" s="58"/>
      <c r="B697" s="58"/>
      <c r="C697" s="58"/>
      <c r="D697" s="58"/>
      <c r="E697" s="58"/>
      <c r="F697" s="58"/>
      <c r="G697" s="58"/>
      <c r="H697" s="59"/>
      <c r="I697" s="59"/>
      <c r="J697" s="59"/>
      <c r="K697" s="59"/>
      <c r="L697" s="59"/>
      <c r="M697" s="60"/>
      <c r="N697" s="60"/>
      <c r="O697" s="60"/>
      <c r="P697" s="59"/>
      <c r="Q697" s="59"/>
      <c r="R697" s="60"/>
      <c r="S697" s="60"/>
      <c r="T697" s="60"/>
      <c r="U697" s="60"/>
      <c r="V697" s="60"/>
      <c r="W697" s="60"/>
    </row>
    <row r="698" spans="1:23" ht="13" x14ac:dyDescent="0.3">
      <c r="A698" s="58"/>
      <c r="B698" s="58"/>
      <c r="C698" s="58"/>
      <c r="D698" s="58"/>
      <c r="E698" s="58"/>
      <c r="F698" s="58"/>
      <c r="G698" s="58"/>
      <c r="H698" s="59"/>
      <c r="I698" s="59"/>
      <c r="J698" s="59"/>
      <c r="K698" s="59"/>
      <c r="L698" s="59"/>
      <c r="M698" s="60"/>
      <c r="N698" s="60"/>
      <c r="O698" s="60"/>
      <c r="P698" s="59"/>
      <c r="Q698" s="59"/>
      <c r="R698" s="60"/>
      <c r="S698" s="60"/>
      <c r="T698" s="60"/>
      <c r="U698" s="60"/>
      <c r="V698" s="60"/>
      <c r="W698" s="60"/>
    </row>
    <row r="699" spans="1:23" ht="13" x14ac:dyDescent="0.3">
      <c r="A699" s="58"/>
      <c r="B699" s="58"/>
      <c r="C699" s="58"/>
      <c r="D699" s="58"/>
      <c r="E699" s="58"/>
      <c r="F699" s="58"/>
      <c r="G699" s="58"/>
      <c r="H699" s="59"/>
      <c r="I699" s="59"/>
      <c r="J699" s="59"/>
      <c r="K699" s="59"/>
      <c r="L699" s="59"/>
      <c r="M699" s="60"/>
      <c r="N699" s="60"/>
      <c r="O699" s="60"/>
      <c r="P699" s="59"/>
      <c r="Q699" s="59"/>
      <c r="R699" s="60"/>
      <c r="S699" s="60"/>
      <c r="T699" s="60"/>
      <c r="U699" s="60"/>
      <c r="V699" s="60"/>
      <c r="W699" s="60"/>
    </row>
    <row r="700" spans="1:23" ht="13" x14ac:dyDescent="0.3">
      <c r="A700" s="58"/>
      <c r="B700" s="58"/>
      <c r="C700" s="58"/>
      <c r="D700" s="58"/>
      <c r="E700" s="58"/>
      <c r="F700" s="58"/>
      <c r="G700" s="58"/>
      <c r="H700" s="59"/>
      <c r="I700" s="59"/>
      <c r="J700" s="59"/>
      <c r="K700" s="59"/>
      <c r="L700" s="59"/>
      <c r="M700" s="60"/>
      <c r="N700" s="60"/>
      <c r="O700" s="60"/>
      <c r="P700" s="59"/>
      <c r="Q700" s="59"/>
      <c r="R700" s="60"/>
      <c r="S700" s="60"/>
      <c r="T700" s="60"/>
      <c r="U700" s="60"/>
      <c r="V700" s="60"/>
      <c r="W700" s="60"/>
    </row>
    <row r="701" spans="1:23" ht="13" x14ac:dyDescent="0.3">
      <c r="A701" s="58"/>
      <c r="B701" s="58"/>
      <c r="C701" s="58"/>
      <c r="D701" s="58"/>
      <c r="E701" s="58"/>
      <c r="F701" s="58"/>
      <c r="G701" s="58"/>
      <c r="H701" s="59"/>
      <c r="I701" s="59"/>
      <c r="J701" s="59"/>
      <c r="K701" s="59"/>
      <c r="L701" s="59"/>
      <c r="M701" s="60"/>
      <c r="N701" s="60"/>
      <c r="O701" s="60"/>
      <c r="P701" s="59"/>
      <c r="Q701" s="59"/>
      <c r="R701" s="60"/>
      <c r="S701" s="60"/>
      <c r="T701" s="60"/>
      <c r="U701" s="60"/>
      <c r="V701" s="60"/>
      <c r="W701" s="60"/>
    </row>
    <row r="702" spans="1:23" ht="13" x14ac:dyDescent="0.3">
      <c r="A702" s="58"/>
      <c r="B702" s="58"/>
      <c r="C702" s="58"/>
      <c r="D702" s="58"/>
      <c r="E702" s="58"/>
      <c r="F702" s="58"/>
      <c r="G702" s="58"/>
      <c r="H702" s="59"/>
      <c r="I702" s="59"/>
      <c r="J702" s="59"/>
      <c r="K702" s="59"/>
      <c r="L702" s="59"/>
      <c r="M702" s="60"/>
      <c r="N702" s="60"/>
      <c r="O702" s="60"/>
      <c r="P702" s="59"/>
      <c r="Q702" s="59"/>
      <c r="R702" s="60"/>
      <c r="S702" s="60"/>
      <c r="T702" s="60"/>
      <c r="U702" s="60"/>
      <c r="V702" s="60"/>
      <c r="W702" s="60"/>
    </row>
    <row r="703" spans="1:23" ht="13" x14ac:dyDescent="0.3">
      <c r="A703" s="58"/>
      <c r="B703" s="58"/>
      <c r="C703" s="58"/>
      <c r="D703" s="58"/>
      <c r="E703" s="58"/>
      <c r="F703" s="58"/>
      <c r="G703" s="58"/>
      <c r="H703" s="59"/>
      <c r="I703" s="59"/>
      <c r="J703" s="59"/>
      <c r="K703" s="59"/>
      <c r="L703" s="59"/>
      <c r="M703" s="60"/>
      <c r="N703" s="60"/>
      <c r="O703" s="60"/>
      <c r="P703" s="59"/>
      <c r="Q703" s="59"/>
      <c r="R703" s="60"/>
      <c r="S703" s="60"/>
      <c r="T703" s="60"/>
      <c r="U703" s="60"/>
      <c r="V703" s="60"/>
      <c r="W703" s="60"/>
    </row>
    <row r="704" spans="1:23" ht="13" x14ac:dyDescent="0.3">
      <c r="A704" s="58"/>
      <c r="B704" s="58"/>
      <c r="C704" s="58"/>
      <c r="D704" s="58"/>
      <c r="E704" s="58"/>
      <c r="F704" s="58"/>
      <c r="G704" s="58"/>
      <c r="H704" s="59"/>
      <c r="I704" s="59"/>
      <c r="J704" s="59"/>
      <c r="K704" s="59"/>
      <c r="L704" s="59"/>
      <c r="M704" s="60"/>
      <c r="N704" s="60"/>
      <c r="O704" s="60"/>
      <c r="P704" s="59"/>
      <c r="Q704" s="59"/>
      <c r="R704" s="60"/>
      <c r="S704" s="60"/>
      <c r="T704" s="60"/>
      <c r="U704" s="60"/>
      <c r="V704" s="60"/>
      <c r="W704" s="60"/>
    </row>
    <row r="705" spans="1:23" ht="13" x14ac:dyDescent="0.3">
      <c r="A705" s="58"/>
      <c r="B705" s="58"/>
      <c r="C705" s="58"/>
      <c r="D705" s="58"/>
      <c r="E705" s="58"/>
      <c r="F705" s="58"/>
      <c r="G705" s="58"/>
      <c r="H705" s="59"/>
      <c r="I705" s="59"/>
      <c r="J705" s="59"/>
      <c r="K705" s="59"/>
      <c r="L705" s="59"/>
      <c r="M705" s="60"/>
      <c r="N705" s="60"/>
      <c r="O705" s="60"/>
      <c r="P705" s="59"/>
      <c r="Q705" s="59"/>
      <c r="R705" s="60"/>
      <c r="S705" s="60"/>
      <c r="T705" s="60"/>
      <c r="U705" s="60"/>
      <c r="V705" s="60"/>
      <c r="W705" s="60"/>
    </row>
    <row r="706" spans="1:23" ht="13" x14ac:dyDescent="0.3">
      <c r="A706" s="58"/>
      <c r="B706" s="58"/>
      <c r="C706" s="58"/>
      <c r="D706" s="58"/>
      <c r="E706" s="58"/>
      <c r="F706" s="58"/>
      <c r="G706" s="58"/>
      <c r="H706" s="59"/>
      <c r="I706" s="59"/>
      <c r="J706" s="59"/>
      <c r="K706" s="59"/>
      <c r="L706" s="59"/>
      <c r="M706" s="60"/>
      <c r="N706" s="60"/>
      <c r="O706" s="60"/>
      <c r="P706" s="59"/>
      <c r="Q706" s="59"/>
      <c r="R706" s="60"/>
      <c r="S706" s="60"/>
      <c r="T706" s="60"/>
      <c r="U706" s="60"/>
      <c r="V706" s="60"/>
      <c r="W706" s="60"/>
    </row>
    <row r="707" spans="1:23" ht="13" x14ac:dyDescent="0.3">
      <c r="A707" s="58"/>
      <c r="B707" s="58"/>
      <c r="C707" s="58"/>
      <c r="D707" s="58"/>
      <c r="E707" s="58"/>
      <c r="F707" s="58"/>
      <c r="G707" s="58"/>
      <c r="H707" s="59"/>
      <c r="I707" s="59"/>
      <c r="J707" s="59"/>
      <c r="K707" s="59"/>
      <c r="L707" s="59"/>
      <c r="M707" s="60"/>
      <c r="N707" s="60"/>
      <c r="O707" s="60"/>
      <c r="P707" s="59"/>
      <c r="Q707" s="59"/>
      <c r="R707" s="60"/>
      <c r="S707" s="60"/>
      <c r="T707" s="60"/>
      <c r="U707" s="60"/>
      <c r="V707" s="60"/>
      <c r="W707" s="60"/>
    </row>
    <row r="708" spans="1:23" ht="13" x14ac:dyDescent="0.3">
      <c r="A708" s="58"/>
      <c r="B708" s="58"/>
      <c r="C708" s="58"/>
      <c r="D708" s="58"/>
      <c r="E708" s="58"/>
      <c r="F708" s="58"/>
      <c r="G708" s="58"/>
      <c r="H708" s="59"/>
      <c r="I708" s="59"/>
      <c r="J708" s="59"/>
      <c r="K708" s="59"/>
      <c r="L708" s="59"/>
      <c r="M708" s="60"/>
      <c r="N708" s="60"/>
      <c r="O708" s="60"/>
      <c r="P708" s="59"/>
      <c r="Q708" s="59"/>
      <c r="R708" s="60"/>
      <c r="S708" s="60"/>
      <c r="T708" s="60"/>
      <c r="U708" s="60"/>
      <c r="V708" s="60"/>
      <c r="W708" s="60"/>
    </row>
    <row r="709" spans="1:23" ht="13" x14ac:dyDescent="0.3">
      <c r="A709" s="58"/>
      <c r="B709" s="58"/>
      <c r="C709" s="58"/>
      <c r="D709" s="58"/>
      <c r="E709" s="58"/>
      <c r="F709" s="58"/>
      <c r="G709" s="58"/>
      <c r="H709" s="59"/>
      <c r="I709" s="59"/>
      <c r="J709" s="59"/>
      <c r="K709" s="59"/>
      <c r="L709" s="59"/>
      <c r="M709" s="60"/>
      <c r="N709" s="60"/>
      <c r="O709" s="60"/>
      <c r="P709" s="59"/>
      <c r="Q709" s="59"/>
      <c r="R709" s="60"/>
      <c r="S709" s="60"/>
      <c r="T709" s="60"/>
      <c r="U709" s="60"/>
      <c r="V709" s="60"/>
      <c r="W709" s="60"/>
    </row>
    <row r="710" spans="1:23" ht="13" x14ac:dyDescent="0.3">
      <c r="A710" s="58"/>
      <c r="B710" s="58"/>
      <c r="C710" s="58"/>
      <c r="D710" s="58"/>
      <c r="E710" s="58"/>
      <c r="F710" s="58"/>
      <c r="G710" s="58"/>
      <c r="H710" s="59"/>
      <c r="I710" s="59"/>
      <c r="J710" s="59"/>
      <c r="K710" s="59"/>
      <c r="L710" s="59"/>
      <c r="M710" s="60"/>
      <c r="N710" s="60"/>
      <c r="O710" s="60"/>
      <c r="P710" s="59"/>
      <c r="Q710" s="59"/>
      <c r="R710" s="60"/>
      <c r="S710" s="60"/>
      <c r="T710" s="60"/>
      <c r="U710" s="60"/>
      <c r="V710" s="60"/>
      <c r="W710" s="60"/>
    </row>
    <row r="711" spans="1:23" ht="13" x14ac:dyDescent="0.3">
      <c r="A711" s="58"/>
      <c r="B711" s="58"/>
      <c r="C711" s="58"/>
      <c r="D711" s="58"/>
      <c r="E711" s="58"/>
      <c r="F711" s="58"/>
      <c r="G711" s="58"/>
      <c r="H711" s="59"/>
      <c r="I711" s="59"/>
      <c r="J711" s="59"/>
      <c r="K711" s="59"/>
      <c r="L711" s="59"/>
      <c r="M711" s="60"/>
      <c r="N711" s="60"/>
      <c r="O711" s="60"/>
      <c r="P711" s="59"/>
      <c r="Q711" s="59"/>
      <c r="R711" s="60"/>
      <c r="S711" s="60"/>
      <c r="T711" s="60"/>
      <c r="U711" s="60"/>
      <c r="V711" s="60"/>
      <c r="W711" s="60"/>
    </row>
    <row r="712" spans="1:23" ht="13" x14ac:dyDescent="0.3">
      <c r="A712" s="58"/>
      <c r="B712" s="58"/>
      <c r="C712" s="58"/>
      <c r="D712" s="58"/>
      <c r="E712" s="58"/>
      <c r="F712" s="58"/>
      <c r="G712" s="58"/>
      <c r="H712" s="59"/>
      <c r="I712" s="59"/>
      <c r="J712" s="59"/>
      <c r="K712" s="59"/>
      <c r="L712" s="59"/>
      <c r="M712" s="60"/>
      <c r="N712" s="60"/>
      <c r="O712" s="60"/>
      <c r="P712" s="59"/>
      <c r="Q712" s="59"/>
      <c r="R712" s="60"/>
      <c r="S712" s="60"/>
      <c r="T712" s="60"/>
      <c r="U712" s="60"/>
      <c r="V712" s="60"/>
      <c r="W712" s="60"/>
    </row>
    <row r="713" spans="1:23" ht="13" x14ac:dyDescent="0.3">
      <c r="A713" s="58"/>
      <c r="B713" s="58"/>
      <c r="C713" s="58"/>
      <c r="D713" s="58"/>
      <c r="E713" s="58"/>
      <c r="F713" s="58"/>
      <c r="G713" s="58"/>
      <c r="H713" s="59"/>
      <c r="I713" s="59"/>
      <c r="J713" s="59"/>
      <c r="K713" s="59"/>
      <c r="L713" s="59"/>
      <c r="M713" s="60"/>
      <c r="N713" s="60"/>
      <c r="O713" s="60"/>
      <c r="P713" s="59"/>
      <c r="Q713" s="59"/>
      <c r="R713" s="60"/>
      <c r="S713" s="60"/>
      <c r="T713" s="60"/>
      <c r="U713" s="60"/>
      <c r="V713" s="60"/>
      <c r="W713" s="60"/>
    </row>
    <row r="714" spans="1:23" ht="13" x14ac:dyDescent="0.3">
      <c r="A714" s="58"/>
      <c r="B714" s="58"/>
      <c r="C714" s="58"/>
      <c r="D714" s="58"/>
      <c r="E714" s="58"/>
      <c r="F714" s="58"/>
      <c r="G714" s="58"/>
      <c r="H714" s="59"/>
      <c r="I714" s="59"/>
      <c r="J714" s="59"/>
      <c r="K714" s="59"/>
      <c r="L714" s="59"/>
      <c r="M714" s="60"/>
      <c r="N714" s="60"/>
      <c r="O714" s="60"/>
      <c r="P714" s="59"/>
      <c r="Q714" s="59"/>
      <c r="R714" s="60"/>
      <c r="S714" s="60"/>
      <c r="T714" s="60"/>
      <c r="U714" s="60"/>
      <c r="V714" s="60"/>
      <c r="W714" s="60"/>
    </row>
    <row r="715" spans="1:23" ht="13" x14ac:dyDescent="0.3">
      <c r="A715" s="58"/>
      <c r="B715" s="58"/>
      <c r="C715" s="58"/>
      <c r="D715" s="58"/>
      <c r="E715" s="58"/>
      <c r="F715" s="58"/>
      <c r="G715" s="58"/>
      <c r="H715" s="59"/>
      <c r="I715" s="59"/>
      <c r="J715" s="59"/>
      <c r="K715" s="59"/>
      <c r="L715" s="59"/>
      <c r="M715" s="60"/>
      <c r="N715" s="60"/>
      <c r="O715" s="60"/>
      <c r="P715" s="59"/>
      <c r="Q715" s="59"/>
      <c r="R715" s="60"/>
      <c r="S715" s="60"/>
      <c r="T715" s="60"/>
      <c r="U715" s="60"/>
      <c r="V715" s="60"/>
      <c r="W715" s="60"/>
    </row>
    <row r="716" spans="1:23" ht="13" x14ac:dyDescent="0.3">
      <c r="A716" s="58"/>
      <c r="B716" s="58"/>
      <c r="C716" s="58"/>
      <c r="D716" s="58"/>
      <c r="E716" s="58"/>
      <c r="F716" s="58"/>
      <c r="G716" s="58"/>
      <c r="H716" s="59"/>
      <c r="I716" s="59"/>
      <c r="J716" s="59"/>
      <c r="K716" s="59"/>
      <c r="L716" s="59"/>
      <c r="M716" s="60"/>
      <c r="N716" s="60"/>
      <c r="O716" s="60"/>
      <c r="P716" s="59"/>
      <c r="Q716" s="59"/>
      <c r="R716" s="60"/>
      <c r="S716" s="60"/>
      <c r="T716" s="60"/>
      <c r="U716" s="60"/>
      <c r="V716" s="60"/>
      <c r="W716" s="60"/>
    </row>
    <row r="717" spans="1:23" ht="13" x14ac:dyDescent="0.3">
      <c r="A717" s="58"/>
      <c r="B717" s="58"/>
      <c r="C717" s="58"/>
      <c r="D717" s="58"/>
      <c r="E717" s="58"/>
      <c r="F717" s="58"/>
      <c r="G717" s="58"/>
      <c r="H717" s="59"/>
      <c r="I717" s="59"/>
      <c r="J717" s="59"/>
      <c r="K717" s="59"/>
      <c r="L717" s="59"/>
      <c r="M717" s="60"/>
      <c r="N717" s="60"/>
      <c r="O717" s="60"/>
      <c r="P717" s="59"/>
      <c r="Q717" s="59"/>
      <c r="R717" s="60"/>
      <c r="S717" s="60"/>
      <c r="T717" s="60"/>
      <c r="U717" s="60"/>
      <c r="V717" s="60"/>
      <c r="W717" s="60"/>
    </row>
    <row r="718" spans="1:23" ht="13" x14ac:dyDescent="0.3">
      <c r="A718" s="58"/>
      <c r="B718" s="58"/>
      <c r="C718" s="58"/>
      <c r="D718" s="58"/>
      <c r="E718" s="58"/>
      <c r="F718" s="58"/>
      <c r="G718" s="58"/>
      <c r="H718" s="59"/>
      <c r="I718" s="59"/>
      <c r="J718" s="59"/>
      <c r="K718" s="59"/>
      <c r="L718" s="59"/>
      <c r="M718" s="60"/>
      <c r="N718" s="60"/>
      <c r="O718" s="60"/>
      <c r="P718" s="59"/>
      <c r="Q718" s="59"/>
      <c r="R718" s="60"/>
      <c r="S718" s="60"/>
      <c r="T718" s="60"/>
      <c r="U718" s="60"/>
      <c r="V718" s="60"/>
      <c r="W718" s="60"/>
    </row>
    <row r="719" spans="1:23" ht="13" x14ac:dyDescent="0.3">
      <c r="A719" s="58"/>
      <c r="B719" s="58"/>
      <c r="C719" s="58"/>
      <c r="D719" s="58"/>
      <c r="E719" s="58"/>
      <c r="F719" s="58"/>
      <c r="G719" s="58"/>
      <c r="H719" s="59"/>
      <c r="I719" s="59"/>
      <c r="J719" s="59"/>
      <c r="K719" s="59"/>
      <c r="L719" s="59"/>
      <c r="M719" s="60"/>
      <c r="N719" s="60"/>
      <c r="O719" s="60"/>
      <c r="P719" s="59"/>
      <c r="Q719" s="59"/>
      <c r="R719" s="60"/>
      <c r="S719" s="60"/>
      <c r="T719" s="60"/>
      <c r="U719" s="60"/>
      <c r="V719" s="60"/>
      <c r="W719" s="60"/>
    </row>
    <row r="720" spans="1:23" ht="13" x14ac:dyDescent="0.3">
      <c r="A720" s="58"/>
      <c r="B720" s="58"/>
      <c r="C720" s="58"/>
      <c r="D720" s="58"/>
      <c r="E720" s="58"/>
      <c r="F720" s="58"/>
      <c r="G720" s="58"/>
      <c r="H720" s="59"/>
      <c r="I720" s="59"/>
      <c r="J720" s="59"/>
      <c r="K720" s="59"/>
      <c r="L720" s="59"/>
      <c r="M720" s="60"/>
      <c r="N720" s="60"/>
      <c r="O720" s="60"/>
      <c r="P720" s="59"/>
      <c r="Q720" s="59"/>
      <c r="R720" s="60"/>
      <c r="S720" s="60"/>
      <c r="T720" s="60"/>
      <c r="U720" s="60"/>
      <c r="V720" s="60"/>
      <c r="W720" s="60"/>
    </row>
    <row r="721" spans="1:23" ht="13" x14ac:dyDescent="0.3">
      <c r="A721" s="58"/>
      <c r="B721" s="58"/>
      <c r="C721" s="58"/>
      <c r="D721" s="58"/>
      <c r="E721" s="58"/>
      <c r="F721" s="58"/>
      <c r="G721" s="58"/>
      <c r="H721" s="59"/>
      <c r="I721" s="59"/>
      <c r="J721" s="59"/>
      <c r="K721" s="59"/>
      <c r="L721" s="59"/>
      <c r="M721" s="60"/>
      <c r="N721" s="60"/>
      <c r="O721" s="60"/>
      <c r="P721" s="59"/>
      <c r="Q721" s="59"/>
      <c r="R721" s="60"/>
      <c r="S721" s="60"/>
      <c r="T721" s="60"/>
      <c r="U721" s="60"/>
      <c r="V721" s="60"/>
      <c r="W721" s="60"/>
    </row>
    <row r="722" spans="1:23" ht="13" x14ac:dyDescent="0.3">
      <c r="A722" s="58"/>
      <c r="B722" s="58"/>
      <c r="C722" s="58"/>
      <c r="D722" s="58"/>
      <c r="E722" s="58"/>
      <c r="F722" s="58"/>
      <c r="G722" s="58"/>
      <c r="H722" s="59"/>
      <c r="I722" s="59"/>
      <c r="J722" s="59"/>
      <c r="K722" s="59"/>
      <c r="L722" s="59"/>
      <c r="M722" s="60"/>
      <c r="N722" s="60"/>
      <c r="O722" s="60"/>
      <c r="P722" s="59"/>
      <c r="Q722" s="59"/>
      <c r="R722" s="60"/>
      <c r="S722" s="60"/>
      <c r="T722" s="60"/>
      <c r="U722" s="60"/>
      <c r="V722" s="60"/>
      <c r="W722" s="60"/>
    </row>
    <row r="723" spans="1:23" ht="13" x14ac:dyDescent="0.3">
      <c r="A723" s="58"/>
      <c r="B723" s="58"/>
      <c r="C723" s="58"/>
      <c r="D723" s="58"/>
      <c r="E723" s="58"/>
      <c r="F723" s="58"/>
      <c r="G723" s="58"/>
      <c r="H723" s="59"/>
      <c r="I723" s="59"/>
      <c r="J723" s="59"/>
      <c r="K723" s="59"/>
      <c r="L723" s="59"/>
      <c r="M723" s="60"/>
      <c r="N723" s="60"/>
      <c r="O723" s="60"/>
      <c r="P723" s="59"/>
      <c r="Q723" s="59"/>
      <c r="R723" s="60"/>
      <c r="S723" s="60"/>
      <c r="T723" s="60"/>
      <c r="U723" s="60"/>
      <c r="V723" s="60"/>
      <c r="W723" s="60"/>
    </row>
    <row r="724" spans="1:23" ht="13" x14ac:dyDescent="0.3">
      <c r="A724" s="58"/>
      <c r="B724" s="58"/>
      <c r="C724" s="58"/>
      <c r="D724" s="58"/>
      <c r="E724" s="58"/>
      <c r="F724" s="58"/>
      <c r="G724" s="58"/>
      <c r="H724" s="59"/>
      <c r="I724" s="59"/>
      <c r="J724" s="59"/>
      <c r="K724" s="59"/>
      <c r="L724" s="59"/>
      <c r="M724" s="60"/>
      <c r="N724" s="60"/>
      <c r="O724" s="60"/>
      <c r="P724" s="59"/>
      <c r="Q724" s="59"/>
      <c r="R724" s="60"/>
      <c r="S724" s="60"/>
      <c r="T724" s="60"/>
      <c r="U724" s="60"/>
      <c r="V724" s="60"/>
      <c r="W724" s="60"/>
    </row>
    <row r="725" spans="1:23" ht="13" x14ac:dyDescent="0.3">
      <c r="A725" s="58"/>
      <c r="B725" s="58"/>
      <c r="C725" s="58"/>
      <c r="D725" s="58"/>
      <c r="E725" s="58"/>
      <c r="F725" s="58"/>
      <c r="G725" s="58"/>
      <c r="H725" s="59"/>
      <c r="I725" s="59"/>
      <c r="J725" s="59"/>
      <c r="K725" s="59"/>
      <c r="L725" s="59"/>
      <c r="M725" s="60"/>
      <c r="N725" s="60"/>
      <c r="O725" s="60"/>
      <c r="P725" s="59"/>
      <c r="Q725" s="59"/>
      <c r="R725" s="60"/>
      <c r="S725" s="60"/>
      <c r="T725" s="60"/>
      <c r="U725" s="60"/>
      <c r="V725" s="60"/>
      <c r="W725" s="60"/>
    </row>
    <row r="726" spans="1:23" ht="13" x14ac:dyDescent="0.3">
      <c r="A726" s="58"/>
      <c r="B726" s="58"/>
      <c r="C726" s="58"/>
      <c r="D726" s="58"/>
      <c r="E726" s="58"/>
      <c r="F726" s="58"/>
      <c r="G726" s="58"/>
      <c r="H726" s="59"/>
      <c r="I726" s="59"/>
      <c r="J726" s="59"/>
      <c r="K726" s="59"/>
      <c r="L726" s="59"/>
      <c r="M726" s="60"/>
      <c r="N726" s="60"/>
      <c r="O726" s="60"/>
      <c r="P726" s="59"/>
      <c r="Q726" s="59"/>
      <c r="R726" s="60"/>
      <c r="S726" s="60"/>
      <c r="T726" s="60"/>
      <c r="U726" s="60"/>
      <c r="V726" s="60"/>
      <c r="W726" s="60"/>
    </row>
    <row r="727" spans="1:23" ht="13" x14ac:dyDescent="0.3">
      <c r="A727" s="58"/>
      <c r="B727" s="58"/>
      <c r="C727" s="58"/>
      <c r="D727" s="58"/>
      <c r="E727" s="58"/>
      <c r="F727" s="58"/>
      <c r="G727" s="58"/>
      <c r="H727" s="59"/>
      <c r="I727" s="59"/>
      <c r="J727" s="59"/>
      <c r="K727" s="59"/>
      <c r="L727" s="59"/>
      <c r="M727" s="60"/>
      <c r="N727" s="60"/>
      <c r="O727" s="60"/>
      <c r="P727" s="59"/>
      <c r="Q727" s="59"/>
      <c r="R727" s="60"/>
      <c r="S727" s="60"/>
      <c r="T727" s="60"/>
      <c r="U727" s="60"/>
      <c r="V727" s="60"/>
      <c r="W727" s="60"/>
    </row>
    <row r="728" spans="1:23" ht="13" x14ac:dyDescent="0.3">
      <c r="A728" s="58"/>
      <c r="B728" s="58"/>
      <c r="C728" s="58"/>
      <c r="D728" s="58"/>
      <c r="E728" s="58"/>
      <c r="F728" s="58"/>
      <c r="G728" s="58"/>
      <c r="H728" s="59"/>
      <c r="I728" s="59"/>
      <c r="J728" s="59"/>
      <c r="K728" s="59"/>
      <c r="L728" s="59"/>
      <c r="M728" s="60"/>
      <c r="N728" s="60"/>
      <c r="O728" s="60"/>
      <c r="P728" s="59"/>
      <c r="Q728" s="59"/>
      <c r="R728" s="60"/>
      <c r="S728" s="60"/>
      <c r="T728" s="60"/>
      <c r="U728" s="60"/>
      <c r="V728" s="60"/>
      <c r="W728" s="60"/>
    </row>
    <row r="729" spans="1:23" ht="13" x14ac:dyDescent="0.3">
      <c r="A729" s="58"/>
      <c r="B729" s="58"/>
      <c r="C729" s="58"/>
      <c r="D729" s="58"/>
      <c r="E729" s="58"/>
      <c r="F729" s="58"/>
      <c r="G729" s="58"/>
      <c r="H729" s="59"/>
      <c r="I729" s="59"/>
      <c r="J729" s="59"/>
      <c r="K729" s="59"/>
      <c r="L729" s="59"/>
      <c r="M729" s="60"/>
      <c r="N729" s="60"/>
      <c r="O729" s="60"/>
      <c r="P729" s="59"/>
      <c r="Q729" s="59"/>
      <c r="R729" s="60"/>
      <c r="S729" s="60"/>
      <c r="T729" s="60"/>
      <c r="U729" s="60"/>
      <c r="V729" s="60"/>
      <c r="W729" s="60"/>
    </row>
    <row r="730" spans="1:23" ht="13" x14ac:dyDescent="0.3">
      <c r="A730" s="58"/>
      <c r="B730" s="58"/>
      <c r="C730" s="58"/>
      <c r="D730" s="58"/>
      <c r="E730" s="58"/>
      <c r="F730" s="58"/>
      <c r="G730" s="58"/>
      <c r="H730" s="59"/>
      <c r="I730" s="59"/>
      <c r="J730" s="59"/>
      <c r="K730" s="59"/>
      <c r="L730" s="59"/>
      <c r="M730" s="60"/>
      <c r="N730" s="60"/>
      <c r="O730" s="60"/>
      <c r="P730" s="59"/>
      <c r="Q730" s="59"/>
      <c r="R730" s="60"/>
      <c r="S730" s="60"/>
      <c r="T730" s="60"/>
      <c r="U730" s="60"/>
      <c r="V730" s="60"/>
      <c r="W730" s="60"/>
    </row>
    <row r="731" spans="1:23" ht="13" x14ac:dyDescent="0.3">
      <c r="A731" s="58"/>
      <c r="B731" s="58"/>
      <c r="C731" s="58"/>
      <c r="D731" s="58"/>
      <c r="E731" s="58"/>
      <c r="F731" s="58"/>
      <c r="G731" s="58"/>
      <c r="H731" s="59"/>
      <c r="I731" s="59"/>
      <c r="J731" s="59"/>
      <c r="K731" s="59"/>
      <c r="L731" s="59"/>
      <c r="M731" s="60"/>
      <c r="N731" s="60"/>
      <c r="O731" s="60"/>
      <c r="P731" s="59"/>
      <c r="Q731" s="59"/>
      <c r="R731" s="60"/>
      <c r="S731" s="60"/>
      <c r="T731" s="60"/>
      <c r="U731" s="60"/>
      <c r="V731" s="60"/>
      <c r="W731" s="60"/>
    </row>
    <row r="732" spans="1:23" ht="13" x14ac:dyDescent="0.3">
      <c r="A732" s="58"/>
      <c r="B732" s="58"/>
      <c r="C732" s="58"/>
      <c r="D732" s="58"/>
      <c r="E732" s="58"/>
      <c r="F732" s="58"/>
      <c r="G732" s="58"/>
      <c r="H732" s="59"/>
      <c r="I732" s="59"/>
      <c r="J732" s="59"/>
      <c r="K732" s="59"/>
      <c r="L732" s="59"/>
      <c r="M732" s="60"/>
      <c r="N732" s="60"/>
      <c r="O732" s="60"/>
      <c r="P732" s="59"/>
      <c r="Q732" s="59"/>
      <c r="R732" s="60"/>
      <c r="S732" s="60"/>
      <c r="T732" s="60"/>
      <c r="U732" s="60"/>
      <c r="V732" s="60"/>
      <c r="W732" s="60"/>
    </row>
    <row r="733" spans="1:23" ht="13" x14ac:dyDescent="0.3">
      <c r="A733" s="58"/>
      <c r="B733" s="58"/>
      <c r="C733" s="58"/>
      <c r="D733" s="58"/>
      <c r="E733" s="58"/>
      <c r="F733" s="58"/>
      <c r="G733" s="58"/>
      <c r="H733" s="59"/>
      <c r="I733" s="59"/>
      <c r="J733" s="59"/>
      <c r="K733" s="59"/>
      <c r="L733" s="59"/>
      <c r="M733" s="60"/>
      <c r="N733" s="60"/>
      <c r="O733" s="60"/>
      <c r="P733" s="59"/>
      <c r="Q733" s="59"/>
      <c r="R733" s="60"/>
      <c r="S733" s="60"/>
      <c r="T733" s="60"/>
      <c r="U733" s="60"/>
      <c r="V733" s="60"/>
      <c r="W733" s="60"/>
    </row>
    <row r="734" spans="1:23" ht="13" x14ac:dyDescent="0.3">
      <c r="A734" s="58"/>
      <c r="B734" s="58"/>
      <c r="C734" s="58"/>
      <c r="D734" s="58"/>
      <c r="E734" s="58"/>
      <c r="F734" s="58"/>
      <c r="G734" s="58"/>
      <c r="H734" s="59"/>
      <c r="I734" s="59"/>
      <c r="J734" s="59"/>
      <c r="K734" s="59"/>
      <c r="L734" s="59"/>
      <c r="M734" s="60"/>
      <c r="N734" s="60"/>
      <c r="O734" s="60"/>
      <c r="P734" s="59"/>
      <c r="Q734" s="59"/>
      <c r="R734" s="60"/>
      <c r="S734" s="60"/>
      <c r="T734" s="60"/>
      <c r="U734" s="60"/>
      <c r="V734" s="60"/>
      <c r="W734" s="60"/>
    </row>
    <row r="735" spans="1:23" ht="13" x14ac:dyDescent="0.3">
      <c r="A735" s="58"/>
      <c r="B735" s="58"/>
      <c r="C735" s="58"/>
      <c r="D735" s="58"/>
      <c r="E735" s="58"/>
      <c r="F735" s="58"/>
      <c r="G735" s="58"/>
      <c r="H735" s="59"/>
      <c r="I735" s="59"/>
      <c r="J735" s="59"/>
      <c r="K735" s="59"/>
      <c r="L735" s="59"/>
      <c r="M735" s="60"/>
      <c r="N735" s="60"/>
      <c r="O735" s="60"/>
      <c r="P735" s="59"/>
      <c r="Q735" s="59"/>
      <c r="R735" s="60"/>
      <c r="S735" s="60"/>
      <c r="T735" s="60"/>
      <c r="U735" s="60"/>
      <c r="V735" s="60"/>
      <c r="W735" s="60"/>
    </row>
    <row r="736" spans="1:23" ht="13" x14ac:dyDescent="0.3">
      <c r="A736" s="58"/>
      <c r="B736" s="58"/>
      <c r="C736" s="58"/>
      <c r="D736" s="58"/>
      <c r="E736" s="58"/>
      <c r="F736" s="58"/>
      <c r="G736" s="58"/>
      <c r="H736" s="59"/>
      <c r="I736" s="59"/>
      <c r="J736" s="59"/>
      <c r="K736" s="59"/>
      <c r="L736" s="59"/>
      <c r="M736" s="60"/>
      <c r="N736" s="60"/>
      <c r="O736" s="60"/>
      <c r="P736" s="59"/>
      <c r="Q736" s="59"/>
      <c r="R736" s="60"/>
      <c r="S736" s="60"/>
      <c r="T736" s="60"/>
      <c r="U736" s="60"/>
      <c r="V736" s="60"/>
      <c r="W736" s="60"/>
    </row>
    <row r="737" spans="1:23" ht="13" x14ac:dyDescent="0.3">
      <c r="A737" s="58"/>
      <c r="B737" s="58"/>
      <c r="C737" s="58"/>
      <c r="D737" s="58"/>
      <c r="E737" s="58"/>
      <c r="F737" s="58"/>
      <c r="G737" s="58"/>
      <c r="H737" s="59"/>
      <c r="I737" s="59"/>
      <c r="J737" s="59"/>
      <c r="K737" s="59"/>
      <c r="L737" s="59"/>
      <c r="M737" s="60"/>
      <c r="N737" s="60"/>
      <c r="O737" s="60"/>
      <c r="P737" s="59"/>
      <c r="Q737" s="59"/>
      <c r="R737" s="60"/>
      <c r="S737" s="60"/>
      <c r="T737" s="60"/>
      <c r="U737" s="60"/>
      <c r="V737" s="60"/>
      <c r="W737" s="60"/>
    </row>
    <row r="738" spans="1:23" ht="13" x14ac:dyDescent="0.3">
      <c r="A738" s="58"/>
      <c r="B738" s="58"/>
      <c r="C738" s="58"/>
      <c r="D738" s="58"/>
      <c r="E738" s="58"/>
      <c r="F738" s="58"/>
      <c r="G738" s="58"/>
      <c r="H738" s="59"/>
      <c r="I738" s="59"/>
      <c r="J738" s="59"/>
      <c r="K738" s="59"/>
      <c r="L738" s="59"/>
      <c r="M738" s="60"/>
      <c r="N738" s="60"/>
      <c r="O738" s="60"/>
      <c r="P738" s="59"/>
      <c r="Q738" s="59"/>
      <c r="R738" s="60"/>
      <c r="S738" s="60"/>
      <c r="T738" s="60"/>
      <c r="U738" s="60"/>
      <c r="V738" s="60"/>
      <c r="W738" s="60"/>
    </row>
    <row r="739" spans="1:23" ht="13" x14ac:dyDescent="0.3">
      <c r="A739" s="58"/>
      <c r="B739" s="58"/>
      <c r="C739" s="58"/>
      <c r="D739" s="58"/>
      <c r="E739" s="58"/>
      <c r="F739" s="58"/>
      <c r="G739" s="58"/>
      <c r="H739" s="59"/>
      <c r="I739" s="59"/>
      <c r="J739" s="59"/>
      <c r="K739" s="59"/>
      <c r="L739" s="59"/>
      <c r="M739" s="60"/>
      <c r="N739" s="60"/>
      <c r="O739" s="60"/>
      <c r="P739" s="59"/>
      <c r="Q739" s="59"/>
      <c r="R739" s="60"/>
      <c r="S739" s="60"/>
      <c r="T739" s="60"/>
      <c r="U739" s="60"/>
      <c r="V739" s="60"/>
      <c r="W739" s="60"/>
    </row>
    <row r="740" spans="1:23" ht="13" x14ac:dyDescent="0.3">
      <c r="A740" s="58"/>
      <c r="B740" s="58"/>
      <c r="C740" s="58"/>
      <c r="D740" s="58"/>
      <c r="E740" s="58"/>
      <c r="F740" s="58"/>
      <c r="G740" s="58"/>
      <c r="H740" s="59"/>
      <c r="I740" s="59"/>
      <c r="J740" s="59"/>
      <c r="K740" s="59"/>
      <c r="L740" s="59"/>
      <c r="M740" s="60"/>
      <c r="N740" s="60"/>
      <c r="O740" s="60"/>
      <c r="P740" s="59"/>
      <c r="Q740" s="59"/>
      <c r="R740" s="60"/>
      <c r="S740" s="60"/>
      <c r="T740" s="60"/>
      <c r="U740" s="60"/>
      <c r="V740" s="60"/>
      <c r="W740" s="60"/>
    </row>
    <row r="741" spans="1:23" ht="13" x14ac:dyDescent="0.3">
      <c r="A741" s="58"/>
      <c r="B741" s="58"/>
      <c r="C741" s="58"/>
      <c r="D741" s="58"/>
      <c r="E741" s="58"/>
      <c r="F741" s="58"/>
      <c r="G741" s="58"/>
      <c r="H741" s="59"/>
      <c r="I741" s="59"/>
      <c r="J741" s="59"/>
      <c r="K741" s="59"/>
      <c r="L741" s="59"/>
      <c r="M741" s="60"/>
      <c r="N741" s="60"/>
      <c r="O741" s="60"/>
      <c r="P741" s="59"/>
      <c r="Q741" s="59"/>
      <c r="R741" s="60"/>
      <c r="S741" s="60"/>
      <c r="T741" s="60"/>
      <c r="U741" s="60"/>
      <c r="V741" s="60"/>
      <c r="W741" s="60"/>
    </row>
    <row r="742" spans="1:23" ht="13" x14ac:dyDescent="0.3">
      <c r="A742" s="58"/>
      <c r="B742" s="58"/>
      <c r="C742" s="58"/>
      <c r="D742" s="58"/>
      <c r="E742" s="58"/>
      <c r="F742" s="58"/>
      <c r="G742" s="58"/>
      <c r="H742" s="59"/>
      <c r="I742" s="59"/>
      <c r="J742" s="59"/>
      <c r="K742" s="59"/>
      <c r="L742" s="59"/>
      <c r="M742" s="60"/>
      <c r="N742" s="60"/>
      <c r="O742" s="60"/>
      <c r="P742" s="59"/>
      <c r="Q742" s="59"/>
      <c r="R742" s="60"/>
      <c r="S742" s="60"/>
      <c r="T742" s="60"/>
      <c r="U742" s="60"/>
      <c r="V742" s="60"/>
      <c r="W742" s="60"/>
    </row>
    <row r="743" spans="1:23" ht="13" x14ac:dyDescent="0.3">
      <c r="A743" s="58"/>
      <c r="B743" s="58"/>
      <c r="C743" s="58"/>
      <c r="D743" s="58"/>
      <c r="E743" s="58"/>
      <c r="F743" s="58"/>
      <c r="G743" s="58"/>
      <c r="H743" s="59"/>
      <c r="I743" s="59"/>
      <c r="J743" s="59"/>
      <c r="K743" s="59"/>
      <c r="L743" s="59"/>
      <c r="M743" s="60"/>
      <c r="N743" s="60"/>
      <c r="O743" s="60"/>
      <c r="P743" s="59"/>
      <c r="Q743" s="59"/>
      <c r="R743" s="60"/>
      <c r="S743" s="60"/>
      <c r="T743" s="60"/>
      <c r="U743" s="60"/>
      <c r="V743" s="60"/>
      <c r="W743" s="60"/>
    </row>
    <row r="744" spans="1:23" ht="13" x14ac:dyDescent="0.3">
      <c r="A744" s="58"/>
      <c r="B744" s="58"/>
      <c r="C744" s="58"/>
      <c r="D744" s="58"/>
      <c r="E744" s="58"/>
      <c r="F744" s="58"/>
      <c r="G744" s="58"/>
      <c r="H744" s="59"/>
      <c r="I744" s="59"/>
      <c r="J744" s="59"/>
      <c r="K744" s="59"/>
      <c r="L744" s="59"/>
      <c r="M744" s="60"/>
      <c r="N744" s="60"/>
      <c r="O744" s="60"/>
      <c r="P744" s="59"/>
      <c r="Q744" s="59"/>
      <c r="R744" s="60"/>
      <c r="S744" s="60"/>
      <c r="T744" s="60"/>
      <c r="U744" s="60"/>
      <c r="V744" s="60"/>
      <c r="W744" s="60"/>
    </row>
    <row r="745" spans="1:23" ht="13" x14ac:dyDescent="0.3">
      <c r="A745" s="58"/>
      <c r="B745" s="58"/>
      <c r="C745" s="58"/>
      <c r="D745" s="58"/>
      <c r="E745" s="58"/>
      <c r="F745" s="58"/>
      <c r="G745" s="58"/>
      <c r="H745" s="59"/>
      <c r="I745" s="59"/>
      <c r="J745" s="59"/>
      <c r="K745" s="59"/>
      <c r="L745" s="59"/>
      <c r="M745" s="60"/>
      <c r="N745" s="60"/>
      <c r="O745" s="60"/>
      <c r="P745" s="59"/>
      <c r="Q745" s="59"/>
      <c r="R745" s="60"/>
      <c r="S745" s="60"/>
      <c r="T745" s="60"/>
      <c r="U745" s="60"/>
      <c r="V745" s="60"/>
      <c r="W745" s="60"/>
    </row>
    <row r="746" spans="1:23" ht="13" x14ac:dyDescent="0.3">
      <c r="A746" s="58"/>
      <c r="B746" s="58"/>
      <c r="C746" s="58"/>
      <c r="D746" s="58"/>
      <c r="E746" s="58"/>
      <c r="F746" s="58"/>
      <c r="G746" s="58"/>
      <c r="H746" s="59"/>
      <c r="I746" s="59"/>
      <c r="J746" s="59"/>
      <c r="K746" s="59"/>
      <c r="L746" s="59"/>
      <c r="M746" s="60"/>
      <c r="N746" s="60"/>
      <c r="O746" s="60"/>
      <c r="P746" s="59"/>
      <c r="Q746" s="59"/>
      <c r="R746" s="60"/>
      <c r="S746" s="60"/>
      <c r="T746" s="60"/>
      <c r="U746" s="60"/>
      <c r="V746" s="60"/>
      <c r="W746" s="60"/>
    </row>
    <row r="747" spans="1:23" ht="13" x14ac:dyDescent="0.3">
      <c r="A747" s="58"/>
      <c r="B747" s="58"/>
      <c r="C747" s="58"/>
      <c r="D747" s="58"/>
      <c r="E747" s="58"/>
      <c r="F747" s="58"/>
      <c r="G747" s="58"/>
      <c r="H747" s="59"/>
      <c r="I747" s="59"/>
      <c r="J747" s="59"/>
      <c r="K747" s="59"/>
      <c r="L747" s="59"/>
      <c r="M747" s="60"/>
      <c r="N747" s="60"/>
      <c r="O747" s="60"/>
      <c r="P747" s="59"/>
      <c r="Q747" s="59"/>
      <c r="R747" s="60"/>
      <c r="S747" s="60"/>
      <c r="T747" s="60"/>
      <c r="U747" s="60"/>
      <c r="V747" s="60"/>
      <c r="W747" s="60"/>
    </row>
    <row r="748" spans="1:23" ht="13" x14ac:dyDescent="0.3">
      <c r="A748" s="58"/>
      <c r="B748" s="58"/>
      <c r="C748" s="58"/>
      <c r="D748" s="58"/>
      <c r="E748" s="58"/>
      <c r="F748" s="58"/>
      <c r="G748" s="58"/>
      <c r="H748" s="59"/>
      <c r="I748" s="59"/>
      <c r="J748" s="59"/>
      <c r="K748" s="59"/>
      <c r="L748" s="59"/>
      <c r="M748" s="60"/>
      <c r="N748" s="60"/>
      <c r="O748" s="60"/>
      <c r="P748" s="59"/>
      <c r="Q748" s="59"/>
      <c r="R748" s="60"/>
      <c r="S748" s="60"/>
      <c r="T748" s="60"/>
      <c r="U748" s="60"/>
      <c r="V748" s="60"/>
      <c r="W748" s="60"/>
    </row>
    <row r="749" spans="1:23" ht="13" x14ac:dyDescent="0.3">
      <c r="A749" s="58"/>
      <c r="B749" s="58"/>
      <c r="C749" s="58"/>
      <c r="D749" s="58"/>
      <c r="E749" s="58"/>
      <c r="F749" s="58"/>
      <c r="G749" s="58"/>
      <c r="H749" s="59"/>
      <c r="I749" s="59"/>
      <c r="J749" s="59"/>
      <c r="K749" s="59"/>
      <c r="L749" s="59"/>
      <c r="M749" s="60"/>
      <c r="N749" s="60"/>
      <c r="O749" s="60"/>
      <c r="P749" s="59"/>
      <c r="Q749" s="59"/>
      <c r="R749" s="60"/>
      <c r="S749" s="60"/>
      <c r="T749" s="60"/>
      <c r="U749" s="60"/>
      <c r="V749" s="60"/>
      <c r="W749" s="60"/>
    </row>
    <row r="750" spans="1:23" ht="13" x14ac:dyDescent="0.3">
      <c r="A750" s="58"/>
      <c r="B750" s="58"/>
      <c r="C750" s="58"/>
      <c r="D750" s="58"/>
      <c r="E750" s="58"/>
      <c r="F750" s="58"/>
      <c r="G750" s="58"/>
      <c r="H750" s="59"/>
      <c r="I750" s="59"/>
      <c r="J750" s="59"/>
      <c r="K750" s="59"/>
      <c r="L750" s="59"/>
      <c r="M750" s="60"/>
      <c r="N750" s="60"/>
      <c r="O750" s="60"/>
      <c r="P750" s="59"/>
      <c r="Q750" s="59"/>
      <c r="R750" s="60"/>
      <c r="S750" s="60"/>
      <c r="T750" s="60"/>
      <c r="U750" s="60"/>
      <c r="V750" s="60"/>
      <c r="W750" s="60"/>
    </row>
    <row r="751" spans="1:23" ht="13" x14ac:dyDescent="0.3">
      <c r="A751" s="58"/>
      <c r="B751" s="58"/>
      <c r="C751" s="58"/>
      <c r="D751" s="58"/>
      <c r="E751" s="58"/>
      <c r="F751" s="58"/>
      <c r="G751" s="58"/>
      <c r="H751" s="59"/>
      <c r="I751" s="59"/>
      <c r="J751" s="59"/>
      <c r="K751" s="59"/>
      <c r="L751" s="59"/>
      <c r="M751" s="60"/>
      <c r="N751" s="60"/>
      <c r="O751" s="60"/>
      <c r="P751" s="59"/>
      <c r="Q751" s="59"/>
      <c r="R751" s="60"/>
      <c r="S751" s="60"/>
      <c r="T751" s="60"/>
      <c r="U751" s="60"/>
      <c r="V751" s="60"/>
      <c r="W751" s="60"/>
    </row>
    <row r="752" spans="1:23" ht="13" x14ac:dyDescent="0.3">
      <c r="A752" s="58"/>
      <c r="B752" s="58"/>
      <c r="C752" s="58"/>
      <c r="D752" s="58"/>
      <c r="E752" s="58"/>
      <c r="F752" s="58"/>
      <c r="G752" s="58"/>
      <c r="H752" s="59"/>
      <c r="I752" s="59"/>
      <c r="J752" s="59"/>
      <c r="K752" s="59"/>
      <c r="L752" s="59"/>
      <c r="M752" s="60"/>
      <c r="N752" s="60"/>
      <c r="O752" s="60"/>
      <c r="P752" s="59"/>
      <c r="Q752" s="59"/>
      <c r="R752" s="60"/>
      <c r="S752" s="60"/>
      <c r="T752" s="60"/>
      <c r="U752" s="60"/>
      <c r="V752" s="60"/>
      <c r="W752" s="60"/>
    </row>
    <row r="753" spans="1:23" ht="13" x14ac:dyDescent="0.3">
      <c r="A753" s="58"/>
      <c r="B753" s="58"/>
      <c r="C753" s="58"/>
      <c r="D753" s="58"/>
      <c r="E753" s="58"/>
      <c r="F753" s="58"/>
      <c r="G753" s="58"/>
      <c r="H753" s="59"/>
      <c r="I753" s="59"/>
      <c r="J753" s="59"/>
      <c r="K753" s="59"/>
      <c r="L753" s="59"/>
      <c r="M753" s="60"/>
      <c r="N753" s="60"/>
      <c r="O753" s="60"/>
      <c r="P753" s="59"/>
      <c r="Q753" s="59"/>
      <c r="R753" s="60"/>
      <c r="S753" s="60"/>
      <c r="T753" s="60"/>
      <c r="U753" s="60"/>
      <c r="V753" s="60"/>
      <c r="W753" s="60"/>
    </row>
    <row r="754" spans="1:23" ht="13" x14ac:dyDescent="0.3">
      <c r="A754" s="58"/>
      <c r="B754" s="58"/>
      <c r="C754" s="58"/>
      <c r="D754" s="58"/>
      <c r="E754" s="58"/>
      <c r="F754" s="58"/>
      <c r="G754" s="58"/>
      <c r="H754" s="59"/>
      <c r="I754" s="59"/>
      <c r="J754" s="59"/>
      <c r="K754" s="59"/>
      <c r="L754" s="59"/>
      <c r="M754" s="60"/>
      <c r="N754" s="60"/>
      <c r="O754" s="60"/>
      <c r="P754" s="59"/>
      <c r="Q754" s="59"/>
      <c r="R754" s="60"/>
      <c r="S754" s="60"/>
      <c r="T754" s="60"/>
      <c r="U754" s="60"/>
      <c r="V754" s="60"/>
      <c r="W754" s="60"/>
    </row>
    <row r="755" spans="1:23" ht="13" x14ac:dyDescent="0.3">
      <c r="A755" s="58"/>
      <c r="B755" s="58"/>
      <c r="C755" s="58"/>
      <c r="D755" s="58"/>
      <c r="E755" s="58"/>
      <c r="F755" s="58"/>
      <c r="G755" s="58"/>
      <c r="H755" s="59"/>
      <c r="I755" s="59"/>
      <c r="J755" s="59"/>
      <c r="K755" s="59"/>
      <c r="L755" s="59"/>
      <c r="M755" s="60"/>
      <c r="N755" s="60"/>
      <c r="O755" s="60"/>
      <c r="P755" s="59"/>
      <c r="Q755" s="59"/>
      <c r="R755" s="60"/>
      <c r="S755" s="60"/>
      <c r="T755" s="60"/>
      <c r="U755" s="60"/>
      <c r="V755" s="60"/>
      <c r="W755" s="60"/>
    </row>
    <row r="756" spans="1:23" ht="13" x14ac:dyDescent="0.3">
      <c r="A756" s="58"/>
      <c r="B756" s="58"/>
      <c r="C756" s="58"/>
      <c r="D756" s="58"/>
      <c r="E756" s="58"/>
      <c r="F756" s="58"/>
      <c r="G756" s="58"/>
      <c r="H756" s="59"/>
      <c r="I756" s="59"/>
      <c r="J756" s="59"/>
      <c r="K756" s="59"/>
      <c r="L756" s="59"/>
      <c r="M756" s="60"/>
      <c r="N756" s="60"/>
      <c r="O756" s="60"/>
      <c r="P756" s="59"/>
      <c r="Q756" s="59"/>
      <c r="R756" s="60"/>
      <c r="S756" s="60"/>
      <c r="T756" s="60"/>
      <c r="U756" s="60"/>
      <c r="V756" s="60"/>
      <c r="W756" s="60"/>
    </row>
    <row r="757" spans="1:23" ht="13" x14ac:dyDescent="0.3">
      <c r="A757" s="58"/>
      <c r="B757" s="58"/>
      <c r="C757" s="58"/>
      <c r="D757" s="58"/>
      <c r="E757" s="58"/>
      <c r="F757" s="58"/>
      <c r="G757" s="58"/>
      <c r="H757" s="59"/>
      <c r="I757" s="59"/>
      <c r="J757" s="59"/>
      <c r="K757" s="59"/>
      <c r="L757" s="59"/>
      <c r="M757" s="60"/>
      <c r="N757" s="60"/>
      <c r="O757" s="60"/>
      <c r="P757" s="59"/>
      <c r="Q757" s="59"/>
      <c r="R757" s="60"/>
      <c r="S757" s="60"/>
      <c r="T757" s="60"/>
      <c r="U757" s="60"/>
      <c r="V757" s="60"/>
      <c r="W757" s="60"/>
    </row>
    <row r="758" spans="1:23" ht="13" x14ac:dyDescent="0.3">
      <c r="A758" s="58"/>
      <c r="B758" s="58"/>
      <c r="C758" s="58"/>
      <c r="D758" s="58"/>
      <c r="E758" s="58"/>
      <c r="F758" s="58"/>
      <c r="G758" s="58"/>
      <c r="H758" s="59"/>
      <c r="I758" s="59"/>
      <c r="J758" s="59"/>
      <c r="K758" s="59"/>
      <c r="L758" s="59"/>
      <c r="M758" s="60"/>
      <c r="N758" s="60"/>
      <c r="O758" s="60"/>
      <c r="P758" s="59"/>
      <c r="Q758" s="59"/>
      <c r="R758" s="60"/>
      <c r="S758" s="60"/>
      <c r="T758" s="60"/>
      <c r="U758" s="60"/>
      <c r="V758" s="60"/>
      <c r="W758" s="60"/>
    </row>
    <row r="759" spans="1:23" ht="13" x14ac:dyDescent="0.3">
      <c r="A759" s="58"/>
      <c r="B759" s="58"/>
      <c r="C759" s="58"/>
      <c r="D759" s="58"/>
      <c r="E759" s="58"/>
      <c r="F759" s="58"/>
      <c r="G759" s="58"/>
      <c r="H759" s="59"/>
      <c r="I759" s="59"/>
      <c r="J759" s="59"/>
      <c r="K759" s="59"/>
      <c r="L759" s="59"/>
      <c r="M759" s="60"/>
      <c r="N759" s="60"/>
      <c r="O759" s="60"/>
      <c r="P759" s="59"/>
      <c r="Q759" s="59"/>
      <c r="R759" s="60"/>
      <c r="S759" s="60"/>
      <c r="T759" s="60"/>
      <c r="U759" s="60"/>
      <c r="V759" s="60"/>
      <c r="W759" s="60"/>
    </row>
    <row r="760" spans="1:23" ht="13" x14ac:dyDescent="0.3">
      <c r="A760" s="58"/>
      <c r="B760" s="58"/>
      <c r="C760" s="58"/>
      <c r="D760" s="58"/>
      <c r="E760" s="58"/>
      <c r="F760" s="58"/>
      <c r="G760" s="58"/>
      <c r="H760" s="59"/>
      <c r="I760" s="59"/>
      <c r="J760" s="59"/>
      <c r="K760" s="59"/>
      <c r="L760" s="59"/>
      <c r="M760" s="60"/>
      <c r="N760" s="60"/>
      <c r="O760" s="60"/>
      <c r="P760" s="59"/>
      <c r="Q760" s="59"/>
      <c r="R760" s="60"/>
      <c r="S760" s="60"/>
      <c r="T760" s="60"/>
      <c r="U760" s="60"/>
      <c r="V760" s="60"/>
      <c r="W760" s="60"/>
    </row>
    <row r="761" spans="1:23" ht="13" x14ac:dyDescent="0.3">
      <c r="A761" s="58"/>
      <c r="B761" s="58"/>
      <c r="C761" s="58"/>
      <c r="D761" s="58"/>
      <c r="E761" s="58"/>
      <c r="F761" s="58"/>
      <c r="G761" s="58"/>
      <c r="H761" s="59"/>
      <c r="I761" s="59"/>
      <c r="J761" s="59"/>
      <c r="K761" s="59"/>
      <c r="L761" s="59"/>
      <c r="M761" s="60"/>
      <c r="N761" s="60"/>
      <c r="O761" s="60"/>
      <c r="P761" s="59"/>
      <c r="Q761" s="59"/>
      <c r="R761" s="60"/>
      <c r="S761" s="60"/>
      <c r="T761" s="60"/>
      <c r="U761" s="60"/>
      <c r="V761" s="60"/>
      <c r="W761" s="60"/>
    </row>
    <row r="762" spans="1:23" ht="13" x14ac:dyDescent="0.3">
      <c r="A762" s="58"/>
      <c r="B762" s="58"/>
      <c r="C762" s="58"/>
      <c r="D762" s="58"/>
      <c r="E762" s="58"/>
      <c r="F762" s="58"/>
      <c r="G762" s="58"/>
      <c r="H762" s="59"/>
      <c r="I762" s="59"/>
      <c r="J762" s="59"/>
      <c r="K762" s="59"/>
      <c r="L762" s="59"/>
      <c r="M762" s="60"/>
      <c r="N762" s="60"/>
      <c r="O762" s="60"/>
      <c r="P762" s="59"/>
      <c r="Q762" s="59"/>
      <c r="R762" s="60"/>
      <c r="S762" s="60"/>
      <c r="T762" s="60"/>
      <c r="U762" s="60"/>
      <c r="V762" s="60"/>
      <c r="W762" s="60"/>
    </row>
    <row r="763" spans="1:23" ht="13" x14ac:dyDescent="0.3">
      <c r="A763" s="58"/>
      <c r="B763" s="58"/>
      <c r="C763" s="58"/>
      <c r="D763" s="58"/>
      <c r="E763" s="58"/>
      <c r="F763" s="58"/>
      <c r="G763" s="58"/>
      <c r="H763" s="59"/>
      <c r="I763" s="59"/>
      <c r="J763" s="59"/>
      <c r="K763" s="59"/>
      <c r="L763" s="59"/>
      <c r="M763" s="60"/>
      <c r="N763" s="60"/>
      <c r="O763" s="60"/>
      <c r="P763" s="59"/>
      <c r="Q763" s="59"/>
      <c r="R763" s="60"/>
      <c r="S763" s="60"/>
      <c r="T763" s="60"/>
      <c r="U763" s="60"/>
      <c r="V763" s="60"/>
      <c r="W763" s="60"/>
    </row>
    <row r="764" spans="1:23" ht="13" x14ac:dyDescent="0.3">
      <c r="A764" s="58"/>
      <c r="B764" s="58"/>
      <c r="C764" s="58"/>
      <c r="D764" s="58"/>
      <c r="E764" s="58"/>
      <c r="F764" s="58"/>
      <c r="G764" s="58"/>
      <c r="H764" s="59"/>
      <c r="I764" s="59"/>
      <c r="J764" s="59"/>
      <c r="K764" s="59"/>
      <c r="L764" s="59"/>
      <c r="M764" s="60"/>
      <c r="N764" s="60"/>
      <c r="O764" s="60"/>
      <c r="P764" s="59"/>
      <c r="Q764" s="59"/>
      <c r="R764" s="60"/>
      <c r="S764" s="60"/>
      <c r="T764" s="60"/>
      <c r="U764" s="60"/>
      <c r="V764" s="60"/>
      <c r="W764" s="60"/>
    </row>
    <row r="765" spans="1:23" ht="13" x14ac:dyDescent="0.3">
      <c r="A765" s="58"/>
      <c r="B765" s="58"/>
      <c r="C765" s="58"/>
      <c r="D765" s="58"/>
      <c r="E765" s="58"/>
      <c r="F765" s="58"/>
      <c r="G765" s="58"/>
      <c r="H765" s="59"/>
      <c r="I765" s="59"/>
      <c r="J765" s="59"/>
      <c r="K765" s="59"/>
      <c r="L765" s="59"/>
      <c r="M765" s="60"/>
      <c r="N765" s="60"/>
      <c r="O765" s="60"/>
      <c r="P765" s="59"/>
      <c r="Q765" s="59"/>
      <c r="R765" s="60"/>
      <c r="S765" s="60"/>
      <c r="T765" s="60"/>
      <c r="U765" s="60"/>
      <c r="V765" s="60"/>
      <c r="W765" s="60"/>
    </row>
    <row r="766" spans="1:23" ht="13" x14ac:dyDescent="0.3">
      <c r="A766" s="58"/>
      <c r="B766" s="58"/>
      <c r="C766" s="58"/>
      <c r="D766" s="58"/>
      <c r="E766" s="58"/>
      <c r="F766" s="58"/>
      <c r="G766" s="58"/>
      <c r="H766" s="59"/>
      <c r="I766" s="59"/>
      <c r="J766" s="59"/>
      <c r="K766" s="59"/>
      <c r="L766" s="59"/>
      <c r="M766" s="60"/>
      <c r="N766" s="60"/>
      <c r="O766" s="60"/>
      <c r="P766" s="59"/>
      <c r="Q766" s="59"/>
      <c r="R766" s="60"/>
      <c r="S766" s="60"/>
      <c r="T766" s="60"/>
      <c r="U766" s="60"/>
      <c r="V766" s="60"/>
      <c r="W766" s="60"/>
    </row>
    <row r="767" spans="1:23" ht="13" x14ac:dyDescent="0.3">
      <c r="A767" s="58"/>
      <c r="B767" s="58"/>
      <c r="C767" s="58"/>
      <c r="D767" s="58"/>
      <c r="E767" s="58"/>
      <c r="F767" s="58"/>
      <c r="G767" s="58"/>
      <c r="H767" s="59"/>
      <c r="I767" s="59"/>
      <c r="J767" s="59"/>
      <c r="K767" s="59"/>
      <c r="L767" s="59"/>
      <c r="M767" s="60"/>
      <c r="N767" s="60"/>
      <c r="O767" s="60"/>
      <c r="P767" s="59"/>
      <c r="Q767" s="59"/>
      <c r="R767" s="60"/>
      <c r="S767" s="60"/>
      <c r="T767" s="60"/>
      <c r="U767" s="60"/>
      <c r="V767" s="60"/>
      <c r="W767" s="60"/>
    </row>
    <row r="768" spans="1:23" ht="13" x14ac:dyDescent="0.3">
      <c r="A768" s="58"/>
      <c r="B768" s="58"/>
      <c r="C768" s="58"/>
      <c r="D768" s="58"/>
      <c r="E768" s="58"/>
      <c r="F768" s="58"/>
      <c r="G768" s="58"/>
      <c r="H768" s="59"/>
      <c r="I768" s="59"/>
      <c r="J768" s="59"/>
      <c r="K768" s="59"/>
      <c r="L768" s="59"/>
      <c r="M768" s="60"/>
      <c r="N768" s="60"/>
      <c r="O768" s="60"/>
      <c r="P768" s="59"/>
      <c r="Q768" s="59"/>
      <c r="R768" s="60"/>
      <c r="S768" s="60"/>
      <c r="T768" s="60"/>
      <c r="U768" s="60"/>
      <c r="V768" s="60"/>
      <c r="W768" s="60"/>
    </row>
    <row r="769" spans="1:23" ht="13" x14ac:dyDescent="0.3">
      <c r="A769" s="58"/>
      <c r="B769" s="58"/>
      <c r="C769" s="58"/>
      <c r="D769" s="58"/>
      <c r="E769" s="58"/>
      <c r="F769" s="58"/>
      <c r="G769" s="58"/>
      <c r="H769" s="59"/>
      <c r="I769" s="59"/>
      <c r="J769" s="59"/>
      <c r="K769" s="59"/>
      <c r="L769" s="59"/>
      <c r="M769" s="60"/>
      <c r="N769" s="60"/>
      <c r="O769" s="60"/>
      <c r="P769" s="59"/>
      <c r="Q769" s="59"/>
      <c r="R769" s="60"/>
      <c r="S769" s="60"/>
      <c r="T769" s="60"/>
      <c r="U769" s="60"/>
      <c r="V769" s="60"/>
      <c r="W769" s="60"/>
    </row>
    <row r="770" spans="1:23" ht="13" x14ac:dyDescent="0.3">
      <c r="A770" s="58"/>
      <c r="B770" s="58"/>
      <c r="C770" s="58"/>
      <c r="D770" s="58"/>
      <c r="E770" s="58"/>
      <c r="F770" s="58"/>
      <c r="G770" s="58"/>
      <c r="H770" s="59"/>
      <c r="I770" s="59"/>
      <c r="J770" s="59"/>
      <c r="K770" s="59"/>
      <c r="L770" s="59"/>
      <c r="M770" s="60"/>
      <c r="N770" s="60"/>
      <c r="O770" s="60"/>
      <c r="P770" s="59"/>
      <c r="Q770" s="59"/>
      <c r="R770" s="60"/>
      <c r="S770" s="60"/>
      <c r="T770" s="60"/>
      <c r="U770" s="60"/>
      <c r="V770" s="60"/>
      <c r="W770" s="60"/>
    </row>
    <row r="771" spans="1:23" ht="13" x14ac:dyDescent="0.3">
      <c r="A771" s="58"/>
      <c r="B771" s="58"/>
      <c r="C771" s="58"/>
      <c r="D771" s="58"/>
      <c r="E771" s="58"/>
      <c r="F771" s="58"/>
      <c r="G771" s="58"/>
      <c r="H771" s="59"/>
      <c r="I771" s="59"/>
      <c r="J771" s="59"/>
      <c r="K771" s="59"/>
      <c r="L771" s="59"/>
      <c r="M771" s="60"/>
      <c r="N771" s="60"/>
      <c r="O771" s="60"/>
      <c r="P771" s="59"/>
      <c r="Q771" s="59"/>
      <c r="R771" s="60"/>
      <c r="S771" s="60"/>
      <c r="T771" s="60"/>
      <c r="U771" s="60"/>
      <c r="V771" s="60"/>
      <c r="W771" s="60"/>
    </row>
    <row r="772" spans="1:23" ht="13" x14ac:dyDescent="0.3">
      <c r="A772" s="58"/>
      <c r="B772" s="58"/>
      <c r="C772" s="58"/>
      <c r="D772" s="58"/>
      <c r="E772" s="58"/>
      <c r="F772" s="58"/>
      <c r="G772" s="58"/>
      <c r="H772" s="59"/>
      <c r="I772" s="59"/>
      <c r="J772" s="59"/>
      <c r="K772" s="59"/>
      <c r="L772" s="59"/>
      <c r="M772" s="60"/>
      <c r="N772" s="60"/>
      <c r="O772" s="60"/>
      <c r="P772" s="59"/>
      <c r="Q772" s="59"/>
      <c r="R772" s="60"/>
      <c r="S772" s="60"/>
      <c r="T772" s="60"/>
      <c r="U772" s="60"/>
      <c r="V772" s="60"/>
      <c r="W772" s="60"/>
    </row>
    <row r="773" spans="1:23" ht="13" x14ac:dyDescent="0.3">
      <c r="A773" s="58"/>
      <c r="B773" s="58"/>
      <c r="C773" s="58"/>
      <c r="D773" s="58"/>
      <c r="E773" s="58"/>
      <c r="F773" s="58"/>
      <c r="G773" s="58"/>
      <c r="H773" s="59"/>
      <c r="I773" s="59"/>
      <c r="J773" s="59"/>
      <c r="K773" s="59"/>
      <c r="L773" s="59"/>
      <c r="M773" s="60"/>
      <c r="N773" s="60"/>
      <c r="O773" s="60"/>
      <c r="P773" s="59"/>
      <c r="Q773" s="59"/>
      <c r="R773" s="60"/>
      <c r="S773" s="60"/>
      <c r="T773" s="60"/>
      <c r="U773" s="60"/>
      <c r="V773" s="60"/>
      <c r="W773" s="60"/>
    </row>
    <row r="774" spans="1:23" ht="13" x14ac:dyDescent="0.3">
      <c r="A774" s="58"/>
      <c r="B774" s="58"/>
      <c r="C774" s="58"/>
      <c r="D774" s="58"/>
      <c r="E774" s="58"/>
      <c r="F774" s="58"/>
      <c r="G774" s="58"/>
      <c r="H774" s="59"/>
      <c r="I774" s="59"/>
      <c r="J774" s="59"/>
      <c r="K774" s="59"/>
      <c r="L774" s="59"/>
      <c r="M774" s="60"/>
      <c r="N774" s="60"/>
      <c r="O774" s="60"/>
      <c r="P774" s="59"/>
      <c r="Q774" s="59"/>
      <c r="R774" s="60"/>
      <c r="S774" s="60"/>
      <c r="T774" s="60"/>
      <c r="U774" s="60"/>
      <c r="V774" s="60"/>
      <c r="W774" s="60"/>
    </row>
    <row r="775" spans="1:23" ht="13" x14ac:dyDescent="0.3">
      <c r="A775" s="58"/>
      <c r="B775" s="58"/>
      <c r="C775" s="58"/>
      <c r="D775" s="58"/>
      <c r="E775" s="58"/>
      <c r="F775" s="58"/>
      <c r="G775" s="58"/>
      <c r="H775" s="59"/>
      <c r="I775" s="59"/>
      <c r="J775" s="59"/>
      <c r="K775" s="59"/>
      <c r="L775" s="59"/>
      <c r="M775" s="60"/>
      <c r="N775" s="60"/>
      <c r="O775" s="60"/>
      <c r="P775" s="59"/>
      <c r="Q775" s="59"/>
      <c r="R775" s="60"/>
      <c r="S775" s="60"/>
      <c r="T775" s="60"/>
      <c r="U775" s="60"/>
      <c r="V775" s="60"/>
      <c r="W775" s="60"/>
    </row>
    <row r="776" spans="1:23" ht="13" x14ac:dyDescent="0.3">
      <c r="A776" s="58"/>
      <c r="B776" s="58"/>
      <c r="C776" s="58"/>
      <c r="D776" s="58"/>
      <c r="E776" s="58"/>
      <c r="F776" s="58"/>
      <c r="G776" s="58"/>
      <c r="H776" s="59"/>
      <c r="I776" s="59"/>
      <c r="J776" s="59"/>
      <c r="K776" s="59"/>
      <c r="L776" s="59"/>
      <c r="M776" s="60"/>
      <c r="N776" s="60"/>
      <c r="O776" s="60"/>
      <c r="P776" s="59"/>
      <c r="Q776" s="59"/>
      <c r="R776" s="60"/>
      <c r="S776" s="60"/>
      <c r="T776" s="60"/>
      <c r="U776" s="60"/>
      <c r="V776" s="60"/>
      <c r="W776" s="60"/>
    </row>
    <row r="777" spans="1:23" ht="13" x14ac:dyDescent="0.3">
      <c r="A777" s="58"/>
      <c r="B777" s="58"/>
      <c r="C777" s="58"/>
      <c r="D777" s="58"/>
      <c r="E777" s="58"/>
      <c r="F777" s="58"/>
      <c r="G777" s="58"/>
      <c r="H777" s="59"/>
      <c r="I777" s="59"/>
      <c r="J777" s="59"/>
      <c r="K777" s="59"/>
      <c r="L777" s="59"/>
      <c r="M777" s="60"/>
      <c r="N777" s="60"/>
      <c r="O777" s="60"/>
      <c r="P777" s="59"/>
      <c r="Q777" s="59"/>
      <c r="R777" s="60"/>
      <c r="S777" s="60"/>
      <c r="T777" s="60"/>
      <c r="U777" s="60"/>
      <c r="V777" s="60"/>
      <c r="W777" s="60"/>
    </row>
    <row r="778" spans="1:23" ht="13" x14ac:dyDescent="0.3">
      <c r="A778" s="58"/>
      <c r="B778" s="58"/>
      <c r="C778" s="58"/>
      <c r="D778" s="58"/>
      <c r="E778" s="58"/>
      <c r="F778" s="58"/>
      <c r="G778" s="58"/>
      <c r="H778" s="59"/>
      <c r="I778" s="59"/>
      <c r="J778" s="59"/>
      <c r="K778" s="59"/>
      <c r="L778" s="59"/>
      <c r="M778" s="60"/>
      <c r="N778" s="60"/>
      <c r="O778" s="60"/>
      <c r="P778" s="59"/>
      <c r="Q778" s="59"/>
      <c r="R778" s="60"/>
      <c r="S778" s="60"/>
      <c r="T778" s="60"/>
      <c r="U778" s="60"/>
      <c r="V778" s="60"/>
      <c r="W778" s="60"/>
    </row>
    <row r="779" spans="1:23" ht="13" x14ac:dyDescent="0.3">
      <c r="A779" s="58"/>
      <c r="B779" s="58"/>
      <c r="C779" s="58"/>
      <c r="D779" s="58"/>
      <c r="E779" s="58"/>
      <c r="F779" s="58"/>
      <c r="G779" s="58"/>
      <c r="H779" s="59"/>
      <c r="I779" s="59"/>
      <c r="J779" s="59"/>
      <c r="K779" s="59"/>
      <c r="L779" s="59"/>
      <c r="M779" s="60"/>
      <c r="N779" s="60"/>
      <c r="O779" s="60"/>
      <c r="P779" s="59"/>
      <c r="Q779" s="59"/>
      <c r="R779" s="60"/>
      <c r="S779" s="60"/>
      <c r="T779" s="60"/>
      <c r="U779" s="60"/>
      <c r="V779" s="60"/>
      <c r="W779" s="60"/>
    </row>
    <row r="780" spans="1:23" ht="13" x14ac:dyDescent="0.3">
      <c r="A780" s="58"/>
      <c r="B780" s="58"/>
      <c r="C780" s="58"/>
      <c r="D780" s="58"/>
      <c r="E780" s="58"/>
      <c r="F780" s="58"/>
      <c r="G780" s="58"/>
      <c r="H780" s="59"/>
      <c r="I780" s="59"/>
      <c r="J780" s="59"/>
      <c r="K780" s="59"/>
      <c r="L780" s="59"/>
      <c r="M780" s="60"/>
      <c r="N780" s="60"/>
      <c r="O780" s="60"/>
      <c r="P780" s="59"/>
      <c r="Q780" s="59"/>
      <c r="R780" s="60"/>
      <c r="S780" s="60"/>
      <c r="T780" s="60"/>
      <c r="U780" s="60"/>
      <c r="V780" s="60"/>
      <c r="W780" s="60"/>
    </row>
    <row r="781" spans="1:23" ht="13" x14ac:dyDescent="0.3">
      <c r="A781" s="58"/>
      <c r="B781" s="58"/>
      <c r="C781" s="58"/>
      <c r="D781" s="58"/>
      <c r="E781" s="58"/>
      <c r="F781" s="58"/>
      <c r="G781" s="58"/>
      <c r="H781" s="59"/>
      <c r="I781" s="59"/>
      <c r="J781" s="59"/>
      <c r="K781" s="59"/>
      <c r="L781" s="59"/>
      <c r="M781" s="60"/>
      <c r="N781" s="60"/>
      <c r="O781" s="60"/>
      <c r="P781" s="59"/>
      <c r="Q781" s="59"/>
      <c r="R781" s="60"/>
      <c r="S781" s="60"/>
      <c r="T781" s="60"/>
      <c r="U781" s="60"/>
      <c r="V781" s="60"/>
      <c r="W781" s="60"/>
    </row>
    <row r="782" spans="1:23" ht="13" x14ac:dyDescent="0.3">
      <c r="A782" s="58"/>
      <c r="B782" s="58"/>
      <c r="C782" s="58"/>
      <c r="D782" s="58"/>
      <c r="E782" s="58"/>
      <c r="F782" s="58"/>
      <c r="G782" s="58"/>
      <c r="H782" s="59"/>
      <c r="I782" s="59"/>
      <c r="J782" s="59"/>
      <c r="K782" s="59"/>
      <c r="L782" s="59"/>
      <c r="M782" s="60"/>
      <c r="N782" s="60"/>
      <c r="O782" s="60"/>
      <c r="P782" s="59"/>
      <c r="Q782" s="59"/>
      <c r="R782" s="60"/>
      <c r="S782" s="60"/>
      <c r="T782" s="60"/>
      <c r="U782" s="60"/>
      <c r="V782" s="60"/>
      <c r="W782" s="60"/>
    </row>
    <row r="783" spans="1:23" ht="13" x14ac:dyDescent="0.3">
      <c r="A783" s="58"/>
      <c r="B783" s="58"/>
      <c r="C783" s="58"/>
      <c r="D783" s="58"/>
      <c r="E783" s="58"/>
      <c r="F783" s="58"/>
      <c r="G783" s="58"/>
      <c r="H783" s="59"/>
      <c r="I783" s="59"/>
      <c r="J783" s="59"/>
      <c r="K783" s="59"/>
      <c r="L783" s="59"/>
      <c r="M783" s="60"/>
      <c r="N783" s="60"/>
      <c r="O783" s="60"/>
      <c r="P783" s="59"/>
      <c r="Q783" s="59"/>
      <c r="R783" s="60"/>
      <c r="S783" s="60"/>
      <c r="T783" s="60"/>
      <c r="U783" s="60"/>
      <c r="V783" s="60"/>
      <c r="W783" s="60"/>
    </row>
    <row r="784" spans="1:23" ht="13" x14ac:dyDescent="0.3">
      <c r="A784" s="58"/>
      <c r="B784" s="58"/>
      <c r="C784" s="58"/>
      <c r="D784" s="58"/>
      <c r="E784" s="58"/>
      <c r="F784" s="58"/>
      <c r="G784" s="58"/>
      <c r="H784" s="59"/>
      <c r="I784" s="59"/>
      <c r="J784" s="59"/>
      <c r="K784" s="59"/>
      <c r="L784" s="59"/>
      <c r="M784" s="60"/>
      <c r="N784" s="60"/>
      <c r="O784" s="60"/>
      <c r="P784" s="59"/>
      <c r="Q784" s="59"/>
      <c r="R784" s="60"/>
      <c r="S784" s="60"/>
      <c r="T784" s="60"/>
      <c r="U784" s="60"/>
      <c r="V784" s="60"/>
      <c r="W784" s="60"/>
    </row>
    <row r="785" spans="1:23" ht="13" x14ac:dyDescent="0.3">
      <c r="A785" s="58"/>
      <c r="B785" s="58"/>
      <c r="C785" s="58"/>
      <c r="D785" s="58"/>
      <c r="E785" s="58"/>
      <c r="F785" s="58"/>
      <c r="G785" s="58"/>
      <c r="H785" s="59"/>
      <c r="I785" s="59"/>
      <c r="J785" s="59"/>
      <c r="K785" s="59"/>
      <c r="L785" s="59"/>
      <c r="M785" s="60"/>
      <c r="N785" s="60"/>
      <c r="O785" s="60"/>
      <c r="P785" s="59"/>
      <c r="Q785" s="59"/>
      <c r="R785" s="60"/>
      <c r="S785" s="60"/>
      <c r="T785" s="60"/>
      <c r="U785" s="60"/>
      <c r="V785" s="60"/>
      <c r="W785" s="60"/>
    </row>
    <row r="786" spans="1:23" ht="13" x14ac:dyDescent="0.3">
      <c r="A786" s="58"/>
      <c r="B786" s="58"/>
      <c r="C786" s="58"/>
      <c r="D786" s="58"/>
      <c r="E786" s="58"/>
      <c r="F786" s="58"/>
      <c r="G786" s="58"/>
      <c r="H786" s="59"/>
      <c r="I786" s="59"/>
      <c r="J786" s="59"/>
      <c r="K786" s="59"/>
      <c r="L786" s="59"/>
      <c r="M786" s="60"/>
      <c r="N786" s="60"/>
      <c r="O786" s="60"/>
      <c r="P786" s="59"/>
      <c r="Q786" s="59"/>
      <c r="R786" s="60"/>
      <c r="S786" s="60"/>
      <c r="T786" s="60"/>
      <c r="U786" s="60"/>
      <c r="V786" s="60"/>
      <c r="W786" s="60"/>
    </row>
    <row r="787" spans="1:23" ht="13" x14ac:dyDescent="0.3">
      <c r="A787" s="58"/>
      <c r="B787" s="58"/>
      <c r="C787" s="58"/>
      <c r="D787" s="58"/>
      <c r="E787" s="58"/>
      <c r="F787" s="58"/>
      <c r="G787" s="58"/>
      <c r="H787" s="59"/>
      <c r="I787" s="59"/>
      <c r="J787" s="59"/>
      <c r="K787" s="59"/>
      <c r="L787" s="59"/>
      <c r="M787" s="60"/>
      <c r="N787" s="60"/>
      <c r="O787" s="60"/>
      <c r="P787" s="59"/>
      <c r="Q787" s="59"/>
      <c r="R787" s="60"/>
      <c r="S787" s="60"/>
      <c r="T787" s="60"/>
      <c r="U787" s="60"/>
      <c r="V787" s="60"/>
      <c r="W787" s="60"/>
    </row>
    <row r="788" spans="1:23" ht="13" x14ac:dyDescent="0.3">
      <c r="A788" s="58"/>
      <c r="B788" s="58"/>
      <c r="C788" s="58"/>
      <c r="D788" s="58"/>
      <c r="E788" s="58"/>
      <c r="F788" s="58"/>
      <c r="G788" s="58"/>
      <c r="H788" s="59"/>
      <c r="I788" s="59"/>
      <c r="J788" s="59"/>
      <c r="K788" s="59"/>
      <c r="L788" s="59"/>
      <c r="M788" s="60"/>
      <c r="N788" s="60"/>
      <c r="O788" s="60"/>
      <c r="P788" s="59"/>
      <c r="Q788" s="59"/>
      <c r="R788" s="60"/>
      <c r="S788" s="60"/>
      <c r="T788" s="60"/>
      <c r="U788" s="60"/>
      <c r="V788" s="60"/>
      <c r="W788" s="60"/>
    </row>
    <row r="789" spans="1:23" ht="13" x14ac:dyDescent="0.3">
      <c r="A789" s="58"/>
      <c r="B789" s="58"/>
      <c r="C789" s="58"/>
      <c r="D789" s="58"/>
      <c r="E789" s="58"/>
      <c r="F789" s="58"/>
      <c r="G789" s="58"/>
      <c r="H789" s="59"/>
      <c r="I789" s="59"/>
      <c r="J789" s="59"/>
      <c r="K789" s="59"/>
      <c r="L789" s="59"/>
      <c r="M789" s="60"/>
      <c r="N789" s="60"/>
      <c r="O789" s="60"/>
      <c r="P789" s="59"/>
      <c r="Q789" s="59"/>
      <c r="R789" s="60"/>
      <c r="S789" s="60"/>
      <c r="T789" s="60"/>
      <c r="U789" s="60"/>
      <c r="V789" s="60"/>
      <c r="W789" s="60"/>
    </row>
    <row r="790" spans="1:23" ht="13" x14ac:dyDescent="0.3">
      <c r="A790" s="58"/>
      <c r="B790" s="58"/>
      <c r="C790" s="58"/>
      <c r="D790" s="58"/>
      <c r="E790" s="58"/>
      <c r="F790" s="58"/>
      <c r="G790" s="58"/>
      <c r="H790" s="59"/>
      <c r="I790" s="59"/>
      <c r="J790" s="59"/>
      <c r="K790" s="59"/>
      <c r="L790" s="59"/>
      <c r="M790" s="60"/>
      <c r="N790" s="60"/>
      <c r="O790" s="60"/>
      <c r="P790" s="59"/>
      <c r="Q790" s="59"/>
      <c r="R790" s="60"/>
      <c r="S790" s="60"/>
      <c r="T790" s="60"/>
      <c r="U790" s="60"/>
      <c r="V790" s="60"/>
      <c r="W790" s="60"/>
    </row>
    <row r="791" spans="1:23" ht="13" x14ac:dyDescent="0.3">
      <c r="A791" s="58"/>
      <c r="B791" s="58"/>
      <c r="C791" s="58"/>
      <c r="D791" s="58"/>
      <c r="E791" s="58"/>
      <c r="F791" s="58"/>
      <c r="G791" s="58"/>
      <c r="H791" s="59"/>
      <c r="I791" s="59"/>
      <c r="J791" s="59"/>
      <c r="K791" s="59"/>
      <c r="L791" s="59"/>
      <c r="M791" s="60"/>
      <c r="N791" s="60"/>
      <c r="O791" s="60"/>
      <c r="P791" s="59"/>
      <c r="Q791" s="59"/>
      <c r="R791" s="60"/>
      <c r="S791" s="60"/>
      <c r="T791" s="60"/>
      <c r="U791" s="60"/>
      <c r="V791" s="60"/>
      <c r="W791" s="60"/>
    </row>
    <row r="792" spans="1:23" ht="13" x14ac:dyDescent="0.3">
      <c r="A792" s="58"/>
      <c r="B792" s="58"/>
      <c r="C792" s="58"/>
      <c r="D792" s="58"/>
      <c r="E792" s="58"/>
      <c r="F792" s="58"/>
      <c r="G792" s="58"/>
      <c r="H792" s="59"/>
      <c r="I792" s="59"/>
      <c r="J792" s="59"/>
      <c r="K792" s="59"/>
      <c r="L792" s="59"/>
      <c r="M792" s="60"/>
      <c r="N792" s="60"/>
      <c r="O792" s="60"/>
      <c r="P792" s="59"/>
      <c r="Q792" s="59"/>
      <c r="R792" s="60"/>
      <c r="S792" s="60"/>
      <c r="T792" s="60"/>
      <c r="U792" s="60"/>
      <c r="V792" s="60"/>
      <c r="W792" s="60"/>
    </row>
    <row r="793" spans="1:23" ht="13" x14ac:dyDescent="0.3">
      <c r="A793" s="58"/>
      <c r="B793" s="58"/>
      <c r="C793" s="58"/>
      <c r="D793" s="58"/>
      <c r="E793" s="58"/>
      <c r="F793" s="58"/>
      <c r="G793" s="58"/>
      <c r="H793" s="59"/>
      <c r="I793" s="59"/>
      <c r="J793" s="59"/>
      <c r="K793" s="59"/>
      <c r="L793" s="59"/>
      <c r="M793" s="60"/>
      <c r="N793" s="60"/>
      <c r="O793" s="60"/>
      <c r="P793" s="59"/>
      <c r="Q793" s="59"/>
      <c r="R793" s="60"/>
      <c r="S793" s="60"/>
      <c r="T793" s="60"/>
      <c r="U793" s="60"/>
      <c r="V793" s="60"/>
      <c r="W793" s="60"/>
    </row>
    <row r="794" spans="1:23" ht="13" x14ac:dyDescent="0.3">
      <c r="A794" s="58"/>
      <c r="B794" s="58"/>
      <c r="C794" s="58"/>
      <c r="D794" s="58"/>
      <c r="E794" s="58"/>
      <c r="F794" s="58"/>
      <c r="G794" s="58"/>
      <c r="H794" s="59"/>
      <c r="I794" s="59"/>
      <c r="J794" s="59"/>
      <c r="K794" s="59"/>
      <c r="L794" s="59"/>
      <c r="M794" s="60"/>
      <c r="N794" s="60"/>
      <c r="O794" s="60"/>
      <c r="P794" s="59"/>
      <c r="Q794" s="59"/>
      <c r="R794" s="60"/>
      <c r="S794" s="60"/>
      <c r="T794" s="60"/>
      <c r="U794" s="60"/>
      <c r="V794" s="60"/>
      <c r="W794" s="60"/>
    </row>
    <row r="795" spans="1:23" ht="13" x14ac:dyDescent="0.3">
      <c r="A795" s="58"/>
      <c r="B795" s="58"/>
      <c r="C795" s="58"/>
      <c r="D795" s="58"/>
      <c r="E795" s="58"/>
      <c r="F795" s="58"/>
      <c r="G795" s="58"/>
      <c r="H795" s="59"/>
      <c r="I795" s="59"/>
      <c r="J795" s="59"/>
      <c r="K795" s="59"/>
      <c r="L795" s="59"/>
      <c r="M795" s="60"/>
      <c r="N795" s="60"/>
      <c r="O795" s="60"/>
      <c r="P795" s="59"/>
      <c r="Q795" s="59"/>
      <c r="R795" s="60"/>
      <c r="S795" s="60"/>
      <c r="T795" s="60"/>
      <c r="U795" s="60"/>
      <c r="V795" s="60"/>
      <c r="W795" s="60"/>
    </row>
    <row r="796" spans="1:23" ht="13" x14ac:dyDescent="0.3">
      <c r="A796" s="58"/>
      <c r="B796" s="58"/>
      <c r="C796" s="58"/>
      <c r="D796" s="58"/>
      <c r="E796" s="58"/>
      <c r="F796" s="58"/>
      <c r="G796" s="58"/>
      <c r="H796" s="59"/>
      <c r="I796" s="59"/>
      <c r="J796" s="59"/>
      <c r="K796" s="59"/>
      <c r="L796" s="59"/>
      <c r="M796" s="60"/>
      <c r="N796" s="60"/>
      <c r="O796" s="60"/>
      <c r="P796" s="59"/>
      <c r="Q796" s="59"/>
      <c r="R796" s="60"/>
      <c r="S796" s="60"/>
      <c r="T796" s="60"/>
      <c r="U796" s="60"/>
      <c r="V796" s="60"/>
      <c r="W796" s="60"/>
    </row>
    <row r="797" spans="1:23" ht="13" x14ac:dyDescent="0.3">
      <c r="A797" s="58"/>
      <c r="B797" s="58"/>
      <c r="C797" s="58"/>
      <c r="D797" s="58"/>
      <c r="E797" s="58"/>
      <c r="F797" s="58"/>
      <c r="G797" s="58"/>
      <c r="H797" s="59"/>
      <c r="I797" s="59"/>
      <c r="J797" s="59"/>
      <c r="K797" s="59"/>
      <c r="L797" s="59"/>
      <c r="M797" s="60"/>
      <c r="N797" s="60"/>
      <c r="O797" s="60"/>
      <c r="P797" s="59"/>
      <c r="Q797" s="59"/>
      <c r="R797" s="60"/>
      <c r="S797" s="60"/>
      <c r="T797" s="60"/>
      <c r="U797" s="60"/>
      <c r="V797" s="60"/>
      <c r="W797" s="60"/>
    </row>
    <row r="798" spans="1:23" ht="13" x14ac:dyDescent="0.3">
      <c r="A798" s="58"/>
      <c r="B798" s="58"/>
      <c r="C798" s="58"/>
      <c r="D798" s="58"/>
      <c r="E798" s="58"/>
      <c r="F798" s="58"/>
      <c r="G798" s="58"/>
      <c r="H798" s="59"/>
      <c r="I798" s="59"/>
      <c r="J798" s="59"/>
      <c r="K798" s="59"/>
      <c r="L798" s="59"/>
      <c r="M798" s="60"/>
      <c r="N798" s="60"/>
      <c r="O798" s="60"/>
      <c r="P798" s="59"/>
      <c r="Q798" s="59"/>
      <c r="R798" s="60"/>
      <c r="S798" s="60"/>
      <c r="T798" s="60"/>
      <c r="U798" s="60"/>
      <c r="V798" s="60"/>
      <c r="W798" s="60"/>
    </row>
    <row r="799" spans="1:23" ht="13" x14ac:dyDescent="0.3">
      <c r="A799" s="58"/>
      <c r="B799" s="58"/>
      <c r="C799" s="58"/>
      <c r="D799" s="58"/>
      <c r="E799" s="58"/>
      <c r="F799" s="58"/>
      <c r="G799" s="58"/>
      <c r="H799" s="59"/>
      <c r="I799" s="59"/>
      <c r="J799" s="59"/>
      <c r="K799" s="59"/>
      <c r="L799" s="59"/>
      <c r="M799" s="60"/>
      <c r="N799" s="60"/>
      <c r="O799" s="60"/>
      <c r="P799" s="59"/>
      <c r="Q799" s="59"/>
      <c r="R799" s="60"/>
      <c r="S799" s="60"/>
      <c r="T799" s="60"/>
      <c r="U799" s="60"/>
      <c r="V799" s="60"/>
      <c r="W799" s="60"/>
    </row>
    <row r="800" spans="1:23" ht="13" x14ac:dyDescent="0.3">
      <c r="A800" s="58"/>
      <c r="B800" s="58"/>
      <c r="C800" s="58"/>
      <c r="D800" s="58"/>
      <c r="E800" s="58"/>
      <c r="F800" s="58"/>
      <c r="G800" s="58"/>
      <c r="H800" s="59"/>
      <c r="I800" s="59"/>
      <c r="J800" s="59"/>
      <c r="K800" s="59"/>
      <c r="L800" s="59"/>
      <c r="M800" s="60"/>
      <c r="N800" s="60"/>
      <c r="O800" s="60"/>
      <c r="P800" s="59"/>
      <c r="Q800" s="59"/>
      <c r="R800" s="60"/>
      <c r="S800" s="60"/>
      <c r="T800" s="60"/>
      <c r="U800" s="60"/>
      <c r="V800" s="60"/>
      <c r="W800" s="60"/>
    </row>
    <row r="801" spans="1:23" ht="13" x14ac:dyDescent="0.3">
      <c r="A801" s="58"/>
      <c r="B801" s="58"/>
      <c r="C801" s="58"/>
      <c r="D801" s="58"/>
      <c r="E801" s="58"/>
      <c r="F801" s="58"/>
      <c r="G801" s="58"/>
      <c r="H801" s="59"/>
      <c r="I801" s="59"/>
      <c r="J801" s="59"/>
      <c r="K801" s="59"/>
      <c r="L801" s="59"/>
      <c r="M801" s="60"/>
      <c r="N801" s="60"/>
      <c r="O801" s="60"/>
      <c r="P801" s="59"/>
      <c r="Q801" s="59"/>
      <c r="R801" s="60"/>
      <c r="S801" s="60"/>
      <c r="T801" s="60"/>
      <c r="U801" s="60"/>
      <c r="V801" s="60"/>
      <c r="W801" s="60"/>
    </row>
    <row r="802" spans="1:23" ht="13" x14ac:dyDescent="0.3">
      <c r="A802" s="58"/>
      <c r="B802" s="58"/>
      <c r="C802" s="58"/>
      <c r="D802" s="58"/>
      <c r="E802" s="58"/>
      <c r="F802" s="58"/>
      <c r="G802" s="58"/>
      <c r="H802" s="59"/>
      <c r="I802" s="59"/>
      <c r="J802" s="59"/>
      <c r="K802" s="59"/>
      <c r="L802" s="59"/>
      <c r="M802" s="60"/>
      <c r="N802" s="60"/>
      <c r="O802" s="60"/>
      <c r="P802" s="59"/>
      <c r="Q802" s="59"/>
      <c r="R802" s="60"/>
      <c r="S802" s="60"/>
      <c r="T802" s="60"/>
      <c r="U802" s="60"/>
      <c r="V802" s="60"/>
      <c r="W802" s="60"/>
    </row>
    <row r="803" spans="1:23" ht="13" x14ac:dyDescent="0.3">
      <c r="A803" s="58"/>
      <c r="B803" s="58"/>
      <c r="C803" s="58"/>
      <c r="D803" s="58"/>
      <c r="E803" s="58"/>
      <c r="F803" s="58"/>
      <c r="G803" s="58"/>
      <c r="H803" s="59"/>
      <c r="I803" s="59"/>
      <c r="J803" s="59"/>
      <c r="K803" s="59"/>
      <c r="L803" s="59"/>
      <c r="M803" s="60"/>
      <c r="N803" s="60"/>
      <c r="O803" s="60"/>
      <c r="P803" s="59"/>
      <c r="Q803" s="59"/>
      <c r="R803" s="60"/>
      <c r="S803" s="60"/>
      <c r="T803" s="60"/>
      <c r="U803" s="60"/>
      <c r="V803" s="60"/>
      <c r="W803" s="60"/>
    </row>
    <row r="804" spans="1:23" ht="13" x14ac:dyDescent="0.3">
      <c r="A804" s="58"/>
      <c r="B804" s="58"/>
      <c r="C804" s="58"/>
      <c r="D804" s="58"/>
      <c r="E804" s="58"/>
      <c r="F804" s="58"/>
      <c r="G804" s="58"/>
      <c r="H804" s="59"/>
      <c r="I804" s="59"/>
      <c r="J804" s="59"/>
      <c r="K804" s="59"/>
      <c r="L804" s="59"/>
      <c r="M804" s="60"/>
      <c r="N804" s="60"/>
      <c r="O804" s="60"/>
      <c r="P804" s="59"/>
      <c r="Q804" s="59"/>
      <c r="R804" s="60"/>
      <c r="S804" s="60"/>
      <c r="T804" s="60"/>
      <c r="U804" s="60"/>
      <c r="V804" s="60"/>
      <c r="W804" s="60"/>
    </row>
    <row r="805" spans="1:23" ht="13" x14ac:dyDescent="0.3">
      <c r="A805" s="58"/>
      <c r="B805" s="58"/>
      <c r="C805" s="58"/>
      <c r="D805" s="58"/>
      <c r="E805" s="58"/>
      <c r="F805" s="58"/>
      <c r="G805" s="58"/>
      <c r="H805" s="59"/>
      <c r="I805" s="59"/>
      <c r="J805" s="59"/>
      <c r="K805" s="59"/>
      <c r="L805" s="59"/>
      <c r="M805" s="60"/>
      <c r="N805" s="60"/>
      <c r="O805" s="60"/>
      <c r="P805" s="59"/>
      <c r="Q805" s="59"/>
      <c r="R805" s="60"/>
      <c r="S805" s="60"/>
      <c r="T805" s="60"/>
      <c r="U805" s="60"/>
      <c r="V805" s="60"/>
      <c r="W805" s="60"/>
    </row>
    <row r="806" spans="1:23" ht="13" x14ac:dyDescent="0.3">
      <c r="A806" s="58"/>
      <c r="B806" s="58"/>
      <c r="C806" s="58"/>
      <c r="D806" s="58"/>
      <c r="E806" s="58"/>
      <c r="F806" s="58"/>
      <c r="G806" s="58"/>
      <c r="H806" s="59"/>
      <c r="I806" s="59"/>
      <c r="J806" s="59"/>
      <c r="K806" s="59"/>
      <c r="L806" s="59"/>
      <c r="M806" s="60"/>
      <c r="N806" s="60"/>
      <c r="O806" s="60"/>
      <c r="P806" s="59"/>
      <c r="Q806" s="59"/>
      <c r="R806" s="60"/>
      <c r="S806" s="60"/>
      <c r="T806" s="60"/>
      <c r="U806" s="60"/>
      <c r="V806" s="60"/>
      <c r="W806" s="60"/>
    </row>
    <row r="807" spans="1:23" ht="13" x14ac:dyDescent="0.3">
      <c r="A807" s="58"/>
      <c r="B807" s="58"/>
      <c r="C807" s="58"/>
      <c r="D807" s="58"/>
      <c r="E807" s="58"/>
      <c r="F807" s="58"/>
      <c r="G807" s="58"/>
      <c r="H807" s="59"/>
      <c r="I807" s="59"/>
      <c r="J807" s="59"/>
      <c r="K807" s="59"/>
      <c r="L807" s="59"/>
      <c r="M807" s="60"/>
      <c r="N807" s="60"/>
      <c r="O807" s="60"/>
      <c r="P807" s="59"/>
      <c r="Q807" s="59"/>
      <c r="R807" s="60"/>
      <c r="S807" s="60"/>
      <c r="T807" s="60"/>
      <c r="U807" s="60"/>
      <c r="V807" s="60"/>
      <c r="W807" s="60"/>
    </row>
    <row r="808" spans="1:23" ht="13" x14ac:dyDescent="0.3">
      <c r="A808" s="58"/>
      <c r="B808" s="58"/>
      <c r="C808" s="58"/>
      <c r="D808" s="58"/>
      <c r="E808" s="58"/>
      <c r="F808" s="58"/>
      <c r="G808" s="58"/>
      <c r="H808" s="59"/>
      <c r="I808" s="59"/>
      <c r="J808" s="59"/>
      <c r="K808" s="59"/>
      <c r="L808" s="59"/>
      <c r="M808" s="60"/>
      <c r="N808" s="60"/>
      <c r="O808" s="60"/>
      <c r="P808" s="59"/>
      <c r="Q808" s="59"/>
      <c r="R808" s="60"/>
      <c r="S808" s="60"/>
      <c r="T808" s="60"/>
      <c r="U808" s="60"/>
      <c r="V808" s="60"/>
      <c r="W808" s="60"/>
    </row>
    <row r="809" spans="1:23" ht="13" x14ac:dyDescent="0.3">
      <c r="A809" s="58"/>
      <c r="B809" s="58"/>
      <c r="C809" s="58"/>
      <c r="D809" s="58"/>
      <c r="E809" s="58"/>
      <c r="F809" s="58"/>
      <c r="G809" s="58"/>
      <c r="H809" s="59"/>
      <c r="I809" s="59"/>
      <c r="J809" s="59"/>
      <c r="K809" s="59"/>
      <c r="L809" s="59"/>
      <c r="M809" s="60"/>
      <c r="N809" s="60"/>
      <c r="O809" s="60"/>
      <c r="P809" s="59"/>
      <c r="Q809" s="59"/>
      <c r="R809" s="60"/>
      <c r="S809" s="60"/>
      <c r="T809" s="60"/>
      <c r="U809" s="60"/>
      <c r="V809" s="60"/>
      <c r="W809" s="60"/>
    </row>
    <row r="810" spans="1:23" ht="13" x14ac:dyDescent="0.3">
      <c r="A810" s="58"/>
      <c r="B810" s="58"/>
      <c r="C810" s="58"/>
      <c r="D810" s="58"/>
      <c r="E810" s="58"/>
      <c r="F810" s="58"/>
      <c r="G810" s="58"/>
      <c r="H810" s="59"/>
      <c r="I810" s="59"/>
      <c r="J810" s="59"/>
      <c r="K810" s="59"/>
      <c r="L810" s="59"/>
      <c r="M810" s="60"/>
      <c r="N810" s="60"/>
      <c r="O810" s="60"/>
      <c r="P810" s="59"/>
      <c r="Q810" s="59"/>
      <c r="R810" s="60"/>
      <c r="S810" s="60"/>
      <c r="T810" s="60"/>
      <c r="U810" s="60"/>
      <c r="V810" s="60"/>
      <c r="W810" s="60"/>
    </row>
    <row r="811" spans="1:23" ht="13" x14ac:dyDescent="0.3">
      <c r="A811" s="58"/>
      <c r="B811" s="58"/>
      <c r="C811" s="58"/>
      <c r="D811" s="58"/>
      <c r="E811" s="58"/>
      <c r="F811" s="58"/>
      <c r="G811" s="58"/>
      <c r="H811" s="59"/>
      <c r="I811" s="59"/>
      <c r="J811" s="59"/>
      <c r="K811" s="59"/>
      <c r="L811" s="59"/>
      <c r="M811" s="60"/>
      <c r="N811" s="60"/>
      <c r="O811" s="60"/>
      <c r="P811" s="59"/>
      <c r="Q811" s="59"/>
      <c r="R811" s="60"/>
      <c r="S811" s="60"/>
      <c r="T811" s="60"/>
      <c r="U811" s="60"/>
      <c r="V811" s="60"/>
      <c r="W811" s="60"/>
    </row>
    <row r="812" spans="1:23" ht="13" x14ac:dyDescent="0.3">
      <c r="A812" s="58"/>
      <c r="B812" s="58"/>
      <c r="C812" s="58"/>
      <c r="D812" s="58"/>
      <c r="E812" s="58"/>
      <c r="F812" s="58"/>
      <c r="G812" s="58"/>
      <c r="H812" s="59"/>
      <c r="I812" s="59"/>
      <c r="J812" s="59"/>
      <c r="K812" s="59"/>
      <c r="L812" s="59"/>
      <c r="M812" s="60"/>
      <c r="N812" s="60"/>
      <c r="O812" s="60"/>
      <c r="P812" s="59"/>
      <c r="Q812" s="59"/>
      <c r="R812" s="60"/>
      <c r="S812" s="60"/>
      <c r="T812" s="60"/>
      <c r="U812" s="60"/>
      <c r="V812" s="60"/>
      <c r="W812" s="60"/>
    </row>
    <row r="813" spans="1:23" ht="13" x14ac:dyDescent="0.3">
      <c r="A813" s="58"/>
      <c r="B813" s="58"/>
      <c r="C813" s="58"/>
      <c r="D813" s="58"/>
      <c r="E813" s="58"/>
      <c r="F813" s="58"/>
      <c r="G813" s="58"/>
      <c r="H813" s="59"/>
      <c r="I813" s="59"/>
      <c r="J813" s="59"/>
      <c r="K813" s="59"/>
      <c r="L813" s="59"/>
      <c r="M813" s="60"/>
      <c r="N813" s="60"/>
      <c r="O813" s="60"/>
      <c r="P813" s="59"/>
      <c r="Q813" s="59"/>
      <c r="R813" s="60"/>
      <c r="S813" s="60"/>
      <c r="T813" s="60"/>
      <c r="U813" s="60"/>
      <c r="V813" s="60"/>
      <c r="W813" s="60"/>
    </row>
    <row r="814" spans="1:23" ht="13" x14ac:dyDescent="0.3">
      <c r="A814" s="58"/>
      <c r="B814" s="58"/>
      <c r="C814" s="58"/>
      <c r="D814" s="58"/>
      <c r="E814" s="58"/>
      <c r="F814" s="58"/>
      <c r="G814" s="58"/>
      <c r="H814" s="59"/>
      <c r="I814" s="59"/>
      <c r="J814" s="59"/>
      <c r="K814" s="59"/>
      <c r="L814" s="59"/>
      <c r="M814" s="60"/>
      <c r="N814" s="60"/>
      <c r="O814" s="60"/>
      <c r="P814" s="59"/>
      <c r="Q814" s="59"/>
      <c r="R814" s="60"/>
      <c r="S814" s="60"/>
      <c r="T814" s="60"/>
      <c r="U814" s="60"/>
      <c r="V814" s="60"/>
      <c r="W814" s="60"/>
    </row>
    <row r="815" spans="1:23" ht="13" x14ac:dyDescent="0.3">
      <c r="A815" s="58"/>
      <c r="B815" s="58"/>
      <c r="C815" s="58"/>
      <c r="D815" s="58"/>
      <c r="E815" s="58"/>
      <c r="F815" s="58"/>
      <c r="G815" s="58"/>
      <c r="H815" s="59"/>
      <c r="I815" s="59"/>
      <c r="J815" s="59"/>
      <c r="K815" s="59"/>
      <c r="L815" s="59"/>
      <c r="M815" s="60"/>
      <c r="N815" s="60"/>
      <c r="O815" s="60"/>
      <c r="P815" s="59"/>
      <c r="Q815" s="59"/>
      <c r="R815" s="60"/>
      <c r="S815" s="60"/>
      <c r="T815" s="60"/>
      <c r="U815" s="60"/>
      <c r="V815" s="60"/>
      <c r="W815" s="60"/>
    </row>
    <row r="816" spans="1:23" ht="13" x14ac:dyDescent="0.3">
      <c r="A816" s="58"/>
      <c r="B816" s="58"/>
      <c r="C816" s="58"/>
      <c r="D816" s="58"/>
      <c r="E816" s="58"/>
      <c r="F816" s="58"/>
      <c r="G816" s="58"/>
      <c r="H816" s="59"/>
      <c r="I816" s="59"/>
      <c r="J816" s="59"/>
      <c r="K816" s="59"/>
      <c r="L816" s="59"/>
      <c r="M816" s="60"/>
      <c r="N816" s="60"/>
      <c r="O816" s="60"/>
      <c r="P816" s="59"/>
      <c r="Q816" s="59"/>
      <c r="R816" s="60"/>
      <c r="S816" s="60"/>
      <c r="T816" s="60"/>
      <c r="U816" s="60"/>
      <c r="V816" s="60"/>
      <c r="W816" s="60"/>
    </row>
    <row r="817" spans="1:23" ht="13" x14ac:dyDescent="0.3">
      <c r="A817" s="58"/>
      <c r="B817" s="58"/>
      <c r="C817" s="58"/>
      <c r="D817" s="58"/>
      <c r="E817" s="58"/>
      <c r="F817" s="58"/>
      <c r="G817" s="58"/>
      <c r="H817" s="59"/>
      <c r="I817" s="59"/>
      <c r="J817" s="59"/>
      <c r="K817" s="59"/>
      <c r="L817" s="59"/>
      <c r="M817" s="60"/>
      <c r="N817" s="60"/>
      <c r="O817" s="60"/>
      <c r="P817" s="59"/>
      <c r="Q817" s="59"/>
      <c r="R817" s="60"/>
      <c r="S817" s="60"/>
      <c r="T817" s="60"/>
      <c r="U817" s="60"/>
      <c r="V817" s="60"/>
      <c r="W817" s="60"/>
    </row>
    <row r="818" spans="1:23" ht="13" x14ac:dyDescent="0.3">
      <c r="A818" s="58"/>
      <c r="B818" s="58"/>
      <c r="C818" s="58"/>
      <c r="D818" s="58"/>
      <c r="E818" s="58"/>
      <c r="F818" s="58"/>
      <c r="G818" s="58"/>
      <c r="H818" s="59"/>
      <c r="I818" s="59"/>
      <c r="J818" s="59"/>
      <c r="K818" s="59"/>
      <c r="L818" s="59"/>
      <c r="M818" s="60"/>
      <c r="N818" s="60"/>
      <c r="O818" s="60"/>
      <c r="P818" s="59"/>
      <c r="Q818" s="59"/>
      <c r="R818" s="60"/>
      <c r="S818" s="60"/>
      <c r="T818" s="60"/>
      <c r="U818" s="60"/>
      <c r="V818" s="60"/>
      <c r="W818" s="60"/>
    </row>
    <row r="819" spans="1:23" ht="13" x14ac:dyDescent="0.3">
      <c r="A819" s="58"/>
      <c r="B819" s="58"/>
      <c r="C819" s="58"/>
      <c r="D819" s="58"/>
      <c r="E819" s="58"/>
      <c r="F819" s="58"/>
      <c r="G819" s="58"/>
      <c r="H819" s="59"/>
      <c r="I819" s="59"/>
      <c r="J819" s="59"/>
      <c r="K819" s="59"/>
      <c r="L819" s="59"/>
      <c r="M819" s="60"/>
      <c r="N819" s="60"/>
      <c r="O819" s="60"/>
      <c r="P819" s="59"/>
      <c r="Q819" s="59"/>
      <c r="R819" s="60"/>
      <c r="S819" s="60"/>
      <c r="T819" s="60"/>
      <c r="U819" s="60"/>
      <c r="V819" s="60"/>
      <c r="W819" s="60"/>
    </row>
    <row r="820" spans="1:23" ht="13" x14ac:dyDescent="0.3">
      <c r="A820" s="58"/>
      <c r="B820" s="58"/>
      <c r="C820" s="58"/>
      <c r="D820" s="58"/>
      <c r="E820" s="58"/>
      <c r="F820" s="58"/>
      <c r="G820" s="58"/>
      <c r="H820" s="59"/>
      <c r="I820" s="59"/>
      <c r="J820" s="59"/>
      <c r="K820" s="59"/>
      <c r="L820" s="59"/>
      <c r="M820" s="60"/>
      <c r="N820" s="60"/>
      <c r="O820" s="60"/>
      <c r="P820" s="59"/>
      <c r="Q820" s="59"/>
      <c r="R820" s="60"/>
      <c r="S820" s="60"/>
      <c r="T820" s="60"/>
      <c r="U820" s="60"/>
      <c r="V820" s="60"/>
      <c r="W820" s="60"/>
    </row>
    <row r="821" spans="1:23" ht="13" x14ac:dyDescent="0.3">
      <c r="A821" s="58"/>
      <c r="B821" s="58"/>
      <c r="C821" s="58"/>
      <c r="D821" s="58"/>
      <c r="E821" s="58"/>
      <c r="F821" s="58"/>
      <c r="G821" s="58"/>
      <c r="H821" s="59"/>
      <c r="I821" s="59"/>
      <c r="J821" s="59"/>
      <c r="K821" s="59"/>
      <c r="L821" s="59"/>
      <c r="M821" s="60"/>
      <c r="N821" s="60"/>
      <c r="O821" s="60"/>
      <c r="P821" s="59"/>
      <c r="Q821" s="59"/>
      <c r="R821" s="60"/>
      <c r="S821" s="60"/>
      <c r="T821" s="60"/>
      <c r="U821" s="60"/>
      <c r="V821" s="60"/>
      <c r="W821" s="60"/>
    </row>
    <row r="822" spans="1:23" ht="13" x14ac:dyDescent="0.3">
      <c r="A822" s="58"/>
      <c r="B822" s="58"/>
      <c r="C822" s="58"/>
      <c r="D822" s="58"/>
      <c r="E822" s="58"/>
      <c r="F822" s="58"/>
      <c r="G822" s="58"/>
      <c r="H822" s="59"/>
      <c r="I822" s="59"/>
      <c r="J822" s="59"/>
      <c r="K822" s="59"/>
      <c r="L822" s="59"/>
      <c r="M822" s="60"/>
      <c r="N822" s="60"/>
      <c r="O822" s="60"/>
      <c r="P822" s="59"/>
      <c r="Q822" s="59"/>
      <c r="R822" s="60"/>
      <c r="S822" s="60"/>
      <c r="T822" s="60"/>
      <c r="U822" s="60"/>
      <c r="V822" s="60"/>
      <c r="W822" s="60"/>
    </row>
    <row r="823" spans="1:23" ht="13" x14ac:dyDescent="0.3">
      <c r="A823" s="58"/>
      <c r="B823" s="58"/>
      <c r="C823" s="58"/>
      <c r="D823" s="58"/>
      <c r="E823" s="58"/>
      <c r="F823" s="58"/>
      <c r="G823" s="58"/>
      <c r="H823" s="59"/>
      <c r="I823" s="59"/>
      <c r="J823" s="59"/>
      <c r="K823" s="59"/>
      <c r="L823" s="59"/>
      <c r="M823" s="60"/>
      <c r="N823" s="60"/>
      <c r="O823" s="60"/>
      <c r="P823" s="59"/>
      <c r="Q823" s="59"/>
      <c r="R823" s="60"/>
      <c r="S823" s="60"/>
      <c r="T823" s="60"/>
      <c r="U823" s="60"/>
      <c r="V823" s="60"/>
      <c r="W823" s="60"/>
    </row>
    <row r="824" spans="1:23" ht="13" x14ac:dyDescent="0.3">
      <c r="A824" s="58"/>
      <c r="B824" s="58"/>
      <c r="C824" s="58"/>
      <c r="D824" s="58"/>
      <c r="E824" s="58"/>
      <c r="F824" s="58"/>
      <c r="G824" s="58"/>
      <c r="H824" s="59"/>
      <c r="I824" s="59"/>
      <c r="J824" s="59"/>
      <c r="K824" s="59"/>
      <c r="L824" s="59"/>
      <c r="M824" s="60"/>
      <c r="N824" s="60"/>
      <c r="O824" s="60"/>
      <c r="P824" s="59"/>
      <c r="Q824" s="59"/>
      <c r="R824" s="60"/>
      <c r="S824" s="60"/>
      <c r="T824" s="60"/>
      <c r="U824" s="60"/>
      <c r="V824" s="60"/>
      <c r="W824" s="60"/>
    </row>
    <row r="825" spans="1:23" ht="13" x14ac:dyDescent="0.3">
      <c r="A825" s="58"/>
      <c r="B825" s="58"/>
      <c r="C825" s="58"/>
      <c r="D825" s="58"/>
      <c r="E825" s="58"/>
      <c r="F825" s="58"/>
      <c r="G825" s="58"/>
      <c r="H825" s="59"/>
      <c r="I825" s="59"/>
      <c r="J825" s="59"/>
      <c r="K825" s="59"/>
      <c r="L825" s="59"/>
      <c r="M825" s="60"/>
      <c r="N825" s="60"/>
      <c r="O825" s="60"/>
      <c r="P825" s="59"/>
      <c r="Q825" s="59"/>
      <c r="R825" s="60"/>
      <c r="S825" s="60"/>
      <c r="T825" s="60"/>
      <c r="U825" s="60"/>
      <c r="V825" s="60"/>
      <c r="W825" s="60"/>
    </row>
    <row r="826" spans="1:23" ht="13" x14ac:dyDescent="0.3">
      <c r="A826" s="58"/>
      <c r="B826" s="58"/>
      <c r="C826" s="58"/>
      <c r="D826" s="58"/>
      <c r="E826" s="58"/>
      <c r="F826" s="58"/>
      <c r="G826" s="58"/>
      <c r="H826" s="59"/>
      <c r="I826" s="59"/>
      <c r="J826" s="59"/>
      <c r="K826" s="59"/>
      <c r="L826" s="59"/>
      <c r="M826" s="60"/>
      <c r="N826" s="60"/>
      <c r="O826" s="60"/>
      <c r="P826" s="59"/>
      <c r="Q826" s="59"/>
      <c r="R826" s="60"/>
      <c r="S826" s="60"/>
      <c r="T826" s="60"/>
      <c r="U826" s="60"/>
      <c r="V826" s="60"/>
      <c r="W826" s="60"/>
    </row>
    <row r="827" spans="1:23" ht="13" x14ac:dyDescent="0.3">
      <c r="A827" s="58"/>
      <c r="B827" s="58"/>
      <c r="C827" s="58"/>
      <c r="D827" s="58"/>
      <c r="E827" s="58"/>
      <c r="F827" s="58"/>
      <c r="G827" s="58"/>
      <c r="H827" s="59"/>
      <c r="I827" s="59"/>
      <c r="J827" s="59"/>
      <c r="K827" s="59"/>
      <c r="L827" s="59"/>
      <c r="M827" s="60"/>
      <c r="N827" s="60"/>
      <c r="O827" s="60"/>
      <c r="P827" s="59"/>
      <c r="Q827" s="59"/>
      <c r="R827" s="60"/>
      <c r="S827" s="60"/>
      <c r="T827" s="60"/>
      <c r="U827" s="60"/>
      <c r="V827" s="60"/>
      <c r="W827" s="60"/>
    </row>
    <row r="828" spans="1:23" ht="13" x14ac:dyDescent="0.3">
      <c r="A828" s="58"/>
      <c r="B828" s="58"/>
      <c r="C828" s="58"/>
      <c r="D828" s="58"/>
      <c r="E828" s="58"/>
      <c r="F828" s="58"/>
      <c r="G828" s="58"/>
      <c r="H828" s="59"/>
      <c r="I828" s="59"/>
      <c r="J828" s="59"/>
      <c r="K828" s="59"/>
      <c r="L828" s="59"/>
      <c r="M828" s="60"/>
      <c r="N828" s="60"/>
      <c r="O828" s="60"/>
      <c r="P828" s="59"/>
      <c r="Q828" s="59"/>
      <c r="R828" s="60"/>
      <c r="S828" s="60"/>
      <c r="T828" s="60"/>
      <c r="U828" s="60"/>
      <c r="V828" s="60"/>
      <c r="W828" s="60"/>
    </row>
    <row r="829" spans="1:23" ht="13" x14ac:dyDescent="0.3">
      <c r="A829" s="58"/>
      <c r="B829" s="58"/>
      <c r="C829" s="58"/>
      <c r="D829" s="58"/>
      <c r="E829" s="58"/>
      <c r="F829" s="58"/>
      <c r="G829" s="58"/>
      <c r="H829" s="59"/>
      <c r="I829" s="59"/>
      <c r="J829" s="59"/>
      <c r="K829" s="59"/>
      <c r="L829" s="59"/>
      <c r="M829" s="60"/>
      <c r="N829" s="60"/>
      <c r="O829" s="60"/>
      <c r="P829" s="59"/>
      <c r="Q829" s="59"/>
      <c r="R829" s="60"/>
      <c r="S829" s="60"/>
      <c r="T829" s="60"/>
      <c r="U829" s="60"/>
      <c r="V829" s="60"/>
      <c r="W829" s="60"/>
    </row>
    <row r="830" spans="1:23" ht="13" x14ac:dyDescent="0.3">
      <c r="A830" s="58"/>
      <c r="B830" s="58"/>
      <c r="C830" s="58"/>
      <c r="D830" s="58"/>
      <c r="E830" s="58"/>
      <c r="F830" s="58"/>
      <c r="G830" s="58"/>
      <c r="H830" s="59"/>
      <c r="I830" s="59"/>
      <c r="J830" s="59"/>
      <c r="K830" s="59"/>
      <c r="L830" s="59"/>
      <c r="M830" s="60"/>
      <c r="N830" s="60"/>
      <c r="O830" s="60"/>
      <c r="P830" s="59"/>
      <c r="Q830" s="59"/>
      <c r="R830" s="60"/>
      <c r="S830" s="60"/>
      <c r="T830" s="60"/>
      <c r="U830" s="60"/>
      <c r="V830" s="60"/>
      <c r="W830" s="60"/>
    </row>
    <row r="831" spans="1:23" ht="13" x14ac:dyDescent="0.3">
      <c r="A831" s="58"/>
      <c r="B831" s="58"/>
      <c r="C831" s="58"/>
      <c r="D831" s="58"/>
      <c r="E831" s="58"/>
      <c r="F831" s="58"/>
      <c r="G831" s="58"/>
      <c r="H831" s="59"/>
      <c r="I831" s="59"/>
      <c r="J831" s="59"/>
      <c r="K831" s="59"/>
      <c r="L831" s="59"/>
      <c r="M831" s="60"/>
      <c r="N831" s="60"/>
      <c r="O831" s="60"/>
      <c r="P831" s="59"/>
      <c r="Q831" s="59"/>
      <c r="R831" s="60"/>
      <c r="S831" s="60"/>
      <c r="T831" s="60"/>
      <c r="U831" s="60"/>
      <c r="V831" s="60"/>
      <c r="W831" s="60"/>
    </row>
    <row r="832" spans="1:23" ht="13" x14ac:dyDescent="0.3">
      <c r="A832" s="58"/>
      <c r="B832" s="58"/>
      <c r="C832" s="58"/>
      <c r="D832" s="58"/>
      <c r="E832" s="58"/>
      <c r="F832" s="58"/>
      <c r="G832" s="58"/>
      <c r="H832" s="59"/>
      <c r="I832" s="59"/>
      <c r="J832" s="59"/>
      <c r="K832" s="59"/>
      <c r="L832" s="59"/>
      <c r="M832" s="60"/>
      <c r="N832" s="60"/>
      <c r="O832" s="60"/>
      <c r="P832" s="59"/>
      <c r="Q832" s="59"/>
      <c r="R832" s="60"/>
      <c r="S832" s="60"/>
      <c r="T832" s="60"/>
      <c r="U832" s="60"/>
      <c r="V832" s="60"/>
      <c r="W832" s="60"/>
    </row>
    <row r="833" spans="1:23" ht="13" x14ac:dyDescent="0.3">
      <c r="A833" s="58"/>
      <c r="B833" s="58"/>
      <c r="C833" s="58"/>
      <c r="D833" s="58"/>
      <c r="E833" s="58"/>
      <c r="F833" s="58"/>
      <c r="G833" s="58"/>
      <c r="H833" s="59"/>
      <c r="I833" s="59"/>
      <c r="J833" s="59"/>
      <c r="K833" s="59"/>
      <c r="L833" s="59"/>
      <c r="M833" s="60"/>
      <c r="N833" s="60"/>
      <c r="O833" s="60"/>
      <c r="P833" s="59"/>
      <c r="Q833" s="59"/>
      <c r="R833" s="60"/>
      <c r="S833" s="60"/>
      <c r="T833" s="60"/>
      <c r="U833" s="60"/>
      <c r="V833" s="60"/>
      <c r="W833" s="60"/>
    </row>
    <row r="834" spans="1:23" ht="13" x14ac:dyDescent="0.3">
      <c r="A834" s="58"/>
      <c r="B834" s="58"/>
      <c r="C834" s="58"/>
      <c r="D834" s="58"/>
      <c r="E834" s="58"/>
      <c r="F834" s="58"/>
      <c r="G834" s="58"/>
      <c r="H834" s="59"/>
      <c r="I834" s="59"/>
      <c r="J834" s="59"/>
      <c r="K834" s="59"/>
      <c r="L834" s="59"/>
      <c r="M834" s="60"/>
      <c r="N834" s="60"/>
      <c r="O834" s="60"/>
      <c r="P834" s="59"/>
      <c r="Q834" s="59"/>
      <c r="R834" s="60"/>
      <c r="S834" s="60"/>
      <c r="T834" s="60"/>
      <c r="U834" s="60"/>
      <c r="V834" s="60"/>
      <c r="W834" s="60"/>
    </row>
    <row r="835" spans="1:23" ht="13" x14ac:dyDescent="0.3">
      <c r="A835" s="58"/>
      <c r="B835" s="58"/>
      <c r="C835" s="58"/>
      <c r="D835" s="58"/>
      <c r="E835" s="58"/>
      <c r="F835" s="58"/>
      <c r="G835" s="58"/>
      <c r="H835" s="59"/>
      <c r="I835" s="59"/>
      <c r="J835" s="59"/>
      <c r="K835" s="59"/>
      <c r="L835" s="59"/>
      <c r="M835" s="60"/>
      <c r="N835" s="60"/>
      <c r="O835" s="60"/>
      <c r="P835" s="59"/>
      <c r="Q835" s="59"/>
      <c r="R835" s="60"/>
      <c r="S835" s="60"/>
      <c r="T835" s="60"/>
      <c r="U835" s="60"/>
      <c r="V835" s="60"/>
      <c r="W835" s="60"/>
    </row>
    <row r="836" spans="1:23" ht="13" x14ac:dyDescent="0.3">
      <c r="A836" s="58"/>
      <c r="B836" s="58"/>
      <c r="C836" s="58"/>
      <c r="D836" s="58"/>
      <c r="E836" s="58"/>
      <c r="F836" s="58"/>
      <c r="G836" s="58"/>
      <c r="H836" s="59"/>
      <c r="I836" s="59"/>
      <c r="J836" s="59"/>
      <c r="K836" s="59"/>
      <c r="L836" s="59"/>
      <c r="M836" s="60"/>
      <c r="N836" s="60"/>
      <c r="O836" s="60"/>
      <c r="P836" s="59"/>
      <c r="Q836" s="59"/>
      <c r="R836" s="60"/>
      <c r="S836" s="60"/>
      <c r="T836" s="60"/>
      <c r="U836" s="60"/>
      <c r="V836" s="60"/>
      <c r="W836" s="60"/>
    </row>
    <row r="837" spans="1:23" ht="13" x14ac:dyDescent="0.3">
      <c r="A837" s="58"/>
      <c r="B837" s="58"/>
      <c r="C837" s="58"/>
      <c r="D837" s="58"/>
      <c r="E837" s="58"/>
      <c r="F837" s="58"/>
      <c r="G837" s="58"/>
      <c r="H837" s="59"/>
      <c r="I837" s="59"/>
      <c r="J837" s="59"/>
      <c r="K837" s="59"/>
      <c r="L837" s="59"/>
      <c r="M837" s="60"/>
      <c r="N837" s="60"/>
      <c r="O837" s="60"/>
      <c r="P837" s="59"/>
      <c r="Q837" s="59"/>
      <c r="R837" s="60"/>
      <c r="S837" s="60"/>
      <c r="T837" s="60"/>
      <c r="U837" s="60"/>
      <c r="V837" s="60"/>
      <c r="W837" s="60"/>
    </row>
    <row r="838" spans="1:23" ht="13" x14ac:dyDescent="0.3">
      <c r="A838" s="58"/>
      <c r="B838" s="58"/>
      <c r="C838" s="58"/>
      <c r="D838" s="58"/>
      <c r="E838" s="58"/>
      <c r="F838" s="58"/>
      <c r="G838" s="58"/>
      <c r="H838" s="59"/>
      <c r="I838" s="59"/>
      <c r="J838" s="59"/>
      <c r="K838" s="59"/>
      <c r="L838" s="59"/>
      <c r="M838" s="60"/>
      <c r="N838" s="60"/>
      <c r="O838" s="60"/>
      <c r="P838" s="59"/>
      <c r="Q838" s="59"/>
      <c r="R838" s="60"/>
      <c r="S838" s="60"/>
      <c r="T838" s="60"/>
      <c r="U838" s="60"/>
      <c r="V838" s="60"/>
      <c r="W838" s="60"/>
    </row>
    <row r="839" spans="1:23" ht="13" x14ac:dyDescent="0.3">
      <c r="A839" s="58"/>
      <c r="B839" s="58"/>
      <c r="C839" s="58"/>
      <c r="D839" s="58"/>
      <c r="E839" s="58"/>
      <c r="F839" s="58"/>
      <c r="G839" s="58"/>
      <c r="H839" s="59"/>
      <c r="I839" s="59"/>
      <c r="J839" s="59"/>
      <c r="K839" s="59"/>
      <c r="L839" s="59"/>
      <c r="M839" s="60"/>
      <c r="N839" s="60"/>
      <c r="O839" s="60"/>
      <c r="P839" s="59"/>
      <c r="Q839" s="59"/>
      <c r="R839" s="60"/>
      <c r="S839" s="60"/>
      <c r="T839" s="60"/>
      <c r="U839" s="60"/>
      <c r="V839" s="60"/>
      <c r="W839" s="60"/>
    </row>
    <row r="840" spans="1:23" ht="13" x14ac:dyDescent="0.3">
      <c r="A840" s="58"/>
      <c r="B840" s="58"/>
      <c r="C840" s="58"/>
      <c r="D840" s="58"/>
      <c r="E840" s="58"/>
      <c r="F840" s="58"/>
      <c r="G840" s="58"/>
      <c r="H840" s="59"/>
      <c r="I840" s="59"/>
      <c r="J840" s="59"/>
      <c r="K840" s="59"/>
      <c r="L840" s="59"/>
      <c r="M840" s="60"/>
      <c r="N840" s="60"/>
      <c r="O840" s="60"/>
      <c r="P840" s="59"/>
      <c r="Q840" s="59"/>
      <c r="R840" s="60"/>
      <c r="S840" s="60"/>
      <c r="T840" s="60"/>
      <c r="U840" s="60"/>
      <c r="V840" s="60"/>
      <c r="W840" s="60"/>
    </row>
    <row r="841" spans="1:23" ht="13" x14ac:dyDescent="0.3">
      <c r="A841" s="58"/>
      <c r="B841" s="58"/>
      <c r="C841" s="58"/>
      <c r="D841" s="58"/>
      <c r="E841" s="58"/>
      <c r="F841" s="58"/>
      <c r="G841" s="58"/>
      <c r="H841" s="59"/>
      <c r="I841" s="59"/>
      <c r="J841" s="59"/>
      <c r="K841" s="59"/>
      <c r="L841" s="59"/>
      <c r="M841" s="60"/>
      <c r="N841" s="60"/>
      <c r="O841" s="60"/>
      <c r="P841" s="59"/>
      <c r="Q841" s="59"/>
      <c r="R841" s="60"/>
      <c r="S841" s="60"/>
      <c r="T841" s="60"/>
      <c r="U841" s="60"/>
      <c r="V841" s="60"/>
      <c r="W841" s="60"/>
    </row>
    <row r="842" spans="1:23" ht="13" x14ac:dyDescent="0.3">
      <c r="A842" s="58"/>
      <c r="B842" s="58"/>
      <c r="C842" s="58"/>
      <c r="D842" s="58"/>
      <c r="E842" s="58"/>
      <c r="F842" s="58"/>
      <c r="G842" s="58"/>
      <c r="H842" s="59"/>
      <c r="I842" s="59"/>
      <c r="J842" s="59"/>
      <c r="K842" s="59"/>
      <c r="L842" s="59"/>
      <c r="M842" s="60"/>
      <c r="N842" s="60"/>
      <c r="O842" s="60"/>
      <c r="P842" s="59"/>
      <c r="Q842" s="59"/>
      <c r="R842" s="60"/>
      <c r="S842" s="60"/>
      <c r="T842" s="60"/>
      <c r="U842" s="60"/>
      <c r="V842" s="60"/>
      <c r="W842" s="60"/>
    </row>
    <row r="843" spans="1:23" ht="13" x14ac:dyDescent="0.3">
      <c r="A843" s="58"/>
      <c r="B843" s="58"/>
      <c r="C843" s="58"/>
      <c r="D843" s="58"/>
      <c r="E843" s="58"/>
      <c r="F843" s="58"/>
      <c r="G843" s="58"/>
      <c r="H843" s="59"/>
      <c r="I843" s="59"/>
      <c r="J843" s="59"/>
      <c r="K843" s="59"/>
      <c r="L843" s="59"/>
      <c r="M843" s="60"/>
      <c r="N843" s="60"/>
      <c r="O843" s="60"/>
      <c r="P843" s="59"/>
      <c r="Q843" s="59"/>
      <c r="R843" s="60"/>
      <c r="S843" s="60"/>
      <c r="T843" s="60"/>
      <c r="U843" s="60"/>
      <c r="V843" s="60"/>
      <c r="W843" s="60"/>
    </row>
    <row r="844" spans="1:23" ht="13" x14ac:dyDescent="0.3">
      <c r="A844" s="58"/>
      <c r="B844" s="58"/>
      <c r="C844" s="58"/>
      <c r="D844" s="58"/>
      <c r="E844" s="58"/>
      <c r="F844" s="58"/>
      <c r="G844" s="58"/>
      <c r="H844" s="59"/>
      <c r="I844" s="59"/>
      <c r="J844" s="59"/>
      <c r="K844" s="59"/>
      <c r="L844" s="59"/>
      <c r="M844" s="60"/>
      <c r="N844" s="60"/>
      <c r="O844" s="60"/>
      <c r="P844" s="59"/>
      <c r="Q844" s="59"/>
      <c r="R844" s="60"/>
      <c r="S844" s="60"/>
      <c r="T844" s="60"/>
      <c r="U844" s="60"/>
      <c r="V844" s="60"/>
      <c r="W844" s="60"/>
    </row>
    <row r="845" spans="1:23" ht="13" x14ac:dyDescent="0.3">
      <c r="A845" s="58"/>
      <c r="B845" s="58"/>
      <c r="C845" s="58"/>
      <c r="D845" s="58"/>
      <c r="E845" s="58"/>
      <c r="F845" s="58"/>
      <c r="G845" s="58"/>
      <c r="H845" s="59"/>
      <c r="I845" s="59"/>
      <c r="J845" s="59"/>
      <c r="K845" s="59"/>
      <c r="L845" s="59"/>
      <c r="M845" s="60"/>
      <c r="N845" s="60"/>
      <c r="O845" s="60"/>
      <c r="P845" s="59"/>
      <c r="Q845" s="59"/>
      <c r="R845" s="60"/>
      <c r="S845" s="60"/>
      <c r="T845" s="60"/>
      <c r="U845" s="60"/>
      <c r="V845" s="60"/>
      <c r="W845" s="60"/>
    </row>
    <row r="846" spans="1:23" ht="13" x14ac:dyDescent="0.3">
      <c r="A846" s="58"/>
      <c r="B846" s="58"/>
      <c r="C846" s="58"/>
      <c r="D846" s="58"/>
      <c r="E846" s="58"/>
      <c r="F846" s="58"/>
      <c r="G846" s="58"/>
      <c r="H846" s="59"/>
      <c r="I846" s="59"/>
      <c r="J846" s="59"/>
      <c r="K846" s="59"/>
      <c r="L846" s="59"/>
      <c r="M846" s="60"/>
      <c r="N846" s="60"/>
      <c r="O846" s="60"/>
      <c r="P846" s="59"/>
      <c r="Q846" s="59"/>
      <c r="R846" s="60"/>
      <c r="S846" s="60"/>
      <c r="T846" s="60"/>
      <c r="U846" s="60"/>
      <c r="V846" s="60"/>
      <c r="W846" s="60"/>
    </row>
    <row r="847" spans="1:23" ht="13" x14ac:dyDescent="0.3">
      <c r="A847" s="58"/>
      <c r="B847" s="58"/>
      <c r="C847" s="58"/>
      <c r="D847" s="58"/>
      <c r="E847" s="58"/>
      <c r="F847" s="58"/>
      <c r="G847" s="58"/>
      <c r="H847" s="59"/>
      <c r="I847" s="59"/>
      <c r="J847" s="59"/>
      <c r="K847" s="59"/>
      <c r="L847" s="59"/>
      <c r="M847" s="60"/>
      <c r="N847" s="60"/>
      <c r="O847" s="60"/>
      <c r="P847" s="59"/>
      <c r="Q847" s="59"/>
      <c r="R847" s="60"/>
      <c r="S847" s="60"/>
      <c r="T847" s="60"/>
      <c r="U847" s="60"/>
      <c r="V847" s="60"/>
      <c r="W847" s="60"/>
    </row>
    <row r="848" spans="1:23" ht="13" x14ac:dyDescent="0.3">
      <c r="A848" s="58"/>
      <c r="B848" s="58"/>
      <c r="C848" s="58"/>
      <c r="D848" s="58"/>
      <c r="E848" s="58"/>
      <c r="F848" s="58"/>
      <c r="G848" s="58"/>
      <c r="H848" s="59"/>
      <c r="I848" s="59"/>
      <c r="J848" s="59"/>
      <c r="K848" s="59"/>
      <c r="L848" s="59"/>
      <c r="M848" s="60"/>
      <c r="N848" s="60"/>
      <c r="O848" s="60"/>
      <c r="P848" s="59"/>
      <c r="Q848" s="59"/>
      <c r="R848" s="60"/>
      <c r="S848" s="60"/>
      <c r="T848" s="60"/>
      <c r="U848" s="60"/>
      <c r="V848" s="60"/>
      <c r="W848" s="60"/>
    </row>
    <row r="849" spans="1:23" ht="13" x14ac:dyDescent="0.3">
      <c r="A849" s="58"/>
      <c r="B849" s="58"/>
      <c r="C849" s="58"/>
      <c r="D849" s="58"/>
      <c r="E849" s="58"/>
      <c r="F849" s="58"/>
      <c r="G849" s="58"/>
      <c r="H849" s="59"/>
      <c r="I849" s="59"/>
      <c r="J849" s="59"/>
      <c r="K849" s="59"/>
      <c r="L849" s="59"/>
      <c r="M849" s="60"/>
      <c r="N849" s="60"/>
      <c r="O849" s="60"/>
      <c r="P849" s="59"/>
      <c r="Q849" s="59"/>
      <c r="R849" s="60"/>
      <c r="S849" s="60"/>
      <c r="T849" s="60"/>
      <c r="U849" s="60"/>
      <c r="V849" s="60"/>
      <c r="W849" s="60"/>
    </row>
    <row r="850" spans="1:23" ht="13" x14ac:dyDescent="0.3">
      <c r="A850" s="58"/>
      <c r="B850" s="58"/>
      <c r="C850" s="58"/>
      <c r="D850" s="58"/>
      <c r="E850" s="58"/>
      <c r="F850" s="58"/>
      <c r="G850" s="58"/>
      <c r="H850" s="59"/>
      <c r="I850" s="59"/>
      <c r="J850" s="59"/>
      <c r="K850" s="59"/>
      <c r="L850" s="59"/>
      <c r="M850" s="60"/>
      <c r="N850" s="60"/>
      <c r="O850" s="60"/>
      <c r="P850" s="59"/>
      <c r="Q850" s="59"/>
      <c r="R850" s="60"/>
      <c r="S850" s="60"/>
      <c r="T850" s="60"/>
      <c r="U850" s="60"/>
      <c r="V850" s="60"/>
      <c r="W850" s="60"/>
    </row>
    <row r="851" spans="1:23" ht="13" x14ac:dyDescent="0.3">
      <c r="A851" s="58"/>
      <c r="B851" s="58"/>
      <c r="C851" s="58"/>
      <c r="D851" s="58"/>
      <c r="E851" s="58"/>
      <c r="F851" s="58"/>
      <c r="G851" s="58"/>
      <c r="H851" s="59"/>
      <c r="I851" s="59"/>
      <c r="J851" s="59"/>
      <c r="K851" s="59"/>
      <c r="L851" s="59"/>
      <c r="M851" s="60"/>
      <c r="N851" s="60"/>
      <c r="O851" s="60"/>
      <c r="P851" s="59"/>
      <c r="Q851" s="59"/>
      <c r="R851" s="60"/>
      <c r="S851" s="60"/>
      <c r="T851" s="60"/>
      <c r="U851" s="60"/>
      <c r="V851" s="60"/>
      <c r="W851" s="60"/>
    </row>
    <row r="852" spans="1:23" ht="13" x14ac:dyDescent="0.3">
      <c r="A852" s="58"/>
      <c r="B852" s="58"/>
      <c r="C852" s="58"/>
      <c r="D852" s="58"/>
      <c r="E852" s="58"/>
      <c r="F852" s="58"/>
      <c r="G852" s="58"/>
      <c r="H852" s="59"/>
      <c r="I852" s="59"/>
      <c r="J852" s="59"/>
      <c r="K852" s="59"/>
      <c r="L852" s="59"/>
      <c r="M852" s="60"/>
      <c r="N852" s="60"/>
      <c r="O852" s="60"/>
      <c r="P852" s="59"/>
      <c r="Q852" s="59"/>
      <c r="R852" s="60"/>
      <c r="S852" s="60"/>
      <c r="T852" s="60"/>
      <c r="U852" s="60"/>
      <c r="V852" s="60"/>
      <c r="W852" s="60"/>
    </row>
    <row r="853" spans="1:23" ht="13" x14ac:dyDescent="0.3">
      <c r="A853" s="58"/>
      <c r="B853" s="58"/>
      <c r="C853" s="58"/>
      <c r="D853" s="58"/>
      <c r="E853" s="58"/>
      <c r="F853" s="58"/>
      <c r="G853" s="58"/>
      <c r="H853" s="59"/>
      <c r="I853" s="59"/>
      <c r="J853" s="59"/>
      <c r="K853" s="59"/>
      <c r="L853" s="59"/>
      <c r="M853" s="60"/>
      <c r="N853" s="60"/>
      <c r="O853" s="60"/>
      <c r="P853" s="59"/>
      <c r="Q853" s="59"/>
      <c r="R853" s="60"/>
      <c r="S853" s="60"/>
      <c r="T853" s="60"/>
      <c r="U853" s="60"/>
      <c r="V853" s="60"/>
      <c r="W853" s="60"/>
    </row>
    <row r="854" spans="1:23" ht="13" x14ac:dyDescent="0.3">
      <c r="A854" s="58"/>
      <c r="B854" s="58"/>
      <c r="C854" s="58"/>
      <c r="D854" s="58"/>
      <c r="E854" s="58"/>
      <c r="F854" s="58"/>
      <c r="G854" s="58"/>
      <c r="H854" s="59"/>
      <c r="I854" s="59"/>
      <c r="J854" s="59"/>
      <c r="K854" s="59"/>
      <c r="L854" s="59"/>
      <c r="M854" s="60"/>
      <c r="N854" s="60"/>
      <c r="O854" s="60"/>
      <c r="P854" s="59"/>
      <c r="Q854" s="59"/>
      <c r="R854" s="60"/>
      <c r="S854" s="60"/>
      <c r="T854" s="60"/>
      <c r="U854" s="60"/>
      <c r="V854" s="60"/>
      <c r="W854" s="60"/>
    </row>
    <row r="855" spans="1:23" ht="13" x14ac:dyDescent="0.3">
      <c r="A855" s="58"/>
      <c r="B855" s="58"/>
      <c r="C855" s="58"/>
      <c r="D855" s="58"/>
      <c r="E855" s="58"/>
      <c r="F855" s="58"/>
      <c r="G855" s="58"/>
      <c r="H855" s="59"/>
      <c r="I855" s="59"/>
      <c r="J855" s="59"/>
      <c r="K855" s="59"/>
      <c r="L855" s="59"/>
      <c r="M855" s="60"/>
      <c r="N855" s="60"/>
      <c r="O855" s="60"/>
      <c r="P855" s="59"/>
      <c r="Q855" s="59"/>
      <c r="R855" s="60"/>
      <c r="S855" s="60"/>
      <c r="T855" s="60"/>
      <c r="U855" s="60"/>
      <c r="V855" s="60"/>
      <c r="W855" s="60"/>
    </row>
    <row r="856" spans="1:23" ht="13" x14ac:dyDescent="0.3">
      <c r="A856" s="58"/>
      <c r="B856" s="58"/>
      <c r="C856" s="58"/>
      <c r="D856" s="58"/>
      <c r="E856" s="58"/>
      <c r="F856" s="58"/>
      <c r="G856" s="58"/>
      <c r="H856" s="59"/>
      <c r="I856" s="59"/>
      <c r="J856" s="59"/>
      <c r="K856" s="59"/>
      <c r="L856" s="59"/>
      <c r="M856" s="60"/>
      <c r="N856" s="60"/>
      <c r="O856" s="60"/>
      <c r="P856" s="59"/>
      <c r="Q856" s="59"/>
      <c r="R856" s="60"/>
      <c r="S856" s="60"/>
      <c r="T856" s="60"/>
      <c r="U856" s="60"/>
      <c r="V856" s="60"/>
      <c r="W856" s="60"/>
    </row>
    <row r="857" spans="1:23" ht="13" x14ac:dyDescent="0.3">
      <c r="A857" s="58"/>
      <c r="B857" s="58"/>
      <c r="C857" s="58"/>
      <c r="D857" s="58"/>
      <c r="E857" s="58"/>
      <c r="F857" s="58"/>
      <c r="G857" s="58"/>
      <c r="H857" s="59"/>
      <c r="I857" s="59"/>
      <c r="J857" s="59"/>
      <c r="K857" s="59"/>
      <c r="L857" s="59"/>
      <c r="M857" s="60"/>
      <c r="N857" s="60"/>
      <c r="O857" s="60"/>
      <c r="P857" s="59"/>
      <c r="Q857" s="59"/>
      <c r="R857" s="60"/>
      <c r="S857" s="60"/>
      <c r="T857" s="60"/>
      <c r="U857" s="60"/>
      <c r="V857" s="60"/>
      <c r="W857" s="60"/>
    </row>
    <row r="858" spans="1:23" ht="13" x14ac:dyDescent="0.3">
      <c r="A858" s="58"/>
      <c r="B858" s="58"/>
      <c r="C858" s="58"/>
      <c r="D858" s="58"/>
      <c r="E858" s="58"/>
      <c r="F858" s="58"/>
      <c r="G858" s="58"/>
      <c r="H858" s="59"/>
      <c r="I858" s="59"/>
      <c r="J858" s="59"/>
      <c r="K858" s="59"/>
      <c r="L858" s="59"/>
      <c r="M858" s="60"/>
      <c r="N858" s="60"/>
      <c r="O858" s="60"/>
      <c r="P858" s="59"/>
      <c r="Q858" s="59"/>
      <c r="R858" s="60"/>
      <c r="S858" s="60"/>
      <c r="T858" s="60"/>
      <c r="U858" s="60"/>
      <c r="V858" s="60"/>
      <c r="W858" s="60"/>
    </row>
    <row r="859" spans="1:23" ht="13" x14ac:dyDescent="0.3">
      <c r="A859" s="58"/>
      <c r="B859" s="58"/>
      <c r="C859" s="58"/>
      <c r="D859" s="58"/>
      <c r="E859" s="58"/>
      <c r="F859" s="58"/>
      <c r="G859" s="58"/>
      <c r="H859" s="59"/>
      <c r="I859" s="59"/>
      <c r="J859" s="59"/>
      <c r="K859" s="59"/>
      <c r="L859" s="59"/>
      <c r="M859" s="60"/>
      <c r="N859" s="60"/>
      <c r="O859" s="60"/>
      <c r="P859" s="59"/>
      <c r="Q859" s="59"/>
      <c r="R859" s="60"/>
      <c r="S859" s="60"/>
      <c r="T859" s="60"/>
      <c r="U859" s="60"/>
      <c r="V859" s="60"/>
      <c r="W859" s="60"/>
    </row>
    <row r="860" spans="1:23" ht="13" x14ac:dyDescent="0.3">
      <c r="A860" s="58"/>
      <c r="B860" s="58"/>
      <c r="C860" s="58"/>
      <c r="D860" s="58"/>
      <c r="E860" s="58"/>
      <c r="F860" s="58"/>
      <c r="G860" s="58"/>
      <c r="H860" s="59"/>
      <c r="I860" s="59"/>
      <c r="J860" s="59"/>
      <c r="K860" s="59"/>
      <c r="L860" s="59"/>
      <c r="M860" s="60"/>
      <c r="N860" s="60"/>
      <c r="O860" s="60"/>
      <c r="P860" s="59"/>
      <c r="Q860" s="59"/>
      <c r="R860" s="60"/>
      <c r="S860" s="60"/>
      <c r="T860" s="60"/>
      <c r="U860" s="60"/>
      <c r="V860" s="60"/>
      <c r="W860" s="60"/>
    </row>
    <row r="861" spans="1:23" ht="13" x14ac:dyDescent="0.3">
      <c r="A861" s="58"/>
      <c r="B861" s="58"/>
      <c r="C861" s="58"/>
      <c r="D861" s="58"/>
      <c r="E861" s="58"/>
      <c r="F861" s="58"/>
      <c r="G861" s="58"/>
      <c r="H861" s="59"/>
      <c r="I861" s="59"/>
      <c r="J861" s="59"/>
      <c r="K861" s="59"/>
      <c r="L861" s="59"/>
      <c r="M861" s="60"/>
      <c r="N861" s="60"/>
      <c r="O861" s="60"/>
      <c r="P861" s="59"/>
      <c r="Q861" s="59"/>
      <c r="R861" s="60"/>
      <c r="S861" s="60"/>
      <c r="T861" s="60"/>
      <c r="U861" s="60"/>
      <c r="V861" s="60"/>
      <c r="W861" s="60"/>
    </row>
    <row r="862" spans="1:23" ht="13" x14ac:dyDescent="0.3">
      <c r="A862" s="58"/>
      <c r="B862" s="58"/>
      <c r="C862" s="58"/>
      <c r="D862" s="58"/>
      <c r="E862" s="58"/>
      <c r="F862" s="58"/>
      <c r="G862" s="58"/>
      <c r="H862" s="59"/>
      <c r="I862" s="59"/>
      <c r="J862" s="59"/>
      <c r="K862" s="59"/>
      <c r="L862" s="59"/>
      <c r="M862" s="60"/>
      <c r="N862" s="60"/>
      <c r="O862" s="60"/>
      <c r="P862" s="59"/>
      <c r="Q862" s="59"/>
      <c r="R862" s="60"/>
      <c r="S862" s="60"/>
      <c r="T862" s="60"/>
      <c r="U862" s="60"/>
      <c r="V862" s="60"/>
      <c r="W862" s="60"/>
    </row>
    <row r="863" spans="1:23" ht="13" x14ac:dyDescent="0.3">
      <c r="A863" s="58"/>
      <c r="B863" s="58"/>
      <c r="C863" s="58"/>
      <c r="D863" s="58"/>
      <c r="E863" s="58"/>
      <c r="F863" s="58"/>
      <c r="G863" s="58"/>
      <c r="H863" s="59"/>
      <c r="I863" s="59"/>
      <c r="J863" s="59"/>
      <c r="K863" s="59"/>
      <c r="L863" s="59"/>
      <c r="M863" s="60"/>
      <c r="N863" s="60"/>
      <c r="O863" s="60"/>
      <c r="P863" s="59"/>
      <c r="Q863" s="59"/>
      <c r="R863" s="60"/>
      <c r="S863" s="60"/>
      <c r="T863" s="60"/>
      <c r="U863" s="60"/>
      <c r="V863" s="60"/>
      <c r="W863" s="60"/>
    </row>
    <row r="864" spans="1:23" ht="13" x14ac:dyDescent="0.3">
      <c r="A864" s="58"/>
      <c r="B864" s="58"/>
      <c r="C864" s="58"/>
      <c r="D864" s="58"/>
      <c r="E864" s="58"/>
      <c r="F864" s="58"/>
      <c r="G864" s="58"/>
      <c r="H864" s="59"/>
      <c r="I864" s="59"/>
      <c r="J864" s="59"/>
      <c r="K864" s="59"/>
      <c r="L864" s="59"/>
      <c r="M864" s="60"/>
      <c r="N864" s="60"/>
      <c r="O864" s="60"/>
      <c r="P864" s="59"/>
      <c r="Q864" s="59"/>
      <c r="R864" s="60"/>
      <c r="S864" s="60"/>
      <c r="T864" s="60"/>
      <c r="U864" s="60"/>
      <c r="V864" s="60"/>
      <c r="W864" s="60"/>
    </row>
    <row r="865" spans="1:23" ht="13" x14ac:dyDescent="0.3">
      <c r="A865" s="58"/>
      <c r="B865" s="58"/>
      <c r="C865" s="58"/>
      <c r="D865" s="58"/>
      <c r="E865" s="58"/>
      <c r="F865" s="58"/>
      <c r="G865" s="58"/>
      <c r="H865" s="59"/>
      <c r="I865" s="59"/>
      <c r="J865" s="59"/>
      <c r="K865" s="59"/>
      <c r="L865" s="59"/>
      <c r="M865" s="60"/>
      <c r="N865" s="60"/>
      <c r="O865" s="60"/>
      <c r="P865" s="59"/>
      <c r="Q865" s="59"/>
      <c r="R865" s="60"/>
      <c r="S865" s="60"/>
      <c r="T865" s="60"/>
      <c r="U865" s="60"/>
      <c r="V865" s="60"/>
      <c r="W865" s="60"/>
    </row>
    <row r="866" spans="1:23" ht="13" x14ac:dyDescent="0.3">
      <c r="A866" s="58"/>
      <c r="B866" s="58"/>
      <c r="C866" s="58"/>
      <c r="D866" s="58"/>
      <c r="E866" s="58"/>
      <c r="F866" s="58"/>
      <c r="G866" s="58"/>
      <c r="H866" s="59"/>
      <c r="I866" s="59"/>
      <c r="J866" s="59"/>
      <c r="K866" s="59"/>
      <c r="L866" s="59"/>
      <c r="M866" s="60"/>
      <c r="N866" s="60"/>
      <c r="O866" s="60"/>
      <c r="P866" s="59"/>
      <c r="Q866" s="59"/>
      <c r="R866" s="60"/>
      <c r="S866" s="60"/>
      <c r="T866" s="60"/>
      <c r="U866" s="60"/>
      <c r="V866" s="60"/>
      <c r="W866" s="60"/>
    </row>
    <row r="867" spans="1:23" ht="13" x14ac:dyDescent="0.3">
      <c r="A867" s="58"/>
      <c r="B867" s="58"/>
      <c r="C867" s="58"/>
      <c r="D867" s="58"/>
      <c r="E867" s="58"/>
      <c r="F867" s="58"/>
      <c r="G867" s="58"/>
      <c r="H867" s="59"/>
      <c r="I867" s="59"/>
      <c r="J867" s="59"/>
      <c r="K867" s="59"/>
      <c r="L867" s="59"/>
      <c r="M867" s="60"/>
      <c r="N867" s="60"/>
      <c r="O867" s="60"/>
      <c r="P867" s="59"/>
      <c r="Q867" s="59"/>
      <c r="R867" s="60"/>
      <c r="S867" s="60"/>
      <c r="T867" s="60"/>
      <c r="U867" s="60"/>
      <c r="V867" s="60"/>
      <c r="W867" s="60"/>
    </row>
    <row r="868" spans="1:23" ht="13" x14ac:dyDescent="0.3">
      <c r="A868" s="58"/>
      <c r="B868" s="58"/>
      <c r="C868" s="58"/>
      <c r="D868" s="58"/>
      <c r="E868" s="58"/>
      <c r="F868" s="58"/>
      <c r="G868" s="58"/>
      <c r="H868" s="59"/>
      <c r="I868" s="59"/>
      <c r="J868" s="59"/>
      <c r="K868" s="59"/>
      <c r="L868" s="59"/>
      <c r="M868" s="60"/>
      <c r="N868" s="60"/>
      <c r="O868" s="60"/>
      <c r="P868" s="59"/>
      <c r="Q868" s="59"/>
      <c r="R868" s="60"/>
      <c r="S868" s="60"/>
      <c r="T868" s="60"/>
      <c r="U868" s="60"/>
      <c r="V868" s="60"/>
      <c r="W868" s="60"/>
    </row>
    <row r="869" spans="1:23" ht="13" x14ac:dyDescent="0.3">
      <c r="A869" s="58"/>
      <c r="B869" s="58"/>
      <c r="C869" s="58"/>
      <c r="D869" s="58"/>
      <c r="E869" s="58"/>
      <c r="F869" s="58"/>
      <c r="G869" s="58"/>
      <c r="H869" s="59"/>
      <c r="I869" s="59"/>
      <c r="J869" s="59"/>
      <c r="K869" s="59"/>
      <c r="L869" s="59"/>
      <c r="M869" s="60"/>
      <c r="N869" s="60"/>
      <c r="O869" s="60"/>
      <c r="P869" s="59"/>
      <c r="Q869" s="59"/>
      <c r="R869" s="60"/>
      <c r="S869" s="60"/>
      <c r="T869" s="60"/>
      <c r="U869" s="60"/>
      <c r="V869" s="60"/>
      <c r="W869" s="60"/>
    </row>
    <row r="870" spans="1:23" ht="13" x14ac:dyDescent="0.3">
      <c r="A870" s="58"/>
      <c r="B870" s="58"/>
      <c r="C870" s="58"/>
      <c r="D870" s="58"/>
      <c r="E870" s="58"/>
      <c r="F870" s="58"/>
      <c r="G870" s="58"/>
      <c r="H870" s="59"/>
      <c r="I870" s="59"/>
      <c r="J870" s="59"/>
      <c r="K870" s="59"/>
      <c r="L870" s="59"/>
      <c r="M870" s="60"/>
      <c r="N870" s="60"/>
      <c r="O870" s="60"/>
      <c r="P870" s="59"/>
      <c r="Q870" s="59"/>
      <c r="R870" s="60"/>
      <c r="S870" s="60"/>
      <c r="T870" s="60"/>
      <c r="U870" s="60"/>
      <c r="V870" s="60"/>
      <c r="W870" s="60"/>
    </row>
    <row r="871" spans="1:23" ht="13" x14ac:dyDescent="0.3">
      <c r="A871" s="58"/>
      <c r="B871" s="58"/>
      <c r="C871" s="58"/>
      <c r="D871" s="58"/>
      <c r="E871" s="58"/>
      <c r="F871" s="58"/>
      <c r="G871" s="58"/>
      <c r="H871" s="59"/>
      <c r="I871" s="59"/>
      <c r="J871" s="59"/>
      <c r="K871" s="59"/>
      <c r="L871" s="59"/>
      <c r="M871" s="60"/>
      <c r="N871" s="60"/>
      <c r="O871" s="60"/>
      <c r="P871" s="59"/>
      <c r="Q871" s="59"/>
      <c r="R871" s="60"/>
      <c r="S871" s="60"/>
      <c r="T871" s="60"/>
      <c r="U871" s="60"/>
      <c r="V871" s="60"/>
      <c r="W871" s="60"/>
    </row>
    <row r="872" spans="1:23" ht="13" x14ac:dyDescent="0.3">
      <c r="A872" s="58"/>
      <c r="B872" s="58"/>
      <c r="C872" s="58"/>
      <c r="D872" s="58"/>
      <c r="E872" s="58"/>
      <c r="F872" s="58"/>
      <c r="G872" s="58"/>
      <c r="H872" s="59"/>
      <c r="I872" s="59"/>
      <c r="J872" s="59"/>
      <c r="K872" s="59"/>
      <c r="L872" s="59"/>
      <c r="M872" s="60"/>
      <c r="N872" s="60"/>
      <c r="O872" s="60"/>
      <c r="P872" s="59"/>
      <c r="Q872" s="59"/>
      <c r="R872" s="60"/>
      <c r="S872" s="60"/>
      <c r="T872" s="60"/>
      <c r="U872" s="60"/>
      <c r="V872" s="60"/>
      <c r="W872" s="60"/>
    </row>
    <row r="873" spans="1:23" ht="13" x14ac:dyDescent="0.3">
      <c r="A873" s="58"/>
      <c r="B873" s="58"/>
      <c r="C873" s="58"/>
      <c r="D873" s="58"/>
      <c r="E873" s="58"/>
      <c r="F873" s="58"/>
      <c r="G873" s="58"/>
      <c r="H873" s="59"/>
      <c r="I873" s="59"/>
      <c r="J873" s="59"/>
      <c r="K873" s="59"/>
      <c r="L873" s="59"/>
      <c r="M873" s="60"/>
      <c r="N873" s="60"/>
      <c r="O873" s="60"/>
      <c r="P873" s="59"/>
      <c r="Q873" s="59"/>
      <c r="R873" s="60"/>
      <c r="S873" s="60"/>
      <c r="T873" s="60"/>
      <c r="U873" s="60"/>
      <c r="V873" s="60"/>
      <c r="W873" s="60"/>
    </row>
    <row r="874" spans="1:23" ht="13" x14ac:dyDescent="0.3">
      <c r="A874" s="58"/>
      <c r="B874" s="58"/>
      <c r="C874" s="58"/>
      <c r="D874" s="58"/>
      <c r="E874" s="58"/>
      <c r="F874" s="58"/>
      <c r="G874" s="58"/>
      <c r="H874" s="59"/>
      <c r="I874" s="59"/>
      <c r="J874" s="59"/>
      <c r="K874" s="59"/>
      <c r="L874" s="59"/>
      <c r="M874" s="60"/>
      <c r="N874" s="60"/>
      <c r="O874" s="60"/>
      <c r="P874" s="59"/>
      <c r="Q874" s="59"/>
      <c r="R874" s="60"/>
      <c r="S874" s="60"/>
      <c r="T874" s="60"/>
      <c r="U874" s="60"/>
      <c r="V874" s="60"/>
      <c r="W874" s="60"/>
    </row>
    <row r="875" spans="1:23" ht="13" x14ac:dyDescent="0.3">
      <c r="A875" s="58"/>
      <c r="B875" s="58"/>
      <c r="C875" s="58"/>
      <c r="D875" s="58"/>
      <c r="E875" s="58"/>
      <c r="F875" s="58"/>
      <c r="G875" s="58"/>
      <c r="H875" s="59"/>
      <c r="I875" s="59"/>
      <c r="J875" s="59"/>
      <c r="K875" s="59"/>
      <c r="L875" s="59"/>
      <c r="M875" s="60"/>
      <c r="N875" s="60"/>
      <c r="O875" s="60"/>
      <c r="P875" s="59"/>
      <c r="Q875" s="59"/>
      <c r="R875" s="60"/>
      <c r="S875" s="60"/>
      <c r="T875" s="60"/>
      <c r="U875" s="60"/>
      <c r="V875" s="60"/>
      <c r="W875" s="60"/>
    </row>
    <row r="876" spans="1:23" ht="13" x14ac:dyDescent="0.3">
      <c r="A876" s="58"/>
      <c r="B876" s="58"/>
      <c r="C876" s="58"/>
      <c r="D876" s="58"/>
      <c r="E876" s="58"/>
      <c r="F876" s="58"/>
      <c r="G876" s="58"/>
      <c r="H876" s="59"/>
      <c r="I876" s="59"/>
      <c r="J876" s="59"/>
      <c r="K876" s="59"/>
      <c r="L876" s="59"/>
      <c r="M876" s="60"/>
      <c r="N876" s="60"/>
      <c r="O876" s="60"/>
      <c r="P876" s="59"/>
      <c r="Q876" s="59"/>
      <c r="R876" s="60"/>
      <c r="S876" s="60"/>
      <c r="T876" s="60"/>
      <c r="U876" s="60"/>
      <c r="V876" s="60"/>
      <c r="W876" s="60"/>
    </row>
    <row r="877" spans="1:23" ht="13" x14ac:dyDescent="0.3">
      <c r="A877" s="58"/>
      <c r="B877" s="58"/>
      <c r="C877" s="58"/>
      <c r="D877" s="58"/>
      <c r="E877" s="58"/>
      <c r="F877" s="58"/>
      <c r="G877" s="58"/>
      <c r="H877" s="59"/>
      <c r="I877" s="59"/>
      <c r="J877" s="59"/>
      <c r="K877" s="59"/>
      <c r="L877" s="59"/>
      <c r="M877" s="60"/>
      <c r="N877" s="60"/>
      <c r="O877" s="60"/>
      <c r="P877" s="59"/>
      <c r="Q877" s="59"/>
      <c r="R877" s="60"/>
      <c r="S877" s="60"/>
      <c r="T877" s="60"/>
      <c r="U877" s="60"/>
      <c r="V877" s="60"/>
      <c r="W877" s="60"/>
    </row>
    <row r="878" spans="1:23" ht="13" x14ac:dyDescent="0.3">
      <c r="A878" s="58"/>
      <c r="B878" s="58"/>
      <c r="C878" s="58"/>
      <c r="D878" s="58"/>
      <c r="E878" s="58"/>
      <c r="F878" s="58"/>
      <c r="G878" s="58"/>
      <c r="H878" s="59"/>
      <c r="I878" s="59"/>
      <c r="J878" s="59"/>
      <c r="K878" s="59"/>
      <c r="L878" s="59"/>
      <c r="M878" s="60"/>
      <c r="N878" s="60"/>
      <c r="O878" s="60"/>
      <c r="P878" s="59"/>
      <c r="Q878" s="59"/>
      <c r="R878" s="60"/>
      <c r="S878" s="60"/>
      <c r="T878" s="60"/>
      <c r="U878" s="60"/>
      <c r="V878" s="60"/>
      <c r="W878" s="60"/>
    </row>
    <row r="879" spans="1:23" ht="13" x14ac:dyDescent="0.3">
      <c r="A879" s="58"/>
      <c r="B879" s="58"/>
      <c r="C879" s="58"/>
      <c r="D879" s="58"/>
      <c r="E879" s="58"/>
      <c r="F879" s="58"/>
      <c r="G879" s="58"/>
      <c r="H879" s="59"/>
      <c r="I879" s="59"/>
      <c r="J879" s="59"/>
      <c r="K879" s="59"/>
      <c r="L879" s="59"/>
      <c r="M879" s="60"/>
      <c r="N879" s="60"/>
      <c r="O879" s="60"/>
      <c r="P879" s="59"/>
      <c r="Q879" s="59"/>
      <c r="R879" s="60"/>
      <c r="S879" s="60"/>
      <c r="T879" s="60"/>
      <c r="U879" s="60"/>
      <c r="V879" s="60"/>
      <c r="W879" s="60"/>
    </row>
    <row r="880" spans="1:23" ht="13" x14ac:dyDescent="0.3">
      <c r="A880" s="58"/>
      <c r="B880" s="58"/>
      <c r="C880" s="58"/>
      <c r="D880" s="58"/>
      <c r="E880" s="58"/>
      <c r="F880" s="58"/>
      <c r="G880" s="58"/>
      <c r="H880" s="59"/>
      <c r="I880" s="59"/>
      <c r="J880" s="59"/>
      <c r="K880" s="59"/>
      <c r="L880" s="59"/>
      <c r="M880" s="60"/>
      <c r="N880" s="60"/>
      <c r="O880" s="60"/>
      <c r="P880" s="59"/>
      <c r="Q880" s="59"/>
      <c r="R880" s="60"/>
      <c r="S880" s="60"/>
      <c r="T880" s="60"/>
      <c r="U880" s="60"/>
      <c r="V880" s="60"/>
      <c r="W880" s="60"/>
    </row>
    <row r="881" spans="1:23" ht="13" x14ac:dyDescent="0.3">
      <c r="A881" s="58"/>
      <c r="B881" s="58"/>
      <c r="C881" s="58"/>
      <c r="D881" s="58"/>
      <c r="E881" s="58"/>
      <c r="F881" s="58"/>
      <c r="G881" s="58"/>
      <c r="H881" s="59"/>
      <c r="I881" s="59"/>
      <c r="J881" s="59"/>
      <c r="K881" s="59"/>
      <c r="L881" s="59"/>
      <c r="M881" s="60"/>
      <c r="N881" s="60"/>
      <c r="O881" s="60"/>
      <c r="P881" s="59"/>
      <c r="Q881" s="59"/>
      <c r="R881" s="60"/>
      <c r="S881" s="60"/>
      <c r="T881" s="60"/>
      <c r="U881" s="60"/>
      <c r="V881" s="60"/>
      <c r="W881" s="60"/>
    </row>
    <row r="882" spans="1:23" ht="13" x14ac:dyDescent="0.3">
      <c r="A882" s="58"/>
      <c r="B882" s="58"/>
      <c r="C882" s="58"/>
      <c r="D882" s="58"/>
      <c r="E882" s="58"/>
      <c r="F882" s="58"/>
      <c r="G882" s="58"/>
      <c r="H882" s="59"/>
      <c r="I882" s="59"/>
      <c r="J882" s="59"/>
      <c r="K882" s="59"/>
      <c r="L882" s="59"/>
      <c r="M882" s="60"/>
      <c r="N882" s="60"/>
      <c r="O882" s="60"/>
      <c r="P882" s="59"/>
      <c r="Q882" s="59"/>
      <c r="R882" s="60"/>
      <c r="S882" s="60"/>
      <c r="T882" s="60"/>
      <c r="U882" s="60"/>
      <c r="V882" s="60"/>
      <c r="W882" s="60"/>
    </row>
    <row r="883" spans="1:23" ht="13" x14ac:dyDescent="0.3">
      <c r="A883" s="58"/>
      <c r="B883" s="58"/>
      <c r="C883" s="58"/>
      <c r="D883" s="58"/>
      <c r="E883" s="58"/>
      <c r="F883" s="58"/>
      <c r="G883" s="58"/>
      <c r="H883" s="59"/>
      <c r="I883" s="59"/>
      <c r="J883" s="59"/>
      <c r="K883" s="59"/>
      <c r="L883" s="59"/>
      <c r="M883" s="60"/>
      <c r="N883" s="60"/>
      <c r="O883" s="60"/>
      <c r="P883" s="59"/>
      <c r="Q883" s="59"/>
      <c r="R883" s="60"/>
      <c r="S883" s="60"/>
      <c r="T883" s="60"/>
      <c r="U883" s="60"/>
      <c r="V883" s="60"/>
      <c r="W883" s="60"/>
    </row>
    <row r="884" spans="1:23" ht="13" x14ac:dyDescent="0.3">
      <c r="A884" s="58"/>
      <c r="B884" s="58"/>
      <c r="C884" s="58"/>
      <c r="D884" s="58"/>
      <c r="E884" s="58"/>
      <c r="F884" s="58"/>
      <c r="G884" s="58"/>
      <c r="H884" s="59"/>
      <c r="I884" s="59"/>
      <c r="J884" s="59"/>
      <c r="K884" s="59"/>
      <c r="L884" s="59"/>
      <c r="M884" s="60"/>
      <c r="N884" s="60"/>
      <c r="O884" s="60"/>
      <c r="P884" s="59"/>
      <c r="Q884" s="59"/>
      <c r="R884" s="60"/>
      <c r="S884" s="60"/>
      <c r="T884" s="60"/>
      <c r="U884" s="60"/>
      <c r="V884" s="60"/>
      <c r="W884" s="60"/>
    </row>
    <row r="885" spans="1:23" ht="13" x14ac:dyDescent="0.3">
      <c r="A885" s="58"/>
      <c r="B885" s="58"/>
      <c r="C885" s="58"/>
      <c r="D885" s="58"/>
      <c r="E885" s="58"/>
      <c r="F885" s="58"/>
      <c r="G885" s="58"/>
      <c r="H885" s="59"/>
      <c r="I885" s="59"/>
      <c r="J885" s="59"/>
      <c r="K885" s="59"/>
      <c r="L885" s="59"/>
      <c r="M885" s="60"/>
      <c r="N885" s="60"/>
      <c r="O885" s="60"/>
      <c r="P885" s="59"/>
      <c r="Q885" s="59"/>
      <c r="R885" s="60"/>
      <c r="S885" s="60"/>
      <c r="T885" s="60"/>
      <c r="U885" s="60"/>
      <c r="V885" s="60"/>
      <c r="W885" s="60"/>
    </row>
    <row r="886" spans="1:23" ht="13" x14ac:dyDescent="0.3">
      <c r="A886" s="58"/>
      <c r="B886" s="58"/>
      <c r="C886" s="58"/>
      <c r="D886" s="58"/>
      <c r="E886" s="58"/>
      <c r="F886" s="58"/>
      <c r="G886" s="58"/>
      <c r="H886" s="59"/>
      <c r="I886" s="59"/>
      <c r="J886" s="59"/>
      <c r="K886" s="59"/>
      <c r="L886" s="59"/>
      <c r="M886" s="60"/>
      <c r="N886" s="60"/>
      <c r="O886" s="60"/>
      <c r="P886" s="59"/>
      <c r="Q886" s="59"/>
      <c r="R886" s="60"/>
      <c r="S886" s="60"/>
      <c r="T886" s="60"/>
      <c r="U886" s="60"/>
      <c r="V886" s="60"/>
      <c r="W886" s="60"/>
    </row>
    <row r="887" spans="1:23" ht="13" x14ac:dyDescent="0.3">
      <c r="A887" s="58"/>
      <c r="B887" s="58"/>
      <c r="C887" s="58"/>
      <c r="D887" s="58"/>
      <c r="E887" s="58"/>
      <c r="F887" s="58"/>
      <c r="G887" s="58"/>
      <c r="H887" s="59"/>
      <c r="I887" s="59"/>
      <c r="J887" s="59"/>
      <c r="K887" s="59"/>
      <c r="L887" s="59"/>
      <c r="M887" s="60"/>
      <c r="N887" s="60"/>
      <c r="O887" s="60"/>
      <c r="P887" s="59"/>
      <c r="Q887" s="59"/>
      <c r="R887" s="60"/>
      <c r="S887" s="60"/>
      <c r="T887" s="60"/>
      <c r="U887" s="60"/>
      <c r="V887" s="60"/>
      <c r="W887" s="60"/>
    </row>
    <row r="888" spans="1:23" ht="13" x14ac:dyDescent="0.3">
      <c r="A888" s="58"/>
      <c r="B888" s="58"/>
      <c r="C888" s="58"/>
      <c r="D888" s="58"/>
      <c r="E888" s="58"/>
      <c r="F888" s="58"/>
      <c r="G888" s="58"/>
      <c r="H888" s="59"/>
      <c r="I888" s="59"/>
      <c r="J888" s="59"/>
      <c r="K888" s="59"/>
      <c r="L888" s="59"/>
      <c r="M888" s="60"/>
      <c r="N888" s="60"/>
      <c r="O888" s="60"/>
      <c r="P888" s="59"/>
      <c r="Q888" s="59"/>
      <c r="R888" s="60"/>
      <c r="S888" s="60"/>
      <c r="T888" s="60"/>
      <c r="U888" s="60"/>
      <c r="V888" s="60"/>
      <c r="W888" s="60"/>
    </row>
    <row r="889" spans="1:23" ht="13" x14ac:dyDescent="0.3">
      <c r="A889" s="58"/>
      <c r="B889" s="58"/>
      <c r="C889" s="58"/>
      <c r="D889" s="58"/>
      <c r="E889" s="58"/>
      <c r="F889" s="58"/>
      <c r="G889" s="58"/>
      <c r="H889" s="59"/>
      <c r="I889" s="59"/>
      <c r="J889" s="59"/>
      <c r="K889" s="59"/>
      <c r="L889" s="59"/>
      <c r="M889" s="60"/>
      <c r="N889" s="60"/>
      <c r="O889" s="60"/>
      <c r="P889" s="59"/>
      <c r="Q889" s="59"/>
      <c r="R889" s="60"/>
      <c r="S889" s="60"/>
      <c r="T889" s="60"/>
      <c r="U889" s="60"/>
      <c r="V889" s="60"/>
      <c r="W889" s="60"/>
    </row>
    <row r="890" spans="1:23" ht="13" x14ac:dyDescent="0.3">
      <c r="A890" s="58"/>
      <c r="B890" s="58"/>
      <c r="C890" s="58"/>
      <c r="D890" s="58"/>
      <c r="E890" s="58"/>
      <c r="F890" s="58"/>
      <c r="G890" s="58"/>
      <c r="H890" s="59"/>
      <c r="I890" s="59"/>
      <c r="J890" s="59"/>
      <c r="K890" s="59"/>
      <c r="L890" s="59"/>
      <c r="M890" s="60"/>
      <c r="N890" s="60"/>
      <c r="O890" s="60"/>
      <c r="P890" s="59"/>
      <c r="Q890" s="59"/>
      <c r="R890" s="60"/>
      <c r="S890" s="60"/>
      <c r="T890" s="60"/>
      <c r="U890" s="60"/>
      <c r="V890" s="60"/>
      <c r="W890" s="60"/>
    </row>
    <row r="891" spans="1:23" ht="13" x14ac:dyDescent="0.3">
      <c r="A891" s="58"/>
      <c r="B891" s="58"/>
      <c r="C891" s="58"/>
      <c r="D891" s="58"/>
      <c r="E891" s="58"/>
      <c r="F891" s="58"/>
      <c r="G891" s="58"/>
      <c r="H891" s="59"/>
      <c r="I891" s="59"/>
      <c r="J891" s="59"/>
      <c r="K891" s="59"/>
      <c r="L891" s="59"/>
      <c r="M891" s="60"/>
      <c r="N891" s="60"/>
      <c r="O891" s="60"/>
      <c r="P891" s="59"/>
      <c r="Q891" s="59"/>
      <c r="R891" s="60"/>
      <c r="S891" s="60"/>
      <c r="T891" s="60"/>
      <c r="U891" s="60"/>
      <c r="V891" s="60"/>
      <c r="W891" s="60"/>
    </row>
    <row r="892" spans="1:23" ht="13" x14ac:dyDescent="0.3">
      <c r="A892" s="58"/>
      <c r="B892" s="58"/>
      <c r="C892" s="58"/>
      <c r="D892" s="58"/>
      <c r="E892" s="58"/>
      <c r="F892" s="58"/>
      <c r="G892" s="58"/>
      <c r="H892" s="59"/>
      <c r="I892" s="59"/>
      <c r="J892" s="59"/>
      <c r="K892" s="59"/>
      <c r="L892" s="59"/>
      <c r="M892" s="60"/>
      <c r="N892" s="60"/>
      <c r="O892" s="60"/>
      <c r="P892" s="59"/>
      <c r="Q892" s="59"/>
      <c r="R892" s="60"/>
      <c r="S892" s="60"/>
      <c r="T892" s="60"/>
      <c r="U892" s="60"/>
      <c r="V892" s="60"/>
      <c r="W892" s="60"/>
    </row>
    <row r="893" spans="1:23" ht="13" x14ac:dyDescent="0.3">
      <c r="A893" s="58"/>
      <c r="B893" s="58"/>
      <c r="C893" s="58"/>
      <c r="D893" s="58"/>
      <c r="E893" s="58"/>
      <c r="F893" s="58"/>
      <c r="G893" s="58"/>
      <c r="H893" s="59"/>
      <c r="I893" s="59"/>
      <c r="J893" s="59"/>
      <c r="K893" s="59"/>
      <c r="L893" s="59"/>
      <c r="M893" s="60"/>
      <c r="N893" s="60"/>
      <c r="O893" s="60"/>
      <c r="P893" s="59"/>
      <c r="Q893" s="59"/>
      <c r="R893" s="60"/>
      <c r="S893" s="60"/>
      <c r="T893" s="60"/>
      <c r="U893" s="60"/>
      <c r="V893" s="60"/>
      <c r="W893" s="60"/>
    </row>
    <row r="894" spans="1:23" ht="13" x14ac:dyDescent="0.3">
      <c r="A894" s="58"/>
      <c r="B894" s="58"/>
      <c r="C894" s="58"/>
      <c r="D894" s="58"/>
      <c r="E894" s="58"/>
      <c r="F894" s="58"/>
      <c r="G894" s="58"/>
      <c r="H894" s="59"/>
      <c r="I894" s="59"/>
      <c r="J894" s="59"/>
      <c r="K894" s="59"/>
      <c r="L894" s="59"/>
      <c r="M894" s="60"/>
      <c r="N894" s="60"/>
      <c r="O894" s="60"/>
      <c r="P894" s="59"/>
      <c r="Q894" s="59"/>
      <c r="R894" s="60"/>
      <c r="S894" s="60"/>
      <c r="T894" s="60"/>
      <c r="U894" s="60"/>
      <c r="V894" s="60"/>
      <c r="W894" s="60"/>
    </row>
    <row r="895" spans="1:23" ht="13" x14ac:dyDescent="0.3">
      <c r="A895" s="58"/>
      <c r="B895" s="58"/>
      <c r="C895" s="58"/>
      <c r="D895" s="58"/>
      <c r="E895" s="58"/>
      <c r="F895" s="58"/>
      <c r="G895" s="58"/>
      <c r="H895" s="59"/>
      <c r="I895" s="59"/>
      <c r="J895" s="59"/>
      <c r="K895" s="59"/>
      <c r="L895" s="59"/>
      <c r="M895" s="60"/>
      <c r="N895" s="60"/>
      <c r="O895" s="60"/>
      <c r="P895" s="59"/>
      <c r="Q895" s="59"/>
      <c r="R895" s="60"/>
      <c r="S895" s="60"/>
      <c r="T895" s="60"/>
      <c r="U895" s="60"/>
      <c r="V895" s="60"/>
      <c r="W895" s="60"/>
    </row>
    <row r="896" spans="1:23" ht="13" x14ac:dyDescent="0.3">
      <c r="A896" s="58"/>
      <c r="B896" s="58"/>
      <c r="C896" s="58"/>
      <c r="D896" s="58"/>
      <c r="E896" s="58"/>
      <c r="F896" s="58"/>
      <c r="G896" s="58"/>
      <c r="H896" s="59"/>
      <c r="I896" s="59"/>
      <c r="J896" s="59"/>
      <c r="K896" s="59"/>
      <c r="L896" s="59"/>
      <c r="M896" s="60"/>
      <c r="N896" s="60"/>
      <c r="O896" s="60"/>
      <c r="P896" s="59"/>
      <c r="Q896" s="59"/>
      <c r="R896" s="60"/>
      <c r="S896" s="60"/>
      <c r="T896" s="60"/>
      <c r="U896" s="60"/>
      <c r="V896" s="60"/>
      <c r="W896" s="60"/>
    </row>
    <row r="897" spans="1:23" ht="13" x14ac:dyDescent="0.3">
      <c r="A897" s="58"/>
      <c r="B897" s="58"/>
      <c r="C897" s="58"/>
      <c r="D897" s="58"/>
      <c r="E897" s="58"/>
      <c r="F897" s="58"/>
      <c r="G897" s="58"/>
      <c r="H897" s="59"/>
      <c r="I897" s="59"/>
      <c r="J897" s="59"/>
      <c r="K897" s="59"/>
      <c r="L897" s="59"/>
      <c r="M897" s="60"/>
      <c r="N897" s="60"/>
      <c r="O897" s="60"/>
      <c r="P897" s="59"/>
      <c r="Q897" s="59"/>
      <c r="R897" s="60"/>
      <c r="S897" s="60"/>
      <c r="T897" s="60"/>
      <c r="U897" s="60"/>
      <c r="V897" s="60"/>
      <c r="W897" s="60"/>
    </row>
    <row r="898" spans="1:23" ht="13" x14ac:dyDescent="0.3">
      <c r="A898" s="58"/>
      <c r="B898" s="58"/>
      <c r="C898" s="58"/>
      <c r="D898" s="58"/>
      <c r="E898" s="58"/>
      <c r="F898" s="58"/>
      <c r="G898" s="58"/>
      <c r="H898" s="59"/>
      <c r="I898" s="59"/>
      <c r="J898" s="59"/>
      <c r="K898" s="59"/>
      <c r="L898" s="59"/>
      <c r="M898" s="60"/>
      <c r="N898" s="60"/>
      <c r="O898" s="60"/>
      <c r="P898" s="59"/>
      <c r="Q898" s="59"/>
      <c r="R898" s="60"/>
      <c r="S898" s="60"/>
      <c r="T898" s="60"/>
      <c r="U898" s="60"/>
      <c r="V898" s="60"/>
      <c r="W898" s="60"/>
    </row>
    <row r="899" spans="1:23" ht="13" x14ac:dyDescent="0.3">
      <c r="A899" s="58"/>
      <c r="B899" s="58"/>
      <c r="C899" s="58"/>
      <c r="D899" s="58"/>
      <c r="E899" s="58"/>
      <c r="F899" s="58"/>
      <c r="G899" s="58"/>
      <c r="H899" s="59"/>
      <c r="I899" s="59"/>
      <c r="J899" s="59"/>
      <c r="K899" s="59"/>
      <c r="L899" s="59"/>
      <c r="M899" s="60"/>
      <c r="N899" s="60"/>
      <c r="O899" s="60"/>
      <c r="P899" s="59"/>
      <c r="Q899" s="59"/>
      <c r="R899" s="60"/>
      <c r="S899" s="60"/>
      <c r="T899" s="60"/>
      <c r="U899" s="60"/>
      <c r="V899" s="60"/>
      <c r="W899" s="60"/>
    </row>
    <row r="900" spans="1:23" ht="13" x14ac:dyDescent="0.3">
      <c r="A900" s="58"/>
      <c r="B900" s="58"/>
      <c r="C900" s="58"/>
      <c r="D900" s="58"/>
      <c r="E900" s="58"/>
      <c r="F900" s="58"/>
      <c r="G900" s="58"/>
      <c r="H900" s="59"/>
      <c r="I900" s="59"/>
      <c r="J900" s="59"/>
      <c r="K900" s="59"/>
      <c r="L900" s="59"/>
      <c r="M900" s="60"/>
      <c r="N900" s="60"/>
      <c r="O900" s="60"/>
      <c r="P900" s="59"/>
      <c r="Q900" s="59"/>
      <c r="R900" s="60"/>
      <c r="S900" s="60"/>
      <c r="T900" s="60"/>
      <c r="U900" s="60"/>
      <c r="V900" s="60"/>
      <c r="W900" s="60"/>
    </row>
    <row r="901" spans="1:23" ht="13" x14ac:dyDescent="0.3">
      <c r="A901" s="58"/>
      <c r="B901" s="58"/>
      <c r="C901" s="58"/>
      <c r="D901" s="58"/>
      <c r="E901" s="58"/>
      <c r="F901" s="58"/>
      <c r="G901" s="58"/>
      <c r="H901" s="59"/>
      <c r="I901" s="59"/>
      <c r="J901" s="59"/>
      <c r="K901" s="59"/>
      <c r="L901" s="59"/>
      <c r="M901" s="60"/>
      <c r="N901" s="60"/>
      <c r="O901" s="60"/>
      <c r="P901" s="59"/>
      <c r="Q901" s="59"/>
      <c r="R901" s="60"/>
      <c r="S901" s="60"/>
      <c r="T901" s="60"/>
      <c r="U901" s="60"/>
      <c r="V901" s="60"/>
      <c r="W901" s="60"/>
    </row>
    <row r="902" spans="1:23" ht="13" x14ac:dyDescent="0.3">
      <c r="A902" s="58"/>
      <c r="B902" s="58"/>
      <c r="C902" s="58"/>
      <c r="D902" s="58"/>
      <c r="E902" s="58"/>
      <c r="F902" s="58"/>
      <c r="G902" s="58"/>
      <c r="H902" s="59"/>
      <c r="I902" s="59"/>
      <c r="J902" s="59"/>
      <c r="K902" s="59"/>
      <c r="L902" s="59"/>
      <c r="M902" s="60"/>
      <c r="N902" s="60"/>
      <c r="O902" s="60"/>
      <c r="P902" s="59"/>
      <c r="Q902" s="59"/>
      <c r="R902" s="60"/>
      <c r="S902" s="60"/>
      <c r="T902" s="60"/>
      <c r="U902" s="60"/>
      <c r="V902" s="60"/>
      <c r="W902" s="60"/>
    </row>
    <row r="903" spans="1:23" ht="13" x14ac:dyDescent="0.3">
      <c r="A903" s="58"/>
      <c r="B903" s="58"/>
      <c r="C903" s="58"/>
      <c r="D903" s="58"/>
      <c r="E903" s="58"/>
      <c r="F903" s="58"/>
      <c r="G903" s="58"/>
      <c r="H903" s="59"/>
      <c r="I903" s="59"/>
      <c r="J903" s="59"/>
      <c r="K903" s="59"/>
      <c r="L903" s="59"/>
      <c r="M903" s="60"/>
      <c r="N903" s="60"/>
      <c r="O903" s="60"/>
      <c r="P903" s="59"/>
      <c r="Q903" s="59"/>
      <c r="R903" s="60"/>
      <c r="S903" s="60"/>
      <c r="T903" s="60"/>
      <c r="U903" s="60"/>
      <c r="V903" s="60"/>
      <c r="W903" s="60"/>
    </row>
    <row r="904" spans="1:23" ht="13" x14ac:dyDescent="0.3">
      <c r="A904" s="58"/>
      <c r="B904" s="58"/>
      <c r="C904" s="58"/>
      <c r="D904" s="58"/>
      <c r="E904" s="58"/>
      <c r="F904" s="58"/>
      <c r="G904" s="58"/>
      <c r="H904" s="59"/>
      <c r="I904" s="59"/>
      <c r="J904" s="59"/>
      <c r="K904" s="59"/>
      <c r="L904" s="59"/>
      <c r="M904" s="60"/>
      <c r="N904" s="60"/>
      <c r="O904" s="60"/>
      <c r="P904" s="59"/>
      <c r="Q904" s="59"/>
      <c r="R904" s="60"/>
      <c r="S904" s="60"/>
      <c r="T904" s="60"/>
      <c r="U904" s="60"/>
      <c r="V904" s="60"/>
      <c r="W904" s="60"/>
    </row>
    <row r="905" spans="1:23" ht="13" x14ac:dyDescent="0.3">
      <c r="A905" s="58"/>
      <c r="B905" s="58"/>
      <c r="C905" s="58"/>
      <c r="D905" s="58"/>
      <c r="E905" s="58"/>
      <c r="F905" s="58"/>
      <c r="G905" s="58"/>
      <c r="H905" s="59"/>
      <c r="I905" s="59"/>
      <c r="J905" s="59"/>
      <c r="K905" s="59"/>
      <c r="L905" s="59"/>
      <c r="M905" s="60"/>
      <c r="N905" s="60"/>
      <c r="O905" s="60"/>
      <c r="P905" s="59"/>
      <c r="Q905" s="59"/>
      <c r="R905" s="60"/>
      <c r="S905" s="60"/>
      <c r="T905" s="60"/>
      <c r="U905" s="60"/>
      <c r="V905" s="60"/>
      <c r="W905" s="60"/>
    </row>
    <row r="906" spans="1:23" ht="13" x14ac:dyDescent="0.3">
      <c r="A906" s="58"/>
      <c r="B906" s="58"/>
      <c r="C906" s="58"/>
      <c r="D906" s="58"/>
      <c r="E906" s="58"/>
      <c r="F906" s="58"/>
      <c r="G906" s="58"/>
      <c r="H906" s="59"/>
      <c r="I906" s="59"/>
      <c r="J906" s="59"/>
      <c r="K906" s="59"/>
      <c r="L906" s="59"/>
      <c r="M906" s="60"/>
      <c r="N906" s="60"/>
      <c r="O906" s="60"/>
      <c r="P906" s="59"/>
      <c r="Q906" s="59"/>
      <c r="R906" s="60"/>
      <c r="S906" s="60"/>
      <c r="T906" s="60"/>
      <c r="U906" s="60"/>
      <c r="V906" s="60"/>
      <c r="W906" s="60"/>
    </row>
    <row r="907" spans="1:23" ht="13" x14ac:dyDescent="0.3">
      <c r="A907" s="58"/>
      <c r="B907" s="58"/>
      <c r="C907" s="58"/>
      <c r="D907" s="58"/>
      <c r="E907" s="58"/>
      <c r="F907" s="58"/>
      <c r="G907" s="58"/>
      <c r="H907" s="59"/>
      <c r="I907" s="59"/>
      <c r="J907" s="59"/>
      <c r="K907" s="59"/>
      <c r="L907" s="59"/>
      <c r="M907" s="60"/>
      <c r="N907" s="60"/>
      <c r="O907" s="60"/>
      <c r="P907" s="59"/>
      <c r="Q907" s="59"/>
      <c r="R907" s="60"/>
      <c r="S907" s="60"/>
      <c r="T907" s="60"/>
      <c r="U907" s="60"/>
      <c r="V907" s="60"/>
      <c r="W907" s="60"/>
    </row>
    <row r="908" spans="1:23" ht="13" x14ac:dyDescent="0.3">
      <c r="A908" s="58"/>
      <c r="B908" s="58"/>
      <c r="C908" s="58"/>
      <c r="D908" s="58"/>
      <c r="E908" s="58"/>
      <c r="F908" s="58"/>
      <c r="G908" s="58"/>
      <c r="H908" s="59"/>
      <c r="I908" s="59"/>
      <c r="J908" s="59"/>
      <c r="K908" s="59"/>
      <c r="L908" s="59"/>
      <c r="M908" s="60"/>
      <c r="N908" s="60"/>
      <c r="O908" s="60"/>
      <c r="P908" s="59"/>
      <c r="Q908" s="59"/>
      <c r="R908" s="60"/>
      <c r="S908" s="60"/>
      <c r="T908" s="60"/>
      <c r="U908" s="60"/>
      <c r="V908" s="60"/>
      <c r="W908" s="60"/>
    </row>
    <row r="909" spans="1:23" ht="13" x14ac:dyDescent="0.3">
      <c r="A909" s="58"/>
      <c r="B909" s="58"/>
      <c r="C909" s="58"/>
      <c r="D909" s="58"/>
      <c r="E909" s="58"/>
      <c r="F909" s="58"/>
      <c r="G909" s="58"/>
      <c r="H909" s="59"/>
      <c r="I909" s="59"/>
      <c r="J909" s="59"/>
      <c r="K909" s="59"/>
      <c r="L909" s="59"/>
      <c r="M909" s="60"/>
      <c r="N909" s="60"/>
      <c r="O909" s="60"/>
      <c r="P909" s="59"/>
      <c r="Q909" s="59"/>
      <c r="R909" s="60"/>
      <c r="S909" s="60"/>
      <c r="T909" s="60"/>
      <c r="U909" s="60"/>
      <c r="V909" s="60"/>
      <c r="W909" s="60"/>
    </row>
    <row r="910" spans="1:23" ht="13" x14ac:dyDescent="0.3">
      <c r="A910" s="58"/>
      <c r="B910" s="58"/>
      <c r="C910" s="58"/>
      <c r="D910" s="58"/>
      <c r="E910" s="58"/>
      <c r="F910" s="58"/>
      <c r="G910" s="58"/>
      <c r="H910" s="59"/>
      <c r="I910" s="59"/>
      <c r="J910" s="59"/>
      <c r="K910" s="59"/>
      <c r="L910" s="59"/>
      <c r="M910" s="60"/>
      <c r="N910" s="60"/>
      <c r="O910" s="60"/>
      <c r="P910" s="59"/>
      <c r="Q910" s="59"/>
      <c r="R910" s="60"/>
      <c r="S910" s="60"/>
      <c r="T910" s="60"/>
      <c r="U910" s="60"/>
      <c r="V910" s="60"/>
      <c r="W910" s="60"/>
    </row>
    <row r="911" spans="1:23" ht="13" x14ac:dyDescent="0.3">
      <c r="A911" s="58"/>
      <c r="B911" s="58"/>
      <c r="C911" s="58"/>
      <c r="D911" s="58"/>
      <c r="E911" s="58"/>
      <c r="F911" s="58"/>
      <c r="G911" s="58"/>
      <c r="H911" s="59"/>
      <c r="I911" s="59"/>
      <c r="J911" s="59"/>
      <c r="K911" s="59"/>
      <c r="L911" s="59"/>
      <c r="M911" s="60"/>
      <c r="N911" s="60"/>
      <c r="O911" s="60"/>
      <c r="P911" s="59"/>
      <c r="Q911" s="59"/>
      <c r="R911" s="60"/>
      <c r="S911" s="60"/>
      <c r="T911" s="60"/>
      <c r="U911" s="60"/>
      <c r="V911" s="60"/>
      <c r="W911" s="60"/>
    </row>
    <row r="912" spans="1:23" ht="13" x14ac:dyDescent="0.3">
      <c r="A912" s="58"/>
      <c r="B912" s="58"/>
      <c r="C912" s="58"/>
      <c r="D912" s="58"/>
      <c r="E912" s="58"/>
      <c r="F912" s="58"/>
      <c r="G912" s="58"/>
      <c r="H912" s="59"/>
      <c r="I912" s="59"/>
      <c r="J912" s="59"/>
      <c r="K912" s="59"/>
      <c r="L912" s="59"/>
      <c r="M912" s="60"/>
      <c r="N912" s="60"/>
      <c r="O912" s="60"/>
      <c r="P912" s="59"/>
      <c r="Q912" s="59"/>
      <c r="R912" s="60"/>
      <c r="S912" s="60"/>
      <c r="T912" s="60"/>
      <c r="U912" s="60"/>
      <c r="V912" s="60"/>
      <c r="W912" s="60"/>
    </row>
    <row r="913" spans="1:23" ht="13" x14ac:dyDescent="0.3">
      <c r="A913" s="58"/>
      <c r="B913" s="58"/>
      <c r="C913" s="58"/>
      <c r="D913" s="58"/>
      <c r="E913" s="58"/>
      <c r="F913" s="58"/>
      <c r="G913" s="58"/>
      <c r="H913" s="59"/>
      <c r="I913" s="59"/>
      <c r="J913" s="59"/>
      <c r="K913" s="59"/>
      <c r="L913" s="59"/>
      <c r="M913" s="60"/>
      <c r="N913" s="60"/>
      <c r="O913" s="60"/>
      <c r="P913" s="59"/>
      <c r="Q913" s="59"/>
      <c r="R913" s="60"/>
      <c r="S913" s="60"/>
      <c r="T913" s="60"/>
      <c r="U913" s="60"/>
      <c r="V913" s="60"/>
      <c r="W913" s="60"/>
    </row>
    <row r="914" spans="1:23" ht="13" x14ac:dyDescent="0.3">
      <c r="A914" s="58"/>
      <c r="B914" s="58"/>
      <c r="C914" s="58"/>
      <c r="D914" s="58"/>
      <c r="E914" s="58"/>
      <c r="F914" s="58"/>
      <c r="G914" s="58"/>
      <c r="H914" s="59"/>
      <c r="I914" s="59"/>
      <c r="J914" s="59"/>
      <c r="K914" s="59"/>
      <c r="L914" s="59"/>
      <c r="M914" s="60"/>
      <c r="N914" s="60"/>
      <c r="O914" s="60"/>
      <c r="P914" s="59"/>
      <c r="Q914" s="59"/>
      <c r="R914" s="60"/>
      <c r="S914" s="60"/>
      <c r="T914" s="60"/>
      <c r="U914" s="60"/>
      <c r="V914" s="60"/>
      <c r="W914" s="60"/>
    </row>
    <row r="915" spans="1:23" ht="13" x14ac:dyDescent="0.3">
      <c r="A915" s="58"/>
      <c r="B915" s="58"/>
      <c r="C915" s="58"/>
      <c r="D915" s="58"/>
      <c r="E915" s="58"/>
      <c r="F915" s="58"/>
      <c r="G915" s="58"/>
      <c r="H915" s="59"/>
      <c r="I915" s="59"/>
      <c r="J915" s="59"/>
      <c r="K915" s="59"/>
      <c r="L915" s="59"/>
      <c r="M915" s="60"/>
      <c r="N915" s="60"/>
      <c r="O915" s="60"/>
      <c r="P915" s="59"/>
      <c r="Q915" s="59"/>
      <c r="R915" s="60"/>
      <c r="S915" s="60"/>
      <c r="T915" s="60"/>
      <c r="U915" s="60"/>
      <c r="V915" s="60"/>
      <c r="W915" s="60"/>
    </row>
    <row r="916" spans="1:23" ht="13" x14ac:dyDescent="0.3">
      <c r="A916" s="58"/>
      <c r="B916" s="58"/>
      <c r="C916" s="58"/>
      <c r="D916" s="58"/>
      <c r="E916" s="58"/>
      <c r="F916" s="58"/>
      <c r="G916" s="58"/>
      <c r="H916" s="59"/>
      <c r="I916" s="59"/>
      <c r="J916" s="59"/>
      <c r="K916" s="59"/>
      <c r="L916" s="59"/>
      <c r="M916" s="60"/>
      <c r="N916" s="60"/>
      <c r="O916" s="60"/>
      <c r="P916" s="59"/>
      <c r="Q916" s="59"/>
      <c r="R916" s="60"/>
      <c r="S916" s="60"/>
      <c r="T916" s="60"/>
      <c r="U916" s="60"/>
      <c r="V916" s="60"/>
      <c r="W916" s="60"/>
    </row>
    <row r="917" spans="1:23" ht="13" x14ac:dyDescent="0.3">
      <c r="A917" s="58"/>
      <c r="B917" s="58"/>
      <c r="C917" s="58"/>
      <c r="D917" s="58"/>
      <c r="E917" s="58"/>
      <c r="F917" s="58"/>
      <c r="G917" s="58"/>
      <c r="H917" s="59"/>
      <c r="I917" s="59"/>
      <c r="J917" s="59"/>
      <c r="K917" s="59"/>
      <c r="L917" s="59"/>
      <c r="M917" s="60"/>
      <c r="N917" s="60"/>
      <c r="O917" s="60"/>
      <c r="P917" s="59"/>
      <c r="Q917" s="59"/>
      <c r="R917" s="60"/>
      <c r="S917" s="60"/>
      <c r="T917" s="60"/>
      <c r="U917" s="60"/>
      <c r="V917" s="60"/>
      <c r="W917" s="60"/>
    </row>
    <row r="918" spans="1:23" ht="13" x14ac:dyDescent="0.3">
      <c r="A918" s="58"/>
      <c r="B918" s="58"/>
      <c r="C918" s="58"/>
      <c r="D918" s="58"/>
      <c r="E918" s="58"/>
      <c r="F918" s="58"/>
      <c r="G918" s="58"/>
      <c r="H918" s="59"/>
      <c r="I918" s="59"/>
      <c r="J918" s="59"/>
      <c r="K918" s="59"/>
      <c r="L918" s="59"/>
      <c r="M918" s="60"/>
      <c r="N918" s="60"/>
      <c r="O918" s="60"/>
      <c r="P918" s="59"/>
      <c r="Q918" s="59"/>
      <c r="R918" s="60"/>
      <c r="S918" s="60"/>
      <c r="T918" s="60"/>
      <c r="U918" s="60"/>
      <c r="V918" s="60"/>
      <c r="W918" s="60"/>
    </row>
    <row r="919" spans="1:23" ht="13" x14ac:dyDescent="0.3">
      <c r="A919" s="58"/>
      <c r="B919" s="58"/>
      <c r="C919" s="58"/>
      <c r="D919" s="58"/>
      <c r="E919" s="58"/>
      <c r="F919" s="58"/>
      <c r="G919" s="58"/>
      <c r="H919" s="59"/>
      <c r="I919" s="59"/>
      <c r="J919" s="59"/>
      <c r="K919" s="59"/>
      <c r="L919" s="59"/>
      <c r="M919" s="60"/>
      <c r="N919" s="60"/>
      <c r="O919" s="60"/>
      <c r="P919" s="59"/>
      <c r="Q919" s="59"/>
      <c r="R919" s="60"/>
      <c r="S919" s="60"/>
      <c r="T919" s="60"/>
      <c r="U919" s="60"/>
      <c r="V919" s="60"/>
      <c r="W919" s="60"/>
    </row>
    <row r="920" spans="1:23" ht="13" x14ac:dyDescent="0.3">
      <c r="A920" s="58"/>
      <c r="B920" s="58"/>
      <c r="C920" s="58"/>
      <c r="D920" s="58"/>
      <c r="E920" s="58"/>
      <c r="F920" s="58"/>
      <c r="G920" s="58"/>
      <c r="H920" s="59"/>
      <c r="I920" s="59"/>
      <c r="J920" s="59"/>
      <c r="K920" s="59"/>
      <c r="L920" s="59"/>
      <c r="M920" s="60"/>
      <c r="N920" s="60"/>
      <c r="O920" s="60"/>
      <c r="P920" s="59"/>
      <c r="Q920" s="59"/>
      <c r="R920" s="60"/>
      <c r="S920" s="60"/>
      <c r="T920" s="60"/>
      <c r="U920" s="60"/>
      <c r="V920" s="60"/>
      <c r="W920" s="60"/>
    </row>
    <row r="921" spans="1:23" ht="13" x14ac:dyDescent="0.3">
      <c r="A921" s="58"/>
      <c r="B921" s="58"/>
      <c r="C921" s="58"/>
      <c r="D921" s="58"/>
      <c r="E921" s="58"/>
      <c r="F921" s="58"/>
      <c r="G921" s="58"/>
      <c r="H921" s="59"/>
      <c r="I921" s="59"/>
      <c r="J921" s="59"/>
      <c r="K921" s="59"/>
      <c r="L921" s="59"/>
      <c r="M921" s="60"/>
      <c r="N921" s="60"/>
      <c r="O921" s="60"/>
      <c r="P921" s="59"/>
      <c r="Q921" s="59"/>
      <c r="R921" s="60"/>
      <c r="S921" s="60"/>
      <c r="T921" s="60"/>
      <c r="U921" s="60"/>
      <c r="V921" s="60"/>
      <c r="W921" s="60"/>
    </row>
    <row r="922" spans="1:23" ht="13" x14ac:dyDescent="0.3">
      <c r="A922" s="58"/>
      <c r="B922" s="58"/>
      <c r="C922" s="58"/>
      <c r="D922" s="58"/>
      <c r="E922" s="58"/>
      <c r="F922" s="58"/>
      <c r="G922" s="58"/>
      <c r="H922" s="59"/>
      <c r="I922" s="59"/>
      <c r="J922" s="59"/>
      <c r="K922" s="59"/>
      <c r="L922" s="59"/>
      <c r="M922" s="60"/>
      <c r="N922" s="60"/>
      <c r="O922" s="60"/>
      <c r="P922" s="59"/>
      <c r="Q922" s="59"/>
      <c r="R922" s="60"/>
      <c r="S922" s="60"/>
      <c r="T922" s="60"/>
      <c r="U922" s="60"/>
      <c r="V922" s="60"/>
      <c r="W922" s="60"/>
    </row>
    <row r="923" spans="1:23" ht="13" x14ac:dyDescent="0.3">
      <c r="A923" s="58"/>
      <c r="B923" s="58"/>
      <c r="C923" s="58"/>
      <c r="D923" s="58"/>
      <c r="E923" s="58"/>
      <c r="F923" s="58"/>
      <c r="G923" s="58"/>
      <c r="H923" s="59"/>
      <c r="I923" s="59"/>
      <c r="J923" s="59"/>
      <c r="K923" s="59"/>
      <c r="L923" s="59"/>
      <c r="M923" s="60"/>
      <c r="N923" s="60"/>
      <c r="O923" s="60"/>
      <c r="P923" s="59"/>
      <c r="Q923" s="59"/>
      <c r="R923" s="60"/>
      <c r="S923" s="60"/>
      <c r="T923" s="60"/>
      <c r="U923" s="60"/>
      <c r="V923" s="60"/>
      <c r="W923" s="60"/>
    </row>
    <row r="924" spans="1:23" ht="13" x14ac:dyDescent="0.3">
      <c r="A924" s="58"/>
      <c r="B924" s="58"/>
      <c r="C924" s="58"/>
      <c r="D924" s="58"/>
      <c r="E924" s="58"/>
      <c r="F924" s="58"/>
      <c r="G924" s="58"/>
      <c r="H924" s="59"/>
      <c r="I924" s="59"/>
      <c r="J924" s="59"/>
      <c r="K924" s="59"/>
      <c r="L924" s="59"/>
      <c r="M924" s="60"/>
      <c r="N924" s="60"/>
      <c r="O924" s="60"/>
      <c r="P924" s="59"/>
      <c r="Q924" s="59"/>
      <c r="R924" s="60"/>
      <c r="S924" s="60"/>
      <c r="T924" s="60"/>
      <c r="U924" s="60"/>
      <c r="V924" s="60"/>
      <c r="W924" s="60"/>
    </row>
    <row r="925" spans="1:23" ht="13" x14ac:dyDescent="0.3">
      <c r="A925" s="58"/>
      <c r="B925" s="58"/>
      <c r="C925" s="58"/>
      <c r="D925" s="58"/>
      <c r="E925" s="58"/>
      <c r="F925" s="58"/>
      <c r="G925" s="58"/>
      <c r="H925" s="59"/>
      <c r="I925" s="59"/>
      <c r="J925" s="59"/>
      <c r="K925" s="59"/>
      <c r="L925" s="59"/>
      <c r="M925" s="60"/>
      <c r="N925" s="60"/>
      <c r="O925" s="60"/>
      <c r="P925" s="59"/>
      <c r="Q925" s="59"/>
      <c r="R925" s="60"/>
      <c r="S925" s="60"/>
      <c r="T925" s="60"/>
      <c r="U925" s="60"/>
      <c r="V925" s="60"/>
      <c r="W925" s="60"/>
    </row>
    <row r="926" spans="1:23" ht="13" x14ac:dyDescent="0.3">
      <c r="A926" s="58"/>
      <c r="B926" s="58"/>
      <c r="C926" s="58"/>
      <c r="D926" s="58"/>
      <c r="E926" s="58"/>
      <c r="F926" s="58"/>
      <c r="G926" s="58"/>
      <c r="H926" s="59"/>
      <c r="I926" s="59"/>
      <c r="J926" s="59"/>
      <c r="K926" s="59"/>
      <c r="L926" s="59"/>
      <c r="M926" s="60"/>
      <c r="N926" s="60"/>
      <c r="O926" s="60"/>
      <c r="P926" s="59"/>
      <c r="Q926" s="59"/>
      <c r="R926" s="60"/>
      <c r="S926" s="60"/>
      <c r="T926" s="60"/>
      <c r="U926" s="60"/>
      <c r="V926" s="60"/>
      <c r="W926" s="60"/>
    </row>
    <row r="927" spans="1:23" ht="13" x14ac:dyDescent="0.3">
      <c r="A927" s="58"/>
      <c r="B927" s="58"/>
      <c r="C927" s="58"/>
      <c r="D927" s="58"/>
      <c r="E927" s="58"/>
      <c r="F927" s="58"/>
      <c r="G927" s="58"/>
      <c r="H927" s="59"/>
      <c r="I927" s="59"/>
      <c r="J927" s="59"/>
      <c r="K927" s="59"/>
      <c r="L927" s="59"/>
      <c r="M927" s="60"/>
      <c r="N927" s="60"/>
      <c r="O927" s="60"/>
      <c r="P927" s="59"/>
      <c r="Q927" s="59"/>
      <c r="R927" s="60"/>
      <c r="S927" s="60"/>
      <c r="T927" s="60"/>
      <c r="U927" s="60"/>
      <c r="V927" s="60"/>
      <c r="W927" s="60"/>
    </row>
    <row r="928" spans="1:23" ht="13" x14ac:dyDescent="0.3">
      <c r="A928" s="58"/>
      <c r="B928" s="58"/>
      <c r="C928" s="58"/>
      <c r="D928" s="58"/>
      <c r="E928" s="58"/>
      <c r="F928" s="58"/>
      <c r="G928" s="58"/>
      <c r="H928" s="59"/>
      <c r="I928" s="59"/>
      <c r="J928" s="59"/>
      <c r="K928" s="59"/>
      <c r="L928" s="59"/>
      <c r="M928" s="60"/>
      <c r="N928" s="60"/>
      <c r="O928" s="60"/>
      <c r="P928" s="59"/>
      <c r="Q928" s="59"/>
      <c r="R928" s="60"/>
      <c r="S928" s="60"/>
      <c r="T928" s="60"/>
      <c r="U928" s="60"/>
      <c r="V928" s="60"/>
      <c r="W928" s="60"/>
    </row>
    <row r="929" spans="1:23" ht="13" x14ac:dyDescent="0.3">
      <c r="A929" s="58"/>
      <c r="B929" s="58"/>
      <c r="C929" s="58"/>
      <c r="D929" s="58"/>
      <c r="E929" s="58"/>
      <c r="F929" s="58"/>
      <c r="G929" s="58"/>
      <c r="H929" s="59"/>
      <c r="I929" s="59"/>
      <c r="J929" s="59"/>
      <c r="K929" s="59"/>
      <c r="L929" s="59"/>
      <c r="M929" s="60"/>
      <c r="N929" s="60"/>
      <c r="O929" s="60"/>
      <c r="P929" s="59"/>
      <c r="Q929" s="59"/>
      <c r="R929" s="60"/>
      <c r="S929" s="60"/>
      <c r="T929" s="60"/>
      <c r="U929" s="60"/>
      <c r="V929" s="60"/>
      <c r="W929" s="60"/>
    </row>
    <row r="930" spans="1:23" ht="13" x14ac:dyDescent="0.3">
      <c r="A930" s="58"/>
      <c r="B930" s="58"/>
      <c r="C930" s="58"/>
      <c r="D930" s="58"/>
      <c r="E930" s="58"/>
      <c r="F930" s="58"/>
      <c r="G930" s="58"/>
      <c r="H930" s="59"/>
      <c r="I930" s="59"/>
      <c r="J930" s="59"/>
      <c r="K930" s="59"/>
      <c r="L930" s="59"/>
      <c r="M930" s="60"/>
      <c r="N930" s="60"/>
      <c r="O930" s="60"/>
      <c r="P930" s="59"/>
      <c r="Q930" s="59"/>
      <c r="R930" s="60"/>
      <c r="S930" s="60"/>
      <c r="T930" s="60"/>
      <c r="U930" s="60"/>
      <c r="V930" s="60"/>
      <c r="W930" s="60"/>
    </row>
    <row r="931" spans="1:23" ht="13" x14ac:dyDescent="0.3">
      <c r="A931" s="58"/>
      <c r="B931" s="58"/>
      <c r="C931" s="58"/>
      <c r="D931" s="58"/>
      <c r="E931" s="58"/>
      <c r="F931" s="58"/>
      <c r="G931" s="58"/>
      <c r="H931" s="59"/>
      <c r="I931" s="59"/>
      <c r="J931" s="59"/>
      <c r="K931" s="59"/>
      <c r="L931" s="59"/>
      <c r="M931" s="60"/>
      <c r="N931" s="60"/>
      <c r="O931" s="60"/>
      <c r="P931" s="59"/>
      <c r="Q931" s="59"/>
      <c r="R931" s="60"/>
      <c r="S931" s="60"/>
      <c r="T931" s="60"/>
      <c r="U931" s="60"/>
      <c r="V931" s="60"/>
      <c r="W931" s="60"/>
    </row>
    <row r="932" spans="1:23" ht="13" x14ac:dyDescent="0.3">
      <c r="A932" s="58"/>
      <c r="B932" s="58"/>
      <c r="C932" s="58"/>
      <c r="D932" s="58"/>
      <c r="E932" s="58"/>
      <c r="F932" s="58"/>
      <c r="G932" s="58"/>
      <c r="H932" s="59"/>
      <c r="I932" s="59"/>
      <c r="J932" s="59"/>
      <c r="K932" s="59"/>
      <c r="L932" s="59"/>
      <c r="M932" s="60"/>
      <c r="N932" s="60"/>
      <c r="O932" s="60"/>
      <c r="P932" s="59"/>
      <c r="Q932" s="59"/>
      <c r="R932" s="60"/>
      <c r="S932" s="60"/>
      <c r="T932" s="60"/>
      <c r="U932" s="60"/>
      <c r="V932" s="60"/>
      <c r="W932" s="60"/>
    </row>
    <row r="933" spans="1:23" ht="13" x14ac:dyDescent="0.3">
      <c r="A933" s="58"/>
      <c r="B933" s="58"/>
      <c r="C933" s="58"/>
      <c r="D933" s="58"/>
      <c r="E933" s="58"/>
      <c r="F933" s="58"/>
      <c r="G933" s="58"/>
      <c r="H933" s="59"/>
      <c r="I933" s="59"/>
      <c r="J933" s="59"/>
      <c r="K933" s="59"/>
      <c r="L933" s="59"/>
      <c r="M933" s="60"/>
      <c r="N933" s="60"/>
      <c r="O933" s="60"/>
      <c r="P933" s="59"/>
      <c r="Q933" s="59"/>
      <c r="R933" s="60"/>
      <c r="S933" s="60"/>
      <c r="T933" s="60"/>
      <c r="U933" s="60"/>
      <c r="V933" s="60"/>
      <c r="W933" s="60"/>
    </row>
    <row r="934" spans="1:23" ht="13" x14ac:dyDescent="0.3">
      <c r="A934" s="58"/>
      <c r="B934" s="58"/>
      <c r="C934" s="58"/>
      <c r="D934" s="58"/>
      <c r="E934" s="58"/>
      <c r="F934" s="58"/>
      <c r="G934" s="58"/>
      <c r="H934" s="59"/>
      <c r="I934" s="59"/>
      <c r="J934" s="59"/>
      <c r="K934" s="59"/>
      <c r="L934" s="59"/>
      <c r="M934" s="60"/>
      <c r="N934" s="60"/>
      <c r="O934" s="60"/>
      <c r="P934" s="59"/>
      <c r="Q934" s="59"/>
      <c r="R934" s="60"/>
      <c r="S934" s="60"/>
      <c r="T934" s="60"/>
      <c r="U934" s="60"/>
      <c r="V934" s="60"/>
      <c r="W934" s="60"/>
    </row>
    <row r="935" spans="1:23" ht="13" x14ac:dyDescent="0.3">
      <c r="A935" s="58"/>
      <c r="B935" s="58"/>
      <c r="C935" s="58"/>
      <c r="D935" s="58"/>
      <c r="E935" s="58"/>
      <c r="F935" s="58"/>
      <c r="G935" s="58"/>
      <c r="H935" s="59"/>
      <c r="I935" s="59"/>
      <c r="J935" s="59"/>
      <c r="K935" s="59"/>
      <c r="L935" s="59"/>
      <c r="M935" s="60"/>
      <c r="N935" s="60"/>
      <c r="O935" s="60"/>
      <c r="P935" s="59"/>
      <c r="Q935" s="59"/>
      <c r="R935" s="60"/>
      <c r="S935" s="60"/>
      <c r="T935" s="60"/>
      <c r="U935" s="60"/>
      <c r="V935" s="60"/>
      <c r="W935" s="60"/>
    </row>
    <row r="936" spans="1:23" ht="13" x14ac:dyDescent="0.3">
      <c r="A936" s="58"/>
      <c r="B936" s="58"/>
      <c r="C936" s="58"/>
      <c r="D936" s="58"/>
      <c r="E936" s="58"/>
      <c r="F936" s="58"/>
      <c r="G936" s="58"/>
      <c r="H936" s="59"/>
      <c r="I936" s="59"/>
      <c r="J936" s="59"/>
      <c r="K936" s="59"/>
      <c r="L936" s="59"/>
      <c r="M936" s="60"/>
      <c r="N936" s="60"/>
      <c r="O936" s="60"/>
      <c r="P936" s="59"/>
      <c r="Q936" s="59"/>
      <c r="R936" s="60"/>
      <c r="S936" s="60"/>
      <c r="T936" s="60"/>
      <c r="U936" s="60"/>
      <c r="V936" s="60"/>
      <c r="W936" s="60"/>
    </row>
    <row r="937" spans="1:23" ht="13" x14ac:dyDescent="0.3">
      <c r="A937" s="58"/>
      <c r="B937" s="58"/>
      <c r="C937" s="58"/>
      <c r="D937" s="58"/>
      <c r="E937" s="58"/>
      <c r="F937" s="58"/>
      <c r="G937" s="58"/>
      <c r="H937" s="59"/>
      <c r="I937" s="59"/>
      <c r="J937" s="59"/>
      <c r="K937" s="59"/>
      <c r="L937" s="59"/>
      <c r="M937" s="60"/>
      <c r="N937" s="60"/>
      <c r="O937" s="60"/>
      <c r="P937" s="59"/>
      <c r="Q937" s="59"/>
      <c r="R937" s="60"/>
      <c r="S937" s="60"/>
      <c r="T937" s="60"/>
      <c r="U937" s="60"/>
      <c r="V937" s="60"/>
      <c r="W937" s="60"/>
    </row>
    <row r="938" spans="1:23" ht="13" x14ac:dyDescent="0.3">
      <c r="A938" s="58"/>
      <c r="B938" s="58"/>
      <c r="C938" s="58"/>
      <c r="D938" s="58"/>
      <c r="E938" s="58"/>
      <c r="F938" s="58"/>
      <c r="G938" s="58"/>
      <c r="H938" s="59"/>
      <c r="I938" s="59"/>
      <c r="J938" s="59"/>
      <c r="K938" s="59"/>
      <c r="L938" s="59"/>
      <c r="M938" s="60"/>
      <c r="N938" s="60"/>
      <c r="O938" s="60"/>
      <c r="P938" s="59"/>
      <c r="Q938" s="59"/>
      <c r="R938" s="60"/>
      <c r="S938" s="60"/>
      <c r="T938" s="60"/>
      <c r="U938" s="60"/>
      <c r="V938" s="60"/>
      <c r="W938" s="60"/>
    </row>
    <row r="939" spans="1:23" ht="13" x14ac:dyDescent="0.3">
      <c r="A939" s="58"/>
      <c r="B939" s="58"/>
      <c r="C939" s="58"/>
      <c r="D939" s="58"/>
      <c r="E939" s="58"/>
      <c r="F939" s="58"/>
      <c r="G939" s="58"/>
      <c r="H939" s="59"/>
      <c r="I939" s="59"/>
      <c r="J939" s="59"/>
      <c r="K939" s="59"/>
      <c r="L939" s="59"/>
      <c r="M939" s="60"/>
      <c r="N939" s="60"/>
      <c r="O939" s="60"/>
      <c r="P939" s="59"/>
      <c r="Q939" s="59"/>
      <c r="R939" s="60"/>
      <c r="S939" s="60"/>
      <c r="T939" s="60"/>
      <c r="U939" s="60"/>
      <c r="V939" s="60"/>
      <c r="W939" s="60"/>
    </row>
    <row r="940" spans="1:23" ht="13" x14ac:dyDescent="0.3">
      <c r="A940" s="58"/>
      <c r="B940" s="58"/>
      <c r="C940" s="58"/>
      <c r="D940" s="58"/>
      <c r="E940" s="58"/>
      <c r="F940" s="58"/>
      <c r="G940" s="58"/>
      <c r="H940" s="59"/>
      <c r="I940" s="59"/>
      <c r="J940" s="59"/>
      <c r="K940" s="59"/>
      <c r="L940" s="59"/>
      <c r="M940" s="60"/>
      <c r="N940" s="60"/>
      <c r="O940" s="60"/>
      <c r="P940" s="59"/>
      <c r="Q940" s="59"/>
      <c r="R940" s="60"/>
      <c r="S940" s="60"/>
      <c r="T940" s="60"/>
      <c r="U940" s="60"/>
      <c r="V940" s="60"/>
      <c r="W940" s="60"/>
    </row>
    <row r="941" spans="1:23" ht="13" x14ac:dyDescent="0.3">
      <c r="A941" s="58"/>
      <c r="B941" s="58"/>
      <c r="C941" s="58"/>
      <c r="D941" s="58"/>
      <c r="E941" s="58"/>
      <c r="F941" s="58"/>
      <c r="G941" s="58"/>
      <c r="H941" s="59"/>
      <c r="I941" s="59"/>
      <c r="J941" s="59"/>
      <c r="K941" s="59"/>
      <c r="L941" s="59"/>
      <c r="M941" s="60"/>
      <c r="N941" s="60"/>
      <c r="O941" s="60"/>
      <c r="P941" s="59"/>
      <c r="Q941" s="59"/>
      <c r="R941" s="60"/>
      <c r="S941" s="60"/>
      <c r="T941" s="60"/>
      <c r="U941" s="60"/>
      <c r="V941" s="60"/>
      <c r="W941" s="60"/>
    </row>
    <row r="942" spans="1:23" ht="13" x14ac:dyDescent="0.3">
      <c r="A942" s="58"/>
      <c r="B942" s="58"/>
      <c r="C942" s="58"/>
      <c r="D942" s="58"/>
      <c r="E942" s="58"/>
      <c r="F942" s="58"/>
      <c r="G942" s="58"/>
      <c r="H942" s="59"/>
      <c r="I942" s="59"/>
      <c r="J942" s="59"/>
      <c r="K942" s="59"/>
      <c r="L942" s="59"/>
      <c r="M942" s="60"/>
      <c r="N942" s="60"/>
      <c r="O942" s="60"/>
      <c r="P942" s="59"/>
      <c r="Q942" s="59"/>
      <c r="R942" s="60"/>
      <c r="S942" s="60"/>
      <c r="T942" s="60"/>
      <c r="U942" s="60"/>
      <c r="V942" s="60"/>
      <c r="W942" s="60"/>
    </row>
    <row r="943" spans="1:23" ht="13" x14ac:dyDescent="0.3">
      <c r="A943" s="58"/>
      <c r="B943" s="58"/>
      <c r="C943" s="58"/>
      <c r="D943" s="58"/>
      <c r="E943" s="58"/>
      <c r="F943" s="58"/>
      <c r="G943" s="58"/>
      <c r="H943" s="59"/>
      <c r="I943" s="59"/>
      <c r="J943" s="59"/>
      <c r="K943" s="59"/>
      <c r="L943" s="59"/>
      <c r="M943" s="60"/>
      <c r="N943" s="60"/>
      <c r="O943" s="60"/>
      <c r="P943" s="59"/>
      <c r="Q943" s="59"/>
      <c r="R943" s="60"/>
      <c r="S943" s="60"/>
      <c r="T943" s="60"/>
      <c r="U943" s="60"/>
      <c r="V943" s="60"/>
      <c r="W943" s="60"/>
    </row>
    <row r="944" spans="1:23" ht="13" x14ac:dyDescent="0.3">
      <c r="A944" s="58"/>
      <c r="B944" s="58"/>
      <c r="C944" s="58"/>
      <c r="D944" s="58"/>
      <c r="E944" s="58"/>
      <c r="F944" s="58"/>
      <c r="G944" s="58"/>
      <c r="H944" s="59"/>
      <c r="I944" s="59"/>
      <c r="J944" s="59"/>
      <c r="K944" s="59"/>
      <c r="L944" s="59"/>
      <c r="M944" s="60"/>
      <c r="N944" s="60"/>
      <c r="O944" s="60"/>
      <c r="P944" s="59"/>
      <c r="Q944" s="59"/>
      <c r="R944" s="60"/>
      <c r="S944" s="60"/>
      <c r="T944" s="60"/>
      <c r="U944" s="60"/>
      <c r="V944" s="60"/>
      <c r="W944" s="60"/>
    </row>
    <row r="945" spans="1:23" ht="13" x14ac:dyDescent="0.3">
      <c r="A945" s="58"/>
      <c r="B945" s="58"/>
      <c r="C945" s="58"/>
      <c r="D945" s="58"/>
      <c r="E945" s="58"/>
      <c r="F945" s="58"/>
      <c r="G945" s="58"/>
      <c r="H945" s="59"/>
      <c r="I945" s="59"/>
      <c r="J945" s="59"/>
      <c r="K945" s="59"/>
      <c r="L945" s="59"/>
      <c r="M945" s="60"/>
      <c r="N945" s="60"/>
      <c r="O945" s="60"/>
      <c r="P945" s="59"/>
      <c r="Q945" s="59"/>
      <c r="R945" s="60"/>
      <c r="S945" s="60"/>
      <c r="T945" s="60"/>
      <c r="U945" s="60"/>
      <c r="V945" s="60"/>
      <c r="W945" s="60"/>
    </row>
    <row r="946" spans="1:23" ht="13" x14ac:dyDescent="0.3">
      <c r="A946" s="58"/>
      <c r="B946" s="58"/>
      <c r="C946" s="58"/>
      <c r="D946" s="58"/>
      <c r="E946" s="58"/>
      <c r="F946" s="58"/>
      <c r="G946" s="58"/>
      <c r="H946" s="59"/>
      <c r="I946" s="59"/>
      <c r="J946" s="59"/>
      <c r="K946" s="59"/>
      <c r="L946" s="59"/>
      <c r="M946" s="60"/>
      <c r="N946" s="60"/>
      <c r="O946" s="60"/>
      <c r="P946" s="59"/>
      <c r="Q946" s="59"/>
      <c r="R946" s="60"/>
      <c r="S946" s="60"/>
      <c r="T946" s="60"/>
      <c r="U946" s="60"/>
      <c r="V946" s="60"/>
      <c r="W946" s="60"/>
    </row>
    <row r="947" spans="1:23" ht="13" x14ac:dyDescent="0.3">
      <c r="A947" s="58"/>
      <c r="B947" s="58"/>
      <c r="C947" s="58"/>
      <c r="D947" s="58"/>
      <c r="E947" s="58"/>
      <c r="F947" s="58"/>
      <c r="G947" s="58"/>
      <c r="H947" s="59"/>
      <c r="I947" s="59"/>
      <c r="J947" s="59"/>
      <c r="K947" s="59"/>
      <c r="L947" s="59"/>
      <c r="M947" s="60"/>
      <c r="N947" s="60"/>
      <c r="O947" s="60"/>
      <c r="P947" s="59"/>
      <c r="Q947" s="59"/>
      <c r="R947" s="60"/>
      <c r="S947" s="60"/>
      <c r="T947" s="60"/>
      <c r="U947" s="60"/>
      <c r="V947" s="60"/>
      <c r="W947" s="60"/>
    </row>
    <row r="948" spans="1:23" ht="13" x14ac:dyDescent="0.3">
      <c r="A948" s="58"/>
      <c r="B948" s="58"/>
      <c r="C948" s="58"/>
      <c r="D948" s="58"/>
      <c r="E948" s="58"/>
      <c r="F948" s="58"/>
      <c r="G948" s="58"/>
      <c r="H948" s="59"/>
      <c r="I948" s="59"/>
      <c r="J948" s="59"/>
      <c r="K948" s="59"/>
      <c r="L948" s="59"/>
      <c r="M948" s="60"/>
      <c r="N948" s="60"/>
      <c r="O948" s="60"/>
      <c r="P948" s="59"/>
      <c r="Q948" s="59"/>
      <c r="R948" s="60"/>
      <c r="S948" s="60"/>
      <c r="T948" s="60"/>
      <c r="U948" s="60"/>
      <c r="V948" s="60"/>
      <c r="W948" s="60"/>
    </row>
    <row r="949" spans="1:23" ht="13" x14ac:dyDescent="0.3">
      <c r="A949" s="58"/>
      <c r="B949" s="58"/>
      <c r="C949" s="58"/>
      <c r="D949" s="58"/>
      <c r="E949" s="58"/>
      <c r="F949" s="58"/>
      <c r="G949" s="58"/>
      <c r="H949" s="59"/>
      <c r="I949" s="59"/>
      <c r="J949" s="59"/>
      <c r="K949" s="59"/>
      <c r="L949" s="59"/>
      <c r="M949" s="60"/>
      <c r="N949" s="60"/>
      <c r="O949" s="60"/>
      <c r="P949" s="59"/>
      <c r="Q949" s="59"/>
      <c r="R949" s="60"/>
      <c r="S949" s="60"/>
      <c r="T949" s="60"/>
      <c r="U949" s="60"/>
      <c r="V949" s="60"/>
      <c r="W949" s="60"/>
    </row>
    <row r="950" spans="1:23" ht="13" x14ac:dyDescent="0.3">
      <c r="A950" s="58"/>
      <c r="B950" s="58"/>
      <c r="C950" s="58"/>
      <c r="D950" s="58"/>
      <c r="E950" s="58"/>
      <c r="F950" s="58"/>
      <c r="G950" s="58"/>
      <c r="H950" s="59"/>
      <c r="I950" s="59"/>
      <c r="J950" s="59"/>
      <c r="K950" s="59"/>
      <c r="L950" s="59"/>
      <c r="M950" s="60"/>
      <c r="N950" s="60"/>
      <c r="O950" s="60"/>
      <c r="P950" s="59"/>
      <c r="Q950" s="59"/>
      <c r="R950" s="60"/>
      <c r="S950" s="60"/>
      <c r="T950" s="60"/>
      <c r="U950" s="60"/>
      <c r="V950" s="60"/>
      <c r="W950" s="60"/>
    </row>
    <row r="951" spans="1:23" ht="13" x14ac:dyDescent="0.3">
      <c r="A951" s="58"/>
      <c r="B951" s="58"/>
      <c r="C951" s="58"/>
      <c r="D951" s="58"/>
      <c r="E951" s="58"/>
      <c r="F951" s="58"/>
      <c r="G951" s="58"/>
      <c r="H951" s="59"/>
      <c r="I951" s="59"/>
      <c r="J951" s="59"/>
      <c r="K951" s="59"/>
      <c r="L951" s="59"/>
      <c r="M951" s="60"/>
      <c r="N951" s="60"/>
      <c r="O951" s="60"/>
      <c r="P951" s="59"/>
      <c r="Q951" s="59"/>
      <c r="R951" s="60"/>
      <c r="S951" s="60"/>
      <c r="T951" s="60"/>
      <c r="U951" s="60"/>
      <c r="V951" s="60"/>
      <c r="W951" s="60"/>
    </row>
    <row r="952" spans="1:23" ht="13" x14ac:dyDescent="0.3">
      <c r="A952" s="58"/>
      <c r="B952" s="58"/>
      <c r="C952" s="58"/>
      <c r="D952" s="58"/>
      <c r="E952" s="58"/>
      <c r="F952" s="58"/>
      <c r="G952" s="58"/>
      <c r="H952" s="59"/>
      <c r="I952" s="59"/>
      <c r="J952" s="59"/>
      <c r="K952" s="59"/>
      <c r="L952" s="59"/>
      <c r="M952" s="60"/>
      <c r="N952" s="60"/>
      <c r="O952" s="60"/>
      <c r="P952" s="59"/>
      <c r="Q952" s="59"/>
      <c r="R952" s="60"/>
      <c r="S952" s="60"/>
      <c r="T952" s="60"/>
      <c r="U952" s="60"/>
      <c r="V952" s="60"/>
      <c r="W952" s="60"/>
    </row>
    <row r="953" spans="1:23" ht="13" x14ac:dyDescent="0.3">
      <c r="A953" s="58"/>
      <c r="B953" s="58"/>
      <c r="C953" s="58"/>
      <c r="D953" s="58"/>
      <c r="E953" s="58"/>
      <c r="F953" s="58"/>
      <c r="G953" s="58"/>
      <c r="H953" s="59"/>
      <c r="I953" s="59"/>
      <c r="J953" s="59"/>
      <c r="K953" s="59"/>
      <c r="L953" s="59"/>
      <c r="M953" s="60"/>
      <c r="N953" s="60"/>
      <c r="O953" s="60"/>
      <c r="P953" s="59"/>
      <c r="Q953" s="59"/>
      <c r="R953" s="60"/>
      <c r="S953" s="60"/>
      <c r="T953" s="60"/>
      <c r="U953" s="60"/>
      <c r="V953" s="60"/>
      <c r="W953" s="60"/>
    </row>
    <row r="954" spans="1:23" ht="13" x14ac:dyDescent="0.3">
      <c r="A954" s="58"/>
      <c r="B954" s="58"/>
      <c r="C954" s="58"/>
      <c r="D954" s="58"/>
      <c r="E954" s="58"/>
      <c r="F954" s="58"/>
      <c r="G954" s="58"/>
      <c r="H954" s="59"/>
      <c r="I954" s="59"/>
      <c r="J954" s="59"/>
      <c r="K954" s="59"/>
      <c r="L954" s="59"/>
      <c r="M954" s="60"/>
      <c r="N954" s="60"/>
      <c r="O954" s="60"/>
      <c r="P954" s="59"/>
      <c r="Q954" s="59"/>
      <c r="R954" s="60"/>
      <c r="S954" s="60"/>
      <c r="T954" s="60"/>
      <c r="U954" s="60"/>
      <c r="V954" s="60"/>
      <c r="W954" s="60"/>
    </row>
    <row r="955" spans="1:23" ht="13" x14ac:dyDescent="0.3">
      <c r="A955" s="58"/>
      <c r="B955" s="58"/>
      <c r="C955" s="58"/>
      <c r="D955" s="58"/>
      <c r="E955" s="58"/>
      <c r="F955" s="58"/>
      <c r="G955" s="58"/>
      <c r="H955" s="59"/>
      <c r="I955" s="59"/>
      <c r="J955" s="59"/>
      <c r="K955" s="59"/>
      <c r="L955" s="59"/>
      <c r="M955" s="60"/>
      <c r="N955" s="60"/>
      <c r="O955" s="60"/>
      <c r="P955" s="59"/>
      <c r="Q955" s="59"/>
      <c r="R955" s="60"/>
      <c r="S955" s="60"/>
      <c r="T955" s="60"/>
      <c r="U955" s="60"/>
      <c r="V955" s="60"/>
      <c r="W955" s="60"/>
    </row>
    <row r="956" spans="1:23" ht="13" x14ac:dyDescent="0.3">
      <c r="A956" s="58"/>
      <c r="B956" s="58"/>
      <c r="C956" s="58"/>
      <c r="D956" s="58"/>
      <c r="E956" s="58"/>
      <c r="F956" s="58"/>
      <c r="G956" s="58"/>
      <c r="H956" s="59"/>
      <c r="I956" s="59"/>
      <c r="J956" s="59"/>
      <c r="K956" s="59"/>
      <c r="L956" s="59"/>
      <c r="M956" s="60"/>
      <c r="N956" s="60"/>
      <c r="O956" s="60"/>
      <c r="P956" s="59"/>
      <c r="Q956" s="59"/>
      <c r="R956" s="60"/>
      <c r="S956" s="60"/>
      <c r="T956" s="60"/>
      <c r="U956" s="60"/>
      <c r="V956" s="60"/>
      <c r="W956" s="60"/>
    </row>
    <row r="957" spans="1:23" ht="13" x14ac:dyDescent="0.3">
      <c r="A957" s="58"/>
      <c r="B957" s="58"/>
      <c r="C957" s="58"/>
      <c r="D957" s="58"/>
      <c r="E957" s="58"/>
      <c r="F957" s="58"/>
      <c r="G957" s="58"/>
      <c r="H957" s="59"/>
      <c r="I957" s="59"/>
      <c r="J957" s="59"/>
      <c r="K957" s="59"/>
      <c r="L957" s="59"/>
      <c r="M957" s="60"/>
      <c r="N957" s="60"/>
      <c r="O957" s="60"/>
      <c r="P957" s="59"/>
      <c r="Q957" s="59"/>
      <c r="R957" s="60"/>
      <c r="S957" s="60"/>
      <c r="T957" s="60"/>
      <c r="U957" s="60"/>
      <c r="V957" s="60"/>
      <c r="W957" s="60"/>
    </row>
    <row r="958" spans="1:23" ht="13" x14ac:dyDescent="0.3">
      <c r="A958" s="58"/>
      <c r="B958" s="58"/>
      <c r="C958" s="58"/>
      <c r="D958" s="58"/>
      <c r="E958" s="58"/>
      <c r="F958" s="58"/>
      <c r="G958" s="58"/>
      <c r="H958" s="59"/>
      <c r="I958" s="59"/>
      <c r="J958" s="59"/>
      <c r="K958" s="59"/>
      <c r="L958" s="59"/>
      <c r="M958" s="60"/>
      <c r="N958" s="60"/>
      <c r="O958" s="60"/>
      <c r="P958" s="59"/>
      <c r="Q958" s="59"/>
      <c r="R958" s="60"/>
      <c r="S958" s="60"/>
      <c r="T958" s="60"/>
      <c r="U958" s="60"/>
      <c r="V958" s="60"/>
      <c r="W958" s="60"/>
    </row>
    <row r="959" spans="1:23" ht="13" x14ac:dyDescent="0.3">
      <c r="A959" s="58"/>
      <c r="B959" s="58"/>
      <c r="C959" s="58"/>
      <c r="D959" s="58"/>
      <c r="E959" s="58"/>
      <c r="F959" s="58"/>
      <c r="G959" s="58"/>
      <c r="H959" s="59"/>
      <c r="I959" s="59"/>
      <c r="J959" s="59"/>
      <c r="K959" s="59"/>
      <c r="L959" s="59"/>
      <c r="M959" s="60"/>
      <c r="N959" s="60"/>
      <c r="O959" s="60"/>
      <c r="P959" s="59"/>
      <c r="Q959" s="59"/>
      <c r="R959" s="60"/>
      <c r="S959" s="60"/>
      <c r="T959" s="60"/>
      <c r="U959" s="60"/>
      <c r="V959" s="60"/>
      <c r="W959" s="60"/>
    </row>
    <row r="960" spans="1:23" ht="13" x14ac:dyDescent="0.3">
      <c r="A960" s="58"/>
      <c r="B960" s="58"/>
      <c r="C960" s="58"/>
      <c r="D960" s="58"/>
      <c r="E960" s="58"/>
      <c r="F960" s="58"/>
      <c r="G960" s="58"/>
      <c r="H960" s="59"/>
      <c r="I960" s="59"/>
      <c r="J960" s="59"/>
      <c r="K960" s="59"/>
      <c r="L960" s="59"/>
      <c r="M960" s="60"/>
      <c r="N960" s="60"/>
      <c r="O960" s="60"/>
      <c r="P960" s="59"/>
      <c r="Q960" s="59"/>
      <c r="R960" s="60"/>
      <c r="S960" s="60"/>
      <c r="T960" s="60"/>
      <c r="U960" s="60"/>
      <c r="V960" s="60"/>
      <c r="W960" s="60"/>
    </row>
    <row r="961" spans="1:23" ht="13" x14ac:dyDescent="0.3">
      <c r="A961" s="58"/>
      <c r="B961" s="58"/>
      <c r="C961" s="58"/>
      <c r="D961" s="58"/>
      <c r="E961" s="58"/>
      <c r="F961" s="58"/>
      <c r="G961" s="58"/>
      <c r="H961" s="59"/>
      <c r="I961" s="59"/>
      <c r="J961" s="59"/>
      <c r="K961" s="59"/>
      <c r="L961" s="59"/>
      <c r="M961" s="60"/>
      <c r="N961" s="60"/>
      <c r="O961" s="60"/>
      <c r="P961" s="59"/>
      <c r="Q961" s="59"/>
      <c r="R961" s="60"/>
      <c r="S961" s="60"/>
      <c r="T961" s="60"/>
      <c r="U961" s="60"/>
      <c r="V961" s="60"/>
      <c r="W961" s="60"/>
    </row>
    <row r="962" spans="1:23" ht="13" x14ac:dyDescent="0.3">
      <c r="A962" s="58"/>
      <c r="B962" s="58"/>
      <c r="C962" s="58"/>
      <c r="D962" s="58"/>
      <c r="E962" s="58"/>
      <c r="F962" s="58"/>
      <c r="G962" s="58"/>
      <c r="H962" s="59"/>
      <c r="I962" s="59"/>
      <c r="J962" s="59"/>
      <c r="K962" s="59"/>
      <c r="L962" s="59"/>
      <c r="M962" s="60"/>
      <c r="N962" s="60"/>
      <c r="O962" s="60"/>
      <c r="P962" s="59"/>
      <c r="Q962" s="59"/>
      <c r="R962" s="60"/>
      <c r="S962" s="60"/>
      <c r="T962" s="60"/>
      <c r="U962" s="60"/>
      <c r="V962" s="60"/>
      <c r="W962" s="60"/>
    </row>
    <row r="963" spans="1:23" ht="13" x14ac:dyDescent="0.3">
      <c r="A963" s="58"/>
      <c r="B963" s="58"/>
      <c r="C963" s="58"/>
      <c r="D963" s="58"/>
      <c r="E963" s="58"/>
      <c r="F963" s="58"/>
      <c r="G963" s="58"/>
      <c r="H963" s="59"/>
      <c r="I963" s="59"/>
      <c r="J963" s="59"/>
      <c r="K963" s="59"/>
      <c r="L963" s="59"/>
      <c r="M963" s="60"/>
      <c r="N963" s="60"/>
      <c r="O963" s="60"/>
      <c r="P963" s="59"/>
      <c r="Q963" s="59"/>
      <c r="R963" s="60"/>
      <c r="S963" s="60"/>
      <c r="T963" s="60"/>
      <c r="U963" s="60"/>
      <c r="V963" s="60"/>
      <c r="W963" s="60"/>
    </row>
    <row r="964" spans="1:23" ht="13" x14ac:dyDescent="0.3">
      <c r="A964" s="58"/>
      <c r="B964" s="58"/>
      <c r="C964" s="58"/>
      <c r="D964" s="58"/>
      <c r="E964" s="58"/>
      <c r="F964" s="58"/>
      <c r="G964" s="58"/>
      <c r="H964" s="59"/>
      <c r="I964" s="59"/>
      <c r="J964" s="59"/>
      <c r="K964" s="59"/>
      <c r="L964" s="59"/>
      <c r="M964" s="60"/>
      <c r="N964" s="60"/>
      <c r="O964" s="60"/>
      <c r="P964" s="59"/>
      <c r="Q964" s="59"/>
      <c r="R964" s="60"/>
      <c r="S964" s="60"/>
      <c r="T964" s="60"/>
      <c r="U964" s="60"/>
      <c r="V964" s="60"/>
      <c r="W964" s="60"/>
    </row>
    <row r="965" spans="1:23" ht="13" x14ac:dyDescent="0.3">
      <c r="A965" s="58"/>
      <c r="B965" s="58"/>
      <c r="C965" s="58"/>
      <c r="D965" s="58"/>
      <c r="E965" s="58"/>
      <c r="F965" s="58"/>
      <c r="G965" s="58"/>
      <c r="H965" s="59"/>
      <c r="I965" s="59"/>
      <c r="J965" s="59"/>
      <c r="K965" s="59"/>
      <c r="L965" s="59"/>
      <c r="M965" s="60"/>
      <c r="N965" s="60"/>
      <c r="O965" s="60"/>
      <c r="P965" s="59"/>
      <c r="Q965" s="59"/>
      <c r="R965" s="60"/>
      <c r="S965" s="60"/>
      <c r="T965" s="60"/>
      <c r="U965" s="60"/>
      <c r="V965" s="60"/>
      <c r="W965" s="60"/>
    </row>
    <row r="966" spans="1:23" ht="13" x14ac:dyDescent="0.3">
      <c r="A966" s="58"/>
      <c r="B966" s="58"/>
      <c r="C966" s="58"/>
      <c r="D966" s="58"/>
      <c r="E966" s="58"/>
      <c r="F966" s="58"/>
      <c r="G966" s="58"/>
      <c r="H966" s="59"/>
      <c r="I966" s="59"/>
      <c r="J966" s="59"/>
      <c r="K966" s="59"/>
      <c r="L966" s="59"/>
      <c r="M966" s="60"/>
      <c r="N966" s="60"/>
      <c r="O966" s="60"/>
      <c r="P966" s="59"/>
      <c r="Q966" s="59"/>
      <c r="R966" s="60"/>
      <c r="S966" s="60"/>
      <c r="T966" s="60"/>
      <c r="U966" s="60"/>
      <c r="V966" s="60"/>
      <c r="W966" s="60"/>
    </row>
    <row r="967" spans="1:23" ht="13" x14ac:dyDescent="0.3">
      <c r="A967" s="58"/>
      <c r="B967" s="58"/>
      <c r="C967" s="58"/>
      <c r="D967" s="58"/>
      <c r="E967" s="58"/>
      <c r="F967" s="58"/>
      <c r="G967" s="58"/>
      <c r="H967" s="59"/>
      <c r="I967" s="59"/>
      <c r="J967" s="59"/>
      <c r="K967" s="59"/>
      <c r="L967" s="59"/>
      <c r="M967" s="60"/>
      <c r="N967" s="60"/>
      <c r="O967" s="60"/>
      <c r="P967" s="59"/>
      <c r="Q967" s="59"/>
      <c r="R967" s="60"/>
      <c r="S967" s="60"/>
      <c r="T967" s="60"/>
      <c r="U967" s="60"/>
      <c r="V967" s="60"/>
      <c r="W967" s="60"/>
    </row>
    <row r="968" spans="1:23" ht="13" x14ac:dyDescent="0.3">
      <c r="A968" s="58"/>
      <c r="B968" s="58"/>
      <c r="C968" s="58"/>
      <c r="D968" s="58"/>
      <c r="E968" s="58"/>
      <c r="F968" s="58"/>
      <c r="G968" s="58"/>
      <c r="H968" s="59"/>
      <c r="I968" s="59"/>
      <c r="J968" s="59"/>
      <c r="K968" s="59"/>
      <c r="L968" s="59"/>
      <c r="M968" s="60"/>
      <c r="N968" s="60"/>
      <c r="O968" s="60"/>
      <c r="P968" s="59"/>
      <c r="Q968" s="59"/>
      <c r="R968" s="60"/>
      <c r="S968" s="60"/>
      <c r="T968" s="60"/>
      <c r="U968" s="60"/>
      <c r="V968" s="60"/>
      <c r="W968" s="60"/>
    </row>
    <row r="969" spans="1:23" ht="13" x14ac:dyDescent="0.3">
      <c r="A969" s="58"/>
      <c r="B969" s="58"/>
      <c r="C969" s="58"/>
      <c r="D969" s="58"/>
      <c r="E969" s="58"/>
      <c r="F969" s="58"/>
      <c r="G969" s="58"/>
      <c r="H969" s="59"/>
      <c r="I969" s="59"/>
      <c r="J969" s="59"/>
      <c r="K969" s="59"/>
      <c r="L969" s="59"/>
      <c r="M969" s="60"/>
      <c r="N969" s="60"/>
      <c r="O969" s="60"/>
      <c r="P969" s="59"/>
      <c r="Q969" s="59"/>
      <c r="R969" s="60"/>
      <c r="S969" s="60"/>
      <c r="T969" s="60"/>
      <c r="U969" s="60"/>
      <c r="V969" s="60"/>
      <c r="W969" s="60"/>
    </row>
    <row r="970" spans="1:23" ht="13" x14ac:dyDescent="0.3">
      <c r="A970" s="58"/>
      <c r="B970" s="58"/>
      <c r="C970" s="58"/>
      <c r="D970" s="58"/>
      <c r="E970" s="58"/>
      <c r="F970" s="58"/>
      <c r="G970" s="58"/>
      <c r="H970" s="59"/>
      <c r="I970" s="59"/>
      <c r="J970" s="59"/>
      <c r="K970" s="59"/>
      <c r="L970" s="59"/>
      <c r="M970" s="60"/>
      <c r="N970" s="60"/>
      <c r="O970" s="60"/>
      <c r="P970" s="59"/>
      <c r="Q970" s="59"/>
      <c r="R970" s="60"/>
      <c r="S970" s="60"/>
      <c r="T970" s="60"/>
      <c r="U970" s="60"/>
      <c r="V970" s="60"/>
      <c r="W970" s="60"/>
    </row>
    <row r="971" spans="1:23" ht="13" x14ac:dyDescent="0.3">
      <c r="A971" s="58"/>
      <c r="B971" s="58"/>
      <c r="C971" s="58"/>
      <c r="D971" s="58"/>
      <c r="E971" s="58"/>
      <c r="F971" s="58"/>
      <c r="G971" s="58"/>
      <c r="H971" s="59"/>
      <c r="I971" s="59"/>
      <c r="J971" s="59"/>
      <c r="K971" s="59"/>
      <c r="L971" s="59"/>
      <c r="M971" s="60"/>
      <c r="N971" s="60"/>
      <c r="O971" s="60"/>
      <c r="P971" s="59"/>
      <c r="Q971" s="59"/>
      <c r="R971" s="60"/>
      <c r="S971" s="60"/>
      <c r="T971" s="60"/>
      <c r="U971" s="60"/>
      <c r="V971" s="60"/>
      <c r="W971" s="60"/>
    </row>
    <row r="972" spans="1:23" ht="13" x14ac:dyDescent="0.3">
      <c r="A972" s="58"/>
      <c r="B972" s="58"/>
      <c r="C972" s="58"/>
      <c r="D972" s="58"/>
      <c r="E972" s="58"/>
      <c r="F972" s="58"/>
      <c r="G972" s="58"/>
      <c r="H972" s="59"/>
      <c r="I972" s="59"/>
      <c r="J972" s="59"/>
      <c r="K972" s="59"/>
      <c r="L972" s="59"/>
      <c r="M972" s="60"/>
      <c r="N972" s="60"/>
      <c r="O972" s="60"/>
      <c r="P972" s="59"/>
      <c r="Q972" s="59"/>
      <c r="R972" s="60"/>
      <c r="S972" s="60"/>
      <c r="T972" s="60"/>
      <c r="U972" s="60"/>
      <c r="V972" s="60"/>
      <c r="W972" s="60"/>
    </row>
    <row r="973" spans="1:23" ht="13" x14ac:dyDescent="0.3">
      <c r="A973" s="58"/>
      <c r="B973" s="58"/>
      <c r="C973" s="58"/>
      <c r="D973" s="58"/>
      <c r="E973" s="58"/>
      <c r="F973" s="58"/>
      <c r="G973" s="58"/>
      <c r="H973" s="59"/>
      <c r="I973" s="59"/>
      <c r="J973" s="59"/>
      <c r="K973" s="59"/>
      <c r="L973" s="59"/>
      <c r="M973" s="60"/>
      <c r="N973" s="60"/>
      <c r="O973" s="60"/>
      <c r="P973" s="59"/>
      <c r="Q973" s="59"/>
      <c r="R973" s="60"/>
      <c r="S973" s="60"/>
      <c r="T973" s="60"/>
      <c r="U973" s="60"/>
      <c r="V973" s="60"/>
      <c r="W973" s="60"/>
    </row>
    <row r="974" spans="1:23" ht="13" x14ac:dyDescent="0.3">
      <c r="A974" s="58"/>
      <c r="B974" s="58"/>
      <c r="C974" s="58"/>
      <c r="D974" s="58"/>
      <c r="E974" s="58"/>
      <c r="F974" s="58"/>
      <c r="G974" s="58"/>
      <c r="H974" s="59"/>
      <c r="I974" s="59"/>
      <c r="J974" s="59"/>
      <c r="K974" s="59"/>
      <c r="L974" s="59"/>
      <c r="M974" s="60"/>
      <c r="N974" s="60"/>
      <c r="O974" s="60"/>
      <c r="P974" s="59"/>
      <c r="Q974" s="59"/>
      <c r="R974" s="60"/>
      <c r="S974" s="60"/>
      <c r="T974" s="60"/>
      <c r="U974" s="60"/>
      <c r="V974" s="60"/>
      <c r="W974" s="60"/>
    </row>
    <row r="975" spans="1:23" ht="13" x14ac:dyDescent="0.3">
      <c r="A975" s="58"/>
      <c r="B975" s="58"/>
      <c r="C975" s="58"/>
      <c r="D975" s="58"/>
      <c r="E975" s="58"/>
      <c r="F975" s="58"/>
      <c r="G975" s="58"/>
      <c r="H975" s="59"/>
      <c r="I975" s="59"/>
      <c r="J975" s="59"/>
      <c r="K975" s="59"/>
      <c r="L975" s="59"/>
      <c r="M975" s="60"/>
      <c r="N975" s="60"/>
      <c r="O975" s="60"/>
      <c r="P975" s="59"/>
      <c r="Q975" s="59"/>
      <c r="R975" s="60"/>
      <c r="S975" s="60"/>
      <c r="T975" s="60"/>
      <c r="U975" s="60"/>
      <c r="V975" s="60"/>
      <c r="W975" s="60"/>
    </row>
    <row r="976" spans="1:23" ht="13" x14ac:dyDescent="0.3">
      <c r="A976" s="58"/>
      <c r="B976" s="58"/>
      <c r="C976" s="58"/>
      <c r="D976" s="58"/>
      <c r="E976" s="58"/>
      <c r="F976" s="58"/>
      <c r="G976" s="58"/>
      <c r="H976" s="59"/>
      <c r="I976" s="59"/>
      <c r="J976" s="59"/>
      <c r="K976" s="59"/>
      <c r="L976" s="59"/>
      <c r="M976" s="60"/>
      <c r="N976" s="60"/>
      <c r="O976" s="60"/>
      <c r="P976" s="59"/>
      <c r="Q976" s="59"/>
      <c r="R976" s="60"/>
      <c r="S976" s="60"/>
      <c r="T976" s="60"/>
      <c r="U976" s="60"/>
      <c r="V976" s="60"/>
      <c r="W976" s="60"/>
    </row>
    <row r="977" spans="1:23" ht="13" x14ac:dyDescent="0.3">
      <c r="A977" s="58"/>
      <c r="B977" s="58"/>
      <c r="C977" s="58"/>
      <c r="D977" s="58"/>
      <c r="E977" s="58"/>
      <c r="F977" s="58"/>
      <c r="G977" s="58"/>
      <c r="H977" s="59"/>
      <c r="I977" s="59"/>
      <c r="J977" s="59"/>
      <c r="K977" s="59"/>
      <c r="L977" s="59"/>
      <c r="M977" s="60"/>
      <c r="N977" s="60"/>
      <c r="O977" s="60"/>
      <c r="P977" s="59"/>
      <c r="Q977" s="59"/>
      <c r="R977" s="60"/>
      <c r="S977" s="60"/>
      <c r="T977" s="60"/>
      <c r="U977" s="60"/>
      <c r="V977" s="60"/>
      <c r="W977" s="60"/>
    </row>
    <row r="978" spans="1:23" ht="13" x14ac:dyDescent="0.3">
      <c r="A978" s="58"/>
      <c r="B978" s="58"/>
      <c r="C978" s="58"/>
      <c r="D978" s="58"/>
      <c r="E978" s="58"/>
      <c r="F978" s="58"/>
      <c r="G978" s="58"/>
      <c r="H978" s="59"/>
      <c r="I978" s="59"/>
      <c r="J978" s="59"/>
      <c r="K978" s="59"/>
      <c r="L978" s="59"/>
      <c r="M978" s="60"/>
      <c r="N978" s="60"/>
      <c r="O978" s="60"/>
      <c r="P978" s="59"/>
      <c r="Q978" s="59"/>
      <c r="R978" s="60"/>
      <c r="S978" s="60"/>
      <c r="T978" s="60"/>
      <c r="U978" s="60"/>
      <c r="V978" s="60"/>
      <c r="W978" s="60"/>
    </row>
    <row r="979" spans="1:23" ht="13" x14ac:dyDescent="0.3">
      <c r="A979" s="58"/>
      <c r="B979" s="58"/>
      <c r="C979" s="58"/>
      <c r="D979" s="58"/>
      <c r="E979" s="58"/>
      <c r="F979" s="58"/>
      <c r="G979" s="58"/>
      <c r="H979" s="59"/>
      <c r="I979" s="59"/>
      <c r="J979" s="59"/>
      <c r="K979" s="59"/>
      <c r="L979" s="59"/>
      <c r="M979" s="60"/>
      <c r="N979" s="60"/>
      <c r="O979" s="60"/>
      <c r="P979" s="59"/>
      <c r="Q979" s="59"/>
      <c r="R979" s="60"/>
      <c r="S979" s="60"/>
      <c r="T979" s="60"/>
      <c r="U979" s="60"/>
      <c r="V979" s="60"/>
      <c r="W979" s="60"/>
    </row>
    <row r="980" spans="1:23" ht="13" x14ac:dyDescent="0.3">
      <c r="A980" s="58"/>
      <c r="B980" s="58"/>
      <c r="C980" s="58"/>
      <c r="D980" s="58"/>
      <c r="E980" s="58"/>
      <c r="F980" s="58"/>
      <c r="G980" s="58"/>
      <c r="H980" s="59"/>
      <c r="I980" s="59"/>
      <c r="J980" s="59"/>
      <c r="K980" s="59"/>
      <c r="L980" s="59"/>
      <c r="M980" s="60"/>
      <c r="N980" s="60"/>
      <c r="O980" s="60"/>
      <c r="P980" s="59"/>
      <c r="Q980" s="59"/>
      <c r="R980" s="60"/>
      <c r="S980" s="60"/>
      <c r="T980" s="60"/>
      <c r="U980" s="60"/>
      <c r="V980" s="60"/>
      <c r="W980" s="60"/>
    </row>
    <row r="981" spans="1:23" ht="13" x14ac:dyDescent="0.3">
      <c r="A981" s="58"/>
      <c r="B981" s="58"/>
      <c r="C981" s="58"/>
      <c r="D981" s="58"/>
      <c r="E981" s="58"/>
      <c r="F981" s="58"/>
      <c r="G981" s="58"/>
      <c r="H981" s="59"/>
      <c r="I981" s="59"/>
      <c r="J981" s="59"/>
      <c r="K981" s="59"/>
      <c r="L981" s="59"/>
      <c r="M981" s="60"/>
      <c r="N981" s="60"/>
      <c r="O981" s="60"/>
      <c r="P981" s="59"/>
      <c r="Q981" s="59"/>
      <c r="R981" s="60"/>
      <c r="S981" s="60"/>
      <c r="T981" s="60"/>
      <c r="U981" s="60"/>
      <c r="V981" s="60"/>
      <c r="W981" s="60"/>
    </row>
    <row r="982" spans="1:23" ht="13" x14ac:dyDescent="0.3">
      <c r="A982" s="58"/>
      <c r="B982" s="58"/>
      <c r="C982" s="58"/>
      <c r="D982" s="58"/>
      <c r="E982" s="58"/>
      <c r="F982" s="58"/>
      <c r="G982" s="58"/>
      <c r="H982" s="59"/>
      <c r="I982" s="59"/>
      <c r="J982" s="59"/>
      <c r="K982" s="59"/>
      <c r="L982" s="59"/>
      <c r="M982" s="60"/>
      <c r="N982" s="60"/>
      <c r="O982" s="60"/>
      <c r="P982" s="59"/>
      <c r="Q982" s="59"/>
      <c r="R982" s="60"/>
      <c r="S982" s="60"/>
      <c r="T982" s="60"/>
      <c r="U982" s="60"/>
      <c r="V982" s="60"/>
      <c r="W982" s="60"/>
    </row>
    <row r="983" spans="1:23" ht="13" x14ac:dyDescent="0.3">
      <c r="A983" s="58"/>
      <c r="B983" s="58"/>
      <c r="C983" s="58"/>
      <c r="D983" s="58"/>
      <c r="E983" s="58"/>
      <c r="F983" s="58"/>
      <c r="G983" s="58"/>
      <c r="H983" s="59"/>
      <c r="I983" s="59"/>
      <c r="J983" s="59"/>
      <c r="K983" s="59"/>
      <c r="L983" s="59"/>
      <c r="M983" s="60"/>
      <c r="N983" s="60"/>
      <c r="O983" s="60"/>
      <c r="P983" s="59"/>
      <c r="Q983" s="59"/>
      <c r="R983" s="60"/>
      <c r="S983" s="60"/>
      <c r="T983" s="60"/>
      <c r="U983" s="60"/>
      <c r="V983" s="60"/>
      <c r="W983" s="60"/>
    </row>
    <row r="984" spans="1:23" ht="13" x14ac:dyDescent="0.3">
      <c r="A984" s="58"/>
      <c r="B984" s="58"/>
      <c r="C984" s="58"/>
      <c r="D984" s="58"/>
      <c r="E984" s="58"/>
      <c r="F984" s="58"/>
      <c r="G984" s="58"/>
      <c r="H984" s="59"/>
      <c r="I984" s="59"/>
      <c r="J984" s="59"/>
      <c r="K984" s="59"/>
      <c r="L984" s="59"/>
      <c r="M984" s="60"/>
      <c r="N984" s="60"/>
      <c r="O984" s="60"/>
      <c r="P984" s="59"/>
      <c r="Q984" s="59"/>
      <c r="R984" s="60"/>
      <c r="S984" s="60"/>
      <c r="T984" s="60"/>
      <c r="U984" s="60"/>
      <c r="V984" s="60"/>
      <c r="W984" s="60"/>
    </row>
    <row r="985" spans="1:23" ht="13" x14ac:dyDescent="0.3">
      <c r="A985" s="58"/>
      <c r="B985" s="58"/>
      <c r="C985" s="58"/>
      <c r="D985" s="58"/>
      <c r="E985" s="58"/>
      <c r="F985" s="58"/>
      <c r="G985" s="58"/>
      <c r="H985" s="59"/>
      <c r="I985" s="59"/>
      <c r="J985" s="59"/>
      <c r="K985" s="59"/>
      <c r="L985" s="59"/>
      <c r="M985" s="60"/>
      <c r="N985" s="60"/>
      <c r="O985" s="60"/>
      <c r="P985" s="59"/>
      <c r="Q985" s="59"/>
      <c r="R985" s="60"/>
      <c r="S985" s="60"/>
      <c r="T985" s="60"/>
      <c r="U985" s="60"/>
      <c r="V985" s="60"/>
      <c r="W985" s="60"/>
    </row>
    <row r="986" spans="1:23" ht="13" x14ac:dyDescent="0.3">
      <c r="A986" s="58"/>
      <c r="B986" s="58"/>
      <c r="C986" s="58"/>
      <c r="D986" s="58"/>
      <c r="E986" s="58"/>
      <c r="F986" s="58"/>
      <c r="G986" s="58"/>
      <c r="H986" s="59"/>
      <c r="I986" s="59"/>
      <c r="J986" s="59"/>
      <c r="K986" s="59"/>
      <c r="L986" s="59"/>
      <c r="M986" s="60"/>
      <c r="N986" s="60"/>
      <c r="O986" s="60"/>
      <c r="P986" s="59"/>
      <c r="Q986" s="59"/>
      <c r="R986" s="60"/>
      <c r="S986" s="60"/>
      <c r="T986" s="60"/>
      <c r="U986" s="60"/>
      <c r="V986" s="60"/>
      <c r="W986" s="60"/>
    </row>
    <row r="987" spans="1:23" ht="13" x14ac:dyDescent="0.3">
      <c r="A987" s="58"/>
      <c r="B987" s="58"/>
      <c r="C987" s="58"/>
      <c r="D987" s="58"/>
      <c r="E987" s="58"/>
      <c r="F987" s="58"/>
      <c r="G987" s="58"/>
      <c r="H987" s="59"/>
      <c r="I987" s="59"/>
      <c r="J987" s="59"/>
      <c r="K987" s="59"/>
      <c r="L987" s="59"/>
      <c r="M987" s="60"/>
      <c r="N987" s="60"/>
      <c r="O987" s="60"/>
      <c r="P987" s="59"/>
      <c r="Q987" s="59"/>
      <c r="R987" s="60"/>
      <c r="S987" s="60"/>
      <c r="T987" s="60"/>
      <c r="U987" s="60"/>
      <c r="V987" s="60"/>
      <c r="W987" s="60"/>
    </row>
    <row r="988" spans="1:23" ht="13" x14ac:dyDescent="0.3">
      <c r="A988" s="58"/>
      <c r="B988" s="58"/>
      <c r="C988" s="58"/>
      <c r="D988" s="58"/>
      <c r="E988" s="58"/>
      <c r="F988" s="58"/>
      <c r="G988" s="58"/>
      <c r="H988" s="59"/>
      <c r="I988" s="59"/>
      <c r="J988" s="59"/>
      <c r="K988" s="59"/>
      <c r="L988" s="59"/>
      <c r="M988" s="60"/>
      <c r="N988" s="60"/>
      <c r="O988" s="60"/>
      <c r="P988" s="59"/>
      <c r="Q988" s="59"/>
      <c r="R988" s="60"/>
      <c r="S988" s="60"/>
      <c r="T988" s="60"/>
      <c r="U988" s="60"/>
      <c r="V988" s="60"/>
      <c r="W988" s="60"/>
    </row>
    <row r="989" spans="1:23" ht="13" x14ac:dyDescent="0.3">
      <c r="A989" s="58"/>
      <c r="B989" s="58"/>
      <c r="C989" s="58"/>
      <c r="D989" s="58"/>
      <c r="E989" s="58"/>
      <c r="F989" s="58"/>
      <c r="G989" s="58"/>
      <c r="H989" s="59"/>
      <c r="I989" s="59"/>
      <c r="J989" s="59"/>
      <c r="K989" s="59"/>
      <c r="L989" s="59"/>
      <c r="M989" s="60"/>
      <c r="N989" s="60"/>
      <c r="O989" s="60"/>
      <c r="P989" s="59"/>
      <c r="Q989" s="59"/>
      <c r="R989" s="60"/>
      <c r="S989" s="60"/>
      <c r="T989" s="60"/>
      <c r="U989" s="60"/>
      <c r="V989" s="60"/>
      <c r="W989" s="60"/>
    </row>
    <row r="990" spans="1:23" ht="13" x14ac:dyDescent="0.3">
      <c r="A990" s="58"/>
      <c r="B990" s="58"/>
      <c r="C990" s="58"/>
      <c r="D990" s="58"/>
      <c r="E990" s="58"/>
      <c r="F990" s="58"/>
      <c r="G990" s="58"/>
      <c r="H990" s="59"/>
      <c r="I990" s="59"/>
      <c r="J990" s="59"/>
      <c r="K990" s="59"/>
      <c r="L990" s="59"/>
      <c r="M990" s="60"/>
      <c r="N990" s="60"/>
      <c r="O990" s="60"/>
      <c r="P990" s="59"/>
      <c r="Q990" s="59"/>
      <c r="R990" s="60"/>
      <c r="S990" s="60"/>
      <c r="T990" s="60"/>
      <c r="U990" s="60"/>
      <c r="V990" s="60"/>
      <c r="W990" s="60"/>
    </row>
    <row r="991" spans="1:23" ht="13" x14ac:dyDescent="0.3">
      <c r="A991" s="58"/>
      <c r="B991" s="58"/>
      <c r="C991" s="58"/>
      <c r="D991" s="58"/>
      <c r="E991" s="58"/>
      <c r="F991" s="58"/>
      <c r="G991" s="58"/>
      <c r="H991" s="59"/>
      <c r="I991" s="59"/>
      <c r="J991" s="59"/>
      <c r="K991" s="59"/>
      <c r="L991" s="59"/>
      <c r="M991" s="60"/>
      <c r="N991" s="60"/>
      <c r="O991" s="60"/>
      <c r="P991" s="59"/>
      <c r="Q991" s="59"/>
      <c r="R991" s="60"/>
      <c r="S991" s="60"/>
      <c r="T991" s="60"/>
      <c r="U991" s="60"/>
      <c r="V991" s="60"/>
      <c r="W991" s="60"/>
    </row>
    <row r="992" spans="1:23" ht="13" x14ac:dyDescent="0.3">
      <c r="A992" s="58"/>
      <c r="B992" s="58"/>
      <c r="C992" s="58"/>
      <c r="D992" s="58"/>
      <c r="E992" s="58"/>
      <c r="F992" s="58"/>
      <c r="G992" s="58"/>
      <c r="H992" s="59"/>
      <c r="I992" s="59"/>
      <c r="J992" s="59"/>
      <c r="K992" s="59"/>
      <c r="L992" s="59"/>
      <c r="M992" s="60"/>
      <c r="N992" s="60"/>
      <c r="O992" s="60"/>
      <c r="P992" s="59"/>
      <c r="Q992" s="59"/>
      <c r="R992" s="60"/>
      <c r="S992" s="60"/>
      <c r="T992" s="60"/>
      <c r="U992" s="60"/>
      <c r="V992" s="60"/>
      <c r="W992" s="60"/>
    </row>
    <row r="993" spans="1:23" ht="13" x14ac:dyDescent="0.3">
      <c r="A993" s="58"/>
      <c r="B993" s="58"/>
      <c r="C993" s="58"/>
      <c r="D993" s="58"/>
      <c r="E993" s="58"/>
      <c r="F993" s="58"/>
      <c r="G993" s="58"/>
      <c r="H993" s="59"/>
      <c r="I993" s="59"/>
      <c r="J993" s="59"/>
      <c r="K993" s="59"/>
      <c r="L993" s="59"/>
      <c r="M993" s="60"/>
      <c r="N993" s="60"/>
      <c r="O993" s="60"/>
      <c r="P993" s="59"/>
      <c r="Q993" s="59"/>
      <c r="R993" s="60"/>
      <c r="S993" s="60"/>
      <c r="T993" s="60"/>
      <c r="U993" s="60"/>
      <c r="V993" s="60"/>
      <c r="W993" s="60"/>
    </row>
    <row r="994" spans="1:23" ht="13" x14ac:dyDescent="0.3">
      <c r="A994" s="58"/>
      <c r="B994" s="58"/>
      <c r="C994" s="58"/>
      <c r="D994" s="58"/>
      <c r="E994" s="58"/>
      <c r="F994" s="58"/>
      <c r="G994" s="58"/>
      <c r="H994" s="59"/>
      <c r="I994" s="59"/>
      <c r="J994" s="59"/>
      <c r="K994" s="59"/>
      <c r="L994" s="59"/>
      <c r="M994" s="60"/>
      <c r="N994" s="60"/>
      <c r="O994" s="60"/>
      <c r="P994" s="59"/>
      <c r="Q994" s="59"/>
      <c r="R994" s="60"/>
      <c r="S994" s="60"/>
      <c r="T994" s="60"/>
      <c r="U994" s="60"/>
      <c r="V994" s="60"/>
      <c r="W994" s="60"/>
    </row>
    <row r="995" spans="1:23" ht="13" x14ac:dyDescent="0.3">
      <c r="A995" s="58"/>
      <c r="B995" s="58"/>
      <c r="C995" s="58"/>
      <c r="D995" s="58"/>
      <c r="E995" s="58"/>
      <c r="F995" s="58"/>
      <c r="G995" s="58"/>
      <c r="H995" s="59"/>
      <c r="I995" s="59"/>
      <c r="J995" s="59"/>
      <c r="K995" s="59"/>
      <c r="L995" s="59"/>
      <c r="M995" s="60"/>
      <c r="N995" s="60"/>
      <c r="O995" s="60"/>
      <c r="P995" s="59"/>
      <c r="Q995" s="59"/>
      <c r="R995" s="60"/>
      <c r="S995" s="60"/>
      <c r="T995" s="60"/>
      <c r="U995" s="60"/>
      <c r="V995" s="60"/>
      <c r="W995" s="60"/>
    </row>
  </sheetData>
  <autoFilter ref="A1:R103" xr:uid="{00000000-0001-0000-0000-000000000000}"/>
  <conditionalFormatting sqref="B82:B103">
    <cfRule type="duplicateValues" dxfId="13" priority="9"/>
    <cfRule type="duplicateValues" dxfId="12" priority="10"/>
  </conditionalFormatting>
  <conditionalFormatting sqref="B104:B1048576 B1:B63 B65:B79 B81">
    <cfRule type="duplicateValues" dxfId="11" priority="57"/>
    <cfRule type="duplicateValues" dxfId="10" priority="58"/>
  </conditionalFormatting>
  <conditionalFormatting sqref="B104:D1048576 B65:C79 C64 B81:C81 C80 B1:D2 B3:C63 D3:D103">
    <cfRule type="duplicateValues" dxfId="9" priority="51"/>
  </conditionalFormatting>
  <conditionalFormatting sqref="B104:D1048576 B1:D2 B65:C79 C64 B81:C81 C80 B3:C63 D3:D103">
    <cfRule type="duplicateValues" dxfId="8" priority="56"/>
    <cfRule type="duplicateValues" dxfId="7" priority="59"/>
  </conditionalFormatting>
  <conditionalFormatting sqref="C82:C103">
    <cfRule type="duplicateValues" dxfId="6" priority="6"/>
    <cfRule type="duplicateValues" dxfId="5" priority="7"/>
    <cfRule type="duplicateValues" dxfId="4" priority="8"/>
  </conditionalFormatting>
  <conditionalFormatting sqref="C104:D1048576 C1:D2 C3:C81 D3:D103">
    <cfRule type="duplicateValues" dxfId="3" priority="52"/>
    <cfRule type="duplicateValues" dxfId="2" priority="53"/>
    <cfRule type="duplicateValues" dxfId="1" priority="54"/>
    <cfRule type="duplicateValues" dxfId="0" priority="5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Dataset Izin</vt:lpstr>
      <vt:lpstr>Sheet1</vt:lpstr>
      <vt:lpstr>SETJEN</vt:lpstr>
      <vt:lpstr>ITJEN</vt:lpstr>
      <vt:lpstr>DJPT</vt:lpstr>
      <vt:lpstr>DJPB</vt:lpstr>
      <vt:lpstr>PSDKP</vt:lpstr>
      <vt:lpstr>PKRL</vt:lpstr>
      <vt:lpstr>PDS</vt:lpstr>
      <vt:lpstr>BPPSDM</vt:lpstr>
      <vt:lpstr>BPPMHKP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dedy heru susanto</dc:creator>
  <cp:lastModifiedBy>Anggara Prima</cp:lastModifiedBy>
  <dcterms:created xsi:type="dcterms:W3CDTF">2025-08-25T08:04:20Z</dcterms:created>
  <dcterms:modified xsi:type="dcterms:W3CDTF">2025-12-22T07:36:26Z</dcterms:modified>
</cp:coreProperties>
</file>